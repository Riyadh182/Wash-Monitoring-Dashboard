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lan_Board" sheetId="2" state="visible" r:id="rId2"/>
    <sheet xmlns:r="http://schemas.openxmlformats.org/officeDocument/2006/relationships" name="Plan_History" sheetId="3" state="visible" r:id="rId3"/>
    <sheet xmlns:r="http://schemas.openxmlformats.org/officeDocument/2006/relationships" name="Audit_Log" sheetId="4" state="visible" r:id="rId4"/>
    <sheet xmlns:r="http://schemas.openxmlformats.org/officeDocument/2006/relationships" name="Stage_Log" sheetId="5" state="visible" r:id="rId5"/>
    <sheet xmlns:r="http://schemas.openxmlformats.org/officeDocument/2006/relationships" name="Master_Stage" sheetId="6" state="visible" r:id="rId6"/>
    <sheet xmlns:r="http://schemas.openxmlformats.org/officeDocument/2006/relationships" name="Unit_Master" sheetId="7" state="visible" r:id="rId7"/>
  </sheets>
  <definedNames/>
  <calcPr calcId="124519" fullCalcOnLoad="1"/>
</workbook>
</file>

<file path=xl/styles.xml><?xml version="1.0" encoding="utf-8"?>
<styleSheet xmlns="http://schemas.openxmlformats.org/spreadsheetml/2006/main">
  <numFmts count="2">
    <numFmt numFmtId="164" formatCode="yyyy-mm-dd"/>
    <numFmt numFmtId="165" formatCode="[&gt;=99999]&quot;-&quot;;dd-mmm-yy"/>
  </numFmts>
  <fonts count="12">
    <font>
      <name val="Calibri"/>
      <family val="2"/>
      <color theme="1"/>
      <sz val="11"/>
      <scheme val="minor"/>
    </font>
    <font>
      <name val="Arial"/>
      <b val="1"/>
      <color rgb="001E293B"/>
      <sz val="14"/>
    </font>
    <font>
      <name val="Arial"/>
      <color rgb="001E293B"/>
      <sz val="10"/>
    </font>
    <font>
      <name val="Arial"/>
      <b val="1"/>
      <color rgb="00FFFFFF"/>
      <sz val="14"/>
    </font>
    <font>
      <name val="Arial"/>
      <b val="1"/>
      <color rgb="001E293B"/>
      <sz val="10"/>
    </font>
    <font>
      <name val="Arial"/>
      <b val="1"/>
      <color rgb="000000FF"/>
      <sz val="10"/>
    </font>
    <font>
      <name val="Arial"/>
      <color rgb="00B91C1C"/>
      <sz val="9"/>
    </font>
    <font>
      <name val="Arial"/>
      <color rgb="0094A3B8"/>
      <sz val="7"/>
    </font>
    <font>
      <name val="Arial"/>
      <b val="1"/>
      <color rgb="00FFFFFF"/>
      <sz val="9"/>
    </font>
    <font>
      <name val="Arial"/>
      <b val="1"/>
      <color rgb="00FFFFFF"/>
      <sz val="10"/>
    </font>
    <font>
      <name val="Arial"/>
      <color rgb="00334155"/>
      <sz val="9"/>
    </font>
    <font>
      <name val="Arial"/>
      <color rgb="0064748B"/>
      <sz val="9"/>
    </font>
  </fonts>
  <fills count="13">
    <fill>
      <patternFill/>
    </fill>
    <fill>
      <patternFill patternType="gray125"/>
    </fill>
    <fill>
      <patternFill patternType="solid">
        <fgColor rgb="001E293B"/>
        <bgColor rgb="001E293B"/>
      </patternFill>
    </fill>
    <fill>
      <patternFill patternType="solid">
        <fgColor rgb="00FFF9DB"/>
        <bgColor rgb="00FFF9DB"/>
      </patternFill>
    </fill>
    <fill>
      <patternFill patternType="solid">
        <fgColor rgb="000D9488"/>
        <bgColor rgb="000D9488"/>
      </patternFill>
    </fill>
    <fill>
      <patternFill patternType="solid">
        <fgColor rgb="00475569"/>
        <bgColor rgb="00475569"/>
      </patternFill>
    </fill>
    <fill>
      <patternFill patternType="solid">
        <fgColor rgb="000369A1"/>
        <bgColor rgb="000369A1"/>
      </patternFill>
    </fill>
    <fill>
      <patternFill patternType="solid">
        <fgColor rgb="003B82F6"/>
        <bgColor rgb="003B82F6"/>
      </patternFill>
    </fill>
    <fill>
      <patternFill patternType="solid">
        <fgColor rgb="0016A34A"/>
        <bgColor rgb="0016A34A"/>
      </patternFill>
    </fill>
    <fill>
      <patternFill patternType="solid">
        <fgColor rgb="0064748B"/>
        <bgColor rgb="0064748B"/>
      </patternFill>
    </fill>
    <fill>
      <patternFill patternType="solid">
        <fgColor rgb="000F766E"/>
        <bgColor rgb="000F766E"/>
      </patternFill>
    </fill>
    <fill>
      <patternFill patternType="solid">
        <fgColor rgb="00E2E8F0"/>
        <bgColor rgb="00E2E8F0"/>
      </patternFill>
    </fill>
    <fill>
      <patternFill patternType="solid">
        <fgColor rgb="00F1F5F9"/>
        <bgColor rgb="00F1F5F9"/>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xf>
    <xf numFmtId="0" fontId="4" fillId="0" borderId="0" pivotButton="0" quotePrefix="0" xfId="0"/>
    <xf numFmtId="164" fontId="5" fillId="3" borderId="0" pivotButton="0" quotePrefix="0" xfId="0"/>
    <xf numFmtId="0" fontId="5" fillId="3" borderId="0" pivotButton="0" quotePrefix="0" xfId="0"/>
    <xf numFmtId="0" fontId="6" fillId="0" borderId="0" pivotButton="0" quotePrefix="0" xfId="0"/>
    <xf numFmtId="164" fontId="7" fillId="0" borderId="0" pivotButton="0" quotePrefix="0" xfId="0"/>
    <xf numFmtId="0" fontId="7" fillId="0" borderId="0" pivotButton="0" quotePrefix="0" xfId="0"/>
    <xf numFmtId="0" fontId="9" fillId="6" borderId="0" applyAlignment="1" pivotButton="0" quotePrefix="0" xfId="0">
      <alignment horizontal="center"/>
    </xf>
    <xf numFmtId="0" fontId="9" fillId="10" borderId="0" applyAlignment="1" pivotButton="0" quotePrefix="0" xfId="0">
      <alignment horizontal="center"/>
    </xf>
    <xf numFmtId="0" fontId="8" fillId="2" borderId="0" applyAlignment="1" pivotButton="0" quotePrefix="0" xfId="0">
      <alignment horizontal="center" vertical="center" wrapText="1"/>
    </xf>
    <xf numFmtId="0" fontId="8" fillId="4" borderId="0" applyAlignment="1" pivotButton="0" quotePrefix="0" xfId="0">
      <alignment horizontal="center" vertical="center" wrapText="1"/>
    </xf>
    <xf numFmtId="0" fontId="8" fillId="5" borderId="0" applyAlignment="1" pivotButton="0" quotePrefix="0" xfId="0">
      <alignment horizontal="center" vertical="center" wrapText="1"/>
    </xf>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4" fillId="11" borderId="0" pivotButton="0" quotePrefix="0" xfId="0"/>
    <xf numFmtId="0" fontId="0" fillId="11" borderId="0" pivotButton="0" quotePrefix="0" xfId="0"/>
    <xf numFmtId="3" fontId="4" fillId="11" borderId="0" pivotButton="0" quotePrefix="0" xfId="0"/>
    <xf numFmtId="0" fontId="0" fillId="3" borderId="0" pivotButton="0" quotePrefix="0" xfId="0"/>
    <xf numFmtId="164" fontId="0" fillId="3" borderId="0" pivotButton="0" quotePrefix="0" xfId="0"/>
    <xf numFmtId="3" fontId="0" fillId="3" borderId="0" pivotButton="0" quotePrefix="0" xfId="0"/>
    <xf numFmtId="165" fontId="10" fillId="12" borderId="0" pivotButton="0" quotePrefix="0" xfId="0"/>
    <xf numFmtId="3" fontId="10" fillId="12" borderId="0" pivotButton="0" quotePrefix="0" xfId="0"/>
    <xf numFmtId="0" fontId="10" fillId="12" borderId="0" pivotButton="0" quotePrefix="0" xfId="0"/>
    <xf numFmtId="0" fontId="9" fillId="2" borderId="0" applyAlignment="1" pivotButton="0" quotePrefix="0" xfId="0">
      <alignment horizontal="center" wrapText="1"/>
    </xf>
    <xf numFmtId="0" fontId="11" fillId="0" borderId="0" pivotButton="0" quotePrefix="0" xfId="0"/>
  </cellXfs>
  <cellStyles count="1">
    <cellStyle name="Normal" xfId="0" builtinId="0" hidden="0"/>
  </cellStyles>
  <dxfs count="7">
    <dxf>
      <font>
        <b val="1"/>
        <color rgb="00B91C1C"/>
      </font>
      <fill>
        <patternFill patternType="solid">
          <fgColor rgb="00FECACA"/>
          <bgColor rgb="00FECACA"/>
        </patternFill>
      </fill>
    </dxf>
    <dxf>
      <fill>
        <patternFill patternType="solid">
          <fgColor rgb="00FECACA"/>
          <bgColor rgb="00FECACA"/>
        </patternFill>
      </fill>
    </dxf>
    <dxf>
      <font>
        <b val="1"/>
        <color rgb="00DC2626"/>
      </font>
    </dxf>
    <dxf>
      <font>
        <b val="1"/>
        <color rgb="0016A34A"/>
      </font>
    </dxf>
    <dxf>
      <fill>
        <patternFill patternType="solid">
          <fgColor rgb="00FFF1F2"/>
          <bgColor rgb="00FFF1F2"/>
        </patternFill>
      </fill>
    </dxf>
    <dxf>
      <fill>
        <patternFill patternType="solid">
          <fgColor rgb="00FEF9C3"/>
          <bgColor rgb="00FEF9C3"/>
        </patternFill>
      </fill>
    </dxf>
    <dxf>
      <fill>
        <patternFill patternType="solid">
          <fgColor rgb="00E5E7EB"/>
          <bgColor rgb="00E5E7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4"/>
  <sheetViews>
    <sheetView showGridLines="0" workbookViewId="0">
      <selection activeCell="A1" sqref="A1"/>
    </sheetView>
  </sheetViews>
  <sheetFormatPr baseColWidth="8" defaultRowHeight="15"/>
  <cols>
    <col width="3" customWidth="1" min="1" max="1"/>
    <col width="130" customWidth="1" min="2" max="2"/>
  </cols>
  <sheetData>
    <row r="2">
      <c r="B2" s="1" t="inlineStr">
        <is>
          <t>PLAN BOARD | BWL-2 | 2026-11 (30 days)</t>
        </is>
      </c>
    </row>
    <row r="3">
      <c r="B3" s="2" t="inlineStr"/>
    </row>
    <row r="4">
      <c r="B4" s="2" t="inlineStr">
        <is>
          <t>1. One row per PO (Style + PO + Color). Fill the yellow cells once: buyer, CRD, order qty, wash plan start / end, opening balances. Rows 1-7 are headers, data starts at row 8.</t>
        </is>
      </c>
    </row>
    <row r="5">
      <c r="B5" s="2" t="inlineStr">
        <is>
          <t>2. Every day: Sewing planned delivery and Wash planned production come from the planner. Sewing ACTUAL delivery and Wash ACTUAL production are typed by the monitoring team. Variation and totals are formulas.</t>
        </is>
      </c>
    </row>
    <row r="6">
      <c r="B6" s="2" t="inlineStr">
        <is>
          <t>3. Do NOT change numbers that were already entered. The script logs every change (old value, new value, who, when), the cell turns red and the dashboard shows the order as "edited".</t>
        </is>
      </c>
    </row>
    <row r="7">
      <c r="B7" s="2" t="inlineStr">
        <is>
          <t>4. Wash plan start / end, CRD and order qty changes are saved as plan history (version 1, 2, 3 ...). Revising the plan is allowed: the history just keeps the proof.</t>
        </is>
      </c>
    </row>
    <row r="8">
      <c r="B8" s="2" t="inlineStr">
        <is>
          <t>5. Work sequence = earliest delivery date (CRD) first; same CRD -&gt; first received first (FIFO); then PO. Column "Wash Priority" shows it. Filter / sort by that column.</t>
        </is>
      </c>
    </row>
    <row r="9">
      <c r="B9" s="2" t="inlineStr">
        <is>
          <t>6. After the wash plan end date, if balance or WIP is still open the row is red flagged (Risk = Yes) and the dashboard reports it as crisis / possible crisis.</t>
        </is>
      </c>
    </row>
    <row r="10">
      <c r="B10" s="2" t="inlineStr">
        <is>
          <t>7. Month length: change cell B2 (first day of the month). Day blocks beyond the month length go blank; run Plan Board &gt; Setup month to hide them. 28, 29, 30 or 31 days work.</t>
        </is>
      </c>
    </row>
    <row r="11">
      <c r="B11" s="2" t="inlineStr">
        <is>
          <t>8. Next month: Plan Board &gt; Create next month sheet. It copies this file, keeps only open orders, carries the opening balances and clears the days. Then add the old Sheet ID to Secrets "archive" as YYYY-MM:ID and the new ID to "current".</t>
        </is>
      </c>
    </row>
    <row r="12">
      <c r="B12" s="2" t="inlineStr">
        <is>
          <t>9. Stage_Log (optional): where the pieces are inside the plant (Receive Store, Wash, Dry Process, QC &amp; Packing ...). Date, Wash_Plant, Style, PO, Color, Stage, Pcs_In, Pcs_Out. A scan system export fits this layout.</t>
        </is>
      </c>
    </row>
    <row r="13">
      <c r="B13" s="2" t="inlineStr">
        <is>
          <t>10. Share the Sheet as "Anyone with the link" if the dashboard reads it without a service account. Floor staff need Editor access.</t>
        </is>
      </c>
    </row>
    <row r="14">
      <c r="B14" s="2" t="inlineStr">
        <is>
          <t>Rows whose Style starts with EXAMPLE are ignored by the dashboard.</t>
        </is>
      </c>
    </row>
  </sheetData>
  <pageMargins left="0.75" right="0.75" top="1" bottom="1" header="0.5" footer="0.5"/>
</worksheet>
</file>

<file path=xl/worksheets/sheet2.xml><?xml version="1.0" encoding="utf-8"?>
<worksheet xmlns="http://schemas.openxmlformats.org/spreadsheetml/2006/main">
  <sheetPr>
    <tabColor rgb="000D9488"/>
    <outlinePr summaryBelow="1" summaryRight="1"/>
    <pageSetUpPr/>
  </sheetPr>
  <dimension ref="A1:IN707"/>
  <sheetViews>
    <sheetView zoomScale="90" workbookViewId="0">
      <pane xSplit="5" ySplit="7" topLeftCell="F8"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4" customWidth="1" min="3" max="3"/>
    <col width="24" customWidth="1" min="4" max="4"/>
    <col width="13" customWidth="1" min="5" max="5"/>
    <col outlineLevel="1" width="13" customWidth="1" min="6" max="6"/>
    <col outlineLevel="1" width="13" customWidth="1" min="7" max="7"/>
    <col outlineLevel="1" width="13" customWidth="1" min="8" max="8"/>
    <col outlineLevel="1" width="13" customWidth="1" min="9" max="9"/>
    <col outlineLevel="1" width="13" customWidth="1" min="10" max="10"/>
    <col outlineLevel="1" width="13" customWidth="1" min="11" max="11"/>
    <col outlineLevel="1" width="13" customWidth="1" min="12" max="12"/>
    <col outlineLevel="1" width="13" customWidth="1" min="13" max="13"/>
    <col outlineLevel="1" width="16" customWidth="1" min="14" max="14"/>
    <col outlineLevel="1" width="13" customWidth="1" min="15" max="15"/>
    <col outlineLevel="1" width="13" customWidth="1" min="16" max="16"/>
    <col outlineLevel="1" width="13" customWidth="1" min="17" max="17"/>
    <col outlineLevel="1" width="13" customWidth="1" min="18" max="18"/>
    <col outlineLevel="1" width="13" customWidth="1" min="19" max="19"/>
    <col outlineLevel="1" width="13" customWidth="1" min="20" max="20"/>
    <col outlineLevel="1"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1" customWidth="1" min="32" max="32"/>
    <col width="11" customWidth="1" min="33" max="33"/>
    <col width="11" customWidth="1" min="34" max="34"/>
    <col width="11" customWidth="1" min="35" max="35"/>
    <col width="11" customWidth="1" min="36" max="36"/>
    <col width="11" customWidth="1" min="37" max="37"/>
    <col width="22" customWidth="1" min="38" max="38"/>
    <col width="11" customWidth="1" min="39" max="39"/>
    <col width="11" customWidth="1" min="40" max="40"/>
    <col width="11" customWidth="1" min="41" max="41"/>
    <col width="11" customWidth="1" min="42" max="42"/>
    <col width="11" customWidth="1" min="43" max="43"/>
    <col width="11" customWidth="1" min="44" max="44"/>
    <col width="22" customWidth="1" min="45" max="45"/>
    <col width="11" customWidth="1" min="46" max="46"/>
    <col width="11" customWidth="1" min="47" max="47"/>
    <col width="11" customWidth="1" min="48" max="48"/>
    <col width="11" customWidth="1" min="49" max="49"/>
    <col width="11" customWidth="1" min="50" max="50"/>
    <col width="11" customWidth="1" min="51" max="51"/>
    <col width="22" customWidth="1" min="52" max="52"/>
    <col width="11" customWidth="1" min="53" max="53"/>
    <col width="11" customWidth="1" min="54" max="54"/>
    <col width="11" customWidth="1" min="55" max="55"/>
    <col width="11" customWidth="1" min="56" max="56"/>
    <col width="11" customWidth="1" min="57" max="57"/>
    <col width="11" customWidth="1" min="58" max="58"/>
    <col width="22" customWidth="1" min="59" max="59"/>
    <col width="11" customWidth="1" min="60" max="60"/>
    <col width="11" customWidth="1" min="61" max="61"/>
    <col width="11" customWidth="1" min="62" max="62"/>
    <col width="11" customWidth="1" min="63" max="63"/>
    <col width="11" customWidth="1" min="64" max="64"/>
    <col width="11" customWidth="1" min="65" max="65"/>
    <col width="22" customWidth="1" min="66" max="66"/>
    <col width="11" customWidth="1" min="67" max="67"/>
    <col width="11" customWidth="1" min="68" max="68"/>
    <col width="11" customWidth="1" min="69" max="69"/>
    <col width="11" customWidth="1" min="70" max="70"/>
    <col width="11" customWidth="1" min="71" max="71"/>
    <col width="11" customWidth="1" min="72" max="72"/>
    <col width="22" customWidth="1" min="73" max="73"/>
    <col width="11" customWidth="1" min="74" max="74"/>
    <col width="11" customWidth="1" min="75" max="75"/>
    <col width="11" customWidth="1" min="76" max="76"/>
    <col width="11" customWidth="1" min="77" max="77"/>
    <col width="11" customWidth="1" min="78" max="78"/>
    <col width="11" customWidth="1" min="79" max="79"/>
    <col width="22" customWidth="1" min="80" max="80"/>
    <col width="11" customWidth="1" min="81" max="81"/>
    <col width="11" customWidth="1" min="82" max="82"/>
    <col width="11" customWidth="1" min="83" max="83"/>
    <col width="11" customWidth="1" min="84" max="84"/>
    <col width="11" customWidth="1" min="85" max="85"/>
    <col width="11" customWidth="1" min="86" max="86"/>
    <col width="22" customWidth="1" min="87" max="87"/>
    <col width="11" customWidth="1" min="88" max="88"/>
    <col width="11" customWidth="1" min="89" max="89"/>
    <col width="11" customWidth="1" min="90" max="90"/>
    <col width="11" customWidth="1" min="91" max="91"/>
    <col width="11" customWidth="1" min="92" max="92"/>
    <col width="11" customWidth="1" min="93" max="93"/>
    <col width="22" customWidth="1" min="94" max="94"/>
    <col width="11" customWidth="1" min="95" max="95"/>
    <col width="11" customWidth="1" min="96" max="96"/>
    <col width="11" customWidth="1" min="97" max="97"/>
    <col width="11" customWidth="1" min="98" max="98"/>
    <col width="11" customWidth="1" min="99" max="99"/>
    <col width="11" customWidth="1" min="100" max="100"/>
    <col width="22" customWidth="1" min="101" max="101"/>
    <col width="11" customWidth="1" min="102" max="102"/>
    <col width="11" customWidth="1" min="103" max="103"/>
    <col width="11" customWidth="1" min="104" max="104"/>
    <col width="11" customWidth="1" min="105" max="105"/>
    <col width="11" customWidth="1" min="106" max="106"/>
    <col width="11" customWidth="1" min="107" max="107"/>
    <col width="22" customWidth="1" min="108" max="108"/>
    <col width="11" customWidth="1" min="109" max="109"/>
    <col width="11" customWidth="1" min="110" max="110"/>
    <col width="11" customWidth="1" min="111" max="111"/>
    <col width="11" customWidth="1" min="112" max="112"/>
    <col width="11" customWidth="1" min="113" max="113"/>
    <col width="11" customWidth="1" min="114" max="114"/>
    <col width="22" customWidth="1" min="115" max="115"/>
    <col width="11" customWidth="1" min="116" max="116"/>
    <col width="11" customWidth="1" min="117" max="117"/>
    <col width="11" customWidth="1" min="118" max="118"/>
    <col width="11" customWidth="1" min="119" max="119"/>
    <col width="11" customWidth="1" min="120" max="120"/>
    <col width="11" customWidth="1" min="121" max="121"/>
    <col width="22" customWidth="1" min="122" max="122"/>
    <col width="11" customWidth="1" min="123" max="123"/>
    <col width="11" customWidth="1" min="124" max="124"/>
    <col width="11" customWidth="1" min="125" max="125"/>
    <col width="11" customWidth="1" min="126" max="126"/>
    <col width="11" customWidth="1" min="127" max="127"/>
    <col width="11" customWidth="1" min="128" max="128"/>
    <col width="22" customWidth="1" min="129" max="129"/>
    <col width="11" customWidth="1" min="130" max="130"/>
    <col width="11" customWidth="1" min="131" max="131"/>
    <col width="11" customWidth="1" min="132" max="132"/>
    <col width="11" customWidth="1" min="133" max="133"/>
    <col width="11" customWidth="1" min="134" max="134"/>
    <col width="11" customWidth="1" min="135" max="135"/>
    <col width="22" customWidth="1" min="136" max="136"/>
    <col width="11" customWidth="1" min="137" max="137"/>
    <col width="11" customWidth="1" min="138" max="138"/>
    <col width="11" customWidth="1" min="139" max="139"/>
    <col width="11" customWidth="1" min="140" max="140"/>
    <col width="11" customWidth="1" min="141" max="141"/>
    <col width="11" customWidth="1" min="142" max="142"/>
    <col width="22" customWidth="1" min="143" max="143"/>
    <col width="11" customWidth="1" min="144" max="144"/>
    <col width="11" customWidth="1" min="145" max="145"/>
    <col width="11" customWidth="1" min="146" max="146"/>
    <col width="11" customWidth="1" min="147" max="147"/>
    <col width="11" customWidth="1" min="148" max="148"/>
    <col width="11" customWidth="1" min="149" max="149"/>
    <col width="22" customWidth="1" min="150" max="150"/>
    <col width="11" customWidth="1" min="151" max="151"/>
    <col width="11" customWidth="1" min="152" max="152"/>
    <col width="11" customWidth="1" min="153" max="153"/>
    <col width="11" customWidth="1" min="154" max="154"/>
    <col width="11" customWidth="1" min="155" max="155"/>
    <col width="11" customWidth="1" min="156" max="156"/>
    <col width="22" customWidth="1" min="157" max="157"/>
    <col width="11" customWidth="1" min="158" max="158"/>
    <col width="11" customWidth="1" min="159" max="159"/>
    <col width="11" customWidth="1" min="160" max="160"/>
    <col width="11" customWidth="1" min="161" max="161"/>
    <col width="11" customWidth="1" min="162" max="162"/>
    <col width="11" customWidth="1" min="163" max="163"/>
    <col width="22" customWidth="1" min="164" max="164"/>
    <col width="11" customWidth="1" min="165" max="165"/>
    <col width="11" customWidth="1" min="166" max="166"/>
    <col width="11" customWidth="1" min="167" max="167"/>
    <col width="11" customWidth="1" min="168" max="168"/>
    <col width="11" customWidth="1" min="169" max="169"/>
    <col width="11" customWidth="1" min="170" max="170"/>
    <col width="22" customWidth="1" min="171" max="171"/>
    <col width="11" customWidth="1" min="172" max="172"/>
    <col width="11" customWidth="1" min="173" max="173"/>
    <col width="11" customWidth="1" min="174" max="174"/>
    <col width="11" customWidth="1" min="175" max="175"/>
    <col width="11" customWidth="1" min="176" max="176"/>
    <col width="11" customWidth="1" min="177" max="177"/>
    <col width="22" customWidth="1" min="178" max="178"/>
    <col width="11" customWidth="1" min="179" max="179"/>
    <col width="11" customWidth="1" min="180" max="180"/>
    <col width="11" customWidth="1" min="181" max="181"/>
    <col width="11" customWidth="1" min="182" max="182"/>
    <col width="11" customWidth="1" min="183" max="183"/>
    <col width="11" customWidth="1" min="184" max="184"/>
    <col width="22" customWidth="1" min="185" max="185"/>
    <col width="11" customWidth="1" min="186" max="186"/>
    <col width="11" customWidth="1" min="187" max="187"/>
    <col width="11" customWidth="1" min="188" max="188"/>
    <col width="11" customWidth="1" min="189" max="189"/>
    <col width="11" customWidth="1" min="190" max="190"/>
    <col width="11" customWidth="1" min="191" max="191"/>
    <col width="22" customWidth="1" min="192" max="192"/>
    <col width="11" customWidth="1" min="193" max="193"/>
    <col width="11" customWidth="1" min="194" max="194"/>
    <col width="11" customWidth="1" min="195" max="195"/>
    <col width="11" customWidth="1" min="196" max="196"/>
    <col width="11" customWidth="1" min="197" max="197"/>
    <col width="11" customWidth="1" min="198" max="198"/>
    <col width="22" customWidth="1" min="199" max="199"/>
    <col width="11" customWidth="1" min="200" max="200"/>
    <col width="11" customWidth="1" min="201" max="201"/>
    <col width="11" customWidth="1" min="202" max="202"/>
    <col width="11" customWidth="1" min="203" max="203"/>
    <col width="11" customWidth="1" min="204" max="204"/>
    <col width="11" customWidth="1" min="205" max="205"/>
    <col width="22" customWidth="1" min="206" max="206"/>
    <col width="11" customWidth="1" min="207" max="207"/>
    <col width="11" customWidth="1" min="208" max="208"/>
    <col width="11" customWidth="1" min="209" max="209"/>
    <col width="11" customWidth="1" min="210" max="210"/>
    <col width="11" customWidth="1" min="211" max="211"/>
    <col width="11" customWidth="1" min="212" max="212"/>
    <col width="22" customWidth="1" min="213" max="213"/>
    <col width="11" customWidth="1" min="214" max="214"/>
    <col width="11" customWidth="1" min="215" max="215"/>
    <col width="11" customWidth="1" min="216" max="216"/>
    <col width="11" customWidth="1" min="217" max="217"/>
    <col width="11" customWidth="1" min="218" max="218"/>
    <col width="11" customWidth="1" min="219" max="219"/>
    <col width="22" customWidth="1" min="220" max="220"/>
    <col width="11" customWidth="1" min="221" max="221"/>
    <col width="11" customWidth="1" min="222" max="222"/>
    <col width="11" customWidth="1" min="223" max="223"/>
    <col width="11" customWidth="1" min="224" max="224"/>
    <col width="11" customWidth="1" min="225" max="225"/>
    <col width="11" customWidth="1" min="226" max="226"/>
    <col width="22" customWidth="1" min="227" max="227"/>
    <col width="11" customWidth="1" min="228" max="228"/>
    <col width="11" customWidth="1" min="229" max="229"/>
    <col width="11" customWidth="1" min="230" max="230"/>
    <col width="11" customWidth="1" min="231" max="231"/>
    <col width="11" customWidth="1" min="232" max="232"/>
    <col width="11" customWidth="1" min="233" max="233"/>
    <col width="22" customWidth="1" min="234" max="234"/>
    <col width="11" customWidth="1" min="235" max="235"/>
    <col width="11" customWidth="1" min="236" max="236"/>
    <col width="11" customWidth="1" min="237" max="237"/>
    <col width="11" customWidth="1" min="238" max="238"/>
    <col width="11" customWidth="1" min="239" max="239"/>
    <col width="11" customWidth="1" min="240" max="240"/>
    <col width="22" customWidth="1" min="241" max="241"/>
    <col hidden="1" width="11" customWidth="1" min="242" max="242"/>
    <col hidden="1" width="11" customWidth="1" min="243" max="243"/>
    <col hidden="1" width="11" customWidth="1" min="244" max="244"/>
    <col hidden="1" width="11" customWidth="1" min="245" max="245"/>
    <col hidden="1" width="11" customWidth="1" min="246" max="246"/>
    <col hidden="1" width="11" customWidth="1" min="247" max="247"/>
    <col hidden="1" width="22" customWidth="1" min="248" max="248"/>
  </cols>
  <sheetData>
    <row r="1" ht="28" customHeight="1">
      <c r="A1" s="3" t="inlineStr">
        <is>
          <t>HAMEEM GROUP | E2E Plan Execution (Sewing - Wash) | BWL-2</t>
        </is>
      </c>
    </row>
    <row r="2">
      <c r="A2" s="4" t="inlineStr">
        <is>
          <t>Month (first day)</t>
        </is>
      </c>
      <c r="B2" s="5" t="n">
        <v>46327</v>
      </c>
      <c r="D2" s="4" t="inlineStr">
        <is>
          <t>Wash plant</t>
        </is>
      </c>
      <c r="E2" s="6" t="inlineStr">
        <is>
          <t>BWL-2</t>
        </is>
      </c>
      <c r="G2" s="4" t="inlineStr">
        <is>
          <t>Days in month</t>
        </is>
      </c>
      <c r="H2">
        <f>DAY(EOMONTH($B$2,0))</f>
        <v/>
      </c>
      <c r="J2" s="7" t="inlineStr">
        <is>
          <t>Do not insert rows above row 8 - the dashboard reads rows 1-6 as headers.</t>
        </is>
      </c>
    </row>
    <row r="3" ht="10" customHeight="1">
      <c r="AF3" s="8">
        <f>IF(1&lt;=DAY(EOMONTH($B$2,0)),$B$2+0,"")</f>
        <v/>
      </c>
      <c r="AG3" s="8">
        <f>IF(1&lt;=DAY(EOMONTH($B$2,0)),$B$2+0,"")</f>
        <v/>
      </c>
      <c r="AH3" s="8">
        <f>IF(1&lt;=DAY(EOMONTH($B$2,0)),$B$2+0,"")</f>
        <v/>
      </c>
      <c r="AI3" s="8">
        <f>IF(1&lt;=DAY(EOMONTH($B$2,0)),$B$2+0,"")</f>
        <v/>
      </c>
      <c r="AJ3" s="8">
        <f>IF(1&lt;=DAY(EOMONTH($B$2,0)),$B$2+0,"")</f>
        <v/>
      </c>
      <c r="AK3" s="8">
        <f>IF(1&lt;=DAY(EOMONTH($B$2,0)),$B$2+0,"")</f>
        <v/>
      </c>
      <c r="AL3" s="8">
        <f>IF(1&lt;=DAY(EOMONTH($B$2,0)),$B$2+0,"")</f>
        <v/>
      </c>
      <c r="AM3" s="8">
        <f>IF(2&lt;=DAY(EOMONTH($B$2,0)),$B$2+1,"")</f>
        <v/>
      </c>
      <c r="AN3" s="8">
        <f>IF(2&lt;=DAY(EOMONTH($B$2,0)),$B$2+1,"")</f>
        <v/>
      </c>
      <c r="AO3" s="8">
        <f>IF(2&lt;=DAY(EOMONTH($B$2,0)),$B$2+1,"")</f>
        <v/>
      </c>
      <c r="AP3" s="8">
        <f>IF(2&lt;=DAY(EOMONTH($B$2,0)),$B$2+1,"")</f>
        <v/>
      </c>
      <c r="AQ3" s="8">
        <f>IF(2&lt;=DAY(EOMONTH($B$2,0)),$B$2+1,"")</f>
        <v/>
      </c>
      <c r="AR3" s="8">
        <f>IF(2&lt;=DAY(EOMONTH($B$2,0)),$B$2+1,"")</f>
        <v/>
      </c>
      <c r="AS3" s="8">
        <f>IF(2&lt;=DAY(EOMONTH($B$2,0)),$B$2+1,"")</f>
        <v/>
      </c>
      <c r="AT3" s="8">
        <f>IF(3&lt;=DAY(EOMONTH($B$2,0)),$B$2+2,"")</f>
        <v/>
      </c>
      <c r="AU3" s="8">
        <f>IF(3&lt;=DAY(EOMONTH($B$2,0)),$B$2+2,"")</f>
        <v/>
      </c>
      <c r="AV3" s="8">
        <f>IF(3&lt;=DAY(EOMONTH($B$2,0)),$B$2+2,"")</f>
        <v/>
      </c>
      <c r="AW3" s="8">
        <f>IF(3&lt;=DAY(EOMONTH($B$2,0)),$B$2+2,"")</f>
        <v/>
      </c>
      <c r="AX3" s="8">
        <f>IF(3&lt;=DAY(EOMONTH($B$2,0)),$B$2+2,"")</f>
        <v/>
      </c>
      <c r="AY3" s="8">
        <f>IF(3&lt;=DAY(EOMONTH($B$2,0)),$B$2+2,"")</f>
        <v/>
      </c>
      <c r="AZ3" s="8">
        <f>IF(3&lt;=DAY(EOMONTH($B$2,0)),$B$2+2,"")</f>
        <v/>
      </c>
      <c r="BA3" s="8">
        <f>IF(4&lt;=DAY(EOMONTH($B$2,0)),$B$2+3,"")</f>
        <v/>
      </c>
      <c r="BB3" s="8">
        <f>IF(4&lt;=DAY(EOMONTH($B$2,0)),$B$2+3,"")</f>
        <v/>
      </c>
      <c r="BC3" s="8">
        <f>IF(4&lt;=DAY(EOMONTH($B$2,0)),$B$2+3,"")</f>
        <v/>
      </c>
      <c r="BD3" s="8">
        <f>IF(4&lt;=DAY(EOMONTH($B$2,0)),$B$2+3,"")</f>
        <v/>
      </c>
      <c r="BE3" s="8">
        <f>IF(4&lt;=DAY(EOMONTH($B$2,0)),$B$2+3,"")</f>
        <v/>
      </c>
      <c r="BF3" s="8">
        <f>IF(4&lt;=DAY(EOMONTH($B$2,0)),$B$2+3,"")</f>
        <v/>
      </c>
      <c r="BG3" s="8">
        <f>IF(4&lt;=DAY(EOMONTH($B$2,0)),$B$2+3,"")</f>
        <v/>
      </c>
      <c r="BH3" s="8">
        <f>IF(5&lt;=DAY(EOMONTH($B$2,0)),$B$2+4,"")</f>
        <v/>
      </c>
      <c r="BI3" s="8">
        <f>IF(5&lt;=DAY(EOMONTH($B$2,0)),$B$2+4,"")</f>
        <v/>
      </c>
      <c r="BJ3" s="8">
        <f>IF(5&lt;=DAY(EOMONTH($B$2,0)),$B$2+4,"")</f>
        <v/>
      </c>
      <c r="BK3" s="8">
        <f>IF(5&lt;=DAY(EOMONTH($B$2,0)),$B$2+4,"")</f>
        <v/>
      </c>
      <c r="BL3" s="8">
        <f>IF(5&lt;=DAY(EOMONTH($B$2,0)),$B$2+4,"")</f>
        <v/>
      </c>
      <c r="BM3" s="8">
        <f>IF(5&lt;=DAY(EOMONTH($B$2,0)),$B$2+4,"")</f>
        <v/>
      </c>
      <c r="BN3" s="8">
        <f>IF(5&lt;=DAY(EOMONTH($B$2,0)),$B$2+4,"")</f>
        <v/>
      </c>
      <c r="BO3" s="8">
        <f>IF(6&lt;=DAY(EOMONTH($B$2,0)),$B$2+5,"")</f>
        <v/>
      </c>
      <c r="BP3" s="8">
        <f>IF(6&lt;=DAY(EOMONTH($B$2,0)),$B$2+5,"")</f>
        <v/>
      </c>
      <c r="BQ3" s="8">
        <f>IF(6&lt;=DAY(EOMONTH($B$2,0)),$B$2+5,"")</f>
        <v/>
      </c>
      <c r="BR3" s="8">
        <f>IF(6&lt;=DAY(EOMONTH($B$2,0)),$B$2+5,"")</f>
        <v/>
      </c>
      <c r="BS3" s="8">
        <f>IF(6&lt;=DAY(EOMONTH($B$2,0)),$B$2+5,"")</f>
        <v/>
      </c>
      <c r="BT3" s="8">
        <f>IF(6&lt;=DAY(EOMONTH($B$2,0)),$B$2+5,"")</f>
        <v/>
      </c>
      <c r="BU3" s="8">
        <f>IF(6&lt;=DAY(EOMONTH($B$2,0)),$B$2+5,"")</f>
        <v/>
      </c>
      <c r="BV3" s="8">
        <f>IF(7&lt;=DAY(EOMONTH($B$2,0)),$B$2+6,"")</f>
        <v/>
      </c>
      <c r="BW3" s="8">
        <f>IF(7&lt;=DAY(EOMONTH($B$2,0)),$B$2+6,"")</f>
        <v/>
      </c>
      <c r="BX3" s="8">
        <f>IF(7&lt;=DAY(EOMONTH($B$2,0)),$B$2+6,"")</f>
        <v/>
      </c>
      <c r="BY3" s="8">
        <f>IF(7&lt;=DAY(EOMONTH($B$2,0)),$B$2+6,"")</f>
        <v/>
      </c>
      <c r="BZ3" s="8">
        <f>IF(7&lt;=DAY(EOMONTH($B$2,0)),$B$2+6,"")</f>
        <v/>
      </c>
      <c r="CA3" s="8">
        <f>IF(7&lt;=DAY(EOMONTH($B$2,0)),$B$2+6,"")</f>
        <v/>
      </c>
      <c r="CB3" s="8">
        <f>IF(7&lt;=DAY(EOMONTH($B$2,0)),$B$2+6,"")</f>
        <v/>
      </c>
      <c r="CC3" s="8">
        <f>IF(8&lt;=DAY(EOMONTH($B$2,0)),$B$2+7,"")</f>
        <v/>
      </c>
      <c r="CD3" s="8">
        <f>IF(8&lt;=DAY(EOMONTH($B$2,0)),$B$2+7,"")</f>
        <v/>
      </c>
      <c r="CE3" s="8">
        <f>IF(8&lt;=DAY(EOMONTH($B$2,0)),$B$2+7,"")</f>
        <v/>
      </c>
      <c r="CF3" s="8">
        <f>IF(8&lt;=DAY(EOMONTH($B$2,0)),$B$2+7,"")</f>
        <v/>
      </c>
      <c r="CG3" s="8">
        <f>IF(8&lt;=DAY(EOMONTH($B$2,0)),$B$2+7,"")</f>
        <v/>
      </c>
      <c r="CH3" s="8">
        <f>IF(8&lt;=DAY(EOMONTH($B$2,0)),$B$2+7,"")</f>
        <v/>
      </c>
      <c r="CI3" s="8">
        <f>IF(8&lt;=DAY(EOMONTH($B$2,0)),$B$2+7,"")</f>
        <v/>
      </c>
      <c r="CJ3" s="8">
        <f>IF(9&lt;=DAY(EOMONTH($B$2,0)),$B$2+8,"")</f>
        <v/>
      </c>
      <c r="CK3" s="8">
        <f>IF(9&lt;=DAY(EOMONTH($B$2,0)),$B$2+8,"")</f>
        <v/>
      </c>
      <c r="CL3" s="8">
        <f>IF(9&lt;=DAY(EOMONTH($B$2,0)),$B$2+8,"")</f>
        <v/>
      </c>
      <c r="CM3" s="8">
        <f>IF(9&lt;=DAY(EOMONTH($B$2,0)),$B$2+8,"")</f>
        <v/>
      </c>
      <c r="CN3" s="8">
        <f>IF(9&lt;=DAY(EOMONTH($B$2,0)),$B$2+8,"")</f>
        <v/>
      </c>
      <c r="CO3" s="8">
        <f>IF(9&lt;=DAY(EOMONTH($B$2,0)),$B$2+8,"")</f>
        <v/>
      </c>
      <c r="CP3" s="8">
        <f>IF(9&lt;=DAY(EOMONTH($B$2,0)),$B$2+8,"")</f>
        <v/>
      </c>
      <c r="CQ3" s="8">
        <f>IF(10&lt;=DAY(EOMONTH($B$2,0)),$B$2+9,"")</f>
        <v/>
      </c>
      <c r="CR3" s="8">
        <f>IF(10&lt;=DAY(EOMONTH($B$2,0)),$B$2+9,"")</f>
        <v/>
      </c>
      <c r="CS3" s="8">
        <f>IF(10&lt;=DAY(EOMONTH($B$2,0)),$B$2+9,"")</f>
        <v/>
      </c>
      <c r="CT3" s="8">
        <f>IF(10&lt;=DAY(EOMONTH($B$2,0)),$B$2+9,"")</f>
        <v/>
      </c>
      <c r="CU3" s="8">
        <f>IF(10&lt;=DAY(EOMONTH($B$2,0)),$B$2+9,"")</f>
        <v/>
      </c>
      <c r="CV3" s="8">
        <f>IF(10&lt;=DAY(EOMONTH($B$2,0)),$B$2+9,"")</f>
        <v/>
      </c>
      <c r="CW3" s="8">
        <f>IF(10&lt;=DAY(EOMONTH($B$2,0)),$B$2+9,"")</f>
        <v/>
      </c>
      <c r="CX3" s="8">
        <f>IF(11&lt;=DAY(EOMONTH($B$2,0)),$B$2+10,"")</f>
        <v/>
      </c>
      <c r="CY3" s="8">
        <f>IF(11&lt;=DAY(EOMONTH($B$2,0)),$B$2+10,"")</f>
        <v/>
      </c>
      <c r="CZ3" s="8">
        <f>IF(11&lt;=DAY(EOMONTH($B$2,0)),$B$2+10,"")</f>
        <v/>
      </c>
      <c r="DA3" s="8">
        <f>IF(11&lt;=DAY(EOMONTH($B$2,0)),$B$2+10,"")</f>
        <v/>
      </c>
      <c r="DB3" s="8">
        <f>IF(11&lt;=DAY(EOMONTH($B$2,0)),$B$2+10,"")</f>
        <v/>
      </c>
      <c r="DC3" s="8">
        <f>IF(11&lt;=DAY(EOMONTH($B$2,0)),$B$2+10,"")</f>
        <v/>
      </c>
      <c r="DD3" s="8">
        <f>IF(11&lt;=DAY(EOMONTH($B$2,0)),$B$2+10,"")</f>
        <v/>
      </c>
      <c r="DE3" s="8">
        <f>IF(12&lt;=DAY(EOMONTH($B$2,0)),$B$2+11,"")</f>
        <v/>
      </c>
      <c r="DF3" s="8">
        <f>IF(12&lt;=DAY(EOMONTH($B$2,0)),$B$2+11,"")</f>
        <v/>
      </c>
      <c r="DG3" s="8">
        <f>IF(12&lt;=DAY(EOMONTH($B$2,0)),$B$2+11,"")</f>
        <v/>
      </c>
      <c r="DH3" s="8">
        <f>IF(12&lt;=DAY(EOMONTH($B$2,0)),$B$2+11,"")</f>
        <v/>
      </c>
      <c r="DI3" s="8">
        <f>IF(12&lt;=DAY(EOMONTH($B$2,0)),$B$2+11,"")</f>
        <v/>
      </c>
      <c r="DJ3" s="8">
        <f>IF(12&lt;=DAY(EOMONTH($B$2,0)),$B$2+11,"")</f>
        <v/>
      </c>
      <c r="DK3" s="8">
        <f>IF(12&lt;=DAY(EOMONTH($B$2,0)),$B$2+11,"")</f>
        <v/>
      </c>
      <c r="DL3" s="8">
        <f>IF(13&lt;=DAY(EOMONTH($B$2,0)),$B$2+12,"")</f>
        <v/>
      </c>
      <c r="DM3" s="8">
        <f>IF(13&lt;=DAY(EOMONTH($B$2,0)),$B$2+12,"")</f>
        <v/>
      </c>
      <c r="DN3" s="8">
        <f>IF(13&lt;=DAY(EOMONTH($B$2,0)),$B$2+12,"")</f>
        <v/>
      </c>
      <c r="DO3" s="8">
        <f>IF(13&lt;=DAY(EOMONTH($B$2,0)),$B$2+12,"")</f>
        <v/>
      </c>
      <c r="DP3" s="8">
        <f>IF(13&lt;=DAY(EOMONTH($B$2,0)),$B$2+12,"")</f>
        <v/>
      </c>
      <c r="DQ3" s="8">
        <f>IF(13&lt;=DAY(EOMONTH($B$2,0)),$B$2+12,"")</f>
        <v/>
      </c>
      <c r="DR3" s="8">
        <f>IF(13&lt;=DAY(EOMONTH($B$2,0)),$B$2+12,"")</f>
        <v/>
      </c>
      <c r="DS3" s="8">
        <f>IF(14&lt;=DAY(EOMONTH($B$2,0)),$B$2+13,"")</f>
        <v/>
      </c>
      <c r="DT3" s="8">
        <f>IF(14&lt;=DAY(EOMONTH($B$2,0)),$B$2+13,"")</f>
        <v/>
      </c>
      <c r="DU3" s="8">
        <f>IF(14&lt;=DAY(EOMONTH($B$2,0)),$B$2+13,"")</f>
        <v/>
      </c>
      <c r="DV3" s="8">
        <f>IF(14&lt;=DAY(EOMONTH($B$2,0)),$B$2+13,"")</f>
        <v/>
      </c>
      <c r="DW3" s="8">
        <f>IF(14&lt;=DAY(EOMONTH($B$2,0)),$B$2+13,"")</f>
        <v/>
      </c>
      <c r="DX3" s="8">
        <f>IF(14&lt;=DAY(EOMONTH($B$2,0)),$B$2+13,"")</f>
        <v/>
      </c>
      <c r="DY3" s="8">
        <f>IF(14&lt;=DAY(EOMONTH($B$2,0)),$B$2+13,"")</f>
        <v/>
      </c>
      <c r="DZ3" s="8">
        <f>IF(15&lt;=DAY(EOMONTH($B$2,0)),$B$2+14,"")</f>
        <v/>
      </c>
      <c r="EA3" s="8">
        <f>IF(15&lt;=DAY(EOMONTH($B$2,0)),$B$2+14,"")</f>
        <v/>
      </c>
      <c r="EB3" s="8">
        <f>IF(15&lt;=DAY(EOMONTH($B$2,0)),$B$2+14,"")</f>
        <v/>
      </c>
      <c r="EC3" s="8">
        <f>IF(15&lt;=DAY(EOMONTH($B$2,0)),$B$2+14,"")</f>
        <v/>
      </c>
      <c r="ED3" s="8">
        <f>IF(15&lt;=DAY(EOMONTH($B$2,0)),$B$2+14,"")</f>
        <v/>
      </c>
      <c r="EE3" s="8">
        <f>IF(15&lt;=DAY(EOMONTH($B$2,0)),$B$2+14,"")</f>
        <v/>
      </c>
      <c r="EF3" s="8">
        <f>IF(15&lt;=DAY(EOMONTH($B$2,0)),$B$2+14,"")</f>
        <v/>
      </c>
      <c r="EG3" s="8">
        <f>IF(16&lt;=DAY(EOMONTH($B$2,0)),$B$2+15,"")</f>
        <v/>
      </c>
      <c r="EH3" s="8">
        <f>IF(16&lt;=DAY(EOMONTH($B$2,0)),$B$2+15,"")</f>
        <v/>
      </c>
      <c r="EI3" s="8">
        <f>IF(16&lt;=DAY(EOMONTH($B$2,0)),$B$2+15,"")</f>
        <v/>
      </c>
      <c r="EJ3" s="8">
        <f>IF(16&lt;=DAY(EOMONTH($B$2,0)),$B$2+15,"")</f>
        <v/>
      </c>
      <c r="EK3" s="8">
        <f>IF(16&lt;=DAY(EOMONTH($B$2,0)),$B$2+15,"")</f>
        <v/>
      </c>
      <c r="EL3" s="8">
        <f>IF(16&lt;=DAY(EOMONTH($B$2,0)),$B$2+15,"")</f>
        <v/>
      </c>
      <c r="EM3" s="8">
        <f>IF(16&lt;=DAY(EOMONTH($B$2,0)),$B$2+15,"")</f>
        <v/>
      </c>
      <c r="EN3" s="8">
        <f>IF(17&lt;=DAY(EOMONTH($B$2,0)),$B$2+16,"")</f>
        <v/>
      </c>
      <c r="EO3" s="8">
        <f>IF(17&lt;=DAY(EOMONTH($B$2,0)),$B$2+16,"")</f>
        <v/>
      </c>
      <c r="EP3" s="8">
        <f>IF(17&lt;=DAY(EOMONTH($B$2,0)),$B$2+16,"")</f>
        <v/>
      </c>
      <c r="EQ3" s="8">
        <f>IF(17&lt;=DAY(EOMONTH($B$2,0)),$B$2+16,"")</f>
        <v/>
      </c>
      <c r="ER3" s="8">
        <f>IF(17&lt;=DAY(EOMONTH($B$2,0)),$B$2+16,"")</f>
        <v/>
      </c>
      <c r="ES3" s="8">
        <f>IF(17&lt;=DAY(EOMONTH($B$2,0)),$B$2+16,"")</f>
        <v/>
      </c>
      <c r="ET3" s="8">
        <f>IF(17&lt;=DAY(EOMONTH($B$2,0)),$B$2+16,"")</f>
        <v/>
      </c>
      <c r="EU3" s="8">
        <f>IF(18&lt;=DAY(EOMONTH($B$2,0)),$B$2+17,"")</f>
        <v/>
      </c>
      <c r="EV3" s="8">
        <f>IF(18&lt;=DAY(EOMONTH($B$2,0)),$B$2+17,"")</f>
        <v/>
      </c>
      <c r="EW3" s="8">
        <f>IF(18&lt;=DAY(EOMONTH($B$2,0)),$B$2+17,"")</f>
        <v/>
      </c>
      <c r="EX3" s="8">
        <f>IF(18&lt;=DAY(EOMONTH($B$2,0)),$B$2+17,"")</f>
        <v/>
      </c>
      <c r="EY3" s="8">
        <f>IF(18&lt;=DAY(EOMONTH($B$2,0)),$B$2+17,"")</f>
        <v/>
      </c>
      <c r="EZ3" s="8">
        <f>IF(18&lt;=DAY(EOMONTH($B$2,0)),$B$2+17,"")</f>
        <v/>
      </c>
      <c r="FA3" s="8">
        <f>IF(18&lt;=DAY(EOMONTH($B$2,0)),$B$2+17,"")</f>
        <v/>
      </c>
      <c r="FB3" s="8">
        <f>IF(19&lt;=DAY(EOMONTH($B$2,0)),$B$2+18,"")</f>
        <v/>
      </c>
      <c r="FC3" s="8">
        <f>IF(19&lt;=DAY(EOMONTH($B$2,0)),$B$2+18,"")</f>
        <v/>
      </c>
      <c r="FD3" s="8">
        <f>IF(19&lt;=DAY(EOMONTH($B$2,0)),$B$2+18,"")</f>
        <v/>
      </c>
      <c r="FE3" s="8">
        <f>IF(19&lt;=DAY(EOMONTH($B$2,0)),$B$2+18,"")</f>
        <v/>
      </c>
      <c r="FF3" s="8">
        <f>IF(19&lt;=DAY(EOMONTH($B$2,0)),$B$2+18,"")</f>
        <v/>
      </c>
      <c r="FG3" s="8">
        <f>IF(19&lt;=DAY(EOMONTH($B$2,0)),$B$2+18,"")</f>
        <v/>
      </c>
      <c r="FH3" s="8">
        <f>IF(19&lt;=DAY(EOMONTH($B$2,0)),$B$2+18,"")</f>
        <v/>
      </c>
      <c r="FI3" s="8">
        <f>IF(20&lt;=DAY(EOMONTH($B$2,0)),$B$2+19,"")</f>
        <v/>
      </c>
      <c r="FJ3" s="8">
        <f>IF(20&lt;=DAY(EOMONTH($B$2,0)),$B$2+19,"")</f>
        <v/>
      </c>
      <c r="FK3" s="8">
        <f>IF(20&lt;=DAY(EOMONTH($B$2,0)),$B$2+19,"")</f>
        <v/>
      </c>
      <c r="FL3" s="8">
        <f>IF(20&lt;=DAY(EOMONTH($B$2,0)),$B$2+19,"")</f>
        <v/>
      </c>
      <c r="FM3" s="8">
        <f>IF(20&lt;=DAY(EOMONTH($B$2,0)),$B$2+19,"")</f>
        <v/>
      </c>
      <c r="FN3" s="8">
        <f>IF(20&lt;=DAY(EOMONTH($B$2,0)),$B$2+19,"")</f>
        <v/>
      </c>
      <c r="FO3" s="8">
        <f>IF(20&lt;=DAY(EOMONTH($B$2,0)),$B$2+19,"")</f>
        <v/>
      </c>
      <c r="FP3" s="8">
        <f>IF(21&lt;=DAY(EOMONTH($B$2,0)),$B$2+20,"")</f>
        <v/>
      </c>
      <c r="FQ3" s="8">
        <f>IF(21&lt;=DAY(EOMONTH($B$2,0)),$B$2+20,"")</f>
        <v/>
      </c>
      <c r="FR3" s="8">
        <f>IF(21&lt;=DAY(EOMONTH($B$2,0)),$B$2+20,"")</f>
        <v/>
      </c>
      <c r="FS3" s="8">
        <f>IF(21&lt;=DAY(EOMONTH($B$2,0)),$B$2+20,"")</f>
        <v/>
      </c>
      <c r="FT3" s="8">
        <f>IF(21&lt;=DAY(EOMONTH($B$2,0)),$B$2+20,"")</f>
        <v/>
      </c>
      <c r="FU3" s="8">
        <f>IF(21&lt;=DAY(EOMONTH($B$2,0)),$B$2+20,"")</f>
        <v/>
      </c>
      <c r="FV3" s="8">
        <f>IF(21&lt;=DAY(EOMONTH($B$2,0)),$B$2+20,"")</f>
        <v/>
      </c>
      <c r="FW3" s="8">
        <f>IF(22&lt;=DAY(EOMONTH($B$2,0)),$B$2+21,"")</f>
        <v/>
      </c>
      <c r="FX3" s="8">
        <f>IF(22&lt;=DAY(EOMONTH($B$2,0)),$B$2+21,"")</f>
        <v/>
      </c>
      <c r="FY3" s="8">
        <f>IF(22&lt;=DAY(EOMONTH($B$2,0)),$B$2+21,"")</f>
        <v/>
      </c>
      <c r="FZ3" s="8">
        <f>IF(22&lt;=DAY(EOMONTH($B$2,0)),$B$2+21,"")</f>
        <v/>
      </c>
      <c r="GA3" s="8">
        <f>IF(22&lt;=DAY(EOMONTH($B$2,0)),$B$2+21,"")</f>
        <v/>
      </c>
      <c r="GB3" s="8">
        <f>IF(22&lt;=DAY(EOMONTH($B$2,0)),$B$2+21,"")</f>
        <v/>
      </c>
      <c r="GC3" s="8">
        <f>IF(22&lt;=DAY(EOMONTH($B$2,0)),$B$2+21,"")</f>
        <v/>
      </c>
      <c r="GD3" s="8">
        <f>IF(23&lt;=DAY(EOMONTH($B$2,0)),$B$2+22,"")</f>
        <v/>
      </c>
      <c r="GE3" s="8">
        <f>IF(23&lt;=DAY(EOMONTH($B$2,0)),$B$2+22,"")</f>
        <v/>
      </c>
      <c r="GF3" s="8">
        <f>IF(23&lt;=DAY(EOMONTH($B$2,0)),$B$2+22,"")</f>
        <v/>
      </c>
      <c r="GG3" s="8">
        <f>IF(23&lt;=DAY(EOMONTH($B$2,0)),$B$2+22,"")</f>
        <v/>
      </c>
      <c r="GH3" s="8">
        <f>IF(23&lt;=DAY(EOMONTH($B$2,0)),$B$2+22,"")</f>
        <v/>
      </c>
      <c r="GI3" s="8">
        <f>IF(23&lt;=DAY(EOMONTH($B$2,0)),$B$2+22,"")</f>
        <v/>
      </c>
      <c r="GJ3" s="8">
        <f>IF(23&lt;=DAY(EOMONTH($B$2,0)),$B$2+22,"")</f>
        <v/>
      </c>
      <c r="GK3" s="8">
        <f>IF(24&lt;=DAY(EOMONTH($B$2,0)),$B$2+23,"")</f>
        <v/>
      </c>
      <c r="GL3" s="8">
        <f>IF(24&lt;=DAY(EOMONTH($B$2,0)),$B$2+23,"")</f>
        <v/>
      </c>
      <c r="GM3" s="8">
        <f>IF(24&lt;=DAY(EOMONTH($B$2,0)),$B$2+23,"")</f>
        <v/>
      </c>
      <c r="GN3" s="8">
        <f>IF(24&lt;=DAY(EOMONTH($B$2,0)),$B$2+23,"")</f>
        <v/>
      </c>
      <c r="GO3" s="8">
        <f>IF(24&lt;=DAY(EOMONTH($B$2,0)),$B$2+23,"")</f>
        <v/>
      </c>
      <c r="GP3" s="8">
        <f>IF(24&lt;=DAY(EOMONTH($B$2,0)),$B$2+23,"")</f>
        <v/>
      </c>
      <c r="GQ3" s="8">
        <f>IF(24&lt;=DAY(EOMONTH($B$2,0)),$B$2+23,"")</f>
        <v/>
      </c>
      <c r="GR3" s="8">
        <f>IF(25&lt;=DAY(EOMONTH($B$2,0)),$B$2+24,"")</f>
        <v/>
      </c>
      <c r="GS3" s="8">
        <f>IF(25&lt;=DAY(EOMONTH($B$2,0)),$B$2+24,"")</f>
        <v/>
      </c>
      <c r="GT3" s="8">
        <f>IF(25&lt;=DAY(EOMONTH($B$2,0)),$B$2+24,"")</f>
        <v/>
      </c>
      <c r="GU3" s="8">
        <f>IF(25&lt;=DAY(EOMONTH($B$2,0)),$B$2+24,"")</f>
        <v/>
      </c>
      <c r="GV3" s="8">
        <f>IF(25&lt;=DAY(EOMONTH($B$2,0)),$B$2+24,"")</f>
        <v/>
      </c>
      <c r="GW3" s="8">
        <f>IF(25&lt;=DAY(EOMONTH($B$2,0)),$B$2+24,"")</f>
        <v/>
      </c>
      <c r="GX3" s="8">
        <f>IF(25&lt;=DAY(EOMONTH($B$2,0)),$B$2+24,"")</f>
        <v/>
      </c>
      <c r="GY3" s="8">
        <f>IF(26&lt;=DAY(EOMONTH($B$2,0)),$B$2+25,"")</f>
        <v/>
      </c>
      <c r="GZ3" s="8">
        <f>IF(26&lt;=DAY(EOMONTH($B$2,0)),$B$2+25,"")</f>
        <v/>
      </c>
      <c r="HA3" s="8">
        <f>IF(26&lt;=DAY(EOMONTH($B$2,0)),$B$2+25,"")</f>
        <v/>
      </c>
      <c r="HB3" s="8">
        <f>IF(26&lt;=DAY(EOMONTH($B$2,0)),$B$2+25,"")</f>
        <v/>
      </c>
      <c r="HC3" s="8">
        <f>IF(26&lt;=DAY(EOMONTH($B$2,0)),$B$2+25,"")</f>
        <v/>
      </c>
      <c r="HD3" s="8">
        <f>IF(26&lt;=DAY(EOMONTH($B$2,0)),$B$2+25,"")</f>
        <v/>
      </c>
      <c r="HE3" s="8">
        <f>IF(26&lt;=DAY(EOMONTH($B$2,0)),$B$2+25,"")</f>
        <v/>
      </c>
      <c r="HF3" s="8">
        <f>IF(27&lt;=DAY(EOMONTH($B$2,0)),$B$2+26,"")</f>
        <v/>
      </c>
      <c r="HG3" s="8">
        <f>IF(27&lt;=DAY(EOMONTH($B$2,0)),$B$2+26,"")</f>
        <v/>
      </c>
      <c r="HH3" s="8">
        <f>IF(27&lt;=DAY(EOMONTH($B$2,0)),$B$2+26,"")</f>
        <v/>
      </c>
      <c r="HI3" s="8">
        <f>IF(27&lt;=DAY(EOMONTH($B$2,0)),$B$2+26,"")</f>
        <v/>
      </c>
      <c r="HJ3" s="8">
        <f>IF(27&lt;=DAY(EOMONTH($B$2,0)),$B$2+26,"")</f>
        <v/>
      </c>
      <c r="HK3" s="8">
        <f>IF(27&lt;=DAY(EOMONTH($B$2,0)),$B$2+26,"")</f>
        <v/>
      </c>
      <c r="HL3" s="8">
        <f>IF(27&lt;=DAY(EOMONTH($B$2,0)),$B$2+26,"")</f>
        <v/>
      </c>
      <c r="HM3" s="8">
        <f>IF(28&lt;=DAY(EOMONTH($B$2,0)),$B$2+27,"")</f>
        <v/>
      </c>
      <c r="HN3" s="8">
        <f>IF(28&lt;=DAY(EOMONTH($B$2,0)),$B$2+27,"")</f>
        <v/>
      </c>
      <c r="HO3" s="8">
        <f>IF(28&lt;=DAY(EOMONTH($B$2,0)),$B$2+27,"")</f>
        <v/>
      </c>
      <c r="HP3" s="8">
        <f>IF(28&lt;=DAY(EOMONTH($B$2,0)),$B$2+27,"")</f>
        <v/>
      </c>
      <c r="HQ3" s="8">
        <f>IF(28&lt;=DAY(EOMONTH($B$2,0)),$B$2+27,"")</f>
        <v/>
      </c>
      <c r="HR3" s="8">
        <f>IF(28&lt;=DAY(EOMONTH($B$2,0)),$B$2+27,"")</f>
        <v/>
      </c>
      <c r="HS3" s="8">
        <f>IF(28&lt;=DAY(EOMONTH($B$2,0)),$B$2+27,"")</f>
        <v/>
      </c>
      <c r="HT3" s="8">
        <f>IF(29&lt;=DAY(EOMONTH($B$2,0)),$B$2+28,"")</f>
        <v/>
      </c>
      <c r="HU3" s="8">
        <f>IF(29&lt;=DAY(EOMONTH($B$2,0)),$B$2+28,"")</f>
        <v/>
      </c>
      <c r="HV3" s="8">
        <f>IF(29&lt;=DAY(EOMONTH($B$2,0)),$B$2+28,"")</f>
        <v/>
      </c>
      <c r="HW3" s="8">
        <f>IF(29&lt;=DAY(EOMONTH($B$2,0)),$B$2+28,"")</f>
        <v/>
      </c>
      <c r="HX3" s="8">
        <f>IF(29&lt;=DAY(EOMONTH($B$2,0)),$B$2+28,"")</f>
        <v/>
      </c>
      <c r="HY3" s="8">
        <f>IF(29&lt;=DAY(EOMONTH($B$2,0)),$B$2+28,"")</f>
        <v/>
      </c>
      <c r="HZ3" s="8">
        <f>IF(29&lt;=DAY(EOMONTH($B$2,0)),$B$2+28,"")</f>
        <v/>
      </c>
      <c r="IA3" s="8">
        <f>IF(30&lt;=DAY(EOMONTH($B$2,0)),$B$2+29,"")</f>
        <v/>
      </c>
      <c r="IB3" s="8">
        <f>IF(30&lt;=DAY(EOMONTH($B$2,0)),$B$2+29,"")</f>
        <v/>
      </c>
      <c r="IC3" s="8">
        <f>IF(30&lt;=DAY(EOMONTH($B$2,0)),$B$2+29,"")</f>
        <v/>
      </c>
      <c r="ID3" s="8">
        <f>IF(30&lt;=DAY(EOMONTH($B$2,0)),$B$2+29,"")</f>
        <v/>
      </c>
      <c r="IE3" s="8">
        <f>IF(30&lt;=DAY(EOMONTH($B$2,0)),$B$2+29,"")</f>
        <v/>
      </c>
      <c r="IF3" s="8">
        <f>IF(30&lt;=DAY(EOMONTH($B$2,0)),$B$2+29,"")</f>
        <v/>
      </c>
      <c r="IG3" s="8">
        <f>IF(30&lt;=DAY(EOMONTH($B$2,0)),$B$2+29,"")</f>
        <v/>
      </c>
      <c r="IH3" s="8">
        <f>IF(31&lt;=DAY(EOMONTH($B$2,0)),$B$2+30,"")</f>
        <v/>
      </c>
      <c r="II3" s="8">
        <f>IF(31&lt;=DAY(EOMONTH($B$2,0)),$B$2+30,"")</f>
        <v/>
      </c>
      <c r="IJ3" s="8">
        <f>IF(31&lt;=DAY(EOMONTH($B$2,0)),$B$2+30,"")</f>
        <v/>
      </c>
      <c r="IK3" s="8">
        <f>IF(31&lt;=DAY(EOMONTH($B$2,0)),$B$2+30,"")</f>
        <v/>
      </c>
      <c r="IL3" s="8">
        <f>IF(31&lt;=DAY(EOMONTH($B$2,0)),$B$2+30,"")</f>
        <v/>
      </c>
      <c r="IM3" s="8">
        <f>IF(31&lt;=DAY(EOMONTH($B$2,0)),$B$2+30,"")</f>
        <v/>
      </c>
      <c r="IN3" s="8">
        <f>IF(31&lt;=DAY(EOMONTH($B$2,0)),$B$2+30,"")</f>
        <v/>
      </c>
    </row>
    <row r="4" ht="10" customHeight="1">
      <c r="A4" s="9" t="inlineStr">
        <is>
          <t>Wash_Plant</t>
        </is>
      </c>
      <c r="B4" s="9" t="inlineStr">
        <is>
          <t>Sewing_Unit</t>
        </is>
      </c>
      <c r="C4" s="9" t="inlineStr">
        <is>
          <t>Buyer</t>
        </is>
      </c>
      <c r="D4" s="9" t="inlineStr">
        <is>
          <t>Style</t>
        </is>
      </c>
      <c r="E4" s="9" t="inlineStr">
        <is>
          <t>PO</t>
        </is>
      </c>
      <c r="F4" s="9" t="inlineStr">
        <is>
          <t>Item</t>
        </is>
      </c>
      <c r="G4" s="9" t="inlineStr">
        <is>
          <t>Color</t>
        </is>
      </c>
      <c r="H4" s="9" t="inlineStr">
        <is>
          <t>Season</t>
        </is>
      </c>
      <c r="I4" s="9" t="inlineStr">
        <is>
          <t>CRD</t>
        </is>
      </c>
      <c r="J4" s="9" t="inlineStr">
        <is>
          <t>Revised_CRD</t>
        </is>
      </c>
      <c r="K4" s="9" t="inlineStr">
        <is>
          <t>Order_Qty</t>
        </is>
      </c>
      <c r="L4" s="9" t="inlineStr">
        <is>
          <t>Plan_Start</t>
        </is>
      </c>
      <c r="M4" s="9" t="inlineStr">
        <is>
          <t>Plan_End</t>
        </is>
      </c>
      <c r="N4" s="9" t="inlineStr">
        <is>
          <t>Merchant</t>
        </is>
      </c>
      <c r="O4" s="9" t="inlineStr">
        <is>
          <t>Open_Received</t>
        </is>
      </c>
      <c r="P4" s="9" t="inlineStr">
        <is>
          <t>Open_Washed</t>
        </is>
      </c>
      <c r="Q4" s="9" t="inlineStr">
        <is>
          <t>Open_Sew_Var</t>
        </is>
      </c>
      <c r="R4" s="9" t="inlineStr">
        <is>
          <t>Open_Wash_Var</t>
        </is>
      </c>
      <c r="S4" s="9" t="inlineStr">
        <is>
          <t>First_Received_On</t>
        </is>
      </c>
      <c r="T4" s="9" t="inlineStr">
        <is>
          <t>Wash_Reject</t>
        </is>
      </c>
      <c r="U4" s="9" t="inlineStr">
        <is>
          <t>Missing_Body</t>
        </is>
      </c>
      <c r="V4" s="9" t="inlineStr">
        <is>
          <t>Eff_CRD</t>
        </is>
      </c>
      <c r="W4" s="9" t="inlineStr">
        <is>
          <t>Received</t>
        </is>
      </c>
      <c r="X4" s="9" t="inlineStr">
        <is>
          <t>Washed</t>
        </is>
      </c>
      <c r="Y4" s="9" t="inlineStr">
        <is>
          <t>WIP</t>
        </is>
      </c>
      <c r="Z4" s="9" t="inlineStr">
        <is>
          <t>Balance</t>
        </is>
      </c>
      <c r="AA4" s="9" t="inlineStr">
        <is>
          <t>First_Receive</t>
        </is>
      </c>
      <c r="AB4" s="9" t="inlineStr">
        <is>
          <t>Priority</t>
        </is>
      </c>
      <c r="AC4" s="9" t="inlineStr">
        <is>
          <t>Forecast</t>
        </is>
      </c>
      <c r="AD4" s="9" t="inlineStr">
        <is>
          <t>Sew_Delay</t>
        </is>
      </c>
      <c r="AE4" s="9" t="inlineStr">
        <is>
          <t>Risk</t>
        </is>
      </c>
      <c r="AF4" s="9" t="inlineStr">
        <is>
          <t>SEW_PLAN</t>
        </is>
      </c>
      <c r="AG4" s="9" t="inlineStr">
        <is>
          <t>SEW_ACT</t>
        </is>
      </c>
      <c r="AH4" s="9" t="inlineStr">
        <is>
          <t>SEW_VAR</t>
        </is>
      </c>
      <c r="AI4" s="9" t="inlineStr">
        <is>
          <t>WASH_PLAN</t>
        </is>
      </c>
      <c r="AJ4" s="9" t="inlineStr">
        <is>
          <t>WASH_ACT</t>
        </is>
      </c>
      <c r="AK4" s="9" t="inlineStr">
        <is>
          <t>WASH_VAR</t>
        </is>
      </c>
      <c r="AL4" s="9" t="inlineStr">
        <is>
          <t>REMARK</t>
        </is>
      </c>
      <c r="AM4" s="9" t="inlineStr">
        <is>
          <t>SEW_PLAN</t>
        </is>
      </c>
      <c r="AN4" s="9" t="inlineStr">
        <is>
          <t>SEW_ACT</t>
        </is>
      </c>
      <c r="AO4" s="9" t="inlineStr">
        <is>
          <t>SEW_VAR</t>
        </is>
      </c>
      <c r="AP4" s="9" t="inlineStr">
        <is>
          <t>WASH_PLAN</t>
        </is>
      </c>
      <c r="AQ4" s="9" t="inlineStr">
        <is>
          <t>WASH_ACT</t>
        </is>
      </c>
      <c r="AR4" s="9" t="inlineStr">
        <is>
          <t>WASH_VAR</t>
        </is>
      </c>
      <c r="AS4" s="9" t="inlineStr">
        <is>
          <t>REMARK</t>
        </is>
      </c>
      <c r="AT4" s="9" t="inlineStr">
        <is>
          <t>SEW_PLAN</t>
        </is>
      </c>
      <c r="AU4" s="9" t="inlineStr">
        <is>
          <t>SEW_ACT</t>
        </is>
      </c>
      <c r="AV4" s="9" t="inlineStr">
        <is>
          <t>SEW_VAR</t>
        </is>
      </c>
      <c r="AW4" s="9" t="inlineStr">
        <is>
          <t>WASH_PLAN</t>
        </is>
      </c>
      <c r="AX4" s="9" t="inlineStr">
        <is>
          <t>WASH_ACT</t>
        </is>
      </c>
      <c r="AY4" s="9" t="inlineStr">
        <is>
          <t>WASH_VAR</t>
        </is>
      </c>
      <c r="AZ4" s="9" t="inlineStr">
        <is>
          <t>REMARK</t>
        </is>
      </c>
      <c r="BA4" s="9" t="inlineStr">
        <is>
          <t>SEW_PLAN</t>
        </is>
      </c>
      <c r="BB4" s="9" t="inlineStr">
        <is>
          <t>SEW_ACT</t>
        </is>
      </c>
      <c r="BC4" s="9" t="inlineStr">
        <is>
          <t>SEW_VAR</t>
        </is>
      </c>
      <c r="BD4" s="9" t="inlineStr">
        <is>
          <t>WASH_PLAN</t>
        </is>
      </c>
      <c r="BE4" s="9" t="inlineStr">
        <is>
          <t>WASH_ACT</t>
        </is>
      </c>
      <c r="BF4" s="9" t="inlineStr">
        <is>
          <t>WASH_VAR</t>
        </is>
      </c>
      <c r="BG4" s="9" t="inlineStr">
        <is>
          <t>REMARK</t>
        </is>
      </c>
      <c r="BH4" s="9" t="inlineStr">
        <is>
          <t>SEW_PLAN</t>
        </is>
      </c>
      <c r="BI4" s="9" t="inlineStr">
        <is>
          <t>SEW_ACT</t>
        </is>
      </c>
      <c r="BJ4" s="9" t="inlineStr">
        <is>
          <t>SEW_VAR</t>
        </is>
      </c>
      <c r="BK4" s="9" t="inlineStr">
        <is>
          <t>WASH_PLAN</t>
        </is>
      </c>
      <c r="BL4" s="9" t="inlineStr">
        <is>
          <t>WASH_ACT</t>
        </is>
      </c>
      <c r="BM4" s="9" t="inlineStr">
        <is>
          <t>WASH_VAR</t>
        </is>
      </c>
      <c r="BN4" s="9" t="inlineStr">
        <is>
          <t>REMARK</t>
        </is>
      </c>
      <c r="BO4" s="9" t="inlineStr">
        <is>
          <t>SEW_PLAN</t>
        </is>
      </c>
      <c r="BP4" s="9" t="inlineStr">
        <is>
          <t>SEW_ACT</t>
        </is>
      </c>
      <c r="BQ4" s="9" t="inlineStr">
        <is>
          <t>SEW_VAR</t>
        </is>
      </c>
      <c r="BR4" s="9" t="inlineStr">
        <is>
          <t>WASH_PLAN</t>
        </is>
      </c>
      <c r="BS4" s="9" t="inlineStr">
        <is>
          <t>WASH_ACT</t>
        </is>
      </c>
      <c r="BT4" s="9" t="inlineStr">
        <is>
          <t>WASH_VAR</t>
        </is>
      </c>
      <c r="BU4" s="9" t="inlineStr">
        <is>
          <t>REMARK</t>
        </is>
      </c>
      <c r="BV4" s="9" t="inlineStr">
        <is>
          <t>SEW_PLAN</t>
        </is>
      </c>
      <c r="BW4" s="9" t="inlineStr">
        <is>
          <t>SEW_ACT</t>
        </is>
      </c>
      <c r="BX4" s="9" t="inlineStr">
        <is>
          <t>SEW_VAR</t>
        </is>
      </c>
      <c r="BY4" s="9" t="inlineStr">
        <is>
          <t>WASH_PLAN</t>
        </is>
      </c>
      <c r="BZ4" s="9" t="inlineStr">
        <is>
          <t>WASH_ACT</t>
        </is>
      </c>
      <c r="CA4" s="9" t="inlineStr">
        <is>
          <t>WASH_VAR</t>
        </is>
      </c>
      <c r="CB4" s="9" t="inlineStr">
        <is>
          <t>REMARK</t>
        </is>
      </c>
      <c r="CC4" s="9" t="inlineStr">
        <is>
          <t>SEW_PLAN</t>
        </is>
      </c>
      <c r="CD4" s="9" t="inlineStr">
        <is>
          <t>SEW_ACT</t>
        </is>
      </c>
      <c r="CE4" s="9" t="inlineStr">
        <is>
          <t>SEW_VAR</t>
        </is>
      </c>
      <c r="CF4" s="9" t="inlineStr">
        <is>
          <t>WASH_PLAN</t>
        </is>
      </c>
      <c r="CG4" s="9" t="inlineStr">
        <is>
          <t>WASH_ACT</t>
        </is>
      </c>
      <c r="CH4" s="9" t="inlineStr">
        <is>
          <t>WASH_VAR</t>
        </is>
      </c>
      <c r="CI4" s="9" t="inlineStr">
        <is>
          <t>REMARK</t>
        </is>
      </c>
      <c r="CJ4" s="9" t="inlineStr">
        <is>
          <t>SEW_PLAN</t>
        </is>
      </c>
      <c r="CK4" s="9" t="inlineStr">
        <is>
          <t>SEW_ACT</t>
        </is>
      </c>
      <c r="CL4" s="9" t="inlineStr">
        <is>
          <t>SEW_VAR</t>
        </is>
      </c>
      <c r="CM4" s="9" t="inlineStr">
        <is>
          <t>WASH_PLAN</t>
        </is>
      </c>
      <c r="CN4" s="9" t="inlineStr">
        <is>
          <t>WASH_ACT</t>
        </is>
      </c>
      <c r="CO4" s="9" t="inlineStr">
        <is>
          <t>WASH_VAR</t>
        </is>
      </c>
      <c r="CP4" s="9" t="inlineStr">
        <is>
          <t>REMARK</t>
        </is>
      </c>
      <c r="CQ4" s="9" t="inlineStr">
        <is>
          <t>SEW_PLAN</t>
        </is>
      </c>
      <c r="CR4" s="9" t="inlineStr">
        <is>
          <t>SEW_ACT</t>
        </is>
      </c>
      <c r="CS4" s="9" t="inlineStr">
        <is>
          <t>SEW_VAR</t>
        </is>
      </c>
      <c r="CT4" s="9" t="inlineStr">
        <is>
          <t>WASH_PLAN</t>
        </is>
      </c>
      <c r="CU4" s="9" t="inlineStr">
        <is>
          <t>WASH_ACT</t>
        </is>
      </c>
      <c r="CV4" s="9" t="inlineStr">
        <is>
          <t>WASH_VAR</t>
        </is>
      </c>
      <c r="CW4" s="9" t="inlineStr">
        <is>
          <t>REMARK</t>
        </is>
      </c>
      <c r="CX4" s="9" t="inlineStr">
        <is>
          <t>SEW_PLAN</t>
        </is>
      </c>
      <c r="CY4" s="9" t="inlineStr">
        <is>
          <t>SEW_ACT</t>
        </is>
      </c>
      <c r="CZ4" s="9" t="inlineStr">
        <is>
          <t>SEW_VAR</t>
        </is>
      </c>
      <c r="DA4" s="9" t="inlineStr">
        <is>
          <t>WASH_PLAN</t>
        </is>
      </c>
      <c r="DB4" s="9" t="inlineStr">
        <is>
          <t>WASH_ACT</t>
        </is>
      </c>
      <c r="DC4" s="9" t="inlineStr">
        <is>
          <t>WASH_VAR</t>
        </is>
      </c>
      <c r="DD4" s="9" t="inlineStr">
        <is>
          <t>REMARK</t>
        </is>
      </c>
      <c r="DE4" s="9" t="inlineStr">
        <is>
          <t>SEW_PLAN</t>
        </is>
      </c>
      <c r="DF4" s="9" t="inlineStr">
        <is>
          <t>SEW_ACT</t>
        </is>
      </c>
      <c r="DG4" s="9" t="inlineStr">
        <is>
          <t>SEW_VAR</t>
        </is>
      </c>
      <c r="DH4" s="9" t="inlineStr">
        <is>
          <t>WASH_PLAN</t>
        </is>
      </c>
      <c r="DI4" s="9" t="inlineStr">
        <is>
          <t>WASH_ACT</t>
        </is>
      </c>
      <c r="DJ4" s="9" t="inlineStr">
        <is>
          <t>WASH_VAR</t>
        </is>
      </c>
      <c r="DK4" s="9" t="inlineStr">
        <is>
          <t>REMARK</t>
        </is>
      </c>
      <c r="DL4" s="9" t="inlineStr">
        <is>
          <t>SEW_PLAN</t>
        </is>
      </c>
      <c r="DM4" s="9" t="inlineStr">
        <is>
          <t>SEW_ACT</t>
        </is>
      </c>
      <c r="DN4" s="9" t="inlineStr">
        <is>
          <t>SEW_VAR</t>
        </is>
      </c>
      <c r="DO4" s="9" t="inlineStr">
        <is>
          <t>WASH_PLAN</t>
        </is>
      </c>
      <c r="DP4" s="9" t="inlineStr">
        <is>
          <t>WASH_ACT</t>
        </is>
      </c>
      <c r="DQ4" s="9" t="inlineStr">
        <is>
          <t>WASH_VAR</t>
        </is>
      </c>
      <c r="DR4" s="9" t="inlineStr">
        <is>
          <t>REMARK</t>
        </is>
      </c>
      <c r="DS4" s="9" t="inlineStr">
        <is>
          <t>SEW_PLAN</t>
        </is>
      </c>
      <c r="DT4" s="9" t="inlineStr">
        <is>
          <t>SEW_ACT</t>
        </is>
      </c>
      <c r="DU4" s="9" t="inlineStr">
        <is>
          <t>SEW_VAR</t>
        </is>
      </c>
      <c r="DV4" s="9" t="inlineStr">
        <is>
          <t>WASH_PLAN</t>
        </is>
      </c>
      <c r="DW4" s="9" t="inlineStr">
        <is>
          <t>WASH_ACT</t>
        </is>
      </c>
      <c r="DX4" s="9" t="inlineStr">
        <is>
          <t>WASH_VAR</t>
        </is>
      </c>
      <c r="DY4" s="9" t="inlineStr">
        <is>
          <t>REMARK</t>
        </is>
      </c>
      <c r="DZ4" s="9" t="inlineStr">
        <is>
          <t>SEW_PLAN</t>
        </is>
      </c>
      <c r="EA4" s="9" t="inlineStr">
        <is>
          <t>SEW_ACT</t>
        </is>
      </c>
      <c r="EB4" s="9" t="inlineStr">
        <is>
          <t>SEW_VAR</t>
        </is>
      </c>
      <c r="EC4" s="9" t="inlineStr">
        <is>
          <t>WASH_PLAN</t>
        </is>
      </c>
      <c r="ED4" s="9" t="inlineStr">
        <is>
          <t>WASH_ACT</t>
        </is>
      </c>
      <c r="EE4" s="9" t="inlineStr">
        <is>
          <t>WASH_VAR</t>
        </is>
      </c>
      <c r="EF4" s="9" t="inlineStr">
        <is>
          <t>REMARK</t>
        </is>
      </c>
      <c r="EG4" s="9" t="inlineStr">
        <is>
          <t>SEW_PLAN</t>
        </is>
      </c>
      <c r="EH4" s="9" t="inlineStr">
        <is>
          <t>SEW_ACT</t>
        </is>
      </c>
      <c r="EI4" s="9" t="inlineStr">
        <is>
          <t>SEW_VAR</t>
        </is>
      </c>
      <c r="EJ4" s="9" t="inlineStr">
        <is>
          <t>WASH_PLAN</t>
        </is>
      </c>
      <c r="EK4" s="9" t="inlineStr">
        <is>
          <t>WASH_ACT</t>
        </is>
      </c>
      <c r="EL4" s="9" t="inlineStr">
        <is>
          <t>WASH_VAR</t>
        </is>
      </c>
      <c r="EM4" s="9" t="inlineStr">
        <is>
          <t>REMARK</t>
        </is>
      </c>
      <c r="EN4" s="9" t="inlineStr">
        <is>
          <t>SEW_PLAN</t>
        </is>
      </c>
      <c r="EO4" s="9" t="inlineStr">
        <is>
          <t>SEW_ACT</t>
        </is>
      </c>
      <c r="EP4" s="9" t="inlineStr">
        <is>
          <t>SEW_VAR</t>
        </is>
      </c>
      <c r="EQ4" s="9" t="inlineStr">
        <is>
          <t>WASH_PLAN</t>
        </is>
      </c>
      <c r="ER4" s="9" t="inlineStr">
        <is>
          <t>WASH_ACT</t>
        </is>
      </c>
      <c r="ES4" s="9" t="inlineStr">
        <is>
          <t>WASH_VAR</t>
        </is>
      </c>
      <c r="ET4" s="9" t="inlineStr">
        <is>
          <t>REMARK</t>
        </is>
      </c>
      <c r="EU4" s="9" t="inlineStr">
        <is>
          <t>SEW_PLAN</t>
        </is>
      </c>
      <c r="EV4" s="9" t="inlineStr">
        <is>
          <t>SEW_ACT</t>
        </is>
      </c>
      <c r="EW4" s="9" t="inlineStr">
        <is>
          <t>SEW_VAR</t>
        </is>
      </c>
      <c r="EX4" s="9" t="inlineStr">
        <is>
          <t>WASH_PLAN</t>
        </is>
      </c>
      <c r="EY4" s="9" t="inlineStr">
        <is>
          <t>WASH_ACT</t>
        </is>
      </c>
      <c r="EZ4" s="9" t="inlineStr">
        <is>
          <t>WASH_VAR</t>
        </is>
      </c>
      <c r="FA4" s="9" t="inlineStr">
        <is>
          <t>REMARK</t>
        </is>
      </c>
      <c r="FB4" s="9" t="inlineStr">
        <is>
          <t>SEW_PLAN</t>
        </is>
      </c>
      <c r="FC4" s="9" t="inlineStr">
        <is>
          <t>SEW_ACT</t>
        </is>
      </c>
      <c r="FD4" s="9" t="inlineStr">
        <is>
          <t>SEW_VAR</t>
        </is>
      </c>
      <c r="FE4" s="9" t="inlineStr">
        <is>
          <t>WASH_PLAN</t>
        </is>
      </c>
      <c r="FF4" s="9" t="inlineStr">
        <is>
          <t>WASH_ACT</t>
        </is>
      </c>
      <c r="FG4" s="9" t="inlineStr">
        <is>
          <t>WASH_VAR</t>
        </is>
      </c>
      <c r="FH4" s="9" t="inlineStr">
        <is>
          <t>REMARK</t>
        </is>
      </c>
      <c r="FI4" s="9" t="inlineStr">
        <is>
          <t>SEW_PLAN</t>
        </is>
      </c>
      <c r="FJ4" s="9" t="inlineStr">
        <is>
          <t>SEW_ACT</t>
        </is>
      </c>
      <c r="FK4" s="9" t="inlineStr">
        <is>
          <t>SEW_VAR</t>
        </is>
      </c>
      <c r="FL4" s="9" t="inlineStr">
        <is>
          <t>WASH_PLAN</t>
        </is>
      </c>
      <c r="FM4" s="9" t="inlineStr">
        <is>
          <t>WASH_ACT</t>
        </is>
      </c>
      <c r="FN4" s="9" t="inlineStr">
        <is>
          <t>WASH_VAR</t>
        </is>
      </c>
      <c r="FO4" s="9" t="inlineStr">
        <is>
          <t>REMARK</t>
        </is>
      </c>
      <c r="FP4" s="9" t="inlineStr">
        <is>
          <t>SEW_PLAN</t>
        </is>
      </c>
      <c r="FQ4" s="9" t="inlineStr">
        <is>
          <t>SEW_ACT</t>
        </is>
      </c>
      <c r="FR4" s="9" t="inlineStr">
        <is>
          <t>SEW_VAR</t>
        </is>
      </c>
      <c r="FS4" s="9" t="inlineStr">
        <is>
          <t>WASH_PLAN</t>
        </is>
      </c>
      <c r="FT4" s="9" t="inlineStr">
        <is>
          <t>WASH_ACT</t>
        </is>
      </c>
      <c r="FU4" s="9" t="inlineStr">
        <is>
          <t>WASH_VAR</t>
        </is>
      </c>
      <c r="FV4" s="9" t="inlineStr">
        <is>
          <t>REMARK</t>
        </is>
      </c>
      <c r="FW4" s="9" t="inlineStr">
        <is>
          <t>SEW_PLAN</t>
        </is>
      </c>
      <c r="FX4" s="9" t="inlineStr">
        <is>
          <t>SEW_ACT</t>
        </is>
      </c>
      <c r="FY4" s="9" t="inlineStr">
        <is>
          <t>SEW_VAR</t>
        </is>
      </c>
      <c r="FZ4" s="9" t="inlineStr">
        <is>
          <t>WASH_PLAN</t>
        </is>
      </c>
      <c r="GA4" s="9" t="inlineStr">
        <is>
          <t>WASH_ACT</t>
        </is>
      </c>
      <c r="GB4" s="9" t="inlineStr">
        <is>
          <t>WASH_VAR</t>
        </is>
      </c>
      <c r="GC4" s="9" t="inlineStr">
        <is>
          <t>REMARK</t>
        </is>
      </c>
      <c r="GD4" s="9" t="inlineStr">
        <is>
          <t>SEW_PLAN</t>
        </is>
      </c>
      <c r="GE4" s="9" t="inlineStr">
        <is>
          <t>SEW_ACT</t>
        </is>
      </c>
      <c r="GF4" s="9" t="inlineStr">
        <is>
          <t>SEW_VAR</t>
        </is>
      </c>
      <c r="GG4" s="9" t="inlineStr">
        <is>
          <t>WASH_PLAN</t>
        </is>
      </c>
      <c r="GH4" s="9" t="inlineStr">
        <is>
          <t>WASH_ACT</t>
        </is>
      </c>
      <c r="GI4" s="9" t="inlineStr">
        <is>
          <t>WASH_VAR</t>
        </is>
      </c>
      <c r="GJ4" s="9" t="inlineStr">
        <is>
          <t>REMARK</t>
        </is>
      </c>
      <c r="GK4" s="9" t="inlineStr">
        <is>
          <t>SEW_PLAN</t>
        </is>
      </c>
      <c r="GL4" s="9" t="inlineStr">
        <is>
          <t>SEW_ACT</t>
        </is>
      </c>
      <c r="GM4" s="9" t="inlineStr">
        <is>
          <t>SEW_VAR</t>
        </is>
      </c>
      <c r="GN4" s="9" t="inlineStr">
        <is>
          <t>WASH_PLAN</t>
        </is>
      </c>
      <c r="GO4" s="9" t="inlineStr">
        <is>
          <t>WASH_ACT</t>
        </is>
      </c>
      <c r="GP4" s="9" t="inlineStr">
        <is>
          <t>WASH_VAR</t>
        </is>
      </c>
      <c r="GQ4" s="9" t="inlineStr">
        <is>
          <t>REMARK</t>
        </is>
      </c>
      <c r="GR4" s="9" t="inlineStr">
        <is>
          <t>SEW_PLAN</t>
        </is>
      </c>
      <c r="GS4" s="9" t="inlineStr">
        <is>
          <t>SEW_ACT</t>
        </is>
      </c>
      <c r="GT4" s="9" t="inlineStr">
        <is>
          <t>SEW_VAR</t>
        </is>
      </c>
      <c r="GU4" s="9" t="inlineStr">
        <is>
          <t>WASH_PLAN</t>
        </is>
      </c>
      <c r="GV4" s="9" t="inlineStr">
        <is>
          <t>WASH_ACT</t>
        </is>
      </c>
      <c r="GW4" s="9" t="inlineStr">
        <is>
          <t>WASH_VAR</t>
        </is>
      </c>
      <c r="GX4" s="9" t="inlineStr">
        <is>
          <t>REMARK</t>
        </is>
      </c>
      <c r="GY4" s="9" t="inlineStr">
        <is>
          <t>SEW_PLAN</t>
        </is>
      </c>
      <c r="GZ4" s="9" t="inlineStr">
        <is>
          <t>SEW_ACT</t>
        </is>
      </c>
      <c r="HA4" s="9" t="inlineStr">
        <is>
          <t>SEW_VAR</t>
        </is>
      </c>
      <c r="HB4" s="9" t="inlineStr">
        <is>
          <t>WASH_PLAN</t>
        </is>
      </c>
      <c r="HC4" s="9" t="inlineStr">
        <is>
          <t>WASH_ACT</t>
        </is>
      </c>
      <c r="HD4" s="9" t="inlineStr">
        <is>
          <t>WASH_VAR</t>
        </is>
      </c>
      <c r="HE4" s="9" t="inlineStr">
        <is>
          <t>REMARK</t>
        </is>
      </c>
      <c r="HF4" s="9" t="inlineStr">
        <is>
          <t>SEW_PLAN</t>
        </is>
      </c>
      <c r="HG4" s="9" t="inlineStr">
        <is>
          <t>SEW_ACT</t>
        </is>
      </c>
      <c r="HH4" s="9" t="inlineStr">
        <is>
          <t>SEW_VAR</t>
        </is>
      </c>
      <c r="HI4" s="9" t="inlineStr">
        <is>
          <t>WASH_PLAN</t>
        </is>
      </c>
      <c r="HJ4" s="9" t="inlineStr">
        <is>
          <t>WASH_ACT</t>
        </is>
      </c>
      <c r="HK4" s="9" t="inlineStr">
        <is>
          <t>WASH_VAR</t>
        </is>
      </c>
      <c r="HL4" s="9" t="inlineStr">
        <is>
          <t>REMARK</t>
        </is>
      </c>
      <c r="HM4" s="9" t="inlineStr">
        <is>
          <t>SEW_PLAN</t>
        </is>
      </c>
      <c r="HN4" s="9" t="inlineStr">
        <is>
          <t>SEW_ACT</t>
        </is>
      </c>
      <c r="HO4" s="9" t="inlineStr">
        <is>
          <t>SEW_VAR</t>
        </is>
      </c>
      <c r="HP4" s="9" t="inlineStr">
        <is>
          <t>WASH_PLAN</t>
        </is>
      </c>
      <c r="HQ4" s="9" t="inlineStr">
        <is>
          <t>WASH_ACT</t>
        </is>
      </c>
      <c r="HR4" s="9" t="inlineStr">
        <is>
          <t>WASH_VAR</t>
        </is>
      </c>
      <c r="HS4" s="9" t="inlineStr">
        <is>
          <t>REMARK</t>
        </is>
      </c>
      <c r="HT4" s="9" t="inlineStr">
        <is>
          <t>SEW_PLAN</t>
        </is>
      </c>
      <c r="HU4" s="9" t="inlineStr">
        <is>
          <t>SEW_ACT</t>
        </is>
      </c>
      <c r="HV4" s="9" t="inlineStr">
        <is>
          <t>SEW_VAR</t>
        </is>
      </c>
      <c r="HW4" s="9" t="inlineStr">
        <is>
          <t>WASH_PLAN</t>
        </is>
      </c>
      <c r="HX4" s="9" t="inlineStr">
        <is>
          <t>WASH_ACT</t>
        </is>
      </c>
      <c r="HY4" s="9" t="inlineStr">
        <is>
          <t>WASH_VAR</t>
        </is>
      </c>
      <c r="HZ4" s="9" t="inlineStr">
        <is>
          <t>REMARK</t>
        </is>
      </c>
      <c r="IA4" s="9" t="inlineStr">
        <is>
          <t>SEW_PLAN</t>
        </is>
      </c>
      <c r="IB4" s="9" t="inlineStr">
        <is>
          <t>SEW_ACT</t>
        </is>
      </c>
      <c r="IC4" s="9" t="inlineStr">
        <is>
          <t>SEW_VAR</t>
        </is>
      </c>
      <c r="ID4" s="9" t="inlineStr">
        <is>
          <t>WASH_PLAN</t>
        </is>
      </c>
      <c r="IE4" s="9" t="inlineStr">
        <is>
          <t>WASH_ACT</t>
        </is>
      </c>
      <c r="IF4" s="9" t="inlineStr">
        <is>
          <t>WASH_VAR</t>
        </is>
      </c>
      <c r="IG4" s="9" t="inlineStr">
        <is>
          <t>REMARK</t>
        </is>
      </c>
      <c r="IH4" s="9" t="inlineStr">
        <is>
          <t>SEW_PLAN</t>
        </is>
      </c>
      <c r="II4" s="9" t="inlineStr">
        <is>
          <t>SEW_ACT</t>
        </is>
      </c>
      <c r="IJ4" s="9" t="inlineStr">
        <is>
          <t>SEW_VAR</t>
        </is>
      </c>
      <c r="IK4" s="9" t="inlineStr">
        <is>
          <t>WASH_PLAN</t>
        </is>
      </c>
      <c r="IL4" s="9" t="inlineStr">
        <is>
          <t>WASH_ACT</t>
        </is>
      </c>
      <c r="IM4" s="9" t="inlineStr">
        <is>
          <t>WASH_VAR</t>
        </is>
      </c>
      <c r="IN4" s="9" t="inlineStr">
        <is>
          <t>REMARK</t>
        </is>
      </c>
    </row>
    <row r="5">
      <c r="AF5" s="10">
        <f>IF(AF$3="","","Day 1 | "&amp;TEXT(AF$3,"ddd dd-mmm"))</f>
        <v/>
      </c>
      <c r="AM5" s="11">
        <f>IF(AM$3="","","Day 2 | "&amp;TEXT(AM$3,"ddd dd-mmm"))</f>
        <v/>
      </c>
      <c r="AT5" s="10">
        <f>IF(AT$3="","","Day 3 | "&amp;TEXT(AT$3,"ddd dd-mmm"))</f>
        <v/>
      </c>
      <c r="BA5" s="11">
        <f>IF(BA$3="","","Day 4 | "&amp;TEXT(BA$3,"ddd dd-mmm"))</f>
        <v/>
      </c>
      <c r="BH5" s="10">
        <f>IF(BH$3="","","Day 5 | "&amp;TEXT(BH$3,"ddd dd-mmm"))</f>
        <v/>
      </c>
      <c r="BO5" s="11">
        <f>IF(BO$3="","","Day 6 | "&amp;TEXT(BO$3,"ddd dd-mmm"))</f>
        <v/>
      </c>
      <c r="BV5" s="10">
        <f>IF(BV$3="","","Day 7 | "&amp;TEXT(BV$3,"ddd dd-mmm"))</f>
        <v/>
      </c>
      <c r="CC5" s="11">
        <f>IF(CC$3="","","Day 8 | "&amp;TEXT(CC$3,"ddd dd-mmm"))</f>
        <v/>
      </c>
      <c r="CJ5" s="10">
        <f>IF(CJ$3="","","Day 9 | "&amp;TEXT(CJ$3,"ddd dd-mmm"))</f>
        <v/>
      </c>
      <c r="CQ5" s="11">
        <f>IF(CQ$3="","","Day 10 | "&amp;TEXT(CQ$3,"ddd dd-mmm"))</f>
        <v/>
      </c>
      <c r="CX5" s="10">
        <f>IF(CX$3="","","Day 11 | "&amp;TEXT(CX$3,"ddd dd-mmm"))</f>
        <v/>
      </c>
      <c r="DE5" s="11">
        <f>IF(DE$3="","","Day 12 | "&amp;TEXT(DE$3,"ddd dd-mmm"))</f>
        <v/>
      </c>
      <c r="DL5" s="10">
        <f>IF(DL$3="","","Day 13 | "&amp;TEXT(DL$3,"ddd dd-mmm"))</f>
        <v/>
      </c>
      <c r="DS5" s="11">
        <f>IF(DS$3="","","Day 14 | "&amp;TEXT(DS$3,"ddd dd-mmm"))</f>
        <v/>
      </c>
      <c r="DZ5" s="10">
        <f>IF(DZ$3="","","Day 15 | "&amp;TEXT(DZ$3,"ddd dd-mmm"))</f>
        <v/>
      </c>
      <c r="EG5" s="11">
        <f>IF(EG$3="","","Day 16 | "&amp;TEXT(EG$3,"ddd dd-mmm"))</f>
        <v/>
      </c>
      <c r="EN5" s="10">
        <f>IF(EN$3="","","Day 17 | "&amp;TEXT(EN$3,"ddd dd-mmm"))</f>
        <v/>
      </c>
      <c r="EU5" s="11">
        <f>IF(EU$3="","","Day 18 | "&amp;TEXT(EU$3,"ddd dd-mmm"))</f>
        <v/>
      </c>
      <c r="FB5" s="10">
        <f>IF(FB$3="","","Day 19 | "&amp;TEXT(FB$3,"ddd dd-mmm"))</f>
        <v/>
      </c>
      <c r="FI5" s="11">
        <f>IF(FI$3="","","Day 20 | "&amp;TEXT(FI$3,"ddd dd-mmm"))</f>
        <v/>
      </c>
      <c r="FP5" s="10">
        <f>IF(FP$3="","","Day 21 | "&amp;TEXT(FP$3,"ddd dd-mmm"))</f>
        <v/>
      </c>
      <c r="FW5" s="11">
        <f>IF(FW$3="","","Day 22 | "&amp;TEXT(FW$3,"ddd dd-mmm"))</f>
        <v/>
      </c>
      <c r="GD5" s="10">
        <f>IF(GD$3="","","Day 23 | "&amp;TEXT(GD$3,"ddd dd-mmm"))</f>
        <v/>
      </c>
      <c r="GK5" s="11">
        <f>IF(GK$3="","","Day 24 | "&amp;TEXT(GK$3,"ddd dd-mmm"))</f>
        <v/>
      </c>
      <c r="GR5" s="10">
        <f>IF(GR$3="","","Day 25 | "&amp;TEXT(GR$3,"ddd dd-mmm"))</f>
        <v/>
      </c>
      <c r="GY5" s="11">
        <f>IF(GY$3="","","Day 26 | "&amp;TEXT(GY$3,"ddd dd-mmm"))</f>
        <v/>
      </c>
      <c r="HF5" s="10">
        <f>IF(HF$3="","","Day 27 | "&amp;TEXT(HF$3,"ddd dd-mmm"))</f>
        <v/>
      </c>
      <c r="HM5" s="11">
        <f>IF(HM$3="","","Day 28 | "&amp;TEXT(HM$3,"ddd dd-mmm"))</f>
        <v/>
      </c>
      <c r="HT5" s="10">
        <f>IF(HT$3="","","Day 29 | "&amp;TEXT(HT$3,"ddd dd-mmm"))</f>
        <v/>
      </c>
      <c r="IA5" s="11">
        <f>IF(IA$3="","","Day 30 | "&amp;TEXT(IA$3,"ddd dd-mmm"))</f>
        <v/>
      </c>
      <c r="IH5" s="10">
        <f>IF(IH$3="","","Day 31 | "&amp;TEXT(IH$3,"ddd dd-mmm"))</f>
        <v/>
      </c>
    </row>
    <row r="6" ht="54" customHeight="1">
      <c r="A6" s="12" t="inlineStr">
        <is>
          <t>Wash Plant</t>
        </is>
      </c>
      <c r="B6" s="13" t="inlineStr">
        <is>
          <t>Sewing Unit</t>
        </is>
      </c>
      <c r="C6" s="13" t="inlineStr">
        <is>
          <t>Buyer</t>
        </is>
      </c>
      <c r="D6" s="12" t="inlineStr">
        <is>
          <t>Style</t>
        </is>
      </c>
      <c r="E6" s="12" t="inlineStr">
        <is>
          <t>PO</t>
        </is>
      </c>
      <c r="F6" s="13" t="inlineStr">
        <is>
          <t>Item</t>
        </is>
      </c>
      <c r="G6" s="12" t="inlineStr">
        <is>
          <t>Color</t>
        </is>
      </c>
      <c r="H6" s="13" t="inlineStr">
        <is>
          <t>Season</t>
        </is>
      </c>
      <c r="I6" s="13" t="inlineStr">
        <is>
          <t>CRD Date</t>
        </is>
      </c>
      <c r="J6" s="13" t="inlineStr">
        <is>
          <t>Revised CRD</t>
        </is>
      </c>
      <c r="K6" s="13" t="inlineStr">
        <is>
          <t>Order Quantity</t>
        </is>
      </c>
      <c r="L6" s="13" t="inlineStr">
        <is>
          <t>Wash Plan Start</t>
        </is>
      </c>
      <c r="M6" s="13" t="inlineStr">
        <is>
          <t>Wash Plan End</t>
        </is>
      </c>
      <c r="N6" s="13" t="inlineStr">
        <is>
          <t>Merchant</t>
        </is>
      </c>
      <c r="O6" s="13" t="inlineStr">
        <is>
          <t>Opening Received (before this month)</t>
        </is>
      </c>
      <c r="P6" s="13" t="inlineStr">
        <is>
          <t>Opening Washed (before this month)</t>
        </is>
      </c>
      <c r="Q6" s="13" t="inlineStr">
        <is>
          <t>Sewing Plan Variation (Opening)</t>
        </is>
      </c>
      <c r="R6" s="13" t="inlineStr">
        <is>
          <t>Wash Plan Variation (Opening)</t>
        </is>
      </c>
      <c r="S6" s="13" t="inlineStr">
        <is>
          <t>First Received On (carry forward)</t>
        </is>
      </c>
      <c r="T6" s="13" t="inlineStr">
        <is>
          <t>Wash Reject Qty</t>
        </is>
      </c>
      <c r="U6" s="13" t="inlineStr">
        <is>
          <t>Missing Body</t>
        </is>
      </c>
      <c r="V6" s="14" t="inlineStr">
        <is>
          <t>Effective CRD</t>
        </is>
      </c>
      <c r="W6" s="14" t="inlineStr">
        <is>
          <t>Received from Sewing</t>
        </is>
      </c>
      <c r="X6" s="14" t="inlineStr">
        <is>
          <t>Wash Throughput</t>
        </is>
      </c>
      <c r="Y6" s="14" t="inlineStr">
        <is>
          <t>Wash WIP</t>
        </is>
      </c>
      <c r="Z6" s="14" t="inlineStr">
        <is>
          <t>Balance to Wash</t>
        </is>
      </c>
      <c r="AA6" s="14" t="inlineStr">
        <is>
          <t>First Receive Date</t>
        </is>
      </c>
      <c r="AB6" s="14" t="inlineStr">
        <is>
          <t>Wash Priority (EDD then FIFO)</t>
        </is>
      </c>
      <c r="AC6" s="14" t="inlineStr">
        <is>
          <t>Forecasted Completion</t>
        </is>
      </c>
      <c r="AD6" s="14" t="inlineStr">
        <is>
          <t>Sewing Delay Days</t>
        </is>
      </c>
      <c r="AE6" s="14" t="inlineStr">
        <is>
          <t>Risk (Yes/No)</t>
        </is>
      </c>
      <c r="AF6" s="15" t="inlineStr">
        <is>
          <t>Sewing Planned Delivery</t>
        </is>
      </c>
      <c r="AG6" s="15" t="inlineStr">
        <is>
          <t>Sewing Actual Delivery</t>
        </is>
      </c>
      <c r="AH6" s="15" t="inlineStr">
        <is>
          <t>Variation</t>
        </is>
      </c>
      <c r="AI6" s="16" t="inlineStr">
        <is>
          <t>Wash Planned Production</t>
        </is>
      </c>
      <c r="AJ6" s="16" t="inlineStr">
        <is>
          <t>Wash Actual Production</t>
        </is>
      </c>
      <c r="AK6" s="16" t="inlineStr">
        <is>
          <t>Variation</t>
        </is>
      </c>
      <c r="AL6" s="17" t="inlineStr">
        <is>
          <t>Remarks</t>
        </is>
      </c>
      <c r="AM6" s="15" t="inlineStr">
        <is>
          <t>Sewing Planned Delivery</t>
        </is>
      </c>
      <c r="AN6" s="15" t="inlineStr">
        <is>
          <t>Sewing Actual Delivery</t>
        </is>
      </c>
      <c r="AO6" s="15" t="inlineStr">
        <is>
          <t>Variation</t>
        </is>
      </c>
      <c r="AP6" s="16" t="inlineStr">
        <is>
          <t>Wash Planned Production</t>
        </is>
      </c>
      <c r="AQ6" s="16" t="inlineStr">
        <is>
          <t>Wash Actual Production</t>
        </is>
      </c>
      <c r="AR6" s="16" t="inlineStr">
        <is>
          <t>Variation</t>
        </is>
      </c>
      <c r="AS6" s="17" t="inlineStr">
        <is>
          <t>Remarks</t>
        </is>
      </c>
      <c r="AT6" s="15" t="inlineStr">
        <is>
          <t>Sewing Planned Delivery</t>
        </is>
      </c>
      <c r="AU6" s="15" t="inlineStr">
        <is>
          <t>Sewing Actual Delivery</t>
        </is>
      </c>
      <c r="AV6" s="15" t="inlineStr">
        <is>
          <t>Variation</t>
        </is>
      </c>
      <c r="AW6" s="16" t="inlineStr">
        <is>
          <t>Wash Planned Production</t>
        </is>
      </c>
      <c r="AX6" s="16" t="inlineStr">
        <is>
          <t>Wash Actual Production</t>
        </is>
      </c>
      <c r="AY6" s="16" t="inlineStr">
        <is>
          <t>Variation</t>
        </is>
      </c>
      <c r="AZ6" s="17" t="inlineStr">
        <is>
          <t>Remarks</t>
        </is>
      </c>
      <c r="BA6" s="15" t="inlineStr">
        <is>
          <t>Sewing Planned Delivery</t>
        </is>
      </c>
      <c r="BB6" s="15" t="inlineStr">
        <is>
          <t>Sewing Actual Delivery</t>
        </is>
      </c>
      <c r="BC6" s="15" t="inlineStr">
        <is>
          <t>Variation</t>
        </is>
      </c>
      <c r="BD6" s="16" t="inlineStr">
        <is>
          <t>Wash Planned Production</t>
        </is>
      </c>
      <c r="BE6" s="16" t="inlineStr">
        <is>
          <t>Wash Actual Production</t>
        </is>
      </c>
      <c r="BF6" s="16" t="inlineStr">
        <is>
          <t>Variation</t>
        </is>
      </c>
      <c r="BG6" s="17" t="inlineStr">
        <is>
          <t>Remarks</t>
        </is>
      </c>
      <c r="BH6" s="15" t="inlineStr">
        <is>
          <t>Sewing Planned Delivery</t>
        </is>
      </c>
      <c r="BI6" s="15" t="inlineStr">
        <is>
          <t>Sewing Actual Delivery</t>
        </is>
      </c>
      <c r="BJ6" s="15" t="inlineStr">
        <is>
          <t>Variation</t>
        </is>
      </c>
      <c r="BK6" s="16" t="inlineStr">
        <is>
          <t>Wash Planned Production</t>
        </is>
      </c>
      <c r="BL6" s="16" t="inlineStr">
        <is>
          <t>Wash Actual Production</t>
        </is>
      </c>
      <c r="BM6" s="16" t="inlineStr">
        <is>
          <t>Variation</t>
        </is>
      </c>
      <c r="BN6" s="17" t="inlineStr">
        <is>
          <t>Remarks</t>
        </is>
      </c>
      <c r="BO6" s="15" t="inlineStr">
        <is>
          <t>Sewing Planned Delivery</t>
        </is>
      </c>
      <c r="BP6" s="15" t="inlineStr">
        <is>
          <t>Sewing Actual Delivery</t>
        </is>
      </c>
      <c r="BQ6" s="15" t="inlineStr">
        <is>
          <t>Variation</t>
        </is>
      </c>
      <c r="BR6" s="16" t="inlineStr">
        <is>
          <t>Wash Planned Production</t>
        </is>
      </c>
      <c r="BS6" s="16" t="inlineStr">
        <is>
          <t>Wash Actual Production</t>
        </is>
      </c>
      <c r="BT6" s="16" t="inlineStr">
        <is>
          <t>Variation</t>
        </is>
      </c>
      <c r="BU6" s="17" t="inlineStr">
        <is>
          <t>Remarks</t>
        </is>
      </c>
      <c r="BV6" s="15" t="inlineStr">
        <is>
          <t>Sewing Planned Delivery</t>
        </is>
      </c>
      <c r="BW6" s="15" t="inlineStr">
        <is>
          <t>Sewing Actual Delivery</t>
        </is>
      </c>
      <c r="BX6" s="15" t="inlineStr">
        <is>
          <t>Variation</t>
        </is>
      </c>
      <c r="BY6" s="16" t="inlineStr">
        <is>
          <t>Wash Planned Production</t>
        </is>
      </c>
      <c r="BZ6" s="16" t="inlineStr">
        <is>
          <t>Wash Actual Production</t>
        </is>
      </c>
      <c r="CA6" s="16" t="inlineStr">
        <is>
          <t>Variation</t>
        </is>
      </c>
      <c r="CB6" s="17" t="inlineStr">
        <is>
          <t>Remarks</t>
        </is>
      </c>
      <c r="CC6" s="15" t="inlineStr">
        <is>
          <t>Sewing Planned Delivery</t>
        </is>
      </c>
      <c r="CD6" s="15" t="inlineStr">
        <is>
          <t>Sewing Actual Delivery</t>
        </is>
      </c>
      <c r="CE6" s="15" t="inlineStr">
        <is>
          <t>Variation</t>
        </is>
      </c>
      <c r="CF6" s="16" t="inlineStr">
        <is>
          <t>Wash Planned Production</t>
        </is>
      </c>
      <c r="CG6" s="16" t="inlineStr">
        <is>
          <t>Wash Actual Production</t>
        </is>
      </c>
      <c r="CH6" s="16" t="inlineStr">
        <is>
          <t>Variation</t>
        </is>
      </c>
      <c r="CI6" s="17" t="inlineStr">
        <is>
          <t>Remarks</t>
        </is>
      </c>
      <c r="CJ6" s="15" t="inlineStr">
        <is>
          <t>Sewing Planned Delivery</t>
        </is>
      </c>
      <c r="CK6" s="15" t="inlineStr">
        <is>
          <t>Sewing Actual Delivery</t>
        </is>
      </c>
      <c r="CL6" s="15" t="inlineStr">
        <is>
          <t>Variation</t>
        </is>
      </c>
      <c r="CM6" s="16" t="inlineStr">
        <is>
          <t>Wash Planned Production</t>
        </is>
      </c>
      <c r="CN6" s="16" t="inlineStr">
        <is>
          <t>Wash Actual Production</t>
        </is>
      </c>
      <c r="CO6" s="16" t="inlineStr">
        <is>
          <t>Variation</t>
        </is>
      </c>
      <c r="CP6" s="17" t="inlineStr">
        <is>
          <t>Remarks</t>
        </is>
      </c>
      <c r="CQ6" s="15" t="inlineStr">
        <is>
          <t>Sewing Planned Delivery</t>
        </is>
      </c>
      <c r="CR6" s="15" t="inlineStr">
        <is>
          <t>Sewing Actual Delivery</t>
        </is>
      </c>
      <c r="CS6" s="15" t="inlineStr">
        <is>
          <t>Variation</t>
        </is>
      </c>
      <c r="CT6" s="16" t="inlineStr">
        <is>
          <t>Wash Planned Production</t>
        </is>
      </c>
      <c r="CU6" s="16" t="inlineStr">
        <is>
          <t>Wash Actual Production</t>
        </is>
      </c>
      <c r="CV6" s="16" t="inlineStr">
        <is>
          <t>Variation</t>
        </is>
      </c>
      <c r="CW6" s="17" t="inlineStr">
        <is>
          <t>Remarks</t>
        </is>
      </c>
      <c r="CX6" s="15" t="inlineStr">
        <is>
          <t>Sewing Planned Delivery</t>
        </is>
      </c>
      <c r="CY6" s="15" t="inlineStr">
        <is>
          <t>Sewing Actual Delivery</t>
        </is>
      </c>
      <c r="CZ6" s="15" t="inlineStr">
        <is>
          <t>Variation</t>
        </is>
      </c>
      <c r="DA6" s="16" t="inlineStr">
        <is>
          <t>Wash Planned Production</t>
        </is>
      </c>
      <c r="DB6" s="16" t="inlineStr">
        <is>
          <t>Wash Actual Production</t>
        </is>
      </c>
      <c r="DC6" s="16" t="inlineStr">
        <is>
          <t>Variation</t>
        </is>
      </c>
      <c r="DD6" s="17" t="inlineStr">
        <is>
          <t>Remarks</t>
        </is>
      </c>
      <c r="DE6" s="15" t="inlineStr">
        <is>
          <t>Sewing Planned Delivery</t>
        </is>
      </c>
      <c r="DF6" s="15" t="inlineStr">
        <is>
          <t>Sewing Actual Delivery</t>
        </is>
      </c>
      <c r="DG6" s="15" t="inlineStr">
        <is>
          <t>Variation</t>
        </is>
      </c>
      <c r="DH6" s="16" t="inlineStr">
        <is>
          <t>Wash Planned Production</t>
        </is>
      </c>
      <c r="DI6" s="16" t="inlineStr">
        <is>
          <t>Wash Actual Production</t>
        </is>
      </c>
      <c r="DJ6" s="16" t="inlineStr">
        <is>
          <t>Variation</t>
        </is>
      </c>
      <c r="DK6" s="17" t="inlineStr">
        <is>
          <t>Remarks</t>
        </is>
      </c>
      <c r="DL6" s="15" t="inlineStr">
        <is>
          <t>Sewing Planned Delivery</t>
        </is>
      </c>
      <c r="DM6" s="15" t="inlineStr">
        <is>
          <t>Sewing Actual Delivery</t>
        </is>
      </c>
      <c r="DN6" s="15" t="inlineStr">
        <is>
          <t>Variation</t>
        </is>
      </c>
      <c r="DO6" s="16" t="inlineStr">
        <is>
          <t>Wash Planned Production</t>
        </is>
      </c>
      <c r="DP6" s="16" t="inlineStr">
        <is>
          <t>Wash Actual Production</t>
        </is>
      </c>
      <c r="DQ6" s="16" t="inlineStr">
        <is>
          <t>Variation</t>
        </is>
      </c>
      <c r="DR6" s="17" t="inlineStr">
        <is>
          <t>Remarks</t>
        </is>
      </c>
      <c r="DS6" s="15" t="inlineStr">
        <is>
          <t>Sewing Planned Delivery</t>
        </is>
      </c>
      <c r="DT6" s="15" t="inlineStr">
        <is>
          <t>Sewing Actual Delivery</t>
        </is>
      </c>
      <c r="DU6" s="15" t="inlineStr">
        <is>
          <t>Variation</t>
        </is>
      </c>
      <c r="DV6" s="16" t="inlineStr">
        <is>
          <t>Wash Planned Production</t>
        </is>
      </c>
      <c r="DW6" s="16" t="inlineStr">
        <is>
          <t>Wash Actual Production</t>
        </is>
      </c>
      <c r="DX6" s="16" t="inlineStr">
        <is>
          <t>Variation</t>
        </is>
      </c>
      <c r="DY6" s="17" t="inlineStr">
        <is>
          <t>Remarks</t>
        </is>
      </c>
      <c r="DZ6" s="15" t="inlineStr">
        <is>
          <t>Sewing Planned Delivery</t>
        </is>
      </c>
      <c r="EA6" s="15" t="inlineStr">
        <is>
          <t>Sewing Actual Delivery</t>
        </is>
      </c>
      <c r="EB6" s="15" t="inlineStr">
        <is>
          <t>Variation</t>
        </is>
      </c>
      <c r="EC6" s="16" t="inlineStr">
        <is>
          <t>Wash Planned Production</t>
        </is>
      </c>
      <c r="ED6" s="16" t="inlineStr">
        <is>
          <t>Wash Actual Production</t>
        </is>
      </c>
      <c r="EE6" s="16" t="inlineStr">
        <is>
          <t>Variation</t>
        </is>
      </c>
      <c r="EF6" s="17" t="inlineStr">
        <is>
          <t>Remarks</t>
        </is>
      </c>
      <c r="EG6" s="15" t="inlineStr">
        <is>
          <t>Sewing Planned Delivery</t>
        </is>
      </c>
      <c r="EH6" s="15" t="inlineStr">
        <is>
          <t>Sewing Actual Delivery</t>
        </is>
      </c>
      <c r="EI6" s="15" t="inlineStr">
        <is>
          <t>Variation</t>
        </is>
      </c>
      <c r="EJ6" s="16" t="inlineStr">
        <is>
          <t>Wash Planned Production</t>
        </is>
      </c>
      <c r="EK6" s="16" t="inlineStr">
        <is>
          <t>Wash Actual Production</t>
        </is>
      </c>
      <c r="EL6" s="16" t="inlineStr">
        <is>
          <t>Variation</t>
        </is>
      </c>
      <c r="EM6" s="17" t="inlineStr">
        <is>
          <t>Remarks</t>
        </is>
      </c>
      <c r="EN6" s="15" t="inlineStr">
        <is>
          <t>Sewing Planned Delivery</t>
        </is>
      </c>
      <c r="EO6" s="15" t="inlineStr">
        <is>
          <t>Sewing Actual Delivery</t>
        </is>
      </c>
      <c r="EP6" s="15" t="inlineStr">
        <is>
          <t>Variation</t>
        </is>
      </c>
      <c r="EQ6" s="16" t="inlineStr">
        <is>
          <t>Wash Planned Production</t>
        </is>
      </c>
      <c r="ER6" s="16" t="inlineStr">
        <is>
          <t>Wash Actual Production</t>
        </is>
      </c>
      <c r="ES6" s="16" t="inlineStr">
        <is>
          <t>Variation</t>
        </is>
      </c>
      <c r="ET6" s="17" t="inlineStr">
        <is>
          <t>Remarks</t>
        </is>
      </c>
      <c r="EU6" s="15" t="inlineStr">
        <is>
          <t>Sewing Planned Delivery</t>
        </is>
      </c>
      <c r="EV6" s="15" t="inlineStr">
        <is>
          <t>Sewing Actual Delivery</t>
        </is>
      </c>
      <c r="EW6" s="15" t="inlineStr">
        <is>
          <t>Variation</t>
        </is>
      </c>
      <c r="EX6" s="16" t="inlineStr">
        <is>
          <t>Wash Planned Production</t>
        </is>
      </c>
      <c r="EY6" s="16" t="inlineStr">
        <is>
          <t>Wash Actual Production</t>
        </is>
      </c>
      <c r="EZ6" s="16" t="inlineStr">
        <is>
          <t>Variation</t>
        </is>
      </c>
      <c r="FA6" s="17" t="inlineStr">
        <is>
          <t>Remarks</t>
        </is>
      </c>
      <c r="FB6" s="15" t="inlineStr">
        <is>
          <t>Sewing Planned Delivery</t>
        </is>
      </c>
      <c r="FC6" s="15" t="inlineStr">
        <is>
          <t>Sewing Actual Delivery</t>
        </is>
      </c>
      <c r="FD6" s="15" t="inlineStr">
        <is>
          <t>Variation</t>
        </is>
      </c>
      <c r="FE6" s="16" t="inlineStr">
        <is>
          <t>Wash Planned Production</t>
        </is>
      </c>
      <c r="FF6" s="16" t="inlineStr">
        <is>
          <t>Wash Actual Production</t>
        </is>
      </c>
      <c r="FG6" s="16" t="inlineStr">
        <is>
          <t>Variation</t>
        </is>
      </c>
      <c r="FH6" s="17" t="inlineStr">
        <is>
          <t>Remarks</t>
        </is>
      </c>
      <c r="FI6" s="15" t="inlineStr">
        <is>
          <t>Sewing Planned Delivery</t>
        </is>
      </c>
      <c r="FJ6" s="15" t="inlineStr">
        <is>
          <t>Sewing Actual Delivery</t>
        </is>
      </c>
      <c r="FK6" s="15" t="inlineStr">
        <is>
          <t>Variation</t>
        </is>
      </c>
      <c r="FL6" s="16" t="inlineStr">
        <is>
          <t>Wash Planned Production</t>
        </is>
      </c>
      <c r="FM6" s="16" t="inlineStr">
        <is>
          <t>Wash Actual Production</t>
        </is>
      </c>
      <c r="FN6" s="16" t="inlineStr">
        <is>
          <t>Variation</t>
        </is>
      </c>
      <c r="FO6" s="17" t="inlineStr">
        <is>
          <t>Remarks</t>
        </is>
      </c>
      <c r="FP6" s="15" t="inlineStr">
        <is>
          <t>Sewing Planned Delivery</t>
        </is>
      </c>
      <c r="FQ6" s="15" t="inlineStr">
        <is>
          <t>Sewing Actual Delivery</t>
        </is>
      </c>
      <c r="FR6" s="15" t="inlineStr">
        <is>
          <t>Variation</t>
        </is>
      </c>
      <c r="FS6" s="16" t="inlineStr">
        <is>
          <t>Wash Planned Production</t>
        </is>
      </c>
      <c r="FT6" s="16" t="inlineStr">
        <is>
          <t>Wash Actual Production</t>
        </is>
      </c>
      <c r="FU6" s="16" t="inlineStr">
        <is>
          <t>Variation</t>
        </is>
      </c>
      <c r="FV6" s="17" t="inlineStr">
        <is>
          <t>Remarks</t>
        </is>
      </c>
      <c r="FW6" s="15" t="inlineStr">
        <is>
          <t>Sewing Planned Delivery</t>
        </is>
      </c>
      <c r="FX6" s="15" t="inlineStr">
        <is>
          <t>Sewing Actual Delivery</t>
        </is>
      </c>
      <c r="FY6" s="15" t="inlineStr">
        <is>
          <t>Variation</t>
        </is>
      </c>
      <c r="FZ6" s="16" t="inlineStr">
        <is>
          <t>Wash Planned Production</t>
        </is>
      </c>
      <c r="GA6" s="16" t="inlineStr">
        <is>
          <t>Wash Actual Production</t>
        </is>
      </c>
      <c r="GB6" s="16" t="inlineStr">
        <is>
          <t>Variation</t>
        </is>
      </c>
      <c r="GC6" s="17" t="inlineStr">
        <is>
          <t>Remarks</t>
        </is>
      </c>
      <c r="GD6" s="15" t="inlineStr">
        <is>
          <t>Sewing Planned Delivery</t>
        </is>
      </c>
      <c r="GE6" s="15" t="inlineStr">
        <is>
          <t>Sewing Actual Delivery</t>
        </is>
      </c>
      <c r="GF6" s="15" t="inlineStr">
        <is>
          <t>Variation</t>
        </is>
      </c>
      <c r="GG6" s="16" t="inlineStr">
        <is>
          <t>Wash Planned Production</t>
        </is>
      </c>
      <c r="GH6" s="16" t="inlineStr">
        <is>
          <t>Wash Actual Production</t>
        </is>
      </c>
      <c r="GI6" s="16" t="inlineStr">
        <is>
          <t>Variation</t>
        </is>
      </c>
      <c r="GJ6" s="17" t="inlineStr">
        <is>
          <t>Remarks</t>
        </is>
      </c>
      <c r="GK6" s="15" t="inlineStr">
        <is>
          <t>Sewing Planned Delivery</t>
        </is>
      </c>
      <c r="GL6" s="15" t="inlineStr">
        <is>
          <t>Sewing Actual Delivery</t>
        </is>
      </c>
      <c r="GM6" s="15" t="inlineStr">
        <is>
          <t>Variation</t>
        </is>
      </c>
      <c r="GN6" s="16" t="inlineStr">
        <is>
          <t>Wash Planned Production</t>
        </is>
      </c>
      <c r="GO6" s="16" t="inlineStr">
        <is>
          <t>Wash Actual Production</t>
        </is>
      </c>
      <c r="GP6" s="16" t="inlineStr">
        <is>
          <t>Variation</t>
        </is>
      </c>
      <c r="GQ6" s="17" t="inlineStr">
        <is>
          <t>Remarks</t>
        </is>
      </c>
      <c r="GR6" s="15" t="inlineStr">
        <is>
          <t>Sewing Planned Delivery</t>
        </is>
      </c>
      <c r="GS6" s="15" t="inlineStr">
        <is>
          <t>Sewing Actual Delivery</t>
        </is>
      </c>
      <c r="GT6" s="15" t="inlineStr">
        <is>
          <t>Variation</t>
        </is>
      </c>
      <c r="GU6" s="16" t="inlineStr">
        <is>
          <t>Wash Planned Production</t>
        </is>
      </c>
      <c r="GV6" s="16" t="inlineStr">
        <is>
          <t>Wash Actual Production</t>
        </is>
      </c>
      <c r="GW6" s="16" t="inlineStr">
        <is>
          <t>Variation</t>
        </is>
      </c>
      <c r="GX6" s="17" t="inlineStr">
        <is>
          <t>Remarks</t>
        </is>
      </c>
      <c r="GY6" s="15" t="inlineStr">
        <is>
          <t>Sewing Planned Delivery</t>
        </is>
      </c>
      <c r="GZ6" s="15" t="inlineStr">
        <is>
          <t>Sewing Actual Delivery</t>
        </is>
      </c>
      <c r="HA6" s="15" t="inlineStr">
        <is>
          <t>Variation</t>
        </is>
      </c>
      <c r="HB6" s="16" t="inlineStr">
        <is>
          <t>Wash Planned Production</t>
        </is>
      </c>
      <c r="HC6" s="16" t="inlineStr">
        <is>
          <t>Wash Actual Production</t>
        </is>
      </c>
      <c r="HD6" s="16" t="inlineStr">
        <is>
          <t>Variation</t>
        </is>
      </c>
      <c r="HE6" s="17" t="inlineStr">
        <is>
          <t>Remarks</t>
        </is>
      </c>
      <c r="HF6" s="15" t="inlineStr">
        <is>
          <t>Sewing Planned Delivery</t>
        </is>
      </c>
      <c r="HG6" s="15" t="inlineStr">
        <is>
          <t>Sewing Actual Delivery</t>
        </is>
      </c>
      <c r="HH6" s="15" t="inlineStr">
        <is>
          <t>Variation</t>
        </is>
      </c>
      <c r="HI6" s="16" t="inlineStr">
        <is>
          <t>Wash Planned Production</t>
        </is>
      </c>
      <c r="HJ6" s="16" t="inlineStr">
        <is>
          <t>Wash Actual Production</t>
        </is>
      </c>
      <c r="HK6" s="16" t="inlineStr">
        <is>
          <t>Variation</t>
        </is>
      </c>
      <c r="HL6" s="17" t="inlineStr">
        <is>
          <t>Remarks</t>
        </is>
      </c>
      <c r="HM6" s="15" t="inlineStr">
        <is>
          <t>Sewing Planned Delivery</t>
        </is>
      </c>
      <c r="HN6" s="15" t="inlineStr">
        <is>
          <t>Sewing Actual Delivery</t>
        </is>
      </c>
      <c r="HO6" s="15" t="inlineStr">
        <is>
          <t>Variation</t>
        </is>
      </c>
      <c r="HP6" s="16" t="inlineStr">
        <is>
          <t>Wash Planned Production</t>
        </is>
      </c>
      <c r="HQ6" s="16" t="inlineStr">
        <is>
          <t>Wash Actual Production</t>
        </is>
      </c>
      <c r="HR6" s="16" t="inlineStr">
        <is>
          <t>Variation</t>
        </is>
      </c>
      <c r="HS6" s="17" t="inlineStr">
        <is>
          <t>Remarks</t>
        </is>
      </c>
      <c r="HT6" s="15" t="inlineStr">
        <is>
          <t>Sewing Planned Delivery</t>
        </is>
      </c>
      <c r="HU6" s="15" t="inlineStr">
        <is>
          <t>Sewing Actual Delivery</t>
        </is>
      </c>
      <c r="HV6" s="15" t="inlineStr">
        <is>
          <t>Variation</t>
        </is>
      </c>
      <c r="HW6" s="16" t="inlineStr">
        <is>
          <t>Wash Planned Production</t>
        </is>
      </c>
      <c r="HX6" s="16" t="inlineStr">
        <is>
          <t>Wash Actual Production</t>
        </is>
      </c>
      <c r="HY6" s="16" t="inlineStr">
        <is>
          <t>Variation</t>
        </is>
      </c>
      <c r="HZ6" s="17" t="inlineStr">
        <is>
          <t>Remarks</t>
        </is>
      </c>
      <c r="IA6" s="15" t="inlineStr">
        <is>
          <t>Sewing Planned Delivery</t>
        </is>
      </c>
      <c r="IB6" s="15" t="inlineStr">
        <is>
          <t>Sewing Actual Delivery</t>
        </is>
      </c>
      <c r="IC6" s="15" t="inlineStr">
        <is>
          <t>Variation</t>
        </is>
      </c>
      <c r="ID6" s="16" t="inlineStr">
        <is>
          <t>Wash Planned Production</t>
        </is>
      </c>
      <c r="IE6" s="16" t="inlineStr">
        <is>
          <t>Wash Actual Production</t>
        </is>
      </c>
      <c r="IF6" s="16" t="inlineStr">
        <is>
          <t>Variation</t>
        </is>
      </c>
      <c r="IG6" s="17" t="inlineStr">
        <is>
          <t>Remarks</t>
        </is>
      </c>
      <c r="IH6" s="15" t="inlineStr">
        <is>
          <t>Sewing Planned Delivery</t>
        </is>
      </c>
      <c r="II6" s="15" t="inlineStr">
        <is>
          <t>Sewing Actual Delivery</t>
        </is>
      </c>
      <c r="IJ6" s="15" t="inlineStr">
        <is>
          <t>Variation</t>
        </is>
      </c>
      <c r="IK6" s="16" t="inlineStr">
        <is>
          <t>Wash Planned Production</t>
        </is>
      </c>
      <c r="IL6" s="16" t="inlineStr">
        <is>
          <t>Wash Actual Production</t>
        </is>
      </c>
      <c r="IM6" s="16" t="inlineStr">
        <is>
          <t>Variation</t>
        </is>
      </c>
      <c r="IN6" s="17" t="inlineStr">
        <is>
          <t>Remarks</t>
        </is>
      </c>
    </row>
    <row r="7">
      <c r="A7" s="18" t="inlineStr">
        <is>
          <t>Grand Total</t>
        </is>
      </c>
      <c r="B7" s="19" t="n"/>
      <c r="C7" s="19" t="n"/>
      <c r="D7" s="19" t="n"/>
      <c r="E7" s="19" t="n"/>
      <c r="F7" s="19" t="n"/>
      <c r="G7" s="19" t="n"/>
      <c r="H7" s="19" t="n"/>
      <c r="I7" s="19" t="n"/>
      <c r="J7" s="19" t="n"/>
      <c r="K7" s="20">
        <f>SUM(K8:K707)</f>
        <v/>
      </c>
      <c r="L7" s="19" t="n"/>
      <c r="M7" s="19" t="n"/>
      <c r="N7" s="19" t="n"/>
      <c r="O7" s="20">
        <f>SUM(O8:O707)</f>
        <v/>
      </c>
      <c r="P7" s="20">
        <f>SUM(P8:P707)</f>
        <v/>
      </c>
      <c r="Q7" s="20">
        <f>SUM(Q8:Q707)</f>
        <v/>
      </c>
      <c r="R7" s="20">
        <f>SUM(R8:R707)</f>
        <v/>
      </c>
      <c r="S7" s="19" t="n"/>
      <c r="T7" s="20">
        <f>SUM(T8:T707)</f>
        <v/>
      </c>
      <c r="U7" s="20">
        <f>SUM(U8:U707)</f>
        <v/>
      </c>
      <c r="V7" s="19" t="n"/>
      <c r="W7" s="20">
        <f>SUM(W8:W707)</f>
        <v/>
      </c>
      <c r="X7" s="20">
        <f>SUM(X8:X707)</f>
        <v/>
      </c>
      <c r="Y7" s="20">
        <f>SUM(Y8:Y707)</f>
        <v/>
      </c>
      <c r="Z7" s="20">
        <f>SUM(Z8:Z707)</f>
        <v/>
      </c>
      <c r="AA7" s="19" t="n"/>
      <c r="AB7" s="19" t="n"/>
      <c r="AC7" s="19" t="n"/>
      <c r="AD7" s="19" t="n"/>
      <c r="AE7" s="19" t="n"/>
      <c r="AF7" s="20">
        <f>SUM(AF8:AF707)</f>
        <v/>
      </c>
      <c r="AG7" s="20">
        <f>SUM(AG8:AG707)</f>
        <v/>
      </c>
      <c r="AH7" s="20">
        <f>SUM(AH8:AH707)</f>
        <v/>
      </c>
      <c r="AI7" s="20">
        <f>SUM(AI8:AI707)</f>
        <v/>
      </c>
      <c r="AJ7" s="20">
        <f>SUM(AJ8:AJ707)</f>
        <v/>
      </c>
      <c r="AK7" s="20">
        <f>SUM(AK8:AK707)</f>
        <v/>
      </c>
      <c r="AL7" s="19" t="n"/>
      <c r="AM7" s="20">
        <f>SUM(AM8:AM707)</f>
        <v/>
      </c>
      <c r="AN7" s="20">
        <f>SUM(AN8:AN707)</f>
        <v/>
      </c>
      <c r="AO7" s="20">
        <f>SUM(AO8:AO707)</f>
        <v/>
      </c>
      <c r="AP7" s="20">
        <f>SUM(AP8:AP707)</f>
        <v/>
      </c>
      <c r="AQ7" s="20">
        <f>SUM(AQ8:AQ707)</f>
        <v/>
      </c>
      <c r="AR7" s="20">
        <f>SUM(AR8:AR707)</f>
        <v/>
      </c>
      <c r="AS7" s="19" t="n"/>
      <c r="AT7" s="20">
        <f>SUM(AT8:AT707)</f>
        <v/>
      </c>
      <c r="AU7" s="20">
        <f>SUM(AU8:AU707)</f>
        <v/>
      </c>
      <c r="AV7" s="20">
        <f>SUM(AV8:AV707)</f>
        <v/>
      </c>
      <c r="AW7" s="20">
        <f>SUM(AW8:AW707)</f>
        <v/>
      </c>
      <c r="AX7" s="20">
        <f>SUM(AX8:AX707)</f>
        <v/>
      </c>
      <c r="AY7" s="20">
        <f>SUM(AY8:AY707)</f>
        <v/>
      </c>
      <c r="AZ7" s="19" t="n"/>
      <c r="BA7" s="20">
        <f>SUM(BA8:BA707)</f>
        <v/>
      </c>
      <c r="BB7" s="20">
        <f>SUM(BB8:BB707)</f>
        <v/>
      </c>
      <c r="BC7" s="20">
        <f>SUM(BC8:BC707)</f>
        <v/>
      </c>
      <c r="BD7" s="20">
        <f>SUM(BD8:BD707)</f>
        <v/>
      </c>
      <c r="BE7" s="20">
        <f>SUM(BE8:BE707)</f>
        <v/>
      </c>
      <c r="BF7" s="20">
        <f>SUM(BF8:BF707)</f>
        <v/>
      </c>
      <c r="BG7" s="19" t="n"/>
      <c r="BH7" s="20">
        <f>SUM(BH8:BH707)</f>
        <v/>
      </c>
      <c r="BI7" s="20">
        <f>SUM(BI8:BI707)</f>
        <v/>
      </c>
      <c r="BJ7" s="20">
        <f>SUM(BJ8:BJ707)</f>
        <v/>
      </c>
      <c r="BK7" s="20">
        <f>SUM(BK8:BK707)</f>
        <v/>
      </c>
      <c r="BL7" s="20">
        <f>SUM(BL8:BL707)</f>
        <v/>
      </c>
      <c r="BM7" s="20">
        <f>SUM(BM8:BM707)</f>
        <v/>
      </c>
      <c r="BN7" s="19" t="n"/>
      <c r="BO7" s="20">
        <f>SUM(BO8:BO707)</f>
        <v/>
      </c>
      <c r="BP7" s="20">
        <f>SUM(BP8:BP707)</f>
        <v/>
      </c>
      <c r="BQ7" s="20">
        <f>SUM(BQ8:BQ707)</f>
        <v/>
      </c>
      <c r="BR7" s="20">
        <f>SUM(BR8:BR707)</f>
        <v/>
      </c>
      <c r="BS7" s="20">
        <f>SUM(BS8:BS707)</f>
        <v/>
      </c>
      <c r="BT7" s="20">
        <f>SUM(BT8:BT707)</f>
        <v/>
      </c>
      <c r="BU7" s="19" t="n"/>
      <c r="BV7" s="20">
        <f>SUM(BV8:BV707)</f>
        <v/>
      </c>
      <c r="BW7" s="20">
        <f>SUM(BW8:BW707)</f>
        <v/>
      </c>
      <c r="BX7" s="20">
        <f>SUM(BX8:BX707)</f>
        <v/>
      </c>
      <c r="BY7" s="20">
        <f>SUM(BY8:BY707)</f>
        <v/>
      </c>
      <c r="BZ7" s="20">
        <f>SUM(BZ8:BZ707)</f>
        <v/>
      </c>
      <c r="CA7" s="20">
        <f>SUM(CA8:CA707)</f>
        <v/>
      </c>
      <c r="CB7" s="19" t="n"/>
      <c r="CC7" s="20">
        <f>SUM(CC8:CC707)</f>
        <v/>
      </c>
      <c r="CD7" s="20">
        <f>SUM(CD8:CD707)</f>
        <v/>
      </c>
      <c r="CE7" s="20">
        <f>SUM(CE8:CE707)</f>
        <v/>
      </c>
      <c r="CF7" s="20">
        <f>SUM(CF8:CF707)</f>
        <v/>
      </c>
      <c r="CG7" s="20">
        <f>SUM(CG8:CG707)</f>
        <v/>
      </c>
      <c r="CH7" s="20">
        <f>SUM(CH8:CH707)</f>
        <v/>
      </c>
      <c r="CI7" s="19" t="n"/>
      <c r="CJ7" s="20">
        <f>SUM(CJ8:CJ707)</f>
        <v/>
      </c>
      <c r="CK7" s="20">
        <f>SUM(CK8:CK707)</f>
        <v/>
      </c>
      <c r="CL7" s="20">
        <f>SUM(CL8:CL707)</f>
        <v/>
      </c>
      <c r="CM7" s="20">
        <f>SUM(CM8:CM707)</f>
        <v/>
      </c>
      <c r="CN7" s="20">
        <f>SUM(CN8:CN707)</f>
        <v/>
      </c>
      <c r="CO7" s="20">
        <f>SUM(CO8:CO707)</f>
        <v/>
      </c>
      <c r="CP7" s="19" t="n"/>
      <c r="CQ7" s="20">
        <f>SUM(CQ8:CQ707)</f>
        <v/>
      </c>
      <c r="CR7" s="20">
        <f>SUM(CR8:CR707)</f>
        <v/>
      </c>
      <c r="CS7" s="20">
        <f>SUM(CS8:CS707)</f>
        <v/>
      </c>
      <c r="CT7" s="20">
        <f>SUM(CT8:CT707)</f>
        <v/>
      </c>
      <c r="CU7" s="20">
        <f>SUM(CU8:CU707)</f>
        <v/>
      </c>
      <c r="CV7" s="20">
        <f>SUM(CV8:CV707)</f>
        <v/>
      </c>
      <c r="CW7" s="19" t="n"/>
      <c r="CX7" s="20">
        <f>SUM(CX8:CX707)</f>
        <v/>
      </c>
      <c r="CY7" s="20">
        <f>SUM(CY8:CY707)</f>
        <v/>
      </c>
      <c r="CZ7" s="20">
        <f>SUM(CZ8:CZ707)</f>
        <v/>
      </c>
      <c r="DA7" s="20">
        <f>SUM(DA8:DA707)</f>
        <v/>
      </c>
      <c r="DB7" s="20">
        <f>SUM(DB8:DB707)</f>
        <v/>
      </c>
      <c r="DC7" s="20">
        <f>SUM(DC8:DC707)</f>
        <v/>
      </c>
      <c r="DD7" s="19" t="n"/>
      <c r="DE7" s="20">
        <f>SUM(DE8:DE707)</f>
        <v/>
      </c>
      <c r="DF7" s="20">
        <f>SUM(DF8:DF707)</f>
        <v/>
      </c>
      <c r="DG7" s="20">
        <f>SUM(DG8:DG707)</f>
        <v/>
      </c>
      <c r="DH7" s="20">
        <f>SUM(DH8:DH707)</f>
        <v/>
      </c>
      <c r="DI7" s="20">
        <f>SUM(DI8:DI707)</f>
        <v/>
      </c>
      <c r="DJ7" s="20">
        <f>SUM(DJ8:DJ707)</f>
        <v/>
      </c>
      <c r="DK7" s="19" t="n"/>
      <c r="DL7" s="20">
        <f>SUM(DL8:DL707)</f>
        <v/>
      </c>
      <c r="DM7" s="20">
        <f>SUM(DM8:DM707)</f>
        <v/>
      </c>
      <c r="DN7" s="20">
        <f>SUM(DN8:DN707)</f>
        <v/>
      </c>
      <c r="DO7" s="20">
        <f>SUM(DO8:DO707)</f>
        <v/>
      </c>
      <c r="DP7" s="20">
        <f>SUM(DP8:DP707)</f>
        <v/>
      </c>
      <c r="DQ7" s="20">
        <f>SUM(DQ8:DQ707)</f>
        <v/>
      </c>
      <c r="DR7" s="19" t="n"/>
      <c r="DS7" s="20">
        <f>SUM(DS8:DS707)</f>
        <v/>
      </c>
      <c r="DT7" s="20">
        <f>SUM(DT8:DT707)</f>
        <v/>
      </c>
      <c r="DU7" s="20">
        <f>SUM(DU8:DU707)</f>
        <v/>
      </c>
      <c r="DV7" s="20">
        <f>SUM(DV8:DV707)</f>
        <v/>
      </c>
      <c r="DW7" s="20">
        <f>SUM(DW8:DW707)</f>
        <v/>
      </c>
      <c r="DX7" s="20">
        <f>SUM(DX8:DX707)</f>
        <v/>
      </c>
      <c r="DY7" s="19" t="n"/>
      <c r="DZ7" s="20">
        <f>SUM(DZ8:DZ707)</f>
        <v/>
      </c>
      <c r="EA7" s="20">
        <f>SUM(EA8:EA707)</f>
        <v/>
      </c>
      <c r="EB7" s="20">
        <f>SUM(EB8:EB707)</f>
        <v/>
      </c>
      <c r="EC7" s="20">
        <f>SUM(EC8:EC707)</f>
        <v/>
      </c>
      <c r="ED7" s="20">
        <f>SUM(ED8:ED707)</f>
        <v/>
      </c>
      <c r="EE7" s="20">
        <f>SUM(EE8:EE707)</f>
        <v/>
      </c>
      <c r="EF7" s="19" t="n"/>
      <c r="EG7" s="20">
        <f>SUM(EG8:EG707)</f>
        <v/>
      </c>
      <c r="EH7" s="20">
        <f>SUM(EH8:EH707)</f>
        <v/>
      </c>
      <c r="EI7" s="20">
        <f>SUM(EI8:EI707)</f>
        <v/>
      </c>
      <c r="EJ7" s="20">
        <f>SUM(EJ8:EJ707)</f>
        <v/>
      </c>
      <c r="EK7" s="20">
        <f>SUM(EK8:EK707)</f>
        <v/>
      </c>
      <c r="EL7" s="20">
        <f>SUM(EL8:EL707)</f>
        <v/>
      </c>
      <c r="EM7" s="19" t="n"/>
      <c r="EN7" s="20">
        <f>SUM(EN8:EN707)</f>
        <v/>
      </c>
      <c r="EO7" s="20">
        <f>SUM(EO8:EO707)</f>
        <v/>
      </c>
      <c r="EP7" s="20">
        <f>SUM(EP8:EP707)</f>
        <v/>
      </c>
      <c r="EQ7" s="20">
        <f>SUM(EQ8:EQ707)</f>
        <v/>
      </c>
      <c r="ER7" s="20">
        <f>SUM(ER8:ER707)</f>
        <v/>
      </c>
      <c r="ES7" s="20">
        <f>SUM(ES8:ES707)</f>
        <v/>
      </c>
      <c r="ET7" s="19" t="n"/>
      <c r="EU7" s="20">
        <f>SUM(EU8:EU707)</f>
        <v/>
      </c>
      <c r="EV7" s="20">
        <f>SUM(EV8:EV707)</f>
        <v/>
      </c>
      <c r="EW7" s="20">
        <f>SUM(EW8:EW707)</f>
        <v/>
      </c>
      <c r="EX7" s="20">
        <f>SUM(EX8:EX707)</f>
        <v/>
      </c>
      <c r="EY7" s="20">
        <f>SUM(EY8:EY707)</f>
        <v/>
      </c>
      <c r="EZ7" s="20">
        <f>SUM(EZ8:EZ707)</f>
        <v/>
      </c>
      <c r="FA7" s="19" t="n"/>
      <c r="FB7" s="20">
        <f>SUM(FB8:FB707)</f>
        <v/>
      </c>
      <c r="FC7" s="20">
        <f>SUM(FC8:FC707)</f>
        <v/>
      </c>
      <c r="FD7" s="20">
        <f>SUM(FD8:FD707)</f>
        <v/>
      </c>
      <c r="FE7" s="20">
        <f>SUM(FE8:FE707)</f>
        <v/>
      </c>
      <c r="FF7" s="20">
        <f>SUM(FF8:FF707)</f>
        <v/>
      </c>
      <c r="FG7" s="20">
        <f>SUM(FG8:FG707)</f>
        <v/>
      </c>
      <c r="FH7" s="19" t="n"/>
      <c r="FI7" s="20">
        <f>SUM(FI8:FI707)</f>
        <v/>
      </c>
      <c r="FJ7" s="20">
        <f>SUM(FJ8:FJ707)</f>
        <v/>
      </c>
      <c r="FK7" s="20">
        <f>SUM(FK8:FK707)</f>
        <v/>
      </c>
      <c r="FL7" s="20">
        <f>SUM(FL8:FL707)</f>
        <v/>
      </c>
      <c r="FM7" s="20">
        <f>SUM(FM8:FM707)</f>
        <v/>
      </c>
      <c r="FN7" s="20">
        <f>SUM(FN8:FN707)</f>
        <v/>
      </c>
      <c r="FO7" s="19" t="n"/>
      <c r="FP7" s="20">
        <f>SUM(FP8:FP707)</f>
        <v/>
      </c>
      <c r="FQ7" s="20">
        <f>SUM(FQ8:FQ707)</f>
        <v/>
      </c>
      <c r="FR7" s="20">
        <f>SUM(FR8:FR707)</f>
        <v/>
      </c>
      <c r="FS7" s="20">
        <f>SUM(FS8:FS707)</f>
        <v/>
      </c>
      <c r="FT7" s="20">
        <f>SUM(FT8:FT707)</f>
        <v/>
      </c>
      <c r="FU7" s="20">
        <f>SUM(FU8:FU707)</f>
        <v/>
      </c>
      <c r="FV7" s="19" t="n"/>
      <c r="FW7" s="20">
        <f>SUM(FW8:FW707)</f>
        <v/>
      </c>
      <c r="FX7" s="20">
        <f>SUM(FX8:FX707)</f>
        <v/>
      </c>
      <c r="FY7" s="20">
        <f>SUM(FY8:FY707)</f>
        <v/>
      </c>
      <c r="FZ7" s="20">
        <f>SUM(FZ8:FZ707)</f>
        <v/>
      </c>
      <c r="GA7" s="20">
        <f>SUM(GA8:GA707)</f>
        <v/>
      </c>
      <c r="GB7" s="20">
        <f>SUM(GB8:GB707)</f>
        <v/>
      </c>
      <c r="GC7" s="19" t="n"/>
      <c r="GD7" s="20">
        <f>SUM(GD8:GD707)</f>
        <v/>
      </c>
      <c r="GE7" s="20">
        <f>SUM(GE8:GE707)</f>
        <v/>
      </c>
      <c r="GF7" s="20">
        <f>SUM(GF8:GF707)</f>
        <v/>
      </c>
      <c r="GG7" s="20">
        <f>SUM(GG8:GG707)</f>
        <v/>
      </c>
      <c r="GH7" s="20">
        <f>SUM(GH8:GH707)</f>
        <v/>
      </c>
      <c r="GI7" s="20">
        <f>SUM(GI8:GI707)</f>
        <v/>
      </c>
      <c r="GJ7" s="19" t="n"/>
      <c r="GK7" s="20">
        <f>SUM(GK8:GK707)</f>
        <v/>
      </c>
      <c r="GL7" s="20">
        <f>SUM(GL8:GL707)</f>
        <v/>
      </c>
      <c r="GM7" s="20">
        <f>SUM(GM8:GM707)</f>
        <v/>
      </c>
      <c r="GN7" s="20">
        <f>SUM(GN8:GN707)</f>
        <v/>
      </c>
      <c r="GO7" s="20">
        <f>SUM(GO8:GO707)</f>
        <v/>
      </c>
      <c r="GP7" s="20">
        <f>SUM(GP8:GP707)</f>
        <v/>
      </c>
      <c r="GQ7" s="19" t="n"/>
      <c r="GR7" s="20">
        <f>SUM(GR8:GR707)</f>
        <v/>
      </c>
      <c r="GS7" s="20">
        <f>SUM(GS8:GS707)</f>
        <v/>
      </c>
      <c r="GT7" s="20">
        <f>SUM(GT8:GT707)</f>
        <v/>
      </c>
      <c r="GU7" s="20">
        <f>SUM(GU8:GU707)</f>
        <v/>
      </c>
      <c r="GV7" s="20">
        <f>SUM(GV8:GV707)</f>
        <v/>
      </c>
      <c r="GW7" s="20">
        <f>SUM(GW8:GW707)</f>
        <v/>
      </c>
      <c r="GX7" s="19" t="n"/>
      <c r="GY7" s="20">
        <f>SUM(GY8:GY707)</f>
        <v/>
      </c>
      <c r="GZ7" s="20">
        <f>SUM(GZ8:GZ707)</f>
        <v/>
      </c>
      <c r="HA7" s="20">
        <f>SUM(HA8:HA707)</f>
        <v/>
      </c>
      <c r="HB7" s="20">
        <f>SUM(HB8:HB707)</f>
        <v/>
      </c>
      <c r="HC7" s="20">
        <f>SUM(HC8:HC707)</f>
        <v/>
      </c>
      <c r="HD7" s="20">
        <f>SUM(HD8:HD707)</f>
        <v/>
      </c>
      <c r="HE7" s="19" t="n"/>
      <c r="HF7" s="20">
        <f>SUM(HF8:HF707)</f>
        <v/>
      </c>
      <c r="HG7" s="20">
        <f>SUM(HG8:HG707)</f>
        <v/>
      </c>
      <c r="HH7" s="20">
        <f>SUM(HH8:HH707)</f>
        <v/>
      </c>
      <c r="HI7" s="20">
        <f>SUM(HI8:HI707)</f>
        <v/>
      </c>
      <c r="HJ7" s="20">
        <f>SUM(HJ8:HJ707)</f>
        <v/>
      </c>
      <c r="HK7" s="20">
        <f>SUM(HK8:HK707)</f>
        <v/>
      </c>
      <c r="HL7" s="19" t="n"/>
      <c r="HM7" s="20">
        <f>SUM(HM8:HM707)</f>
        <v/>
      </c>
      <c r="HN7" s="20">
        <f>SUM(HN8:HN707)</f>
        <v/>
      </c>
      <c r="HO7" s="20">
        <f>SUM(HO8:HO707)</f>
        <v/>
      </c>
      <c r="HP7" s="20">
        <f>SUM(HP8:HP707)</f>
        <v/>
      </c>
      <c r="HQ7" s="20">
        <f>SUM(HQ8:HQ707)</f>
        <v/>
      </c>
      <c r="HR7" s="20">
        <f>SUM(HR8:HR707)</f>
        <v/>
      </c>
      <c r="HS7" s="19" t="n"/>
      <c r="HT7" s="20">
        <f>SUM(HT8:HT707)</f>
        <v/>
      </c>
      <c r="HU7" s="20">
        <f>SUM(HU8:HU707)</f>
        <v/>
      </c>
      <c r="HV7" s="20">
        <f>SUM(HV8:HV707)</f>
        <v/>
      </c>
      <c r="HW7" s="20">
        <f>SUM(HW8:HW707)</f>
        <v/>
      </c>
      <c r="HX7" s="20">
        <f>SUM(HX8:HX707)</f>
        <v/>
      </c>
      <c r="HY7" s="20">
        <f>SUM(HY8:HY707)</f>
        <v/>
      </c>
      <c r="HZ7" s="19" t="n"/>
      <c r="IA7" s="20">
        <f>SUM(IA8:IA707)</f>
        <v/>
      </c>
      <c r="IB7" s="20">
        <f>SUM(IB8:IB707)</f>
        <v/>
      </c>
      <c r="IC7" s="20">
        <f>SUM(IC8:IC707)</f>
        <v/>
      </c>
      <c r="ID7" s="20">
        <f>SUM(ID8:ID707)</f>
        <v/>
      </c>
      <c r="IE7" s="20">
        <f>SUM(IE8:IE707)</f>
        <v/>
      </c>
      <c r="IF7" s="20">
        <f>SUM(IF8:IF707)</f>
        <v/>
      </c>
      <c r="IG7" s="19" t="n"/>
      <c r="IH7" s="20">
        <f>SUM(IH8:IH707)</f>
        <v/>
      </c>
      <c r="II7" s="20">
        <f>SUM(II8:II707)</f>
        <v/>
      </c>
      <c r="IJ7" s="20">
        <f>SUM(IJ8:IJ707)</f>
        <v/>
      </c>
      <c r="IK7" s="20">
        <f>SUM(IK8:IK707)</f>
        <v/>
      </c>
      <c r="IL7" s="20">
        <f>SUM(IL8:IL707)</f>
        <v/>
      </c>
      <c r="IM7" s="20">
        <f>SUM(IM8:IM707)</f>
        <v/>
      </c>
      <c r="IN7" s="19" t="n"/>
    </row>
    <row r="8">
      <c r="A8" s="21" t="inlineStr">
        <is>
          <t>BWL-2</t>
        </is>
      </c>
      <c r="B8" s="21" t="inlineStr">
        <is>
          <t>TISWL-01</t>
        </is>
      </c>
      <c r="C8" s="21" t="inlineStr">
        <is>
          <t>Buyer name</t>
        </is>
      </c>
      <c r="D8" s="21" t="inlineStr">
        <is>
          <t>EXAMPLE ST-4412</t>
        </is>
      </c>
      <c r="E8" s="21" t="inlineStr">
        <is>
          <t>PO-0001</t>
        </is>
      </c>
      <c r="F8" s="21" t="inlineStr">
        <is>
          <t>Denim Pant</t>
        </is>
      </c>
      <c r="G8" s="21" t="inlineStr">
        <is>
          <t>Dark Blue</t>
        </is>
      </c>
      <c r="H8" s="21" t="inlineStr">
        <is>
          <t>SP27</t>
        </is>
      </c>
      <c r="I8" s="22" t="n">
        <v>46354</v>
      </c>
      <c r="J8" s="22" t="n"/>
      <c r="K8" s="23" t="n">
        <v>20000</v>
      </c>
      <c r="L8" s="22" t="n">
        <v>46331</v>
      </c>
      <c r="M8" s="22" t="n">
        <v>46341</v>
      </c>
      <c r="N8" s="21" t="inlineStr">
        <is>
          <t>EXAMPLE - delete me</t>
        </is>
      </c>
      <c r="O8" s="23" t="n"/>
      <c r="P8" s="23" t="n"/>
      <c r="Q8" s="23" t="n"/>
      <c r="R8" s="23" t="n"/>
      <c r="S8" s="22" t="n"/>
      <c r="T8" s="23" t="n"/>
      <c r="U8" s="23" t="n"/>
      <c r="V8" s="24">
        <f>IF(J8&lt;&gt;"",J8,IF(I8&lt;&gt;"",I8,""))</f>
        <v/>
      </c>
      <c r="W8" s="25">
        <f>IF($E8="","",N(O8)+SUMIFS($AF8:$IN8,$AF$4:$IN$4,"SEW_ACT"))</f>
        <v/>
      </c>
      <c r="X8" s="25">
        <f>IF($E8="","",N(P8)+SUMIFS($AF8:$IN8,$AF$4:$IN$4,"WASH_ACT"))</f>
        <v/>
      </c>
      <c r="Y8" s="25">
        <f>IF($E8="","",W8-X8-N(T8)-N(U8))</f>
        <v/>
      </c>
      <c r="Z8" s="25">
        <f>IF($E8="","",IF(N(K8)-X8&lt;=0.02*N(K8),0,N(K8)-X8))</f>
        <v/>
      </c>
      <c r="AA8" s="24">
        <f>IF($E8="","",IF(S8&lt;&gt;"",S8,IF(N(O8)&gt;0,IF(L8&lt;&gt;"",L8,99999),IFERROR(1/(1/_xlfn.MINIFS($AF$3:$IN$3,$AF$4:$IN$4,"SEW_ACT",$AF8:$IN8,"&gt;0")),99999))))</f>
        <v/>
      </c>
      <c r="AB8" s="26">
        <f>IF(OR($E8="",Z8=0,V8=""),"",1+COUNTIFS(Z$8:Z$707,"&gt;0",V$8:V$707,"&lt;"&amp;V8)+COUNTIFS(Z$8:Z$707,"&gt;0",V$8:V$707,V8,AA$8:AA$707,"&lt;"&amp;AA8)+COUNTIFS(Z$8:Z$707,"&gt;0",V$8:V$707,V8,AA$8:AA$707,AA8,E$8:E$707,"&lt;"&amp;$E8))</f>
        <v/>
      </c>
      <c r="AC8" s="24">
        <f>IF(OR($E8="",Z8=0),"",IFERROR(TODAY()+ROUNDUP(Z8/(SUMIFS($AF8:$IN8,$AF$4:$IN$4,"WASH_ACT")/COUNTIFS($AF$4:$IN$4,"WASH_ACT",$AF8:$IN8,"&gt;0")),0),"no output yet"))</f>
        <v/>
      </c>
      <c r="AD8" s="26">
        <f>IF($E8="","",IFERROR(ROUND(MAX(0,SUMIFS($AF8:$IN8,$AF$4:$IN$4,"SEW_PLAN",$AF$3:$IN$3,"&lt;="&amp;TODAY())-SUMIFS($AF8:$IN8,$AF$4:$IN$4,"SEW_ACT",$AF$3:$IN$3,"&lt;="&amp;TODAY())+N(Q8))/(SUMIFS($AF8:$IN8,$AF$4:$IN$4,"SEW_PLAN")/COUNTIFS($AF$4:$IN$4,"SEW_PLAN",$AF8:$IN8,"&gt;0")),1),0))</f>
        <v/>
      </c>
      <c r="AE8" s="26">
        <f>IF($E8="","",IF(AND(Z8&gt;0,OR(AND(M8&lt;&gt;"",TODAY()&gt;M8),AND(V8&lt;&gt;"",V8-TODAY()&lt;=7))),"Yes","No"))</f>
        <v/>
      </c>
      <c r="AH8">
        <f>IF(OR(AF$3="",AF$3&gt;TODAY()),"",IF(AND(AF8="",AG8=""),"",N(AG8)-N(AF8)))</f>
        <v/>
      </c>
      <c r="AK8">
        <f>IF(OR(AF$3="",AF$3&gt;TODAY()),"",IF(AND(AI8="",AJ8=""),"",N(AJ8)-N(AI8)))</f>
        <v/>
      </c>
      <c r="AO8">
        <f>IF(OR(AM$3="",AM$3&gt;TODAY()),"",IF(AND(AM8="",AN8=""),"",N(AN8)-N(AM8)))</f>
        <v/>
      </c>
      <c r="AR8">
        <f>IF(OR(AM$3="",AM$3&gt;TODAY()),"",IF(AND(AP8="",AQ8=""),"",N(AQ8)-N(AP8)))</f>
        <v/>
      </c>
      <c r="AV8">
        <f>IF(OR(AT$3="",AT$3&gt;TODAY()),"",IF(AND(AT8="",AU8=""),"",N(AU8)-N(AT8)))</f>
        <v/>
      </c>
      <c r="AY8">
        <f>IF(OR(AT$3="",AT$3&gt;TODAY()),"",IF(AND(AW8="",AX8=""),"",N(AX8)-N(AW8)))</f>
        <v/>
      </c>
      <c r="BC8">
        <f>IF(OR(BA$3="",BA$3&gt;TODAY()),"",IF(AND(BA8="",BB8=""),"",N(BB8)-N(BA8)))</f>
        <v/>
      </c>
      <c r="BF8">
        <f>IF(OR(BA$3="",BA$3&gt;TODAY()),"",IF(AND(BD8="",BE8=""),"",N(BE8)-N(BD8)))</f>
        <v/>
      </c>
      <c r="BJ8">
        <f>IF(OR(BH$3="",BH$3&gt;TODAY()),"",IF(AND(BH8="",BI8=""),"",N(BI8)-N(BH8)))</f>
        <v/>
      </c>
      <c r="BM8">
        <f>IF(OR(BH$3="",BH$3&gt;TODAY()),"",IF(AND(BK8="",BL8=""),"",N(BL8)-N(BK8)))</f>
        <v/>
      </c>
      <c r="BQ8">
        <f>IF(OR(BO$3="",BO$3&gt;TODAY()),"",IF(AND(BO8="",BP8=""),"",N(BP8)-N(BO8)))</f>
        <v/>
      </c>
      <c r="BT8">
        <f>IF(OR(BO$3="",BO$3&gt;TODAY()),"",IF(AND(BR8="",BS8=""),"",N(BS8)-N(BR8)))</f>
        <v/>
      </c>
      <c r="BX8">
        <f>IF(OR(BV$3="",BV$3&gt;TODAY()),"",IF(AND(BV8="",BW8=""),"",N(BW8)-N(BV8)))</f>
        <v/>
      </c>
      <c r="CA8">
        <f>IF(OR(BV$3="",BV$3&gt;TODAY()),"",IF(AND(BY8="",BZ8=""),"",N(BZ8)-N(BY8)))</f>
        <v/>
      </c>
      <c r="CE8">
        <f>IF(OR(CC$3="",CC$3&gt;TODAY()),"",IF(AND(CC8="",CD8=""),"",N(CD8)-N(CC8)))</f>
        <v/>
      </c>
      <c r="CH8">
        <f>IF(OR(CC$3="",CC$3&gt;TODAY()),"",IF(AND(CF8="",CG8=""),"",N(CG8)-N(CF8)))</f>
        <v/>
      </c>
      <c r="CL8">
        <f>IF(OR(CJ$3="",CJ$3&gt;TODAY()),"",IF(AND(CJ8="",CK8=""),"",N(CK8)-N(CJ8)))</f>
        <v/>
      </c>
      <c r="CO8">
        <f>IF(OR(CJ$3="",CJ$3&gt;TODAY()),"",IF(AND(CM8="",CN8=""),"",N(CN8)-N(CM8)))</f>
        <v/>
      </c>
      <c r="CS8">
        <f>IF(OR(CQ$3="",CQ$3&gt;TODAY()),"",IF(AND(CQ8="",CR8=""),"",N(CR8)-N(CQ8)))</f>
        <v/>
      </c>
      <c r="CV8">
        <f>IF(OR(CQ$3="",CQ$3&gt;TODAY()),"",IF(AND(CT8="",CU8=""),"",N(CU8)-N(CT8)))</f>
        <v/>
      </c>
      <c r="CZ8">
        <f>IF(OR(CX$3="",CX$3&gt;TODAY()),"",IF(AND(CX8="",CY8=""),"",N(CY8)-N(CX8)))</f>
        <v/>
      </c>
      <c r="DC8">
        <f>IF(OR(CX$3="",CX$3&gt;TODAY()),"",IF(AND(DA8="",DB8=""),"",N(DB8)-N(DA8)))</f>
        <v/>
      </c>
      <c r="DG8">
        <f>IF(OR(DE$3="",DE$3&gt;TODAY()),"",IF(AND(DE8="",DF8=""),"",N(DF8)-N(DE8)))</f>
        <v/>
      </c>
      <c r="DJ8">
        <f>IF(OR(DE$3="",DE$3&gt;TODAY()),"",IF(AND(DH8="",DI8=""),"",N(DI8)-N(DH8)))</f>
        <v/>
      </c>
      <c r="DN8">
        <f>IF(OR(DL$3="",DL$3&gt;TODAY()),"",IF(AND(DL8="",DM8=""),"",N(DM8)-N(DL8)))</f>
        <v/>
      </c>
      <c r="DQ8">
        <f>IF(OR(DL$3="",DL$3&gt;TODAY()),"",IF(AND(DO8="",DP8=""),"",N(DP8)-N(DO8)))</f>
        <v/>
      </c>
      <c r="DU8">
        <f>IF(OR(DS$3="",DS$3&gt;TODAY()),"",IF(AND(DS8="",DT8=""),"",N(DT8)-N(DS8)))</f>
        <v/>
      </c>
      <c r="DX8">
        <f>IF(OR(DS$3="",DS$3&gt;TODAY()),"",IF(AND(DV8="",DW8=""),"",N(DW8)-N(DV8)))</f>
        <v/>
      </c>
      <c r="EB8">
        <f>IF(OR(DZ$3="",DZ$3&gt;TODAY()),"",IF(AND(DZ8="",EA8=""),"",N(EA8)-N(DZ8)))</f>
        <v/>
      </c>
      <c r="EE8">
        <f>IF(OR(DZ$3="",DZ$3&gt;TODAY()),"",IF(AND(EC8="",ED8=""),"",N(ED8)-N(EC8)))</f>
        <v/>
      </c>
      <c r="EI8">
        <f>IF(OR(EG$3="",EG$3&gt;TODAY()),"",IF(AND(EG8="",EH8=""),"",N(EH8)-N(EG8)))</f>
        <v/>
      </c>
      <c r="EL8">
        <f>IF(OR(EG$3="",EG$3&gt;TODAY()),"",IF(AND(EJ8="",EK8=""),"",N(EK8)-N(EJ8)))</f>
        <v/>
      </c>
      <c r="EP8">
        <f>IF(OR(EN$3="",EN$3&gt;TODAY()),"",IF(AND(EN8="",EO8=""),"",N(EO8)-N(EN8)))</f>
        <v/>
      </c>
      <c r="ES8">
        <f>IF(OR(EN$3="",EN$3&gt;TODAY()),"",IF(AND(EQ8="",ER8=""),"",N(ER8)-N(EQ8)))</f>
        <v/>
      </c>
      <c r="EW8">
        <f>IF(OR(EU$3="",EU$3&gt;TODAY()),"",IF(AND(EU8="",EV8=""),"",N(EV8)-N(EU8)))</f>
        <v/>
      </c>
      <c r="EZ8">
        <f>IF(OR(EU$3="",EU$3&gt;TODAY()),"",IF(AND(EX8="",EY8=""),"",N(EY8)-N(EX8)))</f>
        <v/>
      </c>
      <c r="FD8">
        <f>IF(OR(FB$3="",FB$3&gt;TODAY()),"",IF(AND(FB8="",FC8=""),"",N(FC8)-N(FB8)))</f>
        <v/>
      </c>
      <c r="FG8">
        <f>IF(OR(FB$3="",FB$3&gt;TODAY()),"",IF(AND(FE8="",FF8=""),"",N(FF8)-N(FE8)))</f>
        <v/>
      </c>
      <c r="FK8">
        <f>IF(OR(FI$3="",FI$3&gt;TODAY()),"",IF(AND(FI8="",FJ8=""),"",N(FJ8)-N(FI8)))</f>
        <v/>
      </c>
      <c r="FN8">
        <f>IF(OR(FI$3="",FI$3&gt;TODAY()),"",IF(AND(FL8="",FM8=""),"",N(FM8)-N(FL8)))</f>
        <v/>
      </c>
      <c r="FR8">
        <f>IF(OR(FP$3="",FP$3&gt;TODAY()),"",IF(AND(FP8="",FQ8=""),"",N(FQ8)-N(FP8)))</f>
        <v/>
      </c>
      <c r="FU8">
        <f>IF(OR(FP$3="",FP$3&gt;TODAY()),"",IF(AND(FS8="",FT8=""),"",N(FT8)-N(FS8)))</f>
        <v/>
      </c>
      <c r="FY8">
        <f>IF(OR(FW$3="",FW$3&gt;TODAY()),"",IF(AND(FW8="",FX8=""),"",N(FX8)-N(FW8)))</f>
        <v/>
      </c>
      <c r="GB8">
        <f>IF(OR(FW$3="",FW$3&gt;TODAY()),"",IF(AND(FZ8="",GA8=""),"",N(GA8)-N(FZ8)))</f>
        <v/>
      </c>
      <c r="GF8">
        <f>IF(OR(GD$3="",GD$3&gt;TODAY()),"",IF(AND(GD8="",GE8=""),"",N(GE8)-N(GD8)))</f>
        <v/>
      </c>
      <c r="GI8">
        <f>IF(OR(GD$3="",GD$3&gt;TODAY()),"",IF(AND(GG8="",GH8=""),"",N(GH8)-N(GG8)))</f>
        <v/>
      </c>
      <c r="GM8">
        <f>IF(OR(GK$3="",GK$3&gt;TODAY()),"",IF(AND(GK8="",GL8=""),"",N(GL8)-N(GK8)))</f>
        <v/>
      </c>
      <c r="GP8">
        <f>IF(OR(GK$3="",GK$3&gt;TODAY()),"",IF(AND(GN8="",GO8=""),"",N(GO8)-N(GN8)))</f>
        <v/>
      </c>
      <c r="GT8">
        <f>IF(OR(GR$3="",GR$3&gt;TODAY()),"",IF(AND(GR8="",GS8=""),"",N(GS8)-N(GR8)))</f>
        <v/>
      </c>
      <c r="GW8">
        <f>IF(OR(GR$3="",GR$3&gt;TODAY()),"",IF(AND(GU8="",GV8=""),"",N(GV8)-N(GU8)))</f>
        <v/>
      </c>
      <c r="HA8">
        <f>IF(OR(GY$3="",GY$3&gt;TODAY()),"",IF(AND(GY8="",GZ8=""),"",N(GZ8)-N(GY8)))</f>
        <v/>
      </c>
      <c r="HD8">
        <f>IF(OR(GY$3="",GY$3&gt;TODAY()),"",IF(AND(HB8="",HC8=""),"",N(HC8)-N(HB8)))</f>
        <v/>
      </c>
      <c r="HH8">
        <f>IF(OR(HF$3="",HF$3&gt;TODAY()),"",IF(AND(HF8="",HG8=""),"",N(HG8)-N(HF8)))</f>
        <v/>
      </c>
      <c r="HK8">
        <f>IF(OR(HF$3="",HF$3&gt;TODAY()),"",IF(AND(HI8="",HJ8=""),"",N(HJ8)-N(HI8)))</f>
        <v/>
      </c>
      <c r="HO8">
        <f>IF(OR(HM$3="",HM$3&gt;TODAY()),"",IF(AND(HM8="",HN8=""),"",N(HN8)-N(HM8)))</f>
        <v/>
      </c>
      <c r="HR8">
        <f>IF(OR(HM$3="",HM$3&gt;TODAY()),"",IF(AND(HP8="",HQ8=""),"",N(HQ8)-N(HP8)))</f>
        <v/>
      </c>
      <c r="HV8">
        <f>IF(OR(HT$3="",HT$3&gt;TODAY()),"",IF(AND(HT8="",HU8=""),"",N(HU8)-N(HT8)))</f>
        <v/>
      </c>
      <c r="HY8">
        <f>IF(OR(HT$3="",HT$3&gt;TODAY()),"",IF(AND(HW8="",HX8=""),"",N(HX8)-N(HW8)))</f>
        <v/>
      </c>
      <c r="IC8">
        <f>IF(OR(IA$3="",IA$3&gt;TODAY()),"",IF(AND(IA8="",IB8=""),"",N(IB8)-N(IA8)))</f>
        <v/>
      </c>
      <c r="IF8">
        <f>IF(OR(IA$3="",IA$3&gt;TODAY()),"",IF(AND(ID8="",IE8=""),"",N(IE8)-N(ID8)))</f>
        <v/>
      </c>
      <c r="IJ8">
        <f>IF(OR(IH$3="",IH$3&gt;TODAY()),"",IF(AND(IH8="",II8=""),"",N(II8)-N(IH8)))</f>
        <v/>
      </c>
      <c r="IM8">
        <f>IF(OR(IH$3="",IH$3&gt;TODAY()),"",IF(AND(IK8="",IL8=""),"",N(IL8)-N(IK8)))</f>
        <v/>
      </c>
    </row>
    <row r="9">
      <c r="A9" s="21" t="n"/>
      <c r="B9" s="21" t="n"/>
      <c r="C9" s="21" t="n"/>
      <c r="D9" s="21" t="n"/>
      <c r="E9" s="21" t="n"/>
      <c r="F9" s="21" t="n"/>
      <c r="G9" s="21" t="n"/>
      <c r="H9" s="21" t="n"/>
      <c r="I9" s="22" t="n"/>
      <c r="J9" s="22" t="n"/>
      <c r="K9" s="23" t="n"/>
      <c r="L9" s="22" t="n"/>
      <c r="M9" s="22" t="n"/>
      <c r="N9" s="21" t="n"/>
      <c r="O9" s="23" t="n"/>
      <c r="P9" s="23" t="n"/>
      <c r="Q9" s="23" t="n"/>
      <c r="R9" s="23" t="n"/>
      <c r="S9" s="22" t="n"/>
      <c r="T9" s="23" t="n"/>
      <c r="U9" s="23" t="n"/>
      <c r="V9" s="24">
        <f>IF(J9&lt;&gt;"",J9,IF(I9&lt;&gt;"",I9,""))</f>
        <v/>
      </c>
      <c r="W9" s="25">
        <f>IF($E9="","",N(O9)+SUMIFS($AF9:$IN9,$AF$4:$IN$4,"SEW_ACT"))</f>
        <v/>
      </c>
      <c r="X9" s="25">
        <f>IF($E9="","",N(P9)+SUMIFS($AF9:$IN9,$AF$4:$IN$4,"WASH_ACT"))</f>
        <v/>
      </c>
      <c r="Y9" s="25">
        <f>IF($E9="","",W9-X9-N(T9)-N(U9))</f>
        <v/>
      </c>
      <c r="Z9" s="25">
        <f>IF($E9="","",IF(N(K9)-X9&lt;=0.02*N(K9),0,N(K9)-X9))</f>
        <v/>
      </c>
      <c r="AA9" s="24">
        <f>IF($E9="","",IF(S9&lt;&gt;"",S9,IF(N(O9)&gt;0,IF(L9&lt;&gt;"",L9,99999),IFERROR(1/(1/_xlfn.MINIFS($AF$3:$IN$3,$AF$4:$IN$4,"SEW_ACT",$AF9:$IN9,"&gt;0")),99999))))</f>
        <v/>
      </c>
      <c r="AB9" s="26">
        <f>IF(OR($E9="",Z9=0,V9=""),"",1+COUNTIFS(Z$8:Z$707,"&gt;0",V$8:V$707,"&lt;"&amp;V9)+COUNTIFS(Z$8:Z$707,"&gt;0",V$8:V$707,V9,AA$8:AA$707,"&lt;"&amp;AA9)+COUNTIFS(Z$8:Z$707,"&gt;0",V$8:V$707,V9,AA$8:AA$707,AA9,E$8:E$707,"&lt;"&amp;$E9))</f>
        <v/>
      </c>
      <c r="AC9" s="24">
        <f>IF(OR($E9="",Z9=0),"",IFERROR(TODAY()+ROUNDUP(Z9/(SUMIFS($AF9:$IN9,$AF$4:$IN$4,"WASH_ACT")/COUNTIFS($AF$4:$IN$4,"WASH_ACT",$AF9:$IN9,"&gt;0")),0),"no output yet"))</f>
        <v/>
      </c>
      <c r="AD9" s="26">
        <f>IF($E9="","",IFERROR(ROUND(MAX(0,SUMIFS($AF9:$IN9,$AF$4:$IN$4,"SEW_PLAN",$AF$3:$IN$3,"&lt;="&amp;TODAY())-SUMIFS($AF9:$IN9,$AF$4:$IN$4,"SEW_ACT",$AF$3:$IN$3,"&lt;="&amp;TODAY())+N(Q9))/(SUMIFS($AF9:$IN9,$AF$4:$IN$4,"SEW_PLAN")/COUNTIFS($AF$4:$IN$4,"SEW_PLAN",$AF9:$IN9,"&gt;0")),1),0))</f>
        <v/>
      </c>
      <c r="AE9" s="26">
        <f>IF($E9="","",IF(AND(Z9&gt;0,OR(AND(M9&lt;&gt;"",TODAY()&gt;M9),AND(V9&lt;&gt;"",V9-TODAY()&lt;=7))),"Yes","No"))</f>
        <v/>
      </c>
      <c r="AH9">
        <f>IF(OR(AF$3="",AF$3&gt;TODAY()),"",IF(AND(AF9="",AG9=""),"",N(AG9)-N(AF9)))</f>
        <v/>
      </c>
      <c r="AK9">
        <f>IF(OR(AF$3="",AF$3&gt;TODAY()),"",IF(AND(AI9="",AJ9=""),"",N(AJ9)-N(AI9)))</f>
        <v/>
      </c>
      <c r="AO9">
        <f>IF(OR(AM$3="",AM$3&gt;TODAY()),"",IF(AND(AM9="",AN9=""),"",N(AN9)-N(AM9)))</f>
        <v/>
      </c>
      <c r="AR9">
        <f>IF(OR(AM$3="",AM$3&gt;TODAY()),"",IF(AND(AP9="",AQ9=""),"",N(AQ9)-N(AP9)))</f>
        <v/>
      </c>
      <c r="AV9">
        <f>IF(OR(AT$3="",AT$3&gt;TODAY()),"",IF(AND(AT9="",AU9=""),"",N(AU9)-N(AT9)))</f>
        <v/>
      </c>
      <c r="AY9">
        <f>IF(OR(AT$3="",AT$3&gt;TODAY()),"",IF(AND(AW9="",AX9=""),"",N(AX9)-N(AW9)))</f>
        <v/>
      </c>
      <c r="BC9">
        <f>IF(OR(BA$3="",BA$3&gt;TODAY()),"",IF(AND(BA9="",BB9=""),"",N(BB9)-N(BA9)))</f>
        <v/>
      </c>
      <c r="BF9">
        <f>IF(OR(BA$3="",BA$3&gt;TODAY()),"",IF(AND(BD9="",BE9=""),"",N(BE9)-N(BD9)))</f>
        <v/>
      </c>
      <c r="BJ9">
        <f>IF(OR(BH$3="",BH$3&gt;TODAY()),"",IF(AND(BH9="",BI9=""),"",N(BI9)-N(BH9)))</f>
        <v/>
      </c>
      <c r="BM9">
        <f>IF(OR(BH$3="",BH$3&gt;TODAY()),"",IF(AND(BK9="",BL9=""),"",N(BL9)-N(BK9)))</f>
        <v/>
      </c>
      <c r="BQ9">
        <f>IF(OR(BO$3="",BO$3&gt;TODAY()),"",IF(AND(BO9="",BP9=""),"",N(BP9)-N(BO9)))</f>
        <v/>
      </c>
      <c r="BT9">
        <f>IF(OR(BO$3="",BO$3&gt;TODAY()),"",IF(AND(BR9="",BS9=""),"",N(BS9)-N(BR9)))</f>
        <v/>
      </c>
      <c r="BX9">
        <f>IF(OR(BV$3="",BV$3&gt;TODAY()),"",IF(AND(BV9="",BW9=""),"",N(BW9)-N(BV9)))</f>
        <v/>
      </c>
      <c r="CA9">
        <f>IF(OR(BV$3="",BV$3&gt;TODAY()),"",IF(AND(BY9="",BZ9=""),"",N(BZ9)-N(BY9)))</f>
        <v/>
      </c>
      <c r="CE9">
        <f>IF(OR(CC$3="",CC$3&gt;TODAY()),"",IF(AND(CC9="",CD9=""),"",N(CD9)-N(CC9)))</f>
        <v/>
      </c>
      <c r="CH9">
        <f>IF(OR(CC$3="",CC$3&gt;TODAY()),"",IF(AND(CF9="",CG9=""),"",N(CG9)-N(CF9)))</f>
        <v/>
      </c>
      <c r="CL9">
        <f>IF(OR(CJ$3="",CJ$3&gt;TODAY()),"",IF(AND(CJ9="",CK9=""),"",N(CK9)-N(CJ9)))</f>
        <v/>
      </c>
      <c r="CO9">
        <f>IF(OR(CJ$3="",CJ$3&gt;TODAY()),"",IF(AND(CM9="",CN9=""),"",N(CN9)-N(CM9)))</f>
        <v/>
      </c>
      <c r="CS9">
        <f>IF(OR(CQ$3="",CQ$3&gt;TODAY()),"",IF(AND(CQ9="",CR9=""),"",N(CR9)-N(CQ9)))</f>
        <v/>
      </c>
      <c r="CV9">
        <f>IF(OR(CQ$3="",CQ$3&gt;TODAY()),"",IF(AND(CT9="",CU9=""),"",N(CU9)-N(CT9)))</f>
        <v/>
      </c>
      <c r="CZ9">
        <f>IF(OR(CX$3="",CX$3&gt;TODAY()),"",IF(AND(CX9="",CY9=""),"",N(CY9)-N(CX9)))</f>
        <v/>
      </c>
      <c r="DC9">
        <f>IF(OR(CX$3="",CX$3&gt;TODAY()),"",IF(AND(DA9="",DB9=""),"",N(DB9)-N(DA9)))</f>
        <v/>
      </c>
      <c r="DG9">
        <f>IF(OR(DE$3="",DE$3&gt;TODAY()),"",IF(AND(DE9="",DF9=""),"",N(DF9)-N(DE9)))</f>
        <v/>
      </c>
      <c r="DJ9">
        <f>IF(OR(DE$3="",DE$3&gt;TODAY()),"",IF(AND(DH9="",DI9=""),"",N(DI9)-N(DH9)))</f>
        <v/>
      </c>
      <c r="DN9">
        <f>IF(OR(DL$3="",DL$3&gt;TODAY()),"",IF(AND(DL9="",DM9=""),"",N(DM9)-N(DL9)))</f>
        <v/>
      </c>
      <c r="DQ9">
        <f>IF(OR(DL$3="",DL$3&gt;TODAY()),"",IF(AND(DO9="",DP9=""),"",N(DP9)-N(DO9)))</f>
        <v/>
      </c>
      <c r="DU9">
        <f>IF(OR(DS$3="",DS$3&gt;TODAY()),"",IF(AND(DS9="",DT9=""),"",N(DT9)-N(DS9)))</f>
        <v/>
      </c>
      <c r="DX9">
        <f>IF(OR(DS$3="",DS$3&gt;TODAY()),"",IF(AND(DV9="",DW9=""),"",N(DW9)-N(DV9)))</f>
        <v/>
      </c>
      <c r="EB9">
        <f>IF(OR(DZ$3="",DZ$3&gt;TODAY()),"",IF(AND(DZ9="",EA9=""),"",N(EA9)-N(DZ9)))</f>
        <v/>
      </c>
      <c r="EE9">
        <f>IF(OR(DZ$3="",DZ$3&gt;TODAY()),"",IF(AND(EC9="",ED9=""),"",N(ED9)-N(EC9)))</f>
        <v/>
      </c>
      <c r="EI9">
        <f>IF(OR(EG$3="",EG$3&gt;TODAY()),"",IF(AND(EG9="",EH9=""),"",N(EH9)-N(EG9)))</f>
        <v/>
      </c>
      <c r="EL9">
        <f>IF(OR(EG$3="",EG$3&gt;TODAY()),"",IF(AND(EJ9="",EK9=""),"",N(EK9)-N(EJ9)))</f>
        <v/>
      </c>
      <c r="EP9">
        <f>IF(OR(EN$3="",EN$3&gt;TODAY()),"",IF(AND(EN9="",EO9=""),"",N(EO9)-N(EN9)))</f>
        <v/>
      </c>
      <c r="ES9">
        <f>IF(OR(EN$3="",EN$3&gt;TODAY()),"",IF(AND(EQ9="",ER9=""),"",N(ER9)-N(EQ9)))</f>
        <v/>
      </c>
      <c r="EW9">
        <f>IF(OR(EU$3="",EU$3&gt;TODAY()),"",IF(AND(EU9="",EV9=""),"",N(EV9)-N(EU9)))</f>
        <v/>
      </c>
      <c r="EZ9">
        <f>IF(OR(EU$3="",EU$3&gt;TODAY()),"",IF(AND(EX9="",EY9=""),"",N(EY9)-N(EX9)))</f>
        <v/>
      </c>
      <c r="FD9">
        <f>IF(OR(FB$3="",FB$3&gt;TODAY()),"",IF(AND(FB9="",FC9=""),"",N(FC9)-N(FB9)))</f>
        <v/>
      </c>
      <c r="FG9">
        <f>IF(OR(FB$3="",FB$3&gt;TODAY()),"",IF(AND(FE9="",FF9=""),"",N(FF9)-N(FE9)))</f>
        <v/>
      </c>
      <c r="FK9">
        <f>IF(OR(FI$3="",FI$3&gt;TODAY()),"",IF(AND(FI9="",FJ9=""),"",N(FJ9)-N(FI9)))</f>
        <v/>
      </c>
      <c r="FN9">
        <f>IF(OR(FI$3="",FI$3&gt;TODAY()),"",IF(AND(FL9="",FM9=""),"",N(FM9)-N(FL9)))</f>
        <v/>
      </c>
      <c r="FR9">
        <f>IF(OR(FP$3="",FP$3&gt;TODAY()),"",IF(AND(FP9="",FQ9=""),"",N(FQ9)-N(FP9)))</f>
        <v/>
      </c>
      <c r="FU9">
        <f>IF(OR(FP$3="",FP$3&gt;TODAY()),"",IF(AND(FS9="",FT9=""),"",N(FT9)-N(FS9)))</f>
        <v/>
      </c>
      <c r="FY9">
        <f>IF(OR(FW$3="",FW$3&gt;TODAY()),"",IF(AND(FW9="",FX9=""),"",N(FX9)-N(FW9)))</f>
        <v/>
      </c>
      <c r="GB9">
        <f>IF(OR(FW$3="",FW$3&gt;TODAY()),"",IF(AND(FZ9="",GA9=""),"",N(GA9)-N(FZ9)))</f>
        <v/>
      </c>
      <c r="GF9">
        <f>IF(OR(GD$3="",GD$3&gt;TODAY()),"",IF(AND(GD9="",GE9=""),"",N(GE9)-N(GD9)))</f>
        <v/>
      </c>
      <c r="GI9">
        <f>IF(OR(GD$3="",GD$3&gt;TODAY()),"",IF(AND(GG9="",GH9=""),"",N(GH9)-N(GG9)))</f>
        <v/>
      </c>
      <c r="GM9">
        <f>IF(OR(GK$3="",GK$3&gt;TODAY()),"",IF(AND(GK9="",GL9=""),"",N(GL9)-N(GK9)))</f>
        <v/>
      </c>
      <c r="GP9">
        <f>IF(OR(GK$3="",GK$3&gt;TODAY()),"",IF(AND(GN9="",GO9=""),"",N(GO9)-N(GN9)))</f>
        <v/>
      </c>
      <c r="GT9">
        <f>IF(OR(GR$3="",GR$3&gt;TODAY()),"",IF(AND(GR9="",GS9=""),"",N(GS9)-N(GR9)))</f>
        <v/>
      </c>
      <c r="GW9">
        <f>IF(OR(GR$3="",GR$3&gt;TODAY()),"",IF(AND(GU9="",GV9=""),"",N(GV9)-N(GU9)))</f>
        <v/>
      </c>
      <c r="HA9">
        <f>IF(OR(GY$3="",GY$3&gt;TODAY()),"",IF(AND(GY9="",GZ9=""),"",N(GZ9)-N(GY9)))</f>
        <v/>
      </c>
      <c r="HD9">
        <f>IF(OR(GY$3="",GY$3&gt;TODAY()),"",IF(AND(HB9="",HC9=""),"",N(HC9)-N(HB9)))</f>
        <v/>
      </c>
      <c r="HH9">
        <f>IF(OR(HF$3="",HF$3&gt;TODAY()),"",IF(AND(HF9="",HG9=""),"",N(HG9)-N(HF9)))</f>
        <v/>
      </c>
      <c r="HK9">
        <f>IF(OR(HF$3="",HF$3&gt;TODAY()),"",IF(AND(HI9="",HJ9=""),"",N(HJ9)-N(HI9)))</f>
        <v/>
      </c>
      <c r="HO9">
        <f>IF(OR(HM$3="",HM$3&gt;TODAY()),"",IF(AND(HM9="",HN9=""),"",N(HN9)-N(HM9)))</f>
        <v/>
      </c>
      <c r="HR9">
        <f>IF(OR(HM$3="",HM$3&gt;TODAY()),"",IF(AND(HP9="",HQ9=""),"",N(HQ9)-N(HP9)))</f>
        <v/>
      </c>
      <c r="HV9">
        <f>IF(OR(HT$3="",HT$3&gt;TODAY()),"",IF(AND(HT9="",HU9=""),"",N(HU9)-N(HT9)))</f>
        <v/>
      </c>
      <c r="HY9">
        <f>IF(OR(HT$3="",HT$3&gt;TODAY()),"",IF(AND(HW9="",HX9=""),"",N(HX9)-N(HW9)))</f>
        <v/>
      </c>
      <c r="IC9">
        <f>IF(OR(IA$3="",IA$3&gt;TODAY()),"",IF(AND(IA9="",IB9=""),"",N(IB9)-N(IA9)))</f>
        <v/>
      </c>
      <c r="IF9">
        <f>IF(OR(IA$3="",IA$3&gt;TODAY()),"",IF(AND(ID9="",IE9=""),"",N(IE9)-N(ID9)))</f>
        <v/>
      </c>
      <c r="IJ9">
        <f>IF(OR(IH$3="",IH$3&gt;TODAY()),"",IF(AND(IH9="",II9=""),"",N(II9)-N(IH9)))</f>
        <v/>
      </c>
      <c r="IM9">
        <f>IF(OR(IH$3="",IH$3&gt;TODAY()),"",IF(AND(IK9="",IL9=""),"",N(IL9)-N(IK9)))</f>
        <v/>
      </c>
    </row>
    <row r="10">
      <c r="A10" s="21" t="n"/>
      <c r="B10" s="21" t="n"/>
      <c r="C10" s="21" t="n"/>
      <c r="D10" s="21" t="n"/>
      <c r="E10" s="21" t="n"/>
      <c r="F10" s="21" t="n"/>
      <c r="G10" s="21" t="n"/>
      <c r="H10" s="21" t="n"/>
      <c r="I10" s="22" t="n"/>
      <c r="J10" s="22" t="n"/>
      <c r="K10" s="23" t="n"/>
      <c r="L10" s="22" t="n"/>
      <c r="M10" s="22" t="n"/>
      <c r="N10" s="21" t="n"/>
      <c r="O10" s="23" t="n"/>
      <c r="P10" s="23" t="n"/>
      <c r="Q10" s="23" t="n"/>
      <c r="R10" s="23" t="n"/>
      <c r="S10" s="22" t="n"/>
      <c r="T10" s="23" t="n"/>
      <c r="U10" s="23" t="n"/>
      <c r="V10" s="24">
        <f>IF(J10&lt;&gt;"",J10,IF(I10&lt;&gt;"",I10,""))</f>
        <v/>
      </c>
      <c r="W10" s="25">
        <f>IF($E10="","",N(O10)+SUMIFS($AF10:$IN10,$AF$4:$IN$4,"SEW_ACT"))</f>
        <v/>
      </c>
      <c r="X10" s="25">
        <f>IF($E10="","",N(P10)+SUMIFS($AF10:$IN10,$AF$4:$IN$4,"WASH_ACT"))</f>
        <v/>
      </c>
      <c r="Y10" s="25">
        <f>IF($E10="","",W10-X10-N(T10)-N(U10))</f>
        <v/>
      </c>
      <c r="Z10" s="25">
        <f>IF($E10="","",IF(N(K10)-X10&lt;=0.02*N(K10),0,N(K10)-X10))</f>
        <v/>
      </c>
      <c r="AA10" s="24">
        <f>IF($E10="","",IF(S10&lt;&gt;"",S10,IF(N(O10)&gt;0,IF(L10&lt;&gt;"",L10,99999),IFERROR(1/(1/_xlfn.MINIFS($AF$3:$IN$3,$AF$4:$IN$4,"SEW_ACT",$AF10:$IN10,"&gt;0")),99999))))</f>
        <v/>
      </c>
      <c r="AB10" s="26">
        <f>IF(OR($E10="",Z10=0,V10=""),"",1+COUNTIFS(Z$8:Z$707,"&gt;0",V$8:V$707,"&lt;"&amp;V10)+COUNTIFS(Z$8:Z$707,"&gt;0",V$8:V$707,V10,AA$8:AA$707,"&lt;"&amp;AA10)+COUNTIFS(Z$8:Z$707,"&gt;0",V$8:V$707,V10,AA$8:AA$707,AA10,E$8:E$707,"&lt;"&amp;$E10))</f>
        <v/>
      </c>
      <c r="AC10" s="24">
        <f>IF(OR($E10="",Z10=0),"",IFERROR(TODAY()+ROUNDUP(Z10/(SUMIFS($AF10:$IN10,$AF$4:$IN$4,"WASH_ACT")/COUNTIFS($AF$4:$IN$4,"WASH_ACT",$AF10:$IN10,"&gt;0")),0),"no output yet"))</f>
        <v/>
      </c>
      <c r="AD10" s="26">
        <f>IF($E10="","",IFERROR(ROUND(MAX(0,SUMIFS($AF10:$IN10,$AF$4:$IN$4,"SEW_PLAN",$AF$3:$IN$3,"&lt;="&amp;TODAY())-SUMIFS($AF10:$IN10,$AF$4:$IN$4,"SEW_ACT",$AF$3:$IN$3,"&lt;="&amp;TODAY())+N(Q10))/(SUMIFS($AF10:$IN10,$AF$4:$IN$4,"SEW_PLAN")/COUNTIFS($AF$4:$IN$4,"SEW_PLAN",$AF10:$IN10,"&gt;0")),1),0))</f>
        <v/>
      </c>
      <c r="AE10" s="26">
        <f>IF($E10="","",IF(AND(Z10&gt;0,OR(AND(M10&lt;&gt;"",TODAY()&gt;M10),AND(V10&lt;&gt;"",V10-TODAY()&lt;=7))),"Yes","No"))</f>
        <v/>
      </c>
      <c r="AH10">
        <f>IF(OR(AF$3="",AF$3&gt;TODAY()),"",IF(AND(AF10="",AG10=""),"",N(AG10)-N(AF10)))</f>
        <v/>
      </c>
      <c r="AK10">
        <f>IF(OR(AF$3="",AF$3&gt;TODAY()),"",IF(AND(AI10="",AJ10=""),"",N(AJ10)-N(AI10)))</f>
        <v/>
      </c>
      <c r="AO10">
        <f>IF(OR(AM$3="",AM$3&gt;TODAY()),"",IF(AND(AM10="",AN10=""),"",N(AN10)-N(AM10)))</f>
        <v/>
      </c>
      <c r="AR10">
        <f>IF(OR(AM$3="",AM$3&gt;TODAY()),"",IF(AND(AP10="",AQ10=""),"",N(AQ10)-N(AP10)))</f>
        <v/>
      </c>
      <c r="AV10">
        <f>IF(OR(AT$3="",AT$3&gt;TODAY()),"",IF(AND(AT10="",AU10=""),"",N(AU10)-N(AT10)))</f>
        <v/>
      </c>
      <c r="AY10">
        <f>IF(OR(AT$3="",AT$3&gt;TODAY()),"",IF(AND(AW10="",AX10=""),"",N(AX10)-N(AW10)))</f>
        <v/>
      </c>
      <c r="BC10">
        <f>IF(OR(BA$3="",BA$3&gt;TODAY()),"",IF(AND(BA10="",BB10=""),"",N(BB10)-N(BA10)))</f>
        <v/>
      </c>
      <c r="BF10">
        <f>IF(OR(BA$3="",BA$3&gt;TODAY()),"",IF(AND(BD10="",BE10=""),"",N(BE10)-N(BD10)))</f>
        <v/>
      </c>
      <c r="BJ10">
        <f>IF(OR(BH$3="",BH$3&gt;TODAY()),"",IF(AND(BH10="",BI10=""),"",N(BI10)-N(BH10)))</f>
        <v/>
      </c>
      <c r="BM10">
        <f>IF(OR(BH$3="",BH$3&gt;TODAY()),"",IF(AND(BK10="",BL10=""),"",N(BL10)-N(BK10)))</f>
        <v/>
      </c>
      <c r="BQ10">
        <f>IF(OR(BO$3="",BO$3&gt;TODAY()),"",IF(AND(BO10="",BP10=""),"",N(BP10)-N(BO10)))</f>
        <v/>
      </c>
      <c r="BT10">
        <f>IF(OR(BO$3="",BO$3&gt;TODAY()),"",IF(AND(BR10="",BS10=""),"",N(BS10)-N(BR10)))</f>
        <v/>
      </c>
      <c r="BX10">
        <f>IF(OR(BV$3="",BV$3&gt;TODAY()),"",IF(AND(BV10="",BW10=""),"",N(BW10)-N(BV10)))</f>
        <v/>
      </c>
      <c r="CA10">
        <f>IF(OR(BV$3="",BV$3&gt;TODAY()),"",IF(AND(BY10="",BZ10=""),"",N(BZ10)-N(BY10)))</f>
        <v/>
      </c>
      <c r="CE10">
        <f>IF(OR(CC$3="",CC$3&gt;TODAY()),"",IF(AND(CC10="",CD10=""),"",N(CD10)-N(CC10)))</f>
        <v/>
      </c>
      <c r="CH10">
        <f>IF(OR(CC$3="",CC$3&gt;TODAY()),"",IF(AND(CF10="",CG10=""),"",N(CG10)-N(CF10)))</f>
        <v/>
      </c>
      <c r="CL10">
        <f>IF(OR(CJ$3="",CJ$3&gt;TODAY()),"",IF(AND(CJ10="",CK10=""),"",N(CK10)-N(CJ10)))</f>
        <v/>
      </c>
      <c r="CO10">
        <f>IF(OR(CJ$3="",CJ$3&gt;TODAY()),"",IF(AND(CM10="",CN10=""),"",N(CN10)-N(CM10)))</f>
        <v/>
      </c>
      <c r="CS10">
        <f>IF(OR(CQ$3="",CQ$3&gt;TODAY()),"",IF(AND(CQ10="",CR10=""),"",N(CR10)-N(CQ10)))</f>
        <v/>
      </c>
      <c r="CV10">
        <f>IF(OR(CQ$3="",CQ$3&gt;TODAY()),"",IF(AND(CT10="",CU10=""),"",N(CU10)-N(CT10)))</f>
        <v/>
      </c>
      <c r="CZ10">
        <f>IF(OR(CX$3="",CX$3&gt;TODAY()),"",IF(AND(CX10="",CY10=""),"",N(CY10)-N(CX10)))</f>
        <v/>
      </c>
      <c r="DC10">
        <f>IF(OR(CX$3="",CX$3&gt;TODAY()),"",IF(AND(DA10="",DB10=""),"",N(DB10)-N(DA10)))</f>
        <v/>
      </c>
      <c r="DG10">
        <f>IF(OR(DE$3="",DE$3&gt;TODAY()),"",IF(AND(DE10="",DF10=""),"",N(DF10)-N(DE10)))</f>
        <v/>
      </c>
      <c r="DJ10">
        <f>IF(OR(DE$3="",DE$3&gt;TODAY()),"",IF(AND(DH10="",DI10=""),"",N(DI10)-N(DH10)))</f>
        <v/>
      </c>
      <c r="DN10">
        <f>IF(OR(DL$3="",DL$3&gt;TODAY()),"",IF(AND(DL10="",DM10=""),"",N(DM10)-N(DL10)))</f>
        <v/>
      </c>
      <c r="DQ10">
        <f>IF(OR(DL$3="",DL$3&gt;TODAY()),"",IF(AND(DO10="",DP10=""),"",N(DP10)-N(DO10)))</f>
        <v/>
      </c>
      <c r="DU10">
        <f>IF(OR(DS$3="",DS$3&gt;TODAY()),"",IF(AND(DS10="",DT10=""),"",N(DT10)-N(DS10)))</f>
        <v/>
      </c>
      <c r="DX10">
        <f>IF(OR(DS$3="",DS$3&gt;TODAY()),"",IF(AND(DV10="",DW10=""),"",N(DW10)-N(DV10)))</f>
        <v/>
      </c>
      <c r="EB10">
        <f>IF(OR(DZ$3="",DZ$3&gt;TODAY()),"",IF(AND(DZ10="",EA10=""),"",N(EA10)-N(DZ10)))</f>
        <v/>
      </c>
      <c r="EE10">
        <f>IF(OR(DZ$3="",DZ$3&gt;TODAY()),"",IF(AND(EC10="",ED10=""),"",N(ED10)-N(EC10)))</f>
        <v/>
      </c>
      <c r="EI10">
        <f>IF(OR(EG$3="",EG$3&gt;TODAY()),"",IF(AND(EG10="",EH10=""),"",N(EH10)-N(EG10)))</f>
        <v/>
      </c>
      <c r="EL10">
        <f>IF(OR(EG$3="",EG$3&gt;TODAY()),"",IF(AND(EJ10="",EK10=""),"",N(EK10)-N(EJ10)))</f>
        <v/>
      </c>
      <c r="EP10">
        <f>IF(OR(EN$3="",EN$3&gt;TODAY()),"",IF(AND(EN10="",EO10=""),"",N(EO10)-N(EN10)))</f>
        <v/>
      </c>
      <c r="ES10">
        <f>IF(OR(EN$3="",EN$3&gt;TODAY()),"",IF(AND(EQ10="",ER10=""),"",N(ER10)-N(EQ10)))</f>
        <v/>
      </c>
      <c r="EW10">
        <f>IF(OR(EU$3="",EU$3&gt;TODAY()),"",IF(AND(EU10="",EV10=""),"",N(EV10)-N(EU10)))</f>
        <v/>
      </c>
      <c r="EZ10">
        <f>IF(OR(EU$3="",EU$3&gt;TODAY()),"",IF(AND(EX10="",EY10=""),"",N(EY10)-N(EX10)))</f>
        <v/>
      </c>
      <c r="FD10">
        <f>IF(OR(FB$3="",FB$3&gt;TODAY()),"",IF(AND(FB10="",FC10=""),"",N(FC10)-N(FB10)))</f>
        <v/>
      </c>
      <c r="FG10">
        <f>IF(OR(FB$3="",FB$3&gt;TODAY()),"",IF(AND(FE10="",FF10=""),"",N(FF10)-N(FE10)))</f>
        <v/>
      </c>
      <c r="FK10">
        <f>IF(OR(FI$3="",FI$3&gt;TODAY()),"",IF(AND(FI10="",FJ10=""),"",N(FJ10)-N(FI10)))</f>
        <v/>
      </c>
      <c r="FN10">
        <f>IF(OR(FI$3="",FI$3&gt;TODAY()),"",IF(AND(FL10="",FM10=""),"",N(FM10)-N(FL10)))</f>
        <v/>
      </c>
      <c r="FR10">
        <f>IF(OR(FP$3="",FP$3&gt;TODAY()),"",IF(AND(FP10="",FQ10=""),"",N(FQ10)-N(FP10)))</f>
        <v/>
      </c>
      <c r="FU10">
        <f>IF(OR(FP$3="",FP$3&gt;TODAY()),"",IF(AND(FS10="",FT10=""),"",N(FT10)-N(FS10)))</f>
        <v/>
      </c>
      <c r="FY10">
        <f>IF(OR(FW$3="",FW$3&gt;TODAY()),"",IF(AND(FW10="",FX10=""),"",N(FX10)-N(FW10)))</f>
        <v/>
      </c>
      <c r="GB10">
        <f>IF(OR(FW$3="",FW$3&gt;TODAY()),"",IF(AND(FZ10="",GA10=""),"",N(GA10)-N(FZ10)))</f>
        <v/>
      </c>
      <c r="GF10">
        <f>IF(OR(GD$3="",GD$3&gt;TODAY()),"",IF(AND(GD10="",GE10=""),"",N(GE10)-N(GD10)))</f>
        <v/>
      </c>
      <c r="GI10">
        <f>IF(OR(GD$3="",GD$3&gt;TODAY()),"",IF(AND(GG10="",GH10=""),"",N(GH10)-N(GG10)))</f>
        <v/>
      </c>
      <c r="GM10">
        <f>IF(OR(GK$3="",GK$3&gt;TODAY()),"",IF(AND(GK10="",GL10=""),"",N(GL10)-N(GK10)))</f>
        <v/>
      </c>
      <c r="GP10">
        <f>IF(OR(GK$3="",GK$3&gt;TODAY()),"",IF(AND(GN10="",GO10=""),"",N(GO10)-N(GN10)))</f>
        <v/>
      </c>
      <c r="GT10">
        <f>IF(OR(GR$3="",GR$3&gt;TODAY()),"",IF(AND(GR10="",GS10=""),"",N(GS10)-N(GR10)))</f>
        <v/>
      </c>
      <c r="GW10">
        <f>IF(OR(GR$3="",GR$3&gt;TODAY()),"",IF(AND(GU10="",GV10=""),"",N(GV10)-N(GU10)))</f>
        <v/>
      </c>
      <c r="HA10">
        <f>IF(OR(GY$3="",GY$3&gt;TODAY()),"",IF(AND(GY10="",GZ10=""),"",N(GZ10)-N(GY10)))</f>
        <v/>
      </c>
      <c r="HD10">
        <f>IF(OR(GY$3="",GY$3&gt;TODAY()),"",IF(AND(HB10="",HC10=""),"",N(HC10)-N(HB10)))</f>
        <v/>
      </c>
      <c r="HH10">
        <f>IF(OR(HF$3="",HF$3&gt;TODAY()),"",IF(AND(HF10="",HG10=""),"",N(HG10)-N(HF10)))</f>
        <v/>
      </c>
      <c r="HK10">
        <f>IF(OR(HF$3="",HF$3&gt;TODAY()),"",IF(AND(HI10="",HJ10=""),"",N(HJ10)-N(HI10)))</f>
        <v/>
      </c>
      <c r="HO10">
        <f>IF(OR(HM$3="",HM$3&gt;TODAY()),"",IF(AND(HM10="",HN10=""),"",N(HN10)-N(HM10)))</f>
        <v/>
      </c>
      <c r="HR10">
        <f>IF(OR(HM$3="",HM$3&gt;TODAY()),"",IF(AND(HP10="",HQ10=""),"",N(HQ10)-N(HP10)))</f>
        <v/>
      </c>
      <c r="HV10">
        <f>IF(OR(HT$3="",HT$3&gt;TODAY()),"",IF(AND(HT10="",HU10=""),"",N(HU10)-N(HT10)))</f>
        <v/>
      </c>
      <c r="HY10">
        <f>IF(OR(HT$3="",HT$3&gt;TODAY()),"",IF(AND(HW10="",HX10=""),"",N(HX10)-N(HW10)))</f>
        <v/>
      </c>
      <c r="IC10">
        <f>IF(OR(IA$3="",IA$3&gt;TODAY()),"",IF(AND(IA10="",IB10=""),"",N(IB10)-N(IA10)))</f>
        <v/>
      </c>
      <c r="IF10">
        <f>IF(OR(IA$3="",IA$3&gt;TODAY()),"",IF(AND(ID10="",IE10=""),"",N(IE10)-N(ID10)))</f>
        <v/>
      </c>
      <c r="IJ10">
        <f>IF(OR(IH$3="",IH$3&gt;TODAY()),"",IF(AND(IH10="",II10=""),"",N(II10)-N(IH10)))</f>
        <v/>
      </c>
      <c r="IM10">
        <f>IF(OR(IH$3="",IH$3&gt;TODAY()),"",IF(AND(IK10="",IL10=""),"",N(IL10)-N(IK10)))</f>
        <v/>
      </c>
    </row>
    <row r="11">
      <c r="A11" s="21" t="n"/>
      <c r="B11" s="21" t="n"/>
      <c r="C11" s="21" t="n"/>
      <c r="D11" s="21" t="n"/>
      <c r="E11" s="21" t="n"/>
      <c r="F11" s="21" t="n"/>
      <c r="G11" s="21" t="n"/>
      <c r="H11" s="21" t="n"/>
      <c r="I11" s="22" t="n"/>
      <c r="J11" s="22" t="n"/>
      <c r="K11" s="23" t="n"/>
      <c r="L11" s="22" t="n"/>
      <c r="M11" s="22" t="n"/>
      <c r="N11" s="21" t="n"/>
      <c r="O11" s="23" t="n"/>
      <c r="P11" s="23" t="n"/>
      <c r="Q11" s="23" t="n"/>
      <c r="R11" s="23" t="n"/>
      <c r="S11" s="22" t="n"/>
      <c r="T11" s="23" t="n"/>
      <c r="U11" s="23" t="n"/>
      <c r="V11" s="24">
        <f>IF(J11&lt;&gt;"",J11,IF(I11&lt;&gt;"",I11,""))</f>
        <v/>
      </c>
      <c r="W11" s="25">
        <f>IF($E11="","",N(O11)+SUMIFS($AF11:$IN11,$AF$4:$IN$4,"SEW_ACT"))</f>
        <v/>
      </c>
      <c r="X11" s="25">
        <f>IF($E11="","",N(P11)+SUMIFS($AF11:$IN11,$AF$4:$IN$4,"WASH_ACT"))</f>
        <v/>
      </c>
      <c r="Y11" s="25">
        <f>IF($E11="","",W11-X11-N(T11)-N(U11))</f>
        <v/>
      </c>
      <c r="Z11" s="25">
        <f>IF($E11="","",IF(N(K11)-X11&lt;=0.02*N(K11),0,N(K11)-X11))</f>
        <v/>
      </c>
      <c r="AA11" s="24">
        <f>IF($E11="","",IF(S11&lt;&gt;"",S11,IF(N(O11)&gt;0,IF(L11&lt;&gt;"",L11,99999),IFERROR(1/(1/_xlfn.MINIFS($AF$3:$IN$3,$AF$4:$IN$4,"SEW_ACT",$AF11:$IN11,"&gt;0")),99999))))</f>
        <v/>
      </c>
      <c r="AB11" s="26">
        <f>IF(OR($E11="",Z11=0,V11=""),"",1+COUNTIFS(Z$8:Z$707,"&gt;0",V$8:V$707,"&lt;"&amp;V11)+COUNTIFS(Z$8:Z$707,"&gt;0",V$8:V$707,V11,AA$8:AA$707,"&lt;"&amp;AA11)+COUNTIFS(Z$8:Z$707,"&gt;0",V$8:V$707,V11,AA$8:AA$707,AA11,E$8:E$707,"&lt;"&amp;$E11))</f>
        <v/>
      </c>
      <c r="AC11" s="24">
        <f>IF(OR($E11="",Z11=0),"",IFERROR(TODAY()+ROUNDUP(Z11/(SUMIFS($AF11:$IN11,$AF$4:$IN$4,"WASH_ACT")/COUNTIFS($AF$4:$IN$4,"WASH_ACT",$AF11:$IN11,"&gt;0")),0),"no output yet"))</f>
        <v/>
      </c>
      <c r="AD11" s="26">
        <f>IF($E11="","",IFERROR(ROUND(MAX(0,SUMIFS($AF11:$IN11,$AF$4:$IN$4,"SEW_PLAN",$AF$3:$IN$3,"&lt;="&amp;TODAY())-SUMIFS($AF11:$IN11,$AF$4:$IN$4,"SEW_ACT",$AF$3:$IN$3,"&lt;="&amp;TODAY())+N(Q11))/(SUMIFS($AF11:$IN11,$AF$4:$IN$4,"SEW_PLAN")/COUNTIFS($AF$4:$IN$4,"SEW_PLAN",$AF11:$IN11,"&gt;0")),1),0))</f>
        <v/>
      </c>
      <c r="AE11" s="26">
        <f>IF($E11="","",IF(AND(Z11&gt;0,OR(AND(M11&lt;&gt;"",TODAY()&gt;M11),AND(V11&lt;&gt;"",V11-TODAY()&lt;=7))),"Yes","No"))</f>
        <v/>
      </c>
      <c r="AH11">
        <f>IF(OR(AF$3="",AF$3&gt;TODAY()),"",IF(AND(AF11="",AG11=""),"",N(AG11)-N(AF11)))</f>
        <v/>
      </c>
      <c r="AK11">
        <f>IF(OR(AF$3="",AF$3&gt;TODAY()),"",IF(AND(AI11="",AJ11=""),"",N(AJ11)-N(AI11)))</f>
        <v/>
      </c>
      <c r="AO11">
        <f>IF(OR(AM$3="",AM$3&gt;TODAY()),"",IF(AND(AM11="",AN11=""),"",N(AN11)-N(AM11)))</f>
        <v/>
      </c>
      <c r="AR11">
        <f>IF(OR(AM$3="",AM$3&gt;TODAY()),"",IF(AND(AP11="",AQ11=""),"",N(AQ11)-N(AP11)))</f>
        <v/>
      </c>
      <c r="AV11">
        <f>IF(OR(AT$3="",AT$3&gt;TODAY()),"",IF(AND(AT11="",AU11=""),"",N(AU11)-N(AT11)))</f>
        <v/>
      </c>
      <c r="AY11">
        <f>IF(OR(AT$3="",AT$3&gt;TODAY()),"",IF(AND(AW11="",AX11=""),"",N(AX11)-N(AW11)))</f>
        <v/>
      </c>
      <c r="BC11">
        <f>IF(OR(BA$3="",BA$3&gt;TODAY()),"",IF(AND(BA11="",BB11=""),"",N(BB11)-N(BA11)))</f>
        <v/>
      </c>
      <c r="BF11">
        <f>IF(OR(BA$3="",BA$3&gt;TODAY()),"",IF(AND(BD11="",BE11=""),"",N(BE11)-N(BD11)))</f>
        <v/>
      </c>
      <c r="BJ11">
        <f>IF(OR(BH$3="",BH$3&gt;TODAY()),"",IF(AND(BH11="",BI11=""),"",N(BI11)-N(BH11)))</f>
        <v/>
      </c>
      <c r="BM11">
        <f>IF(OR(BH$3="",BH$3&gt;TODAY()),"",IF(AND(BK11="",BL11=""),"",N(BL11)-N(BK11)))</f>
        <v/>
      </c>
      <c r="BQ11">
        <f>IF(OR(BO$3="",BO$3&gt;TODAY()),"",IF(AND(BO11="",BP11=""),"",N(BP11)-N(BO11)))</f>
        <v/>
      </c>
      <c r="BT11">
        <f>IF(OR(BO$3="",BO$3&gt;TODAY()),"",IF(AND(BR11="",BS11=""),"",N(BS11)-N(BR11)))</f>
        <v/>
      </c>
      <c r="BX11">
        <f>IF(OR(BV$3="",BV$3&gt;TODAY()),"",IF(AND(BV11="",BW11=""),"",N(BW11)-N(BV11)))</f>
        <v/>
      </c>
      <c r="CA11">
        <f>IF(OR(BV$3="",BV$3&gt;TODAY()),"",IF(AND(BY11="",BZ11=""),"",N(BZ11)-N(BY11)))</f>
        <v/>
      </c>
      <c r="CE11">
        <f>IF(OR(CC$3="",CC$3&gt;TODAY()),"",IF(AND(CC11="",CD11=""),"",N(CD11)-N(CC11)))</f>
        <v/>
      </c>
      <c r="CH11">
        <f>IF(OR(CC$3="",CC$3&gt;TODAY()),"",IF(AND(CF11="",CG11=""),"",N(CG11)-N(CF11)))</f>
        <v/>
      </c>
      <c r="CL11">
        <f>IF(OR(CJ$3="",CJ$3&gt;TODAY()),"",IF(AND(CJ11="",CK11=""),"",N(CK11)-N(CJ11)))</f>
        <v/>
      </c>
      <c r="CO11">
        <f>IF(OR(CJ$3="",CJ$3&gt;TODAY()),"",IF(AND(CM11="",CN11=""),"",N(CN11)-N(CM11)))</f>
        <v/>
      </c>
      <c r="CS11">
        <f>IF(OR(CQ$3="",CQ$3&gt;TODAY()),"",IF(AND(CQ11="",CR11=""),"",N(CR11)-N(CQ11)))</f>
        <v/>
      </c>
      <c r="CV11">
        <f>IF(OR(CQ$3="",CQ$3&gt;TODAY()),"",IF(AND(CT11="",CU11=""),"",N(CU11)-N(CT11)))</f>
        <v/>
      </c>
      <c r="CZ11">
        <f>IF(OR(CX$3="",CX$3&gt;TODAY()),"",IF(AND(CX11="",CY11=""),"",N(CY11)-N(CX11)))</f>
        <v/>
      </c>
      <c r="DC11">
        <f>IF(OR(CX$3="",CX$3&gt;TODAY()),"",IF(AND(DA11="",DB11=""),"",N(DB11)-N(DA11)))</f>
        <v/>
      </c>
      <c r="DG11">
        <f>IF(OR(DE$3="",DE$3&gt;TODAY()),"",IF(AND(DE11="",DF11=""),"",N(DF11)-N(DE11)))</f>
        <v/>
      </c>
      <c r="DJ11">
        <f>IF(OR(DE$3="",DE$3&gt;TODAY()),"",IF(AND(DH11="",DI11=""),"",N(DI11)-N(DH11)))</f>
        <v/>
      </c>
      <c r="DN11">
        <f>IF(OR(DL$3="",DL$3&gt;TODAY()),"",IF(AND(DL11="",DM11=""),"",N(DM11)-N(DL11)))</f>
        <v/>
      </c>
      <c r="DQ11">
        <f>IF(OR(DL$3="",DL$3&gt;TODAY()),"",IF(AND(DO11="",DP11=""),"",N(DP11)-N(DO11)))</f>
        <v/>
      </c>
      <c r="DU11">
        <f>IF(OR(DS$3="",DS$3&gt;TODAY()),"",IF(AND(DS11="",DT11=""),"",N(DT11)-N(DS11)))</f>
        <v/>
      </c>
      <c r="DX11">
        <f>IF(OR(DS$3="",DS$3&gt;TODAY()),"",IF(AND(DV11="",DW11=""),"",N(DW11)-N(DV11)))</f>
        <v/>
      </c>
      <c r="EB11">
        <f>IF(OR(DZ$3="",DZ$3&gt;TODAY()),"",IF(AND(DZ11="",EA11=""),"",N(EA11)-N(DZ11)))</f>
        <v/>
      </c>
      <c r="EE11">
        <f>IF(OR(DZ$3="",DZ$3&gt;TODAY()),"",IF(AND(EC11="",ED11=""),"",N(ED11)-N(EC11)))</f>
        <v/>
      </c>
      <c r="EI11">
        <f>IF(OR(EG$3="",EG$3&gt;TODAY()),"",IF(AND(EG11="",EH11=""),"",N(EH11)-N(EG11)))</f>
        <v/>
      </c>
      <c r="EL11">
        <f>IF(OR(EG$3="",EG$3&gt;TODAY()),"",IF(AND(EJ11="",EK11=""),"",N(EK11)-N(EJ11)))</f>
        <v/>
      </c>
      <c r="EP11">
        <f>IF(OR(EN$3="",EN$3&gt;TODAY()),"",IF(AND(EN11="",EO11=""),"",N(EO11)-N(EN11)))</f>
        <v/>
      </c>
      <c r="ES11">
        <f>IF(OR(EN$3="",EN$3&gt;TODAY()),"",IF(AND(EQ11="",ER11=""),"",N(ER11)-N(EQ11)))</f>
        <v/>
      </c>
      <c r="EW11">
        <f>IF(OR(EU$3="",EU$3&gt;TODAY()),"",IF(AND(EU11="",EV11=""),"",N(EV11)-N(EU11)))</f>
        <v/>
      </c>
      <c r="EZ11">
        <f>IF(OR(EU$3="",EU$3&gt;TODAY()),"",IF(AND(EX11="",EY11=""),"",N(EY11)-N(EX11)))</f>
        <v/>
      </c>
      <c r="FD11">
        <f>IF(OR(FB$3="",FB$3&gt;TODAY()),"",IF(AND(FB11="",FC11=""),"",N(FC11)-N(FB11)))</f>
        <v/>
      </c>
      <c r="FG11">
        <f>IF(OR(FB$3="",FB$3&gt;TODAY()),"",IF(AND(FE11="",FF11=""),"",N(FF11)-N(FE11)))</f>
        <v/>
      </c>
      <c r="FK11">
        <f>IF(OR(FI$3="",FI$3&gt;TODAY()),"",IF(AND(FI11="",FJ11=""),"",N(FJ11)-N(FI11)))</f>
        <v/>
      </c>
      <c r="FN11">
        <f>IF(OR(FI$3="",FI$3&gt;TODAY()),"",IF(AND(FL11="",FM11=""),"",N(FM11)-N(FL11)))</f>
        <v/>
      </c>
      <c r="FR11">
        <f>IF(OR(FP$3="",FP$3&gt;TODAY()),"",IF(AND(FP11="",FQ11=""),"",N(FQ11)-N(FP11)))</f>
        <v/>
      </c>
      <c r="FU11">
        <f>IF(OR(FP$3="",FP$3&gt;TODAY()),"",IF(AND(FS11="",FT11=""),"",N(FT11)-N(FS11)))</f>
        <v/>
      </c>
      <c r="FY11">
        <f>IF(OR(FW$3="",FW$3&gt;TODAY()),"",IF(AND(FW11="",FX11=""),"",N(FX11)-N(FW11)))</f>
        <v/>
      </c>
      <c r="GB11">
        <f>IF(OR(FW$3="",FW$3&gt;TODAY()),"",IF(AND(FZ11="",GA11=""),"",N(GA11)-N(FZ11)))</f>
        <v/>
      </c>
      <c r="GF11">
        <f>IF(OR(GD$3="",GD$3&gt;TODAY()),"",IF(AND(GD11="",GE11=""),"",N(GE11)-N(GD11)))</f>
        <v/>
      </c>
      <c r="GI11">
        <f>IF(OR(GD$3="",GD$3&gt;TODAY()),"",IF(AND(GG11="",GH11=""),"",N(GH11)-N(GG11)))</f>
        <v/>
      </c>
      <c r="GM11">
        <f>IF(OR(GK$3="",GK$3&gt;TODAY()),"",IF(AND(GK11="",GL11=""),"",N(GL11)-N(GK11)))</f>
        <v/>
      </c>
      <c r="GP11">
        <f>IF(OR(GK$3="",GK$3&gt;TODAY()),"",IF(AND(GN11="",GO11=""),"",N(GO11)-N(GN11)))</f>
        <v/>
      </c>
      <c r="GT11">
        <f>IF(OR(GR$3="",GR$3&gt;TODAY()),"",IF(AND(GR11="",GS11=""),"",N(GS11)-N(GR11)))</f>
        <v/>
      </c>
      <c r="GW11">
        <f>IF(OR(GR$3="",GR$3&gt;TODAY()),"",IF(AND(GU11="",GV11=""),"",N(GV11)-N(GU11)))</f>
        <v/>
      </c>
      <c r="HA11">
        <f>IF(OR(GY$3="",GY$3&gt;TODAY()),"",IF(AND(GY11="",GZ11=""),"",N(GZ11)-N(GY11)))</f>
        <v/>
      </c>
      <c r="HD11">
        <f>IF(OR(GY$3="",GY$3&gt;TODAY()),"",IF(AND(HB11="",HC11=""),"",N(HC11)-N(HB11)))</f>
        <v/>
      </c>
      <c r="HH11">
        <f>IF(OR(HF$3="",HF$3&gt;TODAY()),"",IF(AND(HF11="",HG11=""),"",N(HG11)-N(HF11)))</f>
        <v/>
      </c>
      <c r="HK11">
        <f>IF(OR(HF$3="",HF$3&gt;TODAY()),"",IF(AND(HI11="",HJ11=""),"",N(HJ11)-N(HI11)))</f>
        <v/>
      </c>
      <c r="HO11">
        <f>IF(OR(HM$3="",HM$3&gt;TODAY()),"",IF(AND(HM11="",HN11=""),"",N(HN11)-N(HM11)))</f>
        <v/>
      </c>
      <c r="HR11">
        <f>IF(OR(HM$3="",HM$3&gt;TODAY()),"",IF(AND(HP11="",HQ11=""),"",N(HQ11)-N(HP11)))</f>
        <v/>
      </c>
      <c r="HV11">
        <f>IF(OR(HT$3="",HT$3&gt;TODAY()),"",IF(AND(HT11="",HU11=""),"",N(HU11)-N(HT11)))</f>
        <v/>
      </c>
      <c r="HY11">
        <f>IF(OR(HT$3="",HT$3&gt;TODAY()),"",IF(AND(HW11="",HX11=""),"",N(HX11)-N(HW11)))</f>
        <v/>
      </c>
      <c r="IC11">
        <f>IF(OR(IA$3="",IA$3&gt;TODAY()),"",IF(AND(IA11="",IB11=""),"",N(IB11)-N(IA11)))</f>
        <v/>
      </c>
      <c r="IF11">
        <f>IF(OR(IA$3="",IA$3&gt;TODAY()),"",IF(AND(ID11="",IE11=""),"",N(IE11)-N(ID11)))</f>
        <v/>
      </c>
      <c r="IJ11">
        <f>IF(OR(IH$3="",IH$3&gt;TODAY()),"",IF(AND(IH11="",II11=""),"",N(II11)-N(IH11)))</f>
        <v/>
      </c>
      <c r="IM11">
        <f>IF(OR(IH$3="",IH$3&gt;TODAY()),"",IF(AND(IK11="",IL11=""),"",N(IL11)-N(IK11)))</f>
        <v/>
      </c>
    </row>
    <row r="12">
      <c r="A12" s="21" t="n"/>
      <c r="B12" s="21" t="n"/>
      <c r="C12" s="21" t="n"/>
      <c r="D12" s="21" t="n"/>
      <c r="E12" s="21" t="n"/>
      <c r="F12" s="21" t="n"/>
      <c r="G12" s="21" t="n"/>
      <c r="H12" s="21" t="n"/>
      <c r="I12" s="22" t="n"/>
      <c r="J12" s="22" t="n"/>
      <c r="K12" s="23" t="n"/>
      <c r="L12" s="22" t="n"/>
      <c r="M12" s="22" t="n"/>
      <c r="N12" s="21" t="n"/>
      <c r="O12" s="23" t="n"/>
      <c r="P12" s="23" t="n"/>
      <c r="Q12" s="23" t="n"/>
      <c r="R12" s="23" t="n"/>
      <c r="S12" s="22" t="n"/>
      <c r="T12" s="23" t="n"/>
      <c r="U12" s="23" t="n"/>
      <c r="V12" s="24">
        <f>IF(J12&lt;&gt;"",J12,IF(I12&lt;&gt;"",I12,""))</f>
        <v/>
      </c>
      <c r="W12" s="25">
        <f>IF($E12="","",N(O12)+SUMIFS($AF12:$IN12,$AF$4:$IN$4,"SEW_ACT"))</f>
        <v/>
      </c>
      <c r="X12" s="25">
        <f>IF($E12="","",N(P12)+SUMIFS($AF12:$IN12,$AF$4:$IN$4,"WASH_ACT"))</f>
        <v/>
      </c>
      <c r="Y12" s="25">
        <f>IF($E12="","",W12-X12-N(T12)-N(U12))</f>
        <v/>
      </c>
      <c r="Z12" s="25">
        <f>IF($E12="","",IF(N(K12)-X12&lt;=0.02*N(K12),0,N(K12)-X12))</f>
        <v/>
      </c>
      <c r="AA12" s="24">
        <f>IF($E12="","",IF(S12&lt;&gt;"",S12,IF(N(O12)&gt;0,IF(L12&lt;&gt;"",L12,99999),IFERROR(1/(1/_xlfn.MINIFS($AF$3:$IN$3,$AF$4:$IN$4,"SEW_ACT",$AF12:$IN12,"&gt;0")),99999))))</f>
        <v/>
      </c>
      <c r="AB12" s="26">
        <f>IF(OR($E12="",Z12=0,V12=""),"",1+COUNTIFS(Z$8:Z$707,"&gt;0",V$8:V$707,"&lt;"&amp;V12)+COUNTIFS(Z$8:Z$707,"&gt;0",V$8:V$707,V12,AA$8:AA$707,"&lt;"&amp;AA12)+COUNTIFS(Z$8:Z$707,"&gt;0",V$8:V$707,V12,AA$8:AA$707,AA12,E$8:E$707,"&lt;"&amp;$E12))</f>
        <v/>
      </c>
      <c r="AC12" s="24">
        <f>IF(OR($E12="",Z12=0),"",IFERROR(TODAY()+ROUNDUP(Z12/(SUMIFS($AF12:$IN12,$AF$4:$IN$4,"WASH_ACT")/COUNTIFS($AF$4:$IN$4,"WASH_ACT",$AF12:$IN12,"&gt;0")),0),"no output yet"))</f>
        <v/>
      </c>
      <c r="AD12" s="26">
        <f>IF($E12="","",IFERROR(ROUND(MAX(0,SUMIFS($AF12:$IN12,$AF$4:$IN$4,"SEW_PLAN",$AF$3:$IN$3,"&lt;="&amp;TODAY())-SUMIFS($AF12:$IN12,$AF$4:$IN$4,"SEW_ACT",$AF$3:$IN$3,"&lt;="&amp;TODAY())+N(Q12))/(SUMIFS($AF12:$IN12,$AF$4:$IN$4,"SEW_PLAN")/COUNTIFS($AF$4:$IN$4,"SEW_PLAN",$AF12:$IN12,"&gt;0")),1),0))</f>
        <v/>
      </c>
      <c r="AE12" s="26">
        <f>IF($E12="","",IF(AND(Z12&gt;0,OR(AND(M12&lt;&gt;"",TODAY()&gt;M12),AND(V12&lt;&gt;"",V12-TODAY()&lt;=7))),"Yes","No"))</f>
        <v/>
      </c>
      <c r="AH12">
        <f>IF(OR(AF$3="",AF$3&gt;TODAY()),"",IF(AND(AF12="",AG12=""),"",N(AG12)-N(AF12)))</f>
        <v/>
      </c>
      <c r="AK12">
        <f>IF(OR(AF$3="",AF$3&gt;TODAY()),"",IF(AND(AI12="",AJ12=""),"",N(AJ12)-N(AI12)))</f>
        <v/>
      </c>
      <c r="AO12">
        <f>IF(OR(AM$3="",AM$3&gt;TODAY()),"",IF(AND(AM12="",AN12=""),"",N(AN12)-N(AM12)))</f>
        <v/>
      </c>
      <c r="AR12">
        <f>IF(OR(AM$3="",AM$3&gt;TODAY()),"",IF(AND(AP12="",AQ12=""),"",N(AQ12)-N(AP12)))</f>
        <v/>
      </c>
      <c r="AV12">
        <f>IF(OR(AT$3="",AT$3&gt;TODAY()),"",IF(AND(AT12="",AU12=""),"",N(AU12)-N(AT12)))</f>
        <v/>
      </c>
      <c r="AY12">
        <f>IF(OR(AT$3="",AT$3&gt;TODAY()),"",IF(AND(AW12="",AX12=""),"",N(AX12)-N(AW12)))</f>
        <v/>
      </c>
      <c r="BC12">
        <f>IF(OR(BA$3="",BA$3&gt;TODAY()),"",IF(AND(BA12="",BB12=""),"",N(BB12)-N(BA12)))</f>
        <v/>
      </c>
      <c r="BF12">
        <f>IF(OR(BA$3="",BA$3&gt;TODAY()),"",IF(AND(BD12="",BE12=""),"",N(BE12)-N(BD12)))</f>
        <v/>
      </c>
      <c r="BJ12">
        <f>IF(OR(BH$3="",BH$3&gt;TODAY()),"",IF(AND(BH12="",BI12=""),"",N(BI12)-N(BH12)))</f>
        <v/>
      </c>
      <c r="BM12">
        <f>IF(OR(BH$3="",BH$3&gt;TODAY()),"",IF(AND(BK12="",BL12=""),"",N(BL12)-N(BK12)))</f>
        <v/>
      </c>
      <c r="BQ12">
        <f>IF(OR(BO$3="",BO$3&gt;TODAY()),"",IF(AND(BO12="",BP12=""),"",N(BP12)-N(BO12)))</f>
        <v/>
      </c>
      <c r="BT12">
        <f>IF(OR(BO$3="",BO$3&gt;TODAY()),"",IF(AND(BR12="",BS12=""),"",N(BS12)-N(BR12)))</f>
        <v/>
      </c>
      <c r="BX12">
        <f>IF(OR(BV$3="",BV$3&gt;TODAY()),"",IF(AND(BV12="",BW12=""),"",N(BW12)-N(BV12)))</f>
        <v/>
      </c>
      <c r="CA12">
        <f>IF(OR(BV$3="",BV$3&gt;TODAY()),"",IF(AND(BY12="",BZ12=""),"",N(BZ12)-N(BY12)))</f>
        <v/>
      </c>
      <c r="CE12">
        <f>IF(OR(CC$3="",CC$3&gt;TODAY()),"",IF(AND(CC12="",CD12=""),"",N(CD12)-N(CC12)))</f>
        <v/>
      </c>
      <c r="CH12">
        <f>IF(OR(CC$3="",CC$3&gt;TODAY()),"",IF(AND(CF12="",CG12=""),"",N(CG12)-N(CF12)))</f>
        <v/>
      </c>
      <c r="CL12">
        <f>IF(OR(CJ$3="",CJ$3&gt;TODAY()),"",IF(AND(CJ12="",CK12=""),"",N(CK12)-N(CJ12)))</f>
        <v/>
      </c>
      <c r="CO12">
        <f>IF(OR(CJ$3="",CJ$3&gt;TODAY()),"",IF(AND(CM12="",CN12=""),"",N(CN12)-N(CM12)))</f>
        <v/>
      </c>
      <c r="CS12">
        <f>IF(OR(CQ$3="",CQ$3&gt;TODAY()),"",IF(AND(CQ12="",CR12=""),"",N(CR12)-N(CQ12)))</f>
        <v/>
      </c>
      <c r="CV12">
        <f>IF(OR(CQ$3="",CQ$3&gt;TODAY()),"",IF(AND(CT12="",CU12=""),"",N(CU12)-N(CT12)))</f>
        <v/>
      </c>
      <c r="CZ12">
        <f>IF(OR(CX$3="",CX$3&gt;TODAY()),"",IF(AND(CX12="",CY12=""),"",N(CY12)-N(CX12)))</f>
        <v/>
      </c>
      <c r="DC12">
        <f>IF(OR(CX$3="",CX$3&gt;TODAY()),"",IF(AND(DA12="",DB12=""),"",N(DB12)-N(DA12)))</f>
        <v/>
      </c>
      <c r="DG12">
        <f>IF(OR(DE$3="",DE$3&gt;TODAY()),"",IF(AND(DE12="",DF12=""),"",N(DF12)-N(DE12)))</f>
        <v/>
      </c>
      <c r="DJ12">
        <f>IF(OR(DE$3="",DE$3&gt;TODAY()),"",IF(AND(DH12="",DI12=""),"",N(DI12)-N(DH12)))</f>
        <v/>
      </c>
      <c r="DN12">
        <f>IF(OR(DL$3="",DL$3&gt;TODAY()),"",IF(AND(DL12="",DM12=""),"",N(DM12)-N(DL12)))</f>
        <v/>
      </c>
      <c r="DQ12">
        <f>IF(OR(DL$3="",DL$3&gt;TODAY()),"",IF(AND(DO12="",DP12=""),"",N(DP12)-N(DO12)))</f>
        <v/>
      </c>
      <c r="DU12">
        <f>IF(OR(DS$3="",DS$3&gt;TODAY()),"",IF(AND(DS12="",DT12=""),"",N(DT12)-N(DS12)))</f>
        <v/>
      </c>
      <c r="DX12">
        <f>IF(OR(DS$3="",DS$3&gt;TODAY()),"",IF(AND(DV12="",DW12=""),"",N(DW12)-N(DV12)))</f>
        <v/>
      </c>
      <c r="EB12">
        <f>IF(OR(DZ$3="",DZ$3&gt;TODAY()),"",IF(AND(DZ12="",EA12=""),"",N(EA12)-N(DZ12)))</f>
        <v/>
      </c>
      <c r="EE12">
        <f>IF(OR(DZ$3="",DZ$3&gt;TODAY()),"",IF(AND(EC12="",ED12=""),"",N(ED12)-N(EC12)))</f>
        <v/>
      </c>
      <c r="EI12">
        <f>IF(OR(EG$3="",EG$3&gt;TODAY()),"",IF(AND(EG12="",EH12=""),"",N(EH12)-N(EG12)))</f>
        <v/>
      </c>
      <c r="EL12">
        <f>IF(OR(EG$3="",EG$3&gt;TODAY()),"",IF(AND(EJ12="",EK12=""),"",N(EK12)-N(EJ12)))</f>
        <v/>
      </c>
      <c r="EP12">
        <f>IF(OR(EN$3="",EN$3&gt;TODAY()),"",IF(AND(EN12="",EO12=""),"",N(EO12)-N(EN12)))</f>
        <v/>
      </c>
      <c r="ES12">
        <f>IF(OR(EN$3="",EN$3&gt;TODAY()),"",IF(AND(EQ12="",ER12=""),"",N(ER12)-N(EQ12)))</f>
        <v/>
      </c>
      <c r="EW12">
        <f>IF(OR(EU$3="",EU$3&gt;TODAY()),"",IF(AND(EU12="",EV12=""),"",N(EV12)-N(EU12)))</f>
        <v/>
      </c>
      <c r="EZ12">
        <f>IF(OR(EU$3="",EU$3&gt;TODAY()),"",IF(AND(EX12="",EY12=""),"",N(EY12)-N(EX12)))</f>
        <v/>
      </c>
      <c r="FD12">
        <f>IF(OR(FB$3="",FB$3&gt;TODAY()),"",IF(AND(FB12="",FC12=""),"",N(FC12)-N(FB12)))</f>
        <v/>
      </c>
      <c r="FG12">
        <f>IF(OR(FB$3="",FB$3&gt;TODAY()),"",IF(AND(FE12="",FF12=""),"",N(FF12)-N(FE12)))</f>
        <v/>
      </c>
      <c r="FK12">
        <f>IF(OR(FI$3="",FI$3&gt;TODAY()),"",IF(AND(FI12="",FJ12=""),"",N(FJ12)-N(FI12)))</f>
        <v/>
      </c>
      <c r="FN12">
        <f>IF(OR(FI$3="",FI$3&gt;TODAY()),"",IF(AND(FL12="",FM12=""),"",N(FM12)-N(FL12)))</f>
        <v/>
      </c>
      <c r="FR12">
        <f>IF(OR(FP$3="",FP$3&gt;TODAY()),"",IF(AND(FP12="",FQ12=""),"",N(FQ12)-N(FP12)))</f>
        <v/>
      </c>
      <c r="FU12">
        <f>IF(OR(FP$3="",FP$3&gt;TODAY()),"",IF(AND(FS12="",FT12=""),"",N(FT12)-N(FS12)))</f>
        <v/>
      </c>
      <c r="FY12">
        <f>IF(OR(FW$3="",FW$3&gt;TODAY()),"",IF(AND(FW12="",FX12=""),"",N(FX12)-N(FW12)))</f>
        <v/>
      </c>
      <c r="GB12">
        <f>IF(OR(FW$3="",FW$3&gt;TODAY()),"",IF(AND(FZ12="",GA12=""),"",N(GA12)-N(FZ12)))</f>
        <v/>
      </c>
      <c r="GF12">
        <f>IF(OR(GD$3="",GD$3&gt;TODAY()),"",IF(AND(GD12="",GE12=""),"",N(GE12)-N(GD12)))</f>
        <v/>
      </c>
      <c r="GI12">
        <f>IF(OR(GD$3="",GD$3&gt;TODAY()),"",IF(AND(GG12="",GH12=""),"",N(GH12)-N(GG12)))</f>
        <v/>
      </c>
      <c r="GM12">
        <f>IF(OR(GK$3="",GK$3&gt;TODAY()),"",IF(AND(GK12="",GL12=""),"",N(GL12)-N(GK12)))</f>
        <v/>
      </c>
      <c r="GP12">
        <f>IF(OR(GK$3="",GK$3&gt;TODAY()),"",IF(AND(GN12="",GO12=""),"",N(GO12)-N(GN12)))</f>
        <v/>
      </c>
      <c r="GT12">
        <f>IF(OR(GR$3="",GR$3&gt;TODAY()),"",IF(AND(GR12="",GS12=""),"",N(GS12)-N(GR12)))</f>
        <v/>
      </c>
      <c r="GW12">
        <f>IF(OR(GR$3="",GR$3&gt;TODAY()),"",IF(AND(GU12="",GV12=""),"",N(GV12)-N(GU12)))</f>
        <v/>
      </c>
      <c r="HA12">
        <f>IF(OR(GY$3="",GY$3&gt;TODAY()),"",IF(AND(GY12="",GZ12=""),"",N(GZ12)-N(GY12)))</f>
        <v/>
      </c>
      <c r="HD12">
        <f>IF(OR(GY$3="",GY$3&gt;TODAY()),"",IF(AND(HB12="",HC12=""),"",N(HC12)-N(HB12)))</f>
        <v/>
      </c>
      <c r="HH12">
        <f>IF(OR(HF$3="",HF$3&gt;TODAY()),"",IF(AND(HF12="",HG12=""),"",N(HG12)-N(HF12)))</f>
        <v/>
      </c>
      <c r="HK12">
        <f>IF(OR(HF$3="",HF$3&gt;TODAY()),"",IF(AND(HI12="",HJ12=""),"",N(HJ12)-N(HI12)))</f>
        <v/>
      </c>
      <c r="HO12">
        <f>IF(OR(HM$3="",HM$3&gt;TODAY()),"",IF(AND(HM12="",HN12=""),"",N(HN12)-N(HM12)))</f>
        <v/>
      </c>
      <c r="HR12">
        <f>IF(OR(HM$3="",HM$3&gt;TODAY()),"",IF(AND(HP12="",HQ12=""),"",N(HQ12)-N(HP12)))</f>
        <v/>
      </c>
      <c r="HV12">
        <f>IF(OR(HT$3="",HT$3&gt;TODAY()),"",IF(AND(HT12="",HU12=""),"",N(HU12)-N(HT12)))</f>
        <v/>
      </c>
      <c r="HY12">
        <f>IF(OR(HT$3="",HT$3&gt;TODAY()),"",IF(AND(HW12="",HX12=""),"",N(HX12)-N(HW12)))</f>
        <v/>
      </c>
      <c r="IC12">
        <f>IF(OR(IA$3="",IA$3&gt;TODAY()),"",IF(AND(IA12="",IB12=""),"",N(IB12)-N(IA12)))</f>
        <v/>
      </c>
      <c r="IF12">
        <f>IF(OR(IA$3="",IA$3&gt;TODAY()),"",IF(AND(ID12="",IE12=""),"",N(IE12)-N(ID12)))</f>
        <v/>
      </c>
      <c r="IJ12">
        <f>IF(OR(IH$3="",IH$3&gt;TODAY()),"",IF(AND(IH12="",II12=""),"",N(II12)-N(IH12)))</f>
        <v/>
      </c>
      <c r="IM12">
        <f>IF(OR(IH$3="",IH$3&gt;TODAY()),"",IF(AND(IK12="",IL12=""),"",N(IL12)-N(IK12)))</f>
        <v/>
      </c>
    </row>
    <row r="13">
      <c r="A13" s="21" t="n"/>
      <c r="B13" s="21" t="n"/>
      <c r="C13" s="21" t="n"/>
      <c r="D13" s="21" t="n"/>
      <c r="E13" s="21" t="n"/>
      <c r="F13" s="21" t="n"/>
      <c r="G13" s="21" t="n"/>
      <c r="H13" s="21" t="n"/>
      <c r="I13" s="22" t="n"/>
      <c r="J13" s="22" t="n"/>
      <c r="K13" s="23" t="n"/>
      <c r="L13" s="22" t="n"/>
      <c r="M13" s="22" t="n"/>
      <c r="N13" s="21" t="n"/>
      <c r="O13" s="23" t="n"/>
      <c r="P13" s="23" t="n"/>
      <c r="Q13" s="23" t="n"/>
      <c r="R13" s="23" t="n"/>
      <c r="S13" s="22" t="n"/>
      <c r="T13" s="23" t="n"/>
      <c r="U13" s="23" t="n"/>
      <c r="V13" s="24">
        <f>IF(J13&lt;&gt;"",J13,IF(I13&lt;&gt;"",I13,""))</f>
        <v/>
      </c>
      <c r="W13" s="25">
        <f>IF($E13="","",N(O13)+SUMIFS($AF13:$IN13,$AF$4:$IN$4,"SEW_ACT"))</f>
        <v/>
      </c>
      <c r="X13" s="25">
        <f>IF($E13="","",N(P13)+SUMIFS($AF13:$IN13,$AF$4:$IN$4,"WASH_ACT"))</f>
        <v/>
      </c>
      <c r="Y13" s="25">
        <f>IF($E13="","",W13-X13-N(T13)-N(U13))</f>
        <v/>
      </c>
      <c r="Z13" s="25">
        <f>IF($E13="","",IF(N(K13)-X13&lt;=0.02*N(K13),0,N(K13)-X13))</f>
        <v/>
      </c>
      <c r="AA13" s="24">
        <f>IF($E13="","",IF(S13&lt;&gt;"",S13,IF(N(O13)&gt;0,IF(L13&lt;&gt;"",L13,99999),IFERROR(1/(1/_xlfn.MINIFS($AF$3:$IN$3,$AF$4:$IN$4,"SEW_ACT",$AF13:$IN13,"&gt;0")),99999))))</f>
        <v/>
      </c>
      <c r="AB13" s="26">
        <f>IF(OR($E13="",Z13=0,V13=""),"",1+COUNTIFS(Z$8:Z$707,"&gt;0",V$8:V$707,"&lt;"&amp;V13)+COUNTIFS(Z$8:Z$707,"&gt;0",V$8:V$707,V13,AA$8:AA$707,"&lt;"&amp;AA13)+COUNTIFS(Z$8:Z$707,"&gt;0",V$8:V$707,V13,AA$8:AA$707,AA13,E$8:E$707,"&lt;"&amp;$E13))</f>
        <v/>
      </c>
      <c r="AC13" s="24">
        <f>IF(OR($E13="",Z13=0),"",IFERROR(TODAY()+ROUNDUP(Z13/(SUMIFS($AF13:$IN13,$AF$4:$IN$4,"WASH_ACT")/COUNTIFS($AF$4:$IN$4,"WASH_ACT",$AF13:$IN13,"&gt;0")),0),"no output yet"))</f>
        <v/>
      </c>
      <c r="AD13" s="26">
        <f>IF($E13="","",IFERROR(ROUND(MAX(0,SUMIFS($AF13:$IN13,$AF$4:$IN$4,"SEW_PLAN",$AF$3:$IN$3,"&lt;="&amp;TODAY())-SUMIFS($AF13:$IN13,$AF$4:$IN$4,"SEW_ACT",$AF$3:$IN$3,"&lt;="&amp;TODAY())+N(Q13))/(SUMIFS($AF13:$IN13,$AF$4:$IN$4,"SEW_PLAN")/COUNTIFS($AF$4:$IN$4,"SEW_PLAN",$AF13:$IN13,"&gt;0")),1),0))</f>
        <v/>
      </c>
      <c r="AE13" s="26">
        <f>IF($E13="","",IF(AND(Z13&gt;0,OR(AND(M13&lt;&gt;"",TODAY()&gt;M13),AND(V13&lt;&gt;"",V13-TODAY()&lt;=7))),"Yes","No"))</f>
        <v/>
      </c>
      <c r="AH13">
        <f>IF(OR(AF$3="",AF$3&gt;TODAY()),"",IF(AND(AF13="",AG13=""),"",N(AG13)-N(AF13)))</f>
        <v/>
      </c>
      <c r="AK13">
        <f>IF(OR(AF$3="",AF$3&gt;TODAY()),"",IF(AND(AI13="",AJ13=""),"",N(AJ13)-N(AI13)))</f>
        <v/>
      </c>
      <c r="AO13">
        <f>IF(OR(AM$3="",AM$3&gt;TODAY()),"",IF(AND(AM13="",AN13=""),"",N(AN13)-N(AM13)))</f>
        <v/>
      </c>
      <c r="AR13">
        <f>IF(OR(AM$3="",AM$3&gt;TODAY()),"",IF(AND(AP13="",AQ13=""),"",N(AQ13)-N(AP13)))</f>
        <v/>
      </c>
      <c r="AV13">
        <f>IF(OR(AT$3="",AT$3&gt;TODAY()),"",IF(AND(AT13="",AU13=""),"",N(AU13)-N(AT13)))</f>
        <v/>
      </c>
      <c r="AY13">
        <f>IF(OR(AT$3="",AT$3&gt;TODAY()),"",IF(AND(AW13="",AX13=""),"",N(AX13)-N(AW13)))</f>
        <v/>
      </c>
      <c r="BC13">
        <f>IF(OR(BA$3="",BA$3&gt;TODAY()),"",IF(AND(BA13="",BB13=""),"",N(BB13)-N(BA13)))</f>
        <v/>
      </c>
      <c r="BF13">
        <f>IF(OR(BA$3="",BA$3&gt;TODAY()),"",IF(AND(BD13="",BE13=""),"",N(BE13)-N(BD13)))</f>
        <v/>
      </c>
      <c r="BJ13">
        <f>IF(OR(BH$3="",BH$3&gt;TODAY()),"",IF(AND(BH13="",BI13=""),"",N(BI13)-N(BH13)))</f>
        <v/>
      </c>
      <c r="BM13">
        <f>IF(OR(BH$3="",BH$3&gt;TODAY()),"",IF(AND(BK13="",BL13=""),"",N(BL13)-N(BK13)))</f>
        <v/>
      </c>
      <c r="BQ13">
        <f>IF(OR(BO$3="",BO$3&gt;TODAY()),"",IF(AND(BO13="",BP13=""),"",N(BP13)-N(BO13)))</f>
        <v/>
      </c>
      <c r="BT13">
        <f>IF(OR(BO$3="",BO$3&gt;TODAY()),"",IF(AND(BR13="",BS13=""),"",N(BS13)-N(BR13)))</f>
        <v/>
      </c>
      <c r="BX13">
        <f>IF(OR(BV$3="",BV$3&gt;TODAY()),"",IF(AND(BV13="",BW13=""),"",N(BW13)-N(BV13)))</f>
        <v/>
      </c>
      <c r="CA13">
        <f>IF(OR(BV$3="",BV$3&gt;TODAY()),"",IF(AND(BY13="",BZ13=""),"",N(BZ13)-N(BY13)))</f>
        <v/>
      </c>
      <c r="CE13">
        <f>IF(OR(CC$3="",CC$3&gt;TODAY()),"",IF(AND(CC13="",CD13=""),"",N(CD13)-N(CC13)))</f>
        <v/>
      </c>
      <c r="CH13">
        <f>IF(OR(CC$3="",CC$3&gt;TODAY()),"",IF(AND(CF13="",CG13=""),"",N(CG13)-N(CF13)))</f>
        <v/>
      </c>
      <c r="CL13">
        <f>IF(OR(CJ$3="",CJ$3&gt;TODAY()),"",IF(AND(CJ13="",CK13=""),"",N(CK13)-N(CJ13)))</f>
        <v/>
      </c>
      <c r="CO13">
        <f>IF(OR(CJ$3="",CJ$3&gt;TODAY()),"",IF(AND(CM13="",CN13=""),"",N(CN13)-N(CM13)))</f>
        <v/>
      </c>
      <c r="CS13">
        <f>IF(OR(CQ$3="",CQ$3&gt;TODAY()),"",IF(AND(CQ13="",CR13=""),"",N(CR13)-N(CQ13)))</f>
        <v/>
      </c>
      <c r="CV13">
        <f>IF(OR(CQ$3="",CQ$3&gt;TODAY()),"",IF(AND(CT13="",CU13=""),"",N(CU13)-N(CT13)))</f>
        <v/>
      </c>
      <c r="CZ13">
        <f>IF(OR(CX$3="",CX$3&gt;TODAY()),"",IF(AND(CX13="",CY13=""),"",N(CY13)-N(CX13)))</f>
        <v/>
      </c>
      <c r="DC13">
        <f>IF(OR(CX$3="",CX$3&gt;TODAY()),"",IF(AND(DA13="",DB13=""),"",N(DB13)-N(DA13)))</f>
        <v/>
      </c>
      <c r="DG13">
        <f>IF(OR(DE$3="",DE$3&gt;TODAY()),"",IF(AND(DE13="",DF13=""),"",N(DF13)-N(DE13)))</f>
        <v/>
      </c>
      <c r="DJ13">
        <f>IF(OR(DE$3="",DE$3&gt;TODAY()),"",IF(AND(DH13="",DI13=""),"",N(DI13)-N(DH13)))</f>
        <v/>
      </c>
      <c r="DN13">
        <f>IF(OR(DL$3="",DL$3&gt;TODAY()),"",IF(AND(DL13="",DM13=""),"",N(DM13)-N(DL13)))</f>
        <v/>
      </c>
      <c r="DQ13">
        <f>IF(OR(DL$3="",DL$3&gt;TODAY()),"",IF(AND(DO13="",DP13=""),"",N(DP13)-N(DO13)))</f>
        <v/>
      </c>
      <c r="DU13">
        <f>IF(OR(DS$3="",DS$3&gt;TODAY()),"",IF(AND(DS13="",DT13=""),"",N(DT13)-N(DS13)))</f>
        <v/>
      </c>
      <c r="DX13">
        <f>IF(OR(DS$3="",DS$3&gt;TODAY()),"",IF(AND(DV13="",DW13=""),"",N(DW13)-N(DV13)))</f>
        <v/>
      </c>
      <c r="EB13">
        <f>IF(OR(DZ$3="",DZ$3&gt;TODAY()),"",IF(AND(DZ13="",EA13=""),"",N(EA13)-N(DZ13)))</f>
        <v/>
      </c>
      <c r="EE13">
        <f>IF(OR(DZ$3="",DZ$3&gt;TODAY()),"",IF(AND(EC13="",ED13=""),"",N(ED13)-N(EC13)))</f>
        <v/>
      </c>
      <c r="EI13">
        <f>IF(OR(EG$3="",EG$3&gt;TODAY()),"",IF(AND(EG13="",EH13=""),"",N(EH13)-N(EG13)))</f>
        <v/>
      </c>
      <c r="EL13">
        <f>IF(OR(EG$3="",EG$3&gt;TODAY()),"",IF(AND(EJ13="",EK13=""),"",N(EK13)-N(EJ13)))</f>
        <v/>
      </c>
      <c r="EP13">
        <f>IF(OR(EN$3="",EN$3&gt;TODAY()),"",IF(AND(EN13="",EO13=""),"",N(EO13)-N(EN13)))</f>
        <v/>
      </c>
      <c r="ES13">
        <f>IF(OR(EN$3="",EN$3&gt;TODAY()),"",IF(AND(EQ13="",ER13=""),"",N(ER13)-N(EQ13)))</f>
        <v/>
      </c>
      <c r="EW13">
        <f>IF(OR(EU$3="",EU$3&gt;TODAY()),"",IF(AND(EU13="",EV13=""),"",N(EV13)-N(EU13)))</f>
        <v/>
      </c>
      <c r="EZ13">
        <f>IF(OR(EU$3="",EU$3&gt;TODAY()),"",IF(AND(EX13="",EY13=""),"",N(EY13)-N(EX13)))</f>
        <v/>
      </c>
      <c r="FD13">
        <f>IF(OR(FB$3="",FB$3&gt;TODAY()),"",IF(AND(FB13="",FC13=""),"",N(FC13)-N(FB13)))</f>
        <v/>
      </c>
      <c r="FG13">
        <f>IF(OR(FB$3="",FB$3&gt;TODAY()),"",IF(AND(FE13="",FF13=""),"",N(FF13)-N(FE13)))</f>
        <v/>
      </c>
      <c r="FK13">
        <f>IF(OR(FI$3="",FI$3&gt;TODAY()),"",IF(AND(FI13="",FJ13=""),"",N(FJ13)-N(FI13)))</f>
        <v/>
      </c>
      <c r="FN13">
        <f>IF(OR(FI$3="",FI$3&gt;TODAY()),"",IF(AND(FL13="",FM13=""),"",N(FM13)-N(FL13)))</f>
        <v/>
      </c>
      <c r="FR13">
        <f>IF(OR(FP$3="",FP$3&gt;TODAY()),"",IF(AND(FP13="",FQ13=""),"",N(FQ13)-N(FP13)))</f>
        <v/>
      </c>
      <c r="FU13">
        <f>IF(OR(FP$3="",FP$3&gt;TODAY()),"",IF(AND(FS13="",FT13=""),"",N(FT13)-N(FS13)))</f>
        <v/>
      </c>
      <c r="FY13">
        <f>IF(OR(FW$3="",FW$3&gt;TODAY()),"",IF(AND(FW13="",FX13=""),"",N(FX13)-N(FW13)))</f>
        <v/>
      </c>
      <c r="GB13">
        <f>IF(OR(FW$3="",FW$3&gt;TODAY()),"",IF(AND(FZ13="",GA13=""),"",N(GA13)-N(FZ13)))</f>
        <v/>
      </c>
      <c r="GF13">
        <f>IF(OR(GD$3="",GD$3&gt;TODAY()),"",IF(AND(GD13="",GE13=""),"",N(GE13)-N(GD13)))</f>
        <v/>
      </c>
      <c r="GI13">
        <f>IF(OR(GD$3="",GD$3&gt;TODAY()),"",IF(AND(GG13="",GH13=""),"",N(GH13)-N(GG13)))</f>
        <v/>
      </c>
      <c r="GM13">
        <f>IF(OR(GK$3="",GK$3&gt;TODAY()),"",IF(AND(GK13="",GL13=""),"",N(GL13)-N(GK13)))</f>
        <v/>
      </c>
      <c r="GP13">
        <f>IF(OR(GK$3="",GK$3&gt;TODAY()),"",IF(AND(GN13="",GO13=""),"",N(GO13)-N(GN13)))</f>
        <v/>
      </c>
      <c r="GT13">
        <f>IF(OR(GR$3="",GR$3&gt;TODAY()),"",IF(AND(GR13="",GS13=""),"",N(GS13)-N(GR13)))</f>
        <v/>
      </c>
      <c r="GW13">
        <f>IF(OR(GR$3="",GR$3&gt;TODAY()),"",IF(AND(GU13="",GV13=""),"",N(GV13)-N(GU13)))</f>
        <v/>
      </c>
      <c r="HA13">
        <f>IF(OR(GY$3="",GY$3&gt;TODAY()),"",IF(AND(GY13="",GZ13=""),"",N(GZ13)-N(GY13)))</f>
        <v/>
      </c>
      <c r="HD13">
        <f>IF(OR(GY$3="",GY$3&gt;TODAY()),"",IF(AND(HB13="",HC13=""),"",N(HC13)-N(HB13)))</f>
        <v/>
      </c>
      <c r="HH13">
        <f>IF(OR(HF$3="",HF$3&gt;TODAY()),"",IF(AND(HF13="",HG13=""),"",N(HG13)-N(HF13)))</f>
        <v/>
      </c>
      <c r="HK13">
        <f>IF(OR(HF$3="",HF$3&gt;TODAY()),"",IF(AND(HI13="",HJ13=""),"",N(HJ13)-N(HI13)))</f>
        <v/>
      </c>
      <c r="HO13">
        <f>IF(OR(HM$3="",HM$3&gt;TODAY()),"",IF(AND(HM13="",HN13=""),"",N(HN13)-N(HM13)))</f>
        <v/>
      </c>
      <c r="HR13">
        <f>IF(OR(HM$3="",HM$3&gt;TODAY()),"",IF(AND(HP13="",HQ13=""),"",N(HQ13)-N(HP13)))</f>
        <v/>
      </c>
      <c r="HV13">
        <f>IF(OR(HT$3="",HT$3&gt;TODAY()),"",IF(AND(HT13="",HU13=""),"",N(HU13)-N(HT13)))</f>
        <v/>
      </c>
      <c r="HY13">
        <f>IF(OR(HT$3="",HT$3&gt;TODAY()),"",IF(AND(HW13="",HX13=""),"",N(HX13)-N(HW13)))</f>
        <v/>
      </c>
      <c r="IC13">
        <f>IF(OR(IA$3="",IA$3&gt;TODAY()),"",IF(AND(IA13="",IB13=""),"",N(IB13)-N(IA13)))</f>
        <v/>
      </c>
      <c r="IF13">
        <f>IF(OR(IA$3="",IA$3&gt;TODAY()),"",IF(AND(ID13="",IE13=""),"",N(IE13)-N(ID13)))</f>
        <v/>
      </c>
      <c r="IJ13">
        <f>IF(OR(IH$3="",IH$3&gt;TODAY()),"",IF(AND(IH13="",II13=""),"",N(II13)-N(IH13)))</f>
        <v/>
      </c>
      <c r="IM13">
        <f>IF(OR(IH$3="",IH$3&gt;TODAY()),"",IF(AND(IK13="",IL13=""),"",N(IL13)-N(IK13)))</f>
        <v/>
      </c>
    </row>
    <row r="14">
      <c r="A14" s="21" t="n"/>
      <c r="B14" s="21" t="n"/>
      <c r="C14" s="21" t="n"/>
      <c r="D14" s="21" t="n"/>
      <c r="E14" s="21" t="n"/>
      <c r="F14" s="21" t="n"/>
      <c r="G14" s="21" t="n"/>
      <c r="H14" s="21" t="n"/>
      <c r="I14" s="22" t="n"/>
      <c r="J14" s="22" t="n"/>
      <c r="K14" s="23" t="n"/>
      <c r="L14" s="22" t="n"/>
      <c r="M14" s="22" t="n"/>
      <c r="N14" s="21" t="n"/>
      <c r="O14" s="23" t="n"/>
      <c r="P14" s="23" t="n"/>
      <c r="Q14" s="23" t="n"/>
      <c r="R14" s="23" t="n"/>
      <c r="S14" s="22" t="n"/>
      <c r="T14" s="23" t="n"/>
      <c r="U14" s="23" t="n"/>
      <c r="V14" s="24">
        <f>IF(J14&lt;&gt;"",J14,IF(I14&lt;&gt;"",I14,""))</f>
        <v/>
      </c>
      <c r="W14" s="25">
        <f>IF($E14="","",N(O14)+SUMIFS($AF14:$IN14,$AF$4:$IN$4,"SEW_ACT"))</f>
        <v/>
      </c>
      <c r="X14" s="25">
        <f>IF($E14="","",N(P14)+SUMIFS($AF14:$IN14,$AF$4:$IN$4,"WASH_ACT"))</f>
        <v/>
      </c>
      <c r="Y14" s="25">
        <f>IF($E14="","",W14-X14-N(T14)-N(U14))</f>
        <v/>
      </c>
      <c r="Z14" s="25">
        <f>IF($E14="","",IF(N(K14)-X14&lt;=0.02*N(K14),0,N(K14)-X14))</f>
        <v/>
      </c>
      <c r="AA14" s="24">
        <f>IF($E14="","",IF(S14&lt;&gt;"",S14,IF(N(O14)&gt;0,IF(L14&lt;&gt;"",L14,99999),IFERROR(1/(1/_xlfn.MINIFS($AF$3:$IN$3,$AF$4:$IN$4,"SEW_ACT",$AF14:$IN14,"&gt;0")),99999))))</f>
        <v/>
      </c>
      <c r="AB14" s="26">
        <f>IF(OR($E14="",Z14=0,V14=""),"",1+COUNTIFS(Z$8:Z$707,"&gt;0",V$8:V$707,"&lt;"&amp;V14)+COUNTIFS(Z$8:Z$707,"&gt;0",V$8:V$707,V14,AA$8:AA$707,"&lt;"&amp;AA14)+COUNTIFS(Z$8:Z$707,"&gt;0",V$8:V$707,V14,AA$8:AA$707,AA14,E$8:E$707,"&lt;"&amp;$E14))</f>
        <v/>
      </c>
      <c r="AC14" s="24">
        <f>IF(OR($E14="",Z14=0),"",IFERROR(TODAY()+ROUNDUP(Z14/(SUMIFS($AF14:$IN14,$AF$4:$IN$4,"WASH_ACT")/COUNTIFS($AF$4:$IN$4,"WASH_ACT",$AF14:$IN14,"&gt;0")),0),"no output yet"))</f>
        <v/>
      </c>
      <c r="AD14" s="26">
        <f>IF($E14="","",IFERROR(ROUND(MAX(0,SUMIFS($AF14:$IN14,$AF$4:$IN$4,"SEW_PLAN",$AF$3:$IN$3,"&lt;="&amp;TODAY())-SUMIFS($AF14:$IN14,$AF$4:$IN$4,"SEW_ACT",$AF$3:$IN$3,"&lt;="&amp;TODAY())+N(Q14))/(SUMIFS($AF14:$IN14,$AF$4:$IN$4,"SEW_PLAN")/COUNTIFS($AF$4:$IN$4,"SEW_PLAN",$AF14:$IN14,"&gt;0")),1),0))</f>
        <v/>
      </c>
      <c r="AE14" s="26">
        <f>IF($E14="","",IF(AND(Z14&gt;0,OR(AND(M14&lt;&gt;"",TODAY()&gt;M14),AND(V14&lt;&gt;"",V14-TODAY()&lt;=7))),"Yes","No"))</f>
        <v/>
      </c>
      <c r="AH14">
        <f>IF(OR(AF$3="",AF$3&gt;TODAY()),"",IF(AND(AF14="",AG14=""),"",N(AG14)-N(AF14)))</f>
        <v/>
      </c>
      <c r="AK14">
        <f>IF(OR(AF$3="",AF$3&gt;TODAY()),"",IF(AND(AI14="",AJ14=""),"",N(AJ14)-N(AI14)))</f>
        <v/>
      </c>
      <c r="AO14">
        <f>IF(OR(AM$3="",AM$3&gt;TODAY()),"",IF(AND(AM14="",AN14=""),"",N(AN14)-N(AM14)))</f>
        <v/>
      </c>
      <c r="AR14">
        <f>IF(OR(AM$3="",AM$3&gt;TODAY()),"",IF(AND(AP14="",AQ14=""),"",N(AQ14)-N(AP14)))</f>
        <v/>
      </c>
      <c r="AV14">
        <f>IF(OR(AT$3="",AT$3&gt;TODAY()),"",IF(AND(AT14="",AU14=""),"",N(AU14)-N(AT14)))</f>
        <v/>
      </c>
      <c r="AY14">
        <f>IF(OR(AT$3="",AT$3&gt;TODAY()),"",IF(AND(AW14="",AX14=""),"",N(AX14)-N(AW14)))</f>
        <v/>
      </c>
      <c r="BC14">
        <f>IF(OR(BA$3="",BA$3&gt;TODAY()),"",IF(AND(BA14="",BB14=""),"",N(BB14)-N(BA14)))</f>
        <v/>
      </c>
      <c r="BF14">
        <f>IF(OR(BA$3="",BA$3&gt;TODAY()),"",IF(AND(BD14="",BE14=""),"",N(BE14)-N(BD14)))</f>
        <v/>
      </c>
      <c r="BJ14">
        <f>IF(OR(BH$3="",BH$3&gt;TODAY()),"",IF(AND(BH14="",BI14=""),"",N(BI14)-N(BH14)))</f>
        <v/>
      </c>
      <c r="BM14">
        <f>IF(OR(BH$3="",BH$3&gt;TODAY()),"",IF(AND(BK14="",BL14=""),"",N(BL14)-N(BK14)))</f>
        <v/>
      </c>
      <c r="BQ14">
        <f>IF(OR(BO$3="",BO$3&gt;TODAY()),"",IF(AND(BO14="",BP14=""),"",N(BP14)-N(BO14)))</f>
        <v/>
      </c>
      <c r="BT14">
        <f>IF(OR(BO$3="",BO$3&gt;TODAY()),"",IF(AND(BR14="",BS14=""),"",N(BS14)-N(BR14)))</f>
        <v/>
      </c>
      <c r="BX14">
        <f>IF(OR(BV$3="",BV$3&gt;TODAY()),"",IF(AND(BV14="",BW14=""),"",N(BW14)-N(BV14)))</f>
        <v/>
      </c>
      <c r="CA14">
        <f>IF(OR(BV$3="",BV$3&gt;TODAY()),"",IF(AND(BY14="",BZ14=""),"",N(BZ14)-N(BY14)))</f>
        <v/>
      </c>
      <c r="CE14">
        <f>IF(OR(CC$3="",CC$3&gt;TODAY()),"",IF(AND(CC14="",CD14=""),"",N(CD14)-N(CC14)))</f>
        <v/>
      </c>
      <c r="CH14">
        <f>IF(OR(CC$3="",CC$3&gt;TODAY()),"",IF(AND(CF14="",CG14=""),"",N(CG14)-N(CF14)))</f>
        <v/>
      </c>
      <c r="CL14">
        <f>IF(OR(CJ$3="",CJ$3&gt;TODAY()),"",IF(AND(CJ14="",CK14=""),"",N(CK14)-N(CJ14)))</f>
        <v/>
      </c>
      <c r="CO14">
        <f>IF(OR(CJ$3="",CJ$3&gt;TODAY()),"",IF(AND(CM14="",CN14=""),"",N(CN14)-N(CM14)))</f>
        <v/>
      </c>
      <c r="CS14">
        <f>IF(OR(CQ$3="",CQ$3&gt;TODAY()),"",IF(AND(CQ14="",CR14=""),"",N(CR14)-N(CQ14)))</f>
        <v/>
      </c>
      <c r="CV14">
        <f>IF(OR(CQ$3="",CQ$3&gt;TODAY()),"",IF(AND(CT14="",CU14=""),"",N(CU14)-N(CT14)))</f>
        <v/>
      </c>
      <c r="CZ14">
        <f>IF(OR(CX$3="",CX$3&gt;TODAY()),"",IF(AND(CX14="",CY14=""),"",N(CY14)-N(CX14)))</f>
        <v/>
      </c>
      <c r="DC14">
        <f>IF(OR(CX$3="",CX$3&gt;TODAY()),"",IF(AND(DA14="",DB14=""),"",N(DB14)-N(DA14)))</f>
        <v/>
      </c>
      <c r="DG14">
        <f>IF(OR(DE$3="",DE$3&gt;TODAY()),"",IF(AND(DE14="",DF14=""),"",N(DF14)-N(DE14)))</f>
        <v/>
      </c>
      <c r="DJ14">
        <f>IF(OR(DE$3="",DE$3&gt;TODAY()),"",IF(AND(DH14="",DI14=""),"",N(DI14)-N(DH14)))</f>
        <v/>
      </c>
      <c r="DN14">
        <f>IF(OR(DL$3="",DL$3&gt;TODAY()),"",IF(AND(DL14="",DM14=""),"",N(DM14)-N(DL14)))</f>
        <v/>
      </c>
      <c r="DQ14">
        <f>IF(OR(DL$3="",DL$3&gt;TODAY()),"",IF(AND(DO14="",DP14=""),"",N(DP14)-N(DO14)))</f>
        <v/>
      </c>
      <c r="DU14">
        <f>IF(OR(DS$3="",DS$3&gt;TODAY()),"",IF(AND(DS14="",DT14=""),"",N(DT14)-N(DS14)))</f>
        <v/>
      </c>
      <c r="DX14">
        <f>IF(OR(DS$3="",DS$3&gt;TODAY()),"",IF(AND(DV14="",DW14=""),"",N(DW14)-N(DV14)))</f>
        <v/>
      </c>
      <c r="EB14">
        <f>IF(OR(DZ$3="",DZ$3&gt;TODAY()),"",IF(AND(DZ14="",EA14=""),"",N(EA14)-N(DZ14)))</f>
        <v/>
      </c>
      <c r="EE14">
        <f>IF(OR(DZ$3="",DZ$3&gt;TODAY()),"",IF(AND(EC14="",ED14=""),"",N(ED14)-N(EC14)))</f>
        <v/>
      </c>
      <c r="EI14">
        <f>IF(OR(EG$3="",EG$3&gt;TODAY()),"",IF(AND(EG14="",EH14=""),"",N(EH14)-N(EG14)))</f>
        <v/>
      </c>
      <c r="EL14">
        <f>IF(OR(EG$3="",EG$3&gt;TODAY()),"",IF(AND(EJ14="",EK14=""),"",N(EK14)-N(EJ14)))</f>
        <v/>
      </c>
      <c r="EP14">
        <f>IF(OR(EN$3="",EN$3&gt;TODAY()),"",IF(AND(EN14="",EO14=""),"",N(EO14)-N(EN14)))</f>
        <v/>
      </c>
      <c r="ES14">
        <f>IF(OR(EN$3="",EN$3&gt;TODAY()),"",IF(AND(EQ14="",ER14=""),"",N(ER14)-N(EQ14)))</f>
        <v/>
      </c>
      <c r="EW14">
        <f>IF(OR(EU$3="",EU$3&gt;TODAY()),"",IF(AND(EU14="",EV14=""),"",N(EV14)-N(EU14)))</f>
        <v/>
      </c>
      <c r="EZ14">
        <f>IF(OR(EU$3="",EU$3&gt;TODAY()),"",IF(AND(EX14="",EY14=""),"",N(EY14)-N(EX14)))</f>
        <v/>
      </c>
      <c r="FD14">
        <f>IF(OR(FB$3="",FB$3&gt;TODAY()),"",IF(AND(FB14="",FC14=""),"",N(FC14)-N(FB14)))</f>
        <v/>
      </c>
      <c r="FG14">
        <f>IF(OR(FB$3="",FB$3&gt;TODAY()),"",IF(AND(FE14="",FF14=""),"",N(FF14)-N(FE14)))</f>
        <v/>
      </c>
      <c r="FK14">
        <f>IF(OR(FI$3="",FI$3&gt;TODAY()),"",IF(AND(FI14="",FJ14=""),"",N(FJ14)-N(FI14)))</f>
        <v/>
      </c>
      <c r="FN14">
        <f>IF(OR(FI$3="",FI$3&gt;TODAY()),"",IF(AND(FL14="",FM14=""),"",N(FM14)-N(FL14)))</f>
        <v/>
      </c>
      <c r="FR14">
        <f>IF(OR(FP$3="",FP$3&gt;TODAY()),"",IF(AND(FP14="",FQ14=""),"",N(FQ14)-N(FP14)))</f>
        <v/>
      </c>
      <c r="FU14">
        <f>IF(OR(FP$3="",FP$3&gt;TODAY()),"",IF(AND(FS14="",FT14=""),"",N(FT14)-N(FS14)))</f>
        <v/>
      </c>
      <c r="FY14">
        <f>IF(OR(FW$3="",FW$3&gt;TODAY()),"",IF(AND(FW14="",FX14=""),"",N(FX14)-N(FW14)))</f>
        <v/>
      </c>
      <c r="GB14">
        <f>IF(OR(FW$3="",FW$3&gt;TODAY()),"",IF(AND(FZ14="",GA14=""),"",N(GA14)-N(FZ14)))</f>
        <v/>
      </c>
      <c r="GF14">
        <f>IF(OR(GD$3="",GD$3&gt;TODAY()),"",IF(AND(GD14="",GE14=""),"",N(GE14)-N(GD14)))</f>
        <v/>
      </c>
      <c r="GI14">
        <f>IF(OR(GD$3="",GD$3&gt;TODAY()),"",IF(AND(GG14="",GH14=""),"",N(GH14)-N(GG14)))</f>
        <v/>
      </c>
      <c r="GM14">
        <f>IF(OR(GK$3="",GK$3&gt;TODAY()),"",IF(AND(GK14="",GL14=""),"",N(GL14)-N(GK14)))</f>
        <v/>
      </c>
      <c r="GP14">
        <f>IF(OR(GK$3="",GK$3&gt;TODAY()),"",IF(AND(GN14="",GO14=""),"",N(GO14)-N(GN14)))</f>
        <v/>
      </c>
      <c r="GT14">
        <f>IF(OR(GR$3="",GR$3&gt;TODAY()),"",IF(AND(GR14="",GS14=""),"",N(GS14)-N(GR14)))</f>
        <v/>
      </c>
      <c r="GW14">
        <f>IF(OR(GR$3="",GR$3&gt;TODAY()),"",IF(AND(GU14="",GV14=""),"",N(GV14)-N(GU14)))</f>
        <v/>
      </c>
      <c r="HA14">
        <f>IF(OR(GY$3="",GY$3&gt;TODAY()),"",IF(AND(GY14="",GZ14=""),"",N(GZ14)-N(GY14)))</f>
        <v/>
      </c>
      <c r="HD14">
        <f>IF(OR(GY$3="",GY$3&gt;TODAY()),"",IF(AND(HB14="",HC14=""),"",N(HC14)-N(HB14)))</f>
        <v/>
      </c>
      <c r="HH14">
        <f>IF(OR(HF$3="",HF$3&gt;TODAY()),"",IF(AND(HF14="",HG14=""),"",N(HG14)-N(HF14)))</f>
        <v/>
      </c>
      <c r="HK14">
        <f>IF(OR(HF$3="",HF$3&gt;TODAY()),"",IF(AND(HI14="",HJ14=""),"",N(HJ14)-N(HI14)))</f>
        <v/>
      </c>
      <c r="HO14">
        <f>IF(OR(HM$3="",HM$3&gt;TODAY()),"",IF(AND(HM14="",HN14=""),"",N(HN14)-N(HM14)))</f>
        <v/>
      </c>
      <c r="HR14">
        <f>IF(OR(HM$3="",HM$3&gt;TODAY()),"",IF(AND(HP14="",HQ14=""),"",N(HQ14)-N(HP14)))</f>
        <v/>
      </c>
      <c r="HV14">
        <f>IF(OR(HT$3="",HT$3&gt;TODAY()),"",IF(AND(HT14="",HU14=""),"",N(HU14)-N(HT14)))</f>
        <v/>
      </c>
      <c r="HY14">
        <f>IF(OR(HT$3="",HT$3&gt;TODAY()),"",IF(AND(HW14="",HX14=""),"",N(HX14)-N(HW14)))</f>
        <v/>
      </c>
      <c r="IC14">
        <f>IF(OR(IA$3="",IA$3&gt;TODAY()),"",IF(AND(IA14="",IB14=""),"",N(IB14)-N(IA14)))</f>
        <v/>
      </c>
      <c r="IF14">
        <f>IF(OR(IA$3="",IA$3&gt;TODAY()),"",IF(AND(ID14="",IE14=""),"",N(IE14)-N(ID14)))</f>
        <v/>
      </c>
      <c r="IJ14">
        <f>IF(OR(IH$3="",IH$3&gt;TODAY()),"",IF(AND(IH14="",II14=""),"",N(II14)-N(IH14)))</f>
        <v/>
      </c>
      <c r="IM14">
        <f>IF(OR(IH$3="",IH$3&gt;TODAY()),"",IF(AND(IK14="",IL14=""),"",N(IL14)-N(IK14)))</f>
        <v/>
      </c>
    </row>
    <row r="15">
      <c r="A15" s="21" t="n"/>
      <c r="B15" s="21" t="n"/>
      <c r="C15" s="21" t="n"/>
      <c r="D15" s="21" t="n"/>
      <c r="E15" s="21" t="n"/>
      <c r="F15" s="21" t="n"/>
      <c r="G15" s="21" t="n"/>
      <c r="H15" s="21" t="n"/>
      <c r="I15" s="22" t="n"/>
      <c r="J15" s="22" t="n"/>
      <c r="K15" s="23" t="n"/>
      <c r="L15" s="22" t="n"/>
      <c r="M15" s="22" t="n"/>
      <c r="N15" s="21" t="n"/>
      <c r="O15" s="23" t="n"/>
      <c r="P15" s="23" t="n"/>
      <c r="Q15" s="23" t="n"/>
      <c r="R15" s="23" t="n"/>
      <c r="S15" s="22" t="n"/>
      <c r="T15" s="23" t="n"/>
      <c r="U15" s="23" t="n"/>
      <c r="V15" s="24">
        <f>IF(J15&lt;&gt;"",J15,IF(I15&lt;&gt;"",I15,""))</f>
        <v/>
      </c>
      <c r="W15" s="25">
        <f>IF($E15="","",N(O15)+SUMIFS($AF15:$IN15,$AF$4:$IN$4,"SEW_ACT"))</f>
        <v/>
      </c>
      <c r="X15" s="25">
        <f>IF($E15="","",N(P15)+SUMIFS($AF15:$IN15,$AF$4:$IN$4,"WASH_ACT"))</f>
        <v/>
      </c>
      <c r="Y15" s="25">
        <f>IF($E15="","",W15-X15-N(T15)-N(U15))</f>
        <v/>
      </c>
      <c r="Z15" s="25">
        <f>IF($E15="","",IF(N(K15)-X15&lt;=0.02*N(K15),0,N(K15)-X15))</f>
        <v/>
      </c>
      <c r="AA15" s="24">
        <f>IF($E15="","",IF(S15&lt;&gt;"",S15,IF(N(O15)&gt;0,IF(L15&lt;&gt;"",L15,99999),IFERROR(1/(1/_xlfn.MINIFS($AF$3:$IN$3,$AF$4:$IN$4,"SEW_ACT",$AF15:$IN15,"&gt;0")),99999))))</f>
        <v/>
      </c>
      <c r="AB15" s="26">
        <f>IF(OR($E15="",Z15=0,V15=""),"",1+COUNTIFS(Z$8:Z$707,"&gt;0",V$8:V$707,"&lt;"&amp;V15)+COUNTIFS(Z$8:Z$707,"&gt;0",V$8:V$707,V15,AA$8:AA$707,"&lt;"&amp;AA15)+COUNTIFS(Z$8:Z$707,"&gt;0",V$8:V$707,V15,AA$8:AA$707,AA15,E$8:E$707,"&lt;"&amp;$E15))</f>
        <v/>
      </c>
      <c r="AC15" s="24">
        <f>IF(OR($E15="",Z15=0),"",IFERROR(TODAY()+ROUNDUP(Z15/(SUMIFS($AF15:$IN15,$AF$4:$IN$4,"WASH_ACT")/COUNTIFS($AF$4:$IN$4,"WASH_ACT",$AF15:$IN15,"&gt;0")),0),"no output yet"))</f>
        <v/>
      </c>
      <c r="AD15" s="26">
        <f>IF($E15="","",IFERROR(ROUND(MAX(0,SUMIFS($AF15:$IN15,$AF$4:$IN$4,"SEW_PLAN",$AF$3:$IN$3,"&lt;="&amp;TODAY())-SUMIFS($AF15:$IN15,$AF$4:$IN$4,"SEW_ACT",$AF$3:$IN$3,"&lt;="&amp;TODAY())+N(Q15))/(SUMIFS($AF15:$IN15,$AF$4:$IN$4,"SEW_PLAN")/COUNTIFS($AF$4:$IN$4,"SEW_PLAN",$AF15:$IN15,"&gt;0")),1),0))</f>
        <v/>
      </c>
      <c r="AE15" s="26">
        <f>IF($E15="","",IF(AND(Z15&gt;0,OR(AND(M15&lt;&gt;"",TODAY()&gt;M15),AND(V15&lt;&gt;"",V15-TODAY()&lt;=7))),"Yes","No"))</f>
        <v/>
      </c>
      <c r="AH15">
        <f>IF(OR(AF$3="",AF$3&gt;TODAY()),"",IF(AND(AF15="",AG15=""),"",N(AG15)-N(AF15)))</f>
        <v/>
      </c>
      <c r="AK15">
        <f>IF(OR(AF$3="",AF$3&gt;TODAY()),"",IF(AND(AI15="",AJ15=""),"",N(AJ15)-N(AI15)))</f>
        <v/>
      </c>
      <c r="AO15">
        <f>IF(OR(AM$3="",AM$3&gt;TODAY()),"",IF(AND(AM15="",AN15=""),"",N(AN15)-N(AM15)))</f>
        <v/>
      </c>
      <c r="AR15">
        <f>IF(OR(AM$3="",AM$3&gt;TODAY()),"",IF(AND(AP15="",AQ15=""),"",N(AQ15)-N(AP15)))</f>
        <v/>
      </c>
      <c r="AV15">
        <f>IF(OR(AT$3="",AT$3&gt;TODAY()),"",IF(AND(AT15="",AU15=""),"",N(AU15)-N(AT15)))</f>
        <v/>
      </c>
      <c r="AY15">
        <f>IF(OR(AT$3="",AT$3&gt;TODAY()),"",IF(AND(AW15="",AX15=""),"",N(AX15)-N(AW15)))</f>
        <v/>
      </c>
      <c r="BC15">
        <f>IF(OR(BA$3="",BA$3&gt;TODAY()),"",IF(AND(BA15="",BB15=""),"",N(BB15)-N(BA15)))</f>
        <v/>
      </c>
      <c r="BF15">
        <f>IF(OR(BA$3="",BA$3&gt;TODAY()),"",IF(AND(BD15="",BE15=""),"",N(BE15)-N(BD15)))</f>
        <v/>
      </c>
      <c r="BJ15">
        <f>IF(OR(BH$3="",BH$3&gt;TODAY()),"",IF(AND(BH15="",BI15=""),"",N(BI15)-N(BH15)))</f>
        <v/>
      </c>
      <c r="BM15">
        <f>IF(OR(BH$3="",BH$3&gt;TODAY()),"",IF(AND(BK15="",BL15=""),"",N(BL15)-N(BK15)))</f>
        <v/>
      </c>
      <c r="BQ15">
        <f>IF(OR(BO$3="",BO$3&gt;TODAY()),"",IF(AND(BO15="",BP15=""),"",N(BP15)-N(BO15)))</f>
        <v/>
      </c>
      <c r="BT15">
        <f>IF(OR(BO$3="",BO$3&gt;TODAY()),"",IF(AND(BR15="",BS15=""),"",N(BS15)-N(BR15)))</f>
        <v/>
      </c>
      <c r="BX15">
        <f>IF(OR(BV$3="",BV$3&gt;TODAY()),"",IF(AND(BV15="",BW15=""),"",N(BW15)-N(BV15)))</f>
        <v/>
      </c>
      <c r="CA15">
        <f>IF(OR(BV$3="",BV$3&gt;TODAY()),"",IF(AND(BY15="",BZ15=""),"",N(BZ15)-N(BY15)))</f>
        <v/>
      </c>
      <c r="CE15">
        <f>IF(OR(CC$3="",CC$3&gt;TODAY()),"",IF(AND(CC15="",CD15=""),"",N(CD15)-N(CC15)))</f>
        <v/>
      </c>
      <c r="CH15">
        <f>IF(OR(CC$3="",CC$3&gt;TODAY()),"",IF(AND(CF15="",CG15=""),"",N(CG15)-N(CF15)))</f>
        <v/>
      </c>
      <c r="CL15">
        <f>IF(OR(CJ$3="",CJ$3&gt;TODAY()),"",IF(AND(CJ15="",CK15=""),"",N(CK15)-N(CJ15)))</f>
        <v/>
      </c>
      <c r="CO15">
        <f>IF(OR(CJ$3="",CJ$3&gt;TODAY()),"",IF(AND(CM15="",CN15=""),"",N(CN15)-N(CM15)))</f>
        <v/>
      </c>
      <c r="CS15">
        <f>IF(OR(CQ$3="",CQ$3&gt;TODAY()),"",IF(AND(CQ15="",CR15=""),"",N(CR15)-N(CQ15)))</f>
        <v/>
      </c>
      <c r="CV15">
        <f>IF(OR(CQ$3="",CQ$3&gt;TODAY()),"",IF(AND(CT15="",CU15=""),"",N(CU15)-N(CT15)))</f>
        <v/>
      </c>
      <c r="CZ15">
        <f>IF(OR(CX$3="",CX$3&gt;TODAY()),"",IF(AND(CX15="",CY15=""),"",N(CY15)-N(CX15)))</f>
        <v/>
      </c>
      <c r="DC15">
        <f>IF(OR(CX$3="",CX$3&gt;TODAY()),"",IF(AND(DA15="",DB15=""),"",N(DB15)-N(DA15)))</f>
        <v/>
      </c>
      <c r="DG15">
        <f>IF(OR(DE$3="",DE$3&gt;TODAY()),"",IF(AND(DE15="",DF15=""),"",N(DF15)-N(DE15)))</f>
        <v/>
      </c>
      <c r="DJ15">
        <f>IF(OR(DE$3="",DE$3&gt;TODAY()),"",IF(AND(DH15="",DI15=""),"",N(DI15)-N(DH15)))</f>
        <v/>
      </c>
      <c r="DN15">
        <f>IF(OR(DL$3="",DL$3&gt;TODAY()),"",IF(AND(DL15="",DM15=""),"",N(DM15)-N(DL15)))</f>
        <v/>
      </c>
      <c r="DQ15">
        <f>IF(OR(DL$3="",DL$3&gt;TODAY()),"",IF(AND(DO15="",DP15=""),"",N(DP15)-N(DO15)))</f>
        <v/>
      </c>
      <c r="DU15">
        <f>IF(OR(DS$3="",DS$3&gt;TODAY()),"",IF(AND(DS15="",DT15=""),"",N(DT15)-N(DS15)))</f>
        <v/>
      </c>
      <c r="DX15">
        <f>IF(OR(DS$3="",DS$3&gt;TODAY()),"",IF(AND(DV15="",DW15=""),"",N(DW15)-N(DV15)))</f>
        <v/>
      </c>
      <c r="EB15">
        <f>IF(OR(DZ$3="",DZ$3&gt;TODAY()),"",IF(AND(DZ15="",EA15=""),"",N(EA15)-N(DZ15)))</f>
        <v/>
      </c>
      <c r="EE15">
        <f>IF(OR(DZ$3="",DZ$3&gt;TODAY()),"",IF(AND(EC15="",ED15=""),"",N(ED15)-N(EC15)))</f>
        <v/>
      </c>
      <c r="EI15">
        <f>IF(OR(EG$3="",EG$3&gt;TODAY()),"",IF(AND(EG15="",EH15=""),"",N(EH15)-N(EG15)))</f>
        <v/>
      </c>
      <c r="EL15">
        <f>IF(OR(EG$3="",EG$3&gt;TODAY()),"",IF(AND(EJ15="",EK15=""),"",N(EK15)-N(EJ15)))</f>
        <v/>
      </c>
      <c r="EP15">
        <f>IF(OR(EN$3="",EN$3&gt;TODAY()),"",IF(AND(EN15="",EO15=""),"",N(EO15)-N(EN15)))</f>
        <v/>
      </c>
      <c r="ES15">
        <f>IF(OR(EN$3="",EN$3&gt;TODAY()),"",IF(AND(EQ15="",ER15=""),"",N(ER15)-N(EQ15)))</f>
        <v/>
      </c>
      <c r="EW15">
        <f>IF(OR(EU$3="",EU$3&gt;TODAY()),"",IF(AND(EU15="",EV15=""),"",N(EV15)-N(EU15)))</f>
        <v/>
      </c>
      <c r="EZ15">
        <f>IF(OR(EU$3="",EU$3&gt;TODAY()),"",IF(AND(EX15="",EY15=""),"",N(EY15)-N(EX15)))</f>
        <v/>
      </c>
      <c r="FD15">
        <f>IF(OR(FB$3="",FB$3&gt;TODAY()),"",IF(AND(FB15="",FC15=""),"",N(FC15)-N(FB15)))</f>
        <v/>
      </c>
      <c r="FG15">
        <f>IF(OR(FB$3="",FB$3&gt;TODAY()),"",IF(AND(FE15="",FF15=""),"",N(FF15)-N(FE15)))</f>
        <v/>
      </c>
      <c r="FK15">
        <f>IF(OR(FI$3="",FI$3&gt;TODAY()),"",IF(AND(FI15="",FJ15=""),"",N(FJ15)-N(FI15)))</f>
        <v/>
      </c>
      <c r="FN15">
        <f>IF(OR(FI$3="",FI$3&gt;TODAY()),"",IF(AND(FL15="",FM15=""),"",N(FM15)-N(FL15)))</f>
        <v/>
      </c>
      <c r="FR15">
        <f>IF(OR(FP$3="",FP$3&gt;TODAY()),"",IF(AND(FP15="",FQ15=""),"",N(FQ15)-N(FP15)))</f>
        <v/>
      </c>
      <c r="FU15">
        <f>IF(OR(FP$3="",FP$3&gt;TODAY()),"",IF(AND(FS15="",FT15=""),"",N(FT15)-N(FS15)))</f>
        <v/>
      </c>
      <c r="FY15">
        <f>IF(OR(FW$3="",FW$3&gt;TODAY()),"",IF(AND(FW15="",FX15=""),"",N(FX15)-N(FW15)))</f>
        <v/>
      </c>
      <c r="GB15">
        <f>IF(OR(FW$3="",FW$3&gt;TODAY()),"",IF(AND(FZ15="",GA15=""),"",N(GA15)-N(FZ15)))</f>
        <v/>
      </c>
      <c r="GF15">
        <f>IF(OR(GD$3="",GD$3&gt;TODAY()),"",IF(AND(GD15="",GE15=""),"",N(GE15)-N(GD15)))</f>
        <v/>
      </c>
      <c r="GI15">
        <f>IF(OR(GD$3="",GD$3&gt;TODAY()),"",IF(AND(GG15="",GH15=""),"",N(GH15)-N(GG15)))</f>
        <v/>
      </c>
      <c r="GM15">
        <f>IF(OR(GK$3="",GK$3&gt;TODAY()),"",IF(AND(GK15="",GL15=""),"",N(GL15)-N(GK15)))</f>
        <v/>
      </c>
      <c r="GP15">
        <f>IF(OR(GK$3="",GK$3&gt;TODAY()),"",IF(AND(GN15="",GO15=""),"",N(GO15)-N(GN15)))</f>
        <v/>
      </c>
      <c r="GT15">
        <f>IF(OR(GR$3="",GR$3&gt;TODAY()),"",IF(AND(GR15="",GS15=""),"",N(GS15)-N(GR15)))</f>
        <v/>
      </c>
      <c r="GW15">
        <f>IF(OR(GR$3="",GR$3&gt;TODAY()),"",IF(AND(GU15="",GV15=""),"",N(GV15)-N(GU15)))</f>
        <v/>
      </c>
      <c r="HA15">
        <f>IF(OR(GY$3="",GY$3&gt;TODAY()),"",IF(AND(GY15="",GZ15=""),"",N(GZ15)-N(GY15)))</f>
        <v/>
      </c>
      <c r="HD15">
        <f>IF(OR(GY$3="",GY$3&gt;TODAY()),"",IF(AND(HB15="",HC15=""),"",N(HC15)-N(HB15)))</f>
        <v/>
      </c>
      <c r="HH15">
        <f>IF(OR(HF$3="",HF$3&gt;TODAY()),"",IF(AND(HF15="",HG15=""),"",N(HG15)-N(HF15)))</f>
        <v/>
      </c>
      <c r="HK15">
        <f>IF(OR(HF$3="",HF$3&gt;TODAY()),"",IF(AND(HI15="",HJ15=""),"",N(HJ15)-N(HI15)))</f>
        <v/>
      </c>
      <c r="HO15">
        <f>IF(OR(HM$3="",HM$3&gt;TODAY()),"",IF(AND(HM15="",HN15=""),"",N(HN15)-N(HM15)))</f>
        <v/>
      </c>
      <c r="HR15">
        <f>IF(OR(HM$3="",HM$3&gt;TODAY()),"",IF(AND(HP15="",HQ15=""),"",N(HQ15)-N(HP15)))</f>
        <v/>
      </c>
      <c r="HV15">
        <f>IF(OR(HT$3="",HT$3&gt;TODAY()),"",IF(AND(HT15="",HU15=""),"",N(HU15)-N(HT15)))</f>
        <v/>
      </c>
      <c r="HY15">
        <f>IF(OR(HT$3="",HT$3&gt;TODAY()),"",IF(AND(HW15="",HX15=""),"",N(HX15)-N(HW15)))</f>
        <v/>
      </c>
      <c r="IC15">
        <f>IF(OR(IA$3="",IA$3&gt;TODAY()),"",IF(AND(IA15="",IB15=""),"",N(IB15)-N(IA15)))</f>
        <v/>
      </c>
      <c r="IF15">
        <f>IF(OR(IA$3="",IA$3&gt;TODAY()),"",IF(AND(ID15="",IE15=""),"",N(IE15)-N(ID15)))</f>
        <v/>
      </c>
      <c r="IJ15">
        <f>IF(OR(IH$3="",IH$3&gt;TODAY()),"",IF(AND(IH15="",II15=""),"",N(II15)-N(IH15)))</f>
        <v/>
      </c>
      <c r="IM15">
        <f>IF(OR(IH$3="",IH$3&gt;TODAY()),"",IF(AND(IK15="",IL15=""),"",N(IL15)-N(IK15)))</f>
        <v/>
      </c>
    </row>
    <row r="16">
      <c r="A16" s="21" t="n"/>
      <c r="B16" s="21" t="n"/>
      <c r="C16" s="21" t="n"/>
      <c r="D16" s="21" t="n"/>
      <c r="E16" s="21" t="n"/>
      <c r="F16" s="21" t="n"/>
      <c r="G16" s="21" t="n"/>
      <c r="H16" s="21" t="n"/>
      <c r="I16" s="22" t="n"/>
      <c r="J16" s="22" t="n"/>
      <c r="K16" s="23" t="n"/>
      <c r="L16" s="22" t="n"/>
      <c r="M16" s="22" t="n"/>
      <c r="N16" s="21" t="n"/>
      <c r="O16" s="23" t="n"/>
      <c r="P16" s="23" t="n"/>
      <c r="Q16" s="23" t="n"/>
      <c r="R16" s="23" t="n"/>
      <c r="S16" s="22" t="n"/>
      <c r="T16" s="23" t="n"/>
      <c r="U16" s="23" t="n"/>
      <c r="V16" s="24">
        <f>IF(J16&lt;&gt;"",J16,IF(I16&lt;&gt;"",I16,""))</f>
        <v/>
      </c>
      <c r="W16" s="25">
        <f>IF($E16="","",N(O16)+SUMIFS($AF16:$IN16,$AF$4:$IN$4,"SEW_ACT"))</f>
        <v/>
      </c>
      <c r="X16" s="25">
        <f>IF($E16="","",N(P16)+SUMIFS($AF16:$IN16,$AF$4:$IN$4,"WASH_ACT"))</f>
        <v/>
      </c>
      <c r="Y16" s="25">
        <f>IF($E16="","",W16-X16-N(T16)-N(U16))</f>
        <v/>
      </c>
      <c r="Z16" s="25">
        <f>IF($E16="","",IF(N(K16)-X16&lt;=0.02*N(K16),0,N(K16)-X16))</f>
        <v/>
      </c>
      <c r="AA16" s="24">
        <f>IF($E16="","",IF(S16&lt;&gt;"",S16,IF(N(O16)&gt;0,IF(L16&lt;&gt;"",L16,99999),IFERROR(1/(1/_xlfn.MINIFS($AF$3:$IN$3,$AF$4:$IN$4,"SEW_ACT",$AF16:$IN16,"&gt;0")),99999))))</f>
        <v/>
      </c>
      <c r="AB16" s="26">
        <f>IF(OR($E16="",Z16=0,V16=""),"",1+COUNTIFS(Z$8:Z$707,"&gt;0",V$8:V$707,"&lt;"&amp;V16)+COUNTIFS(Z$8:Z$707,"&gt;0",V$8:V$707,V16,AA$8:AA$707,"&lt;"&amp;AA16)+COUNTIFS(Z$8:Z$707,"&gt;0",V$8:V$707,V16,AA$8:AA$707,AA16,E$8:E$707,"&lt;"&amp;$E16))</f>
        <v/>
      </c>
      <c r="AC16" s="24">
        <f>IF(OR($E16="",Z16=0),"",IFERROR(TODAY()+ROUNDUP(Z16/(SUMIFS($AF16:$IN16,$AF$4:$IN$4,"WASH_ACT")/COUNTIFS($AF$4:$IN$4,"WASH_ACT",$AF16:$IN16,"&gt;0")),0),"no output yet"))</f>
        <v/>
      </c>
      <c r="AD16" s="26">
        <f>IF($E16="","",IFERROR(ROUND(MAX(0,SUMIFS($AF16:$IN16,$AF$4:$IN$4,"SEW_PLAN",$AF$3:$IN$3,"&lt;="&amp;TODAY())-SUMIFS($AF16:$IN16,$AF$4:$IN$4,"SEW_ACT",$AF$3:$IN$3,"&lt;="&amp;TODAY())+N(Q16))/(SUMIFS($AF16:$IN16,$AF$4:$IN$4,"SEW_PLAN")/COUNTIFS($AF$4:$IN$4,"SEW_PLAN",$AF16:$IN16,"&gt;0")),1),0))</f>
        <v/>
      </c>
      <c r="AE16" s="26">
        <f>IF($E16="","",IF(AND(Z16&gt;0,OR(AND(M16&lt;&gt;"",TODAY()&gt;M16),AND(V16&lt;&gt;"",V16-TODAY()&lt;=7))),"Yes","No"))</f>
        <v/>
      </c>
      <c r="AH16">
        <f>IF(OR(AF$3="",AF$3&gt;TODAY()),"",IF(AND(AF16="",AG16=""),"",N(AG16)-N(AF16)))</f>
        <v/>
      </c>
      <c r="AK16">
        <f>IF(OR(AF$3="",AF$3&gt;TODAY()),"",IF(AND(AI16="",AJ16=""),"",N(AJ16)-N(AI16)))</f>
        <v/>
      </c>
      <c r="AO16">
        <f>IF(OR(AM$3="",AM$3&gt;TODAY()),"",IF(AND(AM16="",AN16=""),"",N(AN16)-N(AM16)))</f>
        <v/>
      </c>
      <c r="AR16">
        <f>IF(OR(AM$3="",AM$3&gt;TODAY()),"",IF(AND(AP16="",AQ16=""),"",N(AQ16)-N(AP16)))</f>
        <v/>
      </c>
      <c r="AV16">
        <f>IF(OR(AT$3="",AT$3&gt;TODAY()),"",IF(AND(AT16="",AU16=""),"",N(AU16)-N(AT16)))</f>
        <v/>
      </c>
      <c r="AY16">
        <f>IF(OR(AT$3="",AT$3&gt;TODAY()),"",IF(AND(AW16="",AX16=""),"",N(AX16)-N(AW16)))</f>
        <v/>
      </c>
      <c r="BC16">
        <f>IF(OR(BA$3="",BA$3&gt;TODAY()),"",IF(AND(BA16="",BB16=""),"",N(BB16)-N(BA16)))</f>
        <v/>
      </c>
      <c r="BF16">
        <f>IF(OR(BA$3="",BA$3&gt;TODAY()),"",IF(AND(BD16="",BE16=""),"",N(BE16)-N(BD16)))</f>
        <v/>
      </c>
      <c r="BJ16">
        <f>IF(OR(BH$3="",BH$3&gt;TODAY()),"",IF(AND(BH16="",BI16=""),"",N(BI16)-N(BH16)))</f>
        <v/>
      </c>
      <c r="BM16">
        <f>IF(OR(BH$3="",BH$3&gt;TODAY()),"",IF(AND(BK16="",BL16=""),"",N(BL16)-N(BK16)))</f>
        <v/>
      </c>
      <c r="BQ16">
        <f>IF(OR(BO$3="",BO$3&gt;TODAY()),"",IF(AND(BO16="",BP16=""),"",N(BP16)-N(BO16)))</f>
        <v/>
      </c>
      <c r="BT16">
        <f>IF(OR(BO$3="",BO$3&gt;TODAY()),"",IF(AND(BR16="",BS16=""),"",N(BS16)-N(BR16)))</f>
        <v/>
      </c>
      <c r="BX16">
        <f>IF(OR(BV$3="",BV$3&gt;TODAY()),"",IF(AND(BV16="",BW16=""),"",N(BW16)-N(BV16)))</f>
        <v/>
      </c>
      <c r="CA16">
        <f>IF(OR(BV$3="",BV$3&gt;TODAY()),"",IF(AND(BY16="",BZ16=""),"",N(BZ16)-N(BY16)))</f>
        <v/>
      </c>
      <c r="CE16">
        <f>IF(OR(CC$3="",CC$3&gt;TODAY()),"",IF(AND(CC16="",CD16=""),"",N(CD16)-N(CC16)))</f>
        <v/>
      </c>
      <c r="CH16">
        <f>IF(OR(CC$3="",CC$3&gt;TODAY()),"",IF(AND(CF16="",CG16=""),"",N(CG16)-N(CF16)))</f>
        <v/>
      </c>
      <c r="CL16">
        <f>IF(OR(CJ$3="",CJ$3&gt;TODAY()),"",IF(AND(CJ16="",CK16=""),"",N(CK16)-N(CJ16)))</f>
        <v/>
      </c>
      <c r="CO16">
        <f>IF(OR(CJ$3="",CJ$3&gt;TODAY()),"",IF(AND(CM16="",CN16=""),"",N(CN16)-N(CM16)))</f>
        <v/>
      </c>
      <c r="CS16">
        <f>IF(OR(CQ$3="",CQ$3&gt;TODAY()),"",IF(AND(CQ16="",CR16=""),"",N(CR16)-N(CQ16)))</f>
        <v/>
      </c>
      <c r="CV16">
        <f>IF(OR(CQ$3="",CQ$3&gt;TODAY()),"",IF(AND(CT16="",CU16=""),"",N(CU16)-N(CT16)))</f>
        <v/>
      </c>
      <c r="CZ16">
        <f>IF(OR(CX$3="",CX$3&gt;TODAY()),"",IF(AND(CX16="",CY16=""),"",N(CY16)-N(CX16)))</f>
        <v/>
      </c>
      <c r="DC16">
        <f>IF(OR(CX$3="",CX$3&gt;TODAY()),"",IF(AND(DA16="",DB16=""),"",N(DB16)-N(DA16)))</f>
        <v/>
      </c>
      <c r="DG16">
        <f>IF(OR(DE$3="",DE$3&gt;TODAY()),"",IF(AND(DE16="",DF16=""),"",N(DF16)-N(DE16)))</f>
        <v/>
      </c>
      <c r="DJ16">
        <f>IF(OR(DE$3="",DE$3&gt;TODAY()),"",IF(AND(DH16="",DI16=""),"",N(DI16)-N(DH16)))</f>
        <v/>
      </c>
      <c r="DN16">
        <f>IF(OR(DL$3="",DL$3&gt;TODAY()),"",IF(AND(DL16="",DM16=""),"",N(DM16)-N(DL16)))</f>
        <v/>
      </c>
      <c r="DQ16">
        <f>IF(OR(DL$3="",DL$3&gt;TODAY()),"",IF(AND(DO16="",DP16=""),"",N(DP16)-N(DO16)))</f>
        <v/>
      </c>
      <c r="DU16">
        <f>IF(OR(DS$3="",DS$3&gt;TODAY()),"",IF(AND(DS16="",DT16=""),"",N(DT16)-N(DS16)))</f>
        <v/>
      </c>
      <c r="DX16">
        <f>IF(OR(DS$3="",DS$3&gt;TODAY()),"",IF(AND(DV16="",DW16=""),"",N(DW16)-N(DV16)))</f>
        <v/>
      </c>
      <c r="EB16">
        <f>IF(OR(DZ$3="",DZ$3&gt;TODAY()),"",IF(AND(DZ16="",EA16=""),"",N(EA16)-N(DZ16)))</f>
        <v/>
      </c>
      <c r="EE16">
        <f>IF(OR(DZ$3="",DZ$3&gt;TODAY()),"",IF(AND(EC16="",ED16=""),"",N(ED16)-N(EC16)))</f>
        <v/>
      </c>
      <c r="EI16">
        <f>IF(OR(EG$3="",EG$3&gt;TODAY()),"",IF(AND(EG16="",EH16=""),"",N(EH16)-N(EG16)))</f>
        <v/>
      </c>
      <c r="EL16">
        <f>IF(OR(EG$3="",EG$3&gt;TODAY()),"",IF(AND(EJ16="",EK16=""),"",N(EK16)-N(EJ16)))</f>
        <v/>
      </c>
      <c r="EP16">
        <f>IF(OR(EN$3="",EN$3&gt;TODAY()),"",IF(AND(EN16="",EO16=""),"",N(EO16)-N(EN16)))</f>
        <v/>
      </c>
      <c r="ES16">
        <f>IF(OR(EN$3="",EN$3&gt;TODAY()),"",IF(AND(EQ16="",ER16=""),"",N(ER16)-N(EQ16)))</f>
        <v/>
      </c>
      <c r="EW16">
        <f>IF(OR(EU$3="",EU$3&gt;TODAY()),"",IF(AND(EU16="",EV16=""),"",N(EV16)-N(EU16)))</f>
        <v/>
      </c>
      <c r="EZ16">
        <f>IF(OR(EU$3="",EU$3&gt;TODAY()),"",IF(AND(EX16="",EY16=""),"",N(EY16)-N(EX16)))</f>
        <v/>
      </c>
      <c r="FD16">
        <f>IF(OR(FB$3="",FB$3&gt;TODAY()),"",IF(AND(FB16="",FC16=""),"",N(FC16)-N(FB16)))</f>
        <v/>
      </c>
      <c r="FG16">
        <f>IF(OR(FB$3="",FB$3&gt;TODAY()),"",IF(AND(FE16="",FF16=""),"",N(FF16)-N(FE16)))</f>
        <v/>
      </c>
      <c r="FK16">
        <f>IF(OR(FI$3="",FI$3&gt;TODAY()),"",IF(AND(FI16="",FJ16=""),"",N(FJ16)-N(FI16)))</f>
        <v/>
      </c>
      <c r="FN16">
        <f>IF(OR(FI$3="",FI$3&gt;TODAY()),"",IF(AND(FL16="",FM16=""),"",N(FM16)-N(FL16)))</f>
        <v/>
      </c>
      <c r="FR16">
        <f>IF(OR(FP$3="",FP$3&gt;TODAY()),"",IF(AND(FP16="",FQ16=""),"",N(FQ16)-N(FP16)))</f>
        <v/>
      </c>
      <c r="FU16">
        <f>IF(OR(FP$3="",FP$3&gt;TODAY()),"",IF(AND(FS16="",FT16=""),"",N(FT16)-N(FS16)))</f>
        <v/>
      </c>
      <c r="FY16">
        <f>IF(OR(FW$3="",FW$3&gt;TODAY()),"",IF(AND(FW16="",FX16=""),"",N(FX16)-N(FW16)))</f>
        <v/>
      </c>
      <c r="GB16">
        <f>IF(OR(FW$3="",FW$3&gt;TODAY()),"",IF(AND(FZ16="",GA16=""),"",N(GA16)-N(FZ16)))</f>
        <v/>
      </c>
      <c r="GF16">
        <f>IF(OR(GD$3="",GD$3&gt;TODAY()),"",IF(AND(GD16="",GE16=""),"",N(GE16)-N(GD16)))</f>
        <v/>
      </c>
      <c r="GI16">
        <f>IF(OR(GD$3="",GD$3&gt;TODAY()),"",IF(AND(GG16="",GH16=""),"",N(GH16)-N(GG16)))</f>
        <v/>
      </c>
      <c r="GM16">
        <f>IF(OR(GK$3="",GK$3&gt;TODAY()),"",IF(AND(GK16="",GL16=""),"",N(GL16)-N(GK16)))</f>
        <v/>
      </c>
      <c r="GP16">
        <f>IF(OR(GK$3="",GK$3&gt;TODAY()),"",IF(AND(GN16="",GO16=""),"",N(GO16)-N(GN16)))</f>
        <v/>
      </c>
      <c r="GT16">
        <f>IF(OR(GR$3="",GR$3&gt;TODAY()),"",IF(AND(GR16="",GS16=""),"",N(GS16)-N(GR16)))</f>
        <v/>
      </c>
      <c r="GW16">
        <f>IF(OR(GR$3="",GR$3&gt;TODAY()),"",IF(AND(GU16="",GV16=""),"",N(GV16)-N(GU16)))</f>
        <v/>
      </c>
      <c r="HA16">
        <f>IF(OR(GY$3="",GY$3&gt;TODAY()),"",IF(AND(GY16="",GZ16=""),"",N(GZ16)-N(GY16)))</f>
        <v/>
      </c>
      <c r="HD16">
        <f>IF(OR(GY$3="",GY$3&gt;TODAY()),"",IF(AND(HB16="",HC16=""),"",N(HC16)-N(HB16)))</f>
        <v/>
      </c>
      <c r="HH16">
        <f>IF(OR(HF$3="",HF$3&gt;TODAY()),"",IF(AND(HF16="",HG16=""),"",N(HG16)-N(HF16)))</f>
        <v/>
      </c>
      <c r="HK16">
        <f>IF(OR(HF$3="",HF$3&gt;TODAY()),"",IF(AND(HI16="",HJ16=""),"",N(HJ16)-N(HI16)))</f>
        <v/>
      </c>
      <c r="HO16">
        <f>IF(OR(HM$3="",HM$3&gt;TODAY()),"",IF(AND(HM16="",HN16=""),"",N(HN16)-N(HM16)))</f>
        <v/>
      </c>
      <c r="HR16">
        <f>IF(OR(HM$3="",HM$3&gt;TODAY()),"",IF(AND(HP16="",HQ16=""),"",N(HQ16)-N(HP16)))</f>
        <v/>
      </c>
      <c r="HV16">
        <f>IF(OR(HT$3="",HT$3&gt;TODAY()),"",IF(AND(HT16="",HU16=""),"",N(HU16)-N(HT16)))</f>
        <v/>
      </c>
      <c r="HY16">
        <f>IF(OR(HT$3="",HT$3&gt;TODAY()),"",IF(AND(HW16="",HX16=""),"",N(HX16)-N(HW16)))</f>
        <v/>
      </c>
      <c r="IC16">
        <f>IF(OR(IA$3="",IA$3&gt;TODAY()),"",IF(AND(IA16="",IB16=""),"",N(IB16)-N(IA16)))</f>
        <v/>
      </c>
      <c r="IF16">
        <f>IF(OR(IA$3="",IA$3&gt;TODAY()),"",IF(AND(ID16="",IE16=""),"",N(IE16)-N(ID16)))</f>
        <v/>
      </c>
      <c r="IJ16">
        <f>IF(OR(IH$3="",IH$3&gt;TODAY()),"",IF(AND(IH16="",II16=""),"",N(II16)-N(IH16)))</f>
        <v/>
      </c>
      <c r="IM16">
        <f>IF(OR(IH$3="",IH$3&gt;TODAY()),"",IF(AND(IK16="",IL16=""),"",N(IL16)-N(IK16)))</f>
        <v/>
      </c>
    </row>
    <row r="17">
      <c r="A17" s="21" t="n"/>
      <c r="B17" s="21" t="n"/>
      <c r="C17" s="21" t="n"/>
      <c r="D17" s="21" t="n"/>
      <c r="E17" s="21" t="n"/>
      <c r="F17" s="21" t="n"/>
      <c r="G17" s="21" t="n"/>
      <c r="H17" s="21" t="n"/>
      <c r="I17" s="22" t="n"/>
      <c r="J17" s="22" t="n"/>
      <c r="K17" s="23" t="n"/>
      <c r="L17" s="22" t="n"/>
      <c r="M17" s="22" t="n"/>
      <c r="N17" s="21" t="n"/>
      <c r="O17" s="23" t="n"/>
      <c r="P17" s="23" t="n"/>
      <c r="Q17" s="23" t="n"/>
      <c r="R17" s="23" t="n"/>
      <c r="S17" s="22" t="n"/>
      <c r="T17" s="23" t="n"/>
      <c r="U17" s="23" t="n"/>
      <c r="V17" s="24">
        <f>IF(J17&lt;&gt;"",J17,IF(I17&lt;&gt;"",I17,""))</f>
        <v/>
      </c>
      <c r="W17" s="25">
        <f>IF($E17="","",N(O17)+SUMIFS($AF17:$IN17,$AF$4:$IN$4,"SEW_ACT"))</f>
        <v/>
      </c>
      <c r="X17" s="25">
        <f>IF($E17="","",N(P17)+SUMIFS($AF17:$IN17,$AF$4:$IN$4,"WASH_ACT"))</f>
        <v/>
      </c>
      <c r="Y17" s="25">
        <f>IF($E17="","",W17-X17-N(T17)-N(U17))</f>
        <v/>
      </c>
      <c r="Z17" s="25">
        <f>IF($E17="","",IF(N(K17)-X17&lt;=0.02*N(K17),0,N(K17)-X17))</f>
        <v/>
      </c>
      <c r="AA17" s="24">
        <f>IF($E17="","",IF(S17&lt;&gt;"",S17,IF(N(O17)&gt;0,IF(L17&lt;&gt;"",L17,99999),IFERROR(1/(1/_xlfn.MINIFS($AF$3:$IN$3,$AF$4:$IN$4,"SEW_ACT",$AF17:$IN17,"&gt;0")),99999))))</f>
        <v/>
      </c>
      <c r="AB17" s="26">
        <f>IF(OR($E17="",Z17=0,V17=""),"",1+COUNTIFS(Z$8:Z$707,"&gt;0",V$8:V$707,"&lt;"&amp;V17)+COUNTIFS(Z$8:Z$707,"&gt;0",V$8:V$707,V17,AA$8:AA$707,"&lt;"&amp;AA17)+COUNTIFS(Z$8:Z$707,"&gt;0",V$8:V$707,V17,AA$8:AA$707,AA17,E$8:E$707,"&lt;"&amp;$E17))</f>
        <v/>
      </c>
      <c r="AC17" s="24">
        <f>IF(OR($E17="",Z17=0),"",IFERROR(TODAY()+ROUNDUP(Z17/(SUMIFS($AF17:$IN17,$AF$4:$IN$4,"WASH_ACT")/COUNTIFS($AF$4:$IN$4,"WASH_ACT",$AF17:$IN17,"&gt;0")),0),"no output yet"))</f>
        <v/>
      </c>
      <c r="AD17" s="26">
        <f>IF($E17="","",IFERROR(ROUND(MAX(0,SUMIFS($AF17:$IN17,$AF$4:$IN$4,"SEW_PLAN",$AF$3:$IN$3,"&lt;="&amp;TODAY())-SUMIFS($AF17:$IN17,$AF$4:$IN$4,"SEW_ACT",$AF$3:$IN$3,"&lt;="&amp;TODAY())+N(Q17))/(SUMIFS($AF17:$IN17,$AF$4:$IN$4,"SEW_PLAN")/COUNTIFS($AF$4:$IN$4,"SEW_PLAN",$AF17:$IN17,"&gt;0")),1),0))</f>
        <v/>
      </c>
      <c r="AE17" s="26">
        <f>IF($E17="","",IF(AND(Z17&gt;0,OR(AND(M17&lt;&gt;"",TODAY()&gt;M17),AND(V17&lt;&gt;"",V17-TODAY()&lt;=7))),"Yes","No"))</f>
        <v/>
      </c>
      <c r="AH17">
        <f>IF(OR(AF$3="",AF$3&gt;TODAY()),"",IF(AND(AF17="",AG17=""),"",N(AG17)-N(AF17)))</f>
        <v/>
      </c>
      <c r="AK17">
        <f>IF(OR(AF$3="",AF$3&gt;TODAY()),"",IF(AND(AI17="",AJ17=""),"",N(AJ17)-N(AI17)))</f>
        <v/>
      </c>
      <c r="AO17">
        <f>IF(OR(AM$3="",AM$3&gt;TODAY()),"",IF(AND(AM17="",AN17=""),"",N(AN17)-N(AM17)))</f>
        <v/>
      </c>
      <c r="AR17">
        <f>IF(OR(AM$3="",AM$3&gt;TODAY()),"",IF(AND(AP17="",AQ17=""),"",N(AQ17)-N(AP17)))</f>
        <v/>
      </c>
      <c r="AV17">
        <f>IF(OR(AT$3="",AT$3&gt;TODAY()),"",IF(AND(AT17="",AU17=""),"",N(AU17)-N(AT17)))</f>
        <v/>
      </c>
      <c r="AY17">
        <f>IF(OR(AT$3="",AT$3&gt;TODAY()),"",IF(AND(AW17="",AX17=""),"",N(AX17)-N(AW17)))</f>
        <v/>
      </c>
      <c r="BC17">
        <f>IF(OR(BA$3="",BA$3&gt;TODAY()),"",IF(AND(BA17="",BB17=""),"",N(BB17)-N(BA17)))</f>
        <v/>
      </c>
      <c r="BF17">
        <f>IF(OR(BA$3="",BA$3&gt;TODAY()),"",IF(AND(BD17="",BE17=""),"",N(BE17)-N(BD17)))</f>
        <v/>
      </c>
      <c r="BJ17">
        <f>IF(OR(BH$3="",BH$3&gt;TODAY()),"",IF(AND(BH17="",BI17=""),"",N(BI17)-N(BH17)))</f>
        <v/>
      </c>
      <c r="BM17">
        <f>IF(OR(BH$3="",BH$3&gt;TODAY()),"",IF(AND(BK17="",BL17=""),"",N(BL17)-N(BK17)))</f>
        <v/>
      </c>
      <c r="BQ17">
        <f>IF(OR(BO$3="",BO$3&gt;TODAY()),"",IF(AND(BO17="",BP17=""),"",N(BP17)-N(BO17)))</f>
        <v/>
      </c>
      <c r="BT17">
        <f>IF(OR(BO$3="",BO$3&gt;TODAY()),"",IF(AND(BR17="",BS17=""),"",N(BS17)-N(BR17)))</f>
        <v/>
      </c>
      <c r="BX17">
        <f>IF(OR(BV$3="",BV$3&gt;TODAY()),"",IF(AND(BV17="",BW17=""),"",N(BW17)-N(BV17)))</f>
        <v/>
      </c>
      <c r="CA17">
        <f>IF(OR(BV$3="",BV$3&gt;TODAY()),"",IF(AND(BY17="",BZ17=""),"",N(BZ17)-N(BY17)))</f>
        <v/>
      </c>
      <c r="CE17">
        <f>IF(OR(CC$3="",CC$3&gt;TODAY()),"",IF(AND(CC17="",CD17=""),"",N(CD17)-N(CC17)))</f>
        <v/>
      </c>
      <c r="CH17">
        <f>IF(OR(CC$3="",CC$3&gt;TODAY()),"",IF(AND(CF17="",CG17=""),"",N(CG17)-N(CF17)))</f>
        <v/>
      </c>
      <c r="CL17">
        <f>IF(OR(CJ$3="",CJ$3&gt;TODAY()),"",IF(AND(CJ17="",CK17=""),"",N(CK17)-N(CJ17)))</f>
        <v/>
      </c>
      <c r="CO17">
        <f>IF(OR(CJ$3="",CJ$3&gt;TODAY()),"",IF(AND(CM17="",CN17=""),"",N(CN17)-N(CM17)))</f>
        <v/>
      </c>
      <c r="CS17">
        <f>IF(OR(CQ$3="",CQ$3&gt;TODAY()),"",IF(AND(CQ17="",CR17=""),"",N(CR17)-N(CQ17)))</f>
        <v/>
      </c>
      <c r="CV17">
        <f>IF(OR(CQ$3="",CQ$3&gt;TODAY()),"",IF(AND(CT17="",CU17=""),"",N(CU17)-N(CT17)))</f>
        <v/>
      </c>
      <c r="CZ17">
        <f>IF(OR(CX$3="",CX$3&gt;TODAY()),"",IF(AND(CX17="",CY17=""),"",N(CY17)-N(CX17)))</f>
        <v/>
      </c>
      <c r="DC17">
        <f>IF(OR(CX$3="",CX$3&gt;TODAY()),"",IF(AND(DA17="",DB17=""),"",N(DB17)-N(DA17)))</f>
        <v/>
      </c>
      <c r="DG17">
        <f>IF(OR(DE$3="",DE$3&gt;TODAY()),"",IF(AND(DE17="",DF17=""),"",N(DF17)-N(DE17)))</f>
        <v/>
      </c>
      <c r="DJ17">
        <f>IF(OR(DE$3="",DE$3&gt;TODAY()),"",IF(AND(DH17="",DI17=""),"",N(DI17)-N(DH17)))</f>
        <v/>
      </c>
      <c r="DN17">
        <f>IF(OR(DL$3="",DL$3&gt;TODAY()),"",IF(AND(DL17="",DM17=""),"",N(DM17)-N(DL17)))</f>
        <v/>
      </c>
      <c r="DQ17">
        <f>IF(OR(DL$3="",DL$3&gt;TODAY()),"",IF(AND(DO17="",DP17=""),"",N(DP17)-N(DO17)))</f>
        <v/>
      </c>
      <c r="DU17">
        <f>IF(OR(DS$3="",DS$3&gt;TODAY()),"",IF(AND(DS17="",DT17=""),"",N(DT17)-N(DS17)))</f>
        <v/>
      </c>
      <c r="DX17">
        <f>IF(OR(DS$3="",DS$3&gt;TODAY()),"",IF(AND(DV17="",DW17=""),"",N(DW17)-N(DV17)))</f>
        <v/>
      </c>
      <c r="EB17">
        <f>IF(OR(DZ$3="",DZ$3&gt;TODAY()),"",IF(AND(DZ17="",EA17=""),"",N(EA17)-N(DZ17)))</f>
        <v/>
      </c>
      <c r="EE17">
        <f>IF(OR(DZ$3="",DZ$3&gt;TODAY()),"",IF(AND(EC17="",ED17=""),"",N(ED17)-N(EC17)))</f>
        <v/>
      </c>
      <c r="EI17">
        <f>IF(OR(EG$3="",EG$3&gt;TODAY()),"",IF(AND(EG17="",EH17=""),"",N(EH17)-N(EG17)))</f>
        <v/>
      </c>
      <c r="EL17">
        <f>IF(OR(EG$3="",EG$3&gt;TODAY()),"",IF(AND(EJ17="",EK17=""),"",N(EK17)-N(EJ17)))</f>
        <v/>
      </c>
      <c r="EP17">
        <f>IF(OR(EN$3="",EN$3&gt;TODAY()),"",IF(AND(EN17="",EO17=""),"",N(EO17)-N(EN17)))</f>
        <v/>
      </c>
      <c r="ES17">
        <f>IF(OR(EN$3="",EN$3&gt;TODAY()),"",IF(AND(EQ17="",ER17=""),"",N(ER17)-N(EQ17)))</f>
        <v/>
      </c>
      <c r="EW17">
        <f>IF(OR(EU$3="",EU$3&gt;TODAY()),"",IF(AND(EU17="",EV17=""),"",N(EV17)-N(EU17)))</f>
        <v/>
      </c>
      <c r="EZ17">
        <f>IF(OR(EU$3="",EU$3&gt;TODAY()),"",IF(AND(EX17="",EY17=""),"",N(EY17)-N(EX17)))</f>
        <v/>
      </c>
      <c r="FD17">
        <f>IF(OR(FB$3="",FB$3&gt;TODAY()),"",IF(AND(FB17="",FC17=""),"",N(FC17)-N(FB17)))</f>
        <v/>
      </c>
      <c r="FG17">
        <f>IF(OR(FB$3="",FB$3&gt;TODAY()),"",IF(AND(FE17="",FF17=""),"",N(FF17)-N(FE17)))</f>
        <v/>
      </c>
      <c r="FK17">
        <f>IF(OR(FI$3="",FI$3&gt;TODAY()),"",IF(AND(FI17="",FJ17=""),"",N(FJ17)-N(FI17)))</f>
        <v/>
      </c>
      <c r="FN17">
        <f>IF(OR(FI$3="",FI$3&gt;TODAY()),"",IF(AND(FL17="",FM17=""),"",N(FM17)-N(FL17)))</f>
        <v/>
      </c>
      <c r="FR17">
        <f>IF(OR(FP$3="",FP$3&gt;TODAY()),"",IF(AND(FP17="",FQ17=""),"",N(FQ17)-N(FP17)))</f>
        <v/>
      </c>
      <c r="FU17">
        <f>IF(OR(FP$3="",FP$3&gt;TODAY()),"",IF(AND(FS17="",FT17=""),"",N(FT17)-N(FS17)))</f>
        <v/>
      </c>
      <c r="FY17">
        <f>IF(OR(FW$3="",FW$3&gt;TODAY()),"",IF(AND(FW17="",FX17=""),"",N(FX17)-N(FW17)))</f>
        <v/>
      </c>
      <c r="GB17">
        <f>IF(OR(FW$3="",FW$3&gt;TODAY()),"",IF(AND(FZ17="",GA17=""),"",N(GA17)-N(FZ17)))</f>
        <v/>
      </c>
      <c r="GF17">
        <f>IF(OR(GD$3="",GD$3&gt;TODAY()),"",IF(AND(GD17="",GE17=""),"",N(GE17)-N(GD17)))</f>
        <v/>
      </c>
      <c r="GI17">
        <f>IF(OR(GD$3="",GD$3&gt;TODAY()),"",IF(AND(GG17="",GH17=""),"",N(GH17)-N(GG17)))</f>
        <v/>
      </c>
      <c r="GM17">
        <f>IF(OR(GK$3="",GK$3&gt;TODAY()),"",IF(AND(GK17="",GL17=""),"",N(GL17)-N(GK17)))</f>
        <v/>
      </c>
      <c r="GP17">
        <f>IF(OR(GK$3="",GK$3&gt;TODAY()),"",IF(AND(GN17="",GO17=""),"",N(GO17)-N(GN17)))</f>
        <v/>
      </c>
      <c r="GT17">
        <f>IF(OR(GR$3="",GR$3&gt;TODAY()),"",IF(AND(GR17="",GS17=""),"",N(GS17)-N(GR17)))</f>
        <v/>
      </c>
      <c r="GW17">
        <f>IF(OR(GR$3="",GR$3&gt;TODAY()),"",IF(AND(GU17="",GV17=""),"",N(GV17)-N(GU17)))</f>
        <v/>
      </c>
      <c r="HA17">
        <f>IF(OR(GY$3="",GY$3&gt;TODAY()),"",IF(AND(GY17="",GZ17=""),"",N(GZ17)-N(GY17)))</f>
        <v/>
      </c>
      <c r="HD17">
        <f>IF(OR(GY$3="",GY$3&gt;TODAY()),"",IF(AND(HB17="",HC17=""),"",N(HC17)-N(HB17)))</f>
        <v/>
      </c>
      <c r="HH17">
        <f>IF(OR(HF$3="",HF$3&gt;TODAY()),"",IF(AND(HF17="",HG17=""),"",N(HG17)-N(HF17)))</f>
        <v/>
      </c>
      <c r="HK17">
        <f>IF(OR(HF$3="",HF$3&gt;TODAY()),"",IF(AND(HI17="",HJ17=""),"",N(HJ17)-N(HI17)))</f>
        <v/>
      </c>
      <c r="HO17">
        <f>IF(OR(HM$3="",HM$3&gt;TODAY()),"",IF(AND(HM17="",HN17=""),"",N(HN17)-N(HM17)))</f>
        <v/>
      </c>
      <c r="HR17">
        <f>IF(OR(HM$3="",HM$3&gt;TODAY()),"",IF(AND(HP17="",HQ17=""),"",N(HQ17)-N(HP17)))</f>
        <v/>
      </c>
      <c r="HV17">
        <f>IF(OR(HT$3="",HT$3&gt;TODAY()),"",IF(AND(HT17="",HU17=""),"",N(HU17)-N(HT17)))</f>
        <v/>
      </c>
      <c r="HY17">
        <f>IF(OR(HT$3="",HT$3&gt;TODAY()),"",IF(AND(HW17="",HX17=""),"",N(HX17)-N(HW17)))</f>
        <v/>
      </c>
      <c r="IC17">
        <f>IF(OR(IA$3="",IA$3&gt;TODAY()),"",IF(AND(IA17="",IB17=""),"",N(IB17)-N(IA17)))</f>
        <v/>
      </c>
      <c r="IF17">
        <f>IF(OR(IA$3="",IA$3&gt;TODAY()),"",IF(AND(ID17="",IE17=""),"",N(IE17)-N(ID17)))</f>
        <v/>
      </c>
      <c r="IJ17">
        <f>IF(OR(IH$3="",IH$3&gt;TODAY()),"",IF(AND(IH17="",II17=""),"",N(II17)-N(IH17)))</f>
        <v/>
      </c>
      <c r="IM17">
        <f>IF(OR(IH$3="",IH$3&gt;TODAY()),"",IF(AND(IK17="",IL17=""),"",N(IL17)-N(IK17)))</f>
        <v/>
      </c>
    </row>
    <row r="18">
      <c r="A18" s="21" t="n"/>
      <c r="B18" s="21" t="n"/>
      <c r="C18" s="21" t="n"/>
      <c r="D18" s="21" t="n"/>
      <c r="E18" s="21" t="n"/>
      <c r="F18" s="21" t="n"/>
      <c r="G18" s="21" t="n"/>
      <c r="H18" s="21" t="n"/>
      <c r="I18" s="22" t="n"/>
      <c r="J18" s="22" t="n"/>
      <c r="K18" s="23" t="n"/>
      <c r="L18" s="22" t="n"/>
      <c r="M18" s="22" t="n"/>
      <c r="N18" s="21" t="n"/>
      <c r="O18" s="23" t="n"/>
      <c r="P18" s="23" t="n"/>
      <c r="Q18" s="23" t="n"/>
      <c r="R18" s="23" t="n"/>
      <c r="S18" s="22" t="n"/>
      <c r="T18" s="23" t="n"/>
      <c r="U18" s="23" t="n"/>
      <c r="V18" s="24">
        <f>IF(J18&lt;&gt;"",J18,IF(I18&lt;&gt;"",I18,""))</f>
        <v/>
      </c>
      <c r="W18" s="25">
        <f>IF($E18="","",N(O18)+SUMIFS($AF18:$IN18,$AF$4:$IN$4,"SEW_ACT"))</f>
        <v/>
      </c>
      <c r="X18" s="25">
        <f>IF($E18="","",N(P18)+SUMIFS($AF18:$IN18,$AF$4:$IN$4,"WASH_ACT"))</f>
        <v/>
      </c>
      <c r="Y18" s="25">
        <f>IF($E18="","",W18-X18-N(T18)-N(U18))</f>
        <v/>
      </c>
      <c r="Z18" s="25">
        <f>IF($E18="","",IF(N(K18)-X18&lt;=0.02*N(K18),0,N(K18)-X18))</f>
        <v/>
      </c>
      <c r="AA18" s="24">
        <f>IF($E18="","",IF(S18&lt;&gt;"",S18,IF(N(O18)&gt;0,IF(L18&lt;&gt;"",L18,99999),IFERROR(1/(1/_xlfn.MINIFS($AF$3:$IN$3,$AF$4:$IN$4,"SEW_ACT",$AF18:$IN18,"&gt;0")),99999))))</f>
        <v/>
      </c>
      <c r="AB18" s="26">
        <f>IF(OR($E18="",Z18=0,V18=""),"",1+COUNTIFS(Z$8:Z$707,"&gt;0",V$8:V$707,"&lt;"&amp;V18)+COUNTIFS(Z$8:Z$707,"&gt;0",V$8:V$707,V18,AA$8:AA$707,"&lt;"&amp;AA18)+COUNTIFS(Z$8:Z$707,"&gt;0",V$8:V$707,V18,AA$8:AA$707,AA18,E$8:E$707,"&lt;"&amp;$E18))</f>
        <v/>
      </c>
      <c r="AC18" s="24">
        <f>IF(OR($E18="",Z18=0),"",IFERROR(TODAY()+ROUNDUP(Z18/(SUMIFS($AF18:$IN18,$AF$4:$IN$4,"WASH_ACT")/COUNTIFS($AF$4:$IN$4,"WASH_ACT",$AF18:$IN18,"&gt;0")),0),"no output yet"))</f>
        <v/>
      </c>
      <c r="AD18" s="26">
        <f>IF($E18="","",IFERROR(ROUND(MAX(0,SUMIFS($AF18:$IN18,$AF$4:$IN$4,"SEW_PLAN",$AF$3:$IN$3,"&lt;="&amp;TODAY())-SUMIFS($AF18:$IN18,$AF$4:$IN$4,"SEW_ACT",$AF$3:$IN$3,"&lt;="&amp;TODAY())+N(Q18))/(SUMIFS($AF18:$IN18,$AF$4:$IN$4,"SEW_PLAN")/COUNTIFS($AF$4:$IN$4,"SEW_PLAN",$AF18:$IN18,"&gt;0")),1),0))</f>
        <v/>
      </c>
      <c r="AE18" s="26">
        <f>IF($E18="","",IF(AND(Z18&gt;0,OR(AND(M18&lt;&gt;"",TODAY()&gt;M18),AND(V18&lt;&gt;"",V18-TODAY()&lt;=7))),"Yes","No"))</f>
        <v/>
      </c>
      <c r="AH18">
        <f>IF(OR(AF$3="",AF$3&gt;TODAY()),"",IF(AND(AF18="",AG18=""),"",N(AG18)-N(AF18)))</f>
        <v/>
      </c>
      <c r="AK18">
        <f>IF(OR(AF$3="",AF$3&gt;TODAY()),"",IF(AND(AI18="",AJ18=""),"",N(AJ18)-N(AI18)))</f>
        <v/>
      </c>
      <c r="AO18">
        <f>IF(OR(AM$3="",AM$3&gt;TODAY()),"",IF(AND(AM18="",AN18=""),"",N(AN18)-N(AM18)))</f>
        <v/>
      </c>
      <c r="AR18">
        <f>IF(OR(AM$3="",AM$3&gt;TODAY()),"",IF(AND(AP18="",AQ18=""),"",N(AQ18)-N(AP18)))</f>
        <v/>
      </c>
      <c r="AV18">
        <f>IF(OR(AT$3="",AT$3&gt;TODAY()),"",IF(AND(AT18="",AU18=""),"",N(AU18)-N(AT18)))</f>
        <v/>
      </c>
      <c r="AY18">
        <f>IF(OR(AT$3="",AT$3&gt;TODAY()),"",IF(AND(AW18="",AX18=""),"",N(AX18)-N(AW18)))</f>
        <v/>
      </c>
      <c r="BC18">
        <f>IF(OR(BA$3="",BA$3&gt;TODAY()),"",IF(AND(BA18="",BB18=""),"",N(BB18)-N(BA18)))</f>
        <v/>
      </c>
      <c r="BF18">
        <f>IF(OR(BA$3="",BA$3&gt;TODAY()),"",IF(AND(BD18="",BE18=""),"",N(BE18)-N(BD18)))</f>
        <v/>
      </c>
      <c r="BJ18">
        <f>IF(OR(BH$3="",BH$3&gt;TODAY()),"",IF(AND(BH18="",BI18=""),"",N(BI18)-N(BH18)))</f>
        <v/>
      </c>
      <c r="BM18">
        <f>IF(OR(BH$3="",BH$3&gt;TODAY()),"",IF(AND(BK18="",BL18=""),"",N(BL18)-N(BK18)))</f>
        <v/>
      </c>
      <c r="BQ18">
        <f>IF(OR(BO$3="",BO$3&gt;TODAY()),"",IF(AND(BO18="",BP18=""),"",N(BP18)-N(BO18)))</f>
        <v/>
      </c>
      <c r="BT18">
        <f>IF(OR(BO$3="",BO$3&gt;TODAY()),"",IF(AND(BR18="",BS18=""),"",N(BS18)-N(BR18)))</f>
        <v/>
      </c>
      <c r="BX18">
        <f>IF(OR(BV$3="",BV$3&gt;TODAY()),"",IF(AND(BV18="",BW18=""),"",N(BW18)-N(BV18)))</f>
        <v/>
      </c>
      <c r="CA18">
        <f>IF(OR(BV$3="",BV$3&gt;TODAY()),"",IF(AND(BY18="",BZ18=""),"",N(BZ18)-N(BY18)))</f>
        <v/>
      </c>
      <c r="CE18">
        <f>IF(OR(CC$3="",CC$3&gt;TODAY()),"",IF(AND(CC18="",CD18=""),"",N(CD18)-N(CC18)))</f>
        <v/>
      </c>
      <c r="CH18">
        <f>IF(OR(CC$3="",CC$3&gt;TODAY()),"",IF(AND(CF18="",CG18=""),"",N(CG18)-N(CF18)))</f>
        <v/>
      </c>
      <c r="CL18">
        <f>IF(OR(CJ$3="",CJ$3&gt;TODAY()),"",IF(AND(CJ18="",CK18=""),"",N(CK18)-N(CJ18)))</f>
        <v/>
      </c>
      <c r="CO18">
        <f>IF(OR(CJ$3="",CJ$3&gt;TODAY()),"",IF(AND(CM18="",CN18=""),"",N(CN18)-N(CM18)))</f>
        <v/>
      </c>
      <c r="CS18">
        <f>IF(OR(CQ$3="",CQ$3&gt;TODAY()),"",IF(AND(CQ18="",CR18=""),"",N(CR18)-N(CQ18)))</f>
        <v/>
      </c>
      <c r="CV18">
        <f>IF(OR(CQ$3="",CQ$3&gt;TODAY()),"",IF(AND(CT18="",CU18=""),"",N(CU18)-N(CT18)))</f>
        <v/>
      </c>
      <c r="CZ18">
        <f>IF(OR(CX$3="",CX$3&gt;TODAY()),"",IF(AND(CX18="",CY18=""),"",N(CY18)-N(CX18)))</f>
        <v/>
      </c>
      <c r="DC18">
        <f>IF(OR(CX$3="",CX$3&gt;TODAY()),"",IF(AND(DA18="",DB18=""),"",N(DB18)-N(DA18)))</f>
        <v/>
      </c>
      <c r="DG18">
        <f>IF(OR(DE$3="",DE$3&gt;TODAY()),"",IF(AND(DE18="",DF18=""),"",N(DF18)-N(DE18)))</f>
        <v/>
      </c>
      <c r="DJ18">
        <f>IF(OR(DE$3="",DE$3&gt;TODAY()),"",IF(AND(DH18="",DI18=""),"",N(DI18)-N(DH18)))</f>
        <v/>
      </c>
      <c r="DN18">
        <f>IF(OR(DL$3="",DL$3&gt;TODAY()),"",IF(AND(DL18="",DM18=""),"",N(DM18)-N(DL18)))</f>
        <v/>
      </c>
      <c r="DQ18">
        <f>IF(OR(DL$3="",DL$3&gt;TODAY()),"",IF(AND(DO18="",DP18=""),"",N(DP18)-N(DO18)))</f>
        <v/>
      </c>
      <c r="DU18">
        <f>IF(OR(DS$3="",DS$3&gt;TODAY()),"",IF(AND(DS18="",DT18=""),"",N(DT18)-N(DS18)))</f>
        <v/>
      </c>
      <c r="DX18">
        <f>IF(OR(DS$3="",DS$3&gt;TODAY()),"",IF(AND(DV18="",DW18=""),"",N(DW18)-N(DV18)))</f>
        <v/>
      </c>
      <c r="EB18">
        <f>IF(OR(DZ$3="",DZ$3&gt;TODAY()),"",IF(AND(DZ18="",EA18=""),"",N(EA18)-N(DZ18)))</f>
        <v/>
      </c>
      <c r="EE18">
        <f>IF(OR(DZ$3="",DZ$3&gt;TODAY()),"",IF(AND(EC18="",ED18=""),"",N(ED18)-N(EC18)))</f>
        <v/>
      </c>
      <c r="EI18">
        <f>IF(OR(EG$3="",EG$3&gt;TODAY()),"",IF(AND(EG18="",EH18=""),"",N(EH18)-N(EG18)))</f>
        <v/>
      </c>
      <c r="EL18">
        <f>IF(OR(EG$3="",EG$3&gt;TODAY()),"",IF(AND(EJ18="",EK18=""),"",N(EK18)-N(EJ18)))</f>
        <v/>
      </c>
      <c r="EP18">
        <f>IF(OR(EN$3="",EN$3&gt;TODAY()),"",IF(AND(EN18="",EO18=""),"",N(EO18)-N(EN18)))</f>
        <v/>
      </c>
      <c r="ES18">
        <f>IF(OR(EN$3="",EN$3&gt;TODAY()),"",IF(AND(EQ18="",ER18=""),"",N(ER18)-N(EQ18)))</f>
        <v/>
      </c>
      <c r="EW18">
        <f>IF(OR(EU$3="",EU$3&gt;TODAY()),"",IF(AND(EU18="",EV18=""),"",N(EV18)-N(EU18)))</f>
        <v/>
      </c>
      <c r="EZ18">
        <f>IF(OR(EU$3="",EU$3&gt;TODAY()),"",IF(AND(EX18="",EY18=""),"",N(EY18)-N(EX18)))</f>
        <v/>
      </c>
      <c r="FD18">
        <f>IF(OR(FB$3="",FB$3&gt;TODAY()),"",IF(AND(FB18="",FC18=""),"",N(FC18)-N(FB18)))</f>
        <v/>
      </c>
      <c r="FG18">
        <f>IF(OR(FB$3="",FB$3&gt;TODAY()),"",IF(AND(FE18="",FF18=""),"",N(FF18)-N(FE18)))</f>
        <v/>
      </c>
      <c r="FK18">
        <f>IF(OR(FI$3="",FI$3&gt;TODAY()),"",IF(AND(FI18="",FJ18=""),"",N(FJ18)-N(FI18)))</f>
        <v/>
      </c>
      <c r="FN18">
        <f>IF(OR(FI$3="",FI$3&gt;TODAY()),"",IF(AND(FL18="",FM18=""),"",N(FM18)-N(FL18)))</f>
        <v/>
      </c>
      <c r="FR18">
        <f>IF(OR(FP$3="",FP$3&gt;TODAY()),"",IF(AND(FP18="",FQ18=""),"",N(FQ18)-N(FP18)))</f>
        <v/>
      </c>
      <c r="FU18">
        <f>IF(OR(FP$3="",FP$3&gt;TODAY()),"",IF(AND(FS18="",FT18=""),"",N(FT18)-N(FS18)))</f>
        <v/>
      </c>
      <c r="FY18">
        <f>IF(OR(FW$3="",FW$3&gt;TODAY()),"",IF(AND(FW18="",FX18=""),"",N(FX18)-N(FW18)))</f>
        <v/>
      </c>
      <c r="GB18">
        <f>IF(OR(FW$3="",FW$3&gt;TODAY()),"",IF(AND(FZ18="",GA18=""),"",N(GA18)-N(FZ18)))</f>
        <v/>
      </c>
      <c r="GF18">
        <f>IF(OR(GD$3="",GD$3&gt;TODAY()),"",IF(AND(GD18="",GE18=""),"",N(GE18)-N(GD18)))</f>
        <v/>
      </c>
      <c r="GI18">
        <f>IF(OR(GD$3="",GD$3&gt;TODAY()),"",IF(AND(GG18="",GH18=""),"",N(GH18)-N(GG18)))</f>
        <v/>
      </c>
      <c r="GM18">
        <f>IF(OR(GK$3="",GK$3&gt;TODAY()),"",IF(AND(GK18="",GL18=""),"",N(GL18)-N(GK18)))</f>
        <v/>
      </c>
      <c r="GP18">
        <f>IF(OR(GK$3="",GK$3&gt;TODAY()),"",IF(AND(GN18="",GO18=""),"",N(GO18)-N(GN18)))</f>
        <v/>
      </c>
      <c r="GT18">
        <f>IF(OR(GR$3="",GR$3&gt;TODAY()),"",IF(AND(GR18="",GS18=""),"",N(GS18)-N(GR18)))</f>
        <v/>
      </c>
      <c r="GW18">
        <f>IF(OR(GR$3="",GR$3&gt;TODAY()),"",IF(AND(GU18="",GV18=""),"",N(GV18)-N(GU18)))</f>
        <v/>
      </c>
      <c r="HA18">
        <f>IF(OR(GY$3="",GY$3&gt;TODAY()),"",IF(AND(GY18="",GZ18=""),"",N(GZ18)-N(GY18)))</f>
        <v/>
      </c>
      <c r="HD18">
        <f>IF(OR(GY$3="",GY$3&gt;TODAY()),"",IF(AND(HB18="",HC18=""),"",N(HC18)-N(HB18)))</f>
        <v/>
      </c>
      <c r="HH18">
        <f>IF(OR(HF$3="",HF$3&gt;TODAY()),"",IF(AND(HF18="",HG18=""),"",N(HG18)-N(HF18)))</f>
        <v/>
      </c>
      <c r="HK18">
        <f>IF(OR(HF$3="",HF$3&gt;TODAY()),"",IF(AND(HI18="",HJ18=""),"",N(HJ18)-N(HI18)))</f>
        <v/>
      </c>
      <c r="HO18">
        <f>IF(OR(HM$3="",HM$3&gt;TODAY()),"",IF(AND(HM18="",HN18=""),"",N(HN18)-N(HM18)))</f>
        <v/>
      </c>
      <c r="HR18">
        <f>IF(OR(HM$3="",HM$3&gt;TODAY()),"",IF(AND(HP18="",HQ18=""),"",N(HQ18)-N(HP18)))</f>
        <v/>
      </c>
      <c r="HV18">
        <f>IF(OR(HT$3="",HT$3&gt;TODAY()),"",IF(AND(HT18="",HU18=""),"",N(HU18)-N(HT18)))</f>
        <v/>
      </c>
      <c r="HY18">
        <f>IF(OR(HT$3="",HT$3&gt;TODAY()),"",IF(AND(HW18="",HX18=""),"",N(HX18)-N(HW18)))</f>
        <v/>
      </c>
      <c r="IC18">
        <f>IF(OR(IA$3="",IA$3&gt;TODAY()),"",IF(AND(IA18="",IB18=""),"",N(IB18)-N(IA18)))</f>
        <v/>
      </c>
      <c r="IF18">
        <f>IF(OR(IA$3="",IA$3&gt;TODAY()),"",IF(AND(ID18="",IE18=""),"",N(IE18)-N(ID18)))</f>
        <v/>
      </c>
      <c r="IJ18">
        <f>IF(OR(IH$3="",IH$3&gt;TODAY()),"",IF(AND(IH18="",II18=""),"",N(II18)-N(IH18)))</f>
        <v/>
      </c>
      <c r="IM18">
        <f>IF(OR(IH$3="",IH$3&gt;TODAY()),"",IF(AND(IK18="",IL18=""),"",N(IL18)-N(IK18)))</f>
        <v/>
      </c>
    </row>
    <row r="19">
      <c r="A19" s="21" t="n"/>
      <c r="B19" s="21" t="n"/>
      <c r="C19" s="21" t="n"/>
      <c r="D19" s="21" t="n"/>
      <c r="E19" s="21" t="n"/>
      <c r="F19" s="21" t="n"/>
      <c r="G19" s="21" t="n"/>
      <c r="H19" s="21" t="n"/>
      <c r="I19" s="22" t="n"/>
      <c r="J19" s="22" t="n"/>
      <c r="K19" s="23" t="n"/>
      <c r="L19" s="22" t="n"/>
      <c r="M19" s="22" t="n"/>
      <c r="N19" s="21" t="n"/>
      <c r="O19" s="23" t="n"/>
      <c r="P19" s="23" t="n"/>
      <c r="Q19" s="23" t="n"/>
      <c r="R19" s="23" t="n"/>
      <c r="S19" s="22" t="n"/>
      <c r="T19" s="23" t="n"/>
      <c r="U19" s="23" t="n"/>
      <c r="V19" s="24">
        <f>IF(J19&lt;&gt;"",J19,IF(I19&lt;&gt;"",I19,""))</f>
        <v/>
      </c>
      <c r="W19" s="25">
        <f>IF($E19="","",N(O19)+SUMIFS($AF19:$IN19,$AF$4:$IN$4,"SEW_ACT"))</f>
        <v/>
      </c>
      <c r="X19" s="25">
        <f>IF($E19="","",N(P19)+SUMIFS($AF19:$IN19,$AF$4:$IN$4,"WASH_ACT"))</f>
        <v/>
      </c>
      <c r="Y19" s="25">
        <f>IF($E19="","",W19-X19-N(T19)-N(U19))</f>
        <v/>
      </c>
      <c r="Z19" s="25">
        <f>IF($E19="","",IF(N(K19)-X19&lt;=0.02*N(K19),0,N(K19)-X19))</f>
        <v/>
      </c>
      <c r="AA19" s="24">
        <f>IF($E19="","",IF(S19&lt;&gt;"",S19,IF(N(O19)&gt;0,IF(L19&lt;&gt;"",L19,99999),IFERROR(1/(1/_xlfn.MINIFS($AF$3:$IN$3,$AF$4:$IN$4,"SEW_ACT",$AF19:$IN19,"&gt;0")),99999))))</f>
        <v/>
      </c>
      <c r="AB19" s="26">
        <f>IF(OR($E19="",Z19=0,V19=""),"",1+COUNTIFS(Z$8:Z$707,"&gt;0",V$8:V$707,"&lt;"&amp;V19)+COUNTIFS(Z$8:Z$707,"&gt;0",V$8:V$707,V19,AA$8:AA$707,"&lt;"&amp;AA19)+COUNTIFS(Z$8:Z$707,"&gt;0",V$8:V$707,V19,AA$8:AA$707,AA19,E$8:E$707,"&lt;"&amp;$E19))</f>
        <v/>
      </c>
      <c r="AC19" s="24">
        <f>IF(OR($E19="",Z19=0),"",IFERROR(TODAY()+ROUNDUP(Z19/(SUMIFS($AF19:$IN19,$AF$4:$IN$4,"WASH_ACT")/COUNTIFS($AF$4:$IN$4,"WASH_ACT",$AF19:$IN19,"&gt;0")),0),"no output yet"))</f>
        <v/>
      </c>
      <c r="AD19" s="26">
        <f>IF($E19="","",IFERROR(ROUND(MAX(0,SUMIFS($AF19:$IN19,$AF$4:$IN$4,"SEW_PLAN",$AF$3:$IN$3,"&lt;="&amp;TODAY())-SUMIFS($AF19:$IN19,$AF$4:$IN$4,"SEW_ACT",$AF$3:$IN$3,"&lt;="&amp;TODAY())+N(Q19))/(SUMIFS($AF19:$IN19,$AF$4:$IN$4,"SEW_PLAN")/COUNTIFS($AF$4:$IN$4,"SEW_PLAN",$AF19:$IN19,"&gt;0")),1),0))</f>
        <v/>
      </c>
      <c r="AE19" s="26">
        <f>IF($E19="","",IF(AND(Z19&gt;0,OR(AND(M19&lt;&gt;"",TODAY()&gt;M19),AND(V19&lt;&gt;"",V19-TODAY()&lt;=7))),"Yes","No"))</f>
        <v/>
      </c>
      <c r="AH19">
        <f>IF(OR(AF$3="",AF$3&gt;TODAY()),"",IF(AND(AF19="",AG19=""),"",N(AG19)-N(AF19)))</f>
        <v/>
      </c>
      <c r="AK19">
        <f>IF(OR(AF$3="",AF$3&gt;TODAY()),"",IF(AND(AI19="",AJ19=""),"",N(AJ19)-N(AI19)))</f>
        <v/>
      </c>
      <c r="AO19">
        <f>IF(OR(AM$3="",AM$3&gt;TODAY()),"",IF(AND(AM19="",AN19=""),"",N(AN19)-N(AM19)))</f>
        <v/>
      </c>
      <c r="AR19">
        <f>IF(OR(AM$3="",AM$3&gt;TODAY()),"",IF(AND(AP19="",AQ19=""),"",N(AQ19)-N(AP19)))</f>
        <v/>
      </c>
      <c r="AV19">
        <f>IF(OR(AT$3="",AT$3&gt;TODAY()),"",IF(AND(AT19="",AU19=""),"",N(AU19)-N(AT19)))</f>
        <v/>
      </c>
      <c r="AY19">
        <f>IF(OR(AT$3="",AT$3&gt;TODAY()),"",IF(AND(AW19="",AX19=""),"",N(AX19)-N(AW19)))</f>
        <v/>
      </c>
      <c r="BC19">
        <f>IF(OR(BA$3="",BA$3&gt;TODAY()),"",IF(AND(BA19="",BB19=""),"",N(BB19)-N(BA19)))</f>
        <v/>
      </c>
      <c r="BF19">
        <f>IF(OR(BA$3="",BA$3&gt;TODAY()),"",IF(AND(BD19="",BE19=""),"",N(BE19)-N(BD19)))</f>
        <v/>
      </c>
      <c r="BJ19">
        <f>IF(OR(BH$3="",BH$3&gt;TODAY()),"",IF(AND(BH19="",BI19=""),"",N(BI19)-N(BH19)))</f>
        <v/>
      </c>
      <c r="BM19">
        <f>IF(OR(BH$3="",BH$3&gt;TODAY()),"",IF(AND(BK19="",BL19=""),"",N(BL19)-N(BK19)))</f>
        <v/>
      </c>
      <c r="BQ19">
        <f>IF(OR(BO$3="",BO$3&gt;TODAY()),"",IF(AND(BO19="",BP19=""),"",N(BP19)-N(BO19)))</f>
        <v/>
      </c>
      <c r="BT19">
        <f>IF(OR(BO$3="",BO$3&gt;TODAY()),"",IF(AND(BR19="",BS19=""),"",N(BS19)-N(BR19)))</f>
        <v/>
      </c>
      <c r="BX19">
        <f>IF(OR(BV$3="",BV$3&gt;TODAY()),"",IF(AND(BV19="",BW19=""),"",N(BW19)-N(BV19)))</f>
        <v/>
      </c>
      <c r="CA19">
        <f>IF(OR(BV$3="",BV$3&gt;TODAY()),"",IF(AND(BY19="",BZ19=""),"",N(BZ19)-N(BY19)))</f>
        <v/>
      </c>
      <c r="CE19">
        <f>IF(OR(CC$3="",CC$3&gt;TODAY()),"",IF(AND(CC19="",CD19=""),"",N(CD19)-N(CC19)))</f>
        <v/>
      </c>
      <c r="CH19">
        <f>IF(OR(CC$3="",CC$3&gt;TODAY()),"",IF(AND(CF19="",CG19=""),"",N(CG19)-N(CF19)))</f>
        <v/>
      </c>
      <c r="CL19">
        <f>IF(OR(CJ$3="",CJ$3&gt;TODAY()),"",IF(AND(CJ19="",CK19=""),"",N(CK19)-N(CJ19)))</f>
        <v/>
      </c>
      <c r="CO19">
        <f>IF(OR(CJ$3="",CJ$3&gt;TODAY()),"",IF(AND(CM19="",CN19=""),"",N(CN19)-N(CM19)))</f>
        <v/>
      </c>
      <c r="CS19">
        <f>IF(OR(CQ$3="",CQ$3&gt;TODAY()),"",IF(AND(CQ19="",CR19=""),"",N(CR19)-N(CQ19)))</f>
        <v/>
      </c>
      <c r="CV19">
        <f>IF(OR(CQ$3="",CQ$3&gt;TODAY()),"",IF(AND(CT19="",CU19=""),"",N(CU19)-N(CT19)))</f>
        <v/>
      </c>
      <c r="CZ19">
        <f>IF(OR(CX$3="",CX$3&gt;TODAY()),"",IF(AND(CX19="",CY19=""),"",N(CY19)-N(CX19)))</f>
        <v/>
      </c>
      <c r="DC19">
        <f>IF(OR(CX$3="",CX$3&gt;TODAY()),"",IF(AND(DA19="",DB19=""),"",N(DB19)-N(DA19)))</f>
        <v/>
      </c>
      <c r="DG19">
        <f>IF(OR(DE$3="",DE$3&gt;TODAY()),"",IF(AND(DE19="",DF19=""),"",N(DF19)-N(DE19)))</f>
        <v/>
      </c>
      <c r="DJ19">
        <f>IF(OR(DE$3="",DE$3&gt;TODAY()),"",IF(AND(DH19="",DI19=""),"",N(DI19)-N(DH19)))</f>
        <v/>
      </c>
      <c r="DN19">
        <f>IF(OR(DL$3="",DL$3&gt;TODAY()),"",IF(AND(DL19="",DM19=""),"",N(DM19)-N(DL19)))</f>
        <v/>
      </c>
      <c r="DQ19">
        <f>IF(OR(DL$3="",DL$3&gt;TODAY()),"",IF(AND(DO19="",DP19=""),"",N(DP19)-N(DO19)))</f>
        <v/>
      </c>
      <c r="DU19">
        <f>IF(OR(DS$3="",DS$3&gt;TODAY()),"",IF(AND(DS19="",DT19=""),"",N(DT19)-N(DS19)))</f>
        <v/>
      </c>
      <c r="DX19">
        <f>IF(OR(DS$3="",DS$3&gt;TODAY()),"",IF(AND(DV19="",DW19=""),"",N(DW19)-N(DV19)))</f>
        <v/>
      </c>
      <c r="EB19">
        <f>IF(OR(DZ$3="",DZ$3&gt;TODAY()),"",IF(AND(DZ19="",EA19=""),"",N(EA19)-N(DZ19)))</f>
        <v/>
      </c>
      <c r="EE19">
        <f>IF(OR(DZ$3="",DZ$3&gt;TODAY()),"",IF(AND(EC19="",ED19=""),"",N(ED19)-N(EC19)))</f>
        <v/>
      </c>
      <c r="EI19">
        <f>IF(OR(EG$3="",EG$3&gt;TODAY()),"",IF(AND(EG19="",EH19=""),"",N(EH19)-N(EG19)))</f>
        <v/>
      </c>
      <c r="EL19">
        <f>IF(OR(EG$3="",EG$3&gt;TODAY()),"",IF(AND(EJ19="",EK19=""),"",N(EK19)-N(EJ19)))</f>
        <v/>
      </c>
      <c r="EP19">
        <f>IF(OR(EN$3="",EN$3&gt;TODAY()),"",IF(AND(EN19="",EO19=""),"",N(EO19)-N(EN19)))</f>
        <v/>
      </c>
      <c r="ES19">
        <f>IF(OR(EN$3="",EN$3&gt;TODAY()),"",IF(AND(EQ19="",ER19=""),"",N(ER19)-N(EQ19)))</f>
        <v/>
      </c>
      <c r="EW19">
        <f>IF(OR(EU$3="",EU$3&gt;TODAY()),"",IF(AND(EU19="",EV19=""),"",N(EV19)-N(EU19)))</f>
        <v/>
      </c>
      <c r="EZ19">
        <f>IF(OR(EU$3="",EU$3&gt;TODAY()),"",IF(AND(EX19="",EY19=""),"",N(EY19)-N(EX19)))</f>
        <v/>
      </c>
      <c r="FD19">
        <f>IF(OR(FB$3="",FB$3&gt;TODAY()),"",IF(AND(FB19="",FC19=""),"",N(FC19)-N(FB19)))</f>
        <v/>
      </c>
      <c r="FG19">
        <f>IF(OR(FB$3="",FB$3&gt;TODAY()),"",IF(AND(FE19="",FF19=""),"",N(FF19)-N(FE19)))</f>
        <v/>
      </c>
      <c r="FK19">
        <f>IF(OR(FI$3="",FI$3&gt;TODAY()),"",IF(AND(FI19="",FJ19=""),"",N(FJ19)-N(FI19)))</f>
        <v/>
      </c>
      <c r="FN19">
        <f>IF(OR(FI$3="",FI$3&gt;TODAY()),"",IF(AND(FL19="",FM19=""),"",N(FM19)-N(FL19)))</f>
        <v/>
      </c>
      <c r="FR19">
        <f>IF(OR(FP$3="",FP$3&gt;TODAY()),"",IF(AND(FP19="",FQ19=""),"",N(FQ19)-N(FP19)))</f>
        <v/>
      </c>
      <c r="FU19">
        <f>IF(OR(FP$3="",FP$3&gt;TODAY()),"",IF(AND(FS19="",FT19=""),"",N(FT19)-N(FS19)))</f>
        <v/>
      </c>
      <c r="FY19">
        <f>IF(OR(FW$3="",FW$3&gt;TODAY()),"",IF(AND(FW19="",FX19=""),"",N(FX19)-N(FW19)))</f>
        <v/>
      </c>
      <c r="GB19">
        <f>IF(OR(FW$3="",FW$3&gt;TODAY()),"",IF(AND(FZ19="",GA19=""),"",N(GA19)-N(FZ19)))</f>
        <v/>
      </c>
      <c r="GF19">
        <f>IF(OR(GD$3="",GD$3&gt;TODAY()),"",IF(AND(GD19="",GE19=""),"",N(GE19)-N(GD19)))</f>
        <v/>
      </c>
      <c r="GI19">
        <f>IF(OR(GD$3="",GD$3&gt;TODAY()),"",IF(AND(GG19="",GH19=""),"",N(GH19)-N(GG19)))</f>
        <v/>
      </c>
      <c r="GM19">
        <f>IF(OR(GK$3="",GK$3&gt;TODAY()),"",IF(AND(GK19="",GL19=""),"",N(GL19)-N(GK19)))</f>
        <v/>
      </c>
      <c r="GP19">
        <f>IF(OR(GK$3="",GK$3&gt;TODAY()),"",IF(AND(GN19="",GO19=""),"",N(GO19)-N(GN19)))</f>
        <v/>
      </c>
      <c r="GT19">
        <f>IF(OR(GR$3="",GR$3&gt;TODAY()),"",IF(AND(GR19="",GS19=""),"",N(GS19)-N(GR19)))</f>
        <v/>
      </c>
      <c r="GW19">
        <f>IF(OR(GR$3="",GR$3&gt;TODAY()),"",IF(AND(GU19="",GV19=""),"",N(GV19)-N(GU19)))</f>
        <v/>
      </c>
      <c r="HA19">
        <f>IF(OR(GY$3="",GY$3&gt;TODAY()),"",IF(AND(GY19="",GZ19=""),"",N(GZ19)-N(GY19)))</f>
        <v/>
      </c>
      <c r="HD19">
        <f>IF(OR(GY$3="",GY$3&gt;TODAY()),"",IF(AND(HB19="",HC19=""),"",N(HC19)-N(HB19)))</f>
        <v/>
      </c>
      <c r="HH19">
        <f>IF(OR(HF$3="",HF$3&gt;TODAY()),"",IF(AND(HF19="",HG19=""),"",N(HG19)-N(HF19)))</f>
        <v/>
      </c>
      <c r="HK19">
        <f>IF(OR(HF$3="",HF$3&gt;TODAY()),"",IF(AND(HI19="",HJ19=""),"",N(HJ19)-N(HI19)))</f>
        <v/>
      </c>
      <c r="HO19">
        <f>IF(OR(HM$3="",HM$3&gt;TODAY()),"",IF(AND(HM19="",HN19=""),"",N(HN19)-N(HM19)))</f>
        <v/>
      </c>
      <c r="HR19">
        <f>IF(OR(HM$3="",HM$3&gt;TODAY()),"",IF(AND(HP19="",HQ19=""),"",N(HQ19)-N(HP19)))</f>
        <v/>
      </c>
      <c r="HV19">
        <f>IF(OR(HT$3="",HT$3&gt;TODAY()),"",IF(AND(HT19="",HU19=""),"",N(HU19)-N(HT19)))</f>
        <v/>
      </c>
      <c r="HY19">
        <f>IF(OR(HT$3="",HT$3&gt;TODAY()),"",IF(AND(HW19="",HX19=""),"",N(HX19)-N(HW19)))</f>
        <v/>
      </c>
      <c r="IC19">
        <f>IF(OR(IA$3="",IA$3&gt;TODAY()),"",IF(AND(IA19="",IB19=""),"",N(IB19)-N(IA19)))</f>
        <v/>
      </c>
      <c r="IF19">
        <f>IF(OR(IA$3="",IA$3&gt;TODAY()),"",IF(AND(ID19="",IE19=""),"",N(IE19)-N(ID19)))</f>
        <v/>
      </c>
      <c r="IJ19">
        <f>IF(OR(IH$3="",IH$3&gt;TODAY()),"",IF(AND(IH19="",II19=""),"",N(II19)-N(IH19)))</f>
        <v/>
      </c>
      <c r="IM19">
        <f>IF(OR(IH$3="",IH$3&gt;TODAY()),"",IF(AND(IK19="",IL19=""),"",N(IL19)-N(IK19)))</f>
        <v/>
      </c>
    </row>
    <row r="20">
      <c r="A20" s="21" t="n"/>
      <c r="B20" s="21" t="n"/>
      <c r="C20" s="21" t="n"/>
      <c r="D20" s="21" t="n"/>
      <c r="E20" s="21" t="n"/>
      <c r="F20" s="21" t="n"/>
      <c r="G20" s="21" t="n"/>
      <c r="H20" s="21" t="n"/>
      <c r="I20" s="22" t="n"/>
      <c r="J20" s="22" t="n"/>
      <c r="K20" s="23" t="n"/>
      <c r="L20" s="22" t="n"/>
      <c r="M20" s="22" t="n"/>
      <c r="N20" s="21" t="n"/>
      <c r="O20" s="23" t="n"/>
      <c r="P20" s="23" t="n"/>
      <c r="Q20" s="23" t="n"/>
      <c r="R20" s="23" t="n"/>
      <c r="S20" s="22" t="n"/>
      <c r="T20" s="23" t="n"/>
      <c r="U20" s="23" t="n"/>
      <c r="V20" s="24">
        <f>IF(J20&lt;&gt;"",J20,IF(I20&lt;&gt;"",I20,""))</f>
        <v/>
      </c>
      <c r="W20" s="25">
        <f>IF($E20="","",N(O20)+SUMIFS($AF20:$IN20,$AF$4:$IN$4,"SEW_ACT"))</f>
        <v/>
      </c>
      <c r="X20" s="25">
        <f>IF($E20="","",N(P20)+SUMIFS($AF20:$IN20,$AF$4:$IN$4,"WASH_ACT"))</f>
        <v/>
      </c>
      <c r="Y20" s="25">
        <f>IF($E20="","",W20-X20-N(T20)-N(U20))</f>
        <v/>
      </c>
      <c r="Z20" s="25">
        <f>IF($E20="","",IF(N(K20)-X20&lt;=0.02*N(K20),0,N(K20)-X20))</f>
        <v/>
      </c>
      <c r="AA20" s="24">
        <f>IF($E20="","",IF(S20&lt;&gt;"",S20,IF(N(O20)&gt;0,IF(L20&lt;&gt;"",L20,99999),IFERROR(1/(1/_xlfn.MINIFS($AF$3:$IN$3,$AF$4:$IN$4,"SEW_ACT",$AF20:$IN20,"&gt;0")),99999))))</f>
        <v/>
      </c>
      <c r="AB20" s="26">
        <f>IF(OR($E20="",Z20=0,V20=""),"",1+COUNTIFS(Z$8:Z$707,"&gt;0",V$8:V$707,"&lt;"&amp;V20)+COUNTIFS(Z$8:Z$707,"&gt;0",V$8:V$707,V20,AA$8:AA$707,"&lt;"&amp;AA20)+COUNTIFS(Z$8:Z$707,"&gt;0",V$8:V$707,V20,AA$8:AA$707,AA20,E$8:E$707,"&lt;"&amp;$E20))</f>
        <v/>
      </c>
      <c r="AC20" s="24">
        <f>IF(OR($E20="",Z20=0),"",IFERROR(TODAY()+ROUNDUP(Z20/(SUMIFS($AF20:$IN20,$AF$4:$IN$4,"WASH_ACT")/COUNTIFS($AF$4:$IN$4,"WASH_ACT",$AF20:$IN20,"&gt;0")),0),"no output yet"))</f>
        <v/>
      </c>
      <c r="AD20" s="26">
        <f>IF($E20="","",IFERROR(ROUND(MAX(0,SUMIFS($AF20:$IN20,$AF$4:$IN$4,"SEW_PLAN",$AF$3:$IN$3,"&lt;="&amp;TODAY())-SUMIFS($AF20:$IN20,$AF$4:$IN$4,"SEW_ACT",$AF$3:$IN$3,"&lt;="&amp;TODAY())+N(Q20))/(SUMIFS($AF20:$IN20,$AF$4:$IN$4,"SEW_PLAN")/COUNTIFS($AF$4:$IN$4,"SEW_PLAN",$AF20:$IN20,"&gt;0")),1),0))</f>
        <v/>
      </c>
      <c r="AE20" s="26">
        <f>IF($E20="","",IF(AND(Z20&gt;0,OR(AND(M20&lt;&gt;"",TODAY()&gt;M20),AND(V20&lt;&gt;"",V20-TODAY()&lt;=7))),"Yes","No"))</f>
        <v/>
      </c>
      <c r="AH20">
        <f>IF(OR(AF$3="",AF$3&gt;TODAY()),"",IF(AND(AF20="",AG20=""),"",N(AG20)-N(AF20)))</f>
        <v/>
      </c>
      <c r="AK20">
        <f>IF(OR(AF$3="",AF$3&gt;TODAY()),"",IF(AND(AI20="",AJ20=""),"",N(AJ20)-N(AI20)))</f>
        <v/>
      </c>
      <c r="AO20">
        <f>IF(OR(AM$3="",AM$3&gt;TODAY()),"",IF(AND(AM20="",AN20=""),"",N(AN20)-N(AM20)))</f>
        <v/>
      </c>
      <c r="AR20">
        <f>IF(OR(AM$3="",AM$3&gt;TODAY()),"",IF(AND(AP20="",AQ20=""),"",N(AQ20)-N(AP20)))</f>
        <v/>
      </c>
      <c r="AV20">
        <f>IF(OR(AT$3="",AT$3&gt;TODAY()),"",IF(AND(AT20="",AU20=""),"",N(AU20)-N(AT20)))</f>
        <v/>
      </c>
      <c r="AY20">
        <f>IF(OR(AT$3="",AT$3&gt;TODAY()),"",IF(AND(AW20="",AX20=""),"",N(AX20)-N(AW20)))</f>
        <v/>
      </c>
      <c r="BC20">
        <f>IF(OR(BA$3="",BA$3&gt;TODAY()),"",IF(AND(BA20="",BB20=""),"",N(BB20)-N(BA20)))</f>
        <v/>
      </c>
      <c r="BF20">
        <f>IF(OR(BA$3="",BA$3&gt;TODAY()),"",IF(AND(BD20="",BE20=""),"",N(BE20)-N(BD20)))</f>
        <v/>
      </c>
      <c r="BJ20">
        <f>IF(OR(BH$3="",BH$3&gt;TODAY()),"",IF(AND(BH20="",BI20=""),"",N(BI20)-N(BH20)))</f>
        <v/>
      </c>
      <c r="BM20">
        <f>IF(OR(BH$3="",BH$3&gt;TODAY()),"",IF(AND(BK20="",BL20=""),"",N(BL20)-N(BK20)))</f>
        <v/>
      </c>
      <c r="BQ20">
        <f>IF(OR(BO$3="",BO$3&gt;TODAY()),"",IF(AND(BO20="",BP20=""),"",N(BP20)-N(BO20)))</f>
        <v/>
      </c>
      <c r="BT20">
        <f>IF(OR(BO$3="",BO$3&gt;TODAY()),"",IF(AND(BR20="",BS20=""),"",N(BS20)-N(BR20)))</f>
        <v/>
      </c>
      <c r="BX20">
        <f>IF(OR(BV$3="",BV$3&gt;TODAY()),"",IF(AND(BV20="",BW20=""),"",N(BW20)-N(BV20)))</f>
        <v/>
      </c>
      <c r="CA20">
        <f>IF(OR(BV$3="",BV$3&gt;TODAY()),"",IF(AND(BY20="",BZ20=""),"",N(BZ20)-N(BY20)))</f>
        <v/>
      </c>
      <c r="CE20">
        <f>IF(OR(CC$3="",CC$3&gt;TODAY()),"",IF(AND(CC20="",CD20=""),"",N(CD20)-N(CC20)))</f>
        <v/>
      </c>
      <c r="CH20">
        <f>IF(OR(CC$3="",CC$3&gt;TODAY()),"",IF(AND(CF20="",CG20=""),"",N(CG20)-N(CF20)))</f>
        <v/>
      </c>
      <c r="CL20">
        <f>IF(OR(CJ$3="",CJ$3&gt;TODAY()),"",IF(AND(CJ20="",CK20=""),"",N(CK20)-N(CJ20)))</f>
        <v/>
      </c>
      <c r="CO20">
        <f>IF(OR(CJ$3="",CJ$3&gt;TODAY()),"",IF(AND(CM20="",CN20=""),"",N(CN20)-N(CM20)))</f>
        <v/>
      </c>
      <c r="CS20">
        <f>IF(OR(CQ$3="",CQ$3&gt;TODAY()),"",IF(AND(CQ20="",CR20=""),"",N(CR20)-N(CQ20)))</f>
        <v/>
      </c>
      <c r="CV20">
        <f>IF(OR(CQ$3="",CQ$3&gt;TODAY()),"",IF(AND(CT20="",CU20=""),"",N(CU20)-N(CT20)))</f>
        <v/>
      </c>
      <c r="CZ20">
        <f>IF(OR(CX$3="",CX$3&gt;TODAY()),"",IF(AND(CX20="",CY20=""),"",N(CY20)-N(CX20)))</f>
        <v/>
      </c>
      <c r="DC20">
        <f>IF(OR(CX$3="",CX$3&gt;TODAY()),"",IF(AND(DA20="",DB20=""),"",N(DB20)-N(DA20)))</f>
        <v/>
      </c>
      <c r="DG20">
        <f>IF(OR(DE$3="",DE$3&gt;TODAY()),"",IF(AND(DE20="",DF20=""),"",N(DF20)-N(DE20)))</f>
        <v/>
      </c>
      <c r="DJ20">
        <f>IF(OR(DE$3="",DE$3&gt;TODAY()),"",IF(AND(DH20="",DI20=""),"",N(DI20)-N(DH20)))</f>
        <v/>
      </c>
      <c r="DN20">
        <f>IF(OR(DL$3="",DL$3&gt;TODAY()),"",IF(AND(DL20="",DM20=""),"",N(DM20)-N(DL20)))</f>
        <v/>
      </c>
      <c r="DQ20">
        <f>IF(OR(DL$3="",DL$3&gt;TODAY()),"",IF(AND(DO20="",DP20=""),"",N(DP20)-N(DO20)))</f>
        <v/>
      </c>
      <c r="DU20">
        <f>IF(OR(DS$3="",DS$3&gt;TODAY()),"",IF(AND(DS20="",DT20=""),"",N(DT20)-N(DS20)))</f>
        <v/>
      </c>
      <c r="DX20">
        <f>IF(OR(DS$3="",DS$3&gt;TODAY()),"",IF(AND(DV20="",DW20=""),"",N(DW20)-N(DV20)))</f>
        <v/>
      </c>
      <c r="EB20">
        <f>IF(OR(DZ$3="",DZ$3&gt;TODAY()),"",IF(AND(DZ20="",EA20=""),"",N(EA20)-N(DZ20)))</f>
        <v/>
      </c>
      <c r="EE20">
        <f>IF(OR(DZ$3="",DZ$3&gt;TODAY()),"",IF(AND(EC20="",ED20=""),"",N(ED20)-N(EC20)))</f>
        <v/>
      </c>
      <c r="EI20">
        <f>IF(OR(EG$3="",EG$3&gt;TODAY()),"",IF(AND(EG20="",EH20=""),"",N(EH20)-N(EG20)))</f>
        <v/>
      </c>
      <c r="EL20">
        <f>IF(OR(EG$3="",EG$3&gt;TODAY()),"",IF(AND(EJ20="",EK20=""),"",N(EK20)-N(EJ20)))</f>
        <v/>
      </c>
      <c r="EP20">
        <f>IF(OR(EN$3="",EN$3&gt;TODAY()),"",IF(AND(EN20="",EO20=""),"",N(EO20)-N(EN20)))</f>
        <v/>
      </c>
      <c r="ES20">
        <f>IF(OR(EN$3="",EN$3&gt;TODAY()),"",IF(AND(EQ20="",ER20=""),"",N(ER20)-N(EQ20)))</f>
        <v/>
      </c>
      <c r="EW20">
        <f>IF(OR(EU$3="",EU$3&gt;TODAY()),"",IF(AND(EU20="",EV20=""),"",N(EV20)-N(EU20)))</f>
        <v/>
      </c>
      <c r="EZ20">
        <f>IF(OR(EU$3="",EU$3&gt;TODAY()),"",IF(AND(EX20="",EY20=""),"",N(EY20)-N(EX20)))</f>
        <v/>
      </c>
      <c r="FD20">
        <f>IF(OR(FB$3="",FB$3&gt;TODAY()),"",IF(AND(FB20="",FC20=""),"",N(FC20)-N(FB20)))</f>
        <v/>
      </c>
      <c r="FG20">
        <f>IF(OR(FB$3="",FB$3&gt;TODAY()),"",IF(AND(FE20="",FF20=""),"",N(FF20)-N(FE20)))</f>
        <v/>
      </c>
      <c r="FK20">
        <f>IF(OR(FI$3="",FI$3&gt;TODAY()),"",IF(AND(FI20="",FJ20=""),"",N(FJ20)-N(FI20)))</f>
        <v/>
      </c>
      <c r="FN20">
        <f>IF(OR(FI$3="",FI$3&gt;TODAY()),"",IF(AND(FL20="",FM20=""),"",N(FM20)-N(FL20)))</f>
        <v/>
      </c>
      <c r="FR20">
        <f>IF(OR(FP$3="",FP$3&gt;TODAY()),"",IF(AND(FP20="",FQ20=""),"",N(FQ20)-N(FP20)))</f>
        <v/>
      </c>
      <c r="FU20">
        <f>IF(OR(FP$3="",FP$3&gt;TODAY()),"",IF(AND(FS20="",FT20=""),"",N(FT20)-N(FS20)))</f>
        <v/>
      </c>
      <c r="FY20">
        <f>IF(OR(FW$3="",FW$3&gt;TODAY()),"",IF(AND(FW20="",FX20=""),"",N(FX20)-N(FW20)))</f>
        <v/>
      </c>
      <c r="GB20">
        <f>IF(OR(FW$3="",FW$3&gt;TODAY()),"",IF(AND(FZ20="",GA20=""),"",N(GA20)-N(FZ20)))</f>
        <v/>
      </c>
      <c r="GF20">
        <f>IF(OR(GD$3="",GD$3&gt;TODAY()),"",IF(AND(GD20="",GE20=""),"",N(GE20)-N(GD20)))</f>
        <v/>
      </c>
      <c r="GI20">
        <f>IF(OR(GD$3="",GD$3&gt;TODAY()),"",IF(AND(GG20="",GH20=""),"",N(GH20)-N(GG20)))</f>
        <v/>
      </c>
      <c r="GM20">
        <f>IF(OR(GK$3="",GK$3&gt;TODAY()),"",IF(AND(GK20="",GL20=""),"",N(GL20)-N(GK20)))</f>
        <v/>
      </c>
      <c r="GP20">
        <f>IF(OR(GK$3="",GK$3&gt;TODAY()),"",IF(AND(GN20="",GO20=""),"",N(GO20)-N(GN20)))</f>
        <v/>
      </c>
      <c r="GT20">
        <f>IF(OR(GR$3="",GR$3&gt;TODAY()),"",IF(AND(GR20="",GS20=""),"",N(GS20)-N(GR20)))</f>
        <v/>
      </c>
      <c r="GW20">
        <f>IF(OR(GR$3="",GR$3&gt;TODAY()),"",IF(AND(GU20="",GV20=""),"",N(GV20)-N(GU20)))</f>
        <v/>
      </c>
      <c r="HA20">
        <f>IF(OR(GY$3="",GY$3&gt;TODAY()),"",IF(AND(GY20="",GZ20=""),"",N(GZ20)-N(GY20)))</f>
        <v/>
      </c>
      <c r="HD20">
        <f>IF(OR(GY$3="",GY$3&gt;TODAY()),"",IF(AND(HB20="",HC20=""),"",N(HC20)-N(HB20)))</f>
        <v/>
      </c>
      <c r="HH20">
        <f>IF(OR(HF$3="",HF$3&gt;TODAY()),"",IF(AND(HF20="",HG20=""),"",N(HG20)-N(HF20)))</f>
        <v/>
      </c>
      <c r="HK20">
        <f>IF(OR(HF$3="",HF$3&gt;TODAY()),"",IF(AND(HI20="",HJ20=""),"",N(HJ20)-N(HI20)))</f>
        <v/>
      </c>
      <c r="HO20">
        <f>IF(OR(HM$3="",HM$3&gt;TODAY()),"",IF(AND(HM20="",HN20=""),"",N(HN20)-N(HM20)))</f>
        <v/>
      </c>
      <c r="HR20">
        <f>IF(OR(HM$3="",HM$3&gt;TODAY()),"",IF(AND(HP20="",HQ20=""),"",N(HQ20)-N(HP20)))</f>
        <v/>
      </c>
      <c r="HV20">
        <f>IF(OR(HT$3="",HT$3&gt;TODAY()),"",IF(AND(HT20="",HU20=""),"",N(HU20)-N(HT20)))</f>
        <v/>
      </c>
      <c r="HY20">
        <f>IF(OR(HT$3="",HT$3&gt;TODAY()),"",IF(AND(HW20="",HX20=""),"",N(HX20)-N(HW20)))</f>
        <v/>
      </c>
      <c r="IC20">
        <f>IF(OR(IA$3="",IA$3&gt;TODAY()),"",IF(AND(IA20="",IB20=""),"",N(IB20)-N(IA20)))</f>
        <v/>
      </c>
      <c r="IF20">
        <f>IF(OR(IA$3="",IA$3&gt;TODAY()),"",IF(AND(ID20="",IE20=""),"",N(IE20)-N(ID20)))</f>
        <v/>
      </c>
      <c r="IJ20">
        <f>IF(OR(IH$3="",IH$3&gt;TODAY()),"",IF(AND(IH20="",II20=""),"",N(II20)-N(IH20)))</f>
        <v/>
      </c>
      <c r="IM20">
        <f>IF(OR(IH$3="",IH$3&gt;TODAY()),"",IF(AND(IK20="",IL20=""),"",N(IL20)-N(IK20)))</f>
        <v/>
      </c>
    </row>
    <row r="21">
      <c r="A21" s="21" t="n"/>
      <c r="B21" s="21" t="n"/>
      <c r="C21" s="21" t="n"/>
      <c r="D21" s="21" t="n"/>
      <c r="E21" s="21" t="n"/>
      <c r="F21" s="21" t="n"/>
      <c r="G21" s="21" t="n"/>
      <c r="H21" s="21" t="n"/>
      <c r="I21" s="22" t="n"/>
      <c r="J21" s="22" t="n"/>
      <c r="K21" s="23" t="n"/>
      <c r="L21" s="22" t="n"/>
      <c r="M21" s="22" t="n"/>
      <c r="N21" s="21" t="n"/>
      <c r="O21" s="23" t="n"/>
      <c r="P21" s="23" t="n"/>
      <c r="Q21" s="23" t="n"/>
      <c r="R21" s="23" t="n"/>
      <c r="S21" s="22" t="n"/>
      <c r="T21" s="23" t="n"/>
      <c r="U21" s="23" t="n"/>
      <c r="V21" s="24">
        <f>IF(J21&lt;&gt;"",J21,IF(I21&lt;&gt;"",I21,""))</f>
        <v/>
      </c>
      <c r="W21" s="25">
        <f>IF($E21="","",N(O21)+SUMIFS($AF21:$IN21,$AF$4:$IN$4,"SEW_ACT"))</f>
        <v/>
      </c>
      <c r="X21" s="25">
        <f>IF($E21="","",N(P21)+SUMIFS($AF21:$IN21,$AF$4:$IN$4,"WASH_ACT"))</f>
        <v/>
      </c>
      <c r="Y21" s="25">
        <f>IF($E21="","",W21-X21-N(T21)-N(U21))</f>
        <v/>
      </c>
      <c r="Z21" s="25">
        <f>IF($E21="","",IF(N(K21)-X21&lt;=0.02*N(K21),0,N(K21)-X21))</f>
        <v/>
      </c>
      <c r="AA21" s="24">
        <f>IF($E21="","",IF(S21&lt;&gt;"",S21,IF(N(O21)&gt;0,IF(L21&lt;&gt;"",L21,99999),IFERROR(1/(1/_xlfn.MINIFS($AF$3:$IN$3,$AF$4:$IN$4,"SEW_ACT",$AF21:$IN21,"&gt;0")),99999))))</f>
        <v/>
      </c>
      <c r="AB21" s="26">
        <f>IF(OR($E21="",Z21=0,V21=""),"",1+COUNTIFS(Z$8:Z$707,"&gt;0",V$8:V$707,"&lt;"&amp;V21)+COUNTIFS(Z$8:Z$707,"&gt;0",V$8:V$707,V21,AA$8:AA$707,"&lt;"&amp;AA21)+COUNTIFS(Z$8:Z$707,"&gt;0",V$8:V$707,V21,AA$8:AA$707,AA21,E$8:E$707,"&lt;"&amp;$E21))</f>
        <v/>
      </c>
      <c r="AC21" s="24">
        <f>IF(OR($E21="",Z21=0),"",IFERROR(TODAY()+ROUNDUP(Z21/(SUMIFS($AF21:$IN21,$AF$4:$IN$4,"WASH_ACT")/COUNTIFS($AF$4:$IN$4,"WASH_ACT",$AF21:$IN21,"&gt;0")),0),"no output yet"))</f>
        <v/>
      </c>
      <c r="AD21" s="26">
        <f>IF($E21="","",IFERROR(ROUND(MAX(0,SUMIFS($AF21:$IN21,$AF$4:$IN$4,"SEW_PLAN",$AF$3:$IN$3,"&lt;="&amp;TODAY())-SUMIFS($AF21:$IN21,$AF$4:$IN$4,"SEW_ACT",$AF$3:$IN$3,"&lt;="&amp;TODAY())+N(Q21))/(SUMIFS($AF21:$IN21,$AF$4:$IN$4,"SEW_PLAN")/COUNTIFS($AF$4:$IN$4,"SEW_PLAN",$AF21:$IN21,"&gt;0")),1),0))</f>
        <v/>
      </c>
      <c r="AE21" s="26">
        <f>IF($E21="","",IF(AND(Z21&gt;0,OR(AND(M21&lt;&gt;"",TODAY()&gt;M21),AND(V21&lt;&gt;"",V21-TODAY()&lt;=7))),"Yes","No"))</f>
        <v/>
      </c>
      <c r="AH21">
        <f>IF(OR(AF$3="",AF$3&gt;TODAY()),"",IF(AND(AF21="",AG21=""),"",N(AG21)-N(AF21)))</f>
        <v/>
      </c>
      <c r="AK21">
        <f>IF(OR(AF$3="",AF$3&gt;TODAY()),"",IF(AND(AI21="",AJ21=""),"",N(AJ21)-N(AI21)))</f>
        <v/>
      </c>
      <c r="AO21">
        <f>IF(OR(AM$3="",AM$3&gt;TODAY()),"",IF(AND(AM21="",AN21=""),"",N(AN21)-N(AM21)))</f>
        <v/>
      </c>
      <c r="AR21">
        <f>IF(OR(AM$3="",AM$3&gt;TODAY()),"",IF(AND(AP21="",AQ21=""),"",N(AQ21)-N(AP21)))</f>
        <v/>
      </c>
      <c r="AV21">
        <f>IF(OR(AT$3="",AT$3&gt;TODAY()),"",IF(AND(AT21="",AU21=""),"",N(AU21)-N(AT21)))</f>
        <v/>
      </c>
      <c r="AY21">
        <f>IF(OR(AT$3="",AT$3&gt;TODAY()),"",IF(AND(AW21="",AX21=""),"",N(AX21)-N(AW21)))</f>
        <v/>
      </c>
      <c r="BC21">
        <f>IF(OR(BA$3="",BA$3&gt;TODAY()),"",IF(AND(BA21="",BB21=""),"",N(BB21)-N(BA21)))</f>
        <v/>
      </c>
      <c r="BF21">
        <f>IF(OR(BA$3="",BA$3&gt;TODAY()),"",IF(AND(BD21="",BE21=""),"",N(BE21)-N(BD21)))</f>
        <v/>
      </c>
      <c r="BJ21">
        <f>IF(OR(BH$3="",BH$3&gt;TODAY()),"",IF(AND(BH21="",BI21=""),"",N(BI21)-N(BH21)))</f>
        <v/>
      </c>
      <c r="BM21">
        <f>IF(OR(BH$3="",BH$3&gt;TODAY()),"",IF(AND(BK21="",BL21=""),"",N(BL21)-N(BK21)))</f>
        <v/>
      </c>
      <c r="BQ21">
        <f>IF(OR(BO$3="",BO$3&gt;TODAY()),"",IF(AND(BO21="",BP21=""),"",N(BP21)-N(BO21)))</f>
        <v/>
      </c>
      <c r="BT21">
        <f>IF(OR(BO$3="",BO$3&gt;TODAY()),"",IF(AND(BR21="",BS21=""),"",N(BS21)-N(BR21)))</f>
        <v/>
      </c>
      <c r="BX21">
        <f>IF(OR(BV$3="",BV$3&gt;TODAY()),"",IF(AND(BV21="",BW21=""),"",N(BW21)-N(BV21)))</f>
        <v/>
      </c>
      <c r="CA21">
        <f>IF(OR(BV$3="",BV$3&gt;TODAY()),"",IF(AND(BY21="",BZ21=""),"",N(BZ21)-N(BY21)))</f>
        <v/>
      </c>
      <c r="CE21">
        <f>IF(OR(CC$3="",CC$3&gt;TODAY()),"",IF(AND(CC21="",CD21=""),"",N(CD21)-N(CC21)))</f>
        <v/>
      </c>
      <c r="CH21">
        <f>IF(OR(CC$3="",CC$3&gt;TODAY()),"",IF(AND(CF21="",CG21=""),"",N(CG21)-N(CF21)))</f>
        <v/>
      </c>
      <c r="CL21">
        <f>IF(OR(CJ$3="",CJ$3&gt;TODAY()),"",IF(AND(CJ21="",CK21=""),"",N(CK21)-N(CJ21)))</f>
        <v/>
      </c>
      <c r="CO21">
        <f>IF(OR(CJ$3="",CJ$3&gt;TODAY()),"",IF(AND(CM21="",CN21=""),"",N(CN21)-N(CM21)))</f>
        <v/>
      </c>
      <c r="CS21">
        <f>IF(OR(CQ$3="",CQ$3&gt;TODAY()),"",IF(AND(CQ21="",CR21=""),"",N(CR21)-N(CQ21)))</f>
        <v/>
      </c>
      <c r="CV21">
        <f>IF(OR(CQ$3="",CQ$3&gt;TODAY()),"",IF(AND(CT21="",CU21=""),"",N(CU21)-N(CT21)))</f>
        <v/>
      </c>
      <c r="CZ21">
        <f>IF(OR(CX$3="",CX$3&gt;TODAY()),"",IF(AND(CX21="",CY21=""),"",N(CY21)-N(CX21)))</f>
        <v/>
      </c>
      <c r="DC21">
        <f>IF(OR(CX$3="",CX$3&gt;TODAY()),"",IF(AND(DA21="",DB21=""),"",N(DB21)-N(DA21)))</f>
        <v/>
      </c>
      <c r="DG21">
        <f>IF(OR(DE$3="",DE$3&gt;TODAY()),"",IF(AND(DE21="",DF21=""),"",N(DF21)-N(DE21)))</f>
        <v/>
      </c>
      <c r="DJ21">
        <f>IF(OR(DE$3="",DE$3&gt;TODAY()),"",IF(AND(DH21="",DI21=""),"",N(DI21)-N(DH21)))</f>
        <v/>
      </c>
      <c r="DN21">
        <f>IF(OR(DL$3="",DL$3&gt;TODAY()),"",IF(AND(DL21="",DM21=""),"",N(DM21)-N(DL21)))</f>
        <v/>
      </c>
      <c r="DQ21">
        <f>IF(OR(DL$3="",DL$3&gt;TODAY()),"",IF(AND(DO21="",DP21=""),"",N(DP21)-N(DO21)))</f>
        <v/>
      </c>
      <c r="DU21">
        <f>IF(OR(DS$3="",DS$3&gt;TODAY()),"",IF(AND(DS21="",DT21=""),"",N(DT21)-N(DS21)))</f>
        <v/>
      </c>
      <c r="DX21">
        <f>IF(OR(DS$3="",DS$3&gt;TODAY()),"",IF(AND(DV21="",DW21=""),"",N(DW21)-N(DV21)))</f>
        <v/>
      </c>
      <c r="EB21">
        <f>IF(OR(DZ$3="",DZ$3&gt;TODAY()),"",IF(AND(DZ21="",EA21=""),"",N(EA21)-N(DZ21)))</f>
        <v/>
      </c>
      <c r="EE21">
        <f>IF(OR(DZ$3="",DZ$3&gt;TODAY()),"",IF(AND(EC21="",ED21=""),"",N(ED21)-N(EC21)))</f>
        <v/>
      </c>
      <c r="EI21">
        <f>IF(OR(EG$3="",EG$3&gt;TODAY()),"",IF(AND(EG21="",EH21=""),"",N(EH21)-N(EG21)))</f>
        <v/>
      </c>
      <c r="EL21">
        <f>IF(OR(EG$3="",EG$3&gt;TODAY()),"",IF(AND(EJ21="",EK21=""),"",N(EK21)-N(EJ21)))</f>
        <v/>
      </c>
      <c r="EP21">
        <f>IF(OR(EN$3="",EN$3&gt;TODAY()),"",IF(AND(EN21="",EO21=""),"",N(EO21)-N(EN21)))</f>
        <v/>
      </c>
      <c r="ES21">
        <f>IF(OR(EN$3="",EN$3&gt;TODAY()),"",IF(AND(EQ21="",ER21=""),"",N(ER21)-N(EQ21)))</f>
        <v/>
      </c>
      <c r="EW21">
        <f>IF(OR(EU$3="",EU$3&gt;TODAY()),"",IF(AND(EU21="",EV21=""),"",N(EV21)-N(EU21)))</f>
        <v/>
      </c>
      <c r="EZ21">
        <f>IF(OR(EU$3="",EU$3&gt;TODAY()),"",IF(AND(EX21="",EY21=""),"",N(EY21)-N(EX21)))</f>
        <v/>
      </c>
      <c r="FD21">
        <f>IF(OR(FB$3="",FB$3&gt;TODAY()),"",IF(AND(FB21="",FC21=""),"",N(FC21)-N(FB21)))</f>
        <v/>
      </c>
      <c r="FG21">
        <f>IF(OR(FB$3="",FB$3&gt;TODAY()),"",IF(AND(FE21="",FF21=""),"",N(FF21)-N(FE21)))</f>
        <v/>
      </c>
      <c r="FK21">
        <f>IF(OR(FI$3="",FI$3&gt;TODAY()),"",IF(AND(FI21="",FJ21=""),"",N(FJ21)-N(FI21)))</f>
        <v/>
      </c>
      <c r="FN21">
        <f>IF(OR(FI$3="",FI$3&gt;TODAY()),"",IF(AND(FL21="",FM21=""),"",N(FM21)-N(FL21)))</f>
        <v/>
      </c>
      <c r="FR21">
        <f>IF(OR(FP$3="",FP$3&gt;TODAY()),"",IF(AND(FP21="",FQ21=""),"",N(FQ21)-N(FP21)))</f>
        <v/>
      </c>
      <c r="FU21">
        <f>IF(OR(FP$3="",FP$3&gt;TODAY()),"",IF(AND(FS21="",FT21=""),"",N(FT21)-N(FS21)))</f>
        <v/>
      </c>
      <c r="FY21">
        <f>IF(OR(FW$3="",FW$3&gt;TODAY()),"",IF(AND(FW21="",FX21=""),"",N(FX21)-N(FW21)))</f>
        <v/>
      </c>
      <c r="GB21">
        <f>IF(OR(FW$3="",FW$3&gt;TODAY()),"",IF(AND(FZ21="",GA21=""),"",N(GA21)-N(FZ21)))</f>
        <v/>
      </c>
      <c r="GF21">
        <f>IF(OR(GD$3="",GD$3&gt;TODAY()),"",IF(AND(GD21="",GE21=""),"",N(GE21)-N(GD21)))</f>
        <v/>
      </c>
      <c r="GI21">
        <f>IF(OR(GD$3="",GD$3&gt;TODAY()),"",IF(AND(GG21="",GH21=""),"",N(GH21)-N(GG21)))</f>
        <v/>
      </c>
      <c r="GM21">
        <f>IF(OR(GK$3="",GK$3&gt;TODAY()),"",IF(AND(GK21="",GL21=""),"",N(GL21)-N(GK21)))</f>
        <v/>
      </c>
      <c r="GP21">
        <f>IF(OR(GK$3="",GK$3&gt;TODAY()),"",IF(AND(GN21="",GO21=""),"",N(GO21)-N(GN21)))</f>
        <v/>
      </c>
      <c r="GT21">
        <f>IF(OR(GR$3="",GR$3&gt;TODAY()),"",IF(AND(GR21="",GS21=""),"",N(GS21)-N(GR21)))</f>
        <v/>
      </c>
      <c r="GW21">
        <f>IF(OR(GR$3="",GR$3&gt;TODAY()),"",IF(AND(GU21="",GV21=""),"",N(GV21)-N(GU21)))</f>
        <v/>
      </c>
      <c r="HA21">
        <f>IF(OR(GY$3="",GY$3&gt;TODAY()),"",IF(AND(GY21="",GZ21=""),"",N(GZ21)-N(GY21)))</f>
        <v/>
      </c>
      <c r="HD21">
        <f>IF(OR(GY$3="",GY$3&gt;TODAY()),"",IF(AND(HB21="",HC21=""),"",N(HC21)-N(HB21)))</f>
        <v/>
      </c>
      <c r="HH21">
        <f>IF(OR(HF$3="",HF$3&gt;TODAY()),"",IF(AND(HF21="",HG21=""),"",N(HG21)-N(HF21)))</f>
        <v/>
      </c>
      <c r="HK21">
        <f>IF(OR(HF$3="",HF$3&gt;TODAY()),"",IF(AND(HI21="",HJ21=""),"",N(HJ21)-N(HI21)))</f>
        <v/>
      </c>
      <c r="HO21">
        <f>IF(OR(HM$3="",HM$3&gt;TODAY()),"",IF(AND(HM21="",HN21=""),"",N(HN21)-N(HM21)))</f>
        <v/>
      </c>
      <c r="HR21">
        <f>IF(OR(HM$3="",HM$3&gt;TODAY()),"",IF(AND(HP21="",HQ21=""),"",N(HQ21)-N(HP21)))</f>
        <v/>
      </c>
      <c r="HV21">
        <f>IF(OR(HT$3="",HT$3&gt;TODAY()),"",IF(AND(HT21="",HU21=""),"",N(HU21)-N(HT21)))</f>
        <v/>
      </c>
      <c r="HY21">
        <f>IF(OR(HT$3="",HT$3&gt;TODAY()),"",IF(AND(HW21="",HX21=""),"",N(HX21)-N(HW21)))</f>
        <v/>
      </c>
      <c r="IC21">
        <f>IF(OR(IA$3="",IA$3&gt;TODAY()),"",IF(AND(IA21="",IB21=""),"",N(IB21)-N(IA21)))</f>
        <v/>
      </c>
      <c r="IF21">
        <f>IF(OR(IA$3="",IA$3&gt;TODAY()),"",IF(AND(ID21="",IE21=""),"",N(IE21)-N(ID21)))</f>
        <v/>
      </c>
      <c r="IJ21">
        <f>IF(OR(IH$3="",IH$3&gt;TODAY()),"",IF(AND(IH21="",II21=""),"",N(II21)-N(IH21)))</f>
        <v/>
      </c>
      <c r="IM21">
        <f>IF(OR(IH$3="",IH$3&gt;TODAY()),"",IF(AND(IK21="",IL21=""),"",N(IL21)-N(IK21)))</f>
        <v/>
      </c>
    </row>
    <row r="22">
      <c r="A22" s="21" t="n"/>
      <c r="B22" s="21" t="n"/>
      <c r="C22" s="21" t="n"/>
      <c r="D22" s="21" t="n"/>
      <c r="E22" s="21" t="n"/>
      <c r="F22" s="21" t="n"/>
      <c r="G22" s="21" t="n"/>
      <c r="H22" s="21" t="n"/>
      <c r="I22" s="22" t="n"/>
      <c r="J22" s="22" t="n"/>
      <c r="K22" s="23" t="n"/>
      <c r="L22" s="22" t="n"/>
      <c r="M22" s="22" t="n"/>
      <c r="N22" s="21" t="n"/>
      <c r="O22" s="23" t="n"/>
      <c r="P22" s="23" t="n"/>
      <c r="Q22" s="23" t="n"/>
      <c r="R22" s="23" t="n"/>
      <c r="S22" s="22" t="n"/>
      <c r="T22" s="23" t="n"/>
      <c r="U22" s="23" t="n"/>
      <c r="V22" s="24">
        <f>IF(J22&lt;&gt;"",J22,IF(I22&lt;&gt;"",I22,""))</f>
        <v/>
      </c>
      <c r="W22" s="25">
        <f>IF($E22="","",N(O22)+SUMIFS($AF22:$IN22,$AF$4:$IN$4,"SEW_ACT"))</f>
        <v/>
      </c>
      <c r="X22" s="25">
        <f>IF($E22="","",N(P22)+SUMIFS($AF22:$IN22,$AF$4:$IN$4,"WASH_ACT"))</f>
        <v/>
      </c>
      <c r="Y22" s="25">
        <f>IF($E22="","",W22-X22-N(T22)-N(U22))</f>
        <v/>
      </c>
      <c r="Z22" s="25">
        <f>IF($E22="","",IF(N(K22)-X22&lt;=0.02*N(K22),0,N(K22)-X22))</f>
        <v/>
      </c>
      <c r="AA22" s="24">
        <f>IF($E22="","",IF(S22&lt;&gt;"",S22,IF(N(O22)&gt;0,IF(L22&lt;&gt;"",L22,99999),IFERROR(1/(1/_xlfn.MINIFS($AF$3:$IN$3,$AF$4:$IN$4,"SEW_ACT",$AF22:$IN22,"&gt;0")),99999))))</f>
        <v/>
      </c>
      <c r="AB22" s="26">
        <f>IF(OR($E22="",Z22=0,V22=""),"",1+COUNTIFS(Z$8:Z$707,"&gt;0",V$8:V$707,"&lt;"&amp;V22)+COUNTIFS(Z$8:Z$707,"&gt;0",V$8:V$707,V22,AA$8:AA$707,"&lt;"&amp;AA22)+COUNTIFS(Z$8:Z$707,"&gt;0",V$8:V$707,V22,AA$8:AA$707,AA22,E$8:E$707,"&lt;"&amp;$E22))</f>
        <v/>
      </c>
      <c r="AC22" s="24">
        <f>IF(OR($E22="",Z22=0),"",IFERROR(TODAY()+ROUNDUP(Z22/(SUMIFS($AF22:$IN22,$AF$4:$IN$4,"WASH_ACT")/COUNTIFS($AF$4:$IN$4,"WASH_ACT",$AF22:$IN22,"&gt;0")),0),"no output yet"))</f>
        <v/>
      </c>
      <c r="AD22" s="26">
        <f>IF($E22="","",IFERROR(ROUND(MAX(0,SUMIFS($AF22:$IN22,$AF$4:$IN$4,"SEW_PLAN",$AF$3:$IN$3,"&lt;="&amp;TODAY())-SUMIFS($AF22:$IN22,$AF$4:$IN$4,"SEW_ACT",$AF$3:$IN$3,"&lt;="&amp;TODAY())+N(Q22))/(SUMIFS($AF22:$IN22,$AF$4:$IN$4,"SEW_PLAN")/COUNTIFS($AF$4:$IN$4,"SEW_PLAN",$AF22:$IN22,"&gt;0")),1),0))</f>
        <v/>
      </c>
      <c r="AE22" s="26">
        <f>IF($E22="","",IF(AND(Z22&gt;0,OR(AND(M22&lt;&gt;"",TODAY()&gt;M22),AND(V22&lt;&gt;"",V22-TODAY()&lt;=7))),"Yes","No"))</f>
        <v/>
      </c>
      <c r="AH22">
        <f>IF(OR(AF$3="",AF$3&gt;TODAY()),"",IF(AND(AF22="",AG22=""),"",N(AG22)-N(AF22)))</f>
        <v/>
      </c>
      <c r="AK22">
        <f>IF(OR(AF$3="",AF$3&gt;TODAY()),"",IF(AND(AI22="",AJ22=""),"",N(AJ22)-N(AI22)))</f>
        <v/>
      </c>
      <c r="AO22">
        <f>IF(OR(AM$3="",AM$3&gt;TODAY()),"",IF(AND(AM22="",AN22=""),"",N(AN22)-N(AM22)))</f>
        <v/>
      </c>
      <c r="AR22">
        <f>IF(OR(AM$3="",AM$3&gt;TODAY()),"",IF(AND(AP22="",AQ22=""),"",N(AQ22)-N(AP22)))</f>
        <v/>
      </c>
      <c r="AV22">
        <f>IF(OR(AT$3="",AT$3&gt;TODAY()),"",IF(AND(AT22="",AU22=""),"",N(AU22)-N(AT22)))</f>
        <v/>
      </c>
      <c r="AY22">
        <f>IF(OR(AT$3="",AT$3&gt;TODAY()),"",IF(AND(AW22="",AX22=""),"",N(AX22)-N(AW22)))</f>
        <v/>
      </c>
      <c r="BC22">
        <f>IF(OR(BA$3="",BA$3&gt;TODAY()),"",IF(AND(BA22="",BB22=""),"",N(BB22)-N(BA22)))</f>
        <v/>
      </c>
      <c r="BF22">
        <f>IF(OR(BA$3="",BA$3&gt;TODAY()),"",IF(AND(BD22="",BE22=""),"",N(BE22)-N(BD22)))</f>
        <v/>
      </c>
      <c r="BJ22">
        <f>IF(OR(BH$3="",BH$3&gt;TODAY()),"",IF(AND(BH22="",BI22=""),"",N(BI22)-N(BH22)))</f>
        <v/>
      </c>
      <c r="BM22">
        <f>IF(OR(BH$3="",BH$3&gt;TODAY()),"",IF(AND(BK22="",BL22=""),"",N(BL22)-N(BK22)))</f>
        <v/>
      </c>
      <c r="BQ22">
        <f>IF(OR(BO$3="",BO$3&gt;TODAY()),"",IF(AND(BO22="",BP22=""),"",N(BP22)-N(BO22)))</f>
        <v/>
      </c>
      <c r="BT22">
        <f>IF(OR(BO$3="",BO$3&gt;TODAY()),"",IF(AND(BR22="",BS22=""),"",N(BS22)-N(BR22)))</f>
        <v/>
      </c>
      <c r="BX22">
        <f>IF(OR(BV$3="",BV$3&gt;TODAY()),"",IF(AND(BV22="",BW22=""),"",N(BW22)-N(BV22)))</f>
        <v/>
      </c>
      <c r="CA22">
        <f>IF(OR(BV$3="",BV$3&gt;TODAY()),"",IF(AND(BY22="",BZ22=""),"",N(BZ22)-N(BY22)))</f>
        <v/>
      </c>
      <c r="CE22">
        <f>IF(OR(CC$3="",CC$3&gt;TODAY()),"",IF(AND(CC22="",CD22=""),"",N(CD22)-N(CC22)))</f>
        <v/>
      </c>
      <c r="CH22">
        <f>IF(OR(CC$3="",CC$3&gt;TODAY()),"",IF(AND(CF22="",CG22=""),"",N(CG22)-N(CF22)))</f>
        <v/>
      </c>
      <c r="CL22">
        <f>IF(OR(CJ$3="",CJ$3&gt;TODAY()),"",IF(AND(CJ22="",CK22=""),"",N(CK22)-N(CJ22)))</f>
        <v/>
      </c>
      <c r="CO22">
        <f>IF(OR(CJ$3="",CJ$3&gt;TODAY()),"",IF(AND(CM22="",CN22=""),"",N(CN22)-N(CM22)))</f>
        <v/>
      </c>
      <c r="CS22">
        <f>IF(OR(CQ$3="",CQ$3&gt;TODAY()),"",IF(AND(CQ22="",CR22=""),"",N(CR22)-N(CQ22)))</f>
        <v/>
      </c>
      <c r="CV22">
        <f>IF(OR(CQ$3="",CQ$3&gt;TODAY()),"",IF(AND(CT22="",CU22=""),"",N(CU22)-N(CT22)))</f>
        <v/>
      </c>
      <c r="CZ22">
        <f>IF(OR(CX$3="",CX$3&gt;TODAY()),"",IF(AND(CX22="",CY22=""),"",N(CY22)-N(CX22)))</f>
        <v/>
      </c>
      <c r="DC22">
        <f>IF(OR(CX$3="",CX$3&gt;TODAY()),"",IF(AND(DA22="",DB22=""),"",N(DB22)-N(DA22)))</f>
        <v/>
      </c>
      <c r="DG22">
        <f>IF(OR(DE$3="",DE$3&gt;TODAY()),"",IF(AND(DE22="",DF22=""),"",N(DF22)-N(DE22)))</f>
        <v/>
      </c>
      <c r="DJ22">
        <f>IF(OR(DE$3="",DE$3&gt;TODAY()),"",IF(AND(DH22="",DI22=""),"",N(DI22)-N(DH22)))</f>
        <v/>
      </c>
      <c r="DN22">
        <f>IF(OR(DL$3="",DL$3&gt;TODAY()),"",IF(AND(DL22="",DM22=""),"",N(DM22)-N(DL22)))</f>
        <v/>
      </c>
      <c r="DQ22">
        <f>IF(OR(DL$3="",DL$3&gt;TODAY()),"",IF(AND(DO22="",DP22=""),"",N(DP22)-N(DO22)))</f>
        <v/>
      </c>
      <c r="DU22">
        <f>IF(OR(DS$3="",DS$3&gt;TODAY()),"",IF(AND(DS22="",DT22=""),"",N(DT22)-N(DS22)))</f>
        <v/>
      </c>
      <c r="DX22">
        <f>IF(OR(DS$3="",DS$3&gt;TODAY()),"",IF(AND(DV22="",DW22=""),"",N(DW22)-N(DV22)))</f>
        <v/>
      </c>
      <c r="EB22">
        <f>IF(OR(DZ$3="",DZ$3&gt;TODAY()),"",IF(AND(DZ22="",EA22=""),"",N(EA22)-N(DZ22)))</f>
        <v/>
      </c>
      <c r="EE22">
        <f>IF(OR(DZ$3="",DZ$3&gt;TODAY()),"",IF(AND(EC22="",ED22=""),"",N(ED22)-N(EC22)))</f>
        <v/>
      </c>
      <c r="EI22">
        <f>IF(OR(EG$3="",EG$3&gt;TODAY()),"",IF(AND(EG22="",EH22=""),"",N(EH22)-N(EG22)))</f>
        <v/>
      </c>
      <c r="EL22">
        <f>IF(OR(EG$3="",EG$3&gt;TODAY()),"",IF(AND(EJ22="",EK22=""),"",N(EK22)-N(EJ22)))</f>
        <v/>
      </c>
      <c r="EP22">
        <f>IF(OR(EN$3="",EN$3&gt;TODAY()),"",IF(AND(EN22="",EO22=""),"",N(EO22)-N(EN22)))</f>
        <v/>
      </c>
      <c r="ES22">
        <f>IF(OR(EN$3="",EN$3&gt;TODAY()),"",IF(AND(EQ22="",ER22=""),"",N(ER22)-N(EQ22)))</f>
        <v/>
      </c>
      <c r="EW22">
        <f>IF(OR(EU$3="",EU$3&gt;TODAY()),"",IF(AND(EU22="",EV22=""),"",N(EV22)-N(EU22)))</f>
        <v/>
      </c>
      <c r="EZ22">
        <f>IF(OR(EU$3="",EU$3&gt;TODAY()),"",IF(AND(EX22="",EY22=""),"",N(EY22)-N(EX22)))</f>
        <v/>
      </c>
      <c r="FD22">
        <f>IF(OR(FB$3="",FB$3&gt;TODAY()),"",IF(AND(FB22="",FC22=""),"",N(FC22)-N(FB22)))</f>
        <v/>
      </c>
      <c r="FG22">
        <f>IF(OR(FB$3="",FB$3&gt;TODAY()),"",IF(AND(FE22="",FF22=""),"",N(FF22)-N(FE22)))</f>
        <v/>
      </c>
      <c r="FK22">
        <f>IF(OR(FI$3="",FI$3&gt;TODAY()),"",IF(AND(FI22="",FJ22=""),"",N(FJ22)-N(FI22)))</f>
        <v/>
      </c>
      <c r="FN22">
        <f>IF(OR(FI$3="",FI$3&gt;TODAY()),"",IF(AND(FL22="",FM22=""),"",N(FM22)-N(FL22)))</f>
        <v/>
      </c>
      <c r="FR22">
        <f>IF(OR(FP$3="",FP$3&gt;TODAY()),"",IF(AND(FP22="",FQ22=""),"",N(FQ22)-N(FP22)))</f>
        <v/>
      </c>
      <c r="FU22">
        <f>IF(OR(FP$3="",FP$3&gt;TODAY()),"",IF(AND(FS22="",FT22=""),"",N(FT22)-N(FS22)))</f>
        <v/>
      </c>
      <c r="FY22">
        <f>IF(OR(FW$3="",FW$3&gt;TODAY()),"",IF(AND(FW22="",FX22=""),"",N(FX22)-N(FW22)))</f>
        <v/>
      </c>
      <c r="GB22">
        <f>IF(OR(FW$3="",FW$3&gt;TODAY()),"",IF(AND(FZ22="",GA22=""),"",N(GA22)-N(FZ22)))</f>
        <v/>
      </c>
      <c r="GF22">
        <f>IF(OR(GD$3="",GD$3&gt;TODAY()),"",IF(AND(GD22="",GE22=""),"",N(GE22)-N(GD22)))</f>
        <v/>
      </c>
      <c r="GI22">
        <f>IF(OR(GD$3="",GD$3&gt;TODAY()),"",IF(AND(GG22="",GH22=""),"",N(GH22)-N(GG22)))</f>
        <v/>
      </c>
      <c r="GM22">
        <f>IF(OR(GK$3="",GK$3&gt;TODAY()),"",IF(AND(GK22="",GL22=""),"",N(GL22)-N(GK22)))</f>
        <v/>
      </c>
      <c r="GP22">
        <f>IF(OR(GK$3="",GK$3&gt;TODAY()),"",IF(AND(GN22="",GO22=""),"",N(GO22)-N(GN22)))</f>
        <v/>
      </c>
      <c r="GT22">
        <f>IF(OR(GR$3="",GR$3&gt;TODAY()),"",IF(AND(GR22="",GS22=""),"",N(GS22)-N(GR22)))</f>
        <v/>
      </c>
      <c r="GW22">
        <f>IF(OR(GR$3="",GR$3&gt;TODAY()),"",IF(AND(GU22="",GV22=""),"",N(GV22)-N(GU22)))</f>
        <v/>
      </c>
      <c r="HA22">
        <f>IF(OR(GY$3="",GY$3&gt;TODAY()),"",IF(AND(GY22="",GZ22=""),"",N(GZ22)-N(GY22)))</f>
        <v/>
      </c>
      <c r="HD22">
        <f>IF(OR(GY$3="",GY$3&gt;TODAY()),"",IF(AND(HB22="",HC22=""),"",N(HC22)-N(HB22)))</f>
        <v/>
      </c>
      <c r="HH22">
        <f>IF(OR(HF$3="",HF$3&gt;TODAY()),"",IF(AND(HF22="",HG22=""),"",N(HG22)-N(HF22)))</f>
        <v/>
      </c>
      <c r="HK22">
        <f>IF(OR(HF$3="",HF$3&gt;TODAY()),"",IF(AND(HI22="",HJ22=""),"",N(HJ22)-N(HI22)))</f>
        <v/>
      </c>
      <c r="HO22">
        <f>IF(OR(HM$3="",HM$3&gt;TODAY()),"",IF(AND(HM22="",HN22=""),"",N(HN22)-N(HM22)))</f>
        <v/>
      </c>
      <c r="HR22">
        <f>IF(OR(HM$3="",HM$3&gt;TODAY()),"",IF(AND(HP22="",HQ22=""),"",N(HQ22)-N(HP22)))</f>
        <v/>
      </c>
      <c r="HV22">
        <f>IF(OR(HT$3="",HT$3&gt;TODAY()),"",IF(AND(HT22="",HU22=""),"",N(HU22)-N(HT22)))</f>
        <v/>
      </c>
      <c r="HY22">
        <f>IF(OR(HT$3="",HT$3&gt;TODAY()),"",IF(AND(HW22="",HX22=""),"",N(HX22)-N(HW22)))</f>
        <v/>
      </c>
      <c r="IC22">
        <f>IF(OR(IA$3="",IA$3&gt;TODAY()),"",IF(AND(IA22="",IB22=""),"",N(IB22)-N(IA22)))</f>
        <v/>
      </c>
      <c r="IF22">
        <f>IF(OR(IA$3="",IA$3&gt;TODAY()),"",IF(AND(ID22="",IE22=""),"",N(IE22)-N(ID22)))</f>
        <v/>
      </c>
      <c r="IJ22">
        <f>IF(OR(IH$3="",IH$3&gt;TODAY()),"",IF(AND(IH22="",II22=""),"",N(II22)-N(IH22)))</f>
        <v/>
      </c>
      <c r="IM22">
        <f>IF(OR(IH$3="",IH$3&gt;TODAY()),"",IF(AND(IK22="",IL22=""),"",N(IL22)-N(IK22)))</f>
        <v/>
      </c>
    </row>
    <row r="23">
      <c r="A23" s="21" t="n"/>
      <c r="B23" s="21" t="n"/>
      <c r="C23" s="21" t="n"/>
      <c r="D23" s="21" t="n"/>
      <c r="E23" s="21" t="n"/>
      <c r="F23" s="21" t="n"/>
      <c r="G23" s="21" t="n"/>
      <c r="H23" s="21" t="n"/>
      <c r="I23" s="22" t="n"/>
      <c r="J23" s="22" t="n"/>
      <c r="K23" s="23" t="n"/>
      <c r="L23" s="22" t="n"/>
      <c r="M23" s="22" t="n"/>
      <c r="N23" s="21" t="n"/>
      <c r="O23" s="23" t="n"/>
      <c r="P23" s="23" t="n"/>
      <c r="Q23" s="23" t="n"/>
      <c r="R23" s="23" t="n"/>
      <c r="S23" s="22" t="n"/>
      <c r="T23" s="23" t="n"/>
      <c r="U23" s="23" t="n"/>
      <c r="V23" s="24">
        <f>IF(J23&lt;&gt;"",J23,IF(I23&lt;&gt;"",I23,""))</f>
        <v/>
      </c>
      <c r="W23" s="25">
        <f>IF($E23="","",N(O23)+SUMIFS($AF23:$IN23,$AF$4:$IN$4,"SEW_ACT"))</f>
        <v/>
      </c>
      <c r="X23" s="25">
        <f>IF($E23="","",N(P23)+SUMIFS($AF23:$IN23,$AF$4:$IN$4,"WASH_ACT"))</f>
        <v/>
      </c>
      <c r="Y23" s="25">
        <f>IF($E23="","",W23-X23-N(T23)-N(U23))</f>
        <v/>
      </c>
      <c r="Z23" s="25">
        <f>IF($E23="","",IF(N(K23)-X23&lt;=0.02*N(K23),0,N(K23)-X23))</f>
        <v/>
      </c>
      <c r="AA23" s="24">
        <f>IF($E23="","",IF(S23&lt;&gt;"",S23,IF(N(O23)&gt;0,IF(L23&lt;&gt;"",L23,99999),IFERROR(1/(1/_xlfn.MINIFS($AF$3:$IN$3,$AF$4:$IN$4,"SEW_ACT",$AF23:$IN23,"&gt;0")),99999))))</f>
        <v/>
      </c>
      <c r="AB23" s="26">
        <f>IF(OR($E23="",Z23=0,V23=""),"",1+COUNTIFS(Z$8:Z$707,"&gt;0",V$8:V$707,"&lt;"&amp;V23)+COUNTIFS(Z$8:Z$707,"&gt;0",V$8:V$707,V23,AA$8:AA$707,"&lt;"&amp;AA23)+COUNTIFS(Z$8:Z$707,"&gt;0",V$8:V$707,V23,AA$8:AA$707,AA23,E$8:E$707,"&lt;"&amp;$E23))</f>
        <v/>
      </c>
      <c r="AC23" s="24">
        <f>IF(OR($E23="",Z23=0),"",IFERROR(TODAY()+ROUNDUP(Z23/(SUMIFS($AF23:$IN23,$AF$4:$IN$4,"WASH_ACT")/COUNTIFS($AF$4:$IN$4,"WASH_ACT",$AF23:$IN23,"&gt;0")),0),"no output yet"))</f>
        <v/>
      </c>
      <c r="AD23" s="26">
        <f>IF($E23="","",IFERROR(ROUND(MAX(0,SUMIFS($AF23:$IN23,$AF$4:$IN$4,"SEW_PLAN",$AF$3:$IN$3,"&lt;="&amp;TODAY())-SUMIFS($AF23:$IN23,$AF$4:$IN$4,"SEW_ACT",$AF$3:$IN$3,"&lt;="&amp;TODAY())+N(Q23))/(SUMIFS($AF23:$IN23,$AF$4:$IN$4,"SEW_PLAN")/COUNTIFS($AF$4:$IN$4,"SEW_PLAN",$AF23:$IN23,"&gt;0")),1),0))</f>
        <v/>
      </c>
      <c r="AE23" s="26">
        <f>IF($E23="","",IF(AND(Z23&gt;0,OR(AND(M23&lt;&gt;"",TODAY()&gt;M23),AND(V23&lt;&gt;"",V23-TODAY()&lt;=7))),"Yes","No"))</f>
        <v/>
      </c>
      <c r="AH23">
        <f>IF(OR(AF$3="",AF$3&gt;TODAY()),"",IF(AND(AF23="",AG23=""),"",N(AG23)-N(AF23)))</f>
        <v/>
      </c>
      <c r="AK23">
        <f>IF(OR(AF$3="",AF$3&gt;TODAY()),"",IF(AND(AI23="",AJ23=""),"",N(AJ23)-N(AI23)))</f>
        <v/>
      </c>
      <c r="AO23">
        <f>IF(OR(AM$3="",AM$3&gt;TODAY()),"",IF(AND(AM23="",AN23=""),"",N(AN23)-N(AM23)))</f>
        <v/>
      </c>
      <c r="AR23">
        <f>IF(OR(AM$3="",AM$3&gt;TODAY()),"",IF(AND(AP23="",AQ23=""),"",N(AQ23)-N(AP23)))</f>
        <v/>
      </c>
      <c r="AV23">
        <f>IF(OR(AT$3="",AT$3&gt;TODAY()),"",IF(AND(AT23="",AU23=""),"",N(AU23)-N(AT23)))</f>
        <v/>
      </c>
      <c r="AY23">
        <f>IF(OR(AT$3="",AT$3&gt;TODAY()),"",IF(AND(AW23="",AX23=""),"",N(AX23)-N(AW23)))</f>
        <v/>
      </c>
      <c r="BC23">
        <f>IF(OR(BA$3="",BA$3&gt;TODAY()),"",IF(AND(BA23="",BB23=""),"",N(BB23)-N(BA23)))</f>
        <v/>
      </c>
      <c r="BF23">
        <f>IF(OR(BA$3="",BA$3&gt;TODAY()),"",IF(AND(BD23="",BE23=""),"",N(BE23)-N(BD23)))</f>
        <v/>
      </c>
      <c r="BJ23">
        <f>IF(OR(BH$3="",BH$3&gt;TODAY()),"",IF(AND(BH23="",BI23=""),"",N(BI23)-N(BH23)))</f>
        <v/>
      </c>
      <c r="BM23">
        <f>IF(OR(BH$3="",BH$3&gt;TODAY()),"",IF(AND(BK23="",BL23=""),"",N(BL23)-N(BK23)))</f>
        <v/>
      </c>
      <c r="BQ23">
        <f>IF(OR(BO$3="",BO$3&gt;TODAY()),"",IF(AND(BO23="",BP23=""),"",N(BP23)-N(BO23)))</f>
        <v/>
      </c>
      <c r="BT23">
        <f>IF(OR(BO$3="",BO$3&gt;TODAY()),"",IF(AND(BR23="",BS23=""),"",N(BS23)-N(BR23)))</f>
        <v/>
      </c>
      <c r="BX23">
        <f>IF(OR(BV$3="",BV$3&gt;TODAY()),"",IF(AND(BV23="",BW23=""),"",N(BW23)-N(BV23)))</f>
        <v/>
      </c>
      <c r="CA23">
        <f>IF(OR(BV$3="",BV$3&gt;TODAY()),"",IF(AND(BY23="",BZ23=""),"",N(BZ23)-N(BY23)))</f>
        <v/>
      </c>
      <c r="CE23">
        <f>IF(OR(CC$3="",CC$3&gt;TODAY()),"",IF(AND(CC23="",CD23=""),"",N(CD23)-N(CC23)))</f>
        <v/>
      </c>
      <c r="CH23">
        <f>IF(OR(CC$3="",CC$3&gt;TODAY()),"",IF(AND(CF23="",CG23=""),"",N(CG23)-N(CF23)))</f>
        <v/>
      </c>
      <c r="CL23">
        <f>IF(OR(CJ$3="",CJ$3&gt;TODAY()),"",IF(AND(CJ23="",CK23=""),"",N(CK23)-N(CJ23)))</f>
        <v/>
      </c>
      <c r="CO23">
        <f>IF(OR(CJ$3="",CJ$3&gt;TODAY()),"",IF(AND(CM23="",CN23=""),"",N(CN23)-N(CM23)))</f>
        <v/>
      </c>
      <c r="CS23">
        <f>IF(OR(CQ$3="",CQ$3&gt;TODAY()),"",IF(AND(CQ23="",CR23=""),"",N(CR23)-N(CQ23)))</f>
        <v/>
      </c>
      <c r="CV23">
        <f>IF(OR(CQ$3="",CQ$3&gt;TODAY()),"",IF(AND(CT23="",CU23=""),"",N(CU23)-N(CT23)))</f>
        <v/>
      </c>
      <c r="CZ23">
        <f>IF(OR(CX$3="",CX$3&gt;TODAY()),"",IF(AND(CX23="",CY23=""),"",N(CY23)-N(CX23)))</f>
        <v/>
      </c>
      <c r="DC23">
        <f>IF(OR(CX$3="",CX$3&gt;TODAY()),"",IF(AND(DA23="",DB23=""),"",N(DB23)-N(DA23)))</f>
        <v/>
      </c>
      <c r="DG23">
        <f>IF(OR(DE$3="",DE$3&gt;TODAY()),"",IF(AND(DE23="",DF23=""),"",N(DF23)-N(DE23)))</f>
        <v/>
      </c>
      <c r="DJ23">
        <f>IF(OR(DE$3="",DE$3&gt;TODAY()),"",IF(AND(DH23="",DI23=""),"",N(DI23)-N(DH23)))</f>
        <v/>
      </c>
      <c r="DN23">
        <f>IF(OR(DL$3="",DL$3&gt;TODAY()),"",IF(AND(DL23="",DM23=""),"",N(DM23)-N(DL23)))</f>
        <v/>
      </c>
      <c r="DQ23">
        <f>IF(OR(DL$3="",DL$3&gt;TODAY()),"",IF(AND(DO23="",DP23=""),"",N(DP23)-N(DO23)))</f>
        <v/>
      </c>
      <c r="DU23">
        <f>IF(OR(DS$3="",DS$3&gt;TODAY()),"",IF(AND(DS23="",DT23=""),"",N(DT23)-N(DS23)))</f>
        <v/>
      </c>
      <c r="DX23">
        <f>IF(OR(DS$3="",DS$3&gt;TODAY()),"",IF(AND(DV23="",DW23=""),"",N(DW23)-N(DV23)))</f>
        <v/>
      </c>
      <c r="EB23">
        <f>IF(OR(DZ$3="",DZ$3&gt;TODAY()),"",IF(AND(DZ23="",EA23=""),"",N(EA23)-N(DZ23)))</f>
        <v/>
      </c>
      <c r="EE23">
        <f>IF(OR(DZ$3="",DZ$3&gt;TODAY()),"",IF(AND(EC23="",ED23=""),"",N(ED23)-N(EC23)))</f>
        <v/>
      </c>
      <c r="EI23">
        <f>IF(OR(EG$3="",EG$3&gt;TODAY()),"",IF(AND(EG23="",EH23=""),"",N(EH23)-N(EG23)))</f>
        <v/>
      </c>
      <c r="EL23">
        <f>IF(OR(EG$3="",EG$3&gt;TODAY()),"",IF(AND(EJ23="",EK23=""),"",N(EK23)-N(EJ23)))</f>
        <v/>
      </c>
      <c r="EP23">
        <f>IF(OR(EN$3="",EN$3&gt;TODAY()),"",IF(AND(EN23="",EO23=""),"",N(EO23)-N(EN23)))</f>
        <v/>
      </c>
      <c r="ES23">
        <f>IF(OR(EN$3="",EN$3&gt;TODAY()),"",IF(AND(EQ23="",ER23=""),"",N(ER23)-N(EQ23)))</f>
        <v/>
      </c>
      <c r="EW23">
        <f>IF(OR(EU$3="",EU$3&gt;TODAY()),"",IF(AND(EU23="",EV23=""),"",N(EV23)-N(EU23)))</f>
        <v/>
      </c>
      <c r="EZ23">
        <f>IF(OR(EU$3="",EU$3&gt;TODAY()),"",IF(AND(EX23="",EY23=""),"",N(EY23)-N(EX23)))</f>
        <v/>
      </c>
      <c r="FD23">
        <f>IF(OR(FB$3="",FB$3&gt;TODAY()),"",IF(AND(FB23="",FC23=""),"",N(FC23)-N(FB23)))</f>
        <v/>
      </c>
      <c r="FG23">
        <f>IF(OR(FB$3="",FB$3&gt;TODAY()),"",IF(AND(FE23="",FF23=""),"",N(FF23)-N(FE23)))</f>
        <v/>
      </c>
      <c r="FK23">
        <f>IF(OR(FI$3="",FI$3&gt;TODAY()),"",IF(AND(FI23="",FJ23=""),"",N(FJ23)-N(FI23)))</f>
        <v/>
      </c>
      <c r="FN23">
        <f>IF(OR(FI$3="",FI$3&gt;TODAY()),"",IF(AND(FL23="",FM23=""),"",N(FM23)-N(FL23)))</f>
        <v/>
      </c>
      <c r="FR23">
        <f>IF(OR(FP$3="",FP$3&gt;TODAY()),"",IF(AND(FP23="",FQ23=""),"",N(FQ23)-N(FP23)))</f>
        <v/>
      </c>
      <c r="FU23">
        <f>IF(OR(FP$3="",FP$3&gt;TODAY()),"",IF(AND(FS23="",FT23=""),"",N(FT23)-N(FS23)))</f>
        <v/>
      </c>
      <c r="FY23">
        <f>IF(OR(FW$3="",FW$3&gt;TODAY()),"",IF(AND(FW23="",FX23=""),"",N(FX23)-N(FW23)))</f>
        <v/>
      </c>
      <c r="GB23">
        <f>IF(OR(FW$3="",FW$3&gt;TODAY()),"",IF(AND(FZ23="",GA23=""),"",N(GA23)-N(FZ23)))</f>
        <v/>
      </c>
      <c r="GF23">
        <f>IF(OR(GD$3="",GD$3&gt;TODAY()),"",IF(AND(GD23="",GE23=""),"",N(GE23)-N(GD23)))</f>
        <v/>
      </c>
      <c r="GI23">
        <f>IF(OR(GD$3="",GD$3&gt;TODAY()),"",IF(AND(GG23="",GH23=""),"",N(GH23)-N(GG23)))</f>
        <v/>
      </c>
      <c r="GM23">
        <f>IF(OR(GK$3="",GK$3&gt;TODAY()),"",IF(AND(GK23="",GL23=""),"",N(GL23)-N(GK23)))</f>
        <v/>
      </c>
      <c r="GP23">
        <f>IF(OR(GK$3="",GK$3&gt;TODAY()),"",IF(AND(GN23="",GO23=""),"",N(GO23)-N(GN23)))</f>
        <v/>
      </c>
      <c r="GT23">
        <f>IF(OR(GR$3="",GR$3&gt;TODAY()),"",IF(AND(GR23="",GS23=""),"",N(GS23)-N(GR23)))</f>
        <v/>
      </c>
      <c r="GW23">
        <f>IF(OR(GR$3="",GR$3&gt;TODAY()),"",IF(AND(GU23="",GV23=""),"",N(GV23)-N(GU23)))</f>
        <v/>
      </c>
      <c r="HA23">
        <f>IF(OR(GY$3="",GY$3&gt;TODAY()),"",IF(AND(GY23="",GZ23=""),"",N(GZ23)-N(GY23)))</f>
        <v/>
      </c>
      <c r="HD23">
        <f>IF(OR(GY$3="",GY$3&gt;TODAY()),"",IF(AND(HB23="",HC23=""),"",N(HC23)-N(HB23)))</f>
        <v/>
      </c>
      <c r="HH23">
        <f>IF(OR(HF$3="",HF$3&gt;TODAY()),"",IF(AND(HF23="",HG23=""),"",N(HG23)-N(HF23)))</f>
        <v/>
      </c>
      <c r="HK23">
        <f>IF(OR(HF$3="",HF$3&gt;TODAY()),"",IF(AND(HI23="",HJ23=""),"",N(HJ23)-N(HI23)))</f>
        <v/>
      </c>
      <c r="HO23">
        <f>IF(OR(HM$3="",HM$3&gt;TODAY()),"",IF(AND(HM23="",HN23=""),"",N(HN23)-N(HM23)))</f>
        <v/>
      </c>
      <c r="HR23">
        <f>IF(OR(HM$3="",HM$3&gt;TODAY()),"",IF(AND(HP23="",HQ23=""),"",N(HQ23)-N(HP23)))</f>
        <v/>
      </c>
      <c r="HV23">
        <f>IF(OR(HT$3="",HT$3&gt;TODAY()),"",IF(AND(HT23="",HU23=""),"",N(HU23)-N(HT23)))</f>
        <v/>
      </c>
      <c r="HY23">
        <f>IF(OR(HT$3="",HT$3&gt;TODAY()),"",IF(AND(HW23="",HX23=""),"",N(HX23)-N(HW23)))</f>
        <v/>
      </c>
      <c r="IC23">
        <f>IF(OR(IA$3="",IA$3&gt;TODAY()),"",IF(AND(IA23="",IB23=""),"",N(IB23)-N(IA23)))</f>
        <v/>
      </c>
      <c r="IF23">
        <f>IF(OR(IA$3="",IA$3&gt;TODAY()),"",IF(AND(ID23="",IE23=""),"",N(IE23)-N(ID23)))</f>
        <v/>
      </c>
      <c r="IJ23">
        <f>IF(OR(IH$3="",IH$3&gt;TODAY()),"",IF(AND(IH23="",II23=""),"",N(II23)-N(IH23)))</f>
        <v/>
      </c>
      <c r="IM23">
        <f>IF(OR(IH$3="",IH$3&gt;TODAY()),"",IF(AND(IK23="",IL23=""),"",N(IL23)-N(IK23)))</f>
        <v/>
      </c>
    </row>
    <row r="24">
      <c r="A24" s="21" t="n"/>
      <c r="B24" s="21" t="n"/>
      <c r="C24" s="21" t="n"/>
      <c r="D24" s="21" t="n"/>
      <c r="E24" s="21" t="n"/>
      <c r="F24" s="21" t="n"/>
      <c r="G24" s="21" t="n"/>
      <c r="H24" s="21" t="n"/>
      <c r="I24" s="22" t="n"/>
      <c r="J24" s="22" t="n"/>
      <c r="K24" s="23" t="n"/>
      <c r="L24" s="22" t="n"/>
      <c r="M24" s="22" t="n"/>
      <c r="N24" s="21" t="n"/>
      <c r="O24" s="23" t="n"/>
      <c r="P24" s="23" t="n"/>
      <c r="Q24" s="23" t="n"/>
      <c r="R24" s="23" t="n"/>
      <c r="S24" s="22" t="n"/>
      <c r="T24" s="23" t="n"/>
      <c r="U24" s="23" t="n"/>
      <c r="V24" s="24">
        <f>IF(J24&lt;&gt;"",J24,IF(I24&lt;&gt;"",I24,""))</f>
        <v/>
      </c>
      <c r="W24" s="25">
        <f>IF($E24="","",N(O24)+SUMIFS($AF24:$IN24,$AF$4:$IN$4,"SEW_ACT"))</f>
        <v/>
      </c>
      <c r="X24" s="25">
        <f>IF($E24="","",N(P24)+SUMIFS($AF24:$IN24,$AF$4:$IN$4,"WASH_ACT"))</f>
        <v/>
      </c>
      <c r="Y24" s="25">
        <f>IF($E24="","",W24-X24-N(T24)-N(U24))</f>
        <v/>
      </c>
      <c r="Z24" s="25">
        <f>IF($E24="","",IF(N(K24)-X24&lt;=0.02*N(K24),0,N(K24)-X24))</f>
        <v/>
      </c>
      <c r="AA24" s="24">
        <f>IF($E24="","",IF(S24&lt;&gt;"",S24,IF(N(O24)&gt;0,IF(L24&lt;&gt;"",L24,99999),IFERROR(1/(1/_xlfn.MINIFS($AF$3:$IN$3,$AF$4:$IN$4,"SEW_ACT",$AF24:$IN24,"&gt;0")),99999))))</f>
        <v/>
      </c>
      <c r="AB24" s="26">
        <f>IF(OR($E24="",Z24=0,V24=""),"",1+COUNTIFS(Z$8:Z$707,"&gt;0",V$8:V$707,"&lt;"&amp;V24)+COUNTIFS(Z$8:Z$707,"&gt;0",V$8:V$707,V24,AA$8:AA$707,"&lt;"&amp;AA24)+COUNTIFS(Z$8:Z$707,"&gt;0",V$8:V$707,V24,AA$8:AA$707,AA24,E$8:E$707,"&lt;"&amp;$E24))</f>
        <v/>
      </c>
      <c r="AC24" s="24">
        <f>IF(OR($E24="",Z24=0),"",IFERROR(TODAY()+ROUNDUP(Z24/(SUMIFS($AF24:$IN24,$AF$4:$IN$4,"WASH_ACT")/COUNTIFS($AF$4:$IN$4,"WASH_ACT",$AF24:$IN24,"&gt;0")),0),"no output yet"))</f>
        <v/>
      </c>
      <c r="AD24" s="26">
        <f>IF($E24="","",IFERROR(ROUND(MAX(0,SUMIFS($AF24:$IN24,$AF$4:$IN$4,"SEW_PLAN",$AF$3:$IN$3,"&lt;="&amp;TODAY())-SUMIFS($AF24:$IN24,$AF$4:$IN$4,"SEW_ACT",$AF$3:$IN$3,"&lt;="&amp;TODAY())+N(Q24))/(SUMIFS($AF24:$IN24,$AF$4:$IN$4,"SEW_PLAN")/COUNTIFS($AF$4:$IN$4,"SEW_PLAN",$AF24:$IN24,"&gt;0")),1),0))</f>
        <v/>
      </c>
      <c r="AE24" s="26">
        <f>IF($E24="","",IF(AND(Z24&gt;0,OR(AND(M24&lt;&gt;"",TODAY()&gt;M24),AND(V24&lt;&gt;"",V24-TODAY()&lt;=7))),"Yes","No"))</f>
        <v/>
      </c>
      <c r="AH24">
        <f>IF(OR(AF$3="",AF$3&gt;TODAY()),"",IF(AND(AF24="",AG24=""),"",N(AG24)-N(AF24)))</f>
        <v/>
      </c>
      <c r="AK24">
        <f>IF(OR(AF$3="",AF$3&gt;TODAY()),"",IF(AND(AI24="",AJ24=""),"",N(AJ24)-N(AI24)))</f>
        <v/>
      </c>
      <c r="AO24">
        <f>IF(OR(AM$3="",AM$3&gt;TODAY()),"",IF(AND(AM24="",AN24=""),"",N(AN24)-N(AM24)))</f>
        <v/>
      </c>
      <c r="AR24">
        <f>IF(OR(AM$3="",AM$3&gt;TODAY()),"",IF(AND(AP24="",AQ24=""),"",N(AQ24)-N(AP24)))</f>
        <v/>
      </c>
      <c r="AV24">
        <f>IF(OR(AT$3="",AT$3&gt;TODAY()),"",IF(AND(AT24="",AU24=""),"",N(AU24)-N(AT24)))</f>
        <v/>
      </c>
      <c r="AY24">
        <f>IF(OR(AT$3="",AT$3&gt;TODAY()),"",IF(AND(AW24="",AX24=""),"",N(AX24)-N(AW24)))</f>
        <v/>
      </c>
      <c r="BC24">
        <f>IF(OR(BA$3="",BA$3&gt;TODAY()),"",IF(AND(BA24="",BB24=""),"",N(BB24)-N(BA24)))</f>
        <v/>
      </c>
      <c r="BF24">
        <f>IF(OR(BA$3="",BA$3&gt;TODAY()),"",IF(AND(BD24="",BE24=""),"",N(BE24)-N(BD24)))</f>
        <v/>
      </c>
      <c r="BJ24">
        <f>IF(OR(BH$3="",BH$3&gt;TODAY()),"",IF(AND(BH24="",BI24=""),"",N(BI24)-N(BH24)))</f>
        <v/>
      </c>
      <c r="BM24">
        <f>IF(OR(BH$3="",BH$3&gt;TODAY()),"",IF(AND(BK24="",BL24=""),"",N(BL24)-N(BK24)))</f>
        <v/>
      </c>
      <c r="BQ24">
        <f>IF(OR(BO$3="",BO$3&gt;TODAY()),"",IF(AND(BO24="",BP24=""),"",N(BP24)-N(BO24)))</f>
        <v/>
      </c>
      <c r="BT24">
        <f>IF(OR(BO$3="",BO$3&gt;TODAY()),"",IF(AND(BR24="",BS24=""),"",N(BS24)-N(BR24)))</f>
        <v/>
      </c>
      <c r="BX24">
        <f>IF(OR(BV$3="",BV$3&gt;TODAY()),"",IF(AND(BV24="",BW24=""),"",N(BW24)-N(BV24)))</f>
        <v/>
      </c>
      <c r="CA24">
        <f>IF(OR(BV$3="",BV$3&gt;TODAY()),"",IF(AND(BY24="",BZ24=""),"",N(BZ24)-N(BY24)))</f>
        <v/>
      </c>
      <c r="CE24">
        <f>IF(OR(CC$3="",CC$3&gt;TODAY()),"",IF(AND(CC24="",CD24=""),"",N(CD24)-N(CC24)))</f>
        <v/>
      </c>
      <c r="CH24">
        <f>IF(OR(CC$3="",CC$3&gt;TODAY()),"",IF(AND(CF24="",CG24=""),"",N(CG24)-N(CF24)))</f>
        <v/>
      </c>
      <c r="CL24">
        <f>IF(OR(CJ$3="",CJ$3&gt;TODAY()),"",IF(AND(CJ24="",CK24=""),"",N(CK24)-N(CJ24)))</f>
        <v/>
      </c>
      <c r="CO24">
        <f>IF(OR(CJ$3="",CJ$3&gt;TODAY()),"",IF(AND(CM24="",CN24=""),"",N(CN24)-N(CM24)))</f>
        <v/>
      </c>
      <c r="CS24">
        <f>IF(OR(CQ$3="",CQ$3&gt;TODAY()),"",IF(AND(CQ24="",CR24=""),"",N(CR24)-N(CQ24)))</f>
        <v/>
      </c>
      <c r="CV24">
        <f>IF(OR(CQ$3="",CQ$3&gt;TODAY()),"",IF(AND(CT24="",CU24=""),"",N(CU24)-N(CT24)))</f>
        <v/>
      </c>
      <c r="CZ24">
        <f>IF(OR(CX$3="",CX$3&gt;TODAY()),"",IF(AND(CX24="",CY24=""),"",N(CY24)-N(CX24)))</f>
        <v/>
      </c>
      <c r="DC24">
        <f>IF(OR(CX$3="",CX$3&gt;TODAY()),"",IF(AND(DA24="",DB24=""),"",N(DB24)-N(DA24)))</f>
        <v/>
      </c>
      <c r="DG24">
        <f>IF(OR(DE$3="",DE$3&gt;TODAY()),"",IF(AND(DE24="",DF24=""),"",N(DF24)-N(DE24)))</f>
        <v/>
      </c>
      <c r="DJ24">
        <f>IF(OR(DE$3="",DE$3&gt;TODAY()),"",IF(AND(DH24="",DI24=""),"",N(DI24)-N(DH24)))</f>
        <v/>
      </c>
      <c r="DN24">
        <f>IF(OR(DL$3="",DL$3&gt;TODAY()),"",IF(AND(DL24="",DM24=""),"",N(DM24)-N(DL24)))</f>
        <v/>
      </c>
      <c r="DQ24">
        <f>IF(OR(DL$3="",DL$3&gt;TODAY()),"",IF(AND(DO24="",DP24=""),"",N(DP24)-N(DO24)))</f>
        <v/>
      </c>
      <c r="DU24">
        <f>IF(OR(DS$3="",DS$3&gt;TODAY()),"",IF(AND(DS24="",DT24=""),"",N(DT24)-N(DS24)))</f>
        <v/>
      </c>
      <c r="DX24">
        <f>IF(OR(DS$3="",DS$3&gt;TODAY()),"",IF(AND(DV24="",DW24=""),"",N(DW24)-N(DV24)))</f>
        <v/>
      </c>
      <c r="EB24">
        <f>IF(OR(DZ$3="",DZ$3&gt;TODAY()),"",IF(AND(DZ24="",EA24=""),"",N(EA24)-N(DZ24)))</f>
        <v/>
      </c>
      <c r="EE24">
        <f>IF(OR(DZ$3="",DZ$3&gt;TODAY()),"",IF(AND(EC24="",ED24=""),"",N(ED24)-N(EC24)))</f>
        <v/>
      </c>
      <c r="EI24">
        <f>IF(OR(EG$3="",EG$3&gt;TODAY()),"",IF(AND(EG24="",EH24=""),"",N(EH24)-N(EG24)))</f>
        <v/>
      </c>
      <c r="EL24">
        <f>IF(OR(EG$3="",EG$3&gt;TODAY()),"",IF(AND(EJ24="",EK24=""),"",N(EK24)-N(EJ24)))</f>
        <v/>
      </c>
      <c r="EP24">
        <f>IF(OR(EN$3="",EN$3&gt;TODAY()),"",IF(AND(EN24="",EO24=""),"",N(EO24)-N(EN24)))</f>
        <v/>
      </c>
      <c r="ES24">
        <f>IF(OR(EN$3="",EN$3&gt;TODAY()),"",IF(AND(EQ24="",ER24=""),"",N(ER24)-N(EQ24)))</f>
        <v/>
      </c>
      <c r="EW24">
        <f>IF(OR(EU$3="",EU$3&gt;TODAY()),"",IF(AND(EU24="",EV24=""),"",N(EV24)-N(EU24)))</f>
        <v/>
      </c>
      <c r="EZ24">
        <f>IF(OR(EU$3="",EU$3&gt;TODAY()),"",IF(AND(EX24="",EY24=""),"",N(EY24)-N(EX24)))</f>
        <v/>
      </c>
      <c r="FD24">
        <f>IF(OR(FB$3="",FB$3&gt;TODAY()),"",IF(AND(FB24="",FC24=""),"",N(FC24)-N(FB24)))</f>
        <v/>
      </c>
      <c r="FG24">
        <f>IF(OR(FB$3="",FB$3&gt;TODAY()),"",IF(AND(FE24="",FF24=""),"",N(FF24)-N(FE24)))</f>
        <v/>
      </c>
      <c r="FK24">
        <f>IF(OR(FI$3="",FI$3&gt;TODAY()),"",IF(AND(FI24="",FJ24=""),"",N(FJ24)-N(FI24)))</f>
        <v/>
      </c>
      <c r="FN24">
        <f>IF(OR(FI$3="",FI$3&gt;TODAY()),"",IF(AND(FL24="",FM24=""),"",N(FM24)-N(FL24)))</f>
        <v/>
      </c>
      <c r="FR24">
        <f>IF(OR(FP$3="",FP$3&gt;TODAY()),"",IF(AND(FP24="",FQ24=""),"",N(FQ24)-N(FP24)))</f>
        <v/>
      </c>
      <c r="FU24">
        <f>IF(OR(FP$3="",FP$3&gt;TODAY()),"",IF(AND(FS24="",FT24=""),"",N(FT24)-N(FS24)))</f>
        <v/>
      </c>
      <c r="FY24">
        <f>IF(OR(FW$3="",FW$3&gt;TODAY()),"",IF(AND(FW24="",FX24=""),"",N(FX24)-N(FW24)))</f>
        <v/>
      </c>
      <c r="GB24">
        <f>IF(OR(FW$3="",FW$3&gt;TODAY()),"",IF(AND(FZ24="",GA24=""),"",N(GA24)-N(FZ24)))</f>
        <v/>
      </c>
      <c r="GF24">
        <f>IF(OR(GD$3="",GD$3&gt;TODAY()),"",IF(AND(GD24="",GE24=""),"",N(GE24)-N(GD24)))</f>
        <v/>
      </c>
      <c r="GI24">
        <f>IF(OR(GD$3="",GD$3&gt;TODAY()),"",IF(AND(GG24="",GH24=""),"",N(GH24)-N(GG24)))</f>
        <v/>
      </c>
      <c r="GM24">
        <f>IF(OR(GK$3="",GK$3&gt;TODAY()),"",IF(AND(GK24="",GL24=""),"",N(GL24)-N(GK24)))</f>
        <v/>
      </c>
      <c r="GP24">
        <f>IF(OR(GK$3="",GK$3&gt;TODAY()),"",IF(AND(GN24="",GO24=""),"",N(GO24)-N(GN24)))</f>
        <v/>
      </c>
      <c r="GT24">
        <f>IF(OR(GR$3="",GR$3&gt;TODAY()),"",IF(AND(GR24="",GS24=""),"",N(GS24)-N(GR24)))</f>
        <v/>
      </c>
      <c r="GW24">
        <f>IF(OR(GR$3="",GR$3&gt;TODAY()),"",IF(AND(GU24="",GV24=""),"",N(GV24)-N(GU24)))</f>
        <v/>
      </c>
      <c r="HA24">
        <f>IF(OR(GY$3="",GY$3&gt;TODAY()),"",IF(AND(GY24="",GZ24=""),"",N(GZ24)-N(GY24)))</f>
        <v/>
      </c>
      <c r="HD24">
        <f>IF(OR(GY$3="",GY$3&gt;TODAY()),"",IF(AND(HB24="",HC24=""),"",N(HC24)-N(HB24)))</f>
        <v/>
      </c>
      <c r="HH24">
        <f>IF(OR(HF$3="",HF$3&gt;TODAY()),"",IF(AND(HF24="",HG24=""),"",N(HG24)-N(HF24)))</f>
        <v/>
      </c>
      <c r="HK24">
        <f>IF(OR(HF$3="",HF$3&gt;TODAY()),"",IF(AND(HI24="",HJ24=""),"",N(HJ24)-N(HI24)))</f>
        <v/>
      </c>
      <c r="HO24">
        <f>IF(OR(HM$3="",HM$3&gt;TODAY()),"",IF(AND(HM24="",HN24=""),"",N(HN24)-N(HM24)))</f>
        <v/>
      </c>
      <c r="HR24">
        <f>IF(OR(HM$3="",HM$3&gt;TODAY()),"",IF(AND(HP24="",HQ24=""),"",N(HQ24)-N(HP24)))</f>
        <v/>
      </c>
      <c r="HV24">
        <f>IF(OR(HT$3="",HT$3&gt;TODAY()),"",IF(AND(HT24="",HU24=""),"",N(HU24)-N(HT24)))</f>
        <v/>
      </c>
      <c r="HY24">
        <f>IF(OR(HT$3="",HT$3&gt;TODAY()),"",IF(AND(HW24="",HX24=""),"",N(HX24)-N(HW24)))</f>
        <v/>
      </c>
      <c r="IC24">
        <f>IF(OR(IA$3="",IA$3&gt;TODAY()),"",IF(AND(IA24="",IB24=""),"",N(IB24)-N(IA24)))</f>
        <v/>
      </c>
      <c r="IF24">
        <f>IF(OR(IA$3="",IA$3&gt;TODAY()),"",IF(AND(ID24="",IE24=""),"",N(IE24)-N(ID24)))</f>
        <v/>
      </c>
      <c r="IJ24">
        <f>IF(OR(IH$3="",IH$3&gt;TODAY()),"",IF(AND(IH24="",II24=""),"",N(II24)-N(IH24)))</f>
        <v/>
      </c>
      <c r="IM24">
        <f>IF(OR(IH$3="",IH$3&gt;TODAY()),"",IF(AND(IK24="",IL24=""),"",N(IL24)-N(IK24)))</f>
        <v/>
      </c>
    </row>
    <row r="25">
      <c r="A25" s="21" t="n"/>
      <c r="B25" s="21" t="n"/>
      <c r="C25" s="21" t="n"/>
      <c r="D25" s="21" t="n"/>
      <c r="E25" s="21" t="n"/>
      <c r="F25" s="21" t="n"/>
      <c r="G25" s="21" t="n"/>
      <c r="H25" s="21" t="n"/>
      <c r="I25" s="22" t="n"/>
      <c r="J25" s="22" t="n"/>
      <c r="K25" s="23" t="n"/>
      <c r="L25" s="22" t="n"/>
      <c r="M25" s="22" t="n"/>
      <c r="N25" s="21" t="n"/>
      <c r="O25" s="23" t="n"/>
      <c r="P25" s="23" t="n"/>
      <c r="Q25" s="23" t="n"/>
      <c r="R25" s="23" t="n"/>
      <c r="S25" s="22" t="n"/>
      <c r="T25" s="23" t="n"/>
      <c r="U25" s="23" t="n"/>
      <c r="V25" s="24">
        <f>IF(J25&lt;&gt;"",J25,IF(I25&lt;&gt;"",I25,""))</f>
        <v/>
      </c>
      <c r="W25" s="25">
        <f>IF($E25="","",N(O25)+SUMIFS($AF25:$IN25,$AF$4:$IN$4,"SEW_ACT"))</f>
        <v/>
      </c>
      <c r="X25" s="25">
        <f>IF($E25="","",N(P25)+SUMIFS($AF25:$IN25,$AF$4:$IN$4,"WASH_ACT"))</f>
        <v/>
      </c>
      <c r="Y25" s="25">
        <f>IF($E25="","",W25-X25-N(T25)-N(U25))</f>
        <v/>
      </c>
      <c r="Z25" s="25">
        <f>IF($E25="","",IF(N(K25)-X25&lt;=0.02*N(K25),0,N(K25)-X25))</f>
        <v/>
      </c>
      <c r="AA25" s="24">
        <f>IF($E25="","",IF(S25&lt;&gt;"",S25,IF(N(O25)&gt;0,IF(L25&lt;&gt;"",L25,99999),IFERROR(1/(1/_xlfn.MINIFS($AF$3:$IN$3,$AF$4:$IN$4,"SEW_ACT",$AF25:$IN25,"&gt;0")),99999))))</f>
        <v/>
      </c>
      <c r="AB25" s="26">
        <f>IF(OR($E25="",Z25=0,V25=""),"",1+COUNTIFS(Z$8:Z$707,"&gt;0",V$8:V$707,"&lt;"&amp;V25)+COUNTIFS(Z$8:Z$707,"&gt;0",V$8:V$707,V25,AA$8:AA$707,"&lt;"&amp;AA25)+COUNTIFS(Z$8:Z$707,"&gt;0",V$8:V$707,V25,AA$8:AA$707,AA25,E$8:E$707,"&lt;"&amp;$E25))</f>
        <v/>
      </c>
      <c r="AC25" s="24">
        <f>IF(OR($E25="",Z25=0),"",IFERROR(TODAY()+ROUNDUP(Z25/(SUMIFS($AF25:$IN25,$AF$4:$IN$4,"WASH_ACT")/COUNTIFS($AF$4:$IN$4,"WASH_ACT",$AF25:$IN25,"&gt;0")),0),"no output yet"))</f>
        <v/>
      </c>
      <c r="AD25" s="26">
        <f>IF($E25="","",IFERROR(ROUND(MAX(0,SUMIFS($AF25:$IN25,$AF$4:$IN$4,"SEW_PLAN",$AF$3:$IN$3,"&lt;="&amp;TODAY())-SUMIFS($AF25:$IN25,$AF$4:$IN$4,"SEW_ACT",$AF$3:$IN$3,"&lt;="&amp;TODAY())+N(Q25))/(SUMIFS($AF25:$IN25,$AF$4:$IN$4,"SEW_PLAN")/COUNTIFS($AF$4:$IN$4,"SEW_PLAN",$AF25:$IN25,"&gt;0")),1),0))</f>
        <v/>
      </c>
      <c r="AE25" s="26">
        <f>IF($E25="","",IF(AND(Z25&gt;0,OR(AND(M25&lt;&gt;"",TODAY()&gt;M25),AND(V25&lt;&gt;"",V25-TODAY()&lt;=7))),"Yes","No"))</f>
        <v/>
      </c>
      <c r="AH25">
        <f>IF(OR(AF$3="",AF$3&gt;TODAY()),"",IF(AND(AF25="",AG25=""),"",N(AG25)-N(AF25)))</f>
        <v/>
      </c>
      <c r="AK25">
        <f>IF(OR(AF$3="",AF$3&gt;TODAY()),"",IF(AND(AI25="",AJ25=""),"",N(AJ25)-N(AI25)))</f>
        <v/>
      </c>
      <c r="AO25">
        <f>IF(OR(AM$3="",AM$3&gt;TODAY()),"",IF(AND(AM25="",AN25=""),"",N(AN25)-N(AM25)))</f>
        <v/>
      </c>
      <c r="AR25">
        <f>IF(OR(AM$3="",AM$3&gt;TODAY()),"",IF(AND(AP25="",AQ25=""),"",N(AQ25)-N(AP25)))</f>
        <v/>
      </c>
      <c r="AV25">
        <f>IF(OR(AT$3="",AT$3&gt;TODAY()),"",IF(AND(AT25="",AU25=""),"",N(AU25)-N(AT25)))</f>
        <v/>
      </c>
      <c r="AY25">
        <f>IF(OR(AT$3="",AT$3&gt;TODAY()),"",IF(AND(AW25="",AX25=""),"",N(AX25)-N(AW25)))</f>
        <v/>
      </c>
      <c r="BC25">
        <f>IF(OR(BA$3="",BA$3&gt;TODAY()),"",IF(AND(BA25="",BB25=""),"",N(BB25)-N(BA25)))</f>
        <v/>
      </c>
      <c r="BF25">
        <f>IF(OR(BA$3="",BA$3&gt;TODAY()),"",IF(AND(BD25="",BE25=""),"",N(BE25)-N(BD25)))</f>
        <v/>
      </c>
      <c r="BJ25">
        <f>IF(OR(BH$3="",BH$3&gt;TODAY()),"",IF(AND(BH25="",BI25=""),"",N(BI25)-N(BH25)))</f>
        <v/>
      </c>
      <c r="BM25">
        <f>IF(OR(BH$3="",BH$3&gt;TODAY()),"",IF(AND(BK25="",BL25=""),"",N(BL25)-N(BK25)))</f>
        <v/>
      </c>
      <c r="BQ25">
        <f>IF(OR(BO$3="",BO$3&gt;TODAY()),"",IF(AND(BO25="",BP25=""),"",N(BP25)-N(BO25)))</f>
        <v/>
      </c>
      <c r="BT25">
        <f>IF(OR(BO$3="",BO$3&gt;TODAY()),"",IF(AND(BR25="",BS25=""),"",N(BS25)-N(BR25)))</f>
        <v/>
      </c>
      <c r="BX25">
        <f>IF(OR(BV$3="",BV$3&gt;TODAY()),"",IF(AND(BV25="",BW25=""),"",N(BW25)-N(BV25)))</f>
        <v/>
      </c>
      <c r="CA25">
        <f>IF(OR(BV$3="",BV$3&gt;TODAY()),"",IF(AND(BY25="",BZ25=""),"",N(BZ25)-N(BY25)))</f>
        <v/>
      </c>
      <c r="CE25">
        <f>IF(OR(CC$3="",CC$3&gt;TODAY()),"",IF(AND(CC25="",CD25=""),"",N(CD25)-N(CC25)))</f>
        <v/>
      </c>
      <c r="CH25">
        <f>IF(OR(CC$3="",CC$3&gt;TODAY()),"",IF(AND(CF25="",CG25=""),"",N(CG25)-N(CF25)))</f>
        <v/>
      </c>
      <c r="CL25">
        <f>IF(OR(CJ$3="",CJ$3&gt;TODAY()),"",IF(AND(CJ25="",CK25=""),"",N(CK25)-N(CJ25)))</f>
        <v/>
      </c>
      <c r="CO25">
        <f>IF(OR(CJ$3="",CJ$3&gt;TODAY()),"",IF(AND(CM25="",CN25=""),"",N(CN25)-N(CM25)))</f>
        <v/>
      </c>
      <c r="CS25">
        <f>IF(OR(CQ$3="",CQ$3&gt;TODAY()),"",IF(AND(CQ25="",CR25=""),"",N(CR25)-N(CQ25)))</f>
        <v/>
      </c>
      <c r="CV25">
        <f>IF(OR(CQ$3="",CQ$3&gt;TODAY()),"",IF(AND(CT25="",CU25=""),"",N(CU25)-N(CT25)))</f>
        <v/>
      </c>
      <c r="CZ25">
        <f>IF(OR(CX$3="",CX$3&gt;TODAY()),"",IF(AND(CX25="",CY25=""),"",N(CY25)-N(CX25)))</f>
        <v/>
      </c>
      <c r="DC25">
        <f>IF(OR(CX$3="",CX$3&gt;TODAY()),"",IF(AND(DA25="",DB25=""),"",N(DB25)-N(DA25)))</f>
        <v/>
      </c>
      <c r="DG25">
        <f>IF(OR(DE$3="",DE$3&gt;TODAY()),"",IF(AND(DE25="",DF25=""),"",N(DF25)-N(DE25)))</f>
        <v/>
      </c>
      <c r="DJ25">
        <f>IF(OR(DE$3="",DE$3&gt;TODAY()),"",IF(AND(DH25="",DI25=""),"",N(DI25)-N(DH25)))</f>
        <v/>
      </c>
      <c r="DN25">
        <f>IF(OR(DL$3="",DL$3&gt;TODAY()),"",IF(AND(DL25="",DM25=""),"",N(DM25)-N(DL25)))</f>
        <v/>
      </c>
      <c r="DQ25">
        <f>IF(OR(DL$3="",DL$3&gt;TODAY()),"",IF(AND(DO25="",DP25=""),"",N(DP25)-N(DO25)))</f>
        <v/>
      </c>
      <c r="DU25">
        <f>IF(OR(DS$3="",DS$3&gt;TODAY()),"",IF(AND(DS25="",DT25=""),"",N(DT25)-N(DS25)))</f>
        <v/>
      </c>
      <c r="DX25">
        <f>IF(OR(DS$3="",DS$3&gt;TODAY()),"",IF(AND(DV25="",DW25=""),"",N(DW25)-N(DV25)))</f>
        <v/>
      </c>
      <c r="EB25">
        <f>IF(OR(DZ$3="",DZ$3&gt;TODAY()),"",IF(AND(DZ25="",EA25=""),"",N(EA25)-N(DZ25)))</f>
        <v/>
      </c>
      <c r="EE25">
        <f>IF(OR(DZ$3="",DZ$3&gt;TODAY()),"",IF(AND(EC25="",ED25=""),"",N(ED25)-N(EC25)))</f>
        <v/>
      </c>
      <c r="EI25">
        <f>IF(OR(EG$3="",EG$3&gt;TODAY()),"",IF(AND(EG25="",EH25=""),"",N(EH25)-N(EG25)))</f>
        <v/>
      </c>
      <c r="EL25">
        <f>IF(OR(EG$3="",EG$3&gt;TODAY()),"",IF(AND(EJ25="",EK25=""),"",N(EK25)-N(EJ25)))</f>
        <v/>
      </c>
      <c r="EP25">
        <f>IF(OR(EN$3="",EN$3&gt;TODAY()),"",IF(AND(EN25="",EO25=""),"",N(EO25)-N(EN25)))</f>
        <v/>
      </c>
      <c r="ES25">
        <f>IF(OR(EN$3="",EN$3&gt;TODAY()),"",IF(AND(EQ25="",ER25=""),"",N(ER25)-N(EQ25)))</f>
        <v/>
      </c>
      <c r="EW25">
        <f>IF(OR(EU$3="",EU$3&gt;TODAY()),"",IF(AND(EU25="",EV25=""),"",N(EV25)-N(EU25)))</f>
        <v/>
      </c>
      <c r="EZ25">
        <f>IF(OR(EU$3="",EU$3&gt;TODAY()),"",IF(AND(EX25="",EY25=""),"",N(EY25)-N(EX25)))</f>
        <v/>
      </c>
      <c r="FD25">
        <f>IF(OR(FB$3="",FB$3&gt;TODAY()),"",IF(AND(FB25="",FC25=""),"",N(FC25)-N(FB25)))</f>
        <v/>
      </c>
      <c r="FG25">
        <f>IF(OR(FB$3="",FB$3&gt;TODAY()),"",IF(AND(FE25="",FF25=""),"",N(FF25)-N(FE25)))</f>
        <v/>
      </c>
      <c r="FK25">
        <f>IF(OR(FI$3="",FI$3&gt;TODAY()),"",IF(AND(FI25="",FJ25=""),"",N(FJ25)-N(FI25)))</f>
        <v/>
      </c>
      <c r="FN25">
        <f>IF(OR(FI$3="",FI$3&gt;TODAY()),"",IF(AND(FL25="",FM25=""),"",N(FM25)-N(FL25)))</f>
        <v/>
      </c>
      <c r="FR25">
        <f>IF(OR(FP$3="",FP$3&gt;TODAY()),"",IF(AND(FP25="",FQ25=""),"",N(FQ25)-N(FP25)))</f>
        <v/>
      </c>
      <c r="FU25">
        <f>IF(OR(FP$3="",FP$3&gt;TODAY()),"",IF(AND(FS25="",FT25=""),"",N(FT25)-N(FS25)))</f>
        <v/>
      </c>
      <c r="FY25">
        <f>IF(OR(FW$3="",FW$3&gt;TODAY()),"",IF(AND(FW25="",FX25=""),"",N(FX25)-N(FW25)))</f>
        <v/>
      </c>
      <c r="GB25">
        <f>IF(OR(FW$3="",FW$3&gt;TODAY()),"",IF(AND(FZ25="",GA25=""),"",N(GA25)-N(FZ25)))</f>
        <v/>
      </c>
      <c r="GF25">
        <f>IF(OR(GD$3="",GD$3&gt;TODAY()),"",IF(AND(GD25="",GE25=""),"",N(GE25)-N(GD25)))</f>
        <v/>
      </c>
      <c r="GI25">
        <f>IF(OR(GD$3="",GD$3&gt;TODAY()),"",IF(AND(GG25="",GH25=""),"",N(GH25)-N(GG25)))</f>
        <v/>
      </c>
      <c r="GM25">
        <f>IF(OR(GK$3="",GK$3&gt;TODAY()),"",IF(AND(GK25="",GL25=""),"",N(GL25)-N(GK25)))</f>
        <v/>
      </c>
      <c r="GP25">
        <f>IF(OR(GK$3="",GK$3&gt;TODAY()),"",IF(AND(GN25="",GO25=""),"",N(GO25)-N(GN25)))</f>
        <v/>
      </c>
      <c r="GT25">
        <f>IF(OR(GR$3="",GR$3&gt;TODAY()),"",IF(AND(GR25="",GS25=""),"",N(GS25)-N(GR25)))</f>
        <v/>
      </c>
      <c r="GW25">
        <f>IF(OR(GR$3="",GR$3&gt;TODAY()),"",IF(AND(GU25="",GV25=""),"",N(GV25)-N(GU25)))</f>
        <v/>
      </c>
      <c r="HA25">
        <f>IF(OR(GY$3="",GY$3&gt;TODAY()),"",IF(AND(GY25="",GZ25=""),"",N(GZ25)-N(GY25)))</f>
        <v/>
      </c>
      <c r="HD25">
        <f>IF(OR(GY$3="",GY$3&gt;TODAY()),"",IF(AND(HB25="",HC25=""),"",N(HC25)-N(HB25)))</f>
        <v/>
      </c>
      <c r="HH25">
        <f>IF(OR(HF$3="",HF$3&gt;TODAY()),"",IF(AND(HF25="",HG25=""),"",N(HG25)-N(HF25)))</f>
        <v/>
      </c>
      <c r="HK25">
        <f>IF(OR(HF$3="",HF$3&gt;TODAY()),"",IF(AND(HI25="",HJ25=""),"",N(HJ25)-N(HI25)))</f>
        <v/>
      </c>
      <c r="HO25">
        <f>IF(OR(HM$3="",HM$3&gt;TODAY()),"",IF(AND(HM25="",HN25=""),"",N(HN25)-N(HM25)))</f>
        <v/>
      </c>
      <c r="HR25">
        <f>IF(OR(HM$3="",HM$3&gt;TODAY()),"",IF(AND(HP25="",HQ25=""),"",N(HQ25)-N(HP25)))</f>
        <v/>
      </c>
      <c r="HV25">
        <f>IF(OR(HT$3="",HT$3&gt;TODAY()),"",IF(AND(HT25="",HU25=""),"",N(HU25)-N(HT25)))</f>
        <v/>
      </c>
      <c r="HY25">
        <f>IF(OR(HT$3="",HT$3&gt;TODAY()),"",IF(AND(HW25="",HX25=""),"",N(HX25)-N(HW25)))</f>
        <v/>
      </c>
      <c r="IC25">
        <f>IF(OR(IA$3="",IA$3&gt;TODAY()),"",IF(AND(IA25="",IB25=""),"",N(IB25)-N(IA25)))</f>
        <v/>
      </c>
      <c r="IF25">
        <f>IF(OR(IA$3="",IA$3&gt;TODAY()),"",IF(AND(ID25="",IE25=""),"",N(IE25)-N(ID25)))</f>
        <v/>
      </c>
      <c r="IJ25">
        <f>IF(OR(IH$3="",IH$3&gt;TODAY()),"",IF(AND(IH25="",II25=""),"",N(II25)-N(IH25)))</f>
        <v/>
      </c>
      <c r="IM25">
        <f>IF(OR(IH$3="",IH$3&gt;TODAY()),"",IF(AND(IK25="",IL25=""),"",N(IL25)-N(IK25)))</f>
        <v/>
      </c>
    </row>
    <row r="26">
      <c r="A26" s="21" t="n"/>
      <c r="B26" s="21" t="n"/>
      <c r="C26" s="21" t="n"/>
      <c r="D26" s="21" t="n"/>
      <c r="E26" s="21" t="n"/>
      <c r="F26" s="21" t="n"/>
      <c r="G26" s="21" t="n"/>
      <c r="H26" s="21" t="n"/>
      <c r="I26" s="22" t="n"/>
      <c r="J26" s="22" t="n"/>
      <c r="K26" s="23" t="n"/>
      <c r="L26" s="22" t="n"/>
      <c r="M26" s="22" t="n"/>
      <c r="N26" s="21" t="n"/>
      <c r="O26" s="23" t="n"/>
      <c r="P26" s="23" t="n"/>
      <c r="Q26" s="23" t="n"/>
      <c r="R26" s="23" t="n"/>
      <c r="S26" s="22" t="n"/>
      <c r="T26" s="23" t="n"/>
      <c r="U26" s="23" t="n"/>
      <c r="V26" s="24">
        <f>IF(J26&lt;&gt;"",J26,IF(I26&lt;&gt;"",I26,""))</f>
        <v/>
      </c>
      <c r="W26" s="25">
        <f>IF($E26="","",N(O26)+SUMIFS($AF26:$IN26,$AF$4:$IN$4,"SEW_ACT"))</f>
        <v/>
      </c>
      <c r="X26" s="25">
        <f>IF($E26="","",N(P26)+SUMIFS($AF26:$IN26,$AF$4:$IN$4,"WASH_ACT"))</f>
        <v/>
      </c>
      <c r="Y26" s="25">
        <f>IF($E26="","",W26-X26-N(T26)-N(U26))</f>
        <v/>
      </c>
      <c r="Z26" s="25">
        <f>IF($E26="","",IF(N(K26)-X26&lt;=0.02*N(K26),0,N(K26)-X26))</f>
        <v/>
      </c>
      <c r="AA26" s="24">
        <f>IF($E26="","",IF(S26&lt;&gt;"",S26,IF(N(O26)&gt;0,IF(L26&lt;&gt;"",L26,99999),IFERROR(1/(1/_xlfn.MINIFS($AF$3:$IN$3,$AF$4:$IN$4,"SEW_ACT",$AF26:$IN26,"&gt;0")),99999))))</f>
        <v/>
      </c>
      <c r="AB26" s="26">
        <f>IF(OR($E26="",Z26=0,V26=""),"",1+COUNTIFS(Z$8:Z$707,"&gt;0",V$8:V$707,"&lt;"&amp;V26)+COUNTIFS(Z$8:Z$707,"&gt;0",V$8:V$707,V26,AA$8:AA$707,"&lt;"&amp;AA26)+COUNTIFS(Z$8:Z$707,"&gt;0",V$8:V$707,V26,AA$8:AA$707,AA26,E$8:E$707,"&lt;"&amp;$E26))</f>
        <v/>
      </c>
      <c r="AC26" s="24">
        <f>IF(OR($E26="",Z26=0),"",IFERROR(TODAY()+ROUNDUP(Z26/(SUMIFS($AF26:$IN26,$AF$4:$IN$4,"WASH_ACT")/COUNTIFS($AF$4:$IN$4,"WASH_ACT",$AF26:$IN26,"&gt;0")),0),"no output yet"))</f>
        <v/>
      </c>
      <c r="AD26" s="26">
        <f>IF($E26="","",IFERROR(ROUND(MAX(0,SUMIFS($AF26:$IN26,$AF$4:$IN$4,"SEW_PLAN",$AF$3:$IN$3,"&lt;="&amp;TODAY())-SUMIFS($AF26:$IN26,$AF$4:$IN$4,"SEW_ACT",$AF$3:$IN$3,"&lt;="&amp;TODAY())+N(Q26))/(SUMIFS($AF26:$IN26,$AF$4:$IN$4,"SEW_PLAN")/COUNTIFS($AF$4:$IN$4,"SEW_PLAN",$AF26:$IN26,"&gt;0")),1),0))</f>
        <v/>
      </c>
      <c r="AE26" s="26">
        <f>IF($E26="","",IF(AND(Z26&gt;0,OR(AND(M26&lt;&gt;"",TODAY()&gt;M26),AND(V26&lt;&gt;"",V26-TODAY()&lt;=7))),"Yes","No"))</f>
        <v/>
      </c>
      <c r="AH26">
        <f>IF(OR(AF$3="",AF$3&gt;TODAY()),"",IF(AND(AF26="",AG26=""),"",N(AG26)-N(AF26)))</f>
        <v/>
      </c>
      <c r="AK26">
        <f>IF(OR(AF$3="",AF$3&gt;TODAY()),"",IF(AND(AI26="",AJ26=""),"",N(AJ26)-N(AI26)))</f>
        <v/>
      </c>
      <c r="AO26">
        <f>IF(OR(AM$3="",AM$3&gt;TODAY()),"",IF(AND(AM26="",AN26=""),"",N(AN26)-N(AM26)))</f>
        <v/>
      </c>
      <c r="AR26">
        <f>IF(OR(AM$3="",AM$3&gt;TODAY()),"",IF(AND(AP26="",AQ26=""),"",N(AQ26)-N(AP26)))</f>
        <v/>
      </c>
      <c r="AV26">
        <f>IF(OR(AT$3="",AT$3&gt;TODAY()),"",IF(AND(AT26="",AU26=""),"",N(AU26)-N(AT26)))</f>
        <v/>
      </c>
      <c r="AY26">
        <f>IF(OR(AT$3="",AT$3&gt;TODAY()),"",IF(AND(AW26="",AX26=""),"",N(AX26)-N(AW26)))</f>
        <v/>
      </c>
      <c r="BC26">
        <f>IF(OR(BA$3="",BA$3&gt;TODAY()),"",IF(AND(BA26="",BB26=""),"",N(BB26)-N(BA26)))</f>
        <v/>
      </c>
      <c r="BF26">
        <f>IF(OR(BA$3="",BA$3&gt;TODAY()),"",IF(AND(BD26="",BE26=""),"",N(BE26)-N(BD26)))</f>
        <v/>
      </c>
      <c r="BJ26">
        <f>IF(OR(BH$3="",BH$3&gt;TODAY()),"",IF(AND(BH26="",BI26=""),"",N(BI26)-N(BH26)))</f>
        <v/>
      </c>
      <c r="BM26">
        <f>IF(OR(BH$3="",BH$3&gt;TODAY()),"",IF(AND(BK26="",BL26=""),"",N(BL26)-N(BK26)))</f>
        <v/>
      </c>
      <c r="BQ26">
        <f>IF(OR(BO$3="",BO$3&gt;TODAY()),"",IF(AND(BO26="",BP26=""),"",N(BP26)-N(BO26)))</f>
        <v/>
      </c>
      <c r="BT26">
        <f>IF(OR(BO$3="",BO$3&gt;TODAY()),"",IF(AND(BR26="",BS26=""),"",N(BS26)-N(BR26)))</f>
        <v/>
      </c>
      <c r="BX26">
        <f>IF(OR(BV$3="",BV$3&gt;TODAY()),"",IF(AND(BV26="",BW26=""),"",N(BW26)-N(BV26)))</f>
        <v/>
      </c>
      <c r="CA26">
        <f>IF(OR(BV$3="",BV$3&gt;TODAY()),"",IF(AND(BY26="",BZ26=""),"",N(BZ26)-N(BY26)))</f>
        <v/>
      </c>
      <c r="CE26">
        <f>IF(OR(CC$3="",CC$3&gt;TODAY()),"",IF(AND(CC26="",CD26=""),"",N(CD26)-N(CC26)))</f>
        <v/>
      </c>
      <c r="CH26">
        <f>IF(OR(CC$3="",CC$3&gt;TODAY()),"",IF(AND(CF26="",CG26=""),"",N(CG26)-N(CF26)))</f>
        <v/>
      </c>
      <c r="CL26">
        <f>IF(OR(CJ$3="",CJ$3&gt;TODAY()),"",IF(AND(CJ26="",CK26=""),"",N(CK26)-N(CJ26)))</f>
        <v/>
      </c>
      <c r="CO26">
        <f>IF(OR(CJ$3="",CJ$3&gt;TODAY()),"",IF(AND(CM26="",CN26=""),"",N(CN26)-N(CM26)))</f>
        <v/>
      </c>
      <c r="CS26">
        <f>IF(OR(CQ$3="",CQ$3&gt;TODAY()),"",IF(AND(CQ26="",CR26=""),"",N(CR26)-N(CQ26)))</f>
        <v/>
      </c>
      <c r="CV26">
        <f>IF(OR(CQ$3="",CQ$3&gt;TODAY()),"",IF(AND(CT26="",CU26=""),"",N(CU26)-N(CT26)))</f>
        <v/>
      </c>
      <c r="CZ26">
        <f>IF(OR(CX$3="",CX$3&gt;TODAY()),"",IF(AND(CX26="",CY26=""),"",N(CY26)-N(CX26)))</f>
        <v/>
      </c>
      <c r="DC26">
        <f>IF(OR(CX$3="",CX$3&gt;TODAY()),"",IF(AND(DA26="",DB26=""),"",N(DB26)-N(DA26)))</f>
        <v/>
      </c>
      <c r="DG26">
        <f>IF(OR(DE$3="",DE$3&gt;TODAY()),"",IF(AND(DE26="",DF26=""),"",N(DF26)-N(DE26)))</f>
        <v/>
      </c>
      <c r="DJ26">
        <f>IF(OR(DE$3="",DE$3&gt;TODAY()),"",IF(AND(DH26="",DI26=""),"",N(DI26)-N(DH26)))</f>
        <v/>
      </c>
      <c r="DN26">
        <f>IF(OR(DL$3="",DL$3&gt;TODAY()),"",IF(AND(DL26="",DM26=""),"",N(DM26)-N(DL26)))</f>
        <v/>
      </c>
      <c r="DQ26">
        <f>IF(OR(DL$3="",DL$3&gt;TODAY()),"",IF(AND(DO26="",DP26=""),"",N(DP26)-N(DO26)))</f>
        <v/>
      </c>
      <c r="DU26">
        <f>IF(OR(DS$3="",DS$3&gt;TODAY()),"",IF(AND(DS26="",DT26=""),"",N(DT26)-N(DS26)))</f>
        <v/>
      </c>
      <c r="DX26">
        <f>IF(OR(DS$3="",DS$3&gt;TODAY()),"",IF(AND(DV26="",DW26=""),"",N(DW26)-N(DV26)))</f>
        <v/>
      </c>
      <c r="EB26">
        <f>IF(OR(DZ$3="",DZ$3&gt;TODAY()),"",IF(AND(DZ26="",EA26=""),"",N(EA26)-N(DZ26)))</f>
        <v/>
      </c>
      <c r="EE26">
        <f>IF(OR(DZ$3="",DZ$3&gt;TODAY()),"",IF(AND(EC26="",ED26=""),"",N(ED26)-N(EC26)))</f>
        <v/>
      </c>
      <c r="EI26">
        <f>IF(OR(EG$3="",EG$3&gt;TODAY()),"",IF(AND(EG26="",EH26=""),"",N(EH26)-N(EG26)))</f>
        <v/>
      </c>
      <c r="EL26">
        <f>IF(OR(EG$3="",EG$3&gt;TODAY()),"",IF(AND(EJ26="",EK26=""),"",N(EK26)-N(EJ26)))</f>
        <v/>
      </c>
      <c r="EP26">
        <f>IF(OR(EN$3="",EN$3&gt;TODAY()),"",IF(AND(EN26="",EO26=""),"",N(EO26)-N(EN26)))</f>
        <v/>
      </c>
      <c r="ES26">
        <f>IF(OR(EN$3="",EN$3&gt;TODAY()),"",IF(AND(EQ26="",ER26=""),"",N(ER26)-N(EQ26)))</f>
        <v/>
      </c>
      <c r="EW26">
        <f>IF(OR(EU$3="",EU$3&gt;TODAY()),"",IF(AND(EU26="",EV26=""),"",N(EV26)-N(EU26)))</f>
        <v/>
      </c>
      <c r="EZ26">
        <f>IF(OR(EU$3="",EU$3&gt;TODAY()),"",IF(AND(EX26="",EY26=""),"",N(EY26)-N(EX26)))</f>
        <v/>
      </c>
      <c r="FD26">
        <f>IF(OR(FB$3="",FB$3&gt;TODAY()),"",IF(AND(FB26="",FC26=""),"",N(FC26)-N(FB26)))</f>
        <v/>
      </c>
      <c r="FG26">
        <f>IF(OR(FB$3="",FB$3&gt;TODAY()),"",IF(AND(FE26="",FF26=""),"",N(FF26)-N(FE26)))</f>
        <v/>
      </c>
      <c r="FK26">
        <f>IF(OR(FI$3="",FI$3&gt;TODAY()),"",IF(AND(FI26="",FJ26=""),"",N(FJ26)-N(FI26)))</f>
        <v/>
      </c>
      <c r="FN26">
        <f>IF(OR(FI$3="",FI$3&gt;TODAY()),"",IF(AND(FL26="",FM26=""),"",N(FM26)-N(FL26)))</f>
        <v/>
      </c>
      <c r="FR26">
        <f>IF(OR(FP$3="",FP$3&gt;TODAY()),"",IF(AND(FP26="",FQ26=""),"",N(FQ26)-N(FP26)))</f>
        <v/>
      </c>
      <c r="FU26">
        <f>IF(OR(FP$3="",FP$3&gt;TODAY()),"",IF(AND(FS26="",FT26=""),"",N(FT26)-N(FS26)))</f>
        <v/>
      </c>
      <c r="FY26">
        <f>IF(OR(FW$3="",FW$3&gt;TODAY()),"",IF(AND(FW26="",FX26=""),"",N(FX26)-N(FW26)))</f>
        <v/>
      </c>
      <c r="GB26">
        <f>IF(OR(FW$3="",FW$3&gt;TODAY()),"",IF(AND(FZ26="",GA26=""),"",N(GA26)-N(FZ26)))</f>
        <v/>
      </c>
      <c r="GF26">
        <f>IF(OR(GD$3="",GD$3&gt;TODAY()),"",IF(AND(GD26="",GE26=""),"",N(GE26)-N(GD26)))</f>
        <v/>
      </c>
      <c r="GI26">
        <f>IF(OR(GD$3="",GD$3&gt;TODAY()),"",IF(AND(GG26="",GH26=""),"",N(GH26)-N(GG26)))</f>
        <v/>
      </c>
      <c r="GM26">
        <f>IF(OR(GK$3="",GK$3&gt;TODAY()),"",IF(AND(GK26="",GL26=""),"",N(GL26)-N(GK26)))</f>
        <v/>
      </c>
      <c r="GP26">
        <f>IF(OR(GK$3="",GK$3&gt;TODAY()),"",IF(AND(GN26="",GO26=""),"",N(GO26)-N(GN26)))</f>
        <v/>
      </c>
      <c r="GT26">
        <f>IF(OR(GR$3="",GR$3&gt;TODAY()),"",IF(AND(GR26="",GS26=""),"",N(GS26)-N(GR26)))</f>
        <v/>
      </c>
      <c r="GW26">
        <f>IF(OR(GR$3="",GR$3&gt;TODAY()),"",IF(AND(GU26="",GV26=""),"",N(GV26)-N(GU26)))</f>
        <v/>
      </c>
      <c r="HA26">
        <f>IF(OR(GY$3="",GY$3&gt;TODAY()),"",IF(AND(GY26="",GZ26=""),"",N(GZ26)-N(GY26)))</f>
        <v/>
      </c>
      <c r="HD26">
        <f>IF(OR(GY$3="",GY$3&gt;TODAY()),"",IF(AND(HB26="",HC26=""),"",N(HC26)-N(HB26)))</f>
        <v/>
      </c>
      <c r="HH26">
        <f>IF(OR(HF$3="",HF$3&gt;TODAY()),"",IF(AND(HF26="",HG26=""),"",N(HG26)-N(HF26)))</f>
        <v/>
      </c>
      <c r="HK26">
        <f>IF(OR(HF$3="",HF$3&gt;TODAY()),"",IF(AND(HI26="",HJ26=""),"",N(HJ26)-N(HI26)))</f>
        <v/>
      </c>
      <c r="HO26">
        <f>IF(OR(HM$3="",HM$3&gt;TODAY()),"",IF(AND(HM26="",HN26=""),"",N(HN26)-N(HM26)))</f>
        <v/>
      </c>
      <c r="HR26">
        <f>IF(OR(HM$3="",HM$3&gt;TODAY()),"",IF(AND(HP26="",HQ26=""),"",N(HQ26)-N(HP26)))</f>
        <v/>
      </c>
      <c r="HV26">
        <f>IF(OR(HT$3="",HT$3&gt;TODAY()),"",IF(AND(HT26="",HU26=""),"",N(HU26)-N(HT26)))</f>
        <v/>
      </c>
      <c r="HY26">
        <f>IF(OR(HT$3="",HT$3&gt;TODAY()),"",IF(AND(HW26="",HX26=""),"",N(HX26)-N(HW26)))</f>
        <v/>
      </c>
      <c r="IC26">
        <f>IF(OR(IA$3="",IA$3&gt;TODAY()),"",IF(AND(IA26="",IB26=""),"",N(IB26)-N(IA26)))</f>
        <v/>
      </c>
      <c r="IF26">
        <f>IF(OR(IA$3="",IA$3&gt;TODAY()),"",IF(AND(ID26="",IE26=""),"",N(IE26)-N(ID26)))</f>
        <v/>
      </c>
      <c r="IJ26">
        <f>IF(OR(IH$3="",IH$3&gt;TODAY()),"",IF(AND(IH26="",II26=""),"",N(II26)-N(IH26)))</f>
        <v/>
      </c>
      <c r="IM26">
        <f>IF(OR(IH$3="",IH$3&gt;TODAY()),"",IF(AND(IK26="",IL26=""),"",N(IL26)-N(IK26)))</f>
        <v/>
      </c>
    </row>
    <row r="27">
      <c r="A27" s="21" t="n"/>
      <c r="B27" s="21" t="n"/>
      <c r="C27" s="21" t="n"/>
      <c r="D27" s="21" t="n"/>
      <c r="E27" s="21" t="n"/>
      <c r="F27" s="21" t="n"/>
      <c r="G27" s="21" t="n"/>
      <c r="H27" s="21" t="n"/>
      <c r="I27" s="22" t="n"/>
      <c r="J27" s="22" t="n"/>
      <c r="K27" s="23" t="n"/>
      <c r="L27" s="22" t="n"/>
      <c r="M27" s="22" t="n"/>
      <c r="N27" s="21" t="n"/>
      <c r="O27" s="23" t="n"/>
      <c r="P27" s="23" t="n"/>
      <c r="Q27" s="23" t="n"/>
      <c r="R27" s="23" t="n"/>
      <c r="S27" s="22" t="n"/>
      <c r="T27" s="23" t="n"/>
      <c r="U27" s="23" t="n"/>
      <c r="V27" s="24">
        <f>IF(J27&lt;&gt;"",J27,IF(I27&lt;&gt;"",I27,""))</f>
        <v/>
      </c>
      <c r="W27" s="25">
        <f>IF($E27="","",N(O27)+SUMIFS($AF27:$IN27,$AF$4:$IN$4,"SEW_ACT"))</f>
        <v/>
      </c>
      <c r="X27" s="25">
        <f>IF($E27="","",N(P27)+SUMIFS($AF27:$IN27,$AF$4:$IN$4,"WASH_ACT"))</f>
        <v/>
      </c>
      <c r="Y27" s="25">
        <f>IF($E27="","",W27-X27-N(T27)-N(U27))</f>
        <v/>
      </c>
      <c r="Z27" s="25">
        <f>IF($E27="","",IF(N(K27)-X27&lt;=0.02*N(K27),0,N(K27)-X27))</f>
        <v/>
      </c>
      <c r="AA27" s="24">
        <f>IF($E27="","",IF(S27&lt;&gt;"",S27,IF(N(O27)&gt;0,IF(L27&lt;&gt;"",L27,99999),IFERROR(1/(1/_xlfn.MINIFS($AF$3:$IN$3,$AF$4:$IN$4,"SEW_ACT",$AF27:$IN27,"&gt;0")),99999))))</f>
        <v/>
      </c>
      <c r="AB27" s="26">
        <f>IF(OR($E27="",Z27=0,V27=""),"",1+COUNTIFS(Z$8:Z$707,"&gt;0",V$8:V$707,"&lt;"&amp;V27)+COUNTIFS(Z$8:Z$707,"&gt;0",V$8:V$707,V27,AA$8:AA$707,"&lt;"&amp;AA27)+COUNTIFS(Z$8:Z$707,"&gt;0",V$8:V$707,V27,AA$8:AA$707,AA27,E$8:E$707,"&lt;"&amp;$E27))</f>
        <v/>
      </c>
      <c r="AC27" s="24">
        <f>IF(OR($E27="",Z27=0),"",IFERROR(TODAY()+ROUNDUP(Z27/(SUMIFS($AF27:$IN27,$AF$4:$IN$4,"WASH_ACT")/COUNTIFS($AF$4:$IN$4,"WASH_ACT",$AF27:$IN27,"&gt;0")),0),"no output yet"))</f>
        <v/>
      </c>
      <c r="AD27" s="26">
        <f>IF($E27="","",IFERROR(ROUND(MAX(0,SUMIFS($AF27:$IN27,$AF$4:$IN$4,"SEW_PLAN",$AF$3:$IN$3,"&lt;="&amp;TODAY())-SUMIFS($AF27:$IN27,$AF$4:$IN$4,"SEW_ACT",$AF$3:$IN$3,"&lt;="&amp;TODAY())+N(Q27))/(SUMIFS($AF27:$IN27,$AF$4:$IN$4,"SEW_PLAN")/COUNTIFS($AF$4:$IN$4,"SEW_PLAN",$AF27:$IN27,"&gt;0")),1),0))</f>
        <v/>
      </c>
      <c r="AE27" s="26">
        <f>IF($E27="","",IF(AND(Z27&gt;0,OR(AND(M27&lt;&gt;"",TODAY()&gt;M27),AND(V27&lt;&gt;"",V27-TODAY()&lt;=7))),"Yes","No"))</f>
        <v/>
      </c>
      <c r="AH27">
        <f>IF(OR(AF$3="",AF$3&gt;TODAY()),"",IF(AND(AF27="",AG27=""),"",N(AG27)-N(AF27)))</f>
        <v/>
      </c>
      <c r="AK27">
        <f>IF(OR(AF$3="",AF$3&gt;TODAY()),"",IF(AND(AI27="",AJ27=""),"",N(AJ27)-N(AI27)))</f>
        <v/>
      </c>
      <c r="AO27">
        <f>IF(OR(AM$3="",AM$3&gt;TODAY()),"",IF(AND(AM27="",AN27=""),"",N(AN27)-N(AM27)))</f>
        <v/>
      </c>
      <c r="AR27">
        <f>IF(OR(AM$3="",AM$3&gt;TODAY()),"",IF(AND(AP27="",AQ27=""),"",N(AQ27)-N(AP27)))</f>
        <v/>
      </c>
      <c r="AV27">
        <f>IF(OR(AT$3="",AT$3&gt;TODAY()),"",IF(AND(AT27="",AU27=""),"",N(AU27)-N(AT27)))</f>
        <v/>
      </c>
      <c r="AY27">
        <f>IF(OR(AT$3="",AT$3&gt;TODAY()),"",IF(AND(AW27="",AX27=""),"",N(AX27)-N(AW27)))</f>
        <v/>
      </c>
      <c r="BC27">
        <f>IF(OR(BA$3="",BA$3&gt;TODAY()),"",IF(AND(BA27="",BB27=""),"",N(BB27)-N(BA27)))</f>
        <v/>
      </c>
      <c r="BF27">
        <f>IF(OR(BA$3="",BA$3&gt;TODAY()),"",IF(AND(BD27="",BE27=""),"",N(BE27)-N(BD27)))</f>
        <v/>
      </c>
      <c r="BJ27">
        <f>IF(OR(BH$3="",BH$3&gt;TODAY()),"",IF(AND(BH27="",BI27=""),"",N(BI27)-N(BH27)))</f>
        <v/>
      </c>
      <c r="BM27">
        <f>IF(OR(BH$3="",BH$3&gt;TODAY()),"",IF(AND(BK27="",BL27=""),"",N(BL27)-N(BK27)))</f>
        <v/>
      </c>
      <c r="BQ27">
        <f>IF(OR(BO$3="",BO$3&gt;TODAY()),"",IF(AND(BO27="",BP27=""),"",N(BP27)-N(BO27)))</f>
        <v/>
      </c>
      <c r="BT27">
        <f>IF(OR(BO$3="",BO$3&gt;TODAY()),"",IF(AND(BR27="",BS27=""),"",N(BS27)-N(BR27)))</f>
        <v/>
      </c>
      <c r="BX27">
        <f>IF(OR(BV$3="",BV$3&gt;TODAY()),"",IF(AND(BV27="",BW27=""),"",N(BW27)-N(BV27)))</f>
        <v/>
      </c>
      <c r="CA27">
        <f>IF(OR(BV$3="",BV$3&gt;TODAY()),"",IF(AND(BY27="",BZ27=""),"",N(BZ27)-N(BY27)))</f>
        <v/>
      </c>
      <c r="CE27">
        <f>IF(OR(CC$3="",CC$3&gt;TODAY()),"",IF(AND(CC27="",CD27=""),"",N(CD27)-N(CC27)))</f>
        <v/>
      </c>
      <c r="CH27">
        <f>IF(OR(CC$3="",CC$3&gt;TODAY()),"",IF(AND(CF27="",CG27=""),"",N(CG27)-N(CF27)))</f>
        <v/>
      </c>
      <c r="CL27">
        <f>IF(OR(CJ$3="",CJ$3&gt;TODAY()),"",IF(AND(CJ27="",CK27=""),"",N(CK27)-N(CJ27)))</f>
        <v/>
      </c>
      <c r="CO27">
        <f>IF(OR(CJ$3="",CJ$3&gt;TODAY()),"",IF(AND(CM27="",CN27=""),"",N(CN27)-N(CM27)))</f>
        <v/>
      </c>
      <c r="CS27">
        <f>IF(OR(CQ$3="",CQ$3&gt;TODAY()),"",IF(AND(CQ27="",CR27=""),"",N(CR27)-N(CQ27)))</f>
        <v/>
      </c>
      <c r="CV27">
        <f>IF(OR(CQ$3="",CQ$3&gt;TODAY()),"",IF(AND(CT27="",CU27=""),"",N(CU27)-N(CT27)))</f>
        <v/>
      </c>
      <c r="CZ27">
        <f>IF(OR(CX$3="",CX$3&gt;TODAY()),"",IF(AND(CX27="",CY27=""),"",N(CY27)-N(CX27)))</f>
        <v/>
      </c>
      <c r="DC27">
        <f>IF(OR(CX$3="",CX$3&gt;TODAY()),"",IF(AND(DA27="",DB27=""),"",N(DB27)-N(DA27)))</f>
        <v/>
      </c>
      <c r="DG27">
        <f>IF(OR(DE$3="",DE$3&gt;TODAY()),"",IF(AND(DE27="",DF27=""),"",N(DF27)-N(DE27)))</f>
        <v/>
      </c>
      <c r="DJ27">
        <f>IF(OR(DE$3="",DE$3&gt;TODAY()),"",IF(AND(DH27="",DI27=""),"",N(DI27)-N(DH27)))</f>
        <v/>
      </c>
      <c r="DN27">
        <f>IF(OR(DL$3="",DL$3&gt;TODAY()),"",IF(AND(DL27="",DM27=""),"",N(DM27)-N(DL27)))</f>
        <v/>
      </c>
      <c r="DQ27">
        <f>IF(OR(DL$3="",DL$3&gt;TODAY()),"",IF(AND(DO27="",DP27=""),"",N(DP27)-N(DO27)))</f>
        <v/>
      </c>
      <c r="DU27">
        <f>IF(OR(DS$3="",DS$3&gt;TODAY()),"",IF(AND(DS27="",DT27=""),"",N(DT27)-N(DS27)))</f>
        <v/>
      </c>
      <c r="DX27">
        <f>IF(OR(DS$3="",DS$3&gt;TODAY()),"",IF(AND(DV27="",DW27=""),"",N(DW27)-N(DV27)))</f>
        <v/>
      </c>
      <c r="EB27">
        <f>IF(OR(DZ$3="",DZ$3&gt;TODAY()),"",IF(AND(DZ27="",EA27=""),"",N(EA27)-N(DZ27)))</f>
        <v/>
      </c>
      <c r="EE27">
        <f>IF(OR(DZ$3="",DZ$3&gt;TODAY()),"",IF(AND(EC27="",ED27=""),"",N(ED27)-N(EC27)))</f>
        <v/>
      </c>
      <c r="EI27">
        <f>IF(OR(EG$3="",EG$3&gt;TODAY()),"",IF(AND(EG27="",EH27=""),"",N(EH27)-N(EG27)))</f>
        <v/>
      </c>
      <c r="EL27">
        <f>IF(OR(EG$3="",EG$3&gt;TODAY()),"",IF(AND(EJ27="",EK27=""),"",N(EK27)-N(EJ27)))</f>
        <v/>
      </c>
      <c r="EP27">
        <f>IF(OR(EN$3="",EN$3&gt;TODAY()),"",IF(AND(EN27="",EO27=""),"",N(EO27)-N(EN27)))</f>
        <v/>
      </c>
      <c r="ES27">
        <f>IF(OR(EN$3="",EN$3&gt;TODAY()),"",IF(AND(EQ27="",ER27=""),"",N(ER27)-N(EQ27)))</f>
        <v/>
      </c>
      <c r="EW27">
        <f>IF(OR(EU$3="",EU$3&gt;TODAY()),"",IF(AND(EU27="",EV27=""),"",N(EV27)-N(EU27)))</f>
        <v/>
      </c>
      <c r="EZ27">
        <f>IF(OR(EU$3="",EU$3&gt;TODAY()),"",IF(AND(EX27="",EY27=""),"",N(EY27)-N(EX27)))</f>
        <v/>
      </c>
      <c r="FD27">
        <f>IF(OR(FB$3="",FB$3&gt;TODAY()),"",IF(AND(FB27="",FC27=""),"",N(FC27)-N(FB27)))</f>
        <v/>
      </c>
      <c r="FG27">
        <f>IF(OR(FB$3="",FB$3&gt;TODAY()),"",IF(AND(FE27="",FF27=""),"",N(FF27)-N(FE27)))</f>
        <v/>
      </c>
      <c r="FK27">
        <f>IF(OR(FI$3="",FI$3&gt;TODAY()),"",IF(AND(FI27="",FJ27=""),"",N(FJ27)-N(FI27)))</f>
        <v/>
      </c>
      <c r="FN27">
        <f>IF(OR(FI$3="",FI$3&gt;TODAY()),"",IF(AND(FL27="",FM27=""),"",N(FM27)-N(FL27)))</f>
        <v/>
      </c>
      <c r="FR27">
        <f>IF(OR(FP$3="",FP$3&gt;TODAY()),"",IF(AND(FP27="",FQ27=""),"",N(FQ27)-N(FP27)))</f>
        <v/>
      </c>
      <c r="FU27">
        <f>IF(OR(FP$3="",FP$3&gt;TODAY()),"",IF(AND(FS27="",FT27=""),"",N(FT27)-N(FS27)))</f>
        <v/>
      </c>
      <c r="FY27">
        <f>IF(OR(FW$3="",FW$3&gt;TODAY()),"",IF(AND(FW27="",FX27=""),"",N(FX27)-N(FW27)))</f>
        <v/>
      </c>
      <c r="GB27">
        <f>IF(OR(FW$3="",FW$3&gt;TODAY()),"",IF(AND(FZ27="",GA27=""),"",N(GA27)-N(FZ27)))</f>
        <v/>
      </c>
      <c r="GF27">
        <f>IF(OR(GD$3="",GD$3&gt;TODAY()),"",IF(AND(GD27="",GE27=""),"",N(GE27)-N(GD27)))</f>
        <v/>
      </c>
      <c r="GI27">
        <f>IF(OR(GD$3="",GD$3&gt;TODAY()),"",IF(AND(GG27="",GH27=""),"",N(GH27)-N(GG27)))</f>
        <v/>
      </c>
      <c r="GM27">
        <f>IF(OR(GK$3="",GK$3&gt;TODAY()),"",IF(AND(GK27="",GL27=""),"",N(GL27)-N(GK27)))</f>
        <v/>
      </c>
      <c r="GP27">
        <f>IF(OR(GK$3="",GK$3&gt;TODAY()),"",IF(AND(GN27="",GO27=""),"",N(GO27)-N(GN27)))</f>
        <v/>
      </c>
      <c r="GT27">
        <f>IF(OR(GR$3="",GR$3&gt;TODAY()),"",IF(AND(GR27="",GS27=""),"",N(GS27)-N(GR27)))</f>
        <v/>
      </c>
      <c r="GW27">
        <f>IF(OR(GR$3="",GR$3&gt;TODAY()),"",IF(AND(GU27="",GV27=""),"",N(GV27)-N(GU27)))</f>
        <v/>
      </c>
      <c r="HA27">
        <f>IF(OR(GY$3="",GY$3&gt;TODAY()),"",IF(AND(GY27="",GZ27=""),"",N(GZ27)-N(GY27)))</f>
        <v/>
      </c>
      <c r="HD27">
        <f>IF(OR(GY$3="",GY$3&gt;TODAY()),"",IF(AND(HB27="",HC27=""),"",N(HC27)-N(HB27)))</f>
        <v/>
      </c>
      <c r="HH27">
        <f>IF(OR(HF$3="",HF$3&gt;TODAY()),"",IF(AND(HF27="",HG27=""),"",N(HG27)-N(HF27)))</f>
        <v/>
      </c>
      <c r="HK27">
        <f>IF(OR(HF$3="",HF$3&gt;TODAY()),"",IF(AND(HI27="",HJ27=""),"",N(HJ27)-N(HI27)))</f>
        <v/>
      </c>
      <c r="HO27">
        <f>IF(OR(HM$3="",HM$3&gt;TODAY()),"",IF(AND(HM27="",HN27=""),"",N(HN27)-N(HM27)))</f>
        <v/>
      </c>
      <c r="HR27">
        <f>IF(OR(HM$3="",HM$3&gt;TODAY()),"",IF(AND(HP27="",HQ27=""),"",N(HQ27)-N(HP27)))</f>
        <v/>
      </c>
      <c r="HV27">
        <f>IF(OR(HT$3="",HT$3&gt;TODAY()),"",IF(AND(HT27="",HU27=""),"",N(HU27)-N(HT27)))</f>
        <v/>
      </c>
      <c r="HY27">
        <f>IF(OR(HT$3="",HT$3&gt;TODAY()),"",IF(AND(HW27="",HX27=""),"",N(HX27)-N(HW27)))</f>
        <v/>
      </c>
      <c r="IC27">
        <f>IF(OR(IA$3="",IA$3&gt;TODAY()),"",IF(AND(IA27="",IB27=""),"",N(IB27)-N(IA27)))</f>
        <v/>
      </c>
      <c r="IF27">
        <f>IF(OR(IA$3="",IA$3&gt;TODAY()),"",IF(AND(ID27="",IE27=""),"",N(IE27)-N(ID27)))</f>
        <v/>
      </c>
      <c r="IJ27">
        <f>IF(OR(IH$3="",IH$3&gt;TODAY()),"",IF(AND(IH27="",II27=""),"",N(II27)-N(IH27)))</f>
        <v/>
      </c>
      <c r="IM27">
        <f>IF(OR(IH$3="",IH$3&gt;TODAY()),"",IF(AND(IK27="",IL27=""),"",N(IL27)-N(IK27)))</f>
        <v/>
      </c>
    </row>
    <row r="28">
      <c r="A28" s="21" t="n"/>
      <c r="B28" s="21" t="n"/>
      <c r="C28" s="21" t="n"/>
      <c r="D28" s="21" t="n"/>
      <c r="E28" s="21" t="n"/>
      <c r="F28" s="21" t="n"/>
      <c r="G28" s="21" t="n"/>
      <c r="H28" s="21" t="n"/>
      <c r="I28" s="22" t="n"/>
      <c r="J28" s="22" t="n"/>
      <c r="K28" s="23" t="n"/>
      <c r="L28" s="22" t="n"/>
      <c r="M28" s="22" t="n"/>
      <c r="N28" s="21" t="n"/>
      <c r="O28" s="23" t="n"/>
      <c r="P28" s="23" t="n"/>
      <c r="Q28" s="23" t="n"/>
      <c r="R28" s="23" t="n"/>
      <c r="S28" s="22" t="n"/>
      <c r="T28" s="23" t="n"/>
      <c r="U28" s="23" t="n"/>
      <c r="V28" s="24">
        <f>IF(J28&lt;&gt;"",J28,IF(I28&lt;&gt;"",I28,""))</f>
        <v/>
      </c>
      <c r="W28" s="25">
        <f>IF($E28="","",N(O28)+SUMIFS($AF28:$IN28,$AF$4:$IN$4,"SEW_ACT"))</f>
        <v/>
      </c>
      <c r="X28" s="25">
        <f>IF($E28="","",N(P28)+SUMIFS($AF28:$IN28,$AF$4:$IN$4,"WASH_ACT"))</f>
        <v/>
      </c>
      <c r="Y28" s="25">
        <f>IF($E28="","",W28-X28-N(T28)-N(U28))</f>
        <v/>
      </c>
      <c r="Z28" s="25">
        <f>IF($E28="","",IF(N(K28)-X28&lt;=0.02*N(K28),0,N(K28)-X28))</f>
        <v/>
      </c>
      <c r="AA28" s="24">
        <f>IF($E28="","",IF(S28&lt;&gt;"",S28,IF(N(O28)&gt;0,IF(L28&lt;&gt;"",L28,99999),IFERROR(1/(1/_xlfn.MINIFS($AF$3:$IN$3,$AF$4:$IN$4,"SEW_ACT",$AF28:$IN28,"&gt;0")),99999))))</f>
        <v/>
      </c>
      <c r="AB28" s="26">
        <f>IF(OR($E28="",Z28=0,V28=""),"",1+COUNTIFS(Z$8:Z$707,"&gt;0",V$8:V$707,"&lt;"&amp;V28)+COUNTIFS(Z$8:Z$707,"&gt;0",V$8:V$707,V28,AA$8:AA$707,"&lt;"&amp;AA28)+COUNTIFS(Z$8:Z$707,"&gt;0",V$8:V$707,V28,AA$8:AA$707,AA28,E$8:E$707,"&lt;"&amp;$E28))</f>
        <v/>
      </c>
      <c r="AC28" s="24">
        <f>IF(OR($E28="",Z28=0),"",IFERROR(TODAY()+ROUNDUP(Z28/(SUMIFS($AF28:$IN28,$AF$4:$IN$4,"WASH_ACT")/COUNTIFS($AF$4:$IN$4,"WASH_ACT",$AF28:$IN28,"&gt;0")),0),"no output yet"))</f>
        <v/>
      </c>
      <c r="AD28" s="26">
        <f>IF($E28="","",IFERROR(ROUND(MAX(0,SUMIFS($AF28:$IN28,$AF$4:$IN$4,"SEW_PLAN",$AF$3:$IN$3,"&lt;="&amp;TODAY())-SUMIFS($AF28:$IN28,$AF$4:$IN$4,"SEW_ACT",$AF$3:$IN$3,"&lt;="&amp;TODAY())+N(Q28))/(SUMIFS($AF28:$IN28,$AF$4:$IN$4,"SEW_PLAN")/COUNTIFS($AF$4:$IN$4,"SEW_PLAN",$AF28:$IN28,"&gt;0")),1),0))</f>
        <v/>
      </c>
      <c r="AE28" s="26">
        <f>IF($E28="","",IF(AND(Z28&gt;0,OR(AND(M28&lt;&gt;"",TODAY()&gt;M28),AND(V28&lt;&gt;"",V28-TODAY()&lt;=7))),"Yes","No"))</f>
        <v/>
      </c>
      <c r="AH28">
        <f>IF(OR(AF$3="",AF$3&gt;TODAY()),"",IF(AND(AF28="",AG28=""),"",N(AG28)-N(AF28)))</f>
        <v/>
      </c>
      <c r="AK28">
        <f>IF(OR(AF$3="",AF$3&gt;TODAY()),"",IF(AND(AI28="",AJ28=""),"",N(AJ28)-N(AI28)))</f>
        <v/>
      </c>
      <c r="AO28">
        <f>IF(OR(AM$3="",AM$3&gt;TODAY()),"",IF(AND(AM28="",AN28=""),"",N(AN28)-N(AM28)))</f>
        <v/>
      </c>
      <c r="AR28">
        <f>IF(OR(AM$3="",AM$3&gt;TODAY()),"",IF(AND(AP28="",AQ28=""),"",N(AQ28)-N(AP28)))</f>
        <v/>
      </c>
      <c r="AV28">
        <f>IF(OR(AT$3="",AT$3&gt;TODAY()),"",IF(AND(AT28="",AU28=""),"",N(AU28)-N(AT28)))</f>
        <v/>
      </c>
      <c r="AY28">
        <f>IF(OR(AT$3="",AT$3&gt;TODAY()),"",IF(AND(AW28="",AX28=""),"",N(AX28)-N(AW28)))</f>
        <v/>
      </c>
      <c r="BC28">
        <f>IF(OR(BA$3="",BA$3&gt;TODAY()),"",IF(AND(BA28="",BB28=""),"",N(BB28)-N(BA28)))</f>
        <v/>
      </c>
      <c r="BF28">
        <f>IF(OR(BA$3="",BA$3&gt;TODAY()),"",IF(AND(BD28="",BE28=""),"",N(BE28)-N(BD28)))</f>
        <v/>
      </c>
      <c r="BJ28">
        <f>IF(OR(BH$3="",BH$3&gt;TODAY()),"",IF(AND(BH28="",BI28=""),"",N(BI28)-N(BH28)))</f>
        <v/>
      </c>
      <c r="BM28">
        <f>IF(OR(BH$3="",BH$3&gt;TODAY()),"",IF(AND(BK28="",BL28=""),"",N(BL28)-N(BK28)))</f>
        <v/>
      </c>
      <c r="BQ28">
        <f>IF(OR(BO$3="",BO$3&gt;TODAY()),"",IF(AND(BO28="",BP28=""),"",N(BP28)-N(BO28)))</f>
        <v/>
      </c>
      <c r="BT28">
        <f>IF(OR(BO$3="",BO$3&gt;TODAY()),"",IF(AND(BR28="",BS28=""),"",N(BS28)-N(BR28)))</f>
        <v/>
      </c>
      <c r="BX28">
        <f>IF(OR(BV$3="",BV$3&gt;TODAY()),"",IF(AND(BV28="",BW28=""),"",N(BW28)-N(BV28)))</f>
        <v/>
      </c>
      <c r="CA28">
        <f>IF(OR(BV$3="",BV$3&gt;TODAY()),"",IF(AND(BY28="",BZ28=""),"",N(BZ28)-N(BY28)))</f>
        <v/>
      </c>
      <c r="CE28">
        <f>IF(OR(CC$3="",CC$3&gt;TODAY()),"",IF(AND(CC28="",CD28=""),"",N(CD28)-N(CC28)))</f>
        <v/>
      </c>
      <c r="CH28">
        <f>IF(OR(CC$3="",CC$3&gt;TODAY()),"",IF(AND(CF28="",CG28=""),"",N(CG28)-N(CF28)))</f>
        <v/>
      </c>
      <c r="CL28">
        <f>IF(OR(CJ$3="",CJ$3&gt;TODAY()),"",IF(AND(CJ28="",CK28=""),"",N(CK28)-N(CJ28)))</f>
        <v/>
      </c>
      <c r="CO28">
        <f>IF(OR(CJ$3="",CJ$3&gt;TODAY()),"",IF(AND(CM28="",CN28=""),"",N(CN28)-N(CM28)))</f>
        <v/>
      </c>
      <c r="CS28">
        <f>IF(OR(CQ$3="",CQ$3&gt;TODAY()),"",IF(AND(CQ28="",CR28=""),"",N(CR28)-N(CQ28)))</f>
        <v/>
      </c>
      <c r="CV28">
        <f>IF(OR(CQ$3="",CQ$3&gt;TODAY()),"",IF(AND(CT28="",CU28=""),"",N(CU28)-N(CT28)))</f>
        <v/>
      </c>
      <c r="CZ28">
        <f>IF(OR(CX$3="",CX$3&gt;TODAY()),"",IF(AND(CX28="",CY28=""),"",N(CY28)-N(CX28)))</f>
        <v/>
      </c>
      <c r="DC28">
        <f>IF(OR(CX$3="",CX$3&gt;TODAY()),"",IF(AND(DA28="",DB28=""),"",N(DB28)-N(DA28)))</f>
        <v/>
      </c>
      <c r="DG28">
        <f>IF(OR(DE$3="",DE$3&gt;TODAY()),"",IF(AND(DE28="",DF28=""),"",N(DF28)-N(DE28)))</f>
        <v/>
      </c>
      <c r="DJ28">
        <f>IF(OR(DE$3="",DE$3&gt;TODAY()),"",IF(AND(DH28="",DI28=""),"",N(DI28)-N(DH28)))</f>
        <v/>
      </c>
      <c r="DN28">
        <f>IF(OR(DL$3="",DL$3&gt;TODAY()),"",IF(AND(DL28="",DM28=""),"",N(DM28)-N(DL28)))</f>
        <v/>
      </c>
      <c r="DQ28">
        <f>IF(OR(DL$3="",DL$3&gt;TODAY()),"",IF(AND(DO28="",DP28=""),"",N(DP28)-N(DO28)))</f>
        <v/>
      </c>
      <c r="DU28">
        <f>IF(OR(DS$3="",DS$3&gt;TODAY()),"",IF(AND(DS28="",DT28=""),"",N(DT28)-N(DS28)))</f>
        <v/>
      </c>
      <c r="DX28">
        <f>IF(OR(DS$3="",DS$3&gt;TODAY()),"",IF(AND(DV28="",DW28=""),"",N(DW28)-N(DV28)))</f>
        <v/>
      </c>
      <c r="EB28">
        <f>IF(OR(DZ$3="",DZ$3&gt;TODAY()),"",IF(AND(DZ28="",EA28=""),"",N(EA28)-N(DZ28)))</f>
        <v/>
      </c>
      <c r="EE28">
        <f>IF(OR(DZ$3="",DZ$3&gt;TODAY()),"",IF(AND(EC28="",ED28=""),"",N(ED28)-N(EC28)))</f>
        <v/>
      </c>
      <c r="EI28">
        <f>IF(OR(EG$3="",EG$3&gt;TODAY()),"",IF(AND(EG28="",EH28=""),"",N(EH28)-N(EG28)))</f>
        <v/>
      </c>
      <c r="EL28">
        <f>IF(OR(EG$3="",EG$3&gt;TODAY()),"",IF(AND(EJ28="",EK28=""),"",N(EK28)-N(EJ28)))</f>
        <v/>
      </c>
      <c r="EP28">
        <f>IF(OR(EN$3="",EN$3&gt;TODAY()),"",IF(AND(EN28="",EO28=""),"",N(EO28)-N(EN28)))</f>
        <v/>
      </c>
      <c r="ES28">
        <f>IF(OR(EN$3="",EN$3&gt;TODAY()),"",IF(AND(EQ28="",ER28=""),"",N(ER28)-N(EQ28)))</f>
        <v/>
      </c>
      <c r="EW28">
        <f>IF(OR(EU$3="",EU$3&gt;TODAY()),"",IF(AND(EU28="",EV28=""),"",N(EV28)-N(EU28)))</f>
        <v/>
      </c>
      <c r="EZ28">
        <f>IF(OR(EU$3="",EU$3&gt;TODAY()),"",IF(AND(EX28="",EY28=""),"",N(EY28)-N(EX28)))</f>
        <v/>
      </c>
      <c r="FD28">
        <f>IF(OR(FB$3="",FB$3&gt;TODAY()),"",IF(AND(FB28="",FC28=""),"",N(FC28)-N(FB28)))</f>
        <v/>
      </c>
      <c r="FG28">
        <f>IF(OR(FB$3="",FB$3&gt;TODAY()),"",IF(AND(FE28="",FF28=""),"",N(FF28)-N(FE28)))</f>
        <v/>
      </c>
      <c r="FK28">
        <f>IF(OR(FI$3="",FI$3&gt;TODAY()),"",IF(AND(FI28="",FJ28=""),"",N(FJ28)-N(FI28)))</f>
        <v/>
      </c>
      <c r="FN28">
        <f>IF(OR(FI$3="",FI$3&gt;TODAY()),"",IF(AND(FL28="",FM28=""),"",N(FM28)-N(FL28)))</f>
        <v/>
      </c>
      <c r="FR28">
        <f>IF(OR(FP$3="",FP$3&gt;TODAY()),"",IF(AND(FP28="",FQ28=""),"",N(FQ28)-N(FP28)))</f>
        <v/>
      </c>
      <c r="FU28">
        <f>IF(OR(FP$3="",FP$3&gt;TODAY()),"",IF(AND(FS28="",FT28=""),"",N(FT28)-N(FS28)))</f>
        <v/>
      </c>
      <c r="FY28">
        <f>IF(OR(FW$3="",FW$3&gt;TODAY()),"",IF(AND(FW28="",FX28=""),"",N(FX28)-N(FW28)))</f>
        <v/>
      </c>
      <c r="GB28">
        <f>IF(OR(FW$3="",FW$3&gt;TODAY()),"",IF(AND(FZ28="",GA28=""),"",N(GA28)-N(FZ28)))</f>
        <v/>
      </c>
      <c r="GF28">
        <f>IF(OR(GD$3="",GD$3&gt;TODAY()),"",IF(AND(GD28="",GE28=""),"",N(GE28)-N(GD28)))</f>
        <v/>
      </c>
      <c r="GI28">
        <f>IF(OR(GD$3="",GD$3&gt;TODAY()),"",IF(AND(GG28="",GH28=""),"",N(GH28)-N(GG28)))</f>
        <v/>
      </c>
      <c r="GM28">
        <f>IF(OR(GK$3="",GK$3&gt;TODAY()),"",IF(AND(GK28="",GL28=""),"",N(GL28)-N(GK28)))</f>
        <v/>
      </c>
      <c r="GP28">
        <f>IF(OR(GK$3="",GK$3&gt;TODAY()),"",IF(AND(GN28="",GO28=""),"",N(GO28)-N(GN28)))</f>
        <v/>
      </c>
      <c r="GT28">
        <f>IF(OR(GR$3="",GR$3&gt;TODAY()),"",IF(AND(GR28="",GS28=""),"",N(GS28)-N(GR28)))</f>
        <v/>
      </c>
      <c r="GW28">
        <f>IF(OR(GR$3="",GR$3&gt;TODAY()),"",IF(AND(GU28="",GV28=""),"",N(GV28)-N(GU28)))</f>
        <v/>
      </c>
      <c r="HA28">
        <f>IF(OR(GY$3="",GY$3&gt;TODAY()),"",IF(AND(GY28="",GZ28=""),"",N(GZ28)-N(GY28)))</f>
        <v/>
      </c>
      <c r="HD28">
        <f>IF(OR(GY$3="",GY$3&gt;TODAY()),"",IF(AND(HB28="",HC28=""),"",N(HC28)-N(HB28)))</f>
        <v/>
      </c>
      <c r="HH28">
        <f>IF(OR(HF$3="",HF$3&gt;TODAY()),"",IF(AND(HF28="",HG28=""),"",N(HG28)-N(HF28)))</f>
        <v/>
      </c>
      <c r="HK28">
        <f>IF(OR(HF$3="",HF$3&gt;TODAY()),"",IF(AND(HI28="",HJ28=""),"",N(HJ28)-N(HI28)))</f>
        <v/>
      </c>
      <c r="HO28">
        <f>IF(OR(HM$3="",HM$3&gt;TODAY()),"",IF(AND(HM28="",HN28=""),"",N(HN28)-N(HM28)))</f>
        <v/>
      </c>
      <c r="HR28">
        <f>IF(OR(HM$3="",HM$3&gt;TODAY()),"",IF(AND(HP28="",HQ28=""),"",N(HQ28)-N(HP28)))</f>
        <v/>
      </c>
      <c r="HV28">
        <f>IF(OR(HT$3="",HT$3&gt;TODAY()),"",IF(AND(HT28="",HU28=""),"",N(HU28)-N(HT28)))</f>
        <v/>
      </c>
      <c r="HY28">
        <f>IF(OR(HT$3="",HT$3&gt;TODAY()),"",IF(AND(HW28="",HX28=""),"",N(HX28)-N(HW28)))</f>
        <v/>
      </c>
      <c r="IC28">
        <f>IF(OR(IA$3="",IA$3&gt;TODAY()),"",IF(AND(IA28="",IB28=""),"",N(IB28)-N(IA28)))</f>
        <v/>
      </c>
      <c r="IF28">
        <f>IF(OR(IA$3="",IA$3&gt;TODAY()),"",IF(AND(ID28="",IE28=""),"",N(IE28)-N(ID28)))</f>
        <v/>
      </c>
      <c r="IJ28">
        <f>IF(OR(IH$3="",IH$3&gt;TODAY()),"",IF(AND(IH28="",II28=""),"",N(II28)-N(IH28)))</f>
        <v/>
      </c>
      <c r="IM28">
        <f>IF(OR(IH$3="",IH$3&gt;TODAY()),"",IF(AND(IK28="",IL28=""),"",N(IL28)-N(IK28)))</f>
        <v/>
      </c>
    </row>
    <row r="29">
      <c r="A29" s="21" t="n"/>
      <c r="B29" s="21" t="n"/>
      <c r="C29" s="21" t="n"/>
      <c r="D29" s="21" t="n"/>
      <c r="E29" s="21" t="n"/>
      <c r="F29" s="21" t="n"/>
      <c r="G29" s="21" t="n"/>
      <c r="H29" s="21" t="n"/>
      <c r="I29" s="22" t="n"/>
      <c r="J29" s="22" t="n"/>
      <c r="K29" s="23" t="n"/>
      <c r="L29" s="22" t="n"/>
      <c r="M29" s="22" t="n"/>
      <c r="N29" s="21" t="n"/>
      <c r="O29" s="23" t="n"/>
      <c r="P29" s="23" t="n"/>
      <c r="Q29" s="23" t="n"/>
      <c r="R29" s="23" t="n"/>
      <c r="S29" s="22" t="n"/>
      <c r="T29" s="23" t="n"/>
      <c r="U29" s="23" t="n"/>
      <c r="V29" s="24">
        <f>IF(J29&lt;&gt;"",J29,IF(I29&lt;&gt;"",I29,""))</f>
        <v/>
      </c>
      <c r="W29" s="25">
        <f>IF($E29="","",N(O29)+SUMIFS($AF29:$IN29,$AF$4:$IN$4,"SEW_ACT"))</f>
        <v/>
      </c>
      <c r="X29" s="25">
        <f>IF($E29="","",N(P29)+SUMIFS($AF29:$IN29,$AF$4:$IN$4,"WASH_ACT"))</f>
        <v/>
      </c>
      <c r="Y29" s="25">
        <f>IF($E29="","",W29-X29-N(T29)-N(U29))</f>
        <v/>
      </c>
      <c r="Z29" s="25">
        <f>IF($E29="","",IF(N(K29)-X29&lt;=0.02*N(K29),0,N(K29)-X29))</f>
        <v/>
      </c>
      <c r="AA29" s="24">
        <f>IF($E29="","",IF(S29&lt;&gt;"",S29,IF(N(O29)&gt;0,IF(L29&lt;&gt;"",L29,99999),IFERROR(1/(1/_xlfn.MINIFS($AF$3:$IN$3,$AF$4:$IN$4,"SEW_ACT",$AF29:$IN29,"&gt;0")),99999))))</f>
        <v/>
      </c>
      <c r="AB29" s="26">
        <f>IF(OR($E29="",Z29=0,V29=""),"",1+COUNTIFS(Z$8:Z$707,"&gt;0",V$8:V$707,"&lt;"&amp;V29)+COUNTIFS(Z$8:Z$707,"&gt;0",V$8:V$707,V29,AA$8:AA$707,"&lt;"&amp;AA29)+COUNTIFS(Z$8:Z$707,"&gt;0",V$8:V$707,V29,AA$8:AA$707,AA29,E$8:E$707,"&lt;"&amp;$E29))</f>
        <v/>
      </c>
      <c r="AC29" s="24">
        <f>IF(OR($E29="",Z29=0),"",IFERROR(TODAY()+ROUNDUP(Z29/(SUMIFS($AF29:$IN29,$AF$4:$IN$4,"WASH_ACT")/COUNTIFS($AF$4:$IN$4,"WASH_ACT",$AF29:$IN29,"&gt;0")),0),"no output yet"))</f>
        <v/>
      </c>
      <c r="AD29" s="26">
        <f>IF($E29="","",IFERROR(ROUND(MAX(0,SUMIFS($AF29:$IN29,$AF$4:$IN$4,"SEW_PLAN",$AF$3:$IN$3,"&lt;="&amp;TODAY())-SUMIFS($AF29:$IN29,$AF$4:$IN$4,"SEW_ACT",$AF$3:$IN$3,"&lt;="&amp;TODAY())+N(Q29))/(SUMIFS($AF29:$IN29,$AF$4:$IN$4,"SEW_PLAN")/COUNTIFS($AF$4:$IN$4,"SEW_PLAN",$AF29:$IN29,"&gt;0")),1),0))</f>
        <v/>
      </c>
      <c r="AE29" s="26">
        <f>IF($E29="","",IF(AND(Z29&gt;0,OR(AND(M29&lt;&gt;"",TODAY()&gt;M29),AND(V29&lt;&gt;"",V29-TODAY()&lt;=7))),"Yes","No"))</f>
        <v/>
      </c>
      <c r="AH29">
        <f>IF(OR(AF$3="",AF$3&gt;TODAY()),"",IF(AND(AF29="",AG29=""),"",N(AG29)-N(AF29)))</f>
        <v/>
      </c>
      <c r="AK29">
        <f>IF(OR(AF$3="",AF$3&gt;TODAY()),"",IF(AND(AI29="",AJ29=""),"",N(AJ29)-N(AI29)))</f>
        <v/>
      </c>
      <c r="AO29">
        <f>IF(OR(AM$3="",AM$3&gt;TODAY()),"",IF(AND(AM29="",AN29=""),"",N(AN29)-N(AM29)))</f>
        <v/>
      </c>
      <c r="AR29">
        <f>IF(OR(AM$3="",AM$3&gt;TODAY()),"",IF(AND(AP29="",AQ29=""),"",N(AQ29)-N(AP29)))</f>
        <v/>
      </c>
      <c r="AV29">
        <f>IF(OR(AT$3="",AT$3&gt;TODAY()),"",IF(AND(AT29="",AU29=""),"",N(AU29)-N(AT29)))</f>
        <v/>
      </c>
      <c r="AY29">
        <f>IF(OR(AT$3="",AT$3&gt;TODAY()),"",IF(AND(AW29="",AX29=""),"",N(AX29)-N(AW29)))</f>
        <v/>
      </c>
      <c r="BC29">
        <f>IF(OR(BA$3="",BA$3&gt;TODAY()),"",IF(AND(BA29="",BB29=""),"",N(BB29)-N(BA29)))</f>
        <v/>
      </c>
      <c r="BF29">
        <f>IF(OR(BA$3="",BA$3&gt;TODAY()),"",IF(AND(BD29="",BE29=""),"",N(BE29)-N(BD29)))</f>
        <v/>
      </c>
      <c r="BJ29">
        <f>IF(OR(BH$3="",BH$3&gt;TODAY()),"",IF(AND(BH29="",BI29=""),"",N(BI29)-N(BH29)))</f>
        <v/>
      </c>
      <c r="BM29">
        <f>IF(OR(BH$3="",BH$3&gt;TODAY()),"",IF(AND(BK29="",BL29=""),"",N(BL29)-N(BK29)))</f>
        <v/>
      </c>
      <c r="BQ29">
        <f>IF(OR(BO$3="",BO$3&gt;TODAY()),"",IF(AND(BO29="",BP29=""),"",N(BP29)-N(BO29)))</f>
        <v/>
      </c>
      <c r="BT29">
        <f>IF(OR(BO$3="",BO$3&gt;TODAY()),"",IF(AND(BR29="",BS29=""),"",N(BS29)-N(BR29)))</f>
        <v/>
      </c>
      <c r="BX29">
        <f>IF(OR(BV$3="",BV$3&gt;TODAY()),"",IF(AND(BV29="",BW29=""),"",N(BW29)-N(BV29)))</f>
        <v/>
      </c>
      <c r="CA29">
        <f>IF(OR(BV$3="",BV$3&gt;TODAY()),"",IF(AND(BY29="",BZ29=""),"",N(BZ29)-N(BY29)))</f>
        <v/>
      </c>
      <c r="CE29">
        <f>IF(OR(CC$3="",CC$3&gt;TODAY()),"",IF(AND(CC29="",CD29=""),"",N(CD29)-N(CC29)))</f>
        <v/>
      </c>
      <c r="CH29">
        <f>IF(OR(CC$3="",CC$3&gt;TODAY()),"",IF(AND(CF29="",CG29=""),"",N(CG29)-N(CF29)))</f>
        <v/>
      </c>
      <c r="CL29">
        <f>IF(OR(CJ$3="",CJ$3&gt;TODAY()),"",IF(AND(CJ29="",CK29=""),"",N(CK29)-N(CJ29)))</f>
        <v/>
      </c>
      <c r="CO29">
        <f>IF(OR(CJ$3="",CJ$3&gt;TODAY()),"",IF(AND(CM29="",CN29=""),"",N(CN29)-N(CM29)))</f>
        <v/>
      </c>
      <c r="CS29">
        <f>IF(OR(CQ$3="",CQ$3&gt;TODAY()),"",IF(AND(CQ29="",CR29=""),"",N(CR29)-N(CQ29)))</f>
        <v/>
      </c>
      <c r="CV29">
        <f>IF(OR(CQ$3="",CQ$3&gt;TODAY()),"",IF(AND(CT29="",CU29=""),"",N(CU29)-N(CT29)))</f>
        <v/>
      </c>
      <c r="CZ29">
        <f>IF(OR(CX$3="",CX$3&gt;TODAY()),"",IF(AND(CX29="",CY29=""),"",N(CY29)-N(CX29)))</f>
        <v/>
      </c>
      <c r="DC29">
        <f>IF(OR(CX$3="",CX$3&gt;TODAY()),"",IF(AND(DA29="",DB29=""),"",N(DB29)-N(DA29)))</f>
        <v/>
      </c>
      <c r="DG29">
        <f>IF(OR(DE$3="",DE$3&gt;TODAY()),"",IF(AND(DE29="",DF29=""),"",N(DF29)-N(DE29)))</f>
        <v/>
      </c>
      <c r="DJ29">
        <f>IF(OR(DE$3="",DE$3&gt;TODAY()),"",IF(AND(DH29="",DI29=""),"",N(DI29)-N(DH29)))</f>
        <v/>
      </c>
      <c r="DN29">
        <f>IF(OR(DL$3="",DL$3&gt;TODAY()),"",IF(AND(DL29="",DM29=""),"",N(DM29)-N(DL29)))</f>
        <v/>
      </c>
      <c r="DQ29">
        <f>IF(OR(DL$3="",DL$3&gt;TODAY()),"",IF(AND(DO29="",DP29=""),"",N(DP29)-N(DO29)))</f>
        <v/>
      </c>
      <c r="DU29">
        <f>IF(OR(DS$3="",DS$3&gt;TODAY()),"",IF(AND(DS29="",DT29=""),"",N(DT29)-N(DS29)))</f>
        <v/>
      </c>
      <c r="DX29">
        <f>IF(OR(DS$3="",DS$3&gt;TODAY()),"",IF(AND(DV29="",DW29=""),"",N(DW29)-N(DV29)))</f>
        <v/>
      </c>
      <c r="EB29">
        <f>IF(OR(DZ$3="",DZ$3&gt;TODAY()),"",IF(AND(DZ29="",EA29=""),"",N(EA29)-N(DZ29)))</f>
        <v/>
      </c>
      <c r="EE29">
        <f>IF(OR(DZ$3="",DZ$3&gt;TODAY()),"",IF(AND(EC29="",ED29=""),"",N(ED29)-N(EC29)))</f>
        <v/>
      </c>
      <c r="EI29">
        <f>IF(OR(EG$3="",EG$3&gt;TODAY()),"",IF(AND(EG29="",EH29=""),"",N(EH29)-N(EG29)))</f>
        <v/>
      </c>
      <c r="EL29">
        <f>IF(OR(EG$3="",EG$3&gt;TODAY()),"",IF(AND(EJ29="",EK29=""),"",N(EK29)-N(EJ29)))</f>
        <v/>
      </c>
      <c r="EP29">
        <f>IF(OR(EN$3="",EN$3&gt;TODAY()),"",IF(AND(EN29="",EO29=""),"",N(EO29)-N(EN29)))</f>
        <v/>
      </c>
      <c r="ES29">
        <f>IF(OR(EN$3="",EN$3&gt;TODAY()),"",IF(AND(EQ29="",ER29=""),"",N(ER29)-N(EQ29)))</f>
        <v/>
      </c>
      <c r="EW29">
        <f>IF(OR(EU$3="",EU$3&gt;TODAY()),"",IF(AND(EU29="",EV29=""),"",N(EV29)-N(EU29)))</f>
        <v/>
      </c>
      <c r="EZ29">
        <f>IF(OR(EU$3="",EU$3&gt;TODAY()),"",IF(AND(EX29="",EY29=""),"",N(EY29)-N(EX29)))</f>
        <v/>
      </c>
      <c r="FD29">
        <f>IF(OR(FB$3="",FB$3&gt;TODAY()),"",IF(AND(FB29="",FC29=""),"",N(FC29)-N(FB29)))</f>
        <v/>
      </c>
      <c r="FG29">
        <f>IF(OR(FB$3="",FB$3&gt;TODAY()),"",IF(AND(FE29="",FF29=""),"",N(FF29)-N(FE29)))</f>
        <v/>
      </c>
      <c r="FK29">
        <f>IF(OR(FI$3="",FI$3&gt;TODAY()),"",IF(AND(FI29="",FJ29=""),"",N(FJ29)-N(FI29)))</f>
        <v/>
      </c>
      <c r="FN29">
        <f>IF(OR(FI$3="",FI$3&gt;TODAY()),"",IF(AND(FL29="",FM29=""),"",N(FM29)-N(FL29)))</f>
        <v/>
      </c>
      <c r="FR29">
        <f>IF(OR(FP$3="",FP$3&gt;TODAY()),"",IF(AND(FP29="",FQ29=""),"",N(FQ29)-N(FP29)))</f>
        <v/>
      </c>
      <c r="FU29">
        <f>IF(OR(FP$3="",FP$3&gt;TODAY()),"",IF(AND(FS29="",FT29=""),"",N(FT29)-N(FS29)))</f>
        <v/>
      </c>
      <c r="FY29">
        <f>IF(OR(FW$3="",FW$3&gt;TODAY()),"",IF(AND(FW29="",FX29=""),"",N(FX29)-N(FW29)))</f>
        <v/>
      </c>
      <c r="GB29">
        <f>IF(OR(FW$3="",FW$3&gt;TODAY()),"",IF(AND(FZ29="",GA29=""),"",N(GA29)-N(FZ29)))</f>
        <v/>
      </c>
      <c r="GF29">
        <f>IF(OR(GD$3="",GD$3&gt;TODAY()),"",IF(AND(GD29="",GE29=""),"",N(GE29)-N(GD29)))</f>
        <v/>
      </c>
      <c r="GI29">
        <f>IF(OR(GD$3="",GD$3&gt;TODAY()),"",IF(AND(GG29="",GH29=""),"",N(GH29)-N(GG29)))</f>
        <v/>
      </c>
      <c r="GM29">
        <f>IF(OR(GK$3="",GK$3&gt;TODAY()),"",IF(AND(GK29="",GL29=""),"",N(GL29)-N(GK29)))</f>
        <v/>
      </c>
      <c r="GP29">
        <f>IF(OR(GK$3="",GK$3&gt;TODAY()),"",IF(AND(GN29="",GO29=""),"",N(GO29)-N(GN29)))</f>
        <v/>
      </c>
      <c r="GT29">
        <f>IF(OR(GR$3="",GR$3&gt;TODAY()),"",IF(AND(GR29="",GS29=""),"",N(GS29)-N(GR29)))</f>
        <v/>
      </c>
      <c r="GW29">
        <f>IF(OR(GR$3="",GR$3&gt;TODAY()),"",IF(AND(GU29="",GV29=""),"",N(GV29)-N(GU29)))</f>
        <v/>
      </c>
      <c r="HA29">
        <f>IF(OR(GY$3="",GY$3&gt;TODAY()),"",IF(AND(GY29="",GZ29=""),"",N(GZ29)-N(GY29)))</f>
        <v/>
      </c>
      <c r="HD29">
        <f>IF(OR(GY$3="",GY$3&gt;TODAY()),"",IF(AND(HB29="",HC29=""),"",N(HC29)-N(HB29)))</f>
        <v/>
      </c>
      <c r="HH29">
        <f>IF(OR(HF$3="",HF$3&gt;TODAY()),"",IF(AND(HF29="",HG29=""),"",N(HG29)-N(HF29)))</f>
        <v/>
      </c>
      <c r="HK29">
        <f>IF(OR(HF$3="",HF$3&gt;TODAY()),"",IF(AND(HI29="",HJ29=""),"",N(HJ29)-N(HI29)))</f>
        <v/>
      </c>
      <c r="HO29">
        <f>IF(OR(HM$3="",HM$3&gt;TODAY()),"",IF(AND(HM29="",HN29=""),"",N(HN29)-N(HM29)))</f>
        <v/>
      </c>
      <c r="HR29">
        <f>IF(OR(HM$3="",HM$3&gt;TODAY()),"",IF(AND(HP29="",HQ29=""),"",N(HQ29)-N(HP29)))</f>
        <v/>
      </c>
      <c r="HV29">
        <f>IF(OR(HT$3="",HT$3&gt;TODAY()),"",IF(AND(HT29="",HU29=""),"",N(HU29)-N(HT29)))</f>
        <v/>
      </c>
      <c r="HY29">
        <f>IF(OR(HT$3="",HT$3&gt;TODAY()),"",IF(AND(HW29="",HX29=""),"",N(HX29)-N(HW29)))</f>
        <v/>
      </c>
      <c r="IC29">
        <f>IF(OR(IA$3="",IA$3&gt;TODAY()),"",IF(AND(IA29="",IB29=""),"",N(IB29)-N(IA29)))</f>
        <v/>
      </c>
      <c r="IF29">
        <f>IF(OR(IA$3="",IA$3&gt;TODAY()),"",IF(AND(ID29="",IE29=""),"",N(IE29)-N(ID29)))</f>
        <v/>
      </c>
      <c r="IJ29">
        <f>IF(OR(IH$3="",IH$3&gt;TODAY()),"",IF(AND(IH29="",II29=""),"",N(II29)-N(IH29)))</f>
        <v/>
      </c>
      <c r="IM29">
        <f>IF(OR(IH$3="",IH$3&gt;TODAY()),"",IF(AND(IK29="",IL29=""),"",N(IL29)-N(IK29)))</f>
        <v/>
      </c>
    </row>
    <row r="30">
      <c r="A30" s="21" t="n"/>
      <c r="B30" s="21" t="n"/>
      <c r="C30" s="21" t="n"/>
      <c r="D30" s="21" t="n"/>
      <c r="E30" s="21" t="n"/>
      <c r="F30" s="21" t="n"/>
      <c r="G30" s="21" t="n"/>
      <c r="H30" s="21" t="n"/>
      <c r="I30" s="22" t="n"/>
      <c r="J30" s="22" t="n"/>
      <c r="K30" s="23" t="n"/>
      <c r="L30" s="22" t="n"/>
      <c r="M30" s="22" t="n"/>
      <c r="N30" s="21" t="n"/>
      <c r="O30" s="23" t="n"/>
      <c r="P30" s="23" t="n"/>
      <c r="Q30" s="23" t="n"/>
      <c r="R30" s="23" t="n"/>
      <c r="S30" s="22" t="n"/>
      <c r="T30" s="23" t="n"/>
      <c r="U30" s="23" t="n"/>
      <c r="V30" s="24">
        <f>IF(J30&lt;&gt;"",J30,IF(I30&lt;&gt;"",I30,""))</f>
        <v/>
      </c>
      <c r="W30" s="25">
        <f>IF($E30="","",N(O30)+SUMIFS($AF30:$IN30,$AF$4:$IN$4,"SEW_ACT"))</f>
        <v/>
      </c>
      <c r="X30" s="25">
        <f>IF($E30="","",N(P30)+SUMIFS($AF30:$IN30,$AF$4:$IN$4,"WASH_ACT"))</f>
        <v/>
      </c>
      <c r="Y30" s="25">
        <f>IF($E30="","",W30-X30-N(T30)-N(U30))</f>
        <v/>
      </c>
      <c r="Z30" s="25">
        <f>IF($E30="","",IF(N(K30)-X30&lt;=0.02*N(K30),0,N(K30)-X30))</f>
        <v/>
      </c>
      <c r="AA30" s="24">
        <f>IF($E30="","",IF(S30&lt;&gt;"",S30,IF(N(O30)&gt;0,IF(L30&lt;&gt;"",L30,99999),IFERROR(1/(1/_xlfn.MINIFS($AF$3:$IN$3,$AF$4:$IN$4,"SEW_ACT",$AF30:$IN30,"&gt;0")),99999))))</f>
        <v/>
      </c>
      <c r="AB30" s="26">
        <f>IF(OR($E30="",Z30=0,V30=""),"",1+COUNTIFS(Z$8:Z$707,"&gt;0",V$8:V$707,"&lt;"&amp;V30)+COUNTIFS(Z$8:Z$707,"&gt;0",V$8:V$707,V30,AA$8:AA$707,"&lt;"&amp;AA30)+COUNTIFS(Z$8:Z$707,"&gt;0",V$8:V$707,V30,AA$8:AA$707,AA30,E$8:E$707,"&lt;"&amp;$E30))</f>
        <v/>
      </c>
      <c r="AC30" s="24">
        <f>IF(OR($E30="",Z30=0),"",IFERROR(TODAY()+ROUNDUP(Z30/(SUMIFS($AF30:$IN30,$AF$4:$IN$4,"WASH_ACT")/COUNTIFS($AF$4:$IN$4,"WASH_ACT",$AF30:$IN30,"&gt;0")),0),"no output yet"))</f>
        <v/>
      </c>
      <c r="AD30" s="26">
        <f>IF($E30="","",IFERROR(ROUND(MAX(0,SUMIFS($AF30:$IN30,$AF$4:$IN$4,"SEW_PLAN",$AF$3:$IN$3,"&lt;="&amp;TODAY())-SUMIFS($AF30:$IN30,$AF$4:$IN$4,"SEW_ACT",$AF$3:$IN$3,"&lt;="&amp;TODAY())+N(Q30))/(SUMIFS($AF30:$IN30,$AF$4:$IN$4,"SEW_PLAN")/COUNTIFS($AF$4:$IN$4,"SEW_PLAN",$AF30:$IN30,"&gt;0")),1),0))</f>
        <v/>
      </c>
      <c r="AE30" s="26">
        <f>IF($E30="","",IF(AND(Z30&gt;0,OR(AND(M30&lt;&gt;"",TODAY()&gt;M30),AND(V30&lt;&gt;"",V30-TODAY()&lt;=7))),"Yes","No"))</f>
        <v/>
      </c>
      <c r="AH30">
        <f>IF(OR(AF$3="",AF$3&gt;TODAY()),"",IF(AND(AF30="",AG30=""),"",N(AG30)-N(AF30)))</f>
        <v/>
      </c>
      <c r="AK30">
        <f>IF(OR(AF$3="",AF$3&gt;TODAY()),"",IF(AND(AI30="",AJ30=""),"",N(AJ30)-N(AI30)))</f>
        <v/>
      </c>
      <c r="AO30">
        <f>IF(OR(AM$3="",AM$3&gt;TODAY()),"",IF(AND(AM30="",AN30=""),"",N(AN30)-N(AM30)))</f>
        <v/>
      </c>
      <c r="AR30">
        <f>IF(OR(AM$3="",AM$3&gt;TODAY()),"",IF(AND(AP30="",AQ30=""),"",N(AQ30)-N(AP30)))</f>
        <v/>
      </c>
      <c r="AV30">
        <f>IF(OR(AT$3="",AT$3&gt;TODAY()),"",IF(AND(AT30="",AU30=""),"",N(AU30)-N(AT30)))</f>
        <v/>
      </c>
      <c r="AY30">
        <f>IF(OR(AT$3="",AT$3&gt;TODAY()),"",IF(AND(AW30="",AX30=""),"",N(AX30)-N(AW30)))</f>
        <v/>
      </c>
      <c r="BC30">
        <f>IF(OR(BA$3="",BA$3&gt;TODAY()),"",IF(AND(BA30="",BB30=""),"",N(BB30)-N(BA30)))</f>
        <v/>
      </c>
      <c r="BF30">
        <f>IF(OR(BA$3="",BA$3&gt;TODAY()),"",IF(AND(BD30="",BE30=""),"",N(BE30)-N(BD30)))</f>
        <v/>
      </c>
      <c r="BJ30">
        <f>IF(OR(BH$3="",BH$3&gt;TODAY()),"",IF(AND(BH30="",BI30=""),"",N(BI30)-N(BH30)))</f>
        <v/>
      </c>
      <c r="BM30">
        <f>IF(OR(BH$3="",BH$3&gt;TODAY()),"",IF(AND(BK30="",BL30=""),"",N(BL30)-N(BK30)))</f>
        <v/>
      </c>
      <c r="BQ30">
        <f>IF(OR(BO$3="",BO$3&gt;TODAY()),"",IF(AND(BO30="",BP30=""),"",N(BP30)-N(BO30)))</f>
        <v/>
      </c>
      <c r="BT30">
        <f>IF(OR(BO$3="",BO$3&gt;TODAY()),"",IF(AND(BR30="",BS30=""),"",N(BS30)-N(BR30)))</f>
        <v/>
      </c>
      <c r="BX30">
        <f>IF(OR(BV$3="",BV$3&gt;TODAY()),"",IF(AND(BV30="",BW30=""),"",N(BW30)-N(BV30)))</f>
        <v/>
      </c>
      <c r="CA30">
        <f>IF(OR(BV$3="",BV$3&gt;TODAY()),"",IF(AND(BY30="",BZ30=""),"",N(BZ30)-N(BY30)))</f>
        <v/>
      </c>
      <c r="CE30">
        <f>IF(OR(CC$3="",CC$3&gt;TODAY()),"",IF(AND(CC30="",CD30=""),"",N(CD30)-N(CC30)))</f>
        <v/>
      </c>
      <c r="CH30">
        <f>IF(OR(CC$3="",CC$3&gt;TODAY()),"",IF(AND(CF30="",CG30=""),"",N(CG30)-N(CF30)))</f>
        <v/>
      </c>
      <c r="CL30">
        <f>IF(OR(CJ$3="",CJ$3&gt;TODAY()),"",IF(AND(CJ30="",CK30=""),"",N(CK30)-N(CJ30)))</f>
        <v/>
      </c>
      <c r="CO30">
        <f>IF(OR(CJ$3="",CJ$3&gt;TODAY()),"",IF(AND(CM30="",CN30=""),"",N(CN30)-N(CM30)))</f>
        <v/>
      </c>
      <c r="CS30">
        <f>IF(OR(CQ$3="",CQ$3&gt;TODAY()),"",IF(AND(CQ30="",CR30=""),"",N(CR30)-N(CQ30)))</f>
        <v/>
      </c>
      <c r="CV30">
        <f>IF(OR(CQ$3="",CQ$3&gt;TODAY()),"",IF(AND(CT30="",CU30=""),"",N(CU30)-N(CT30)))</f>
        <v/>
      </c>
      <c r="CZ30">
        <f>IF(OR(CX$3="",CX$3&gt;TODAY()),"",IF(AND(CX30="",CY30=""),"",N(CY30)-N(CX30)))</f>
        <v/>
      </c>
      <c r="DC30">
        <f>IF(OR(CX$3="",CX$3&gt;TODAY()),"",IF(AND(DA30="",DB30=""),"",N(DB30)-N(DA30)))</f>
        <v/>
      </c>
      <c r="DG30">
        <f>IF(OR(DE$3="",DE$3&gt;TODAY()),"",IF(AND(DE30="",DF30=""),"",N(DF30)-N(DE30)))</f>
        <v/>
      </c>
      <c r="DJ30">
        <f>IF(OR(DE$3="",DE$3&gt;TODAY()),"",IF(AND(DH30="",DI30=""),"",N(DI30)-N(DH30)))</f>
        <v/>
      </c>
      <c r="DN30">
        <f>IF(OR(DL$3="",DL$3&gt;TODAY()),"",IF(AND(DL30="",DM30=""),"",N(DM30)-N(DL30)))</f>
        <v/>
      </c>
      <c r="DQ30">
        <f>IF(OR(DL$3="",DL$3&gt;TODAY()),"",IF(AND(DO30="",DP30=""),"",N(DP30)-N(DO30)))</f>
        <v/>
      </c>
      <c r="DU30">
        <f>IF(OR(DS$3="",DS$3&gt;TODAY()),"",IF(AND(DS30="",DT30=""),"",N(DT30)-N(DS30)))</f>
        <v/>
      </c>
      <c r="DX30">
        <f>IF(OR(DS$3="",DS$3&gt;TODAY()),"",IF(AND(DV30="",DW30=""),"",N(DW30)-N(DV30)))</f>
        <v/>
      </c>
      <c r="EB30">
        <f>IF(OR(DZ$3="",DZ$3&gt;TODAY()),"",IF(AND(DZ30="",EA30=""),"",N(EA30)-N(DZ30)))</f>
        <v/>
      </c>
      <c r="EE30">
        <f>IF(OR(DZ$3="",DZ$3&gt;TODAY()),"",IF(AND(EC30="",ED30=""),"",N(ED30)-N(EC30)))</f>
        <v/>
      </c>
      <c r="EI30">
        <f>IF(OR(EG$3="",EG$3&gt;TODAY()),"",IF(AND(EG30="",EH30=""),"",N(EH30)-N(EG30)))</f>
        <v/>
      </c>
      <c r="EL30">
        <f>IF(OR(EG$3="",EG$3&gt;TODAY()),"",IF(AND(EJ30="",EK30=""),"",N(EK30)-N(EJ30)))</f>
        <v/>
      </c>
      <c r="EP30">
        <f>IF(OR(EN$3="",EN$3&gt;TODAY()),"",IF(AND(EN30="",EO30=""),"",N(EO30)-N(EN30)))</f>
        <v/>
      </c>
      <c r="ES30">
        <f>IF(OR(EN$3="",EN$3&gt;TODAY()),"",IF(AND(EQ30="",ER30=""),"",N(ER30)-N(EQ30)))</f>
        <v/>
      </c>
      <c r="EW30">
        <f>IF(OR(EU$3="",EU$3&gt;TODAY()),"",IF(AND(EU30="",EV30=""),"",N(EV30)-N(EU30)))</f>
        <v/>
      </c>
      <c r="EZ30">
        <f>IF(OR(EU$3="",EU$3&gt;TODAY()),"",IF(AND(EX30="",EY30=""),"",N(EY30)-N(EX30)))</f>
        <v/>
      </c>
      <c r="FD30">
        <f>IF(OR(FB$3="",FB$3&gt;TODAY()),"",IF(AND(FB30="",FC30=""),"",N(FC30)-N(FB30)))</f>
        <v/>
      </c>
      <c r="FG30">
        <f>IF(OR(FB$3="",FB$3&gt;TODAY()),"",IF(AND(FE30="",FF30=""),"",N(FF30)-N(FE30)))</f>
        <v/>
      </c>
      <c r="FK30">
        <f>IF(OR(FI$3="",FI$3&gt;TODAY()),"",IF(AND(FI30="",FJ30=""),"",N(FJ30)-N(FI30)))</f>
        <v/>
      </c>
      <c r="FN30">
        <f>IF(OR(FI$3="",FI$3&gt;TODAY()),"",IF(AND(FL30="",FM30=""),"",N(FM30)-N(FL30)))</f>
        <v/>
      </c>
      <c r="FR30">
        <f>IF(OR(FP$3="",FP$3&gt;TODAY()),"",IF(AND(FP30="",FQ30=""),"",N(FQ30)-N(FP30)))</f>
        <v/>
      </c>
      <c r="FU30">
        <f>IF(OR(FP$3="",FP$3&gt;TODAY()),"",IF(AND(FS30="",FT30=""),"",N(FT30)-N(FS30)))</f>
        <v/>
      </c>
      <c r="FY30">
        <f>IF(OR(FW$3="",FW$3&gt;TODAY()),"",IF(AND(FW30="",FX30=""),"",N(FX30)-N(FW30)))</f>
        <v/>
      </c>
      <c r="GB30">
        <f>IF(OR(FW$3="",FW$3&gt;TODAY()),"",IF(AND(FZ30="",GA30=""),"",N(GA30)-N(FZ30)))</f>
        <v/>
      </c>
      <c r="GF30">
        <f>IF(OR(GD$3="",GD$3&gt;TODAY()),"",IF(AND(GD30="",GE30=""),"",N(GE30)-N(GD30)))</f>
        <v/>
      </c>
      <c r="GI30">
        <f>IF(OR(GD$3="",GD$3&gt;TODAY()),"",IF(AND(GG30="",GH30=""),"",N(GH30)-N(GG30)))</f>
        <v/>
      </c>
      <c r="GM30">
        <f>IF(OR(GK$3="",GK$3&gt;TODAY()),"",IF(AND(GK30="",GL30=""),"",N(GL30)-N(GK30)))</f>
        <v/>
      </c>
      <c r="GP30">
        <f>IF(OR(GK$3="",GK$3&gt;TODAY()),"",IF(AND(GN30="",GO30=""),"",N(GO30)-N(GN30)))</f>
        <v/>
      </c>
      <c r="GT30">
        <f>IF(OR(GR$3="",GR$3&gt;TODAY()),"",IF(AND(GR30="",GS30=""),"",N(GS30)-N(GR30)))</f>
        <v/>
      </c>
      <c r="GW30">
        <f>IF(OR(GR$3="",GR$3&gt;TODAY()),"",IF(AND(GU30="",GV30=""),"",N(GV30)-N(GU30)))</f>
        <v/>
      </c>
      <c r="HA30">
        <f>IF(OR(GY$3="",GY$3&gt;TODAY()),"",IF(AND(GY30="",GZ30=""),"",N(GZ30)-N(GY30)))</f>
        <v/>
      </c>
      <c r="HD30">
        <f>IF(OR(GY$3="",GY$3&gt;TODAY()),"",IF(AND(HB30="",HC30=""),"",N(HC30)-N(HB30)))</f>
        <v/>
      </c>
      <c r="HH30">
        <f>IF(OR(HF$3="",HF$3&gt;TODAY()),"",IF(AND(HF30="",HG30=""),"",N(HG30)-N(HF30)))</f>
        <v/>
      </c>
      <c r="HK30">
        <f>IF(OR(HF$3="",HF$3&gt;TODAY()),"",IF(AND(HI30="",HJ30=""),"",N(HJ30)-N(HI30)))</f>
        <v/>
      </c>
      <c r="HO30">
        <f>IF(OR(HM$3="",HM$3&gt;TODAY()),"",IF(AND(HM30="",HN30=""),"",N(HN30)-N(HM30)))</f>
        <v/>
      </c>
      <c r="HR30">
        <f>IF(OR(HM$3="",HM$3&gt;TODAY()),"",IF(AND(HP30="",HQ30=""),"",N(HQ30)-N(HP30)))</f>
        <v/>
      </c>
      <c r="HV30">
        <f>IF(OR(HT$3="",HT$3&gt;TODAY()),"",IF(AND(HT30="",HU30=""),"",N(HU30)-N(HT30)))</f>
        <v/>
      </c>
      <c r="HY30">
        <f>IF(OR(HT$3="",HT$3&gt;TODAY()),"",IF(AND(HW30="",HX30=""),"",N(HX30)-N(HW30)))</f>
        <v/>
      </c>
      <c r="IC30">
        <f>IF(OR(IA$3="",IA$3&gt;TODAY()),"",IF(AND(IA30="",IB30=""),"",N(IB30)-N(IA30)))</f>
        <v/>
      </c>
      <c r="IF30">
        <f>IF(OR(IA$3="",IA$3&gt;TODAY()),"",IF(AND(ID30="",IE30=""),"",N(IE30)-N(ID30)))</f>
        <v/>
      </c>
      <c r="IJ30">
        <f>IF(OR(IH$3="",IH$3&gt;TODAY()),"",IF(AND(IH30="",II30=""),"",N(II30)-N(IH30)))</f>
        <v/>
      </c>
      <c r="IM30">
        <f>IF(OR(IH$3="",IH$3&gt;TODAY()),"",IF(AND(IK30="",IL30=""),"",N(IL30)-N(IK30)))</f>
        <v/>
      </c>
    </row>
    <row r="31">
      <c r="A31" s="21" t="n"/>
      <c r="B31" s="21" t="n"/>
      <c r="C31" s="21" t="n"/>
      <c r="D31" s="21" t="n"/>
      <c r="E31" s="21" t="n"/>
      <c r="F31" s="21" t="n"/>
      <c r="G31" s="21" t="n"/>
      <c r="H31" s="21" t="n"/>
      <c r="I31" s="22" t="n"/>
      <c r="J31" s="22" t="n"/>
      <c r="K31" s="23" t="n"/>
      <c r="L31" s="22" t="n"/>
      <c r="M31" s="22" t="n"/>
      <c r="N31" s="21" t="n"/>
      <c r="O31" s="23" t="n"/>
      <c r="P31" s="23" t="n"/>
      <c r="Q31" s="23" t="n"/>
      <c r="R31" s="23" t="n"/>
      <c r="S31" s="22" t="n"/>
      <c r="T31" s="23" t="n"/>
      <c r="U31" s="23" t="n"/>
      <c r="V31" s="24">
        <f>IF(J31&lt;&gt;"",J31,IF(I31&lt;&gt;"",I31,""))</f>
        <v/>
      </c>
      <c r="W31" s="25">
        <f>IF($E31="","",N(O31)+SUMIFS($AF31:$IN31,$AF$4:$IN$4,"SEW_ACT"))</f>
        <v/>
      </c>
      <c r="X31" s="25">
        <f>IF($E31="","",N(P31)+SUMIFS($AF31:$IN31,$AF$4:$IN$4,"WASH_ACT"))</f>
        <v/>
      </c>
      <c r="Y31" s="25">
        <f>IF($E31="","",W31-X31-N(T31)-N(U31))</f>
        <v/>
      </c>
      <c r="Z31" s="25">
        <f>IF($E31="","",IF(N(K31)-X31&lt;=0.02*N(K31),0,N(K31)-X31))</f>
        <v/>
      </c>
      <c r="AA31" s="24">
        <f>IF($E31="","",IF(S31&lt;&gt;"",S31,IF(N(O31)&gt;0,IF(L31&lt;&gt;"",L31,99999),IFERROR(1/(1/_xlfn.MINIFS($AF$3:$IN$3,$AF$4:$IN$4,"SEW_ACT",$AF31:$IN31,"&gt;0")),99999))))</f>
        <v/>
      </c>
      <c r="AB31" s="26">
        <f>IF(OR($E31="",Z31=0,V31=""),"",1+COUNTIFS(Z$8:Z$707,"&gt;0",V$8:V$707,"&lt;"&amp;V31)+COUNTIFS(Z$8:Z$707,"&gt;0",V$8:V$707,V31,AA$8:AA$707,"&lt;"&amp;AA31)+COUNTIFS(Z$8:Z$707,"&gt;0",V$8:V$707,V31,AA$8:AA$707,AA31,E$8:E$707,"&lt;"&amp;$E31))</f>
        <v/>
      </c>
      <c r="AC31" s="24">
        <f>IF(OR($E31="",Z31=0),"",IFERROR(TODAY()+ROUNDUP(Z31/(SUMIFS($AF31:$IN31,$AF$4:$IN$4,"WASH_ACT")/COUNTIFS($AF$4:$IN$4,"WASH_ACT",$AF31:$IN31,"&gt;0")),0),"no output yet"))</f>
        <v/>
      </c>
      <c r="AD31" s="26">
        <f>IF($E31="","",IFERROR(ROUND(MAX(0,SUMIFS($AF31:$IN31,$AF$4:$IN$4,"SEW_PLAN",$AF$3:$IN$3,"&lt;="&amp;TODAY())-SUMIFS($AF31:$IN31,$AF$4:$IN$4,"SEW_ACT",$AF$3:$IN$3,"&lt;="&amp;TODAY())+N(Q31))/(SUMIFS($AF31:$IN31,$AF$4:$IN$4,"SEW_PLAN")/COUNTIFS($AF$4:$IN$4,"SEW_PLAN",$AF31:$IN31,"&gt;0")),1),0))</f>
        <v/>
      </c>
      <c r="AE31" s="26">
        <f>IF($E31="","",IF(AND(Z31&gt;0,OR(AND(M31&lt;&gt;"",TODAY()&gt;M31),AND(V31&lt;&gt;"",V31-TODAY()&lt;=7))),"Yes","No"))</f>
        <v/>
      </c>
      <c r="AH31">
        <f>IF(OR(AF$3="",AF$3&gt;TODAY()),"",IF(AND(AF31="",AG31=""),"",N(AG31)-N(AF31)))</f>
        <v/>
      </c>
      <c r="AK31">
        <f>IF(OR(AF$3="",AF$3&gt;TODAY()),"",IF(AND(AI31="",AJ31=""),"",N(AJ31)-N(AI31)))</f>
        <v/>
      </c>
      <c r="AO31">
        <f>IF(OR(AM$3="",AM$3&gt;TODAY()),"",IF(AND(AM31="",AN31=""),"",N(AN31)-N(AM31)))</f>
        <v/>
      </c>
      <c r="AR31">
        <f>IF(OR(AM$3="",AM$3&gt;TODAY()),"",IF(AND(AP31="",AQ31=""),"",N(AQ31)-N(AP31)))</f>
        <v/>
      </c>
      <c r="AV31">
        <f>IF(OR(AT$3="",AT$3&gt;TODAY()),"",IF(AND(AT31="",AU31=""),"",N(AU31)-N(AT31)))</f>
        <v/>
      </c>
      <c r="AY31">
        <f>IF(OR(AT$3="",AT$3&gt;TODAY()),"",IF(AND(AW31="",AX31=""),"",N(AX31)-N(AW31)))</f>
        <v/>
      </c>
      <c r="BC31">
        <f>IF(OR(BA$3="",BA$3&gt;TODAY()),"",IF(AND(BA31="",BB31=""),"",N(BB31)-N(BA31)))</f>
        <v/>
      </c>
      <c r="BF31">
        <f>IF(OR(BA$3="",BA$3&gt;TODAY()),"",IF(AND(BD31="",BE31=""),"",N(BE31)-N(BD31)))</f>
        <v/>
      </c>
      <c r="BJ31">
        <f>IF(OR(BH$3="",BH$3&gt;TODAY()),"",IF(AND(BH31="",BI31=""),"",N(BI31)-N(BH31)))</f>
        <v/>
      </c>
      <c r="BM31">
        <f>IF(OR(BH$3="",BH$3&gt;TODAY()),"",IF(AND(BK31="",BL31=""),"",N(BL31)-N(BK31)))</f>
        <v/>
      </c>
      <c r="BQ31">
        <f>IF(OR(BO$3="",BO$3&gt;TODAY()),"",IF(AND(BO31="",BP31=""),"",N(BP31)-N(BO31)))</f>
        <v/>
      </c>
      <c r="BT31">
        <f>IF(OR(BO$3="",BO$3&gt;TODAY()),"",IF(AND(BR31="",BS31=""),"",N(BS31)-N(BR31)))</f>
        <v/>
      </c>
      <c r="BX31">
        <f>IF(OR(BV$3="",BV$3&gt;TODAY()),"",IF(AND(BV31="",BW31=""),"",N(BW31)-N(BV31)))</f>
        <v/>
      </c>
      <c r="CA31">
        <f>IF(OR(BV$3="",BV$3&gt;TODAY()),"",IF(AND(BY31="",BZ31=""),"",N(BZ31)-N(BY31)))</f>
        <v/>
      </c>
      <c r="CE31">
        <f>IF(OR(CC$3="",CC$3&gt;TODAY()),"",IF(AND(CC31="",CD31=""),"",N(CD31)-N(CC31)))</f>
        <v/>
      </c>
      <c r="CH31">
        <f>IF(OR(CC$3="",CC$3&gt;TODAY()),"",IF(AND(CF31="",CG31=""),"",N(CG31)-N(CF31)))</f>
        <v/>
      </c>
      <c r="CL31">
        <f>IF(OR(CJ$3="",CJ$3&gt;TODAY()),"",IF(AND(CJ31="",CK31=""),"",N(CK31)-N(CJ31)))</f>
        <v/>
      </c>
      <c r="CO31">
        <f>IF(OR(CJ$3="",CJ$3&gt;TODAY()),"",IF(AND(CM31="",CN31=""),"",N(CN31)-N(CM31)))</f>
        <v/>
      </c>
      <c r="CS31">
        <f>IF(OR(CQ$3="",CQ$3&gt;TODAY()),"",IF(AND(CQ31="",CR31=""),"",N(CR31)-N(CQ31)))</f>
        <v/>
      </c>
      <c r="CV31">
        <f>IF(OR(CQ$3="",CQ$3&gt;TODAY()),"",IF(AND(CT31="",CU31=""),"",N(CU31)-N(CT31)))</f>
        <v/>
      </c>
      <c r="CZ31">
        <f>IF(OR(CX$3="",CX$3&gt;TODAY()),"",IF(AND(CX31="",CY31=""),"",N(CY31)-N(CX31)))</f>
        <v/>
      </c>
      <c r="DC31">
        <f>IF(OR(CX$3="",CX$3&gt;TODAY()),"",IF(AND(DA31="",DB31=""),"",N(DB31)-N(DA31)))</f>
        <v/>
      </c>
      <c r="DG31">
        <f>IF(OR(DE$3="",DE$3&gt;TODAY()),"",IF(AND(DE31="",DF31=""),"",N(DF31)-N(DE31)))</f>
        <v/>
      </c>
      <c r="DJ31">
        <f>IF(OR(DE$3="",DE$3&gt;TODAY()),"",IF(AND(DH31="",DI31=""),"",N(DI31)-N(DH31)))</f>
        <v/>
      </c>
      <c r="DN31">
        <f>IF(OR(DL$3="",DL$3&gt;TODAY()),"",IF(AND(DL31="",DM31=""),"",N(DM31)-N(DL31)))</f>
        <v/>
      </c>
      <c r="DQ31">
        <f>IF(OR(DL$3="",DL$3&gt;TODAY()),"",IF(AND(DO31="",DP31=""),"",N(DP31)-N(DO31)))</f>
        <v/>
      </c>
      <c r="DU31">
        <f>IF(OR(DS$3="",DS$3&gt;TODAY()),"",IF(AND(DS31="",DT31=""),"",N(DT31)-N(DS31)))</f>
        <v/>
      </c>
      <c r="DX31">
        <f>IF(OR(DS$3="",DS$3&gt;TODAY()),"",IF(AND(DV31="",DW31=""),"",N(DW31)-N(DV31)))</f>
        <v/>
      </c>
      <c r="EB31">
        <f>IF(OR(DZ$3="",DZ$3&gt;TODAY()),"",IF(AND(DZ31="",EA31=""),"",N(EA31)-N(DZ31)))</f>
        <v/>
      </c>
      <c r="EE31">
        <f>IF(OR(DZ$3="",DZ$3&gt;TODAY()),"",IF(AND(EC31="",ED31=""),"",N(ED31)-N(EC31)))</f>
        <v/>
      </c>
      <c r="EI31">
        <f>IF(OR(EG$3="",EG$3&gt;TODAY()),"",IF(AND(EG31="",EH31=""),"",N(EH31)-N(EG31)))</f>
        <v/>
      </c>
      <c r="EL31">
        <f>IF(OR(EG$3="",EG$3&gt;TODAY()),"",IF(AND(EJ31="",EK31=""),"",N(EK31)-N(EJ31)))</f>
        <v/>
      </c>
      <c r="EP31">
        <f>IF(OR(EN$3="",EN$3&gt;TODAY()),"",IF(AND(EN31="",EO31=""),"",N(EO31)-N(EN31)))</f>
        <v/>
      </c>
      <c r="ES31">
        <f>IF(OR(EN$3="",EN$3&gt;TODAY()),"",IF(AND(EQ31="",ER31=""),"",N(ER31)-N(EQ31)))</f>
        <v/>
      </c>
      <c r="EW31">
        <f>IF(OR(EU$3="",EU$3&gt;TODAY()),"",IF(AND(EU31="",EV31=""),"",N(EV31)-N(EU31)))</f>
        <v/>
      </c>
      <c r="EZ31">
        <f>IF(OR(EU$3="",EU$3&gt;TODAY()),"",IF(AND(EX31="",EY31=""),"",N(EY31)-N(EX31)))</f>
        <v/>
      </c>
      <c r="FD31">
        <f>IF(OR(FB$3="",FB$3&gt;TODAY()),"",IF(AND(FB31="",FC31=""),"",N(FC31)-N(FB31)))</f>
        <v/>
      </c>
      <c r="FG31">
        <f>IF(OR(FB$3="",FB$3&gt;TODAY()),"",IF(AND(FE31="",FF31=""),"",N(FF31)-N(FE31)))</f>
        <v/>
      </c>
      <c r="FK31">
        <f>IF(OR(FI$3="",FI$3&gt;TODAY()),"",IF(AND(FI31="",FJ31=""),"",N(FJ31)-N(FI31)))</f>
        <v/>
      </c>
      <c r="FN31">
        <f>IF(OR(FI$3="",FI$3&gt;TODAY()),"",IF(AND(FL31="",FM31=""),"",N(FM31)-N(FL31)))</f>
        <v/>
      </c>
      <c r="FR31">
        <f>IF(OR(FP$3="",FP$3&gt;TODAY()),"",IF(AND(FP31="",FQ31=""),"",N(FQ31)-N(FP31)))</f>
        <v/>
      </c>
      <c r="FU31">
        <f>IF(OR(FP$3="",FP$3&gt;TODAY()),"",IF(AND(FS31="",FT31=""),"",N(FT31)-N(FS31)))</f>
        <v/>
      </c>
      <c r="FY31">
        <f>IF(OR(FW$3="",FW$3&gt;TODAY()),"",IF(AND(FW31="",FX31=""),"",N(FX31)-N(FW31)))</f>
        <v/>
      </c>
      <c r="GB31">
        <f>IF(OR(FW$3="",FW$3&gt;TODAY()),"",IF(AND(FZ31="",GA31=""),"",N(GA31)-N(FZ31)))</f>
        <v/>
      </c>
      <c r="GF31">
        <f>IF(OR(GD$3="",GD$3&gt;TODAY()),"",IF(AND(GD31="",GE31=""),"",N(GE31)-N(GD31)))</f>
        <v/>
      </c>
      <c r="GI31">
        <f>IF(OR(GD$3="",GD$3&gt;TODAY()),"",IF(AND(GG31="",GH31=""),"",N(GH31)-N(GG31)))</f>
        <v/>
      </c>
      <c r="GM31">
        <f>IF(OR(GK$3="",GK$3&gt;TODAY()),"",IF(AND(GK31="",GL31=""),"",N(GL31)-N(GK31)))</f>
        <v/>
      </c>
      <c r="GP31">
        <f>IF(OR(GK$3="",GK$3&gt;TODAY()),"",IF(AND(GN31="",GO31=""),"",N(GO31)-N(GN31)))</f>
        <v/>
      </c>
      <c r="GT31">
        <f>IF(OR(GR$3="",GR$3&gt;TODAY()),"",IF(AND(GR31="",GS31=""),"",N(GS31)-N(GR31)))</f>
        <v/>
      </c>
      <c r="GW31">
        <f>IF(OR(GR$3="",GR$3&gt;TODAY()),"",IF(AND(GU31="",GV31=""),"",N(GV31)-N(GU31)))</f>
        <v/>
      </c>
      <c r="HA31">
        <f>IF(OR(GY$3="",GY$3&gt;TODAY()),"",IF(AND(GY31="",GZ31=""),"",N(GZ31)-N(GY31)))</f>
        <v/>
      </c>
      <c r="HD31">
        <f>IF(OR(GY$3="",GY$3&gt;TODAY()),"",IF(AND(HB31="",HC31=""),"",N(HC31)-N(HB31)))</f>
        <v/>
      </c>
      <c r="HH31">
        <f>IF(OR(HF$3="",HF$3&gt;TODAY()),"",IF(AND(HF31="",HG31=""),"",N(HG31)-N(HF31)))</f>
        <v/>
      </c>
      <c r="HK31">
        <f>IF(OR(HF$3="",HF$3&gt;TODAY()),"",IF(AND(HI31="",HJ31=""),"",N(HJ31)-N(HI31)))</f>
        <v/>
      </c>
      <c r="HO31">
        <f>IF(OR(HM$3="",HM$3&gt;TODAY()),"",IF(AND(HM31="",HN31=""),"",N(HN31)-N(HM31)))</f>
        <v/>
      </c>
      <c r="HR31">
        <f>IF(OR(HM$3="",HM$3&gt;TODAY()),"",IF(AND(HP31="",HQ31=""),"",N(HQ31)-N(HP31)))</f>
        <v/>
      </c>
      <c r="HV31">
        <f>IF(OR(HT$3="",HT$3&gt;TODAY()),"",IF(AND(HT31="",HU31=""),"",N(HU31)-N(HT31)))</f>
        <v/>
      </c>
      <c r="HY31">
        <f>IF(OR(HT$3="",HT$3&gt;TODAY()),"",IF(AND(HW31="",HX31=""),"",N(HX31)-N(HW31)))</f>
        <v/>
      </c>
      <c r="IC31">
        <f>IF(OR(IA$3="",IA$3&gt;TODAY()),"",IF(AND(IA31="",IB31=""),"",N(IB31)-N(IA31)))</f>
        <v/>
      </c>
      <c r="IF31">
        <f>IF(OR(IA$3="",IA$3&gt;TODAY()),"",IF(AND(ID31="",IE31=""),"",N(IE31)-N(ID31)))</f>
        <v/>
      </c>
      <c r="IJ31">
        <f>IF(OR(IH$3="",IH$3&gt;TODAY()),"",IF(AND(IH31="",II31=""),"",N(II31)-N(IH31)))</f>
        <v/>
      </c>
      <c r="IM31">
        <f>IF(OR(IH$3="",IH$3&gt;TODAY()),"",IF(AND(IK31="",IL31=""),"",N(IL31)-N(IK31)))</f>
        <v/>
      </c>
    </row>
    <row r="32">
      <c r="A32" s="21" t="n"/>
      <c r="B32" s="21" t="n"/>
      <c r="C32" s="21" t="n"/>
      <c r="D32" s="21" t="n"/>
      <c r="E32" s="21" t="n"/>
      <c r="F32" s="21" t="n"/>
      <c r="G32" s="21" t="n"/>
      <c r="H32" s="21" t="n"/>
      <c r="I32" s="22" t="n"/>
      <c r="J32" s="22" t="n"/>
      <c r="K32" s="23" t="n"/>
      <c r="L32" s="22" t="n"/>
      <c r="M32" s="22" t="n"/>
      <c r="N32" s="21" t="n"/>
      <c r="O32" s="23" t="n"/>
      <c r="P32" s="23" t="n"/>
      <c r="Q32" s="23" t="n"/>
      <c r="R32" s="23" t="n"/>
      <c r="S32" s="22" t="n"/>
      <c r="T32" s="23" t="n"/>
      <c r="U32" s="23" t="n"/>
      <c r="V32" s="24">
        <f>IF(J32&lt;&gt;"",J32,IF(I32&lt;&gt;"",I32,""))</f>
        <v/>
      </c>
      <c r="W32" s="25">
        <f>IF($E32="","",N(O32)+SUMIFS($AF32:$IN32,$AF$4:$IN$4,"SEW_ACT"))</f>
        <v/>
      </c>
      <c r="X32" s="25">
        <f>IF($E32="","",N(P32)+SUMIFS($AF32:$IN32,$AF$4:$IN$4,"WASH_ACT"))</f>
        <v/>
      </c>
      <c r="Y32" s="25">
        <f>IF($E32="","",W32-X32-N(T32)-N(U32))</f>
        <v/>
      </c>
      <c r="Z32" s="25">
        <f>IF($E32="","",IF(N(K32)-X32&lt;=0.02*N(K32),0,N(K32)-X32))</f>
        <v/>
      </c>
      <c r="AA32" s="24">
        <f>IF($E32="","",IF(S32&lt;&gt;"",S32,IF(N(O32)&gt;0,IF(L32&lt;&gt;"",L32,99999),IFERROR(1/(1/_xlfn.MINIFS($AF$3:$IN$3,$AF$4:$IN$4,"SEW_ACT",$AF32:$IN32,"&gt;0")),99999))))</f>
        <v/>
      </c>
      <c r="AB32" s="26">
        <f>IF(OR($E32="",Z32=0,V32=""),"",1+COUNTIFS(Z$8:Z$707,"&gt;0",V$8:V$707,"&lt;"&amp;V32)+COUNTIFS(Z$8:Z$707,"&gt;0",V$8:V$707,V32,AA$8:AA$707,"&lt;"&amp;AA32)+COUNTIFS(Z$8:Z$707,"&gt;0",V$8:V$707,V32,AA$8:AA$707,AA32,E$8:E$707,"&lt;"&amp;$E32))</f>
        <v/>
      </c>
      <c r="AC32" s="24">
        <f>IF(OR($E32="",Z32=0),"",IFERROR(TODAY()+ROUNDUP(Z32/(SUMIFS($AF32:$IN32,$AF$4:$IN$4,"WASH_ACT")/COUNTIFS($AF$4:$IN$4,"WASH_ACT",$AF32:$IN32,"&gt;0")),0),"no output yet"))</f>
        <v/>
      </c>
      <c r="AD32" s="26">
        <f>IF($E32="","",IFERROR(ROUND(MAX(0,SUMIFS($AF32:$IN32,$AF$4:$IN$4,"SEW_PLAN",$AF$3:$IN$3,"&lt;="&amp;TODAY())-SUMIFS($AF32:$IN32,$AF$4:$IN$4,"SEW_ACT",$AF$3:$IN$3,"&lt;="&amp;TODAY())+N(Q32))/(SUMIFS($AF32:$IN32,$AF$4:$IN$4,"SEW_PLAN")/COUNTIFS($AF$4:$IN$4,"SEW_PLAN",$AF32:$IN32,"&gt;0")),1),0))</f>
        <v/>
      </c>
      <c r="AE32" s="26">
        <f>IF($E32="","",IF(AND(Z32&gt;0,OR(AND(M32&lt;&gt;"",TODAY()&gt;M32),AND(V32&lt;&gt;"",V32-TODAY()&lt;=7))),"Yes","No"))</f>
        <v/>
      </c>
      <c r="AH32">
        <f>IF(OR(AF$3="",AF$3&gt;TODAY()),"",IF(AND(AF32="",AG32=""),"",N(AG32)-N(AF32)))</f>
        <v/>
      </c>
      <c r="AK32">
        <f>IF(OR(AF$3="",AF$3&gt;TODAY()),"",IF(AND(AI32="",AJ32=""),"",N(AJ32)-N(AI32)))</f>
        <v/>
      </c>
      <c r="AO32">
        <f>IF(OR(AM$3="",AM$3&gt;TODAY()),"",IF(AND(AM32="",AN32=""),"",N(AN32)-N(AM32)))</f>
        <v/>
      </c>
      <c r="AR32">
        <f>IF(OR(AM$3="",AM$3&gt;TODAY()),"",IF(AND(AP32="",AQ32=""),"",N(AQ32)-N(AP32)))</f>
        <v/>
      </c>
      <c r="AV32">
        <f>IF(OR(AT$3="",AT$3&gt;TODAY()),"",IF(AND(AT32="",AU32=""),"",N(AU32)-N(AT32)))</f>
        <v/>
      </c>
      <c r="AY32">
        <f>IF(OR(AT$3="",AT$3&gt;TODAY()),"",IF(AND(AW32="",AX32=""),"",N(AX32)-N(AW32)))</f>
        <v/>
      </c>
      <c r="BC32">
        <f>IF(OR(BA$3="",BA$3&gt;TODAY()),"",IF(AND(BA32="",BB32=""),"",N(BB32)-N(BA32)))</f>
        <v/>
      </c>
      <c r="BF32">
        <f>IF(OR(BA$3="",BA$3&gt;TODAY()),"",IF(AND(BD32="",BE32=""),"",N(BE32)-N(BD32)))</f>
        <v/>
      </c>
      <c r="BJ32">
        <f>IF(OR(BH$3="",BH$3&gt;TODAY()),"",IF(AND(BH32="",BI32=""),"",N(BI32)-N(BH32)))</f>
        <v/>
      </c>
      <c r="BM32">
        <f>IF(OR(BH$3="",BH$3&gt;TODAY()),"",IF(AND(BK32="",BL32=""),"",N(BL32)-N(BK32)))</f>
        <v/>
      </c>
      <c r="BQ32">
        <f>IF(OR(BO$3="",BO$3&gt;TODAY()),"",IF(AND(BO32="",BP32=""),"",N(BP32)-N(BO32)))</f>
        <v/>
      </c>
      <c r="BT32">
        <f>IF(OR(BO$3="",BO$3&gt;TODAY()),"",IF(AND(BR32="",BS32=""),"",N(BS32)-N(BR32)))</f>
        <v/>
      </c>
      <c r="BX32">
        <f>IF(OR(BV$3="",BV$3&gt;TODAY()),"",IF(AND(BV32="",BW32=""),"",N(BW32)-N(BV32)))</f>
        <v/>
      </c>
      <c r="CA32">
        <f>IF(OR(BV$3="",BV$3&gt;TODAY()),"",IF(AND(BY32="",BZ32=""),"",N(BZ32)-N(BY32)))</f>
        <v/>
      </c>
      <c r="CE32">
        <f>IF(OR(CC$3="",CC$3&gt;TODAY()),"",IF(AND(CC32="",CD32=""),"",N(CD32)-N(CC32)))</f>
        <v/>
      </c>
      <c r="CH32">
        <f>IF(OR(CC$3="",CC$3&gt;TODAY()),"",IF(AND(CF32="",CG32=""),"",N(CG32)-N(CF32)))</f>
        <v/>
      </c>
      <c r="CL32">
        <f>IF(OR(CJ$3="",CJ$3&gt;TODAY()),"",IF(AND(CJ32="",CK32=""),"",N(CK32)-N(CJ32)))</f>
        <v/>
      </c>
      <c r="CO32">
        <f>IF(OR(CJ$3="",CJ$3&gt;TODAY()),"",IF(AND(CM32="",CN32=""),"",N(CN32)-N(CM32)))</f>
        <v/>
      </c>
      <c r="CS32">
        <f>IF(OR(CQ$3="",CQ$3&gt;TODAY()),"",IF(AND(CQ32="",CR32=""),"",N(CR32)-N(CQ32)))</f>
        <v/>
      </c>
      <c r="CV32">
        <f>IF(OR(CQ$3="",CQ$3&gt;TODAY()),"",IF(AND(CT32="",CU32=""),"",N(CU32)-N(CT32)))</f>
        <v/>
      </c>
      <c r="CZ32">
        <f>IF(OR(CX$3="",CX$3&gt;TODAY()),"",IF(AND(CX32="",CY32=""),"",N(CY32)-N(CX32)))</f>
        <v/>
      </c>
      <c r="DC32">
        <f>IF(OR(CX$3="",CX$3&gt;TODAY()),"",IF(AND(DA32="",DB32=""),"",N(DB32)-N(DA32)))</f>
        <v/>
      </c>
      <c r="DG32">
        <f>IF(OR(DE$3="",DE$3&gt;TODAY()),"",IF(AND(DE32="",DF32=""),"",N(DF32)-N(DE32)))</f>
        <v/>
      </c>
      <c r="DJ32">
        <f>IF(OR(DE$3="",DE$3&gt;TODAY()),"",IF(AND(DH32="",DI32=""),"",N(DI32)-N(DH32)))</f>
        <v/>
      </c>
      <c r="DN32">
        <f>IF(OR(DL$3="",DL$3&gt;TODAY()),"",IF(AND(DL32="",DM32=""),"",N(DM32)-N(DL32)))</f>
        <v/>
      </c>
      <c r="DQ32">
        <f>IF(OR(DL$3="",DL$3&gt;TODAY()),"",IF(AND(DO32="",DP32=""),"",N(DP32)-N(DO32)))</f>
        <v/>
      </c>
      <c r="DU32">
        <f>IF(OR(DS$3="",DS$3&gt;TODAY()),"",IF(AND(DS32="",DT32=""),"",N(DT32)-N(DS32)))</f>
        <v/>
      </c>
      <c r="DX32">
        <f>IF(OR(DS$3="",DS$3&gt;TODAY()),"",IF(AND(DV32="",DW32=""),"",N(DW32)-N(DV32)))</f>
        <v/>
      </c>
      <c r="EB32">
        <f>IF(OR(DZ$3="",DZ$3&gt;TODAY()),"",IF(AND(DZ32="",EA32=""),"",N(EA32)-N(DZ32)))</f>
        <v/>
      </c>
      <c r="EE32">
        <f>IF(OR(DZ$3="",DZ$3&gt;TODAY()),"",IF(AND(EC32="",ED32=""),"",N(ED32)-N(EC32)))</f>
        <v/>
      </c>
      <c r="EI32">
        <f>IF(OR(EG$3="",EG$3&gt;TODAY()),"",IF(AND(EG32="",EH32=""),"",N(EH32)-N(EG32)))</f>
        <v/>
      </c>
      <c r="EL32">
        <f>IF(OR(EG$3="",EG$3&gt;TODAY()),"",IF(AND(EJ32="",EK32=""),"",N(EK32)-N(EJ32)))</f>
        <v/>
      </c>
      <c r="EP32">
        <f>IF(OR(EN$3="",EN$3&gt;TODAY()),"",IF(AND(EN32="",EO32=""),"",N(EO32)-N(EN32)))</f>
        <v/>
      </c>
      <c r="ES32">
        <f>IF(OR(EN$3="",EN$3&gt;TODAY()),"",IF(AND(EQ32="",ER32=""),"",N(ER32)-N(EQ32)))</f>
        <v/>
      </c>
      <c r="EW32">
        <f>IF(OR(EU$3="",EU$3&gt;TODAY()),"",IF(AND(EU32="",EV32=""),"",N(EV32)-N(EU32)))</f>
        <v/>
      </c>
      <c r="EZ32">
        <f>IF(OR(EU$3="",EU$3&gt;TODAY()),"",IF(AND(EX32="",EY32=""),"",N(EY32)-N(EX32)))</f>
        <v/>
      </c>
      <c r="FD32">
        <f>IF(OR(FB$3="",FB$3&gt;TODAY()),"",IF(AND(FB32="",FC32=""),"",N(FC32)-N(FB32)))</f>
        <v/>
      </c>
      <c r="FG32">
        <f>IF(OR(FB$3="",FB$3&gt;TODAY()),"",IF(AND(FE32="",FF32=""),"",N(FF32)-N(FE32)))</f>
        <v/>
      </c>
      <c r="FK32">
        <f>IF(OR(FI$3="",FI$3&gt;TODAY()),"",IF(AND(FI32="",FJ32=""),"",N(FJ32)-N(FI32)))</f>
        <v/>
      </c>
      <c r="FN32">
        <f>IF(OR(FI$3="",FI$3&gt;TODAY()),"",IF(AND(FL32="",FM32=""),"",N(FM32)-N(FL32)))</f>
        <v/>
      </c>
      <c r="FR32">
        <f>IF(OR(FP$3="",FP$3&gt;TODAY()),"",IF(AND(FP32="",FQ32=""),"",N(FQ32)-N(FP32)))</f>
        <v/>
      </c>
      <c r="FU32">
        <f>IF(OR(FP$3="",FP$3&gt;TODAY()),"",IF(AND(FS32="",FT32=""),"",N(FT32)-N(FS32)))</f>
        <v/>
      </c>
      <c r="FY32">
        <f>IF(OR(FW$3="",FW$3&gt;TODAY()),"",IF(AND(FW32="",FX32=""),"",N(FX32)-N(FW32)))</f>
        <v/>
      </c>
      <c r="GB32">
        <f>IF(OR(FW$3="",FW$3&gt;TODAY()),"",IF(AND(FZ32="",GA32=""),"",N(GA32)-N(FZ32)))</f>
        <v/>
      </c>
      <c r="GF32">
        <f>IF(OR(GD$3="",GD$3&gt;TODAY()),"",IF(AND(GD32="",GE32=""),"",N(GE32)-N(GD32)))</f>
        <v/>
      </c>
      <c r="GI32">
        <f>IF(OR(GD$3="",GD$3&gt;TODAY()),"",IF(AND(GG32="",GH32=""),"",N(GH32)-N(GG32)))</f>
        <v/>
      </c>
      <c r="GM32">
        <f>IF(OR(GK$3="",GK$3&gt;TODAY()),"",IF(AND(GK32="",GL32=""),"",N(GL32)-N(GK32)))</f>
        <v/>
      </c>
      <c r="GP32">
        <f>IF(OR(GK$3="",GK$3&gt;TODAY()),"",IF(AND(GN32="",GO32=""),"",N(GO32)-N(GN32)))</f>
        <v/>
      </c>
      <c r="GT32">
        <f>IF(OR(GR$3="",GR$3&gt;TODAY()),"",IF(AND(GR32="",GS32=""),"",N(GS32)-N(GR32)))</f>
        <v/>
      </c>
      <c r="GW32">
        <f>IF(OR(GR$3="",GR$3&gt;TODAY()),"",IF(AND(GU32="",GV32=""),"",N(GV32)-N(GU32)))</f>
        <v/>
      </c>
      <c r="HA32">
        <f>IF(OR(GY$3="",GY$3&gt;TODAY()),"",IF(AND(GY32="",GZ32=""),"",N(GZ32)-N(GY32)))</f>
        <v/>
      </c>
      <c r="HD32">
        <f>IF(OR(GY$3="",GY$3&gt;TODAY()),"",IF(AND(HB32="",HC32=""),"",N(HC32)-N(HB32)))</f>
        <v/>
      </c>
      <c r="HH32">
        <f>IF(OR(HF$3="",HF$3&gt;TODAY()),"",IF(AND(HF32="",HG32=""),"",N(HG32)-N(HF32)))</f>
        <v/>
      </c>
      <c r="HK32">
        <f>IF(OR(HF$3="",HF$3&gt;TODAY()),"",IF(AND(HI32="",HJ32=""),"",N(HJ32)-N(HI32)))</f>
        <v/>
      </c>
      <c r="HO32">
        <f>IF(OR(HM$3="",HM$3&gt;TODAY()),"",IF(AND(HM32="",HN32=""),"",N(HN32)-N(HM32)))</f>
        <v/>
      </c>
      <c r="HR32">
        <f>IF(OR(HM$3="",HM$3&gt;TODAY()),"",IF(AND(HP32="",HQ32=""),"",N(HQ32)-N(HP32)))</f>
        <v/>
      </c>
      <c r="HV32">
        <f>IF(OR(HT$3="",HT$3&gt;TODAY()),"",IF(AND(HT32="",HU32=""),"",N(HU32)-N(HT32)))</f>
        <v/>
      </c>
      <c r="HY32">
        <f>IF(OR(HT$3="",HT$3&gt;TODAY()),"",IF(AND(HW32="",HX32=""),"",N(HX32)-N(HW32)))</f>
        <v/>
      </c>
      <c r="IC32">
        <f>IF(OR(IA$3="",IA$3&gt;TODAY()),"",IF(AND(IA32="",IB32=""),"",N(IB32)-N(IA32)))</f>
        <v/>
      </c>
      <c r="IF32">
        <f>IF(OR(IA$3="",IA$3&gt;TODAY()),"",IF(AND(ID32="",IE32=""),"",N(IE32)-N(ID32)))</f>
        <v/>
      </c>
      <c r="IJ32">
        <f>IF(OR(IH$3="",IH$3&gt;TODAY()),"",IF(AND(IH32="",II32=""),"",N(II32)-N(IH32)))</f>
        <v/>
      </c>
      <c r="IM32">
        <f>IF(OR(IH$3="",IH$3&gt;TODAY()),"",IF(AND(IK32="",IL32=""),"",N(IL32)-N(IK32)))</f>
        <v/>
      </c>
    </row>
    <row r="33">
      <c r="A33" s="21" t="n"/>
      <c r="B33" s="21" t="n"/>
      <c r="C33" s="21" t="n"/>
      <c r="D33" s="21" t="n"/>
      <c r="E33" s="21" t="n"/>
      <c r="F33" s="21" t="n"/>
      <c r="G33" s="21" t="n"/>
      <c r="H33" s="21" t="n"/>
      <c r="I33" s="22" t="n"/>
      <c r="J33" s="22" t="n"/>
      <c r="K33" s="23" t="n"/>
      <c r="L33" s="22" t="n"/>
      <c r="M33" s="22" t="n"/>
      <c r="N33" s="21" t="n"/>
      <c r="O33" s="23" t="n"/>
      <c r="P33" s="23" t="n"/>
      <c r="Q33" s="23" t="n"/>
      <c r="R33" s="23" t="n"/>
      <c r="S33" s="22" t="n"/>
      <c r="T33" s="23" t="n"/>
      <c r="U33" s="23" t="n"/>
      <c r="V33" s="24">
        <f>IF(J33&lt;&gt;"",J33,IF(I33&lt;&gt;"",I33,""))</f>
        <v/>
      </c>
      <c r="W33" s="25">
        <f>IF($E33="","",N(O33)+SUMIFS($AF33:$IN33,$AF$4:$IN$4,"SEW_ACT"))</f>
        <v/>
      </c>
      <c r="X33" s="25">
        <f>IF($E33="","",N(P33)+SUMIFS($AF33:$IN33,$AF$4:$IN$4,"WASH_ACT"))</f>
        <v/>
      </c>
      <c r="Y33" s="25">
        <f>IF($E33="","",W33-X33-N(T33)-N(U33))</f>
        <v/>
      </c>
      <c r="Z33" s="25">
        <f>IF($E33="","",IF(N(K33)-X33&lt;=0.02*N(K33),0,N(K33)-X33))</f>
        <v/>
      </c>
      <c r="AA33" s="24">
        <f>IF($E33="","",IF(S33&lt;&gt;"",S33,IF(N(O33)&gt;0,IF(L33&lt;&gt;"",L33,99999),IFERROR(1/(1/_xlfn.MINIFS($AF$3:$IN$3,$AF$4:$IN$4,"SEW_ACT",$AF33:$IN33,"&gt;0")),99999))))</f>
        <v/>
      </c>
      <c r="AB33" s="26">
        <f>IF(OR($E33="",Z33=0,V33=""),"",1+COUNTIFS(Z$8:Z$707,"&gt;0",V$8:V$707,"&lt;"&amp;V33)+COUNTIFS(Z$8:Z$707,"&gt;0",V$8:V$707,V33,AA$8:AA$707,"&lt;"&amp;AA33)+COUNTIFS(Z$8:Z$707,"&gt;0",V$8:V$707,V33,AA$8:AA$707,AA33,E$8:E$707,"&lt;"&amp;$E33))</f>
        <v/>
      </c>
      <c r="AC33" s="24">
        <f>IF(OR($E33="",Z33=0),"",IFERROR(TODAY()+ROUNDUP(Z33/(SUMIFS($AF33:$IN33,$AF$4:$IN$4,"WASH_ACT")/COUNTIFS($AF$4:$IN$4,"WASH_ACT",$AF33:$IN33,"&gt;0")),0),"no output yet"))</f>
        <v/>
      </c>
      <c r="AD33" s="26">
        <f>IF($E33="","",IFERROR(ROUND(MAX(0,SUMIFS($AF33:$IN33,$AF$4:$IN$4,"SEW_PLAN",$AF$3:$IN$3,"&lt;="&amp;TODAY())-SUMIFS($AF33:$IN33,$AF$4:$IN$4,"SEW_ACT",$AF$3:$IN$3,"&lt;="&amp;TODAY())+N(Q33))/(SUMIFS($AF33:$IN33,$AF$4:$IN$4,"SEW_PLAN")/COUNTIFS($AF$4:$IN$4,"SEW_PLAN",$AF33:$IN33,"&gt;0")),1),0))</f>
        <v/>
      </c>
      <c r="AE33" s="26">
        <f>IF($E33="","",IF(AND(Z33&gt;0,OR(AND(M33&lt;&gt;"",TODAY()&gt;M33),AND(V33&lt;&gt;"",V33-TODAY()&lt;=7))),"Yes","No"))</f>
        <v/>
      </c>
      <c r="AH33">
        <f>IF(OR(AF$3="",AF$3&gt;TODAY()),"",IF(AND(AF33="",AG33=""),"",N(AG33)-N(AF33)))</f>
        <v/>
      </c>
      <c r="AK33">
        <f>IF(OR(AF$3="",AF$3&gt;TODAY()),"",IF(AND(AI33="",AJ33=""),"",N(AJ33)-N(AI33)))</f>
        <v/>
      </c>
      <c r="AO33">
        <f>IF(OR(AM$3="",AM$3&gt;TODAY()),"",IF(AND(AM33="",AN33=""),"",N(AN33)-N(AM33)))</f>
        <v/>
      </c>
      <c r="AR33">
        <f>IF(OR(AM$3="",AM$3&gt;TODAY()),"",IF(AND(AP33="",AQ33=""),"",N(AQ33)-N(AP33)))</f>
        <v/>
      </c>
      <c r="AV33">
        <f>IF(OR(AT$3="",AT$3&gt;TODAY()),"",IF(AND(AT33="",AU33=""),"",N(AU33)-N(AT33)))</f>
        <v/>
      </c>
      <c r="AY33">
        <f>IF(OR(AT$3="",AT$3&gt;TODAY()),"",IF(AND(AW33="",AX33=""),"",N(AX33)-N(AW33)))</f>
        <v/>
      </c>
      <c r="BC33">
        <f>IF(OR(BA$3="",BA$3&gt;TODAY()),"",IF(AND(BA33="",BB33=""),"",N(BB33)-N(BA33)))</f>
        <v/>
      </c>
      <c r="BF33">
        <f>IF(OR(BA$3="",BA$3&gt;TODAY()),"",IF(AND(BD33="",BE33=""),"",N(BE33)-N(BD33)))</f>
        <v/>
      </c>
      <c r="BJ33">
        <f>IF(OR(BH$3="",BH$3&gt;TODAY()),"",IF(AND(BH33="",BI33=""),"",N(BI33)-N(BH33)))</f>
        <v/>
      </c>
      <c r="BM33">
        <f>IF(OR(BH$3="",BH$3&gt;TODAY()),"",IF(AND(BK33="",BL33=""),"",N(BL33)-N(BK33)))</f>
        <v/>
      </c>
      <c r="BQ33">
        <f>IF(OR(BO$3="",BO$3&gt;TODAY()),"",IF(AND(BO33="",BP33=""),"",N(BP33)-N(BO33)))</f>
        <v/>
      </c>
      <c r="BT33">
        <f>IF(OR(BO$3="",BO$3&gt;TODAY()),"",IF(AND(BR33="",BS33=""),"",N(BS33)-N(BR33)))</f>
        <v/>
      </c>
      <c r="BX33">
        <f>IF(OR(BV$3="",BV$3&gt;TODAY()),"",IF(AND(BV33="",BW33=""),"",N(BW33)-N(BV33)))</f>
        <v/>
      </c>
      <c r="CA33">
        <f>IF(OR(BV$3="",BV$3&gt;TODAY()),"",IF(AND(BY33="",BZ33=""),"",N(BZ33)-N(BY33)))</f>
        <v/>
      </c>
      <c r="CE33">
        <f>IF(OR(CC$3="",CC$3&gt;TODAY()),"",IF(AND(CC33="",CD33=""),"",N(CD33)-N(CC33)))</f>
        <v/>
      </c>
      <c r="CH33">
        <f>IF(OR(CC$3="",CC$3&gt;TODAY()),"",IF(AND(CF33="",CG33=""),"",N(CG33)-N(CF33)))</f>
        <v/>
      </c>
      <c r="CL33">
        <f>IF(OR(CJ$3="",CJ$3&gt;TODAY()),"",IF(AND(CJ33="",CK33=""),"",N(CK33)-N(CJ33)))</f>
        <v/>
      </c>
      <c r="CO33">
        <f>IF(OR(CJ$3="",CJ$3&gt;TODAY()),"",IF(AND(CM33="",CN33=""),"",N(CN33)-N(CM33)))</f>
        <v/>
      </c>
      <c r="CS33">
        <f>IF(OR(CQ$3="",CQ$3&gt;TODAY()),"",IF(AND(CQ33="",CR33=""),"",N(CR33)-N(CQ33)))</f>
        <v/>
      </c>
      <c r="CV33">
        <f>IF(OR(CQ$3="",CQ$3&gt;TODAY()),"",IF(AND(CT33="",CU33=""),"",N(CU33)-N(CT33)))</f>
        <v/>
      </c>
      <c r="CZ33">
        <f>IF(OR(CX$3="",CX$3&gt;TODAY()),"",IF(AND(CX33="",CY33=""),"",N(CY33)-N(CX33)))</f>
        <v/>
      </c>
      <c r="DC33">
        <f>IF(OR(CX$3="",CX$3&gt;TODAY()),"",IF(AND(DA33="",DB33=""),"",N(DB33)-N(DA33)))</f>
        <v/>
      </c>
      <c r="DG33">
        <f>IF(OR(DE$3="",DE$3&gt;TODAY()),"",IF(AND(DE33="",DF33=""),"",N(DF33)-N(DE33)))</f>
        <v/>
      </c>
      <c r="DJ33">
        <f>IF(OR(DE$3="",DE$3&gt;TODAY()),"",IF(AND(DH33="",DI33=""),"",N(DI33)-N(DH33)))</f>
        <v/>
      </c>
      <c r="DN33">
        <f>IF(OR(DL$3="",DL$3&gt;TODAY()),"",IF(AND(DL33="",DM33=""),"",N(DM33)-N(DL33)))</f>
        <v/>
      </c>
      <c r="DQ33">
        <f>IF(OR(DL$3="",DL$3&gt;TODAY()),"",IF(AND(DO33="",DP33=""),"",N(DP33)-N(DO33)))</f>
        <v/>
      </c>
      <c r="DU33">
        <f>IF(OR(DS$3="",DS$3&gt;TODAY()),"",IF(AND(DS33="",DT33=""),"",N(DT33)-N(DS33)))</f>
        <v/>
      </c>
      <c r="DX33">
        <f>IF(OR(DS$3="",DS$3&gt;TODAY()),"",IF(AND(DV33="",DW33=""),"",N(DW33)-N(DV33)))</f>
        <v/>
      </c>
      <c r="EB33">
        <f>IF(OR(DZ$3="",DZ$3&gt;TODAY()),"",IF(AND(DZ33="",EA33=""),"",N(EA33)-N(DZ33)))</f>
        <v/>
      </c>
      <c r="EE33">
        <f>IF(OR(DZ$3="",DZ$3&gt;TODAY()),"",IF(AND(EC33="",ED33=""),"",N(ED33)-N(EC33)))</f>
        <v/>
      </c>
      <c r="EI33">
        <f>IF(OR(EG$3="",EG$3&gt;TODAY()),"",IF(AND(EG33="",EH33=""),"",N(EH33)-N(EG33)))</f>
        <v/>
      </c>
      <c r="EL33">
        <f>IF(OR(EG$3="",EG$3&gt;TODAY()),"",IF(AND(EJ33="",EK33=""),"",N(EK33)-N(EJ33)))</f>
        <v/>
      </c>
      <c r="EP33">
        <f>IF(OR(EN$3="",EN$3&gt;TODAY()),"",IF(AND(EN33="",EO33=""),"",N(EO33)-N(EN33)))</f>
        <v/>
      </c>
      <c r="ES33">
        <f>IF(OR(EN$3="",EN$3&gt;TODAY()),"",IF(AND(EQ33="",ER33=""),"",N(ER33)-N(EQ33)))</f>
        <v/>
      </c>
      <c r="EW33">
        <f>IF(OR(EU$3="",EU$3&gt;TODAY()),"",IF(AND(EU33="",EV33=""),"",N(EV33)-N(EU33)))</f>
        <v/>
      </c>
      <c r="EZ33">
        <f>IF(OR(EU$3="",EU$3&gt;TODAY()),"",IF(AND(EX33="",EY33=""),"",N(EY33)-N(EX33)))</f>
        <v/>
      </c>
      <c r="FD33">
        <f>IF(OR(FB$3="",FB$3&gt;TODAY()),"",IF(AND(FB33="",FC33=""),"",N(FC33)-N(FB33)))</f>
        <v/>
      </c>
      <c r="FG33">
        <f>IF(OR(FB$3="",FB$3&gt;TODAY()),"",IF(AND(FE33="",FF33=""),"",N(FF33)-N(FE33)))</f>
        <v/>
      </c>
      <c r="FK33">
        <f>IF(OR(FI$3="",FI$3&gt;TODAY()),"",IF(AND(FI33="",FJ33=""),"",N(FJ33)-N(FI33)))</f>
        <v/>
      </c>
      <c r="FN33">
        <f>IF(OR(FI$3="",FI$3&gt;TODAY()),"",IF(AND(FL33="",FM33=""),"",N(FM33)-N(FL33)))</f>
        <v/>
      </c>
      <c r="FR33">
        <f>IF(OR(FP$3="",FP$3&gt;TODAY()),"",IF(AND(FP33="",FQ33=""),"",N(FQ33)-N(FP33)))</f>
        <v/>
      </c>
      <c r="FU33">
        <f>IF(OR(FP$3="",FP$3&gt;TODAY()),"",IF(AND(FS33="",FT33=""),"",N(FT33)-N(FS33)))</f>
        <v/>
      </c>
      <c r="FY33">
        <f>IF(OR(FW$3="",FW$3&gt;TODAY()),"",IF(AND(FW33="",FX33=""),"",N(FX33)-N(FW33)))</f>
        <v/>
      </c>
      <c r="GB33">
        <f>IF(OR(FW$3="",FW$3&gt;TODAY()),"",IF(AND(FZ33="",GA33=""),"",N(GA33)-N(FZ33)))</f>
        <v/>
      </c>
      <c r="GF33">
        <f>IF(OR(GD$3="",GD$3&gt;TODAY()),"",IF(AND(GD33="",GE33=""),"",N(GE33)-N(GD33)))</f>
        <v/>
      </c>
      <c r="GI33">
        <f>IF(OR(GD$3="",GD$3&gt;TODAY()),"",IF(AND(GG33="",GH33=""),"",N(GH33)-N(GG33)))</f>
        <v/>
      </c>
      <c r="GM33">
        <f>IF(OR(GK$3="",GK$3&gt;TODAY()),"",IF(AND(GK33="",GL33=""),"",N(GL33)-N(GK33)))</f>
        <v/>
      </c>
      <c r="GP33">
        <f>IF(OR(GK$3="",GK$3&gt;TODAY()),"",IF(AND(GN33="",GO33=""),"",N(GO33)-N(GN33)))</f>
        <v/>
      </c>
      <c r="GT33">
        <f>IF(OR(GR$3="",GR$3&gt;TODAY()),"",IF(AND(GR33="",GS33=""),"",N(GS33)-N(GR33)))</f>
        <v/>
      </c>
      <c r="GW33">
        <f>IF(OR(GR$3="",GR$3&gt;TODAY()),"",IF(AND(GU33="",GV33=""),"",N(GV33)-N(GU33)))</f>
        <v/>
      </c>
      <c r="HA33">
        <f>IF(OR(GY$3="",GY$3&gt;TODAY()),"",IF(AND(GY33="",GZ33=""),"",N(GZ33)-N(GY33)))</f>
        <v/>
      </c>
      <c r="HD33">
        <f>IF(OR(GY$3="",GY$3&gt;TODAY()),"",IF(AND(HB33="",HC33=""),"",N(HC33)-N(HB33)))</f>
        <v/>
      </c>
      <c r="HH33">
        <f>IF(OR(HF$3="",HF$3&gt;TODAY()),"",IF(AND(HF33="",HG33=""),"",N(HG33)-N(HF33)))</f>
        <v/>
      </c>
      <c r="HK33">
        <f>IF(OR(HF$3="",HF$3&gt;TODAY()),"",IF(AND(HI33="",HJ33=""),"",N(HJ33)-N(HI33)))</f>
        <v/>
      </c>
      <c r="HO33">
        <f>IF(OR(HM$3="",HM$3&gt;TODAY()),"",IF(AND(HM33="",HN33=""),"",N(HN33)-N(HM33)))</f>
        <v/>
      </c>
      <c r="HR33">
        <f>IF(OR(HM$3="",HM$3&gt;TODAY()),"",IF(AND(HP33="",HQ33=""),"",N(HQ33)-N(HP33)))</f>
        <v/>
      </c>
      <c r="HV33">
        <f>IF(OR(HT$3="",HT$3&gt;TODAY()),"",IF(AND(HT33="",HU33=""),"",N(HU33)-N(HT33)))</f>
        <v/>
      </c>
      <c r="HY33">
        <f>IF(OR(HT$3="",HT$3&gt;TODAY()),"",IF(AND(HW33="",HX33=""),"",N(HX33)-N(HW33)))</f>
        <v/>
      </c>
      <c r="IC33">
        <f>IF(OR(IA$3="",IA$3&gt;TODAY()),"",IF(AND(IA33="",IB33=""),"",N(IB33)-N(IA33)))</f>
        <v/>
      </c>
      <c r="IF33">
        <f>IF(OR(IA$3="",IA$3&gt;TODAY()),"",IF(AND(ID33="",IE33=""),"",N(IE33)-N(ID33)))</f>
        <v/>
      </c>
      <c r="IJ33">
        <f>IF(OR(IH$3="",IH$3&gt;TODAY()),"",IF(AND(IH33="",II33=""),"",N(II33)-N(IH33)))</f>
        <v/>
      </c>
      <c r="IM33">
        <f>IF(OR(IH$3="",IH$3&gt;TODAY()),"",IF(AND(IK33="",IL33=""),"",N(IL33)-N(IK33)))</f>
        <v/>
      </c>
    </row>
    <row r="34">
      <c r="A34" s="21" t="n"/>
      <c r="B34" s="21" t="n"/>
      <c r="C34" s="21" t="n"/>
      <c r="D34" s="21" t="n"/>
      <c r="E34" s="21" t="n"/>
      <c r="F34" s="21" t="n"/>
      <c r="G34" s="21" t="n"/>
      <c r="H34" s="21" t="n"/>
      <c r="I34" s="22" t="n"/>
      <c r="J34" s="22" t="n"/>
      <c r="K34" s="23" t="n"/>
      <c r="L34" s="22" t="n"/>
      <c r="M34" s="22" t="n"/>
      <c r="N34" s="21" t="n"/>
      <c r="O34" s="23" t="n"/>
      <c r="P34" s="23" t="n"/>
      <c r="Q34" s="23" t="n"/>
      <c r="R34" s="23" t="n"/>
      <c r="S34" s="22" t="n"/>
      <c r="T34" s="23" t="n"/>
      <c r="U34" s="23" t="n"/>
      <c r="V34" s="24">
        <f>IF(J34&lt;&gt;"",J34,IF(I34&lt;&gt;"",I34,""))</f>
        <v/>
      </c>
      <c r="W34" s="25">
        <f>IF($E34="","",N(O34)+SUMIFS($AF34:$IN34,$AF$4:$IN$4,"SEW_ACT"))</f>
        <v/>
      </c>
      <c r="X34" s="25">
        <f>IF($E34="","",N(P34)+SUMIFS($AF34:$IN34,$AF$4:$IN$4,"WASH_ACT"))</f>
        <v/>
      </c>
      <c r="Y34" s="25">
        <f>IF($E34="","",W34-X34-N(T34)-N(U34))</f>
        <v/>
      </c>
      <c r="Z34" s="25">
        <f>IF($E34="","",IF(N(K34)-X34&lt;=0.02*N(K34),0,N(K34)-X34))</f>
        <v/>
      </c>
      <c r="AA34" s="24">
        <f>IF($E34="","",IF(S34&lt;&gt;"",S34,IF(N(O34)&gt;0,IF(L34&lt;&gt;"",L34,99999),IFERROR(1/(1/_xlfn.MINIFS($AF$3:$IN$3,$AF$4:$IN$4,"SEW_ACT",$AF34:$IN34,"&gt;0")),99999))))</f>
        <v/>
      </c>
      <c r="AB34" s="26">
        <f>IF(OR($E34="",Z34=0,V34=""),"",1+COUNTIFS(Z$8:Z$707,"&gt;0",V$8:V$707,"&lt;"&amp;V34)+COUNTIFS(Z$8:Z$707,"&gt;0",V$8:V$707,V34,AA$8:AA$707,"&lt;"&amp;AA34)+COUNTIFS(Z$8:Z$707,"&gt;0",V$8:V$707,V34,AA$8:AA$707,AA34,E$8:E$707,"&lt;"&amp;$E34))</f>
        <v/>
      </c>
      <c r="AC34" s="24">
        <f>IF(OR($E34="",Z34=0),"",IFERROR(TODAY()+ROUNDUP(Z34/(SUMIFS($AF34:$IN34,$AF$4:$IN$4,"WASH_ACT")/COUNTIFS($AF$4:$IN$4,"WASH_ACT",$AF34:$IN34,"&gt;0")),0),"no output yet"))</f>
        <v/>
      </c>
      <c r="AD34" s="26">
        <f>IF($E34="","",IFERROR(ROUND(MAX(0,SUMIFS($AF34:$IN34,$AF$4:$IN$4,"SEW_PLAN",$AF$3:$IN$3,"&lt;="&amp;TODAY())-SUMIFS($AF34:$IN34,$AF$4:$IN$4,"SEW_ACT",$AF$3:$IN$3,"&lt;="&amp;TODAY())+N(Q34))/(SUMIFS($AF34:$IN34,$AF$4:$IN$4,"SEW_PLAN")/COUNTIFS($AF$4:$IN$4,"SEW_PLAN",$AF34:$IN34,"&gt;0")),1),0))</f>
        <v/>
      </c>
      <c r="AE34" s="26">
        <f>IF($E34="","",IF(AND(Z34&gt;0,OR(AND(M34&lt;&gt;"",TODAY()&gt;M34),AND(V34&lt;&gt;"",V34-TODAY()&lt;=7))),"Yes","No"))</f>
        <v/>
      </c>
      <c r="AH34">
        <f>IF(OR(AF$3="",AF$3&gt;TODAY()),"",IF(AND(AF34="",AG34=""),"",N(AG34)-N(AF34)))</f>
        <v/>
      </c>
      <c r="AK34">
        <f>IF(OR(AF$3="",AF$3&gt;TODAY()),"",IF(AND(AI34="",AJ34=""),"",N(AJ34)-N(AI34)))</f>
        <v/>
      </c>
      <c r="AO34">
        <f>IF(OR(AM$3="",AM$3&gt;TODAY()),"",IF(AND(AM34="",AN34=""),"",N(AN34)-N(AM34)))</f>
        <v/>
      </c>
      <c r="AR34">
        <f>IF(OR(AM$3="",AM$3&gt;TODAY()),"",IF(AND(AP34="",AQ34=""),"",N(AQ34)-N(AP34)))</f>
        <v/>
      </c>
      <c r="AV34">
        <f>IF(OR(AT$3="",AT$3&gt;TODAY()),"",IF(AND(AT34="",AU34=""),"",N(AU34)-N(AT34)))</f>
        <v/>
      </c>
      <c r="AY34">
        <f>IF(OR(AT$3="",AT$3&gt;TODAY()),"",IF(AND(AW34="",AX34=""),"",N(AX34)-N(AW34)))</f>
        <v/>
      </c>
      <c r="BC34">
        <f>IF(OR(BA$3="",BA$3&gt;TODAY()),"",IF(AND(BA34="",BB34=""),"",N(BB34)-N(BA34)))</f>
        <v/>
      </c>
      <c r="BF34">
        <f>IF(OR(BA$3="",BA$3&gt;TODAY()),"",IF(AND(BD34="",BE34=""),"",N(BE34)-N(BD34)))</f>
        <v/>
      </c>
      <c r="BJ34">
        <f>IF(OR(BH$3="",BH$3&gt;TODAY()),"",IF(AND(BH34="",BI34=""),"",N(BI34)-N(BH34)))</f>
        <v/>
      </c>
      <c r="BM34">
        <f>IF(OR(BH$3="",BH$3&gt;TODAY()),"",IF(AND(BK34="",BL34=""),"",N(BL34)-N(BK34)))</f>
        <v/>
      </c>
      <c r="BQ34">
        <f>IF(OR(BO$3="",BO$3&gt;TODAY()),"",IF(AND(BO34="",BP34=""),"",N(BP34)-N(BO34)))</f>
        <v/>
      </c>
      <c r="BT34">
        <f>IF(OR(BO$3="",BO$3&gt;TODAY()),"",IF(AND(BR34="",BS34=""),"",N(BS34)-N(BR34)))</f>
        <v/>
      </c>
      <c r="BX34">
        <f>IF(OR(BV$3="",BV$3&gt;TODAY()),"",IF(AND(BV34="",BW34=""),"",N(BW34)-N(BV34)))</f>
        <v/>
      </c>
      <c r="CA34">
        <f>IF(OR(BV$3="",BV$3&gt;TODAY()),"",IF(AND(BY34="",BZ34=""),"",N(BZ34)-N(BY34)))</f>
        <v/>
      </c>
      <c r="CE34">
        <f>IF(OR(CC$3="",CC$3&gt;TODAY()),"",IF(AND(CC34="",CD34=""),"",N(CD34)-N(CC34)))</f>
        <v/>
      </c>
      <c r="CH34">
        <f>IF(OR(CC$3="",CC$3&gt;TODAY()),"",IF(AND(CF34="",CG34=""),"",N(CG34)-N(CF34)))</f>
        <v/>
      </c>
      <c r="CL34">
        <f>IF(OR(CJ$3="",CJ$3&gt;TODAY()),"",IF(AND(CJ34="",CK34=""),"",N(CK34)-N(CJ34)))</f>
        <v/>
      </c>
      <c r="CO34">
        <f>IF(OR(CJ$3="",CJ$3&gt;TODAY()),"",IF(AND(CM34="",CN34=""),"",N(CN34)-N(CM34)))</f>
        <v/>
      </c>
      <c r="CS34">
        <f>IF(OR(CQ$3="",CQ$3&gt;TODAY()),"",IF(AND(CQ34="",CR34=""),"",N(CR34)-N(CQ34)))</f>
        <v/>
      </c>
      <c r="CV34">
        <f>IF(OR(CQ$3="",CQ$3&gt;TODAY()),"",IF(AND(CT34="",CU34=""),"",N(CU34)-N(CT34)))</f>
        <v/>
      </c>
      <c r="CZ34">
        <f>IF(OR(CX$3="",CX$3&gt;TODAY()),"",IF(AND(CX34="",CY34=""),"",N(CY34)-N(CX34)))</f>
        <v/>
      </c>
      <c r="DC34">
        <f>IF(OR(CX$3="",CX$3&gt;TODAY()),"",IF(AND(DA34="",DB34=""),"",N(DB34)-N(DA34)))</f>
        <v/>
      </c>
      <c r="DG34">
        <f>IF(OR(DE$3="",DE$3&gt;TODAY()),"",IF(AND(DE34="",DF34=""),"",N(DF34)-N(DE34)))</f>
        <v/>
      </c>
      <c r="DJ34">
        <f>IF(OR(DE$3="",DE$3&gt;TODAY()),"",IF(AND(DH34="",DI34=""),"",N(DI34)-N(DH34)))</f>
        <v/>
      </c>
      <c r="DN34">
        <f>IF(OR(DL$3="",DL$3&gt;TODAY()),"",IF(AND(DL34="",DM34=""),"",N(DM34)-N(DL34)))</f>
        <v/>
      </c>
      <c r="DQ34">
        <f>IF(OR(DL$3="",DL$3&gt;TODAY()),"",IF(AND(DO34="",DP34=""),"",N(DP34)-N(DO34)))</f>
        <v/>
      </c>
      <c r="DU34">
        <f>IF(OR(DS$3="",DS$3&gt;TODAY()),"",IF(AND(DS34="",DT34=""),"",N(DT34)-N(DS34)))</f>
        <v/>
      </c>
      <c r="DX34">
        <f>IF(OR(DS$3="",DS$3&gt;TODAY()),"",IF(AND(DV34="",DW34=""),"",N(DW34)-N(DV34)))</f>
        <v/>
      </c>
      <c r="EB34">
        <f>IF(OR(DZ$3="",DZ$3&gt;TODAY()),"",IF(AND(DZ34="",EA34=""),"",N(EA34)-N(DZ34)))</f>
        <v/>
      </c>
      <c r="EE34">
        <f>IF(OR(DZ$3="",DZ$3&gt;TODAY()),"",IF(AND(EC34="",ED34=""),"",N(ED34)-N(EC34)))</f>
        <v/>
      </c>
      <c r="EI34">
        <f>IF(OR(EG$3="",EG$3&gt;TODAY()),"",IF(AND(EG34="",EH34=""),"",N(EH34)-N(EG34)))</f>
        <v/>
      </c>
      <c r="EL34">
        <f>IF(OR(EG$3="",EG$3&gt;TODAY()),"",IF(AND(EJ34="",EK34=""),"",N(EK34)-N(EJ34)))</f>
        <v/>
      </c>
      <c r="EP34">
        <f>IF(OR(EN$3="",EN$3&gt;TODAY()),"",IF(AND(EN34="",EO34=""),"",N(EO34)-N(EN34)))</f>
        <v/>
      </c>
      <c r="ES34">
        <f>IF(OR(EN$3="",EN$3&gt;TODAY()),"",IF(AND(EQ34="",ER34=""),"",N(ER34)-N(EQ34)))</f>
        <v/>
      </c>
      <c r="EW34">
        <f>IF(OR(EU$3="",EU$3&gt;TODAY()),"",IF(AND(EU34="",EV34=""),"",N(EV34)-N(EU34)))</f>
        <v/>
      </c>
      <c r="EZ34">
        <f>IF(OR(EU$3="",EU$3&gt;TODAY()),"",IF(AND(EX34="",EY34=""),"",N(EY34)-N(EX34)))</f>
        <v/>
      </c>
      <c r="FD34">
        <f>IF(OR(FB$3="",FB$3&gt;TODAY()),"",IF(AND(FB34="",FC34=""),"",N(FC34)-N(FB34)))</f>
        <v/>
      </c>
      <c r="FG34">
        <f>IF(OR(FB$3="",FB$3&gt;TODAY()),"",IF(AND(FE34="",FF34=""),"",N(FF34)-N(FE34)))</f>
        <v/>
      </c>
      <c r="FK34">
        <f>IF(OR(FI$3="",FI$3&gt;TODAY()),"",IF(AND(FI34="",FJ34=""),"",N(FJ34)-N(FI34)))</f>
        <v/>
      </c>
      <c r="FN34">
        <f>IF(OR(FI$3="",FI$3&gt;TODAY()),"",IF(AND(FL34="",FM34=""),"",N(FM34)-N(FL34)))</f>
        <v/>
      </c>
      <c r="FR34">
        <f>IF(OR(FP$3="",FP$3&gt;TODAY()),"",IF(AND(FP34="",FQ34=""),"",N(FQ34)-N(FP34)))</f>
        <v/>
      </c>
      <c r="FU34">
        <f>IF(OR(FP$3="",FP$3&gt;TODAY()),"",IF(AND(FS34="",FT34=""),"",N(FT34)-N(FS34)))</f>
        <v/>
      </c>
      <c r="FY34">
        <f>IF(OR(FW$3="",FW$3&gt;TODAY()),"",IF(AND(FW34="",FX34=""),"",N(FX34)-N(FW34)))</f>
        <v/>
      </c>
      <c r="GB34">
        <f>IF(OR(FW$3="",FW$3&gt;TODAY()),"",IF(AND(FZ34="",GA34=""),"",N(GA34)-N(FZ34)))</f>
        <v/>
      </c>
      <c r="GF34">
        <f>IF(OR(GD$3="",GD$3&gt;TODAY()),"",IF(AND(GD34="",GE34=""),"",N(GE34)-N(GD34)))</f>
        <v/>
      </c>
      <c r="GI34">
        <f>IF(OR(GD$3="",GD$3&gt;TODAY()),"",IF(AND(GG34="",GH34=""),"",N(GH34)-N(GG34)))</f>
        <v/>
      </c>
      <c r="GM34">
        <f>IF(OR(GK$3="",GK$3&gt;TODAY()),"",IF(AND(GK34="",GL34=""),"",N(GL34)-N(GK34)))</f>
        <v/>
      </c>
      <c r="GP34">
        <f>IF(OR(GK$3="",GK$3&gt;TODAY()),"",IF(AND(GN34="",GO34=""),"",N(GO34)-N(GN34)))</f>
        <v/>
      </c>
      <c r="GT34">
        <f>IF(OR(GR$3="",GR$3&gt;TODAY()),"",IF(AND(GR34="",GS34=""),"",N(GS34)-N(GR34)))</f>
        <v/>
      </c>
      <c r="GW34">
        <f>IF(OR(GR$3="",GR$3&gt;TODAY()),"",IF(AND(GU34="",GV34=""),"",N(GV34)-N(GU34)))</f>
        <v/>
      </c>
      <c r="HA34">
        <f>IF(OR(GY$3="",GY$3&gt;TODAY()),"",IF(AND(GY34="",GZ34=""),"",N(GZ34)-N(GY34)))</f>
        <v/>
      </c>
      <c r="HD34">
        <f>IF(OR(GY$3="",GY$3&gt;TODAY()),"",IF(AND(HB34="",HC34=""),"",N(HC34)-N(HB34)))</f>
        <v/>
      </c>
      <c r="HH34">
        <f>IF(OR(HF$3="",HF$3&gt;TODAY()),"",IF(AND(HF34="",HG34=""),"",N(HG34)-N(HF34)))</f>
        <v/>
      </c>
      <c r="HK34">
        <f>IF(OR(HF$3="",HF$3&gt;TODAY()),"",IF(AND(HI34="",HJ34=""),"",N(HJ34)-N(HI34)))</f>
        <v/>
      </c>
      <c r="HO34">
        <f>IF(OR(HM$3="",HM$3&gt;TODAY()),"",IF(AND(HM34="",HN34=""),"",N(HN34)-N(HM34)))</f>
        <v/>
      </c>
      <c r="HR34">
        <f>IF(OR(HM$3="",HM$3&gt;TODAY()),"",IF(AND(HP34="",HQ34=""),"",N(HQ34)-N(HP34)))</f>
        <v/>
      </c>
      <c r="HV34">
        <f>IF(OR(HT$3="",HT$3&gt;TODAY()),"",IF(AND(HT34="",HU34=""),"",N(HU34)-N(HT34)))</f>
        <v/>
      </c>
      <c r="HY34">
        <f>IF(OR(HT$3="",HT$3&gt;TODAY()),"",IF(AND(HW34="",HX34=""),"",N(HX34)-N(HW34)))</f>
        <v/>
      </c>
      <c r="IC34">
        <f>IF(OR(IA$3="",IA$3&gt;TODAY()),"",IF(AND(IA34="",IB34=""),"",N(IB34)-N(IA34)))</f>
        <v/>
      </c>
      <c r="IF34">
        <f>IF(OR(IA$3="",IA$3&gt;TODAY()),"",IF(AND(ID34="",IE34=""),"",N(IE34)-N(ID34)))</f>
        <v/>
      </c>
      <c r="IJ34">
        <f>IF(OR(IH$3="",IH$3&gt;TODAY()),"",IF(AND(IH34="",II34=""),"",N(II34)-N(IH34)))</f>
        <v/>
      </c>
      <c r="IM34">
        <f>IF(OR(IH$3="",IH$3&gt;TODAY()),"",IF(AND(IK34="",IL34=""),"",N(IL34)-N(IK34)))</f>
        <v/>
      </c>
    </row>
    <row r="35">
      <c r="A35" s="21" t="n"/>
      <c r="B35" s="21" t="n"/>
      <c r="C35" s="21" t="n"/>
      <c r="D35" s="21" t="n"/>
      <c r="E35" s="21" t="n"/>
      <c r="F35" s="21" t="n"/>
      <c r="G35" s="21" t="n"/>
      <c r="H35" s="21" t="n"/>
      <c r="I35" s="22" t="n"/>
      <c r="J35" s="22" t="n"/>
      <c r="K35" s="23" t="n"/>
      <c r="L35" s="22" t="n"/>
      <c r="M35" s="22" t="n"/>
      <c r="N35" s="21" t="n"/>
      <c r="O35" s="23" t="n"/>
      <c r="P35" s="23" t="n"/>
      <c r="Q35" s="23" t="n"/>
      <c r="R35" s="23" t="n"/>
      <c r="S35" s="22" t="n"/>
      <c r="T35" s="23" t="n"/>
      <c r="U35" s="23" t="n"/>
      <c r="V35" s="24">
        <f>IF(J35&lt;&gt;"",J35,IF(I35&lt;&gt;"",I35,""))</f>
        <v/>
      </c>
      <c r="W35" s="25">
        <f>IF($E35="","",N(O35)+SUMIFS($AF35:$IN35,$AF$4:$IN$4,"SEW_ACT"))</f>
        <v/>
      </c>
      <c r="X35" s="25">
        <f>IF($E35="","",N(P35)+SUMIFS($AF35:$IN35,$AF$4:$IN$4,"WASH_ACT"))</f>
        <v/>
      </c>
      <c r="Y35" s="25">
        <f>IF($E35="","",W35-X35-N(T35)-N(U35))</f>
        <v/>
      </c>
      <c r="Z35" s="25">
        <f>IF($E35="","",IF(N(K35)-X35&lt;=0.02*N(K35),0,N(K35)-X35))</f>
        <v/>
      </c>
      <c r="AA35" s="24">
        <f>IF($E35="","",IF(S35&lt;&gt;"",S35,IF(N(O35)&gt;0,IF(L35&lt;&gt;"",L35,99999),IFERROR(1/(1/_xlfn.MINIFS($AF$3:$IN$3,$AF$4:$IN$4,"SEW_ACT",$AF35:$IN35,"&gt;0")),99999))))</f>
        <v/>
      </c>
      <c r="AB35" s="26">
        <f>IF(OR($E35="",Z35=0,V35=""),"",1+COUNTIFS(Z$8:Z$707,"&gt;0",V$8:V$707,"&lt;"&amp;V35)+COUNTIFS(Z$8:Z$707,"&gt;0",V$8:V$707,V35,AA$8:AA$707,"&lt;"&amp;AA35)+COUNTIFS(Z$8:Z$707,"&gt;0",V$8:V$707,V35,AA$8:AA$707,AA35,E$8:E$707,"&lt;"&amp;$E35))</f>
        <v/>
      </c>
      <c r="AC35" s="24">
        <f>IF(OR($E35="",Z35=0),"",IFERROR(TODAY()+ROUNDUP(Z35/(SUMIFS($AF35:$IN35,$AF$4:$IN$4,"WASH_ACT")/COUNTIFS($AF$4:$IN$4,"WASH_ACT",$AF35:$IN35,"&gt;0")),0),"no output yet"))</f>
        <v/>
      </c>
      <c r="AD35" s="26">
        <f>IF($E35="","",IFERROR(ROUND(MAX(0,SUMIFS($AF35:$IN35,$AF$4:$IN$4,"SEW_PLAN",$AF$3:$IN$3,"&lt;="&amp;TODAY())-SUMIFS($AF35:$IN35,$AF$4:$IN$4,"SEW_ACT",$AF$3:$IN$3,"&lt;="&amp;TODAY())+N(Q35))/(SUMIFS($AF35:$IN35,$AF$4:$IN$4,"SEW_PLAN")/COUNTIFS($AF$4:$IN$4,"SEW_PLAN",$AF35:$IN35,"&gt;0")),1),0))</f>
        <v/>
      </c>
      <c r="AE35" s="26">
        <f>IF($E35="","",IF(AND(Z35&gt;0,OR(AND(M35&lt;&gt;"",TODAY()&gt;M35),AND(V35&lt;&gt;"",V35-TODAY()&lt;=7))),"Yes","No"))</f>
        <v/>
      </c>
      <c r="AH35">
        <f>IF(OR(AF$3="",AF$3&gt;TODAY()),"",IF(AND(AF35="",AG35=""),"",N(AG35)-N(AF35)))</f>
        <v/>
      </c>
      <c r="AK35">
        <f>IF(OR(AF$3="",AF$3&gt;TODAY()),"",IF(AND(AI35="",AJ35=""),"",N(AJ35)-N(AI35)))</f>
        <v/>
      </c>
      <c r="AO35">
        <f>IF(OR(AM$3="",AM$3&gt;TODAY()),"",IF(AND(AM35="",AN35=""),"",N(AN35)-N(AM35)))</f>
        <v/>
      </c>
      <c r="AR35">
        <f>IF(OR(AM$3="",AM$3&gt;TODAY()),"",IF(AND(AP35="",AQ35=""),"",N(AQ35)-N(AP35)))</f>
        <v/>
      </c>
      <c r="AV35">
        <f>IF(OR(AT$3="",AT$3&gt;TODAY()),"",IF(AND(AT35="",AU35=""),"",N(AU35)-N(AT35)))</f>
        <v/>
      </c>
      <c r="AY35">
        <f>IF(OR(AT$3="",AT$3&gt;TODAY()),"",IF(AND(AW35="",AX35=""),"",N(AX35)-N(AW35)))</f>
        <v/>
      </c>
      <c r="BC35">
        <f>IF(OR(BA$3="",BA$3&gt;TODAY()),"",IF(AND(BA35="",BB35=""),"",N(BB35)-N(BA35)))</f>
        <v/>
      </c>
      <c r="BF35">
        <f>IF(OR(BA$3="",BA$3&gt;TODAY()),"",IF(AND(BD35="",BE35=""),"",N(BE35)-N(BD35)))</f>
        <v/>
      </c>
      <c r="BJ35">
        <f>IF(OR(BH$3="",BH$3&gt;TODAY()),"",IF(AND(BH35="",BI35=""),"",N(BI35)-N(BH35)))</f>
        <v/>
      </c>
      <c r="BM35">
        <f>IF(OR(BH$3="",BH$3&gt;TODAY()),"",IF(AND(BK35="",BL35=""),"",N(BL35)-N(BK35)))</f>
        <v/>
      </c>
      <c r="BQ35">
        <f>IF(OR(BO$3="",BO$3&gt;TODAY()),"",IF(AND(BO35="",BP35=""),"",N(BP35)-N(BO35)))</f>
        <v/>
      </c>
      <c r="BT35">
        <f>IF(OR(BO$3="",BO$3&gt;TODAY()),"",IF(AND(BR35="",BS35=""),"",N(BS35)-N(BR35)))</f>
        <v/>
      </c>
      <c r="BX35">
        <f>IF(OR(BV$3="",BV$3&gt;TODAY()),"",IF(AND(BV35="",BW35=""),"",N(BW35)-N(BV35)))</f>
        <v/>
      </c>
      <c r="CA35">
        <f>IF(OR(BV$3="",BV$3&gt;TODAY()),"",IF(AND(BY35="",BZ35=""),"",N(BZ35)-N(BY35)))</f>
        <v/>
      </c>
      <c r="CE35">
        <f>IF(OR(CC$3="",CC$3&gt;TODAY()),"",IF(AND(CC35="",CD35=""),"",N(CD35)-N(CC35)))</f>
        <v/>
      </c>
      <c r="CH35">
        <f>IF(OR(CC$3="",CC$3&gt;TODAY()),"",IF(AND(CF35="",CG35=""),"",N(CG35)-N(CF35)))</f>
        <v/>
      </c>
      <c r="CL35">
        <f>IF(OR(CJ$3="",CJ$3&gt;TODAY()),"",IF(AND(CJ35="",CK35=""),"",N(CK35)-N(CJ35)))</f>
        <v/>
      </c>
      <c r="CO35">
        <f>IF(OR(CJ$3="",CJ$3&gt;TODAY()),"",IF(AND(CM35="",CN35=""),"",N(CN35)-N(CM35)))</f>
        <v/>
      </c>
      <c r="CS35">
        <f>IF(OR(CQ$3="",CQ$3&gt;TODAY()),"",IF(AND(CQ35="",CR35=""),"",N(CR35)-N(CQ35)))</f>
        <v/>
      </c>
      <c r="CV35">
        <f>IF(OR(CQ$3="",CQ$3&gt;TODAY()),"",IF(AND(CT35="",CU35=""),"",N(CU35)-N(CT35)))</f>
        <v/>
      </c>
      <c r="CZ35">
        <f>IF(OR(CX$3="",CX$3&gt;TODAY()),"",IF(AND(CX35="",CY35=""),"",N(CY35)-N(CX35)))</f>
        <v/>
      </c>
      <c r="DC35">
        <f>IF(OR(CX$3="",CX$3&gt;TODAY()),"",IF(AND(DA35="",DB35=""),"",N(DB35)-N(DA35)))</f>
        <v/>
      </c>
      <c r="DG35">
        <f>IF(OR(DE$3="",DE$3&gt;TODAY()),"",IF(AND(DE35="",DF35=""),"",N(DF35)-N(DE35)))</f>
        <v/>
      </c>
      <c r="DJ35">
        <f>IF(OR(DE$3="",DE$3&gt;TODAY()),"",IF(AND(DH35="",DI35=""),"",N(DI35)-N(DH35)))</f>
        <v/>
      </c>
      <c r="DN35">
        <f>IF(OR(DL$3="",DL$3&gt;TODAY()),"",IF(AND(DL35="",DM35=""),"",N(DM35)-N(DL35)))</f>
        <v/>
      </c>
      <c r="DQ35">
        <f>IF(OR(DL$3="",DL$3&gt;TODAY()),"",IF(AND(DO35="",DP35=""),"",N(DP35)-N(DO35)))</f>
        <v/>
      </c>
      <c r="DU35">
        <f>IF(OR(DS$3="",DS$3&gt;TODAY()),"",IF(AND(DS35="",DT35=""),"",N(DT35)-N(DS35)))</f>
        <v/>
      </c>
      <c r="DX35">
        <f>IF(OR(DS$3="",DS$3&gt;TODAY()),"",IF(AND(DV35="",DW35=""),"",N(DW35)-N(DV35)))</f>
        <v/>
      </c>
      <c r="EB35">
        <f>IF(OR(DZ$3="",DZ$3&gt;TODAY()),"",IF(AND(DZ35="",EA35=""),"",N(EA35)-N(DZ35)))</f>
        <v/>
      </c>
      <c r="EE35">
        <f>IF(OR(DZ$3="",DZ$3&gt;TODAY()),"",IF(AND(EC35="",ED35=""),"",N(ED35)-N(EC35)))</f>
        <v/>
      </c>
      <c r="EI35">
        <f>IF(OR(EG$3="",EG$3&gt;TODAY()),"",IF(AND(EG35="",EH35=""),"",N(EH35)-N(EG35)))</f>
        <v/>
      </c>
      <c r="EL35">
        <f>IF(OR(EG$3="",EG$3&gt;TODAY()),"",IF(AND(EJ35="",EK35=""),"",N(EK35)-N(EJ35)))</f>
        <v/>
      </c>
      <c r="EP35">
        <f>IF(OR(EN$3="",EN$3&gt;TODAY()),"",IF(AND(EN35="",EO35=""),"",N(EO35)-N(EN35)))</f>
        <v/>
      </c>
      <c r="ES35">
        <f>IF(OR(EN$3="",EN$3&gt;TODAY()),"",IF(AND(EQ35="",ER35=""),"",N(ER35)-N(EQ35)))</f>
        <v/>
      </c>
      <c r="EW35">
        <f>IF(OR(EU$3="",EU$3&gt;TODAY()),"",IF(AND(EU35="",EV35=""),"",N(EV35)-N(EU35)))</f>
        <v/>
      </c>
      <c r="EZ35">
        <f>IF(OR(EU$3="",EU$3&gt;TODAY()),"",IF(AND(EX35="",EY35=""),"",N(EY35)-N(EX35)))</f>
        <v/>
      </c>
      <c r="FD35">
        <f>IF(OR(FB$3="",FB$3&gt;TODAY()),"",IF(AND(FB35="",FC35=""),"",N(FC35)-N(FB35)))</f>
        <v/>
      </c>
      <c r="FG35">
        <f>IF(OR(FB$3="",FB$3&gt;TODAY()),"",IF(AND(FE35="",FF35=""),"",N(FF35)-N(FE35)))</f>
        <v/>
      </c>
      <c r="FK35">
        <f>IF(OR(FI$3="",FI$3&gt;TODAY()),"",IF(AND(FI35="",FJ35=""),"",N(FJ35)-N(FI35)))</f>
        <v/>
      </c>
      <c r="FN35">
        <f>IF(OR(FI$3="",FI$3&gt;TODAY()),"",IF(AND(FL35="",FM35=""),"",N(FM35)-N(FL35)))</f>
        <v/>
      </c>
      <c r="FR35">
        <f>IF(OR(FP$3="",FP$3&gt;TODAY()),"",IF(AND(FP35="",FQ35=""),"",N(FQ35)-N(FP35)))</f>
        <v/>
      </c>
      <c r="FU35">
        <f>IF(OR(FP$3="",FP$3&gt;TODAY()),"",IF(AND(FS35="",FT35=""),"",N(FT35)-N(FS35)))</f>
        <v/>
      </c>
      <c r="FY35">
        <f>IF(OR(FW$3="",FW$3&gt;TODAY()),"",IF(AND(FW35="",FX35=""),"",N(FX35)-N(FW35)))</f>
        <v/>
      </c>
      <c r="GB35">
        <f>IF(OR(FW$3="",FW$3&gt;TODAY()),"",IF(AND(FZ35="",GA35=""),"",N(GA35)-N(FZ35)))</f>
        <v/>
      </c>
      <c r="GF35">
        <f>IF(OR(GD$3="",GD$3&gt;TODAY()),"",IF(AND(GD35="",GE35=""),"",N(GE35)-N(GD35)))</f>
        <v/>
      </c>
      <c r="GI35">
        <f>IF(OR(GD$3="",GD$3&gt;TODAY()),"",IF(AND(GG35="",GH35=""),"",N(GH35)-N(GG35)))</f>
        <v/>
      </c>
      <c r="GM35">
        <f>IF(OR(GK$3="",GK$3&gt;TODAY()),"",IF(AND(GK35="",GL35=""),"",N(GL35)-N(GK35)))</f>
        <v/>
      </c>
      <c r="GP35">
        <f>IF(OR(GK$3="",GK$3&gt;TODAY()),"",IF(AND(GN35="",GO35=""),"",N(GO35)-N(GN35)))</f>
        <v/>
      </c>
      <c r="GT35">
        <f>IF(OR(GR$3="",GR$3&gt;TODAY()),"",IF(AND(GR35="",GS35=""),"",N(GS35)-N(GR35)))</f>
        <v/>
      </c>
      <c r="GW35">
        <f>IF(OR(GR$3="",GR$3&gt;TODAY()),"",IF(AND(GU35="",GV35=""),"",N(GV35)-N(GU35)))</f>
        <v/>
      </c>
      <c r="HA35">
        <f>IF(OR(GY$3="",GY$3&gt;TODAY()),"",IF(AND(GY35="",GZ35=""),"",N(GZ35)-N(GY35)))</f>
        <v/>
      </c>
      <c r="HD35">
        <f>IF(OR(GY$3="",GY$3&gt;TODAY()),"",IF(AND(HB35="",HC35=""),"",N(HC35)-N(HB35)))</f>
        <v/>
      </c>
      <c r="HH35">
        <f>IF(OR(HF$3="",HF$3&gt;TODAY()),"",IF(AND(HF35="",HG35=""),"",N(HG35)-N(HF35)))</f>
        <v/>
      </c>
      <c r="HK35">
        <f>IF(OR(HF$3="",HF$3&gt;TODAY()),"",IF(AND(HI35="",HJ35=""),"",N(HJ35)-N(HI35)))</f>
        <v/>
      </c>
      <c r="HO35">
        <f>IF(OR(HM$3="",HM$3&gt;TODAY()),"",IF(AND(HM35="",HN35=""),"",N(HN35)-N(HM35)))</f>
        <v/>
      </c>
      <c r="HR35">
        <f>IF(OR(HM$3="",HM$3&gt;TODAY()),"",IF(AND(HP35="",HQ35=""),"",N(HQ35)-N(HP35)))</f>
        <v/>
      </c>
      <c r="HV35">
        <f>IF(OR(HT$3="",HT$3&gt;TODAY()),"",IF(AND(HT35="",HU35=""),"",N(HU35)-N(HT35)))</f>
        <v/>
      </c>
      <c r="HY35">
        <f>IF(OR(HT$3="",HT$3&gt;TODAY()),"",IF(AND(HW35="",HX35=""),"",N(HX35)-N(HW35)))</f>
        <v/>
      </c>
      <c r="IC35">
        <f>IF(OR(IA$3="",IA$3&gt;TODAY()),"",IF(AND(IA35="",IB35=""),"",N(IB35)-N(IA35)))</f>
        <v/>
      </c>
      <c r="IF35">
        <f>IF(OR(IA$3="",IA$3&gt;TODAY()),"",IF(AND(ID35="",IE35=""),"",N(IE35)-N(ID35)))</f>
        <v/>
      </c>
      <c r="IJ35">
        <f>IF(OR(IH$3="",IH$3&gt;TODAY()),"",IF(AND(IH35="",II35=""),"",N(II35)-N(IH35)))</f>
        <v/>
      </c>
      <c r="IM35">
        <f>IF(OR(IH$3="",IH$3&gt;TODAY()),"",IF(AND(IK35="",IL35=""),"",N(IL35)-N(IK35)))</f>
        <v/>
      </c>
    </row>
    <row r="36">
      <c r="A36" s="21" t="n"/>
      <c r="B36" s="21" t="n"/>
      <c r="C36" s="21" t="n"/>
      <c r="D36" s="21" t="n"/>
      <c r="E36" s="21" t="n"/>
      <c r="F36" s="21" t="n"/>
      <c r="G36" s="21" t="n"/>
      <c r="H36" s="21" t="n"/>
      <c r="I36" s="22" t="n"/>
      <c r="J36" s="22" t="n"/>
      <c r="K36" s="23" t="n"/>
      <c r="L36" s="22" t="n"/>
      <c r="M36" s="22" t="n"/>
      <c r="N36" s="21" t="n"/>
      <c r="O36" s="23" t="n"/>
      <c r="P36" s="23" t="n"/>
      <c r="Q36" s="23" t="n"/>
      <c r="R36" s="23" t="n"/>
      <c r="S36" s="22" t="n"/>
      <c r="T36" s="23" t="n"/>
      <c r="U36" s="23" t="n"/>
      <c r="V36" s="24">
        <f>IF(J36&lt;&gt;"",J36,IF(I36&lt;&gt;"",I36,""))</f>
        <v/>
      </c>
      <c r="W36" s="25">
        <f>IF($E36="","",N(O36)+SUMIFS($AF36:$IN36,$AF$4:$IN$4,"SEW_ACT"))</f>
        <v/>
      </c>
      <c r="X36" s="25">
        <f>IF($E36="","",N(P36)+SUMIFS($AF36:$IN36,$AF$4:$IN$4,"WASH_ACT"))</f>
        <v/>
      </c>
      <c r="Y36" s="25">
        <f>IF($E36="","",W36-X36-N(T36)-N(U36))</f>
        <v/>
      </c>
      <c r="Z36" s="25">
        <f>IF($E36="","",IF(N(K36)-X36&lt;=0.02*N(K36),0,N(K36)-X36))</f>
        <v/>
      </c>
      <c r="AA36" s="24">
        <f>IF($E36="","",IF(S36&lt;&gt;"",S36,IF(N(O36)&gt;0,IF(L36&lt;&gt;"",L36,99999),IFERROR(1/(1/_xlfn.MINIFS($AF$3:$IN$3,$AF$4:$IN$4,"SEW_ACT",$AF36:$IN36,"&gt;0")),99999))))</f>
        <v/>
      </c>
      <c r="AB36" s="26">
        <f>IF(OR($E36="",Z36=0,V36=""),"",1+COUNTIFS(Z$8:Z$707,"&gt;0",V$8:V$707,"&lt;"&amp;V36)+COUNTIFS(Z$8:Z$707,"&gt;0",V$8:V$707,V36,AA$8:AA$707,"&lt;"&amp;AA36)+COUNTIFS(Z$8:Z$707,"&gt;0",V$8:V$707,V36,AA$8:AA$707,AA36,E$8:E$707,"&lt;"&amp;$E36))</f>
        <v/>
      </c>
      <c r="AC36" s="24">
        <f>IF(OR($E36="",Z36=0),"",IFERROR(TODAY()+ROUNDUP(Z36/(SUMIFS($AF36:$IN36,$AF$4:$IN$4,"WASH_ACT")/COUNTIFS($AF$4:$IN$4,"WASH_ACT",$AF36:$IN36,"&gt;0")),0),"no output yet"))</f>
        <v/>
      </c>
      <c r="AD36" s="26">
        <f>IF($E36="","",IFERROR(ROUND(MAX(0,SUMIFS($AF36:$IN36,$AF$4:$IN$4,"SEW_PLAN",$AF$3:$IN$3,"&lt;="&amp;TODAY())-SUMIFS($AF36:$IN36,$AF$4:$IN$4,"SEW_ACT",$AF$3:$IN$3,"&lt;="&amp;TODAY())+N(Q36))/(SUMIFS($AF36:$IN36,$AF$4:$IN$4,"SEW_PLAN")/COUNTIFS($AF$4:$IN$4,"SEW_PLAN",$AF36:$IN36,"&gt;0")),1),0))</f>
        <v/>
      </c>
      <c r="AE36" s="26">
        <f>IF($E36="","",IF(AND(Z36&gt;0,OR(AND(M36&lt;&gt;"",TODAY()&gt;M36),AND(V36&lt;&gt;"",V36-TODAY()&lt;=7))),"Yes","No"))</f>
        <v/>
      </c>
      <c r="AH36">
        <f>IF(OR(AF$3="",AF$3&gt;TODAY()),"",IF(AND(AF36="",AG36=""),"",N(AG36)-N(AF36)))</f>
        <v/>
      </c>
      <c r="AK36">
        <f>IF(OR(AF$3="",AF$3&gt;TODAY()),"",IF(AND(AI36="",AJ36=""),"",N(AJ36)-N(AI36)))</f>
        <v/>
      </c>
      <c r="AO36">
        <f>IF(OR(AM$3="",AM$3&gt;TODAY()),"",IF(AND(AM36="",AN36=""),"",N(AN36)-N(AM36)))</f>
        <v/>
      </c>
      <c r="AR36">
        <f>IF(OR(AM$3="",AM$3&gt;TODAY()),"",IF(AND(AP36="",AQ36=""),"",N(AQ36)-N(AP36)))</f>
        <v/>
      </c>
      <c r="AV36">
        <f>IF(OR(AT$3="",AT$3&gt;TODAY()),"",IF(AND(AT36="",AU36=""),"",N(AU36)-N(AT36)))</f>
        <v/>
      </c>
      <c r="AY36">
        <f>IF(OR(AT$3="",AT$3&gt;TODAY()),"",IF(AND(AW36="",AX36=""),"",N(AX36)-N(AW36)))</f>
        <v/>
      </c>
      <c r="BC36">
        <f>IF(OR(BA$3="",BA$3&gt;TODAY()),"",IF(AND(BA36="",BB36=""),"",N(BB36)-N(BA36)))</f>
        <v/>
      </c>
      <c r="BF36">
        <f>IF(OR(BA$3="",BA$3&gt;TODAY()),"",IF(AND(BD36="",BE36=""),"",N(BE36)-N(BD36)))</f>
        <v/>
      </c>
      <c r="BJ36">
        <f>IF(OR(BH$3="",BH$3&gt;TODAY()),"",IF(AND(BH36="",BI36=""),"",N(BI36)-N(BH36)))</f>
        <v/>
      </c>
      <c r="BM36">
        <f>IF(OR(BH$3="",BH$3&gt;TODAY()),"",IF(AND(BK36="",BL36=""),"",N(BL36)-N(BK36)))</f>
        <v/>
      </c>
      <c r="BQ36">
        <f>IF(OR(BO$3="",BO$3&gt;TODAY()),"",IF(AND(BO36="",BP36=""),"",N(BP36)-N(BO36)))</f>
        <v/>
      </c>
      <c r="BT36">
        <f>IF(OR(BO$3="",BO$3&gt;TODAY()),"",IF(AND(BR36="",BS36=""),"",N(BS36)-N(BR36)))</f>
        <v/>
      </c>
      <c r="BX36">
        <f>IF(OR(BV$3="",BV$3&gt;TODAY()),"",IF(AND(BV36="",BW36=""),"",N(BW36)-N(BV36)))</f>
        <v/>
      </c>
      <c r="CA36">
        <f>IF(OR(BV$3="",BV$3&gt;TODAY()),"",IF(AND(BY36="",BZ36=""),"",N(BZ36)-N(BY36)))</f>
        <v/>
      </c>
      <c r="CE36">
        <f>IF(OR(CC$3="",CC$3&gt;TODAY()),"",IF(AND(CC36="",CD36=""),"",N(CD36)-N(CC36)))</f>
        <v/>
      </c>
      <c r="CH36">
        <f>IF(OR(CC$3="",CC$3&gt;TODAY()),"",IF(AND(CF36="",CG36=""),"",N(CG36)-N(CF36)))</f>
        <v/>
      </c>
      <c r="CL36">
        <f>IF(OR(CJ$3="",CJ$3&gt;TODAY()),"",IF(AND(CJ36="",CK36=""),"",N(CK36)-N(CJ36)))</f>
        <v/>
      </c>
      <c r="CO36">
        <f>IF(OR(CJ$3="",CJ$3&gt;TODAY()),"",IF(AND(CM36="",CN36=""),"",N(CN36)-N(CM36)))</f>
        <v/>
      </c>
      <c r="CS36">
        <f>IF(OR(CQ$3="",CQ$3&gt;TODAY()),"",IF(AND(CQ36="",CR36=""),"",N(CR36)-N(CQ36)))</f>
        <v/>
      </c>
      <c r="CV36">
        <f>IF(OR(CQ$3="",CQ$3&gt;TODAY()),"",IF(AND(CT36="",CU36=""),"",N(CU36)-N(CT36)))</f>
        <v/>
      </c>
      <c r="CZ36">
        <f>IF(OR(CX$3="",CX$3&gt;TODAY()),"",IF(AND(CX36="",CY36=""),"",N(CY36)-N(CX36)))</f>
        <v/>
      </c>
      <c r="DC36">
        <f>IF(OR(CX$3="",CX$3&gt;TODAY()),"",IF(AND(DA36="",DB36=""),"",N(DB36)-N(DA36)))</f>
        <v/>
      </c>
      <c r="DG36">
        <f>IF(OR(DE$3="",DE$3&gt;TODAY()),"",IF(AND(DE36="",DF36=""),"",N(DF36)-N(DE36)))</f>
        <v/>
      </c>
      <c r="DJ36">
        <f>IF(OR(DE$3="",DE$3&gt;TODAY()),"",IF(AND(DH36="",DI36=""),"",N(DI36)-N(DH36)))</f>
        <v/>
      </c>
      <c r="DN36">
        <f>IF(OR(DL$3="",DL$3&gt;TODAY()),"",IF(AND(DL36="",DM36=""),"",N(DM36)-N(DL36)))</f>
        <v/>
      </c>
      <c r="DQ36">
        <f>IF(OR(DL$3="",DL$3&gt;TODAY()),"",IF(AND(DO36="",DP36=""),"",N(DP36)-N(DO36)))</f>
        <v/>
      </c>
      <c r="DU36">
        <f>IF(OR(DS$3="",DS$3&gt;TODAY()),"",IF(AND(DS36="",DT36=""),"",N(DT36)-N(DS36)))</f>
        <v/>
      </c>
      <c r="DX36">
        <f>IF(OR(DS$3="",DS$3&gt;TODAY()),"",IF(AND(DV36="",DW36=""),"",N(DW36)-N(DV36)))</f>
        <v/>
      </c>
      <c r="EB36">
        <f>IF(OR(DZ$3="",DZ$3&gt;TODAY()),"",IF(AND(DZ36="",EA36=""),"",N(EA36)-N(DZ36)))</f>
        <v/>
      </c>
      <c r="EE36">
        <f>IF(OR(DZ$3="",DZ$3&gt;TODAY()),"",IF(AND(EC36="",ED36=""),"",N(ED36)-N(EC36)))</f>
        <v/>
      </c>
      <c r="EI36">
        <f>IF(OR(EG$3="",EG$3&gt;TODAY()),"",IF(AND(EG36="",EH36=""),"",N(EH36)-N(EG36)))</f>
        <v/>
      </c>
      <c r="EL36">
        <f>IF(OR(EG$3="",EG$3&gt;TODAY()),"",IF(AND(EJ36="",EK36=""),"",N(EK36)-N(EJ36)))</f>
        <v/>
      </c>
      <c r="EP36">
        <f>IF(OR(EN$3="",EN$3&gt;TODAY()),"",IF(AND(EN36="",EO36=""),"",N(EO36)-N(EN36)))</f>
        <v/>
      </c>
      <c r="ES36">
        <f>IF(OR(EN$3="",EN$3&gt;TODAY()),"",IF(AND(EQ36="",ER36=""),"",N(ER36)-N(EQ36)))</f>
        <v/>
      </c>
      <c r="EW36">
        <f>IF(OR(EU$3="",EU$3&gt;TODAY()),"",IF(AND(EU36="",EV36=""),"",N(EV36)-N(EU36)))</f>
        <v/>
      </c>
      <c r="EZ36">
        <f>IF(OR(EU$3="",EU$3&gt;TODAY()),"",IF(AND(EX36="",EY36=""),"",N(EY36)-N(EX36)))</f>
        <v/>
      </c>
      <c r="FD36">
        <f>IF(OR(FB$3="",FB$3&gt;TODAY()),"",IF(AND(FB36="",FC36=""),"",N(FC36)-N(FB36)))</f>
        <v/>
      </c>
      <c r="FG36">
        <f>IF(OR(FB$3="",FB$3&gt;TODAY()),"",IF(AND(FE36="",FF36=""),"",N(FF36)-N(FE36)))</f>
        <v/>
      </c>
      <c r="FK36">
        <f>IF(OR(FI$3="",FI$3&gt;TODAY()),"",IF(AND(FI36="",FJ36=""),"",N(FJ36)-N(FI36)))</f>
        <v/>
      </c>
      <c r="FN36">
        <f>IF(OR(FI$3="",FI$3&gt;TODAY()),"",IF(AND(FL36="",FM36=""),"",N(FM36)-N(FL36)))</f>
        <v/>
      </c>
      <c r="FR36">
        <f>IF(OR(FP$3="",FP$3&gt;TODAY()),"",IF(AND(FP36="",FQ36=""),"",N(FQ36)-N(FP36)))</f>
        <v/>
      </c>
      <c r="FU36">
        <f>IF(OR(FP$3="",FP$3&gt;TODAY()),"",IF(AND(FS36="",FT36=""),"",N(FT36)-N(FS36)))</f>
        <v/>
      </c>
      <c r="FY36">
        <f>IF(OR(FW$3="",FW$3&gt;TODAY()),"",IF(AND(FW36="",FX36=""),"",N(FX36)-N(FW36)))</f>
        <v/>
      </c>
      <c r="GB36">
        <f>IF(OR(FW$3="",FW$3&gt;TODAY()),"",IF(AND(FZ36="",GA36=""),"",N(GA36)-N(FZ36)))</f>
        <v/>
      </c>
      <c r="GF36">
        <f>IF(OR(GD$3="",GD$3&gt;TODAY()),"",IF(AND(GD36="",GE36=""),"",N(GE36)-N(GD36)))</f>
        <v/>
      </c>
      <c r="GI36">
        <f>IF(OR(GD$3="",GD$3&gt;TODAY()),"",IF(AND(GG36="",GH36=""),"",N(GH36)-N(GG36)))</f>
        <v/>
      </c>
      <c r="GM36">
        <f>IF(OR(GK$3="",GK$3&gt;TODAY()),"",IF(AND(GK36="",GL36=""),"",N(GL36)-N(GK36)))</f>
        <v/>
      </c>
      <c r="GP36">
        <f>IF(OR(GK$3="",GK$3&gt;TODAY()),"",IF(AND(GN36="",GO36=""),"",N(GO36)-N(GN36)))</f>
        <v/>
      </c>
      <c r="GT36">
        <f>IF(OR(GR$3="",GR$3&gt;TODAY()),"",IF(AND(GR36="",GS36=""),"",N(GS36)-N(GR36)))</f>
        <v/>
      </c>
      <c r="GW36">
        <f>IF(OR(GR$3="",GR$3&gt;TODAY()),"",IF(AND(GU36="",GV36=""),"",N(GV36)-N(GU36)))</f>
        <v/>
      </c>
      <c r="HA36">
        <f>IF(OR(GY$3="",GY$3&gt;TODAY()),"",IF(AND(GY36="",GZ36=""),"",N(GZ36)-N(GY36)))</f>
        <v/>
      </c>
      <c r="HD36">
        <f>IF(OR(GY$3="",GY$3&gt;TODAY()),"",IF(AND(HB36="",HC36=""),"",N(HC36)-N(HB36)))</f>
        <v/>
      </c>
      <c r="HH36">
        <f>IF(OR(HF$3="",HF$3&gt;TODAY()),"",IF(AND(HF36="",HG36=""),"",N(HG36)-N(HF36)))</f>
        <v/>
      </c>
      <c r="HK36">
        <f>IF(OR(HF$3="",HF$3&gt;TODAY()),"",IF(AND(HI36="",HJ36=""),"",N(HJ36)-N(HI36)))</f>
        <v/>
      </c>
      <c r="HO36">
        <f>IF(OR(HM$3="",HM$3&gt;TODAY()),"",IF(AND(HM36="",HN36=""),"",N(HN36)-N(HM36)))</f>
        <v/>
      </c>
      <c r="HR36">
        <f>IF(OR(HM$3="",HM$3&gt;TODAY()),"",IF(AND(HP36="",HQ36=""),"",N(HQ36)-N(HP36)))</f>
        <v/>
      </c>
      <c r="HV36">
        <f>IF(OR(HT$3="",HT$3&gt;TODAY()),"",IF(AND(HT36="",HU36=""),"",N(HU36)-N(HT36)))</f>
        <v/>
      </c>
      <c r="HY36">
        <f>IF(OR(HT$3="",HT$3&gt;TODAY()),"",IF(AND(HW36="",HX36=""),"",N(HX36)-N(HW36)))</f>
        <v/>
      </c>
      <c r="IC36">
        <f>IF(OR(IA$3="",IA$3&gt;TODAY()),"",IF(AND(IA36="",IB36=""),"",N(IB36)-N(IA36)))</f>
        <v/>
      </c>
      <c r="IF36">
        <f>IF(OR(IA$3="",IA$3&gt;TODAY()),"",IF(AND(ID36="",IE36=""),"",N(IE36)-N(ID36)))</f>
        <v/>
      </c>
      <c r="IJ36">
        <f>IF(OR(IH$3="",IH$3&gt;TODAY()),"",IF(AND(IH36="",II36=""),"",N(II36)-N(IH36)))</f>
        <v/>
      </c>
      <c r="IM36">
        <f>IF(OR(IH$3="",IH$3&gt;TODAY()),"",IF(AND(IK36="",IL36=""),"",N(IL36)-N(IK36)))</f>
        <v/>
      </c>
    </row>
    <row r="37">
      <c r="A37" s="21" t="n"/>
      <c r="B37" s="21" t="n"/>
      <c r="C37" s="21" t="n"/>
      <c r="D37" s="21" t="n"/>
      <c r="E37" s="21" t="n"/>
      <c r="F37" s="21" t="n"/>
      <c r="G37" s="21" t="n"/>
      <c r="H37" s="21" t="n"/>
      <c r="I37" s="22" t="n"/>
      <c r="J37" s="22" t="n"/>
      <c r="K37" s="23" t="n"/>
      <c r="L37" s="22" t="n"/>
      <c r="M37" s="22" t="n"/>
      <c r="N37" s="21" t="n"/>
      <c r="O37" s="23" t="n"/>
      <c r="P37" s="23" t="n"/>
      <c r="Q37" s="23" t="n"/>
      <c r="R37" s="23" t="n"/>
      <c r="S37" s="22" t="n"/>
      <c r="T37" s="23" t="n"/>
      <c r="U37" s="23" t="n"/>
      <c r="V37" s="24">
        <f>IF(J37&lt;&gt;"",J37,IF(I37&lt;&gt;"",I37,""))</f>
        <v/>
      </c>
      <c r="W37" s="25">
        <f>IF($E37="","",N(O37)+SUMIFS($AF37:$IN37,$AF$4:$IN$4,"SEW_ACT"))</f>
        <v/>
      </c>
      <c r="X37" s="25">
        <f>IF($E37="","",N(P37)+SUMIFS($AF37:$IN37,$AF$4:$IN$4,"WASH_ACT"))</f>
        <v/>
      </c>
      <c r="Y37" s="25">
        <f>IF($E37="","",W37-X37-N(T37)-N(U37))</f>
        <v/>
      </c>
      <c r="Z37" s="25">
        <f>IF($E37="","",IF(N(K37)-X37&lt;=0.02*N(K37),0,N(K37)-X37))</f>
        <v/>
      </c>
      <c r="AA37" s="24">
        <f>IF($E37="","",IF(S37&lt;&gt;"",S37,IF(N(O37)&gt;0,IF(L37&lt;&gt;"",L37,99999),IFERROR(1/(1/_xlfn.MINIFS($AF$3:$IN$3,$AF$4:$IN$4,"SEW_ACT",$AF37:$IN37,"&gt;0")),99999))))</f>
        <v/>
      </c>
      <c r="AB37" s="26">
        <f>IF(OR($E37="",Z37=0,V37=""),"",1+COUNTIFS(Z$8:Z$707,"&gt;0",V$8:V$707,"&lt;"&amp;V37)+COUNTIFS(Z$8:Z$707,"&gt;0",V$8:V$707,V37,AA$8:AA$707,"&lt;"&amp;AA37)+COUNTIFS(Z$8:Z$707,"&gt;0",V$8:V$707,V37,AA$8:AA$707,AA37,E$8:E$707,"&lt;"&amp;$E37))</f>
        <v/>
      </c>
      <c r="AC37" s="24">
        <f>IF(OR($E37="",Z37=0),"",IFERROR(TODAY()+ROUNDUP(Z37/(SUMIFS($AF37:$IN37,$AF$4:$IN$4,"WASH_ACT")/COUNTIFS($AF$4:$IN$4,"WASH_ACT",$AF37:$IN37,"&gt;0")),0),"no output yet"))</f>
        <v/>
      </c>
      <c r="AD37" s="26">
        <f>IF($E37="","",IFERROR(ROUND(MAX(0,SUMIFS($AF37:$IN37,$AF$4:$IN$4,"SEW_PLAN",$AF$3:$IN$3,"&lt;="&amp;TODAY())-SUMIFS($AF37:$IN37,$AF$4:$IN$4,"SEW_ACT",$AF$3:$IN$3,"&lt;="&amp;TODAY())+N(Q37))/(SUMIFS($AF37:$IN37,$AF$4:$IN$4,"SEW_PLAN")/COUNTIFS($AF$4:$IN$4,"SEW_PLAN",$AF37:$IN37,"&gt;0")),1),0))</f>
        <v/>
      </c>
      <c r="AE37" s="26">
        <f>IF($E37="","",IF(AND(Z37&gt;0,OR(AND(M37&lt;&gt;"",TODAY()&gt;M37),AND(V37&lt;&gt;"",V37-TODAY()&lt;=7))),"Yes","No"))</f>
        <v/>
      </c>
      <c r="AH37">
        <f>IF(OR(AF$3="",AF$3&gt;TODAY()),"",IF(AND(AF37="",AG37=""),"",N(AG37)-N(AF37)))</f>
        <v/>
      </c>
      <c r="AK37">
        <f>IF(OR(AF$3="",AF$3&gt;TODAY()),"",IF(AND(AI37="",AJ37=""),"",N(AJ37)-N(AI37)))</f>
        <v/>
      </c>
      <c r="AO37">
        <f>IF(OR(AM$3="",AM$3&gt;TODAY()),"",IF(AND(AM37="",AN37=""),"",N(AN37)-N(AM37)))</f>
        <v/>
      </c>
      <c r="AR37">
        <f>IF(OR(AM$3="",AM$3&gt;TODAY()),"",IF(AND(AP37="",AQ37=""),"",N(AQ37)-N(AP37)))</f>
        <v/>
      </c>
      <c r="AV37">
        <f>IF(OR(AT$3="",AT$3&gt;TODAY()),"",IF(AND(AT37="",AU37=""),"",N(AU37)-N(AT37)))</f>
        <v/>
      </c>
      <c r="AY37">
        <f>IF(OR(AT$3="",AT$3&gt;TODAY()),"",IF(AND(AW37="",AX37=""),"",N(AX37)-N(AW37)))</f>
        <v/>
      </c>
      <c r="BC37">
        <f>IF(OR(BA$3="",BA$3&gt;TODAY()),"",IF(AND(BA37="",BB37=""),"",N(BB37)-N(BA37)))</f>
        <v/>
      </c>
      <c r="BF37">
        <f>IF(OR(BA$3="",BA$3&gt;TODAY()),"",IF(AND(BD37="",BE37=""),"",N(BE37)-N(BD37)))</f>
        <v/>
      </c>
      <c r="BJ37">
        <f>IF(OR(BH$3="",BH$3&gt;TODAY()),"",IF(AND(BH37="",BI37=""),"",N(BI37)-N(BH37)))</f>
        <v/>
      </c>
      <c r="BM37">
        <f>IF(OR(BH$3="",BH$3&gt;TODAY()),"",IF(AND(BK37="",BL37=""),"",N(BL37)-N(BK37)))</f>
        <v/>
      </c>
      <c r="BQ37">
        <f>IF(OR(BO$3="",BO$3&gt;TODAY()),"",IF(AND(BO37="",BP37=""),"",N(BP37)-N(BO37)))</f>
        <v/>
      </c>
      <c r="BT37">
        <f>IF(OR(BO$3="",BO$3&gt;TODAY()),"",IF(AND(BR37="",BS37=""),"",N(BS37)-N(BR37)))</f>
        <v/>
      </c>
      <c r="BX37">
        <f>IF(OR(BV$3="",BV$3&gt;TODAY()),"",IF(AND(BV37="",BW37=""),"",N(BW37)-N(BV37)))</f>
        <v/>
      </c>
      <c r="CA37">
        <f>IF(OR(BV$3="",BV$3&gt;TODAY()),"",IF(AND(BY37="",BZ37=""),"",N(BZ37)-N(BY37)))</f>
        <v/>
      </c>
      <c r="CE37">
        <f>IF(OR(CC$3="",CC$3&gt;TODAY()),"",IF(AND(CC37="",CD37=""),"",N(CD37)-N(CC37)))</f>
        <v/>
      </c>
      <c r="CH37">
        <f>IF(OR(CC$3="",CC$3&gt;TODAY()),"",IF(AND(CF37="",CG37=""),"",N(CG37)-N(CF37)))</f>
        <v/>
      </c>
      <c r="CL37">
        <f>IF(OR(CJ$3="",CJ$3&gt;TODAY()),"",IF(AND(CJ37="",CK37=""),"",N(CK37)-N(CJ37)))</f>
        <v/>
      </c>
      <c r="CO37">
        <f>IF(OR(CJ$3="",CJ$3&gt;TODAY()),"",IF(AND(CM37="",CN37=""),"",N(CN37)-N(CM37)))</f>
        <v/>
      </c>
      <c r="CS37">
        <f>IF(OR(CQ$3="",CQ$3&gt;TODAY()),"",IF(AND(CQ37="",CR37=""),"",N(CR37)-N(CQ37)))</f>
        <v/>
      </c>
      <c r="CV37">
        <f>IF(OR(CQ$3="",CQ$3&gt;TODAY()),"",IF(AND(CT37="",CU37=""),"",N(CU37)-N(CT37)))</f>
        <v/>
      </c>
      <c r="CZ37">
        <f>IF(OR(CX$3="",CX$3&gt;TODAY()),"",IF(AND(CX37="",CY37=""),"",N(CY37)-N(CX37)))</f>
        <v/>
      </c>
      <c r="DC37">
        <f>IF(OR(CX$3="",CX$3&gt;TODAY()),"",IF(AND(DA37="",DB37=""),"",N(DB37)-N(DA37)))</f>
        <v/>
      </c>
      <c r="DG37">
        <f>IF(OR(DE$3="",DE$3&gt;TODAY()),"",IF(AND(DE37="",DF37=""),"",N(DF37)-N(DE37)))</f>
        <v/>
      </c>
      <c r="DJ37">
        <f>IF(OR(DE$3="",DE$3&gt;TODAY()),"",IF(AND(DH37="",DI37=""),"",N(DI37)-N(DH37)))</f>
        <v/>
      </c>
      <c r="DN37">
        <f>IF(OR(DL$3="",DL$3&gt;TODAY()),"",IF(AND(DL37="",DM37=""),"",N(DM37)-N(DL37)))</f>
        <v/>
      </c>
      <c r="DQ37">
        <f>IF(OR(DL$3="",DL$3&gt;TODAY()),"",IF(AND(DO37="",DP37=""),"",N(DP37)-N(DO37)))</f>
        <v/>
      </c>
      <c r="DU37">
        <f>IF(OR(DS$3="",DS$3&gt;TODAY()),"",IF(AND(DS37="",DT37=""),"",N(DT37)-N(DS37)))</f>
        <v/>
      </c>
      <c r="DX37">
        <f>IF(OR(DS$3="",DS$3&gt;TODAY()),"",IF(AND(DV37="",DW37=""),"",N(DW37)-N(DV37)))</f>
        <v/>
      </c>
      <c r="EB37">
        <f>IF(OR(DZ$3="",DZ$3&gt;TODAY()),"",IF(AND(DZ37="",EA37=""),"",N(EA37)-N(DZ37)))</f>
        <v/>
      </c>
      <c r="EE37">
        <f>IF(OR(DZ$3="",DZ$3&gt;TODAY()),"",IF(AND(EC37="",ED37=""),"",N(ED37)-N(EC37)))</f>
        <v/>
      </c>
      <c r="EI37">
        <f>IF(OR(EG$3="",EG$3&gt;TODAY()),"",IF(AND(EG37="",EH37=""),"",N(EH37)-N(EG37)))</f>
        <v/>
      </c>
      <c r="EL37">
        <f>IF(OR(EG$3="",EG$3&gt;TODAY()),"",IF(AND(EJ37="",EK37=""),"",N(EK37)-N(EJ37)))</f>
        <v/>
      </c>
      <c r="EP37">
        <f>IF(OR(EN$3="",EN$3&gt;TODAY()),"",IF(AND(EN37="",EO37=""),"",N(EO37)-N(EN37)))</f>
        <v/>
      </c>
      <c r="ES37">
        <f>IF(OR(EN$3="",EN$3&gt;TODAY()),"",IF(AND(EQ37="",ER37=""),"",N(ER37)-N(EQ37)))</f>
        <v/>
      </c>
      <c r="EW37">
        <f>IF(OR(EU$3="",EU$3&gt;TODAY()),"",IF(AND(EU37="",EV37=""),"",N(EV37)-N(EU37)))</f>
        <v/>
      </c>
      <c r="EZ37">
        <f>IF(OR(EU$3="",EU$3&gt;TODAY()),"",IF(AND(EX37="",EY37=""),"",N(EY37)-N(EX37)))</f>
        <v/>
      </c>
      <c r="FD37">
        <f>IF(OR(FB$3="",FB$3&gt;TODAY()),"",IF(AND(FB37="",FC37=""),"",N(FC37)-N(FB37)))</f>
        <v/>
      </c>
      <c r="FG37">
        <f>IF(OR(FB$3="",FB$3&gt;TODAY()),"",IF(AND(FE37="",FF37=""),"",N(FF37)-N(FE37)))</f>
        <v/>
      </c>
      <c r="FK37">
        <f>IF(OR(FI$3="",FI$3&gt;TODAY()),"",IF(AND(FI37="",FJ37=""),"",N(FJ37)-N(FI37)))</f>
        <v/>
      </c>
      <c r="FN37">
        <f>IF(OR(FI$3="",FI$3&gt;TODAY()),"",IF(AND(FL37="",FM37=""),"",N(FM37)-N(FL37)))</f>
        <v/>
      </c>
      <c r="FR37">
        <f>IF(OR(FP$3="",FP$3&gt;TODAY()),"",IF(AND(FP37="",FQ37=""),"",N(FQ37)-N(FP37)))</f>
        <v/>
      </c>
      <c r="FU37">
        <f>IF(OR(FP$3="",FP$3&gt;TODAY()),"",IF(AND(FS37="",FT37=""),"",N(FT37)-N(FS37)))</f>
        <v/>
      </c>
      <c r="FY37">
        <f>IF(OR(FW$3="",FW$3&gt;TODAY()),"",IF(AND(FW37="",FX37=""),"",N(FX37)-N(FW37)))</f>
        <v/>
      </c>
      <c r="GB37">
        <f>IF(OR(FW$3="",FW$3&gt;TODAY()),"",IF(AND(FZ37="",GA37=""),"",N(GA37)-N(FZ37)))</f>
        <v/>
      </c>
      <c r="GF37">
        <f>IF(OR(GD$3="",GD$3&gt;TODAY()),"",IF(AND(GD37="",GE37=""),"",N(GE37)-N(GD37)))</f>
        <v/>
      </c>
      <c r="GI37">
        <f>IF(OR(GD$3="",GD$3&gt;TODAY()),"",IF(AND(GG37="",GH37=""),"",N(GH37)-N(GG37)))</f>
        <v/>
      </c>
      <c r="GM37">
        <f>IF(OR(GK$3="",GK$3&gt;TODAY()),"",IF(AND(GK37="",GL37=""),"",N(GL37)-N(GK37)))</f>
        <v/>
      </c>
      <c r="GP37">
        <f>IF(OR(GK$3="",GK$3&gt;TODAY()),"",IF(AND(GN37="",GO37=""),"",N(GO37)-N(GN37)))</f>
        <v/>
      </c>
      <c r="GT37">
        <f>IF(OR(GR$3="",GR$3&gt;TODAY()),"",IF(AND(GR37="",GS37=""),"",N(GS37)-N(GR37)))</f>
        <v/>
      </c>
      <c r="GW37">
        <f>IF(OR(GR$3="",GR$3&gt;TODAY()),"",IF(AND(GU37="",GV37=""),"",N(GV37)-N(GU37)))</f>
        <v/>
      </c>
      <c r="HA37">
        <f>IF(OR(GY$3="",GY$3&gt;TODAY()),"",IF(AND(GY37="",GZ37=""),"",N(GZ37)-N(GY37)))</f>
        <v/>
      </c>
      <c r="HD37">
        <f>IF(OR(GY$3="",GY$3&gt;TODAY()),"",IF(AND(HB37="",HC37=""),"",N(HC37)-N(HB37)))</f>
        <v/>
      </c>
      <c r="HH37">
        <f>IF(OR(HF$3="",HF$3&gt;TODAY()),"",IF(AND(HF37="",HG37=""),"",N(HG37)-N(HF37)))</f>
        <v/>
      </c>
      <c r="HK37">
        <f>IF(OR(HF$3="",HF$3&gt;TODAY()),"",IF(AND(HI37="",HJ37=""),"",N(HJ37)-N(HI37)))</f>
        <v/>
      </c>
      <c r="HO37">
        <f>IF(OR(HM$3="",HM$3&gt;TODAY()),"",IF(AND(HM37="",HN37=""),"",N(HN37)-N(HM37)))</f>
        <v/>
      </c>
      <c r="HR37">
        <f>IF(OR(HM$3="",HM$3&gt;TODAY()),"",IF(AND(HP37="",HQ37=""),"",N(HQ37)-N(HP37)))</f>
        <v/>
      </c>
      <c r="HV37">
        <f>IF(OR(HT$3="",HT$3&gt;TODAY()),"",IF(AND(HT37="",HU37=""),"",N(HU37)-N(HT37)))</f>
        <v/>
      </c>
      <c r="HY37">
        <f>IF(OR(HT$3="",HT$3&gt;TODAY()),"",IF(AND(HW37="",HX37=""),"",N(HX37)-N(HW37)))</f>
        <v/>
      </c>
      <c r="IC37">
        <f>IF(OR(IA$3="",IA$3&gt;TODAY()),"",IF(AND(IA37="",IB37=""),"",N(IB37)-N(IA37)))</f>
        <v/>
      </c>
      <c r="IF37">
        <f>IF(OR(IA$3="",IA$3&gt;TODAY()),"",IF(AND(ID37="",IE37=""),"",N(IE37)-N(ID37)))</f>
        <v/>
      </c>
      <c r="IJ37">
        <f>IF(OR(IH$3="",IH$3&gt;TODAY()),"",IF(AND(IH37="",II37=""),"",N(II37)-N(IH37)))</f>
        <v/>
      </c>
      <c r="IM37">
        <f>IF(OR(IH$3="",IH$3&gt;TODAY()),"",IF(AND(IK37="",IL37=""),"",N(IL37)-N(IK37)))</f>
        <v/>
      </c>
    </row>
    <row r="38">
      <c r="A38" s="21" t="n"/>
      <c r="B38" s="21" t="n"/>
      <c r="C38" s="21" t="n"/>
      <c r="D38" s="21" t="n"/>
      <c r="E38" s="21" t="n"/>
      <c r="F38" s="21" t="n"/>
      <c r="G38" s="21" t="n"/>
      <c r="H38" s="21" t="n"/>
      <c r="I38" s="22" t="n"/>
      <c r="J38" s="22" t="n"/>
      <c r="K38" s="23" t="n"/>
      <c r="L38" s="22" t="n"/>
      <c r="M38" s="22" t="n"/>
      <c r="N38" s="21" t="n"/>
      <c r="O38" s="23" t="n"/>
      <c r="P38" s="23" t="n"/>
      <c r="Q38" s="23" t="n"/>
      <c r="R38" s="23" t="n"/>
      <c r="S38" s="22" t="n"/>
      <c r="T38" s="23" t="n"/>
      <c r="U38" s="23" t="n"/>
      <c r="V38" s="24">
        <f>IF(J38&lt;&gt;"",J38,IF(I38&lt;&gt;"",I38,""))</f>
        <v/>
      </c>
      <c r="W38" s="25">
        <f>IF($E38="","",N(O38)+SUMIFS($AF38:$IN38,$AF$4:$IN$4,"SEW_ACT"))</f>
        <v/>
      </c>
      <c r="X38" s="25">
        <f>IF($E38="","",N(P38)+SUMIFS($AF38:$IN38,$AF$4:$IN$4,"WASH_ACT"))</f>
        <v/>
      </c>
      <c r="Y38" s="25">
        <f>IF($E38="","",W38-X38-N(T38)-N(U38))</f>
        <v/>
      </c>
      <c r="Z38" s="25">
        <f>IF($E38="","",IF(N(K38)-X38&lt;=0.02*N(K38),0,N(K38)-X38))</f>
        <v/>
      </c>
      <c r="AA38" s="24">
        <f>IF($E38="","",IF(S38&lt;&gt;"",S38,IF(N(O38)&gt;0,IF(L38&lt;&gt;"",L38,99999),IFERROR(1/(1/_xlfn.MINIFS($AF$3:$IN$3,$AF$4:$IN$4,"SEW_ACT",$AF38:$IN38,"&gt;0")),99999))))</f>
        <v/>
      </c>
      <c r="AB38" s="26">
        <f>IF(OR($E38="",Z38=0,V38=""),"",1+COUNTIFS(Z$8:Z$707,"&gt;0",V$8:V$707,"&lt;"&amp;V38)+COUNTIFS(Z$8:Z$707,"&gt;0",V$8:V$707,V38,AA$8:AA$707,"&lt;"&amp;AA38)+COUNTIFS(Z$8:Z$707,"&gt;0",V$8:V$707,V38,AA$8:AA$707,AA38,E$8:E$707,"&lt;"&amp;$E38))</f>
        <v/>
      </c>
      <c r="AC38" s="24">
        <f>IF(OR($E38="",Z38=0),"",IFERROR(TODAY()+ROUNDUP(Z38/(SUMIFS($AF38:$IN38,$AF$4:$IN$4,"WASH_ACT")/COUNTIFS($AF$4:$IN$4,"WASH_ACT",$AF38:$IN38,"&gt;0")),0),"no output yet"))</f>
        <v/>
      </c>
      <c r="AD38" s="26">
        <f>IF($E38="","",IFERROR(ROUND(MAX(0,SUMIFS($AF38:$IN38,$AF$4:$IN$4,"SEW_PLAN",$AF$3:$IN$3,"&lt;="&amp;TODAY())-SUMIFS($AF38:$IN38,$AF$4:$IN$4,"SEW_ACT",$AF$3:$IN$3,"&lt;="&amp;TODAY())+N(Q38))/(SUMIFS($AF38:$IN38,$AF$4:$IN$4,"SEW_PLAN")/COUNTIFS($AF$4:$IN$4,"SEW_PLAN",$AF38:$IN38,"&gt;0")),1),0))</f>
        <v/>
      </c>
      <c r="AE38" s="26">
        <f>IF($E38="","",IF(AND(Z38&gt;0,OR(AND(M38&lt;&gt;"",TODAY()&gt;M38),AND(V38&lt;&gt;"",V38-TODAY()&lt;=7))),"Yes","No"))</f>
        <v/>
      </c>
      <c r="AH38">
        <f>IF(OR(AF$3="",AF$3&gt;TODAY()),"",IF(AND(AF38="",AG38=""),"",N(AG38)-N(AF38)))</f>
        <v/>
      </c>
      <c r="AK38">
        <f>IF(OR(AF$3="",AF$3&gt;TODAY()),"",IF(AND(AI38="",AJ38=""),"",N(AJ38)-N(AI38)))</f>
        <v/>
      </c>
      <c r="AO38">
        <f>IF(OR(AM$3="",AM$3&gt;TODAY()),"",IF(AND(AM38="",AN38=""),"",N(AN38)-N(AM38)))</f>
        <v/>
      </c>
      <c r="AR38">
        <f>IF(OR(AM$3="",AM$3&gt;TODAY()),"",IF(AND(AP38="",AQ38=""),"",N(AQ38)-N(AP38)))</f>
        <v/>
      </c>
      <c r="AV38">
        <f>IF(OR(AT$3="",AT$3&gt;TODAY()),"",IF(AND(AT38="",AU38=""),"",N(AU38)-N(AT38)))</f>
        <v/>
      </c>
      <c r="AY38">
        <f>IF(OR(AT$3="",AT$3&gt;TODAY()),"",IF(AND(AW38="",AX38=""),"",N(AX38)-N(AW38)))</f>
        <v/>
      </c>
      <c r="BC38">
        <f>IF(OR(BA$3="",BA$3&gt;TODAY()),"",IF(AND(BA38="",BB38=""),"",N(BB38)-N(BA38)))</f>
        <v/>
      </c>
      <c r="BF38">
        <f>IF(OR(BA$3="",BA$3&gt;TODAY()),"",IF(AND(BD38="",BE38=""),"",N(BE38)-N(BD38)))</f>
        <v/>
      </c>
      <c r="BJ38">
        <f>IF(OR(BH$3="",BH$3&gt;TODAY()),"",IF(AND(BH38="",BI38=""),"",N(BI38)-N(BH38)))</f>
        <v/>
      </c>
      <c r="BM38">
        <f>IF(OR(BH$3="",BH$3&gt;TODAY()),"",IF(AND(BK38="",BL38=""),"",N(BL38)-N(BK38)))</f>
        <v/>
      </c>
      <c r="BQ38">
        <f>IF(OR(BO$3="",BO$3&gt;TODAY()),"",IF(AND(BO38="",BP38=""),"",N(BP38)-N(BO38)))</f>
        <v/>
      </c>
      <c r="BT38">
        <f>IF(OR(BO$3="",BO$3&gt;TODAY()),"",IF(AND(BR38="",BS38=""),"",N(BS38)-N(BR38)))</f>
        <v/>
      </c>
      <c r="BX38">
        <f>IF(OR(BV$3="",BV$3&gt;TODAY()),"",IF(AND(BV38="",BW38=""),"",N(BW38)-N(BV38)))</f>
        <v/>
      </c>
      <c r="CA38">
        <f>IF(OR(BV$3="",BV$3&gt;TODAY()),"",IF(AND(BY38="",BZ38=""),"",N(BZ38)-N(BY38)))</f>
        <v/>
      </c>
      <c r="CE38">
        <f>IF(OR(CC$3="",CC$3&gt;TODAY()),"",IF(AND(CC38="",CD38=""),"",N(CD38)-N(CC38)))</f>
        <v/>
      </c>
      <c r="CH38">
        <f>IF(OR(CC$3="",CC$3&gt;TODAY()),"",IF(AND(CF38="",CG38=""),"",N(CG38)-N(CF38)))</f>
        <v/>
      </c>
      <c r="CL38">
        <f>IF(OR(CJ$3="",CJ$3&gt;TODAY()),"",IF(AND(CJ38="",CK38=""),"",N(CK38)-N(CJ38)))</f>
        <v/>
      </c>
      <c r="CO38">
        <f>IF(OR(CJ$3="",CJ$3&gt;TODAY()),"",IF(AND(CM38="",CN38=""),"",N(CN38)-N(CM38)))</f>
        <v/>
      </c>
      <c r="CS38">
        <f>IF(OR(CQ$3="",CQ$3&gt;TODAY()),"",IF(AND(CQ38="",CR38=""),"",N(CR38)-N(CQ38)))</f>
        <v/>
      </c>
      <c r="CV38">
        <f>IF(OR(CQ$3="",CQ$3&gt;TODAY()),"",IF(AND(CT38="",CU38=""),"",N(CU38)-N(CT38)))</f>
        <v/>
      </c>
      <c r="CZ38">
        <f>IF(OR(CX$3="",CX$3&gt;TODAY()),"",IF(AND(CX38="",CY38=""),"",N(CY38)-N(CX38)))</f>
        <v/>
      </c>
      <c r="DC38">
        <f>IF(OR(CX$3="",CX$3&gt;TODAY()),"",IF(AND(DA38="",DB38=""),"",N(DB38)-N(DA38)))</f>
        <v/>
      </c>
      <c r="DG38">
        <f>IF(OR(DE$3="",DE$3&gt;TODAY()),"",IF(AND(DE38="",DF38=""),"",N(DF38)-N(DE38)))</f>
        <v/>
      </c>
      <c r="DJ38">
        <f>IF(OR(DE$3="",DE$3&gt;TODAY()),"",IF(AND(DH38="",DI38=""),"",N(DI38)-N(DH38)))</f>
        <v/>
      </c>
      <c r="DN38">
        <f>IF(OR(DL$3="",DL$3&gt;TODAY()),"",IF(AND(DL38="",DM38=""),"",N(DM38)-N(DL38)))</f>
        <v/>
      </c>
      <c r="DQ38">
        <f>IF(OR(DL$3="",DL$3&gt;TODAY()),"",IF(AND(DO38="",DP38=""),"",N(DP38)-N(DO38)))</f>
        <v/>
      </c>
      <c r="DU38">
        <f>IF(OR(DS$3="",DS$3&gt;TODAY()),"",IF(AND(DS38="",DT38=""),"",N(DT38)-N(DS38)))</f>
        <v/>
      </c>
      <c r="DX38">
        <f>IF(OR(DS$3="",DS$3&gt;TODAY()),"",IF(AND(DV38="",DW38=""),"",N(DW38)-N(DV38)))</f>
        <v/>
      </c>
      <c r="EB38">
        <f>IF(OR(DZ$3="",DZ$3&gt;TODAY()),"",IF(AND(DZ38="",EA38=""),"",N(EA38)-N(DZ38)))</f>
        <v/>
      </c>
      <c r="EE38">
        <f>IF(OR(DZ$3="",DZ$3&gt;TODAY()),"",IF(AND(EC38="",ED38=""),"",N(ED38)-N(EC38)))</f>
        <v/>
      </c>
      <c r="EI38">
        <f>IF(OR(EG$3="",EG$3&gt;TODAY()),"",IF(AND(EG38="",EH38=""),"",N(EH38)-N(EG38)))</f>
        <v/>
      </c>
      <c r="EL38">
        <f>IF(OR(EG$3="",EG$3&gt;TODAY()),"",IF(AND(EJ38="",EK38=""),"",N(EK38)-N(EJ38)))</f>
        <v/>
      </c>
      <c r="EP38">
        <f>IF(OR(EN$3="",EN$3&gt;TODAY()),"",IF(AND(EN38="",EO38=""),"",N(EO38)-N(EN38)))</f>
        <v/>
      </c>
      <c r="ES38">
        <f>IF(OR(EN$3="",EN$3&gt;TODAY()),"",IF(AND(EQ38="",ER38=""),"",N(ER38)-N(EQ38)))</f>
        <v/>
      </c>
      <c r="EW38">
        <f>IF(OR(EU$3="",EU$3&gt;TODAY()),"",IF(AND(EU38="",EV38=""),"",N(EV38)-N(EU38)))</f>
        <v/>
      </c>
      <c r="EZ38">
        <f>IF(OR(EU$3="",EU$3&gt;TODAY()),"",IF(AND(EX38="",EY38=""),"",N(EY38)-N(EX38)))</f>
        <v/>
      </c>
      <c r="FD38">
        <f>IF(OR(FB$3="",FB$3&gt;TODAY()),"",IF(AND(FB38="",FC38=""),"",N(FC38)-N(FB38)))</f>
        <v/>
      </c>
      <c r="FG38">
        <f>IF(OR(FB$3="",FB$3&gt;TODAY()),"",IF(AND(FE38="",FF38=""),"",N(FF38)-N(FE38)))</f>
        <v/>
      </c>
      <c r="FK38">
        <f>IF(OR(FI$3="",FI$3&gt;TODAY()),"",IF(AND(FI38="",FJ38=""),"",N(FJ38)-N(FI38)))</f>
        <v/>
      </c>
      <c r="FN38">
        <f>IF(OR(FI$3="",FI$3&gt;TODAY()),"",IF(AND(FL38="",FM38=""),"",N(FM38)-N(FL38)))</f>
        <v/>
      </c>
      <c r="FR38">
        <f>IF(OR(FP$3="",FP$3&gt;TODAY()),"",IF(AND(FP38="",FQ38=""),"",N(FQ38)-N(FP38)))</f>
        <v/>
      </c>
      <c r="FU38">
        <f>IF(OR(FP$3="",FP$3&gt;TODAY()),"",IF(AND(FS38="",FT38=""),"",N(FT38)-N(FS38)))</f>
        <v/>
      </c>
      <c r="FY38">
        <f>IF(OR(FW$3="",FW$3&gt;TODAY()),"",IF(AND(FW38="",FX38=""),"",N(FX38)-N(FW38)))</f>
        <v/>
      </c>
      <c r="GB38">
        <f>IF(OR(FW$3="",FW$3&gt;TODAY()),"",IF(AND(FZ38="",GA38=""),"",N(GA38)-N(FZ38)))</f>
        <v/>
      </c>
      <c r="GF38">
        <f>IF(OR(GD$3="",GD$3&gt;TODAY()),"",IF(AND(GD38="",GE38=""),"",N(GE38)-N(GD38)))</f>
        <v/>
      </c>
      <c r="GI38">
        <f>IF(OR(GD$3="",GD$3&gt;TODAY()),"",IF(AND(GG38="",GH38=""),"",N(GH38)-N(GG38)))</f>
        <v/>
      </c>
      <c r="GM38">
        <f>IF(OR(GK$3="",GK$3&gt;TODAY()),"",IF(AND(GK38="",GL38=""),"",N(GL38)-N(GK38)))</f>
        <v/>
      </c>
      <c r="GP38">
        <f>IF(OR(GK$3="",GK$3&gt;TODAY()),"",IF(AND(GN38="",GO38=""),"",N(GO38)-N(GN38)))</f>
        <v/>
      </c>
      <c r="GT38">
        <f>IF(OR(GR$3="",GR$3&gt;TODAY()),"",IF(AND(GR38="",GS38=""),"",N(GS38)-N(GR38)))</f>
        <v/>
      </c>
      <c r="GW38">
        <f>IF(OR(GR$3="",GR$3&gt;TODAY()),"",IF(AND(GU38="",GV38=""),"",N(GV38)-N(GU38)))</f>
        <v/>
      </c>
      <c r="HA38">
        <f>IF(OR(GY$3="",GY$3&gt;TODAY()),"",IF(AND(GY38="",GZ38=""),"",N(GZ38)-N(GY38)))</f>
        <v/>
      </c>
      <c r="HD38">
        <f>IF(OR(GY$3="",GY$3&gt;TODAY()),"",IF(AND(HB38="",HC38=""),"",N(HC38)-N(HB38)))</f>
        <v/>
      </c>
      <c r="HH38">
        <f>IF(OR(HF$3="",HF$3&gt;TODAY()),"",IF(AND(HF38="",HG38=""),"",N(HG38)-N(HF38)))</f>
        <v/>
      </c>
      <c r="HK38">
        <f>IF(OR(HF$3="",HF$3&gt;TODAY()),"",IF(AND(HI38="",HJ38=""),"",N(HJ38)-N(HI38)))</f>
        <v/>
      </c>
      <c r="HO38">
        <f>IF(OR(HM$3="",HM$3&gt;TODAY()),"",IF(AND(HM38="",HN38=""),"",N(HN38)-N(HM38)))</f>
        <v/>
      </c>
      <c r="HR38">
        <f>IF(OR(HM$3="",HM$3&gt;TODAY()),"",IF(AND(HP38="",HQ38=""),"",N(HQ38)-N(HP38)))</f>
        <v/>
      </c>
      <c r="HV38">
        <f>IF(OR(HT$3="",HT$3&gt;TODAY()),"",IF(AND(HT38="",HU38=""),"",N(HU38)-N(HT38)))</f>
        <v/>
      </c>
      <c r="HY38">
        <f>IF(OR(HT$3="",HT$3&gt;TODAY()),"",IF(AND(HW38="",HX38=""),"",N(HX38)-N(HW38)))</f>
        <v/>
      </c>
      <c r="IC38">
        <f>IF(OR(IA$3="",IA$3&gt;TODAY()),"",IF(AND(IA38="",IB38=""),"",N(IB38)-N(IA38)))</f>
        <v/>
      </c>
      <c r="IF38">
        <f>IF(OR(IA$3="",IA$3&gt;TODAY()),"",IF(AND(ID38="",IE38=""),"",N(IE38)-N(ID38)))</f>
        <v/>
      </c>
      <c r="IJ38">
        <f>IF(OR(IH$3="",IH$3&gt;TODAY()),"",IF(AND(IH38="",II38=""),"",N(II38)-N(IH38)))</f>
        <v/>
      </c>
      <c r="IM38">
        <f>IF(OR(IH$3="",IH$3&gt;TODAY()),"",IF(AND(IK38="",IL38=""),"",N(IL38)-N(IK38)))</f>
        <v/>
      </c>
    </row>
    <row r="39">
      <c r="A39" s="21" t="n"/>
      <c r="B39" s="21" t="n"/>
      <c r="C39" s="21" t="n"/>
      <c r="D39" s="21" t="n"/>
      <c r="E39" s="21" t="n"/>
      <c r="F39" s="21" t="n"/>
      <c r="G39" s="21" t="n"/>
      <c r="H39" s="21" t="n"/>
      <c r="I39" s="22" t="n"/>
      <c r="J39" s="22" t="n"/>
      <c r="K39" s="23" t="n"/>
      <c r="L39" s="22" t="n"/>
      <c r="M39" s="22" t="n"/>
      <c r="N39" s="21" t="n"/>
      <c r="O39" s="23" t="n"/>
      <c r="P39" s="23" t="n"/>
      <c r="Q39" s="23" t="n"/>
      <c r="R39" s="23" t="n"/>
      <c r="S39" s="22" t="n"/>
      <c r="T39" s="23" t="n"/>
      <c r="U39" s="23" t="n"/>
      <c r="V39" s="24">
        <f>IF(J39&lt;&gt;"",J39,IF(I39&lt;&gt;"",I39,""))</f>
        <v/>
      </c>
      <c r="W39" s="25">
        <f>IF($E39="","",N(O39)+SUMIFS($AF39:$IN39,$AF$4:$IN$4,"SEW_ACT"))</f>
        <v/>
      </c>
      <c r="X39" s="25">
        <f>IF($E39="","",N(P39)+SUMIFS($AF39:$IN39,$AF$4:$IN$4,"WASH_ACT"))</f>
        <v/>
      </c>
      <c r="Y39" s="25">
        <f>IF($E39="","",W39-X39-N(T39)-N(U39))</f>
        <v/>
      </c>
      <c r="Z39" s="25">
        <f>IF($E39="","",IF(N(K39)-X39&lt;=0.02*N(K39),0,N(K39)-X39))</f>
        <v/>
      </c>
      <c r="AA39" s="24">
        <f>IF($E39="","",IF(S39&lt;&gt;"",S39,IF(N(O39)&gt;0,IF(L39&lt;&gt;"",L39,99999),IFERROR(1/(1/_xlfn.MINIFS($AF$3:$IN$3,$AF$4:$IN$4,"SEW_ACT",$AF39:$IN39,"&gt;0")),99999))))</f>
        <v/>
      </c>
      <c r="AB39" s="26">
        <f>IF(OR($E39="",Z39=0,V39=""),"",1+COUNTIFS(Z$8:Z$707,"&gt;0",V$8:V$707,"&lt;"&amp;V39)+COUNTIFS(Z$8:Z$707,"&gt;0",V$8:V$707,V39,AA$8:AA$707,"&lt;"&amp;AA39)+COUNTIFS(Z$8:Z$707,"&gt;0",V$8:V$707,V39,AA$8:AA$707,AA39,E$8:E$707,"&lt;"&amp;$E39))</f>
        <v/>
      </c>
      <c r="AC39" s="24">
        <f>IF(OR($E39="",Z39=0),"",IFERROR(TODAY()+ROUNDUP(Z39/(SUMIFS($AF39:$IN39,$AF$4:$IN$4,"WASH_ACT")/COUNTIFS($AF$4:$IN$4,"WASH_ACT",$AF39:$IN39,"&gt;0")),0),"no output yet"))</f>
        <v/>
      </c>
      <c r="AD39" s="26">
        <f>IF($E39="","",IFERROR(ROUND(MAX(0,SUMIFS($AF39:$IN39,$AF$4:$IN$4,"SEW_PLAN",$AF$3:$IN$3,"&lt;="&amp;TODAY())-SUMIFS($AF39:$IN39,$AF$4:$IN$4,"SEW_ACT",$AF$3:$IN$3,"&lt;="&amp;TODAY())+N(Q39))/(SUMIFS($AF39:$IN39,$AF$4:$IN$4,"SEW_PLAN")/COUNTIFS($AF$4:$IN$4,"SEW_PLAN",$AF39:$IN39,"&gt;0")),1),0))</f>
        <v/>
      </c>
      <c r="AE39" s="26">
        <f>IF($E39="","",IF(AND(Z39&gt;0,OR(AND(M39&lt;&gt;"",TODAY()&gt;M39),AND(V39&lt;&gt;"",V39-TODAY()&lt;=7))),"Yes","No"))</f>
        <v/>
      </c>
      <c r="AH39">
        <f>IF(OR(AF$3="",AF$3&gt;TODAY()),"",IF(AND(AF39="",AG39=""),"",N(AG39)-N(AF39)))</f>
        <v/>
      </c>
      <c r="AK39">
        <f>IF(OR(AF$3="",AF$3&gt;TODAY()),"",IF(AND(AI39="",AJ39=""),"",N(AJ39)-N(AI39)))</f>
        <v/>
      </c>
      <c r="AO39">
        <f>IF(OR(AM$3="",AM$3&gt;TODAY()),"",IF(AND(AM39="",AN39=""),"",N(AN39)-N(AM39)))</f>
        <v/>
      </c>
      <c r="AR39">
        <f>IF(OR(AM$3="",AM$3&gt;TODAY()),"",IF(AND(AP39="",AQ39=""),"",N(AQ39)-N(AP39)))</f>
        <v/>
      </c>
      <c r="AV39">
        <f>IF(OR(AT$3="",AT$3&gt;TODAY()),"",IF(AND(AT39="",AU39=""),"",N(AU39)-N(AT39)))</f>
        <v/>
      </c>
      <c r="AY39">
        <f>IF(OR(AT$3="",AT$3&gt;TODAY()),"",IF(AND(AW39="",AX39=""),"",N(AX39)-N(AW39)))</f>
        <v/>
      </c>
      <c r="BC39">
        <f>IF(OR(BA$3="",BA$3&gt;TODAY()),"",IF(AND(BA39="",BB39=""),"",N(BB39)-N(BA39)))</f>
        <v/>
      </c>
      <c r="BF39">
        <f>IF(OR(BA$3="",BA$3&gt;TODAY()),"",IF(AND(BD39="",BE39=""),"",N(BE39)-N(BD39)))</f>
        <v/>
      </c>
      <c r="BJ39">
        <f>IF(OR(BH$3="",BH$3&gt;TODAY()),"",IF(AND(BH39="",BI39=""),"",N(BI39)-N(BH39)))</f>
        <v/>
      </c>
      <c r="BM39">
        <f>IF(OR(BH$3="",BH$3&gt;TODAY()),"",IF(AND(BK39="",BL39=""),"",N(BL39)-N(BK39)))</f>
        <v/>
      </c>
      <c r="BQ39">
        <f>IF(OR(BO$3="",BO$3&gt;TODAY()),"",IF(AND(BO39="",BP39=""),"",N(BP39)-N(BO39)))</f>
        <v/>
      </c>
      <c r="BT39">
        <f>IF(OR(BO$3="",BO$3&gt;TODAY()),"",IF(AND(BR39="",BS39=""),"",N(BS39)-N(BR39)))</f>
        <v/>
      </c>
      <c r="BX39">
        <f>IF(OR(BV$3="",BV$3&gt;TODAY()),"",IF(AND(BV39="",BW39=""),"",N(BW39)-N(BV39)))</f>
        <v/>
      </c>
      <c r="CA39">
        <f>IF(OR(BV$3="",BV$3&gt;TODAY()),"",IF(AND(BY39="",BZ39=""),"",N(BZ39)-N(BY39)))</f>
        <v/>
      </c>
      <c r="CE39">
        <f>IF(OR(CC$3="",CC$3&gt;TODAY()),"",IF(AND(CC39="",CD39=""),"",N(CD39)-N(CC39)))</f>
        <v/>
      </c>
      <c r="CH39">
        <f>IF(OR(CC$3="",CC$3&gt;TODAY()),"",IF(AND(CF39="",CG39=""),"",N(CG39)-N(CF39)))</f>
        <v/>
      </c>
      <c r="CL39">
        <f>IF(OR(CJ$3="",CJ$3&gt;TODAY()),"",IF(AND(CJ39="",CK39=""),"",N(CK39)-N(CJ39)))</f>
        <v/>
      </c>
      <c r="CO39">
        <f>IF(OR(CJ$3="",CJ$3&gt;TODAY()),"",IF(AND(CM39="",CN39=""),"",N(CN39)-N(CM39)))</f>
        <v/>
      </c>
      <c r="CS39">
        <f>IF(OR(CQ$3="",CQ$3&gt;TODAY()),"",IF(AND(CQ39="",CR39=""),"",N(CR39)-N(CQ39)))</f>
        <v/>
      </c>
      <c r="CV39">
        <f>IF(OR(CQ$3="",CQ$3&gt;TODAY()),"",IF(AND(CT39="",CU39=""),"",N(CU39)-N(CT39)))</f>
        <v/>
      </c>
      <c r="CZ39">
        <f>IF(OR(CX$3="",CX$3&gt;TODAY()),"",IF(AND(CX39="",CY39=""),"",N(CY39)-N(CX39)))</f>
        <v/>
      </c>
      <c r="DC39">
        <f>IF(OR(CX$3="",CX$3&gt;TODAY()),"",IF(AND(DA39="",DB39=""),"",N(DB39)-N(DA39)))</f>
        <v/>
      </c>
      <c r="DG39">
        <f>IF(OR(DE$3="",DE$3&gt;TODAY()),"",IF(AND(DE39="",DF39=""),"",N(DF39)-N(DE39)))</f>
        <v/>
      </c>
      <c r="DJ39">
        <f>IF(OR(DE$3="",DE$3&gt;TODAY()),"",IF(AND(DH39="",DI39=""),"",N(DI39)-N(DH39)))</f>
        <v/>
      </c>
      <c r="DN39">
        <f>IF(OR(DL$3="",DL$3&gt;TODAY()),"",IF(AND(DL39="",DM39=""),"",N(DM39)-N(DL39)))</f>
        <v/>
      </c>
      <c r="DQ39">
        <f>IF(OR(DL$3="",DL$3&gt;TODAY()),"",IF(AND(DO39="",DP39=""),"",N(DP39)-N(DO39)))</f>
        <v/>
      </c>
      <c r="DU39">
        <f>IF(OR(DS$3="",DS$3&gt;TODAY()),"",IF(AND(DS39="",DT39=""),"",N(DT39)-N(DS39)))</f>
        <v/>
      </c>
      <c r="DX39">
        <f>IF(OR(DS$3="",DS$3&gt;TODAY()),"",IF(AND(DV39="",DW39=""),"",N(DW39)-N(DV39)))</f>
        <v/>
      </c>
      <c r="EB39">
        <f>IF(OR(DZ$3="",DZ$3&gt;TODAY()),"",IF(AND(DZ39="",EA39=""),"",N(EA39)-N(DZ39)))</f>
        <v/>
      </c>
      <c r="EE39">
        <f>IF(OR(DZ$3="",DZ$3&gt;TODAY()),"",IF(AND(EC39="",ED39=""),"",N(ED39)-N(EC39)))</f>
        <v/>
      </c>
      <c r="EI39">
        <f>IF(OR(EG$3="",EG$3&gt;TODAY()),"",IF(AND(EG39="",EH39=""),"",N(EH39)-N(EG39)))</f>
        <v/>
      </c>
      <c r="EL39">
        <f>IF(OR(EG$3="",EG$3&gt;TODAY()),"",IF(AND(EJ39="",EK39=""),"",N(EK39)-N(EJ39)))</f>
        <v/>
      </c>
      <c r="EP39">
        <f>IF(OR(EN$3="",EN$3&gt;TODAY()),"",IF(AND(EN39="",EO39=""),"",N(EO39)-N(EN39)))</f>
        <v/>
      </c>
      <c r="ES39">
        <f>IF(OR(EN$3="",EN$3&gt;TODAY()),"",IF(AND(EQ39="",ER39=""),"",N(ER39)-N(EQ39)))</f>
        <v/>
      </c>
      <c r="EW39">
        <f>IF(OR(EU$3="",EU$3&gt;TODAY()),"",IF(AND(EU39="",EV39=""),"",N(EV39)-N(EU39)))</f>
        <v/>
      </c>
      <c r="EZ39">
        <f>IF(OR(EU$3="",EU$3&gt;TODAY()),"",IF(AND(EX39="",EY39=""),"",N(EY39)-N(EX39)))</f>
        <v/>
      </c>
      <c r="FD39">
        <f>IF(OR(FB$3="",FB$3&gt;TODAY()),"",IF(AND(FB39="",FC39=""),"",N(FC39)-N(FB39)))</f>
        <v/>
      </c>
      <c r="FG39">
        <f>IF(OR(FB$3="",FB$3&gt;TODAY()),"",IF(AND(FE39="",FF39=""),"",N(FF39)-N(FE39)))</f>
        <v/>
      </c>
      <c r="FK39">
        <f>IF(OR(FI$3="",FI$3&gt;TODAY()),"",IF(AND(FI39="",FJ39=""),"",N(FJ39)-N(FI39)))</f>
        <v/>
      </c>
      <c r="FN39">
        <f>IF(OR(FI$3="",FI$3&gt;TODAY()),"",IF(AND(FL39="",FM39=""),"",N(FM39)-N(FL39)))</f>
        <v/>
      </c>
      <c r="FR39">
        <f>IF(OR(FP$3="",FP$3&gt;TODAY()),"",IF(AND(FP39="",FQ39=""),"",N(FQ39)-N(FP39)))</f>
        <v/>
      </c>
      <c r="FU39">
        <f>IF(OR(FP$3="",FP$3&gt;TODAY()),"",IF(AND(FS39="",FT39=""),"",N(FT39)-N(FS39)))</f>
        <v/>
      </c>
      <c r="FY39">
        <f>IF(OR(FW$3="",FW$3&gt;TODAY()),"",IF(AND(FW39="",FX39=""),"",N(FX39)-N(FW39)))</f>
        <v/>
      </c>
      <c r="GB39">
        <f>IF(OR(FW$3="",FW$3&gt;TODAY()),"",IF(AND(FZ39="",GA39=""),"",N(GA39)-N(FZ39)))</f>
        <v/>
      </c>
      <c r="GF39">
        <f>IF(OR(GD$3="",GD$3&gt;TODAY()),"",IF(AND(GD39="",GE39=""),"",N(GE39)-N(GD39)))</f>
        <v/>
      </c>
      <c r="GI39">
        <f>IF(OR(GD$3="",GD$3&gt;TODAY()),"",IF(AND(GG39="",GH39=""),"",N(GH39)-N(GG39)))</f>
        <v/>
      </c>
      <c r="GM39">
        <f>IF(OR(GK$3="",GK$3&gt;TODAY()),"",IF(AND(GK39="",GL39=""),"",N(GL39)-N(GK39)))</f>
        <v/>
      </c>
      <c r="GP39">
        <f>IF(OR(GK$3="",GK$3&gt;TODAY()),"",IF(AND(GN39="",GO39=""),"",N(GO39)-N(GN39)))</f>
        <v/>
      </c>
      <c r="GT39">
        <f>IF(OR(GR$3="",GR$3&gt;TODAY()),"",IF(AND(GR39="",GS39=""),"",N(GS39)-N(GR39)))</f>
        <v/>
      </c>
      <c r="GW39">
        <f>IF(OR(GR$3="",GR$3&gt;TODAY()),"",IF(AND(GU39="",GV39=""),"",N(GV39)-N(GU39)))</f>
        <v/>
      </c>
      <c r="HA39">
        <f>IF(OR(GY$3="",GY$3&gt;TODAY()),"",IF(AND(GY39="",GZ39=""),"",N(GZ39)-N(GY39)))</f>
        <v/>
      </c>
      <c r="HD39">
        <f>IF(OR(GY$3="",GY$3&gt;TODAY()),"",IF(AND(HB39="",HC39=""),"",N(HC39)-N(HB39)))</f>
        <v/>
      </c>
      <c r="HH39">
        <f>IF(OR(HF$3="",HF$3&gt;TODAY()),"",IF(AND(HF39="",HG39=""),"",N(HG39)-N(HF39)))</f>
        <v/>
      </c>
      <c r="HK39">
        <f>IF(OR(HF$3="",HF$3&gt;TODAY()),"",IF(AND(HI39="",HJ39=""),"",N(HJ39)-N(HI39)))</f>
        <v/>
      </c>
      <c r="HO39">
        <f>IF(OR(HM$3="",HM$3&gt;TODAY()),"",IF(AND(HM39="",HN39=""),"",N(HN39)-N(HM39)))</f>
        <v/>
      </c>
      <c r="HR39">
        <f>IF(OR(HM$3="",HM$3&gt;TODAY()),"",IF(AND(HP39="",HQ39=""),"",N(HQ39)-N(HP39)))</f>
        <v/>
      </c>
      <c r="HV39">
        <f>IF(OR(HT$3="",HT$3&gt;TODAY()),"",IF(AND(HT39="",HU39=""),"",N(HU39)-N(HT39)))</f>
        <v/>
      </c>
      <c r="HY39">
        <f>IF(OR(HT$3="",HT$3&gt;TODAY()),"",IF(AND(HW39="",HX39=""),"",N(HX39)-N(HW39)))</f>
        <v/>
      </c>
      <c r="IC39">
        <f>IF(OR(IA$3="",IA$3&gt;TODAY()),"",IF(AND(IA39="",IB39=""),"",N(IB39)-N(IA39)))</f>
        <v/>
      </c>
      <c r="IF39">
        <f>IF(OR(IA$3="",IA$3&gt;TODAY()),"",IF(AND(ID39="",IE39=""),"",N(IE39)-N(ID39)))</f>
        <v/>
      </c>
      <c r="IJ39">
        <f>IF(OR(IH$3="",IH$3&gt;TODAY()),"",IF(AND(IH39="",II39=""),"",N(II39)-N(IH39)))</f>
        <v/>
      </c>
      <c r="IM39">
        <f>IF(OR(IH$3="",IH$3&gt;TODAY()),"",IF(AND(IK39="",IL39=""),"",N(IL39)-N(IK39)))</f>
        <v/>
      </c>
    </row>
    <row r="40">
      <c r="A40" s="21" t="n"/>
      <c r="B40" s="21" t="n"/>
      <c r="C40" s="21" t="n"/>
      <c r="D40" s="21" t="n"/>
      <c r="E40" s="21" t="n"/>
      <c r="F40" s="21" t="n"/>
      <c r="G40" s="21" t="n"/>
      <c r="H40" s="21" t="n"/>
      <c r="I40" s="22" t="n"/>
      <c r="J40" s="22" t="n"/>
      <c r="K40" s="23" t="n"/>
      <c r="L40" s="22" t="n"/>
      <c r="M40" s="22" t="n"/>
      <c r="N40" s="21" t="n"/>
      <c r="O40" s="23" t="n"/>
      <c r="P40" s="23" t="n"/>
      <c r="Q40" s="23" t="n"/>
      <c r="R40" s="23" t="n"/>
      <c r="S40" s="22" t="n"/>
      <c r="T40" s="23" t="n"/>
      <c r="U40" s="23" t="n"/>
      <c r="V40" s="24">
        <f>IF(J40&lt;&gt;"",J40,IF(I40&lt;&gt;"",I40,""))</f>
        <v/>
      </c>
      <c r="W40" s="25">
        <f>IF($E40="","",N(O40)+SUMIFS($AF40:$IN40,$AF$4:$IN$4,"SEW_ACT"))</f>
        <v/>
      </c>
      <c r="X40" s="25">
        <f>IF($E40="","",N(P40)+SUMIFS($AF40:$IN40,$AF$4:$IN$4,"WASH_ACT"))</f>
        <v/>
      </c>
      <c r="Y40" s="25">
        <f>IF($E40="","",W40-X40-N(T40)-N(U40))</f>
        <v/>
      </c>
      <c r="Z40" s="25">
        <f>IF($E40="","",IF(N(K40)-X40&lt;=0.02*N(K40),0,N(K40)-X40))</f>
        <v/>
      </c>
      <c r="AA40" s="24">
        <f>IF($E40="","",IF(S40&lt;&gt;"",S40,IF(N(O40)&gt;0,IF(L40&lt;&gt;"",L40,99999),IFERROR(1/(1/_xlfn.MINIFS($AF$3:$IN$3,$AF$4:$IN$4,"SEW_ACT",$AF40:$IN40,"&gt;0")),99999))))</f>
        <v/>
      </c>
      <c r="AB40" s="26">
        <f>IF(OR($E40="",Z40=0,V40=""),"",1+COUNTIFS(Z$8:Z$707,"&gt;0",V$8:V$707,"&lt;"&amp;V40)+COUNTIFS(Z$8:Z$707,"&gt;0",V$8:V$707,V40,AA$8:AA$707,"&lt;"&amp;AA40)+COUNTIFS(Z$8:Z$707,"&gt;0",V$8:V$707,V40,AA$8:AA$707,AA40,E$8:E$707,"&lt;"&amp;$E40))</f>
        <v/>
      </c>
      <c r="AC40" s="24">
        <f>IF(OR($E40="",Z40=0),"",IFERROR(TODAY()+ROUNDUP(Z40/(SUMIFS($AF40:$IN40,$AF$4:$IN$4,"WASH_ACT")/COUNTIFS($AF$4:$IN$4,"WASH_ACT",$AF40:$IN40,"&gt;0")),0),"no output yet"))</f>
        <v/>
      </c>
      <c r="AD40" s="26">
        <f>IF($E40="","",IFERROR(ROUND(MAX(0,SUMIFS($AF40:$IN40,$AF$4:$IN$4,"SEW_PLAN",$AF$3:$IN$3,"&lt;="&amp;TODAY())-SUMIFS($AF40:$IN40,$AF$4:$IN$4,"SEW_ACT",$AF$3:$IN$3,"&lt;="&amp;TODAY())+N(Q40))/(SUMIFS($AF40:$IN40,$AF$4:$IN$4,"SEW_PLAN")/COUNTIFS($AF$4:$IN$4,"SEW_PLAN",$AF40:$IN40,"&gt;0")),1),0))</f>
        <v/>
      </c>
      <c r="AE40" s="26">
        <f>IF($E40="","",IF(AND(Z40&gt;0,OR(AND(M40&lt;&gt;"",TODAY()&gt;M40),AND(V40&lt;&gt;"",V40-TODAY()&lt;=7))),"Yes","No"))</f>
        <v/>
      </c>
      <c r="AH40">
        <f>IF(OR(AF$3="",AF$3&gt;TODAY()),"",IF(AND(AF40="",AG40=""),"",N(AG40)-N(AF40)))</f>
        <v/>
      </c>
      <c r="AK40">
        <f>IF(OR(AF$3="",AF$3&gt;TODAY()),"",IF(AND(AI40="",AJ40=""),"",N(AJ40)-N(AI40)))</f>
        <v/>
      </c>
      <c r="AO40">
        <f>IF(OR(AM$3="",AM$3&gt;TODAY()),"",IF(AND(AM40="",AN40=""),"",N(AN40)-N(AM40)))</f>
        <v/>
      </c>
      <c r="AR40">
        <f>IF(OR(AM$3="",AM$3&gt;TODAY()),"",IF(AND(AP40="",AQ40=""),"",N(AQ40)-N(AP40)))</f>
        <v/>
      </c>
      <c r="AV40">
        <f>IF(OR(AT$3="",AT$3&gt;TODAY()),"",IF(AND(AT40="",AU40=""),"",N(AU40)-N(AT40)))</f>
        <v/>
      </c>
      <c r="AY40">
        <f>IF(OR(AT$3="",AT$3&gt;TODAY()),"",IF(AND(AW40="",AX40=""),"",N(AX40)-N(AW40)))</f>
        <v/>
      </c>
      <c r="BC40">
        <f>IF(OR(BA$3="",BA$3&gt;TODAY()),"",IF(AND(BA40="",BB40=""),"",N(BB40)-N(BA40)))</f>
        <v/>
      </c>
      <c r="BF40">
        <f>IF(OR(BA$3="",BA$3&gt;TODAY()),"",IF(AND(BD40="",BE40=""),"",N(BE40)-N(BD40)))</f>
        <v/>
      </c>
      <c r="BJ40">
        <f>IF(OR(BH$3="",BH$3&gt;TODAY()),"",IF(AND(BH40="",BI40=""),"",N(BI40)-N(BH40)))</f>
        <v/>
      </c>
      <c r="BM40">
        <f>IF(OR(BH$3="",BH$3&gt;TODAY()),"",IF(AND(BK40="",BL40=""),"",N(BL40)-N(BK40)))</f>
        <v/>
      </c>
      <c r="BQ40">
        <f>IF(OR(BO$3="",BO$3&gt;TODAY()),"",IF(AND(BO40="",BP40=""),"",N(BP40)-N(BO40)))</f>
        <v/>
      </c>
      <c r="BT40">
        <f>IF(OR(BO$3="",BO$3&gt;TODAY()),"",IF(AND(BR40="",BS40=""),"",N(BS40)-N(BR40)))</f>
        <v/>
      </c>
      <c r="BX40">
        <f>IF(OR(BV$3="",BV$3&gt;TODAY()),"",IF(AND(BV40="",BW40=""),"",N(BW40)-N(BV40)))</f>
        <v/>
      </c>
      <c r="CA40">
        <f>IF(OR(BV$3="",BV$3&gt;TODAY()),"",IF(AND(BY40="",BZ40=""),"",N(BZ40)-N(BY40)))</f>
        <v/>
      </c>
      <c r="CE40">
        <f>IF(OR(CC$3="",CC$3&gt;TODAY()),"",IF(AND(CC40="",CD40=""),"",N(CD40)-N(CC40)))</f>
        <v/>
      </c>
      <c r="CH40">
        <f>IF(OR(CC$3="",CC$3&gt;TODAY()),"",IF(AND(CF40="",CG40=""),"",N(CG40)-N(CF40)))</f>
        <v/>
      </c>
      <c r="CL40">
        <f>IF(OR(CJ$3="",CJ$3&gt;TODAY()),"",IF(AND(CJ40="",CK40=""),"",N(CK40)-N(CJ40)))</f>
        <v/>
      </c>
      <c r="CO40">
        <f>IF(OR(CJ$3="",CJ$3&gt;TODAY()),"",IF(AND(CM40="",CN40=""),"",N(CN40)-N(CM40)))</f>
        <v/>
      </c>
      <c r="CS40">
        <f>IF(OR(CQ$3="",CQ$3&gt;TODAY()),"",IF(AND(CQ40="",CR40=""),"",N(CR40)-N(CQ40)))</f>
        <v/>
      </c>
      <c r="CV40">
        <f>IF(OR(CQ$3="",CQ$3&gt;TODAY()),"",IF(AND(CT40="",CU40=""),"",N(CU40)-N(CT40)))</f>
        <v/>
      </c>
      <c r="CZ40">
        <f>IF(OR(CX$3="",CX$3&gt;TODAY()),"",IF(AND(CX40="",CY40=""),"",N(CY40)-N(CX40)))</f>
        <v/>
      </c>
      <c r="DC40">
        <f>IF(OR(CX$3="",CX$3&gt;TODAY()),"",IF(AND(DA40="",DB40=""),"",N(DB40)-N(DA40)))</f>
        <v/>
      </c>
      <c r="DG40">
        <f>IF(OR(DE$3="",DE$3&gt;TODAY()),"",IF(AND(DE40="",DF40=""),"",N(DF40)-N(DE40)))</f>
        <v/>
      </c>
      <c r="DJ40">
        <f>IF(OR(DE$3="",DE$3&gt;TODAY()),"",IF(AND(DH40="",DI40=""),"",N(DI40)-N(DH40)))</f>
        <v/>
      </c>
      <c r="DN40">
        <f>IF(OR(DL$3="",DL$3&gt;TODAY()),"",IF(AND(DL40="",DM40=""),"",N(DM40)-N(DL40)))</f>
        <v/>
      </c>
      <c r="DQ40">
        <f>IF(OR(DL$3="",DL$3&gt;TODAY()),"",IF(AND(DO40="",DP40=""),"",N(DP40)-N(DO40)))</f>
        <v/>
      </c>
      <c r="DU40">
        <f>IF(OR(DS$3="",DS$3&gt;TODAY()),"",IF(AND(DS40="",DT40=""),"",N(DT40)-N(DS40)))</f>
        <v/>
      </c>
      <c r="DX40">
        <f>IF(OR(DS$3="",DS$3&gt;TODAY()),"",IF(AND(DV40="",DW40=""),"",N(DW40)-N(DV40)))</f>
        <v/>
      </c>
      <c r="EB40">
        <f>IF(OR(DZ$3="",DZ$3&gt;TODAY()),"",IF(AND(DZ40="",EA40=""),"",N(EA40)-N(DZ40)))</f>
        <v/>
      </c>
      <c r="EE40">
        <f>IF(OR(DZ$3="",DZ$3&gt;TODAY()),"",IF(AND(EC40="",ED40=""),"",N(ED40)-N(EC40)))</f>
        <v/>
      </c>
      <c r="EI40">
        <f>IF(OR(EG$3="",EG$3&gt;TODAY()),"",IF(AND(EG40="",EH40=""),"",N(EH40)-N(EG40)))</f>
        <v/>
      </c>
      <c r="EL40">
        <f>IF(OR(EG$3="",EG$3&gt;TODAY()),"",IF(AND(EJ40="",EK40=""),"",N(EK40)-N(EJ40)))</f>
        <v/>
      </c>
      <c r="EP40">
        <f>IF(OR(EN$3="",EN$3&gt;TODAY()),"",IF(AND(EN40="",EO40=""),"",N(EO40)-N(EN40)))</f>
        <v/>
      </c>
      <c r="ES40">
        <f>IF(OR(EN$3="",EN$3&gt;TODAY()),"",IF(AND(EQ40="",ER40=""),"",N(ER40)-N(EQ40)))</f>
        <v/>
      </c>
      <c r="EW40">
        <f>IF(OR(EU$3="",EU$3&gt;TODAY()),"",IF(AND(EU40="",EV40=""),"",N(EV40)-N(EU40)))</f>
        <v/>
      </c>
      <c r="EZ40">
        <f>IF(OR(EU$3="",EU$3&gt;TODAY()),"",IF(AND(EX40="",EY40=""),"",N(EY40)-N(EX40)))</f>
        <v/>
      </c>
      <c r="FD40">
        <f>IF(OR(FB$3="",FB$3&gt;TODAY()),"",IF(AND(FB40="",FC40=""),"",N(FC40)-N(FB40)))</f>
        <v/>
      </c>
      <c r="FG40">
        <f>IF(OR(FB$3="",FB$3&gt;TODAY()),"",IF(AND(FE40="",FF40=""),"",N(FF40)-N(FE40)))</f>
        <v/>
      </c>
      <c r="FK40">
        <f>IF(OR(FI$3="",FI$3&gt;TODAY()),"",IF(AND(FI40="",FJ40=""),"",N(FJ40)-N(FI40)))</f>
        <v/>
      </c>
      <c r="FN40">
        <f>IF(OR(FI$3="",FI$3&gt;TODAY()),"",IF(AND(FL40="",FM40=""),"",N(FM40)-N(FL40)))</f>
        <v/>
      </c>
      <c r="FR40">
        <f>IF(OR(FP$3="",FP$3&gt;TODAY()),"",IF(AND(FP40="",FQ40=""),"",N(FQ40)-N(FP40)))</f>
        <v/>
      </c>
      <c r="FU40">
        <f>IF(OR(FP$3="",FP$3&gt;TODAY()),"",IF(AND(FS40="",FT40=""),"",N(FT40)-N(FS40)))</f>
        <v/>
      </c>
      <c r="FY40">
        <f>IF(OR(FW$3="",FW$3&gt;TODAY()),"",IF(AND(FW40="",FX40=""),"",N(FX40)-N(FW40)))</f>
        <v/>
      </c>
      <c r="GB40">
        <f>IF(OR(FW$3="",FW$3&gt;TODAY()),"",IF(AND(FZ40="",GA40=""),"",N(GA40)-N(FZ40)))</f>
        <v/>
      </c>
      <c r="GF40">
        <f>IF(OR(GD$3="",GD$3&gt;TODAY()),"",IF(AND(GD40="",GE40=""),"",N(GE40)-N(GD40)))</f>
        <v/>
      </c>
      <c r="GI40">
        <f>IF(OR(GD$3="",GD$3&gt;TODAY()),"",IF(AND(GG40="",GH40=""),"",N(GH40)-N(GG40)))</f>
        <v/>
      </c>
      <c r="GM40">
        <f>IF(OR(GK$3="",GK$3&gt;TODAY()),"",IF(AND(GK40="",GL40=""),"",N(GL40)-N(GK40)))</f>
        <v/>
      </c>
      <c r="GP40">
        <f>IF(OR(GK$3="",GK$3&gt;TODAY()),"",IF(AND(GN40="",GO40=""),"",N(GO40)-N(GN40)))</f>
        <v/>
      </c>
      <c r="GT40">
        <f>IF(OR(GR$3="",GR$3&gt;TODAY()),"",IF(AND(GR40="",GS40=""),"",N(GS40)-N(GR40)))</f>
        <v/>
      </c>
      <c r="GW40">
        <f>IF(OR(GR$3="",GR$3&gt;TODAY()),"",IF(AND(GU40="",GV40=""),"",N(GV40)-N(GU40)))</f>
        <v/>
      </c>
      <c r="HA40">
        <f>IF(OR(GY$3="",GY$3&gt;TODAY()),"",IF(AND(GY40="",GZ40=""),"",N(GZ40)-N(GY40)))</f>
        <v/>
      </c>
      <c r="HD40">
        <f>IF(OR(GY$3="",GY$3&gt;TODAY()),"",IF(AND(HB40="",HC40=""),"",N(HC40)-N(HB40)))</f>
        <v/>
      </c>
      <c r="HH40">
        <f>IF(OR(HF$3="",HF$3&gt;TODAY()),"",IF(AND(HF40="",HG40=""),"",N(HG40)-N(HF40)))</f>
        <v/>
      </c>
      <c r="HK40">
        <f>IF(OR(HF$3="",HF$3&gt;TODAY()),"",IF(AND(HI40="",HJ40=""),"",N(HJ40)-N(HI40)))</f>
        <v/>
      </c>
      <c r="HO40">
        <f>IF(OR(HM$3="",HM$3&gt;TODAY()),"",IF(AND(HM40="",HN40=""),"",N(HN40)-N(HM40)))</f>
        <v/>
      </c>
      <c r="HR40">
        <f>IF(OR(HM$3="",HM$3&gt;TODAY()),"",IF(AND(HP40="",HQ40=""),"",N(HQ40)-N(HP40)))</f>
        <v/>
      </c>
      <c r="HV40">
        <f>IF(OR(HT$3="",HT$3&gt;TODAY()),"",IF(AND(HT40="",HU40=""),"",N(HU40)-N(HT40)))</f>
        <v/>
      </c>
      <c r="HY40">
        <f>IF(OR(HT$3="",HT$3&gt;TODAY()),"",IF(AND(HW40="",HX40=""),"",N(HX40)-N(HW40)))</f>
        <v/>
      </c>
      <c r="IC40">
        <f>IF(OR(IA$3="",IA$3&gt;TODAY()),"",IF(AND(IA40="",IB40=""),"",N(IB40)-N(IA40)))</f>
        <v/>
      </c>
      <c r="IF40">
        <f>IF(OR(IA$3="",IA$3&gt;TODAY()),"",IF(AND(ID40="",IE40=""),"",N(IE40)-N(ID40)))</f>
        <v/>
      </c>
      <c r="IJ40">
        <f>IF(OR(IH$3="",IH$3&gt;TODAY()),"",IF(AND(IH40="",II40=""),"",N(II40)-N(IH40)))</f>
        <v/>
      </c>
      <c r="IM40">
        <f>IF(OR(IH$3="",IH$3&gt;TODAY()),"",IF(AND(IK40="",IL40=""),"",N(IL40)-N(IK40)))</f>
        <v/>
      </c>
    </row>
    <row r="41">
      <c r="A41" s="21" t="n"/>
      <c r="B41" s="21" t="n"/>
      <c r="C41" s="21" t="n"/>
      <c r="D41" s="21" t="n"/>
      <c r="E41" s="21" t="n"/>
      <c r="F41" s="21" t="n"/>
      <c r="G41" s="21" t="n"/>
      <c r="H41" s="21" t="n"/>
      <c r="I41" s="22" t="n"/>
      <c r="J41" s="22" t="n"/>
      <c r="K41" s="23" t="n"/>
      <c r="L41" s="22" t="n"/>
      <c r="M41" s="22" t="n"/>
      <c r="N41" s="21" t="n"/>
      <c r="O41" s="23" t="n"/>
      <c r="P41" s="23" t="n"/>
      <c r="Q41" s="23" t="n"/>
      <c r="R41" s="23" t="n"/>
      <c r="S41" s="22" t="n"/>
      <c r="T41" s="23" t="n"/>
      <c r="U41" s="23" t="n"/>
      <c r="V41" s="24">
        <f>IF(J41&lt;&gt;"",J41,IF(I41&lt;&gt;"",I41,""))</f>
        <v/>
      </c>
      <c r="W41" s="25">
        <f>IF($E41="","",N(O41)+SUMIFS($AF41:$IN41,$AF$4:$IN$4,"SEW_ACT"))</f>
        <v/>
      </c>
      <c r="X41" s="25">
        <f>IF($E41="","",N(P41)+SUMIFS($AF41:$IN41,$AF$4:$IN$4,"WASH_ACT"))</f>
        <v/>
      </c>
      <c r="Y41" s="25">
        <f>IF($E41="","",W41-X41-N(T41)-N(U41))</f>
        <v/>
      </c>
      <c r="Z41" s="25">
        <f>IF($E41="","",IF(N(K41)-X41&lt;=0.02*N(K41),0,N(K41)-X41))</f>
        <v/>
      </c>
      <c r="AA41" s="24">
        <f>IF($E41="","",IF(S41&lt;&gt;"",S41,IF(N(O41)&gt;0,IF(L41&lt;&gt;"",L41,99999),IFERROR(1/(1/_xlfn.MINIFS($AF$3:$IN$3,$AF$4:$IN$4,"SEW_ACT",$AF41:$IN41,"&gt;0")),99999))))</f>
        <v/>
      </c>
      <c r="AB41" s="26">
        <f>IF(OR($E41="",Z41=0,V41=""),"",1+COUNTIFS(Z$8:Z$707,"&gt;0",V$8:V$707,"&lt;"&amp;V41)+COUNTIFS(Z$8:Z$707,"&gt;0",V$8:V$707,V41,AA$8:AA$707,"&lt;"&amp;AA41)+COUNTIFS(Z$8:Z$707,"&gt;0",V$8:V$707,V41,AA$8:AA$707,AA41,E$8:E$707,"&lt;"&amp;$E41))</f>
        <v/>
      </c>
      <c r="AC41" s="24">
        <f>IF(OR($E41="",Z41=0),"",IFERROR(TODAY()+ROUNDUP(Z41/(SUMIFS($AF41:$IN41,$AF$4:$IN$4,"WASH_ACT")/COUNTIFS($AF$4:$IN$4,"WASH_ACT",$AF41:$IN41,"&gt;0")),0),"no output yet"))</f>
        <v/>
      </c>
      <c r="AD41" s="26">
        <f>IF($E41="","",IFERROR(ROUND(MAX(0,SUMIFS($AF41:$IN41,$AF$4:$IN$4,"SEW_PLAN",$AF$3:$IN$3,"&lt;="&amp;TODAY())-SUMIFS($AF41:$IN41,$AF$4:$IN$4,"SEW_ACT",$AF$3:$IN$3,"&lt;="&amp;TODAY())+N(Q41))/(SUMIFS($AF41:$IN41,$AF$4:$IN$4,"SEW_PLAN")/COUNTIFS($AF$4:$IN$4,"SEW_PLAN",$AF41:$IN41,"&gt;0")),1),0))</f>
        <v/>
      </c>
      <c r="AE41" s="26">
        <f>IF($E41="","",IF(AND(Z41&gt;0,OR(AND(M41&lt;&gt;"",TODAY()&gt;M41),AND(V41&lt;&gt;"",V41-TODAY()&lt;=7))),"Yes","No"))</f>
        <v/>
      </c>
      <c r="AH41">
        <f>IF(OR(AF$3="",AF$3&gt;TODAY()),"",IF(AND(AF41="",AG41=""),"",N(AG41)-N(AF41)))</f>
        <v/>
      </c>
      <c r="AK41">
        <f>IF(OR(AF$3="",AF$3&gt;TODAY()),"",IF(AND(AI41="",AJ41=""),"",N(AJ41)-N(AI41)))</f>
        <v/>
      </c>
      <c r="AO41">
        <f>IF(OR(AM$3="",AM$3&gt;TODAY()),"",IF(AND(AM41="",AN41=""),"",N(AN41)-N(AM41)))</f>
        <v/>
      </c>
      <c r="AR41">
        <f>IF(OR(AM$3="",AM$3&gt;TODAY()),"",IF(AND(AP41="",AQ41=""),"",N(AQ41)-N(AP41)))</f>
        <v/>
      </c>
      <c r="AV41">
        <f>IF(OR(AT$3="",AT$3&gt;TODAY()),"",IF(AND(AT41="",AU41=""),"",N(AU41)-N(AT41)))</f>
        <v/>
      </c>
      <c r="AY41">
        <f>IF(OR(AT$3="",AT$3&gt;TODAY()),"",IF(AND(AW41="",AX41=""),"",N(AX41)-N(AW41)))</f>
        <v/>
      </c>
      <c r="BC41">
        <f>IF(OR(BA$3="",BA$3&gt;TODAY()),"",IF(AND(BA41="",BB41=""),"",N(BB41)-N(BA41)))</f>
        <v/>
      </c>
      <c r="BF41">
        <f>IF(OR(BA$3="",BA$3&gt;TODAY()),"",IF(AND(BD41="",BE41=""),"",N(BE41)-N(BD41)))</f>
        <v/>
      </c>
      <c r="BJ41">
        <f>IF(OR(BH$3="",BH$3&gt;TODAY()),"",IF(AND(BH41="",BI41=""),"",N(BI41)-N(BH41)))</f>
        <v/>
      </c>
      <c r="BM41">
        <f>IF(OR(BH$3="",BH$3&gt;TODAY()),"",IF(AND(BK41="",BL41=""),"",N(BL41)-N(BK41)))</f>
        <v/>
      </c>
      <c r="BQ41">
        <f>IF(OR(BO$3="",BO$3&gt;TODAY()),"",IF(AND(BO41="",BP41=""),"",N(BP41)-N(BO41)))</f>
        <v/>
      </c>
      <c r="BT41">
        <f>IF(OR(BO$3="",BO$3&gt;TODAY()),"",IF(AND(BR41="",BS41=""),"",N(BS41)-N(BR41)))</f>
        <v/>
      </c>
      <c r="BX41">
        <f>IF(OR(BV$3="",BV$3&gt;TODAY()),"",IF(AND(BV41="",BW41=""),"",N(BW41)-N(BV41)))</f>
        <v/>
      </c>
      <c r="CA41">
        <f>IF(OR(BV$3="",BV$3&gt;TODAY()),"",IF(AND(BY41="",BZ41=""),"",N(BZ41)-N(BY41)))</f>
        <v/>
      </c>
      <c r="CE41">
        <f>IF(OR(CC$3="",CC$3&gt;TODAY()),"",IF(AND(CC41="",CD41=""),"",N(CD41)-N(CC41)))</f>
        <v/>
      </c>
      <c r="CH41">
        <f>IF(OR(CC$3="",CC$3&gt;TODAY()),"",IF(AND(CF41="",CG41=""),"",N(CG41)-N(CF41)))</f>
        <v/>
      </c>
      <c r="CL41">
        <f>IF(OR(CJ$3="",CJ$3&gt;TODAY()),"",IF(AND(CJ41="",CK41=""),"",N(CK41)-N(CJ41)))</f>
        <v/>
      </c>
      <c r="CO41">
        <f>IF(OR(CJ$3="",CJ$3&gt;TODAY()),"",IF(AND(CM41="",CN41=""),"",N(CN41)-N(CM41)))</f>
        <v/>
      </c>
      <c r="CS41">
        <f>IF(OR(CQ$3="",CQ$3&gt;TODAY()),"",IF(AND(CQ41="",CR41=""),"",N(CR41)-N(CQ41)))</f>
        <v/>
      </c>
      <c r="CV41">
        <f>IF(OR(CQ$3="",CQ$3&gt;TODAY()),"",IF(AND(CT41="",CU41=""),"",N(CU41)-N(CT41)))</f>
        <v/>
      </c>
      <c r="CZ41">
        <f>IF(OR(CX$3="",CX$3&gt;TODAY()),"",IF(AND(CX41="",CY41=""),"",N(CY41)-N(CX41)))</f>
        <v/>
      </c>
      <c r="DC41">
        <f>IF(OR(CX$3="",CX$3&gt;TODAY()),"",IF(AND(DA41="",DB41=""),"",N(DB41)-N(DA41)))</f>
        <v/>
      </c>
      <c r="DG41">
        <f>IF(OR(DE$3="",DE$3&gt;TODAY()),"",IF(AND(DE41="",DF41=""),"",N(DF41)-N(DE41)))</f>
        <v/>
      </c>
      <c r="DJ41">
        <f>IF(OR(DE$3="",DE$3&gt;TODAY()),"",IF(AND(DH41="",DI41=""),"",N(DI41)-N(DH41)))</f>
        <v/>
      </c>
      <c r="DN41">
        <f>IF(OR(DL$3="",DL$3&gt;TODAY()),"",IF(AND(DL41="",DM41=""),"",N(DM41)-N(DL41)))</f>
        <v/>
      </c>
      <c r="DQ41">
        <f>IF(OR(DL$3="",DL$3&gt;TODAY()),"",IF(AND(DO41="",DP41=""),"",N(DP41)-N(DO41)))</f>
        <v/>
      </c>
      <c r="DU41">
        <f>IF(OR(DS$3="",DS$3&gt;TODAY()),"",IF(AND(DS41="",DT41=""),"",N(DT41)-N(DS41)))</f>
        <v/>
      </c>
      <c r="DX41">
        <f>IF(OR(DS$3="",DS$3&gt;TODAY()),"",IF(AND(DV41="",DW41=""),"",N(DW41)-N(DV41)))</f>
        <v/>
      </c>
      <c r="EB41">
        <f>IF(OR(DZ$3="",DZ$3&gt;TODAY()),"",IF(AND(DZ41="",EA41=""),"",N(EA41)-N(DZ41)))</f>
        <v/>
      </c>
      <c r="EE41">
        <f>IF(OR(DZ$3="",DZ$3&gt;TODAY()),"",IF(AND(EC41="",ED41=""),"",N(ED41)-N(EC41)))</f>
        <v/>
      </c>
      <c r="EI41">
        <f>IF(OR(EG$3="",EG$3&gt;TODAY()),"",IF(AND(EG41="",EH41=""),"",N(EH41)-N(EG41)))</f>
        <v/>
      </c>
      <c r="EL41">
        <f>IF(OR(EG$3="",EG$3&gt;TODAY()),"",IF(AND(EJ41="",EK41=""),"",N(EK41)-N(EJ41)))</f>
        <v/>
      </c>
      <c r="EP41">
        <f>IF(OR(EN$3="",EN$3&gt;TODAY()),"",IF(AND(EN41="",EO41=""),"",N(EO41)-N(EN41)))</f>
        <v/>
      </c>
      <c r="ES41">
        <f>IF(OR(EN$3="",EN$3&gt;TODAY()),"",IF(AND(EQ41="",ER41=""),"",N(ER41)-N(EQ41)))</f>
        <v/>
      </c>
      <c r="EW41">
        <f>IF(OR(EU$3="",EU$3&gt;TODAY()),"",IF(AND(EU41="",EV41=""),"",N(EV41)-N(EU41)))</f>
        <v/>
      </c>
      <c r="EZ41">
        <f>IF(OR(EU$3="",EU$3&gt;TODAY()),"",IF(AND(EX41="",EY41=""),"",N(EY41)-N(EX41)))</f>
        <v/>
      </c>
      <c r="FD41">
        <f>IF(OR(FB$3="",FB$3&gt;TODAY()),"",IF(AND(FB41="",FC41=""),"",N(FC41)-N(FB41)))</f>
        <v/>
      </c>
      <c r="FG41">
        <f>IF(OR(FB$3="",FB$3&gt;TODAY()),"",IF(AND(FE41="",FF41=""),"",N(FF41)-N(FE41)))</f>
        <v/>
      </c>
      <c r="FK41">
        <f>IF(OR(FI$3="",FI$3&gt;TODAY()),"",IF(AND(FI41="",FJ41=""),"",N(FJ41)-N(FI41)))</f>
        <v/>
      </c>
      <c r="FN41">
        <f>IF(OR(FI$3="",FI$3&gt;TODAY()),"",IF(AND(FL41="",FM41=""),"",N(FM41)-N(FL41)))</f>
        <v/>
      </c>
      <c r="FR41">
        <f>IF(OR(FP$3="",FP$3&gt;TODAY()),"",IF(AND(FP41="",FQ41=""),"",N(FQ41)-N(FP41)))</f>
        <v/>
      </c>
      <c r="FU41">
        <f>IF(OR(FP$3="",FP$3&gt;TODAY()),"",IF(AND(FS41="",FT41=""),"",N(FT41)-N(FS41)))</f>
        <v/>
      </c>
      <c r="FY41">
        <f>IF(OR(FW$3="",FW$3&gt;TODAY()),"",IF(AND(FW41="",FX41=""),"",N(FX41)-N(FW41)))</f>
        <v/>
      </c>
      <c r="GB41">
        <f>IF(OR(FW$3="",FW$3&gt;TODAY()),"",IF(AND(FZ41="",GA41=""),"",N(GA41)-N(FZ41)))</f>
        <v/>
      </c>
      <c r="GF41">
        <f>IF(OR(GD$3="",GD$3&gt;TODAY()),"",IF(AND(GD41="",GE41=""),"",N(GE41)-N(GD41)))</f>
        <v/>
      </c>
      <c r="GI41">
        <f>IF(OR(GD$3="",GD$3&gt;TODAY()),"",IF(AND(GG41="",GH41=""),"",N(GH41)-N(GG41)))</f>
        <v/>
      </c>
      <c r="GM41">
        <f>IF(OR(GK$3="",GK$3&gt;TODAY()),"",IF(AND(GK41="",GL41=""),"",N(GL41)-N(GK41)))</f>
        <v/>
      </c>
      <c r="GP41">
        <f>IF(OR(GK$3="",GK$3&gt;TODAY()),"",IF(AND(GN41="",GO41=""),"",N(GO41)-N(GN41)))</f>
        <v/>
      </c>
      <c r="GT41">
        <f>IF(OR(GR$3="",GR$3&gt;TODAY()),"",IF(AND(GR41="",GS41=""),"",N(GS41)-N(GR41)))</f>
        <v/>
      </c>
      <c r="GW41">
        <f>IF(OR(GR$3="",GR$3&gt;TODAY()),"",IF(AND(GU41="",GV41=""),"",N(GV41)-N(GU41)))</f>
        <v/>
      </c>
      <c r="HA41">
        <f>IF(OR(GY$3="",GY$3&gt;TODAY()),"",IF(AND(GY41="",GZ41=""),"",N(GZ41)-N(GY41)))</f>
        <v/>
      </c>
      <c r="HD41">
        <f>IF(OR(GY$3="",GY$3&gt;TODAY()),"",IF(AND(HB41="",HC41=""),"",N(HC41)-N(HB41)))</f>
        <v/>
      </c>
      <c r="HH41">
        <f>IF(OR(HF$3="",HF$3&gt;TODAY()),"",IF(AND(HF41="",HG41=""),"",N(HG41)-N(HF41)))</f>
        <v/>
      </c>
      <c r="HK41">
        <f>IF(OR(HF$3="",HF$3&gt;TODAY()),"",IF(AND(HI41="",HJ41=""),"",N(HJ41)-N(HI41)))</f>
        <v/>
      </c>
      <c r="HO41">
        <f>IF(OR(HM$3="",HM$3&gt;TODAY()),"",IF(AND(HM41="",HN41=""),"",N(HN41)-N(HM41)))</f>
        <v/>
      </c>
      <c r="HR41">
        <f>IF(OR(HM$3="",HM$3&gt;TODAY()),"",IF(AND(HP41="",HQ41=""),"",N(HQ41)-N(HP41)))</f>
        <v/>
      </c>
      <c r="HV41">
        <f>IF(OR(HT$3="",HT$3&gt;TODAY()),"",IF(AND(HT41="",HU41=""),"",N(HU41)-N(HT41)))</f>
        <v/>
      </c>
      <c r="HY41">
        <f>IF(OR(HT$3="",HT$3&gt;TODAY()),"",IF(AND(HW41="",HX41=""),"",N(HX41)-N(HW41)))</f>
        <v/>
      </c>
      <c r="IC41">
        <f>IF(OR(IA$3="",IA$3&gt;TODAY()),"",IF(AND(IA41="",IB41=""),"",N(IB41)-N(IA41)))</f>
        <v/>
      </c>
      <c r="IF41">
        <f>IF(OR(IA$3="",IA$3&gt;TODAY()),"",IF(AND(ID41="",IE41=""),"",N(IE41)-N(ID41)))</f>
        <v/>
      </c>
      <c r="IJ41">
        <f>IF(OR(IH$3="",IH$3&gt;TODAY()),"",IF(AND(IH41="",II41=""),"",N(II41)-N(IH41)))</f>
        <v/>
      </c>
      <c r="IM41">
        <f>IF(OR(IH$3="",IH$3&gt;TODAY()),"",IF(AND(IK41="",IL41=""),"",N(IL41)-N(IK41)))</f>
        <v/>
      </c>
    </row>
    <row r="42">
      <c r="A42" s="21" t="n"/>
      <c r="B42" s="21" t="n"/>
      <c r="C42" s="21" t="n"/>
      <c r="D42" s="21" t="n"/>
      <c r="E42" s="21" t="n"/>
      <c r="F42" s="21" t="n"/>
      <c r="G42" s="21" t="n"/>
      <c r="H42" s="21" t="n"/>
      <c r="I42" s="22" t="n"/>
      <c r="J42" s="22" t="n"/>
      <c r="K42" s="23" t="n"/>
      <c r="L42" s="22" t="n"/>
      <c r="M42" s="22" t="n"/>
      <c r="N42" s="21" t="n"/>
      <c r="O42" s="23" t="n"/>
      <c r="P42" s="23" t="n"/>
      <c r="Q42" s="23" t="n"/>
      <c r="R42" s="23" t="n"/>
      <c r="S42" s="22" t="n"/>
      <c r="T42" s="23" t="n"/>
      <c r="U42" s="23" t="n"/>
      <c r="V42" s="24">
        <f>IF(J42&lt;&gt;"",J42,IF(I42&lt;&gt;"",I42,""))</f>
        <v/>
      </c>
      <c r="W42" s="25">
        <f>IF($E42="","",N(O42)+SUMIFS($AF42:$IN42,$AF$4:$IN$4,"SEW_ACT"))</f>
        <v/>
      </c>
      <c r="X42" s="25">
        <f>IF($E42="","",N(P42)+SUMIFS($AF42:$IN42,$AF$4:$IN$4,"WASH_ACT"))</f>
        <v/>
      </c>
      <c r="Y42" s="25">
        <f>IF($E42="","",W42-X42-N(T42)-N(U42))</f>
        <v/>
      </c>
      <c r="Z42" s="25">
        <f>IF($E42="","",IF(N(K42)-X42&lt;=0.02*N(K42),0,N(K42)-X42))</f>
        <v/>
      </c>
      <c r="AA42" s="24">
        <f>IF($E42="","",IF(S42&lt;&gt;"",S42,IF(N(O42)&gt;0,IF(L42&lt;&gt;"",L42,99999),IFERROR(1/(1/_xlfn.MINIFS($AF$3:$IN$3,$AF$4:$IN$4,"SEW_ACT",$AF42:$IN42,"&gt;0")),99999))))</f>
        <v/>
      </c>
      <c r="AB42" s="26">
        <f>IF(OR($E42="",Z42=0,V42=""),"",1+COUNTIFS(Z$8:Z$707,"&gt;0",V$8:V$707,"&lt;"&amp;V42)+COUNTIFS(Z$8:Z$707,"&gt;0",V$8:V$707,V42,AA$8:AA$707,"&lt;"&amp;AA42)+COUNTIFS(Z$8:Z$707,"&gt;0",V$8:V$707,V42,AA$8:AA$707,AA42,E$8:E$707,"&lt;"&amp;$E42))</f>
        <v/>
      </c>
      <c r="AC42" s="24">
        <f>IF(OR($E42="",Z42=0),"",IFERROR(TODAY()+ROUNDUP(Z42/(SUMIFS($AF42:$IN42,$AF$4:$IN$4,"WASH_ACT")/COUNTIFS($AF$4:$IN$4,"WASH_ACT",$AF42:$IN42,"&gt;0")),0),"no output yet"))</f>
        <v/>
      </c>
      <c r="AD42" s="26">
        <f>IF($E42="","",IFERROR(ROUND(MAX(0,SUMIFS($AF42:$IN42,$AF$4:$IN$4,"SEW_PLAN",$AF$3:$IN$3,"&lt;="&amp;TODAY())-SUMIFS($AF42:$IN42,$AF$4:$IN$4,"SEW_ACT",$AF$3:$IN$3,"&lt;="&amp;TODAY())+N(Q42))/(SUMIFS($AF42:$IN42,$AF$4:$IN$4,"SEW_PLAN")/COUNTIFS($AF$4:$IN$4,"SEW_PLAN",$AF42:$IN42,"&gt;0")),1),0))</f>
        <v/>
      </c>
      <c r="AE42" s="26">
        <f>IF($E42="","",IF(AND(Z42&gt;0,OR(AND(M42&lt;&gt;"",TODAY()&gt;M42),AND(V42&lt;&gt;"",V42-TODAY()&lt;=7))),"Yes","No"))</f>
        <v/>
      </c>
      <c r="AH42">
        <f>IF(OR(AF$3="",AF$3&gt;TODAY()),"",IF(AND(AF42="",AG42=""),"",N(AG42)-N(AF42)))</f>
        <v/>
      </c>
      <c r="AK42">
        <f>IF(OR(AF$3="",AF$3&gt;TODAY()),"",IF(AND(AI42="",AJ42=""),"",N(AJ42)-N(AI42)))</f>
        <v/>
      </c>
      <c r="AO42">
        <f>IF(OR(AM$3="",AM$3&gt;TODAY()),"",IF(AND(AM42="",AN42=""),"",N(AN42)-N(AM42)))</f>
        <v/>
      </c>
      <c r="AR42">
        <f>IF(OR(AM$3="",AM$3&gt;TODAY()),"",IF(AND(AP42="",AQ42=""),"",N(AQ42)-N(AP42)))</f>
        <v/>
      </c>
      <c r="AV42">
        <f>IF(OR(AT$3="",AT$3&gt;TODAY()),"",IF(AND(AT42="",AU42=""),"",N(AU42)-N(AT42)))</f>
        <v/>
      </c>
      <c r="AY42">
        <f>IF(OR(AT$3="",AT$3&gt;TODAY()),"",IF(AND(AW42="",AX42=""),"",N(AX42)-N(AW42)))</f>
        <v/>
      </c>
      <c r="BC42">
        <f>IF(OR(BA$3="",BA$3&gt;TODAY()),"",IF(AND(BA42="",BB42=""),"",N(BB42)-N(BA42)))</f>
        <v/>
      </c>
      <c r="BF42">
        <f>IF(OR(BA$3="",BA$3&gt;TODAY()),"",IF(AND(BD42="",BE42=""),"",N(BE42)-N(BD42)))</f>
        <v/>
      </c>
      <c r="BJ42">
        <f>IF(OR(BH$3="",BH$3&gt;TODAY()),"",IF(AND(BH42="",BI42=""),"",N(BI42)-N(BH42)))</f>
        <v/>
      </c>
      <c r="BM42">
        <f>IF(OR(BH$3="",BH$3&gt;TODAY()),"",IF(AND(BK42="",BL42=""),"",N(BL42)-N(BK42)))</f>
        <v/>
      </c>
      <c r="BQ42">
        <f>IF(OR(BO$3="",BO$3&gt;TODAY()),"",IF(AND(BO42="",BP42=""),"",N(BP42)-N(BO42)))</f>
        <v/>
      </c>
      <c r="BT42">
        <f>IF(OR(BO$3="",BO$3&gt;TODAY()),"",IF(AND(BR42="",BS42=""),"",N(BS42)-N(BR42)))</f>
        <v/>
      </c>
      <c r="BX42">
        <f>IF(OR(BV$3="",BV$3&gt;TODAY()),"",IF(AND(BV42="",BW42=""),"",N(BW42)-N(BV42)))</f>
        <v/>
      </c>
      <c r="CA42">
        <f>IF(OR(BV$3="",BV$3&gt;TODAY()),"",IF(AND(BY42="",BZ42=""),"",N(BZ42)-N(BY42)))</f>
        <v/>
      </c>
      <c r="CE42">
        <f>IF(OR(CC$3="",CC$3&gt;TODAY()),"",IF(AND(CC42="",CD42=""),"",N(CD42)-N(CC42)))</f>
        <v/>
      </c>
      <c r="CH42">
        <f>IF(OR(CC$3="",CC$3&gt;TODAY()),"",IF(AND(CF42="",CG42=""),"",N(CG42)-N(CF42)))</f>
        <v/>
      </c>
      <c r="CL42">
        <f>IF(OR(CJ$3="",CJ$3&gt;TODAY()),"",IF(AND(CJ42="",CK42=""),"",N(CK42)-N(CJ42)))</f>
        <v/>
      </c>
      <c r="CO42">
        <f>IF(OR(CJ$3="",CJ$3&gt;TODAY()),"",IF(AND(CM42="",CN42=""),"",N(CN42)-N(CM42)))</f>
        <v/>
      </c>
      <c r="CS42">
        <f>IF(OR(CQ$3="",CQ$3&gt;TODAY()),"",IF(AND(CQ42="",CR42=""),"",N(CR42)-N(CQ42)))</f>
        <v/>
      </c>
      <c r="CV42">
        <f>IF(OR(CQ$3="",CQ$3&gt;TODAY()),"",IF(AND(CT42="",CU42=""),"",N(CU42)-N(CT42)))</f>
        <v/>
      </c>
      <c r="CZ42">
        <f>IF(OR(CX$3="",CX$3&gt;TODAY()),"",IF(AND(CX42="",CY42=""),"",N(CY42)-N(CX42)))</f>
        <v/>
      </c>
      <c r="DC42">
        <f>IF(OR(CX$3="",CX$3&gt;TODAY()),"",IF(AND(DA42="",DB42=""),"",N(DB42)-N(DA42)))</f>
        <v/>
      </c>
      <c r="DG42">
        <f>IF(OR(DE$3="",DE$3&gt;TODAY()),"",IF(AND(DE42="",DF42=""),"",N(DF42)-N(DE42)))</f>
        <v/>
      </c>
      <c r="DJ42">
        <f>IF(OR(DE$3="",DE$3&gt;TODAY()),"",IF(AND(DH42="",DI42=""),"",N(DI42)-N(DH42)))</f>
        <v/>
      </c>
      <c r="DN42">
        <f>IF(OR(DL$3="",DL$3&gt;TODAY()),"",IF(AND(DL42="",DM42=""),"",N(DM42)-N(DL42)))</f>
        <v/>
      </c>
      <c r="DQ42">
        <f>IF(OR(DL$3="",DL$3&gt;TODAY()),"",IF(AND(DO42="",DP42=""),"",N(DP42)-N(DO42)))</f>
        <v/>
      </c>
      <c r="DU42">
        <f>IF(OR(DS$3="",DS$3&gt;TODAY()),"",IF(AND(DS42="",DT42=""),"",N(DT42)-N(DS42)))</f>
        <v/>
      </c>
      <c r="DX42">
        <f>IF(OR(DS$3="",DS$3&gt;TODAY()),"",IF(AND(DV42="",DW42=""),"",N(DW42)-N(DV42)))</f>
        <v/>
      </c>
      <c r="EB42">
        <f>IF(OR(DZ$3="",DZ$3&gt;TODAY()),"",IF(AND(DZ42="",EA42=""),"",N(EA42)-N(DZ42)))</f>
        <v/>
      </c>
      <c r="EE42">
        <f>IF(OR(DZ$3="",DZ$3&gt;TODAY()),"",IF(AND(EC42="",ED42=""),"",N(ED42)-N(EC42)))</f>
        <v/>
      </c>
      <c r="EI42">
        <f>IF(OR(EG$3="",EG$3&gt;TODAY()),"",IF(AND(EG42="",EH42=""),"",N(EH42)-N(EG42)))</f>
        <v/>
      </c>
      <c r="EL42">
        <f>IF(OR(EG$3="",EG$3&gt;TODAY()),"",IF(AND(EJ42="",EK42=""),"",N(EK42)-N(EJ42)))</f>
        <v/>
      </c>
      <c r="EP42">
        <f>IF(OR(EN$3="",EN$3&gt;TODAY()),"",IF(AND(EN42="",EO42=""),"",N(EO42)-N(EN42)))</f>
        <v/>
      </c>
      <c r="ES42">
        <f>IF(OR(EN$3="",EN$3&gt;TODAY()),"",IF(AND(EQ42="",ER42=""),"",N(ER42)-N(EQ42)))</f>
        <v/>
      </c>
      <c r="EW42">
        <f>IF(OR(EU$3="",EU$3&gt;TODAY()),"",IF(AND(EU42="",EV42=""),"",N(EV42)-N(EU42)))</f>
        <v/>
      </c>
      <c r="EZ42">
        <f>IF(OR(EU$3="",EU$3&gt;TODAY()),"",IF(AND(EX42="",EY42=""),"",N(EY42)-N(EX42)))</f>
        <v/>
      </c>
      <c r="FD42">
        <f>IF(OR(FB$3="",FB$3&gt;TODAY()),"",IF(AND(FB42="",FC42=""),"",N(FC42)-N(FB42)))</f>
        <v/>
      </c>
      <c r="FG42">
        <f>IF(OR(FB$3="",FB$3&gt;TODAY()),"",IF(AND(FE42="",FF42=""),"",N(FF42)-N(FE42)))</f>
        <v/>
      </c>
      <c r="FK42">
        <f>IF(OR(FI$3="",FI$3&gt;TODAY()),"",IF(AND(FI42="",FJ42=""),"",N(FJ42)-N(FI42)))</f>
        <v/>
      </c>
      <c r="FN42">
        <f>IF(OR(FI$3="",FI$3&gt;TODAY()),"",IF(AND(FL42="",FM42=""),"",N(FM42)-N(FL42)))</f>
        <v/>
      </c>
      <c r="FR42">
        <f>IF(OR(FP$3="",FP$3&gt;TODAY()),"",IF(AND(FP42="",FQ42=""),"",N(FQ42)-N(FP42)))</f>
        <v/>
      </c>
      <c r="FU42">
        <f>IF(OR(FP$3="",FP$3&gt;TODAY()),"",IF(AND(FS42="",FT42=""),"",N(FT42)-N(FS42)))</f>
        <v/>
      </c>
      <c r="FY42">
        <f>IF(OR(FW$3="",FW$3&gt;TODAY()),"",IF(AND(FW42="",FX42=""),"",N(FX42)-N(FW42)))</f>
        <v/>
      </c>
      <c r="GB42">
        <f>IF(OR(FW$3="",FW$3&gt;TODAY()),"",IF(AND(FZ42="",GA42=""),"",N(GA42)-N(FZ42)))</f>
        <v/>
      </c>
      <c r="GF42">
        <f>IF(OR(GD$3="",GD$3&gt;TODAY()),"",IF(AND(GD42="",GE42=""),"",N(GE42)-N(GD42)))</f>
        <v/>
      </c>
      <c r="GI42">
        <f>IF(OR(GD$3="",GD$3&gt;TODAY()),"",IF(AND(GG42="",GH42=""),"",N(GH42)-N(GG42)))</f>
        <v/>
      </c>
      <c r="GM42">
        <f>IF(OR(GK$3="",GK$3&gt;TODAY()),"",IF(AND(GK42="",GL42=""),"",N(GL42)-N(GK42)))</f>
        <v/>
      </c>
      <c r="GP42">
        <f>IF(OR(GK$3="",GK$3&gt;TODAY()),"",IF(AND(GN42="",GO42=""),"",N(GO42)-N(GN42)))</f>
        <v/>
      </c>
      <c r="GT42">
        <f>IF(OR(GR$3="",GR$3&gt;TODAY()),"",IF(AND(GR42="",GS42=""),"",N(GS42)-N(GR42)))</f>
        <v/>
      </c>
      <c r="GW42">
        <f>IF(OR(GR$3="",GR$3&gt;TODAY()),"",IF(AND(GU42="",GV42=""),"",N(GV42)-N(GU42)))</f>
        <v/>
      </c>
      <c r="HA42">
        <f>IF(OR(GY$3="",GY$3&gt;TODAY()),"",IF(AND(GY42="",GZ42=""),"",N(GZ42)-N(GY42)))</f>
        <v/>
      </c>
      <c r="HD42">
        <f>IF(OR(GY$3="",GY$3&gt;TODAY()),"",IF(AND(HB42="",HC42=""),"",N(HC42)-N(HB42)))</f>
        <v/>
      </c>
      <c r="HH42">
        <f>IF(OR(HF$3="",HF$3&gt;TODAY()),"",IF(AND(HF42="",HG42=""),"",N(HG42)-N(HF42)))</f>
        <v/>
      </c>
      <c r="HK42">
        <f>IF(OR(HF$3="",HF$3&gt;TODAY()),"",IF(AND(HI42="",HJ42=""),"",N(HJ42)-N(HI42)))</f>
        <v/>
      </c>
      <c r="HO42">
        <f>IF(OR(HM$3="",HM$3&gt;TODAY()),"",IF(AND(HM42="",HN42=""),"",N(HN42)-N(HM42)))</f>
        <v/>
      </c>
      <c r="HR42">
        <f>IF(OR(HM$3="",HM$3&gt;TODAY()),"",IF(AND(HP42="",HQ42=""),"",N(HQ42)-N(HP42)))</f>
        <v/>
      </c>
      <c r="HV42">
        <f>IF(OR(HT$3="",HT$3&gt;TODAY()),"",IF(AND(HT42="",HU42=""),"",N(HU42)-N(HT42)))</f>
        <v/>
      </c>
      <c r="HY42">
        <f>IF(OR(HT$3="",HT$3&gt;TODAY()),"",IF(AND(HW42="",HX42=""),"",N(HX42)-N(HW42)))</f>
        <v/>
      </c>
      <c r="IC42">
        <f>IF(OR(IA$3="",IA$3&gt;TODAY()),"",IF(AND(IA42="",IB42=""),"",N(IB42)-N(IA42)))</f>
        <v/>
      </c>
      <c r="IF42">
        <f>IF(OR(IA$3="",IA$3&gt;TODAY()),"",IF(AND(ID42="",IE42=""),"",N(IE42)-N(ID42)))</f>
        <v/>
      </c>
      <c r="IJ42">
        <f>IF(OR(IH$3="",IH$3&gt;TODAY()),"",IF(AND(IH42="",II42=""),"",N(II42)-N(IH42)))</f>
        <v/>
      </c>
      <c r="IM42">
        <f>IF(OR(IH$3="",IH$3&gt;TODAY()),"",IF(AND(IK42="",IL42=""),"",N(IL42)-N(IK42)))</f>
        <v/>
      </c>
    </row>
    <row r="43">
      <c r="A43" s="21" t="n"/>
      <c r="B43" s="21" t="n"/>
      <c r="C43" s="21" t="n"/>
      <c r="D43" s="21" t="n"/>
      <c r="E43" s="21" t="n"/>
      <c r="F43" s="21" t="n"/>
      <c r="G43" s="21" t="n"/>
      <c r="H43" s="21" t="n"/>
      <c r="I43" s="22" t="n"/>
      <c r="J43" s="22" t="n"/>
      <c r="K43" s="23" t="n"/>
      <c r="L43" s="22" t="n"/>
      <c r="M43" s="22" t="n"/>
      <c r="N43" s="21" t="n"/>
      <c r="O43" s="23" t="n"/>
      <c r="P43" s="23" t="n"/>
      <c r="Q43" s="23" t="n"/>
      <c r="R43" s="23" t="n"/>
      <c r="S43" s="22" t="n"/>
      <c r="T43" s="23" t="n"/>
      <c r="U43" s="23" t="n"/>
      <c r="V43" s="24">
        <f>IF(J43&lt;&gt;"",J43,IF(I43&lt;&gt;"",I43,""))</f>
        <v/>
      </c>
      <c r="W43" s="25">
        <f>IF($E43="","",N(O43)+SUMIFS($AF43:$IN43,$AF$4:$IN$4,"SEW_ACT"))</f>
        <v/>
      </c>
      <c r="X43" s="25">
        <f>IF($E43="","",N(P43)+SUMIFS($AF43:$IN43,$AF$4:$IN$4,"WASH_ACT"))</f>
        <v/>
      </c>
      <c r="Y43" s="25">
        <f>IF($E43="","",W43-X43-N(T43)-N(U43))</f>
        <v/>
      </c>
      <c r="Z43" s="25">
        <f>IF($E43="","",IF(N(K43)-X43&lt;=0.02*N(K43),0,N(K43)-X43))</f>
        <v/>
      </c>
      <c r="AA43" s="24">
        <f>IF($E43="","",IF(S43&lt;&gt;"",S43,IF(N(O43)&gt;0,IF(L43&lt;&gt;"",L43,99999),IFERROR(1/(1/_xlfn.MINIFS($AF$3:$IN$3,$AF$4:$IN$4,"SEW_ACT",$AF43:$IN43,"&gt;0")),99999))))</f>
        <v/>
      </c>
      <c r="AB43" s="26">
        <f>IF(OR($E43="",Z43=0,V43=""),"",1+COUNTIFS(Z$8:Z$707,"&gt;0",V$8:V$707,"&lt;"&amp;V43)+COUNTIFS(Z$8:Z$707,"&gt;0",V$8:V$707,V43,AA$8:AA$707,"&lt;"&amp;AA43)+COUNTIFS(Z$8:Z$707,"&gt;0",V$8:V$707,V43,AA$8:AA$707,AA43,E$8:E$707,"&lt;"&amp;$E43))</f>
        <v/>
      </c>
      <c r="AC43" s="24">
        <f>IF(OR($E43="",Z43=0),"",IFERROR(TODAY()+ROUNDUP(Z43/(SUMIFS($AF43:$IN43,$AF$4:$IN$4,"WASH_ACT")/COUNTIFS($AF$4:$IN$4,"WASH_ACT",$AF43:$IN43,"&gt;0")),0),"no output yet"))</f>
        <v/>
      </c>
      <c r="AD43" s="26">
        <f>IF($E43="","",IFERROR(ROUND(MAX(0,SUMIFS($AF43:$IN43,$AF$4:$IN$4,"SEW_PLAN",$AF$3:$IN$3,"&lt;="&amp;TODAY())-SUMIFS($AF43:$IN43,$AF$4:$IN$4,"SEW_ACT",$AF$3:$IN$3,"&lt;="&amp;TODAY())+N(Q43))/(SUMIFS($AF43:$IN43,$AF$4:$IN$4,"SEW_PLAN")/COUNTIFS($AF$4:$IN$4,"SEW_PLAN",$AF43:$IN43,"&gt;0")),1),0))</f>
        <v/>
      </c>
      <c r="AE43" s="26">
        <f>IF($E43="","",IF(AND(Z43&gt;0,OR(AND(M43&lt;&gt;"",TODAY()&gt;M43),AND(V43&lt;&gt;"",V43-TODAY()&lt;=7))),"Yes","No"))</f>
        <v/>
      </c>
      <c r="AH43">
        <f>IF(OR(AF$3="",AF$3&gt;TODAY()),"",IF(AND(AF43="",AG43=""),"",N(AG43)-N(AF43)))</f>
        <v/>
      </c>
      <c r="AK43">
        <f>IF(OR(AF$3="",AF$3&gt;TODAY()),"",IF(AND(AI43="",AJ43=""),"",N(AJ43)-N(AI43)))</f>
        <v/>
      </c>
      <c r="AO43">
        <f>IF(OR(AM$3="",AM$3&gt;TODAY()),"",IF(AND(AM43="",AN43=""),"",N(AN43)-N(AM43)))</f>
        <v/>
      </c>
      <c r="AR43">
        <f>IF(OR(AM$3="",AM$3&gt;TODAY()),"",IF(AND(AP43="",AQ43=""),"",N(AQ43)-N(AP43)))</f>
        <v/>
      </c>
      <c r="AV43">
        <f>IF(OR(AT$3="",AT$3&gt;TODAY()),"",IF(AND(AT43="",AU43=""),"",N(AU43)-N(AT43)))</f>
        <v/>
      </c>
      <c r="AY43">
        <f>IF(OR(AT$3="",AT$3&gt;TODAY()),"",IF(AND(AW43="",AX43=""),"",N(AX43)-N(AW43)))</f>
        <v/>
      </c>
      <c r="BC43">
        <f>IF(OR(BA$3="",BA$3&gt;TODAY()),"",IF(AND(BA43="",BB43=""),"",N(BB43)-N(BA43)))</f>
        <v/>
      </c>
      <c r="BF43">
        <f>IF(OR(BA$3="",BA$3&gt;TODAY()),"",IF(AND(BD43="",BE43=""),"",N(BE43)-N(BD43)))</f>
        <v/>
      </c>
      <c r="BJ43">
        <f>IF(OR(BH$3="",BH$3&gt;TODAY()),"",IF(AND(BH43="",BI43=""),"",N(BI43)-N(BH43)))</f>
        <v/>
      </c>
      <c r="BM43">
        <f>IF(OR(BH$3="",BH$3&gt;TODAY()),"",IF(AND(BK43="",BL43=""),"",N(BL43)-N(BK43)))</f>
        <v/>
      </c>
      <c r="BQ43">
        <f>IF(OR(BO$3="",BO$3&gt;TODAY()),"",IF(AND(BO43="",BP43=""),"",N(BP43)-N(BO43)))</f>
        <v/>
      </c>
      <c r="BT43">
        <f>IF(OR(BO$3="",BO$3&gt;TODAY()),"",IF(AND(BR43="",BS43=""),"",N(BS43)-N(BR43)))</f>
        <v/>
      </c>
      <c r="BX43">
        <f>IF(OR(BV$3="",BV$3&gt;TODAY()),"",IF(AND(BV43="",BW43=""),"",N(BW43)-N(BV43)))</f>
        <v/>
      </c>
      <c r="CA43">
        <f>IF(OR(BV$3="",BV$3&gt;TODAY()),"",IF(AND(BY43="",BZ43=""),"",N(BZ43)-N(BY43)))</f>
        <v/>
      </c>
      <c r="CE43">
        <f>IF(OR(CC$3="",CC$3&gt;TODAY()),"",IF(AND(CC43="",CD43=""),"",N(CD43)-N(CC43)))</f>
        <v/>
      </c>
      <c r="CH43">
        <f>IF(OR(CC$3="",CC$3&gt;TODAY()),"",IF(AND(CF43="",CG43=""),"",N(CG43)-N(CF43)))</f>
        <v/>
      </c>
      <c r="CL43">
        <f>IF(OR(CJ$3="",CJ$3&gt;TODAY()),"",IF(AND(CJ43="",CK43=""),"",N(CK43)-N(CJ43)))</f>
        <v/>
      </c>
      <c r="CO43">
        <f>IF(OR(CJ$3="",CJ$3&gt;TODAY()),"",IF(AND(CM43="",CN43=""),"",N(CN43)-N(CM43)))</f>
        <v/>
      </c>
      <c r="CS43">
        <f>IF(OR(CQ$3="",CQ$3&gt;TODAY()),"",IF(AND(CQ43="",CR43=""),"",N(CR43)-N(CQ43)))</f>
        <v/>
      </c>
      <c r="CV43">
        <f>IF(OR(CQ$3="",CQ$3&gt;TODAY()),"",IF(AND(CT43="",CU43=""),"",N(CU43)-N(CT43)))</f>
        <v/>
      </c>
      <c r="CZ43">
        <f>IF(OR(CX$3="",CX$3&gt;TODAY()),"",IF(AND(CX43="",CY43=""),"",N(CY43)-N(CX43)))</f>
        <v/>
      </c>
      <c r="DC43">
        <f>IF(OR(CX$3="",CX$3&gt;TODAY()),"",IF(AND(DA43="",DB43=""),"",N(DB43)-N(DA43)))</f>
        <v/>
      </c>
      <c r="DG43">
        <f>IF(OR(DE$3="",DE$3&gt;TODAY()),"",IF(AND(DE43="",DF43=""),"",N(DF43)-N(DE43)))</f>
        <v/>
      </c>
      <c r="DJ43">
        <f>IF(OR(DE$3="",DE$3&gt;TODAY()),"",IF(AND(DH43="",DI43=""),"",N(DI43)-N(DH43)))</f>
        <v/>
      </c>
      <c r="DN43">
        <f>IF(OR(DL$3="",DL$3&gt;TODAY()),"",IF(AND(DL43="",DM43=""),"",N(DM43)-N(DL43)))</f>
        <v/>
      </c>
      <c r="DQ43">
        <f>IF(OR(DL$3="",DL$3&gt;TODAY()),"",IF(AND(DO43="",DP43=""),"",N(DP43)-N(DO43)))</f>
        <v/>
      </c>
      <c r="DU43">
        <f>IF(OR(DS$3="",DS$3&gt;TODAY()),"",IF(AND(DS43="",DT43=""),"",N(DT43)-N(DS43)))</f>
        <v/>
      </c>
      <c r="DX43">
        <f>IF(OR(DS$3="",DS$3&gt;TODAY()),"",IF(AND(DV43="",DW43=""),"",N(DW43)-N(DV43)))</f>
        <v/>
      </c>
      <c r="EB43">
        <f>IF(OR(DZ$3="",DZ$3&gt;TODAY()),"",IF(AND(DZ43="",EA43=""),"",N(EA43)-N(DZ43)))</f>
        <v/>
      </c>
      <c r="EE43">
        <f>IF(OR(DZ$3="",DZ$3&gt;TODAY()),"",IF(AND(EC43="",ED43=""),"",N(ED43)-N(EC43)))</f>
        <v/>
      </c>
      <c r="EI43">
        <f>IF(OR(EG$3="",EG$3&gt;TODAY()),"",IF(AND(EG43="",EH43=""),"",N(EH43)-N(EG43)))</f>
        <v/>
      </c>
      <c r="EL43">
        <f>IF(OR(EG$3="",EG$3&gt;TODAY()),"",IF(AND(EJ43="",EK43=""),"",N(EK43)-N(EJ43)))</f>
        <v/>
      </c>
      <c r="EP43">
        <f>IF(OR(EN$3="",EN$3&gt;TODAY()),"",IF(AND(EN43="",EO43=""),"",N(EO43)-N(EN43)))</f>
        <v/>
      </c>
      <c r="ES43">
        <f>IF(OR(EN$3="",EN$3&gt;TODAY()),"",IF(AND(EQ43="",ER43=""),"",N(ER43)-N(EQ43)))</f>
        <v/>
      </c>
      <c r="EW43">
        <f>IF(OR(EU$3="",EU$3&gt;TODAY()),"",IF(AND(EU43="",EV43=""),"",N(EV43)-N(EU43)))</f>
        <v/>
      </c>
      <c r="EZ43">
        <f>IF(OR(EU$3="",EU$3&gt;TODAY()),"",IF(AND(EX43="",EY43=""),"",N(EY43)-N(EX43)))</f>
        <v/>
      </c>
      <c r="FD43">
        <f>IF(OR(FB$3="",FB$3&gt;TODAY()),"",IF(AND(FB43="",FC43=""),"",N(FC43)-N(FB43)))</f>
        <v/>
      </c>
      <c r="FG43">
        <f>IF(OR(FB$3="",FB$3&gt;TODAY()),"",IF(AND(FE43="",FF43=""),"",N(FF43)-N(FE43)))</f>
        <v/>
      </c>
      <c r="FK43">
        <f>IF(OR(FI$3="",FI$3&gt;TODAY()),"",IF(AND(FI43="",FJ43=""),"",N(FJ43)-N(FI43)))</f>
        <v/>
      </c>
      <c r="FN43">
        <f>IF(OR(FI$3="",FI$3&gt;TODAY()),"",IF(AND(FL43="",FM43=""),"",N(FM43)-N(FL43)))</f>
        <v/>
      </c>
      <c r="FR43">
        <f>IF(OR(FP$3="",FP$3&gt;TODAY()),"",IF(AND(FP43="",FQ43=""),"",N(FQ43)-N(FP43)))</f>
        <v/>
      </c>
      <c r="FU43">
        <f>IF(OR(FP$3="",FP$3&gt;TODAY()),"",IF(AND(FS43="",FT43=""),"",N(FT43)-N(FS43)))</f>
        <v/>
      </c>
      <c r="FY43">
        <f>IF(OR(FW$3="",FW$3&gt;TODAY()),"",IF(AND(FW43="",FX43=""),"",N(FX43)-N(FW43)))</f>
        <v/>
      </c>
      <c r="GB43">
        <f>IF(OR(FW$3="",FW$3&gt;TODAY()),"",IF(AND(FZ43="",GA43=""),"",N(GA43)-N(FZ43)))</f>
        <v/>
      </c>
      <c r="GF43">
        <f>IF(OR(GD$3="",GD$3&gt;TODAY()),"",IF(AND(GD43="",GE43=""),"",N(GE43)-N(GD43)))</f>
        <v/>
      </c>
      <c r="GI43">
        <f>IF(OR(GD$3="",GD$3&gt;TODAY()),"",IF(AND(GG43="",GH43=""),"",N(GH43)-N(GG43)))</f>
        <v/>
      </c>
      <c r="GM43">
        <f>IF(OR(GK$3="",GK$3&gt;TODAY()),"",IF(AND(GK43="",GL43=""),"",N(GL43)-N(GK43)))</f>
        <v/>
      </c>
      <c r="GP43">
        <f>IF(OR(GK$3="",GK$3&gt;TODAY()),"",IF(AND(GN43="",GO43=""),"",N(GO43)-N(GN43)))</f>
        <v/>
      </c>
      <c r="GT43">
        <f>IF(OR(GR$3="",GR$3&gt;TODAY()),"",IF(AND(GR43="",GS43=""),"",N(GS43)-N(GR43)))</f>
        <v/>
      </c>
      <c r="GW43">
        <f>IF(OR(GR$3="",GR$3&gt;TODAY()),"",IF(AND(GU43="",GV43=""),"",N(GV43)-N(GU43)))</f>
        <v/>
      </c>
      <c r="HA43">
        <f>IF(OR(GY$3="",GY$3&gt;TODAY()),"",IF(AND(GY43="",GZ43=""),"",N(GZ43)-N(GY43)))</f>
        <v/>
      </c>
      <c r="HD43">
        <f>IF(OR(GY$3="",GY$3&gt;TODAY()),"",IF(AND(HB43="",HC43=""),"",N(HC43)-N(HB43)))</f>
        <v/>
      </c>
      <c r="HH43">
        <f>IF(OR(HF$3="",HF$3&gt;TODAY()),"",IF(AND(HF43="",HG43=""),"",N(HG43)-N(HF43)))</f>
        <v/>
      </c>
      <c r="HK43">
        <f>IF(OR(HF$3="",HF$3&gt;TODAY()),"",IF(AND(HI43="",HJ43=""),"",N(HJ43)-N(HI43)))</f>
        <v/>
      </c>
      <c r="HO43">
        <f>IF(OR(HM$3="",HM$3&gt;TODAY()),"",IF(AND(HM43="",HN43=""),"",N(HN43)-N(HM43)))</f>
        <v/>
      </c>
      <c r="HR43">
        <f>IF(OR(HM$3="",HM$3&gt;TODAY()),"",IF(AND(HP43="",HQ43=""),"",N(HQ43)-N(HP43)))</f>
        <v/>
      </c>
      <c r="HV43">
        <f>IF(OR(HT$3="",HT$3&gt;TODAY()),"",IF(AND(HT43="",HU43=""),"",N(HU43)-N(HT43)))</f>
        <v/>
      </c>
      <c r="HY43">
        <f>IF(OR(HT$3="",HT$3&gt;TODAY()),"",IF(AND(HW43="",HX43=""),"",N(HX43)-N(HW43)))</f>
        <v/>
      </c>
      <c r="IC43">
        <f>IF(OR(IA$3="",IA$3&gt;TODAY()),"",IF(AND(IA43="",IB43=""),"",N(IB43)-N(IA43)))</f>
        <v/>
      </c>
      <c r="IF43">
        <f>IF(OR(IA$3="",IA$3&gt;TODAY()),"",IF(AND(ID43="",IE43=""),"",N(IE43)-N(ID43)))</f>
        <v/>
      </c>
      <c r="IJ43">
        <f>IF(OR(IH$3="",IH$3&gt;TODAY()),"",IF(AND(IH43="",II43=""),"",N(II43)-N(IH43)))</f>
        <v/>
      </c>
      <c r="IM43">
        <f>IF(OR(IH$3="",IH$3&gt;TODAY()),"",IF(AND(IK43="",IL43=""),"",N(IL43)-N(IK43)))</f>
        <v/>
      </c>
    </row>
    <row r="44">
      <c r="A44" s="21" t="n"/>
      <c r="B44" s="21" t="n"/>
      <c r="C44" s="21" t="n"/>
      <c r="D44" s="21" t="n"/>
      <c r="E44" s="21" t="n"/>
      <c r="F44" s="21" t="n"/>
      <c r="G44" s="21" t="n"/>
      <c r="H44" s="21" t="n"/>
      <c r="I44" s="22" t="n"/>
      <c r="J44" s="22" t="n"/>
      <c r="K44" s="23" t="n"/>
      <c r="L44" s="22" t="n"/>
      <c r="M44" s="22" t="n"/>
      <c r="N44" s="21" t="n"/>
      <c r="O44" s="23" t="n"/>
      <c r="P44" s="23" t="n"/>
      <c r="Q44" s="23" t="n"/>
      <c r="R44" s="23" t="n"/>
      <c r="S44" s="22" t="n"/>
      <c r="T44" s="23" t="n"/>
      <c r="U44" s="23" t="n"/>
      <c r="V44" s="24">
        <f>IF(J44&lt;&gt;"",J44,IF(I44&lt;&gt;"",I44,""))</f>
        <v/>
      </c>
      <c r="W44" s="25">
        <f>IF($E44="","",N(O44)+SUMIFS($AF44:$IN44,$AF$4:$IN$4,"SEW_ACT"))</f>
        <v/>
      </c>
      <c r="X44" s="25">
        <f>IF($E44="","",N(P44)+SUMIFS($AF44:$IN44,$AF$4:$IN$4,"WASH_ACT"))</f>
        <v/>
      </c>
      <c r="Y44" s="25">
        <f>IF($E44="","",W44-X44-N(T44)-N(U44))</f>
        <v/>
      </c>
      <c r="Z44" s="25">
        <f>IF($E44="","",IF(N(K44)-X44&lt;=0.02*N(K44),0,N(K44)-X44))</f>
        <v/>
      </c>
      <c r="AA44" s="24">
        <f>IF($E44="","",IF(S44&lt;&gt;"",S44,IF(N(O44)&gt;0,IF(L44&lt;&gt;"",L44,99999),IFERROR(1/(1/_xlfn.MINIFS($AF$3:$IN$3,$AF$4:$IN$4,"SEW_ACT",$AF44:$IN44,"&gt;0")),99999))))</f>
        <v/>
      </c>
      <c r="AB44" s="26">
        <f>IF(OR($E44="",Z44=0,V44=""),"",1+COUNTIFS(Z$8:Z$707,"&gt;0",V$8:V$707,"&lt;"&amp;V44)+COUNTIFS(Z$8:Z$707,"&gt;0",V$8:V$707,V44,AA$8:AA$707,"&lt;"&amp;AA44)+COUNTIFS(Z$8:Z$707,"&gt;0",V$8:V$707,V44,AA$8:AA$707,AA44,E$8:E$707,"&lt;"&amp;$E44))</f>
        <v/>
      </c>
      <c r="AC44" s="24">
        <f>IF(OR($E44="",Z44=0),"",IFERROR(TODAY()+ROUNDUP(Z44/(SUMIFS($AF44:$IN44,$AF$4:$IN$4,"WASH_ACT")/COUNTIFS($AF$4:$IN$4,"WASH_ACT",$AF44:$IN44,"&gt;0")),0),"no output yet"))</f>
        <v/>
      </c>
      <c r="AD44" s="26">
        <f>IF($E44="","",IFERROR(ROUND(MAX(0,SUMIFS($AF44:$IN44,$AF$4:$IN$4,"SEW_PLAN",$AF$3:$IN$3,"&lt;="&amp;TODAY())-SUMIFS($AF44:$IN44,$AF$4:$IN$4,"SEW_ACT",$AF$3:$IN$3,"&lt;="&amp;TODAY())+N(Q44))/(SUMIFS($AF44:$IN44,$AF$4:$IN$4,"SEW_PLAN")/COUNTIFS($AF$4:$IN$4,"SEW_PLAN",$AF44:$IN44,"&gt;0")),1),0))</f>
        <v/>
      </c>
      <c r="AE44" s="26">
        <f>IF($E44="","",IF(AND(Z44&gt;0,OR(AND(M44&lt;&gt;"",TODAY()&gt;M44),AND(V44&lt;&gt;"",V44-TODAY()&lt;=7))),"Yes","No"))</f>
        <v/>
      </c>
      <c r="AH44">
        <f>IF(OR(AF$3="",AF$3&gt;TODAY()),"",IF(AND(AF44="",AG44=""),"",N(AG44)-N(AF44)))</f>
        <v/>
      </c>
      <c r="AK44">
        <f>IF(OR(AF$3="",AF$3&gt;TODAY()),"",IF(AND(AI44="",AJ44=""),"",N(AJ44)-N(AI44)))</f>
        <v/>
      </c>
      <c r="AO44">
        <f>IF(OR(AM$3="",AM$3&gt;TODAY()),"",IF(AND(AM44="",AN44=""),"",N(AN44)-N(AM44)))</f>
        <v/>
      </c>
      <c r="AR44">
        <f>IF(OR(AM$3="",AM$3&gt;TODAY()),"",IF(AND(AP44="",AQ44=""),"",N(AQ44)-N(AP44)))</f>
        <v/>
      </c>
      <c r="AV44">
        <f>IF(OR(AT$3="",AT$3&gt;TODAY()),"",IF(AND(AT44="",AU44=""),"",N(AU44)-N(AT44)))</f>
        <v/>
      </c>
      <c r="AY44">
        <f>IF(OR(AT$3="",AT$3&gt;TODAY()),"",IF(AND(AW44="",AX44=""),"",N(AX44)-N(AW44)))</f>
        <v/>
      </c>
      <c r="BC44">
        <f>IF(OR(BA$3="",BA$3&gt;TODAY()),"",IF(AND(BA44="",BB44=""),"",N(BB44)-N(BA44)))</f>
        <v/>
      </c>
      <c r="BF44">
        <f>IF(OR(BA$3="",BA$3&gt;TODAY()),"",IF(AND(BD44="",BE44=""),"",N(BE44)-N(BD44)))</f>
        <v/>
      </c>
      <c r="BJ44">
        <f>IF(OR(BH$3="",BH$3&gt;TODAY()),"",IF(AND(BH44="",BI44=""),"",N(BI44)-N(BH44)))</f>
        <v/>
      </c>
      <c r="BM44">
        <f>IF(OR(BH$3="",BH$3&gt;TODAY()),"",IF(AND(BK44="",BL44=""),"",N(BL44)-N(BK44)))</f>
        <v/>
      </c>
      <c r="BQ44">
        <f>IF(OR(BO$3="",BO$3&gt;TODAY()),"",IF(AND(BO44="",BP44=""),"",N(BP44)-N(BO44)))</f>
        <v/>
      </c>
      <c r="BT44">
        <f>IF(OR(BO$3="",BO$3&gt;TODAY()),"",IF(AND(BR44="",BS44=""),"",N(BS44)-N(BR44)))</f>
        <v/>
      </c>
      <c r="BX44">
        <f>IF(OR(BV$3="",BV$3&gt;TODAY()),"",IF(AND(BV44="",BW44=""),"",N(BW44)-N(BV44)))</f>
        <v/>
      </c>
      <c r="CA44">
        <f>IF(OR(BV$3="",BV$3&gt;TODAY()),"",IF(AND(BY44="",BZ44=""),"",N(BZ44)-N(BY44)))</f>
        <v/>
      </c>
      <c r="CE44">
        <f>IF(OR(CC$3="",CC$3&gt;TODAY()),"",IF(AND(CC44="",CD44=""),"",N(CD44)-N(CC44)))</f>
        <v/>
      </c>
      <c r="CH44">
        <f>IF(OR(CC$3="",CC$3&gt;TODAY()),"",IF(AND(CF44="",CG44=""),"",N(CG44)-N(CF44)))</f>
        <v/>
      </c>
      <c r="CL44">
        <f>IF(OR(CJ$3="",CJ$3&gt;TODAY()),"",IF(AND(CJ44="",CK44=""),"",N(CK44)-N(CJ44)))</f>
        <v/>
      </c>
      <c r="CO44">
        <f>IF(OR(CJ$3="",CJ$3&gt;TODAY()),"",IF(AND(CM44="",CN44=""),"",N(CN44)-N(CM44)))</f>
        <v/>
      </c>
      <c r="CS44">
        <f>IF(OR(CQ$3="",CQ$3&gt;TODAY()),"",IF(AND(CQ44="",CR44=""),"",N(CR44)-N(CQ44)))</f>
        <v/>
      </c>
      <c r="CV44">
        <f>IF(OR(CQ$3="",CQ$3&gt;TODAY()),"",IF(AND(CT44="",CU44=""),"",N(CU44)-N(CT44)))</f>
        <v/>
      </c>
      <c r="CZ44">
        <f>IF(OR(CX$3="",CX$3&gt;TODAY()),"",IF(AND(CX44="",CY44=""),"",N(CY44)-N(CX44)))</f>
        <v/>
      </c>
      <c r="DC44">
        <f>IF(OR(CX$3="",CX$3&gt;TODAY()),"",IF(AND(DA44="",DB44=""),"",N(DB44)-N(DA44)))</f>
        <v/>
      </c>
      <c r="DG44">
        <f>IF(OR(DE$3="",DE$3&gt;TODAY()),"",IF(AND(DE44="",DF44=""),"",N(DF44)-N(DE44)))</f>
        <v/>
      </c>
      <c r="DJ44">
        <f>IF(OR(DE$3="",DE$3&gt;TODAY()),"",IF(AND(DH44="",DI44=""),"",N(DI44)-N(DH44)))</f>
        <v/>
      </c>
      <c r="DN44">
        <f>IF(OR(DL$3="",DL$3&gt;TODAY()),"",IF(AND(DL44="",DM44=""),"",N(DM44)-N(DL44)))</f>
        <v/>
      </c>
      <c r="DQ44">
        <f>IF(OR(DL$3="",DL$3&gt;TODAY()),"",IF(AND(DO44="",DP44=""),"",N(DP44)-N(DO44)))</f>
        <v/>
      </c>
      <c r="DU44">
        <f>IF(OR(DS$3="",DS$3&gt;TODAY()),"",IF(AND(DS44="",DT44=""),"",N(DT44)-N(DS44)))</f>
        <v/>
      </c>
      <c r="DX44">
        <f>IF(OR(DS$3="",DS$3&gt;TODAY()),"",IF(AND(DV44="",DW44=""),"",N(DW44)-N(DV44)))</f>
        <v/>
      </c>
      <c r="EB44">
        <f>IF(OR(DZ$3="",DZ$3&gt;TODAY()),"",IF(AND(DZ44="",EA44=""),"",N(EA44)-N(DZ44)))</f>
        <v/>
      </c>
      <c r="EE44">
        <f>IF(OR(DZ$3="",DZ$3&gt;TODAY()),"",IF(AND(EC44="",ED44=""),"",N(ED44)-N(EC44)))</f>
        <v/>
      </c>
      <c r="EI44">
        <f>IF(OR(EG$3="",EG$3&gt;TODAY()),"",IF(AND(EG44="",EH44=""),"",N(EH44)-N(EG44)))</f>
        <v/>
      </c>
      <c r="EL44">
        <f>IF(OR(EG$3="",EG$3&gt;TODAY()),"",IF(AND(EJ44="",EK44=""),"",N(EK44)-N(EJ44)))</f>
        <v/>
      </c>
      <c r="EP44">
        <f>IF(OR(EN$3="",EN$3&gt;TODAY()),"",IF(AND(EN44="",EO44=""),"",N(EO44)-N(EN44)))</f>
        <v/>
      </c>
      <c r="ES44">
        <f>IF(OR(EN$3="",EN$3&gt;TODAY()),"",IF(AND(EQ44="",ER44=""),"",N(ER44)-N(EQ44)))</f>
        <v/>
      </c>
      <c r="EW44">
        <f>IF(OR(EU$3="",EU$3&gt;TODAY()),"",IF(AND(EU44="",EV44=""),"",N(EV44)-N(EU44)))</f>
        <v/>
      </c>
      <c r="EZ44">
        <f>IF(OR(EU$3="",EU$3&gt;TODAY()),"",IF(AND(EX44="",EY44=""),"",N(EY44)-N(EX44)))</f>
        <v/>
      </c>
      <c r="FD44">
        <f>IF(OR(FB$3="",FB$3&gt;TODAY()),"",IF(AND(FB44="",FC44=""),"",N(FC44)-N(FB44)))</f>
        <v/>
      </c>
      <c r="FG44">
        <f>IF(OR(FB$3="",FB$3&gt;TODAY()),"",IF(AND(FE44="",FF44=""),"",N(FF44)-N(FE44)))</f>
        <v/>
      </c>
      <c r="FK44">
        <f>IF(OR(FI$3="",FI$3&gt;TODAY()),"",IF(AND(FI44="",FJ44=""),"",N(FJ44)-N(FI44)))</f>
        <v/>
      </c>
      <c r="FN44">
        <f>IF(OR(FI$3="",FI$3&gt;TODAY()),"",IF(AND(FL44="",FM44=""),"",N(FM44)-N(FL44)))</f>
        <v/>
      </c>
      <c r="FR44">
        <f>IF(OR(FP$3="",FP$3&gt;TODAY()),"",IF(AND(FP44="",FQ44=""),"",N(FQ44)-N(FP44)))</f>
        <v/>
      </c>
      <c r="FU44">
        <f>IF(OR(FP$3="",FP$3&gt;TODAY()),"",IF(AND(FS44="",FT44=""),"",N(FT44)-N(FS44)))</f>
        <v/>
      </c>
      <c r="FY44">
        <f>IF(OR(FW$3="",FW$3&gt;TODAY()),"",IF(AND(FW44="",FX44=""),"",N(FX44)-N(FW44)))</f>
        <v/>
      </c>
      <c r="GB44">
        <f>IF(OR(FW$3="",FW$3&gt;TODAY()),"",IF(AND(FZ44="",GA44=""),"",N(GA44)-N(FZ44)))</f>
        <v/>
      </c>
      <c r="GF44">
        <f>IF(OR(GD$3="",GD$3&gt;TODAY()),"",IF(AND(GD44="",GE44=""),"",N(GE44)-N(GD44)))</f>
        <v/>
      </c>
      <c r="GI44">
        <f>IF(OR(GD$3="",GD$3&gt;TODAY()),"",IF(AND(GG44="",GH44=""),"",N(GH44)-N(GG44)))</f>
        <v/>
      </c>
      <c r="GM44">
        <f>IF(OR(GK$3="",GK$3&gt;TODAY()),"",IF(AND(GK44="",GL44=""),"",N(GL44)-N(GK44)))</f>
        <v/>
      </c>
      <c r="GP44">
        <f>IF(OR(GK$3="",GK$3&gt;TODAY()),"",IF(AND(GN44="",GO44=""),"",N(GO44)-N(GN44)))</f>
        <v/>
      </c>
      <c r="GT44">
        <f>IF(OR(GR$3="",GR$3&gt;TODAY()),"",IF(AND(GR44="",GS44=""),"",N(GS44)-N(GR44)))</f>
        <v/>
      </c>
      <c r="GW44">
        <f>IF(OR(GR$3="",GR$3&gt;TODAY()),"",IF(AND(GU44="",GV44=""),"",N(GV44)-N(GU44)))</f>
        <v/>
      </c>
      <c r="HA44">
        <f>IF(OR(GY$3="",GY$3&gt;TODAY()),"",IF(AND(GY44="",GZ44=""),"",N(GZ44)-N(GY44)))</f>
        <v/>
      </c>
      <c r="HD44">
        <f>IF(OR(GY$3="",GY$3&gt;TODAY()),"",IF(AND(HB44="",HC44=""),"",N(HC44)-N(HB44)))</f>
        <v/>
      </c>
      <c r="HH44">
        <f>IF(OR(HF$3="",HF$3&gt;TODAY()),"",IF(AND(HF44="",HG44=""),"",N(HG44)-N(HF44)))</f>
        <v/>
      </c>
      <c r="HK44">
        <f>IF(OR(HF$3="",HF$3&gt;TODAY()),"",IF(AND(HI44="",HJ44=""),"",N(HJ44)-N(HI44)))</f>
        <v/>
      </c>
      <c r="HO44">
        <f>IF(OR(HM$3="",HM$3&gt;TODAY()),"",IF(AND(HM44="",HN44=""),"",N(HN44)-N(HM44)))</f>
        <v/>
      </c>
      <c r="HR44">
        <f>IF(OR(HM$3="",HM$3&gt;TODAY()),"",IF(AND(HP44="",HQ44=""),"",N(HQ44)-N(HP44)))</f>
        <v/>
      </c>
      <c r="HV44">
        <f>IF(OR(HT$3="",HT$3&gt;TODAY()),"",IF(AND(HT44="",HU44=""),"",N(HU44)-N(HT44)))</f>
        <v/>
      </c>
      <c r="HY44">
        <f>IF(OR(HT$3="",HT$3&gt;TODAY()),"",IF(AND(HW44="",HX44=""),"",N(HX44)-N(HW44)))</f>
        <v/>
      </c>
      <c r="IC44">
        <f>IF(OR(IA$3="",IA$3&gt;TODAY()),"",IF(AND(IA44="",IB44=""),"",N(IB44)-N(IA44)))</f>
        <v/>
      </c>
      <c r="IF44">
        <f>IF(OR(IA$3="",IA$3&gt;TODAY()),"",IF(AND(ID44="",IE44=""),"",N(IE44)-N(ID44)))</f>
        <v/>
      </c>
      <c r="IJ44">
        <f>IF(OR(IH$3="",IH$3&gt;TODAY()),"",IF(AND(IH44="",II44=""),"",N(II44)-N(IH44)))</f>
        <v/>
      </c>
      <c r="IM44">
        <f>IF(OR(IH$3="",IH$3&gt;TODAY()),"",IF(AND(IK44="",IL44=""),"",N(IL44)-N(IK44)))</f>
        <v/>
      </c>
    </row>
    <row r="45">
      <c r="A45" s="21" t="n"/>
      <c r="B45" s="21" t="n"/>
      <c r="C45" s="21" t="n"/>
      <c r="D45" s="21" t="n"/>
      <c r="E45" s="21" t="n"/>
      <c r="F45" s="21" t="n"/>
      <c r="G45" s="21" t="n"/>
      <c r="H45" s="21" t="n"/>
      <c r="I45" s="22" t="n"/>
      <c r="J45" s="22" t="n"/>
      <c r="K45" s="23" t="n"/>
      <c r="L45" s="22" t="n"/>
      <c r="M45" s="22" t="n"/>
      <c r="N45" s="21" t="n"/>
      <c r="O45" s="23" t="n"/>
      <c r="P45" s="23" t="n"/>
      <c r="Q45" s="23" t="n"/>
      <c r="R45" s="23" t="n"/>
      <c r="S45" s="22" t="n"/>
      <c r="T45" s="23" t="n"/>
      <c r="U45" s="23" t="n"/>
      <c r="V45" s="24">
        <f>IF(J45&lt;&gt;"",J45,IF(I45&lt;&gt;"",I45,""))</f>
        <v/>
      </c>
      <c r="W45" s="25">
        <f>IF($E45="","",N(O45)+SUMIFS($AF45:$IN45,$AF$4:$IN$4,"SEW_ACT"))</f>
        <v/>
      </c>
      <c r="X45" s="25">
        <f>IF($E45="","",N(P45)+SUMIFS($AF45:$IN45,$AF$4:$IN$4,"WASH_ACT"))</f>
        <v/>
      </c>
      <c r="Y45" s="25">
        <f>IF($E45="","",W45-X45-N(T45)-N(U45))</f>
        <v/>
      </c>
      <c r="Z45" s="25">
        <f>IF($E45="","",IF(N(K45)-X45&lt;=0.02*N(K45),0,N(K45)-X45))</f>
        <v/>
      </c>
      <c r="AA45" s="24">
        <f>IF($E45="","",IF(S45&lt;&gt;"",S45,IF(N(O45)&gt;0,IF(L45&lt;&gt;"",L45,99999),IFERROR(1/(1/_xlfn.MINIFS($AF$3:$IN$3,$AF$4:$IN$4,"SEW_ACT",$AF45:$IN45,"&gt;0")),99999))))</f>
        <v/>
      </c>
      <c r="AB45" s="26">
        <f>IF(OR($E45="",Z45=0,V45=""),"",1+COUNTIFS(Z$8:Z$707,"&gt;0",V$8:V$707,"&lt;"&amp;V45)+COUNTIFS(Z$8:Z$707,"&gt;0",V$8:V$707,V45,AA$8:AA$707,"&lt;"&amp;AA45)+COUNTIFS(Z$8:Z$707,"&gt;0",V$8:V$707,V45,AA$8:AA$707,AA45,E$8:E$707,"&lt;"&amp;$E45))</f>
        <v/>
      </c>
      <c r="AC45" s="24">
        <f>IF(OR($E45="",Z45=0),"",IFERROR(TODAY()+ROUNDUP(Z45/(SUMIFS($AF45:$IN45,$AF$4:$IN$4,"WASH_ACT")/COUNTIFS($AF$4:$IN$4,"WASH_ACT",$AF45:$IN45,"&gt;0")),0),"no output yet"))</f>
        <v/>
      </c>
      <c r="AD45" s="26">
        <f>IF($E45="","",IFERROR(ROUND(MAX(0,SUMIFS($AF45:$IN45,$AF$4:$IN$4,"SEW_PLAN",$AF$3:$IN$3,"&lt;="&amp;TODAY())-SUMIFS($AF45:$IN45,$AF$4:$IN$4,"SEW_ACT",$AF$3:$IN$3,"&lt;="&amp;TODAY())+N(Q45))/(SUMIFS($AF45:$IN45,$AF$4:$IN$4,"SEW_PLAN")/COUNTIFS($AF$4:$IN$4,"SEW_PLAN",$AF45:$IN45,"&gt;0")),1),0))</f>
        <v/>
      </c>
      <c r="AE45" s="26">
        <f>IF($E45="","",IF(AND(Z45&gt;0,OR(AND(M45&lt;&gt;"",TODAY()&gt;M45),AND(V45&lt;&gt;"",V45-TODAY()&lt;=7))),"Yes","No"))</f>
        <v/>
      </c>
      <c r="AH45">
        <f>IF(OR(AF$3="",AF$3&gt;TODAY()),"",IF(AND(AF45="",AG45=""),"",N(AG45)-N(AF45)))</f>
        <v/>
      </c>
      <c r="AK45">
        <f>IF(OR(AF$3="",AF$3&gt;TODAY()),"",IF(AND(AI45="",AJ45=""),"",N(AJ45)-N(AI45)))</f>
        <v/>
      </c>
      <c r="AO45">
        <f>IF(OR(AM$3="",AM$3&gt;TODAY()),"",IF(AND(AM45="",AN45=""),"",N(AN45)-N(AM45)))</f>
        <v/>
      </c>
      <c r="AR45">
        <f>IF(OR(AM$3="",AM$3&gt;TODAY()),"",IF(AND(AP45="",AQ45=""),"",N(AQ45)-N(AP45)))</f>
        <v/>
      </c>
      <c r="AV45">
        <f>IF(OR(AT$3="",AT$3&gt;TODAY()),"",IF(AND(AT45="",AU45=""),"",N(AU45)-N(AT45)))</f>
        <v/>
      </c>
      <c r="AY45">
        <f>IF(OR(AT$3="",AT$3&gt;TODAY()),"",IF(AND(AW45="",AX45=""),"",N(AX45)-N(AW45)))</f>
        <v/>
      </c>
      <c r="BC45">
        <f>IF(OR(BA$3="",BA$3&gt;TODAY()),"",IF(AND(BA45="",BB45=""),"",N(BB45)-N(BA45)))</f>
        <v/>
      </c>
      <c r="BF45">
        <f>IF(OR(BA$3="",BA$3&gt;TODAY()),"",IF(AND(BD45="",BE45=""),"",N(BE45)-N(BD45)))</f>
        <v/>
      </c>
      <c r="BJ45">
        <f>IF(OR(BH$3="",BH$3&gt;TODAY()),"",IF(AND(BH45="",BI45=""),"",N(BI45)-N(BH45)))</f>
        <v/>
      </c>
      <c r="BM45">
        <f>IF(OR(BH$3="",BH$3&gt;TODAY()),"",IF(AND(BK45="",BL45=""),"",N(BL45)-N(BK45)))</f>
        <v/>
      </c>
      <c r="BQ45">
        <f>IF(OR(BO$3="",BO$3&gt;TODAY()),"",IF(AND(BO45="",BP45=""),"",N(BP45)-N(BO45)))</f>
        <v/>
      </c>
      <c r="BT45">
        <f>IF(OR(BO$3="",BO$3&gt;TODAY()),"",IF(AND(BR45="",BS45=""),"",N(BS45)-N(BR45)))</f>
        <v/>
      </c>
      <c r="BX45">
        <f>IF(OR(BV$3="",BV$3&gt;TODAY()),"",IF(AND(BV45="",BW45=""),"",N(BW45)-N(BV45)))</f>
        <v/>
      </c>
      <c r="CA45">
        <f>IF(OR(BV$3="",BV$3&gt;TODAY()),"",IF(AND(BY45="",BZ45=""),"",N(BZ45)-N(BY45)))</f>
        <v/>
      </c>
      <c r="CE45">
        <f>IF(OR(CC$3="",CC$3&gt;TODAY()),"",IF(AND(CC45="",CD45=""),"",N(CD45)-N(CC45)))</f>
        <v/>
      </c>
      <c r="CH45">
        <f>IF(OR(CC$3="",CC$3&gt;TODAY()),"",IF(AND(CF45="",CG45=""),"",N(CG45)-N(CF45)))</f>
        <v/>
      </c>
      <c r="CL45">
        <f>IF(OR(CJ$3="",CJ$3&gt;TODAY()),"",IF(AND(CJ45="",CK45=""),"",N(CK45)-N(CJ45)))</f>
        <v/>
      </c>
      <c r="CO45">
        <f>IF(OR(CJ$3="",CJ$3&gt;TODAY()),"",IF(AND(CM45="",CN45=""),"",N(CN45)-N(CM45)))</f>
        <v/>
      </c>
      <c r="CS45">
        <f>IF(OR(CQ$3="",CQ$3&gt;TODAY()),"",IF(AND(CQ45="",CR45=""),"",N(CR45)-N(CQ45)))</f>
        <v/>
      </c>
      <c r="CV45">
        <f>IF(OR(CQ$3="",CQ$3&gt;TODAY()),"",IF(AND(CT45="",CU45=""),"",N(CU45)-N(CT45)))</f>
        <v/>
      </c>
      <c r="CZ45">
        <f>IF(OR(CX$3="",CX$3&gt;TODAY()),"",IF(AND(CX45="",CY45=""),"",N(CY45)-N(CX45)))</f>
        <v/>
      </c>
      <c r="DC45">
        <f>IF(OR(CX$3="",CX$3&gt;TODAY()),"",IF(AND(DA45="",DB45=""),"",N(DB45)-N(DA45)))</f>
        <v/>
      </c>
      <c r="DG45">
        <f>IF(OR(DE$3="",DE$3&gt;TODAY()),"",IF(AND(DE45="",DF45=""),"",N(DF45)-N(DE45)))</f>
        <v/>
      </c>
      <c r="DJ45">
        <f>IF(OR(DE$3="",DE$3&gt;TODAY()),"",IF(AND(DH45="",DI45=""),"",N(DI45)-N(DH45)))</f>
        <v/>
      </c>
      <c r="DN45">
        <f>IF(OR(DL$3="",DL$3&gt;TODAY()),"",IF(AND(DL45="",DM45=""),"",N(DM45)-N(DL45)))</f>
        <v/>
      </c>
      <c r="DQ45">
        <f>IF(OR(DL$3="",DL$3&gt;TODAY()),"",IF(AND(DO45="",DP45=""),"",N(DP45)-N(DO45)))</f>
        <v/>
      </c>
      <c r="DU45">
        <f>IF(OR(DS$3="",DS$3&gt;TODAY()),"",IF(AND(DS45="",DT45=""),"",N(DT45)-N(DS45)))</f>
        <v/>
      </c>
      <c r="DX45">
        <f>IF(OR(DS$3="",DS$3&gt;TODAY()),"",IF(AND(DV45="",DW45=""),"",N(DW45)-N(DV45)))</f>
        <v/>
      </c>
      <c r="EB45">
        <f>IF(OR(DZ$3="",DZ$3&gt;TODAY()),"",IF(AND(DZ45="",EA45=""),"",N(EA45)-N(DZ45)))</f>
        <v/>
      </c>
      <c r="EE45">
        <f>IF(OR(DZ$3="",DZ$3&gt;TODAY()),"",IF(AND(EC45="",ED45=""),"",N(ED45)-N(EC45)))</f>
        <v/>
      </c>
      <c r="EI45">
        <f>IF(OR(EG$3="",EG$3&gt;TODAY()),"",IF(AND(EG45="",EH45=""),"",N(EH45)-N(EG45)))</f>
        <v/>
      </c>
      <c r="EL45">
        <f>IF(OR(EG$3="",EG$3&gt;TODAY()),"",IF(AND(EJ45="",EK45=""),"",N(EK45)-N(EJ45)))</f>
        <v/>
      </c>
      <c r="EP45">
        <f>IF(OR(EN$3="",EN$3&gt;TODAY()),"",IF(AND(EN45="",EO45=""),"",N(EO45)-N(EN45)))</f>
        <v/>
      </c>
      <c r="ES45">
        <f>IF(OR(EN$3="",EN$3&gt;TODAY()),"",IF(AND(EQ45="",ER45=""),"",N(ER45)-N(EQ45)))</f>
        <v/>
      </c>
      <c r="EW45">
        <f>IF(OR(EU$3="",EU$3&gt;TODAY()),"",IF(AND(EU45="",EV45=""),"",N(EV45)-N(EU45)))</f>
        <v/>
      </c>
      <c r="EZ45">
        <f>IF(OR(EU$3="",EU$3&gt;TODAY()),"",IF(AND(EX45="",EY45=""),"",N(EY45)-N(EX45)))</f>
        <v/>
      </c>
      <c r="FD45">
        <f>IF(OR(FB$3="",FB$3&gt;TODAY()),"",IF(AND(FB45="",FC45=""),"",N(FC45)-N(FB45)))</f>
        <v/>
      </c>
      <c r="FG45">
        <f>IF(OR(FB$3="",FB$3&gt;TODAY()),"",IF(AND(FE45="",FF45=""),"",N(FF45)-N(FE45)))</f>
        <v/>
      </c>
      <c r="FK45">
        <f>IF(OR(FI$3="",FI$3&gt;TODAY()),"",IF(AND(FI45="",FJ45=""),"",N(FJ45)-N(FI45)))</f>
        <v/>
      </c>
      <c r="FN45">
        <f>IF(OR(FI$3="",FI$3&gt;TODAY()),"",IF(AND(FL45="",FM45=""),"",N(FM45)-N(FL45)))</f>
        <v/>
      </c>
      <c r="FR45">
        <f>IF(OR(FP$3="",FP$3&gt;TODAY()),"",IF(AND(FP45="",FQ45=""),"",N(FQ45)-N(FP45)))</f>
        <v/>
      </c>
      <c r="FU45">
        <f>IF(OR(FP$3="",FP$3&gt;TODAY()),"",IF(AND(FS45="",FT45=""),"",N(FT45)-N(FS45)))</f>
        <v/>
      </c>
      <c r="FY45">
        <f>IF(OR(FW$3="",FW$3&gt;TODAY()),"",IF(AND(FW45="",FX45=""),"",N(FX45)-N(FW45)))</f>
        <v/>
      </c>
      <c r="GB45">
        <f>IF(OR(FW$3="",FW$3&gt;TODAY()),"",IF(AND(FZ45="",GA45=""),"",N(GA45)-N(FZ45)))</f>
        <v/>
      </c>
      <c r="GF45">
        <f>IF(OR(GD$3="",GD$3&gt;TODAY()),"",IF(AND(GD45="",GE45=""),"",N(GE45)-N(GD45)))</f>
        <v/>
      </c>
      <c r="GI45">
        <f>IF(OR(GD$3="",GD$3&gt;TODAY()),"",IF(AND(GG45="",GH45=""),"",N(GH45)-N(GG45)))</f>
        <v/>
      </c>
      <c r="GM45">
        <f>IF(OR(GK$3="",GK$3&gt;TODAY()),"",IF(AND(GK45="",GL45=""),"",N(GL45)-N(GK45)))</f>
        <v/>
      </c>
      <c r="GP45">
        <f>IF(OR(GK$3="",GK$3&gt;TODAY()),"",IF(AND(GN45="",GO45=""),"",N(GO45)-N(GN45)))</f>
        <v/>
      </c>
      <c r="GT45">
        <f>IF(OR(GR$3="",GR$3&gt;TODAY()),"",IF(AND(GR45="",GS45=""),"",N(GS45)-N(GR45)))</f>
        <v/>
      </c>
      <c r="GW45">
        <f>IF(OR(GR$3="",GR$3&gt;TODAY()),"",IF(AND(GU45="",GV45=""),"",N(GV45)-N(GU45)))</f>
        <v/>
      </c>
      <c r="HA45">
        <f>IF(OR(GY$3="",GY$3&gt;TODAY()),"",IF(AND(GY45="",GZ45=""),"",N(GZ45)-N(GY45)))</f>
        <v/>
      </c>
      <c r="HD45">
        <f>IF(OR(GY$3="",GY$3&gt;TODAY()),"",IF(AND(HB45="",HC45=""),"",N(HC45)-N(HB45)))</f>
        <v/>
      </c>
      <c r="HH45">
        <f>IF(OR(HF$3="",HF$3&gt;TODAY()),"",IF(AND(HF45="",HG45=""),"",N(HG45)-N(HF45)))</f>
        <v/>
      </c>
      <c r="HK45">
        <f>IF(OR(HF$3="",HF$3&gt;TODAY()),"",IF(AND(HI45="",HJ45=""),"",N(HJ45)-N(HI45)))</f>
        <v/>
      </c>
      <c r="HO45">
        <f>IF(OR(HM$3="",HM$3&gt;TODAY()),"",IF(AND(HM45="",HN45=""),"",N(HN45)-N(HM45)))</f>
        <v/>
      </c>
      <c r="HR45">
        <f>IF(OR(HM$3="",HM$3&gt;TODAY()),"",IF(AND(HP45="",HQ45=""),"",N(HQ45)-N(HP45)))</f>
        <v/>
      </c>
      <c r="HV45">
        <f>IF(OR(HT$3="",HT$3&gt;TODAY()),"",IF(AND(HT45="",HU45=""),"",N(HU45)-N(HT45)))</f>
        <v/>
      </c>
      <c r="HY45">
        <f>IF(OR(HT$3="",HT$3&gt;TODAY()),"",IF(AND(HW45="",HX45=""),"",N(HX45)-N(HW45)))</f>
        <v/>
      </c>
      <c r="IC45">
        <f>IF(OR(IA$3="",IA$3&gt;TODAY()),"",IF(AND(IA45="",IB45=""),"",N(IB45)-N(IA45)))</f>
        <v/>
      </c>
      <c r="IF45">
        <f>IF(OR(IA$3="",IA$3&gt;TODAY()),"",IF(AND(ID45="",IE45=""),"",N(IE45)-N(ID45)))</f>
        <v/>
      </c>
      <c r="IJ45">
        <f>IF(OR(IH$3="",IH$3&gt;TODAY()),"",IF(AND(IH45="",II45=""),"",N(II45)-N(IH45)))</f>
        <v/>
      </c>
      <c r="IM45">
        <f>IF(OR(IH$3="",IH$3&gt;TODAY()),"",IF(AND(IK45="",IL45=""),"",N(IL45)-N(IK45)))</f>
        <v/>
      </c>
    </row>
    <row r="46">
      <c r="A46" s="21" t="n"/>
      <c r="B46" s="21" t="n"/>
      <c r="C46" s="21" t="n"/>
      <c r="D46" s="21" t="n"/>
      <c r="E46" s="21" t="n"/>
      <c r="F46" s="21" t="n"/>
      <c r="G46" s="21" t="n"/>
      <c r="H46" s="21" t="n"/>
      <c r="I46" s="22" t="n"/>
      <c r="J46" s="22" t="n"/>
      <c r="K46" s="23" t="n"/>
      <c r="L46" s="22" t="n"/>
      <c r="M46" s="22" t="n"/>
      <c r="N46" s="21" t="n"/>
      <c r="O46" s="23" t="n"/>
      <c r="P46" s="23" t="n"/>
      <c r="Q46" s="23" t="n"/>
      <c r="R46" s="23" t="n"/>
      <c r="S46" s="22" t="n"/>
      <c r="T46" s="23" t="n"/>
      <c r="U46" s="23" t="n"/>
      <c r="V46" s="24">
        <f>IF(J46&lt;&gt;"",J46,IF(I46&lt;&gt;"",I46,""))</f>
        <v/>
      </c>
      <c r="W46" s="25">
        <f>IF($E46="","",N(O46)+SUMIFS($AF46:$IN46,$AF$4:$IN$4,"SEW_ACT"))</f>
        <v/>
      </c>
      <c r="X46" s="25">
        <f>IF($E46="","",N(P46)+SUMIFS($AF46:$IN46,$AF$4:$IN$4,"WASH_ACT"))</f>
        <v/>
      </c>
      <c r="Y46" s="25">
        <f>IF($E46="","",W46-X46-N(T46)-N(U46))</f>
        <v/>
      </c>
      <c r="Z46" s="25">
        <f>IF($E46="","",IF(N(K46)-X46&lt;=0.02*N(K46),0,N(K46)-X46))</f>
        <v/>
      </c>
      <c r="AA46" s="24">
        <f>IF($E46="","",IF(S46&lt;&gt;"",S46,IF(N(O46)&gt;0,IF(L46&lt;&gt;"",L46,99999),IFERROR(1/(1/_xlfn.MINIFS($AF$3:$IN$3,$AF$4:$IN$4,"SEW_ACT",$AF46:$IN46,"&gt;0")),99999))))</f>
        <v/>
      </c>
      <c r="AB46" s="26">
        <f>IF(OR($E46="",Z46=0,V46=""),"",1+COUNTIFS(Z$8:Z$707,"&gt;0",V$8:V$707,"&lt;"&amp;V46)+COUNTIFS(Z$8:Z$707,"&gt;0",V$8:V$707,V46,AA$8:AA$707,"&lt;"&amp;AA46)+COUNTIFS(Z$8:Z$707,"&gt;0",V$8:V$707,V46,AA$8:AA$707,AA46,E$8:E$707,"&lt;"&amp;$E46))</f>
        <v/>
      </c>
      <c r="AC46" s="24">
        <f>IF(OR($E46="",Z46=0),"",IFERROR(TODAY()+ROUNDUP(Z46/(SUMIFS($AF46:$IN46,$AF$4:$IN$4,"WASH_ACT")/COUNTIFS($AF$4:$IN$4,"WASH_ACT",$AF46:$IN46,"&gt;0")),0),"no output yet"))</f>
        <v/>
      </c>
      <c r="AD46" s="26">
        <f>IF($E46="","",IFERROR(ROUND(MAX(0,SUMIFS($AF46:$IN46,$AF$4:$IN$4,"SEW_PLAN",$AF$3:$IN$3,"&lt;="&amp;TODAY())-SUMIFS($AF46:$IN46,$AF$4:$IN$4,"SEW_ACT",$AF$3:$IN$3,"&lt;="&amp;TODAY())+N(Q46))/(SUMIFS($AF46:$IN46,$AF$4:$IN$4,"SEW_PLAN")/COUNTIFS($AF$4:$IN$4,"SEW_PLAN",$AF46:$IN46,"&gt;0")),1),0))</f>
        <v/>
      </c>
      <c r="AE46" s="26">
        <f>IF($E46="","",IF(AND(Z46&gt;0,OR(AND(M46&lt;&gt;"",TODAY()&gt;M46),AND(V46&lt;&gt;"",V46-TODAY()&lt;=7))),"Yes","No"))</f>
        <v/>
      </c>
      <c r="AH46">
        <f>IF(OR(AF$3="",AF$3&gt;TODAY()),"",IF(AND(AF46="",AG46=""),"",N(AG46)-N(AF46)))</f>
        <v/>
      </c>
      <c r="AK46">
        <f>IF(OR(AF$3="",AF$3&gt;TODAY()),"",IF(AND(AI46="",AJ46=""),"",N(AJ46)-N(AI46)))</f>
        <v/>
      </c>
      <c r="AO46">
        <f>IF(OR(AM$3="",AM$3&gt;TODAY()),"",IF(AND(AM46="",AN46=""),"",N(AN46)-N(AM46)))</f>
        <v/>
      </c>
      <c r="AR46">
        <f>IF(OR(AM$3="",AM$3&gt;TODAY()),"",IF(AND(AP46="",AQ46=""),"",N(AQ46)-N(AP46)))</f>
        <v/>
      </c>
      <c r="AV46">
        <f>IF(OR(AT$3="",AT$3&gt;TODAY()),"",IF(AND(AT46="",AU46=""),"",N(AU46)-N(AT46)))</f>
        <v/>
      </c>
      <c r="AY46">
        <f>IF(OR(AT$3="",AT$3&gt;TODAY()),"",IF(AND(AW46="",AX46=""),"",N(AX46)-N(AW46)))</f>
        <v/>
      </c>
      <c r="BC46">
        <f>IF(OR(BA$3="",BA$3&gt;TODAY()),"",IF(AND(BA46="",BB46=""),"",N(BB46)-N(BA46)))</f>
        <v/>
      </c>
      <c r="BF46">
        <f>IF(OR(BA$3="",BA$3&gt;TODAY()),"",IF(AND(BD46="",BE46=""),"",N(BE46)-N(BD46)))</f>
        <v/>
      </c>
      <c r="BJ46">
        <f>IF(OR(BH$3="",BH$3&gt;TODAY()),"",IF(AND(BH46="",BI46=""),"",N(BI46)-N(BH46)))</f>
        <v/>
      </c>
      <c r="BM46">
        <f>IF(OR(BH$3="",BH$3&gt;TODAY()),"",IF(AND(BK46="",BL46=""),"",N(BL46)-N(BK46)))</f>
        <v/>
      </c>
      <c r="BQ46">
        <f>IF(OR(BO$3="",BO$3&gt;TODAY()),"",IF(AND(BO46="",BP46=""),"",N(BP46)-N(BO46)))</f>
        <v/>
      </c>
      <c r="BT46">
        <f>IF(OR(BO$3="",BO$3&gt;TODAY()),"",IF(AND(BR46="",BS46=""),"",N(BS46)-N(BR46)))</f>
        <v/>
      </c>
      <c r="BX46">
        <f>IF(OR(BV$3="",BV$3&gt;TODAY()),"",IF(AND(BV46="",BW46=""),"",N(BW46)-N(BV46)))</f>
        <v/>
      </c>
      <c r="CA46">
        <f>IF(OR(BV$3="",BV$3&gt;TODAY()),"",IF(AND(BY46="",BZ46=""),"",N(BZ46)-N(BY46)))</f>
        <v/>
      </c>
      <c r="CE46">
        <f>IF(OR(CC$3="",CC$3&gt;TODAY()),"",IF(AND(CC46="",CD46=""),"",N(CD46)-N(CC46)))</f>
        <v/>
      </c>
      <c r="CH46">
        <f>IF(OR(CC$3="",CC$3&gt;TODAY()),"",IF(AND(CF46="",CG46=""),"",N(CG46)-N(CF46)))</f>
        <v/>
      </c>
      <c r="CL46">
        <f>IF(OR(CJ$3="",CJ$3&gt;TODAY()),"",IF(AND(CJ46="",CK46=""),"",N(CK46)-N(CJ46)))</f>
        <v/>
      </c>
      <c r="CO46">
        <f>IF(OR(CJ$3="",CJ$3&gt;TODAY()),"",IF(AND(CM46="",CN46=""),"",N(CN46)-N(CM46)))</f>
        <v/>
      </c>
      <c r="CS46">
        <f>IF(OR(CQ$3="",CQ$3&gt;TODAY()),"",IF(AND(CQ46="",CR46=""),"",N(CR46)-N(CQ46)))</f>
        <v/>
      </c>
      <c r="CV46">
        <f>IF(OR(CQ$3="",CQ$3&gt;TODAY()),"",IF(AND(CT46="",CU46=""),"",N(CU46)-N(CT46)))</f>
        <v/>
      </c>
      <c r="CZ46">
        <f>IF(OR(CX$3="",CX$3&gt;TODAY()),"",IF(AND(CX46="",CY46=""),"",N(CY46)-N(CX46)))</f>
        <v/>
      </c>
      <c r="DC46">
        <f>IF(OR(CX$3="",CX$3&gt;TODAY()),"",IF(AND(DA46="",DB46=""),"",N(DB46)-N(DA46)))</f>
        <v/>
      </c>
      <c r="DG46">
        <f>IF(OR(DE$3="",DE$3&gt;TODAY()),"",IF(AND(DE46="",DF46=""),"",N(DF46)-N(DE46)))</f>
        <v/>
      </c>
      <c r="DJ46">
        <f>IF(OR(DE$3="",DE$3&gt;TODAY()),"",IF(AND(DH46="",DI46=""),"",N(DI46)-N(DH46)))</f>
        <v/>
      </c>
      <c r="DN46">
        <f>IF(OR(DL$3="",DL$3&gt;TODAY()),"",IF(AND(DL46="",DM46=""),"",N(DM46)-N(DL46)))</f>
        <v/>
      </c>
      <c r="DQ46">
        <f>IF(OR(DL$3="",DL$3&gt;TODAY()),"",IF(AND(DO46="",DP46=""),"",N(DP46)-N(DO46)))</f>
        <v/>
      </c>
      <c r="DU46">
        <f>IF(OR(DS$3="",DS$3&gt;TODAY()),"",IF(AND(DS46="",DT46=""),"",N(DT46)-N(DS46)))</f>
        <v/>
      </c>
      <c r="DX46">
        <f>IF(OR(DS$3="",DS$3&gt;TODAY()),"",IF(AND(DV46="",DW46=""),"",N(DW46)-N(DV46)))</f>
        <v/>
      </c>
      <c r="EB46">
        <f>IF(OR(DZ$3="",DZ$3&gt;TODAY()),"",IF(AND(DZ46="",EA46=""),"",N(EA46)-N(DZ46)))</f>
        <v/>
      </c>
      <c r="EE46">
        <f>IF(OR(DZ$3="",DZ$3&gt;TODAY()),"",IF(AND(EC46="",ED46=""),"",N(ED46)-N(EC46)))</f>
        <v/>
      </c>
      <c r="EI46">
        <f>IF(OR(EG$3="",EG$3&gt;TODAY()),"",IF(AND(EG46="",EH46=""),"",N(EH46)-N(EG46)))</f>
        <v/>
      </c>
      <c r="EL46">
        <f>IF(OR(EG$3="",EG$3&gt;TODAY()),"",IF(AND(EJ46="",EK46=""),"",N(EK46)-N(EJ46)))</f>
        <v/>
      </c>
      <c r="EP46">
        <f>IF(OR(EN$3="",EN$3&gt;TODAY()),"",IF(AND(EN46="",EO46=""),"",N(EO46)-N(EN46)))</f>
        <v/>
      </c>
      <c r="ES46">
        <f>IF(OR(EN$3="",EN$3&gt;TODAY()),"",IF(AND(EQ46="",ER46=""),"",N(ER46)-N(EQ46)))</f>
        <v/>
      </c>
      <c r="EW46">
        <f>IF(OR(EU$3="",EU$3&gt;TODAY()),"",IF(AND(EU46="",EV46=""),"",N(EV46)-N(EU46)))</f>
        <v/>
      </c>
      <c r="EZ46">
        <f>IF(OR(EU$3="",EU$3&gt;TODAY()),"",IF(AND(EX46="",EY46=""),"",N(EY46)-N(EX46)))</f>
        <v/>
      </c>
      <c r="FD46">
        <f>IF(OR(FB$3="",FB$3&gt;TODAY()),"",IF(AND(FB46="",FC46=""),"",N(FC46)-N(FB46)))</f>
        <v/>
      </c>
      <c r="FG46">
        <f>IF(OR(FB$3="",FB$3&gt;TODAY()),"",IF(AND(FE46="",FF46=""),"",N(FF46)-N(FE46)))</f>
        <v/>
      </c>
      <c r="FK46">
        <f>IF(OR(FI$3="",FI$3&gt;TODAY()),"",IF(AND(FI46="",FJ46=""),"",N(FJ46)-N(FI46)))</f>
        <v/>
      </c>
      <c r="FN46">
        <f>IF(OR(FI$3="",FI$3&gt;TODAY()),"",IF(AND(FL46="",FM46=""),"",N(FM46)-N(FL46)))</f>
        <v/>
      </c>
      <c r="FR46">
        <f>IF(OR(FP$3="",FP$3&gt;TODAY()),"",IF(AND(FP46="",FQ46=""),"",N(FQ46)-N(FP46)))</f>
        <v/>
      </c>
      <c r="FU46">
        <f>IF(OR(FP$3="",FP$3&gt;TODAY()),"",IF(AND(FS46="",FT46=""),"",N(FT46)-N(FS46)))</f>
        <v/>
      </c>
      <c r="FY46">
        <f>IF(OR(FW$3="",FW$3&gt;TODAY()),"",IF(AND(FW46="",FX46=""),"",N(FX46)-N(FW46)))</f>
        <v/>
      </c>
      <c r="GB46">
        <f>IF(OR(FW$3="",FW$3&gt;TODAY()),"",IF(AND(FZ46="",GA46=""),"",N(GA46)-N(FZ46)))</f>
        <v/>
      </c>
      <c r="GF46">
        <f>IF(OR(GD$3="",GD$3&gt;TODAY()),"",IF(AND(GD46="",GE46=""),"",N(GE46)-N(GD46)))</f>
        <v/>
      </c>
      <c r="GI46">
        <f>IF(OR(GD$3="",GD$3&gt;TODAY()),"",IF(AND(GG46="",GH46=""),"",N(GH46)-N(GG46)))</f>
        <v/>
      </c>
      <c r="GM46">
        <f>IF(OR(GK$3="",GK$3&gt;TODAY()),"",IF(AND(GK46="",GL46=""),"",N(GL46)-N(GK46)))</f>
        <v/>
      </c>
      <c r="GP46">
        <f>IF(OR(GK$3="",GK$3&gt;TODAY()),"",IF(AND(GN46="",GO46=""),"",N(GO46)-N(GN46)))</f>
        <v/>
      </c>
      <c r="GT46">
        <f>IF(OR(GR$3="",GR$3&gt;TODAY()),"",IF(AND(GR46="",GS46=""),"",N(GS46)-N(GR46)))</f>
        <v/>
      </c>
      <c r="GW46">
        <f>IF(OR(GR$3="",GR$3&gt;TODAY()),"",IF(AND(GU46="",GV46=""),"",N(GV46)-N(GU46)))</f>
        <v/>
      </c>
      <c r="HA46">
        <f>IF(OR(GY$3="",GY$3&gt;TODAY()),"",IF(AND(GY46="",GZ46=""),"",N(GZ46)-N(GY46)))</f>
        <v/>
      </c>
      <c r="HD46">
        <f>IF(OR(GY$3="",GY$3&gt;TODAY()),"",IF(AND(HB46="",HC46=""),"",N(HC46)-N(HB46)))</f>
        <v/>
      </c>
      <c r="HH46">
        <f>IF(OR(HF$3="",HF$3&gt;TODAY()),"",IF(AND(HF46="",HG46=""),"",N(HG46)-N(HF46)))</f>
        <v/>
      </c>
      <c r="HK46">
        <f>IF(OR(HF$3="",HF$3&gt;TODAY()),"",IF(AND(HI46="",HJ46=""),"",N(HJ46)-N(HI46)))</f>
        <v/>
      </c>
      <c r="HO46">
        <f>IF(OR(HM$3="",HM$3&gt;TODAY()),"",IF(AND(HM46="",HN46=""),"",N(HN46)-N(HM46)))</f>
        <v/>
      </c>
      <c r="HR46">
        <f>IF(OR(HM$3="",HM$3&gt;TODAY()),"",IF(AND(HP46="",HQ46=""),"",N(HQ46)-N(HP46)))</f>
        <v/>
      </c>
      <c r="HV46">
        <f>IF(OR(HT$3="",HT$3&gt;TODAY()),"",IF(AND(HT46="",HU46=""),"",N(HU46)-N(HT46)))</f>
        <v/>
      </c>
      <c r="HY46">
        <f>IF(OR(HT$3="",HT$3&gt;TODAY()),"",IF(AND(HW46="",HX46=""),"",N(HX46)-N(HW46)))</f>
        <v/>
      </c>
      <c r="IC46">
        <f>IF(OR(IA$3="",IA$3&gt;TODAY()),"",IF(AND(IA46="",IB46=""),"",N(IB46)-N(IA46)))</f>
        <v/>
      </c>
      <c r="IF46">
        <f>IF(OR(IA$3="",IA$3&gt;TODAY()),"",IF(AND(ID46="",IE46=""),"",N(IE46)-N(ID46)))</f>
        <v/>
      </c>
      <c r="IJ46">
        <f>IF(OR(IH$3="",IH$3&gt;TODAY()),"",IF(AND(IH46="",II46=""),"",N(II46)-N(IH46)))</f>
        <v/>
      </c>
      <c r="IM46">
        <f>IF(OR(IH$3="",IH$3&gt;TODAY()),"",IF(AND(IK46="",IL46=""),"",N(IL46)-N(IK46)))</f>
        <v/>
      </c>
    </row>
    <row r="47">
      <c r="A47" s="21" t="n"/>
      <c r="B47" s="21" t="n"/>
      <c r="C47" s="21" t="n"/>
      <c r="D47" s="21" t="n"/>
      <c r="E47" s="21" t="n"/>
      <c r="F47" s="21" t="n"/>
      <c r="G47" s="21" t="n"/>
      <c r="H47" s="21" t="n"/>
      <c r="I47" s="22" t="n"/>
      <c r="J47" s="22" t="n"/>
      <c r="K47" s="23" t="n"/>
      <c r="L47" s="22" t="n"/>
      <c r="M47" s="22" t="n"/>
      <c r="N47" s="21" t="n"/>
      <c r="O47" s="23" t="n"/>
      <c r="P47" s="23" t="n"/>
      <c r="Q47" s="23" t="n"/>
      <c r="R47" s="23" t="n"/>
      <c r="S47" s="22" t="n"/>
      <c r="T47" s="23" t="n"/>
      <c r="U47" s="23" t="n"/>
      <c r="V47" s="24">
        <f>IF(J47&lt;&gt;"",J47,IF(I47&lt;&gt;"",I47,""))</f>
        <v/>
      </c>
      <c r="W47" s="25">
        <f>IF($E47="","",N(O47)+SUMIFS($AF47:$IN47,$AF$4:$IN$4,"SEW_ACT"))</f>
        <v/>
      </c>
      <c r="X47" s="25">
        <f>IF($E47="","",N(P47)+SUMIFS($AF47:$IN47,$AF$4:$IN$4,"WASH_ACT"))</f>
        <v/>
      </c>
      <c r="Y47" s="25">
        <f>IF($E47="","",W47-X47-N(T47)-N(U47))</f>
        <v/>
      </c>
      <c r="Z47" s="25">
        <f>IF($E47="","",IF(N(K47)-X47&lt;=0.02*N(K47),0,N(K47)-X47))</f>
        <v/>
      </c>
      <c r="AA47" s="24">
        <f>IF($E47="","",IF(S47&lt;&gt;"",S47,IF(N(O47)&gt;0,IF(L47&lt;&gt;"",L47,99999),IFERROR(1/(1/_xlfn.MINIFS($AF$3:$IN$3,$AF$4:$IN$4,"SEW_ACT",$AF47:$IN47,"&gt;0")),99999))))</f>
        <v/>
      </c>
      <c r="AB47" s="26">
        <f>IF(OR($E47="",Z47=0,V47=""),"",1+COUNTIFS(Z$8:Z$707,"&gt;0",V$8:V$707,"&lt;"&amp;V47)+COUNTIFS(Z$8:Z$707,"&gt;0",V$8:V$707,V47,AA$8:AA$707,"&lt;"&amp;AA47)+COUNTIFS(Z$8:Z$707,"&gt;0",V$8:V$707,V47,AA$8:AA$707,AA47,E$8:E$707,"&lt;"&amp;$E47))</f>
        <v/>
      </c>
      <c r="AC47" s="24">
        <f>IF(OR($E47="",Z47=0),"",IFERROR(TODAY()+ROUNDUP(Z47/(SUMIFS($AF47:$IN47,$AF$4:$IN$4,"WASH_ACT")/COUNTIFS($AF$4:$IN$4,"WASH_ACT",$AF47:$IN47,"&gt;0")),0),"no output yet"))</f>
        <v/>
      </c>
      <c r="AD47" s="26">
        <f>IF($E47="","",IFERROR(ROUND(MAX(0,SUMIFS($AF47:$IN47,$AF$4:$IN$4,"SEW_PLAN",$AF$3:$IN$3,"&lt;="&amp;TODAY())-SUMIFS($AF47:$IN47,$AF$4:$IN$4,"SEW_ACT",$AF$3:$IN$3,"&lt;="&amp;TODAY())+N(Q47))/(SUMIFS($AF47:$IN47,$AF$4:$IN$4,"SEW_PLAN")/COUNTIFS($AF$4:$IN$4,"SEW_PLAN",$AF47:$IN47,"&gt;0")),1),0))</f>
        <v/>
      </c>
      <c r="AE47" s="26">
        <f>IF($E47="","",IF(AND(Z47&gt;0,OR(AND(M47&lt;&gt;"",TODAY()&gt;M47),AND(V47&lt;&gt;"",V47-TODAY()&lt;=7))),"Yes","No"))</f>
        <v/>
      </c>
      <c r="AH47">
        <f>IF(OR(AF$3="",AF$3&gt;TODAY()),"",IF(AND(AF47="",AG47=""),"",N(AG47)-N(AF47)))</f>
        <v/>
      </c>
      <c r="AK47">
        <f>IF(OR(AF$3="",AF$3&gt;TODAY()),"",IF(AND(AI47="",AJ47=""),"",N(AJ47)-N(AI47)))</f>
        <v/>
      </c>
      <c r="AO47">
        <f>IF(OR(AM$3="",AM$3&gt;TODAY()),"",IF(AND(AM47="",AN47=""),"",N(AN47)-N(AM47)))</f>
        <v/>
      </c>
      <c r="AR47">
        <f>IF(OR(AM$3="",AM$3&gt;TODAY()),"",IF(AND(AP47="",AQ47=""),"",N(AQ47)-N(AP47)))</f>
        <v/>
      </c>
      <c r="AV47">
        <f>IF(OR(AT$3="",AT$3&gt;TODAY()),"",IF(AND(AT47="",AU47=""),"",N(AU47)-N(AT47)))</f>
        <v/>
      </c>
      <c r="AY47">
        <f>IF(OR(AT$3="",AT$3&gt;TODAY()),"",IF(AND(AW47="",AX47=""),"",N(AX47)-N(AW47)))</f>
        <v/>
      </c>
      <c r="BC47">
        <f>IF(OR(BA$3="",BA$3&gt;TODAY()),"",IF(AND(BA47="",BB47=""),"",N(BB47)-N(BA47)))</f>
        <v/>
      </c>
      <c r="BF47">
        <f>IF(OR(BA$3="",BA$3&gt;TODAY()),"",IF(AND(BD47="",BE47=""),"",N(BE47)-N(BD47)))</f>
        <v/>
      </c>
      <c r="BJ47">
        <f>IF(OR(BH$3="",BH$3&gt;TODAY()),"",IF(AND(BH47="",BI47=""),"",N(BI47)-N(BH47)))</f>
        <v/>
      </c>
      <c r="BM47">
        <f>IF(OR(BH$3="",BH$3&gt;TODAY()),"",IF(AND(BK47="",BL47=""),"",N(BL47)-N(BK47)))</f>
        <v/>
      </c>
      <c r="BQ47">
        <f>IF(OR(BO$3="",BO$3&gt;TODAY()),"",IF(AND(BO47="",BP47=""),"",N(BP47)-N(BO47)))</f>
        <v/>
      </c>
      <c r="BT47">
        <f>IF(OR(BO$3="",BO$3&gt;TODAY()),"",IF(AND(BR47="",BS47=""),"",N(BS47)-N(BR47)))</f>
        <v/>
      </c>
      <c r="BX47">
        <f>IF(OR(BV$3="",BV$3&gt;TODAY()),"",IF(AND(BV47="",BW47=""),"",N(BW47)-N(BV47)))</f>
        <v/>
      </c>
      <c r="CA47">
        <f>IF(OR(BV$3="",BV$3&gt;TODAY()),"",IF(AND(BY47="",BZ47=""),"",N(BZ47)-N(BY47)))</f>
        <v/>
      </c>
      <c r="CE47">
        <f>IF(OR(CC$3="",CC$3&gt;TODAY()),"",IF(AND(CC47="",CD47=""),"",N(CD47)-N(CC47)))</f>
        <v/>
      </c>
      <c r="CH47">
        <f>IF(OR(CC$3="",CC$3&gt;TODAY()),"",IF(AND(CF47="",CG47=""),"",N(CG47)-N(CF47)))</f>
        <v/>
      </c>
      <c r="CL47">
        <f>IF(OR(CJ$3="",CJ$3&gt;TODAY()),"",IF(AND(CJ47="",CK47=""),"",N(CK47)-N(CJ47)))</f>
        <v/>
      </c>
      <c r="CO47">
        <f>IF(OR(CJ$3="",CJ$3&gt;TODAY()),"",IF(AND(CM47="",CN47=""),"",N(CN47)-N(CM47)))</f>
        <v/>
      </c>
      <c r="CS47">
        <f>IF(OR(CQ$3="",CQ$3&gt;TODAY()),"",IF(AND(CQ47="",CR47=""),"",N(CR47)-N(CQ47)))</f>
        <v/>
      </c>
      <c r="CV47">
        <f>IF(OR(CQ$3="",CQ$3&gt;TODAY()),"",IF(AND(CT47="",CU47=""),"",N(CU47)-N(CT47)))</f>
        <v/>
      </c>
      <c r="CZ47">
        <f>IF(OR(CX$3="",CX$3&gt;TODAY()),"",IF(AND(CX47="",CY47=""),"",N(CY47)-N(CX47)))</f>
        <v/>
      </c>
      <c r="DC47">
        <f>IF(OR(CX$3="",CX$3&gt;TODAY()),"",IF(AND(DA47="",DB47=""),"",N(DB47)-N(DA47)))</f>
        <v/>
      </c>
      <c r="DG47">
        <f>IF(OR(DE$3="",DE$3&gt;TODAY()),"",IF(AND(DE47="",DF47=""),"",N(DF47)-N(DE47)))</f>
        <v/>
      </c>
      <c r="DJ47">
        <f>IF(OR(DE$3="",DE$3&gt;TODAY()),"",IF(AND(DH47="",DI47=""),"",N(DI47)-N(DH47)))</f>
        <v/>
      </c>
      <c r="DN47">
        <f>IF(OR(DL$3="",DL$3&gt;TODAY()),"",IF(AND(DL47="",DM47=""),"",N(DM47)-N(DL47)))</f>
        <v/>
      </c>
      <c r="DQ47">
        <f>IF(OR(DL$3="",DL$3&gt;TODAY()),"",IF(AND(DO47="",DP47=""),"",N(DP47)-N(DO47)))</f>
        <v/>
      </c>
      <c r="DU47">
        <f>IF(OR(DS$3="",DS$3&gt;TODAY()),"",IF(AND(DS47="",DT47=""),"",N(DT47)-N(DS47)))</f>
        <v/>
      </c>
      <c r="DX47">
        <f>IF(OR(DS$3="",DS$3&gt;TODAY()),"",IF(AND(DV47="",DW47=""),"",N(DW47)-N(DV47)))</f>
        <v/>
      </c>
      <c r="EB47">
        <f>IF(OR(DZ$3="",DZ$3&gt;TODAY()),"",IF(AND(DZ47="",EA47=""),"",N(EA47)-N(DZ47)))</f>
        <v/>
      </c>
      <c r="EE47">
        <f>IF(OR(DZ$3="",DZ$3&gt;TODAY()),"",IF(AND(EC47="",ED47=""),"",N(ED47)-N(EC47)))</f>
        <v/>
      </c>
      <c r="EI47">
        <f>IF(OR(EG$3="",EG$3&gt;TODAY()),"",IF(AND(EG47="",EH47=""),"",N(EH47)-N(EG47)))</f>
        <v/>
      </c>
      <c r="EL47">
        <f>IF(OR(EG$3="",EG$3&gt;TODAY()),"",IF(AND(EJ47="",EK47=""),"",N(EK47)-N(EJ47)))</f>
        <v/>
      </c>
      <c r="EP47">
        <f>IF(OR(EN$3="",EN$3&gt;TODAY()),"",IF(AND(EN47="",EO47=""),"",N(EO47)-N(EN47)))</f>
        <v/>
      </c>
      <c r="ES47">
        <f>IF(OR(EN$3="",EN$3&gt;TODAY()),"",IF(AND(EQ47="",ER47=""),"",N(ER47)-N(EQ47)))</f>
        <v/>
      </c>
      <c r="EW47">
        <f>IF(OR(EU$3="",EU$3&gt;TODAY()),"",IF(AND(EU47="",EV47=""),"",N(EV47)-N(EU47)))</f>
        <v/>
      </c>
      <c r="EZ47">
        <f>IF(OR(EU$3="",EU$3&gt;TODAY()),"",IF(AND(EX47="",EY47=""),"",N(EY47)-N(EX47)))</f>
        <v/>
      </c>
      <c r="FD47">
        <f>IF(OR(FB$3="",FB$3&gt;TODAY()),"",IF(AND(FB47="",FC47=""),"",N(FC47)-N(FB47)))</f>
        <v/>
      </c>
      <c r="FG47">
        <f>IF(OR(FB$3="",FB$3&gt;TODAY()),"",IF(AND(FE47="",FF47=""),"",N(FF47)-N(FE47)))</f>
        <v/>
      </c>
      <c r="FK47">
        <f>IF(OR(FI$3="",FI$3&gt;TODAY()),"",IF(AND(FI47="",FJ47=""),"",N(FJ47)-N(FI47)))</f>
        <v/>
      </c>
      <c r="FN47">
        <f>IF(OR(FI$3="",FI$3&gt;TODAY()),"",IF(AND(FL47="",FM47=""),"",N(FM47)-N(FL47)))</f>
        <v/>
      </c>
      <c r="FR47">
        <f>IF(OR(FP$3="",FP$3&gt;TODAY()),"",IF(AND(FP47="",FQ47=""),"",N(FQ47)-N(FP47)))</f>
        <v/>
      </c>
      <c r="FU47">
        <f>IF(OR(FP$3="",FP$3&gt;TODAY()),"",IF(AND(FS47="",FT47=""),"",N(FT47)-N(FS47)))</f>
        <v/>
      </c>
      <c r="FY47">
        <f>IF(OR(FW$3="",FW$3&gt;TODAY()),"",IF(AND(FW47="",FX47=""),"",N(FX47)-N(FW47)))</f>
        <v/>
      </c>
      <c r="GB47">
        <f>IF(OR(FW$3="",FW$3&gt;TODAY()),"",IF(AND(FZ47="",GA47=""),"",N(GA47)-N(FZ47)))</f>
        <v/>
      </c>
      <c r="GF47">
        <f>IF(OR(GD$3="",GD$3&gt;TODAY()),"",IF(AND(GD47="",GE47=""),"",N(GE47)-N(GD47)))</f>
        <v/>
      </c>
      <c r="GI47">
        <f>IF(OR(GD$3="",GD$3&gt;TODAY()),"",IF(AND(GG47="",GH47=""),"",N(GH47)-N(GG47)))</f>
        <v/>
      </c>
      <c r="GM47">
        <f>IF(OR(GK$3="",GK$3&gt;TODAY()),"",IF(AND(GK47="",GL47=""),"",N(GL47)-N(GK47)))</f>
        <v/>
      </c>
      <c r="GP47">
        <f>IF(OR(GK$3="",GK$3&gt;TODAY()),"",IF(AND(GN47="",GO47=""),"",N(GO47)-N(GN47)))</f>
        <v/>
      </c>
      <c r="GT47">
        <f>IF(OR(GR$3="",GR$3&gt;TODAY()),"",IF(AND(GR47="",GS47=""),"",N(GS47)-N(GR47)))</f>
        <v/>
      </c>
      <c r="GW47">
        <f>IF(OR(GR$3="",GR$3&gt;TODAY()),"",IF(AND(GU47="",GV47=""),"",N(GV47)-N(GU47)))</f>
        <v/>
      </c>
      <c r="HA47">
        <f>IF(OR(GY$3="",GY$3&gt;TODAY()),"",IF(AND(GY47="",GZ47=""),"",N(GZ47)-N(GY47)))</f>
        <v/>
      </c>
      <c r="HD47">
        <f>IF(OR(GY$3="",GY$3&gt;TODAY()),"",IF(AND(HB47="",HC47=""),"",N(HC47)-N(HB47)))</f>
        <v/>
      </c>
      <c r="HH47">
        <f>IF(OR(HF$3="",HF$3&gt;TODAY()),"",IF(AND(HF47="",HG47=""),"",N(HG47)-N(HF47)))</f>
        <v/>
      </c>
      <c r="HK47">
        <f>IF(OR(HF$3="",HF$3&gt;TODAY()),"",IF(AND(HI47="",HJ47=""),"",N(HJ47)-N(HI47)))</f>
        <v/>
      </c>
      <c r="HO47">
        <f>IF(OR(HM$3="",HM$3&gt;TODAY()),"",IF(AND(HM47="",HN47=""),"",N(HN47)-N(HM47)))</f>
        <v/>
      </c>
      <c r="HR47">
        <f>IF(OR(HM$3="",HM$3&gt;TODAY()),"",IF(AND(HP47="",HQ47=""),"",N(HQ47)-N(HP47)))</f>
        <v/>
      </c>
      <c r="HV47">
        <f>IF(OR(HT$3="",HT$3&gt;TODAY()),"",IF(AND(HT47="",HU47=""),"",N(HU47)-N(HT47)))</f>
        <v/>
      </c>
      <c r="HY47">
        <f>IF(OR(HT$3="",HT$3&gt;TODAY()),"",IF(AND(HW47="",HX47=""),"",N(HX47)-N(HW47)))</f>
        <v/>
      </c>
      <c r="IC47">
        <f>IF(OR(IA$3="",IA$3&gt;TODAY()),"",IF(AND(IA47="",IB47=""),"",N(IB47)-N(IA47)))</f>
        <v/>
      </c>
      <c r="IF47">
        <f>IF(OR(IA$3="",IA$3&gt;TODAY()),"",IF(AND(ID47="",IE47=""),"",N(IE47)-N(ID47)))</f>
        <v/>
      </c>
      <c r="IJ47">
        <f>IF(OR(IH$3="",IH$3&gt;TODAY()),"",IF(AND(IH47="",II47=""),"",N(II47)-N(IH47)))</f>
        <v/>
      </c>
      <c r="IM47">
        <f>IF(OR(IH$3="",IH$3&gt;TODAY()),"",IF(AND(IK47="",IL47=""),"",N(IL47)-N(IK47)))</f>
        <v/>
      </c>
    </row>
    <row r="48">
      <c r="A48" s="21" t="n"/>
      <c r="B48" s="21" t="n"/>
      <c r="C48" s="21" t="n"/>
      <c r="D48" s="21" t="n"/>
      <c r="E48" s="21" t="n"/>
      <c r="F48" s="21" t="n"/>
      <c r="G48" s="21" t="n"/>
      <c r="H48" s="21" t="n"/>
      <c r="I48" s="22" t="n"/>
      <c r="J48" s="22" t="n"/>
      <c r="K48" s="23" t="n"/>
      <c r="L48" s="22" t="n"/>
      <c r="M48" s="22" t="n"/>
      <c r="N48" s="21" t="n"/>
      <c r="O48" s="23" t="n"/>
      <c r="P48" s="23" t="n"/>
      <c r="Q48" s="23" t="n"/>
      <c r="R48" s="23" t="n"/>
      <c r="S48" s="22" t="n"/>
      <c r="T48" s="23" t="n"/>
      <c r="U48" s="23" t="n"/>
      <c r="V48" s="24">
        <f>IF(J48&lt;&gt;"",J48,IF(I48&lt;&gt;"",I48,""))</f>
        <v/>
      </c>
      <c r="W48" s="25">
        <f>IF($E48="","",N(O48)+SUMIFS($AF48:$IN48,$AF$4:$IN$4,"SEW_ACT"))</f>
        <v/>
      </c>
      <c r="X48" s="25">
        <f>IF($E48="","",N(P48)+SUMIFS($AF48:$IN48,$AF$4:$IN$4,"WASH_ACT"))</f>
        <v/>
      </c>
      <c r="Y48" s="25">
        <f>IF($E48="","",W48-X48-N(T48)-N(U48))</f>
        <v/>
      </c>
      <c r="Z48" s="25">
        <f>IF($E48="","",IF(N(K48)-X48&lt;=0.02*N(K48),0,N(K48)-X48))</f>
        <v/>
      </c>
      <c r="AA48" s="24">
        <f>IF($E48="","",IF(S48&lt;&gt;"",S48,IF(N(O48)&gt;0,IF(L48&lt;&gt;"",L48,99999),IFERROR(1/(1/_xlfn.MINIFS($AF$3:$IN$3,$AF$4:$IN$4,"SEW_ACT",$AF48:$IN48,"&gt;0")),99999))))</f>
        <v/>
      </c>
      <c r="AB48" s="26">
        <f>IF(OR($E48="",Z48=0,V48=""),"",1+COUNTIFS(Z$8:Z$707,"&gt;0",V$8:V$707,"&lt;"&amp;V48)+COUNTIFS(Z$8:Z$707,"&gt;0",V$8:V$707,V48,AA$8:AA$707,"&lt;"&amp;AA48)+COUNTIFS(Z$8:Z$707,"&gt;0",V$8:V$707,V48,AA$8:AA$707,AA48,E$8:E$707,"&lt;"&amp;$E48))</f>
        <v/>
      </c>
      <c r="AC48" s="24">
        <f>IF(OR($E48="",Z48=0),"",IFERROR(TODAY()+ROUNDUP(Z48/(SUMIFS($AF48:$IN48,$AF$4:$IN$4,"WASH_ACT")/COUNTIFS($AF$4:$IN$4,"WASH_ACT",$AF48:$IN48,"&gt;0")),0),"no output yet"))</f>
        <v/>
      </c>
      <c r="AD48" s="26">
        <f>IF($E48="","",IFERROR(ROUND(MAX(0,SUMIFS($AF48:$IN48,$AF$4:$IN$4,"SEW_PLAN",$AF$3:$IN$3,"&lt;="&amp;TODAY())-SUMIFS($AF48:$IN48,$AF$4:$IN$4,"SEW_ACT",$AF$3:$IN$3,"&lt;="&amp;TODAY())+N(Q48))/(SUMIFS($AF48:$IN48,$AF$4:$IN$4,"SEW_PLAN")/COUNTIFS($AF$4:$IN$4,"SEW_PLAN",$AF48:$IN48,"&gt;0")),1),0))</f>
        <v/>
      </c>
      <c r="AE48" s="26">
        <f>IF($E48="","",IF(AND(Z48&gt;0,OR(AND(M48&lt;&gt;"",TODAY()&gt;M48),AND(V48&lt;&gt;"",V48-TODAY()&lt;=7))),"Yes","No"))</f>
        <v/>
      </c>
      <c r="AH48">
        <f>IF(OR(AF$3="",AF$3&gt;TODAY()),"",IF(AND(AF48="",AG48=""),"",N(AG48)-N(AF48)))</f>
        <v/>
      </c>
      <c r="AK48">
        <f>IF(OR(AF$3="",AF$3&gt;TODAY()),"",IF(AND(AI48="",AJ48=""),"",N(AJ48)-N(AI48)))</f>
        <v/>
      </c>
      <c r="AO48">
        <f>IF(OR(AM$3="",AM$3&gt;TODAY()),"",IF(AND(AM48="",AN48=""),"",N(AN48)-N(AM48)))</f>
        <v/>
      </c>
      <c r="AR48">
        <f>IF(OR(AM$3="",AM$3&gt;TODAY()),"",IF(AND(AP48="",AQ48=""),"",N(AQ48)-N(AP48)))</f>
        <v/>
      </c>
      <c r="AV48">
        <f>IF(OR(AT$3="",AT$3&gt;TODAY()),"",IF(AND(AT48="",AU48=""),"",N(AU48)-N(AT48)))</f>
        <v/>
      </c>
      <c r="AY48">
        <f>IF(OR(AT$3="",AT$3&gt;TODAY()),"",IF(AND(AW48="",AX48=""),"",N(AX48)-N(AW48)))</f>
        <v/>
      </c>
      <c r="BC48">
        <f>IF(OR(BA$3="",BA$3&gt;TODAY()),"",IF(AND(BA48="",BB48=""),"",N(BB48)-N(BA48)))</f>
        <v/>
      </c>
      <c r="BF48">
        <f>IF(OR(BA$3="",BA$3&gt;TODAY()),"",IF(AND(BD48="",BE48=""),"",N(BE48)-N(BD48)))</f>
        <v/>
      </c>
      <c r="BJ48">
        <f>IF(OR(BH$3="",BH$3&gt;TODAY()),"",IF(AND(BH48="",BI48=""),"",N(BI48)-N(BH48)))</f>
        <v/>
      </c>
      <c r="BM48">
        <f>IF(OR(BH$3="",BH$3&gt;TODAY()),"",IF(AND(BK48="",BL48=""),"",N(BL48)-N(BK48)))</f>
        <v/>
      </c>
      <c r="BQ48">
        <f>IF(OR(BO$3="",BO$3&gt;TODAY()),"",IF(AND(BO48="",BP48=""),"",N(BP48)-N(BO48)))</f>
        <v/>
      </c>
      <c r="BT48">
        <f>IF(OR(BO$3="",BO$3&gt;TODAY()),"",IF(AND(BR48="",BS48=""),"",N(BS48)-N(BR48)))</f>
        <v/>
      </c>
      <c r="BX48">
        <f>IF(OR(BV$3="",BV$3&gt;TODAY()),"",IF(AND(BV48="",BW48=""),"",N(BW48)-N(BV48)))</f>
        <v/>
      </c>
      <c r="CA48">
        <f>IF(OR(BV$3="",BV$3&gt;TODAY()),"",IF(AND(BY48="",BZ48=""),"",N(BZ48)-N(BY48)))</f>
        <v/>
      </c>
      <c r="CE48">
        <f>IF(OR(CC$3="",CC$3&gt;TODAY()),"",IF(AND(CC48="",CD48=""),"",N(CD48)-N(CC48)))</f>
        <v/>
      </c>
      <c r="CH48">
        <f>IF(OR(CC$3="",CC$3&gt;TODAY()),"",IF(AND(CF48="",CG48=""),"",N(CG48)-N(CF48)))</f>
        <v/>
      </c>
      <c r="CL48">
        <f>IF(OR(CJ$3="",CJ$3&gt;TODAY()),"",IF(AND(CJ48="",CK48=""),"",N(CK48)-N(CJ48)))</f>
        <v/>
      </c>
      <c r="CO48">
        <f>IF(OR(CJ$3="",CJ$3&gt;TODAY()),"",IF(AND(CM48="",CN48=""),"",N(CN48)-N(CM48)))</f>
        <v/>
      </c>
      <c r="CS48">
        <f>IF(OR(CQ$3="",CQ$3&gt;TODAY()),"",IF(AND(CQ48="",CR48=""),"",N(CR48)-N(CQ48)))</f>
        <v/>
      </c>
      <c r="CV48">
        <f>IF(OR(CQ$3="",CQ$3&gt;TODAY()),"",IF(AND(CT48="",CU48=""),"",N(CU48)-N(CT48)))</f>
        <v/>
      </c>
      <c r="CZ48">
        <f>IF(OR(CX$3="",CX$3&gt;TODAY()),"",IF(AND(CX48="",CY48=""),"",N(CY48)-N(CX48)))</f>
        <v/>
      </c>
      <c r="DC48">
        <f>IF(OR(CX$3="",CX$3&gt;TODAY()),"",IF(AND(DA48="",DB48=""),"",N(DB48)-N(DA48)))</f>
        <v/>
      </c>
      <c r="DG48">
        <f>IF(OR(DE$3="",DE$3&gt;TODAY()),"",IF(AND(DE48="",DF48=""),"",N(DF48)-N(DE48)))</f>
        <v/>
      </c>
      <c r="DJ48">
        <f>IF(OR(DE$3="",DE$3&gt;TODAY()),"",IF(AND(DH48="",DI48=""),"",N(DI48)-N(DH48)))</f>
        <v/>
      </c>
      <c r="DN48">
        <f>IF(OR(DL$3="",DL$3&gt;TODAY()),"",IF(AND(DL48="",DM48=""),"",N(DM48)-N(DL48)))</f>
        <v/>
      </c>
      <c r="DQ48">
        <f>IF(OR(DL$3="",DL$3&gt;TODAY()),"",IF(AND(DO48="",DP48=""),"",N(DP48)-N(DO48)))</f>
        <v/>
      </c>
      <c r="DU48">
        <f>IF(OR(DS$3="",DS$3&gt;TODAY()),"",IF(AND(DS48="",DT48=""),"",N(DT48)-N(DS48)))</f>
        <v/>
      </c>
      <c r="DX48">
        <f>IF(OR(DS$3="",DS$3&gt;TODAY()),"",IF(AND(DV48="",DW48=""),"",N(DW48)-N(DV48)))</f>
        <v/>
      </c>
      <c r="EB48">
        <f>IF(OR(DZ$3="",DZ$3&gt;TODAY()),"",IF(AND(DZ48="",EA48=""),"",N(EA48)-N(DZ48)))</f>
        <v/>
      </c>
      <c r="EE48">
        <f>IF(OR(DZ$3="",DZ$3&gt;TODAY()),"",IF(AND(EC48="",ED48=""),"",N(ED48)-N(EC48)))</f>
        <v/>
      </c>
      <c r="EI48">
        <f>IF(OR(EG$3="",EG$3&gt;TODAY()),"",IF(AND(EG48="",EH48=""),"",N(EH48)-N(EG48)))</f>
        <v/>
      </c>
      <c r="EL48">
        <f>IF(OR(EG$3="",EG$3&gt;TODAY()),"",IF(AND(EJ48="",EK48=""),"",N(EK48)-N(EJ48)))</f>
        <v/>
      </c>
      <c r="EP48">
        <f>IF(OR(EN$3="",EN$3&gt;TODAY()),"",IF(AND(EN48="",EO48=""),"",N(EO48)-N(EN48)))</f>
        <v/>
      </c>
      <c r="ES48">
        <f>IF(OR(EN$3="",EN$3&gt;TODAY()),"",IF(AND(EQ48="",ER48=""),"",N(ER48)-N(EQ48)))</f>
        <v/>
      </c>
      <c r="EW48">
        <f>IF(OR(EU$3="",EU$3&gt;TODAY()),"",IF(AND(EU48="",EV48=""),"",N(EV48)-N(EU48)))</f>
        <v/>
      </c>
      <c r="EZ48">
        <f>IF(OR(EU$3="",EU$3&gt;TODAY()),"",IF(AND(EX48="",EY48=""),"",N(EY48)-N(EX48)))</f>
        <v/>
      </c>
      <c r="FD48">
        <f>IF(OR(FB$3="",FB$3&gt;TODAY()),"",IF(AND(FB48="",FC48=""),"",N(FC48)-N(FB48)))</f>
        <v/>
      </c>
      <c r="FG48">
        <f>IF(OR(FB$3="",FB$3&gt;TODAY()),"",IF(AND(FE48="",FF48=""),"",N(FF48)-N(FE48)))</f>
        <v/>
      </c>
      <c r="FK48">
        <f>IF(OR(FI$3="",FI$3&gt;TODAY()),"",IF(AND(FI48="",FJ48=""),"",N(FJ48)-N(FI48)))</f>
        <v/>
      </c>
      <c r="FN48">
        <f>IF(OR(FI$3="",FI$3&gt;TODAY()),"",IF(AND(FL48="",FM48=""),"",N(FM48)-N(FL48)))</f>
        <v/>
      </c>
      <c r="FR48">
        <f>IF(OR(FP$3="",FP$3&gt;TODAY()),"",IF(AND(FP48="",FQ48=""),"",N(FQ48)-N(FP48)))</f>
        <v/>
      </c>
      <c r="FU48">
        <f>IF(OR(FP$3="",FP$3&gt;TODAY()),"",IF(AND(FS48="",FT48=""),"",N(FT48)-N(FS48)))</f>
        <v/>
      </c>
      <c r="FY48">
        <f>IF(OR(FW$3="",FW$3&gt;TODAY()),"",IF(AND(FW48="",FX48=""),"",N(FX48)-N(FW48)))</f>
        <v/>
      </c>
      <c r="GB48">
        <f>IF(OR(FW$3="",FW$3&gt;TODAY()),"",IF(AND(FZ48="",GA48=""),"",N(GA48)-N(FZ48)))</f>
        <v/>
      </c>
      <c r="GF48">
        <f>IF(OR(GD$3="",GD$3&gt;TODAY()),"",IF(AND(GD48="",GE48=""),"",N(GE48)-N(GD48)))</f>
        <v/>
      </c>
      <c r="GI48">
        <f>IF(OR(GD$3="",GD$3&gt;TODAY()),"",IF(AND(GG48="",GH48=""),"",N(GH48)-N(GG48)))</f>
        <v/>
      </c>
      <c r="GM48">
        <f>IF(OR(GK$3="",GK$3&gt;TODAY()),"",IF(AND(GK48="",GL48=""),"",N(GL48)-N(GK48)))</f>
        <v/>
      </c>
      <c r="GP48">
        <f>IF(OR(GK$3="",GK$3&gt;TODAY()),"",IF(AND(GN48="",GO48=""),"",N(GO48)-N(GN48)))</f>
        <v/>
      </c>
      <c r="GT48">
        <f>IF(OR(GR$3="",GR$3&gt;TODAY()),"",IF(AND(GR48="",GS48=""),"",N(GS48)-N(GR48)))</f>
        <v/>
      </c>
      <c r="GW48">
        <f>IF(OR(GR$3="",GR$3&gt;TODAY()),"",IF(AND(GU48="",GV48=""),"",N(GV48)-N(GU48)))</f>
        <v/>
      </c>
      <c r="HA48">
        <f>IF(OR(GY$3="",GY$3&gt;TODAY()),"",IF(AND(GY48="",GZ48=""),"",N(GZ48)-N(GY48)))</f>
        <v/>
      </c>
      <c r="HD48">
        <f>IF(OR(GY$3="",GY$3&gt;TODAY()),"",IF(AND(HB48="",HC48=""),"",N(HC48)-N(HB48)))</f>
        <v/>
      </c>
      <c r="HH48">
        <f>IF(OR(HF$3="",HF$3&gt;TODAY()),"",IF(AND(HF48="",HG48=""),"",N(HG48)-N(HF48)))</f>
        <v/>
      </c>
      <c r="HK48">
        <f>IF(OR(HF$3="",HF$3&gt;TODAY()),"",IF(AND(HI48="",HJ48=""),"",N(HJ48)-N(HI48)))</f>
        <v/>
      </c>
      <c r="HO48">
        <f>IF(OR(HM$3="",HM$3&gt;TODAY()),"",IF(AND(HM48="",HN48=""),"",N(HN48)-N(HM48)))</f>
        <v/>
      </c>
      <c r="HR48">
        <f>IF(OR(HM$3="",HM$3&gt;TODAY()),"",IF(AND(HP48="",HQ48=""),"",N(HQ48)-N(HP48)))</f>
        <v/>
      </c>
      <c r="HV48">
        <f>IF(OR(HT$3="",HT$3&gt;TODAY()),"",IF(AND(HT48="",HU48=""),"",N(HU48)-N(HT48)))</f>
        <v/>
      </c>
      <c r="HY48">
        <f>IF(OR(HT$3="",HT$3&gt;TODAY()),"",IF(AND(HW48="",HX48=""),"",N(HX48)-N(HW48)))</f>
        <v/>
      </c>
      <c r="IC48">
        <f>IF(OR(IA$3="",IA$3&gt;TODAY()),"",IF(AND(IA48="",IB48=""),"",N(IB48)-N(IA48)))</f>
        <v/>
      </c>
      <c r="IF48">
        <f>IF(OR(IA$3="",IA$3&gt;TODAY()),"",IF(AND(ID48="",IE48=""),"",N(IE48)-N(ID48)))</f>
        <v/>
      </c>
      <c r="IJ48">
        <f>IF(OR(IH$3="",IH$3&gt;TODAY()),"",IF(AND(IH48="",II48=""),"",N(II48)-N(IH48)))</f>
        <v/>
      </c>
      <c r="IM48">
        <f>IF(OR(IH$3="",IH$3&gt;TODAY()),"",IF(AND(IK48="",IL48=""),"",N(IL48)-N(IK48)))</f>
        <v/>
      </c>
    </row>
    <row r="49">
      <c r="A49" s="21" t="n"/>
      <c r="B49" s="21" t="n"/>
      <c r="C49" s="21" t="n"/>
      <c r="D49" s="21" t="n"/>
      <c r="E49" s="21" t="n"/>
      <c r="F49" s="21" t="n"/>
      <c r="G49" s="21" t="n"/>
      <c r="H49" s="21" t="n"/>
      <c r="I49" s="22" t="n"/>
      <c r="J49" s="22" t="n"/>
      <c r="K49" s="23" t="n"/>
      <c r="L49" s="22" t="n"/>
      <c r="M49" s="22" t="n"/>
      <c r="N49" s="21" t="n"/>
      <c r="O49" s="23" t="n"/>
      <c r="P49" s="23" t="n"/>
      <c r="Q49" s="23" t="n"/>
      <c r="R49" s="23" t="n"/>
      <c r="S49" s="22" t="n"/>
      <c r="T49" s="23" t="n"/>
      <c r="U49" s="23" t="n"/>
      <c r="V49" s="24">
        <f>IF(J49&lt;&gt;"",J49,IF(I49&lt;&gt;"",I49,""))</f>
        <v/>
      </c>
      <c r="W49" s="25">
        <f>IF($E49="","",N(O49)+SUMIFS($AF49:$IN49,$AF$4:$IN$4,"SEW_ACT"))</f>
        <v/>
      </c>
      <c r="X49" s="25">
        <f>IF($E49="","",N(P49)+SUMIFS($AF49:$IN49,$AF$4:$IN$4,"WASH_ACT"))</f>
        <v/>
      </c>
      <c r="Y49" s="25">
        <f>IF($E49="","",W49-X49-N(T49)-N(U49))</f>
        <v/>
      </c>
      <c r="Z49" s="25">
        <f>IF($E49="","",IF(N(K49)-X49&lt;=0.02*N(K49),0,N(K49)-X49))</f>
        <v/>
      </c>
      <c r="AA49" s="24">
        <f>IF($E49="","",IF(S49&lt;&gt;"",S49,IF(N(O49)&gt;0,IF(L49&lt;&gt;"",L49,99999),IFERROR(1/(1/_xlfn.MINIFS($AF$3:$IN$3,$AF$4:$IN$4,"SEW_ACT",$AF49:$IN49,"&gt;0")),99999))))</f>
        <v/>
      </c>
      <c r="AB49" s="26">
        <f>IF(OR($E49="",Z49=0,V49=""),"",1+COUNTIFS(Z$8:Z$707,"&gt;0",V$8:V$707,"&lt;"&amp;V49)+COUNTIFS(Z$8:Z$707,"&gt;0",V$8:V$707,V49,AA$8:AA$707,"&lt;"&amp;AA49)+COUNTIFS(Z$8:Z$707,"&gt;0",V$8:V$707,V49,AA$8:AA$707,AA49,E$8:E$707,"&lt;"&amp;$E49))</f>
        <v/>
      </c>
      <c r="AC49" s="24">
        <f>IF(OR($E49="",Z49=0),"",IFERROR(TODAY()+ROUNDUP(Z49/(SUMIFS($AF49:$IN49,$AF$4:$IN$4,"WASH_ACT")/COUNTIFS($AF$4:$IN$4,"WASH_ACT",$AF49:$IN49,"&gt;0")),0),"no output yet"))</f>
        <v/>
      </c>
      <c r="AD49" s="26">
        <f>IF($E49="","",IFERROR(ROUND(MAX(0,SUMIFS($AF49:$IN49,$AF$4:$IN$4,"SEW_PLAN",$AF$3:$IN$3,"&lt;="&amp;TODAY())-SUMIFS($AF49:$IN49,$AF$4:$IN$4,"SEW_ACT",$AF$3:$IN$3,"&lt;="&amp;TODAY())+N(Q49))/(SUMIFS($AF49:$IN49,$AF$4:$IN$4,"SEW_PLAN")/COUNTIFS($AF$4:$IN$4,"SEW_PLAN",$AF49:$IN49,"&gt;0")),1),0))</f>
        <v/>
      </c>
      <c r="AE49" s="26">
        <f>IF($E49="","",IF(AND(Z49&gt;0,OR(AND(M49&lt;&gt;"",TODAY()&gt;M49),AND(V49&lt;&gt;"",V49-TODAY()&lt;=7))),"Yes","No"))</f>
        <v/>
      </c>
      <c r="AH49">
        <f>IF(OR(AF$3="",AF$3&gt;TODAY()),"",IF(AND(AF49="",AG49=""),"",N(AG49)-N(AF49)))</f>
        <v/>
      </c>
      <c r="AK49">
        <f>IF(OR(AF$3="",AF$3&gt;TODAY()),"",IF(AND(AI49="",AJ49=""),"",N(AJ49)-N(AI49)))</f>
        <v/>
      </c>
      <c r="AO49">
        <f>IF(OR(AM$3="",AM$3&gt;TODAY()),"",IF(AND(AM49="",AN49=""),"",N(AN49)-N(AM49)))</f>
        <v/>
      </c>
      <c r="AR49">
        <f>IF(OR(AM$3="",AM$3&gt;TODAY()),"",IF(AND(AP49="",AQ49=""),"",N(AQ49)-N(AP49)))</f>
        <v/>
      </c>
      <c r="AV49">
        <f>IF(OR(AT$3="",AT$3&gt;TODAY()),"",IF(AND(AT49="",AU49=""),"",N(AU49)-N(AT49)))</f>
        <v/>
      </c>
      <c r="AY49">
        <f>IF(OR(AT$3="",AT$3&gt;TODAY()),"",IF(AND(AW49="",AX49=""),"",N(AX49)-N(AW49)))</f>
        <v/>
      </c>
      <c r="BC49">
        <f>IF(OR(BA$3="",BA$3&gt;TODAY()),"",IF(AND(BA49="",BB49=""),"",N(BB49)-N(BA49)))</f>
        <v/>
      </c>
      <c r="BF49">
        <f>IF(OR(BA$3="",BA$3&gt;TODAY()),"",IF(AND(BD49="",BE49=""),"",N(BE49)-N(BD49)))</f>
        <v/>
      </c>
      <c r="BJ49">
        <f>IF(OR(BH$3="",BH$3&gt;TODAY()),"",IF(AND(BH49="",BI49=""),"",N(BI49)-N(BH49)))</f>
        <v/>
      </c>
      <c r="BM49">
        <f>IF(OR(BH$3="",BH$3&gt;TODAY()),"",IF(AND(BK49="",BL49=""),"",N(BL49)-N(BK49)))</f>
        <v/>
      </c>
      <c r="BQ49">
        <f>IF(OR(BO$3="",BO$3&gt;TODAY()),"",IF(AND(BO49="",BP49=""),"",N(BP49)-N(BO49)))</f>
        <v/>
      </c>
      <c r="BT49">
        <f>IF(OR(BO$3="",BO$3&gt;TODAY()),"",IF(AND(BR49="",BS49=""),"",N(BS49)-N(BR49)))</f>
        <v/>
      </c>
      <c r="BX49">
        <f>IF(OR(BV$3="",BV$3&gt;TODAY()),"",IF(AND(BV49="",BW49=""),"",N(BW49)-N(BV49)))</f>
        <v/>
      </c>
      <c r="CA49">
        <f>IF(OR(BV$3="",BV$3&gt;TODAY()),"",IF(AND(BY49="",BZ49=""),"",N(BZ49)-N(BY49)))</f>
        <v/>
      </c>
      <c r="CE49">
        <f>IF(OR(CC$3="",CC$3&gt;TODAY()),"",IF(AND(CC49="",CD49=""),"",N(CD49)-N(CC49)))</f>
        <v/>
      </c>
      <c r="CH49">
        <f>IF(OR(CC$3="",CC$3&gt;TODAY()),"",IF(AND(CF49="",CG49=""),"",N(CG49)-N(CF49)))</f>
        <v/>
      </c>
      <c r="CL49">
        <f>IF(OR(CJ$3="",CJ$3&gt;TODAY()),"",IF(AND(CJ49="",CK49=""),"",N(CK49)-N(CJ49)))</f>
        <v/>
      </c>
      <c r="CO49">
        <f>IF(OR(CJ$3="",CJ$3&gt;TODAY()),"",IF(AND(CM49="",CN49=""),"",N(CN49)-N(CM49)))</f>
        <v/>
      </c>
      <c r="CS49">
        <f>IF(OR(CQ$3="",CQ$3&gt;TODAY()),"",IF(AND(CQ49="",CR49=""),"",N(CR49)-N(CQ49)))</f>
        <v/>
      </c>
      <c r="CV49">
        <f>IF(OR(CQ$3="",CQ$3&gt;TODAY()),"",IF(AND(CT49="",CU49=""),"",N(CU49)-N(CT49)))</f>
        <v/>
      </c>
      <c r="CZ49">
        <f>IF(OR(CX$3="",CX$3&gt;TODAY()),"",IF(AND(CX49="",CY49=""),"",N(CY49)-N(CX49)))</f>
        <v/>
      </c>
      <c r="DC49">
        <f>IF(OR(CX$3="",CX$3&gt;TODAY()),"",IF(AND(DA49="",DB49=""),"",N(DB49)-N(DA49)))</f>
        <v/>
      </c>
      <c r="DG49">
        <f>IF(OR(DE$3="",DE$3&gt;TODAY()),"",IF(AND(DE49="",DF49=""),"",N(DF49)-N(DE49)))</f>
        <v/>
      </c>
      <c r="DJ49">
        <f>IF(OR(DE$3="",DE$3&gt;TODAY()),"",IF(AND(DH49="",DI49=""),"",N(DI49)-N(DH49)))</f>
        <v/>
      </c>
      <c r="DN49">
        <f>IF(OR(DL$3="",DL$3&gt;TODAY()),"",IF(AND(DL49="",DM49=""),"",N(DM49)-N(DL49)))</f>
        <v/>
      </c>
      <c r="DQ49">
        <f>IF(OR(DL$3="",DL$3&gt;TODAY()),"",IF(AND(DO49="",DP49=""),"",N(DP49)-N(DO49)))</f>
        <v/>
      </c>
      <c r="DU49">
        <f>IF(OR(DS$3="",DS$3&gt;TODAY()),"",IF(AND(DS49="",DT49=""),"",N(DT49)-N(DS49)))</f>
        <v/>
      </c>
      <c r="DX49">
        <f>IF(OR(DS$3="",DS$3&gt;TODAY()),"",IF(AND(DV49="",DW49=""),"",N(DW49)-N(DV49)))</f>
        <v/>
      </c>
      <c r="EB49">
        <f>IF(OR(DZ$3="",DZ$3&gt;TODAY()),"",IF(AND(DZ49="",EA49=""),"",N(EA49)-N(DZ49)))</f>
        <v/>
      </c>
      <c r="EE49">
        <f>IF(OR(DZ$3="",DZ$3&gt;TODAY()),"",IF(AND(EC49="",ED49=""),"",N(ED49)-N(EC49)))</f>
        <v/>
      </c>
      <c r="EI49">
        <f>IF(OR(EG$3="",EG$3&gt;TODAY()),"",IF(AND(EG49="",EH49=""),"",N(EH49)-N(EG49)))</f>
        <v/>
      </c>
      <c r="EL49">
        <f>IF(OR(EG$3="",EG$3&gt;TODAY()),"",IF(AND(EJ49="",EK49=""),"",N(EK49)-N(EJ49)))</f>
        <v/>
      </c>
      <c r="EP49">
        <f>IF(OR(EN$3="",EN$3&gt;TODAY()),"",IF(AND(EN49="",EO49=""),"",N(EO49)-N(EN49)))</f>
        <v/>
      </c>
      <c r="ES49">
        <f>IF(OR(EN$3="",EN$3&gt;TODAY()),"",IF(AND(EQ49="",ER49=""),"",N(ER49)-N(EQ49)))</f>
        <v/>
      </c>
      <c r="EW49">
        <f>IF(OR(EU$3="",EU$3&gt;TODAY()),"",IF(AND(EU49="",EV49=""),"",N(EV49)-N(EU49)))</f>
        <v/>
      </c>
      <c r="EZ49">
        <f>IF(OR(EU$3="",EU$3&gt;TODAY()),"",IF(AND(EX49="",EY49=""),"",N(EY49)-N(EX49)))</f>
        <v/>
      </c>
      <c r="FD49">
        <f>IF(OR(FB$3="",FB$3&gt;TODAY()),"",IF(AND(FB49="",FC49=""),"",N(FC49)-N(FB49)))</f>
        <v/>
      </c>
      <c r="FG49">
        <f>IF(OR(FB$3="",FB$3&gt;TODAY()),"",IF(AND(FE49="",FF49=""),"",N(FF49)-N(FE49)))</f>
        <v/>
      </c>
      <c r="FK49">
        <f>IF(OR(FI$3="",FI$3&gt;TODAY()),"",IF(AND(FI49="",FJ49=""),"",N(FJ49)-N(FI49)))</f>
        <v/>
      </c>
      <c r="FN49">
        <f>IF(OR(FI$3="",FI$3&gt;TODAY()),"",IF(AND(FL49="",FM49=""),"",N(FM49)-N(FL49)))</f>
        <v/>
      </c>
      <c r="FR49">
        <f>IF(OR(FP$3="",FP$3&gt;TODAY()),"",IF(AND(FP49="",FQ49=""),"",N(FQ49)-N(FP49)))</f>
        <v/>
      </c>
      <c r="FU49">
        <f>IF(OR(FP$3="",FP$3&gt;TODAY()),"",IF(AND(FS49="",FT49=""),"",N(FT49)-N(FS49)))</f>
        <v/>
      </c>
      <c r="FY49">
        <f>IF(OR(FW$3="",FW$3&gt;TODAY()),"",IF(AND(FW49="",FX49=""),"",N(FX49)-N(FW49)))</f>
        <v/>
      </c>
      <c r="GB49">
        <f>IF(OR(FW$3="",FW$3&gt;TODAY()),"",IF(AND(FZ49="",GA49=""),"",N(GA49)-N(FZ49)))</f>
        <v/>
      </c>
      <c r="GF49">
        <f>IF(OR(GD$3="",GD$3&gt;TODAY()),"",IF(AND(GD49="",GE49=""),"",N(GE49)-N(GD49)))</f>
        <v/>
      </c>
      <c r="GI49">
        <f>IF(OR(GD$3="",GD$3&gt;TODAY()),"",IF(AND(GG49="",GH49=""),"",N(GH49)-N(GG49)))</f>
        <v/>
      </c>
      <c r="GM49">
        <f>IF(OR(GK$3="",GK$3&gt;TODAY()),"",IF(AND(GK49="",GL49=""),"",N(GL49)-N(GK49)))</f>
        <v/>
      </c>
      <c r="GP49">
        <f>IF(OR(GK$3="",GK$3&gt;TODAY()),"",IF(AND(GN49="",GO49=""),"",N(GO49)-N(GN49)))</f>
        <v/>
      </c>
      <c r="GT49">
        <f>IF(OR(GR$3="",GR$3&gt;TODAY()),"",IF(AND(GR49="",GS49=""),"",N(GS49)-N(GR49)))</f>
        <v/>
      </c>
      <c r="GW49">
        <f>IF(OR(GR$3="",GR$3&gt;TODAY()),"",IF(AND(GU49="",GV49=""),"",N(GV49)-N(GU49)))</f>
        <v/>
      </c>
      <c r="HA49">
        <f>IF(OR(GY$3="",GY$3&gt;TODAY()),"",IF(AND(GY49="",GZ49=""),"",N(GZ49)-N(GY49)))</f>
        <v/>
      </c>
      <c r="HD49">
        <f>IF(OR(GY$3="",GY$3&gt;TODAY()),"",IF(AND(HB49="",HC49=""),"",N(HC49)-N(HB49)))</f>
        <v/>
      </c>
      <c r="HH49">
        <f>IF(OR(HF$3="",HF$3&gt;TODAY()),"",IF(AND(HF49="",HG49=""),"",N(HG49)-N(HF49)))</f>
        <v/>
      </c>
      <c r="HK49">
        <f>IF(OR(HF$3="",HF$3&gt;TODAY()),"",IF(AND(HI49="",HJ49=""),"",N(HJ49)-N(HI49)))</f>
        <v/>
      </c>
      <c r="HO49">
        <f>IF(OR(HM$3="",HM$3&gt;TODAY()),"",IF(AND(HM49="",HN49=""),"",N(HN49)-N(HM49)))</f>
        <v/>
      </c>
      <c r="HR49">
        <f>IF(OR(HM$3="",HM$3&gt;TODAY()),"",IF(AND(HP49="",HQ49=""),"",N(HQ49)-N(HP49)))</f>
        <v/>
      </c>
      <c r="HV49">
        <f>IF(OR(HT$3="",HT$3&gt;TODAY()),"",IF(AND(HT49="",HU49=""),"",N(HU49)-N(HT49)))</f>
        <v/>
      </c>
      <c r="HY49">
        <f>IF(OR(HT$3="",HT$3&gt;TODAY()),"",IF(AND(HW49="",HX49=""),"",N(HX49)-N(HW49)))</f>
        <v/>
      </c>
      <c r="IC49">
        <f>IF(OR(IA$3="",IA$3&gt;TODAY()),"",IF(AND(IA49="",IB49=""),"",N(IB49)-N(IA49)))</f>
        <v/>
      </c>
      <c r="IF49">
        <f>IF(OR(IA$3="",IA$3&gt;TODAY()),"",IF(AND(ID49="",IE49=""),"",N(IE49)-N(ID49)))</f>
        <v/>
      </c>
      <c r="IJ49">
        <f>IF(OR(IH$3="",IH$3&gt;TODAY()),"",IF(AND(IH49="",II49=""),"",N(II49)-N(IH49)))</f>
        <v/>
      </c>
      <c r="IM49">
        <f>IF(OR(IH$3="",IH$3&gt;TODAY()),"",IF(AND(IK49="",IL49=""),"",N(IL49)-N(IK49)))</f>
        <v/>
      </c>
    </row>
    <row r="50">
      <c r="A50" s="21" t="n"/>
      <c r="B50" s="21" t="n"/>
      <c r="C50" s="21" t="n"/>
      <c r="D50" s="21" t="n"/>
      <c r="E50" s="21" t="n"/>
      <c r="F50" s="21" t="n"/>
      <c r="G50" s="21" t="n"/>
      <c r="H50" s="21" t="n"/>
      <c r="I50" s="22" t="n"/>
      <c r="J50" s="22" t="n"/>
      <c r="K50" s="23" t="n"/>
      <c r="L50" s="22" t="n"/>
      <c r="M50" s="22" t="n"/>
      <c r="N50" s="21" t="n"/>
      <c r="O50" s="23" t="n"/>
      <c r="P50" s="23" t="n"/>
      <c r="Q50" s="23" t="n"/>
      <c r="R50" s="23" t="n"/>
      <c r="S50" s="22" t="n"/>
      <c r="T50" s="23" t="n"/>
      <c r="U50" s="23" t="n"/>
      <c r="V50" s="24">
        <f>IF(J50&lt;&gt;"",J50,IF(I50&lt;&gt;"",I50,""))</f>
        <v/>
      </c>
      <c r="W50" s="25">
        <f>IF($E50="","",N(O50)+SUMIFS($AF50:$IN50,$AF$4:$IN$4,"SEW_ACT"))</f>
        <v/>
      </c>
      <c r="X50" s="25">
        <f>IF($E50="","",N(P50)+SUMIFS($AF50:$IN50,$AF$4:$IN$4,"WASH_ACT"))</f>
        <v/>
      </c>
      <c r="Y50" s="25">
        <f>IF($E50="","",W50-X50-N(T50)-N(U50))</f>
        <v/>
      </c>
      <c r="Z50" s="25">
        <f>IF($E50="","",IF(N(K50)-X50&lt;=0.02*N(K50),0,N(K50)-X50))</f>
        <v/>
      </c>
      <c r="AA50" s="24">
        <f>IF($E50="","",IF(S50&lt;&gt;"",S50,IF(N(O50)&gt;0,IF(L50&lt;&gt;"",L50,99999),IFERROR(1/(1/_xlfn.MINIFS($AF$3:$IN$3,$AF$4:$IN$4,"SEW_ACT",$AF50:$IN50,"&gt;0")),99999))))</f>
        <v/>
      </c>
      <c r="AB50" s="26">
        <f>IF(OR($E50="",Z50=0,V50=""),"",1+COUNTIFS(Z$8:Z$707,"&gt;0",V$8:V$707,"&lt;"&amp;V50)+COUNTIFS(Z$8:Z$707,"&gt;0",V$8:V$707,V50,AA$8:AA$707,"&lt;"&amp;AA50)+COUNTIFS(Z$8:Z$707,"&gt;0",V$8:V$707,V50,AA$8:AA$707,AA50,E$8:E$707,"&lt;"&amp;$E50))</f>
        <v/>
      </c>
      <c r="AC50" s="24">
        <f>IF(OR($E50="",Z50=0),"",IFERROR(TODAY()+ROUNDUP(Z50/(SUMIFS($AF50:$IN50,$AF$4:$IN$4,"WASH_ACT")/COUNTIFS($AF$4:$IN$4,"WASH_ACT",$AF50:$IN50,"&gt;0")),0),"no output yet"))</f>
        <v/>
      </c>
      <c r="AD50" s="26">
        <f>IF($E50="","",IFERROR(ROUND(MAX(0,SUMIFS($AF50:$IN50,$AF$4:$IN$4,"SEW_PLAN",$AF$3:$IN$3,"&lt;="&amp;TODAY())-SUMIFS($AF50:$IN50,$AF$4:$IN$4,"SEW_ACT",$AF$3:$IN$3,"&lt;="&amp;TODAY())+N(Q50))/(SUMIFS($AF50:$IN50,$AF$4:$IN$4,"SEW_PLAN")/COUNTIFS($AF$4:$IN$4,"SEW_PLAN",$AF50:$IN50,"&gt;0")),1),0))</f>
        <v/>
      </c>
      <c r="AE50" s="26">
        <f>IF($E50="","",IF(AND(Z50&gt;0,OR(AND(M50&lt;&gt;"",TODAY()&gt;M50),AND(V50&lt;&gt;"",V50-TODAY()&lt;=7))),"Yes","No"))</f>
        <v/>
      </c>
      <c r="AH50">
        <f>IF(OR(AF$3="",AF$3&gt;TODAY()),"",IF(AND(AF50="",AG50=""),"",N(AG50)-N(AF50)))</f>
        <v/>
      </c>
      <c r="AK50">
        <f>IF(OR(AF$3="",AF$3&gt;TODAY()),"",IF(AND(AI50="",AJ50=""),"",N(AJ50)-N(AI50)))</f>
        <v/>
      </c>
      <c r="AO50">
        <f>IF(OR(AM$3="",AM$3&gt;TODAY()),"",IF(AND(AM50="",AN50=""),"",N(AN50)-N(AM50)))</f>
        <v/>
      </c>
      <c r="AR50">
        <f>IF(OR(AM$3="",AM$3&gt;TODAY()),"",IF(AND(AP50="",AQ50=""),"",N(AQ50)-N(AP50)))</f>
        <v/>
      </c>
      <c r="AV50">
        <f>IF(OR(AT$3="",AT$3&gt;TODAY()),"",IF(AND(AT50="",AU50=""),"",N(AU50)-N(AT50)))</f>
        <v/>
      </c>
      <c r="AY50">
        <f>IF(OR(AT$3="",AT$3&gt;TODAY()),"",IF(AND(AW50="",AX50=""),"",N(AX50)-N(AW50)))</f>
        <v/>
      </c>
      <c r="BC50">
        <f>IF(OR(BA$3="",BA$3&gt;TODAY()),"",IF(AND(BA50="",BB50=""),"",N(BB50)-N(BA50)))</f>
        <v/>
      </c>
      <c r="BF50">
        <f>IF(OR(BA$3="",BA$3&gt;TODAY()),"",IF(AND(BD50="",BE50=""),"",N(BE50)-N(BD50)))</f>
        <v/>
      </c>
      <c r="BJ50">
        <f>IF(OR(BH$3="",BH$3&gt;TODAY()),"",IF(AND(BH50="",BI50=""),"",N(BI50)-N(BH50)))</f>
        <v/>
      </c>
      <c r="BM50">
        <f>IF(OR(BH$3="",BH$3&gt;TODAY()),"",IF(AND(BK50="",BL50=""),"",N(BL50)-N(BK50)))</f>
        <v/>
      </c>
      <c r="BQ50">
        <f>IF(OR(BO$3="",BO$3&gt;TODAY()),"",IF(AND(BO50="",BP50=""),"",N(BP50)-N(BO50)))</f>
        <v/>
      </c>
      <c r="BT50">
        <f>IF(OR(BO$3="",BO$3&gt;TODAY()),"",IF(AND(BR50="",BS50=""),"",N(BS50)-N(BR50)))</f>
        <v/>
      </c>
      <c r="BX50">
        <f>IF(OR(BV$3="",BV$3&gt;TODAY()),"",IF(AND(BV50="",BW50=""),"",N(BW50)-N(BV50)))</f>
        <v/>
      </c>
      <c r="CA50">
        <f>IF(OR(BV$3="",BV$3&gt;TODAY()),"",IF(AND(BY50="",BZ50=""),"",N(BZ50)-N(BY50)))</f>
        <v/>
      </c>
      <c r="CE50">
        <f>IF(OR(CC$3="",CC$3&gt;TODAY()),"",IF(AND(CC50="",CD50=""),"",N(CD50)-N(CC50)))</f>
        <v/>
      </c>
      <c r="CH50">
        <f>IF(OR(CC$3="",CC$3&gt;TODAY()),"",IF(AND(CF50="",CG50=""),"",N(CG50)-N(CF50)))</f>
        <v/>
      </c>
      <c r="CL50">
        <f>IF(OR(CJ$3="",CJ$3&gt;TODAY()),"",IF(AND(CJ50="",CK50=""),"",N(CK50)-N(CJ50)))</f>
        <v/>
      </c>
      <c r="CO50">
        <f>IF(OR(CJ$3="",CJ$3&gt;TODAY()),"",IF(AND(CM50="",CN50=""),"",N(CN50)-N(CM50)))</f>
        <v/>
      </c>
      <c r="CS50">
        <f>IF(OR(CQ$3="",CQ$3&gt;TODAY()),"",IF(AND(CQ50="",CR50=""),"",N(CR50)-N(CQ50)))</f>
        <v/>
      </c>
      <c r="CV50">
        <f>IF(OR(CQ$3="",CQ$3&gt;TODAY()),"",IF(AND(CT50="",CU50=""),"",N(CU50)-N(CT50)))</f>
        <v/>
      </c>
      <c r="CZ50">
        <f>IF(OR(CX$3="",CX$3&gt;TODAY()),"",IF(AND(CX50="",CY50=""),"",N(CY50)-N(CX50)))</f>
        <v/>
      </c>
      <c r="DC50">
        <f>IF(OR(CX$3="",CX$3&gt;TODAY()),"",IF(AND(DA50="",DB50=""),"",N(DB50)-N(DA50)))</f>
        <v/>
      </c>
      <c r="DG50">
        <f>IF(OR(DE$3="",DE$3&gt;TODAY()),"",IF(AND(DE50="",DF50=""),"",N(DF50)-N(DE50)))</f>
        <v/>
      </c>
      <c r="DJ50">
        <f>IF(OR(DE$3="",DE$3&gt;TODAY()),"",IF(AND(DH50="",DI50=""),"",N(DI50)-N(DH50)))</f>
        <v/>
      </c>
      <c r="DN50">
        <f>IF(OR(DL$3="",DL$3&gt;TODAY()),"",IF(AND(DL50="",DM50=""),"",N(DM50)-N(DL50)))</f>
        <v/>
      </c>
      <c r="DQ50">
        <f>IF(OR(DL$3="",DL$3&gt;TODAY()),"",IF(AND(DO50="",DP50=""),"",N(DP50)-N(DO50)))</f>
        <v/>
      </c>
      <c r="DU50">
        <f>IF(OR(DS$3="",DS$3&gt;TODAY()),"",IF(AND(DS50="",DT50=""),"",N(DT50)-N(DS50)))</f>
        <v/>
      </c>
      <c r="DX50">
        <f>IF(OR(DS$3="",DS$3&gt;TODAY()),"",IF(AND(DV50="",DW50=""),"",N(DW50)-N(DV50)))</f>
        <v/>
      </c>
      <c r="EB50">
        <f>IF(OR(DZ$3="",DZ$3&gt;TODAY()),"",IF(AND(DZ50="",EA50=""),"",N(EA50)-N(DZ50)))</f>
        <v/>
      </c>
      <c r="EE50">
        <f>IF(OR(DZ$3="",DZ$3&gt;TODAY()),"",IF(AND(EC50="",ED50=""),"",N(ED50)-N(EC50)))</f>
        <v/>
      </c>
      <c r="EI50">
        <f>IF(OR(EG$3="",EG$3&gt;TODAY()),"",IF(AND(EG50="",EH50=""),"",N(EH50)-N(EG50)))</f>
        <v/>
      </c>
      <c r="EL50">
        <f>IF(OR(EG$3="",EG$3&gt;TODAY()),"",IF(AND(EJ50="",EK50=""),"",N(EK50)-N(EJ50)))</f>
        <v/>
      </c>
      <c r="EP50">
        <f>IF(OR(EN$3="",EN$3&gt;TODAY()),"",IF(AND(EN50="",EO50=""),"",N(EO50)-N(EN50)))</f>
        <v/>
      </c>
      <c r="ES50">
        <f>IF(OR(EN$3="",EN$3&gt;TODAY()),"",IF(AND(EQ50="",ER50=""),"",N(ER50)-N(EQ50)))</f>
        <v/>
      </c>
      <c r="EW50">
        <f>IF(OR(EU$3="",EU$3&gt;TODAY()),"",IF(AND(EU50="",EV50=""),"",N(EV50)-N(EU50)))</f>
        <v/>
      </c>
      <c r="EZ50">
        <f>IF(OR(EU$3="",EU$3&gt;TODAY()),"",IF(AND(EX50="",EY50=""),"",N(EY50)-N(EX50)))</f>
        <v/>
      </c>
      <c r="FD50">
        <f>IF(OR(FB$3="",FB$3&gt;TODAY()),"",IF(AND(FB50="",FC50=""),"",N(FC50)-N(FB50)))</f>
        <v/>
      </c>
      <c r="FG50">
        <f>IF(OR(FB$3="",FB$3&gt;TODAY()),"",IF(AND(FE50="",FF50=""),"",N(FF50)-N(FE50)))</f>
        <v/>
      </c>
      <c r="FK50">
        <f>IF(OR(FI$3="",FI$3&gt;TODAY()),"",IF(AND(FI50="",FJ50=""),"",N(FJ50)-N(FI50)))</f>
        <v/>
      </c>
      <c r="FN50">
        <f>IF(OR(FI$3="",FI$3&gt;TODAY()),"",IF(AND(FL50="",FM50=""),"",N(FM50)-N(FL50)))</f>
        <v/>
      </c>
      <c r="FR50">
        <f>IF(OR(FP$3="",FP$3&gt;TODAY()),"",IF(AND(FP50="",FQ50=""),"",N(FQ50)-N(FP50)))</f>
        <v/>
      </c>
      <c r="FU50">
        <f>IF(OR(FP$3="",FP$3&gt;TODAY()),"",IF(AND(FS50="",FT50=""),"",N(FT50)-N(FS50)))</f>
        <v/>
      </c>
      <c r="FY50">
        <f>IF(OR(FW$3="",FW$3&gt;TODAY()),"",IF(AND(FW50="",FX50=""),"",N(FX50)-N(FW50)))</f>
        <v/>
      </c>
      <c r="GB50">
        <f>IF(OR(FW$3="",FW$3&gt;TODAY()),"",IF(AND(FZ50="",GA50=""),"",N(GA50)-N(FZ50)))</f>
        <v/>
      </c>
      <c r="GF50">
        <f>IF(OR(GD$3="",GD$3&gt;TODAY()),"",IF(AND(GD50="",GE50=""),"",N(GE50)-N(GD50)))</f>
        <v/>
      </c>
      <c r="GI50">
        <f>IF(OR(GD$3="",GD$3&gt;TODAY()),"",IF(AND(GG50="",GH50=""),"",N(GH50)-N(GG50)))</f>
        <v/>
      </c>
      <c r="GM50">
        <f>IF(OR(GK$3="",GK$3&gt;TODAY()),"",IF(AND(GK50="",GL50=""),"",N(GL50)-N(GK50)))</f>
        <v/>
      </c>
      <c r="GP50">
        <f>IF(OR(GK$3="",GK$3&gt;TODAY()),"",IF(AND(GN50="",GO50=""),"",N(GO50)-N(GN50)))</f>
        <v/>
      </c>
      <c r="GT50">
        <f>IF(OR(GR$3="",GR$3&gt;TODAY()),"",IF(AND(GR50="",GS50=""),"",N(GS50)-N(GR50)))</f>
        <v/>
      </c>
      <c r="GW50">
        <f>IF(OR(GR$3="",GR$3&gt;TODAY()),"",IF(AND(GU50="",GV50=""),"",N(GV50)-N(GU50)))</f>
        <v/>
      </c>
      <c r="HA50">
        <f>IF(OR(GY$3="",GY$3&gt;TODAY()),"",IF(AND(GY50="",GZ50=""),"",N(GZ50)-N(GY50)))</f>
        <v/>
      </c>
      <c r="HD50">
        <f>IF(OR(GY$3="",GY$3&gt;TODAY()),"",IF(AND(HB50="",HC50=""),"",N(HC50)-N(HB50)))</f>
        <v/>
      </c>
      <c r="HH50">
        <f>IF(OR(HF$3="",HF$3&gt;TODAY()),"",IF(AND(HF50="",HG50=""),"",N(HG50)-N(HF50)))</f>
        <v/>
      </c>
      <c r="HK50">
        <f>IF(OR(HF$3="",HF$3&gt;TODAY()),"",IF(AND(HI50="",HJ50=""),"",N(HJ50)-N(HI50)))</f>
        <v/>
      </c>
      <c r="HO50">
        <f>IF(OR(HM$3="",HM$3&gt;TODAY()),"",IF(AND(HM50="",HN50=""),"",N(HN50)-N(HM50)))</f>
        <v/>
      </c>
      <c r="HR50">
        <f>IF(OR(HM$3="",HM$3&gt;TODAY()),"",IF(AND(HP50="",HQ50=""),"",N(HQ50)-N(HP50)))</f>
        <v/>
      </c>
      <c r="HV50">
        <f>IF(OR(HT$3="",HT$3&gt;TODAY()),"",IF(AND(HT50="",HU50=""),"",N(HU50)-N(HT50)))</f>
        <v/>
      </c>
      <c r="HY50">
        <f>IF(OR(HT$3="",HT$3&gt;TODAY()),"",IF(AND(HW50="",HX50=""),"",N(HX50)-N(HW50)))</f>
        <v/>
      </c>
      <c r="IC50">
        <f>IF(OR(IA$3="",IA$3&gt;TODAY()),"",IF(AND(IA50="",IB50=""),"",N(IB50)-N(IA50)))</f>
        <v/>
      </c>
      <c r="IF50">
        <f>IF(OR(IA$3="",IA$3&gt;TODAY()),"",IF(AND(ID50="",IE50=""),"",N(IE50)-N(ID50)))</f>
        <v/>
      </c>
      <c r="IJ50">
        <f>IF(OR(IH$3="",IH$3&gt;TODAY()),"",IF(AND(IH50="",II50=""),"",N(II50)-N(IH50)))</f>
        <v/>
      </c>
      <c r="IM50">
        <f>IF(OR(IH$3="",IH$3&gt;TODAY()),"",IF(AND(IK50="",IL50=""),"",N(IL50)-N(IK50)))</f>
        <v/>
      </c>
    </row>
    <row r="51">
      <c r="A51" s="21" t="n"/>
      <c r="B51" s="21" t="n"/>
      <c r="C51" s="21" t="n"/>
      <c r="D51" s="21" t="n"/>
      <c r="E51" s="21" t="n"/>
      <c r="F51" s="21" t="n"/>
      <c r="G51" s="21" t="n"/>
      <c r="H51" s="21" t="n"/>
      <c r="I51" s="22" t="n"/>
      <c r="J51" s="22" t="n"/>
      <c r="K51" s="23" t="n"/>
      <c r="L51" s="22" t="n"/>
      <c r="M51" s="22" t="n"/>
      <c r="N51" s="21" t="n"/>
      <c r="O51" s="23" t="n"/>
      <c r="P51" s="23" t="n"/>
      <c r="Q51" s="23" t="n"/>
      <c r="R51" s="23" t="n"/>
      <c r="S51" s="22" t="n"/>
      <c r="T51" s="23" t="n"/>
      <c r="U51" s="23" t="n"/>
      <c r="V51" s="24">
        <f>IF(J51&lt;&gt;"",J51,IF(I51&lt;&gt;"",I51,""))</f>
        <v/>
      </c>
      <c r="W51" s="25">
        <f>IF($E51="","",N(O51)+SUMIFS($AF51:$IN51,$AF$4:$IN$4,"SEW_ACT"))</f>
        <v/>
      </c>
      <c r="X51" s="25">
        <f>IF($E51="","",N(P51)+SUMIFS($AF51:$IN51,$AF$4:$IN$4,"WASH_ACT"))</f>
        <v/>
      </c>
      <c r="Y51" s="25">
        <f>IF($E51="","",W51-X51-N(T51)-N(U51))</f>
        <v/>
      </c>
      <c r="Z51" s="25">
        <f>IF($E51="","",IF(N(K51)-X51&lt;=0.02*N(K51),0,N(K51)-X51))</f>
        <v/>
      </c>
      <c r="AA51" s="24">
        <f>IF($E51="","",IF(S51&lt;&gt;"",S51,IF(N(O51)&gt;0,IF(L51&lt;&gt;"",L51,99999),IFERROR(1/(1/_xlfn.MINIFS($AF$3:$IN$3,$AF$4:$IN$4,"SEW_ACT",$AF51:$IN51,"&gt;0")),99999))))</f>
        <v/>
      </c>
      <c r="AB51" s="26">
        <f>IF(OR($E51="",Z51=0,V51=""),"",1+COUNTIFS(Z$8:Z$707,"&gt;0",V$8:V$707,"&lt;"&amp;V51)+COUNTIFS(Z$8:Z$707,"&gt;0",V$8:V$707,V51,AA$8:AA$707,"&lt;"&amp;AA51)+COUNTIFS(Z$8:Z$707,"&gt;0",V$8:V$707,V51,AA$8:AA$707,AA51,E$8:E$707,"&lt;"&amp;$E51))</f>
        <v/>
      </c>
      <c r="AC51" s="24">
        <f>IF(OR($E51="",Z51=0),"",IFERROR(TODAY()+ROUNDUP(Z51/(SUMIFS($AF51:$IN51,$AF$4:$IN$4,"WASH_ACT")/COUNTIFS($AF$4:$IN$4,"WASH_ACT",$AF51:$IN51,"&gt;0")),0),"no output yet"))</f>
        <v/>
      </c>
      <c r="AD51" s="26">
        <f>IF($E51="","",IFERROR(ROUND(MAX(0,SUMIFS($AF51:$IN51,$AF$4:$IN$4,"SEW_PLAN",$AF$3:$IN$3,"&lt;="&amp;TODAY())-SUMIFS($AF51:$IN51,$AF$4:$IN$4,"SEW_ACT",$AF$3:$IN$3,"&lt;="&amp;TODAY())+N(Q51))/(SUMIFS($AF51:$IN51,$AF$4:$IN$4,"SEW_PLAN")/COUNTIFS($AF$4:$IN$4,"SEW_PLAN",$AF51:$IN51,"&gt;0")),1),0))</f>
        <v/>
      </c>
      <c r="AE51" s="26">
        <f>IF($E51="","",IF(AND(Z51&gt;0,OR(AND(M51&lt;&gt;"",TODAY()&gt;M51),AND(V51&lt;&gt;"",V51-TODAY()&lt;=7))),"Yes","No"))</f>
        <v/>
      </c>
      <c r="AH51">
        <f>IF(OR(AF$3="",AF$3&gt;TODAY()),"",IF(AND(AF51="",AG51=""),"",N(AG51)-N(AF51)))</f>
        <v/>
      </c>
      <c r="AK51">
        <f>IF(OR(AF$3="",AF$3&gt;TODAY()),"",IF(AND(AI51="",AJ51=""),"",N(AJ51)-N(AI51)))</f>
        <v/>
      </c>
      <c r="AO51">
        <f>IF(OR(AM$3="",AM$3&gt;TODAY()),"",IF(AND(AM51="",AN51=""),"",N(AN51)-N(AM51)))</f>
        <v/>
      </c>
      <c r="AR51">
        <f>IF(OR(AM$3="",AM$3&gt;TODAY()),"",IF(AND(AP51="",AQ51=""),"",N(AQ51)-N(AP51)))</f>
        <v/>
      </c>
      <c r="AV51">
        <f>IF(OR(AT$3="",AT$3&gt;TODAY()),"",IF(AND(AT51="",AU51=""),"",N(AU51)-N(AT51)))</f>
        <v/>
      </c>
      <c r="AY51">
        <f>IF(OR(AT$3="",AT$3&gt;TODAY()),"",IF(AND(AW51="",AX51=""),"",N(AX51)-N(AW51)))</f>
        <v/>
      </c>
      <c r="BC51">
        <f>IF(OR(BA$3="",BA$3&gt;TODAY()),"",IF(AND(BA51="",BB51=""),"",N(BB51)-N(BA51)))</f>
        <v/>
      </c>
      <c r="BF51">
        <f>IF(OR(BA$3="",BA$3&gt;TODAY()),"",IF(AND(BD51="",BE51=""),"",N(BE51)-N(BD51)))</f>
        <v/>
      </c>
      <c r="BJ51">
        <f>IF(OR(BH$3="",BH$3&gt;TODAY()),"",IF(AND(BH51="",BI51=""),"",N(BI51)-N(BH51)))</f>
        <v/>
      </c>
      <c r="BM51">
        <f>IF(OR(BH$3="",BH$3&gt;TODAY()),"",IF(AND(BK51="",BL51=""),"",N(BL51)-N(BK51)))</f>
        <v/>
      </c>
      <c r="BQ51">
        <f>IF(OR(BO$3="",BO$3&gt;TODAY()),"",IF(AND(BO51="",BP51=""),"",N(BP51)-N(BO51)))</f>
        <v/>
      </c>
      <c r="BT51">
        <f>IF(OR(BO$3="",BO$3&gt;TODAY()),"",IF(AND(BR51="",BS51=""),"",N(BS51)-N(BR51)))</f>
        <v/>
      </c>
      <c r="BX51">
        <f>IF(OR(BV$3="",BV$3&gt;TODAY()),"",IF(AND(BV51="",BW51=""),"",N(BW51)-N(BV51)))</f>
        <v/>
      </c>
      <c r="CA51">
        <f>IF(OR(BV$3="",BV$3&gt;TODAY()),"",IF(AND(BY51="",BZ51=""),"",N(BZ51)-N(BY51)))</f>
        <v/>
      </c>
      <c r="CE51">
        <f>IF(OR(CC$3="",CC$3&gt;TODAY()),"",IF(AND(CC51="",CD51=""),"",N(CD51)-N(CC51)))</f>
        <v/>
      </c>
      <c r="CH51">
        <f>IF(OR(CC$3="",CC$3&gt;TODAY()),"",IF(AND(CF51="",CG51=""),"",N(CG51)-N(CF51)))</f>
        <v/>
      </c>
      <c r="CL51">
        <f>IF(OR(CJ$3="",CJ$3&gt;TODAY()),"",IF(AND(CJ51="",CK51=""),"",N(CK51)-N(CJ51)))</f>
        <v/>
      </c>
      <c r="CO51">
        <f>IF(OR(CJ$3="",CJ$3&gt;TODAY()),"",IF(AND(CM51="",CN51=""),"",N(CN51)-N(CM51)))</f>
        <v/>
      </c>
      <c r="CS51">
        <f>IF(OR(CQ$3="",CQ$3&gt;TODAY()),"",IF(AND(CQ51="",CR51=""),"",N(CR51)-N(CQ51)))</f>
        <v/>
      </c>
      <c r="CV51">
        <f>IF(OR(CQ$3="",CQ$3&gt;TODAY()),"",IF(AND(CT51="",CU51=""),"",N(CU51)-N(CT51)))</f>
        <v/>
      </c>
      <c r="CZ51">
        <f>IF(OR(CX$3="",CX$3&gt;TODAY()),"",IF(AND(CX51="",CY51=""),"",N(CY51)-N(CX51)))</f>
        <v/>
      </c>
      <c r="DC51">
        <f>IF(OR(CX$3="",CX$3&gt;TODAY()),"",IF(AND(DA51="",DB51=""),"",N(DB51)-N(DA51)))</f>
        <v/>
      </c>
      <c r="DG51">
        <f>IF(OR(DE$3="",DE$3&gt;TODAY()),"",IF(AND(DE51="",DF51=""),"",N(DF51)-N(DE51)))</f>
        <v/>
      </c>
      <c r="DJ51">
        <f>IF(OR(DE$3="",DE$3&gt;TODAY()),"",IF(AND(DH51="",DI51=""),"",N(DI51)-N(DH51)))</f>
        <v/>
      </c>
      <c r="DN51">
        <f>IF(OR(DL$3="",DL$3&gt;TODAY()),"",IF(AND(DL51="",DM51=""),"",N(DM51)-N(DL51)))</f>
        <v/>
      </c>
      <c r="DQ51">
        <f>IF(OR(DL$3="",DL$3&gt;TODAY()),"",IF(AND(DO51="",DP51=""),"",N(DP51)-N(DO51)))</f>
        <v/>
      </c>
      <c r="DU51">
        <f>IF(OR(DS$3="",DS$3&gt;TODAY()),"",IF(AND(DS51="",DT51=""),"",N(DT51)-N(DS51)))</f>
        <v/>
      </c>
      <c r="DX51">
        <f>IF(OR(DS$3="",DS$3&gt;TODAY()),"",IF(AND(DV51="",DW51=""),"",N(DW51)-N(DV51)))</f>
        <v/>
      </c>
      <c r="EB51">
        <f>IF(OR(DZ$3="",DZ$3&gt;TODAY()),"",IF(AND(DZ51="",EA51=""),"",N(EA51)-N(DZ51)))</f>
        <v/>
      </c>
      <c r="EE51">
        <f>IF(OR(DZ$3="",DZ$3&gt;TODAY()),"",IF(AND(EC51="",ED51=""),"",N(ED51)-N(EC51)))</f>
        <v/>
      </c>
      <c r="EI51">
        <f>IF(OR(EG$3="",EG$3&gt;TODAY()),"",IF(AND(EG51="",EH51=""),"",N(EH51)-N(EG51)))</f>
        <v/>
      </c>
      <c r="EL51">
        <f>IF(OR(EG$3="",EG$3&gt;TODAY()),"",IF(AND(EJ51="",EK51=""),"",N(EK51)-N(EJ51)))</f>
        <v/>
      </c>
      <c r="EP51">
        <f>IF(OR(EN$3="",EN$3&gt;TODAY()),"",IF(AND(EN51="",EO51=""),"",N(EO51)-N(EN51)))</f>
        <v/>
      </c>
      <c r="ES51">
        <f>IF(OR(EN$3="",EN$3&gt;TODAY()),"",IF(AND(EQ51="",ER51=""),"",N(ER51)-N(EQ51)))</f>
        <v/>
      </c>
      <c r="EW51">
        <f>IF(OR(EU$3="",EU$3&gt;TODAY()),"",IF(AND(EU51="",EV51=""),"",N(EV51)-N(EU51)))</f>
        <v/>
      </c>
      <c r="EZ51">
        <f>IF(OR(EU$3="",EU$3&gt;TODAY()),"",IF(AND(EX51="",EY51=""),"",N(EY51)-N(EX51)))</f>
        <v/>
      </c>
      <c r="FD51">
        <f>IF(OR(FB$3="",FB$3&gt;TODAY()),"",IF(AND(FB51="",FC51=""),"",N(FC51)-N(FB51)))</f>
        <v/>
      </c>
      <c r="FG51">
        <f>IF(OR(FB$3="",FB$3&gt;TODAY()),"",IF(AND(FE51="",FF51=""),"",N(FF51)-N(FE51)))</f>
        <v/>
      </c>
      <c r="FK51">
        <f>IF(OR(FI$3="",FI$3&gt;TODAY()),"",IF(AND(FI51="",FJ51=""),"",N(FJ51)-N(FI51)))</f>
        <v/>
      </c>
      <c r="FN51">
        <f>IF(OR(FI$3="",FI$3&gt;TODAY()),"",IF(AND(FL51="",FM51=""),"",N(FM51)-N(FL51)))</f>
        <v/>
      </c>
      <c r="FR51">
        <f>IF(OR(FP$3="",FP$3&gt;TODAY()),"",IF(AND(FP51="",FQ51=""),"",N(FQ51)-N(FP51)))</f>
        <v/>
      </c>
      <c r="FU51">
        <f>IF(OR(FP$3="",FP$3&gt;TODAY()),"",IF(AND(FS51="",FT51=""),"",N(FT51)-N(FS51)))</f>
        <v/>
      </c>
      <c r="FY51">
        <f>IF(OR(FW$3="",FW$3&gt;TODAY()),"",IF(AND(FW51="",FX51=""),"",N(FX51)-N(FW51)))</f>
        <v/>
      </c>
      <c r="GB51">
        <f>IF(OR(FW$3="",FW$3&gt;TODAY()),"",IF(AND(FZ51="",GA51=""),"",N(GA51)-N(FZ51)))</f>
        <v/>
      </c>
      <c r="GF51">
        <f>IF(OR(GD$3="",GD$3&gt;TODAY()),"",IF(AND(GD51="",GE51=""),"",N(GE51)-N(GD51)))</f>
        <v/>
      </c>
      <c r="GI51">
        <f>IF(OR(GD$3="",GD$3&gt;TODAY()),"",IF(AND(GG51="",GH51=""),"",N(GH51)-N(GG51)))</f>
        <v/>
      </c>
      <c r="GM51">
        <f>IF(OR(GK$3="",GK$3&gt;TODAY()),"",IF(AND(GK51="",GL51=""),"",N(GL51)-N(GK51)))</f>
        <v/>
      </c>
      <c r="GP51">
        <f>IF(OR(GK$3="",GK$3&gt;TODAY()),"",IF(AND(GN51="",GO51=""),"",N(GO51)-N(GN51)))</f>
        <v/>
      </c>
      <c r="GT51">
        <f>IF(OR(GR$3="",GR$3&gt;TODAY()),"",IF(AND(GR51="",GS51=""),"",N(GS51)-N(GR51)))</f>
        <v/>
      </c>
      <c r="GW51">
        <f>IF(OR(GR$3="",GR$3&gt;TODAY()),"",IF(AND(GU51="",GV51=""),"",N(GV51)-N(GU51)))</f>
        <v/>
      </c>
      <c r="HA51">
        <f>IF(OR(GY$3="",GY$3&gt;TODAY()),"",IF(AND(GY51="",GZ51=""),"",N(GZ51)-N(GY51)))</f>
        <v/>
      </c>
      <c r="HD51">
        <f>IF(OR(GY$3="",GY$3&gt;TODAY()),"",IF(AND(HB51="",HC51=""),"",N(HC51)-N(HB51)))</f>
        <v/>
      </c>
      <c r="HH51">
        <f>IF(OR(HF$3="",HF$3&gt;TODAY()),"",IF(AND(HF51="",HG51=""),"",N(HG51)-N(HF51)))</f>
        <v/>
      </c>
      <c r="HK51">
        <f>IF(OR(HF$3="",HF$3&gt;TODAY()),"",IF(AND(HI51="",HJ51=""),"",N(HJ51)-N(HI51)))</f>
        <v/>
      </c>
      <c r="HO51">
        <f>IF(OR(HM$3="",HM$3&gt;TODAY()),"",IF(AND(HM51="",HN51=""),"",N(HN51)-N(HM51)))</f>
        <v/>
      </c>
      <c r="HR51">
        <f>IF(OR(HM$3="",HM$3&gt;TODAY()),"",IF(AND(HP51="",HQ51=""),"",N(HQ51)-N(HP51)))</f>
        <v/>
      </c>
      <c r="HV51">
        <f>IF(OR(HT$3="",HT$3&gt;TODAY()),"",IF(AND(HT51="",HU51=""),"",N(HU51)-N(HT51)))</f>
        <v/>
      </c>
      <c r="HY51">
        <f>IF(OR(HT$3="",HT$3&gt;TODAY()),"",IF(AND(HW51="",HX51=""),"",N(HX51)-N(HW51)))</f>
        <v/>
      </c>
      <c r="IC51">
        <f>IF(OR(IA$3="",IA$3&gt;TODAY()),"",IF(AND(IA51="",IB51=""),"",N(IB51)-N(IA51)))</f>
        <v/>
      </c>
      <c r="IF51">
        <f>IF(OR(IA$3="",IA$3&gt;TODAY()),"",IF(AND(ID51="",IE51=""),"",N(IE51)-N(ID51)))</f>
        <v/>
      </c>
      <c r="IJ51">
        <f>IF(OR(IH$3="",IH$3&gt;TODAY()),"",IF(AND(IH51="",II51=""),"",N(II51)-N(IH51)))</f>
        <v/>
      </c>
      <c r="IM51">
        <f>IF(OR(IH$3="",IH$3&gt;TODAY()),"",IF(AND(IK51="",IL51=""),"",N(IL51)-N(IK51)))</f>
        <v/>
      </c>
    </row>
    <row r="52">
      <c r="A52" s="21" t="n"/>
      <c r="B52" s="21" t="n"/>
      <c r="C52" s="21" t="n"/>
      <c r="D52" s="21" t="n"/>
      <c r="E52" s="21" t="n"/>
      <c r="F52" s="21" t="n"/>
      <c r="G52" s="21" t="n"/>
      <c r="H52" s="21" t="n"/>
      <c r="I52" s="22" t="n"/>
      <c r="J52" s="22" t="n"/>
      <c r="K52" s="23" t="n"/>
      <c r="L52" s="22" t="n"/>
      <c r="M52" s="22" t="n"/>
      <c r="N52" s="21" t="n"/>
      <c r="O52" s="23" t="n"/>
      <c r="P52" s="23" t="n"/>
      <c r="Q52" s="23" t="n"/>
      <c r="R52" s="23" t="n"/>
      <c r="S52" s="22" t="n"/>
      <c r="T52" s="23" t="n"/>
      <c r="U52" s="23" t="n"/>
      <c r="V52" s="24">
        <f>IF(J52&lt;&gt;"",J52,IF(I52&lt;&gt;"",I52,""))</f>
        <v/>
      </c>
      <c r="W52" s="25">
        <f>IF($E52="","",N(O52)+SUMIFS($AF52:$IN52,$AF$4:$IN$4,"SEW_ACT"))</f>
        <v/>
      </c>
      <c r="X52" s="25">
        <f>IF($E52="","",N(P52)+SUMIFS($AF52:$IN52,$AF$4:$IN$4,"WASH_ACT"))</f>
        <v/>
      </c>
      <c r="Y52" s="25">
        <f>IF($E52="","",W52-X52-N(T52)-N(U52))</f>
        <v/>
      </c>
      <c r="Z52" s="25">
        <f>IF($E52="","",IF(N(K52)-X52&lt;=0.02*N(K52),0,N(K52)-X52))</f>
        <v/>
      </c>
      <c r="AA52" s="24">
        <f>IF($E52="","",IF(S52&lt;&gt;"",S52,IF(N(O52)&gt;0,IF(L52&lt;&gt;"",L52,99999),IFERROR(1/(1/_xlfn.MINIFS($AF$3:$IN$3,$AF$4:$IN$4,"SEW_ACT",$AF52:$IN52,"&gt;0")),99999))))</f>
        <v/>
      </c>
      <c r="AB52" s="26">
        <f>IF(OR($E52="",Z52=0,V52=""),"",1+COUNTIFS(Z$8:Z$707,"&gt;0",V$8:V$707,"&lt;"&amp;V52)+COUNTIFS(Z$8:Z$707,"&gt;0",V$8:V$707,V52,AA$8:AA$707,"&lt;"&amp;AA52)+COUNTIFS(Z$8:Z$707,"&gt;0",V$8:V$707,V52,AA$8:AA$707,AA52,E$8:E$707,"&lt;"&amp;$E52))</f>
        <v/>
      </c>
      <c r="AC52" s="24">
        <f>IF(OR($E52="",Z52=0),"",IFERROR(TODAY()+ROUNDUP(Z52/(SUMIFS($AF52:$IN52,$AF$4:$IN$4,"WASH_ACT")/COUNTIFS($AF$4:$IN$4,"WASH_ACT",$AF52:$IN52,"&gt;0")),0),"no output yet"))</f>
        <v/>
      </c>
      <c r="AD52" s="26">
        <f>IF($E52="","",IFERROR(ROUND(MAX(0,SUMIFS($AF52:$IN52,$AF$4:$IN$4,"SEW_PLAN",$AF$3:$IN$3,"&lt;="&amp;TODAY())-SUMIFS($AF52:$IN52,$AF$4:$IN$4,"SEW_ACT",$AF$3:$IN$3,"&lt;="&amp;TODAY())+N(Q52))/(SUMIFS($AF52:$IN52,$AF$4:$IN$4,"SEW_PLAN")/COUNTIFS($AF$4:$IN$4,"SEW_PLAN",$AF52:$IN52,"&gt;0")),1),0))</f>
        <v/>
      </c>
      <c r="AE52" s="26">
        <f>IF($E52="","",IF(AND(Z52&gt;0,OR(AND(M52&lt;&gt;"",TODAY()&gt;M52),AND(V52&lt;&gt;"",V52-TODAY()&lt;=7))),"Yes","No"))</f>
        <v/>
      </c>
      <c r="AH52">
        <f>IF(OR(AF$3="",AF$3&gt;TODAY()),"",IF(AND(AF52="",AG52=""),"",N(AG52)-N(AF52)))</f>
        <v/>
      </c>
      <c r="AK52">
        <f>IF(OR(AF$3="",AF$3&gt;TODAY()),"",IF(AND(AI52="",AJ52=""),"",N(AJ52)-N(AI52)))</f>
        <v/>
      </c>
      <c r="AO52">
        <f>IF(OR(AM$3="",AM$3&gt;TODAY()),"",IF(AND(AM52="",AN52=""),"",N(AN52)-N(AM52)))</f>
        <v/>
      </c>
      <c r="AR52">
        <f>IF(OR(AM$3="",AM$3&gt;TODAY()),"",IF(AND(AP52="",AQ52=""),"",N(AQ52)-N(AP52)))</f>
        <v/>
      </c>
      <c r="AV52">
        <f>IF(OR(AT$3="",AT$3&gt;TODAY()),"",IF(AND(AT52="",AU52=""),"",N(AU52)-N(AT52)))</f>
        <v/>
      </c>
      <c r="AY52">
        <f>IF(OR(AT$3="",AT$3&gt;TODAY()),"",IF(AND(AW52="",AX52=""),"",N(AX52)-N(AW52)))</f>
        <v/>
      </c>
      <c r="BC52">
        <f>IF(OR(BA$3="",BA$3&gt;TODAY()),"",IF(AND(BA52="",BB52=""),"",N(BB52)-N(BA52)))</f>
        <v/>
      </c>
      <c r="BF52">
        <f>IF(OR(BA$3="",BA$3&gt;TODAY()),"",IF(AND(BD52="",BE52=""),"",N(BE52)-N(BD52)))</f>
        <v/>
      </c>
      <c r="BJ52">
        <f>IF(OR(BH$3="",BH$3&gt;TODAY()),"",IF(AND(BH52="",BI52=""),"",N(BI52)-N(BH52)))</f>
        <v/>
      </c>
      <c r="BM52">
        <f>IF(OR(BH$3="",BH$3&gt;TODAY()),"",IF(AND(BK52="",BL52=""),"",N(BL52)-N(BK52)))</f>
        <v/>
      </c>
      <c r="BQ52">
        <f>IF(OR(BO$3="",BO$3&gt;TODAY()),"",IF(AND(BO52="",BP52=""),"",N(BP52)-N(BO52)))</f>
        <v/>
      </c>
      <c r="BT52">
        <f>IF(OR(BO$3="",BO$3&gt;TODAY()),"",IF(AND(BR52="",BS52=""),"",N(BS52)-N(BR52)))</f>
        <v/>
      </c>
      <c r="BX52">
        <f>IF(OR(BV$3="",BV$3&gt;TODAY()),"",IF(AND(BV52="",BW52=""),"",N(BW52)-N(BV52)))</f>
        <v/>
      </c>
      <c r="CA52">
        <f>IF(OR(BV$3="",BV$3&gt;TODAY()),"",IF(AND(BY52="",BZ52=""),"",N(BZ52)-N(BY52)))</f>
        <v/>
      </c>
      <c r="CE52">
        <f>IF(OR(CC$3="",CC$3&gt;TODAY()),"",IF(AND(CC52="",CD52=""),"",N(CD52)-N(CC52)))</f>
        <v/>
      </c>
      <c r="CH52">
        <f>IF(OR(CC$3="",CC$3&gt;TODAY()),"",IF(AND(CF52="",CG52=""),"",N(CG52)-N(CF52)))</f>
        <v/>
      </c>
      <c r="CL52">
        <f>IF(OR(CJ$3="",CJ$3&gt;TODAY()),"",IF(AND(CJ52="",CK52=""),"",N(CK52)-N(CJ52)))</f>
        <v/>
      </c>
      <c r="CO52">
        <f>IF(OR(CJ$3="",CJ$3&gt;TODAY()),"",IF(AND(CM52="",CN52=""),"",N(CN52)-N(CM52)))</f>
        <v/>
      </c>
      <c r="CS52">
        <f>IF(OR(CQ$3="",CQ$3&gt;TODAY()),"",IF(AND(CQ52="",CR52=""),"",N(CR52)-N(CQ52)))</f>
        <v/>
      </c>
      <c r="CV52">
        <f>IF(OR(CQ$3="",CQ$3&gt;TODAY()),"",IF(AND(CT52="",CU52=""),"",N(CU52)-N(CT52)))</f>
        <v/>
      </c>
      <c r="CZ52">
        <f>IF(OR(CX$3="",CX$3&gt;TODAY()),"",IF(AND(CX52="",CY52=""),"",N(CY52)-N(CX52)))</f>
        <v/>
      </c>
      <c r="DC52">
        <f>IF(OR(CX$3="",CX$3&gt;TODAY()),"",IF(AND(DA52="",DB52=""),"",N(DB52)-N(DA52)))</f>
        <v/>
      </c>
      <c r="DG52">
        <f>IF(OR(DE$3="",DE$3&gt;TODAY()),"",IF(AND(DE52="",DF52=""),"",N(DF52)-N(DE52)))</f>
        <v/>
      </c>
      <c r="DJ52">
        <f>IF(OR(DE$3="",DE$3&gt;TODAY()),"",IF(AND(DH52="",DI52=""),"",N(DI52)-N(DH52)))</f>
        <v/>
      </c>
      <c r="DN52">
        <f>IF(OR(DL$3="",DL$3&gt;TODAY()),"",IF(AND(DL52="",DM52=""),"",N(DM52)-N(DL52)))</f>
        <v/>
      </c>
      <c r="DQ52">
        <f>IF(OR(DL$3="",DL$3&gt;TODAY()),"",IF(AND(DO52="",DP52=""),"",N(DP52)-N(DO52)))</f>
        <v/>
      </c>
      <c r="DU52">
        <f>IF(OR(DS$3="",DS$3&gt;TODAY()),"",IF(AND(DS52="",DT52=""),"",N(DT52)-N(DS52)))</f>
        <v/>
      </c>
      <c r="DX52">
        <f>IF(OR(DS$3="",DS$3&gt;TODAY()),"",IF(AND(DV52="",DW52=""),"",N(DW52)-N(DV52)))</f>
        <v/>
      </c>
      <c r="EB52">
        <f>IF(OR(DZ$3="",DZ$3&gt;TODAY()),"",IF(AND(DZ52="",EA52=""),"",N(EA52)-N(DZ52)))</f>
        <v/>
      </c>
      <c r="EE52">
        <f>IF(OR(DZ$3="",DZ$3&gt;TODAY()),"",IF(AND(EC52="",ED52=""),"",N(ED52)-N(EC52)))</f>
        <v/>
      </c>
      <c r="EI52">
        <f>IF(OR(EG$3="",EG$3&gt;TODAY()),"",IF(AND(EG52="",EH52=""),"",N(EH52)-N(EG52)))</f>
        <v/>
      </c>
      <c r="EL52">
        <f>IF(OR(EG$3="",EG$3&gt;TODAY()),"",IF(AND(EJ52="",EK52=""),"",N(EK52)-N(EJ52)))</f>
        <v/>
      </c>
      <c r="EP52">
        <f>IF(OR(EN$3="",EN$3&gt;TODAY()),"",IF(AND(EN52="",EO52=""),"",N(EO52)-N(EN52)))</f>
        <v/>
      </c>
      <c r="ES52">
        <f>IF(OR(EN$3="",EN$3&gt;TODAY()),"",IF(AND(EQ52="",ER52=""),"",N(ER52)-N(EQ52)))</f>
        <v/>
      </c>
      <c r="EW52">
        <f>IF(OR(EU$3="",EU$3&gt;TODAY()),"",IF(AND(EU52="",EV52=""),"",N(EV52)-N(EU52)))</f>
        <v/>
      </c>
      <c r="EZ52">
        <f>IF(OR(EU$3="",EU$3&gt;TODAY()),"",IF(AND(EX52="",EY52=""),"",N(EY52)-N(EX52)))</f>
        <v/>
      </c>
      <c r="FD52">
        <f>IF(OR(FB$3="",FB$3&gt;TODAY()),"",IF(AND(FB52="",FC52=""),"",N(FC52)-N(FB52)))</f>
        <v/>
      </c>
      <c r="FG52">
        <f>IF(OR(FB$3="",FB$3&gt;TODAY()),"",IF(AND(FE52="",FF52=""),"",N(FF52)-N(FE52)))</f>
        <v/>
      </c>
      <c r="FK52">
        <f>IF(OR(FI$3="",FI$3&gt;TODAY()),"",IF(AND(FI52="",FJ52=""),"",N(FJ52)-N(FI52)))</f>
        <v/>
      </c>
      <c r="FN52">
        <f>IF(OR(FI$3="",FI$3&gt;TODAY()),"",IF(AND(FL52="",FM52=""),"",N(FM52)-N(FL52)))</f>
        <v/>
      </c>
      <c r="FR52">
        <f>IF(OR(FP$3="",FP$3&gt;TODAY()),"",IF(AND(FP52="",FQ52=""),"",N(FQ52)-N(FP52)))</f>
        <v/>
      </c>
      <c r="FU52">
        <f>IF(OR(FP$3="",FP$3&gt;TODAY()),"",IF(AND(FS52="",FT52=""),"",N(FT52)-N(FS52)))</f>
        <v/>
      </c>
      <c r="FY52">
        <f>IF(OR(FW$3="",FW$3&gt;TODAY()),"",IF(AND(FW52="",FX52=""),"",N(FX52)-N(FW52)))</f>
        <v/>
      </c>
      <c r="GB52">
        <f>IF(OR(FW$3="",FW$3&gt;TODAY()),"",IF(AND(FZ52="",GA52=""),"",N(GA52)-N(FZ52)))</f>
        <v/>
      </c>
      <c r="GF52">
        <f>IF(OR(GD$3="",GD$3&gt;TODAY()),"",IF(AND(GD52="",GE52=""),"",N(GE52)-N(GD52)))</f>
        <v/>
      </c>
      <c r="GI52">
        <f>IF(OR(GD$3="",GD$3&gt;TODAY()),"",IF(AND(GG52="",GH52=""),"",N(GH52)-N(GG52)))</f>
        <v/>
      </c>
      <c r="GM52">
        <f>IF(OR(GK$3="",GK$3&gt;TODAY()),"",IF(AND(GK52="",GL52=""),"",N(GL52)-N(GK52)))</f>
        <v/>
      </c>
      <c r="GP52">
        <f>IF(OR(GK$3="",GK$3&gt;TODAY()),"",IF(AND(GN52="",GO52=""),"",N(GO52)-N(GN52)))</f>
        <v/>
      </c>
      <c r="GT52">
        <f>IF(OR(GR$3="",GR$3&gt;TODAY()),"",IF(AND(GR52="",GS52=""),"",N(GS52)-N(GR52)))</f>
        <v/>
      </c>
      <c r="GW52">
        <f>IF(OR(GR$3="",GR$3&gt;TODAY()),"",IF(AND(GU52="",GV52=""),"",N(GV52)-N(GU52)))</f>
        <v/>
      </c>
      <c r="HA52">
        <f>IF(OR(GY$3="",GY$3&gt;TODAY()),"",IF(AND(GY52="",GZ52=""),"",N(GZ52)-N(GY52)))</f>
        <v/>
      </c>
      <c r="HD52">
        <f>IF(OR(GY$3="",GY$3&gt;TODAY()),"",IF(AND(HB52="",HC52=""),"",N(HC52)-N(HB52)))</f>
        <v/>
      </c>
      <c r="HH52">
        <f>IF(OR(HF$3="",HF$3&gt;TODAY()),"",IF(AND(HF52="",HG52=""),"",N(HG52)-N(HF52)))</f>
        <v/>
      </c>
      <c r="HK52">
        <f>IF(OR(HF$3="",HF$3&gt;TODAY()),"",IF(AND(HI52="",HJ52=""),"",N(HJ52)-N(HI52)))</f>
        <v/>
      </c>
      <c r="HO52">
        <f>IF(OR(HM$3="",HM$3&gt;TODAY()),"",IF(AND(HM52="",HN52=""),"",N(HN52)-N(HM52)))</f>
        <v/>
      </c>
      <c r="HR52">
        <f>IF(OR(HM$3="",HM$3&gt;TODAY()),"",IF(AND(HP52="",HQ52=""),"",N(HQ52)-N(HP52)))</f>
        <v/>
      </c>
      <c r="HV52">
        <f>IF(OR(HT$3="",HT$3&gt;TODAY()),"",IF(AND(HT52="",HU52=""),"",N(HU52)-N(HT52)))</f>
        <v/>
      </c>
      <c r="HY52">
        <f>IF(OR(HT$3="",HT$3&gt;TODAY()),"",IF(AND(HW52="",HX52=""),"",N(HX52)-N(HW52)))</f>
        <v/>
      </c>
      <c r="IC52">
        <f>IF(OR(IA$3="",IA$3&gt;TODAY()),"",IF(AND(IA52="",IB52=""),"",N(IB52)-N(IA52)))</f>
        <v/>
      </c>
      <c r="IF52">
        <f>IF(OR(IA$3="",IA$3&gt;TODAY()),"",IF(AND(ID52="",IE52=""),"",N(IE52)-N(ID52)))</f>
        <v/>
      </c>
      <c r="IJ52">
        <f>IF(OR(IH$3="",IH$3&gt;TODAY()),"",IF(AND(IH52="",II52=""),"",N(II52)-N(IH52)))</f>
        <v/>
      </c>
      <c r="IM52">
        <f>IF(OR(IH$3="",IH$3&gt;TODAY()),"",IF(AND(IK52="",IL52=""),"",N(IL52)-N(IK52)))</f>
        <v/>
      </c>
    </row>
    <row r="53">
      <c r="A53" s="21" t="n"/>
      <c r="B53" s="21" t="n"/>
      <c r="C53" s="21" t="n"/>
      <c r="D53" s="21" t="n"/>
      <c r="E53" s="21" t="n"/>
      <c r="F53" s="21" t="n"/>
      <c r="G53" s="21" t="n"/>
      <c r="H53" s="21" t="n"/>
      <c r="I53" s="22" t="n"/>
      <c r="J53" s="22" t="n"/>
      <c r="K53" s="23" t="n"/>
      <c r="L53" s="22" t="n"/>
      <c r="M53" s="22" t="n"/>
      <c r="N53" s="21" t="n"/>
      <c r="O53" s="23" t="n"/>
      <c r="P53" s="23" t="n"/>
      <c r="Q53" s="23" t="n"/>
      <c r="R53" s="23" t="n"/>
      <c r="S53" s="22" t="n"/>
      <c r="T53" s="23" t="n"/>
      <c r="U53" s="23" t="n"/>
      <c r="V53" s="24">
        <f>IF(J53&lt;&gt;"",J53,IF(I53&lt;&gt;"",I53,""))</f>
        <v/>
      </c>
      <c r="W53" s="25">
        <f>IF($E53="","",N(O53)+SUMIFS($AF53:$IN53,$AF$4:$IN$4,"SEW_ACT"))</f>
        <v/>
      </c>
      <c r="X53" s="25">
        <f>IF($E53="","",N(P53)+SUMIFS($AF53:$IN53,$AF$4:$IN$4,"WASH_ACT"))</f>
        <v/>
      </c>
      <c r="Y53" s="25">
        <f>IF($E53="","",W53-X53-N(T53)-N(U53))</f>
        <v/>
      </c>
      <c r="Z53" s="25">
        <f>IF($E53="","",IF(N(K53)-X53&lt;=0.02*N(K53),0,N(K53)-X53))</f>
        <v/>
      </c>
      <c r="AA53" s="24">
        <f>IF($E53="","",IF(S53&lt;&gt;"",S53,IF(N(O53)&gt;0,IF(L53&lt;&gt;"",L53,99999),IFERROR(1/(1/_xlfn.MINIFS($AF$3:$IN$3,$AF$4:$IN$4,"SEW_ACT",$AF53:$IN53,"&gt;0")),99999))))</f>
        <v/>
      </c>
      <c r="AB53" s="26">
        <f>IF(OR($E53="",Z53=0,V53=""),"",1+COUNTIFS(Z$8:Z$707,"&gt;0",V$8:V$707,"&lt;"&amp;V53)+COUNTIFS(Z$8:Z$707,"&gt;0",V$8:V$707,V53,AA$8:AA$707,"&lt;"&amp;AA53)+COUNTIFS(Z$8:Z$707,"&gt;0",V$8:V$707,V53,AA$8:AA$707,AA53,E$8:E$707,"&lt;"&amp;$E53))</f>
        <v/>
      </c>
      <c r="AC53" s="24">
        <f>IF(OR($E53="",Z53=0),"",IFERROR(TODAY()+ROUNDUP(Z53/(SUMIFS($AF53:$IN53,$AF$4:$IN$4,"WASH_ACT")/COUNTIFS($AF$4:$IN$4,"WASH_ACT",$AF53:$IN53,"&gt;0")),0),"no output yet"))</f>
        <v/>
      </c>
      <c r="AD53" s="26">
        <f>IF($E53="","",IFERROR(ROUND(MAX(0,SUMIFS($AF53:$IN53,$AF$4:$IN$4,"SEW_PLAN",$AF$3:$IN$3,"&lt;="&amp;TODAY())-SUMIFS($AF53:$IN53,$AF$4:$IN$4,"SEW_ACT",$AF$3:$IN$3,"&lt;="&amp;TODAY())+N(Q53))/(SUMIFS($AF53:$IN53,$AF$4:$IN$4,"SEW_PLAN")/COUNTIFS($AF$4:$IN$4,"SEW_PLAN",$AF53:$IN53,"&gt;0")),1),0))</f>
        <v/>
      </c>
      <c r="AE53" s="26">
        <f>IF($E53="","",IF(AND(Z53&gt;0,OR(AND(M53&lt;&gt;"",TODAY()&gt;M53),AND(V53&lt;&gt;"",V53-TODAY()&lt;=7))),"Yes","No"))</f>
        <v/>
      </c>
      <c r="AH53">
        <f>IF(OR(AF$3="",AF$3&gt;TODAY()),"",IF(AND(AF53="",AG53=""),"",N(AG53)-N(AF53)))</f>
        <v/>
      </c>
      <c r="AK53">
        <f>IF(OR(AF$3="",AF$3&gt;TODAY()),"",IF(AND(AI53="",AJ53=""),"",N(AJ53)-N(AI53)))</f>
        <v/>
      </c>
      <c r="AO53">
        <f>IF(OR(AM$3="",AM$3&gt;TODAY()),"",IF(AND(AM53="",AN53=""),"",N(AN53)-N(AM53)))</f>
        <v/>
      </c>
      <c r="AR53">
        <f>IF(OR(AM$3="",AM$3&gt;TODAY()),"",IF(AND(AP53="",AQ53=""),"",N(AQ53)-N(AP53)))</f>
        <v/>
      </c>
      <c r="AV53">
        <f>IF(OR(AT$3="",AT$3&gt;TODAY()),"",IF(AND(AT53="",AU53=""),"",N(AU53)-N(AT53)))</f>
        <v/>
      </c>
      <c r="AY53">
        <f>IF(OR(AT$3="",AT$3&gt;TODAY()),"",IF(AND(AW53="",AX53=""),"",N(AX53)-N(AW53)))</f>
        <v/>
      </c>
      <c r="BC53">
        <f>IF(OR(BA$3="",BA$3&gt;TODAY()),"",IF(AND(BA53="",BB53=""),"",N(BB53)-N(BA53)))</f>
        <v/>
      </c>
      <c r="BF53">
        <f>IF(OR(BA$3="",BA$3&gt;TODAY()),"",IF(AND(BD53="",BE53=""),"",N(BE53)-N(BD53)))</f>
        <v/>
      </c>
      <c r="BJ53">
        <f>IF(OR(BH$3="",BH$3&gt;TODAY()),"",IF(AND(BH53="",BI53=""),"",N(BI53)-N(BH53)))</f>
        <v/>
      </c>
      <c r="BM53">
        <f>IF(OR(BH$3="",BH$3&gt;TODAY()),"",IF(AND(BK53="",BL53=""),"",N(BL53)-N(BK53)))</f>
        <v/>
      </c>
      <c r="BQ53">
        <f>IF(OR(BO$3="",BO$3&gt;TODAY()),"",IF(AND(BO53="",BP53=""),"",N(BP53)-N(BO53)))</f>
        <v/>
      </c>
      <c r="BT53">
        <f>IF(OR(BO$3="",BO$3&gt;TODAY()),"",IF(AND(BR53="",BS53=""),"",N(BS53)-N(BR53)))</f>
        <v/>
      </c>
      <c r="BX53">
        <f>IF(OR(BV$3="",BV$3&gt;TODAY()),"",IF(AND(BV53="",BW53=""),"",N(BW53)-N(BV53)))</f>
        <v/>
      </c>
      <c r="CA53">
        <f>IF(OR(BV$3="",BV$3&gt;TODAY()),"",IF(AND(BY53="",BZ53=""),"",N(BZ53)-N(BY53)))</f>
        <v/>
      </c>
      <c r="CE53">
        <f>IF(OR(CC$3="",CC$3&gt;TODAY()),"",IF(AND(CC53="",CD53=""),"",N(CD53)-N(CC53)))</f>
        <v/>
      </c>
      <c r="CH53">
        <f>IF(OR(CC$3="",CC$3&gt;TODAY()),"",IF(AND(CF53="",CG53=""),"",N(CG53)-N(CF53)))</f>
        <v/>
      </c>
      <c r="CL53">
        <f>IF(OR(CJ$3="",CJ$3&gt;TODAY()),"",IF(AND(CJ53="",CK53=""),"",N(CK53)-N(CJ53)))</f>
        <v/>
      </c>
      <c r="CO53">
        <f>IF(OR(CJ$3="",CJ$3&gt;TODAY()),"",IF(AND(CM53="",CN53=""),"",N(CN53)-N(CM53)))</f>
        <v/>
      </c>
      <c r="CS53">
        <f>IF(OR(CQ$3="",CQ$3&gt;TODAY()),"",IF(AND(CQ53="",CR53=""),"",N(CR53)-N(CQ53)))</f>
        <v/>
      </c>
      <c r="CV53">
        <f>IF(OR(CQ$3="",CQ$3&gt;TODAY()),"",IF(AND(CT53="",CU53=""),"",N(CU53)-N(CT53)))</f>
        <v/>
      </c>
      <c r="CZ53">
        <f>IF(OR(CX$3="",CX$3&gt;TODAY()),"",IF(AND(CX53="",CY53=""),"",N(CY53)-N(CX53)))</f>
        <v/>
      </c>
      <c r="DC53">
        <f>IF(OR(CX$3="",CX$3&gt;TODAY()),"",IF(AND(DA53="",DB53=""),"",N(DB53)-N(DA53)))</f>
        <v/>
      </c>
      <c r="DG53">
        <f>IF(OR(DE$3="",DE$3&gt;TODAY()),"",IF(AND(DE53="",DF53=""),"",N(DF53)-N(DE53)))</f>
        <v/>
      </c>
      <c r="DJ53">
        <f>IF(OR(DE$3="",DE$3&gt;TODAY()),"",IF(AND(DH53="",DI53=""),"",N(DI53)-N(DH53)))</f>
        <v/>
      </c>
      <c r="DN53">
        <f>IF(OR(DL$3="",DL$3&gt;TODAY()),"",IF(AND(DL53="",DM53=""),"",N(DM53)-N(DL53)))</f>
        <v/>
      </c>
      <c r="DQ53">
        <f>IF(OR(DL$3="",DL$3&gt;TODAY()),"",IF(AND(DO53="",DP53=""),"",N(DP53)-N(DO53)))</f>
        <v/>
      </c>
      <c r="DU53">
        <f>IF(OR(DS$3="",DS$3&gt;TODAY()),"",IF(AND(DS53="",DT53=""),"",N(DT53)-N(DS53)))</f>
        <v/>
      </c>
      <c r="DX53">
        <f>IF(OR(DS$3="",DS$3&gt;TODAY()),"",IF(AND(DV53="",DW53=""),"",N(DW53)-N(DV53)))</f>
        <v/>
      </c>
      <c r="EB53">
        <f>IF(OR(DZ$3="",DZ$3&gt;TODAY()),"",IF(AND(DZ53="",EA53=""),"",N(EA53)-N(DZ53)))</f>
        <v/>
      </c>
      <c r="EE53">
        <f>IF(OR(DZ$3="",DZ$3&gt;TODAY()),"",IF(AND(EC53="",ED53=""),"",N(ED53)-N(EC53)))</f>
        <v/>
      </c>
      <c r="EI53">
        <f>IF(OR(EG$3="",EG$3&gt;TODAY()),"",IF(AND(EG53="",EH53=""),"",N(EH53)-N(EG53)))</f>
        <v/>
      </c>
      <c r="EL53">
        <f>IF(OR(EG$3="",EG$3&gt;TODAY()),"",IF(AND(EJ53="",EK53=""),"",N(EK53)-N(EJ53)))</f>
        <v/>
      </c>
      <c r="EP53">
        <f>IF(OR(EN$3="",EN$3&gt;TODAY()),"",IF(AND(EN53="",EO53=""),"",N(EO53)-N(EN53)))</f>
        <v/>
      </c>
      <c r="ES53">
        <f>IF(OR(EN$3="",EN$3&gt;TODAY()),"",IF(AND(EQ53="",ER53=""),"",N(ER53)-N(EQ53)))</f>
        <v/>
      </c>
      <c r="EW53">
        <f>IF(OR(EU$3="",EU$3&gt;TODAY()),"",IF(AND(EU53="",EV53=""),"",N(EV53)-N(EU53)))</f>
        <v/>
      </c>
      <c r="EZ53">
        <f>IF(OR(EU$3="",EU$3&gt;TODAY()),"",IF(AND(EX53="",EY53=""),"",N(EY53)-N(EX53)))</f>
        <v/>
      </c>
      <c r="FD53">
        <f>IF(OR(FB$3="",FB$3&gt;TODAY()),"",IF(AND(FB53="",FC53=""),"",N(FC53)-N(FB53)))</f>
        <v/>
      </c>
      <c r="FG53">
        <f>IF(OR(FB$3="",FB$3&gt;TODAY()),"",IF(AND(FE53="",FF53=""),"",N(FF53)-N(FE53)))</f>
        <v/>
      </c>
      <c r="FK53">
        <f>IF(OR(FI$3="",FI$3&gt;TODAY()),"",IF(AND(FI53="",FJ53=""),"",N(FJ53)-N(FI53)))</f>
        <v/>
      </c>
      <c r="FN53">
        <f>IF(OR(FI$3="",FI$3&gt;TODAY()),"",IF(AND(FL53="",FM53=""),"",N(FM53)-N(FL53)))</f>
        <v/>
      </c>
      <c r="FR53">
        <f>IF(OR(FP$3="",FP$3&gt;TODAY()),"",IF(AND(FP53="",FQ53=""),"",N(FQ53)-N(FP53)))</f>
        <v/>
      </c>
      <c r="FU53">
        <f>IF(OR(FP$3="",FP$3&gt;TODAY()),"",IF(AND(FS53="",FT53=""),"",N(FT53)-N(FS53)))</f>
        <v/>
      </c>
      <c r="FY53">
        <f>IF(OR(FW$3="",FW$3&gt;TODAY()),"",IF(AND(FW53="",FX53=""),"",N(FX53)-N(FW53)))</f>
        <v/>
      </c>
      <c r="GB53">
        <f>IF(OR(FW$3="",FW$3&gt;TODAY()),"",IF(AND(FZ53="",GA53=""),"",N(GA53)-N(FZ53)))</f>
        <v/>
      </c>
      <c r="GF53">
        <f>IF(OR(GD$3="",GD$3&gt;TODAY()),"",IF(AND(GD53="",GE53=""),"",N(GE53)-N(GD53)))</f>
        <v/>
      </c>
      <c r="GI53">
        <f>IF(OR(GD$3="",GD$3&gt;TODAY()),"",IF(AND(GG53="",GH53=""),"",N(GH53)-N(GG53)))</f>
        <v/>
      </c>
      <c r="GM53">
        <f>IF(OR(GK$3="",GK$3&gt;TODAY()),"",IF(AND(GK53="",GL53=""),"",N(GL53)-N(GK53)))</f>
        <v/>
      </c>
      <c r="GP53">
        <f>IF(OR(GK$3="",GK$3&gt;TODAY()),"",IF(AND(GN53="",GO53=""),"",N(GO53)-N(GN53)))</f>
        <v/>
      </c>
      <c r="GT53">
        <f>IF(OR(GR$3="",GR$3&gt;TODAY()),"",IF(AND(GR53="",GS53=""),"",N(GS53)-N(GR53)))</f>
        <v/>
      </c>
      <c r="GW53">
        <f>IF(OR(GR$3="",GR$3&gt;TODAY()),"",IF(AND(GU53="",GV53=""),"",N(GV53)-N(GU53)))</f>
        <v/>
      </c>
      <c r="HA53">
        <f>IF(OR(GY$3="",GY$3&gt;TODAY()),"",IF(AND(GY53="",GZ53=""),"",N(GZ53)-N(GY53)))</f>
        <v/>
      </c>
      <c r="HD53">
        <f>IF(OR(GY$3="",GY$3&gt;TODAY()),"",IF(AND(HB53="",HC53=""),"",N(HC53)-N(HB53)))</f>
        <v/>
      </c>
      <c r="HH53">
        <f>IF(OR(HF$3="",HF$3&gt;TODAY()),"",IF(AND(HF53="",HG53=""),"",N(HG53)-N(HF53)))</f>
        <v/>
      </c>
      <c r="HK53">
        <f>IF(OR(HF$3="",HF$3&gt;TODAY()),"",IF(AND(HI53="",HJ53=""),"",N(HJ53)-N(HI53)))</f>
        <v/>
      </c>
      <c r="HO53">
        <f>IF(OR(HM$3="",HM$3&gt;TODAY()),"",IF(AND(HM53="",HN53=""),"",N(HN53)-N(HM53)))</f>
        <v/>
      </c>
      <c r="HR53">
        <f>IF(OR(HM$3="",HM$3&gt;TODAY()),"",IF(AND(HP53="",HQ53=""),"",N(HQ53)-N(HP53)))</f>
        <v/>
      </c>
      <c r="HV53">
        <f>IF(OR(HT$3="",HT$3&gt;TODAY()),"",IF(AND(HT53="",HU53=""),"",N(HU53)-N(HT53)))</f>
        <v/>
      </c>
      <c r="HY53">
        <f>IF(OR(HT$3="",HT$3&gt;TODAY()),"",IF(AND(HW53="",HX53=""),"",N(HX53)-N(HW53)))</f>
        <v/>
      </c>
      <c r="IC53">
        <f>IF(OR(IA$3="",IA$3&gt;TODAY()),"",IF(AND(IA53="",IB53=""),"",N(IB53)-N(IA53)))</f>
        <v/>
      </c>
      <c r="IF53">
        <f>IF(OR(IA$3="",IA$3&gt;TODAY()),"",IF(AND(ID53="",IE53=""),"",N(IE53)-N(ID53)))</f>
        <v/>
      </c>
      <c r="IJ53">
        <f>IF(OR(IH$3="",IH$3&gt;TODAY()),"",IF(AND(IH53="",II53=""),"",N(II53)-N(IH53)))</f>
        <v/>
      </c>
      <c r="IM53">
        <f>IF(OR(IH$3="",IH$3&gt;TODAY()),"",IF(AND(IK53="",IL53=""),"",N(IL53)-N(IK53)))</f>
        <v/>
      </c>
    </row>
    <row r="54">
      <c r="A54" s="21" t="n"/>
      <c r="B54" s="21" t="n"/>
      <c r="C54" s="21" t="n"/>
      <c r="D54" s="21" t="n"/>
      <c r="E54" s="21" t="n"/>
      <c r="F54" s="21" t="n"/>
      <c r="G54" s="21" t="n"/>
      <c r="H54" s="21" t="n"/>
      <c r="I54" s="22" t="n"/>
      <c r="J54" s="22" t="n"/>
      <c r="K54" s="23" t="n"/>
      <c r="L54" s="22" t="n"/>
      <c r="M54" s="22" t="n"/>
      <c r="N54" s="21" t="n"/>
      <c r="O54" s="23" t="n"/>
      <c r="P54" s="23" t="n"/>
      <c r="Q54" s="23" t="n"/>
      <c r="R54" s="23" t="n"/>
      <c r="S54" s="22" t="n"/>
      <c r="T54" s="23" t="n"/>
      <c r="U54" s="23" t="n"/>
      <c r="V54" s="24">
        <f>IF(J54&lt;&gt;"",J54,IF(I54&lt;&gt;"",I54,""))</f>
        <v/>
      </c>
      <c r="W54" s="25">
        <f>IF($E54="","",N(O54)+SUMIFS($AF54:$IN54,$AF$4:$IN$4,"SEW_ACT"))</f>
        <v/>
      </c>
      <c r="X54" s="25">
        <f>IF($E54="","",N(P54)+SUMIFS($AF54:$IN54,$AF$4:$IN$4,"WASH_ACT"))</f>
        <v/>
      </c>
      <c r="Y54" s="25">
        <f>IF($E54="","",W54-X54-N(T54)-N(U54))</f>
        <v/>
      </c>
      <c r="Z54" s="25">
        <f>IF($E54="","",IF(N(K54)-X54&lt;=0.02*N(K54),0,N(K54)-X54))</f>
        <v/>
      </c>
      <c r="AA54" s="24">
        <f>IF($E54="","",IF(S54&lt;&gt;"",S54,IF(N(O54)&gt;0,IF(L54&lt;&gt;"",L54,99999),IFERROR(1/(1/_xlfn.MINIFS($AF$3:$IN$3,$AF$4:$IN$4,"SEW_ACT",$AF54:$IN54,"&gt;0")),99999))))</f>
        <v/>
      </c>
      <c r="AB54" s="26">
        <f>IF(OR($E54="",Z54=0,V54=""),"",1+COUNTIFS(Z$8:Z$707,"&gt;0",V$8:V$707,"&lt;"&amp;V54)+COUNTIFS(Z$8:Z$707,"&gt;0",V$8:V$707,V54,AA$8:AA$707,"&lt;"&amp;AA54)+COUNTIFS(Z$8:Z$707,"&gt;0",V$8:V$707,V54,AA$8:AA$707,AA54,E$8:E$707,"&lt;"&amp;$E54))</f>
        <v/>
      </c>
      <c r="AC54" s="24">
        <f>IF(OR($E54="",Z54=0),"",IFERROR(TODAY()+ROUNDUP(Z54/(SUMIFS($AF54:$IN54,$AF$4:$IN$4,"WASH_ACT")/COUNTIFS($AF$4:$IN$4,"WASH_ACT",$AF54:$IN54,"&gt;0")),0),"no output yet"))</f>
        <v/>
      </c>
      <c r="AD54" s="26">
        <f>IF($E54="","",IFERROR(ROUND(MAX(0,SUMIFS($AF54:$IN54,$AF$4:$IN$4,"SEW_PLAN",$AF$3:$IN$3,"&lt;="&amp;TODAY())-SUMIFS($AF54:$IN54,$AF$4:$IN$4,"SEW_ACT",$AF$3:$IN$3,"&lt;="&amp;TODAY())+N(Q54))/(SUMIFS($AF54:$IN54,$AF$4:$IN$4,"SEW_PLAN")/COUNTIFS($AF$4:$IN$4,"SEW_PLAN",$AF54:$IN54,"&gt;0")),1),0))</f>
        <v/>
      </c>
      <c r="AE54" s="26">
        <f>IF($E54="","",IF(AND(Z54&gt;0,OR(AND(M54&lt;&gt;"",TODAY()&gt;M54),AND(V54&lt;&gt;"",V54-TODAY()&lt;=7))),"Yes","No"))</f>
        <v/>
      </c>
      <c r="AH54">
        <f>IF(OR(AF$3="",AF$3&gt;TODAY()),"",IF(AND(AF54="",AG54=""),"",N(AG54)-N(AF54)))</f>
        <v/>
      </c>
      <c r="AK54">
        <f>IF(OR(AF$3="",AF$3&gt;TODAY()),"",IF(AND(AI54="",AJ54=""),"",N(AJ54)-N(AI54)))</f>
        <v/>
      </c>
      <c r="AO54">
        <f>IF(OR(AM$3="",AM$3&gt;TODAY()),"",IF(AND(AM54="",AN54=""),"",N(AN54)-N(AM54)))</f>
        <v/>
      </c>
      <c r="AR54">
        <f>IF(OR(AM$3="",AM$3&gt;TODAY()),"",IF(AND(AP54="",AQ54=""),"",N(AQ54)-N(AP54)))</f>
        <v/>
      </c>
      <c r="AV54">
        <f>IF(OR(AT$3="",AT$3&gt;TODAY()),"",IF(AND(AT54="",AU54=""),"",N(AU54)-N(AT54)))</f>
        <v/>
      </c>
      <c r="AY54">
        <f>IF(OR(AT$3="",AT$3&gt;TODAY()),"",IF(AND(AW54="",AX54=""),"",N(AX54)-N(AW54)))</f>
        <v/>
      </c>
      <c r="BC54">
        <f>IF(OR(BA$3="",BA$3&gt;TODAY()),"",IF(AND(BA54="",BB54=""),"",N(BB54)-N(BA54)))</f>
        <v/>
      </c>
      <c r="BF54">
        <f>IF(OR(BA$3="",BA$3&gt;TODAY()),"",IF(AND(BD54="",BE54=""),"",N(BE54)-N(BD54)))</f>
        <v/>
      </c>
      <c r="BJ54">
        <f>IF(OR(BH$3="",BH$3&gt;TODAY()),"",IF(AND(BH54="",BI54=""),"",N(BI54)-N(BH54)))</f>
        <v/>
      </c>
      <c r="BM54">
        <f>IF(OR(BH$3="",BH$3&gt;TODAY()),"",IF(AND(BK54="",BL54=""),"",N(BL54)-N(BK54)))</f>
        <v/>
      </c>
      <c r="BQ54">
        <f>IF(OR(BO$3="",BO$3&gt;TODAY()),"",IF(AND(BO54="",BP54=""),"",N(BP54)-N(BO54)))</f>
        <v/>
      </c>
      <c r="BT54">
        <f>IF(OR(BO$3="",BO$3&gt;TODAY()),"",IF(AND(BR54="",BS54=""),"",N(BS54)-N(BR54)))</f>
        <v/>
      </c>
      <c r="BX54">
        <f>IF(OR(BV$3="",BV$3&gt;TODAY()),"",IF(AND(BV54="",BW54=""),"",N(BW54)-N(BV54)))</f>
        <v/>
      </c>
      <c r="CA54">
        <f>IF(OR(BV$3="",BV$3&gt;TODAY()),"",IF(AND(BY54="",BZ54=""),"",N(BZ54)-N(BY54)))</f>
        <v/>
      </c>
      <c r="CE54">
        <f>IF(OR(CC$3="",CC$3&gt;TODAY()),"",IF(AND(CC54="",CD54=""),"",N(CD54)-N(CC54)))</f>
        <v/>
      </c>
      <c r="CH54">
        <f>IF(OR(CC$3="",CC$3&gt;TODAY()),"",IF(AND(CF54="",CG54=""),"",N(CG54)-N(CF54)))</f>
        <v/>
      </c>
      <c r="CL54">
        <f>IF(OR(CJ$3="",CJ$3&gt;TODAY()),"",IF(AND(CJ54="",CK54=""),"",N(CK54)-N(CJ54)))</f>
        <v/>
      </c>
      <c r="CO54">
        <f>IF(OR(CJ$3="",CJ$3&gt;TODAY()),"",IF(AND(CM54="",CN54=""),"",N(CN54)-N(CM54)))</f>
        <v/>
      </c>
      <c r="CS54">
        <f>IF(OR(CQ$3="",CQ$3&gt;TODAY()),"",IF(AND(CQ54="",CR54=""),"",N(CR54)-N(CQ54)))</f>
        <v/>
      </c>
      <c r="CV54">
        <f>IF(OR(CQ$3="",CQ$3&gt;TODAY()),"",IF(AND(CT54="",CU54=""),"",N(CU54)-N(CT54)))</f>
        <v/>
      </c>
      <c r="CZ54">
        <f>IF(OR(CX$3="",CX$3&gt;TODAY()),"",IF(AND(CX54="",CY54=""),"",N(CY54)-N(CX54)))</f>
        <v/>
      </c>
      <c r="DC54">
        <f>IF(OR(CX$3="",CX$3&gt;TODAY()),"",IF(AND(DA54="",DB54=""),"",N(DB54)-N(DA54)))</f>
        <v/>
      </c>
      <c r="DG54">
        <f>IF(OR(DE$3="",DE$3&gt;TODAY()),"",IF(AND(DE54="",DF54=""),"",N(DF54)-N(DE54)))</f>
        <v/>
      </c>
      <c r="DJ54">
        <f>IF(OR(DE$3="",DE$3&gt;TODAY()),"",IF(AND(DH54="",DI54=""),"",N(DI54)-N(DH54)))</f>
        <v/>
      </c>
      <c r="DN54">
        <f>IF(OR(DL$3="",DL$3&gt;TODAY()),"",IF(AND(DL54="",DM54=""),"",N(DM54)-N(DL54)))</f>
        <v/>
      </c>
      <c r="DQ54">
        <f>IF(OR(DL$3="",DL$3&gt;TODAY()),"",IF(AND(DO54="",DP54=""),"",N(DP54)-N(DO54)))</f>
        <v/>
      </c>
      <c r="DU54">
        <f>IF(OR(DS$3="",DS$3&gt;TODAY()),"",IF(AND(DS54="",DT54=""),"",N(DT54)-N(DS54)))</f>
        <v/>
      </c>
      <c r="DX54">
        <f>IF(OR(DS$3="",DS$3&gt;TODAY()),"",IF(AND(DV54="",DW54=""),"",N(DW54)-N(DV54)))</f>
        <v/>
      </c>
      <c r="EB54">
        <f>IF(OR(DZ$3="",DZ$3&gt;TODAY()),"",IF(AND(DZ54="",EA54=""),"",N(EA54)-N(DZ54)))</f>
        <v/>
      </c>
      <c r="EE54">
        <f>IF(OR(DZ$3="",DZ$3&gt;TODAY()),"",IF(AND(EC54="",ED54=""),"",N(ED54)-N(EC54)))</f>
        <v/>
      </c>
      <c r="EI54">
        <f>IF(OR(EG$3="",EG$3&gt;TODAY()),"",IF(AND(EG54="",EH54=""),"",N(EH54)-N(EG54)))</f>
        <v/>
      </c>
      <c r="EL54">
        <f>IF(OR(EG$3="",EG$3&gt;TODAY()),"",IF(AND(EJ54="",EK54=""),"",N(EK54)-N(EJ54)))</f>
        <v/>
      </c>
      <c r="EP54">
        <f>IF(OR(EN$3="",EN$3&gt;TODAY()),"",IF(AND(EN54="",EO54=""),"",N(EO54)-N(EN54)))</f>
        <v/>
      </c>
      <c r="ES54">
        <f>IF(OR(EN$3="",EN$3&gt;TODAY()),"",IF(AND(EQ54="",ER54=""),"",N(ER54)-N(EQ54)))</f>
        <v/>
      </c>
      <c r="EW54">
        <f>IF(OR(EU$3="",EU$3&gt;TODAY()),"",IF(AND(EU54="",EV54=""),"",N(EV54)-N(EU54)))</f>
        <v/>
      </c>
      <c r="EZ54">
        <f>IF(OR(EU$3="",EU$3&gt;TODAY()),"",IF(AND(EX54="",EY54=""),"",N(EY54)-N(EX54)))</f>
        <v/>
      </c>
      <c r="FD54">
        <f>IF(OR(FB$3="",FB$3&gt;TODAY()),"",IF(AND(FB54="",FC54=""),"",N(FC54)-N(FB54)))</f>
        <v/>
      </c>
      <c r="FG54">
        <f>IF(OR(FB$3="",FB$3&gt;TODAY()),"",IF(AND(FE54="",FF54=""),"",N(FF54)-N(FE54)))</f>
        <v/>
      </c>
      <c r="FK54">
        <f>IF(OR(FI$3="",FI$3&gt;TODAY()),"",IF(AND(FI54="",FJ54=""),"",N(FJ54)-N(FI54)))</f>
        <v/>
      </c>
      <c r="FN54">
        <f>IF(OR(FI$3="",FI$3&gt;TODAY()),"",IF(AND(FL54="",FM54=""),"",N(FM54)-N(FL54)))</f>
        <v/>
      </c>
      <c r="FR54">
        <f>IF(OR(FP$3="",FP$3&gt;TODAY()),"",IF(AND(FP54="",FQ54=""),"",N(FQ54)-N(FP54)))</f>
        <v/>
      </c>
      <c r="FU54">
        <f>IF(OR(FP$3="",FP$3&gt;TODAY()),"",IF(AND(FS54="",FT54=""),"",N(FT54)-N(FS54)))</f>
        <v/>
      </c>
      <c r="FY54">
        <f>IF(OR(FW$3="",FW$3&gt;TODAY()),"",IF(AND(FW54="",FX54=""),"",N(FX54)-N(FW54)))</f>
        <v/>
      </c>
      <c r="GB54">
        <f>IF(OR(FW$3="",FW$3&gt;TODAY()),"",IF(AND(FZ54="",GA54=""),"",N(GA54)-N(FZ54)))</f>
        <v/>
      </c>
      <c r="GF54">
        <f>IF(OR(GD$3="",GD$3&gt;TODAY()),"",IF(AND(GD54="",GE54=""),"",N(GE54)-N(GD54)))</f>
        <v/>
      </c>
      <c r="GI54">
        <f>IF(OR(GD$3="",GD$3&gt;TODAY()),"",IF(AND(GG54="",GH54=""),"",N(GH54)-N(GG54)))</f>
        <v/>
      </c>
      <c r="GM54">
        <f>IF(OR(GK$3="",GK$3&gt;TODAY()),"",IF(AND(GK54="",GL54=""),"",N(GL54)-N(GK54)))</f>
        <v/>
      </c>
      <c r="GP54">
        <f>IF(OR(GK$3="",GK$3&gt;TODAY()),"",IF(AND(GN54="",GO54=""),"",N(GO54)-N(GN54)))</f>
        <v/>
      </c>
      <c r="GT54">
        <f>IF(OR(GR$3="",GR$3&gt;TODAY()),"",IF(AND(GR54="",GS54=""),"",N(GS54)-N(GR54)))</f>
        <v/>
      </c>
      <c r="GW54">
        <f>IF(OR(GR$3="",GR$3&gt;TODAY()),"",IF(AND(GU54="",GV54=""),"",N(GV54)-N(GU54)))</f>
        <v/>
      </c>
      <c r="HA54">
        <f>IF(OR(GY$3="",GY$3&gt;TODAY()),"",IF(AND(GY54="",GZ54=""),"",N(GZ54)-N(GY54)))</f>
        <v/>
      </c>
      <c r="HD54">
        <f>IF(OR(GY$3="",GY$3&gt;TODAY()),"",IF(AND(HB54="",HC54=""),"",N(HC54)-N(HB54)))</f>
        <v/>
      </c>
      <c r="HH54">
        <f>IF(OR(HF$3="",HF$3&gt;TODAY()),"",IF(AND(HF54="",HG54=""),"",N(HG54)-N(HF54)))</f>
        <v/>
      </c>
      <c r="HK54">
        <f>IF(OR(HF$3="",HF$3&gt;TODAY()),"",IF(AND(HI54="",HJ54=""),"",N(HJ54)-N(HI54)))</f>
        <v/>
      </c>
      <c r="HO54">
        <f>IF(OR(HM$3="",HM$3&gt;TODAY()),"",IF(AND(HM54="",HN54=""),"",N(HN54)-N(HM54)))</f>
        <v/>
      </c>
      <c r="HR54">
        <f>IF(OR(HM$3="",HM$3&gt;TODAY()),"",IF(AND(HP54="",HQ54=""),"",N(HQ54)-N(HP54)))</f>
        <v/>
      </c>
      <c r="HV54">
        <f>IF(OR(HT$3="",HT$3&gt;TODAY()),"",IF(AND(HT54="",HU54=""),"",N(HU54)-N(HT54)))</f>
        <v/>
      </c>
      <c r="HY54">
        <f>IF(OR(HT$3="",HT$3&gt;TODAY()),"",IF(AND(HW54="",HX54=""),"",N(HX54)-N(HW54)))</f>
        <v/>
      </c>
      <c r="IC54">
        <f>IF(OR(IA$3="",IA$3&gt;TODAY()),"",IF(AND(IA54="",IB54=""),"",N(IB54)-N(IA54)))</f>
        <v/>
      </c>
      <c r="IF54">
        <f>IF(OR(IA$3="",IA$3&gt;TODAY()),"",IF(AND(ID54="",IE54=""),"",N(IE54)-N(ID54)))</f>
        <v/>
      </c>
      <c r="IJ54">
        <f>IF(OR(IH$3="",IH$3&gt;TODAY()),"",IF(AND(IH54="",II54=""),"",N(II54)-N(IH54)))</f>
        <v/>
      </c>
      <c r="IM54">
        <f>IF(OR(IH$3="",IH$3&gt;TODAY()),"",IF(AND(IK54="",IL54=""),"",N(IL54)-N(IK54)))</f>
        <v/>
      </c>
    </row>
    <row r="55">
      <c r="A55" s="21" t="n"/>
      <c r="B55" s="21" t="n"/>
      <c r="C55" s="21" t="n"/>
      <c r="D55" s="21" t="n"/>
      <c r="E55" s="21" t="n"/>
      <c r="F55" s="21" t="n"/>
      <c r="G55" s="21" t="n"/>
      <c r="H55" s="21" t="n"/>
      <c r="I55" s="22" t="n"/>
      <c r="J55" s="22" t="n"/>
      <c r="K55" s="23" t="n"/>
      <c r="L55" s="22" t="n"/>
      <c r="M55" s="22" t="n"/>
      <c r="N55" s="21" t="n"/>
      <c r="O55" s="23" t="n"/>
      <c r="P55" s="23" t="n"/>
      <c r="Q55" s="23" t="n"/>
      <c r="R55" s="23" t="n"/>
      <c r="S55" s="22" t="n"/>
      <c r="T55" s="23" t="n"/>
      <c r="U55" s="23" t="n"/>
      <c r="V55" s="24">
        <f>IF(J55&lt;&gt;"",J55,IF(I55&lt;&gt;"",I55,""))</f>
        <v/>
      </c>
      <c r="W55" s="25">
        <f>IF($E55="","",N(O55)+SUMIFS($AF55:$IN55,$AF$4:$IN$4,"SEW_ACT"))</f>
        <v/>
      </c>
      <c r="X55" s="25">
        <f>IF($E55="","",N(P55)+SUMIFS($AF55:$IN55,$AF$4:$IN$4,"WASH_ACT"))</f>
        <v/>
      </c>
      <c r="Y55" s="25">
        <f>IF($E55="","",W55-X55-N(T55)-N(U55))</f>
        <v/>
      </c>
      <c r="Z55" s="25">
        <f>IF($E55="","",IF(N(K55)-X55&lt;=0.02*N(K55),0,N(K55)-X55))</f>
        <v/>
      </c>
      <c r="AA55" s="24">
        <f>IF($E55="","",IF(S55&lt;&gt;"",S55,IF(N(O55)&gt;0,IF(L55&lt;&gt;"",L55,99999),IFERROR(1/(1/_xlfn.MINIFS($AF$3:$IN$3,$AF$4:$IN$4,"SEW_ACT",$AF55:$IN55,"&gt;0")),99999))))</f>
        <v/>
      </c>
      <c r="AB55" s="26">
        <f>IF(OR($E55="",Z55=0,V55=""),"",1+COUNTIFS(Z$8:Z$707,"&gt;0",V$8:V$707,"&lt;"&amp;V55)+COUNTIFS(Z$8:Z$707,"&gt;0",V$8:V$707,V55,AA$8:AA$707,"&lt;"&amp;AA55)+COUNTIFS(Z$8:Z$707,"&gt;0",V$8:V$707,V55,AA$8:AA$707,AA55,E$8:E$707,"&lt;"&amp;$E55))</f>
        <v/>
      </c>
      <c r="AC55" s="24">
        <f>IF(OR($E55="",Z55=0),"",IFERROR(TODAY()+ROUNDUP(Z55/(SUMIFS($AF55:$IN55,$AF$4:$IN$4,"WASH_ACT")/COUNTIFS($AF$4:$IN$4,"WASH_ACT",$AF55:$IN55,"&gt;0")),0),"no output yet"))</f>
        <v/>
      </c>
      <c r="AD55" s="26">
        <f>IF($E55="","",IFERROR(ROUND(MAX(0,SUMIFS($AF55:$IN55,$AF$4:$IN$4,"SEW_PLAN",$AF$3:$IN$3,"&lt;="&amp;TODAY())-SUMIFS($AF55:$IN55,$AF$4:$IN$4,"SEW_ACT",$AF$3:$IN$3,"&lt;="&amp;TODAY())+N(Q55))/(SUMIFS($AF55:$IN55,$AF$4:$IN$4,"SEW_PLAN")/COUNTIFS($AF$4:$IN$4,"SEW_PLAN",$AF55:$IN55,"&gt;0")),1),0))</f>
        <v/>
      </c>
      <c r="AE55" s="26">
        <f>IF($E55="","",IF(AND(Z55&gt;0,OR(AND(M55&lt;&gt;"",TODAY()&gt;M55),AND(V55&lt;&gt;"",V55-TODAY()&lt;=7))),"Yes","No"))</f>
        <v/>
      </c>
      <c r="AH55">
        <f>IF(OR(AF$3="",AF$3&gt;TODAY()),"",IF(AND(AF55="",AG55=""),"",N(AG55)-N(AF55)))</f>
        <v/>
      </c>
      <c r="AK55">
        <f>IF(OR(AF$3="",AF$3&gt;TODAY()),"",IF(AND(AI55="",AJ55=""),"",N(AJ55)-N(AI55)))</f>
        <v/>
      </c>
      <c r="AO55">
        <f>IF(OR(AM$3="",AM$3&gt;TODAY()),"",IF(AND(AM55="",AN55=""),"",N(AN55)-N(AM55)))</f>
        <v/>
      </c>
      <c r="AR55">
        <f>IF(OR(AM$3="",AM$3&gt;TODAY()),"",IF(AND(AP55="",AQ55=""),"",N(AQ55)-N(AP55)))</f>
        <v/>
      </c>
      <c r="AV55">
        <f>IF(OR(AT$3="",AT$3&gt;TODAY()),"",IF(AND(AT55="",AU55=""),"",N(AU55)-N(AT55)))</f>
        <v/>
      </c>
      <c r="AY55">
        <f>IF(OR(AT$3="",AT$3&gt;TODAY()),"",IF(AND(AW55="",AX55=""),"",N(AX55)-N(AW55)))</f>
        <v/>
      </c>
      <c r="BC55">
        <f>IF(OR(BA$3="",BA$3&gt;TODAY()),"",IF(AND(BA55="",BB55=""),"",N(BB55)-N(BA55)))</f>
        <v/>
      </c>
      <c r="BF55">
        <f>IF(OR(BA$3="",BA$3&gt;TODAY()),"",IF(AND(BD55="",BE55=""),"",N(BE55)-N(BD55)))</f>
        <v/>
      </c>
      <c r="BJ55">
        <f>IF(OR(BH$3="",BH$3&gt;TODAY()),"",IF(AND(BH55="",BI55=""),"",N(BI55)-N(BH55)))</f>
        <v/>
      </c>
      <c r="BM55">
        <f>IF(OR(BH$3="",BH$3&gt;TODAY()),"",IF(AND(BK55="",BL55=""),"",N(BL55)-N(BK55)))</f>
        <v/>
      </c>
      <c r="BQ55">
        <f>IF(OR(BO$3="",BO$3&gt;TODAY()),"",IF(AND(BO55="",BP55=""),"",N(BP55)-N(BO55)))</f>
        <v/>
      </c>
      <c r="BT55">
        <f>IF(OR(BO$3="",BO$3&gt;TODAY()),"",IF(AND(BR55="",BS55=""),"",N(BS55)-N(BR55)))</f>
        <v/>
      </c>
      <c r="BX55">
        <f>IF(OR(BV$3="",BV$3&gt;TODAY()),"",IF(AND(BV55="",BW55=""),"",N(BW55)-N(BV55)))</f>
        <v/>
      </c>
      <c r="CA55">
        <f>IF(OR(BV$3="",BV$3&gt;TODAY()),"",IF(AND(BY55="",BZ55=""),"",N(BZ55)-N(BY55)))</f>
        <v/>
      </c>
      <c r="CE55">
        <f>IF(OR(CC$3="",CC$3&gt;TODAY()),"",IF(AND(CC55="",CD55=""),"",N(CD55)-N(CC55)))</f>
        <v/>
      </c>
      <c r="CH55">
        <f>IF(OR(CC$3="",CC$3&gt;TODAY()),"",IF(AND(CF55="",CG55=""),"",N(CG55)-N(CF55)))</f>
        <v/>
      </c>
      <c r="CL55">
        <f>IF(OR(CJ$3="",CJ$3&gt;TODAY()),"",IF(AND(CJ55="",CK55=""),"",N(CK55)-N(CJ55)))</f>
        <v/>
      </c>
      <c r="CO55">
        <f>IF(OR(CJ$3="",CJ$3&gt;TODAY()),"",IF(AND(CM55="",CN55=""),"",N(CN55)-N(CM55)))</f>
        <v/>
      </c>
      <c r="CS55">
        <f>IF(OR(CQ$3="",CQ$3&gt;TODAY()),"",IF(AND(CQ55="",CR55=""),"",N(CR55)-N(CQ55)))</f>
        <v/>
      </c>
      <c r="CV55">
        <f>IF(OR(CQ$3="",CQ$3&gt;TODAY()),"",IF(AND(CT55="",CU55=""),"",N(CU55)-N(CT55)))</f>
        <v/>
      </c>
      <c r="CZ55">
        <f>IF(OR(CX$3="",CX$3&gt;TODAY()),"",IF(AND(CX55="",CY55=""),"",N(CY55)-N(CX55)))</f>
        <v/>
      </c>
      <c r="DC55">
        <f>IF(OR(CX$3="",CX$3&gt;TODAY()),"",IF(AND(DA55="",DB55=""),"",N(DB55)-N(DA55)))</f>
        <v/>
      </c>
      <c r="DG55">
        <f>IF(OR(DE$3="",DE$3&gt;TODAY()),"",IF(AND(DE55="",DF55=""),"",N(DF55)-N(DE55)))</f>
        <v/>
      </c>
      <c r="DJ55">
        <f>IF(OR(DE$3="",DE$3&gt;TODAY()),"",IF(AND(DH55="",DI55=""),"",N(DI55)-N(DH55)))</f>
        <v/>
      </c>
      <c r="DN55">
        <f>IF(OR(DL$3="",DL$3&gt;TODAY()),"",IF(AND(DL55="",DM55=""),"",N(DM55)-N(DL55)))</f>
        <v/>
      </c>
      <c r="DQ55">
        <f>IF(OR(DL$3="",DL$3&gt;TODAY()),"",IF(AND(DO55="",DP55=""),"",N(DP55)-N(DO55)))</f>
        <v/>
      </c>
      <c r="DU55">
        <f>IF(OR(DS$3="",DS$3&gt;TODAY()),"",IF(AND(DS55="",DT55=""),"",N(DT55)-N(DS55)))</f>
        <v/>
      </c>
      <c r="DX55">
        <f>IF(OR(DS$3="",DS$3&gt;TODAY()),"",IF(AND(DV55="",DW55=""),"",N(DW55)-N(DV55)))</f>
        <v/>
      </c>
      <c r="EB55">
        <f>IF(OR(DZ$3="",DZ$3&gt;TODAY()),"",IF(AND(DZ55="",EA55=""),"",N(EA55)-N(DZ55)))</f>
        <v/>
      </c>
      <c r="EE55">
        <f>IF(OR(DZ$3="",DZ$3&gt;TODAY()),"",IF(AND(EC55="",ED55=""),"",N(ED55)-N(EC55)))</f>
        <v/>
      </c>
      <c r="EI55">
        <f>IF(OR(EG$3="",EG$3&gt;TODAY()),"",IF(AND(EG55="",EH55=""),"",N(EH55)-N(EG55)))</f>
        <v/>
      </c>
      <c r="EL55">
        <f>IF(OR(EG$3="",EG$3&gt;TODAY()),"",IF(AND(EJ55="",EK55=""),"",N(EK55)-N(EJ55)))</f>
        <v/>
      </c>
      <c r="EP55">
        <f>IF(OR(EN$3="",EN$3&gt;TODAY()),"",IF(AND(EN55="",EO55=""),"",N(EO55)-N(EN55)))</f>
        <v/>
      </c>
      <c r="ES55">
        <f>IF(OR(EN$3="",EN$3&gt;TODAY()),"",IF(AND(EQ55="",ER55=""),"",N(ER55)-N(EQ55)))</f>
        <v/>
      </c>
      <c r="EW55">
        <f>IF(OR(EU$3="",EU$3&gt;TODAY()),"",IF(AND(EU55="",EV55=""),"",N(EV55)-N(EU55)))</f>
        <v/>
      </c>
      <c r="EZ55">
        <f>IF(OR(EU$3="",EU$3&gt;TODAY()),"",IF(AND(EX55="",EY55=""),"",N(EY55)-N(EX55)))</f>
        <v/>
      </c>
      <c r="FD55">
        <f>IF(OR(FB$3="",FB$3&gt;TODAY()),"",IF(AND(FB55="",FC55=""),"",N(FC55)-N(FB55)))</f>
        <v/>
      </c>
      <c r="FG55">
        <f>IF(OR(FB$3="",FB$3&gt;TODAY()),"",IF(AND(FE55="",FF55=""),"",N(FF55)-N(FE55)))</f>
        <v/>
      </c>
      <c r="FK55">
        <f>IF(OR(FI$3="",FI$3&gt;TODAY()),"",IF(AND(FI55="",FJ55=""),"",N(FJ55)-N(FI55)))</f>
        <v/>
      </c>
      <c r="FN55">
        <f>IF(OR(FI$3="",FI$3&gt;TODAY()),"",IF(AND(FL55="",FM55=""),"",N(FM55)-N(FL55)))</f>
        <v/>
      </c>
      <c r="FR55">
        <f>IF(OR(FP$3="",FP$3&gt;TODAY()),"",IF(AND(FP55="",FQ55=""),"",N(FQ55)-N(FP55)))</f>
        <v/>
      </c>
      <c r="FU55">
        <f>IF(OR(FP$3="",FP$3&gt;TODAY()),"",IF(AND(FS55="",FT55=""),"",N(FT55)-N(FS55)))</f>
        <v/>
      </c>
      <c r="FY55">
        <f>IF(OR(FW$3="",FW$3&gt;TODAY()),"",IF(AND(FW55="",FX55=""),"",N(FX55)-N(FW55)))</f>
        <v/>
      </c>
      <c r="GB55">
        <f>IF(OR(FW$3="",FW$3&gt;TODAY()),"",IF(AND(FZ55="",GA55=""),"",N(GA55)-N(FZ55)))</f>
        <v/>
      </c>
      <c r="GF55">
        <f>IF(OR(GD$3="",GD$3&gt;TODAY()),"",IF(AND(GD55="",GE55=""),"",N(GE55)-N(GD55)))</f>
        <v/>
      </c>
      <c r="GI55">
        <f>IF(OR(GD$3="",GD$3&gt;TODAY()),"",IF(AND(GG55="",GH55=""),"",N(GH55)-N(GG55)))</f>
        <v/>
      </c>
      <c r="GM55">
        <f>IF(OR(GK$3="",GK$3&gt;TODAY()),"",IF(AND(GK55="",GL55=""),"",N(GL55)-N(GK55)))</f>
        <v/>
      </c>
      <c r="GP55">
        <f>IF(OR(GK$3="",GK$3&gt;TODAY()),"",IF(AND(GN55="",GO55=""),"",N(GO55)-N(GN55)))</f>
        <v/>
      </c>
      <c r="GT55">
        <f>IF(OR(GR$3="",GR$3&gt;TODAY()),"",IF(AND(GR55="",GS55=""),"",N(GS55)-N(GR55)))</f>
        <v/>
      </c>
      <c r="GW55">
        <f>IF(OR(GR$3="",GR$3&gt;TODAY()),"",IF(AND(GU55="",GV55=""),"",N(GV55)-N(GU55)))</f>
        <v/>
      </c>
      <c r="HA55">
        <f>IF(OR(GY$3="",GY$3&gt;TODAY()),"",IF(AND(GY55="",GZ55=""),"",N(GZ55)-N(GY55)))</f>
        <v/>
      </c>
      <c r="HD55">
        <f>IF(OR(GY$3="",GY$3&gt;TODAY()),"",IF(AND(HB55="",HC55=""),"",N(HC55)-N(HB55)))</f>
        <v/>
      </c>
      <c r="HH55">
        <f>IF(OR(HF$3="",HF$3&gt;TODAY()),"",IF(AND(HF55="",HG55=""),"",N(HG55)-N(HF55)))</f>
        <v/>
      </c>
      <c r="HK55">
        <f>IF(OR(HF$3="",HF$3&gt;TODAY()),"",IF(AND(HI55="",HJ55=""),"",N(HJ55)-N(HI55)))</f>
        <v/>
      </c>
      <c r="HO55">
        <f>IF(OR(HM$3="",HM$3&gt;TODAY()),"",IF(AND(HM55="",HN55=""),"",N(HN55)-N(HM55)))</f>
        <v/>
      </c>
      <c r="HR55">
        <f>IF(OR(HM$3="",HM$3&gt;TODAY()),"",IF(AND(HP55="",HQ55=""),"",N(HQ55)-N(HP55)))</f>
        <v/>
      </c>
      <c r="HV55">
        <f>IF(OR(HT$3="",HT$3&gt;TODAY()),"",IF(AND(HT55="",HU55=""),"",N(HU55)-N(HT55)))</f>
        <v/>
      </c>
      <c r="HY55">
        <f>IF(OR(HT$3="",HT$3&gt;TODAY()),"",IF(AND(HW55="",HX55=""),"",N(HX55)-N(HW55)))</f>
        <v/>
      </c>
      <c r="IC55">
        <f>IF(OR(IA$3="",IA$3&gt;TODAY()),"",IF(AND(IA55="",IB55=""),"",N(IB55)-N(IA55)))</f>
        <v/>
      </c>
      <c r="IF55">
        <f>IF(OR(IA$3="",IA$3&gt;TODAY()),"",IF(AND(ID55="",IE55=""),"",N(IE55)-N(ID55)))</f>
        <v/>
      </c>
      <c r="IJ55">
        <f>IF(OR(IH$3="",IH$3&gt;TODAY()),"",IF(AND(IH55="",II55=""),"",N(II55)-N(IH55)))</f>
        <v/>
      </c>
      <c r="IM55">
        <f>IF(OR(IH$3="",IH$3&gt;TODAY()),"",IF(AND(IK55="",IL55=""),"",N(IL55)-N(IK55)))</f>
        <v/>
      </c>
    </row>
    <row r="56">
      <c r="A56" s="21" t="n"/>
      <c r="B56" s="21" t="n"/>
      <c r="C56" s="21" t="n"/>
      <c r="D56" s="21" t="n"/>
      <c r="E56" s="21" t="n"/>
      <c r="F56" s="21" t="n"/>
      <c r="G56" s="21" t="n"/>
      <c r="H56" s="21" t="n"/>
      <c r="I56" s="22" t="n"/>
      <c r="J56" s="22" t="n"/>
      <c r="K56" s="23" t="n"/>
      <c r="L56" s="22" t="n"/>
      <c r="M56" s="22" t="n"/>
      <c r="N56" s="21" t="n"/>
      <c r="O56" s="23" t="n"/>
      <c r="P56" s="23" t="n"/>
      <c r="Q56" s="23" t="n"/>
      <c r="R56" s="23" t="n"/>
      <c r="S56" s="22" t="n"/>
      <c r="T56" s="23" t="n"/>
      <c r="U56" s="23" t="n"/>
      <c r="V56" s="24">
        <f>IF(J56&lt;&gt;"",J56,IF(I56&lt;&gt;"",I56,""))</f>
        <v/>
      </c>
      <c r="W56" s="25">
        <f>IF($E56="","",N(O56)+SUMIFS($AF56:$IN56,$AF$4:$IN$4,"SEW_ACT"))</f>
        <v/>
      </c>
      <c r="X56" s="25">
        <f>IF($E56="","",N(P56)+SUMIFS($AF56:$IN56,$AF$4:$IN$4,"WASH_ACT"))</f>
        <v/>
      </c>
      <c r="Y56" s="25">
        <f>IF($E56="","",W56-X56-N(T56)-N(U56))</f>
        <v/>
      </c>
      <c r="Z56" s="25">
        <f>IF($E56="","",IF(N(K56)-X56&lt;=0.02*N(K56),0,N(K56)-X56))</f>
        <v/>
      </c>
      <c r="AA56" s="24">
        <f>IF($E56="","",IF(S56&lt;&gt;"",S56,IF(N(O56)&gt;0,IF(L56&lt;&gt;"",L56,99999),IFERROR(1/(1/_xlfn.MINIFS($AF$3:$IN$3,$AF$4:$IN$4,"SEW_ACT",$AF56:$IN56,"&gt;0")),99999))))</f>
        <v/>
      </c>
      <c r="AB56" s="26">
        <f>IF(OR($E56="",Z56=0,V56=""),"",1+COUNTIFS(Z$8:Z$707,"&gt;0",V$8:V$707,"&lt;"&amp;V56)+COUNTIFS(Z$8:Z$707,"&gt;0",V$8:V$707,V56,AA$8:AA$707,"&lt;"&amp;AA56)+COUNTIFS(Z$8:Z$707,"&gt;0",V$8:V$707,V56,AA$8:AA$707,AA56,E$8:E$707,"&lt;"&amp;$E56))</f>
        <v/>
      </c>
      <c r="AC56" s="24">
        <f>IF(OR($E56="",Z56=0),"",IFERROR(TODAY()+ROUNDUP(Z56/(SUMIFS($AF56:$IN56,$AF$4:$IN$4,"WASH_ACT")/COUNTIFS($AF$4:$IN$4,"WASH_ACT",$AF56:$IN56,"&gt;0")),0),"no output yet"))</f>
        <v/>
      </c>
      <c r="AD56" s="26">
        <f>IF($E56="","",IFERROR(ROUND(MAX(0,SUMIFS($AF56:$IN56,$AF$4:$IN$4,"SEW_PLAN",$AF$3:$IN$3,"&lt;="&amp;TODAY())-SUMIFS($AF56:$IN56,$AF$4:$IN$4,"SEW_ACT",$AF$3:$IN$3,"&lt;="&amp;TODAY())+N(Q56))/(SUMIFS($AF56:$IN56,$AF$4:$IN$4,"SEW_PLAN")/COUNTIFS($AF$4:$IN$4,"SEW_PLAN",$AF56:$IN56,"&gt;0")),1),0))</f>
        <v/>
      </c>
      <c r="AE56" s="26">
        <f>IF($E56="","",IF(AND(Z56&gt;0,OR(AND(M56&lt;&gt;"",TODAY()&gt;M56),AND(V56&lt;&gt;"",V56-TODAY()&lt;=7))),"Yes","No"))</f>
        <v/>
      </c>
      <c r="AH56">
        <f>IF(OR(AF$3="",AF$3&gt;TODAY()),"",IF(AND(AF56="",AG56=""),"",N(AG56)-N(AF56)))</f>
        <v/>
      </c>
      <c r="AK56">
        <f>IF(OR(AF$3="",AF$3&gt;TODAY()),"",IF(AND(AI56="",AJ56=""),"",N(AJ56)-N(AI56)))</f>
        <v/>
      </c>
      <c r="AO56">
        <f>IF(OR(AM$3="",AM$3&gt;TODAY()),"",IF(AND(AM56="",AN56=""),"",N(AN56)-N(AM56)))</f>
        <v/>
      </c>
      <c r="AR56">
        <f>IF(OR(AM$3="",AM$3&gt;TODAY()),"",IF(AND(AP56="",AQ56=""),"",N(AQ56)-N(AP56)))</f>
        <v/>
      </c>
      <c r="AV56">
        <f>IF(OR(AT$3="",AT$3&gt;TODAY()),"",IF(AND(AT56="",AU56=""),"",N(AU56)-N(AT56)))</f>
        <v/>
      </c>
      <c r="AY56">
        <f>IF(OR(AT$3="",AT$3&gt;TODAY()),"",IF(AND(AW56="",AX56=""),"",N(AX56)-N(AW56)))</f>
        <v/>
      </c>
      <c r="BC56">
        <f>IF(OR(BA$3="",BA$3&gt;TODAY()),"",IF(AND(BA56="",BB56=""),"",N(BB56)-N(BA56)))</f>
        <v/>
      </c>
      <c r="BF56">
        <f>IF(OR(BA$3="",BA$3&gt;TODAY()),"",IF(AND(BD56="",BE56=""),"",N(BE56)-N(BD56)))</f>
        <v/>
      </c>
      <c r="BJ56">
        <f>IF(OR(BH$3="",BH$3&gt;TODAY()),"",IF(AND(BH56="",BI56=""),"",N(BI56)-N(BH56)))</f>
        <v/>
      </c>
      <c r="BM56">
        <f>IF(OR(BH$3="",BH$3&gt;TODAY()),"",IF(AND(BK56="",BL56=""),"",N(BL56)-N(BK56)))</f>
        <v/>
      </c>
      <c r="BQ56">
        <f>IF(OR(BO$3="",BO$3&gt;TODAY()),"",IF(AND(BO56="",BP56=""),"",N(BP56)-N(BO56)))</f>
        <v/>
      </c>
      <c r="BT56">
        <f>IF(OR(BO$3="",BO$3&gt;TODAY()),"",IF(AND(BR56="",BS56=""),"",N(BS56)-N(BR56)))</f>
        <v/>
      </c>
      <c r="BX56">
        <f>IF(OR(BV$3="",BV$3&gt;TODAY()),"",IF(AND(BV56="",BW56=""),"",N(BW56)-N(BV56)))</f>
        <v/>
      </c>
      <c r="CA56">
        <f>IF(OR(BV$3="",BV$3&gt;TODAY()),"",IF(AND(BY56="",BZ56=""),"",N(BZ56)-N(BY56)))</f>
        <v/>
      </c>
      <c r="CE56">
        <f>IF(OR(CC$3="",CC$3&gt;TODAY()),"",IF(AND(CC56="",CD56=""),"",N(CD56)-N(CC56)))</f>
        <v/>
      </c>
      <c r="CH56">
        <f>IF(OR(CC$3="",CC$3&gt;TODAY()),"",IF(AND(CF56="",CG56=""),"",N(CG56)-N(CF56)))</f>
        <v/>
      </c>
      <c r="CL56">
        <f>IF(OR(CJ$3="",CJ$3&gt;TODAY()),"",IF(AND(CJ56="",CK56=""),"",N(CK56)-N(CJ56)))</f>
        <v/>
      </c>
      <c r="CO56">
        <f>IF(OR(CJ$3="",CJ$3&gt;TODAY()),"",IF(AND(CM56="",CN56=""),"",N(CN56)-N(CM56)))</f>
        <v/>
      </c>
      <c r="CS56">
        <f>IF(OR(CQ$3="",CQ$3&gt;TODAY()),"",IF(AND(CQ56="",CR56=""),"",N(CR56)-N(CQ56)))</f>
        <v/>
      </c>
      <c r="CV56">
        <f>IF(OR(CQ$3="",CQ$3&gt;TODAY()),"",IF(AND(CT56="",CU56=""),"",N(CU56)-N(CT56)))</f>
        <v/>
      </c>
      <c r="CZ56">
        <f>IF(OR(CX$3="",CX$3&gt;TODAY()),"",IF(AND(CX56="",CY56=""),"",N(CY56)-N(CX56)))</f>
        <v/>
      </c>
      <c r="DC56">
        <f>IF(OR(CX$3="",CX$3&gt;TODAY()),"",IF(AND(DA56="",DB56=""),"",N(DB56)-N(DA56)))</f>
        <v/>
      </c>
      <c r="DG56">
        <f>IF(OR(DE$3="",DE$3&gt;TODAY()),"",IF(AND(DE56="",DF56=""),"",N(DF56)-N(DE56)))</f>
        <v/>
      </c>
      <c r="DJ56">
        <f>IF(OR(DE$3="",DE$3&gt;TODAY()),"",IF(AND(DH56="",DI56=""),"",N(DI56)-N(DH56)))</f>
        <v/>
      </c>
      <c r="DN56">
        <f>IF(OR(DL$3="",DL$3&gt;TODAY()),"",IF(AND(DL56="",DM56=""),"",N(DM56)-N(DL56)))</f>
        <v/>
      </c>
      <c r="DQ56">
        <f>IF(OR(DL$3="",DL$3&gt;TODAY()),"",IF(AND(DO56="",DP56=""),"",N(DP56)-N(DO56)))</f>
        <v/>
      </c>
      <c r="DU56">
        <f>IF(OR(DS$3="",DS$3&gt;TODAY()),"",IF(AND(DS56="",DT56=""),"",N(DT56)-N(DS56)))</f>
        <v/>
      </c>
      <c r="DX56">
        <f>IF(OR(DS$3="",DS$3&gt;TODAY()),"",IF(AND(DV56="",DW56=""),"",N(DW56)-N(DV56)))</f>
        <v/>
      </c>
      <c r="EB56">
        <f>IF(OR(DZ$3="",DZ$3&gt;TODAY()),"",IF(AND(DZ56="",EA56=""),"",N(EA56)-N(DZ56)))</f>
        <v/>
      </c>
      <c r="EE56">
        <f>IF(OR(DZ$3="",DZ$3&gt;TODAY()),"",IF(AND(EC56="",ED56=""),"",N(ED56)-N(EC56)))</f>
        <v/>
      </c>
      <c r="EI56">
        <f>IF(OR(EG$3="",EG$3&gt;TODAY()),"",IF(AND(EG56="",EH56=""),"",N(EH56)-N(EG56)))</f>
        <v/>
      </c>
      <c r="EL56">
        <f>IF(OR(EG$3="",EG$3&gt;TODAY()),"",IF(AND(EJ56="",EK56=""),"",N(EK56)-N(EJ56)))</f>
        <v/>
      </c>
      <c r="EP56">
        <f>IF(OR(EN$3="",EN$3&gt;TODAY()),"",IF(AND(EN56="",EO56=""),"",N(EO56)-N(EN56)))</f>
        <v/>
      </c>
      <c r="ES56">
        <f>IF(OR(EN$3="",EN$3&gt;TODAY()),"",IF(AND(EQ56="",ER56=""),"",N(ER56)-N(EQ56)))</f>
        <v/>
      </c>
      <c r="EW56">
        <f>IF(OR(EU$3="",EU$3&gt;TODAY()),"",IF(AND(EU56="",EV56=""),"",N(EV56)-N(EU56)))</f>
        <v/>
      </c>
      <c r="EZ56">
        <f>IF(OR(EU$3="",EU$3&gt;TODAY()),"",IF(AND(EX56="",EY56=""),"",N(EY56)-N(EX56)))</f>
        <v/>
      </c>
      <c r="FD56">
        <f>IF(OR(FB$3="",FB$3&gt;TODAY()),"",IF(AND(FB56="",FC56=""),"",N(FC56)-N(FB56)))</f>
        <v/>
      </c>
      <c r="FG56">
        <f>IF(OR(FB$3="",FB$3&gt;TODAY()),"",IF(AND(FE56="",FF56=""),"",N(FF56)-N(FE56)))</f>
        <v/>
      </c>
      <c r="FK56">
        <f>IF(OR(FI$3="",FI$3&gt;TODAY()),"",IF(AND(FI56="",FJ56=""),"",N(FJ56)-N(FI56)))</f>
        <v/>
      </c>
      <c r="FN56">
        <f>IF(OR(FI$3="",FI$3&gt;TODAY()),"",IF(AND(FL56="",FM56=""),"",N(FM56)-N(FL56)))</f>
        <v/>
      </c>
      <c r="FR56">
        <f>IF(OR(FP$3="",FP$3&gt;TODAY()),"",IF(AND(FP56="",FQ56=""),"",N(FQ56)-N(FP56)))</f>
        <v/>
      </c>
      <c r="FU56">
        <f>IF(OR(FP$3="",FP$3&gt;TODAY()),"",IF(AND(FS56="",FT56=""),"",N(FT56)-N(FS56)))</f>
        <v/>
      </c>
      <c r="FY56">
        <f>IF(OR(FW$3="",FW$3&gt;TODAY()),"",IF(AND(FW56="",FX56=""),"",N(FX56)-N(FW56)))</f>
        <v/>
      </c>
      <c r="GB56">
        <f>IF(OR(FW$3="",FW$3&gt;TODAY()),"",IF(AND(FZ56="",GA56=""),"",N(GA56)-N(FZ56)))</f>
        <v/>
      </c>
      <c r="GF56">
        <f>IF(OR(GD$3="",GD$3&gt;TODAY()),"",IF(AND(GD56="",GE56=""),"",N(GE56)-N(GD56)))</f>
        <v/>
      </c>
      <c r="GI56">
        <f>IF(OR(GD$3="",GD$3&gt;TODAY()),"",IF(AND(GG56="",GH56=""),"",N(GH56)-N(GG56)))</f>
        <v/>
      </c>
      <c r="GM56">
        <f>IF(OR(GK$3="",GK$3&gt;TODAY()),"",IF(AND(GK56="",GL56=""),"",N(GL56)-N(GK56)))</f>
        <v/>
      </c>
      <c r="GP56">
        <f>IF(OR(GK$3="",GK$3&gt;TODAY()),"",IF(AND(GN56="",GO56=""),"",N(GO56)-N(GN56)))</f>
        <v/>
      </c>
      <c r="GT56">
        <f>IF(OR(GR$3="",GR$3&gt;TODAY()),"",IF(AND(GR56="",GS56=""),"",N(GS56)-N(GR56)))</f>
        <v/>
      </c>
      <c r="GW56">
        <f>IF(OR(GR$3="",GR$3&gt;TODAY()),"",IF(AND(GU56="",GV56=""),"",N(GV56)-N(GU56)))</f>
        <v/>
      </c>
      <c r="HA56">
        <f>IF(OR(GY$3="",GY$3&gt;TODAY()),"",IF(AND(GY56="",GZ56=""),"",N(GZ56)-N(GY56)))</f>
        <v/>
      </c>
      <c r="HD56">
        <f>IF(OR(GY$3="",GY$3&gt;TODAY()),"",IF(AND(HB56="",HC56=""),"",N(HC56)-N(HB56)))</f>
        <v/>
      </c>
      <c r="HH56">
        <f>IF(OR(HF$3="",HF$3&gt;TODAY()),"",IF(AND(HF56="",HG56=""),"",N(HG56)-N(HF56)))</f>
        <v/>
      </c>
      <c r="HK56">
        <f>IF(OR(HF$3="",HF$3&gt;TODAY()),"",IF(AND(HI56="",HJ56=""),"",N(HJ56)-N(HI56)))</f>
        <v/>
      </c>
      <c r="HO56">
        <f>IF(OR(HM$3="",HM$3&gt;TODAY()),"",IF(AND(HM56="",HN56=""),"",N(HN56)-N(HM56)))</f>
        <v/>
      </c>
      <c r="HR56">
        <f>IF(OR(HM$3="",HM$3&gt;TODAY()),"",IF(AND(HP56="",HQ56=""),"",N(HQ56)-N(HP56)))</f>
        <v/>
      </c>
      <c r="HV56">
        <f>IF(OR(HT$3="",HT$3&gt;TODAY()),"",IF(AND(HT56="",HU56=""),"",N(HU56)-N(HT56)))</f>
        <v/>
      </c>
      <c r="HY56">
        <f>IF(OR(HT$3="",HT$3&gt;TODAY()),"",IF(AND(HW56="",HX56=""),"",N(HX56)-N(HW56)))</f>
        <v/>
      </c>
      <c r="IC56">
        <f>IF(OR(IA$3="",IA$3&gt;TODAY()),"",IF(AND(IA56="",IB56=""),"",N(IB56)-N(IA56)))</f>
        <v/>
      </c>
      <c r="IF56">
        <f>IF(OR(IA$3="",IA$3&gt;TODAY()),"",IF(AND(ID56="",IE56=""),"",N(IE56)-N(ID56)))</f>
        <v/>
      </c>
      <c r="IJ56">
        <f>IF(OR(IH$3="",IH$3&gt;TODAY()),"",IF(AND(IH56="",II56=""),"",N(II56)-N(IH56)))</f>
        <v/>
      </c>
      <c r="IM56">
        <f>IF(OR(IH$3="",IH$3&gt;TODAY()),"",IF(AND(IK56="",IL56=""),"",N(IL56)-N(IK56)))</f>
        <v/>
      </c>
    </row>
    <row r="57">
      <c r="A57" s="21" t="n"/>
      <c r="B57" s="21" t="n"/>
      <c r="C57" s="21" t="n"/>
      <c r="D57" s="21" t="n"/>
      <c r="E57" s="21" t="n"/>
      <c r="F57" s="21" t="n"/>
      <c r="G57" s="21" t="n"/>
      <c r="H57" s="21" t="n"/>
      <c r="I57" s="22" t="n"/>
      <c r="J57" s="22" t="n"/>
      <c r="K57" s="23" t="n"/>
      <c r="L57" s="22" t="n"/>
      <c r="M57" s="22" t="n"/>
      <c r="N57" s="21" t="n"/>
      <c r="O57" s="23" t="n"/>
      <c r="P57" s="23" t="n"/>
      <c r="Q57" s="23" t="n"/>
      <c r="R57" s="23" t="n"/>
      <c r="S57" s="22" t="n"/>
      <c r="T57" s="23" t="n"/>
      <c r="U57" s="23" t="n"/>
      <c r="V57" s="24">
        <f>IF(J57&lt;&gt;"",J57,IF(I57&lt;&gt;"",I57,""))</f>
        <v/>
      </c>
      <c r="W57" s="25">
        <f>IF($E57="","",N(O57)+SUMIFS($AF57:$IN57,$AF$4:$IN$4,"SEW_ACT"))</f>
        <v/>
      </c>
      <c r="X57" s="25">
        <f>IF($E57="","",N(P57)+SUMIFS($AF57:$IN57,$AF$4:$IN$4,"WASH_ACT"))</f>
        <v/>
      </c>
      <c r="Y57" s="25">
        <f>IF($E57="","",W57-X57-N(T57)-N(U57))</f>
        <v/>
      </c>
      <c r="Z57" s="25">
        <f>IF($E57="","",IF(N(K57)-X57&lt;=0.02*N(K57),0,N(K57)-X57))</f>
        <v/>
      </c>
      <c r="AA57" s="24">
        <f>IF($E57="","",IF(S57&lt;&gt;"",S57,IF(N(O57)&gt;0,IF(L57&lt;&gt;"",L57,99999),IFERROR(1/(1/_xlfn.MINIFS($AF$3:$IN$3,$AF$4:$IN$4,"SEW_ACT",$AF57:$IN57,"&gt;0")),99999))))</f>
        <v/>
      </c>
      <c r="AB57" s="26">
        <f>IF(OR($E57="",Z57=0,V57=""),"",1+COUNTIFS(Z$8:Z$707,"&gt;0",V$8:V$707,"&lt;"&amp;V57)+COUNTIFS(Z$8:Z$707,"&gt;0",V$8:V$707,V57,AA$8:AA$707,"&lt;"&amp;AA57)+COUNTIFS(Z$8:Z$707,"&gt;0",V$8:V$707,V57,AA$8:AA$707,AA57,E$8:E$707,"&lt;"&amp;$E57))</f>
        <v/>
      </c>
      <c r="AC57" s="24">
        <f>IF(OR($E57="",Z57=0),"",IFERROR(TODAY()+ROUNDUP(Z57/(SUMIFS($AF57:$IN57,$AF$4:$IN$4,"WASH_ACT")/COUNTIFS($AF$4:$IN$4,"WASH_ACT",$AF57:$IN57,"&gt;0")),0),"no output yet"))</f>
        <v/>
      </c>
      <c r="AD57" s="26">
        <f>IF($E57="","",IFERROR(ROUND(MAX(0,SUMIFS($AF57:$IN57,$AF$4:$IN$4,"SEW_PLAN",$AF$3:$IN$3,"&lt;="&amp;TODAY())-SUMIFS($AF57:$IN57,$AF$4:$IN$4,"SEW_ACT",$AF$3:$IN$3,"&lt;="&amp;TODAY())+N(Q57))/(SUMIFS($AF57:$IN57,$AF$4:$IN$4,"SEW_PLAN")/COUNTIFS($AF$4:$IN$4,"SEW_PLAN",$AF57:$IN57,"&gt;0")),1),0))</f>
        <v/>
      </c>
      <c r="AE57" s="26">
        <f>IF($E57="","",IF(AND(Z57&gt;0,OR(AND(M57&lt;&gt;"",TODAY()&gt;M57),AND(V57&lt;&gt;"",V57-TODAY()&lt;=7))),"Yes","No"))</f>
        <v/>
      </c>
      <c r="AH57">
        <f>IF(OR(AF$3="",AF$3&gt;TODAY()),"",IF(AND(AF57="",AG57=""),"",N(AG57)-N(AF57)))</f>
        <v/>
      </c>
      <c r="AK57">
        <f>IF(OR(AF$3="",AF$3&gt;TODAY()),"",IF(AND(AI57="",AJ57=""),"",N(AJ57)-N(AI57)))</f>
        <v/>
      </c>
      <c r="AO57">
        <f>IF(OR(AM$3="",AM$3&gt;TODAY()),"",IF(AND(AM57="",AN57=""),"",N(AN57)-N(AM57)))</f>
        <v/>
      </c>
      <c r="AR57">
        <f>IF(OR(AM$3="",AM$3&gt;TODAY()),"",IF(AND(AP57="",AQ57=""),"",N(AQ57)-N(AP57)))</f>
        <v/>
      </c>
      <c r="AV57">
        <f>IF(OR(AT$3="",AT$3&gt;TODAY()),"",IF(AND(AT57="",AU57=""),"",N(AU57)-N(AT57)))</f>
        <v/>
      </c>
      <c r="AY57">
        <f>IF(OR(AT$3="",AT$3&gt;TODAY()),"",IF(AND(AW57="",AX57=""),"",N(AX57)-N(AW57)))</f>
        <v/>
      </c>
      <c r="BC57">
        <f>IF(OR(BA$3="",BA$3&gt;TODAY()),"",IF(AND(BA57="",BB57=""),"",N(BB57)-N(BA57)))</f>
        <v/>
      </c>
      <c r="BF57">
        <f>IF(OR(BA$3="",BA$3&gt;TODAY()),"",IF(AND(BD57="",BE57=""),"",N(BE57)-N(BD57)))</f>
        <v/>
      </c>
      <c r="BJ57">
        <f>IF(OR(BH$3="",BH$3&gt;TODAY()),"",IF(AND(BH57="",BI57=""),"",N(BI57)-N(BH57)))</f>
        <v/>
      </c>
      <c r="BM57">
        <f>IF(OR(BH$3="",BH$3&gt;TODAY()),"",IF(AND(BK57="",BL57=""),"",N(BL57)-N(BK57)))</f>
        <v/>
      </c>
      <c r="BQ57">
        <f>IF(OR(BO$3="",BO$3&gt;TODAY()),"",IF(AND(BO57="",BP57=""),"",N(BP57)-N(BO57)))</f>
        <v/>
      </c>
      <c r="BT57">
        <f>IF(OR(BO$3="",BO$3&gt;TODAY()),"",IF(AND(BR57="",BS57=""),"",N(BS57)-N(BR57)))</f>
        <v/>
      </c>
      <c r="BX57">
        <f>IF(OR(BV$3="",BV$3&gt;TODAY()),"",IF(AND(BV57="",BW57=""),"",N(BW57)-N(BV57)))</f>
        <v/>
      </c>
      <c r="CA57">
        <f>IF(OR(BV$3="",BV$3&gt;TODAY()),"",IF(AND(BY57="",BZ57=""),"",N(BZ57)-N(BY57)))</f>
        <v/>
      </c>
      <c r="CE57">
        <f>IF(OR(CC$3="",CC$3&gt;TODAY()),"",IF(AND(CC57="",CD57=""),"",N(CD57)-N(CC57)))</f>
        <v/>
      </c>
      <c r="CH57">
        <f>IF(OR(CC$3="",CC$3&gt;TODAY()),"",IF(AND(CF57="",CG57=""),"",N(CG57)-N(CF57)))</f>
        <v/>
      </c>
      <c r="CL57">
        <f>IF(OR(CJ$3="",CJ$3&gt;TODAY()),"",IF(AND(CJ57="",CK57=""),"",N(CK57)-N(CJ57)))</f>
        <v/>
      </c>
      <c r="CO57">
        <f>IF(OR(CJ$3="",CJ$3&gt;TODAY()),"",IF(AND(CM57="",CN57=""),"",N(CN57)-N(CM57)))</f>
        <v/>
      </c>
      <c r="CS57">
        <f>IF(OR(CQ$3="",CQ$3&gt;TODAY()),"",IF(AND(CQ57="",CR57=""),"",N(CR57)-N(CQ57)))</f>
        <v/>
      </c>
      <c r="CV57">
        <f>IF(OR(CQ$3="",CQ$3&gt;TODAY()),"",IF(AND(CT57="",CU57=""),"",N(CU57)-N(CT57)))</f>
        <v/>
      </c>
      <c r="CZ57">
        <f>IF(OR(CX$3="",CX$3&gt;TODAY()),"",IF(AND(CX57="",CY57=""),"",N(CY57)-N(CX57)))</f>
        <v/>
      </c>
      <c r="DC57">
        <f>IF(OR(CX$3="",CX$3&gt;TODAY()),"",IF(AND(DA57="",DB57=""),"",N(DB57)-N(DA57)))</f>
        <v/>
      </c>
      <c r="DG57">
        <f>IF(OR(DE$3="",DE$3&gt;TODAY()),"",IF(AND(DE57="",DF57=""),"",N(DF57)-N(DE57)))</f>
        <v/>
      </c>
      <c r="DJ57">
        <f>IF(OR(DE$3="",DE$3&gt;TODAY()),"",IF(AND(DH57="",DI57=""),"",N(DI57)-N(DH57)))</f>
        <v/>
      </c>
      <c r="DN57">
        <f>IF(OR(DL$3="",DL$3&gt;TODAY()),"",IF(AND(DL57="",DM57=""),"",N(DM57)-N(DL57)))</f>
        <v/>
      </c>
      <c r="DQ57">
        <f>IF(OR(DL$3="",DL$3&gt;TODAY()),"",IF(AND(DO57="",DP57=""),"",N(DP57)-N(DO57)))</f>
        <v/>
      </c>
      <c r="DU57">
        <f>IF(OR(DS$3="",DS$3&gt;TODAY()),"",IF(AND(DS57="",DT57=""),"",N(DT57)-N(DS57)))</f>
        <v/>
      </c>
      <c r="DX57">
        <f>IF(OR(DS$3="",DS$3&gt;TODAY()),"",IF(AND(DV57="",DW57=""),"",N(DW57)-N(DV57)))</f>
        <v/>
      </c>
      <c r="EB57">
        <f>IF(OR(DZ$3="",DZ$3&gt;TODAY()),"",IF(AND(DZ57="",EA57=""),"",N(EA57)-N(DZ57)))</f>
        <v/>
      </c>
      <c r="EE57">
        <f>IF(OR(DZ$3="",DZ$3&gt;TODAY()),"",IF(AND(EC57="",ED57=""),"",N(ED57)-N(EC57)))</f>
        <v/>
      </c>
      <c r="EI57">
        <f>IF(OR(EG$3="",EG$3&gt;TODAY()),"",IF(AND(EG57="",EH57=""),"",N(EH57)-N(EG57)))</f>
        <v/>
      </c>
      <c r="EL57">
        <f>IF(OR(EG$3="",EG$3&gt;TODAY()),"",IF(AND(EJ57="",EK57=""),"",N(EK57)-N(EJ57)))</f>
        <v/>
      </c>
      <c r="EP57">
        <f>IF(OR(EN$3="",EN$3&gt;TODAY()),"",IF(AND(EN57="",EO57=""),"",N(EO57)-N(EN57)))</f>
        <v/>
      </c>
      <c r="ES57">
        <f>IF(OR(EN$3="",EN$3&gt;TODAY()),"",IF(AND(EQ57="",ER57=""),"",N(ER57)-N(EQ57)))</f>
        <v/>
      </c>
      <c r="EW57">
        <f>IF(OR(EU$3="",EU$3&gt;TODAY()),"",IF(AND(EU57="",EV57=""),"",N(EV57)-N(EU57)))</f>
        <v/>
      </c>
      <c r="EZ57">
        <f>IF(OR(EU$3="",EU$3&gt;TODAY()),"",IF(AND(EX57="",EY57=""),"",N(EY57)-N(EX57)))</f>
        <v/>
      </c>
      <c r="FD57">
        <f>IF(OR(FB$3="",FB$3&gt;TODAY()),"",IF(AND(FB57="",FC57=""),"",N(FC57)-N(FB57)))</f>
        <v/>
      </c>
      <c r="FG57">
        <f>IF(OR(FB$3="",FB$3&gt;TODAY()),"",IF(AND(FE57="",FF57=""),"",N(FF57)-N(FE57)))</f>
        <v/>
      </c>
      <c r="FK57">
        <f>IF(OR(FI$3="",FI$3&gt;TODAY()),"",IF(AND(FI57="",FJ57=""),"",N(FJ57)-N(FI57)))</f>
        <v/>
      </c>
      <c r="FN57">
        <f>IF(OR(FI$3="",FI$3&gt;TODAY()),"",IF(AND(FL57="",FM57=""),"",N(FM57)-N(FL57)))</f>
        <v/>
      </c>
      <c r="FR57">
        <f>IF(OR(FP$3="",FP$3&gt;TODAY()),"",IF(AND(FP57="",FQ57=""),"",N(FQ57)-N(FP57)))</f>
        <v/>
      </c>
      <c r="FU57">
        <f>IF(OR(FP$3="",FP$3&gt;TODAY()),"",IF(AND(FS57="",FT57=""),"",N(FT57)-N(FS57)))</f>
        <v/>
      </c>
      <c r="FY57">
        <f>IF(OR(FW$3="",FW$3&gt;TODAY()),"",IF(AND(FW57="",FX57=""),"",N(FX57)-N(FW57)))</f>
        <v/>
      </c>
      <c r="GB57">
        <f>IF(OR(FW$3="",FW$3&gt;TODAY()),"",IF(AND(FZ57="",GA57=""),"",N(GA57)-N(FZ57)))</f>
        <v/>
      </c>
      <c r="GF57">
        <f>IF(OR(GD$3="",GD$3&gt;TODAY()),"",IF(AND(GD57="",GE57=""),"",N(GE57)-N(GD57)))</f>
        <v/>
      </c>
      <c r="GI57">
        <f>IF(OR(GD$3="",GD$3&gt;TODAY()),"",IF(AND(GG57="",GH57=""),"",N(GH57)-N(GG57)))</f>
        <v/>
      </c>
      <c r="GM57">
        <f>IF(OR(GK$3="",GK$3&gt;TODAY()),"",IF(AND(GK57="",GL57=""),"",N(GL57)-N(GK57)))</f>
        <v/>
      </c>
      <c r="GP57">
        <f>IF(OR(GK$3="",GK$3&gt;TODAY()),"",IF(AND(GN57="",GO57=""),"",N(GO57)-N(GN57)))</f>
        <v/>
      </c>
      <c r="GT57">
        <f>IF(OR(GR$3="",GR$3&gt;TODAY()),"",IF(AND(GR57="",GS57=""),"",N(GS57)-N(GR57)))</f>
        <v/>
      </c>
      <c r="GW57">
        <f>IF(OR(GR$3="",GR$3&gt;TODAY()),"",IF(AND(GU57="",GV57=""),"",N(GV57)-N(GU57)))</f>
        <v/>
      </c>
      <c r="HA57">
        <f>IF(OR(GY$3="",GY$3&gt;TODAY()),"",IF(AND(GY57="",GZ57=""),"",N(GZ57)-N(GY57)))</f>
        <v/>
      </c>
      <c r="HD57">
        <f>IF(OR(GY$3="",GY$3&gt;TODAY()),"",IF(AND(HB57="",HC57=""),"",N(HC57)-N(HB57)))</f>
        <v/>
      </c>
      <c r="HH57">
        <f>IF(OR(HF$3="",HF$3&gt;TODAY()),"",IF(AND(HF57="",HG57=""),"",N(HG57)-N(HF57)))</f>
        <v/>
      </c>
      <c r="HK57">
        <f>IF(OR(HF$3="",HF$3&gt;TODAY()),"",IF(AND(HI57="",HJ57=""),"",N(HJ57)-N(HI57)))</f>
        <v/>
      </c>
      <c r="HO57">
        <f>IF(OR(HM$3="",HM$3&gt;TODAY()),"",IF(AND(HM57="",HN57=""),"",N(HN57)-N(HM57)))</f>
        <v/>
      </c>
      <c r="HR57">
        <f>IF(OR(HM$3="",HM$3&gt;TODAY()),"",IF(AND(HP57="",HQ57=""),"",N(HQ57)-N(HP57)))</f>
        <v/>
      </c>
      <c r="HV57">
        <f>IF(OR(HT$3="",HT$3&gt;TODAY()),"",IF(AND(HT57="",HU57=""),"",N(HU57)-N(HT57)))</f>
        <v/>
      </c>
      <c r="HY57">
        <f>IF(OR(HT$3="",HT$3&gt;TODAY()),"",IF(AND(HW57="",HX57=""),"",N(HX57)-N(HW57)))</f>
        <v/>
      </c>
      <c r="IC57">
        <f>IF(OR(IA$3="",IA$3&gt;TODAY()),"",IF(AND(IA57="",IB57=""),"",N(IB57)-N(IA57)))</f>
        <v/>
      </c>
      <c r="IF57">
        <f>IF(OR(IA$3="",IA$3&gt;TODAY()),"",IF(AND(ID57="",IE57=""),"",N(IE57)-N(ID57)))</f>
        <v/>
      </c>
      <c r="IJ57">
        <f>IF(OR(IH$3="",IH$3&gt;TODAY()),"",IF(AND(IH57="",II57=""),"",N(II57)-N(IH57)))</f>
        <v/>
      </c>
      <c r="IM57">
        <f>IF(OR(IH$3="",IH$3&gt;TODAY()),"",IF(AND(IK57="",IL57=""),"",N(IL57)-N(IK57)))</f>
        <v/>
      </c>
    </row>
    <row r="58">
      <c r="A58" s="21" t="n"/>
      <c r="B58" s="21" t="n"/>
      <c r="C58" s="21" t="n"/>
      <c r="D58" s="21" t="n"/>
      <c r="E58" s="21" t="n"/>
      <c r="F58" s="21" t="n"/>
      <c r="G58" s="21" t="n"/>
      <c r="H58" s="21" t="n"/>
      <c r="I58" s="22" t="n"/>
      <c r="J58" s="22" t="n"/>
      <c r="K58" s="23" t="n"/>
      <c r="L58" s="22" t="n"/>
      <c r="M58" s="22" t="n"/>
      <c r="N58" s="21" t="n"/>
      <c r="O58" s="23" t="n"/>
      <c r="P58" s="23" t="n"/>
      <c r="Q58" s="23" t="n"/>
      <c r="R58" s="23" t="n"/>
      <c r="S58" s="22" t="n"/>
      <c r="T58" s="23" t="n"/>
      <c r="U58" s="23" t="n"/>
      <c r="V58" s="24">
        <f>IF(J58&lt;&gt;"",J58,IF(I58&lt;&gt;"",I58,""))</f>
        <v/>
      </c>
      <c r="W58" s="25">
        <f>IF($E58="","",N(O58)+SUMIFS($AF58:$IN58,$AF$4:$IN$4,"SEW_ACT"))</f>
        <v/>
      </c>
      <c r="X58" s="25">
        <f>IF($E58="","",N(P58)+SUMIFS($AF58:$IN58,$AF$4:$IN$4,"WASH_ACT"))</f>
        <v/>
      </c>
      <c r="Y58" s="25">
        <f>IF($E58="","",W58-X58-N(T58)-N(U58))</f>
        <v/>
      </c>
      <c r="Z58" s="25">
        <f>IF($E58="","",IF(N(K58)-X58&lt;=0.02*N(K58),0,N(K58)-X58))</f>
        <v/>
      </c>
      <c r="AA58" s="24">
        <f>IF($E58="","",IF(S58&lt;&gt;"",S58,IF(N(O58)&gt;0,IF(L58&lt;&gt;"",L58,99999),IFERROR(1/(1/_xlfn.MINIFS($AF$3:$IN$3,$AF$4:$IN$4,"SEW_ACT",$AF58:$IN58,"&gt;0")),99999))))</f>
        <v/>
      </c>
      <c r="AB58" s="26">
        <f>IF(OR($E58="",Z58=0,V58=""),"",1+COUNTIFS(Z$8:Z$707,"&gt;0",V$8:V$707,"&lt;"&amp;V58)+COUNTIFS(Z$8:Z$707,"&gt;0",V$8:V$707,V58,AA$8:AA$707,"&lt;"&amp;AA58)+COUNTIFS(Z$8:Z$707,"&gt;0",V$8:V$707,V58,AA$8:AA$707,AA58,E$8:E$707,"&lt;"&amp;$E58))</f>
        <v/>
      </c>
      <c r="AC58" s="24">
        <f>IF(OR($E58="",Z58=0),"",IFERROR(TODAY()+ROUNDUP(Z58/(SUMIFS($AF58:$IN58,$AF$4:$IN$4,"WASH_ACT")/COUNTIFS($AF$4:$IN$4,"WASH_ACT",$AF58:$IN58,"&gt;0")),0),"no output yet"))</f>
        <v/>
      </c>
      <c r="AD58" s="26">
        <f>IF($E58="","",IFERROR(ROUND(MAX(0,SUMIFS($AF58:$IN58,$AF$4:$IN$4,"SEW_PLAN",$AF$3:$IN$3,"&lt;="&amp;TODAY())-SUMIFS($AF58:$IN58,$AF$4:$IN$4,"SEW_ACT",$AF$3:$IN$3,"&lt;="&amp;TODAY())+N(Q58))/(SUMIFS($AF58:$IN58,$AF$4:$IN$4,"SEW_PLAN")/COUNTIFS($AF$4:$IN$4,"SEW_PLAN",$AF58:$IN58,"&gt;0")),1),0))</f>
        <v/>
      </c>
      <c r="AE58" s="26">
        <f>IF($E58="","",IF(AND(Z58&gt;0,OR(AND(M58&lt;&gt;"",TODAY()&gt;M58),AND(V58&lt;&gt;"",V58-TODAY()&lt;=7))),"Yes","No"))</f>
        <v/>
      </c>
      <c r="AH58">
        <f>IF(OR(AF$3="",AF$3&gt;TODAY()),"",IF(AND(AF58="",AG58=""),"",N(AG58)-N(AF58)))</f>
        <v/>
      </c>
      <c r="AK58">
        <f>IF(OR(AF$3="",AF$3&gt;TODAY()),"",IF(AND(AI58="",AJ58=""),"",N(AJ58)-N(AI58)))</f>
        <v/>
      </c>
      <c r="AO58">
        <f>IF(OR(AM$3="",AM$3&gt;TODAY()),"",IF(AND(AM58="",AN58=""),"",N(AN58)-N(AM58)))</f>
        <v/>
      </c>
      <c r="AR58">
        <f>IF(OR(AM$3="",AM$3&gt;TODAY()),"",IF(AND(AP58="",AQ58=""),"",N(AQ58)-N(AP58)))</f>
        <v/>
      </c>
      <c r="AV58">
        <f>IF(OR(AT$3="",AT$3&gt;TODAY()),"",IF(AND(AT58="",AU58=""),"",N(AU58)-N(AT58)))</f>
        <v/>
      </c>
      <c r="AY58">
        <f>IF(OR(AT$3="",AT$3&gt;TODAY()),"",IF(AND(AW58="",AX58=""),"",N(AX58)-N(AW58)))</f>
        <v/>
      </c>
      <c r="BC58">
        <f>IF(OR(BA$3="",BA$3&gt;TODAY()),"",IF(AND(BA58="",BB58=""),"",N(BB58)-N(BA58)))</f>
        <v/>
      </c>
      <c r="BF58">
        <f>IF(OR(BA$3="",BA$3&gt;TODAY()),"",IF(AND(BD58="",BE58=""),"",N(BE58)-N(BD58)))</f>
        <v/>
      </c>
      <c r="BJ58">
        <f>IF(OR(BH$3="",BH$3&gt;TODAY()),"",IF(AND(BH58="",BI58=""),"",N(BI58)-N(BH58)))</f>
        <v/>
      </c>
      <c r="BM58">
        <f>IF(OR(BH$3="",BH$3&gt;TODAY()),"",IF(AND(BK58="",BL58=""),"",N(BL58)-N(BK58)))</f>
        <v/>
      </c>
      <c r="BQ58">
        <f>IF(OR(BO$3="",BO$3&gt;TODAY()),"",IF(AND(BO58="",BP58=""),"",N(BP58)-N(BO58)))</f>
        <v/>
      </c>
      <c r="BT58">
        <f>IF(OR(BO$3="",BO$3&gt;TODAY()),"",IF(AND(BR58="",BS58=""),"",N(BS58)-N(BR58)))</f>
        <v/>
      </c>
      <c r="BX58">
        <f>IF(OR(BV$3="",BV$3&gt;TODAY()),"",IF(AND(BV58="",BW58=""),"",N(BW58)-N(BV58)))</f>
        <v/>
      </c>
      <c r="CA58">
        <f>IF(OR(BV$3="",BV$3&gt;TODAY()),"",IF(AND(BY58="",BZ58=""),"",N(BZ58)-N(BY58)))</f>
        <v/>
      </c>
      <c r="CE58">
        <f>IF(OR(CC$3="",CC$3&gt;TODAY()),"",IF(AND(CC58="",CD58=""),"",N(CD58)-N(CC58)))</f>
        <v/>
      </c>
      <c r="CH58">
        <f>IF(OR(CC$3="",CC$3&gt;TODAY()),"",IF(AND(CF58="",CG58=""),"",N(CG58)-N(CF58)))</f>
        <v/>
      </c>
      <c r="CL58">
        <f>IF(OR(CJ$3="",CJ$3&gt;TODAY()),"",IF(AND(CJ58="",CK58=""),"",N(CK58)-N(CJ58)))</f>
        <v/>
      </c>
      <c r="CO58">
        <f>IF(OR(CJ$3="",CJ$3&gt;TODAY()),"",IF(AND(CM58="",CN58=""),"",N(CN58)-N(CM58)))</f>
        <v/>
      </c>
      <c r="CS58">
        <f>IF(OR(CQ$3="",CQ$3&gt;TODAY()),"",IF(AND(CQ58="",CR58=""),"",N(CR58)-N(CQ58)))</f>
        <v/>
      </c>
      <c r="CV58">
        <f>IF(OR(CQ$3="",CQ$3&gt;TODAY()),"",IF(AND(CT58="",CU58=""),"",N(CU58)-N(CT58)))</f>
        <v/>
      </c>
      <c r="CZ58">
        <f>IF(OR(CX$3="",CX$3&gt;TODAY()),"",IF(AND(CX58="",CY58=""),"",N(CY58)-N(CX58)))</f>
        <v/>
      </c>
      <c r="DC58">
        <f>IF(OR(CX$3="",CX$3&gt;TODAY()),"",IF(AND(DA58="",DB58=""),"",N(DB58)-N(DA58)))</f>
        <v/>
      </c>
      <c r="DG58">
        <f>IF(OR(DE$3="",DE$3&gt;TODAY()),"",IF(AND(DE58="",DF58=""),"",N(DF58)-N(DE58)))</f>
        <v/>
      </c>
      <c r="DJ58">
        <f>IF(OR(DE$3="",DE$3&gt;TODAY()),"",IF(AND(DH58="",DI58=""),"",N(DI58)-N(DH58)))</f>
        <v/>
      </c>
      <c r="DN58">
        <f>IF(OR(DL$3="",DL$3&gt;TODAY()),"",IF(AND(DL58="",DM58=""),"",N(DM58)-N(DL58)))</f>
        <v/>
      </c>
      <c r="DQ58">
        <f>IF(OR(DL$3="",DL$3&gt;TODAY()),"",IF(AND(DO58="",DP58=""),"",N(DP58)-N(DO58)))</f>
        <v/>
      </c>
      <c r="DU58">
        <f>IF(OR(DS$3="",DS$3&gt;TODAY()),"",IF(AND(DS58="",DT58=""),"",N(DT58)-N(DS58)))</f>
        <v/>
      </c>
      <c r="DX58">
        <f>IF(OR(DS$3="",DS$3&gt;TODAY()),"",IF(AND(DV58="",DW58=""),"",N(DW58)-N(DV58)))</f>
        <v/>
      </c>
      <c r="EB58">
        <f>IF(OR(DZ$3="",DZ$3&gt;TODAY()),"",IF(AND(DZ58="",EA58=""),"",N(EA58)-N(DZ58)))</f>
        <v/>
      </c>
      <c r="EE58">
        <f>IF(OR(DZ$3="",DZ$3&gt;TODAY()),"",IF(AND(EC58="",ED58=""),"",N(ED58)-N(EC58)))</f>
        <v/>
      </c>
      <c r="EI58">
        <f>IF(OR(EG$3="",EG$3&gt;TODAY()),"",IF(AND(EG58="",EH58=""),"",N(EH58)-N(EG58)))</f>
        <v/>
      </c>
      <c r="EL58">
        <f>IF(OR(EG$3="",EG$3&gt;TODAY()),"",IF(AND(EJ58="",EK58=""),"",N(EK58)-N(EJ58)))</f>
        <v/>
      </c>
      <c r="EP58">
        <f>IF(OR(EN$3="",EN$3&gt;TODAY()),"",IF(AND(EN58="",EO58=""),"",N(EO58)-N(EN58)))</f>
        <v/>
      </c>
      <c r="ES58">
        <f>IF(OR(EN$3="",EN$3&gt;TODAY()),"",IF(AND(EQ58="",ER58=""),"",N(ER58)-N(EQ58)))</f>
        <v/>
      </c>
      <c r="EW58">
        <f>IF(OR(EU$3="",EU$3&gt;TODAY()),"",IF(AND(EU58="",EV58=""),"",N(EV58)-N(EU58)))</f>
        <v/>
      </c>
      <c r="EZ58">
        <f>IF(OR(EU$3="",EU$3&gt;TODAY()),"",IF(AND(EX58="",EY58=""),"",N(EY58)-N(EX58)))</f>
        <v/>
      </c>
      <c r="FD58">
        <f>IF(OR(FB$3="",FB$3&gt;TODAY()),"",IF(AND(FB58="",FC58=""),"",N(FC58)-N(FB58)))</f>
        <v/>
      </c>
      <c r="FG58">
        <f>IF(OR(FB$3="",FB$3&gt;TODAY()),"",IF(AND(FE58="",FF58=""),"",N(FF58)-N(FE58)))</f>
        <v/>
      </c>
      <c r="FK58">
        <f>IF(OR(FI$3="",FI$3&gt;TODAY()),"",IF(AND(FI58="",FJ58=""),"",N(FJ58)-N(FI58)))</f>
        <v/>
      </c>
      <c r="FN58">
        <f>IF(OR(FI$3="",FI$3&gt;TODAY()),"",IF(AND(FL58="",FM58=""),"",N(FM58)-N(FL58)))</f>
        <v/>
      </c>
      <c r="FR58">
        <f>IF(OR(FP$3="",FP$3&gt;TODAY()),"",IF(AND(FP58="",FQ58=""),"",N(FQ58)-N(FP58)))</f>
        <v/>
      </c>
      <c r="FU58">
        <f>IF(OR(FP$3="",FP$3&gt;TODAY()),"",IF(AND(FS58="",FT58=""),"",N(FT58)-N(FS58)))</f>
        <v/>
      </c>
      <c r="FY58">
        <f>IF(OR(FW$3="",FW$3&gt;TODAY()),"",IF(AND(FW58="",FX58=""),"",N(FX58)-N(FW58)))</f>
        <v/>
      </c>
      <c r="GB58">
        <f>IF(OR(FW$3="",FW$3&gt;TODAY()),"",IF(AND(FZ58="",GA58=""),"",N(GA58)-N(FZ58)))</f>
        <v/>
      </c>
      <c r="GF58">
        <f>IF(OR(GD$3="",GD$3&gt;TODAY()),"",IF(AND(GD58="",GE58=""),"",N(GE58)-N(GD58)))</f>
        <v/>
      </c>
      <c r="GI58">
        <f>IF(OR(GD$3="",GD$3&gt;TODAY()),"",IF(AND(GG58="",GH58=""),"",N(GH58)-N(GG58)))</f>
        <v/>
      </c>
      <c r="GM58">
        <f>IF(OR(GK$3="",GK$3&gt;TODAY()),"",IF(AND(GK58="",GL58=""),"",N(GL58)-N(GK58)))</f>
        <v/>
      </c>
      <c r="GP58">
        <f>IF(OR(GK$3="",GK$3&gt;TODAY()),"",IF(AND(GN58="",GO58=""),"",N(GO58)-N(GN58)))</f>
        <v/>
      </c>
      <c r="GT58">
        <f>IF(OR(GR$3="",GR$3&gt;TODAY()),"",IF(AND(GR58="",GS58=""),"",N(GS58)-N(GR58)))</f>
        <v/>
      </c>
      <c r="GW58">
        <f>IF(OR(GR$3="",GR$3&gt;TODAY()),"",IF(AND(GU58="",GV58=""),"",N(GV58)-N(GU58)))</f>
        <v/>
      </c>
      <c r="HA58">
        <f>IF(OR(GY$3="",GY$3&gt;TODAY()),"",IF(AND(GY58="",GZ58=""),"",N(GZ58)-N(GY58)))</f>
        <v/>
      </c>
      <c r="HD58">
        <f>IF(OR(GY$3="",GY$3&gt;TODAY()),"",IF(AND(HB58="",HC58=""),"",N(HC58)-N(HB58)))</f>
        <v/>
      </c>
      <c r="HH58">
        <f>IF(OR(HF$3="",HF$3&gt;TODAY()),"",IF(AND(HF58="",HG58=""),"",N(HG58)-N(HF58)))</f>
        <v/>
      </c>
      <c r="HK58">
        <f>IF(OR(HF$3="",HF$3&gt;TODAY()),"",IF(AND(HI58="",HJ58=""),"",N(HJ58)-N(HI58)))</f>
        <v/>
      </c>
      <c r="HO58">
        <f>IF(OR(HM$3="",HM$3&gt;TODAY()),"",IF(AND(HM58="",HN58=""),"",N(HN58)-N(HM58)))</f>
        <v/>
      </c>
      <c r="HR58">
        <f>IF(OR(HM$3="",HM$3&gt;TODAY()),"",IF(AND(HP58="",HQ58=""),"",N(HQ58)-N(HP58)))</f>
        <v/>
      </c>
      <c r="HV58">
        <f>IF(OR(HT$3="",HT$3&gt;TODAY()),"",IF(AND(HT58="",HU58=""),"",N(HU58)-N(HT58)))</f>
        <v/>
      </c>
      <c r="HY58">
        <f>IF(OR(HT$3="",HT$3&gt;TODAY()),"",IF(AND(HW58="",HX58=""),"",N(HX58)-N(HW58)))</f>
        <v/>
      </c>
      <c r="IC58">
        <f>IF(OR(IA$3="",IA$3&gt;TODAY()),"",IF(AND(IA58="",IB58=""),"",N(IB58)-N(IA58)))</f>
        <v/>
      </c>
      <c r="IF58">
        <f>IF(OR(IA$3="",IA$3&gt;TODAY()),"",IF(AND(ID58="",IE58=""),"",N(IE58)-N(ID58)))</f>
        <v/>
      </c>
      <c r="IJ58">
        <f>IF(OR(IH$3="",IH$3&gt;TODAY()),"",IF(AND(IH58="",II58=""),"",N(II58)-N(IH58)))</f>
        <v/>
      </c>
      <c r="IM58">
        <f>IF(OR(IH$3="",IH$3&gt;TODAY()),"",IF(AND(IK58="",IL58=""),"",N(IL58)-N(IK58)))</f>
        <v/>
      </c>
    </row>
    <row r="59">
      <c r="A59" s="21" t="n"/>
      <c r="B59" s="21" t="n"/>
      <c r="C59" s="21" t="n"/>
      <c r="D59" s="21" t="n"/>
      <c r="E59" s="21" t="n"/>
      <c r="F59" s="21" t="n"/>
      <c r="G59" s="21" t="n"/>
      <c r="H59" s="21" t="n"/>
      <c r="I59" s="22" t="n"/>
      <c r="J59" s="22" t="n"/>
      <c r="K59" s="23" t="n"/>
      <c r="L59" s="22" t="n"/>
      <c r="M59" s="22" t="n"/>
      <c r="N59" s="21" t="n"/>
      <c r="O59" s="23" t="n"/>
      <c r="P59" s="23" t="n"/>
      <c r="Q59" s="23" t="n"/>
      <c r="R59" s="23" t="n"/>
      <c r="S59" s="22" t="n"/>
      <c r="T59" s="23" t="n"/>
      <c r="U59" s="23" t="n"/>
      <c r="V59" s="24">
        <f>IF(J59&lt;&gt;"",J59,IF(I59&lt;&gt;"",I59,""))</f>
        <v/>
      </c>
      <c r="W59" s="25">
        <f>IF($E59="","",N(O59)+SUMIFS($AF59:$IN59,$AF$4:$IN$4,"SEW_ACT"))</f>
        <v/>
      </c>
      <c r="X59" s="25">
        <f>IF($E59="","",N(P59)+SUMIFS($AF59:$IN59,$AF$4:$IN$4,"WASH_ACT"))</f>
        <v/>
      </c>
      <c r="Y59" s="25">
        <f>IF($E59="","",W59-X59-N(T59)-N(U59))</f>
        <v/>
      </c>
      <c r="Z59" s="25">
        <f>IF($E59="","",IF(N(K59)-X59&lt;=0.02*N(K59),0,N(K59)-X59))</f>
        <v/>
      </c>
      <c r="AA59" s="24">
        <f>IF($E59="","",IF(S59&lt;&gt;"",S59,IF(N(O59)&gt;0,IF(L59&lt;&gt;"",L59,99999),IFERROR(1/(1/_xlfn.MINIFS($AF$3:$IN$3,$AF$4:$IN$4,"SEW_ACT",$AF59:$IN59,"&gt;0")),99999))))</f>
        <v/>
      </c>
      <c r="AB59" s="26">
        <f>IF(OR($E59="",Z59=0,V59=""),"",1+COUNTIFS(Z$8:Z$707,"&gt;0",V$8:V$707,"&lt;"&amp;V59)+COUNTIFS(Z$8:Z$707,"&gt;0",V$8:V$707,V59,AA$8:AA$707,"&lt;"&amp;AA59)+COUNTIFS(Z$8:Z$707,"&gt;0",V$8:V$707,V59,AA$8:AA$707,AA59,E$8:E$707,"&lt;"&amp;$E59))</f>
        <v/>
      </c>
      <c r="AC59" s="24">
        <f>IF(OR($E59="",Z59=0),"",IFERROR(TODAY()+ROUNDUP(Z59/(SUMIFS($AF59:$IN59,$AF$4:$IN$4,"WASH_ACT")/COUNTIFS($AF$4:$IN$4,"WASH_ACT",$AF59:$IN59,"&gt;0")),0),"no output yet"))</f>
        <v/>
      </c>
      <c r="AD59" s="26">
        <f>IF($E59="","",IFERROR(ROUND(MAX(0,SUMIFS($AF59:$IN59,$AF$4:$IN$4,"SEW_PLAN",$AF$3:$IN$3,"&lt;="&amp;TODAY())-SUMIFS($AF59:$IN59,$AF$4:$IN$4,"SEW_ACT",$AF$3:$IN$3,"&lt;="&amp;TODAY())+N(Q59))/(SUMIFS($AF59:$IN59,$AF$4:$IN$4,"SEW_PLAN")/COUNTIFS($AF$4:$IN$4,"SEW_PLAN",$AF59:$IN59,"&gt;0")),1),0))</f>
        <v/>
      </c>
      <c r="AE59" s="26">
        <f>IF($E59="","",IF(AND(Z59&gt;0,OR(AND(M59&lt;&gt;"",TODAY()&gt;M59),AND(V59&lt;&gt;"",V59-TODAY()&lt;=7))),"Yes","No"))</f>
        <v/>
      </c>
      <c r="AH59">
        <f>IF(OR(AF$3="",AF$3&gt;TODAY()),"",IF(AND(AF59="",AG59=""),"",N(AG59)-N(AF59)))</f>
        <v/>
      </c>
      <c r="AK59">
        <f>IF(OR(AF$3="",AF$3&gt;TODAY()),"",IF(AND(AI59="",AJ59=""),"",N(AJ59)-N(AI59)))</f>
        <v/>
      </c>
      <c r="AO59">
        <f>IF(OR(AM$3="",AM$3&gt;TODAY()),"",IF(AND(AM59="",AN59=""),"",N(AN59)-N(AM59)))</f>
        <v/>
      </c>
      <c r="AR59">
        <f>IF(OR(AM$3="",AM$3&gt;TODAY()),"",IF(AND(AP59="",AQ59=""),"",N(AQ59)-N(AP59)))</f>
        <v/>
      </c>
      <c r="AV59">
        <f>IF(OR(AT$3="",AT$3&gt;TODAY()),"",IF(AND(AT59="",AU59=""),"",N(AU59)-N(AT59)))</f>
        <v/>
      </c>
      <c r="AY59">
        <f>IF(OR(AT$3="",AT$3&gt;TODAY()),"",IF(AND(AW59="",AX59=""),"",N(AX59)-N(AW59)))</f>
        <v/>
      </c>
      <c r="BC59">
        <f>IF(OR(BA$3="",BA$3&gt;TODAY()),"",IF(AND(BA59="",BB59=""),"",N(BB59)-N(BA59)))</f>
        <v/>
      </c>
      <c r="BF59">
        <f>IF(OR(BA$3="",BA$3&gt;TODAY()),"",IF(AND(BD59="",BE59=""),"",N(BE59)-N(BD59)))</f>
        <v/>
      </c>
      <c r="BJ59">
        <f>IF(OR(BH$3="",BH$3&gt;TODAY()),"",IF(AND(BH59="",BI59=""),"",N(BI59)-N(BH59)))</f>
        <v/>
      </c>
      <c r="BM59">
        <f>IF(OR(BH$3="",BH$3&gt;TODAY()),"",IF(AND(BK59="",BL59=""),"",N(BL59)-N(BK59)))</f>
        <v/>
      </c>
      <c r="BQ59">
        <f>IF(OR(BO$3="",BO$3&gt;TODAY()),"",IF(AND(BO59="",BP59=""),"",N(BP59)-N(BO59)))</f>
        <v/>
      </c>
      <c r="BT59">
        <f>IF(OR(BO$3="",BO$3&gt;TODAY()),"",IF(AND(BR59="",BS59=""),"",N(BS59)-N(BR59)))</f>
        <v/>
      </c>
      <c r="BX59">
        <f>IF(OR(BV$3="",BV$3&gt;TODAY()),"",IF(AND(BV59="",BW59=""),"",N(BW59)-N(BV59)))</f>
        <v/>
      </c>
      <c r="CA59">
        <f>IF(OR(BV$3="",BV$3&gt;TODAY()),"",IF(AND(BY59="",BZ59=""),"",N(BZ59)-N(BY59)))</f>
        <v/>
      </c>
      <c r="CE59">
        <f>IF(OR(CC$3="",CC$3&gt;TODAY()),"",IF(AND(CC59="",CD59=""),"",N(CD59)-N(CC59)))</f>
        <v/>
      </c>
      <c r="CH59">
        <f>IF(OR(CC$3="",CC$3&gt;TODAY()),"",IF(AND(CF59="",CG59=""),"",N(CG59)-N(CF59)))</f>
        <v/>
      </c>
      <c r="CL59">
        <f>IF(OR(CJ$3="",CJ$3&gt;TODAY()),"",IF(AND(CJ59="",CK59=""),"",N(CK59)-N(CJ59)))</f>
        <v/>
      </c>
      <c r="CO59">
        <f>IF(OR(CJ$3="",CJ$3&gt;TODAY()),"",IF(AND(CM59="",CN59=""),"",N(CN59)-N(CM59)))</f>
        <v/>
      </c>
      <c r="CS59">
        <f>IF(OR(CQ$3="",CQ$3&gt;TODAY()),"",IF(AND(CQ59="",CR59=""),"",N(CR59)-N(CQ59)))</f>
        <v/>
      </c>
      <c r="CV59">
        <f>IF(OR(CQ$3="",CQ$3&gt;TODAY()),"",IF(AND(CT59="",CU59=""),"",N(CU59)-N(CT59)))</f>
        <v/>
      </c>
      <c r="CZ59">
        <f>IF(OR(CX$3="",CX$3&gt;TODAY()),"",IF(AND(CX59="",CY59=""),"",N(CY59)-N(CX59)))</f>
        <v/>
      </c>
      <c r="DC59">
        <f>IF(OR(CX$3="",CX$3&gt;TODAY()),"",IF(AND(DA59="",DB59=""),"",N(DB59)-N(DA59)))</f>
        <v/>
      </c>
      <c r="DG59">
        <f>IF(OR(DE$3="",DE$3&gt;TODAY()),"",IF(AND(DE59="",DF59=""),"",N(DF59)-N(DE59)))</f>
        <v/>
      </c>
      <c r="DJ59">
        <f>IF(OR(DE$3="",DE$3&gt;TODAY()),"",IF(AND(DH59="",DI59=""),"",N(DI59)-N(DH59)))</f>
        <v/>
      </c>
      <c r="DN59">
        <f>IF(OR(DL$3="",DL$3&gt;TODAY()),"",IF(AND(DL59="",DM59=""),"",N(DM59)-N(DL59)))</f>
        <v/>
      </c>
      <c r="DQ59">
        <f>IF(OR(DL$3="",DL$3&gt;TODAY()),"",IF(AND(DO59="",DP59=""),"",N(DP59)-N(DO59)))</f>
        <v/>
      </c>
      <c r="DU59">
        <f>IF(OR(DS$3="",DS$3&gt;TODAY()),"",IF(AND(DS59="",DT59=""),"",N(DT59)-N(DS59)))</f>
        <v/>
      </c>
      <c r="DX59">
        <f>IF(OR(DS$3="",DS$3&gt;TODAY()),"",IF(AND(DV59="",DW59=""),"",N(DW59)-N(DV59)))</f>
        <v/>
      </c>
      <c r="EB59">
        <f>IF(OR(DZ$3="",DZ$3&gt;TODAY()),"",IF(AND(DZ59="",EA59=""),"",N(EA59)-N(DZ59)))</f>
        <v/>
      </c>
      <c r="EE59">
        <f>IF(OR(DZ$3="",DZ$3&gt;TODAY()),"",IF(AND(EC59="",ED59=""),"",N(ED59)-N(EC59)))</f>
        <v/>
      </c>
      <c r="EI59">
        <f>IF(OR(EG$3="",EG$3&gt;TODAY()),"",IF(AND(EG59="",EH59=""),"",N(EH59)-N(EG59)))</f>
        <v/>
      </c>
      <c r="EL59">
        <f>IF(OR(EG$3="",EG$3&gt;TODAY()),"",IF(AND(EJ59="",EK59=""),"",N(EK59)-N(EJ59)))</f>
        <v/>
      </c>
      <c r="EP59">
        <f>IF(OR(EN$3="",EN$3&gt;TODAY()),"",IF(AND(EN59="",EO59=""),"",N(EO59)-N(EN59)))</f>
        <v/>
      </c>
      <c r="ES59">
        <f>IF(OR(EN$3="",EN$3&gt;TODAY()),"",IF(AND(EQ59="",ER59=""),"",N(ER59)-N(EQ59)))</f>
        <v/>
      </c>
      <c r="EW59">
        <f>IF(OR(EU$3="",EU$3&gt;TODAY()),"",IF(AND(EU59="",EV59=""),"",N(EV59)-N(EU59)))</f>
        <v/>
      </c>
      <c r="EZ59">
        <f>IF(OR(EU$3="",EU$3&gt;TODAY()),"",IF(AND(EX59="",EY59=""),"",N(EY59)-N(EX59)))</f>
        <v/>
      </c>
      <c r="FD59">
        <f>IF(OR(FB$3="",FB$3&gt;TODAY()),"",IF(AND(FB59="",FC59=""),"",N(FC59)-N(FB59)))</f>
        <v/>
      </c>
      <c r="FG59">
        <f>IF(OR(FB$3="",FB$3&gt;TODAY()),"",IF(AND(FE59="",FF59=""),"",N(FF59)-N(FE59)))</f>
        <v/>
      </c>
      <c r="FK59">
        <f>IF(OR(FI$3="",FI$3&gt;TODAY()),"",IF(AND(FI59="",FJ59=""),"",N(FJ59)-N(FI59)))</f>
        <v/>
      </c>
      <c r="FN59">
        <f>IF(OR(FI$3="",FI$3&gt;TODAY()),"",IF(AND(FL59="",FM59=""),"",N(FM59)-N(FL59)))</f>
        <v/>
      </c>
      <c r="FR59">
        <f>IF(OR(FP$3="",FP$3&gt;TODAY()),"",IF(AND(FP59="",FQ59=""),"",N(FQ59)-N(FP59)))</f>
        <v/>
      </c>
      <c r="FU59">
        <f>IF(OR(FP$3="",FP$3&gt;TODAY()),"",IF(AND(FS59="",FT59=""),"",N(FT59)-N(FS59)))</f>
        <v/>
      </c>
      <c r="FY59">
        <f>IF(OR(FW$3="",FW$3&gt;TODAY()),"",IF(AND(FW59="",FX59=""),"",N(FX59)-N(FW59)))</f>
        <v/>
      </c>
      <c r="GB59">
        <f>IF(OR(FW$3="",FW$3&gt;TODAY()),"",IF(AND(FZ59="",GA59=""),"",N(GA59)-N(FZ59)))</f>
        <v/>
      </c>
      <c r="GF59">
        <f>IF(OR(GD$3="",GD$3&gt;TODAY()),"",IF(AND(GD59="",GE59=""),"",N(GE59)-N(GD59)))</f>
        <v/>
      </c>
      <c r="GI59">
        <f>IF(OR(GD$3="",GD$3&gt;TODAY()),"",IF(AND(GG59="",GH59=""),"",N(GH59)-N(GG59)))</f>
        <v/>
      </c>
      <c r="GM59">
        <f>IF(OR(GK$3="",GK$3&gt;TODAY()),"",IF(AND(GK59="",GL59=""),"",N(GL59)-N(GK59)))</f>
        <v/>
      </c>
      <c r="GP59">
        <f>IF(OR(GK$3="",GK$3&gt;TODAY()),"",IF(AND(GN59="",GO59=""),"",N(GO59)-N(GN59)))</f>
        <v/>
      </c>
      <c r="GT59">
        <f>IF(OR(GR$3="",GR$3&gt;TODAY()),"",IF(AND(GR59="",GS59=""),"",N(GS59)-N(GR59)))</f>
        <v/>
      </c>
      <c r="GW59">
        <f>IF(OR(GR$3="",GR$3&gt;TODAY()),"",IF(AND(GU59="",GV59=""),"",N(GV59)-N(GU59)))</f>
        <v/>
      </c>
      <c r="HA59">
        <f>IF(OR(GY$3="",GY$3&gt;TODAY()),"",IF(AND(GY59="",GZ59=""),"",N(GZ59)-N(GY59)))</f>
        <v/>
      </c>
      <c r="HD59">
        <f>IF(OR(GY$3="",GY$3&gt;TODAY()),"",IF(AND(HB59="",HC59=""),"",N(HC59)-N(HB59)))</f>
        <v/>
      </c>
      <c r="HH59">
        <f>IF(OR(HF$3="",HF$3&gt;TODAY()),"",IF(AND(HF59="",HG59=""),"",N(HG59)-N(HF59)))</f>
        <v/>
      </c>
      <c r="HK59">
        <f>IF(OR(HF$3="",HF$3&gt;TODAY()),"",IF(AND(HI59="",HJ59=""),"",N(HJ59)-N(HI59)))</f>
        <v/>
      </c>
      <c r="HO59">
        <f>IF(OR(HM$3="",HM$3&gt;TODAY()),"",IF(AND(HM59="",HN59=""),"",N(HN59)-N(HM59)))</f>
        <v/>
      </c>
      <c r="HR59">
        <f>IF(OR(HM$3="",HM$3&gt;TODAY()),"",IF(AND(HP59="",HQ59=""),"",N(HQ59)-N(HP59)))</f>
        <v/>
      </c>
      <c r="HV59">
        <f>IF(OR(HT$3="",HT$3&gt;TODAY()),"",IF(AND(HT59="",HU59=""),"",N(HU59)-N(HT59)))</f>
        <v/>
      </c>
      <c r="HY59">
        <f>IF(OR(HT$3="",HT$3&gt;TODAY()),"",IF(AND(HW59="",HX59=""),"",N(HX59)-N(HW59)))</f>
        <v/>
      </c>
      <c r="IC59">
        <f>IF(OR(IA$3="",IA$3&gt;TODAY()),"",IF(AND(IA59="",IB59=""),"",N(IB59)-N(IA59)))</f>
        <v/>
      </c>
      <c r="IF59">
        <f>IF(OR(IA$3="",IA$3&gt;TODAY()),"",IF(AND(ID59="",IE59=""),"",N(IE59)-N(ID59)))</f>
        <v/>
      </c>
      <c r="IJ59">
        <f>IF(OR(IH$3="",IH$3&gt;TODAY()),"",IF(AND(IH59="",II59=""),"",N(II59)-N(IH59)))</f>
        <v/>
      </c>
      <c r="IM59">
        <f>IF(OR(IH$3="",IH$3&gt;TODAY()),"",IF(AND(IK59="",IL59=""),"",N(IL59)-N(IK59)))</f>
        <v/>
      </c>
    </row>
    <row r="60">
      <c r="A60" s="21" t="n"/>
      <c r="B60" s="21" t="n"/>
      <c r="C60" s="21" t="n"/>
      <c r="D60" s="21" t="n"/>
      <c r="E60" s="21" t="n"/>
      <c r="F60" s="21" t="n"/>
      <c r="G60" s="21" t="n"/>
      <c r="H60" s="21" t="n"/>
      <c r="I60" s="22" t="n"/>
      <c r="J60" s="22" t="n"/>
      <c r="K60" s="23" t="n"/>
      <c r="L60" s="22" t="n"/>
      <c r="M60" s="22" t="n"/>
      <c r="N60" s="21" t="n"/>
      <c r="O60" s="23" t="n"/>
      <c r="P60" s="23" t="n"/>
      <c r="Q60" s="23" t="n"/>
      <c r="R60" s="23" t="n"/>
      <c r="S60" s="22" t="n"/>
      <c r="T60" s="23" t="n"/>
      <c r="U60" s="23" t="n"/>
      <c r="V60" s="24">
        <f>IF(J60&lt;&gt;"",J60,IF(I60&lt;&gt;"",I60,""))</f>
        <v/>
      </c>
      <c r="W60" s="25">
        <f>IF($E60="","",N(O60)+SUMIFS($AF60:$IN60,$AF$4:$IN$4,"SEW_ACT"))</f>
        <v/>
      </c>
      <c r="X60" s="25">
        <f>IF($E60="","",N(P60)+SUMIFS($AF60:$IN60,$AF$4:$IN$4,"WASH_ACT"))</f>
        <v/>
      </c>
      <c r="Y60" s="25">
        <f>IF($E60="","",W60-X60-N(T60)-N(U60))</f>
        <v/>
      </c>
      <c r="Z60" s="25">
        <f>IF($E60="","",IF(N(K60)-X60&lt;=0.02*N(K60),0,N(K60)-X60))</f>
        <v/>
      </c>
      <c r="AA60" s="24">
        <f>IF($E60="","",IF(S60&lt;&gt;"",S60,IF(N(O60)&gt;0,IF(L60&lt;&gt;"",L60,99999),IFERROR(1/(1/_xlfn.MINIFS($AF$3:$IN$3,$AF$4:$IN$4,"SEW_ACT",$AF60:$IN60,"&gt;0")),99999))))</f>
        <v/>
      </c>
      <c r="AB60" s="26">
        <f>IF(OR($E60="",Z60=0,V60=""),"",1+COUNTIFS(Z$8:Z$707,"&gt;0",V$8:V$707,"&lt;"&amp;V60)+COUNTIFS(Z$8:Z$707,"&gt;0",V$8:V$707,V60,AA$8:AA$707,"&lt;"&amp;AA60)+COUNTIFS(Z$8:Z$707,"&gt;0",V$8:V$707,V60,AA$8:AA$707,AA60,E$8:E$707,"&lt;"&amp;$E60))</f>
        <v/>
      </c>
      <c r="AC60" s="24">
        <f>IF(OR($E60="",Z60=0),"",IFERROR(TODAY()+ROUNDUP(Z60/(SUMIFS($AF60:$IN60,$AF$4:$IN$4,"WASH_ACT")/COUNTIFS($AF$4:$IN$4,"WASH_ACT",$AF60:$IN60,"&gt;0")),0),"no output yet"))</f>
        <v/>
      </c>
      <c r="AD60" s="26">
        <f>IF($E60="","",IFERROR(ROUND(MAX(0,SUMIFS($AF60:$IN60,$AF$4:$IN$4,"SEW_PLAN",$AF$3:$IN$3,"&lt;="&amp;TODAY())-SUMIFS($AF60:$IN60,$AF$4:$IN$4,"SEW_ACT",$AF$3:$IN$3,"&lt;="&amp;TODAY())+N(Q60))/(SUMIFS($AF60:$IN60,$AF$4:$IN$4,"SEW_PLAN")/COUNTIFS($AF$4:$IN$4,"SEW_PLAN",$AF60:$IN60,"&gt;0")),1),0))</f>
        <v/>
      </c>
      <c r="AE60" s="26">
        <f>IF($E60="","",IF(AND(Z60&gt;0,OR(AND(M60&lt;&gt;"",TODAY()&gt;M60),AND(V60&lt;&gt;"",V60-TODAY()&lt;=7))),"Yes","No"))</f>
        <v/>
      </c>
      <c r="AH60">
        <f>IF(OR(AF$3="",AF$3&gt;TODAY()),"",IF(AND(AF60="",AG60=""),"",N(AG60)-N(AF60)))</f>
        <v/>
      </c>
      <c r="AK60">
        <f>IF(OR(AF$3="",AF$3&gt;TODAY()),"",IF(AND(AI60="",AJ60=""),"",N(AJ60)-N(AI60)))</f>
        <v/>
      </c>
      <c r="AO60">
        <f>IF(OR(AM$3="",AM$3&gt;TODAY()),"",IF(AND(AM60="",AN60=""),"",N(AN60)-N(AM60)))</f>
        <v/>
      </c>
      <c r="AR60">
        <f>IF(OR(AM$3="",AM$3&gt;TODAY()),"",IF(AND(AP60="",AQ60=""),"",N(AQ60)-N(AP60)))</f>
        <v/>
      </c>
      <c r="AV60">
        <f>IF(OR(AT$3="",AT$3&gt;TODAY()),"",IF(AND(AT60="",AU60=""),"",N(AU60)-N(AT60)))</f>
        <v/>
      </c>
      <c r="AY60">
        <f>IF(OR(AT$3="",AT$3&gt;TODAY()),"",IF(AND(AW60="",AX60=""),"",N(AX60)-N(AW60)))</f>
        <v/>
      </c>
      <c r="BC60">
        <f>IF(OR(BA$3="",BA$3&gt;TODAY()),"",IF(AND(BA60="",BB60=""),"",N(BB60)-N(BA60)))</f>
        <v/>
      </c>
      <c r="BF60">
        <f>IF(OR(BA$3="",BA$3&gt;TODAY()),"",IF(AND(BD60="",BE60=""),"",N(BE60)-N(BD60)))</f>
        <v/>
      </c>
      <c r="BJ60">
        <f>IF(OR(BH$3="",BH$3&gt;TODAY()),"",IF(AND(BH60="",BI60=""),"",N(BI60)-N(BH60)))</f>
        <v/>
      </c>
      <c r="BM60">
        <f>IF(OR(BH$3="",BH$3&gt;TODAY()),"",IF(AND(BK60="",BL60=""),"",N(BL60)-N(BK60)))</f>
        <v/>
      </c>
      <c r="BQ60">
        <f>IF(OR(BO$3="",BO$3&gt;TODAY()),"",IF(AND(BO60="",BP60=""),"",N(BP60)-N(BO60)))</f>
        <v/>
      </c>
      <c r="BT60">
        <f>IF(OR(BO$3="",BO$3&gt;TODAY()),"",IF(AND(BR60="",BS60=""),"",N(BS60)-N(BR60)))</f>
        <v/>
      </c>
      <c r="BX60">
        <f>IF(OR(BV$3="",BV$3&gt;TODAY()),"",IF(AND(BV60="",BW60=""),"",N(BW60)-N(BV60)))</f>
        <v/>
      </c>
      <c r="CA60">
        <f>IF(OR(BV$3="",BV$3&gt;TODAY()),"",IF(AND(BY60="",BZ60=""),"",N(BZ60)-N(BY60)))</f>
        <v/>
      </c>
      <c r="CE60">
        <f>IF(OR(CC$3="",CC$3&gt;TODAY()),"",IF(AND(CC60="",CD60=""),"",N(CD60)-N(CC60)))</f>
        <v/>
      </c>
      <c r="CH60">
        <f>IF(OR(CC$3="",CC$3&gt;TODAY()),"",IF(AND(CF60="",CG60=""),"",N(CG60)-N(CF60)))</f>
        <v/>
      </c>
      <c r="CL60">
        <f>IF(OR(CJ$3="",CJ$3&gt;TODAY()),"",IF(AND(CJ60="",CK60=""),"",N(CK60)-N(CJ60)))</f>
        <v/>
      </c>
      <c r="CO60">
        <f>IF(OR(CJ$3="",CJ$3&gt;TODAY()),"",IF(AND(CM60="",CN60=""),"",N(CN60)-N(CM60)))</f>
        <v/>
      </c>
      <c r="CS60">
        <f>IF(OR(CQ$3="",CQ$3&gt;TODAY()),"",IF(AND(CQ60="",CR60=""),"",N(CR60)-N(CQ60)))</f>
        <v/>
      </c>
      <c r="CV60">
        <f>IF(OR(CQ$3="",CQ$3&gt;TODAY()),"",IF(AND(CT60="",CU60=""),"",N(CU60)-N(CT60)))</f>
        <v/>
      </c>
      <c r="CZ60">
        <f>IF(OR(CX$3="",CX$3&gt;TODAY()),"",IF(AND(CX60="",CY60=""),"",N(CY60)-N(CX60)))</f>
        <v/>
      </c>
      <c r="DC60">
        <f>IF(OR(CX$3="",CX$3&gt;TODAY()),"",IF(AND(DA60="",DB60=""),"",N(DB60)-N(DA60)))</f>
        <v/>
      </c>
      <c r="DG60">
        <f>IF(OR(DE$3="",DE$3&gt;TODAY()),"",IF(AND(DE60="",DF60=""),"",N(DF60)-N(DE60)))</f>
        <v/>
      </c>
      <c r="DJ60">
        <f>IF(OR(DE$3="",DE$3&gt;TODAY()),"",IF(AND(DH60="",DI60=""),"",N(DI60)-N(DH60)))</f>
        <v/>
      </c>
      <c r="DN60">
        <f>IF(OR(DL$3="",DL$3&gt;TODAY()),"",IF(AND(DL60="",DM60=""),"",N(DM60)-N(DL60)))</f>
        <v/>
      </c>
      <c r="DQ60">
        <f>IF(OR(DL$3="",DL$3&gt;TODAY()),"",IF(AND(DO60="",DP60=""),"",N(DP60)-N(DO60)))</f>
        <v/>
      </c>
      <c r="DU60">
        <f>IF(OR(DS$3="",DS$3&gt;TODAY()),"",IF(AND(DS60="",DT60=""),"",N(DT60)-N(DS60)))</f>
        <v/>
      </c>
      <c r="DX60">
        <f>IF(OR(DS$3="",DS$3&gt;TODAY()),"",IF(AND(DV60="",DW60=""),"",N(DW60)-N(DV60)))</f>
        <v/>
      </c>
      <c r="EB60">
        <f>IF(OR(DZ$3="",DZ$3&gt;TODAY()),"",IF(AND(DZ60="",EA60=""),"",N(EA60)-N(DZ60)))</f>
        <v/>
      </c>
      <c r="EE60">
        <f>IF(OR(DZ$3="",DZ$3&gt;TODAY()),"",IF(AND(EC60="",ED60=""),"",N(ED60)-N(EC60)))</f>
        <v/>
      </c>
      <c r="EI60">
        <f>IF(OR(EG$3="",EG$3&gt;TODAY()),"",IF(AND(EG60="",EH60=""),"",N(EH60)-N(EG60)))</f>
        <v/>
      </c>
      <c r="EL60">
        <f>IF(OR(EG$3="",EG$3&gt;TODAY()),"",IF(AND(EJ60="",EK60=""),"",N(EK60)-N(EJ60)))</f>
        <v/>
      </c>
      <c r="EP60">
        <f>IF(OR(EN$3="",EN$3&gt;TODAY()),"",IF(AND(EN60="",EO60=""),"",N(EO60)-N(EN60)))</f>
        <v/>
      </c>
      <c r="ES60">
        <f>IF(OR(EN$3="",EN$3&gt;TODAY()),"",IF(AND(EQ60="",ER60=""),"",N(ER60)-N(EQ60)))</f>
        <v/>
      </c>
      <c r="EW60">
        <f>IF(OR(EU$3="",EU$3&gt;TODAY()),"",IF(AND(EU60="",EV60=""),"",N(EV60)-N(EU60)))</f>
        <v/>
      </c>
      <c r="EZ60">
        <f>IF(OR(EU$3="",EU$3&gt;TODAY()),"",IF(AND(EX60="",EY60=""),"",N(EY60)-N(EX60)))</f>
        <v/>
      </c>
      <c r="FD60">
        <f>IF(OR(FB$3="",FB$3&gt;TODAY()),"",IF(AND(FB60="",FC60=""),"",N(FC60)-N(FB60)))</f>
        <v/>
      </c>
      <c r="FG60">
        <f>IF(OR(FB$3="",FB$3&gt;TODAY()),"",IF(AND(FE60="",FF60=""),"",N(FF60)-N(FE60)))</f>
        <v/>
      </c>
      <c r="FK60">
        <f>IF(OR(FI$3="",FI$3&gt;TODAY()),"",IF(AND(FI60="",FJ60=""),"",N(FJ60)-N(FI60)))</f>
        <v/>
      </c>
      <c r="FN60">
        <f>IF(OR(FI$3="",FI$3&gt;TODAY()),"",IF(AND(FL60="",FM60=""),"",N(FM60)-N(FL60)))</f>
        <v/>
      </c>
      <c r="FR60">
        <f>IF(OR(FP$3="",FP$3&gt;TODAY()),"",IF(AND(FP60="",FQ60=""),"",N(FQ60)-N(FP60)))</f>
        <v/>
      </c>
      <c r="FU60">
        <f>IF(OR(FP$3="",FP$3&gt;TODAY()),"",IF(AND(FS60="",FT60=""),"",N(FT60)-N(FS60)))</f>
        <v/>
      </c>
      <c r="FY60">
        <f>IF(OR(FW$3="",FW$3&gt;TODAY()),"",IF(AND(FW60="",FX60=""),"",N(FX60)-N(FW60)))</f>
        <v/>
      </c>
      <c r="GB60">
        <f>IF(OR(FW$3="",FW$3&gt;TODAY()),"",IF(AND(FZ60="",GA60=""),"",N(GA60)-N(FZ60)))</f>
        <v/>
      </c>
      <c r="GF60">
        <f>IF(OR(GD$3="",GD$3&gt;TODAY()),"",IF(AND(GD60="",GE60=""),"",N(GE60)-N(GD60)))</f>
        <v/>
      </c>
      <c r="GI60">
        <f>IF(OR(GD$3="",GD$3&gt;TODAY()),"",IF(AND(GG60="",GH60=""),"",N(GH60)-N(GG60)))</f>
        <v/>
      </c>
      <c r="GM60">
        <f>IF(OR(GK$3="",GK$3&gt;TODAY()),"",IF(AND(GK60="",GL60=""),"",N(GL60)-N(GK60)))</f>
        <v/>
      </c>
      <c r="GP60">
        <f>IF(OR(GK$3="",GK$3&gt;TODAY()),"",IF(AND(GN60="",GO60=""),"",N(GO60)-N(GN60)))</f>
        <v/>
      </c>
      <c r="GT60">
        <f>IF(OR(GR$3="",GR$3&gt;TODAY()),"",IF(AND(GR60="",GS60=""),"",N(GS60)-N(GR60)))</f>
        <v/>
      </c>
      <c r="GW60">
        <f>IF(OR(GR$3="",GR$3&gt;TODAY()),"",IF(AND(GU60="",GV60=""),"",N(GV60)-N(GU60)))</f>
        <v/>
      </c>
      <c r="HA60">
        <f>IF(OR(GY$3="",GY$3&gt;TODAY()),"",IF(AND(GY60="",GZ60=""),"",N(GZ60)-N(GY60)))</f>
        <v/>
      </c>
      <c r="HD60">
        <f>IF(OR(GY$3="",GY$3&gt;TODAY()),"",IF(AND(HB60="",HC60=""),"",N(HC60)-N(HB60)))</f>
        <v/>
      </c>
      <c r="HH60">
        <f>IF(OR(HF$3="",HF$3&gt;TODAY()),"",IF(AND(HF60="",HG60=""),"",N(HG60)-N(HF60)))</f>
        <v/>
      </c>
      <c r="HK60">
        <f>IF(OR(HF$3="",HF$3&gt;TODAY()),"",IF(AND(HI60="",HJ60=""),"",N(HJ60)-N(HI60)))</f>
        <v/>
      </c>
      <c r="HO60">
        <f>IF(OR(HM$3="",HM$3&gt;TODAY()),"",IF(AND(HM60="",HN60=""),"",N(HN60)-N(HM60)))</f>
        <v/>
      </c>
      <c r="HR60">
        <f>IF(OR(HM$3="",HM$3&gt;TODAY()),"",IF(AND(HP60="",HQ60=""),"",N(HQ60)-N(HP60)))</f>
        <v/>
      </c>
      <c r="HV60">
        <f>IF(OR(HT$3="",HT$3&gt;TODAY()),"",IF(AND(HT60="",HU60=""),"",N(HU60)-N(HT60)))</f>
        <v/>
      </c>
      <c r="HY60">
        <f>IF(OR(HT$3="",HT$3&gt;TODAY()),"",IF(AND(HW60="",HX60=""),"",N(HX60)-N(HW60)))</f>
        <v/>
      </c>
      <c r="IC60">
        <f>IF(OR(IA$3="",IA$3&gt;TODAY()),"",IF(AND(IA60="",IB60=""),"",N(IB60)-N(IA60)))</f>
        <v/>
      </c>
      <c r="IF60">
        <f>IF(OR(IA$3="",IA$3&gt;TODAY()),"",IF(AND(ID60="",IE60=""),"",N(IE60)-N(ID60)))</f>
        <v/>
      </c>
      <c r="IJ60">
        <f>IF(OR(IH$3="",IH$3&gt;TODAY()),"",IF(AND(IH60="",II60=""),"",N(II60)-N(IH60)))</f>
        <v/>
      </c>
      <c r="IM60">
        <f>IF(OR(IH$3="",IH$3&gt;TODAY()),"",IF(AND(IK60="",IL60=""),"",N(IL60)-N(IK60)))</f>
        <v/>
      </c>
    </row>
    <row r="61">
      <c r="A61" s="21" t="n"/>
      <c r="B61" s="21" t="n"/>
      <c r="C61" s="21" t="n"/>
      <c r="D61" s="21" t="n"/>
      <c r="E61" s="21" t="n"/>
      <c r="F61" s="21" t="n"/>
      <c r="G61" s="21" t="n"/>
      <c r="H61" s="21" t="n"/>
      <c r="I61" s="22" t="n"/>
      <c r="J61" s="22" t="n"/>
      <c r="K61" s="23" t="n"/>
      <c r="L61" s="22" t="n"/>
      <c r="M61" s="22" t="n"/>
      <c r="N61" s="21" t="n"/>
      <c r="O61" s="23" t="n"/>
      <c r="P61" s="23" t="n"/>
      <c r="Q61" s="23" t="n"/>
      <c r="R61" s="23" t="n"/>
      <c r="S61" s="22" t="n"/>
      <c r="T61" s="23" t="n"/>
      <c r="U61" s="23" t="n"/>
      <c r="V61" s="24">
        <f>IF(J61&lt;&gt;"",J61,IF(I61&lt;&gt;"",I61,""))</f>
        <v/>
      </c>
      <c r="W61" s="25">
        <f>IF($E61="","",N(O61)+SUMIFS($AF61:$IN61,$AF$4:$IN$4,"SEW_ACT"))</f>
        <v/>
      </c>
      <c r="X61" s="25">
        <f>IF($E61="","",N(P61)+SUMIFS($AF61:$IN61,$AF$4:$IN$4,"WASH_ACT"))</f>
        <v/>
      </c>
      <c r="Y61" s="25">
        <f>IF($E61="","",W61-X61-N(T61)-N(U61))</f>
        <v/>
      </c>
      <c r="Z61" s="25">
        <f>IF($E61="","",IF(N(K61)-X61&lt;=0.02*N(K61),0,N(K61)-X61))</f>
        <v/>
      </c>
      <c r="AA61" s="24">
        <f>IF($E61="","",IF(S61&lt;&gt;"",S61,IF(N(O61)&gt;0,IF(L61&lt;&gt;"",L61,99999),IFERROR(1/(1/_xlfn.MINIFS($AF$3:$IN$3,$AF$4:$IN$4,"SEW_ACT",$AF61:$IN61,"&gt;0")),99999))))</f>
        <v/>
      </c>
      <c r="AB61" s="26">
        <f>IF(OR($E61="",Z61=0,V61=""),"",1+COUNTIFS(Z$8:Z$707,"&gt;0",V$8:V$707,"&lt;"&amp;V61)+COUNTIFS(Z$8:Z$707,"&gt;0",V$8:V$707,V61,AA$8:AA$707,"&lt;"&amp;AA61)+COUNTIFS(Z$8:Z$707,"&gt;0",V$8:V$707,V61,AA$8:AA$707,AA61,E$8:E$707,"&lt;"&amp;$E61))</f>
        <v/>
      </c>
      <c r="AC61" s="24">
        <f>IF(OR($E61="",Z61=0),"",IFERROR(TODAY()+ROUNDUP(Z61/(SUMIFS($AF61:$IN61,$AF$4:$IN$4,"WASH_ACT")/COUNTIFS($AF$4:$IN$4,"WASH_ACT",$AF61:$IN61,"&gt;0")),0),"no output yet"))</f>
        <v/>
      </c>
      <c r="AD61" s="26">
        <f>IF($E61="","",IFERROR(ROUND(MAX(0,SUMIFS($AF61:$IN61,$AF$4:$IN$4,"SEW_PLAN",$AF$3:$IN$3,"&lt;="&amp;TODAY())-SUMIFS($AF61:$IN61,$AF$4:$IN$4,"SEW_ACT",$AF$3:$IN$3,"&lt;="&amp;TODAY())+N(Q61))/(SUMIFS($AF61:$IN61,$AF$4:$IN$4,"SEW_PLAN")/COUNTIFS($AF$4:$IN$4,"SEW_PLAN",$AF61:$IN61,"&gt;0")),1),0))</f>
        <v/>
      </c>
      <c r="AE61" s="26">
        <f>IF($E61="","",IF(AND(Z61&gt;0,OR(AND(M61&lt;&gt;"",TODAY()&gt;M61),AND(V61&lt;&gt;"",V61-TODAY()&lt;=7))),"Yes","No"))</f>
        <v/>
      </c>
      <c r="AH61">
        <f>IF(OR(AF$3="",AF$3&gt;TODAY()),"",IF(AND(AF61="",AG61=""),"",N(AG61)-N(AF61)))</f>
        <v/>
      </c>
      <c r="AK61">
        <f>IF(OR(AF$3="",AF$3&gt;TODAY()),"",IF(AND(AI61="",AJ61=""),"",N(AJ61)-N(AI61)))</f>
        <v/>
      </c>
      <c r="AO61">
        <f>IF(OR(AM$3="",AM$3&gt;TODAY()),"",IF(AND(AM61="",AN61=""),"",N(AN61)-N(AM61)))</f>
        <v/>
      </c>
      <c r="AR61">
        <f>IF(OR(AM$3="",AM$3&gt;TODAY()),"",IF(AND(AP61="",AQ61=""),"",N(AQ61)-N(AP61)))</f>
        <v/>
      </c>
      <c r="AV61">
        <f>IF(OR(AT$3="",AT$3&gt;TODAY()),"",IF(AND(AT61="",AU61=""),"",N(AU61)-N(AT61)))</f>
        <v/>
      </c>
      <c r="AY61">
        <f>IF(OR(AT$3="",AT$3&gt;TODAY()),"",IF(AND(AW61="",AX61=""),"",N(AX61)-N(AW61)))</f>
        <v/>
      </c>
      <c r="BC61">
        <f>IF(OR(BA$3="",BA$3&gt;TODAY()),"",IF(AND(BA61="",BB61=""),"",N(BB61)-N(BA61)))</f>
        <v/>
      </c>
      <c r="BF61">
        <f>IF(OR(BA$3="",BA$3&gt;TODAY()),"",IF(AND(BD61="",BE61=""),"",N(BE61)-N(BD61)))</f>
        <v/>
      </c>
      <c r="BJ61">
        <f>IF(OR(BH$3="",BH$3&gt;TODAY()),"",IF(AND(BH61="",BI61=""),"",N(BI61)-N(BH61)))</f>
        <v/>
      </c>
      <c r="BM61">
        <f>IF(OR(BH$3="",BH$3&gt;TODAY()),"",IF(AND(BK61="",BL61=""),"",N(BL61)-N(BK61)))</f>
        <v/>
      </c>
      <c r="BQ61">
        <f>IF(OR(BO$3="",BO$3&gt;TODAY()),"",IF(AND(BO61="",BP61=""),"",N(BP61)-N(BO61)))</f>
        <v/>
      </c>
      <c r="BT61">
        <f>IF(OR(BO$3="",BO$3&gt;TODAY()),"",IF(AND(BR61="",BS61=""),"",N(BS61)-N(BR61)))</f>
        <v/>
      </c>
      <c r="BX61">
        <f>IF(OR(BV$3="",BV$3&gt;TODAY()),"",IF(AND(BV61="",BW61=""),"",N(BW61)-N(BV61)))</f>
        <v/>
      </c>
      <c r="CA61">
        <f>IF(OR(BV$3="",BV$3&gt;TODAY()),"",IF(AND(BY61="",BZ61=""),"",N(BZ61)-N(BY61)))</f>
        <v/>
      </c>
      <c r="CE61">
        <f>IF(OR(CC$3="",CC$3&gt;TODAY()),"",IF(AND(CC61="",CD61=""),"",N(CD61)-N(CC61)))</f>
        <v/>
      </c>
      <c r="CH61">
        <f>IF(OR(CC$3="",CC$3&gt;TODAY()),"",IF(AND(CF61="",CG61=""),"",N(CG61)-N(CF61)))</f>
        <v/>
      </c>
      <c r="CL61">
        <f>IF(OR(CJ$3="",CJ$3&gt;TODAY()),"",IF(AND(CJ61="",CK61=""),"",N(CK61)-N(CJ61)))</f>
        <v/>
      </c>
      <c r="CO61">
        <f>IF(OR(CJ$3="",CJ$3&gt;TODAY()),"",IF(AND(CM61="",CN61=""),"",N(CN61)-N(CM61)))</f>
        <v/>
      </c>
      <c r="CS61">
        <f>IF(OR(CQ$3="",CQ$3&gt;TODAY()),"",IF(AND(CQ61="",CR61=""),"",N(CR61)-N(CQ61)))</f>
        <v/>
      </c>
      <c r="CV61">
        <f>IF(OR(CQ$3="",CQ$3&gt;TODAY()),"",IF(AND(CT61="",CU61=""),"",N(CU61)-N(CT61)))</f>
        <v/>
      </c>
      <c r="CZ61">
        <f>IF(OR(CX$3="",CX$3&gt;TODAY()),"",IF(AND(CX61="",CY61=""),"",N(CY61)-N(CX61)))</f>
        <v/>
      </c>
      <c r="DC61">
        <f>IF(OR(CX$3="",CX$3&gt;TODAY()),"",IF(AND(DA61="",DB61=""),"",N(DB61)-N(DA61)))</f>
        <v/>
      </c>
      <c r="DG61">
        <f>IF(OR(DE$3="",DE$3&gt;TODAY()),"",IF(AND(DE61="",DF61=""),"",N(DF61)-N(DE61)))</f>
        <v/>
      </c>
      <c r="DJ61">
        <f>IF(OR(DE$3="",DE$3&gt;TODAY()),"",IF(AND(DH61="",DI61=""),"",N(DI61)-N(DH61)))</f>
        <v/>
      </c>
      <c r="DN61">
        <f>IF(OR(DL$3="",DL$3&gt;TODAY()),"",IF(AND(DL61="",DM61=""),"",N(DM61)-N(DL61)))</f>
        <v/>
      </c>
      <c r="DQ61">
        <f>IF(OR(DL$3="",DL$3&gt;TODAY()),"",IF(AND(DO61="",DP61=""),"",N(DP61)-N(DO61)))</f>
        <v/>
      </c>
      <c r="DU61">
        <f>IF(OR(DS$3="",DS$3&gt;TODAY()),"",IF(AND(DS61="",DT61=""),"",N(DT61)-N(DS61)))</f>
        <v/>
      </c>
      <c r="DX61">
        <f>IF(OR(DS$3="",DS$3&gt;TODAY()),"",IF(AND(DV61="",DW61=""),"",N(DW61)-N(DV61)))</f>
        <v/>
      </c>
      <c r="EB61">
        <f>IF(OR(DZ$3="",DZ$3&gt;TODAY()),"",IF(AND(DZ61="",EA61=""),"",N(EA61)-N(DZ61)))</f>
        <v/>
      </c>
      <c r="EE61">
        <f>IF(OR(DZ$3="",DZ$3&gt;TODAY()),"",IF(AND(EC61="",ED61=""),"",N(ED61)-N(EC61)))</f>
        <v/>
      </c>
      <c r="EI61">
        <f>IF(OR(EG$3="",EG$3&gt;TODAY()),"",IF(AND(EG61="",EH61=""),"",N(EH61)-N(EG61)))</f>
        <v/>
      </c>
      <c r="EL61">
        <f>IF(OR(EG$3="",EG$3&gt;TODAY()),"",IF(AND(EJ61="",EK61=""),"",N(EK61)-N(EJ61)))</f>
        <v/>
      </c>
      <c r="EP61">
        <f>IF(OR(EN$3="",EN$3&gt;TODAY()),"",IF(AND(EN61="",EO61=""),"",N(EO61)-N(EN61)))</f>
        <v/>
      </c>
      <c r="ES61">
        <f>IF(OR(EN$3="",EN$3&gt;TODAY()),"",IF(AND(EQ61="",ER61=""),"",N(ER61)-N(EQ61)))</f>
        <v/>
      </c>
      <c r="EW61">
        <f>IF(OR(EU$3="",EU$3&gt;TODAY()),"",IF(AND(EU61="",EV61=""),"",N(EV61)-N(EU61)))</f>
        <v/>
      </c>
      <c r="EZ61">
        <f>IF(OR(EU$3="",EU$3&gt;TODAY()),"",IF(AND(EX61="",EY61=""),"",N(EY61)-N(EX61)))</f>
        <v/>
      </c>
      <c r="FD61">
        <f>IF(OR(FB$3="",FB$3&gt;TODAY()),"",IF(AND(FB61="",FC61=""),"",N(FC61)-N(FB61)))</f>
        <v/>
      </c>
      <c r="FG61">
        <f>IF(OR(FB$3="",FB$3&gt;TODAY()),"",IF(AND(FE61="",FF61=""),"",N(FF61)-N(FE61)))</f>
        <v/>
      </c>
      <c r="FK61">
        <f>IF(OR(FI$3="",FI$3&gt;TODAY()),"",IF(AND(FI61="",FJ61=""),"",N(FJ61)-N(FI61)))</f>
        <v/>
      </c>
      <c r="FN61">
        <f>IF(OR(FI$3="",FI$3&gt;TODAY()),"",IF(AND(FL61="",FM61=""),"",N(FM61)-N(FL61)))</f>
        <v/>
      </c>
      <c r="FR61">
        <f>IF(OR(FP$3="",FP$3&gt;TODAY()),"",IF(AND(FP61="",FQ61=""),"",N(FQ61)-N(FP61)))</f>
        <v/>
      </c>
      <c r="FU61">
        <f>IF(OR(FP$3="",FP$3&gt;TODAY()),"",IF(AND(FS61="",FT61=""),"",N(FT61)-N(FS61)))</f>
        <v/>
      </c>
      <c r="FY61">
        <f>IF(OR(FW$3="",FW$3&gt;TODAY()),"",IF(AND(FW61="",FX61=""),"",N(FX61)-N(FW61)))</f>
        <v/>
      </c>
      <c r="GB61">
        <f>IF(OR(FW$3="",FW$3&gt;TODAY()),"",IF(AND(FZ61="",GA61=""),"",N(GA61)-N(FZ61)))</f>
        <v/>
      </c>
      <c r="GF61">
        <f>IF(OR(GD$3="",GD$3&gt;TODAY()),"",IF(AND(GD61="",GE61=""),"",N(GE61)-N(GD61)))</f>
        <v/>
      </c>
      <c r="GI61">
        <f>IF(OR(GD$3="",GD$3&gt;TODAY()),"",IF(AND(GG61="",GH61=""),"",N(GH61)-N(GG61)))</f>
        <v/>
      </c>
      <c r="GM61">
        <f>IF(OR(GK$3="",GK$3&gt;TODAY()),"",IF(AND(GK61="",GL61=""),"",N(GL61)-N(GK61)))</f>
        <v/>
      </c>
      <c r="GP61">
        <f>IF(OR(GK$3="",GK$3&gt;TODAY()),"",IF(AND(GN61="",GO61=""),"",N(GO61)-N(GN61)))</f>
        <v/>
      </c>
      <c r="GT61">
        <f>IF(OR(GR$3="",GR$3&gt;TODAY()),"",IF(AND(GR61="",GS61=""),"",N(GS61)-N(GR61)))</f>
        <v/>
      </c>
      <c r="GW61">
        <f>IF(OR(GR$3="",GR$3&gt;TODAY()),"",IF(AND(GU61="",GV61=""),"",N(GV61)-N(GU61)))</f>
        <v/>
      </c>
      <c r="HA61">
        <f>IF(OR(GY$3="",GY$3&gt;TODAY()),"",IF(AND(GY61="",GZ61=""),"",N(GZ61)-N(GY61)))</f>
        <v/>
      </c>
      <c r="HD61">
        <f>IF(OR(GY$3="",GY$3&gt;TODAY()),"",IF(AND(HB61="",HC61=""),"",N(HC61)-N(HB61)))</f>
        <v/>
      </c>
      <c r="HH61">
        <f>IF(OR(HF$3="",HF$3&gt;TODAY()),"",IF(AND(HF61="",HG61=""),"",N(HG61)-N(HF61)))</f>
        <v/>
      </c>
      <c r="HK61">
        <f>IF(OR(HF$3="",HF$3&gt;TODAY()),"",IF(AND(HI61="",HJ61=""),"",N(HJ61)-N(HI61)))</f>
        <v/>
      </c>
      <c r="HO61">
        <f>IF(OR(HM$3="",HM$3&gt;TODAY()),"",IF(AND(HM61="",HN61=""),"",N(HN61)-N(HM61)))</f>
        <v/>
      </c>
      <c r="HR61">
        <f>IF(OR(HM$3="",HM$3&gt;TODAY()),"",IF(AND(HP61="",HQ61=""),"",N(HQ61)-N(HP61)))</f>
        <v/>
      </c>
      <c r="HV61">
        <f>IF(OR(HT$3="",HT$3&gt;TODAY()),"",IF(AND(HT61="",HU61=""),"",N(HU61)-N(HT61)))</f>
        <v/>
      </c>
      <c r="HY61">
        <f>IF(OR(HT$3="",HT$3&gt;TODAY()),"",IF(AND(HW61="",HX61=""),"",N(HX61)-N(HW61)))</f>
        <v/>
      </c>
      <c r="IC61">
        <f>IF(OR(IA$3="",IA$3&gt;TODAY()),"",IF(AND(IA61="",IB61=""),"",N(IB61)-N(IA61)))</f>
        <v/>
      </c>
      <c r="IF61">
        <f>IF(OR(IA$3="",IA$3&gt;TODAY()),"",IF(AND(ID61="",IE61=""),"",N(IE61)-N(ID61)))</f>
        <v/>
      </c>
      <c r="IJ61">
        <f>IF(OR(IH$3="",IH$3&gt;TODAY()),"",IF(AND(IH61="",II61=""),"",N(II61)-N(IH61)))</f>
        <v/>
      </c>
      <c r="IM61">
        <f>IF(OR(IH$3="",IH$3&gt;TODAY()),"",IF(AND(IK61="",IL61=""),"",N(IL61)-N(IK61)))</f>
        <v/>
      </c>
    </row>
    <row r="62">
      <c r="A62" s="21" t="n"/>
      <c r="B62" s="21" t="n"/>
      <c r="C62" s="21" t="n"/>
      <c r="D62" s="21" t="n"/>
      <c r="E62" s="21" t="n"/>
      <c r="F62" s="21" t="n"/>
      <c r="G62" s="21" t="n"/>
      <c r="H62" s="21" t="n"/>
      <c r="I62" s="22" t="n"/>
      <c r="J62" s="22" t="n"/>
      <c r="K62" s="23" t="n"/>
      <c r="L62" s="22" t="n"/>
      <c r="M62" s="22" t="n"/>
      <c r="N62" s="21" t="n"/>
      <c r="O62" s="23" t="n"/>
      <c r="P62" s="23" t="n"/>
      <c r="Q62" s="23" t="n"/>
      <c r="R62" s="23" t="n"/>
      <c r="S62" s="22" t="n"/>
      <c r="T62" s="23" t="n"/>
      <c r="U62" s="23" t="n"/>
      <c r="V62" s="24">
        <f>IF(J62&lt;&gt;"",J62,IF(I62&lt;&gt;"",I62,""))</f>
        <v/>
      </c>
      <c r="W62" s="25">
        <f>IF($E62="","",N(O62)+SUMIFS($AF62:$IN62,$AF$4:$IN$4,"SEW_ACT"))</f>
        <v/>
      </c>
      <c r="X62" s="25">
        <f>IF($E62="","",N(P62)+SUMIFS($AF62:$IN62,$AF$4:$IN$4,"WASH_ACT"))</f>
        <v/>
      </c>
      <c r="Y62" s="25">
        <f>IF($E62="","",W62-X62-N(T62)-N(U62))</f>
        <v/>
      </c>
      <c r="Z62" s="25">
        <f>IF($E62="","",IF(N(K62)-X62&lt;=0.02*N(K62),0,N(K62)-X62))</f>
        <v/>
      </c>
      <c r="AA62" s="24">
        <f>IF($E62="","",IF(S62&lt;&gt;"",S62,IF(N(O62)&gt;0,IF(L62&lt;&gt;"",L62,99999),IFERROR(1/(1/_xlfn.MINIFS($AF$3:$IN$3,$AF$4:$IN$4,"SEW_ACT",$AF62:$IN62,"&gt;0")),99999))))</f>
        <v/>
      </c>
      <c r="AB62" s="26">
        <f>IF(OR($E62="",Z62=0,V62=""),"",1+COUNTIFS(Z$8:Z$707,"&gt;0",V$8:V$707,"&lt;"&amp;V62)+COUNTIFS(Z$8:Z$707,"&gt;0",V$8:V$707,V62,AA$8:AA$707,"&lt;"&amp;AA62)+COUNTIFS(Z$8:Z$707,"&gt;0",V$8:V$707,V62,AA$8:AA$707,AA62,E$8:E$707,"&lt;"&amp;$E62))</f>
        <v/>
      </c>
      <c r="AC62" s="24">
        <f>IF(OR($E62="",Z62=0),"",IFERROR(TODAY()+ROUNDUP(Z62/(SUMIFS($AF62:$IN62,$AF$4:$IN$4,"WASH_ACT")/COUNTIFS($AF$4:$IN$4,"WASH_ACT",$AF62:$IN62,"&gt;0")),0),"no output yet"))</f>
        <v/>
      </c>
      <c r="AD62" s="26">
        <f>IF($E62="","",IFERROR(ROUND(MAX(0,SUMIFS($AF62:$IN62,$AF$4:$IN$4,"SEW_PLAN",$AF$3:$IN$3,"&lt;="&amp;TODAY())-SUMIFS($AF62:$IN62,$AF$4:$IN$4,"SEW_ACT",$AF$3:$IN$3,"&lt;="&amp;TODAY())+N(Q62))/(SUMIFS($AF62:$IN62,$AF$4:$IN$4,"SEW_PLAN")/COUNTIFS($AF$4:$IN$4,"SEW_PLAN",$AF62:$IN62,"&gt;0")),1),0))</f>
        <v/>
      </c>
      <c r="AE62" s="26">
        <f>IF($E62="","",IF(AND(Z62&gt;0,OR(AND(M62&lt;&gt;"",TODAY()&gt;M62),AND(V62&lt;&gt;"",V62-TODAY()&lt;=7))),"Yes","No"))</f>
        <v/>
      </c>
      <c r="AH62">
        <f>IF(OR(AF$3="",AF$3&gt;TODAY()),"",IF(AND(AF62="",AG62=""),"",N(AG62)-N(AF62)))</f>
        <v/>
      </c>
      <c r="AK62">
        <f>IF(OR(AF$3="",AF$3&gt;TODAY()),"",IF(AND(AI62="",AJ62=""),"",N(AJ62)-N(AI62)))</f>
        <v/>
      </c>
      <c r="AO62">
        <f>IF(OR(AM$3="",AM$3&gt;TODAY()),"",IF(AND(AM62="",AN62=""),"",N(AN62)-N(AM62)))</f>
        <v/>
      </c>
      <c r="AR62">
        <f>IF(OR(AM$3="",AM$3&gt;TODAY()),"",IF(AND(AP62="",AQ62=""),"",N(AQ62)-N(AP62)))</f>
        <v/>
      </c>
      <c r="AV62">
        <f>IF(OR(AT$3="",AT$3&gt;TODAY()),"",IF(AND(AT62="",AU62=""),"",N(AU62)-N(AT62)))</f>
        <v/>
      </c>
      <c r="AY62">
        <f>IF(OR(AT$3="",AT$3&gt;TODAY()),"",IF(AND(AW62="",AX62=""),"",N(AX62)-N(AW62)))</f>
        <v/>
      </c>
      <c r="BC62">
        <f>IF(OR(BA$3="",BA$3&gt;TODAY()),"",IF(AND(BA62="",BB62=""),"",N(BB62)-N(BA62)))</f>
        <v/>
      </c>
      <c r="BF62">
        <f>IF(OR(BA$3="",BA$3&gt;TODAY()),"",IF(AND(BD62="",BE62=""),"",N(BE62)-N(BD62)))</f>
        <v/>
      </c>
      <c r="BJ62">
        <f>IF(OR(BH$3="",BH$3&gt;TODAY()),"",IF(AND(BH62="",BI62=""),"",N(BI62)-N(BH62)))</f>
        <v/>
      </c>
      <c r="BM62">
        <f>IF(OR(BH$3="",BH$3&gt;TODAY()),"",IF(AND(BK62="",BL62=""),"",N(BL62)-N(BK62)))</f>
        <v/>
      </c>
      <c r="BQ62">
        <f>IF(OR(BO$3="",BO$3&gt;TODAY()),"",IF(AND(BO62="",BP62=""),"",N(BP62)-N(BO62)))</f>
        <v/>
      </c>
      <c r="BT62">
        <f>IF(OR(BO$3="",BO$3&gt;TODAY()),"",IF(AND(BR62="",BS62=""),"",N(BS62)-N(BR62)))</f>
        <v/>
      </c>
      <c r="BX62">
        <f>IF(OR(BV$3="",BV$3&gt;TODAY()),"",IF(AND(BV62="",BW62=""),"",N(BW62)-N(BV62)))</f>
        <v/>
      </c>
      <c r="CA62">
        <f>IF(OR(BV$3="",BV$3&gt;TODAY()),"",IF(AND(BY62="",BZ62=""),"",N(BZ62)-N(BY62)))</f>
        <v/>
      </c>
      <c r="CE62">
        <f>IF(OR(CC$3="",CC$3&gt;TODAY()),"",IF(AND(CC62="",CD62=""),"",N(CD62)-N(CC62)))</f>
        <v/>
      </c>
      <c r="CH62">
        <f>IF(OR(CC$3="",CC$3&gt;TODAY()),"",IF(AND(CF62="",CG62=""),"",N(CG62)-N(CF62)))</f>
        <v/>
      </c>
      <c r="CL62">
        <f>IF(OR(CJ$3="",CJ$3&gt;TODAY()),"",IF(AND(CJ62="",CK62=""),"",N(CK62)-N(CJ62)))</f>
        <v/>
      </c>
      <c r="CO62">
        <f>IF(OR(CJ$3="",CJ$3&gt;TODAY()),"",IF(AND(CM62="",CN62=""),"",N(CN62)-N(CM62)))</f>
        <v/>
      </c>
      <c r="CS62">
        <f>IF(OR(CQ$3="",CQ$3&gt;TODAY()),"",IF(AND(CQ62="",CR62=""),"",N(CR62)-N(CQ62)))</f>
        <v/>
      </c>
      <c r="CV62">
        <f>IF(OR(CQ$3="",CQ$3&gt;TODAY()),"",IF(AND(CT62="",CU62=""),"",N(CU62)-N(CT62)))</f>
        <v/>
      </c>
      <c r="CZ62">
        <f>IF(OR(CX$3="",CX$3&gt;TODAY()),"",IF(AND(CX62="",CY62=""),"",N(CY62)-N(CX62)))</f>
        <v/>
      </c>
      <c r="DC62">
        <f>IF(OR(CX$3="",CX$3&gt;TODAY()),"",IF(AND(DA62="",DB62=""),"",N(DB62)-N(DA62)))</f>
        <v/>
      </c>
      <c r="DG62">
        <f>IF(OR(DE$3="",DE$3&gt;TODAY()),"",IF(AND(DE62="",DF62=""),"",N(DF62)-N(DE62)))</f>
        <v/>
      </c>
      <c r="DJ62">
        <f>IF(OR(DE$3="",DE$3&gt;TODAY()),"",IF(AND(DH62="",DI62=""),"",N(DI62)-N(DH62)))</f>
        <v/>
      </c>
      <c r="DN62">
        <f>IF(OR(DL$3="",DL$3&gt;TODAY()),"",IF(AND(DL62="",DM62=""),"",N(DM62)-N(DL62)))</f>
        <v/>
      </c>
      <c r="DQ62">
        <f>IF(OR(DL$3="",DL$3&gt;TODAY()),"",IF(AND(DO62="",DP62=""),"",N(DP62)-N(DO62)))</f>
        <v/>
      </c>
      <c r="DU62">
        <f>IF(OR(DS$3="",DS$3&gt;TODAY()),"",IF(AND(DS62="",DT62=""),"",N(DT62)-N(DS62)))</f>
        <v/>
      </c>
      <c r="DX62">
        <f>IF(OR(DS$3="",DS$3&gt;TODAY()),"",IF(AND(DV62="",DW62=""),"",N(DW62)-N(DV62)))</f>
        <v/>
      </c>
      <c r="EB62">
        <f>IF(OR(DZ$3="",DZ$3&gt;TODAY()),"",IF(AND(DZ62="",EA62=""),"",N(EA62)-N(DZ62)))</f>
        <v/>
      </c>
      <c r="EE62">
        <f>IF(OR(DZ$3="",DZ$3&gt;TODAY()),"",IF(AND(EC62="",ED62=""),"",N(ED62)-N(EC62)))</f>
        <v/>
      </c>
      <c r="EI62">
        <f>IF(OR(EG$3="",EG$3&gt;TODAY()),"",IF(AND(EG62="",EH62=""),"",N(EH62)-N(EG62)))</f>
        <v/>
      </c>
      <c r="EL62">
        <f>IF(OR(EG$3="",EG$3&gt;TODAY()),"",IF(AND(EJ62="",EK62=""),"",N(EK62)-N(EJ62)))</f>
        <v/>
      </c>
      <c r="EP62">
        <f>IF(OR(EN$3="",EN$3&gt;TODAY()),"",IF(AND(EN62="",EO62=""),"",N(EO62)-N(EN62)))</f>
        <v/>
      </c>
      <c r="ES62">
        <f>IF(OR(EN$3="",EN$3&gt;TODAY()),"",IF(AND(EQ62="",ER62=""),"",N(ER62)-N(EQ62)))</f>
        <v/>
      </c>
      <c r="EW62">
        <f>IF(OR(EU$3="",EU$3&gt;TODAY()),"",IF(AND(EU62="",EV62=""),"",N(EV62)-N(EU62)))</f>
        <v/>
      </c>
      <c r="EZ62">
        <f>IF(OR(EU$3="",EU$3&gt;TODAY()),"",IF(AND(EX62="",EY62=""),"",N(EY62)-N(EX62)))</f>
        <v/>
      </c>
      <c r="FD62">
        <f>IF(OR(FB$3="",FB$3&gt;TODAY()),"",IF(AND(FB62="",FC62=""),"",N(FC62)-N(FB62)))</f>
        <v/>
      </c>
      <c r="FG62">
        <f>IF(OR(FB$3="",FB$3&gt;TODAY()),"",IF(AND(FE62="",FF62=""),"",N(FF62)-N(FE62)))</f>
        <v/>
      </c>
      <c r="FK62">
        <f>IF(OR(FI$3="",FI$3&gt;TODAY()),"",IF(AND(FI62="",FJ62=""),"",N(FJ62)-N(FI62)))</f>
        <v/>
      </c>
      <c r="FN62">
        <f>IF(OR(FI$3="",FI$3&gt;TODAY()),"",IF(AND(FL62="",FM62=""),"",N(FM62)-N(FL62)))</f>
        <v/>
      </c>
      <c r="FR62">
        <f>IF(OR(FP$3="",FP$3&gt;TODAY()),"",IF(AND(FP62="",FQ62=""),"",N(FQ62)-N(FP62)))</f>
        <v/>
      </c>
      <c r="FU62">
        <f>IF(OR(FP$3="",FP$3&gt;TODAY()),"",IF(AND(FS62="",FT62=""),"",N(FT62)-N(FS62)))</f>
        <v/>
      </c>
      <c r="FY62">
        <f>IF(OR(FW$3="",FW$3&gt;TODAY()),"",IF(AND(FW62="",FX62=""),"",N(FX62)-N(FW62)))</f>
        <v/>
      </c>
      <c r="GB62">
        <f>IF(OR(FW$3="",FW$3&gt;TODAY()),"",IF(AND(FZ62="",GA62=""),"",N(GA62)-N(FZ62)))</f>
        <v/>
      </c>
      <c r="GF62">
        <f>IF(OR(GD$3="",GD$3&gt;TODAY()),"",IF(AND(GD62="",GE62=""),"",N(GE62)-N(GD62)))</f>
        <v/>
      </c>
      <c r="GI62">
        <f>IF(OR(GD$3="",GD$3&gt;TODAY()),"",IF(AND(GG62="",GH62=""),"",N(GH62)-N(GG62)))</f>
        <v/>
      </c>
      <c r="GM62">
        <f>IF(OR(GK$3="",GK$3&gt;TODAY()),"",IF(AND(GK62="",GL62=""),"",N(GL62)-N(GK62)))</f>
        <v/>
      </c>
      <c r="GP62">
        <f>IF(OR(GK$3="",GK$3&gt;TODAY()),"",IF(AND(GN62="",GO62=""),"",N(GO62)-N(GN62)))</f>
        <v/>
      </c>
      <c r="GT62">
        <f>IF(OR(GR$3="",GR$3&gt;TODAY()),"",IF(AND(GR62="",GS62=""),"",N(GS62)-N(GR62)))</f>
        <v/>
      </c>
      <c r="GW62">
        <f>IF(OR(GR$3="",GR$3&gt;TODAY()),"",IF(AND(GU62="",GV62=""),"",N(GV62)-N(GU62)))</f>
        <v/>
      </c>
      <c r="HA62">
        <f>IF(OR(GY$3="",GY$3&gt;TODAY()),"",IF(AND(GY62="",GZ62=""),"",N(GZ62)-N(GY62)))</f>
        <v/>
      </c>
      <c r="HD62">
        <f>IF(OR(GY$3="",GY$3&gt;TODAY()),"",IF(AND(HB62="",HC62=""),"",N(HC62)-N(HB62)))</f>
        <v/>
      </c>
      <c r="HH62">
        <f>IF(OR(HF$3="",HF$3&gt;TODAY()),"",IF(AND(HF62="",HG62=""),"",N(HG62)-N(HF62)))</f>
        <v/>
      </c>
      <c r="HK62">
        <f>IF(OR(HF$3="",HF$3&gt;TODAY()),"",IF(AND(HI62="",HJ62=""),"",N(HJ62)-N(HI62)))</f>
        <v/>
      </c>
      <c r="HO62">
        <f>IF(OR(HM$3="",HM$3&gt;TODAY()),"",IF(AND(HM62="",HN62=""),"",N(HN62)-N(HM62)))</f>
        <v/>
      </c>
      <c r="HR62">
        <f>IF(OR(HM$3="",HM$3&gt;TODAY()),"",IF(AND(HP62="",HQ62=""),"",N(HQ62)-N(HP62)))</f>
        <v/>
      </c>
      <c r="HV62">
        <f>IF(OR(HT$3="",HT$3&gt;TODAY()),"",IF(AND(HT62="",HU62=""),"",N(HU62)-N(HT62)))</f>
        <v/>
      </c>
      <c r="HY62">
        <f>IF(OR(HT$3="",HT$3&gt;TODAY()),"",IF(AND(HW62="",HX62=""),"",N(HX62)-N(HW62)))</f>
        <v/>
      </c>
      <c r="IC62">
        <f>IF(OR(IA$3="",IA$3&gt;TODAY()),"",IF(AND(IA62="",IB62=""),"",N(IB62)-N(IA62)))</f>
        <v/>
      </c>
      <c r="IF62">
        <f>IF(OR(IA$3="",IA$3&gt;TODAY()),"",IF(AND(ID62="",IE62=""),"",N(IE62)-N(ID62)))</f>
        <v/>
      </c>
      <c r="IJ62">
        <f>IF(OR(IH$3="",IH$3&gt;TODAY()),"",IF(AND(IH62="",II62=""),"",N(II62)-N(IH62)))</f>
        <v/>
      </c>
      <c r="IM62">
        <f>IF(OR(IH$3="",IH$3&gt;TODAY()),"",IF(AND(IK62="",IL62=""),"",N(IL62)-N(IK62)))</f>
        <v/>
      </c>
    </row>
    <row r="63">
      <c r="A63" s="21" t="n"/>
      <c r="B63" s="21" t="n"/>
      <c r="C63" s="21" t="n"/>
      <c r="D63" s="21" t="n"/>
      <c r="E63" s="21" t="n"/>
      <c r="F63" s="21" t="n"/>
      <c r="G63" s="21" t="n"/>
      <c r="H63" s="21" t="n"/>
      <c r="I63" s="22" t="n"/>
      <c r="J63" s="22" t="n"/>
      <c r="K63" s="23" t="n"/>
      <c r="L63" s="22" t="n"/>
      <c r="M63" s="22" t="n"/>
      <c r="N63" s="21" t="n"/>
      <c r="O63" s="23" t="n"/>
      <c r="P63" s="23" t="n"/>
      <c r="Q63" s="23" t="n"/>
      <c r="R63" s="23" t="n"/>
      <c r="S63" s="22" t="n"/>
      <c r="T63" s="23" t="n"/>
      <c r="U63" s="23" t="n"/>
      <c r="V63" s="24">
        <f>IF(J63&lt;&gt;"",J63,IF(I63&lt;&gt;"",I63,""))</f>
        <v/>
      </c>
      <c r="W63" s="25">
        <f>IF($E63="","",N(O63)+SUMIFS($AF63:$IN63,$AF$4:$IN$4,"SEW_ACT"))</f>
        <v/>
      </c>
      <c r="X63" s="25">
        <f>IF($E63="","",N(P63)+SUMIFS($AF63:$IN63,$AF$4:$IN$4,"WASH_ACT"))</f>
        <v/>
      </c>
      <c r="Y63" s="25">
        <f>IF($E63="","",W63-X63-N(T63)-N(U63))</f>
        <v/>
      </c>
      <c r="Z63" s="25">
        <f>IF($E63="","",IF(N(K63)-X63&lt;=0.02*N(K63),0,N(K63)-X63))</f>
        <v/>
      </c>
      <c r="AA63" s="24">
        <f>IF($E63="","",IF(S63&lt;&gt;"",S63,IF(N(O63)&gt;0,IF(L63&lt;&gt;"",L63,99999),IFERROR(1/(1/_xlfn.MINIFS($AF$3:$IN$3,$AF$4:$IN$4,"SEW_ACT",$AF63:$IN63,"&gt;0")),99999))))</f>
        <v/>
      </c>
      <c r="AB63" s="26">
        <f>IF(OR($E63="",Z63=0,V63=""),"",1+COUNTIFS(Z$8:Z$707,"&gt;0",V$8:V$707,"&lt;"&amp;V63)+COUNTIFS(Z$8:Z$707,"&gt;0",V$8:V$707,V63,AA$8:AA$707,"&lt;"&amp;AA63)+COUNTIFS(Z$8:Z$707,"&gt;0",V$8:V$707,V63,AA$8:AA$707,AA63,E$8:E$707,"&lt;"&amp;$E63))</f>
        <v/>
      </c>
      <c r="AC63" s="24">
        <f>IF(OR($E63="",Z63=0),"",IFERROR(TODAY()+ROUNDUP(Z63/(SUMIFS($AF63:$IN63,$AF$4:$IN$4,"WASH_ACT")/COUNTIFS($AF$4:$IN$4,"WASH_ACT",$AF63:$IN63,"&gt;0")),0),"no output yet"))</f>
        <v/>
      </c>
      <c r="AD63" s="26">
        <f>IF($E63="","",IFERROR(ROUND(MAX(0,SUMIFS($AF63:$IN63,$AF$4:$IN$4,"SEW_PLAN",$AF$3:$IN$3,"&lt;="&amp;TODAY())-SUMIFS($AF63:$IN63,$AF$4:$IN$4,"SEW_ACT",$AF$3:$IN$3,"&lt;="&amp;TODAY())+N(Q63))/(SUMIFS($AF63:$IN63,$AF$4:$IN$4,"SEW_PLAN")/COUNTIFS($AF$4:$IN$4,"SEW_PLAN",$AF63:$IN63,"&gt;0")),1),0))</f>
        <v/>
      </c>
      <c r="AE63" s="26">
        <f>IF($E63="","",IF(AND(Z63&gt;0,OR(AND(M63&lt;&gt;"",TODAY()&gt;M63),AND(V63&lt;&gt;"",V63-TODAY()&lt;=7))),"Yes","No"))</f>
        <v/>
      </c>
      <c r="AH63">
        <f>IF(OR(AF$3="",AF$3&gt;TODAY()),"",IF(AND(AF63="",AG63=""),"",N(AG63)-N(AF63)))</f>
        <v/>
      </c>
      <c r="AK63">
        <f>IF(OR(AF$3="",AF$3&gt;TODAY()),"",IF(AND(AI63="",AJ63=""),"",N(AJ63)-N(AI63)))</f>
        <v/>
      </c>
      <c r="AO63">
        <f>IF(OR(AM$3="",AM$3&gt;TODAY()),"",IF(AND(AM63="",AN63=""),"",N(AN63)-N(AM63)))</f>
        <v/>
      </c>
      <c r="AR63">
        <f>IF(OR(AM$3="",AM$3&gt;TODAY()),"",IF(AND(AP63="",AQ63=""),"",N(AQ63)-N(AP63)))</f>
        <v/>
      </c>
      <c r="AV63">
        <f>IF(OR(AT$3="",AT$3&gt;TODAY()),"",IF(AND(AT63="",AU63=""),"",N(AU63)-N(AT63)))</f>
        <v/>
      </c>
      <c r="AY63">
        <f>IF(OR(AT$3="",AT$3&gt;TODAY()),"",IF(AND(AW63="",AX63=""),"",N(AX63)-N(AW63)))</f>
        <v/>
      </c>
      <c r="BC63">
        <f>IF(OR(BA$3="",BA$3&gt;TODAY()),"",IF(AND(BA63="",BB63=""),"",N(BB63)-N(BA63)))</f>
        <v/>
      </c>
      <c r="BF63">
        <f>IF(OR(BA$3="",BA$3&gt;TODAY()),"",IF(AND(BD63="",BE63=""),"",N(BE63)-N(BD63)))</f>
        <v/>
      </c>
      <c r="BJ63">
        <f>IF(OR(BH$3="",BH$3&gt;TODAY()),"",IF(AND(BH63="",BI63=""),"",N(BI63)-N(BH63)))</f>
        <v/>
      </c>
      <c r="BM63">
        <f>IF(OR(BH$3="",BH$3&gt;TODAY()),"",IF(AND(BK63="",BL63=""),"",N(BL63)-N(BK63)))</f>
        <v/>
      </c>
      <c r="BQ63">
        <f>IF(OR(BO$3="",BO$3&gt;TODAY()),"",IF(AND(BO63="",BP63=""),"",N(BP63)-N(BO63)))</f>
        <v/>
      </c>
      <c r="BT63">
        <f>IF(OR(BO$3="",BO$3&gt;TODAY()),"",IF(AND(BR63="",BS63=""),"",N(BS63)-N(BR63)))</f>
        <v/>
      </c>
      <c r="BX63">
        <f>IF(OR(BV$3="",BV$3&gt;TODAY()),"",IF(AND(BV63="",BW63=""),"",N(BW63)-N(BV63)))</f>
        <v/>
      </c>
      <c r="CA63">
        <f>IF(OR(BV$3="",BV$3&gt;TODAY()),"",IF(AND(BY63="",BZ63=""),"",N(BZ63)-N(BY63)))</f>
        <v/>
      </c>
      <c r="CE63">
        <f>IF(OR(CC$3="",CC$3&gt;TODAY()),"",IF(AND(CC63="",CD63=""),"",N(CD63)-N(CC63)))</f>
        <v/>
      </c>
      <c r="CH63">
        <f>IF(OR(CC$3="",CC$3&gt;TODAY()),"",IF(AND(CF63="",CG63=""),"",N(CG63)-N(CF63)))</f>
        <v/>
      </c>
      <c r="CL63">
        <f>IF(OR(CJ$3="",CJ$3&gt;TODAY()),"",IF(AND(CJ63="",CK63=""),"",N(CK63)-N(CJ63)))</f>
        <v/>
      </c>
      <c r="CO63">
        <f>IF(OR(CJ$3="",CJ$3&gt;TODAY()),"",IF(AND(CM63="",CN63=""),"",N(CN63)-N(CM63)))</f>
        <v/>
      </c>
      <c r="CS63">
        <f>IF(OR(CQ$3="",CQ$3&gt;TODAY()),"",IF(AND(CQ63="",CR63=""),"",N(CR63)-N(CQ63)))</f>
        <v/>
      </c>
      <c r="CV63">
        <f>IF(OR(CQ$3="",CQ$3&gt;TODAY()),"",IF(AND(CT63="",CU63=""),"",N(CU63)-N(CT63)))</f>
        <v/>
      </c>
      <c r="CZ63">
        <f>IF(OR(CX$3="",CX$3&gt;TODAY()),"",IF(AND(CX63="",CY63=""),"",N(CY63)-N(CX63)))</f>
        <v/>
      </c>
      <c r="DC63">
        <f>IF(OR(CX$3="",CX$3&gt;TODAY()),"",IF(AND(DA63="",DB63=""),"",N(DB63)-N(DA63)))</f>
        <v/>
      </c>
      <c r="DG63">
        <f>IF(OR(DE$3="",DE$3&gt;TODAY()),"",IF(AND(DE63="",DF63=""),"",N(DF63)-N(DE63)))</f>
        <v/>
      </c>
      <c r="DJ63">
        <f>IF(OR(DE$3="",DE$3&gt;TODAY()),"",IF(AND(DH63="",DI63=""),"",N(DI63)-N(DH63)))</f>
        <v/>
      </c>
      <c r="DN63">
        <f>IF(OR(DL$3="",DL$3&gt;TODAY()),"",IF(AND(DL63="",DM63=""),"",N(DM63)-N(DL63)))</f>
        <v/>
      </c>
      <c r="DQ63">
        <f>IF(OR(DL$3="",DL$3&gt;TODAY()),"",IF(AND(DO63="",DP63=""),"",N(DP63)-N(DO63)))</f>
        <v/>
      </c>
      <c r="DU63">
        <f>IF(OR(DS$3="",DS$3&gt;TODAY()),"",IF(AND(DS63="",DT63=""),"",N(DT63)-N(DS63)))</f>
        <v/>
      </c>
      <c r="DX63">
        <f>IF(OR(DS$3="",DS$3&gt;TODAY()),"",IF(AND(DV63="",DW63=""),"",N(DW63)-N(DV63)))</f>
        <v/>
      </c>
      <c r="EB63">
        <f>IF(OR(DZ$3="",DZ$3&gt;TODAY()),"",IF(AND(DZ63="",EA63=""),"",N(EA63)-N(DZ63)))</f>
        <v/>
      </c>
      <c r="EE63">
        <f>IF(OR(DZ$3="",DZ$3&gt;TODAY()),"",IF(AND(EC63="",ED63=""),"",N(ED63)-N(EC63)))</f>
        <v/>
      </c>
      <c r="EI63">
        <f>IF(OR(EG$3="",EG$3&gt;TODAY()),"",IF(AND(EG63="",EH63=""),"",N(EH63)-N(EG63)))</f>
        <v/>
      </c>
      <c r="EL63">
        <f>IF(OR(EG$3="",EG$3&gt;TODAY()),"",IF(AND(EJ63="",EK63=""),"",N(EK63)-N(EJ63)))</f>
        <v/>
      </c>
      <c r="EP63">
        <f>IF(OR(EN$3="",EN$3&gt;TODAY()),"",IF(AND(EN63="",EO63=""),"",N(EO63)-N(EN63)))</f>
        <v/>
      </c>
      <c r="ES63">
        <f>IF(OR(EN$3="",EN$3&gt;TODAY()),"",IF(AND(EQ63="",ER63=""),"",N(ER63)-N(EQ63)))</f>
        <v/>
      </c>
      <c r="EW63">
        <f>IF(OR(EU$3="",EU$3&gt;TODAY()),"",IF(AND(EU63="",EV63=""),"",N(EV63)-N(EU63)))</f>
        <v/>
      </c>
      <c r="EZ63">
        <f>IF(OR(EU$3="",EU$3&gt;TODAY()),"",IF(AND(EX63="",EY63=""),"",N(EY63)-N(EX63)))</f>
        <v/>
      </c>
      <c r="FD63">
        <f>IF(OR(FB$3="",FB$3&gt;TODAY()),"",IF(AND(FB63="",FC63=""),"",N(FC63)-N(FB63)))</f>
        <v/>
      </c>
      <c r="FG63">
        <f>IF(OR(FB$3="",FB$3&gt;TODAY()),"",IF(AND(FE63="",FF63=""),"",N(FF63)-N(FE63)))</f>
        <v/>
      </c>
      <c r="FK63">
        <f>IF(OR(FI$3="",FI$3&gt;TODAY()),"",IF(AND(FI63="",FJ63=""),"",N(FJ63)-N(FI63)))</f>
        <v/>
      </c>
      <c r="FN63">
        <f>IF(OR(FI$3="",FI$3&gt;TODAY()),"",IF(AND(FL63="",FM63=""),"",N(FM63)-N(FL63)))</f>
        <v/>
      </c>
      <c r="FR63">
        <f>IF(OR(FP$3="",FP$3&gt;TODAY()),"",IF(AND(FP63="",FQ63=""),"",N(FQ63)-N(FP63)))</f>
        <v/>
      </c>
      <c r="FU63">
        <f>IF(OR(FP$3="",FP$3&gt;TODAY()),"",IF(AND(FS63="",FT63=""),"",N(FT63)-N(FS63)))</f>
        <v/>
      </c>
      <c r="FY63">
        <f>IF(OR(FW$3="",FW$3&gt;TODAY()),"",IF(AND(FW63="",FX63=""),"",N(FX63)-N(FW63)))</f>
        <v/>
      </c>
      <c r="GB63">
        <f>IF(OR(FW$3="",FW$3&gt;TODAY()),"",IF(AND(FZ63="",GA63=""),"",N(GA63)-N(FZ63)))</f>
        <v/>
      </c>
      <c r="GF63">
        <f>IF(OR(GD$3="",GD$3&gt;TODAY()),"",IF(AND(GD63="",GE63=""),"",N(GE63)-N(GD63)))</f>
        <v/>
      </c>
      <c r="GI63">
        <f>IF(OR(GD$3="",GD$3&gt;TODAY()),"",IF(AND(GG63="",GH63=""),"",N(GH63)-N(GG63)))</f>
        <v/>
      </c>
      <c r="GM63">
        <f>IF(OR(GK$3="",GK$3&gt;TODAY()),"",IF(AND(GK63="",GL63=""),"",N(GL63)-N(GK63)))</f>
        <v/>
      </c>
      <c r="GP63">
        <f>IF(OR(GK$3="",GK$3&gt;TODAY()),"",IF(AND(GN63="",GO63=""),"",N(GO63)-N(GN63)))</f>
        <v/>
      </c>
      <c r="GT63">
        <f>IF(OR(GR$3="",GR$3&gt;TODAY()),"",IF(AND(GR63="",GS63=""),"",N(GS63)-N(GR63)))</f>
        <v/>
      </c>
      <c r="GW63">
        <f>IF(OR(GR$3="",GR$3&gt;TODAY()),"",IF(AND(GU63="",GV63=""),"",N(GV63)-N(GU63)))</f>
        <v/>
      </c>
      <c r="HA63">
        <f>IF(OR(GY$3="",GY$3&gt;TODAY()),"",IF(AND(GY63="",GZ63=""),"",N(GZ63)-N(GY63)))</f>
        <v/>
      </c>
      <c r="HD63">
        <f>IF(OR(GY$3="",GY$3&gt;TODAY()),"",IF(AND(HB63="",HC63=""),"",N(HC63)-N(HB63)))</f>
        <v/>
      </c>
      <c r="HH63">
        <f>IF(OR(HF$3="",HF$3&gt;TODAY()),"",IF(AND(HF63="",HG63=""),"",N(HG63)-N(HF63)))</f>
        <v/>
      </c>
      <c r="HK63">
        <f>IF(OR(HF$3="",HF$3&gt;TODAY()),"",IF(AND(HI63="",HJ63=""),"",N(HJ63)-N(HI63)))</f>
        <v/>
      </c>
      <c r="HO63">
        <f>IF(OR(HM$3="",HM$3&gt;TODAY()),"",IF(AND(HM63="",HN63=""),"",N(HN63)-N(HM63)))</f>
        <v/>
      </c>
      <c r="HR63">
        <f>IF(OR(HM$3="",HM$3&gt;TODAY()),"",IF(AND(HP63="",HQ63=""),"",N(HQ63)-N(HP63)))</f>
        <v/>
      </c>
      <c r="HV63">
        <f>IF(OR(HT$3="",HT$3&gt;TODAY()),"",IF(AND(HT63="",HU63=""),"",N(HU63)-N(HT63)))</f>
        <v/>
      </c>
      <c r="HY63">
        <f>IF(OR(HT$3="",HT$3&gt;TODAY()),"",IF(AND(HW63="",HX63=""),"",N(HX63)-N(HW63)))</f>
        <v/>
      </c>
      <c r="IC63">
        <f>IF(OR(IA$3="",IA$3&gt;TODAY()),"",IF(AND(IA63="",IB63=""),"",N(IB63)-N(IA63)))</f>
        <v/>
      </c>
      <c r="IF63">
        <f>IF(OR(IA$3="",IA$3&gt;TODAY()),"",IF(AND(ID63="",IE63=""),"",N(IE63)-N(ID63)))</f>
        <v/>
      </c>
      <c r="IJ63">
        <f>IF(OR(IH$3="",IH$3&gt;TODAY()),"",IF(AND(IH63="",II63=""),"",N(II63)-N(IH63)))</f>
        <v/>
      </c>
      <c r="IM63">
        <f>IF(OR(IH$3="",IH$3&gt;TODAY()),"",IF(AND(IK63="",IL63=""),"",N(IL63)-N(IK63)))</f>
        <v/>
      </c>
    </row>
    <row r="64">
      <c r="A64" s="21" t="n"/>
      <c r="B64" s="21" t="n"/>
      <c r="C64" s="21" t="n"/>
      <c r="D64" s="21" t="n"/>
      <c r="E64" s="21" t="n"/>
      <c r="F64" s="21" t="n"/>
      <c r="G64" s="21" t="n"/>
      <c r="H64" s="21" t="n"/>
      <c r="I64" s="22" t="n"/>
      <c r="J64" s="22" t="n"/>
      <c r="K64" s="23" t="n"/>
      <c r="L64" s="22" t="n"/>
      <c r="M64" s="22" t="n"/>
      <c r="N64" s="21" t="n"/>
      <c r="O64" s="23" t="n"/>
      <c r="P64" s="23" t="n"/>
      <c r="Q64" s="23" t="n"/>
      <c r="R64" s="23" t="n"/>
      <c r="S64" s="22" t="n"/>
      <c r="T64" s="23" t="n"/>
      <c r="U64" s="23" t="n"/>
      <c r="V64" s="24">
        <f>IF(J64&lt;&gt;"",J64,IF(I64&lt;&gt;"",I64,""))</f>
        <v/>
      </c>
      <c r="W64" s="25">
        <f>IF($E64="","",N(O64)+SUMIFS($AF64:$IN64,$AF$4:$IN$4,"SEW_ACT"))</f>
        <v/>
      </c>
      <c r="X64" s="25">
        <f>IF($E64="","",N(P64)+SUMIFS($AF64:$IN64,$AF$4:$IN$4,"WASH_ACT"))</f>
        <v/>
      </c>
      <c r="Y64" s="25">
        <f>IF($E64="","",W64-X64-N(T64)-N(U64))</f>
        <v/>
      </c>
      <c r="Z64" s="25">
        <f>IF($E64="","",IF(N(K64)-X64&lt;=0.02*N(K64),0,N(K64)-X64))</f>
        <v/>
      </c>
      <c r="AA64" s="24">
        <f>IF($E64="","",IF(S64&lt;&gt;"",S64,IF(N(O64)&gt;0,IF(L64&lt;&gt;"",L64,99999),IFERROR(1/(1/_xlfn.MINIFS($AF$3:$IN$3,$AF$4:$IN$4,"SEW_ACT",$AF64:$IN64,"&gt;0")),99999))))</f>
        <v/>
      </c>
      <c r="AB64" s="26">
        <f>IF(OR($E64="",Z64=0,V64=""),"",1+COUNTIFS(Z$8:Z$707,"&gt;0",V$8:V$707,"&lt;"&amp;V64)+COUNTIFS(Z$8:Z$707,"&gt;0",V$8:V$707,V64,AA$8:AA$707,"&lt;"&amp;AA64)+COUNTIFS(Z$8:Z$707,"&gt;0",V$8:V$707,V64,AA$8:AA$707,AA64,E$8:E$707,"&lt;"&amp;$E64))</f>
        <v/>
      </c>
      <c r="AC64" s="24">
        <f>IF(OR($E64="",Z64=0),"",IFERROR(TODAY()+ROUNDUP(Z64/(SUMIFS($AF64:$IN64,$AF$4:$IN$4,"WASH_ACT")/COUNTIFS($AF$4:$IN$4,"WASH_ACT",$AF64:$IN64,"&gt;0")),0),"no output yet"))</f>
        <v/>
      </c>
      <c r="AD64" s="26">
        <f>IF($E64="","",IFERROR(ROUND(MAX(0,SUMIFS($AF64:$IN64,$AF$4:$IN$4,"SEW_PLAN",$AF$3:$IN$3,"&lt;="&amp;TODAY())-SUMIFS($AF64:$IN64,$AF$4:$IN$4,"SEW_ACT",$AF$3:$IN$3,"&lt;="&amp;TODAY())+N(Q64))/(SUMIFS($AF64:$IN64,$AF$4:$IN$4,"SEW_PLAN")/COUNTIFS($AF$4:$IN$4,"SEW_PLAN",$AF64:$IN64,"&gt;0")),1),0))</f>
        <v/>
      </c>
      <c r="AE64" s="26">
        <f>IF($E64="","",IF(AND(Z64&gt;0,OR(AND(M64&lt;&gt;"",TODAY()&gt;M64),AND(V64&lt;&gt;"",V64-TODAY()&lt;=7))),"Yes","No"))</f>
        <v/>
      </c>
      <c r="AH64">
        <f>IF(OR(AF$3="",AF$3&gt;TODAY()),"",IF(AND(AF64="",AG64=""),"",N(AG64)-N(AF64)))</f>
        <v/>
      </c>
      <c r="AK64">
        <f>IF(OR(AF$3="",AF$3&gt;TODAY()),"",IF(AND(AI64="",AJ64=""),"",N(AJ64)-N(AI64)))</f>
        <v/>
      </c>
      <c r="AO64">
        <f>IF(OR(AM$3="",AM$3&gt;TODAY()),"",IF(AND(AM64="",AN64=""),"",N(AN64)-N(AM64)))</f>
        <v/>
      </c>
      <c r="AR64">
        <f>IF(OR(AM$3="",AM$3&gt;TODAY()),"",IF(AND(AP64="",AQ64=""),"",N(AQ64)-N(AP64)))</f>
        <v/>
      </c>
      <c r="AV64">
        <f>IF(OR(AT$3="",AT$3&gt;TODAY()),"",IF(AND(AT64="",AU64=""),"",N(AU64)-N(AT64)))</f>
        <v/>
      </c>
      <c r="AY64">
        <f>IF(OR(AT$3="",AT$3&gt;TODAY()),"",IF(AND(AW64="",AX64=""),"",N(AX64)-N(AW64)))</f>
        <v/>
      </c>
      <c r="BC64">
        <f>IF(OR(BA$3="",BA$3&gt;TODAY()),"",IF(AND(BA64="",BB64=""),"",N(BB64)-N(BA64)))</f>
        <v/>
      </c>
      <c r="BF64">
        <f>IF(OR(BA$3="",BA$3&gt;TODAY()),"",IF(AND(BD64="",BE64=""),"",N(BE64)-N(BD64)))</f>
        <v/>
      </c>
      <c r="BJ64">
        <f>IF(OR(BH$3="",BH$3&gt;TODAY()),"",IF(AND(BH64="",BI64=""),"",N(BI64)-N(BH64)))</f>
        <v/>
      </c>
      <c r="BM64">
        <f>IF(OR(BH$3="",BH$3&gt;TODAY()),"",IF(AND(BK64="",BL64=""),"",N(BL64)-N(BK64)))</f>
        <v/>
      </c>
      <c r="BQ64">
        <f>IF(OR(BO$3="",BO$3&gt;TODAY()),"",IF(AND(BO64="",BP64=""),"",N(BP64)-N(BO64)))</f>
        <v/>
      </c>
      <c r="BT64">
        <f>IF(OR(BO$3="",BO$3&gt;TODAY()),"",IF(AND(BR64="",BS64=""),"",N(BS64)-N(BR64)))</f>
        <v/>
      </c>
      <c r="BX64">
        <f>IF(OR(BV$3="",BV$3&gt;TODAY()),"",IF(AND(BV64="",BW64=""),"",N(BW64)-N(BV64)))</f>
        <v/>
      </c>
      <c r="CA64">
        <f>IF(OR(BV$3="",BV$3&gt;TODAY()),"",IF(AND(BY64="",BZ64=""),"",N(BZ64)-N(BY64)))</f>
        <v/>
      </c>
      <c r="CE64">
        <f>IF(OR(CC$3="",CC$3&gt;TODAY()),"",IF(AND(CC64="",CD64=""),"",N(CD64)-N(CC64)))</f>
        <v/>
      </c>
      <c r="CH64">
        <f>IF(OR(CC$3="",CC$3&gt;TODAY()),"",IF(AND(CF64="",CG64=""),"",N(CG64)-N(CF64)))</f>
        <v/>
      </c>
      <c r="CL64">
        <f>IF(OR(CJ$3="",CJ$3&gt;TODAY()),"",IF(AND(CJ64="",CK64=""),"",N(CK64)-N(CJ64)))</f>
        <v/>
      </c>
      <c r="CO64">
        <f>IF(OR(CJ$3="",CJ$3&gt;TODAY()),"",IF(AND(CM64="",CN64=""),"",N(CN64)-N(CM64)))</f>
        <v/>
      </c>
      <c r="CS64">
        <f>IF(OR(CQ$3="",CQ$3&gt;TODAY()),"",IF(AND(CQ64="",CR64=""),"",N(CR64)-N(CQ64)))</f>
        <v/>
      </c>
      <c r="CV64">
        <f>IF(OR(CQ$3="",CQ$3&gt;TODAY()),"",IF(AND(CT64="",CU64=""),"",N(CU64)-N(CT64)))</f>
        <v/>
      </c>
      <c r="CZ64">
        <f>IF(OR(CX$3="",CX$3&gt;TODAY()),"",IF(AND(CX64="",CY64=""),"",N(CY64)-N(CX64)))</f>
        <v/>
      </c>
      <c r="DC64">
        <f>IF(OR(CX$3="",CX$3&gt;TODAY()),"",IF(AND(DA64="",DB64=""),"",N(DB64)-N(DA64)))</f>
        <v/>
      </c>
      <c r="DG64">
        <f>IF(OR(DE$3="",DE$3&gt;TODAY()),"",IF(AND(DE64="",DF64=""),"",N(DF64)-N(DE64)))</f>
        <v/>
      </c>
      <c r="DJ64">
        <f>IF(OR(DE$3="",DE$3&gt;TODAY()),"",IF(AND(DH64="",DI64=""),"",N(DI64)-N(DH64)))</f>
        <v/>
      </c>
      <c r="DN64">
        <f>IF(OR(DL$3="",DL$3&gt;TODAY()),"",IF(AND(DL64="",DM64=""),"",N(DM64)-N(DL64)))</f>
        <v/>
      </c>
      <c r="DQ64">
        <f>IF(OR(DL$3="",DL$3&gt;TODAY()),"",IF(AND(DO64="",DP64=""),"",N(DP64)-N(DO64)))</f>
        <v/>
      </c>
      <c r="DU64">
        <f>IF(OR(DS$3="",DS$3&gt;TODAY()),"",IF(AND(DS64="",DT64=""),"",N(DT64)-N(DS64)))</f>
        <v/>
      </c>
      <c r="DX64">
        <f>IF(OR(DS$3="",DS$3&gt;TODAY()),"",IF(AND(DV64="",DW64=""),"",N(DW64)-N(DV64)))</f>
        <v/>
      </c>
      <c r="EB64">
        <f>IF(OR(DZ$3="",DZ$3&gt;TODAY()),"",IF(AND(DZ64="",EA64=""),"",N(EA64)-N(DZ64)))</f>
        <v/>
      </c>
      <c r="EE64">
        <f>IF(OR(DZ$3="",DZ$3&gt;TODAY()),"",IF(AND(EC64="",ED64=""),"",N(ED64)-N(EC64)))</f>
        <v/>
      </c>
      <c r="EI64">
        <f>IF(OR(EG$3="",EG$3&gt;TODAY()),"",IF(AND(EG64="",EH64=""),"",N(EH64)-N(EG64)))</f>
        <v/>
      </c>
      <c r="EL64">
        <f>IF(OR(EG$3="",EG$3&gt;TODAY()),"",IF(AND(EJ64="",EK64=""),"",N(EK64)-N(EJ64)))</f>
        <v/>
      </c>
      <c r="EP64">
        <f>IF(OR(EN$3="",EN$3&gt;TODAY()),"",IF(AND(EN64="",EO64=""),"",N(EO64)-N(EN64)))</f>
        <v/>
      </c>
      <c r="ES64">
        <f>IF(OR(EN$3="",EN$3&gt;TODAY()),"",IF(AND(EQ64="",ER64=""),"",N(ER64)-N(EQ64)))</f>
        <v/>
      </c>
      <c r="EW64">
        <f>IF(OR(EU$3="",EU$3&gt;TODAY()),"",IF(AND(EU64="",EV64=""),"",N(EV64)-N(EU64)))</f>
        <v/>
      </c>
      <c r="EZ64">
        <f>IF(OR(EU$3="",EU$3&gt;TODAY()),"",IF(AND(EX64="",EY64=""),"",N(EY64)-N(EX64)))</f>
        <v/>
      </c>
      <c r="FD64">
        <f>IF(OR(FB$3="",FB$3&gt;TODAY()),"",IF(AND(FB64="",FC64=""),"",N(FC64)-N(FB64)))</f>
        <v/>
      </c>
      <c r="FG64">
        <f>IF(OR(FB$3="",FB$3&gt;TODAY()),"",IF(AND(FE64="",FF64=""),"",N(FF64)-N(FE64)))</f>
        <v/>
      </c>
      <c r="FK64">
        <f>IF(OR(FI$3="",FI$3&gt;TODAY()),"",IF(AND(FI64="",FJ64=""),"",N(FJ64)-N(FI64)))</f>
        <v/>
      </c>
      <c r="FN64">
        <f>IF(OR(FI$3="",FI$3&gt;TODAY()),"",IF(AND(FL64="",FM64=""),"",N(FM64)-N(FL64)))</f>
        <v/>
      </c>
      <c r="FR64">
        <f>IF(OR(FP$3="",FP$3&gt;TODAY()),"",IF(AND(FP64="",FQ64=""),"",N(FQ64)-N(FP64)))</f>
        <v/>
      </c>
      <c r="FU64">
        <f>IF(OR(FP$3="",FP$3&gt;TODAY()),"",IF(AND(FS64="",FT64=""),"",N(FT64)-N(FS64)))</f>
        <v/>
      </c>
      <c r="FY64">
        <f>IF(OR(FW$3="",FW$3&gt;TODAY()),"",IF(AND(FW64="",FX64=""),"",N(FX64)-N(FW64)))</f>
        <v/>
      </c>
      <c r="GB64">
        <f>IF(OR(FW$3="",FW$3&gt;TODAY()),"",IF(AND(FZ64="",GA64=""),"",N(GA64)-N(FZ64)))</f>
        <v/>
      </c>
      <c r="GF64">
        <f>IF(OR(GD$3="",GD$3&gt;TODAY()),"",IF(AND(GD64="",GE64=""),"",N(GE64)-N(GD64)))</f>
        <v/>
      </c>
      <c r="GI64">
        <f>IF(OR(GD$3="",GD$3&gt;TODAY()),"",IF(AND(GG64="",GH64=""),"",N(GH64)-N(GG64)))</f>
        <v/>
      </c>
      <c r="GM64">
        <f>IF(OR(GK$3="",GK$3&gt;TODAY()),"",IF(AND(GK64="",GL64=""),"",N(GL64)-N(GK64)))</f>
        <v/>
      </c>
      <c r="GP64">
        <f>IF(OR(GK$3="",GK$3&gt;TODAY()),"",IF(AND(GN64="",GO64=""),"",N(GO64)-N(GN64)))</f>
        <v/>
      </c>
      <c r="GT64">
        <f>IF(OR(GR$3="",GR$3&gt;TODAY()),"",IF(AND(GR64="",GS64=""),"",N(GS64)-N(GR64)))</f>
        <v/>
      </c>
      <c r="GW64">
        <f>IF(OR(GR$3="",GR$3&gt;TODAY()),"",IF(AND(GU64="",GV64=""),"",N(GV64)-N(GU64)))</f>
        <v/>
      </c>
      <c r="HA64">
        <f>IF(OR(GY$3="",GY$3&gt;TODAY()),"",IF(AND(GY64="",GZ64=""),"",N(GZ64)-N(GY64)))</f>
        <v/>
      </c>
      <c r="HD64">
        <f>IF(OR(GY$3="",GY$3&gt;TODAY()),"",IF(AND(HB64="",HC64=""),"",N(HC64)-N(HB64)))</f>
        <v/>
      </c>
      <c r="HH64">
        <f>IF(OR(HF$3="",HF$3&gt;TODAY()),"",IF(AND(HF64="",HG64=""),"",N(HG64)-N(HF64)))</f>
        <v/>
      </c>
      <c r="HK64">
        <f>IF(OR(HF$3="",HF$3&gt;TODAY()),"",IF(AND(HI64="",HJ64=""),"",N(HJ64)-N(HI64)))</f>
        <v/>
      </c>
      <c r="HO64">
        <f>IF(OR(HM$3="",HM$3&gt;TODAY()),"",IF(AND(HM64="",HN64=""),"",N(HN64)-N(HM64)))</f>
        <v/>
      </c>
      <c r="HR64">
        <f>IF(OR(HM$3="",HM$3&gt;TODAY()),"",IF(AND(HP64="",HQ64=""),"",N(HQ64)-N(HP64)))</f>
        <v/>
      </c>
      <c r="HV64">
        <f>IF(OR(HT$3="",HT$3&gt;TODAY()),"",IF(AND(HT64="",HU64=""),"",N(HU64)-N(HT64)))</f>
        <v/>
      </c>
      <c r="HY64">
        <f>IF(OR(HT$3="",HT$3&gt;TODAY()),"",IF(AND(HW64="",HX64=""),"",N(HX64)-N(HW64)))</f>
        <v/>
      </c>
      <c r="IC64">
        <f>IF(OR(IA$3="",IA$3&gt;TODAY()),"",IF(AND(IA64="",IB64=""),"",N(IB64)-N(IA64)))</f>
        <v/>
      </c>
      <c r="IF64">
        <f>IF(OR(IA$3="",IA$3&gt;TODAY()),"",IF(AND(ID64="",IE64=""),"",N(IE64)-N(ID64)))</f>
        <v/>
      </c>
      <c r="IJ64">
        <f>IF(OR(IH$3="",IH$3&gt;TODAY()),"",IF(AND(IH64="",II64=""),"",N(II64)-N(IH64)))</f>
        <v/>
      </c>
      <c r="IM64">
        <f>IF(OR(IH$3="",IH$3&gt;TODAY()),"",IF(AND(IK64="",IL64=""),"",N(IL64)-N(IK64)))</f>
        <v/>
      </c>
    </row>
    <row r="65">
      <c r="A65" s="21" t="n"/>
      <c r="B65" s="21" t="n"/>
      <c r="C65" s="21" t="n"/>
      <c r="D65" s="21" t="n"/>
      <c r="E65" s="21" t="n"/>
      <c r="F65" s="21" t="n"/>
      <c r="G65" s="21" t="n"/>
      <c r="H65" s="21" t="n"/>
      <c r="I65" s="22" t="n"/>
      <c r="J65" s="22" t="n"/>
      <c r="K65" s="23" t="n"/>
      <c r="L65" s="22" t="n"/>
      <c r="M65" s="22" t="n"/>
      <c r="N65" s="21" t="n"/>
      <c r="O65" s="23" t="n"/>
      <c r="P65" s="23" t="n"/>
      <c r="Q65" s="23" t="n"/>
      <c r="R65" s="23" t="n"/>
      <c r="S65" s="22" t="n"/>
      <c r="T65" s="23" t="n"/>
      <c r="U65" s="23" t="n"/>
      <c r="V65" s="24">
        <f>IF(J65&lt;&gt;"",J65,IF(I65&lt;&gt;"",I65,""))</f>
        <v/>
      </c>
      <c r="W65" s="25">
        <f>IF($E65="","",N(O65)+SUMIFS($AF65:$IN65,$AF$4:$IN$4,"SEW_ACT"))</f>
        <v/>
      </c>
      <c r="X65" s="25">
        <f>IF($E65="","",N(P65)+SUMIFS($AF65:$IN65,$AF$4:$IN$4,"WASH_ACT"))</f>
        <v/>
      </c>
      <c r="Y65" s="25">
        <f>IF($E65="","",W65-X65-N(T65)-N(U65))</f>
        <v/>
      </c>
      <c r="Z65" s="25">
        <f>IF($E65="","",IF(N(K65)-X65&lt;=0.02*N(K65),0,N(K65)-X65))</f>
        <v/>
      </c>
      <c r="AA65" s="24">
        <f>IF($E65="","",IF(S65&lt;&gt;"",S65,IF(N(O65)&gt;0,IF(L65&lt;&gt;"",L65,99999),IFERROR(1/(1/_xlfn.MINIFS($AF$3:$IN$3,$AF$4:$IN$4,"SEW_ACT",$AF65:$IN65,"&gt;0")),99999))))</f>
        <v/>
      </c>
      <c r="AB65" s="26">
        <f>IF(OR($E65="",Z65=0,V65=""),"",1+COUNTIFS(Z$8:Z$707,"&gt;0",V$8:V$707,"&lt;"&amp;V65)+COUNTIFS(Z$8:Z$707,"&gt;0",V$8:V$707,V65,AA$8:AA$707,"&lt;"&amp;AA65)+COUNTIFS(Z$8:Z$707,"&gt;0",V$8:V$707,V65,AA$8:AA$707,AA65,E$8:E$707,"&lt;"&amp;$E65))</f>
        <v/>
      </c>
      <c r="AC65" s="24">
        <f>IF(OR($E65="",Z65=0),"",IFERROR(TODAY()+ROUNDUP(Z65/(SUMIFS($AF65:$IN65,$AF$4:$IN$4,"WASH_ACT")/COUNTIFS($AF$4:$IN$4,"WASH_ACT",$AF65:$IN65,"&gt;0")),0),"no output yet"))</f>
        <v/>
      </c>
      <c r="AD65" s="26">
        <f>IF($E65="","",IFERROR(ROUND(MAX(0,SUMIFS($AF65:$IN65,$AF$4:$IN$4,"SEW_PLAN",$AF$3:$IN$3,"&lt;="&amp;TODAY())-SUMIFS($AF65:$IN65,$AF$4:$IN$4,"SEW_ACT",$AF$3:$IN$3,"&lt;="&amp;TODAY())+N(Q65))/(SUMIFS($AF65:$IN65,$AF$4:$IN$4,"SEW_PLAN")/COUNTIFS($AF$4:$IN$4,"SEW_PLAN",$AF65:$IN65,"&gt;0")),1),0))</f>
        <v/>
      </c>
      <c r="AE65" s="26">
        <f>IF($E65="","",IF(AND(Z65&gt;0,OR(AND(M65&lt;&gt;"",TODAY()&gt;M65),AND(V65&lt;&gt;"",V65-TODAY()&lt;=7))),"Yes","No"))</f>
        <v/>
      </c>
      <c r="AH65">
        <f>IF(OR(AF$3="",AF$3&gt;TODAY()),"",IF(AND(AF65="",AG65=""),"",N(AG65)-N(AF65)))</f>
        <v/>
      </c>
      <c r="AK65">
        <f>IF(OR(AF$3="",AF$3&gt;TODAY()),"",IF(AND(AI65="",AJ65=""),"",N(AJ65)-N(AI65)))</f>
        <v/>
      </c>
      <c r="AO65">
        <f>IF(OR(AM$3="",AM$3&gt;TODAY()),"",IF(AND(AM65="",AN65=""),"",N(AN65)-N(AM65)))</f>
        <v/>
      </c>
      <c r="AR65">
        <f>IF(OR(AM$3="",AM$3&gt;TODAY()),"",IF(AND(AP65="",AQ65=""),"",N(AQ65)-N(AP65)))</f>
        <v/>
      </c>
      <c r="AV65">
        <f>IF(OR(AT$3="",AT$3&gt;TODAY()),"",IF(AND(AT65="",AU65=""),"",N(AU65)-N(AT65)))</f>
        <v/>
      </c>
      <c r="AY65">
        <f>IF(OR(AT$3="",AT$3&gt;TODAY()),"",IF(AND(AW65="",AX65=""),"",N(AX65)-N(AW65)))</f>
        <v/>
      </c>
      <c r="BC65">
        <f>IF(OR(BA$3="",BA$3&gt;TODAY()),"",IF(AND(BA65="",BB65=""),"",N(BB65)-N(BA65)))</f>
        <v/>
      </c>
      <c r="BF65">
        <f>IF(OR(BA$3="",BA$3&gt;TODAY()),"",IF(AND(BD65="",BE65=""),"",N(BE65)-N(BD65)))</f>
        <v/>
      </c>
      <c r="BJ65">
        <f>IF(OR(BH$3="",BH$3&gt;TODAY()),"",IF(AND(BH65="",BI65=""),"",N(BI65)-N(BH65)))</f>
        <v/>
      </c>
      <c r="BM65">
        <f>IF(OR(BH$3="",BH$3&gt;TODAY()),"",IF(AND(BK65="",BL65=""),"",N(BL65)-N(BK65)))</f>
        <v/>
      </c>
      <c r="BQ65">
        <f>IF(OR(BO$3="",BO$3&gt;TODAY()),"",IF(AND(BO65="",BP65=""),"",N(BP65)-N(BO65)))</f>
        <v/>
      </c>
      <c r="BT65">
        <f>IF(OR(BO$3="",BO$3&gt;TODAY()),"",IF(AND(BR65="",BS65=""),"",N(BS65)-N(BR65)))</f>
        <v/>
      </c>
      <c r="BX65">
        <f>IF(OR(BV$3="",BV$3&gt;TODAY()),"",IF(AND(BV65="",BW65=""),"",N(BW65)-N(BV65)))</f>
        <v/>
      </c>
      <c r="CA65">
        <f>IF(OR(BV$3="",BV$3&gt;TODAY()),"",IF(AND(BY65="",BZ65=""),"",N(BZ65)-N(BY65)))</f>
        <v/>
      </c>
      <c r="CE65">
        <f>IF(OR(CC$3="",CC$3&gt;TODAY()),"",IF(AND(CC65="",CD65=""),"",N(CD65)-N(CC65)))</f>
        <v/>
      </c>
      <c r="CH65">
        <f>IF(OR(CC$3="",CC$3&gt;TODAY()),"",IF(AND(CF65="",CG65=""),"",N(CG65)-N(CF65)))</f>
        <v/>
      </c>
      <c r="CL65">
        <f>IF(OR(CJ$3="",CJ$3&gt;TODAY()),"",IF(AND(CJ65="",CK65=""),"",N(CK65)-N(CJ65)))</f>
        <v/>
      </c>
      <c r="CO65">
        <f>IF(OR(CJ$3="",CJ$3&gt;TODAY()),"",IF(AND(CM65="",CN65=""),"",N(CN65)-N(CM65)))</f>
        <v/>
      </c>
      <c r="CS65">
        <f>IF(OR(CQ$3="",CQ$3&gt;TODAY()),"",IF(AND(CQ65="",CR65=""),"",N(CR65)-N(CQ65)))</f>
        <v/>
      </c>
      <c r="CV65">
        <f>IF(OR(CQ$3="",CQ$3&gt;TODAY()),"",IF(AND(CT65="",CU65=""),"",N(CU65)-N(CT65)))</f>
        <v/>
      </c>
      <c r="CZ65">
        <f>IF(OR(CX$3="",CX$3&gt;TODAY()),"",IF(AND(CX65="",CY65=""),"",N(CY65)-N(CX65)))</f>
        <v/>
      </c>
      <c r="DC65">
        <f>IF(OR(CX$3="",CX$3&gt;TODAY()),"",IF(AND(DA65="",DB65=""),"",N(DB65)-N(DA65)))</f>
        <v/>
      </c>
      <c r="DG65">
        <f>IF(OR(DE$3="",DE$3&gt;TODAY()),"",IF(AND(DE65="",DF65=""),"",N(DF65)-N(DE65)))</f>
        <v/>
      </c>
      <c r="DJ65">
        <f>IF(OR(DE$3="",DE$3&gt;TODAY()),"",IF(AND(DH65="",DI65=""),"",N(DI65)-N(DH65)))</f>
        <v/>
      </c>
      <c r="DN65">
        <f>IF(OR(DL$3="",DL$3&gt;TODAY()),"",IF(AND(DL65="",DM65=""),"",N(DM65)-N(DL65)))</f>
        <v/>
      </c>
      <c r="DQ65">
        <f>IF(OR(DL$3="",DL$3&gt;TODAY()),"",IF(AND(DO65="",DP65=""),"",N(DP65)-N(DO65)))</f>
        <v/>
      </c>
      <c r="DU65">
        <f>IF(OR(DS$3="",DS$3&gt;TODAY()),"",IF(AND(DS65="",DT65=""),"",N(DT65)-N(DS65)))</f>
        <v/>
      </c>
      <c r="DX65">
        <f>IF(OR(DS$3="",DS$3&gt;TODAY()),"",IF(AND(DV65="",DW65=""),"",N(DW65)-N(DV65)))</f>
        <v/>
      </c>
      <c r="EB65">
        <f>IF(OR(DZ$3="",DZ$3&gt;TODAY()),"",IF(AND(DZ65="",EA65=""),"",N(EA65)-N(DZ65)))</f>
        <v/>
      </c>
      <c r="EE65">
        <f>IF(OR(DZ$3="",DZ$3&gt;TODAY()),"",IF(AND(EC65="",ED65=""),"",N(ED65)-N(EC65)))</f>
        <v/>
      </c>
      <c r="EI65">
        <f>IF(OR(EG$3="",EG$3&gt;TODAY()),"",IF(AND(EG65="",EH65=""),"",N(EH65)-N(EG65)))</f>
        <v/>
      </c>
      <c r="EL65">
        <f>IF(OR(EG$3="",EG$3&gt;TODAY()),"",IF(AND(EJ65="",EK65=""),"",N(EK65)-N(EJ65)))</f>
        <v/>
      </c>
      <c r="EP65">
        <f>IF(OR(EN$3="",EN$3&gt;TODAY()),"",IF(AND(EN65="",EO65=""),"",N(EO65)-N(EN65)))</f>
        <v/>
      </c>
      <c r="ES65">
        <f>IF(OR(EN$3="",EN$3&gt;TODAY()),"",IF(AND(EQ65="",ER65=""),"",N(ER65)-N(EQ65)))</f>
        <v/>
      </c>
      <c r="EW65">
        <f>IF(OR(EU$3="",EU$3&gt;TODAY()),"",IF(AND(EU65="",EV65=""),"",N(EV65)-N(EU65)))</f>
        <v/>
      </c>
      <c r="EZ65">
        <f>IF(OR(EU$3="",EU$3&gt;TODAY()),"",IF(AND(EX65="",EY65=""),"",N(EY65)-N(EX65)))</f>
        <v/>
      </c>
      <c r="FD65">
        <f>IF(OR(FB$3="",FB$3&gt;TODAY()),"",IF(AND(FB65="",FC65=""),"",N(FC65)-N(FB65)))</f>
        <v/>
      </c>
      <c r="FG65">
        <f>IF(OR(FB$3="",FB$3&gt;TODAY()),"",IF(AND(FE65="",FF65=""),"",N(FF65)-N(FE65)))</f>
        <v/>
      </c>
      <c r="FK65">
        <f>IF(OR(FI$3="",FI$3&gt;TODAY()),"",IF(AND(FI65="",FJ65=""),"",N(FJ65)-N(FI65)))</f>
        <v/>
      </c>
      <c r="FN65">
        <f>IF(OR(FI$3="",FI$3&gt;TODAY()),"",IF(AND(FL65="",FM65=""),"",N(FM65)-N(FL65)))</f>
        <v/>
      </c>
      <c r="FR65">
        <f>IF(OR(FP$3="",FP$3&gt;TODAY()),"",IF(AND(FP65="",FQ65=""),"",N(FQ65)-N(FP65)))</f>
        <v/>
      </c>
      <c r="FU65">
        <f>IF(OR(FP$3="",FP$3&gt;TODAY()),"",IF(AND(FS65="",FT65=""),"",N(FT65)-N(FS65)))</f>
        <v/>
      </c>
      <c r="FY65">
        <f>IF(OR(FW$3="",FW$3&gt;TODAY()),"",IF(AND(FW65="",FX65=""),"",N(FX65)-N(FW65)))</f>
        <v/>
      </c>
      <c r="GB65">
        <f>IF(OR(FW$3="",FW$3&gt;TODAY()),"",IF(AND(FZ65="",GA65=""),"",N(GA65)-N(FZ65)))</f>
        <v/>
      </c>
      <c r="GF65">
        <f>IF(OR(GD$3="",GD$3&gt;TODAY()),"",IF(AND(GD65="",GE65=""),"",N(GE65)-N(GD65)))</f>
        <v/>
      </c>
      <c r="GI65">
        <f>IF(OR(GD$3="",GD$3&gt;TODAY()),"",IF(AND(GG65="",GH65=""),"",N(GH65)-N(GG65)))</f>
        <v/>
      </c>
      <c r="GM65">
        <f>IF(OR(GK$3="",GK$3&gt;TODAY()),"",IF(AND(GK65="",GL65=""),"",N(GL65)-N(GK65)))</f>
        <v/>
      </c>
      <c r="GP65">
        <f>IF(OR(GK$3="",GK$3&gt;TODAY()),"",IF(AND(GN65="",GO65=""),"",N(GO65)-N(GN65)))</f>
        <v/>
      </c>
      <c r="GT65">
        <f>IF(OR(GR$3="",GR$3&gt;TODAY()),"",IF(AND(GR65="",GS65=""),"",N(GS65)-N(GR65)))</f>
        <v/>
      </c>
      <c r="GW65">
        <f>IF(OR(GR$3="",GR$3&gt;TODAY()),"",IF(AND(GU65="",GV65=""),"",N(GV65)-N(GU65)))</f>
        <v/>
      </c>
      <c r="HA65">
        <f>IF(OR(GY$3="",GY$3&gt;TODAY()),"",IF(AND(GY65="",GZ65=""),"",N(GZ65)-N(GY65)))</f>
        <v/>
      </c>
      <c r="HD65">
        <f>IF(OR(GY$3="",GY$3&gt;TODAY()),"",IF(AND(HB65="",HC65=""),"",N(HC65)-N(HB65)))</f>
        <v/>
      </c>
      <c r="HH65">
        <f>IF(OR(HF$3="",HF$3&gt;TODAY()),"",IF(AND(HF65="",HG65=""),"",N(HG65)-N(HF65)))</f>
        <v/>
      </c>
      <c r="HK65">
        <f>IF(OR(HF$3="",HF$3&gt;TODAY()),"",IF(AND(HI65="",HJ65=""),"",N(HJ65)-N(HI65)))</f>
        <v/>
      </c>
      <c r="HO65">
        <f>IF(OR(HM$3="",HM$3&gt;TODAY()),"",IF(AND(HM65="",HN65=""),"",N(HN65)-N(HM65)))</f>
        <v/>
      </c>
      <c r="HR65">
        <f>IF(OR(HM$3="",HM$3&gt;TODAY()),"",IF(AND(HP65="",HQ65=""),"",N(HQ65)-N(HP65)))</f>
        <v/>
      </c>
      <c r="HV65">
        <f>IF(OR(HT$3="",HT$3&gt;TODAY()),"",IF(AND(HT65="",HU65=""),"",N(HU65)-N(HT65)))</f>
        <v/>
      </c>
      <c r="HY65">
        <f>IF(OR(HT$3="",HT$3&gt;TODAY()),"",IF(AND(HW65="",HX65=""),"",N(HX65)-N(HW65)))</f>
        <v/>
      </c>
      <c r="IC65">
        <f>IF(OR(IA$3="",IA$3&gt;TODAY()),"",IF(AND(IA65="",IB65=""),"",N(IB65)-N(IA65)))</f>
        <v/>
      </c>
      <c r="IF65">
        <f>IF(OR(IA$3="",IA$3&gt;TODAY()),"",IF(AND(ID65="",IE65=""),"",N(IE65)-N(ID65)))</f>
        <v/>
      </c>
      <c r="IJ65">
        <f>IF(OR(IH$3="",IH$3&gt;TODAY()),"",IF(AND(IH65="",II65=""),"",N(II65)-N(IH65)))</f>
        <v/>
      </c>
      <c r="IM65">
        <f>IF(OR(IH$3="",IH$3&gt;TODAY()),"",IF(AND(IK65="",IL65=""),"",N(IL65)-N(IK65)))</f>
        <v/>
      </c>
    </row>
    <row r="66">
      <c r="A66" s="21" t="n"/>
      <c r="B66" s="21" t="n"/>
      <c r="C66" s="21" t="n"/>
      <c r="D66" s="21" t="n"/>
      <c r="E66" s="21" t="n"/>
      <c r="F66" s="21" t="n"/>
      <c r="G66" s="21" t="n"/>
      <c r="H66" s="21" t="n"/>
      <c r="I66" s="22" t="n"/>
      <c r="J66" s="22" t="n"/>
      <c r="K66" s="23" t="n"/>
      <c r="L66" s="22" t="n"/>
      <c r="M66" s="22" t="n"/>
      <c r="N66" s="21" t="n"/>
      <c r="O66" s="23" t="n"/>
      <c r="P66" s="23" t="n"/>
      <c r="Q66" s="23" t="n"/>
      <c r="R66" s="23" t="n"/>
      <c r="S66" s="22" t="n"/>
      <c r="T66" s="23" t="n"/>
      <c r="U66" s="23" t="n"/>
      <c r="V66" s="24">
        <f>IF(J66&lt;&gt;"",J66,IF(I66&lt;&gt;"",I66,""))</f>
        <v/>
      </c>
      <c r="W66" s="25">
        <f>IF($E66="","",N(O66)+SUMIFS($AF66:$IN66,$AF$4:$IN$4,"SEW_ACT"))</f>
        <v/>
      </c>
      <c r="X66" s="25">
        <f>IF($E66="","",N(P66)+SUMIFS($AF66:$IN66,$AF$4:$IN$4,"WASH_ACT"))</f>
        <v/>
      </c>
      <c r="Y66" s="25">
        <f>IF($E66="","",W66-X66-N(T66)-N(U66))</f>
        <v/>
      </c>
      <c r="Z66" s="25">
        <f>IF($E66="","",IF(N(K66)-X66&lt;=0.02*N(K66),0,N(K66)-X66))</f>
        <v/>
      </c>
      <c r="AA66" s="24">
        <f>IF($E66="","",IF(S66&lt;&gt;"",S66,IF(N(O66)&gt;0,IF(L66&lt;&gt;"",L66,99999),IFERROR(1/(1/_xlfn.MINIFS($AF$3:$IN$3,$AF$4:$IN$4,"SEW_ACT",$AF66:$IN66,"&gt;0")),99999))))</f>
        <v/>
      </c>
      <c r="AB66" s="26">
        <f>IF(OR($E66="",Z66=0,V66=""),"",1+COUNTIFS(Z$8:Z$707,"&gt;0",V$8:V$707,"&lt;"&amp;V66)+COUNTIFS(Z$8:Z$707,"&gt;0",V$8:V$707,V66,AA$8:AA$707,"&lt;"&amp;AA66)+COUNTIFS(Z$8:Z$707,"&gt;0",V$8:V$707,V66,AA$8:AA$707,AA66,E$8:E$707,"&lt;"&amp;$E66))</f>
        <v/>
      </c>
      <c r="AC66" s="24">
        <f>IF(OR($E66="",Z66=0),"",IFERROR(TODAY()+ROUNDUP(Z66/(SUMIFS($AF66:$IN66,$AF$4:$IN$4,"WASH_ACT")/COUNTIFS($AF$4:$IN$4,"WASH_ACT",$AF66:$IN66,"&gt;0")),0),"no output yet"))</f>
        <v/>
      </c>
      <c r="AD66" s="26">
        <f>IF($E66="","",IFERROR(ROUND(MAX(0,SUMIFS($AF66:$IN66,$AF$4:$IN$4,"SEW_PLAN",$AF$3:$IN$3,"&lt;="&amp;TODAY())-SUMIFS($AF66:$IN66,$AF$4:$IN$4,"SEW_ACT",$AF$3:$IN$3,"&lt;="&amp;TODAY())+N(Q66))/(SUMIFS($AF66:$IN66,$AF$4:$IN$4,"SEW_PLAN")/COUNTIFS($AF$4:$IN$4,"SEW_PLAN",$AF66:$IN66,"&gt;0")),1),0))</f>
        <v/>
      </c>
      <c r="AE66" s="26">
        <f>IF($E66="","",IF(AND(Z66&gt;0,OR(AND(M66&lt;&gt;"",TODAY()&gt;M66),AND(V66&lt;&gt;"",V66-TODAY()&lt;=7))),"Yes","No"))</f>
        <v/>
      </c>
      <c r="AH66">
        <f>IF(OR(AF$3="",AF$3&gt;TODAY()),"",IF(AND(AF66="",AG66=""),"",N(AG66)-N(AF66)))</f>
        <v/>
      </c>
      <c r="AK66">
        <f>IF(OR(AF$3="",AF$3&gt;TODAY()),"",IF(AND(AI66="",AJ66=""),"",N(AJ66)-N(AI66)))</f>
        <v/>
      </c>
      <c r="AO66">
        <f>IF(OR(AM$3="",AM$3&gt;TODAY()),"",IF(AND(AM66="",AN66=""),"",N(AN66)-N(AM66)))</f>
        <v/>
      </c>
      <c r="AR66">
        <f>IF(OR(AM$3="",AM$3&gt;TODAY()),"",IF(AND(AP66="",AQ66=""),"",N(AQ66)-N(AP66)))</f>
        <v/>
      </c>
      <c r="AV66">
        <f>IF(OR(AT$3="",AT$3&gt;TODAY()),"",IF(AND(AT66="",AU66=""),"",N(AU66)-N(AT66)))</f>
        <v/>
      </c>
      <c r="AY66">
        <f>IF(OR(AT$3="",AT$3&gt;TODAY()),"",IF(AND(AW66="",AX66=""),"",N(AX66)-N(AW66)))</f>
        <v/>
      </c>
      <c r="BC66">
        <f>IF(OR(BA$3="",BA$3&gt;TODAY()),"",IF(AND(BA66="",BB66=""),"",N(BB66)-N(BA66)))</f>
        <v/>
      </c>
      <c r="BF66">
        <f>IF(OR(BA$3="",BA$3&gt;TODAY()),"",IF(AND(BD66="",BE66=""),"",N(BE66)-N(BD66)))</f>
        <v/>
      </c>
      <c r="BJ66">
        <f>IF(OR(BH$3="",BH$3&gt;TODAY()),"",IF(AND(BH66="",BI66=""),"",N(BI66)-N(BH66)))</f>
        <v/>
      </c>
      <c r="BM66">
        <f>IF(OR(BH$3="",BH$3&gt;TODAY()),"",IF(AND(BK66="",BL66=""),"",N(BL66)-N(BK66)))</f>
        <v/>
      </c>
      <c r="BQ66">
        <f>IF(OR(BO$3="",BO$3&gt;TODAY()),"",IF(AND(BO66="",BP66=""),"",N(BP66)-N(BO66)))</f>
        <v/>
      </c>
      <c r="BT66">
        <f>IF(OR(BO$3="",BO$3&gt;TODAY()),"",IF(AND(BR66="",BS66=""),"",N(BS66)-N(BR66)))</f>
        <v/>
      </c>
      <c r="BX66">
        <f>IF(OR(BV$3="",BV$3&gt;TODAY()),"",IF(AND(BV66="",BW66=""),"",N(BW66)-N(BV66)))</f>
        <v/>
      </c>
      <c r="CA66">
        <f>IF(OR(BV$3="",BV$3&gt;TODAY()),"",IF(AND(BY66="",BZ66=""),"",N(BZ66)-N(BY66)))</f>
        <v/>
      </c>
      <c r="CE66">
        <f>IF(OR(CC$3="",CC$3&gt;TODAY()),"",IF(AND(CC66="",CD66=""),"",N(CD66)-N(CC66)))</f>
        <v/>
      </c>
      <c r="CH66">
        <f>IF(OR(CC$3="",CC$3&gt;TODAY()),"",IF(AND(CF66="",CG66=""),"",N(CG66)-N(CF66)))</f>
        <v/>
      </c>
      <c r="CL66">
        <f>IF(OR(CJ$3="",CJ$3&gt;TODAY()),"",IF(AND(CJ66="",CK66=""),"",N(CK66)-N(CJ66)))</f>
        <v/>
      </c>
      <c r="CO66">
        <f>IF(OR(CJ$3="",CJ$3&gt;TODAY()),"",IF(AND(CM66="",CN66=""),"",N(CN66)-N(CM66)))</f>
        <v/>
      </c>
      <c r="CS66">
        <f>IF(OR(CQ$3="",CQ$3&gt;TODAY()),"",IF(AND(CQ66="",CR66=""),"",N(CR66)-N(CQ66)))</f>
        <v/>
      </c>
      <c r="CV66">
        <f>IF(OR(CQ$3="",CQ$3&gt;TODAY()),"",IF(AND(CT66="",CU66=""),"",N(CU66)-N(CT66)))</f>
        <v/>
      </c>
      <c r="CZ66">
        <f>IF(OR(CX$3="",CX$3&gt;TODAY()),"",IF(AND(CX66="",CY66=""),"",N(CY66)-N(CX66)))</f>
        <v/>
      </c>
      <c r="DC66">
        <f>IF(OR(CX$3="",CX$3&gt;TODAY()),"",IF(AND(DA66="",DB66=""),"",N(DB66)-N(DA66)))</f>
        <v/>
      </c>
      <c r="DG66">
        <f>IF(OR(DE$3="",DE$3&gt;TODAY()),"",IF(AND(DE66="",DF66=""),"",N(DF66)-N(DE66)))</f>
        <v/>
      </c>
      <c r="DJ66">
        <f>IF(OR(DE$3="",DE$3&gt;TODAY()),"",IF(AND(DH66="",DI66=""),"",N(DI66)-N(DH66)))</f>
        <v/>
      </c>
      <c r="DN66">
        <f>IF(OR(DL$3="",DL$3&gt;TODAY()),"",IF(AND(DL66="",DM66=""),"",N(DM66)-N(DL66)))</f>
        <v/>
      </c>
      <c r="DQ66">
        <f>IF(OR(DL$3="",DL$3&gt;TODAY()),"",IF(AND(DO66="",DP66=""),"",N(DP66)-N(DO66)))</f>
        <v/>
      </c>
      <c r="DU66">
        <f>IF(OR(DS$3="",DS$3&gt;TODAY()),"",IF(AND(DS66="",DT66=""),"",N(DT66)-N(DS66)))</f>
        <v/>
      </c>
      <c r="DX66">
        <f>IF(OR(DS$3="",DS$3&gt;TODAY()),"",IF(AND(DV66="",DW66=""),"",N(DW66)-N(DV66)))</f>
        <v/>
      </c>
      <c r="EB66">
        <f>IF(OR(DZ$3="",DZ$3&gt;TODAY()),"",IF(AND(DZ66="",EA66=""),"",N(EA66)-N(DZ66)))</f>
        <v/>
      </c>
      <c r="EE66">
        <f>IF(OR(DZ$3="",DZ$3&gt;TODAY()),"",IF(AND(EC66="",ED66=""),"",N(ED66)-N(EC66)))</f>
        <v/>
      </c>
      <c r="EI66">
        <f>IF(OR(EG$3="",EG$3&gt;TODAY()),"",IF(AND(EG66="",EH66=""),"",N(EH66)-N(EG66)))</f>
        <v/>
      </c>
      <c r="EL66">
        <f>IF(OR(EG$3="",EG$3&gt;TODAY()),"",IF(AND(EJ66="",EK66=""),"",N(EK66)-N(EJ66)))</f>
        <v/>
      </c>
      <c r="EP66">
        <f>IF(OR(EN$3="",EN$3&gt;TODAY()),"",IF(AND(EN66="",EO66=""),"",N(EO66)-N(EN66)))</f>
        <v/>
      </c>
      <c r="ES66">
        <f>IF(OR(EN$3="",EN$3&gt;TODAY()),"",IF(AND(EQ66="",ER66=""),"",N(ER66)-N(EQ66)))</f>
        <v/>
      </c>
      <c r="EW66">
        <f>IF(OR(EU$3="",EU$3&gt;TODAY()),"",IF(AND(EU66="",EV66=""),"",N(EV66)-N(EU66)))</f>
        <v/>
      </c>
      <c r="EZ66">
        <f>IF(OR(EU$3="",EU$3&gt;TODAY()),"",IF(AND(EX66="",EY66=""),"",N(EY66)-N(EX66)))</f>
        <v/>
      </c>
      <c r="FD66">
        <f>IF(OR(FB$3="",FB$3&gt;TODAY()),"",IF(AND(FB66="",FC66=""),"",N(FC66)-N(FB66)))</f>
        <v/>
      </c>
      <c r="FG66">
        <f>IF(OR(FB$3="",FB$3&gt;TODAY()),"",IF(AND(FE66="",FF66=""),"",N(FF66)-N(FE66)))</f>
        <v/>
      </c>
      <c r="FK66">
        <f>IF(OR(FI$3="",FI$3&gt;TODAY()),"",IF(AND(FI66="",FJ66=""),"",N(FJ66)-N(FI66)))</f>
        <v/>
      </c>
      <c r="FN66">
        <f>IF(OR(FI$3="",FI$3&gt;TODAY()),"",IF(AND(FL66="",FM66=""),"",N(FM66)-N(FL66)))</f>
        <v/>
      </c>
      <c r="FR66">
        <f>IF(OR(FP$3="",FP$3&gt;TODAY()),"",IF(AND(FP66="",FQ66=""),"",N(FQ66)-N(FP66)))</f>
        <v/>
      </c>
      <c r="FU66">
        <f>IF(OR(FP$3="",FP$3&gt;TODAY()),"",IF(AND(FS66="",FT66=""),"",N(FT66)-N(FS66)))</f>
        <v/>
      </c>
      <c r="FY66">
        <f>IF(OR(FW$3="",FW$3&gt;TODAY()),"",IF(AND(FW66="",FX66=""),"",N(FX66)-N(FW66)))</f>
        <v/>
      </c>
      <c r="GB66">
        <f>IF(OR(FW$3="",FW$3&gt;TODAY()),"",IF(AND(FZ66="",GA66=""),"",N(GA66)-N(FZ66)))</f>
        <v/>
      </c>
      <c r="GF66">
        <f>IF(OR(GD$3="",GD$3&gt;TODAY()),"",IF(AND(GD66="",GE66=""),"",N(GE66)-N(GD66)))</f>
        <v/>
      </c>
      <c r="GI66">
        <f>IF(OR(GD$3="",GD$3&gt;TODAY()),"",IF(AND(GG66="",GH66=""),"",N(GH66)-N(GG66)))</f>
        <v/>
      </c>
      <c r="GM66">
        <f>IF(OR(GK$3="",GK$3&gt;TODAY()),"",IF(AND(GK66="",GL66=""),"",N(GL66)-N(GK66)))</f>
        <v/>
      </c>
      <c r="GP66">
        <f>IF(OR(GK$3="",GK$3&gt;TODAY()),"",IF(AND(GN66="",GO66=""),"",N(GO66)-N(GN66)))</f>
        <v/>
      </c>
      <c r="GT66">
        <f>IF(OR(GR$3="",GR$3&gt;TODAY()),"",IF(AND(GR66="",GS66=""),"",N(GS66)-N(GR66)))</f>
        <v/>
      </c>
      <c r="GW66">
        <f>IF(OR(GR$3="",GR$3&gt;TODAY()),"",IF(AND(GU66="",GV66=""),"",N(GV66)-N(GU66)))</f>
        <v/>
      </c>
      <c r="HA66">
        <f>IF(OR(GY$3="",GY$3&gt;TODAY()),"",IF(AND(GY66="",GZ66=""),"",N(GZ66)-N(GY66)))</f>
        <v/>
      </c>
      <c r="HD66">
        <f>IF(OR(GY$3="",GY$3&gt;TODAY()),"",IF(AND(HB66="",HC66=""),"",N(HC66)-N(HB66)))</f>
        <v/>
      </c>
      <c r="HH66">
        <f>IF(OR(HF$3="",HF$3&gt;TODAY()),"",IF(AND(HF66="",HG66=""),"",N(HG66)-N(HF66)))</f>
        <v/>
      </c>
      <c r="HK66">
        <f>IF(OR(HF$3="",HF$3&gt;TODAY()),"",IF(AND(HI66="",HJ66=""),"",N(HJ66)-N(HI66)))</f>
        <v/>
      </c>
      <c r="HO66">
        <f>IF(OR(HM$3="",HM$3&gt;TODAY()),"",IF(AND(HM66="",HN66=""),"",N(HN66)-N(HM66)))</f>
        <v/>
      </c>
      <c r="HR66">
        <f>IF(OR(HM$3="",HM$3&gt;TODAY()),"",IF(AND(HP66="",HQ66=""),"",N(HQ66)-N(HP66)))</f>
        <v/>
      </c>
      <c r="HV66">
        <f>IF(OR(HT$3="",HT$3&gt;TODAY()),"",IF(AND(HT66="",HU66=""),"",N(HU66)-N(HT66)))</f>
        <v/>
      </c>
      <c r="HY66">
        <f>IF(OR(HT$3="",HT$3&gt;TODAY()),"",IF(AND(HW66="",HX66=""),"",N(HX66)-N(HW66)))</f>
        <v/>
      </c>
      <c r="IC66">
        <f>IF(OR(IA$3="",IA$3&gt;TODAY()),"",IF(AND(IA66="",IB66=""),"",N(IB66)-N(IA66)))</f>
        <v/>
      </c>
      <c r="IF66">
        <f>IF(OR(IA$3="",IA$3&gt;TODAY()),"",IF(AND(ID66="",IE66=""),"",N(IE66)-N(ID66)))</f>
        <v/>
      </c>
      <c r="IJ66">
        <f>IF(OR(IH$3="",IH$3&gt;TODAY()),"",IF(AND(IH66="",II66=""),"",N(II66)-N(IH66)))</f>
        <v/>
      </c>
      <c r="IM66">
        <f>IF(OR(IH$3="",IH$3&gt;TODAY()),"",IF(AND(IK66="",IL66=""),"",N(IL66)-N(IK66)))</f>
        <v/>
      </c>
    </row>
    <row r="67">
      <c r="A67" s="21" t="n"/>
      <c r="B67" s="21" t="n"/>
      <c r="C67" s="21" t="n"/>
      <c r="D67" s="21" t="n"/>
      <c r="E67" s="21" t="n"/>
      <c r="F67" s="21" t="n"/>
      <c r="G67" s="21" t="n"/>
      <c r="H67" s="21" t="n"/>
      <c r="I67" s="22" t="n"/>
      <c r="J67" s="22" t="n"/>
      <c r="K67" s="23" t="n"/>
      <c r="L67" s="22" t="n"/>
      <c r="M67" s="22" t="n"/>
      <c r="N67" s="21" t="n"/>
      <c r="O67" s="23" t="n"/>
      <c r="P67" s="23" t="n"/>
      <c r="Q67" s="23" t="n"/>
      <c r="R67" s="23" t="n"/>
      <c r="S67" s="22" t="n"/>
      <c r="T67" s="23" t="n"/>
      <c r="U67" s="23" t="n"/>
      <c r="V67" s="24">
        <f>IF(J67&lt;&gt;"",J67,IF(I67&lt;&gt;"",I67,""))</f>
        <v/>
      </c>
      <c r="W67" s="25">
        <f>IF($E67="","",N(O67)+SUMIFS($AF67:$IN67,$AF$4:$IN$4,"SEW_ACT"))</f>
        <v/>
      </c>
      <c r="X67" s="25">
        <f>IF($E67="","",N(P67)+SUMIFS($AF67:$IN67,$AF$4:$IN$4,"WASH_ACT"))</f>
        <v/>
      </c>
      <c r="Y67" s="25">
        <f>IF($E67="","",W67-X67-N(T67)-N(U67))</f>
        <v/>
      </c>
      <c r="Z67" s="25">
        <f>IF($E67="","",IF(N(K67)-X67&lt;=0.02*N(K67),0,N(K67)-X67))</f>
        <v/>
      </c>
      <c r="AA67" s="24">
        <f>IF($E67="","",IF(S67&lt;&gt;"",S67,IF(N(O67)&gt;0,IF(L67&lt;&gt;"",L67,99999),IFERROR(1/(1/_xlfn.MINIFS($AF$3:$IN$3,$AF$4:$IN$4,"SEW_ACT",$AF67:$IN67,"&gt;0")),99999))))</f>
        <v/>
      </c>
      <c r="AB67" s="26">
        <f>IF(OR($E67="",Z67=0,V67=""),"",1+COUNTIFS(Z$8:Z$707,"&gt;0",V$8:V$707,"&lt;"&amp;V67)+COUNTIFS(Z$8:Z$707,"&gt;0",V$8:V$707,V67,AA$8:AA$707,"&lt;"&amp;AA67)+COUNTIFS(Z$8:Z$707,"&gt;0",V$8:V$707,V67,AA$8:AA$707,AA67,E$8:E$707,"&lt;"&amp;$E67))</f>
        <v/>
      </c>
      <c r="AC67" s="24">
        <f>IF(OR($E67="",Z67=0),"",IFERROR(TODAY()+ROUNDUP(Z67/(SUMIFS($AF67:$IN67,$AF$4:$IN$4,"WASH_ACT")/COUNTIFS($AF$4:$IN$4,"WASH_ACT",$AF67:$IN67,"&gt;0")),0),"no output yet"))</f>
        <v/>
      </c>
      <c r="AD67" s="26">
        <f>IF($E67="","",IFERROR(ROUND(MAX(0,SUMIFS($AF67:$IN67,$AF$4:$IN$4,"SEW_PLAN",$AF$3:$IN$3,"&lt;="&amp;TODAY())-SUMIFS($AF67:$IN67,$AF$4:$IN$4,"SEW_ACT",$AF$3:$IN$3,"&lt;="&amp;TODAY())+N(Q67))/(SUMIFS($AF67:$IN67,$AF$4:$IN$4,"SEW_PLAN")/COUNTIFS($AF$4:$IN$4,"SEW_PLAN",$AF67:$IN67,"&gt;0")),1),0))</f>
        <v/>
      </c>
      <c r="AE67" s="26">
        <f>IF($E67="","",IF(AND(Z67&gt;0,OR(AND(M67&lt;&gt;"",TODAY()&gt;M67),AND(V67&lt;&gt;"",V67-TODAY()&lt;=7))),"Yes","No"))</f>
        <v/>
      </c>
      <c r="AH67">
        <f>IF(OR(AF$3="",AF$3&gt;TODAY()),"",IF(AND(AF67="",AG67=""),"",N(AG67)-N(AF67)))</f>
        <v/>
      </c>
      <c r="AK67">
        <f>IF(OR(AF$3="",AF$3&gt;TODAY()),"",IF(AND(AI67="",AJ67=""),"",N(AJ67)-N(AI67)))</f>
        <v/>
      </c>
      <c r="AO67">
        <f>IF(OR(AM$3="",AM$3&gt;TODAY()),"",IF(AND(AM67="",AN67=""),"",N(AN67)-N(AM67)))</f>
        <v/>
      </c>
      <c r="AR67">
        <f>IF(OR(AM$3="",AM$3&gt;TODAY()),"",IF(AND(AP67="",AQ67=""),"",N(AQ67)-N(AP67)))</f>
        <v/>
      </c>
      <c r="AV67">
        <f>IF(OR(AT$3="",AT$3&gt;TODAY()),"",IF(AND(AT67="",AU67=""),"",N(AU67)-N(AT67)))</f>
        <v/>
      </c>
      <c r="AY67">
        <f>IF(OR(AT$3="",AT$3&gt;TODAY()),"",IF(AND(AW67="",AX67=""),"",N(AX67)-N(AW67)))</f>
        <v/>
      </c>
      <c r="BC67">
        <f>IF(OR(BA$3="",BA$3&gt;TODAY()),"",IF(AND(BA67="",BB67=""),"",N(BB67)-N(BA67)))</f>
        <v/>
      </c>
      <c r="BF67">
        <f>IF(OR(BA$3="",BA$3&gt;TODAY()),"",IF(AND(BD67="",BE67=""),"",N(BE67)-N(BD67)))</f>
        <v/>
      </c>
      <c r="BJ67">
        <f>IF(OR(BH$3="",BH$3&gt;TODAY()),"",IF(AND(BH67="",BI67=""),"",N(BI67)-N(BH67)))</f>
        <v/>
      </c>
      <c r="BM67">
        <f>IF(OR(BH$3="",BH$3&gt;TODAY()),"",IF(AND(BK67="",BL67=""),"",N(BL67)-N(BK67)))</f>
        <v/>
      </c>
      <c r="BQ67">
        <f>IF(OR(BO$3="",BO$3&gt;TODAY()),"",IF(AND(BO67="",BP67=""),"",N(BP67)-N(BO67)))</f>
        <v/>
      </c>
      <c r="BT67">
        <f>IF(OR(BO$3="",BO$3&gt;TODAY()),"",IF(AND(BR67="",BS67=""),"",N(BS67)-N(BR67)))</f>
        <v/>
      </c>
      <c r="BX67">
        <f>IF(OR(BV$3="",BV$3&gt;TODAY()),"",IF(AND(BV67="",BW67=""),"",N(BW67)-N(BV67)))</f>
        <v/>
      </c>
      <c r="CA67">
        <f>IF(OR(BV$3="",BV$3&gt;TODAY()),"",IF(AND(BY67="",BZ67=""),"",N(BZ67)-N(BY67)))</f>
        <v/>
      </c>
      <c r="CE67">
        <f>IF(OR(CC$3="",CC$3&gt;TODAY()),"",IF(AND(CC67="",CD67=""),"",N(CD67)-N(CC67)))</f>
        <v/>
      </c>
      <c r="CH67">
        <f>IF(OR(CC$3="",CC$3&gt;TODAY()),"",IF(AND(CF67="",CG67=""),"",N(CG67)-N(CF67)))</f>
        <v/>
      </c>
      <c r="CL67">
        <f>IF(OR(CJ$3="",CJ$3&gt;TODAY()),"",IF(AND(CJ67="",CK67=""),"",N(CK67)-N(CJ67)))</f>
        <v/>
      </c>
      <c r="CO67">
        <f>IF(OR(CJ$3="",CJ$3&gt;TODAY()),"",IF(AND(CM67="",CN67=""),"",N(CN67)-N(CM67)))</f>
        <v/>
      </c>
      <c r="CS67">
        <f>IF(OR(CQ$3="",CQ$3&gt;TODAY()),"",IF(AND(CQ67="",CR67=""),"",N(CR67)-N(CQ67)))</f>
        <v/>
      </c>
      <c r="CV67">
        <f>IF(OR(CQ$3="",CQ$3&gt;TODAY()),"",IF(AND(CT67="",CU67=""),"",N(CU67)-N(CT67)))</f>
        <v/>
      </c>
      <c r="CZ67">
        <f>IF(OR(CX$3="",CX$3&gt;TODAY()),"",IF(AND(CX67="",CY67=""),"",N(CY67)-N(CX67)))</f>
        <v/>
      </c>
      <c r="DC67">
        <f>IF(OR(CX$3="",CX$3&gt;TODAY()),"",IF(AND(DA67="",DB67=""),"",N(DB67)-N(DA67)))</f>
        <v/>
      </c>
      <c r="DG67">
        <f>IF(OR(DE$3="",DE$3&gt;TODAY()),"",IF(AND(DE67="",DF67=""),"",N(DF67)-N(DE67)))</f>
        <v/>
      </c>
      <c r="DJ67">
        <f>IF(OR(DE$3="",DE$3&gt;TODAY()),"",IF(AND(DH67="",DI67=""),"",N(DI67)-N(DH67)))</f>
        <v/>
      </c>
      <c r="DN67">
        <f>IF(OR(DL$3="",DL$3&gt;TODAY()),"",IF(AND(DL67="",DM67=""),"",N(DM67)-N(DL67)))</f>
        <v/>
      </c>
      <c r="DQ67">
        <f>IF(OR(DL$3="",DL$3&gt;TODAY()),"",IF(AND(DO67="",DP67=""),"",N(DP67)-N(DO67)))</f>
        <v/>
      </c>
      <c r="DU67">
        <f>IF(OR(DS$3="",DS$3&gt;TODAY()),"",IF(AND(DS67="",DT67=""),"",N(DT67)-N(DS67)))</f>
        <v/>
      </c>
      <c r="DX67">
        <f>IF(OR(DS$3="",DS$3&gt;TODAY()),"",IF(AND(DV67="",DW67=""),"",N(DW67)-N(DV67)))</f>
        <v/>
      </c>
      <c r="EB67">
        <f>IF(OR(DZ$3="",DZ$3&gt;TODAY()),"",IF(AND(DZ67="",EA67=""),"",N(EA67)-N(DZ67)))</f>
        <v/>
      </c>
      <c r="EE67">
        <f>IF(OR(DZ$3="",DZ$3&gt;TODAY()),"",IF(AND(EC67="",ED67=""),"",N(ED67)-N(EC67)))</f>
        <v/>
      </c>
      <c r="EI67">
        <f>IF(OR(EG$3="",EG$3&gt;TODAY()),"",IF(AND(EG67="",EH67=""),"",N(EH67)-N(EG67)))</f>
        <v/>
      </c>
      <c r="EL67">
        <f>IF(OR(EG$3="",EG$3&gt;TODAY()),"",IF(AND(EJ67="",EK67=""),"",N(EK67)-N(EJ67)))</f>
        <v/>
      </c>
      <c r="EP67">
        <f>IF(OR(EN$3="",EN$3&gt;TODAY()),"",IF(AND(EN67="",EO67=""),"",N(EO67)-N(EN67)))</f>
        <v/>
      </c>
      <c r="ES67">
        <f>IF(OR(EN$3="",EN$3&gt;TODAY()),"",IF(AND(EQ67="",ER67=""),"",N(ER67)-N(EQ67)))</f>
        <v/>
      </c>
      <c r="EW67">
        <f>IF(OR(EU$3="",EU$3&gt;TODAY()),"",IF(AND(EU67="",EV67=""),"",N(EV67)-N(EU67)))</f>
        <v/>
      </c>
      <c r="EZ67">
        <f>IF(OR(EU$3="",EU$3&gt;TODAY()),"",IF(AND(EX67="",EY67=""),"",N(EY67)-N(EX67)))</f>
        <v/>
      </c>
      <c r="FD67">
        <f>IF(OR(FB$3="",FB$3&gt;TODAY()),"",IF(AND(FB67="",FC67=""),"",N(FC67)-N(FB67)))</f>
        <v/>
      </c>
      <c r="FG67">
        <f>IF(OR(FB$3="",FB$3&gt;TODAY()),"",IF(AND(FE67="",FF67=""),"",N(FF67)-N(FE67)))</f>
        <v/>
      </c>
      <c r="FK67">
        <f>IF(OR(FI$3="",FI$3&gt;TODAY()),"",IF(AND(FI67="",FJ67=""),"",N(FJ67)-N(FI67)))</f>
        <v/>
      </c>
      <c r="FN67">
        <f>IF(OR(FI$3="",FI$3&gt;TODAY()),"",IF(AND(FL67="",FM67=""),"",N(FM67)-N(FL67)))</f>
        <v/>
      </c>
      <c r="FR67">
        <f>IF(OR(FP$3="",FP$3&gt;TODAY()),"",IF(AND(FP67="",FQ67=""),"",N(FQ67)-N(FP67)))</f>
        <v/>
      </c>
      <c r="FU67">
        <f>IF(OR(FP$3="",FP$3&gt;TODAY()),"",IF(AND(FS67="",FT67=""),"",N(FT67)-N(FS67)))</f>
        <v/>
      </c>
      <c r="FY67">
        <f>IF(OR(FW$3="",FW$3&gt;TODAY()),"",IF(AND(FW67="",FX67=""),"",N(FX67)-N(FW67)))</f>
        <v/>
      </c>
      <c r="GB67">
        <f>IF(OR(FW$3="",FW$3&gt;TODAY()),"",IF(AND(FZ67="",GA67=""),"",N(GA67)-N(FZ67)))</f>
        <v/>
      </c>
      <c r="GF67">
        <f>IF(OR(GD$3="",GD$3&gt;TODAY()),"",IF(AND(GD67="",GE67=""),"",N(GE67)-N(GD67)))</f>
        <v/>
      </c>
      <c r="GI67">
        <f>IF(OR(GD$3="",GD$3&gt;TODAY()),"",IF(AND(GG67="",GH67=""),"",N(GH67)-N(GG67)))</f>
        <v/>
      </c>
      <c r="GM67">
        <f>IF(OR(GK$3="",GK$3&gt;TODAY()),"",IF(AND(GK67="",GL67=""),"",N(GL67)-N(GK67)))</f>
        <v/>
      </c>
      <c r="GP67">
        <f>IF(OR(GK$3="",GK$3&gt;TODAY()),"",IF(AND(GN67="",GO67=""),"",N(GO67)-N(GN67)))</f>
        <v/>
      </c>
      <c r="GT67">
        <f>IF(OR(GR$3="",GR$3&gt;TODAY()),"",IF(AND(GR67="",GS67=""),"",N(GS67)-N(GR67)))</f>
        <v/>
      </c>
      <c r="GW67">
        <f>IF(OR(GR$3="",GR$3&gt;TODAY()),"",IF(AND(GU67="",GV67=""),"",N(GV67)-N(GU67)))</f>
        <v/>
      </c>
      <c r="HA67">
        <f>IF(OR(GY$3="",GY$3&gt;TODAY()),"",IF(AND(GY67="",GZ67=""),"",N(GZ67)-N(GY67)))</f>
        <v/>
      </c>
      <c r="HD67">
        <f>IF(OR(GY$3="",GY$3&gt;TODAY()),"",IF(AND(HB67="",HC67=""),"",N(HC67)-N(HB67)))</f>
        <v/>
      </c>
      <c r="HH67">
        <f>IF(OR(HF$3="",HF$3&gt;TODAY()),"",IF(AND(HF67="",HG67=""),"",N(HG67)-N(HF67)))</f>
        <v/>
      </c>
      <c r="HK67">
        <f>IF(OR(HF$3="",HF$3&gt;TODAY()),"",IF(AND(HI67="",HJ67=""),"",N(HJ67)-N(HI67)))</f>
        <v/>
      </c>
      <c r="HO67">
        <f>IF(OR(HM$3="",HM$3&gt;TODAY()),"",IF(AND(HM67="",HN67=""),"",N(HN67)-N(HM67)))</f>
        <v/>
      </c>
      <c r="HR67">
        <f>IF(OR(HM$3="",HM$3&gt;TODAY()),"",IF(AND(HP67="",HQ67=""),"",N(HQ67)-N(HP67)))</f>
        <v/>
      </c>
      <c r="HV67">
        <f>IF(OR(HT$3="",HT$3&gt;TODAY()),"",IF(AND(HT67="",HU67=""),"",N(HU67)-N(HT67)))</f>
        <v/>
      </c>
      <c r="HY67">
        <f>IF(OR(HT$3="",HT$3&gt;TODAY()),"",IF(AND(HW67="",HX67=""),"",N(HX67)-N(HW67)))</f>
        <v/>
      </c>
      <c r="IC67">
        <f>IF(OR(IA$3="",IA$3&gt;TODAY()),"",IF(AND(IA67="",IB67=""),"",N(IB67)-N(IA67)))</f>
        <v/>
      </c>
      <c r="IF67">
        <f>IF(OR(IA$3="",IA$3&gt;TODAY()),"",IF(AND(ID67="",IE67=""),"",N(IE67)-N(ID67)))</f>
        <v/>
      </c>
      <c r="IJ67">
        <f>IF(OR(IH$3="",IH$3&gt;TODAY()),"",IF(AND(IH67="",II67=""),"",N(II67)-N(IH67)))</f>
        <v/>
      </c>
      <c r="IM67">
        <f>IF(OR(IH$3="",IH$3&gt;TODAY()),"",IF(AND(IK67="",IL67=""),"",N(IL67)-N(IK67)))</f>
        <v/>
      </c>
    </row>
    <row r="68">
      <c r="A68" s="21" t="n"/>
      <c r="B68" s="21" t="n"/>
      <c r="C68" s="21" t="n"/>
      <c r="D68" s="21" t="n"/>
      <c r="E68" s="21" t="n"/>
      <c r="F68" s="21" t="n"/>
      <c r="G68" s="21" t="n"/>
      <c r="H68" s="21" t="n"/>
      <c r="I68" s="22" t="n"/>
      <c r="J68" s="22" t="n"/>
      <c r="K68" s="23" t="n"/>
      <c r="L68" s="22" t="n"/>
      <c r="M68" s="22" t="n"/>
      <c r="N68" s="21" t="n"/>
      <c r="O68" s="23" t="n"/>
      <c r="P68" s="23" t="n"/>
      <c r="Q68" s="23" t="n"/>
      <c r="R68" s="23" t="n"/>
      <c r="S68" s="22" t="n"/>
      <c r="T68" s="23" t="n"/>
      <c r="U68" s="23" t="n"/>
      <c r="V68" s="24">
        <f>IF(J68&lt;&gt;"",J68,IF(I68&lt;&gt;"",I68,""))</f>
        <v/>
      </c>
      <c r="W68" s="25">
        <f>IF($E68="","",N(O68)+SUMIFS($AF68:$IN68,$AF$4:$IN$4,"SEW_ACT"))</f>
        <v/>
      </c>
      <c r="X68" s="25">
        <f>IF($E68="","",N(P68)+SUMIFS($AF68:$IN68,$AF$4:$IN$4,"WASH_ACT"))</f>
        <v/>
      </c>
      <c r="Y68" s="25">
        <f>IF($E68="","",W68-X68-N(T68)-N(U68))</f>
        <v/>
      </c>
      <c r="Z68" s="25">
        <f>IF($E68="","",IF(N(K68)-X68&lt;=0.02*N(K68),0,N(K68)-X68))</f>
        <v/>
      </c>
      <c r="AA68" s="24">
        <f>IF($E68="","",IF(S68&lt;&gt;"",S68,IF(N(O68)&gt;0,IF(L68&lt;&gt;"",L68,99999),IFERROR(1/(1/_xlfn.MINIFS($AF$3:$IN$3,$AF$4:$IN$4,"SEW_ACT",$AF68:$IN68,"&gt;0")),99999))))</f>
        <v/>
      </c>
      <c r="AB68" s="26">
        <f>IF(OR($E68="",Z68=0,V68=""),"",1+COUNTIFS(Z$8:Z$707,"&gt;0",V$8:V$707,"&lt;"&amp;V68)+COUNTIFS(Z$8:Z$707,"&gt;0",V$8:V$707,V68,AA$8:AA$707,"&lt;"&amp;AA68)+COUNTIFS(Z$8:Z$707,"&gt;0",V$8:V$707,V68,AA$8:AA$707,AA68,E$8:E$707,"&lt;"&amp;$E68))</f>
        <v/>
      </c>
      <c r="AC68" s="24">
        <f>IF(OR($E68="",Z68=0),"",IFERROR(TODAY()+ROUNDUP(Z68/(SUMIFS($AF68:$IN68,$AF$4:$IN$4,"WASH_ACT")/COUNTIFS($AF$4:$IN$4,"WASH_ACT",$AF68:$IN68,"&gt;0")),0),"no output yet"))</f>
        <v/>
      </c>
      <c r="AD68" s="26">
        <f>IF($E68="","",IFERROR(ROUND(MAX(0,SUMIFS($AF68:$IN68,$AF$4:$IN$4,"SEW_PLAN",$AF$3:$IN$3,"&lt;="&amp;TODAY())-SUMIFS($AF68:$IN68,$AF$4:$IN$4,"SEW_ACT",$AF$3:$IN$3,"&lt;="&amp;TODAY())+N(Q68))/(SUMIFS($AF68:$IN68,$AF$4:$IN$4,"SEW_PLAN")/COUNTIFS($AF$4:$IN$4,"SEW_PLAN",$AF68:$IN68,"&gt;0")),1),0))</f>
        <v/>
      </c>
      <c r="AE68" s="26">
        <f>IF($E68="","",IF(AND(Z68&gt;0,OR(AND(M68&lt;&gt;"",TODAY()&gt;M68),AND(V68&lt;&gt;"",V68-TODAY()&lt;=7))),"Yes","No"))</f>
        <v/>
      </c>
      <c r="AH68">
        <f>IF(OR(AF$3="",AF$3&gt;TODAY()),"",IF(AND(AF68="",AG68=""),"",N(AG68)-N(AF68)))</f>
        <v/>
      </c>
      <c r="AK68">
        <f>IF(OR(AF$3="",AF$3&gt;TODAY()),"",IF(AND(AI68="",AJ68=""),"",N(AJ68)-N(AI68)))</f>
        <v/>
      </c>
      <c r="AO68">
        <f>IF(OR(AM$3="",AM$3&gt;TODAY()),"",IF(AND(AM68="",AN68=""),"",N(AN68)-N(AM68)))</f>
        <v/>
      </c>
      <c r="AR68">
        <f>IF(OR(AM$3="",AM$3&gt;TODAY()),"",IF(AND(AP68="",AQ68=""),"",N(AQ68)-N(AP68)))</f>
        <v/>
      </c>
      <c r="AV68">
        <f>IF(OR(AT$3="",AT$3&gt;TODAY()),"",IF(AND(AT68="",AU68=""),"",N(AU68)-N(AT68)))</f>
        <v/>
      </c>
      <c r="AY68">
        <f>IF(OR(AT$3="",AT$3&gt;TODAY()),"",IF(AND(AW68="",AX68=""),"",N(AX68)-N(AW68)))</f>
        <v/>
      </c>
      <c r="BC68">
        <f>IF(OR(BA$3="",BA$3&gt;TODAY()),"",IF(AND(BA68="",BB68=""),"",N(BB68)-N(BA68)))</f>
        <v/>
      </c>
      <c r="BF68">
        <f>IF(OR(BA$3="",BA$3&gt;TODAY()),"",IF(AND(BD68="",BE68=""),"",N(BE68)-N(BD68)))</f>
        <v/>
      </c>
      <c r="BJ68">
        <f>IF(OR(BH$3="",BH$3&gt;TODAY()),"",IF(AND(BH68="",BI68=""),"",N(BI68)-N(BH68)))</f>
        <v/>
      </c>
      <c r="BM68">
        <f>IF(OR(BH$3="",BH$3&gt;TODAY()),"",IF(AND(BK68="",BL68=""),"",N(BL68)-N(BK68)))</f>
        <v/>
      </c>
      <c r="BQ68">
        <f>IF(OR(BO$3="",BO$3&gt;TODAY()),"",IF(AND(BO68="",BP68=""),"",N(BP68)-N(BO68)))</f>
        <v/>
      </c>
      <c r="BT68">
        <f>IF(OR(BO$3="",BO$3&gt;TODAY()),"",IF(AND(BR68="",BS68=""),"",N(BS68)-N(BR68)))</f>
        <v/>
      </c>
      <c r="BX68">
        <f>IF(OR(BV$3="",BV$3&gt;TODAY()),"",IF(AND(BV68="",BW68=""),"",N(BW68)-N(BV68)))</f>
        <v/>
      </c>
      <c r="CA68">
        <f>IF(OR(BV$3="",BV$3&gt;TODAY()),"",IF(AND(BY68="",BZ68=""),"",N(BZ68)-N(BY68)))</f>
        <v/>
      </c>
      <c r="CE68">
        <f>IF(OR(CC$3="",CC$3&gt;TODAY()),"",IF(AND(CC68="",CD68=""),"",N(CD68)-N(CC68)))</f>
        <v/>
      </c>
      <c r="CH68">
        <f>IF(OR(CC$3="",CC$3&gt;TODAY()),"",IF(AND(CF68="",CG68=""),"",N(CG68)-N(CF68)))</f>
        <v/>
      </c>
      <c r="CL68">
        <f>IF(OR(CJ$3="",CJ$3&gt;TODAY()),"",IF(AND(CJ68="",CK68=""),"",N(CK68)-N(CJ68)))</f>
        <v/>
      </c>
      <c r="CO68">
        <f>IF(OR(CJ$3="",CJ$3&gt;TODAY()),"",IF(AND(CM68="",CN68=""),"",N(CN68)-N(CM68)))</f>
        <v/>
      </c>
      <c r="CS68">
        <f>IF(OR(CQ$3="",CQ$3&gt;TODAY()),"",IF(AND(CQ68="",CR68=""),"",N(CR68)-N(CQ68)))</f>
        <v/>
      </c>
      <c r="CV68">
        <f>IF(OR(CQ$3="",CQ$3&gt;TODAY()),"",IF(AND(CT68="",CU68=""),"",N(CU68)-N(CT68)))</f>
        <v/>
      </c>
      <c r="CZ68">
        <f>IF(OR(CX$3="",CX$3&gt;TODAY()),"",IF(AND(CX68="",CY68=""),"",N(CY68)-N(CX68)))</f>
        <v/>
      </c>
      <c r="DC68">
        <f>IF(OR(CX$3="",CX$3&gt;TODAY()),"",IF(AND(DA68="",DB68=""),"",N(DB68)-N(DA68)))</f>
        <v/>
      </c>
      <c r="DG68">
        <f>IF(OR(DE$3="",DE$3&gt;TODAY()),"",IF(AND(DE68="",DF68=""),"",N(DF68)-N(DE68)))</f>
        <v/>
      </c>
      <c r="DJ68">
        <f>IF(OR(DE$3="",DE$3&gt;TODAY()),"",IF(AND(DH68="",DI68=""),"",N(DI68)-N(DH68)))</f>
        <v/>
      </c>
      <c r="DN68">
        <f>IF(OR(DL$3="",DL$3&gt;TODAY()),"",IF(AND(DL68="",DM68=""),"",N(DM68)-N(DL68)))</f>
        <v/>
      </c>
      <c r="DQ68">
        <f>IF(OR(DL$3="",DL$3&gt;TODAY()),"",IF(AND(DO68="",DP68=""),"",N(DP68)-N(DO68)))</f>
        <v/>
      </c>
      <c r="DU68">
        <f>IF(OR(DS$3="",DS$3&gt;TODAY()),"",IF(AND(DS68="",DT68=""),"",N(DT68)-N(DS68)))</f>
        <v/>
      </c>
      <c r="DX68">
        <f>IF(OR(DS$3="",DS$3&gt;TODAY()),"",IF(AND(DV68="",DW68=""),"",N(DW68)-N(DV68)))</f>
        <v/>
      </c>
      <c r="EB68">
        <f>IF(OR(DZ$3="",DZ$3&gt;TODAY()),"",IF(AND(DZ68="",EA68=""),"",N(EA68)-N(DZ68)))</f>
        <v/>
      </c>
      <c r="EE68">
        <f>IF(OR(DZ$3="",DZ$3&gt;TODAY()),"",IF(AND(EC68="",ED68=""),"",N(ED68)-N(EC68)))</f>
        <v/>
      </c>
      <c r="EI68">
        <f>IF(OR(EG$3="",EG$3&gt;TODAY()),"",IF(AND(EG68="",EH68=""),"",N(EH68)-N(EG68)))</f>
        <v/>
      </c>
      <c r="EL68">
        <f>IF(OR(EG$3="",EG$3&gt;TODAY()),"",IF(AND(EJ68="",EK68=""),"",N(EK68)-N(EJ68)))</f>
        <v/>
      </c>
      <c r="EP68">
        <f>IF(OR(EN$3="",EN$3&gt;TODAY()),"",IF(AND(EN68="",EO68=""),"",N(EO68)-N(EN68)))</f>
        <v/>
      </c>
      <c r="ES68">
        <f>IF(OR(EN$3="",EN$3&gt;TODAY()),"",IF(AND(EQ68="",ER68=""),"",N(ER68)-N(EQ68)))</f>
        <v/>
      </c>
      <c r="EW68">
        <f>IF(OR(EU$3="",EU$3&gt;TODAY()),"",IF(AND(EU68="",EV68=""),"",N(EV68)-N(EU68)))</f>
        <v/>
      </c>
      <c r="EZ68">
        <f>IF(OR(EU$3="",EU$3&gt;TODAY()),"",IF(AND(EX68="",EY68=""),"",N(EY68)-N(EX68)))</f>
        <v/>
      </c>
      <c r="FD68">
        <f>IF(OR(FB$3="",FB$3&gt;TODAY()),"",IF(AND(FB68="",FC68=""),"",N(FC68)-N(FB68)))</f>
        <v/>
      </c>
      <c r="FG68">
        <f>IF(OR(FB$3="",FB$3&gt;TODAY()),"",IF(AND(FE68="",FF68=""),"",N(FF68)-N(FE68)))</f>
        <v/>
      </c>
      <c r="FK68">
        <f>IF(OR(FI$3="",FI$3&gt;TODAY()),"",IF(AND(FI68="",FJ68=""),"",N(FJ68)-N(FI68)))</f>
        <v/>
      </c>
      <c r="FN68">
        <f>IF(OR(FI$3="",FI$3&gt;TODAY()),"",IF(AND(FL68="",FM68=""),"",N(FM68)-N(FL68)))</f>
        <v/>
      </c>
      <c r="FR68">
        <f>IF(OR(FP$3="",FP$3&gt;TODAY()),"",IF(AND(FP68="",FQ68=""),"",N(FQ68)-N(FP68)))</f>
        <v/>
      </c>
      <c r="FU68">
        <f>IF(OR(FP$3="",FP$3&gt;TODAY()),"",IF(AND(FS68="",FT68=""),"",N(FT68)-N(FS68)))</f>
        <v/>
      </c>
      <c r="FY68">
        <f>IF(OR(FW$3="",FW$3&gt;TODAY()),"",IF(AND(FW68="",FX68=""),"",N(FX68)-N(FW68)))</f>
        <v/>
      </c>
      <c r="GB68">
        <f>IF(OR(FW$3="",FW$3&gt;TODAY()),"",IF(AND(FZ68="",GA68=""),"",N(GA68)-N(FZ68)))</f>
        <v/>
      </c>
      <c r="GF68">
        <f>IF(OR(GD$3="",GD$3&gt;TODAY()),"",IF(AND(GD68="",GE68=""),"",N(GE68)-N(GD68)))</f>
        <v/>
      </c>
      <c r="GI68">
        <f>IF(OR(GD$3="",GD$3&gt;TODAY()),"",IF(AND(GG68="",GH68=""),"",N(GH68)-N(GG68)))</f>
        <v/>
      </c>
      <c r="GM68">
        <f>IF(OR(GK$3="",GK$3&gt;TODAY()),"",IF(AND(GK68="",GL68=""),"",N(GL68)-N(GK68)))</f>
        <v/>
      </c>
      <c r="GP68">
        <f>IF(OR(GK$3="",GK$3&gt;TODAY()),"",IF(AND(GN68="",GO68=""),"",N(GO68)-N(GN68)))</f>
        <v/>
      </c>
      <c r="GT68">
        <f>IF(OR(GR$3="",GR$3&gt;TODAY()),"",IF(AND(GR68="",GS68=""),"",N(GS68)-N(GR68)))</f>
        <v/>
      </c>
      <c r="GW68">
        <f>IF(OR(GR$3="",GR$3&gt;TODAY()),"",IF(AND(GU68="",GV68=""),"",N(GV68)-N(GU68)))</f>
        <v/>
      </c>
      <c r="HA68">
        <f>IF(OR(GY$3="",GY$3&gt;TODAY()),"",IF(AND(GY68="",GZ68=""),"",N(GZ68)-N(GY68)))</f>
        <v/>
      </c>
      <c r="HD68">
        <f>IF(OR(GY$3="",GY$3&gt;TODAY()),"",IF(AND(HB68="",HC68=""),"",N(HC68)-N(HB68)))</f>
        <v/>
      </c>
      <c r="HH68">
        <f>IF(OR(HF$3="",HF$3&gt;TODAY()),"",IF(AND(HF68="",HG68=""),"",N(HG68)-N(HF68)))</f>
        <v/>
      </c>
      <c r="HK68">
        <f>IF(OR(HF$3="",HF$3&gt;TODAY()),"",IF(AND(HI68="",HJ68=""),"",N(HJ68)-N(HI68)))</f>
        <v/>
      </c>
      <c r="HO68">
        <f>IF(OR(HM$3="",HM$3&gt;TODAY()),"",IF(AND(HM68="",HN68=""),"",N(HN68)-N(HM68)))</f>
        <v/>
      </c>
      <c r="HR68">
        <f>IF(OR(HM$3="",HM$3&gt;TODAY()),"",IF(AND(HP68="",HQ68=""),"",N(HQ68)-N(HP68)))</f>
        <v/>
      </c>
      <c r="HV68">
        <f>IF(OR(HT$3="",HT$3&gt;TODAY()),"",IF(AND(HT68="",HU68=""),"",N(HU68)-N(HT68)))</f>
        <v/>
      </c>
      <c r="HY68">
        <f>IF(OR(HT$3="",HT$3&gt;TODAY()),"",IF(AND(HW68="",HX68=""),"",N(HX68)-N(HW68)))</f>
        <v/>
      </c>
      <c r="IC68">
        <f>IF(OR(IA$3="",IA$3&gt;TODAY()),"",IF(AND(IA68="",IB68=""),"",N(IB68)-N(IA68)))</f>
        <v/>
      </c>
      <c r="IF68">
        <f>IF(OR(IA$3="",IA$3&gt;TODAY()),"",IF(AND(ID68="",IE68=""),"",N(IE68)-N(ID68)))</f>
        <v/>
      </c>
      <c r="IJ68">
        <f>IF(OR(IH$3="",IH$3&gt;TODAY()),"",IF(AND(IH68="",II68=""),"",N(II68)-N(IH68)))</f>
        <v/>
      </c>
      <c r="IM68">
        <f>IF(OR(IH$3="",IH$3&gt;TODAY()),"",IF(AND(IK68="",IL68=""),"",N(IL68)-N(IK68)))</f>
        <v/>
      </c>
    </row>
    <row r="69">
      <c r="A69" s="21" t="n"/>
      <c r="B69" s="21" t="n"/>
      <c r="C69" s="21" t="n"/>
      <c r="D69" s="21" t="n"/>
      <c r="E69" s="21" t="n"/>
      <c r="F69" s="21" t="n"/>
      <c r="G69" s="21" t="n"/>
      <c r="H69" s="21" t="n"/>
      <c r="I69" s="22" t="n"/>
      <c r="J69" s="22" t="n"/>
      <c r="K69" s="23" t="n"/>
      <c r="L69" s="22" t="n"/>
      <c r="M69" s="22" t="n"/>
      <c r="N69" s="21" t="n"/>
      <c r="O69" s="23" t="n"/>
      <c r="P69" s="23" t="n"/>
      <c r="Q69" s="23" t="n"/>
      <c r="R69" s="23" t="n"/>
      <c r="S69" s="22" t="n"/>
      <c r="T69" s="23" t="n"/>
      <c r="U69" s="23" t="n"/>
      <c r="V69" s="24">
        <f>IF(J69&lt;&gt;"",J69,IF(I69&lt;&gt;"",I69,""))</f>
        <v/>
      </c>
      <c r="W69" s="25">
        <f>IF($E69="","",N(O69)+SUMIFS($AF69:$IN69,$AF$4:$IN$4,"SEW_ACT"))</f>
        <v/>
      </c>
      <c r="X69" s="25">
        <f>IF($E69="","",N(P69)+SUMIFS($AF69:$IN69,$AF$4:$IN$4,"WASH_ACT"))</f>
        <v/>
      </c>
      <c r="Y69" s="25">
        <f>IF($E69="","",W69-X69-N(T69)-N(U69))</f>
        <v/>
      </c>
      <c r="Z69" s="25">
        <f>IF($E69="","",IF(N(K69)-X69&lt;=0.02*N(K69),0,N(K69)-X69))</f>
        <v/>
      </c>
      <c r="AA69" s="24">
        <f>IF($E69="","",IF(S69&lt;&gt;"",S69,IF(N(O69)&gt;0,IF(L69&lt;&gt;"",L69,99999),IFERROR(1/(1/_xlfn.MINIFS($AF$3:$IN$3,$AF$4:$IN$4,"SEW_ACT",$AF69:$IN69,"&gt;0")),99999))))</f>
        <v/>
      </c>
      <c r="AB69" s="26">
        <f>IF(OR($E69="",Z69=0,V69=""),"",1+COUNTIFS(Z$8:Z$707,"&gt;0",V$8:V$707,"&lt;"&amp;V69)+COUNTIFS(Z$8:Z$707,"&gt;0",V$8:V$707,V69,AA$8:AA$707,"&lt;"&amp;AA69)+COUNTIFS(Z$8:Z$707,"&gt;0",V$8:V$707,V69,AA$8:AA$707,AA69,E$8:E$707,"&lt;"&amp;$E69))</f>
        <v/>
      </c>
      <c r="AC69" s="24">
        <f>IF(OR($E69="",Z69=0),"",IFERROR(TODAY()+ROUNDUP(Z69/(SUMIFS($AF69:$IN69,$AF$4:$IN$4,"WASH_ACT")/COUNTIFS($AF$4:$IN$4,"WASH_ACT",$AF69:$IN69,"&gt;0")),0),"no output yet"))</f>
        <v/>
      </c>
      <c r="AD69" s="26">
        <f>IF($E69="","",IFERROR(ROUND(MAX(0,SUMIFS($AF69:$IN69,$AF$4:$IN$4,"SEW_PLAN",$AF$3:$IN$3,"&lt;="&amp;TODAY())-SUMIFS($AF69:$IN69,$AF$4:$IN$4,"SEW_ACT",$AF$3:$IN$3,"&lt;="&amp;TODAY())+N(Q69))/(SUMIFS($AF69:$IN69,$AF$4:$IN$4,"SEW_PLAN")/COUNTIFS($AF$4:$IN$4,"SEW_PLAN",$AF69:$IN69,"&gt;0")),1),0))</f>
        <v/>
      </c>
      <c r="AE69" s="26">
        <f>IF($E69="","",IF(AND(Z69&gt;0,OR(AND(M69&lt;&gt;"",TODAY()&gt;M69),AND(V69&lt;&gt;"",V69-TODAY()&lt;=7))),"Yes","No"))</f>
        <v/>
      </c>
      <c r="AH69">
        <f>IF(OR(AF$3="",AF$3&gt;TODAY()),"",IF(AND(AF69="",AG69=""),"",N(AG69)-N(AF69)))</f>
        <v/>
      </c>
      <c r="AK69">
        <f>IF(OR(AF$3="",AF$3&gt;TODAY()),"",IF(AND(AI69="",AJ69=""),"",N(AJ69)-N(AI69)))</f>
        <v/>
      </c>
      <c r="AO69">
        <f>IF(OR(AM$3="",AM$3&gt;TODAY()),"",IF(AND(AM69="",AN69=""),"",N(AN69)-N(AM69)))</f>
        <v/>
      </c>
      <c r="AR69">
        <f>IF(OR(AM$3="",AM$3&gt;TODAY()),"",IF(AND(AP69="",AQ69=""),"",N(AQ69)-N(AP69)))</f>
        <v/>
      </c>
      <c r="AV69">
        <f>IF(OR(AT$3="",AT$3&gt;TODAY()),"",IF(AND(AT69="",AU69=""),"",N(AU69)-N(AT69)))</f>
        <v/>
      </c>
      <c r="AY69">
        <f>IF(OR(AT$3="",AT$3&gt;TODAY()),"",IF(AND(AW69="",AX69=""),"",N(AX69)-N(AW69)))</f>
        <v/>
      </c>
      <c r="BC69">
        <f>IF(OR(BA$3="",BA$3&gt;TODAY()),"",IF(AND(BA69="",BB69=""),"",N(BB69)-N(BA69)))</f>
        <v/>
      </c>
      <c r="BF69">
        <f>IF(OR(BA$3="",BA$3&gt;TODAY()),"",IF(AND(BD69="",BE69=""),"",N(BE69)-N(BD69)))</f>
        <v/>
      </c>
      <c r="BJ69">
        <f>IF(OR(BH$3="",BH$3&gt;TODAY()),"",IF(AND(BH69="",BI69=""),"",N(BI69)-N(BH69)))</f>
        <v/>
      </c>
      <c r="BM69">
        <f>IF(OR(BH$3="",BH$3&gt;TODAY()),"",IF(AND(BK69="",BL69=""),"",N(BL69)-N(BK69)))</f>
        <v/>
      </c>
      <c r="BQ69">
        <f>IF(OR(BO$3="",BO$3&gt;TODAY()),"",IF(AND(BO69="",BP69=""),"",N(BP69)-N(BO69)))</f>
        <v/>
      </c>
      <c r="BT69">
        <f>IF(OR(BO$3="",BO$3&gt;TODAY()),"",IF(AND(BR69="",BS69=""),"",N(BS69)-N(BR69)))</f>
        <v/>
      </c>
      <c r="BX69">
        <f>IF(OR(BV$3="",BV$3&gt;TODAY()),"",IF(AND(BV69="",BW69=""),"",N(BW69)-N(BV69)))</f>
        <v/>
      </c>
      <c r="CA69">
        <f>IF(OR(BV$3="",BV$3&gt;TODAY()),"",IF(AND(BY69="",BZ69=""),"",N(BZ69)-N(BY69)))</f>
        <v/>
      </c>
      <c r="CE69">
        <f>IF(OR(CC$3="",CC$3&gt;TODAY()),"",IF(AND(CC69="",CD69=""),"",N(CD69)-N(CC69)))</f>
        <v/>
      </c>
      <c r="CH69">
        <f>IF(OR(CC$3="",CC$3&gt;TODAY()),"",IF(AND(CF69="",CG69=""),"",N(CG69)-N(CF69)))</f>
        <v/>
      </c>
      <c r="CL69">
        <f>IF(OR(CJ$3="",CJ$3&gt;TODAY()),"",IF(AND(CJ69="",CK69=""),"",N(CK69)-N(CJ69)))</f>
        <v/>
      </c>
      <c r="CO69">
        <f>IF(OR(CJ$3="",CJ$3&gt;TODAY()),"",IF(AND(CM69="",CN69=""),"",N(CN69)-N(CM69)))</f>
        <v/>
      </c>
      <c r="CS69">
        <f>IF(OR(CQ$3="",CQ$3&gt;TODAY()),"",IF(AND(CQ69="",CR69=""),"",N(CR69)-N(CQ69)))</f>
        <v/>
      </c>
      <c r="CV69">
        <f>IF(OR(CQ$3="",CQ$3&gt;TODAY()),"",IF(AND(CT69="",CU69=""),"",N(CU69)-N(CT69)))</f>
        <v/>
      </c>
      <c r="CZ69">
        <f>IF(OR(CX$3="",CX$3&gt;TODAY()),"",IF(AND(CX69="",CY69=""),"",N(CY69)-N(CX69)))</f>
        <v/>
      </c>
      <c r="DC69">
        <f>IF(OR(CX$3="",CX$3&gt;TODAY()),"",IF(AND(DA69="",DB69=""),"",N(DB69)-N(DA69)))</f>
        <v/>
      </c>
      <c r="DG69">
        <f>IF(OR(DE$3="",DE$3&gt;TODAY()),"",IF(AND(DE69="",DF69=""),"",N(DF69)-N(DE69)))</f>
        <v/>
      </c>
      <c r="DJ69">
        <f>IF(OR(DE$3="",DE$3&gt;TODAY()),"",IF(AND(DH69="",DI69=""),"",N(DI69)-N(DH69)))</f>
        <v/>
      </c>
      <c r="DN69">
        <f>IF(OR(DL$3="",DL$3&gt;TODAY()),"",IF(AND(DL69="",DM69=""),"",N(DM69)-N(DL69)))</f>
        <v/>
      </c>
      <c r="DQ69">
        <f>IF(OR(DL$3="",DL$3&gt;TODAY()),"",IF(AND(DO69="",DP69=""),"",N(DP69)-N(DO69)))</f>
        <v/>
      </c>
      <c r="DU69">
        <f>IF(OR(DS$3="",DS$3&gt;TODAY()),"",IF(AND(DS69="",DT69=""),"",N(DT69)-N(DS69)))</f>
        <v/>
      </c>
      <c r="DX69">
        <f>IF(OR(DS$3="",DS$3&gt;TODAY()),"",IF(AND(DV69="",DW69=""),"",N(DW69)-N(DV69)))</f>
        <v/>
      </c>
      <c r="EB69">
        <f>IF(OR(DZ$3="",DZ$3&gt;TODAY()),"",IF(AND(DZ69="",EA69=""),"",N(EA69)-N(DZ69)))</f>
        <v/>
      </c>
      <c r="EE69">
        <f>IF(OR(DZ$3="",DZ$3&gt;TODAY()),"",IF(AND(EC69="",ED69=""),"",N(ED69)-N(EC69)))</f>
        <v/>
      </c>
      <c r="EI69">
        <f>IF(OR(EG$3="",EG$3&gt;TODAY()),"",IF(AND(EG69="",EH69=""),"",N(EH69)-N(EG69)))</f>
        <v/>
      </c>
      <c r="EL69">
        <f>IF(OR(EG$3="",EG$3&gt;TODAY()),"",IF(AND(EJ69="",EK69=""),"",N(EK69)-N(EJ69)))</f>
        <v/>
      </c>
      <c r="EP69">
        <f>IF(OR(EN$3="",EN$3&gt;TODAY()),"",IF(AND(EN69="",EO69=""),"",N(EO69)-N(EN69)))</f>
        <v/>
      </c>
      <c r="ES69">
        <f>IF(OR(EN$3="",EN$3&gt;TODAY()),"",IF(AND(EQ69="",ER69=""),"",N(ER69)-N(EQ69)))</f>
        <v/>
      </c>
      <c r="EW69">
        <f>IF(OR(EU$3="",EU$3&gt;TODAY()),"",IF(AND(EU69="",EV69=""),"",N(EV69)-N(EU69)))</f>
        <v/>
      </c>
      <c r="EZ69">
        <f>IF(OR(EU$3="",EU$3&gt;TODAY()),"",IF(AND(EX69="",EY69=""),"",N(EY69)-N(EX69)))</f>
        <v/>
      </c>
      <c r="FD69">
        <f>IF(OR(FB$3="",FB$3&gt;TODAY()),"",IF(AND(FB69="",FC69=""),"",N(FC69)-N(FB69)))</f>
        <v/>
      </c>
      <c r="FG69">
        <f>IF(OR(FB$3="",FB$3&gt;TODAY()),"",IF(AND(FE69="",FF69=""),"",N(FF69)-N(FE69)))</f>
        <v/>
      </c>
      <c r="FK69">
        <f>IF(OR(FI$3="",FI$3&gt;TODAY()),"",IF(AND(FI69="",FJ69=""),"",N(FJ69)-N(FI69)))</f>
        <v/>
      </c>
      <c r="FN69">
        <f>IF(OR(FI$3="",FI$3&gt;TODAY()),"",IF(AND(FL69="",FM69=""),"",N(FM69)-N(FL69)))</f>
        <v/>
      </c>
      <c r="FR69">
        <f>IF(OR(FP$3="",FP$3&gt;TODAY()),"",IF(AND(FP69="",FQ69=""),"",N(FQ69)-N(FP69)))</f>
        <v/>
      </c>
      <c r="FU69">
        <f>IF(OR(FP$3="",FP$3&gt;TODAY()),"",IF(AND(FS69="",FT69=""),"",N(FT69)-N(FS69)))</f>
        <v/>
      </c>
      <c r="FY69">
        <f>IF(OR(FW$3="",FW$3&gt;TODAY()),"",IF(AND(FW69="",FX69=""),"",N(FX69)-N(FW69)))</f>
        <v/>
      </c>
      <c r="GB69">
        <f>IF(OR(FW$3="",FW$3&gt;TODAY()),"",IF(AND(FZ69="",GA69=""),"",N(GA69)-N(FZ69)))</f>
        <v/>
      </c>
      <c r="GF69">
        <f>IF(OR(GD$3="",GD$3&gt;TODAY()),"",IF(AND(GD69="",GE69=""),"",N(GE69)-N(GD69)))</f>
        <v/>
      </c>
      <c r="GI69">
        <f>IF(OR(GD$3="",GD$3&gt;TODAY()),"",IF(AND(GG69="",GH69=""),"",N(GH69)-N(GG69)))</f>
        <v/>
      </c>
      <c r="GM69">
        <f>IF(OR(GK$3="",GK$3&gt;TODAY()),"",IF(AND(GK69="",GL69=""),"",N(GL69)-N(GK69)))</f>
        <v/>
      </c>
      <c r="GP69">
        <f>IF(OR(GK$3="",GK$3&gt;TODAY()),"",IF(AND(GN69="",GO69=""),"",N(GO69)-N(GN69)))</f>
        <v/>
      </c>
      <c r="GT69">
        <f>IF(OR(GR$3="",GR$3&gt;TODAY()),"",IF(AND(GR69="",GS69=""),"",N(GS69)-N(GR69)))</f>
        <v/>
      </c>
      <c r="GW69">
        <f>IF(OR(GR$3="",GR$3&gt;TODAY()),"",IF(AND(GU69="",GV69=""),"",N(GV69)-N(GU69)))</f>
        <v/>
      </c>
      <c r="HA69">
        <f>IF(OR(GY$3="",GY$3&gt;TODAY()),"",IF(AND(GY69="",GZ69=""),"",N(GZ69)-N(GY69)))</f>
        <v/>
      </c>
      <c r="HD69">
        <f>IF(OR(GY$3="",GY$3&gt;TODAY()),"",IF(AND(HB69="",HC69=""),"",N(HC69)-N(HB69)))</f>
        <v/>
      </c>
      <c r="HH69">
        <f>IF(OR(HF$3="",HF$3&gt;TODAY()),"",IF(AND(HF69="",HG69=""),"",N(HG69)-N(HF69)))</f>
        <v/>
      </c>
      <c r="HK69">
        <f>IF(OR(HF$3="",HF$3&gt;TODAY()),"",IF(AND(HI69="",HJ69=""),"",N(HJ69)-N(HI69)))</f>
        <v/>
      </c>
      <c r="HO69">
        <f>IF(OR(HM$3="",HM$3&gt;TODAY()),"",IF(AND(HM69="",HN69=""),"",N(HN69)-N(HM69)))</f>
        <v/>
      </c>
      <c r="HR69">
        <f>IF(OR(HM$3="",HM$3&gt;TODAY()),"",IF(AND(HP69="",HQ69=""),"",N(HQ69)-N(HP69)))</f>
        <v/>
      </c>
      <c r="HV69">
        <f>IF(OR(HT$3="",HT$3&gt;TODAY()),"",IF(AND(HT69="",HU69=""),"",N(HU69)-N(HT69)))</f>
        <v/>
      </c>
      <c r="HY69">
        <f>IF(OR(HT$3="",HT$3&gt;TODAY()),"",IF(AND(HW69="",HX69=""),"",N(HX69)-N(HW69)))</f>
        <v/>
      </c>
      <c r="IC69">
        <f>IF(OR(IA$3="",IA$3&gt;TODAY()),"",IF(AND(IA69="",IB69=""),"",N(IB69)-N(IA69)))</f>
        <v/>
      </c>
      <c r="IF69">
        <f>IF(OR(IA$3="",IA$3&gt;TODAY()),"",IF(AND(ID69="",IE69=""),"",N(IE69)-N(ID69)))</f>
        <v/>
      </c>
      <c r="IJ69">
        <f>IF(OR(IH$3="",IH$3&gt;TODAY()),"",IF(AND(IH69="",II69=""),"",N(II69)-N(IH69)))</f>
        <v/>
      </c>
      <c r="IM69">
        <f>IF(OR(IH$3="",IH$3&gt;TODAY()),"",IF(AND(IK69="",IL69=""),"",N(IL69)-N(IK69)))</f>
        <v/>
      </c>
    </row>
    <row r="70">
      <c r="A70" s="21" t="n"/>
      <c r="B70" s="21" t="n"/>
      <c r="C70" s="21" t="n"/>
      <c r="D70" s="21" t="n"/>
      <c r="E70" s="21" t="n"/>
      <c r="F70" s="21" t="n"/>
      <c r="G70" s="21" t="n"/>
      <c r="H70" s="21" t="n"/>
      <c r="I70" s="22" t="n"/>
      <c r="J70" s="22" t="n"/>
      <c r="K70" s="23" t="n"/>
      <c r="L70" s="22" t="n"/>
      <c r="M70" s="22" t="n"/>
      <c r="N70" s="21" t="n"/>
      <c r="O70" s="23" t="n"/>
      <c r="P70" s="23" t="n"/>
      <c r="Q70" s="23" t="n"/>
      <c r="R70" s="23" t="n"/>
      <c r="S70" s="22" t="n"/>
      <c r="T70" s="23" t="n"/>
      <c r="U70" s="23" t="n"/>
      <c r="V70" s="24">
        <f>IF(J70&lt;&gt;"",J70,IF(I70&lt;&gt;"",I70,""))</f>
        <v/>
      </c>
      <c r="W70" s="25">
        <f>IF($E70="","",N(O70)+SUMIFS($AF70:$IN70,$AF$4:$IN$4,"SEW_ACT"))</f>
        <v/>
      </c>
      <c r="X70" s="25">
        <f>IF($E70="","",N(P70)+SUMIFS($AF70:$IN70,$AF$4:$IN$4,"WASH_ACT"))</f>
        <v/>
      </c>
      <c r="Y70" s="25">
        <f>IF($E70="","",W70-X70-N(T70)-N(U70))</f>
        <v/>
      </c>
      <c r="Z70" s="25">
        <f>IF($E70="","",IF(N(K70)-X70&lt;=0.02*N(K70),0,N(K70)-X70))</f>
        <v/>
      </c>
      <c r="AA70" s="24">
        <f>IF($E70="","",IF(S70&lt;&gt;"",S70,IF(N(O70)&gt;0,IF(L70&lt;&gt;"",L70,99999),IFERROR(1/(1/_xlfn.MINIFS($AF$3:$IN$3,$AF$4:$IN$4,"SEW_ACT",$AF70:$IN70,"&gt;0")),99999))))</f>
        <v/>
      </c>
      <c r="AB70" s="26">
        <f>IF(OR($E70="",Z70=0,V70=""),"",1+COUNTIFS(Z$8:Z$707,"&gt;0",V$8:V$707,"&lt;"&amp;V70)+COUNTIFS(Z$8:Z$707,"&gt;0",V$8:V$707,V70,AA$8:AA$707,"&lt;"&amp;AA70)+COUNTIFS(Z$8:Z$707,"&gt;0",V$8:V$707,V70,AA$8:AA$707,AA70,E$8:E$707,"&lt;"&amp;$E70))</f>
        <v/>
      </c>
      <c r="AC70" s="24">
        <f>IF(OR($E70="",Z70=0),"",IFERROR(TODAY()+ROUNDUP(Z70/(SUMIFS($AF70:$IN70,$AF$4:$IN$4,"WASH_ACT")/COUNTIFS($AF$4:$IN$4,"WASH_ACT",$AF70:$IN70,"&gt;0")),0),"no output yet"))</f>
        <v/>
      </c>
      <c r="AD70" s="26">
        <f>IF($E70="","",IFERROR(ROUND(MAX(0,SUMIFS($AF70:$IN70,$AF$4:$IN$4,"SEW_PLAN",$AF$3:$IN$3,"&lt;="&amp;TODAY())-SUMIFS($AF70:$IN70,$AF$4:$IN$4,"SEW_ACT",$AF$3:$IN$3,"&lt;="&amp;TODAY())+N(Q70))/(SUMIFS($AF70:$IN70,$AF$4:$IN$4,"SEW_PLAN")/COUNTIFS($AF$4:$IN$4,"SEW_PLAN",$AF70:$IN70,"&gt;0")),1),0))</f>
        <v/>
      </c>
      <c r="AE70" s="26">
        <f>IF($E70="","",IF(AND(Z70&gt;0,OR(AND(M70&lt;&gt;"",TODAY()&gt;M70),AND(V70&lt;&gt;"",V70-TODAY()&lt;=7))),"Yes","No"))</f>
        <v/>
      </c>
      <c r="AH70">
        <f>IF(OR(AF$3="",AF$3&gt;TODAY()),"",IF(AND(AF70="",AG70=""),"",N(AG70)-N(AF70)))</f>
        <v/>
      </c>
      <c r="AK70">
        <f>IF(OR(AF$3="",AF$3&gt;TODAY()),"",IF(AND(AI70="",AJ70=""),"",N(AJ70)-N(AI70)))</f>
        <v/>
      </c>
      <c r="AO70">
        <f>IF(OR(AM$3="",AM$3&gt;TODAY()),"",IF(AND(AM70="",AN70=""),"",N(AN70)-N(AM70)))</f>
        <v/>
      </c>
      <c r="AR70">
        <f>IF(OR(AM$3="",AM$3&gt;TODAY()),"",IF(AND(AP70="",AQ70=""),"",N(AQ70)-N(AP70)))</f>
        <v/>
      </c>
      <c r="AV70">
        <f>IF(OR(AT$3="",AT$3&gt;TODAY()),"",IF(AND(AT70="",AU70=""),"",N(AU70)-N(AT70)))</f>
        <v/>
      </c>
      <c r="AY70">
        <f>IF(OR(AT$3="",AT$3&gt;TODAY()),"",IF(AND(AW70="",AX70=""),"",N(AX70)-N(AW70)))</f>
        <v/>
      </c>
      <c r="BC70">
        <f>IF(OR(BA$3="",BA$3&gt;TODAY()),"",IF(AND(BA70="",BB70=""),"",N(BB70)-N(BA70)))</f>
        <v/>
      </c>
      <c r="BF70">
        <f>IF(OR(BA$3="",BA$3&gt;TODAY()),"",IF(AND(BD70="",BE70=""),"",N(BE70)-N(BD70)))</f>
        <v/>
      </c>
      <c r="BJ70">
        <f>IF(OR(BH$3="",BH$3&gt;TODAY()),"",IF(AND(BH70="",BI70=""),"",N(BI70)-N(BH70)))</f>
        <v/>
      </c>
      <c r="BM70">
        <f>IF(OR(BH$3="",BH$3&gt;TODAY()),"",IF(AND(BK70="",BL70=""),"",N(BL70)-N(BK70)))</f>
        <v/>
      </c>
      <c r="BQ70">
        <f>IF(OR(BO$3="",BO$3&gt;TODAY()),"",IF(AND(BO70="",BP70=""),"",N(BP70)-N(BO70)))</f>
        <v/>
      </c>
      <c r="BT70">
        <f>IF(OR(BO$3="",BO$3&gt;TODAY()),"",IF(AND(BR70="",BS70=""),"",N(BS70)-N(BR70)))</f>
        <v/>
      </c>
      <c r="BX70">
        <f>IF(OR(BV$3="",BV$3&gt;TODAY()),"",IF(AND(BV70="",BW70=""),"",N(BW70)-N(BV70)))</f>
        <v/>
      </c>
      <c r="CA70">
        <f>IF(OR(BV$3="",BV$3&gt;TODAY()),"",IF(AND(BY70="",BZ70=""),"",N(BZ70)-N(BY70)))</f>
        <v/>
      </c>
      <c r="CE70">
        <f>IF(OR(CC$3="",CC$3&gt;TODAY()),"",IF(AND(CC70="",CD70=""),"",N(CD70)-N(CC70)))</f>
        <v/>
      </c>
      <c r="CH70">
        <f>IF(OR(CC$3="",CC$3&gt;TODAY()),"",IF(AND(CF70="",CG70=""),"",N(CG70)-N(CF70)))</f>
        <v/>
      </c>
      <c r="CL70">
        <f>IF(OR(CJ$3="",CJ$3&gt;TODAY()),"",IF(AND(CJ70="",CK70=""),"",N(CK70)-N(CJ70)))</f>
        <v/>
      </c>
      <c r="CO70">
        <f>IF(OR(CJ$3="",CJ$3&gt;TODAY()),"",IF(AND(CM70="",CN70=""),"",N(CN70)-N(CM70)))</f>
        <v/>
      </c>
      <c r="CS70">
        <f>IF(OR(CQ$3="",CQ$3&gt;TODAY()),"",IF(AND(CQ70="",CR70=""),"",N(CR70)-N(CQ70)))</f>
        <v/>
      </c>
      <c r="CV70">
        <f>IF(OR(CQ$3="",CQ$3&gt;TODAY()),"",IF(AND(CT70="",CU70=""),"",N(CU70)-N(CT70)))</f>
        <v/>
      </c>
      <c r="CZ70">
        <f>IF(OR(CX$3="",CX$3&gt;TODAY()),"",IF(AND(CX70="",CY70=""),"",N(CY70)-N(CX70)))</f>
        <v/>
      </c>
      <c r="DC70">
        <f>IF(OR(CX$3="",CX$3&gt;TODAY()),"",IF(AND(DA70="",DB70=""),"",N(DB70)-N(DA70)))</f>
        <v/>
      </c>
      <c r="DG70">
        <f>IF(OR(DE$3="",DE$3&gt;TODAY()),"",IF(AND(DE70="",DF70=""),"",N(DF70)-N(DE70)))</f>
        <v/>
      </c>
      <c r="DJ70">
        <f>IF(OR(DE$3="",DE$3&gt;TODAY()),"",IF(AND(DH70="",DI70=""),"",N(DI70)-N(DH70)))</f>
        <v/>
      </c>
      <c r="DN70">
        <f>IF(OR(DL$3="",DL$3&gt;TODAY()),"",IF(AND(DL70="",DM70=""),"",N(DM70)-N(DL70)))</f>
        <v/>
      </c>
      <c r="DQ70">
        <f>IF(OR(DL$3="",DL$3&gt;TODAY()),"",IF(AND(DO70="",DP70=""),"",N(DP70)-N(DO70)))</f>
        <v/>
      </c>
      <c r="DU70">
        <f>IF(OR(DS$3="",DS$3&gt;TODAY()),"",IF(AND(DS70="",DT70=""),"",N(DT70)-N(DS70)))</f>
        <v/>
      </c>
      <c r="DX70">
        <f>IF(OR(DS$3="",DS$3&gt;TODAY()),"",IF(AND(DV70="",DW70=""),"",N(DW70)-N(DV70)))</f>
        <v/>
      </c>
      <c r="EB70">
        <f>IF(OR(DZ$3="",DZ$3&gt;TODAY()),"",IF(AND(DZ70="",EA70=""),"",N(EA70)-N(DZ70)))</f>
        <v/>
      </c>
      <c r="EE70">
        <f>IF(OR(DZ$3="",DZ$3&gt;TODAY()),"",IF(AND(EC70="",ED70=""),"",N(ED70)-N(EC70)))</f>
        <v/>
      </c>
      <c r="EI70">
        <f>IF(OR(EG$3="",EG$3&gt;TODAY()),"",IF(AND(EG70="",EH70=""),"",N(EH70)-N(EG70)))</f>
        <v/>
      </c>
      <c r="EL70">
        <f>IF(OR(EG$3="",EG$3&gt;TODAY()),"",IF(AND(EJ70="",EK70=""),"",N(EK70)-N(EJ70)))</f>
        <v/>
      </c>
      <c r="EP70">
        <f>IF(OR(EN$3="",EN$3&gt;TODAY()),"",IF(AND(EN70="",EO70=""),"",N(EO70)-N(EN70)))</f>
        <v/>
      </c>
      <c r="ES70">
        <f>IF(OR(EN$3="",EN$3&gt;TODAY()),"",IF(AND(EQ70="",ER70=""),"",N(ER70)-N(EQ70)))</f>
        <v/>
      </c>
      <c r="EW70">
        <f>IF(OR(EU$3="",EU$3&gt;TODAY()),"",IF(AND(EU70="",EV70=""),"",N(EV70)-N(EU70)))</f>
        <v/>
      </c>
      <c r="EZ70">
        <f>IF(OR(EU$3="",EU$3&gt;TODAY()),"",IF(AND(EX70="",EY70=""),"",N(EY70)-N(EX70)))</f>
        <v/>
      </c>
      <c r="FD70">
        <f>IF(OR(FB$3="",FB$3&gt;TODAY()),"",IF(AND(FB70="",FC70=""),"",N(FC70)-N(FB70)))</f>
        <v/>
      </c>
      <c r="FG70">
        <f>IF(OR(FB$3="",FB$3&gt;TODAY()),"",IF(AND(FE70="",FF70=""),"",N(FF70)-N(FE70)))</f>
        <v/>
      </c>
      <c r="FK70">
        <f>IF(OR(FI$3="",FI$3&gt;TODAY()),"",IF(AND(FI70="",FJ70=""),"",N(FJ70)-N(FI70)))</f>
        <v/>
      </c>
      <c r="FN70">
        <f>IF(OR(FI$3="",FI$3&gt;TODAY()),"",IF(AND(FL70="",FM70=""),"",N(FM70)-N(FL70)))</f>
        <v/>
      </c>
      <c r="FR70">
        <f>IF(OR(FP$3="",FP$3&gt;TODAY()),"",IF(AND(FP70="",FQ70=""),"",N(FQ70)-N(FP70)))</f>
        <v/>
      </c>
      <c r="FU70">
        <f>IF(OR(FP$3="",FP$3&gt;TODAY()),"",IF(AND(FS70="",FT70=""),"",N(FT70)-N(FS70)))</f>
        <v/>
      </c>
      <c r="FY70">
        <f>IF(OR(FW$3="",FW$3&gt;TODAY()),"",IF(AND(FW70="",FX70=""),"",N(FX70)-N(FW70)))</f>
        <v/>
      </c>
      <c r="GB70">
        <f>IF(OR(FW$3="",FW$3&gt;TODAY()),"",IF(AND(FZ70="",GA70=""),"",N(GA70)-N(FZ70)))</f>
        <v/>
      </c>
      <c r="GF70">
        <f>IF(OR(GD$3="",GD$3&gt;TODAY()),"",IF(AND(GD70="",GE70=""),"",N(GE70)-N(GD70)))</f>
        <v/>
      </c>
      <c r="GI70">
        <f>IF(OR(GD$3="",GD$3&gt;TODAY()),"",IF(AND(GG70="",GH70=""),"",N(GH70)-N(GG70)))</f>
        <v/>
      </c>
      <c r="GM70">
        <f>IF(OR(GK$3="",GK$3&gt;TODAY()),"",IF(AND(GK70="",GL70=""),"",N(GL70)-N(GK70)))</f>
        <v/>
      </c>
      <c r="GP70">
        <f>IF(OR(GK$3="",GK$3&gt;TODAY()),"",IF(AND(GN70="",GO70=""),"",N(GO70)-N(GN70)))</f>
        <v/>
      </c>
      <c r="GT70">
        <f>IF(OR(GR$3="",GR$3&gt;TODAY()),"",IF(AND(GR70="",GS70=""),"",N(GS70)-N(GR70)))</f>
        <v/>
      </c>
      <c r="GW70">
        <f>IF(OR(GR$3="",GR$3&gt;TODAY()),"",IF(AND(GU70="",GV70=""),"",N(GV70)-N(GU70)))</f>
        <v/>
      </c>
      <c r="HA70">
        <f>IF(OR(GY$3="",GY$3&gt;TODAY()),"",IF(AND(GY70="",GZ70=""),"",N(GZ70)-N(GY70)))</f>
        <v/>
      </c>
      <c r="HD70">
        <f>IF(OR(GY$3="",GY$3&gt;TODAY()),"",IF(AND(HB70="",HC70=""),"",N(HC70)-N(HB70)))</f>
        <v/>
      </c>
      <c r="HH70">
        <f>IF(OR(HF$3="",HF$3&gt;TODAY()),"",IF(AND(HF70="",HG70=""),"",N(HG70)-N(HF70)))</f>
        <v/>
      </c>
      <c r="HK70">
        <f>IF(OR(HF$3="",HF$3&gt;TODAY()),"",IF(AND(HI70="",HJ70=""),"",N(HJ70)-N(HI70)))</f>
        <v/>
      </c>
      <c r="HO70">
        <f>IF(OR(HM$3="",HM$3&gt;TODAY()),"",IF(AND(HM70="",HN70=""),"",N(HN70)-N(HM70)))</f>
        <v/>
      </c>
      <c r="HR70">
        <f>IF(OR(HM$3="",HM$3&gt;TODAY()),"",IF(AND(HP70="",HQ70=""),"",N(HQ70)-N(HP70)))</f>
        <v/>
      </c>
      <c r="HV70">
        <f>IF(OR(HT$3="",HT$3&gt;TODAY()),"",IF(AND(HT70="",HU70=""),"",N(HU70)-N(HT70)))</f>
        <v/>
      </c>
      <c r="HY70">
        <f>IF(OR(HT$3="",HT$3&gt;TODAY()),"",IF(AND(HW70="",HX70=""),"",N(HX70)-N(HW70)))</f>
        <v/>
      </c>
      <c r="IC70">
        <f>IF(OR(IA$3="",IA$3&gt;TODAY()),"",IF(AND(IA70="",IB70=""),"",N(IB70)-N(IA70)))</f>
        <v/>
      </c>
      <c r="IF70">
        <f>IF(OR(IA$3="",IA$3&gt;TODAY()),"",IF(AND(ID70="",IE70=""),"",N(IE70)-N(ID70)))</f>
        <v/>
      </c>
      <c r="IJ70">
        <f>IF(OR(IH$3="",IH$3&gt;TODAY()),"",IF(AND(IH70="",II70=""),"",N(II70)-N(IH70)))</f>
        <v/>
      </c>
      <c r="IM70">
        <f>IF(OR(IH$3="",IH$3&gt;TODAY()),"",IF(AND(IK70="",IL70=""),"",N(IL70)-N(IK70)))</f>
        <v/>
      </c>
    </row>
    <row r="71">
      <c r="A71" s="21" t="n"/>
      <c r="B71" s="21" t="n"/>
      <c r="C71" s="21" t="n"/>
      <c r="D71" s="21" t="n"/>
      <c r="E71" s="21" t="n"/>
      <c r="F71" s="21" t="n"/>
      <c r="G71" s="21" t="n"/>
      <c r="H71" s="21" t="n"/>
      <c r="I71" s="22" t="n"/>
      <c r="J71" s="22" t="n"/>
      <c r="K71" s="23" t="n"/>
      <c r="L71" s="22" t="n"/>
      <c r="M71" s="22" t="n"/>
      <c r="N71" s="21" t="n"/>
      <c r="O71" s="23" t="n"/>
      <c r="P71" s="23" t="n"/>
      <c r="Q71" s="23" t="n"/>
      <c r="R71" s="23" t="n"/>
      <c r="S71" s="22" t="n"/>
      <c r="T71" s="23" t="n"/>
      <c r="U71" s="23" t="n"/>
      <c r="V71" s="24">
        <f>IF(J71&lt;&gt;"",J71,IF(I71&lt;&gt;"",I71,""))</f>
        <v/>
      </c>
      <c r="W71" s="25">
        <f>IF($E71="","",N(O71)+SUMIFS($AF71:$IN71,$AF$4:$IN$4,"SEW_ACT"))</f>
        <v/>
      </c>
      <c r="X71" s="25">
        <f>IF($E71="","",N(P71)+SUMIFS($AF71:$IN71,$AF$4:$IN$4,"WASH_ACT"))</f>
        <v/>
      </c>
      <c r="Y71" s="25">
        <f>IF($E71="","",W71-X71-N(T71)-N(U71))</f>
        <v/>
      </c>
      <c r="Z71" s="25">
        <f>IF($E71="","",IF(N(K71)-X71&lt;=0.02*N(K71),0,N(K71)-X71))</f>
        <v/>
      </c>
      <c r="AA71" s="24">
        <f>IF($E71="","",IF(S71&lt;&gt;"",S71,IF(N(O71)&gt;0,IF(L71&lt;&gt;"",L71,99999),IFERROR(1/(1/_xlfn.MINIFS($AF$3:$IN$3,$AF$4:$IN$4,"SEW_ACT",$AF71:$IN71,"&gt;0")),99999))))</f>
        <v/>
      </c>
      <c r="AB71" s="26">
        <f>IF(OR($E71="",Z71=0,V71=""),"",1+COUNTIFS(Z$8:Z$707,"&gt;0",V$8:V$707,"&lt;"&amp;V71)+COUNTIFS(Z$8:Z$707,"&gt;0",V$8:V$707,V71,AA$8:AA$707,"&lt;"&amp;AA71)+COUNTIFS(Z$8:Z$707,"&gt;0",V$8:V$707,V71,AA$8:AA$707,AA71,E$8:E$707,"&lt;"&amp;$E71))</f>
        <v/>
      </c>
      <c r="AC71" s="24">
        <f>IF(OR($E71="",Z71=0),"",IFERROR(TODAY()+ROUNDUP(Z71/(SUMIFS($AF71:$IN71,$AF$4:$IN$4,"WASH_ACT")/COUNTIFS($AF$4:$IN$4,"WASH_ACT",$AF71:$IN71,"&gt;0")),0),"no output yet"))</f>
        <v/>
      </c>
      <c r="AD71" s="26">
        <f>IF($E71="","",IFERROR(ROUND(MAX(0,SUMIFS($AF71:$IN71,$AF$4:$IN$4,"SEW_PLAN",$AF$3:$IN$3,"&lt;="&amp;TODAY())-SUMIFS($AF71:$IN71,$AF$4:$IN$4,"SEW_ACT",$AF$3:$IN$3,"&lt;="&amp;TODAY())+N(Q71))/(SUMIFS($AF71:$IN71,$AF$4:$IN$4,"SEW_PLAN")/COUNTIFS($AF$4:$IN$4,"SEW_PLAN",$AF71:$IN71,"&gt;0")),1),0))</f>
        <v/>
      </c>
      <c r="AE71" s="26">
        <f>IF($E71="","",IF(AND(Z71&gt;0,OR(AND(M71&lt;&gt;"",TODAY()&gt;M71),AND(V71&lt;&gt;"",V71-TODAY()&lt;=7))),"Yes","No"))</f>
        <v/>
      </c>
      <c r="AH71">
        <f>IF(OR(AF$3="",AF$3&gt;TODAY()),"",IF(AND(AF71="",AG71=""),"",N(AG71)-N(AF71)))</f>
        <v/>
      </c>
      <c r="AK71">
        <f>IF(OR(AF$3="",AF$3&gt;TODAY()),"",IF(AND(AI71="",AJ71=""),"",N(AJ71)-N(AI71)))</f>
        <v/>
      </c>
      <c r="AO71">
        <f>IF(OR(AM$3="",AM$3&gt;TODAY()),"",IF(AND(AM71="",AN71=""),"",N(AN71)-N(AM71)))</f>
        <v/>
      </c>
      <c r="AR71">
        <f>IF(OR(AM$3="",AM$3&gt;TODAY()),"",IF(AND(AP71="",AQ71=""),"",N(AQ71)-N(AP71)))</f>
        <v/>
      </c>
      <c r="AV71">
        <f>IF(OR(AT$3="",AT$3&gt;TODAY()),"",IF(AND(AT71="",AU71=""),"",N(AU71)-N(AT71)))</f>
        <v/>
      </c>
      <c r="AY71">
        <f>IF(OR(AT$3="",AT$3&gt;TODAY()),"",IF(AND(AW71="",AX71=""),"",N(AX71)-N(AW71)))</f>
        <v/>
      </c>
      <c r="BC71">
        <f>IF(OR(BA$3="",BA$3&gt;TODAY()),"",IF(AND(BA71="",BB71=""),"",N(BB71)-N(BA71)))</f>
        <v/>
      </c>
      <c r="BF71">
        <f>IF(OR(BA$3="",BA$3&gt;TODAY()),"",IF(AND(BD71="",BE71=""),"",N(BE71)-N(BD71)))</f>
        <v/>
      </c>
      <c r="BJ71">
        <f>IF(OR(BH$3="",BH$3&gt;TODAY()),"",IF(AND(BH71="",BI71=""),"",N(BI71)-N(BH71)))</f>
        <v/>
      </c>
      <c r="BM71">
        <f>IF(OR(BH$3="",BH$3&gt;TODAY()),"",IF(AND(BK71="",BL71=""),"",N(BL71)-N(BK71)))</f>
        <v/>
      </c>
      <c r="BQ71">
        <f>IF(OR(BO$3="",BO$3&gt;TODAY()),"",IF(AND(BO71="",BP71=""),"",N(BP71)-N(BO71)))</f>
        <v/>
      </c>
      <c r="BT71">
        <f>IF(OR(BO$3="",BO$3&gt;TODAY()),"",IF(AND(BR71="",BS71=""),"",N(BS71)-N(BR71)))</f>
        <v/>
      </c>
      <c r="BX71">
        <f>IF(OR(BV$3="",BV$3&gt;TODAY()),"",IF(AND(BV71="",BW71=""),"",N(BW71)-N(BV71)))</f>
        <v/>
      </c>
      <c r="CA71">
        <f>IF(OR(BV$3="",BV$3&gt;TODAY()),"",IF(AND(BY71="",BZ71=""),"",N(BZ71)-N(BY71)))</f>
        <v/>
      </c>
      <c r="CE71">
        <f>IF(OR(CC$3="",CC$3&gt;TODAY()),"",IF(AND(CC71="",CD71=""),"",N(CD71)-N(CC71)))</f>
        <v/>
      </c>
      <c r="CH71">
        <f>IF(OR(CC$3="",CC$3&gt;TODAY()),"",IF(AND(CF71="",CG71=""),"",N(CG71)-N(CF71)))</f>
        <v/>
      </c>
      <c r="CL71">
        <f>IF(OR(CJ$3="",CJ$3&gt;TODAY()),"",IF(AND(CJ71="",CK71=""),"",N(CK71)-N(CJ71)))</f>
        <v/>
      </c>
      <c r="CO71">
        <f>IF(OR(CJ$3="",CJ$3&gt;TODAY()),"",IF(AND(CM71="",CN71=""),"",N(CN71)-N(CM71)))</f>
        <v/>
      </c>
      <c r="CS71">
        <f>IF(OR(CQ$3="",CQ$3&gt;TODAY()),"",IF(AND(CQ71="",CR71=""),"",N(CR71)-N(CQ71)))</f>
        <v/>
      </c>
      <c r="CV71">
        <f>IF(OR(CQ$3="",CQ$3&gt;TODAY()),"",IF(AND(CT71="",CU71=""),"",N(CU71)-N(CT71)))</f>
        <v/>
      </c>
      <c r="CZ71">
        <f>IF(OR(CX$3="",CX$3&gt;TODAY()),"",IF(AND(CX71="",CY71=""),"",N(CY71)-N(CX71)))</f>
        <v/>
      </c>
      <c r="DC71">
        <f>IF(OR(CX$3="",CX$3&gt;TODAY()),"",IF(AND(DA71="",DB71=""),"",N(DB71)-N(DA71)))</f>
        <v/>
      </c>
      <c r="DG71">
        <f>IF(OR(DE$3="",DE$3&gt;TODAY()),"",IF(AND(DE71="",DF71=""),"",N(DF71)-N(DE71)))</f>
        <v/>
      </c>
      <c r="DJ71">
        <f>IF(OR(DE$3="",DE$3&gt;TODAY()),"",IF(AND(DH71="",DI71=""),"",N(DI71)-N(DH71)))</f>
        <v/>
      </c>
      <c r="DN71">
        <f>IF(OR(DL$3="",DL$3&gt;TODAY()),"",IF(AND(DL71="",DM71=""),"",N(DM71)-N(DL71)))</f>
        <v/>
      </c>
      <c r="DQ71">
        <f>IF(OR(DL$3="",DL$3&gt;TODAY()),"",IF(AND(DO71="",DP71=""),"",N(DP71)-N(DO71)))</f>
        <v/>
      </c>
      <c r="DU71">
        <f>IF(OR(DS$3="",DS$3&gt;TODAY()),"",IF(AND(DS71="",DT71=""),"",N(DT71)-N(DS71)))</f>
        <v/>
      </c>
      <c r="DX71">
        <f>IF(OR(DS$3="",DS$3&gt;TODAY()),"",IF(AND(DV71="",DW71=""),"",N(DW71)-N(DV71)))</f>
        <v/>
      </c>
      <c r="EB71">
        <f>IF(OR(DZ$3="",DZ$3&gt;TODAY()),"",IF(AND(DZ71="",EA71=""),"",N(EA71)-N(DZ71)))</f>
        <v/>
      </c>
      <c r="EE71">
        <f>IF(OR(DZ$3="",DZ$3&gt;TODAY()),"",IF(AND(EC71="",ED71=""),"",N(ED71)-N(EC71)))</f>
        <v/>
      </c>
      <c r="EI71">
        <f>IF(OR(EG$3="",EG$3&gt;TODAY()),"",IF(AND(EG71="",EH71=""),"",N(EH71)-N(EG71)))</f>
        <v/>
      </c>
      <c r="EL71">
        <f>IF(OR(EG$3="",EG$3&gt;TODAY()),"",IF(AND(EJ71="",EK71=""),"",N(EK71)-N(EJ71)))</f>
        <v/>
      </c>
      <c r="EP71">
        <f>IF(OR(EN$3="",EN$3&gt;TODAY()),"",IF(AND(EN71="",EO71=""),"",N(EO71)-N(EN71)))</f>
        <v/>
      </c>
      <c r="ES71">
        <f>IF(OR(EN$3="",EN$3&gt;TODAY()),"",IF(AND(EQ71="",ER71=""),"",N(ER71)-N(EQ71)))</f>
        <v/>
      </c>
      <c r="EW71">
        <f>IF(OR(EU$3="",EU$3&gt;TODAY()),"",IF(AND(EU71="",EV71=""),"",N(EV71)-N(EU71)))</f>
        <v/>
      </c>
      <c r="EZ71">
        <f>IF(OR(EU$3="",EU$3&gt;TODAY()),"",IF(AND(EX71="",EY71=""),"",N(EY71)-N(EX71)))</f>
        <v/>
      </c>
      <c r="FD71">
        <f>IF(OR(FB$3="",FB$3&gt;TODAY()),"",IF(AND(FB71="",FC71=""),"",N(FC71)-N(FB71)))</f>
        <v/>
      </c>
      <c r="FG71">
        <f>IF(OR(FB$3="",FB$3&gt;TODAY()),"",IF(AND(FE71="",FF71=""),"",N(FF71)-N(FE71)))</f>
        <v/>
      </c>
      <c r="FK71">
        <f>IF(OR(FI$3="",FI$3&gt;TODAY()),"",IF(AND(FI71="",FJ71=""),"",N(FJ71)-N(FI71)))</f>
        <v/>
      </c>
      <c r="FN71">
        <f>IF(OR(FI$3="",FI$3&gt;TODAY()),"",IF(AND(FL71="",FM71=""),"",N(FM71)-N(FL71)))</f>
        <v/>
      </c>
      <c r="FR71">
        <f>IF(OR(FP$3="",FP$3&gt;TODAY()),"",IF(AND(FP71="",FQ71=""),"",N(FQ71)-N(FP71)))</f>
        <v/>
      </c>
      <c r="FU71">
        <f>IF(OR(FP$3="",FP$3&gt;TODAY()),"",IF(AND(FS71="",FT71=""),"",N(FT71)-N(FS71)))</f>
        <v/>
      </c>
      <c r="FY71">
        <f>IF(OR(FW$3="",FW$3&gt;TODAY()),"",IF(AND(FW71="",FX71=""),"",N(FX71)-N(FW71)))</f>
        <v/>
      </c>
      <c r="GB71">
        <f>IF(OR(FW$3="",FW$3&gt;TODAY()),"",IF(AND(FZ71="",GA71=""),"",N(GA71)-N(FZ71)))</f>
        <v/>
      </c>
      <c r="GF71">
        <f>IF(OR(GD$3="",GD$3&gt;TODAY()),"",IF(AND(GD71="",GE71=""),"",N(GE71)-N(GD71)))</f>
        <v/>
      </c>
      <c r="GI71">
        <f>IF(OR(GD$3="",GD$3&gt;TODAY()),"",IF(AND(GG71="",GH71=""),"",N(GH71)-N(GG71)))</f>
        <v/>
      </c>
      <c r="GM71">
        <f>IF(OR(GK$3="",GK$3&gt;TODAY()),"",IF(AND(GK71="",GL71=""),"",N(GL71)-N(GK71)))</f>
        <v/>
      </c>
      <c r="GP71">
        <f>IF(OR(GK$3="",GK$3&gt;TODAY()),"",IF(AND(GN71="",GO71=""),"",N(GO71)-N(GN71)))</f>
        <v/>
      </c>
      <c r="GT71">
        <f>IF(OR(GR$3="",GR$3&gt;TODAY()),"",IF(AND(GR71="",GS71=""),"",N(GS71)-N(GR71)))</f>
        <v/>
      </c>
      <c r="GW71">
        <f>IF(OR(GR$3="",GR$3&gt;TODAY()),"",IF(AND(GU71="",GV71=""),"",N(GV71)-N(GU71)))</f>
        <v/>
      </c>
      <c r="HA71">
        <f>IF(OR(GY$3="",GY$3&gt;TODAY()),"",IF(AND(GY71="",GZ71=""),"",N(GZ71)-N(GY71)))</f>
        <v/>
      </c>
      <c r="HD71">
        <f>IF(OR(GY$3="",GY$3&gt;TODAY()),"",IF(AND(HB71="",HC71=""),"",N(HC71)-N(HB71)))</f>
        <v/>
      </c>
      <c r="HH71">
        <f>IF(OR(HF$3="",HF$3&gt;TODAY()),"",IF(AND(HF71="",HG71=""),"",N(HG71)-N(HF71)))</f>
        <v/>
      </c>
      <c r="HK71">
        <f>IF(OR(HF$3="",HF$3&gt;TODAY()),"",IF(AND(HI71="",HJ71=""),"",N(HJ71)-N(HI71)))</f>
        <v/>
      </c>
      <c r="HO71">
        <f>IF(OR(HM$3="",HM$3&gt;TODAY()),"",IF(AND(HM71="",HN71=""),"",N(HN71)-N(HM71)))</f>
        <v/>
      </c>
      <c r="HR71">
        <f>IF(OR(HM$3="",HM$3&gt;TODAY()),"",IF(AND(HP71="",HQ71=""),"",N(HQ71)-N(HP71)))</f>
        <v/>
      </c>
      <c r="HV71">
        <f>IF(OR(HT$3="",HT$3&gt;TODAY()),"",IF(AND(HT71="",HU71=""),"",N(HU71)-N(HT71)))</f>
        <v/>
      </c>
      <c r="HY71">
        <f>IF(OR(HT$3="",HT$3&gt;TODAY()),"",IF(AND(HW71="",HX71=""),"",N(HX71)-N(HW71)))</f>
        <v/>
      </c>
      <c r="IC71">
        <f>IF(OR(IA$3="",IA$3&gt;TODAY()),"",IF(AND(IA71="",IB71=""),"",N(IB71)-N(IA71)))</f>
        <v/>
      </c>
      <c r="IF71">
        <f>IF(OR(IA$3="",IA$3&gt;TODAY()),"",IF(AND(ID71="",IE71=""),"",N(IE71)-N(ID71)))</f>
        <v/>
      </c>
      <c r="IJ71">
        <f>IF(OR(IH$3="",IH$3&gt;TODAY()),"",IF(AND(IH71="",II71=""),"",N(II71)-N(IH71)))</f>
        <v/>
      </c>
      <c r="IM71">
        <f>IF(OR(IH$3="",IH$3&gt;TODAY()),"",IF(AND(IK71="",IL71=""),"",N(IL71)-N(IK71)))</f>
        <v/>
      </c>
    </row>
    <row r="72">
      <c r="A72" s="21" t="n"/>
      <c r="B72" s="21" t="n"/>
      <c r="C72" s="21" t="n"/>
      <c r="D72" s="21" t="n"/>
      <c r="E72" s="21" t="n"/>
      <c r="F72" s="21" t="n"/>
      <c r="G72" s="21" t="n"/>
      <c r="H72" s="21" t="n"/>
      <c r="I72" s="22" t="n"/>
      <c r="J72" s="22" t="n"/>
      <c r="K72" s="23" t="n"/>
      <c r="L72" s="22" t="n"/>
      <c r="M72" s="22" t="n"/>
      <c r="N72" s="21" t="n"/>
      <c r="O72" s="23" t="n"/>
      <c r="P72" s="23" t="n"/>
      <c r="Q72" s="23" t="n"/>
      <c r="R72" s="23" t="n"/>
      <c r="S72" s="22" t="n"/>
      <c r="T72" s="23" t="n"/>
      <c r="U72" s="23" t="n"/>
      <c r="V72" s="24">
        <f>IF(J72&lt;&gt;"",J72,IF(I72&lt;&gt;"",I72,""))</f>
        <v/>
      </c>
      <c r="W72" s="25">
        <f>IF($E72="","",N(O72)+SUMIFS($AF72:$IN72,$AF$4:$IN$4,"SEW_ACT"))</f>
        <v/>
      </c>
      <c r="X72" s="25">
        <f>IF($E72="","",N(P72)+SUMIFS($AF72:$IN72,$AF$4:$IN$4,"WASH_ACT"))</f>
        <v/>
      </c>
      <c r="Y72" s="25">
        <f>IF($E72="","",W72-X72-N(T72)-N(U72))</f>
        <v/>
      </c>
      <c r="Z72" s="25">
        <f>IF($E72="","",IF(N(K72)-X72&lt;=0.02*N(K72),0,N(K72)-X72))</f>
        <v/>
      </c>
      <c r="AA72" s="24">
        <f>IF($E72="","",IF(S72&lt;&gt;"",S72,IF(N(O72)&gt;0,IF(L72&lt;&gt;"",L72,99999),IFERROR(1/(1/_xlfn.MINIFS($AF$3:$IN$3,$AF$4:$IN$4,"SEW_ACT",$AF72:$IN72,"&gt;0")),99999))))</f>
        <v/>
      </c>
      <c r="AB72" s="26">
        <f>IF(OR($E72="",Z72=0,V72=""),"",1+COUNTIFS(Z$8:Z$707,"&gt;0",V$8:V$707,"&lt;"&amp;V72)+COUNTIFS(Z$8:Z$707,"&gt;0",V$8:V$707,V72,AA$8:AA$707,"&lt;"&amp;AA72)+COUNTIFS(Z$8:Z$707,"&gt;0",V$8:V$707,V72,AA$8:AA$707,AA72,E$8:E$707,"&lt;"&amp;$E72))</f>
        <v/>
      </c>
      <c r="AC72" s="24">
        <f>IF(OR($E72="",Z72=0),"",IFERROR(TODAY()+ROUNDUP(Z72/(SUMIFS($AF72:$IN72,$AF$4:$IN$4,"WASH_ACT")/COUNTIFS($AF$4:$IN$4,"WASH_ACT",$AF72:$IN72,"&gt;0")),0),"no output yet"))</f>
        <v/>
      </c>
      <c r="AD72" s="26">
        <f>IF($E72="","",IFERROR(ROUND(MAX(0,SUMIFS($AF72:$IN72,$AF$4:$IN$4,"SEW_PLAN",$AF$3:$IN$3,"&lt;="&amp;TODAY())-SUMIFS($AF72:$IN72,$AF$4:$IN$4,"SEW_ACT",$AF$3:$IN$3,"&lt;="&amp;TODAY())+N(Q72))/(SUMIFS($AF72:$IN72,$AF$4:$IN$4,"SEW_PLAN")/COUNTIFS($AF$4:$IN$4,"SEW_PLAN",$AF72:$IN72,"&gt;0")),1),0))</f>
        <v/>
      </c>
      <c r="AE72" s="26">
        <f>IF($E72="","",IF(AND(Z72&gt;0,OR(AND(M72&lt;&gt;"",TODAY()&gt;M72),AND(V72&lt;&gt;"",V72-TODAY()&lt;=7))),"Yes","No"))</f>
        <v/>
      </c>
      <c r="AH72">
        <f>IF(OR(AF$3="",AF$3&gt;TODAY()),"",IF(AND(AF72="",AG72=""),"",N(AG72)-N(AF72)))</f>
        <v/>
      </c>
      <c r="AK72">
        <f>IF(OR(AF$3="",AF$3&gt;TODAY()),"",IF(AND(AI72="",AJ72=""),"",N(AJ72)-N(AI72)))</f>
        <v/>
      </c>
      <c r="AO72">
        <f>IF(OR(AM$3="",AM$3&gt;TODAY()),"",IF(AND(AM72="",AN72=""),"",N(AN72)-N(AM72)))</f>
        <v/>
      </c>
      <c r="AR72">
        <f>IF(OR(AM$3="",AM$3&gt;TODAY()),"",IF(AND(AP72="",AQ72=""),"",N(AQ72)-N(AP72)))</f>
        <v/>
      </c>
      <c r="AV72">
        <f>IF(OR(AT$3="",AT$3&gt;TODAY()),"",IF(AND(AT72="",AU72=""),"",N(AU72)-N(AT72)))</f>
        <v/>
      </c>
      <c r="AY72">
        <f>IF(OR(AT$3="",AT$3&gt;TODAY()),"",IF(AND(AW72="",AX72=""),"",N(AX72)-N(AW72)))</f>
        <v/>
      </c>
      <c r="BC72">
        <f>IF(OR(BA$3="",BA$3&gt;TODAY()),"",IF(AND(BA72="",BB72=""),"",N(BB72)-N(BA72)))</f>
        <v/>
      </c>
      <c r="BF72">
        <f>IF(OR(BA$3="",BA$3&gt;TODAY()),"",IF(AND(BD72="",BE72=""),"",N(BE72)-N(BD72)))</f>
        <v/>
      </c>
      <c r="BJ72">
        <f>IF(OR(BH$3="",BH$3&gt;TODAY()),"",IF(AND(BH72="",BI72=""),"",N(BI72)-N(BH72)))</f>
        <v/>
      </c>
      <c r="BM72">
        <f>IF(OR(BH$3="",BH$3&gt;TODAY()),"",IF(AND(BK72="",BL72=""),"",N(BL72)-N(BK72)))</f>
        <v/>
      </c>
      <c r="BQ72">
        <f>IF(OR(BO$3="",BO$3&gt;TODAY()),"",IF(AND(BO72="",BP72=""),"",N(BP72)-N(BO72)))</f>
        <v/>
      </c>
      <c r="BT72">
        <f>IF(OR(BO$3="",BO$3&gt;TODAY()),"",IF(AND(BR72="",BS72=""),"",N(BS72)-N(BR72)))</f>
        <v/>
      </c>
      <c r="BX72">
        <f>IF(OR(BV$3="",BV$3&gt;TODAY()),"",IF(AND(BV72="",BW72=""),"",N(BW72)-N(BV72)))</f>
        <v/>
      </c>
      <c r="CA72">
        <f>IF(OR(BV$3="",BV$3&gt;TODAY()),"",IF(AND(BY72="",BZ72=""),"",N(BZ72)-N(BY72)))</f>
        <v/>
      </c>
      <c r="CE72">
        <f>IF(OR(CC$3="",CC$3&gt;TODAY()),"",IF(AND(CC72="",CD72=""),"",N(CD72)-N(CC72)))</f>
        <v/>
      </c>
      <c r="CH72">
        <f>IF(OR(CC$3="",CC$3&gt;TODAY()),"",IF(AND(CF72="",CG72=""),"",N(CG72)-N(CF72)))</f>
        <v/>
      </c>
      <c r="CL72">
        <f>IF(OR(CJ$3="",CJ$3&gt;TODAY()),"",IF(AND(CJ72="",CK72=""),"",N(CK72)-N(CJ72)))</f>
        <v/>
      </c>
      <c r="CO72">
        <f>IF(OR(CJ$3="",CJ$3&gt;TODAY()),"",IF(AND(CM72="",CN72=""),"",N(CN72)-N(CM72)))</f>
        <v/>
      </c>
      <c r="CS72">
        <f>IF(OR(CQ$3="",CQ$3&gt;TODAY()),"",IF(AND(CQ72="",CR72=""),"",N(CR72)-N(CQ72)))</f>
        <v/>
      </c>
      <c r="CV72">
        <f>IF(OR(CQ$3="",CQ$3&gt;TODAY()),"",IF(AND(CT72="",CU72=""),"",N(CU72)-N(CT72)))</f>
        <v/>
      </c>
      <c r="CZ72">
        <f>IF(OR(CX$3="",CX$3&gt;TODAY()),"",IF(AND(CX72="",CY72=""),"",N(CY72)-N(CX72)))</f>
        <v/>
      </c>
      <c r="DC72">
        <f>IF(OR(CX$3="",CX$3&gt;TODAY()),"",IF(AND(DA72="",DB72=""),"",N(DB72)-N(DA72)))</f>
        <v/>
      </c>
      <c r="DG72">
        <f>IF(OR(DE$3="",DE$3&gt;TODAY()),"",IF(AND(DE72="",DF72=""),"",N(DF72)-N(DE72)))</f>
        <v/>
      </c>
      <c r="DJ72">
        <f>IF(OR(DE$3="",DE$3&gt;TODAY()),"",IF(AND(DH72="",DI72=""),"",N(DI72)-N(DH72)))</f>
        <v/>
      </c>
      <c r="DN72">
        <f>IF(OR(DL$3="",DL$3&gt;TODAY()),"",IF(AND(DL72="",DM72=""),"",N(DM72)-N(DL72)))</f>
        <v/>
      </c>
      <c r="DQ72">
        <f>IF(OR(DL$3="",DL$3&gt;TODAY()),"",IF(AND(DO72="",DP72=""),"",N(DP72)-N(DO72)))</f>
        <v/>
      </c>
      <c r="DU72">
        <f>IF(OR(DS$3="",DS$3&gt;TODAY()),"",IF(AND(DS72="",DT72=""),"",N(DT72)-N(DS72)))</f>
        <v/>
      </c>
      <c r="DX72">
        <f>IF(OR(DS$3="",DS$3&gt;TODAY()),"",IF(AND(DV72="",DW72=""),"",N(DW72)-N(DV72)))</f>
        <v/>
      </c>
      <c r="EB72">
        <f>IF(OR(DZ$3="",DZ$3&gt;TODAY()),"",IF(AND(DZ72="",EA72=""),"",N(EA72)-N(DZ72)))</f>
        <v/>
      </c>
      <c r="EE72">
        <f>IF(OR(DZ$3="",DZ$3&gt;TODAY()),"",IF(AND(EC72="",ED72=""),"",N(ED72)-N(EC72)))</f>
        <v/>
      </c>
      <c r="EI72">
        <f>IF(OR(EG$3="",EG$3&gt;TODAY()),"",IF(AND(EG72="",EH72=""),"",N(EH72)-N(EG72)))</f>
        <v/>
      </c>
      <c r="EL72">
        <f>IF(OR(EG$3="",EG$3&gt;TODAY()),"",IF(AND(EJ72="",EK72=""),"",N(EK72)-N(EJ72)))</f>
        <v/>
      </c>
      <c r="EP72">
        <f>IF(OR(EN$3="",EN$3&gt;TODAY()),"",IF(AND(EN72="",EO72=""),"",N(EO72)-N(EN72)))</f>
        <v/>
      </c>
      <c r="ES72">
        <f>IF(OR(EN$3="",EN$3&gt;TODAY()),"",IF(AND(EQ72="",ER72=""),"",N(ER72)-N(EQ72)))</f>
        <v/>
      </c>
      <c r="EW72">
        <f>IF(OR(EU$3="",EU$3&gt;TODAY()),"",IF(AND(EU72="",EV72=""),"",N(EV72)-N(EU72)))</f>
        <v/>
      </c>
      <c r="EZ72">
        <f>IF(OR(EU$3="",EU$3&gt;TODAY()),"",IF(AND(EX72="",EY72=""),"",N(EY72)-N(EX72)))</f>
        <v/>
      </c>
      <c r="FD72">
        <f>IF(OR(FB$3="",FB$3&gt;TODAY()),"",IF(AND(FB72="",FC72=""),"",N(FC72)-N(FB72)))</f>
        <v/>
      </c>
      <c r="FG72">
        <f>IF(OR(FB$3="",FB$3&gt;TODAY()),"",IF(AND(FE72="",FF72=""),"",N(FF72)-N(FE72)))</f>
        <v/>
      </c>
      <c r="FK72">
        <f>IF(OR(FI$3="",FI$3&gt;TODAY()),"",IF(AND(FI72="",FJ72=""),"",N(FJ72)-N(FI72)))</f>
        <v/>
      </c>
      <c r="FN72">
        <f>IF(OR(FI$3="",FI$3&gt;TODAY()),"",IF(AND(FL72="",FM72=""),"",N(FM72)-N(FL72)))</f>
        <v/>
      </c>
      <c r="FR72">
        <f>IF(OR(FP$3="",FP$3&gt;TODAY()),"",IF(AND(FP72="",FQ72=""),"",N(FQ72)-N(FP72)))</f>
        <v/>
      </c>
      <c r="FU72">
        <f>IF(OR(FP$3="",FP$3&gt;TODAY()),"",IF(AND(FS72="",FT72=""),"",N(FT72)-N(FS72)))</f>
        <v/>
      </c>
      <c r="FY72">
        <f>IF(OR(FW$3="",FW$3&gt;TODAY()),"",IF(AND(FW72="",FX72=""),"",N(FX72)-N(FW72)))</f>
        <v/>
      </c>
      <c r="GB72">
        <f>IF(OR(FW$3="",FW$3&gt;TODAY()),"",IF(AND(FZ72="",GA72=""),"",N(GA72)-N(FZ72)))</f>
        <v/>
      </c>
      <c r="GF72">
        <f>IF(OR(GD$3="",GD$3&gt;TODAY()),"",IF(AND(GD72="",GE72=""),"",N(GE72)-N(GD72)))</f>
        <v/>
      </c>
      <c r="GI72">
        <f>IF(OR(GD$3="",GD$3&gt;TODAY()),"",IF(AND(GG72="",GH72=""),"",N(GH72)-N(GG72)))</f>
        <v/>
      </c>
      <c r="GM72">
        <f>IF(OR(GK$3="",GK$3&gt;TODAY()),"",IF(AND(GK72="",GL72=""),"",N(GL72)-N(GK72)))</f>
        <v/>
      </c>
      <c r="GP72">
        <f>IF(OR(GK$3="",GK$3&gt;TODAY()),"",IF(AND(GN72="",GO72=""),"",N(GO72)-N(GN72)))</f>
        <v/>
      </c>
      <c r="GT72">
        <f>IF(OR(GR$3="",GR$3&gt;TODAY()),"",IF(AND(GR72="",GS72=""),"",N(GS72)-N(GR72)))</f>
        <v/>
      </c>
      <c r="GW72">
        <f>IF(OR(GR$3="",GR$3&gt;TODAY()),"",IF(AND(GU72="",GV72=""),"",N(GV72)-N(GU72)))</f>
        <v/>
      </c>
      <c r="HA72">
        <f>IF(OR(GY$3="",GY$3&gt;TODAY()),"",IF(AND(GY72="",GZ72=""),"",N(GZ72)-N(GY72)))</f>
        <v/>
      </c>
      <c r="HD72">
        <f>IF(OR(GY$3="",GY$3&gt;TODAY()),"",IF(AND(HB72="",HC72=""),"",N(HC72)-N(HB72)))</f>
        <v/>
      </c>
      <c r="HH72">
        <f>IF(OR(HF$3="",HF$3&gt;TODAY()),"",IF(AND(HF72="",HG72=""),"",N(HG72)-N(HF72)))</f>
        <v/>
      </c>
      <c r="HK72">
        <f>IF(OR(HF$3="",HF$3&gt;TODAY()),"",IF(AND(HI72="",HJ72=""),"",N(HJ72)-N(HI72)))</f>
        <v/>
      </c>
      <c r="HO72">
        <f>IF(OR(HM$3="",HM$3&gt;TODAY()),"",IF(AND(HM72="",HN72=""),"",N(HN72)-N(HM72)))</f>
        <v/>
      </c>
      <c r="HR72">
        <f>IF(OR(HM$3="",HM$3&gt;TODAY()),"",IF(AND(HP72="",HQ72=""),"",N(HQ72)-N(HP72)))</f>
        <v/>
      </c>
      <c r="HV72">
        <f>IF(OR(HT$3="",HT$3&gt;TODAY()),"",IF(AND(HT72="",HU72=""),"",N(HU72)-N(HT72)))</f>
        <v/>
      </c>
      <c r="HY72">
        <f>IF(OR(HT$3="",HT$3&gt;TODAY()),"",IF(AND(HW72="",HX72=""),"",N(HX72)-N(HW72)))</f>
        <v/>
      </c>
      <c r="IC72">
        <f>IF(OR(IA$3="",IA$3&gt;TODAY()),"",IF(AND(IA72="",IB72=""),"",N(IB72)-N(IA72)))</f>
        <v/>
      </c>
      <c r="IF72">
        <f>IF(OR(IA$3="",IA$3&gt;TODAY()),"",IF(AND(ID72="",IE72=""),"",N(IE72)-N(ID72)))</f>
        <v/>
      </c>
      <c r="IJ72">
        <f>IF(OR(IH$3="",IH$3&gt;TODAY()),"",IF(AND(IH72="",II72=""),"",N(II72)-N(IH72)))</f>
        <v/>
      </c>
      <c r="IM72">
        <f>IF(OR(IH$3="",IH$3&gt;TODAY()),"",IF(AND(IK72="",IL72=""),"",N(IL72)-N(IK72)))</f>
        <v/>
      </c>
    </row>
    <row r="73">
      <c r="A73" s="21" t="n"/>
      <c r="B73" s="21" t="n"/>
      <c r="C73" s="21" t="n"/>
      <c r="D73" s="21" t="n"/>
      <c r="E73" s="21" t="n"/>
      <c r="F73" s="21" t="n"/>
      <c r="G73" s="21" t="n"/>
      <c r="H73" s="21" t="n"/>
      <c r="I73" s="22" t="n"/>
      <c r="J73" s="22" t="n"/>
      <c r="K73" s="23" t="n"/>
      <c r="L73" s="22" t="n"/>
      <c r="M73" s="22" t="n"/>
      <c r="N73" s="21" t="n"/>
      <c r="O73" s="23" t="n"/>
      <c r="P73" s="23" t="n"/>
      <c r="Q73" s="23" t="n"/>
      <c r="R73" s="23" t="n"/>
      <c r="S73" s="22" t="n"/>
      <c r="T73" s="23" t="n"/>
      <c r="U73" s="23" t="n"/>
      <c r="V73" s="24">
        <f>IF(J73&lt;&gt;"",J73,IF(I73&lt;&gt;"",I73,""))</f>
        <v/>
      </c>
      <c r="W73" s="25">
        <f>IF($E73="","",N(O73)+SUMIFS($AF73:$IN73,$AF$4:$IN$4,"SEW_ACT"))</f>
        <v/>
      </c>
      <c r="X73" s="25">
        <f>IF($E73="","",N(P73)+SUMIFS($AF73:$IN73,$AF$4:$IN$4,"WASH_ACT"))</f>
        <v/>
      </c>
      <c r="Y73" s="25">
        <f>IF($E73="","",W73-X73-N(T73)-N(U73))</f>
        <v/>
      </c>
      <c r="Z73" s="25">
        <f>IF($E73="","",IF(N(K73)-X73&lt;=0.02*N(K73),0,N(K73)-X73))</f>
        <v/>
      </c>
      <c r="AA73" s="24">
        <f>IF($E73="","",IF(S73&lt;&gt;"",S73,IF(N(O73)&gt;0,IF(L73&lt;&gt;"",L73,99999),IFERROR(1/(1/_xlfn.MINIFS($AF$3:$IN$3,$AF$4:$IN$4,"SEW_ACT",$AF73:$IN73,"&gt;0")),99999))))</f>
        <v/>
      </c>
      <c r="AB73" s="26">
        <f>IF(OR($E73="",Z73=0,V73=""),"",1+COUNTIFS(Z$8:Z$707,"&gt;0",V$8:V$707,"&lt;"&amp;V73)+COUNTIFS(Z$8:Z$707,"&gt;0",V$8:V$707,V73,AA$8:AA$707,"&lt;"&amp;AA73)+COUNTIFS(Z$8:Z$707,"&gt;0",V$8:V$707,V73,AA$8:AA$707,AA73,E$8:E$707,"&lt;"&amp;$E73))</f>
        <v/>
      </c>
      <c r="AC73" s="24">
        <f>IF(OR($E73="",Z73=0),"",IFERROR(TODAY()+ROUNDUP(Z73/(SUMIFS($AF73:$IN73,$AF$4:$IN$4,"WASH_ACT")/COUNTIFS($AF$4:$IN$4,"WASH_ACT",$AF73:$IN73,"&gt;0")),0),"no output yet"))</f>
        <v/>
      </c>
      <c r="AD73" s="26">
        <f>IF($E73="","",IFERROR(ROUND(MAX(0,SUMIFS($AF73:$IN73,$AF$4:$IN$4,"SEW_PLAN",$AF$3:$IN$3,"&lt;="&amp;TODAY())-SUMIFS($AF73:$IN73,$AF$4:$IN$4,"SEW_ACT",$AF$3:$IN$3,"&lt;="&amp;TODAY())+N(Q73))/(SUMIFS($AF73:$IN73,$AF$4:$IN$4,"SEW_PLAN")/COUNTIFS($AF$4:$IN$4,"SEW_PLAN",$AF73:$IN73,"&gt;0")),1),0))</f>
        <v/>
      </c>
      <c r="AE73" s="26">
        <f>IF($E73="","",IF(AND(Z73&gt;0,OR(AND(M73&lt;&gt;"",TODAY()&gt;M73),AND(V73&lt;&gt;"",V73-TODAY()&lt;=7))),"Yes","No"))</f>
        <v/>
      </c>
      <c r="AH73">
        <f>IF(OR(AF$3="",AF$3&gt;TODAY()),"",IF(AND(AF73="",AG73=""),"",N(AG73)-N(AF73)))</f>
        <v/>
      </c>
      <c r="AK73">
        <f>IF(OR(AF$3="",AF$3&gt;TODAY()),"",IF(AND(AI73="",AJ73=""),"",N(AJ73)-N(AI73)))</f>
        <v/>
      </c>
      <c r="AO73">
        <f>IF(OR(AM$3="",AM$3&gt;TODAY()),"",IF(AND(AM73="",AN73=""),"",N(AN73)-N(AM73)))</f>
        <v/>
      </c>
      <c r="AR73">
        <f>IF(OR(AM$3="",AM$3&gt;TODAY()),"",IF(AND(AP73="",AQ73=""),"",N(AQ73)-N(AP73)))</f>
        <v/>
      </c>
      <c r="AV73">
        <f>IF(OR(AT$3="",AT$3&gt;TODAY()),"",IF(AND(AT73="",AU73=""),"",N(AU73)-N(AT73)))</f>
        <v/>
      </c>
      <c r="AY73">
        <f>IF(OR(AT$3="",AT$3&gt;TODAY()),"",IF(AND(AW73="",AX73=""),"",N(AX73)-N(AW73)))</f>
        <v/>
      </c>
      <c r="BC73">
        <f>IF(OR(BA$3="",BA$3&gt;TODAY()),"",IF(AND(BA73="",BB73=""),"",N(BB73)-N(BA73)))</f>
        <v/>
      </c>
      <c r="BF73">
        <f>IF(OR(BA$3="",BA$3&gt;TODAY()),"",IF(AND(BD73="",BE73=""),"",N(BE73)-N(BD73)))</f>
        <v/>
      </c>
      <c r="BJ73">
        <f>IF(OR(BH$3="",BH$3&gt;TODAY()),"",IF(AND(BH73="",BI73=""),"",N(BI73)-N(BH73)))</f>
        <v/>
      </c>
      <c r="BM73">
        <f>IF(OR(BH$3="",BH$3&gt;TODAY()),"",IF(AND(BK73="",BL73=""),"",N(BL73)-N(BK73)))</f>
        <v/>
      </c>
      <c r="BQ73">
        <f>IF(OR(BO$3="",BO$3&gt;TODAY()),"",IF(AND(BO73="",BP73=""),"",N(BP73)-N(BO73)))</f>
        <v/>
      </c>
      <c r="BT73">
        <f>IF(OR(BO$3="",BO$3&gt;TODAY()),"",IF(AND(BR73="",BS73=""),"",N(BS73)-N(BR73)))</f>
        <v/>
      </c>
      <c r="BX73">
        <f>IF(OR(BV$3="",BV$3&gt;TODAY()),"",IF(AND(BV73="",BW73=""),"",N(BW73)-N(BV73)))</f>
        <v/>
      </c>
      <c r="CA73">
        <f>IF(OR(BV$3="",BV$3&gt;TODAY()),"",IF(AND(BY73="",BZ73=""),"",N(BZ73)-N(BY73)))</f>
        <v/>
      </c>
      <c r="CE73">
        <f>IF(OR(CC$3="",CC$3&gt;TODAY()),"",IF(AND(CC73="",CD73=""),"",N(CD73)-N(CC73)))</f>
        <v/>
      </c>
      <c r="CH73">
        <f>IF(OR(CC$3="",CC$3&gt;TODAY()),"",IF(AND(CF73="",CG73=""),"",N(CG73)-N(CF73)))</f>
        <v/>
      </c>
      <c r="CL73">
        <f>IF(OR(CJ$3="",CJ$3&gt;TODAY()),"",IF(AND(CJ73="",CK73=""),"",N(CK73)-N(CJ73)))</f>
        <v/>
      </c>
      <c r="CO73">
        <f>IF(OR(CJ$3="",CJ$3&gt;TODAY()),"",IF(AND(CM73="",CN73=""),"",N(CN73)-N(CM73)))</f>
        <v/>
      </c>
      <c r="CS73">
        <f>IF(OR(CQ$3="",CQ$3&gt;TODAY()),"",IF(AND(CQ73="",CR73=""),"",N(CR73)-N(CQ73)))</f>
        <v/>
      </c>
      <c r="CV73">
        <f>IF(OR(CQ$3="",CQ$3&gt;TODAY()),"",IF(AND(CT73="",CU73=""),"",N(CU73)-N(CT73)))</f>
        <v/>
      </c>
      <c r="CZ73">
        <f>IF(OR(CX$3="",CX$3&gt;TODAY()),"",IF(AND(CX73="",CY73=""),"",N(CY73)-N(CX73)))</f>
        <v/>
      </c>
      <c r="DC73">
        <f>IF(OR(CX$3="",CX$3&gt;TODAY()),"",IF(AND(DA73="",DB73=""),"",N(DB73)-N(DA73)))</f>
        <v/>
      </c>
      <c r="DG73">
        <f>IF(OR(DE$3="",DE$3&gt;TODAY()),"",IF(AND(DE73="",DF73=""),"",N(DF73)-N(DE73)))</f>
        <v/>
      </c>
      <c r="DJ73">
        <f>IF(OR(DE$3="",DE$3&gt;TODAY()),"",IF(AND(DH73="",DI73=""),"",N(DI73)-N(DH73)))</f>
        <v/>
      </c>
      <c r="DN73">
        <f>IF(OR(DL$3="",DL$3&gt;TODAY()),"",IF(AND(DL73="",DM73=""),"",N(DM73)-N(DL73)))</f>
        <v/>
      </c>
      <c r="DQ73">
        <f>IF(OR(DL$3="",DL$3&gt;TODAY()),"",IF(AND(DO73="",DP73=""),"",N(DP73)-N(DO73)))</f>
        <v/>
      </c>
      <c r="DU73">
        <f>IF(OR(DS$3="",DS$3&gt;TODAY()),"",IF(AND(DS73="",DT73=""),"",N(DT73)-N(DS73)))</f>
        <v/>
      </c>
      <c r="DX73">
        <f>IF(OR(DS$3="",DS$3&gt;TODAY()),"",IF(AND(DV73="",DW73=""),"",N(DW73)-N(DV73)))</f>
        <v/>
      </c>
      <c r="EB73">
        <f>IF(OR(DZ$3="",DZ$3&gt;TODAY()),"",IF(AND(DZ73="",EA73=""),"",N(EA73)-N(DZ73)))</f>
        <v/>
      </c>
      <c r="EE73">
        <f>IF(OR(DZ$3="",DZ$3&gt;TODAY()),"",IF(AND(EC73="",ED73=""),"",N(ED73)-N(EC73)))</f>
        <v/>
      </c>
      <c r="EI73">
        <f>IF(OR(EG$3="",EG$3&gt;TODAY()),"",IF(AND(EG73="",EH73=""),"",N(EH73)-N(EG73)))</f>
        <v/>
      </c>
      <c r="EL73">
        <f>IF(OR(EG$3="",EG$3&gt;TODAY()),"",IF(AND(EJ73="",EK73=""),"",N(EK73)-N(EJ73)))</f>
        <v/>
      </c>
      <c r="EP73">
        <f>IF(OR(EN$3="",EN$3&gt;TODAY()),"",IF(AND(EN73="",EO73=""),"",N(EO73)-N(EN73)))</f>
        <v/>
      </c>
      <c r="ES73">
        <f>IF(OR(EN$3="",EN$3&gt;TODAY()),"",IF(AND(EQ73="",ER73=""),"",N(ER73)-N(EQ73)))</f>
        <v/>
      </c>
      <c r="EW73">
        <f>IF(OR(EU$3="",EU$3&gt;TODAY()),"",IF(AND(EU73="",EV73=""),"",N(EV73)-N(EU73)))</f>
        <v/>
      </c>
      <c r="EZ73">
        <f>IF(OR(EU$3="",EU$3&gt;TODAY()),"",IF(AND(EX73="",EY73=""),"",N(EY73)-N(EX73)))</f>
        <v/>
      </c>
      <c r="FD73">
        <f>IF(OR(FB$3="",FB$3&gt;TODAY()),"",IF(AND(FB73="",FC73=""),"",N(FC73)-N(FB73)))</f>
        <v/>
      </c>
      <c r="FG73">
        <f>IF(OR(FB$3="",FB$3&gt;TODAY()),"",IF(AND(FE73="",FF73=""),"",N(FF73)-N(FE73)))</f>
        <v/>
      </c>
      <c r="FK73">
        <f>IF(OR(FI$3="",FI$3&gt;TODAY()),"",IF(AND(FI73="",FJ73=""),"",N(FJ73)-N(FI73)))</f>
        <v/>
      </c>
      <c r="FN73">
        <f>IF(OR(FI$3="",FI$3&gt;TODAY()),"",IF(AND(FL73="",FM73=""),"",N(FM73)-N(FL73)))</f>
        <v/>
      </c>
      <c r="FR73">
        <f>IF(OR(FP$3="",FP$3&gt;TODAY()),"",IF(AND(FP73="",FQ73=""),"",N(FQ73)-N(FP73)))</f>
        <v/>
      </c>
      <c r="FU73">
        <f>IF(OR(FP$3="",FP$3&gt;TODAY()),"",IF(AND(FS73="",FT73=""),"",N(FT73)-N(FS73)))</f>
        <v/>
      </c>
      <c r="FY73">
        <f>IF(OR(FW$3="",FW$3&gt;TODAY()),"",IF(AND(FW73="",FX73=""),"",N(FX73)-N(FW73)))</f>
        <v/>
      </c>
      <c r="GB73">
        <f>IF(OR(FW$3="",FW$3&gt;TODAY()),"",IF(AND(FZ73="",GA73=""),"",N(GA73)-N(FZ73)))</f>
        <v/>
      </c>
      <c r="GF73">
        <f>IF(OR(GD$3="",GD$3&gt;TODAY()),"",IF(AND(GD73="",GE73=""),"",N(GE73)-N(GD73)))</f>
        <v/>
      </c>
      <c r="GI73">
        <f>IF(OR(GD$3="",GD$3&gt;TODAY()),"",IF(AND(GG73="",GH73=""),"",N(GH73)-N(GG73)))</f>
        <v/>
      </c>
      <c r="GM73">
        <f>IF(OR(GK$3="",GK$3&gt;TODAY()),"",IF(AND(GK73="",GL73=""),"",N(GL73)-N(GK73)))</f>
        <v/>
      </c>
      <c r="GP73">
        <f>IF(OR(GK$3="",GK$3&gt;TODAY()),"",IF(AND(GN73="",GO73=""),"",N(GO73)-N(GN73)))</f>
        <v/>
      </c>
      <c r="GT73">
        <f>IF(OR(GR$3="",GR$3&gt;TODAY()),"",IF(AND(GR73="",GS73=""),"",N(GS73)-N(GR73)))</f>
        <v/>
      </c>
      <c r="GW73">
        <f>IF(OR(GR$3="",GR$3&gt;TODAY()),"",IF(AND(GU73="",GV73=""),"",N(GV73)-N(GU73)))</f>
        <v/>
      </c>
      <c r="HA73">
        <f>IF(OR(GY$3="",GY$3&gt;TODAY()),"",IF(AND(GY73="",GZ73=""),"",N(GZ73)-N(GY73)))</f>
        <v/>
      </c>
      <c r="HD73">
        <f>IF(OR(GY$3="",GY$3&gt;TODAY()),"",IF(AND(HB73="",HC73=""),"",N(HC73)-N(HB73)))</f>
        <v/>
      </c>
      <c r="HH73">
        <f>IF(OR(HF$3="",HF$3&gt;TODAY()),"",IF(AND(HF73="",HG73=""),"",N(HG73)-N(HF73)))</f>
        <v/>
      </c>
      <c r="HK73">
        <f>IF(OR(HF$3="",HF$3&gt;TODAY()),"",IF(AND(HI73="",HJ73=""),"",N(HJ73)-N(HI73)))</f>
        <v/>
      </c>
      <c r="HO73">
        <f>IF(OR(HM$3="",HM$3&gt;TODAY()),"",IF(AND(HM73="",HN73=""),"",N(HN73)-N(HM73)))</f>
        <v/>
      </c>
      <c r="HR73">
        <f>IF(OR(HM$3="",HM$3&gt;TODAY()),"",IF(AND(HP73="",HQ73=""),"",N(HQ73)-N(HP73)))</f>
        <v/>
      </c>
      <c r="HV73">
        <f>IF(OR(HT$3="",HT$3&gt;TODAY()),"",IF(AND(HT73="",HU73=""),"",N(HU73)-N(HT73)))</f>
        <v/>
      </c>
      <c r="HY73">
        <f>IF(OR(HT$3="",HT$3&gt;TODAY()),"",IF(AND(HW73="",HX73=""),"",N(HX73)-N(HW73)))</f>
        <v/>
      </c>
      <c r="IC73">
        <f>IF(OR(IA$3="",IA$3&gt;TODAY()),"",IF(AND(IA73="",IB73=""),"",N(IB73)-N(IA73)))</f>
        <v/>
      </c>
      <c r="IF73">
        <f>IF(OR(IA$3="",IA$3&gt;TODAY()),"",IF(AND(ID73="",IE73=""),"",N(IE73)-N(ID73)))</f>
        <v/>
      </c>
      <c r="IJ73">
        <f>IF(OR(IH$3="",IH$3&gt;TODAY()),"",IF(AND(IH73="",II73=""),"",N(II73)-N(IH73)))</f>
        <v/>
      </c>
      <c r="IM73">
        <f>IF(OR(IH$3="",IH$3&gt;TODAY()),"",IF(AND(IK73="",IL73=""),"",N(IL73)-N(IK73)))</f>
        <v/>
      </c>
    </row>
    <row r="74">
      <c r="A74" s="21" t="n"/>
      <c r="B74" s="21" t="n"/>
      <c r="C74" s="21" t="n"/>
      <c r="D74" s="21" t="n"/>
      <c r="E74" s="21" t="n"/>
      <c r="F74" s="21" t="n"/>
      <c r="G74" s="21" t="n"/>
      <c r="H74" s="21" t="n"/>
      <c r="I74" s="22" t="n"/>
      <c r="J74" s="22" t="n"/>
      <c r="K74" s="23" t="n"/>
      <c r="L74" s="22" t="n"/>
      <c r="M74" s="22" t="n"/>
      <c r="N74" s="21" t="n"/>
      <c r="O74" s="23" t="n"/>
      <c r="P74" s="23" t="n"/>
      <c r="Q74" s="23" t="n"/>
      <c r="R74" s="23" t="n"/>
      <c r="S74" s="22" t="n"/>
      <c r="T74" s="23" t="n"/>
      <c r="U74" s="23" t="n"/>
      <c r="V74" s="24">
        <f>IF(J74&lt;&gt;"",J74,IF(I74&lt;&gt;"",I74,""))</f>
        <v/>
      </c>
      <c r="W74" s="25">
        <f>IF($E74="","",N(O74)+SUMIFS($AF74:$IN74,$AF$4:$IN$4,"SEW_ACT"))</f>
        <v/>
      </c>
      <c r="X74" s="25">
        <f>IF($E74="","",N(P74)+SUMIFS($AF74:$IN74,$AF$4:$IN$4,"WASH_ACT"))</f>
        <v/>
      </c>
      <c r="Y74" s="25">
        <f>IF($E74="","",W74-X74-N(T74)-N(U74))</f>
        <v/>
      </c>
      <c r="Z74" s="25">
        <f>IF($E74="","",IF(N(K74)-X74&lt;=0.02*N(K74),0,N(K74)-X74))</f>
        <v/>
      </c>
      <c r="AA74" s="24">
        <f>IF($E74="","",IF(S74&lt;&gt;"",S74,IF(N(O74)&gt;0,IF(L74&lt;&gt;"",L74,99999),IFERROR(1/(1/_xlfn.MINIFS($AF$3:$IN$3,$AF$4:$IN$4,"SEW_ACT",$AF74:$IN74,"&gt;0")),99999))))</f>
        <v/>
      </c>
      <c r="AB74" s="26">
        <f>IF(OR($E74="",Z74=0,V74=""),"",1+COUNTIFS(Z$8:Z$707,"&gt;0",V$8:V$707,"&lt;"&amp;V74)+COUNTIFS(Z$8:Z$707,"&gt;0",V$8:V$707,V74,AA$8:AA$707,"&lt;"&amp;AA74)+COUNTIFS(Z$8:Z$707,"&gt;0",V$8:V$707,V74,AA$8:AA$707,AA74,E$8:E$707,"&lt;"&amp;$E74))</f>
        <v/>
      </c>
      <c r="AC74" s="24">
        <f>IF(OR($E74="",Z74=0),"",IFERROR(TODAY()+ROUNDUP(Z74/(SUMIFS($AF74:$IN74,$AF$4:$IN$4,"WASH_ACT")/COUNTIFS($AF$4:$IN$4,"WASH_ACT",$AF74:$IN74,"&gt;0")),0),"no output yet"))</f>
        <v/>
      </c>
      <c r="AD74" s="26">
        <f>IF($E74="","",IFERROR(ROUND(MAX(0,SUMIFS($AF74:$IN74,$AF$4:$IN$4,"SEW_PLAN",$AF$3:$IN$3,"&lt;="&amp;TODAY())-SUMIFS($AF74:$IN74,$AF$4:$IN$4,"SEW_ACT",$AF$3:$IN$3,"&lt;="&amp;TODAY())+N(Q74))/(SUMIFS($AF74:$IN74,$AF$4:$IN$4,"SEW_PLAN")/COUNTIFS($AF$4:$IN$4,"SEW_PLAN",$AF74:$IN74,"&gt;0")),1),0))</f>
        <v/>
      </c>
      <c r="AE74" s="26">
        <f>IF($E74="","",IF(AND(Z74&gt;0,OR(AND(M74&lt;&gt;"",TODAY()&gt;M74),AND(V74&lt;&gt;"",V74-TODAY()&lt;=7))),"Yes","No"))</f>
        <v/>
      </c>
      <c r="AH74">
        <f>IF(OR(AF$3="",AF$3&gt;TODAY()),"",IF(AND(AF74="",AG74=""),"",N(AG74)-N(AF74)))</f>
        <v/>
      </c>
      <c r="AK74">
        <f>IF(OR(AF$3="",AF$3&gt;TODAY()),"",IF(AND(AI74="",AJ74=""),"",N(AJ74)-N(AI74)))</f>
        <v/>
      </c>
      <c r="AO74">
        <f>IF(OR(AM$3="",AM$3&gt;TODAY()),"",IF(AND(AM74="",AN74=""),"",N(AN74)-N(AM74)))</f>
        <v/>
      </c>
      <c r="AR74">
        <f>IF(OR(AM$3="",AM$3&gt;TODAY()),"",IF(AND(AP74="",AQ74=""),"",N(AQ74)-N(AP74)))</f>
        <v/>
      </c>
      <c r="AV74">
        <f>IF(OR(AT$3="",AT$3&gt;TODAY()),"",IF(AND(AT74="",AU74=""),"",N(AU74)-N(AT74)))</f>
        <v/>
      </c>
      <c r="AY74">
        <f>IF(OR(AT$3="",AT$3&gt;TODAY()),"",IF(AND(AW74="",AX74=""),"",N(AX74)-N(AW74)))</f>
        <v/>
      </c>
      <c r="BC74">
        <f>IF(OR(BA$3="",BA$3&gt;TODAY()),"",IF(AND(BA74="",BB74=""),"",N(BB74)-N(BA74)))</f>
        <v/>
      </c>
      <c r="BF74">
        <f>IF(OR(BA$3="",BA$3&gt;TODAY()),"",IF(AND(BD74="",BE74=""),"",N(BE74)-N(BD74)))</f>
        <v/>
      </c>
      <c r="BJ74">
        <f>IF(OR(BH$3="",BH$3&gt;TODAY()),"",IF(AND(BH74="",BI74=""),"",N(BI74)-N(BH74)))</f>
        <v/>
      </c>
      <c r="BM74">
        <f>IF(OR(BH$3="",BH$3&gt;TODAY()),"",IF(AND(BK74="",BL74=""),"",N(BL74)-N(BK74)))</f>
        <v/>
      </c>
      <c r="BQ74">
        <f>IF(OR(BO$3="",BO$3&gt;TODAY()),"",IF(AND(BO74="",BP74=""),"",N(BP74)-N(BO74)))</f>
        <v/>
      </c>
      <c r="BT74">
        <f>IF(OR(BO$3="",BO$3&gt;TODAY()),"",IF(AND(BR74="",BS74=""),"",N(BS74)-N(BR74)))</f>
        <v/>
      </c>
      <c r="BX74">
        <f>IF(OR(BV$3="",BV$3&gt;TODAY()),"",IF(AND(BV74="",BW74=""),"",N(BW74)-N(BV74)))</f>
        <v/>
      </c>
      <c r="CA74">
        <f>IF(OR(BV$3="",BV$3&gt;TODAY()),"",IF(AND(BY74="",BZ74=""),"",N(BZ74)-N(BY74)))</f>
        <v/>
      </c>
      <c r="CE74">
        <f>IF(OR(CC$3="",CC$3&gt;TODAY()),"",IF(AND(CC74="",CD74=""),"",N(CD74)-N(CC74)))</f>
        <v/>
      </c>
      <c r="CH74">
        <f>IF(OR(CC$3="",CC$3&gt;TODAY()),"",IF(AND(CF74="",CG74=""),"",N(CG74)-N(CF74)))</f>
        <v/>
      </c>
      <c r="CL74">
        <f>IF(OR(CJ$3="",CJ$3&gt;TODAY()),"",IF(AND(CJ74="",CK74=""),"",N(CK74)-N(CJ74)))</f>
        <v/>
      </c>
      <c r="CO74">
        <f>IF(OR(CJ$3="",CJ$3&gt;TODAY()),"",IF(AND(CM74="",CN74=""),"",N(CN74)-N(CM74)))</f>
        <v/>
      </c>
      <c r="CS74">
        <f>IF(OR(CQ$3="",CQ$3&gt;TODAY()),"",IF(AND(CQ74="",CR74=""),"",N(CR74)-N(CQ74)))</f>
        <v/>
      </c>
      <c r="CV74">
        <f>IF(OR(CQ$3="",CQ$3&gt;TODAY()),"",IF(AND(CT74="",CU74=""),"",N(CU74)-N(CT74)))</f>
        <v/>
      </c>
      <c r="CZ74">
        <f>IF(OR(CX$3="",CX$3&gt;TODAY()),"",IF(AND(CX74="",CY74=""),"",N(CY74)-N(CX74)))</f>
        <v/>
      </c>
      <c r="DC74">
        <f>IF(OR(CX$3="",CX$3&gt;TODAY()),"",IF(AND(DA74="",DB74=""),"",N(DB74)-N(DA74)))</f>
        <v/>
      </c>
      <c r="DG74">
        <f>IF(OR(DE$3="",DE$3&gt;TODAY()),"",IF(AND(DE74="",DF74=""),"",N(DF74)-N(DE74)))</f>
        <v/>
      </c>
      <c r="DJ74">
        <f>IF(OR(DE$3="",DE$3&gt;TODAY()),"",IF(AND(DH74="",DI74=""),"",N(DI74)-N(DH74)))</f>
        <v/>
      </c>
      <c r="DN74">
        <f>IF(OR(DL$3="",DL$3&gt;TODAY()),"",IF(AND(DL74="",DM74=""),"",N(DM74)-N(DL74)))</f>
        <v/>
      </c>
      <c r="DQ74">
        <f>IF(OR(DL$3="",DL$3&gt;TODAY()),"",IF(AND(DO74="",DP74=""),"",N(DP74)-N(DO74)))</f>
        <v/>
      </c>
      <c r="DU74">
        <f>IF(OR(DS$3="",DS$3&gt;TODAY()),"",IF(AND(DS74="",DT74=""),"",N(DT74)-N(DS74)))</f>
        <v/>
      </c>
      <c r="DX74">
        <f>IF(OR(DS$3="",DS$3&gt;TODAY()),"",IF(AND(DV74="",DW74=""),"",N(DW74)-N(DV74)))</f>
        <v/>
      </c>
      <c r="EB74">
        <f>IF(OR(DZ$3="",DZ$3&gt;TODAY()),"",IF(AND(DZ74="",EA74=""),"",N(EA74)-N(DZ74)))</f>
        <v/>
      </c>
      <c r="EE74">
        <f>IF(OR(DZ$3="",DZ$3&gt;TODAY()),"",IF(AND(EC74="",ED74=""),"",N(ED74)-N(EC74)))</f>
        <v/>
      </c>
      <c r="EI74">
        <f>IF(OR(EG$3="",EG$3&gt;TODAY()),"",IF(AND(EG74="",EH74=""),"",N(EH74)-N(EG74)))</f>
        <v/>
      </c>
      <c r="EL74">
        <f>IF(OR(EG$3="",EG$3&gt;TODAY()),"",IF(AND(EJ74="",EK74=""),"",N(EK74)-N(EJ74)))</f>
        <v/>
      </c>
      <c r="EP74">
        <f>IF(OR(EN$3="",EN$3&gt;TODAY()),"",IF(AND(EN74="",EO74=""),"",N(EO74)-N(EN74)))</f>
        <v/>
      </c>
      <c r="ES74">
        <f>IF(OR(EN$3="",EN$3&gt;TODAY()),"",IF(AND(EQ74="",ER74=""),"",N(ER74)-N(EQ74)))</f>
        <v/>
      </c>
      <c r="EW74">
        <f>IF(OR(EU$3="",EU$3&gt;TODAY()),"",IF(AND(EU74="",EV74=""),"",N(EV74)-N(EU74)))</f>
        <v/>
      </c>
      <c r="EZ74">
        <f>IF(OR(EU$3="",EU$3&gt;TODAY()),"",IF(AND(EX74="",EY74=""),"",N(EY74)-N(EX74)))</f>
        <v/>
      </c>
      <c r="FD74">
        <f>IF(OR(FB$3="",FB$3&gt;TODAY()),"",IF(AND(FB74="",FC74=""),"",N(FC74)-N(FB74)))</f>
        <v/>
      </c>
      <c r="FG74">
        <f>IF(OR(FB$3="",FB$3&gt;TODAY()),"",IF(AND(FE74="",FF74=""),"",N(FF74)-N(FE74)))</f>
        <v/>
      </c>
      <c r="FK74">
        <f>IF(OR(FI$3="",FI$3&gt;TODAY()),"",IF(AND(FI74="",FJ74=""),"",N(FJ74)-N(FI74)))</f>
        <v/>
      </c>
      <c r="FN74">
        <f>IF(OR(FI$3="",FI$3&gt;TODAY()),"",IF(AND(FL74="",FM74=""),"",N(FM74)-N(FL74)))</f>
        <v/>
      </c>
      <c r="FR74">
        <f>IF(OR(FP$3="",FP$3&gt;TODAY()),"",IF(AND(FP74="",FQ74=""),"",N(FQ74)-N(FP74)))</f>
        <v/>
      </c>
      <c r="FU74">
        <f>IF(OR(FP$3="",FP$3&gt;TODAY()),"",IF(AND(FS74="",FT74=""),"",N(FT74)-N(FS74)))</f>
        <v/>
      </c>
      <c r="FY74">
        <f>IF(OR(FW$3="",FW$3&gt;TODAY()),"",IF(AND(FW74="",FX74=""),"",N(FX74)-N(FW74)))</f>
        <v/>
      </c>
      <c r="GB74">
        <f>IF(OR(FW$3="",FW$3&gt;TODAY()),"",IF(AND(FZ74="",GA74=""),"",N(GA74)-N(FZ74)))</f>
        <v/>
      </c>
      <c r="GF74">
        <f>IF(OR(GD$3="",GD$3&gt;TODAY()),"",IF(AND(GD74="",GE74=""),"",N(GE74)-N(GD74)))</f>
        <v/>
      </c>
      <c r="GI74">
        <f>IF(OR(GD$3="",GD$3&gt;TODAY()),"",IF(AND(GG74="",GH74=""),"",N(GH74)-N(GG74)))</f>
        <v/>
      </c>
      <c r="GM74">
        <f>IF(OR(GK$3="",GK$3&gt;TODAY()),"",IF(AND(GK74="",GL74=""),"",N(GL74)-N(GK74)))</f>
        <v/>
      </c>
      <c r="GP74">
        <f>IF(OR(GK$3="",GK$3&gt;TODAY()),"",IF(AND(GN74="",GO74=""),"",N(GO74)-N(GN74)))</f>
        <v/>
      </c>
      <c r="GT74">
        <f>IF(OR(GR$3="",GR$3&gt;TODAY()),"",IF(AND(GR74="",GS74=""),"",N(GS74)-N(GR74)))</f>
        <v/>
      </c>
      <c r="GW74">
        <f>IF(OR(GR$3="",GR$3&gt;TODAY()),"",IF(AND(GU74="",GV74=""),"",N(GV74)-N(GU74)))</f>
        <v/>
      </c>
      <c r="HA74">
        <f>IF(OR(GY$3="",GY$3&gt;TODAY()),"",IF(AND(GY74="",GZ74=""),"",N(GZ74)-N(GY74)))</f>
        <v/>
      </c>
      <c r="HD74">
        <f>IF(OR(GY$3="",GY$3&gt;TODAY()),"",IF(AND(HB74="",HC74=""),"",N(HC74)-N(HB74)))</f>
        <v/>
      </c>
      <c r="HH74">
        <f>IF(OR(HF$3="",HF$3&gt;TODAY()),"",IF(AND(HF74="",HG74=""),"",N(HG74)-N(HF74)))</f>
        <v/>
      </c>
      <c r="HK74">
        <f>IF(OR(HF$3="",HF$3&gt;TODAY()),"",IF(AND(HI74="",HJ74=""),"",N(HJ74)-N(HI74)))</f>
        <v/>
      </c>
      <c r="HO74">
        <f>IF(OR(HM$3="",HM$3&gt;TODAY()),"",IF(AND(HM74="",HN74=""),"",N(HN74)-N(HM74)))</f>
        <v/>
      </c>
      <c r="HR74">
        <f>IF(OR(HM$3="",HM$3&gt;TODAY()),"",IF(AND(HP74="",HQ74=""),"",N(HQ74)-N(HP74)))</f>
        <v/>
      </c>
      <c r="HV74">
        <f>IF(OR(HT$3="",HT$3&gt;TODAY()),"",IF(AND(HT74="",HU74=""),"",N(HU74)-N(HT74)))</f>
        <v/>
      </c>
      <c r="HY74">
        <f>IF(OR(HT$3="",HT$3&gt;TODAY()),"",IF(AND(HW74="",HX74=""),"",N(HX74)-N(HW74)))</f>
        <v/>
      </c>
      <c r="IC74">
        <f>IF(OR(IA$3="",IA$3&gt;TODAY()),"",IF(AND(IA74="",IB74=""),"",N(IB74)-N(IA74)))</f>
        <v/>
      </c>
      <c r="IF74">
        <f>IF(OR(IA$3="",IA$3&gt;TODAY()),"",IF(AND(ID74="",IE74=""),"",N(IE74)-N(ID74)))</f>
        <v/>
      </c>
      <c r="IJ74">
        <f>IF(OR(IH$3="",IH$3&gt;TODAY()),"",IF(AND(IH74="",II74=""),"",N(II74)-N(IH74)))</f>
        <v/>
      </c>
      <c r="IM74">
        <f>IF(OR(IH$3="",IH$3&gt;TODAY()),"",IF(AND(IK74="",IL74=""),"",N(IL74)-N(IK74)))</f>
        <v/>
      </c>
    </row>
    <row r="75">
      <c r="A75" s="21" t="n"/>
      <c r="B75" s="21" t="n"/>
      <c r="C75" s="21" t="n"/>
      <c r="D75" s="21" t="n"/>
      <c r="E75" s="21" t="n"/>
      <c r="F75" s="21" t="n"/>
      <c r="G75" s="21" t="n"/>
      <c r="H75" s="21" t="n"/>
      <c r="I75" s="22" t="n"/>
      <c r="J75" s="22" t="n"/>
      <c r="K75" s="23" t="n"/>
      <c r="L75" s="22" t="n"/>
      <c r="M75" s="22" t="n"/>
      <c r="N75" s="21" t="n"/>
      <c r="O75" s="23" t="n"/>
      <c r="P75" s="23" t="n"/>
      <c r="Q75" s="23" t="n"/>
      <c r="R75" s="23" t="n"/>
      <c r="S75" s="22" t="n"/>
      <c r="T75" s="23" t="n"/>
      <c r="U75" s="23" t="n"/>
      <c r="V75" s="24">
        <f>IF(J75&lt;&gt;"",J75,IF(I75&lt;&gt;"",I75,""))</f>
        <v/>
      </c>
      <c r="W75" s="25">
        <f>IF($E75="","",N(O75)+SUMIFS($AF75:$IN75,$AF$4:$IN$4,"SEW_ACT"))</f>
        <v/>
      </c>
      <c r="X75" s="25">
        <f>IF($E75="","",N(P75)+SUMIFS($AF75:$IN75,$AF$4:$IN$4,"WASH_ACT"))</f>
        <v/>
      </c>
      <c r="Y75" s="25">
        <f>IF($E75="","",W75-X75-N(T75)-N(U75))</f>
        <v/>
      </c>
      <c r="Z75" s="25">
        <f>IF($E75="","",IF(N(K75)-X75&lt;=0.02*N(K75),0,N(K75)-X75))</f>
        <v/>
      </c>
      <c r="AA75" s="24">
        <f>IF($E75="","",IF(S75&lt;&gt;"",S75,IF(N(O75)&gt;0,IF(L75&lt;&gt;"",L75,99999),IFERROR(1/(1/_xlfn.MINIFS($AF$3:$IN$3,$AF$4:$IN$4,"SEW_ACT",$AF75:$IN75,"&gt;0")),99999))))</f>
        <v/>
      </c>
      <c r="AB75" s="26">
        <f>IF(OR($E75="",Z75=0,V75=""),"",1+COUNTIFS(Z$8:Z$707,"&gt;0",V$8:V$707,"&lt;"&amp;V75)+COUNTIFS(Z$8:Z$707,"&gt;0",V$8:V$707,V75,AA$8:AA$707,"&lt;"&amp;AA75)+COUNTIFS(Z$8:Z$707,"&gt;0",V$8:V$707,V75,AA$8:AA$707,AA75,E$8:E$707,"&lt;"&amp;$E75))</f>
        <v/>
      </c>
      <c r="AC75" s="24">
        <f>IF(OR($E75="",Z75=0),"",IFERROR(TODAY()+ROUNDUP(Z75/(SUMIFS($AF75:$IN75,$AF$4:$IN$4,"WASH_ACT")/COUNTIFS($AF$4:$IN$4,"WASH_ACT",$AF75:$IN75,"&gt;0")),0),"no output yet"))</f>
        <v/>
      </c>
      <c r="AD75" s="26">
        <f>IF($E75="","",IFERROR(ROUND(MAX(0,SUMIFS($AF75:$IN75,$AF$4:$IN$4,"SEW_PLAN",$AF$3:$IN$3,"&lt;="&amp;TODAY())-SUMIFS($AF75:$IN75,$AF$4:$IN$4,"SEW_ACT",$AF$3:$IN$3,"&lt;="&amp;TODAY())+N(Q75))/(SUMIFS($AF75:$IN75,$AF$4:$IN$4,"SEW_PLAN")/COUNTIFS($AF$4:$IN$4,"SEW_PLAN",$AF75:$IN75,"&gt;0")),1),0))</f>
        <v/>
      </c>
      <c r="AE75" s="26">
        <f>IF($E75="","",IF(AND(Z75&gt;0,OR(AND(M75&lt;&gt;"",TODAY()&gt;M75),AND(V75&lt;&gt;"",V75-TODAY()&lt;=7))),"Yes","No"))</f>
        <v/>
      </c>
      <c r="AH75">
        <f>IF(OR(AF$3="",AF$3&gt;TODAY()),"",IF(AND(AF75="",AG75=""),"",N(AG75)-N(AF75)))</f>
        <v/>
      </c>
      <c r="AK75">
        <f>IF(OR(AF$3="",AF$3&gt;TODAY()),"",IF(AND(AI75="",AJ75=""),"",N(AJ75)-N(AI75)))</f>
        <v/>
      </c>
      <c r="AO75">
        <f>IF(OR(AM$3="",AM$3&gt;TODAY()),"",IF(AND(AM75="",AN75=""),"",N(AN75)-N(AM75)))</f>
        <v/>
      </c>
      <c r="AR75">
        <f>IF(OR(AM$3="",AM$3&gt;TODAY()),"",IF(AND(AP75="",AQ75=""),"",N(AQ75)-N(AP75)))</f>
        <v/>
      </c>
      <c r="AV75">
        <f>IF(OR(AT$3="",AT$3&gt;TODAY()),"",IF(AND(AT75="",AU75=""),"",N(AU75)-N(AT75)))</f>
        <v/>
      </c>
      <c r="AY75">
        <f>IF(OR(AT$3="",AT$3&gt;TODAY()),"",IF(AND(AW75="",AX75=""),"",N(AX75)-N(AW75)))</f>
        <v/>
      </c>
      <c r="BC75">
        <f>IF(OR(BA$3="",BA$3&gt;TODAY()),"",IF(AND(BA75="",BB75=""),"",N(BB75)-N(BA75)))</f>
        <v/>
      </c>
      <c r="BF75">
        <f>IF(OR(BA$3="",BA$3&gt;TODAY()),"",IF(AND(BD75="",BE75=""),"",N(BE75)-N(BD75)))</f>
        <v/>
      </c>
      <c r="BJ75">
        <f>IF(OR(BH$3="",BH$3&gt;TODAY()),"",IF(AND(BH75="",BI75=""),"",N(BI75)-N(BH75)))</f>
        <v/>
      </c>
      <c r="BM75">
        <f>IF(OR(BH$3="",BH$3&gt;TODAY()),"",IF(AND(BK75="",BL75=""),"",N(BL75)-N(BK75)))</f>
        <v/>
      </c>
      <c r="BQ75">
        <f>IF(OR(BO$3="",BO$3&gt;TODAY()),"",IF(AND(BO75="",BP75=""),"",N(BP75)-N(BO75)))</f>
        <v/>
      </c>
      <c r="BT75">
        <f>IF(OR(BO$3="",BO$3&gt;TODAY()),"",IF(AND(BR75="",BS75=""),"",N(BS75)-N(BR75)))</f>
        <v/>
      </c>
      <c r="BX75">
        <f>IF(OR(BV$3="",BV$3&gt;TODAY()),"",IF(AND(BV75="",BW75=""),"",N(BW75)-N(BV75)))</f>
        <v/>
      </c>
      <c r="CA75">
        <f>IF(OR(BV$3="",BV$3&gt;TODAY()),"",IF(AND(BY75="",BZ75=""),"",N(BZ75)-N(BY75)))</f>
        <v/>
      </c>
      <c r="CE75">
        <f>IF(OR(CC$3="",CC$3&gt;TODAY()),"",IF(AND(CC75="",CD75=""),"",N(CD75)-N(CC75)))</f>
        <v/>
      </c>
      <c r="CH75">
        <f>IF(OR(CC$3="",CC$3&gt;TODAY()),"",IF(AND(CF75="",CG75=""),"",N(CG75)-N(CF75)))</f>
        <v/>
      </c>
      <c r="CL75">
        <f>IF(OR(CJ$3="",CJ$3&gt;TODAY()),"",IF(AND(CJ75="",CK75=""),"",N(CK75)-N(CJ75)))</f>
        <v/>
      </c>
      <c r="CO75">
        <f>IF(OR(CJ$3="",CJ$3&gt;TODAY()),"",IF(AND(CM75="",CN75=""),"",N(CN75)-N(CM75)))</f>
        <v/>
      </c>
      <c r="CS75">
        <f>IF(OR(CQ$3="",CQ$3&gt;TODAY()),"",IF(AND(CQ75="",CR75=""),"",N(CR75)-N(CQ75)))</f>
        <v/>
      </c>
      <c r="CV75">
        <f>IF(OR(CQ$3="",CQ$3&gt;TODAY()),"",IF(AND(CT75="",CU75=""),"",N(CU75)-N(CT75)))</f>
        <v/>
      </c>
      <c r="CZ75">
        <f>IF(OR(CX$3="",CX$3&gt;TODAY()),"",IF(AND(CX75="",CY75=""),"",N(CY75)-N(CX75)))</f>
        <v/>
      </c>
      <c r="DC75">
        <f>IF(OR(CX$3="",CX$3&gt;TODAY()),"",IF(AND(DA75="",DB75=""),"",N(DB75)-N(DA75)))</f>
        <v/>
      </c>
      <c r="DG75">
        <f>IF(OR(DE$3="",DE$3&gt;TODAY()),"",IF(AND(DE75="",DF75=""),"",N(DF75)-N(DE75)))</f>
        <v/>
      </c>
      <c r="DJ75">
        <f>IF(OR(DE$3="",DE$3&gt;TODAY()),"",IF(AND(DH75="",DI75=""),"",N(DI75)-N(DH75)))</f>
        <v/>
      </c>
      <c r="DN75">
        <f>IF(OR(DL$3="",DL$3&gt;TODAY()),"",IF(AND(DL75="",DM75=""),"",N(DM75)-N(DL75)))</f>
        <v/>
      </c>
      <c r="DQ75">
        <f>IF(OR(DL$3="",DL$3&gt;TODAY()),"",IF(AND(DO75="",DP75=""),"",N(DP75)-N(DO75)))</f>
        <v/>
      </c>
      <c r="DU75">
        <f>IF(OR(DS$3="",DS$3&gt;TODAY()),"",IF(AND(DS75="",DT75=""),"",N(DT75)-N(DS75)))</f>
        <v/>
      </c>
      <c r="DX75">
        <f>IF(OR(DS$3="",DS$3&gt;TODAY()),"",IF(AND(DV75="",DW75=""),"",N(DW75)-N(DV75)))</f>
        <v/>
      </c>
      <c r="EB75">
        <f>IF(OR(DZ$3="",DZ$3&gt;TODAY()),"",IF(AND(DZ75="",EA75=""),"",N(EA75)-N(DZ75)))</f>
        <v/>
      </c>
      <c r="EE75">
        <f>IF(OR(DZ$3="",DZ$3&gt;TODAY()),"",IF(AND(EC75="",ED75=""),"",N(ED75)-N(EC75)))</f>
        <v/>
      </c>
      <c r="EI75">
        <f>IF(OR(EG$3="",EG$3&gt;TODAY()),"",IF(AND(EG75="",EH75=""),"",N(EH75)-N(EG75)))</f>
        <v/>
      </c>
      <c r="EL75">
        <f>IF(OR(EG$3="",EG$3&gt;TODAY()),"",IF(AND(EJ75="",EK75=""),"",N(EK75)-N(EJ75)))</f>
        <v/>
      </c>
      <c r="EP75">
        <f>IF(OR(EN$3="",EN$3&gt;TODAY()),"",IF(AND(EN75="",EO75=""),"",N(EO75)-N(EN75)))</f>
        <v/>
      </c>
      <c r="ES75">
        <f>IF(OR(EN$3="",EN$3&gt;TODAY()),"",IF(AND(EQ75="",ER75=""),"",N(ER75)-N(EQ75)))</f>
        <v/>
      </c>
      <c r="EW75">
        <f>IF(OR(EU$3="",EU$3&gt;TODAY()),"",IF(AND(EU75="",EV75=""),"",N(EV75)-N(EU75)))</f>
        <v/>
      </c>
      <c r="EZ75">
        <f>IF(OR(EU$3="",EU$3&gt;TODAY()),"",IF(AND(EX75="",EY75=""),"",N(EY75)-N(EX75)))</f>
        <v/>
      </c>
      <c r="FD75">
        <f>IF(OR(FB$3="",FB$3&gt;TODAY()),"",IF(AND(FB75="",FC75=""),"",N(FC75)-N(FB75)))</f>
        <v/>
      </c>
      <c r="FG75">
        <f>IF(OR(FB$3="",FB$3&gt;TODAY()),"",IF(AND(FE75="",FF75=""),"",N(FF75)-N(FE75)))</f>
        <v/>
      </c>
      <c r="FK75">
        <f>IF(OR(FI$3="",FI$3&gt;TODAY()),"",IF(AND(FI75="",FJ75=""),"",N(FJ75)-N(FI75)))</f>
        <v/>
      </c>
      <c r="FN75">
        <f>IF(OR(FI$3="",FI$3&gt;TODAY()),"",IF(AND(FL75="",FM75=""),"",N(FM75)-N(FL75)))</f>
        <v/>
      </c>
      <c r="FR75">
        <f>IF(OR(FP$3="",FP$3&gt;TODAY()),"",IF(AND(FP75="",FQ75=""),"",N(FQ75)-N(FP75)))</f>
        <v/>
      </c>
      <c r="FU75">
        <f>IF(OR(FP$3="",FP$3&gt;TODAY()),"",IF(AND(FS75="",FT75=""),"",N(FT75)-N(FS75)))</f>
        <v/>
      </c>
      <c r="FY75">
        <f>IF(OR(FW$3="",FW$3&gt;TODAY()),"",IF(AND(FW75="",FX75=""),"",N(FX75)-N(FW75)))</f>
        <v/>
      </c>
      <c r="GB75">
        <f>IF(OR(FW$3="",FW$3&gt;TODAY()),"",IF(AND(FZ75="",GA75=""),"",N(GA75)-N(FZ75)))</f>
        <v/>
      </c>
      <c r="GF75">
        <f>IF(OR(GD$3="",GD$3&gt;TODAY()),"",IF(AND(GD75="",GE75=""),"",N(GE75)-N(GD75)))</f>
        <v/>
      </c>
      <c r="GI75">
        <f>IF(OR(GD$3="",GD$3&gt;TODAY()),"",IF(AND(GG75="",GH75=""),"",N(GH75)-N(GG75)))</f>
        <v/>
      </c>
      <c r="GM75">
        <f>IF(OR(GK$3="",GK$3&gt;TODAY()),"",IF(AND(GK75="",GL75=""),"",N(GL75)-N(GK75)))</f>
        <v/>
      </c>
      <c r="GP75">
        <f>IF(OR(GK$3="",GK$3&gt;TODAY()),"",IF(AND(GN75="",GO75=""),"",N(GO75)-N(GN75)))</f>
        <v/>
      </c>
      <c r="GT75">
        <f>IF(OR(GR$3="",GR$3&gt;TODAY()),"",IF(AND(GR75="",GS75=""),"",N(GS75)-N(GR75)))</f>
        <v/>
      </c>
      <c r="GW75">
        <f>IF(OR(GR$3="",GR$3&gt;TODAY()),"",IF(AND(GU75="",GV75=""),"",N(GV75)-N(GU75)))</f>
        <v/>
      </c>
      <c r="HA75">
        <f>IF(OR(GY$3="",GY$3&gt;TODAY()),"",IF(AND(GY75="",GZ75=""),"",N(GZ75)-N(GY75)))</f>
        <v/>
      </c>
      <c r="HD75">
        <f>IF(OR(GY$3="",GY$3&gt;TODAY()),"",IF(AND(HB75="",HC75=""),"",N(HC75)-N(HB75)))</f>
        <v/>
      </c>
      <c r="HH75">
        <f>IF(OR(HF$3="",HF$3&gt;TODAY()),"",IF(AND(HF75="",HG75=""),"",N(HG75)-N(HF75)))</f>
        <v/>
      </c>
      <c r="HK75">
        <f>IF(OR(HF$3="",HF$3&gt;TODAY()),"",IF(AND(HI75="",HJ75=""),"",N(HJ75)-N(HI75)))</f>
        <v/>
      </c>
      <c r="HO75">
        <f>IF(OR(HM$3="",HM$3&gt;TODAY()),"",IF(AND(HM75="",HN75=""),"",N(HN75)-N(HM75)))</f>
        <v/>
      </c>
      <c r="HR75">
        <f>IF(OR(HM$3="",HM$3&gt;TODAY()),"",IF(AND(HP75="",HQ75=""),"",N(HQ75)-N(HP75)))</f>
        <v/>
      </c>
      <c r="HV75">
        <f>IF(OR(HT$3="",HT$3&gt;TODAY()),"",IF(AND(HT75="",HU75=""),"",N(HU75)-N(HT75)))</f>
        <v/>
      </c>
      <c r="HY75">
        <f>IF(OR(HT$3="",HT$3&gt;TODAY()),"",IF(AND(HW75="",HX75=""),"",N(HX75)-N(HW75)))</f>
        <v/>
      </c>
      <c r="IC75">
        <f>IF(OR(IA$3="",IA$3&gt;TODAY()),"",IF(AND(IA75="",IB75=""),"",N(IB75)-N(IA75)))</f>
        <v/>
      </c>
      <c r="IF75">
        <f>IF(OR(IA$3="",IA$3&gt;TODAY()),"",IF(AND(ID75="",IE75=""),"",N(IE75)-N(ID75)))</f>
        <v/>
      </c>
      <c r="IJ75">
        <f>IF(OR(IH$3="",IH$3&gt;TODAY()),"",IF(AND(IH75="",II75=""),"",N(II75)-N(IH75)))</f>
        <v/>
      </c>
      <c r="IM75">
        <f>IF(OR(IH$3="",IH$3&gt;TODAY()),"",IF(AND(IK75="",IL75=""),"",N(IL75)-N(IK75)))</f>
        <v/>
      </c>
    </row>
    <row r="76">
      <c r="A76" s="21" t="n"/>
      <c r="B76" s="21" t="n"/>
      <c r="C76" s="21" t="n"/>
      <c r="D76" s="21" t="n"/>
      <c r="E76" s="21" t="n"/>
      <c r="F76" s="21" t="n"/>
      <c r="G76" s="21" t="n"/>
      <c r="H76" s="21" t="n"/>
      <c r="I76" s="22" t="n"/>
      <c r="J76" s="22" t="n"/>
      <c r="K76" s="23" t="n"/>
      <c r="L76" s="22" t="n"/>
      <c r="M76" s="22" t="n"/>
      <c r="N76" s="21" t="n"/>
      <c r="O76" s="23" t="n"/>
      <c r="P76" s="23" t="n"/>
      <c r="Q76" s="23" t="n"/>
      <c r="R76" s="23" t="n"/>
      <c r="S76" s="22" t="n"/>
      <c r="T76" s="23" t="n"/>
      <c r="U76" s="23" t="n"/>
      <c r="V76" s="24">
        <f>IF(J76&lt;&gt;"",J76,IF(I76&lt;&gt;"",I76,""))</f>
        <v/>
      </c>
      <c r="W76" s="25">
        <f>IF($E76="","",N(O76)+SUMIFS($AF76:$IN76,$AF$4:$IN$4,"SEW_ACT"))</f>
        <v/>
      </c>
      <c r="X76" s="25">
        <f>IF($E76="","",N(P76)+SUMIFS($AF76:$IN76,$AF$4:$IN$4,"WASH_ACT"))</f>
        <v/>
      </c>
      <c r="Y76" s="25">
        <f>IF($E76="","",W76-X76-N(T76)-N(U76))</f>
        <v/>
      </c>
      <c r="Z76" s="25">
        <f>IF($E76="","",IF(N(K76)-X76&lt;=0.02*N(K76),0,N(K76)-X76))</f>
        <v/>
      </c>
      <c r="AA76" s="24">
        <f>IF($E76="","",IF(S76&lt;&gt;"",S76,IF(N(O76)&gt;0,IF(L76&lt;&gt;"",L76,99999),IFERROR(1/(1/_xlfn.MINIFS($AF$3:$IN$3,$AF$4:$IN$4,"SEW_ACT",$AF76:$IN76,"&gt;0")),99999))))</f>
        <v/>
      </c>
      <c r="AB76" s="26">
        <f>IF(OR($E76="",Z76=0,V76=""),"",1+COUNTIFS(Z$8:Z$707,"&gt;0",V$8:V$707,"&lt;"&amp;V76)+COUNTIFS(Z$8:Z$707,"&gt;0",V$8:V$707,V76,AA$8:AA$707,"&lt;"&amp;AA76)+COUNTIFS(Z$8:Z$707,"&gt;0",V$8:V$707,V76,AA$8:AA$707,AA76,E$8:E$707,"&lt;"&amp;$E76))</f>
        <v/>
      </c>
      <c r="AC76" s="24">
        <f>IF(OR($E76="",Z76=0),"",IFERROR(TODAY()+ROUNDUP(Z76/(SUMIFS($AF76:$IN76,$AF$4:$IN$4,"WASH_ACT")/COUNTIFS($AF$4:$IN$4,"WASH_ACT",$AF76:$IN76,"&gt;0")),0),"no output yet"))</f>
        <v/>
      </c>
      <c r="AD76" s="26">
        <f>IF($E76="","",IFERROR(ROUND(MAX(0,SUMIFS($AF76:$IN76,$AF$4:$IN$4,"SEW_PLAN",$AF$3:$IN$3,"&lt;="&amp;TODAY())-SUMIFS($AF76:$IN76,$AF$4:$IN$4,"SEW_ACT",$AF$3:$IN$3,"&lt;="&amp;TODAY())+N(Q76))/(SUMIFS($AF76:$IN76,$AF$4:$IN$4,"SEW_PLAN")/COUNTIFS($AF$4:$IN$4,"SEW_PLAN",$AF76:$IN76,"&gt;0")),1),0))</f>
        <v/>
      </c>
      <c r="AE76" s="26">
        <f>IF($E76="","",IF(AND(Z76&gt;0,OR(AND(M76&lt;&gt;"",TODAY()&gt;M76),AND(V76&lt;&gt;"",V76-TODAY()&lt;=7))),"Yes","No"))</f>
        <v/>
      </c>
      <c r="AH76">
        <f>IF(OR(AF$3="",AF$3&gt;TODAY()),"",IF(AND(AF76="",AG76=""),"",N(AG76)-N(AF76)))</f>
        <v/>
      </c>
      <c r="AK76">
        <f>IF(OR(AF$3="",AF$3&gt;TODAY()),"",IF(AND(AI76="",AJ76=""),"",N(AJ76)-N(AI76)))</f>
        <v/>
      </c>
      <c r="AO76">
        <f>IF(OR(AM$3="",AM$3&gt;TODAY()),"",IF(AND(AM76="",AN76=""),"",N(AN76)-N(AM76)))</f>
        <v/>
      </c>
      <c r="AR76">
        <f>IF(OR(AM$3="",AM$3&gt;TODAY()),"",IF(AND(AP76="",AQ76=""),"",N(AQ76)-N(AP76)))</f>
        <v/>
      </c>
      <c r="AV76">
        <f>IF(OR(AT$3="",AT$3&gt;TODAY()),"",IF(AND(AT76="",AU76=""),"",N(AU76)-N(AT76)))</f>
        <v/>
      </c>
      <c r="AY76">
        <f>IF(OR(AT$3="",AT$3&gt;TODAY()),"",IF(AND(AW76="",AX76=""),"",N(AX76)-N(AW76)))</f>
        <v/>
      </c>
      <c r="BC76">
        <f>IF(OR(BA$3="",BA$3&gt;TODAY()),"",IF(AND(BA76="",BB76=""),"",N(BB76)-N(BA76)))</f>
        <v/>
      </c>
      <c r="BF76">
        <f>IF(OR(BA$3="",BA$3&gt;TODAY()),"",IF(AND(BD76="",BE76=""),"",N(BE76)-N(BD76)))</f>
        <v/>
      </c>
      <c r="BJ76">
        <f>IF(OR(BH$3="",BH$3&gt;TODAY()),"",IF(AND(BH76="",BI76=""),"",N(BI76)-N(BH76)))</f>
        <v/>
      </c>
      <c r="BM76">
        <f>IF(OR(BH$3="",BH$3&gt;TODAY()),"",IF(AND(BK76="",BL76=""),"",N(BL76)-N(BK76)))</f>
        <v/>
      </c>
      <c r="BQ76">
        <f>IF(OR(BO$3="",BO$3&gt;TODAY()),"",IF(AND(BO76="",BP76=""),"",N(BP76)-N(BO76)))</f>
        <v/>
      </c>
      <c r="BT76">
        <f>IF(OR(BO$3="",BO$3&gt;TODAY()),"",IF(AND(BR76="",BS76=""),"",N(BS76)-N(BR76)))</f>
        <v/>
      </c>
      <c r="BX76">
        <f>IF(OR(BV$3="",BV$3&gt;TODAY()),"",IF(AND(BV76="",BW76=""),"",N(BW76)-N(BV76)))</f>
        <v/>
      </c>
      <c r="CA76">
        <f>IF(OR(BV$3="",BV$3&gt;TODAY()),"",IF(AND(BY76="",BZ76=""),"",N(BZ76)-N(BY76)))</f>
        <v/>
      </c>
      <c r="CE76">
        <f>IF(OR(CC$3="",CC$3&gt;TODAY()),"",IF(AND(CC76="",CD76=""),"",N(CD76)-N(CC76)))</f>
        <v/>
      </c>
      <c r="CH76">
        <f>IF(OR(CC$3="",CC$3&gt;TODAY()),"",IF(AND(CF76="",CG76=""),"",N(CG76)-N(CF76)))</f>
        <v/>
      </c>
      <c r="CL76">
        <f>IF(OR(CJ$3="",CJ$3&gt;TODAY()),"",IF(AND(CJ76="",CK76=""),"",N(CK76)-N(CJ76)))</f>
        <v/>
      </c>
      <c r="CO76">
        <f>IF(OR(CJ$3="",CJ$3&gt;TODAY()),"",IF(AND(CM76="",CN76=""),"",N(CN76)-N(CM76)))</f>
        <v/>
      </c>
      <c r="CS76">
        <f>IF(OR(CQ$3="",CQ$3&gt;TODAY()),"",IF(AND(CQ76="",CR76=""),"",N(CR76)-N(CQ76)))</f>
        <v/>
      </c>
      <c r="CV76">
        <f>IF(OR(CQ$3="",CQ$3&gt;TODAY()),"",IF(AND(CT76="",CU76=""),"",N(CU76)-N(CT76)))</f>
        <v/>
      </c>
      <c r="CZ76">
        <f>IF(OR(CX$3="",CX$3&gt;TODAY()),"",IF(AND(CX76="",CY76=""),"",N(CY76)-N(CX76)))</f>
        <v/>
      </c>
      <c r="DC76">
        <f>IF(OR(CX$3="",CX$3&gt;TODAY()),"",IF(AND(DA76="",DB76=""),"",N(DB76)-N(DA76)))</f>
        <v/>
      </c>
      <c r="DG76">
        <f>IF(OR(DE$3="",DE$3&gt;TODAY()),"",IF(AND(DE76="",DF76=""),"",N(DF76)-N(DE76)))</f>
        <v/>
      </c>
      <c r="DJ76">
        <f>IF(OR(DE$3="",DE$3&gt;TODAY()),"",IF(AND(DH76="",DI76=""),"",N(DI76)-N(DH76)))</f>
        <v/>
      </c>
      <c r="DN76">
        <f>IF(OR(DL$3="",DL$3&gt;TODAY()),"",IF(AND(DL76="",DM76=""),"",N(DM76)-N(DL76)))</f>
        <v/>
      </c>
      <c r="DQ76">
        <f>IF(OR(DL$3="",DL$3&gt;TODAY()),"",IF(AND(DO76="",DP76=""),"",N(DP76)-N(DO76)))</f>
        <v/>
      </c>
      <c r="DU76">
        <f>IF(OR(DS$3="",DS$3&gt;TODAY()),"",IF(AND(DS76="",DT76=""),"",N(DT76)-N(DS76)))</f>
        <v/>
      </c>
      <c r="DX76">
        <f>IF(OR(DS$3="",DS$3&gt;TODAY()),"",IF(AND(DV76="",DW76=""),"",N(DW76)-N(DV76)))</f>
        <v/>
      </c>
      <c r="EB76">
        <f>IF(OR(DZ$3="",DZ$3&gt;TODAY()),"",IF(AND(DZ76="",EA76=""),"",N(EA76)-N(DZ76)))</f>
        <v/>
      </c>
      <c r="EE76">
        <f>IF(OR(DZ$3="",DZ$3&gt;TODAY()),"",IF(AND(EC76="",ED76=""),"",N(ED76)-N(EC76)))</f>
        <v/>
      </c>
      <c r="EI76">
        <f>IF(OR(EG$3="",EG$3&gt;TODAY()),"",IF(AND(EG76="",EH76=""),"",N(EH76)-N(EG76)))</f>
        <v/>
      </c>
      <c r="EL76">
        <f>IF(OR(EG$3="",EG$3&gt;TODAY()),"",IF(AND(EJ76="",EK76=""),"",N(EK76)-N(EJ76)))</f>
        <v/>
      </c>
      <c r="EP76">
        <f>IF(OR(EN$3="",EN$3&gt;TODAY()),"",IF(AND(EN76="",EO76=""),"",N(EO76)-N(EN76)))</f>
        <v/>
      </c>
      <c r="ES76">
        <f>IF(OR(EN$3="",EN$3&gt;TODAY()),"",IF(AND(EQ76="",ER76=""),"",N(ER76)-N(EQ76)))</f>
        <v/>
      </c>
      <c r="EW76">
        <f>IF(OR(EU$3="",EU$3&gt;TODAY()),"",IF(AND(EU76="",EV76=""),"",N(EV76)-N(EU76)))</f>
        <v/>
      </c>
      <c r="EZ76">
        <f>IF(OR(EU$3="",EU$3&gt;TODAY()),"",IF(AND(EX76="",EY76=""),"",N(EY76)-N(EX76)))</f>
        <v/>
      </c>
      <c r="FD76">
        <f>IF(OR(FB$3="",FB$3&gt;TODAY()),"",IF(AND(FB76="",FC76=""),"",N(FC76)-N(FB76)))</f>
        <v/>
      </c>
      <c r="FG76">
        <f>IF(OR(FB$3="",FB$3&gt;TODAY()),"",IF(AND(FE76="",FF76=""),"",N(FF76)-N(FE76)))</f>
        <v/>
      </c>
      <c r="FK76">
        <f>IF(OR(FI$3="",FI$3&gt;TODAY()),"",IF(AND(FI76="",FJ76=""),"",N(FJ76)-N(FI76)))</f>
        <v/>
      </c>
      <c r="FN76">
        <f>IF(OR(FI$3="",FI$3&gt;TODAY()),"",IF(AND(FL76="",FM76=""),"",N(FM76)-N(FL76)))</f>
        <v/>
      </c>
      <c r="FR76">
        <f>IF(OR(FP$3="",FP$3&gt;TODAY()),"",IF(AND(FP76="",FQ76=""),"",N(FQ76)-N(FP76)))</f>
        <v/>
      </c>
      <c r="FU76">
        <f>IF(OR(FP$3="",FP$3&gt;TODAY()),"",IF(AND(FS76="",FT76=""),"",N(FT76)-N(FS76)))</f>
        <v/>
      </c>
      <c r="FY76">
        <f>IF(OR(FW$3="",FW$3&gt;TODAY()),"",IF(AND(FW76="",FX76=""),"",N(FX76)-N(FW76)))</f>
        <v/>
      </c>
      <c r="GB76">
        <f>IF(OR(FW$3="",FW$3&gt;TODAY()),"",IF(AND(FZ76="",GA76=""),"",N(GA76)-N(FZ76)))</f>
        <v/>
      </c>
      <c r="GF76">
        <f>IF(OR(GD$3="",GD$3&gt;TODAY()),"",IF(AND(GD76="",GE76=""),"",N(GE76)-N(GD76)))</f>
        <v/>
      </c>
      <c r="GI76">
        <f>IF(OR(GD$3="",GD$3&gt;TODAY()),"",IF(AND(GG76="",GH76=""),"",N(GH76)-N(GG76)))</f>
        <v/>
      </c>
      <c r="GM76">
        <f>IF(OR(GK$3="",GK$3&gt;TODAY()),"",IF(AND(GK76="",GL76=""),"",N(GL76)-N(GK76)))</f>
        <v/>
      </c>
      <c r="GP76">
        <f>IF(OR(GK$3="",GK$3&gt;TODAY()),"",IF(AND(GN76="",GO76=""),"",N(GO76)-N(GN76)))</f>
        <v/>
      </c>
      <c r="GT76">
        <f>IF(OR(GR$3="",GR$3&gt;TODAY()),"",IF(AND(GR76="",GS76=""),"",N(GS76)-N(GR76)))</f>
        <v/>
      </c>
      <c r="GW76">
        <f>IF(OR(GR$3="",GR$3&gt;TODAY()),"",IF(AND(GU76="",GV76=""),"",N(GV76)-N(GU76)))</f>
        <v/>
      </c>
      <c r="HA76">
        <f>IF(OR(GY$3="",GY$3&gt;TODAY()),"",IF(AND(GY76="",GZ76=""),"",N(GZ76)-N(GY76)))</f>
        <v/>
      </c>
      <c r="HD76">
        <f>IF(OR(GY$3="",GY$3&gt;TODAY()),"",IF(AND(HB76="",HC76=""),"",N(HC76)-N(HB76)))</f>
        <v/>
      </c>
      <c r="HH76">
        <f>IF(OR(HF$3="",HF$3&gt;TODAY()),"",IF(AND(HF76="",HG76=""),"",N(HG76)-N(HF76)))</f>
        <v/>
      </c>
      <c r="HK76">
        <f>IF(OR(HF$3="",HF$3&gt;TODAY()),"",IF(AND(HI76="",HJ76=""),"",N(HJ76)-N(HI76)))</f>
        <v/>
      </c>
      <c r="HO76">
        <f>IF(OR(HM$3="",HM$3&gt;TODAY()),"",IF(AND(HM76="",HN76=""),"",N(HN76)-N(HM76)))</f>
        <v/>
      </c>
      <c r="HR76">
        <f>IF(OR(HM$3="",HM$3&gt;TODAY()),"",IF(AND(HP76="",HQ76=""),"",N(HQ76)-N(HP76)))</f>
        <v/>
      </c>
      <c r="HV76">
        <f>IF(OR(HT$3="",HT$3&gt;TODAY()),"",IF(AND(HT76="",HU76=""),"",N(HU76)-N(HT76)))</f>
        <v/>
      </c>
      <c r="HY76">
        <f>IF(OR(HT$3="",HT$3&gt;TODAY()),"",IF(AND(HW76="",HX76=""),"",N(HX76)-N(HW76)))</f>
        <v/>
      </c>
      <c r="IC76">
        <f>IF(OR(IA$3="",IA$3&gt;TODAY()),"",IF(AND(IA76="",IB76=""),"",N(IB76)-N(IA76)))</f>
        <v/>
      </c>
      <c r="IF76">
        <f>IF(OR(IA$3="",IA$3&gt;TODAY()),"",IF(AND(ID76="",IE76=""),"",N(IE76)-N(ID76)))</f>
        <v/>
      </c>
      <c r="IJ76">
        <f>IF(OR(IH$3="",IH$3&gt;TODAY()),"",IF(AND(IH76="",II76=""),"",N(II76)-N(IH76)))</f>
        <v/>
      </c>
      <c r="IM76">
        <f>IF(OR(IH$3="",IH$3&gt;TODAY()),"",IF(AND(IK76="",IL76=""),"",N(IL76)-N(IK76)))</f>
        <v/>
      </c>
    </row>
    <row r="77">
      <c r="A77" s="21" t="n"/>
      <c r="B77" s="21" t="n"/>
      <c r="C77" s="21" t="n"/>
      <c r="D77" s="21" t="n"/>
      <c r="E77" s="21" t="n"/>
      <c r="F77" s="21" t="n"/>
      <c r="G77" s="21" t="n"/>
      <c r="H77" s="21" t="n"/>
      <c r="I77" s="22" t="n"/>
      <c r="J77" s="22" t="n"/>
      <c r="K77" s="23" t="n"/>
      <c r="L77" s="22" t="n"/>
      <c r="M77" s="22" t="n"/>
      <c r="N77" s="21" t="n"/>
      <c r="O77" s="23" t="n"/>
      <c r="P77" s="23" t="n"/>
      <c r="Q77" s="23" t="n"/>
      <c r="R77" s="23" t="n"/>
      <c r="S77" s="22" t="n"/>
      <c r="T77" s="23" t="n"/>
      <c r="U77" s="23" t="n"/>
      <c r="V77" s="24">
        <f>IF(J77&lt;&gt;"",J77,IF(I77&lt;&gt;"",I77,""))</f>
        <v/>
      </c>
      <c r="W77" s="25">
        <f>IF($E77="","",N(O77)+SUMIFS($AF77:$IN77,$AF$4:$IN$4,"SEW_ACT"))</f>
        <v/>
      </c>
      <c r="X77" s="25">
        <f>IF($E77="","",N(P77)+SUMIFS($AF77:$IN77,$AF$4:$IN$4,"WASH_ACT"))</f>
        <v/>
      </c>
      <c r="Y77" s="25">
        <f>IF($E77="","",W77-X77-N(T77)-N(U77))</f>
        <v/>
      </c>
      <c r="Z77" s="25">
        <f>IF($E77="","",IF(N(K77)-X77&lt;=0.02*N(K77),0,N(K77)-X77))</f>
        <v/>
      </c>
      <c r="AA77" s="24">
        <f>IF($E77="","",IF(S77&lt;&gt;"",S77,IF(N(O77)&gt;0,IF(L77&lt;&gt;"",L77,99999),IFERROR(1/(1/_xlfn.MINIFS($AF$3:$IN$3,$AF$4:$IN$4,"SEW_ACT",$AF77:$IN77,"&gt;0")),99999))))</f>
        <v/>
      </c>
      <c r="AB77" s="26">
        <f>IF(OR($E77="",Z77=0,V77=""),"",1+COUNTIFS(Z$8:Z$707,"&gt;0",V$8:V$707,"&lt;"&amp;V77)+COUNTIFS(Z$8:Z$707,"&gt;0",V$8:V$707,V77,AA$8:AA$707,"&lt;"&amp;AA77)+COUNTIFS(Z$8:Z$707,"&gt;0",V$8:V$707,V77,AA$8:AA$707,AA77,E$8:E$707,"&lt;"&amp;$E77))</f>
        <v/>
      </c>
      <c r="AC77" s="24">
        <f>IF(OR($E77="",Z77=0),"",IFERROR(TODAY()+ROUNDUP(Z77/(SUMIFS($AF77:$IN77,$AF$4:$IN$4,"WASH_ACT")/COUNTIFS($AF$4:$IN$4,"WASH_ACT",$AF77:$IN77,"&gt;0")),0),"no output yet"))</f>
        <v/>
      </c>
      <c r="AD77" s="26">
        <f>IF($E77="","",IFERROR(ROUND(MAX(0,SUMIFS($AF77:$IN77,$AF$4:$IN$4,"SEW_PLAN",$AF$3:$IN$3,"&lt;="&amp;TODAY())-SUMIFS($AF77:$IN77,$AF$4:$IN$4,"SEW_ACT",$AF$3:$IN$3,"&lt;="&amp;TODAY())+N(Q77))/(SUMIFS($AF77:$IN77,$AF$4:$IN$4,"SEW_PLAN")/COUNTIFS($AF$4:$IN$4,"SEW_PLAN",$AF77:$IN77,"&gt;0")),1),0))</f>
        <v/>
      </c>
      <c r="AE77" s="26">
        <f>IF($E77="","",IF(AND(Z77&gt;0,OR(AND(M77&lt;&gt;"",TODAY()&gt;M77),AND(V77&lt;&gt;"",V77-TODAY()&lt;=7))),"Yes","No"))</f>
        <v/>
      </c>
      <c r="AH77">
        <f>IF(OR(AF$3="",AF$3&gt;TODAY()),"",IF(AND(AF77="",AG77=""),"",N(AG77)-N(AF77)))</f>
        <v/>
      </c>
      <c r="AK77">
        <f>IF(OR(AF$3="",AF$3&gt;TODAY()),"",IF(AND(AI77="",AJ77=""),"",N(AJ77)-N(AI77)))</f>
        <v/>
      </c>
      <c r="AO77">
        <f>IF(OR(AM$3="",AM$3&gt;TODAY()),"",IF(AND(AM77="",AN77=""),"",N(AN77)-N(AM77)))</f>
        <v/>
      </c>
      <c r="AR77">
        <f>IF(OR(AM$3="",AM$3&gt;TODAY()),"",IF(AND(AP77="",AQ77=""),"",N(AQ77)-N(AP77)))</f>
        <v/>
      </c>
      <c r="AV77">
        <f>IF(OR(AT$3="",AT$3&gt;TODAY()),"",IF(AND(AT77="",AU77=""),"",N(AU77)-N(AT77)))</f>
        <v/>
      </c>
      <c r="AY77">
        <f>IF(OR(AT$3="",AT$3&gt;TODAY()),"",IF(AND(AW77="",AX77=""),"",N(AX77)-N(AW77)))</f>
        <v/>
      </c>
      <c r="BC77">
        <f>IF(OR(BA$3="",BA$3&gt;TODAY()),"",IF(AND(BA77="",BB77=""),"",N(BB77)-N(BA77)))</f>
        <v/>
      </c>
      <c r="BF77">
        <f>IF(OR(BA$3="",BA$3&gt;TODAY()),"",IF(AND(BD77="",BE77=""),"",N(BE77)-N(BD77)))</f>
        <v/>
      </c>
      <c r="BJ77">
        <f>IF(OR(BH$3="",BH$3&gt;TODAY()),"",IF(AND(BH77="",BI77=""),"",N(BI77)-N(BH77)))</f>
        <v/>
      </c>
      <c r="BM77">
        <f>IF(OR(BH$3="",BH$3&gt;TODAY()),"",IF(AND(BK77="",BL77=""),"",N(BL77)-N(BK77)))</f>
        <v/>
      </c>
      <c r="BQ77">
        <f>IF(OR(BO$3="",BO$3&gt;TODAY()),"",IF(AND(BO77="",BP77=""),"",N(BP77)-N(BO77)))</f>
        <v/>
      </c>
      <c r="BT77">
        <f>IF(OR(BO$3="",BO$3&gt;TODAY()),"",IF(AND(BR77="",BS77=""),"",N(BS77)-N(BR77)))</f>
        <v/>
      </c>
      <c r="BX77">
        <f>IF(OR(BV$3="",BV$3&gt;TODAY()),"",IF(AND(BV77="",BW77=""),"",N(BW77)-N(BV77)))</f>
        <v/>
      </c>
      <c r="CA77">
        <f>IF(OR(BV$3="",BV$3&gt;TODAY()),"",IF(AND(BY77="",BZ77=""),"",N(BZ77)-N(BY77)))</f>
        <v/>
      </c>
      <c r="CE77">
        <f>IF(OR(CC$3="",CC$3&gt;TODAY()),"",IF(AND(CC77="",CD77=""),"",N(CD77)-N(CC77)))</f>
        <v/>
      </c>
      <c r="CH77">
        <f>IF(OR(CC$3="",CC$3&gt;TODAY()),"",IF(AND(CF77="",CG77=""),"",N(CG77)-N(CF77)))</f>
        <v/>
      </c>
      <c r="CL77">
        <f>IF(OR(CJ$3="",CJ$3&gt;TODAY()),"",IF(AND(CJ77="",CK77=""),"",N(CK77)-N(CJ77)))</f>
        <v/>
      </c>
      <c r="CO77">
        <f>IF(OR(CJ$3="",CJ$3&gt;TODAY()),"",IF(AND(CM77="",CN77=""),"",N(CN77)-N(CM77)))</f>
        <v/>
      </c>
      <c r="CS77">
        <f>IF(OR(CQ$3="",CQ$3&gt;TODAY()),"",IF(AND(CQ77="",CR77=""),"",N(CR77)-N(CQ77)))</f>
        <v/>
      </c>
      <c r="CV77">
        <f>IF(OR(CQ$3="",CQ$3&gt;TODAY()),"",IF(AND(CT77="",CU77=""),"",N(CU77)-N(CT77)))</f>
        <v/>
      </c>
      <c r="CZ77">
        <f>IF(OR(CX$3="",CX$3&gt;TODAY()),"",IF(AND(CX77="",CY77=""),"",N(CY77)-N(CX77)))</f>
        <v/>
      </c>
      <c r="DC77">
        <f>IF(OR(CX$3="",CX$3&gt;TODAY()),"",IF(AND(DA77="",DB77=""),"",N(DB77)-N(DA77)))</f>
        <v/>
      </c>
      <c r="DG77">
        <f>IF(OR(DE$3="",DE$3&gt;TODAY()),"",IF(AND(DE77="",DF77=""),"",N(DF77)-N(DE77)))</f>
        <v/>
      </c>
      <c r="DJ77">
        <f>IF(OR(DE$3="",DE$3&gt;TODAY()),"",IF(AND(DH77="",DI77=""),"",N(DI77)-N(DH77)))</f>
        <v/>
      </c>
      <c r="DN77">
        <f>IF(OR(DL$3="",DL$3&gt;TODAY()),"",IF(AND(DL77="",DM77=""),"",N(DM77)-N(DL77)))</f>
        <v/>
      </c>
      <c r="DQ77">
        <f>IF(OR(DL$3="",DL$3&gt;TODAY()),"",IF(AND(DO77="",DP77=""),"",N(DP77)-N(DO77)))</f>
        <v/>
      </c>
      <c r="DU77">
        <f>IF(OR(DS$3="",DS$3&gt;TODAY()),"",IF(AND(DS77="",DT77=""),"",N(DT77)-N(DS77)))</f>
        <v/>
      </c>
      <c r="DX77">
        <f>IF(OR(DS$3="",DS$3&gt;TODAY()),"",IF(AND(DV77="",DW77=""),"",N(DW77)-N(DV77)))</f>
        <v/>
      </c>
      <c r="EB77">
        <f>IF(OR(DZ$3="",DZ$3&gt;TODAY()),"",IF(AND(DZ77="",EA77=""),"",N(EA77)-N(DZ77)))</f>
        <v/>
      </c>
      <c r="EE77">
        <f>IF(OR(DZ$3="",DZ$3&gt;TODAY()),"",IF(AND(EC77="",ED77=""),"",N(ED77)-N(EC77)))</f>
        <v/>
      </c>
      <c r="EI77">
        <f>IF(OR(EG$3="",EG$3&gt;TODAY()),"",IF(AND(EG77="",EH77=""),"",N(EH77)-N(EG77)))</f>
        <v/>
      </c>
      <c r="EL77">
        <f>IF(OR(EG$3="",EG$3&gt;TODAY()),"",IF(AND(EJ77="",EK77=""),"",N(EK77)-N(EJ77)))</f>
        <v/>
      </c>
      <c r="EP77">
        <f>IF(OR(EN$3="",EN$3&gt;TODAY()),"",IF(AND(EN77="",EO77=""),"",N(EO77)-N(EN77)))</f>
        <v/>
      </c>
      <c r="ES77">
        <f>IF(OR(EN$3="",EN$3&gt;TODAY()),"",IF(AND(EQ77="",ER77=""),"",N(ER77)-N(EQ77)))</f>
        <v/>
      </c>
      <c r="EW77">
        <f>IF(OR(EU$3="",EU$3&gt;TODAY()),"",IF(AND(EU77="",EV77=""),"",N(EV77)-N(EU77)))</f>
        <v/>
      </c>
      <c r="EZ77">
        <f>IF(OR(EU$3="",EU$3&gt;TODAY()),"",IF(AND(EX77="",EY77=""),"",N(EY77)-N(EX77)))</f>
        <v/>
      </c>
      <c r="FD77">
        <f>IF(OR(FB$3="",FB$3&gt;TODAY()),"",IF(AND(FB77="",FC77=""),"",N(FC77)-N(FB77)))</f>
        <v/>
      </c>
      <c r="FG77">
        <f>IF(OR(FB$3="",FB$3&gt;TODAY()),"",IF(AND(FE77="",FF77=""),"",N(FF77)-N(FE77)))</f>
        <v/>
      </c>
      <c r="FK77">
        <f>IF(OR(FI$3="",FI$3&gt;TODAY()),"",IF(AND(FI77="",FJ77=""),"",N(FJ77)-N(FI77)))</f>
        <v/>
      </c>
      <c r="FN77">
        <f>IF(OR(FI$3="",FI$3&gt;TODAY()),"",IF(AND(FL77="",FM77=""),"",N(FM77)-N(FL77)))</f>
        <v/>
      </c>
      <c r="FR77">
        <f>IF(OR(FP$3="",FP$3&gt;TODAY()),"",IF(AND(FP77="",FQ77=""),"",N(FQ77)-N(FP77)))</f>
        <v/>
      </c>
      <c r="FU77">
        <f>IF(OR(FP$3="",FP$3&gt;TODAY()),"",IF(AND(FS77="",FT77=""),"",N(FT77)-N(FS77)))</f>
        <v/>
      </c>
      <c r="FY77">
        <f>IF(OR(FW$3="",FW$3&gt;TODAY()),"",IF(AND(FW77="",FX77=""),"",N(FX77)-N(FW77)))</f>
        <v/>
      </c>
      <c r="GB77">
        <f>IF(OR(FW$3="",FW$3&gt;TODAY()),"",IF(AND(FZ77="",GA77=""),"",N(GA77)-N(FZ77)))</f>
        <v/>
      </c>
      <c r="GF77">
        <f>IF(OR(GD$3="",GD$3&gt;TODAY()),"",IF(AND(GD77="",GE77=""),"",N(GE77)-N(GD77)))</f>
        <v/>
      </c>
      <c r="GI77">
        <f>IF(OR(GD$3="",GD$3&gt;TODAY()),"",IF(AND(GG77="",GH77=""),"",N(GH77)-N(GG77)))</f>
        <v/>
      </c>
      <c r="GM77">
        <f>IF(OR(GK$3="",GK$3&gt;TODAY()),"",IF(AND(GK77="",GL77=""),"",N(GL77)-N(GK77)))</f>
        <v/>
      </c>
      <c r="GP77">
        <f>IF(OR(GK$3="",GK$3&gt;TODAY()),"",IF(AND(GN77="",GO77=""),"",N(GO77)-N(GN77)))</f>
        <v/>
      </c>
      <c r="GT77">
        <f>IF(OR(GR$3="",GR$3&gt;TODAY()),"",IF(AND(GR77="",GS77=""),"",N(GS77)-N(GR77)))</f>
        <v/>
      </c>
      <c r="GW77">
        <f>IF(OR(GR$3="",GR$3&gt;TODAY()),"",IF(AND(GU77="",GV77=""),"",N(GV77)-N(GU77)))</f>
        <v/>
      </c>
      <c r="HA77">
        <f>IF(OR(GY$3="",GY$3&gt;TODAY()),"",IF(AND(GY77="",GZ77=""),"",N(GZ77)-N(GY77)))</f>
        <v/>
      </c>
      <c r="HD77">
        <f>IF(OR(GY$3="",GY$3&gt;TODAY()),"",IF(AND(HB77="",HC77=""),"",N(HC77)-N(HB77)))</f>
        <v/>
      </c>
      <c r="HH77">
        <f>IF(OR(HF$3="",HF$3&gt;TODAY()),"",IF(AND(HF77="",HG77=""),"",N(HG77)-N(HF77)))</f>
        <v/>
      </c>
      <c r="HK77">
        <f>IF(OR(HF$3="",HF$3&gt;TODAY()),"",IF(AND(HI77="",HJ77=""),"",N(HJ77)-N(HI77)))</f>
        <v/>
      </c>
      <c r="HO77">
        <f>IF(OR(HM$3="",HM$3&gt;TODAY()),"",IF(AND(HM77="",HN77=""),"",N(HN77)-N(HM77)))</f>
        <v/>
      </c>
      <c r="HR77">
        <f>IF(OR(HM$3="",HM$3&gt;TODAY()),"",IF(AND(HP77="",HQ77=""),"",N(HQ77)-N(HP77)))</f>
        <v/>
      </c>
      <c r="HV77">
        <f>IF(OR(HT$3="",HT$3&gt;TODAY()),"",IF(AND(HT77="",HU77=""),"",N(HU77)-N(HT77)))</f>
        <v/>
      </c>
      <c r="HY77">
        <f>IF(OR(HT$3="",HT$3&gt;TODAY()),"",IF(AND(HW77="",HX77=""),"",N(HX77)-N(HW77)))</f>
        <v/>
      </c>
      <c r="IC77">
        <f>IF(OR(IA$3="",IA$3&gt;TODAY()),"",IF(AND(IA77="",IB77=""),"",N(IB77)-N(IA77)))</f>
        <v/>
      </c>
      <c r="IF77">
        <f>IF(OR(IA$3="",IA$3&gt;TODAY()),"",IF(AND(ID77="",IE77=""),"",N(IE77)-N(ID77)))</f>
        <v/>
      </c>
      <c r="IJ77">
        <f>IF(OR(IH$3="",IH$3&gt;TODAY()),"",IF(AND(IH77="",II77=""),"",N(II77)-N(IH77)))</f>
        <v/>
      </c>
      <c r="IM77">
        <f>IF(OR(IH$3="",IH$3&gt;TODAY()),"",IF(AND(IK77="",IL77=""),"",N(IL77)-N(IK77)))</f>
        <v/>
      </c>
    </row>
    <row r="78">
      <c r="A78" s="21" t="n"/>
      <c r="B78" s="21" t="n"/>
      <c r="C78" s="21" t="n"/>
      <c r="D78" s="21" t="n"/>
      <c r="E78" s="21" t="n"/>
      <c r="F78" s="21" t="n"/>
      <c r="G78" s="21" t="n"/>
      <c r="H78" s="21" t="n"/>
      <c r="I78" s="22" t="n"/>
      <c r="J78" s="22" t="n"/>
      <c r="K78" s="23" t="n"/>
      <c r="L78" s="22" t="n"/>
      <c r="M78" s="22" t="n"/>
      <c r="N78" s="21" t="n"/>
      <c r="O78" s="23" t="n"/>
      <c r="P78" s="23" t="n"/>
      <c r="Q78" s="23" t="n"/>
      <c r="R78" s="23" t="n"/>
      <c r="S78" s="22" t="n"/>
      <c r="T78" s="23" t="n"/>
      <c r="U78" s="23" t="n"/>
      <c r="V78" s="24">
        <f>IF(J78&lt;&gt;"",J78,IF(I78&lt;&gt;"",I78,""))</f>
        <v/>
      </c>
      <c r="W78" s="25">
        <f>IF($E78="","",N(O78)+SUMIFS($AF78:$IN78,$AF$4:$IN$4,"SEW_ACT"))</f>
        <v/>
      </c>
      <c r="X78" s="25">
        <f>IF($E78="","",N(P78)+SUMIFS($AF78:$IN78,$AF$4:$IN$4,"WASH_ACT"))</f>
        <v/>
      </c>
      <c r="Y78" s="25">
        <f>IF($E78="","",W78-X78-N(T78)-N(U78))</f>
        <v/>
      </c>
      <c r="Z78" s="25">
        <f>IF($E78="","",IF(N(K78)-X78&lt;=0.02*N(K78),0,N(K78)-X78))</f>
        <v/>
      </c>
      <c r="AA78" s="24">
        <f>IF($E78="","",IF(S78&lt;&gt;"",S78,IF(N(O78)&gt;0,IF(L78&lt;&gt;"",L78,99999),IFERROR(1/(1/_xlfn.MINIFS($AF$3:$IN$3,$AF$4:$IN$4,"SEW_ACT",$AF78:$IN78,"&gt;0")),99999))))</f>
        <v/>
      </c>
      <c r="AB78" s="26">
        <f>IF(OR($E78="",Z78=0,V78=""),"",1+COUNTIFS(Z$8:Z$707,"&gt;0",V$8:V$707,"&lt;"&amp;V78)+COUNTIFS(Z$8:Z$707,"&gt;0",V$8:V$707,V78,AA$8:AA$707,"&lt;"&amp;AA78)+COUNTIFS(Z$8:Z$707,"&gt;0",V$8:V$707,V78,AA$8:AA$707,AA78,E$8:E$707,"&lt;"&amp;$E78))</f>
        <v/>
      </c>
      <c r="AC78" s="24">
        <f>IF(OR($E78="",Z78=0),"",IFERROR(TODAY()+ROUNDUP(Z78/(SUMIFS($AF78:$IN78,$AF$4:$IN$4,"WASH_ACT")/COUNTIFS($AF$4:$IN$4,"WASH_ACT",$AF78:$IN78,"&gt;0")),0),"no output yet"))</f>
        <v/>
      </c>
      <c r="AD78" s="26">
        <f>IF($E78="","",IFERROR(ROUND(MAX(0,SUMIFS($AF78:$IN78,$AF$4:$IN$4,"SEW_PLAN",$AF$3:$IN$3,"&lt;="&amp;TODAY())-SUMIFS($AF78:$IN78,$AF$4:$IN$4,"SEW_ACT",$AF$3:$IN$3,"&lt;="&amp;TODAY())+N(Q78))/(SUMIFS($AF78:$IN78,$AF$4:$IN$4,"SEW_PLAN")/COUNTIFS($AF$4:$IN$4,"SEW_PLAN",$AF78:$IN78,"&gt;0")),1),0))</f>
        <v/>
      </c>
      <c r="AE78" s="26">
        <f>IF($E78="","",IF(AND(Z78&gt;0,OR(AND(M78&lt;&gt;"",TODAY()&gt;M78),AND(V78&lt;&gt;"",V78-TODAY()&lt;=7))),"Yes","No"))</f>
        <v/>
      </c>
      <c r="AH78">
        <f>IF(OR(AF$3="",AF$3&gt;TODAY()),"",IF(AND(AF78="",AG78=""),"",N(AG78)-N(AF78)))</f>
        <v/>
      </c>
      <c r="AK78">
        <f>IF(OR(AF$3="",AF$3&gt;TODAY()),"",IF(AND(AI78="",AJ78=""),"",N(AJ78)-N(AI78)))</f>
        <v/>
      </c>
      <c r="AO78">
        <f>IF(OR(AM$3="",AM$3&gt;TODAY()),"",IF(AND(AM78="",AN78=""),"",N(AN78)-N(AM78)))</f>
        <v/>
      </c>
      <c r="AR78">
        <f>IF(OR(AM$3="",AM$3&gt;TODAY()),"",IF(AND(AP78="",AQ78=""),"",N(AQ78)-N(AP78)))</f>
        <v/>
      </c>
      <c r="AV78">
        <f>IF(OR(AT$3="",AT$3&gt;TODAY()),"",IF(AND(AT78="",AU78=""),"",N(AU78)-N(AT78)))</f>
        <v/>
      </c>
      <c r="AY78">
        <f>IF(OR(AT$3="",AT$3&gt;TODAY()),"",IF(AND(AW78="",AX78=""),"",N(AX78)-N(AW78)))</f>
        <v/>
      </c>
      <c r="BC78">
        <f>IF(OR(BA$3="",BA$3&gt;TODAY()),"",IF(AND(BA78="",BB78=""),"",N(BB78)-N(BA78)))</f>
        <v/>
      </c>
      <c r="BF78">
        <f>IF(OR(BA$3="",BA$3&gt;TODAY()),"",IF(AND(BD78="",BE78=""),"",N(BE78)-N(BD78)))</f>
        <v/>
      </c>
      <c r="BJ78">
        <f>IF(OR(BH$3="",BH$3&gt;TODAY()),"",IF(AND(BH78="",BI78=""),"",N(BI78)-N(BH78)))</f>
        <v/>
      </c>
      <c r="BM78">
        <f>IF(OR(BH$3="",BH$3&gt;TODAY()),"",IF(AND(BK78="",BL78=""),"",N(BL78)-N(BK78)))</f>
        <v/>
      </c>
      <c r="BQ78">
        <f>IF(OR(BO$3="",BO$3&gt;TODAY()),"",IF(AND(BO78="",BP78=""),"",N(BP78)-N(BO78)))</f>
        <v/>
      </c>
      <c r="BT78">
        <f>IF(OR(BO$3="",BO$3&gt;TODAY()),"",IF(AND(BR78="",BS78=""),"",N(BS78)-N(BR78)))</f>
        <v/>
      </c>
      <c r="BX78">
        <f>IF(OR(BV$3="",BV$3&gt;TODAY()),"",IF(AND(BV78="",BW78=""),"",N(BW78)-N(BV78)))</f>
        <v/>
      </c>
      <c r="CA78">
        <f>IF(OR(BV$3="",BV$3&gt;TODAY()),"",IF(AND(BY78="",BZ78=""),"",N(BZ78)-N(BY78)))</f>
        <v/>
      </c>
      <c r="CE78">
        <f>IF(OR(CC$3="",CC$3&gt;TODAY()),"",IF(AND(CC78="",CD78=""),"",N(CD78)-N(CC78)))</f>
        <v/>
      </c>
      <c r="CH78">
        <f>IF(OR(CC$3="",CC$3&gt;TODAY()),"",IF(AND(CF78="",CG78=""),"",N(CG78)-N(CF78)))</f>
        <v/>
      </c>
      <c r="CL78">
        <f>IF(OR(CJ$3="",CJ$3&gt;TODAY()),"",IF(AND(CJ78="",CK78=""),"",N(CK78)-N(CJ78)))</f>
        <v/>
      </c>
      <c r="CO78">
        <f>IF(OR(CJ$3="",CJ$3&gt;TODAY()),"",IF(AND(CM78="",CN78=""),"",N(CN78)-N(CM78)))</f>
        <v/>
      </c>
      <c r="CS78">
        <f>IF(OR(CQ$3="",CQ$3&gt;TODAY()),"",IF(AND(CQ78="",CR78=""),"",N(CR78)-N(CQ78)))</f>
        <v/>
      </c>
      <c r="CV78">
        <f>IF(OR(CQ$3="",CQ$3&gt;TODAY()),"",IF(AND(CT78="",CU78=""),"",N(CU78)-N(CT78)))</f>
        <v/>
      </c>
      <c r="CZ78">
        <f>IF(OR(CX$3="",CX$3&gt;TODAY()),"",IF(AND(CX78="",CY78=""),"",N(CY78)-N(CX78)))</f>
        <v/>
      </c>
      <c r="DC78">
        <f>IF(OR(CX$3="",CX$3&gt;TODAY()),"",IF(AND(DA78="",DB78=""),"",N(DB78)-N(DA78)))</f>
        <v/>
      </c>
      <c r="DG78">
        <f>IF(OR(DE$3="",DE$3&gt;TODAY()),"",IF(AND(DE78="",DF78=""),"",N(DF78)-N(DE78)))</f>
        <v/>
      </c>
      <c r="DJ78">
        <f>IF(OR(DE$3="",DE$3&gt;TODAY()),"",IF(AND(DH78="",DI78=""),"",N(DI78)-N(DH78)))</f>
        <v/>
      </c>
      <c r="DN78">
        <f>IF(OR(DL$3="",DL$3&gt;TODAY()),"",IF(AND(DL78="",DM78=""),"",N(DM78)-N(DL78)))</f>
        <v/>
      </c>
      <c r="DQ78">
        <f>IF(OR(DL$3="",DL$3&gt;TODAY()),"",IF(AND(DO78="",DP78=""),"",N(DP78)-N(DO78)))</f>
        <v/>
      </c>
      <c r="DU78">
        <f>IF(OR(DS$3="",DS$3&gt;TODAY()),"",IF(AND(DS78="",DT78=""),"",N(DT78)-N(DS78)))</f>
        <v/>
      </c>
      <c r="DX78">
        <f>IF(OR(DS$3="",DS$3&gt;TODAY()),"",IF(AND(DV78="",DW78=""),"",N(DW78)-N(DV78)))</f>
        <v/>
      </c>
      <c r="EB78">
        <f>IF(OR(DZ$3="",DZ$3&gt;TODAY()),"",IF(AND(DZ78="",EA78=""),"",N(EA78)-N(DZ78)))</f>
        <v/>
      </c>
      <c r="EE78">
        <f>IF(OR(DZ$3="",DZ$3&gt;TODAY()),"",IF(AND(EC78="",ED78=""),"",N(ED78)-N(EC78)))</f>
        <v/>
      </c>
      <c r="EI78">
        <f>IF(OR(EG$3="",EG$3&gt;TODAY()),"",IF(AND(EG78="",EH78=""),"",N(EH78)-N(EG78)))</f>
        <v/>
      </c>
      <c r="EL78">
        <f>IF(OR(EG$3="",EG$3&gt;TODAY()),"",IF(AND(EJ78="",EK78=""),"",N(EK78)-N(EJ78)))</f>
        <v/>
      </c>
      <c r="EP78">
        <f>IF(OR(EN$3="",EN$3&gt;TODAY()),"",IF(AND(EN78="",EO78=""),"",N(EO78)-N(EN78)))</f>
        <v/>
      </c>
      <c r="ES78">
        <f>IF(OR(EN$3="",EN$3&gt;TODAY()),"",IF(AND(EQ78="",ER78=""),"",N(ER78)-N(EQ78)))</f>
        <v/>
      </c>
      <c r="EW78">
        <f>IF(OR(EU$3="",EU$3&gt;TODAY()),"",IF(AND(EU78="",EV78=""),"",N(EV78)-N(EU78)))</f>
        <v/>
      </c>
      <c r="EZ78">
        <f>IF(OR(EU$3="",EU$3&gt;TODAY()),"",IF(AND(EX78="",EY78=""),"",N(EY78)-N(EX78)))</f>
        <v/>
      </c>
      <c r="FD78">
        <f>IF(OR(FB$3="",FB$3&gt;TODAY()),"",IF(AND(FB78="",FC78=""),"",N(FC78)-N(FB78)))</f>
        <v/>
      </c>
      <c r="FG78">
        <f>IF(OR(FB$3="",FB$3&gt;TODAY()),"",IF(AND(FE78="",FF78=""),"",N(FF78)-N(FE78)))</f>
        <v/>
      </c>
      <c r="FK78">
        <f>IF(OR(FI$3="",FI$3&gt;TODAY()),"",IF(AND(FI78="",FJ78=""),"",N(FJ78)-N(FI78)))</f>
        <v/>
      </c>
      <c r="FN78">
        <f>IF(OR(FI$3="",FI$3&gt;TODAY()),"",IF(AND(FL78="",FM78=""),"",N(FM78)-N(FL78)))</f>
        <v/>
      </c>
      <c r="FR78">
        <f>IF(OR(FP$3="",FP$3&gt;TODAY()),"",IF(AND(FP78="",FQ78=""),"",N(FQ78)-N(FP78)))</f>
        <v/>
      </c>
      <c r="FU78">
        <f>IF(OR(FP$3="",FP$3&gt;TODAY()),"",IF(AND(FS78="",FT78=""),"",N(FT78)-N(FS78)))</f>
        <v/>
      </c>
      <c r="FY78">
        <f>IF(OR(FW$3="",FW$3&gt;TODAY()),"",IF(AND(FW78="",FX78=""),"",N(FX78)-N(FW78)))</f>
        <v/>
      </c>
      <c r="GB78">
        <f>IF(OR(FW$3="",FW$3&gt;TODAY()),"",IF(AND(FZ78="",GA78=""),"",N(GA78)-N(FZ78)))</f>
        <v/>
      </c>
      <c r="GF78">
        <f>IF(OR(GD$3="",GD$3&gt;TODAY()),"",IF(AND(GD78="",GE78=""),"",N(GE78)-N(GD78)))</f>
        <v/>
      </c>
      <c r="GI78">
        <f>IF(OR(GD$3="",GD$3&gt;TODAY()),"",IF(AND(GG78="",GH78=""),"",N(GH78)-N(GG78)))</f>
        <v/>
      </c>
      <c r="GM78">
        <f>IF(OR(GK$3="",GK$3&gt;TODAY()),"",IF(AND(GK78="",GL78=""),"",N(GL78)-N(GK78)))</f>
        <v/>
      </c>
      <c r="GP78">
        <f>IF(OR(GK$3="",GK$3&gt;TODAY()),"",IF(AND(GN78="",GO78=""),"",N(GO78)-N(GN78)))</f>
        <v/>
      </c>
      <c r="GT78">
        <f>IF(OR(GR$3="",GR$3&gt;TODAY()),"",IF(AND(GR78="",GS78=""),"",N(GS78)-N(GR78)))</f>
        <v/>
      </c>
      <c r="GW78">
        <f>IF(OR(GR$3="",GR$3&gt;TODAY()),"",IF(AND(GU78="",GV78=""),"",N(GV78)-N(GU78)))</f>
        <v/>
      </c>
      <c r="HA78">
        <f>IF(OR(GY$3="",GY$3&gt;TODAY()),"",IF(AND(GY78="",GZ78=""),"",N(GZ78)-N(GY78)))</f>
        <v/>
      </c>
      <c r="HD78">
        <f>IF(OR(GY$3="",GY$3&gt;TODAY()),"",IF(AND(HB78="",HC78=""),"",N(HC78)-N(HB78)))</f>
        <v/>
      </c>
      <c r="HH78">
        <f>IF(OR(HF$3="",HF$3&gt;TODAY()),"",IF(AND(HF78="",HG78=""),"",N(HG78)-N(HF78)))</f>
        <v/>
      </c>
      <c r="HK78">
        <f>IF(OR(HF$3="",HF$3&gt;TODAY()),"",IF(AND(HI78="",HJ78=""),"",N(HJ78)-N(HI78)))</f>
        <v/>
      </c>
      <c r="HO78">
        <f>IF(OR(HM$3="",HM$3&gt;TODAY()),"",IF(AND(HM78="",HN78=""),"",N(HN78)-N(HM78)))</f>
        <v/>
      </c>
      <c r="HR78">
        <f>IF(OR(HM$3="",HM$3&gt;TODAY()),"",IF(AND(HP78="",HQ78=""),"",N(HQ78)-N(HP78)))</f>
        <v/>
      </c>
      <c r="HV78">
        <f>IF(OR(HT$3="",HT$3&gt;TODAY()),"",IF(AND(HT78="",HU78=""),"",N(HU78)-N(HT78)))</f>
        <v/>
      </c>
      <c r="HY78">
        <f>IF(OR(HT$3="",HT$3&gt;TODAY()),"",IF(AND(HW78="",HX78=""),"",N(HX78)-N(HW78)))</f>
        <v/>
      </c>
      <c r="IC78">
        <f>IF(OR(IA$3="",IA$3&gt;TODAY()),"",IF(AND(IA78="",IB78=""),"",N(IB78)-N(IA78)))</f>
        <v/>
      </c>
      <c r="IF78">
        <f>IF(OR(IA$3="",IA$3&gt;TODAY()),"",IF(AND(ID78="",IE78=""),"",N(IE78)-N(ID78)))</f>
        <v/>
      </c>
      <c r="IJ78">
        <f>IF(OR(IH$3="",IH$3&gt;TODAY()),"",IF(AND(IH78="",II78=""),"",N(II78)-N(IH78)))</f>
        <v/>
      </c>
      <c r="IM78">
        <f>IF(OR(IH$3="",IH$3&gt;TODAY()),"",IF(AND(IK78="",IL78=""),"",N(IL78)-N(IK78)))</f>
        <v/>
      </c>
    </row>
    <row r="79">
      <c r="A79" s="21" t="n"/>
      <c r="B79" s="21" t="n"/>
      <c r="C79" s="21" t="n"/>
      <c r="D79" s="21" t="n"/>
      <c r="E79" s="21" t="n"/>
      <c r="F79" s="21" t="n"/>
      <c r="G79" s="21" t="n"/>
      <c r="H79" s="21" t="n"/>
      <c r="I79" s="22" t="n"/>
      <c r="J79" s="22" t="n"/>
      <c r="K79" s="23" t="n"/>
      <c r="L79" s="22" t="n"/>
      <c r="M79" s="22" t="n"/>
      <c r="N79" s="21" t="n"/>
      <c r="O79" s="23" t="n"/>
      <c r="P79" s="23" t="n"/>
      <c r="Q79" s="23" t="n"/>
      <c r="R79" s="23" t="n"/>
      <c r="S79" s="22" t="n"/>
      <c r="T79" s="23" t="n"/>
      <c r="U79" s="23" t="n"/>
      <c r="V79" s="24">
        <f>IF(J79&lt;&gt;"",J79,IF(I79&lt;&gt;"",I79,""))</f>
        <v/>
      </c>
      <c r="W79" s="25">
        <f>IF($E79="","",N(O79)+SUMIFS($AF79:$IN79,$AF$4:$IN$4,"SEW_ACT"))</f>
        <v/>
      </c>
      <c r="X79" s="25">
        <f>IF($E79="","",N(P79)+SUMIFS($AF79:$IN79,$AF$4:$IN$4,"WASH_ACT"))</f>
        <v/>
      </c>
      <c r="Y79" s="25">
        <f>IF($E79="","",W79-X79-N(T79)-N(U79))</f>
        <v/>
      </c>
      <c r="Z79" s="25">
        <f>IF($E79="","",IF(N(K79)-X79&lt;=0.02*N(K79),0,N(K79)-X79))</f>
        <v/>
      </c>
      <c r="AA79" s="24">
        <f>IF($E79="","",IF(S79&lt;&gt;"",S79,IF(N(O79)&gt;0,IF(L79&lt;&gt;"",L79,99999),IFERROR(1/(1/_xlfn.MINIFS($AF$3:$IN$3,$AF$4:$IN$4,"SEW_ACT",$AF79:$IN79,"&gt;0")),99999))))</f>
        <v/>
      </c>
      <c r="AB79" s="26">
        <f>IF(OR($E79="",Z79=0,V79=""),"",1+COUNTIFS(Z$8:Z$707,"&gt;0",V$8:V$707,"&lt;"&amp;V79)+COUNTIFS(Z$8:Z$707,"&gt;0",V$8:V$707,V79,AA$8:AA$707,"&lt;"&amp;AA79)+COUNTIFS(Z$8:Z$707,"&gt;0",V$8:V$707,V79,AA$8:AA$707,AA79,E$8:E$707,"&lt;"&amp;$E79))</f>
        <v/>
      </c>
      <c r="AC79" s="24">
        <f>IF(OR($E79="",Z79=0),"",IFERROR(TODAY()+ROUNDUP(Z79/(SUMIFS($AF79:$IN79,$AF$4:$IN$4,"WASH_ACT")/COUNTIFS($AF$4:$IN$4,"WASH_ACT",$AF79:$IN79,"&gt;0")),0),"no output yet"))</f>
        <v/>
      </c>
      <c r="AD79" s="26">
        <f>IF($E79="","",IFERROR(ROUND(MAX(0,SUMIFS($AF79:$IN79,$AF$4:$IN$4,"SEW_PLAN",$AF$3:$IN$3,"&lt;="&amp;TODAY())-SUMIFS($AF79:$IN79,$AF$4:$IN$4,"SEW_ACT",$AF$3:$IN$3,"&lt;="&amp;TODAY())+N(Q79))/(SUMIFS($AF79:$IN79,$AF$4:$IN$4,"SEW_PLAN")/COUNTIFS($AF$4:$IN$4,"SEW_PLAN",$AF79:$IN79,"&gt;0")),1),0))</f>
        <v/>
      </c>
      <c r="AE79" s="26">
        <f>IF($E79="","",IF(AND(Z79&gt;0,OR(AND(M79&lt;&gt;"",TODAY()&gt;M79),AND(V79&lt;&gt;"",V79-TODAY()&lt;=7))),"Yes","No"))</f>
        <v/>
      </c>
      <c r="AH79">
        <f>IF(OR(AF$3="",AF$3&gt;TODAY()),"",IF(AND(AF79="",AG79=""),"",N(AG79)-N(AF79)))</f>
        <v/>
      </c>
      <c r="AK79">
        <f>IF(OR(AF$3="",AF$3&gt;TODAY()),"",IF(AND(AI79="",AJ79=""),"",N(AJ79)-N(AI79)))</f>
        <v/>
      </c>
      <c r="AO79">
        <f>IF(OR(AM$3="",AM$3&gt;TODAY()),"",IF(AND(AM79="",AN79=""),"",N(AN79)-N(AM79)))</f>
        <v/>
      </c>
      <c r="AR79">
        <f>IF(OR(AM$3="",AM$3&gt;TODAY()),"",IF(AND(AP79="",AQ79=""),"",N(AQ79)-N(AP79)))</f>
        <v/>
      </c>
      <c r="AV79">
        <f>IF(OR(AT$3="",AT$3&gt;TODAY()),"",IF(AND(AT79="",AU79=""),"",N(AU79)-N(AT79)))</f>
        <v/>
      </c>
      <c r="AY79">
        <f>IF(OR(AT$3="",AT$3&gt;TODAY()),"",IF(AND(AW79="",AX79=""),"",N(AX79)-N(AW79)))</f>
        <v/>
      </c>
      <c r="BC79">
        <f>IF(OR(BA$3="",BA$3&gt;TODAY()),"",IF(AND(BA79="",BB79=""),"",N(BB79)-N(BA79)))</f>
        <v/>
      </c>
      <c r="BF79">
        <f>IF(OR(BA$3="",BA$3&gt;TODAY()),"",IF(AND(BD79="",BE79=""),"",N(BE79)-N(BD79)))</f>
        <v/>
      </c>
      <c r="BJ79">
        <f>IF(OR(BH$3="",BH$3&gt;TODAY()),"",IF(AND(BH79="",BI79=""),"",N(BI79)-N(BH79)))</f>
        <v/>
      </c>
      <c r="BM79">
        <f>IF(OR(BH$3="",BH$3&gt;TODAY()),"",IF(AND(BK79="",BL79=""),"",N(BL79)-N(BK79)))</f>
        <v/>
      </c>
      <c r="BQ79">
        <f>IF(OR(BO$3="",BO$3&gt;TODAY()),"",IF(AND(BO79="",BP79=""),"",N(BP79)-N(BO79)))</f>
        <v/>
      </c>
      <c r="BT79">
        <f>IF(OR(BO$3="",BO$3&gt;TODAY()),"",IF(AND(BR79="",BS79=""),"",N(BS79)-N(BR79)))</f>
        <v/>
      </c>
      <c r="BX79">
        <f>IF(OR(BV$3="",BV$3&gt;TODAY()),"",IF(AND(BV79="",BW79=""),"",N(BW79)-N(BV79)))</f>
        <v/>
      </c>
      <c r="CA79">
        <f>IF(OR(BV$3="",BV$3&gt;TODAY()),"",IF(AND(BY79="",BZ79=""),"",N(BZ79)-N(BY79)))</f>
        <v/>
      </c>
      <c r="CE79">
        <f>IF(OR(CC$3="",CC$3&gt;TODAY()),"",IF(AND(CC79="",CD79=""),"",N(CD79)-N(CC79)))</f>
        <v/>
      </c>
      <c r="CH79">
        <f>IF(OR(CC$3="",CC$3&gt;TODAY()),"",IF(AND(CF79="",CG79=""),"",N(CG79)-N(CF79)))</f>
        <v/>
      </c>
      <c r="CL79">
        <f>IF(OR(CJ$3="",CJ$3&gt;TODAY()),"",IF(AND(CJ79="",CK79=""),"",N(CK79)-N(CJ79)))</f>
        <v/>
      </c>
      <c r="CO79">
        <f>IF(OR(CJ$3="",CJ$3&gt;TODAY()),"",IF(AND(CM79="",CN79=""),"",N(CN79)-N(CM79)))</f>
        <v/>
      </c>
      <c r="CS79">
        <f>IF(OR(CQ$3="",CQ$3&gt;TODAY()),"",IF(AND(CQ79="",CR79=""),"",N(CR79)-N(CQ79)))</f>
        <v/>
      </c>
      <c r="CV79">
        <f>IF(OR(CQ$3="",CQ$3&gt;TODAY()),"",IF(AND(CT79="",CU79=""),"",N(CU79)-N(CT79)))</f>
        <v/>
      </c>
      <c r="CZ79">
        <f>IF(OR(CX$3="",CX$3&gt;TODAY()),"",IF(AND(CX79="",CY79=""),"",N(CY79)-N(CX79)))</f>
        <v/>
      </c>
      <c r="DC79">
        <f>IF(OR(CX$3="",CX$3&gt;TODAY()),"",IF(AND(DA79="",DB79=""),"",N(DB79)-N(DA79)))</f>
        <v/>
      </c>
      <c r="DG79">
        <f>IF(OR(DE$3="",DE$3&gt;TODAY()),"",IF(AND(DE79="",DF79=""),"",N(DF79)-N(DE79)))</f>
        <v/>
      </c>
      <c r="DJ79">
        <f>IF(OR(DE$3="",DE$3&gt;TODAY()),"",IF(AND(DH79="",DI79=""),"",N(DI79)-N(DH79)))</f>
        <v/>
      </c>
      <c r="DN79">
        <f>IF(OR(DL$3="",DL$3&gt;TODAY()),"",IF(AND(DL79="",DM79=""),"",N(DM79)-N(DL79)))</f>
        <v/>
      </c>
      <c r="DQ79">
        <f>IF(OR(DL$3="",DL$3&gt;TODAY()),"",IF(AND(DO79="",DP79=""),"",N(DP79)-N(DO79)))</f>
        <v/>
      </c>
      <c r="DU79">
        <f>IF(OR(DS$3="",DS$3&gt;TODAY()),"",IF(AND(DS79="",DT79=""),"",N(DT79)-N(DS79)))</f>
        <v/>
      </c>
      <c r="DX79">
        <f>IF(OR(DS$3="",DS$3&gt;TODAY()),"",IF(AND(DV79="",DW79=""),"",N(DW79)-N(DV79)))</f>
        <v/>
      </c>
      <c r="EB79">
        <f>IF(OR(DZ$3="",DZ$3&gt;TODAY()),"",IF(AND(DZ79="",EA79=""),"",N(EA79)-N(DZ79)))</f>
        <v/>
      </c>
      <c r="EE79">
        <f>IF(OR(DZ$3="",DZ$3&gt;TODAY()),"",IF(AND(EC79="",ED79=""),"",N(ED79)-N(EC79)))</f>
        <v/>
      </c>
      <c r="EI79">
        <f>IF(OR(EG$3="",EG$3&gt;TODAY()),"",IF(AND(EG79="",EH79=""),"",N(EH79)-N(EG79)))</f>
        <v/>
      </c>
      <c r="EL79">
        <f>IF(OR(EG$3="",EG$3&gt;TODAY()),"",IF(AND(EJ79="",EK79=""),"",N(EK79)-N(EJ79)))</f>
        <v/>
      </c>
      <c r="EP79">
        <f>IF(OR(EN$3="",EN$3&gt;TODAY()),"",IF(AND(EN79="",EO79=""),"",N(EO79)-N(EN79)))</f>
        <v/>
      </c>
      <c r="ES79">
        <f>IF(OR(EN$3="",EN$3&gt;TODAY()),"",IF(AND(EQ79="",ER79=""),"",N(ER79)-N(EQ79)))</f>
        <v/>
      </c>
      <c r="EW79">
        <f>IF(OR(EU$3="",EU$3&gt;TODAY()),"",IF(AND(EU79="",EV79=""),"",N(EV79)-N(EU79)))</f>
        <v/>
      </c>
      <c r="EZ79">
        <f>IF(OR(EU$3="",EU$3&gt;TODAY()),"",IF(AND(EX79="",EY79=""),"",N(EY79)-N(EX79)))</f>
        <v/>
      </c>
      <c r="FD79">
        <f>IF(OR(FB$3="",FB$3&gt;TODAY()),"",IF(AND(FB79="",FC79=""),"",N(FC79)-N(FB79)))</f>
        <v/>
      </c>
      <c r="FG79">
        <f>IF(OR(FB$3="",FB$3&gt;TODAY()),"",IF(AND(FE79="",FF79=""),"",N(FF79)-N(FE79)))</f>
        <v/>
      </c>
      <c r="FK79">
        <f>IF(OR(FI$3="",FI$3&gt;TODAY()),"",IF(AND(FI79="",FJ79=""),"",N(FJ79)-N(FI79)))</f>
        <v/>
      </c>
      <c r="FN79">
        <f>IF(OR(FI$3="",FI$3&gt;TODAY()),"",IF(AND(FL79="",FM79=""),"",N(FM79)-N(FL79)))</f>
        <v/>
      </c>
      <c r="FR79">
        <f>IF(OR(FP$3="",FP$3&gt;TODAY()),"",IF(AND(FP79="",FQ79=""),"",N(FQ79)-N(FP79)))</f>
        <v/>
      </c>
      <c r="FU79">
        <f>IF(OR(FP$3="",FP$3&gt;TODAY()),"",IF(AND(FS79="",FT79=""),"",N(FT79)-N(FS79)))</f>
        <v/>
      </c>
      <c r="FY79">
        <f>IF(OR(FW$3="",FW$3&gt;TODAY()),"",IF(AND(FW79="",FX79=""),"",N(FX79)-N(FW79)))</f>
        <v/>
      </c>
      <c r="GB79">
        <f>IF(OR(FW$3="",FW$3&gt;TODAY()),"",IF(AND(FZ79="",GA79=""),"",N(GA79)-N(FZ79)))</f>
        <v/>
      </c>
      <c r="GF79">
        <f>IF(OR(GD$3="",GD$3&gt;TODAY()),"",IF(AND(GD79="",GE79=""),"",N(GE79)-N(GD79)))</f>
        <v/>
      </c>
      <c r="GI79">
        <f>IF(OR(GD$3="",GD$3&gt;TODAY()),"",IF(AND(GG79="",GH79=""),"",N(GH79)-N(GG79)))</f>
        <v/>
      </c>
      <c r="GM79">
        <f>IF(OR(GK$3="",GK$3&gt;TODAY()),"",IF(AND(GK79="",GL79=""),"",N(GL79)-N(GK79)))</f>
        <v/>
      </c>
      <c r="GP79">
        <f>IF(OR(GK$3="",GK$3&gt;TODAY()),"",IF(AND(GN79="",GO79=""),"",N(GO79)-N(GN79)))</f>
        <v/>
      </c>
      <c r="GT79">
        <f>IF(OR(GR$3="",GR$3&gt;TODAY()),"",IF(AND(GR79="",GS79=""),"",N(GS79)-N(GR79)))</f>
        <v/>
      </c>
      <c r="GW79">
        <f>IF(OR(GR$3="",GR$3&gt;TODAY()),"",IF(AND(GU79="",GV79=""),"",N(GV79)-N(GU79)))</f>
        <v/>
      </c>
      <c r="HA79">
        <f>IF(OR(GY$3="",GY$3&gt;TODAY()),"",IF(AND(GY79="",GZ79=""),"",N(GZ79)-N(GY79)))</f>
        <v/>
      </c>
      <c r="HD79">
        <f>IF(OR(GY$3="",GY$3&gt;TODAY()),"",IF(AND(HB79="",HC79=""),"",N(HC79)-N(HB79)))</f>
        <v/>
      </c>
      <c r="HH79">
        <f>IF(OR(HF$3="",HF$3&gt;TODAY()),"",IF(AND(HF79="",HG79=""),"",N(HG79)-N(HF79)))</f>
        <v/>
      </c>
      <c r="HK79">
        <f>IF(OR(HF$3="",HF$3&gt;TODAY()),"",IF(AND(HI79="",HJ79=""),"",N(HJ79)-N(HI79)))</f>
        <v/>
      </c>
      <c r="HO79">
        <f>IF(OR(HM$3="",HM$3&gt;TODAY()),"",IF(AND(HM79="",HN79=""),"",N(HN79)-N(HM79)))</f>
        <v/>
      </c>
      <c r="HR79">
        <f>IF(OR(HM$3="",HM$3&gt;TODAY()),"",IF(AND(HP79="",HQ79=""),"",N(HQ79)-N(HP79)))</f>
        <v/>
      </c>
      <c r="HV79">
        <f>IF(OR(HT$3="",HT$3&gt;TODAY()),"",IF(AND(HT79="",HU79=""),"",N(HU79)-N(HT79)))</f>
        <v/>
      </c>
      <c r="HY79">
        <f>IF(OR(HT$3="",HT$3&gt;TODAY()),"",IF(AND(HW79="",HX79=""),"",N(HX79)-N(HW79)))</f>
        <v/>
      </c>
      <c r="IC79">
        <f>IF(OR(IA$3="",IA$3&gt;TODAY()),"",IF(AND(IA79="",IB79=""),"",N(IB79)-N(IA79)))</f>
        <v/>
      </c>
      <c r="IF79">
        <f>IF(OR(IA$3="",IA$3&gt;TODAY()),"",IF(AND(ID79="",IE79=""),"",N(IE79)-N(ID79)))</f>
        <v/>
      </c>
      <c r="IJ79">
        <f>IF(OR(IH$3="",IH$3&gt;TODAY()),"",IF(AND(IH79="",II79=""),"",N(II79)-N(IH79)))</f>
        <v/>
      </c>
      <c r="IM79">
        <f>IF(OR(IH$3="",IH$3&gt;TODAY()),"",IF(AND(IK79="",IL79=""),"",N(IL79)-N(IK79)))</f>
        <v/>
      </c>
    </row>
    <row r="80">
      <c r="A80" s="21" t="n"/>
      <c r="B80" s="21" t="n"/>
      <c r="C80" s="21" t="n"/>
      <c r="D80" s="21" t="n"/>
      <c r="E80" s="21" t="n"/>
      <c r="F80" s="21" t="n"/>
      <c r="G80" s="21" t="n"/>
      <c r="H80" s="21" t="n"/>
      <c r="I80" s="22" t="n"/>
      <c r="J80" s="22" t="n"/>
      <c r="K80" s="23" t="n"/>
      <c r="L80" s="22" t="n"/>
      <c r="M80" s="22" t="n"/>
      <c r="N80" s="21" t="n"/>
      <c r="O80" s="23" t="n"/>
      <c r="P80" s="23" t="n"/>
      <c r="Q80" s="23" t="n"/>
      <c r="R80" s="23" t="n"/>
      <c r="S80" s="22" t="n"/>
      <c r="T80" s="23" t="n"/>
      <c r="U80" s="23" t="n"/>
      <c r="V80" s="24">
        <f>IF(J80&lt;&gt;"",J80,IF(I80&lt;&gt;"",I80,""))</f>
        <v/>
      </c>
      <c r="W80" s="25">
        <f>IF($E80="","",N(O80)+SUMIFS($AF80:$IN80,$AF$4:$IN$4,"SEW_ACT"))</f>
        <v/>
      </c>
      <c r="X80" s="25">
        <f>IF($E80="","",N(P80)+SUMIFS($AF80:$IN80,$AF$4:$IN$4,"WASH_ACT"))</f>
        <v/>
      </c>
      <c r="Y80" s="25">
        <f>IF($E80="","",W80-X80-N(T80)-N(U80))</f>
        <v/>
      </c>
      <c r="Z80" s="25">
        <f>IF($E80="","",IF(N(K80)-X80&lt;=0.02*N(K80),0,N(K80)-X80))</f>
        <v/>
      </c>
      <c r="AA80" s="24">
        <f>IF($E80="","",IF(S80&lt;&gt;"",S80,IF(N(O80)&gt;0,IF(L80&lt;&gt;"",L80,99999),IFERROR(1/(1/_xlfn.MINIFS($AF$3:$IN$3,$AF$4:$IN$4,"SEW_ACT",$AF80:$IN80,"&gt;0")),99999))))</f>
        <v/>
      </c>
      <c r="AB80" s="26">
        <f>IF(OR($E80="",Z80=0,V80=""),"",1+COUNTIFS(Z$8:Z$707,"&gt;0",V$8:V$707,"&lt;"&amp;V80)+COUNTIFS(Z$8:Z$707,"&gt;0",V$8:V$707,V80,AA$8:AA$707,"&lt;"&amp;AA80)+COUNTIFS(Z$8:Z$707,"&gt;0",V$8:V$707,V80,AA$8:AA$707,AA80,E$8:E$707,"&lt;"&amp;$E80))</f>
        <v/>
      </c>
      <c r="AC80" s="24">
        <f>IF(OR($E80="",Z80=0),"",IFERROR(TODAY()+ROUNDUP(Z80/(SUMIFS($AF80:$IN80,$AF$4:$IN$4,"WASH_ACT")/COUNTIFS($AF$4:$IN$4,"WASH_ACT",$AF80:$IN80,"&gt;0")),0),"no output yet"))</f>
        <v/>
      </c>
      <c r="AD80" s="26">
        <f>IF($E80="","",IFERROR(ROUND(MAX(0,SUMIFS($AF80:$IN80,$AF$4:$IN$4,"SEW_PLAN",$AF$3:$IN$3,"&lt;="&amp;TODAY())-SUMIFS($AF80:$IN80,$AF$4:$IN$4,"SEW_ACT",$AF$3:$IN$3,"&lt;="&amp;TODAY())+N(Q80))/(SUMIFS($AF80:$IN80,$AF$4:$IN$4,"SEW_PLAN")/COUNTIFS($AF$4:$IN$4,"SEW_PLAN",$AF80:$IN80,"&gt;0")),1),0))</f>
        <v/>
      </c>
      <c r="AE80" s="26">
        <f>IF($E80="","",IF(AND(Z80&gt;0,OR(AND(M80&lt;&gt;"",TODAY()&gt;M80),AND(V80&lt;&gt;"",V80-TODAY()&lt;=7))),"Yes","No"))</f>
        <v/>
      </c>
      <c r="AH80">
        <f>IF(OR(AF$3="",AF$3&gt;TODAY()),"",IF(AND(AF80="",AG80=""),"",N(AG80)-N(AF80)))</f>
        <v/>
      </c>
      <c r="AK80">
        <f>IF(OR(AF$3="",AF$3&gt;TODAY()),"",IF(AND(AI80="",AJ80=""),"",N(AJ80)-N(AI80)))</f>
        <v/>
      </c>
      <c r="AO80">
        <f>IF(OR(AM$3="",AM$3&gt;TODAY()),"",IF(AND(AM80="",AN80=""),"",N(AN80)-N(AM80)))</f>
        <v/>
      </c>
      <c r="AR80">
        <f>IF(OR(AM$3="",AM$3&gt;TODAY()),"",IF(AND(AP80="",AQ80=""),"",N(AQ80)-N(AP80)))</f>
        <v/>
      </c>
      <c r="AV80">
        <f>IF(OR(AT$3="",AT$3&gt;TODAY()),"",IF(AND(AT80="",AU80=""),"",N(AU80)-N(AT80)))</f>
        <v/>
      </c>
      <c r="AY80">
        <f>IF(OR(AT$3="",AT$3&gt;TODAY()),"",IF(AND(AW80="",AX80=""),"",N(AX80)-N(AW80)))</f>
        <v/>
      </c>
      <c r="BC80">
        <f>IF(OR(BA$3="",BA$3&gt;TODAY()),"",IF(AND(BA80="",BB80=""),"",N(BB80)-N(BA80)))</f>
        <v/>
      </c>
      <c r="BF80">
        <f>IF(OR(BA$3="",BA$3&gt;TODAY()),"",IF(AND(BD80="",BE80=""),"",N(BE80)-N(BD80)))</f>
        <v/>
      </c>
      <c r="BJ80">
        <f>IF(OR(BH$3="",BH$3&gt;TODAY()),"",IF(AND(BH80="",BI80=""),"",N(BI80)-N(BH80)))</f>
        <v/>
      </c>
      <c r="BM80">
        <f>IF(OR(BH$3="",BH$3&gt;TODAY()),"",IF(AND(BK80="",BL80=""),"",N(BL80)-N(BK80)))</f>
        <v/>
      </c>
      <c r="BQ80">
        <f>IF(OR(BO$3="",BO$3&gt;TODAY()),"",IF(AND(BO80="",BP80=""),"",N(BP80)-N(BO80)))</f>
        <v/>
      </c>
      <c r="BT80">
        <f>IF(OR(BO$3="",BO$3&gt;TODAY()),"",IF(AND(BR80="",BS80=""),"",N(BS80)-N(BR80)))</f>
        <v/>
      </c>
      <c r="BX80">
        <f>IF(OR(BV$3="",BV$3&gt;TODAY()),"",IF(AND(BV80="",BW80=""),"",N(BW80)-N(BV80)))</f>
        <v/>
      </c>
      <c r="CA80">
        <f>IF(OR(BV$3="",BV$3&gt;TODAY()),"",IF(AND(BY80="",BZ80=""),"",N(BZ80)-N(BY80)))</f>
        <v/>
      </c>
      <c r="CE80">
        <f>IF(OR(CC$3="",CC$3&gt;TODAY()),"",IF(AND(CC80="",CD80=""),"",N(CD80)-N(CC80)))</f>
        <v/>
      </c>
      <c r="CH80">
        <f>IF(OR(CC$3="",CC$3&gt;TODAY()),"",IF(AND(CF80="",CG80=""),"",N(CG80)-N(CF80)))</f>
        <v/>
      </c>
      <c r="CL80">
        <f>IF(OR(CJ$3="",CJ$3&gt;TODAY()),"",IF(AND(CJ80="",CK80=""),"",N(CK80)-N(CJ80)))</f>
        <v/>
      </c>
      <c r="CO80">
        <f>IF(OR(CJ$3="",CJ$3&gt;TODAY()),"",IF(AND(CM80="",CN80=""),"",N(CN80)-N(CM80)))</f>
        <v/>
      </c>
      <c r="CS80">
        <f>IF(OR(CQ$3="",CQ$3&gt;TODAY()),"",IF(AND(CQ80="",CR80=""),"",N(CR80)-N(CQ80)))</f>
        <v/>
      </c>
      <c r="CV80">
        <f>IF(OR(CQ$3="",CQ$3&gt;TODAY()),"",IF(AND(CT80="",CU80=""),"",N(CU80)-N(CT80)))</f>
        <v/>
      </c>
      <c r="CZ80">
        <f>IF(OR(CX$3="",CX$3&gt;TODAY()),"",IF(AND(CX80="",CY80=""),"",N(CY80)-N(CX80)))</f>
        <v/>
      </c>
      <c r="DC80">
        <f>IF(OR(CX$3="",CX$3&gt;TODAY()),"",IF(AND(DA80="",DB80=""),"",N(DB80)-N(DA80)))</f>
        <v/>
      </c>
      <c r="DG80">
        <f>IF(OR(DE$3="",DE$3&gt;TODAY()),"",IF(AND(DE80="",DF80=""),"",N(DF80)-N(DE80)))</f>
        <v/>
      </c>
      <c r="DJ80">
        <f>IF(OR(DE$3="",DE$3&gt;TODAY()),"",IF(AND(DH80="",DI80=""),"",N(DI80)-N(DH80)))</f>
        <v/>
      </c>
      <c r="DN80">
        <f>IF(OR(DL$3="",DL$3&gt;TODAY()),"",IF(AND(DL80="",DM80=""),"",N(DM80)-N(DL80)))</f>
        <v/>
      </c>
      <c r="DQ80">
        <f>IF(OR(DL$3="",DL$3&gt;TODAY()),"",IF(AND(DO80="",DP80=""),"",N(DP80)-N(DO80)))</f>
        <v/>
      </c>
      <c r="DU80">
        <f>IF(OR(DS$3="",DS$3&gt;TODAY()),"",IF(AND(DS80="",DT80=""),"",N(DT80)-N(DS80)))</f>
        <v/>
      </c>
      <c r="DX80">
        <f>IF(OR(DS$3="",DS$3&gt;TODAY()),"",IF(AND(DV80="",DW80=""),"",N(DW80)-N(DV80)))</f>
        <v/>
      </c>
      <c r="EB80">
        <f>IF(OR(DZ$3="",DZ$3&gt;TODAY()),"",IF(AND(DZ80="",EA80=""),"",N(EA80)-N(DZ80)))</f>
        <v/>
      </c>
      <c r="EE80">
        <f>IF(OR(DZ$3="",DZ$3&gt;TODAY()),"",IF(AND(EC80="",ED80=""),"",N(ED80)-N(EC80)))</f>
        <v/>
      </c>
      <c r="EI80">
        <f>IF(OR(EG$3="",EG$3&gt;TODAY()),"",IF(AND(EG80="",EH80=""),"",N(EH80)-N(EG80)))</f>
        <v/>
      </c>
      <c r="EL80">
        <f>IF(OR(EG$3="",EG$3&gt;TODAY()),"",IF(AND(EJ80="",EK80=""),"",N(EK80)-N(EJ80)))</f>
        <v/>
      </c>
      <c r="EP80">
        <f>IF(OR(EN$3="",EN$3&gt;TODAY()),"",IF(AND(EN80="",EO80=""),"",N(EO80)-N(EN80)))</f>
        <v/>
      </c>
      <c r="ES80">
        <f>IF(OR(EN$3="",EN$3&gt;TODAY()),"",IF(AND(EQ80="",ER80=""),"",N(ER80)-N(EQ80)))</f>
        <v/>
      </c>
      <c r="EW80">
        <f>IF(OR(EU$3="",EU$3&gt;TODAY()),"",IF(AND(EU80="",EV80=""),"",N(EV80)-N(EU80)))</f>
        <v/>
      </c>
      <c r="EZ80">
        <f>IF(OR(EU$3="",EU$3&gt;TODAY()),"",IF(AND(EX80="",EY80=""),"",N(EY80)-N(EX80)))</f>
        <v/>
      </c>
      <c r="FD80">
        <f>IF(OR(FB$3="",FB$3&gt;TODAY()),"",IF(AND(FB80="",FC80=""),"",N(FC80)-N(FB80)))</f>
        <v/>
      </c>
      <c r="FG80">
        <f>IF(OR(FB$3="",FB$3&gt;TODAY()),"",IF(AND(FE80="",FF80=""),"",N(FF80)-N(FE80)))</f>
        <v/>
      </c>
      <c r="FK80">
        <f>IF(OR(FI$3="",FI$3&gt;TODAY()),"",IF(AND(FI80="",FJ80=""),"",N(FJ80)-N(FI80)))</f>
        <v/>
      </c>
      <c r="FN80">
        <f>IF(OR(FI$3="",FI$3&gt;TODAY()),"",IF(AND(FL80="",FM80=""),"",N(FM80)-N(FL80)))</f>
        <v/>
      </c>
      <c r="FR80">
        <f>IF(OR(FP$3="",FP$3&gt;TODAY()),"",IF(AND(FP80="",FQ80=""),"",N(FQ80)-N(FP80)))</f>
        <v/>
      </c>
      <c r="FU80">
        <f>IF(OR(FP$3="",FP$3&gt;TODAY()),"",IF(AND(FS80="",FT80=""),"",N(FT80)-N(FS80)))</f>
        <v/>
      </c>
      <c r="FY80">
        <f>IF(OR(FW$3="",FW$3&gt;TODAY()),"",IF(AND(FW80="",FX80=""),"",N(FX80)-N(FW80)))</f>
        <v/>
      </c>
      <c r="GB80">
        <f>IF(OR(FW$3="",FW$3&gt;TODAY()),"",IF(AND(FZ80="",GA80=""),"",N(GA80)-N(FZ80)))</f>
        <v/>
      </c>
      <c r="GF80">
        <f>IF(OR(GD$3="",GD$3&gt;TODAY()),"",IF(AND(GD80="",GE80=""),"",N(GE80)-N(GD80)))</f>
        <v/>
      </c>
      <c r="GI80">
        <f>IF(OR(GD$3="",GD$3&gt;TODAY()),"",IF(AND(GG80="",GH80=""),"",N(GH80)-N(GG80)))</f>
        <v/>
      </c>
      <c r="GM80">
        <f>IF(OR(GK$3="",GK$3&gt;TODAY()),"",IF(AND(GK80="",GL80=""),"",N(GL80)-N(GK80)))</f>
        <v/>
      </c>
      <c r="GP80">
        <f>IF(OR(GK$3="",GK$3&gt;TODAY()),"",IF(AND(GN80="",GO80=""),"",N(GO80)-N(GN80)))</f>
        <v/>
      </c>
      <c r="GT80">
        <f>IF(OR(GR$3="",GR$3&gt;TODAY()),"",IF(AND(GR80="",GS80=""),"",N(GS80)-N(GR80)))</f>
        <v/>
      </c>
      <c r="GW80">
        <f>IF(OR(GR$3="",GR$3&gt;TODAY()),"",IF(AND(GU80="",GV80=""),"",N(GV80)-N(GU80)))</f>
        <v/>
      </c>
      <c r="HA80">
        <f>IF(OR(GY$3="",GY$3&gt;TODAY()),"",IF(AND(GY80="",GZ80=""),"",N(GZ80)-N(GY80)))</f>
        <v/>
      </c>
      <c r="HD80">
        <f>IF(OR(GY$3="",GY$3&gt;TODAY()),"",IF(AND(HB80="",HC80=""),"",N(HC80)-N(HB80)))</f>
        <v/>
      </c>
      <c r="HH80">
        <f>IF(OR(HF$3="",HF$3&gt;TODAY()),"",IF(AND(HF80="",HG80=""),"",N(HG80)-N(HF80)))</f>
        <v/>
      </c>
      <c r="HK80">
        <f>IF(OR(HF$3="",HF$3&gt;TODAY()),"",IF(AND(HI80="",HJ80=""),"",N(HJ80)-N(HI80)))</f>
        <v/>
      </c>
      <c r="HO80">
        <f>IF(OR(HM$3="",HM$3&gt;TODAY()),"",IF(AND(HM80="",HN80=""),"",N(HN80)-N(HM80)))</f>
        <v/>
      </c>
      <c r="HR80">
        <f>IF(OR(HM$3="",HM$3&gt;TODAY()),"",IF(AND(HP80="",HQ80=""),"",N(HQ80)-N(HP80)))</f>
        <v/>
      </c>
      <c r="HV80">
        <f>IF(OR(HT$3="",HT$3&gt;TODAY()),"",IF(AND(HT80="",HU80=""),"",N(HU80)-N(HT80)))</f>
        <v/>
      </c>
      <c r="HY80">
        <f>IF(OR(HT$3="",HT$3&gt;TODAY()),"",IF(AND(HW80="",HX80=""),"",N(HX80)-N(HW80)))</f>
        <v/>
      </c>
      <c r="IC80">
        <f>IF(OR(IA$3="",IA$3&gt;TODAY()),"",IF(AND(IA80="",IB80=""),"",N(IB80)-N(IA80)))</f>
        <v/>
      </c>
      <c r="IF80">
        <f>IF(OR(IA$3="",IA$3&gt;TODAY()),"",IF(AND(ID80="",IE80=""),"",N(IE80)-N(ID80)))</f>
        <v/>
      </c>
      <c r="IJ80">
        <f>IF(OR(IH$3="",IH$3&gt;TODAY()),"",IF(AND(IH80="",II80=""),"",N(II80)-N(IH80)))</f>
        <v/>
      </c>
      <c r="IM80">
        <f>IF(OR(IH$3="",IH$3&gt;TODAY()),"",IF(AND(IK80="",IL80=""),"",N(IL80)-N(IK80)))</f>
        <v/>
      </c>
    </row>
    <row r="81">
      <c r="A81" s="21" t="n"/>
      <c r="B81" s="21" t="n"/>
      <c r="C81" s="21" t="n"/>
      <c r="D81" s="21" t="n"/>
      <c r="E81" s="21" t="n"/>
      <c r="F81" s="21" t="n"/>
      <c r="G81" s="21" t="n"/>
      <c r="H81" s="21" t="n"/>
      <c r="I81" s="22" t="n"/>
      <c r="J81" s="22" t="n"/>
      <c r="K81" s="23" t="n"/>
      <c r="L81" s="22" t="n"/>
      <c r="M81" s="22" t="n"/>
      <c r="N81" s="21" t="n"/>
      <c r="O81" s="23" t="n"/>
      <c r="P81" s="23" t="n"/>
      <c r="Q81" s="23" t="n"/>
      <c r="R81" s="23" t="n"/>
      <c r="S81" s="22" t="n"/>
      <c r="T81" s="23" t="n"/>
      <c r="U81" s="23" t="n"/>
      <c r="V81" s="24">
        <f>IF(J81&lt;&gt;"",J81,IF(I81&lt;&gt;"",I81,""))</f>
        <v/>
      </c>
      <c r="W81" s="25">
        <f>IF($E81="","",N(O81)+SUMIFS($AF81:$IN81,$AF$4:$IN$4,"SEW_ACT"))</f>
        <v/>
      </c>
      <c r="X81" s="25">
        <f>IF($E81="","",N(P81)+SUMIFS($AF81:$IN81,$AF$4:$IN$4,"WASH_ACT"))</f>
        <v/>
      </c>
      <c r="Y81" s="25">
        <f>IF($E81="","",W81-X81-N(T81)-N(U81))</f>
        <v/>
      </c>
      <c r="Z81" s="25">
        <f>IF($E81="","",IF(N(K81)-X81&lt;=0.02*N(K81),0,N(K81)-X81))</f>
        <v/>
      </c>
      <c r="AA81" s="24">
        <f>IF($E81="","",IF(S81&lt;&gt;"",S81,IF(N(O81)&gt;0,IF(L81&lt;&gt;"",L81,99999),IFERROR(1/(1/_xlfn.MINIFS($AF$3:$IN$3,$AF$4:$IN$4,"SEW_ACT",$AF81:$IN81,"&gt;0")),99999))))</f>
        <v/>
      </c>
      <c r="AB81" s="26">
        <f>IF(OR($E81="",Z81=0,V81=""),"",1+COUNTIFS(Z$8:Z$707,"&gt;0",V$8:V$707,"&lt;"&amp;V81)+COUNTIFS(Z$8:Z$707,"&gt;0",V$8:V$707,V81,AA$8:AA$707,"&lt;"&amp;AA81)+COUNTIFS(Z$8:Z$707,"&gt;0",V$8:V$707,V81,AA$8:AA$707,AA81,E$8:E$707,"&lt;"&amp;$E81))</f>
        <v/>
      </c>
      <c r="AC81" s="24">
        <f>IF(OR($E81="",Z81=0),"",IFERROR(TODAY()+ROUNDUP(Z81/(SUMIFS($AF81:$IN81,$AF$4:$IN$4,"WASH_ACT")/COUNTIFS($AF$4:$IN$4,"WASH_ACT",$AF81:$IN81,"&gt;0")),0),"no output yet"))</f>
        <v/>
      </c>
      <c r="AD81" s="26">
        <f>IF($E81="","",IFERROR(ROUND(MAX(0,SUMIFS($AF81:$IN81,$AF$4:$IN$4,"SEW_PLAN",$AF$3:$IN$3,"&lt;="&amp;TODAY())-SUMIFS($AF81:$IN81,$AF$4:$IN$4,"SEW_ACT",$AF$3:$IN$3,"&lt;="&amp;TODAY())+N(Q81))/(SUMIFS($AF81:$IN81,$AF$4:$IN$4,"SEW_PLAN")/COUNTIFS($AF$4:$IN$4,"SEW_PLAN",$AF81:$IN81,"&gt;0")),1),0))</f>
        <v/>
      </c>
      <c r="AE81" s="26">
        <f>IF($E81="","",IF(AND(Z81&gt;0,OR(AND(M81&lt;&gt;"",TODAY()&gt;M81),AND(V81&lt;&gt;"",V81-TODAY()&lt;=7))),"Yes","No"))</f>
        <v/>
      </c>
      <c r="AH81">
        <f>IF(OR(AF$3="",AF$3&gt;TODAY()),"",IF(AND(AF81="",AG81=""),"",N(AG81)-N(AF81)))</f>
        <v/>
      </c>
      <c r="AK81">
        <f>IF(OR(AF$3="",AF$3&gt;TODAY()),"",IF(AND(AI81="",AJ81=""),"",N(AJ81)-N(AI81)))</f>
        <v/>
      </c>
      <c r="AO81">
        <f>IF(OR(AM$3="",AM$3&gt;TODAY()),"",IF(AND(AM81="",AN81=""),"",N(AN81)-N(AM81)))</f>
        <v/>
      </c>
      <c r="AR81">
        <f>IF(OR(AM$3="",AM$3&gt;TODAY()),"",IF(AND(AP81="",AQ81=""),"",N(AQ81)-N(AP81)))</f>
        <v/>
      </c>
      <c r="AV81">
        <f>IF(OR(AT$3="",AT$3&gt;TODAY()),"",IF(AND(AT81="",AU81=""),"",N(AU81)-N(AT81)))</f>
        <v/>
      </c>
      <c r="AY81">
        <f>IF(OR(AT$3="",AT$3&gt;TODAY()),"",IF(AND(AW81="",AX81=""),"",N(AX81)-N(AW81)))</f>
        <v/>
      </c>
      <c r="BC81">
        <f>IF(OR(BA$3="",BA$3&gt;TODAY()),"",IF(AND(BA81="",BB81=""),"",N(BB81)-N(BA81)))</f>
        <v/>
      </c>
      <c r="BF81">
        <f>IF(OR(BA$3="",BA$3&gt;TODAY()),"",IF(AND(BD81="",BE81=""),"",N(BE81)-N(BD81)))</f>
        <v/>
      </c>
      <c r="BJ81">
        <f>IF(OR(BH$3="",BH$3&gt;TODAY()),"",IF(AND(BH81="",BI81=""),"",N(BI81)-N(BH81)))</f>
        <v/>
      </c>
      <c r="BM81">
        <f>IF(OR(BH$3="",BH$3&gt;TODAY()),"",IF(AND(BK81="",BL81=""),"",N(BL81)-N(BK81)))</f>
        <v/>
      </c>
      <c r="BQ81">
        <f>IF(OR(BO$3="",BO$3&gt;TODAY()),"",IF(AND(BO81="",BP81=""),"",N(BP81)-N(BO81)))</f>
        <v/>
      </c>
      <c r="BT81">
        <f>IF(OR(BO$3="",BO$3&gt;TODAY()),"",IF(AND(BR81="",BS81=""),"",N(BS81)-N(BR81)))</f>
        <v/>
      </c>
      <c r="BX81">
        <f>IF(OR(BV$3="",BV$3&gt;TODAY()),"",IF(AND(BV81="",BW81=""),"",N(BW81)-N(BV81)))</f>
        <v/>
      </c>
      <c r="CA81">
        <f>IF(OR(BV$3="",BV$3&gt;TODAY()),"",IF(AND(BY81="",BZ81=""),"",N(BZ81)-N(BY81)))</f>
        <v/>
      </c>
      <c r="CE81">
        <f>IF(OR(CC$3="",CC$3&gt;TODAY()),"",IF(AND(CC81="",CD81=""),"",N(CD81)-N(CC81)))</f>
        <v/>
      </c>
      <c r="CH81">
        <f>IF(OR(CC$3="",CC$3&gt;TODAY()),"",IF(AND(CF81="",CG81=""),"",N(CG81)-N(CF81)))</f>
        <v/>
      </c>
      <c r="CL81">
        <f>IF(OR(CJ$3="",CJ$3&gt;TODAY()),"",IF(AND(CJ81="",CK81=""),"",N(CK81)-N(CJ81)))</f>
        <v/>
      </c>
      <c r="CO81">
        <f>IF(OR(CJ$3="",CJ$3&gt;TODAY()),"",IF(AND(CM81="",CN81=""),"",N(CN81)-N(CM81)))</f>
        <v/>
      </c>
      <c r="CS81">
        <f>IF(OR(CQ$3="",CQ$3&gt;TODAY()),"",IF(AND(CQ81="",CR81=""),"",N(CR81)-N(CQ81)))</f>
        <v/>
      </c>
      <c r="CV81">
        <f>IF(OR(CQ$3="",CQ$3&gt;TODAY()),"",IF(AND(CT81="",CU81=""),"",N(CU81)-N(CT81)))</f>
        <v/>
      </c>
      <c r="CZ81">
        <f>IF(OR(CX$3="",CX$3&gt;TODAY()),"",IF(AND(CX81="",CY81=""),"",N(CY81)-N(CX81)))</f>
        <v/>
      </c>
      <c r="DC81">
        <f>IF(OR(CX$3="",CX$3&gt;TODAY()),"",IF(AND(DA81="",DB81=""),"",N(DB81)-N(DA81)))</f>
        <v/>
      </c>
      <c r="DG81">
        <f>IF(OR(DE$3="",DE$3&gt;TODAY()),"",IF(AND(DE81="",DF81=""),"",N(DF81)-N(DE81)))</f>
        <v/>
      </c>
      <c r="DJ81">
        <f>IF(OR(DE$3="",DE$3&gt;TODAY()),"",IF(AND(DH81="",DI81=""),"",N(DI81)-N(DH81)))</f>
        <v/>
      </c>
      <c r="DN81">
        <f>IF(OR(DL$3="",DL$3&gt;TODAY()),"",IF(AND(DL81="",DM81=""),"",N(DM81)-N(DL81)))</f>
        <v/>
      </c>
      <c r="DQ81">
        <f>IF(OR(DL$3="",DL$3&gt;TODAY()),"",IF(AND(DO81="",DP81=""),"",N(DP81)-N(DO81)))</f>
        <v/>
      </c>
      <c r="DU81">
        <f>IF(OR(DS$3="",DS$3&gt;TODAY()),"",IF(AND(DS81="",DT81=""),"",N(DT81)-N(DS81)))</f>
        <v/>
      </c>
      <c r="DX81">
        <f>IF(OR(DS$3="",DS$3&gt;TODAY()),"",IF(AND(DV81="",DW81=""),"",N(DW81)-N(DV81)))</f>
        <v/>
      </c>
      <c r="EB81">
        <f>IF(OR(DZ$3="",DZ$3&gt;TODAY()),"",IF(AND(DZ81="",EA81=""),"",N(EA81)-N(DZ81)))</f>
        <v/>
      </c>
      <c r="EE81">
        <f>IF(OR(DZ$3="",DZ$3&gt;TODAY()),"",IF(AND(EC81="",ED81=""),"",N(ED81)-N(EC81)))</f>
        <v/>
      </c>
      <c r="EI81">
        <f>IF(OR(EG$3="",EG$3&gt;TODAY()),"",IF(AND(EG81="",EH81=""),"",N(EH81)-N(EG81)))</f>
        <v/>
      </c>
      <c r="EL81">
        <f>IF(OR(EG$3="",EG$3&gt;TODAY()),"",IF(AND(EJ81="",EK81=""),"",N(EK81)-N(EJ81)))</f>
        <v/>
      </c>
      <c r="EP81">
        <f>IF(OR(EN$3="",EN$3&gt;TODAY()),"",IF(AND(EN81="",EO81=""),"",N(EO81)-N(EN81)))</f>
        <v/>
      </c>
      <c r="ES81">
        <f>IF(OR(EN$3="",EN$3&gt;TODAY()),"",IF(AND(EQ81="",ER81=""),"",N(ER81)-N(EQ81)))</f>
        <v/>
      </c>
      <c r="EW81">
        <f>IF(OR(EU$3="",EU$3&gt;TODAY()),"",IF(AND(EU81="",EV81=""),"",N(EV81)-N(EU81)))</f>
        <v/>
      </c>
      <c r="EZ81">
        <f>IF(OR(EU$3="",EU$3&gt;TODAY()),"",IF(AND(EX81="",EY81=""),"",N(EY81)-N(EX81)))</f>
        <v/>
      </c>
      <c r="FD81">
        <f>IF(OR(FB$3="",FB$3&gt;TODAY()),"",IF(AND(FB81="",FC81=""),"",N(FC81)-N(FB81)))</f>
        <v/>
      </c>
      <c r="FG81">
        <f>IF(OR(FB$3="",FB$3&gt;TODAY()),"",IF(AND(FE81="",FF81=""),"",N(FF81)-N(FE81)))</f>
        <v/>
      </c>
      <c r="FK81">
        <f>IF(OR(FI$3="",FI$3&gt;TODAY()),"",IF(AND(FI81="",FJ81=""),"",N(FJ81)-N(FI81)))</f>
        <v/>
      </c>
      <c r="FN81">
        <f>IF(OR(FI$3="",FI$3&gt;TODAY()),"",IF(AND(FL81="",FM81=""),"",N(FM81)-N(FL81)))</f>
        <v/>
      </c>
      <c r="FR81">
        <f>IF(OR(FP$3="",FP$3&gt;TODAY()),"",IF(AND(FP81="",FQ81=""),"",N(FQ81)-N(FP81)))</f>
        <v/>
      </c>
      <c r="FU81">
        <f>IF(OR(FP$3="",FP$3&gt;TODAY()),"",IF(AND(FS81="",FT81=""),"",N(FT81)-N(FS81)))</f>
        <v/>
      </c>
      <c r="FY81">
        <f>IF(OR(FW$3="",FW$3&gt;TODAY()),"",IF(AND(FW81="",FX81=""),"",N(FX81)-N(FW81)))</f>
        <v/>
      </c>
      <c r="GB81">
        <f>IF(OR(FW$3="",FW$3&gt;TODAY()),"",IF(AND(FZ81="",GA81=""),"",N(GA81)-N(FZ81)))</f>
        <v/>
      </c>
      <c r="GF81">
        <f>IF(OR(GD$3="",GD$3&gt;TODAY()),"",IF(AND(GD81="",GE81=""),"",N(GE81)-N(GD81)))</f>
        <v/>
      </c>
      <c r="GI81">
        <f>IF(OR(GD$3="",GD$3&gt;TODAY()),"",IF(AND(GG81="",GH81=""),"",N(GH81)-N(GG81)))</f>
        <v/>
      </c>
      <c r="GM81">
        <f>IF(OR(GK$3="",GK$3&gt;TODAY()),"",IF(AND(GK81="",GL81=""),"",N(GL81)-N(GK81)))</f>
        <v/>
      </c>
      <c r="GP81">
        <f>IF(OR(GK$3="",GK$3&gt;TODAY()),"",IF(AND(GN81="",GO81=""),"",N(GO81)-N(GN81)))</f>
        <v/>
      </c>
      <c r="GT81">
        <f>IF(OR(GR$3="",GR$3&gt;TODAY()),"",IF(AND(GR81="",GS81=""),"",N(GS81)-N(GR81)))</f>
        <v/>
      </c>
      <c r="GW81">
        <f>IF(OR(GR$3="",GR$3&gt;TODAY()),"",IF(AND(GU81="",GV81=""),"",N(GV81)-N(GU81)))</f>
        <v/>
      </c>
      <c r="HA81">
        <f>IF(OR(GY$3="",GY$3&gt;TODAY()),"",IF(AND(GY81="",GZ81=""),"",N(GZ81)-N(GY81)))</f>
        <v/>
      </c>
      <c r="HD81">
        <f>IF(OR(GY$3="",GY$3&gt;TODAY()),"",IF(AND(HB81="",HC81=""),"",N(HC81)-N(HB81)))</f>
        <v/>
      </c>
      <c r="HH81">
        <f>IF(OR(HF$3="",HF$3&gt;TODAY()),"",IF(AND(HF81="",HG81=""),"",N(HG81)-N(HF81)))</f>
        <v/>
      </c>
      <c r="HK81">
        <f>IF(OR(HF$3="",HF$3&gt;TODAY()),"",IF(AND(HI81="",HJ81=""),"",N(HJ81)-N(HI81)))</f>
        <v/>
      </c>
      <c r="HO81">
        <f>IF(OR(HM$3="",HM$3&gt;TODAY()),"",IF(AND(HM81="",HN81=""),"",N(HN81)-N(HM81)))</f>
        <v/>
      </c>
      <c r="HR81">
        <f>IF(OR(HM$3="",HM$3&gt;TODAY()),"",IF(AND(HP81="",HQ81=""),"",N(HQ81)-N(HP81)))</f>
        <v/>
      </c>
      <c r="HV81">
        <f>IF(OR(HT$3="",HT$3&gt;TODAY()),"",IF(AND(HT81="",HU81=""),"",N(HU81)-N(HT81)))</f>
        <v/>
      </c>
      <c r="HY81">
        <f>IF(OR(HT$3="",HT$3&gt;TODAY()),"",IF(AND(HW81="",HX81=""),"",N(HX81)-N(HW81)))</f>
        <v/>
      </c>
      <c r="IC81">
        <f>IF(OR(IA$3="",IA$3&gt;TODAY()),"",IF(AND(IA81="",IB81=""),"",N(IB81)-N(IA81)))</f>
        <v/>
      </c>
      <c r="IF81">
        <f>IF(OR(IA$3="",IA$3&gt;TODAY()),"",IF(AND(ID81="",IE81=""),"",N(IE81)-N(ID81)))</f>
        <v/>
      </c>
      <c r="IJ81">
        <f>IF(OR(IH$3="",IH$3&gt;TODAY()),"",IF(AND(IH81="",II81=""),"",N(II81)-N(IH81)))</f>
        <v/>
      </c>
      <c r="IM81">
        <f>IF(OR(IH$3="",IH$3&gt;TODAY()),"",IF(AND(IK81="",IL81=""),"",N(IL81)-N(IK81)))</f>
        <v/>
      </c>
    </row>
    <row r="82">
      <c r="A82" s="21" t="n"/>
      <c r="B82" s="21" t="n"/>
      <c r="C82" s="21" t="n"/>
      <c r="D82" s="21" t="n"/>
      <c r="E82" s="21" t="n"/>
      <c r="F82" s="21" t="n"/>
      <c r="G82" s="21" t="n"/>
      <c r="H82" s="21" t="n"/>
      <c r="I82" s="22" t="n"/>
      <c r="J82" s="22" t="n"/>
      <c r="K82" s="23" t="n"/>
      <c r="L82" s="22" t="n"/>
      <c r="M82" s="22" t="n"/>
      <c r="N82" s="21" t="n"/>
      <c r="O82" s="23" t="n"/>
      <c r="P82" s="23" t="n"/>
      <c r="Q82" s="23" t="n"/>
      <c r="R82" s="23" t="n"/>
      <c r="S82" s="22" t="n"/>
      <c r="T82" s="23" t="n"/>
      <c r="U82" s="23" t="n"/>
      <c r="V82" s="24">
        <f>IF(J82&lt;&gt;"",J82,IF(I82&lt;&gt;"",I82,""))</f>
        <v/>
      </c>
      <c r="W82" s="25">
        <f>IF($E82="","",N(O82)+SUMIFS($AF82:$IN82,$AF$4:$IN$4,"SEW_ACT"))</f>
        <v/>
      </c>
      <c r="X82" s="25">
        <f>IF($E82="","",N(P82)+SUMIFS($AF82:$IN82,$AF$4:$IN$4,"WASH_ACT"))</f>
        <v/>
      </c>
      <c r="Y82" s="25">
        <f>IF($E82="","",W82-X82-N(T82)-N(U82))</f>
        <v/>
      </c>
      <c r="Z82" s="25">
        <f>IF($E82="","",IF(N(K82)-X82&lt;=0.02*N(K82),0,N(K82)-X82))</f>
        <v/>
      </c>
      <c r="AA82" s="24">
        <f>IF($E82="","",IF(S82&lt;&gt;"",S82,IF(N(O82)&gt;0,IF(L82&lt;&gt;"",L82,99999),IFERROR(1/(1/_xlfn.MINIFS($AF$3:$IN$3,$AF$4:$IN$4,"SEW_ACT",$AF82:$IN82,"&gt;0")),99999))))</f>
        <v/>
      </c>
      <c r="AB82" s="26">
        <f>IF(OR($E82="",Z82=0,V82=""),"",1+COUNTIFS(Z$8:Z$707,"&gt;0",V$8:V$707,"&lt;"&amp;V82)+COUNTIFS(Z$8:Z$707,"&gt;0",V$8:V$707,V82,AA$8:AA$707,"&lt;"&amp;AA82)+COUNTIFS(Z$8:Z$707,"&gt;0",V$8:V$707,V82,AA$8:AA$707,AA82,E$8:E$707,"&lt;"&amp;$E82))</f>
        <v/>
      </c>
      <c r="AC82" s="24">
        <f>IF(OR($E82="",Z82=0),"",IFERROR(TODAY()+ROUNDUP(Z82/(SUMIFS($AF82:$IN82,$AF$4:$IN$4,"WASH_ACT")/COUNTIFS($AF$4:$IN$4,"WASH_ACT",$AF82:$IN82,"&gt;0")),0),"no output yet"))</f>
        <v/>
      </c>
      <c r="AD82" s="26">
        <f>IF($E82="","",IFERROR(ROUND(MAX(0,SUMIFS($AF82:$IN82,$AF$4:$IN$4,"SEW_PLAN",$AF$3:$IN$3,"&lt;="&amp;TODAY())-SUMIFS($AF82:$IN82,$AF$4:$IN$4,"SEW_ACT",$AF$3:$IN$3,"&lt;="&amp;TODAY())+N(Q82))/(SUMIFS($AF82:$IN82,$AF$4:$IN$4,"SEW_PLAN")/COUNTIFS($AF$4:$IN$4,"SEW_PLAN",$AF82:$IN82,"&gt;0")),1),0))</f>
        <v/>
      </c>
      <c r="AE82" s="26">
        <f>IF($E82="","",IF(AND(Z82&gt;0,OR(AND(M82&lt;&gt;"",TODAY()&gt;M82),AND(V82&lt;&gt;"",V82-TODAY()&lt;=7))),"Yes","No"))</f>
        <v/>
      </c>
      <c r="AH82">
        <f>IF(OR(AF$3="",AF$3&gt;TODAY()),"",IF(AND(AF82="",AG82=""),"",N(AG82)-N(AF82)))</f>
        <v/>
      </c>
      <c r="AK82">
        <f>IF(OR(AF$3="",AF$3&gt;TODAY()),"",IF(AND(AI82="",AJ82=""),"",N(AJ82)-N(AI82)))</f>
        <v/>
      </c>
      <c r="AO82">
        <f>IF(OR(AM$3="",AM$3&gt;TODAY()),"",IF(AND(AM82="",AN82=""),"",N(AN82)-N(AM82)))</f>
        <v/>
      </c>
      <c r="AR82">
        <f>IF(OR(AM$3="",AM$3&gt;TODAY()),"",IF(AND(AP82="",AQ82=""),"",N(AQ82)-N(AP82)))</f>
        <v/>
      </c>
      <c r="AV82">
        <f>IF(OR(AT$3="",AT$3&gt;TODAY()),"",IF(AND(AT82="",AU82=""),"",N(AU82)-N(AT82)))</f>
        <v/>
      </c>
      <c r="AY82">
        <f>IF(OR(AT$3="",AT$3&gt;TODAY()),"",IF(AND(AW82="",AX82=""),"",N(AX82)-N(AW82)))</f>
        <v/>
      </c>
      <c r="BC82">
        <f>IF(OR(BA$3="",BA$3&gt;TODAY()),"",IF(AND(BA82="",BB82=""),"",N(BB82)-N(BA82)))</f>
        <v/>
      </c>
      <c r="BF82">
        <f>IF(OR(BA$3="",BA$3&gt;TODAY()),"",IF(AND(BD82="",BE82=""),"",N(BE82)-N(BD82)))</f>
        <v/>
      </c>
      <c r="BJ82">
        <f>IF(OR(BH$3="",BH$3&gt;TODAY()),"",IF(AND(BH82="",BI82=""),"",N(BI82)-N(BH82)))</f>
        <v/>
      </c>
      <c r="BM82">
        <f>IF(OR(BH$3="",BH$3&gt;TODAY()),"",IF(AND(BK82="",BL82=""),"",N(BL82)-N(BK82)))</f>
        <v/>
      </c>
      <c r="BQ82">
        <f>IF(OR(BO$3="",BO$3&gt;TODAY()),"",IF(AND(BO82="",BP82=""),"",N(BP82)-N(BO82)))</f>
        <v/>
      </c>
      <c r="BT82">
        <f>IF(OR(BO$3="",BO$3&gt;TODAY()),"",IF(AND(BR82="",BS82=""),"",N(BS82)-N(BR82)))</f>
        <v/>
      </c>
      <c r="BX82">
        <f>IF(OR(BV$3="",BV$3&gt;TODAY()),"",IF(AND(BV82="",BW82=""),"",N(BW82)-N(BV82)))</f>
        <v/>
      </c>
      <c r="CA82">
        <f>IF(OR(BV$3="",BV$3&gt;TODAY()),"",IF(AND(BY82="",BZ82=""),"",N(BZ82)-N(BY82)))</f>
        <v/>
      </c>
      <c r="CE82">
        <f>IF(OR(CC$3="",CC$3&gt;TODAY()),"",IF(AND(CC82="",CD82=""),"",N(CD82)-N(CC82)))</f>
        <v/>
      </c>
      <c r="CH82">
        <f>IF(OR(CC$3="",CC$3&gt;TODAY()),"",IF(AND(CF82="",CG82=""),"",N(CG82)-N(CF82)))</f>
        <v/>
      </c>
      <c r="CL82">
        <f>IF(OR(CJ$3="",CJ$3&gt;TODAY()),"",IF(AND(CJ82="",CK82=""),"",N(CK82)-N(CJ82)))</f>
        <v/>
      </c>
      <c r="CO82">
        <f>IF(OR(CJ$3="",CJ$3&gt;TODAY()),"",IF(AND(CM82="",CN82=""),"",N(CN82)-N(CM82)))</f>
        <v/>
      </c>
      <c r="CS82">
        <f>IF(OR(CQ$3="",CQ$3&gt;TODAY()),"",IF(AND(CQ82="",CR82=""),"",N(CR82)-N(CQ82)))</f>
        <v/>
      </c>
      <c r="CV82">
        <f>IF(OR(CQ$3="",CQ$3&gt;TODAY()),"",IF(AND(CT82="",CU82=""),"",N(CU82)-N(CT82)))</f>
        <v/>
      </c>
      <c r="CZ82">
        <f>IF(OR(CX$3="",CX$3&gt;TODAY()),"",IF(AND(CX82="",CY82=""),"",N(CY82)-N(CX82)))</f>
        <v/>
      </c>
      <c r="DC82">
        <f>IF(OR(CX$3="",CX$3&gt;TODAY()),"",IF(AND(DA82="",DB82=""),"",N(DB82)-N(DA82)))</f>
        <v/>
      </c>
      <c r="DG82">
        <f>IF(OR(DE$3="",DE$3&gt;TODAY()),"",IF(AND(DE82="",DF82=""),"",N(DF82)-N(DE82)))</f>
        <v/>
      </c>
      <c r="DJ82">
        <f>IF(OR(DE$3="",DE$3&gt;TODAY()),"",IF(AND(DH82="",DI82=""),"",N(DI82)-N(DH82)))</f>
        <v/>
      </c>
      <c r="DN82">
        <f>IF(OR(DL$3="",DL$3&gt;TODAY()),"",IF(AND(DL82="",DM82=""),"",N(DM82)-N(DL82)))</f>
        <v/>
      </c>
      <c r="DQ82">
        <f>IF(OR(DL$3="",DL$3&gt;TODAY()),"",IF(AND(DO82="",DP82=""),"",N(DP82)-N(DO82)))</f>
        <v/>
      </c>
      <c r="DU82">
        <f>IF(OR(DS$3="",DS$3&gt;TODAY()),"",IF(AND(DS82="",DT82=""),"",N(DT82)-N(DS82)))</f>
        <v/>
      </c>
      <c r="DX82">
        <f>IF(OR(DS$3="",DS$3&gt;TODAY()),"",IF(AND(DV82="",DW82=""),"",N(DW82)-N(DV82)))</f>
        <v/>
      </c>
      <c r="EB82">
        <f>IF(OR(DZ$3="",DZ$3&gt;TODAY()),"",IF(AND(DZ82="",EA82=""),"",N(EA82)-N(DZ82)))</f>
        <v/>
      </c>
      <c r="EE82">
        <f>IF(OR(DZ$3="",DZ$3&gt;TODAY()),"",IF(AND(EC82="",ED82=""),"",N(ED82)-N(EC82)))</f>
        <v/>
      </c>
      <c r="EI82">
        <f>IF(OR(EG$3="",EG$3&gt;TODAY()),"",IF(AND(EG82="",EH82=""),"",N(EH82)-N(EG82)))</f>
        <v/>
      </c>
      <c r="EL82">
        <f>IF(OR(EG$3="",EG$3&gt;TODAY()),"",IF(AND(EJ82="",EK82=""),"",N(EK82)-N(EJ82)))</f>
        <v/>
      </c>
      <c r="EP82">
        <f>IF(OR(EN$3="",EN$3&gt;TODAY()),"",IF(AND(EN82="",EO82=""),"",N(EO82)-N(EN82)))</f>
        <v/>
      </c>
      <c r="ES82">
        <f>IF(OR(EN$3="",EN$3&gt;TODAY()),"",IF(AND(EQ82="",ER82=""),"",N(ER82)-N(EQ82)))</f>
        <v/>
      </c>
      <c r="EW82">
        <f>IF(OR(EU$3="",EU$3&gt;TODAY()),"",IF(AND(EU82="",EV82=""),"",N(EV82)-N(EU82)))</f>
        <v/>
      </c>
      <c r="EZ82">
        <f>IF(OR(EU$3="",EU$3&gt;TODAY()),"",IF(AND(EX82="",EY82=""),"",N(EY82)-N(EX82)))</f>
        <v/>
      </c>
      <c r="FD82">
        <f>IF(OR(FB$3="",FB$3&gt;TODAY()),"",IF(AND(FB82="",FC82=""),"",N(FC82)-N(FB82)))</f>
        <v/>
      </c>
      <c r="FG82">
        <f>IF(OR(FB$3="",FB$3&gt;TODAY()),"",IF(AND(FE82="",FF82=""),"",N(FF82)-N(FE82)))</f>
        <v/>
      </c>
      <c r="FK82">
        <f>IF(OR(FI$3="",FI$3&gt;TODAY()),"",IF(AND(FI82="",FJ82=""),"",N(FJ82)-N(FI82)))</f>
        <v/>
      </c>
      <c r="FN82">
        <f>IF(OR(FI$3="",FI$3&gt;TODAY()),"",IF(AND(FL82="",FM82=""),"",N(FM82)-N(FL82)))</f>
        <v/>
      </c>
      <c r="FR82">
        <f>IF(OR(FP$3="",FP$3&gt;TODAY()),"",IF(AND(FP82="",FQ82=""),"",N(FQ82)-N(FP82)))</f>
        <v/>
      </c>
      <c r="FU82">
        <f>IF(OR(FP$3="",FP$3&gt;TODAY()),"",IF(AND(FS82="",FT82=""),"",N(FT82)-N(FS82)))</f>
        <v/>
      </c>
      <c r="FY82">
        <f>IF(OR(FW$3="",FW$3&gt;TODAY()),"",IF(AND(FW82="",FX82=""),"",N(FX82)-N(FW82)))</f>
        <v/>
      </c>
      <c r="GB82">
        <f>IF(OR(FW$3="",FW$3&gt;TODAY()),"",IF(AND(FZ82="",GA82=""),"",N(GA82)-N(FZ82)))</f>
        <v/>
      </c>
      <c r="GF82">
        <f>IF(OR(GD$3="",GD$3&gt;TODAY()),"",IF(AND(GD82="",GE82=""),"",N(GE82)-N(GD82)))</f>
        <v/>
      </c>
      <c r="GI82">
        <f>IF(OR(GD$3="",GD$3&gt;TODAY()),"",IF(AND(GG82="",GH82=""),"",N(GH82)-N(GG82)))</f>
        <v/>
      </c>
      <c r="GM82">
        <f>IF(OR(GK$3="",GK$3&gt;TODAY()),"",IF(AND(GK82="",GL82=""),"",N(GL82)-N(GK82)))</f>
        <v/>
      </c>
      <c r="GP82">
        <f>IF(OR(GK$3="",GK$3&gt;TODAY()),"",IF(AND(GN82="",GO82=""),"",N(GO82)-N(GN82)))</f>
        <v/>
      </c>
      <c r="GT82">
        <f>IF(OR(GR$3="",GR$3&gt;TODAY()),"",IF(AND(GR82="",GS82=""),"",N(GS82)-N(GR82)))</f>
        <v/>
      </c>
      <c r="GW82">
        <f>IF(OR(GR$3="",GR$3&gt;TODAY()),"",IF(AND(GU82="",GV82=""),"",N(GV82)-N(GU82)))</f>
        <v/>
      </c>
      <c r="HA82">
        <f>IF(OR(GY$3="",GY$3&gt;TODAY()),"",IF(AND(GY82="",GZ82=""),"",N(GZ82)-N(GY82)))</f>
        <v/>
      </c>
      <c r="HD82">
        <f>IF(OR(GY$3="",GY$3&gt;TODAY()),"",IF(AND(HB82="",HC82=""),"",N(HC82)-N(HB82)))</f>
        <v/>
      </c>
      <c r="HH82">
        <f>IF(OR(HF$3="",HF$3&gt;TODAY()),"",IF(AND(HF82="",HG82=""),"",N(HG82)-N(HF82)))</f>
        <v/>
      </c>
      <c r="HK82">
        <f>IF(OR(HF$3="",HF$3&gt;TODAY()),"",IF(AND(HI82="",HJ82=""),"",N(HJ82)-N(HI82)))</f>
        <v/>
      </c>
      <c r="HO82">
        <f>IF(OR(HM$3="",HM$3&gt;TODAY()),"",IF(AND(HM82="",HN82=""),"",N(HN82)-N(HM82)))</f>
        <v/>
      </c>
      <c r="HR82">
        <f>IF(OR(HM$3="",HM$3&gt;TODAY()),"",IF(AND(HP82="",HQ82=""),"",N(HQ82)-N(HP82)))</f>
        <v/>
      </c>
      <c r="HV82">
        <f>IF(OR(HT$3="",HT$3&gt;TODAY()),"",IF(AND(HT82="",HU82=""),"",N(HU82)-N(HT82)))</f>
        <v/>
      </c>
      <c r="HY82">
        <f>IF(OR(HT$3="",HT$3&gt;TODAY()),"",IF(AND(HW82="",HX82=""),"",N(HX82)-N(HW82)))</f>
        <v/>
      </c>
      <c r="IC82">
        <f>IF(OR(IA$3="",IA$3&gt;TODAY()),"",IF(AND(IA82="",IB82=""),"",N(IB82)-N(IA82)))</f>
        <v/>
      </c>
      <c r="IF82">
        <f>IF(OR(IA$3="",IA$3&gt;TODAY()),"",IF(AND(ID82="",IE82=""),"",N(IE82)-N(ID82)))</f>
        <v/>
      </c>
      <c r="IJ82">
        <f>IF(OR(IH$3="",IH$3&gt;TODAY()),"",IF(AND(IH82="",II82=""),"",N(II82)-N(IH82)))</f>
        <v/>
      </c>
      <c r="IM82">
        <f>IF(OR(IH$3="",IH$3&gt;TODAY()),"",IF(AND(IK82="",IL82=""),"",N(IL82)-N(IK82)))</f>
        <v/>
      </c>
    </row>
    <row r="83">
      <c r="A83" s="21" t="n"/>
      <c r="B83" s="21" t="n"/>
      <c r="C83" s="21" t="n"/>
      <c r="D83" s="21" t="n"/>
      <c r="E83" s="21" t="n"/>
      <c r="F83" s="21" t="n"/>
      <c r="G83" s="21" t="n"/>
      <c r="H83" s="21" t="n"/>
      <c r="I83" s="22" t="n"/>
      <c r="J83" s="22" t="n"/>
      <c r="K83" s="23" t="n"/>
      <c r="L83" s="22" t="n"/>
      <c r="M83" s="22" t="n"/>
      <c r="N83" s="21" t="n"/>
      <c r="O83" s="23" t="n"/>
      <c r="P83" s="23" t="n"/>
      <c r="Q83" s="23" t="n"/>
      <c r="R83" s="23" t="n"/>
      <c r="S83" s="22" t="n"/>
      <c r="T83" s="23" t="n"/>
      <c r="U83" s="23" t="n"/>
      <c r="V83" s="24">
        <f>IF(J83&lt;&gt;"",J83,IF(I83&lt;&gt;"",I83,""))</f>
        <v/>
      </c>
      <c r="W83" s="25">
        <f>IF($E83="","",N(O83)+SUMIFS($AF83:$IN83,$AF$4:$IN$4,"SEW_ACT"))</f>
        <v/>
      </c>
      <c r="X83" s="25">
        <f>IF($E83="","",N(P83)+SUMIFS($AF83:$IN83,$AF$4:$IN$4,"WASH_ACT"))</f>
        <v/>
      </c>
      <c r="Y83" s="25">
        <f>IF($E83="","",W83-X83-N(T83)-N(U83))</f>
        <v/>
      </c>
      <c r="Z83" s="25">
        <f>IF($E83="","",IF(N(K83)-X83&lt;=0.02*N(K83),0,N(K83)-X83))</f>
        <v/>
      </c>
      <c r="AA83" s="24">
        <f>IF($E83="","",IF(S83&lt;&gt;"",S83,IF(N(O83)&gt;0,IF(L83&lt;&gt;"",L83,99999),IFERROR(1/(1/_xlfn.MINIFS($AF$3:$IN$3,$AF$4:$IN$4,"SEW_ACT",$AF83:$IN83,"&gt;0")),99999))))</f>
        <v/>
      </c>
      <c r="AB83" s="26">
        <f>IF(OR($E83="",Z83=0,V83=""),"",1+COUNTIFS(Z$8:Z$707,"&gt;0",V$8:V$707,"&lt;"&amp;V83)+COUNTIFS(Z$8:Z$707,"&gt;0",V$8:V$707,V83,AA$8:AA$707,"&lt;"&amp;AA83)+COUNTIFS(Z$8:Z$707,"&gt;0",V$8:V$707,V83,AA$8:AA$707,AA83,E$8:E$707,"&lt;"&amp;$E83))</f>
        <v/>
      </c>
      <c r="AC83" s="24">
        <f>IF(OR($E83="",Z83=0),"",IFERROR(TODAY()+ROUNDUP(Z83/(SUMIFS($AF83:$IN83,$AF$4:$IN$4,"WASH_ACT")/COUNTIFS($AF$4:$IN$4,"WASH_ACT",$AF83:$IN83,"&gt;0")),0),"no output yet"))</f>
        <v/>
      </c>
      <c r="AD83" s="26">
        <f>IF($E83="","",IFERROR(ROUND(MAX(0,SUMIFS($AF83:$IN83,$AF$4:$IN$4,"SEW_PLAN",$AF$3:$IN$3,"&lt;="&amp;TODAY())-SUMIFS($AF83:$IN83,$AF$4:$IN$4,"SEW_ACT",$AF$3:$IN$3,"&lt;="&amp;TODAY())+N(Q83))/(SUMIFS($AF83:$IN83,$AF$4:$IN$4,"SEW_PLAN")/COUNTIFS($AF$4:$IN$4,"SEW_PLAN",$AF83:$IN83,"&gt;0")),1),0))</f>
        <v/>
      </c>
      <c r="AE83" s="26">
        <f>IF($E83="","",IF(AND(Z83&gt;0,OR(AND(M83&lt;&gt;"",TODAY()&gt;M83),AND(V83&lt;&gt;"",V83-TODAY()&lt;=7))),"Yes","No"))</f>
        <v/>
      </c>
      <c r="AH83">
        <f>IF(OR(AF$3="",AF$3&gt;TODAY()),"",IF(AND(AF83="",AG83=""),"",N(AG83)-N(AF83)))</f>
        <v/>
      </c>
      <c r="AK83">
        <f>IF(OR(AF$3="",AF$3&gt;TODAY()),"",IF(AND(AI83="",AJ83=""),"",N(AJ83)-N(AI83)))</f>
        <v/>
      </c>
      <c r="AO83">
        <f>IF(OR(AM$3="",AM$3&gt;TODAY()),"",IF(AND(AM83="",AN83=""),"",N(AN83)-N(AM83)))</f>
        <v/>
      </c>
      <c r="AR83">
        <f>IF(OR(AM$3="",AM$3&gt;TODAY()),"",IF(AND(AP83="",AQ83=""),"",N(AQ83)-N(AP83)))</f>
        <v/>
      </c>
      <c r="AV83">
        <f>IF(OR(AT$3="",AT$3&gt;TODAY()),"",IF(AND(AT83="",AU83=""),"",N(AU83)-N(AT83)))</f>
        <v/>
      </c>
      <c r="AY83">
        <f>IF(OR(AT$3="",AT$3&gt;TODAY()),"",IF(AND(AW83="",AX83=""),"",N(AX83)-N(AW83)))</f>
        <v/>
      </c>
      <c r="BC83">
        <f>IF(OR(BA$3="",BA$3&gt;TODAY()),"",IF(AND(BA83="",BB83=""),"",N(BB83)-N(BA83)))</f>
        <v/>
      </c>
      <c r="BF83">
        <f>IF(OR(BA$3="",BA$3&gt;TODAY()),"",IF(AND(BD83="",BE83=""),"",N(BE83)-N(BD83)))</f>
        <v/>
      </c>
      <c r="BJ83">
        <f>IF(OR(BH$3="",BH$3&gt;TODAY()),"",IF(AND(BH83="",BI83=""),"",N(BI83)-N(BH83)))</f>
        <v/>
      </c>
      <c r="BM83">
        <f>IF(OR(BH$3="",BH$3&gt;TODAY()),"",IF(AND(BK83="",BL83=""),"",N(BL83)-N(BK83)))</f>
        <v/>
      </c>
      <c r="BQ83">
        <f>IF(OR(BO$3="",BO$3&gt;TODAY()),"",IF(AND(BO83="",BP83=""),"",N(BP83)-N(BO83)))</f>
        <v/>
      </c>
      <c r="BT83">
        <f>IF(OR(BO$3="",BO$3&gt;TODAY()),"",IF(AND(BR83="",BS83=""),"",N(BS83)-N(BR83)))</f>
        <v/>
      </c>
      <c r="BX83">
        <f>IF(OR(BV$3="",BV$3&gt;TODAY()),"",IF(AND(BV83="",BW83=""),"",N(BW83)-N(BV83)))</f>
        <v/>
      </c>
      <c r="CA83">
        <f>IF(OR(BV$3="",BV$3&gt;TODAY()),"",IF(AND(BY83="",BZ83=""),"",N(BZ83)-N(BY83)))</f>
        <v/>
      </c>
      <c r="CE83">
        <f>IF(OR(CC$3="",CC$3&gt;TODAY()),"",IF(AND(CC83="",CD83=""),"",N(CD83)-N(CC83)))</f>
        <v/>
      </c>
      <c r="CH83">
        <f>IF(OR(CC$3="",CC$3&gt;TODAY()),"",IF(AND(CF83="",CG83=""),"",N(CG83)-N(CF83)))</f>
        <v/>
      </c>
      <c r="CL83">
        <f>IF(OR(CJ$3="",CJ$3&gt;TODAY()),"",IF(AND(CJ83="",CK83=""),"",N(CK83)-N(CJ83)))</f>
        <v/>
      </c>
      <c r="CO83">
        <f>IF(OR(CJ$3="",CJ$3&gt;TODAY()),"",IF(AND(CM83="",CN83=""),"",N(CN83)-N(CM83)))</f>
        <v/>
      </c>
      <c r="CS83">
        <f>IF(OR(CQ$3="",CQ$3&gt;TODAY()),"",IF(AND(CQ83="",CR83=""),"",N(CR83)-N(CQ83)))</f>
        <v/>
      </c>
      <c r="CV83">
        <f>IF(OR(CQ$3="",CQ$3&gt;TODAY()),"",IF(AND(CT83="",CU83=""),"",N(CU83)-N(CT83)))</f>
        <v/>
      </c>
      <c r="CZ83">
        <f>IF(OR(CX$3="",CX$3&gt;TODAY()),"",IF(AND(CX83="",CY83=""),"",N(CY83)-N(CX83)))</f>
        <v/>
      </c>
      <c r="DC83">
        <f>IF(OR(CX$3="",CX$3&gt;TODAY()),"",IF(AND(DA83="",DB83=""),"",N(DB83)-N(DA83)))</f>
        <v/>
      </c>
      <c r="DG83">
        <f>IF(OR(DE$3="",DE$3&gt;TODAY()),"",IF(AND(DE83="",DF83=""),"",N(DF83)-N(DE83)))</f>
        <v/>
      </c>
      <c r="DJ83">
        <f>IF(OR(DE$3="",DE$3&gt;TODAY()),"",IF(AND(DH83="",DI83=""),"",N(DI83)-N(DH83)))</f>
        <v/>
      </c>
      <c r="DN83">
        <f>IF(OR(DL$3="",DL$3&gt;TODAY()),"",IF(AND(DL83="",DM83=""),"",N(DM83)-N(DL83)))</f>
        <v/>
      </c>
      <c r="DQ83">
        <f>IF(OR(DL$3="",DL$3&gt;TODAY()),"",IF(AND(DO83="",DP83=""),"",N(DP83)-N(DO83)))</f>
        <v/>
      </c>
      <c r="DU83">
        <f>IF(OR(DS$3="",DS$3&gt;TODAY()),"",IF(AND(DS83="",DT83=""),"",N(DT83)-N(DS83)))</f>
        <v/>
      </c>
      <c r="DX83">
        <f>IF(OR(DS$3="",DS$3&gt;TODAY()),"",IF(AND(DV83="",DW83=""),"",N(DW83)-N(DV83)))</f>
        <v/>
      </c>
      <c r="EB83">
        <f>IF(OR(DZ$3="",DZ$3&gt;TODAY()),"",IF(AND(DZ83="",EA83=""),"",N(EA83)-N(DZ83)))</f>
        <v/>
      </c>
      <c r="EE83">
        <f>IF(OR(DZ$3="",DZ$3&gt;TODAY()),"",IF(AND(EC83="",ED83=""),"",N(ED83)-N(EC83)))</f>
        <v/>
      </c>
      <c r="EI83">
        <f>IF(OR(EG$3="",EG$3&gt;TODAY()),"",IF(AND(EG83="",EH83=""),"",N(EH83)-N(EG83)))</f>
        <v/>
      </c>
      <c r="EL83">
        <f>IF(OR(EG$3="",EG$3&gt;TODAY()),"",IF(AND(EJ83="",EK83=""),"",N(EK83)-N(EJ83)))</f>
        <v/>
      </c>
      <c r="EP83">
        <f>IF(OR(EN$3="",EN$3&gt;TODAY()),"",IF(AND(EN83="",EO83=""),"",N(EO83)-N(EN83)))</f>
        <v/>
      </c>
      <c r="ES83">
        <f>IF(OR(EN$3="",EN$3&gt;TODAY()),"",IF(AND(EQ83="",ER83=""),"",N(ER83)-N(EQ83)))</f>
        <v/>
      </c>
      <c r="EW83">
        <f>IF(OR(EU$3="",EU$3&gt;TODAY()),"",IF(AND(EU83="",EV83=""),"",N(EV83)-N(EU83)))</f>
        <v/>
      </c>
      <c r="EZ83">
        <f>IF(OR(EU$3="",EU$3&gt;TODAY()),"",IF(AND(EX83="",EY83=""),"",N(EY83)-N(EX83)))</f>
        <v/>
      </c>
      <c r="FD83">
        <f>IF(OR(FB$3="",FB$3&gt;TODAY()),"",IF(AND(FB83="",FC83=""),"",N(FC83)-N(FB83)))</f>
        <v/>
      </c>
      <c r="FG83">
        <f>IF(OR(FB$3="",FB$3&gt;TODAY()),"",IF(AND(FE83="",FF83=""),"",N(FF83)-N(FE83)))</f>
        <v/>
      </c>
      <c r="FK83">
        <f>IF(OR(FI$3="",FI$3&gt;TODAY()),"",IF(AND(FI83="",FJ83=""),"",N(FJ83)-N(FI83)))</f>
        <v/>
      </c>
      <c r="FN83">
        <f>IF(OR(FI$3="",FI$3&gt;TODAY()),"",IF(AND(FL83="",FM83=""),"",N(FM83)-N(FL83)))</f>
        <v/>
      </c>
      <c r="FR83">
        <f>IF(OR(FP$3="",FP$3&gt;TODAY()),"",IF(AND(FP83="",FQ83=""),"",N(FQ83)-N(FP83)))</f>
        <v/>
      </c>
      <c r="FU83">
        <f>IF(OR(FP$3="",FP$3&gt;TODAY()),"",IF(AND(FS83="",FT83=""),"",N(FT83)-N(FS83)))</f>
        <v/>
      </c>
      <c r="FY83">
        <f>IF(OR(FW$3="",FW$3&gt;TODAY()),"",IF(AND(FW83="",FX83=""),"",N(FX83)-N(FW83)))</f>
        <v/>
      </c>
      <c r="GB83">
        <f>IF(OR(FW$3="",FW$3&gt;TODAY()),"",IF(AND(FZ83="",GA83=""),"",N(GA83)-N(FZ83)))</f>
        <v/>
      </c>
      <c r="GF83">
        <f>IF(OR(GD$3="",GD$3&gt;TODAY()),"",IF(AND(GD83="",GE83=""),"",N(GE83)-N(GD83)))</f>
        <v/>
      </c>
      <c r="GI83">
        <f>IF(OR(GD$3="",GD$3&gt;TODAY()),"",IF(AND(GG83="",GH83=""),"",N(GH83)-N(GG83)))</f>
        <v/>
      </c>
      <c r="GM83">
        <f>IF(OR(GK$3="",GK$3&gt;TODAY()),"",IF(AND(GK83="",GL83=""),"",N(GL83)-N(GK83)))</f>
        <v/>
      </c>
      <c r="GP83">
        <f>IF(OR(GK$3="",GK$3&gt;TODAY()),"",IF(AND(GN83="",GO83=""),"",N(GO83)-N(GN83)))</f>
        <v/>
      </c>
      <c r="GT83">
        <f>IF(OR(GR$3="",GR$3&gt;TODAY()),"",IF(AND(GR83="",GS83=""),"",N(GS83)-N(GR83)))</f>
        <v/>
      </c>
      <c r="GW83">
        <f>IF(OR(GR$3="",GR$3&gt;TODAY()),"",IF(AND(GU83="",GV83=""),"",N(GV83)-N(GU83)))</f>
        <v/>
      </c>
      <c r="HA83">
        <f>IF(OR(GY$3="",GY$3&gt;TODAY()),"",IF(AND(GY83="",GZ83=""),"",N(GZ83)-N(GY83)))</f>
        <v/>
      </c>
      <c r="HD83">
        <f>IF(OR(GY$3="",GY$3&gt;TODAY()),"",IF(AND(HB83="",HC83=""),"",N(HC83)-N(HB83)))</f>
        <v/>
      </c>
      <c r="HH83">
        <f>IF(OR(HF$3="",HF$3&gt;TODAY()),"",IF(AND(HF83="",HG83=""),"",N(HG83)-N(HF83)))</f>
        <v/>
      </c>
      <c r="HK83">
        <f>IF(OR(HF$3="",HF$3&gt;TODAY()),"",IF(AND(HI83="",HJ83=""),"",N(HJ83)-N(HI83)))</f>
        <v/>
      </c>
      <c r="HO83">
        <f>IF(OR(HM$3="",HM$3&gt;TODAY()),"",IF(AND(HM83="",HN83=""),"",N(HN83)-N(HM83)))</f>
        <v/>
      </c>
      <c r="HR83">
        <f>IF(OR(HM$3="",HM$3&gt;TODAY()),"",IF(AND(HP83="",HQ83=""),"",N(HQ83)-N(HP83)))</f>
        <v/>
      </c>
      <c r="HV83">
        <f>IF(OR(HT$3="",HT$3&gt;TODAY()),"",IF(AND(HT83="",HU83=""),"",N(HU83)-N(HT83)))</f>
        <v/>
      </c>
      <c r="HY83">
        <f>IF(OR(HT$3="",HT$3&gt;TODAY()),"",IF(AND(HW83="",HX83=""),"",N(HX83)-N(HW83)))</f>
        <v/>
      </c>
      <c r="IC83">
        <f>IF(OR(IA$3="",IA$3&gt;TODAY()),"",IF(AND(IA83="",IB83=""),"",N(IB83)-N(IA83)))</f>
        <v/>
      </c>
      <c r="IF83">
        <f>IF(OR(IA$3="",IA$3&gt;TODAY()),"",IF(AND(ID83="",IE83=""),"",N(IE83)-N(ID83)))</f>
        <v/>
      </c>
      <c r="IJ83">
        <f>IF(OR(IH$3="",IH$3&gt;TODAY()),"",IF(AND(IH83="",II83=""),"",N(II83)-N(IH83)))</f>
        <v/>
      </c>
      <c r="IM83">
        <f>IF(OR(IH$3="",IH$3&gt;TODAY()),"",IF(AND(IK83="",IL83=""),"",N(IL83)-N(IK83)))</f>
        <v/>
      </c>
    </row>
    <row r="84">
      <c r="A84" s="21" t="n"/>
      <c r="B84" s="21" t="n"/>
      <c r="C84" s="21" t="n"/>
      <c r="D84" s="21" t="n"/>
      <c r="E84" s="21" t="n"/>
      <c r="F84" s="21" t="n"/>
      <c r="G84" s="21" t="n"/>
      <c r="H84" s="21" t="n"/>
      <c r="I84" s="22" t="n"/>
      <c r="J84" s="22" t="n"/>
      <c r="K84" s="23" t="n"/>
      <c r="L84" s="22" t="n"/>
      <c r="M84" s="22" t="n"/>
      <c r="N84" s="21" t="n"/>
      <c r="O84" s="23" t="n"/>
      <c r="P84" s="23" t="n"/>
      <c r="Q84" s="23" t="n"/>
      <c r="R84" s="23" t="n"/>
      <c r="S84" s="22" t="n"/>
      <c r="T84" s="23" t="n"/>
      <c r="U84" s="23" t="n"/>
      <c r="V84" s="24">
        <f>IF(J84&lt;&gt;"",J84,IF(I84&lt;&gt;"",I84,""))</f>
        <v/>
      </c>
      <c r="W84" s="25">
        <f>IF($E84="","",N(O84)+SUMIFS($AF84:$IN84,$AF$4:$IN$4,"SEW_ACT"))</f>
        <v/>
      </c>
      <c r="X84" s="25">
        <f>IF($E84="","",N(P84)+SUMIFS($AF84:$IN84,$AF$4:$IN$4,"WASH_ACT"))</f>
        <v/>
      </c>
      <c r="Y84" s="25">
        <f>IF($E84="","",W84-X84-N(T84)-N(U84))</f>
        <v/>
      </c>
      <c r="Z84" s="25">
        <f>IF($E84="","",IF(N(K84)-X84&lt;=0.02*N(K84),0,N(K84)-X84))</f>
        <v/>
      </c>
      <c r="AA84" s="24">
        <f>IF($E84="","",IF(S84&lt;&gt;"",S84,IF(N(O84)&gt;0,IF(L84&lt;&gt;"",L84,99999),IFERROR(1/(1/_xlfn.MINIFS($AF$3:$IN$3,$AF$4:$IN$4,"SEW_ACT",$AF84:$IN84,"&gt;0")),99999))))</f>
        <v/>
      </c>
      <c r="AB84" s="26">
        <f>IF(OR($E84="",Z84=0,V84=""),"",1+COUNTIFS(Z$8:Z$707,"&gt;0",V$8:V$707,"&lt;"&amp;V84)+COUNTIFS(Z$8:Z$707,"&gt;0",V$8:V$707,V84,AA$8:AA$707,"&lt;"&amp;AA84)+COUNTIFS(Z$8:Z$707,"&gt;0",V$8:V$707,V84,AA$8:AA$707,AA84,E$8:E$707,"&lt;"&amp;$E84))</f>
        <v/>
      </c>
      <c r="AC84" s="24">
        <f>IF(OR($E84="",Z84=0),"",IFERROR(TODAY()+ROUNDUP(Z84/(SUMIFS($AF84:$IN84,$AF$4:$IN$4,"WASH_ACT")/COUNTIFS($AF$4:$IN$4,"WASH_ACT",$AF84:$IN84,"&gt;0")),0),"no output yet"))</f>
        <v/>
      </c>
      <c r="AD84" s="26">
        <f>IF($E84="","",IFERROR(ROUND(MAX(0,SUMIFS($AF84:$IN84,$AF$4:$IN$4,"SEW_PLAN",$AF$3:$IN$3,"&lt;="&amp;TODAY())-SUMIFS($AF84:$IN84,$AF$4:$IN$4,"SEW_ACT",$AF$3:$IN$3,"&lt;="&amp;TODAY())+N(Q84))/(SUMIFS($AF84:$IN84,$AF$4:$IN$4,"SEW_PLAN")/COUNTIFS($AF$4:$IN$4,"SEW_PLAN",$AF84:$IN84,"&gt;0")),1),0))</f>
        <v/>
      </c>
      <c r="AE84" s="26">
        <f>IF($E84="","",IF(AND(Z84&gt;0,OR(AND(M84&lt;&gt;"",TODAY()&gt;M84),AND(V84&lt;&gt;"",V84-TODAY()&lt;=7))),"Yes","No"))</f>
        <v/>
      </c>
      <c r="AH84">
        <f>IF(OR(AF$3="",AF$3&gt;TODAY()),"",IF(AND(AF84="",AG84=""),"",N(AG84)-N(AF84)))</f>
        <v/>
      </c>
      <c r="AK84">
        <f>IF(OR(AF$3="",AF$3&gt;TODAY()),"",IF(AND(AI84="",AJ84=""),"",N(AJ84)-N(AI84)))</f>
        <v/>
      </c>
      <c r="AO84">
        <f>IF(OR(AM$3="",AM$3&gt;TODAY()),"",IF(AND(AM84="",AN84=""),"",N(AN84)-N(AM84)))</f>
        <v/>
      </c>
      <c r="AR84">
        <f>IF(OR(AM$3="",AM$3&gt;TODAY()),"",IF(AND(AP84="",AQ84=""),"",N(AQ84)-N(AP84)))</f>
        <v/>
      </c>
      <c r="AV84">
        <f>IF(OR(AT$3="",AT$3&gt;TODAY()),"",IF(AND(AT84="",AU84=""),"",N(AU84)-N(AT84)))</f>
        <v/>
      </c>
      <c r="AY84">
        <f>IF(OR(AT$3="",AT$3&gt;TODAY()),"",IF(AND(AW84="",AX84=""),"",N(AX84)-N(AW84)))</f>
        <v/>
      </c>
      <c r="BC84">
        <f>IF(OR(BA$3="",BA$3&gt;TODAY()),"",IF(AND(BA84="",BB84=""),"",N(BB84)-N(BA84)))</f>
        <v/>
      </c>
      <c r="BF84">
        <f>IF(OR(BA$3="",BA$3&gt;TODAY()),"",IF(AND(BD84="",BE84=""),"",N(BE84)-N(BD84)))</f>
        <v/>
      </c>
      <c r="BJ84">
        <f>IF(OR(BH$3="",BH$3&gt;TODAY()),"",IF(AND(BH84="",BI84=""),"",N(BI84)-N(BH84)))</f>
        <v/>
      </c>
      <c r="BM84">
        <f>IF(OR(BH$3="",BH$3&gt;TODAY()),"",IF(AND(BK84="",BL84=""),"",N(BL84)-N(BK84)))</f>
        <v/>
      </c>
      <c r="BQ84">
        <f>IF(OR(BO$3="",BO$3&gt;TODAY()),"",IF(AND(BO84="",BP84=""),"",N(BP84)-N(BO84)))</f>
        <v/>
      </c>
      <c r="BT84">
        <f>IF(OR(BO$3="",BO$3&gt;TODAY()),"",IF(AND(BR84="",BS84=""),"",N(BS84)-N(BR84)))</f>
        <v/>
      </c>
      <c r="BX84">
        <f>IF(OR(BV$3="",BV$3&gt;TODAY()),"",IF(AND(BV84="",BW84=""),"",N(BW84)-N(BV84)))</f>
        <v/>
      </c>
      <c r="CA84">
        <f>IF(OR(BV$3="",BV$3&gt;TODAY()),"",IF(AND(BY84="",BZ84=""),"",N(BZ84)-N(BY84)))</f>
        <v/>
      </c>
      <c r="CE84">
        <f>IF(OR(CC$3="",CC$3&gt;TODAY()),"",IF(AND(CC84="",CD84=""),"",N(CD84)-N(CC84)))</f>
        <v/>
      </c>
      <c r="CH84">
        <f>IF(OR(CC$3="",CC$3&gt;TODAY()),"",IF(AND(CF84="",CG84=""),"",N(CG84)-N(CF84)))</f>
        <v/>
      </c>
      <c r="CL84">
        <f>IF(OR(CJ$3="",CJ$3&gt;TODAY()),"",IF(AND(CJ84="",CK84=""),"",N(CK84)-N(CJ84)))</f>
        <v/>
      </c>
      <c r="CO84">
        <f>IF(OR(CJ$3="",CJ$3&gt;TODAY()),"",IF(AND(CM84="",CN84=""),"",N(CN84)-N(CM84)))</f>
        <v/>
      </c>
      <c r="CS84">
        <f>IF(OR(CQ$3="",CQ$3&gt;TODAY()),"",IF(AND(CQ84="",CR84=""),"",N(CR84)-N(CQ84)))</f>
        <v/>
      </c>
      <c r="CV84">
        <f>IF(OR(CQ$3="",CQ$3&gt;TODAY()),"",IF(AND(CT84="",CU84=""),"",N(CU84)-N(CT84)))</f>
        <v/>
      </c>
      <c r="CZ84">
        <f>IF(OR(CX$3="",CX$3&gt;TODAY()),"",IF(AND(CX84="",CY84=""),"",N(CY84)-N(CX84)))</f>
        <v/>
      </c>
      <c r="DC84">
        <f>IF(OR(CX$3="",CX$3&gt;TODAY()),"",IF(AND(DA84="",DB84=""),"",N(DB84)-N(DA84)))</f>
        <v/>
      </c>
      <c r="DG84">
        <f>IF(OR(DE$3="",DE$3&gt;TODAY()),"",IF(AND(DE84="",DF84=""),"",N(DF84)-N(DE84)))</f>
        <v/>
      </c>
      <c r="DJ84">
        <f>IF(OR(DE$3="",DE$3&gt;TODAY()),"",IF(AND(DH84="",DI84=""),"",N(DI84)-N(DH84)))</f>
        <v/>
      </c>
      <c r="DN84">
        <f>IF(OR(DL$3="",DL$3&gt;TODAY()),"",IF(AND(DL84="",DM84=""),"",N(DM84)-N(DL84)))</f>
        <v/>
      </c>
      <c r="DQ84">
        <f>IF(OR(DL$3="",DL$3&gt;TODAY()),"",IF(AND(DO84="",DP84=""),"",N(DP84)-N(DO84)))</f>
        <v/>
      </c>
      <c r="DU84">
        <f>IF(OR(DS$3="",DS$3&gt;TODAY()),"",IF(AND(DS84="",DT84=""),"",N(DT84)-N(DS84)))</f>
        <v/>
      </c>
      <c r="DX84">
        <f>IF(OR(DS$3="",DS$3&gt;TODAY()),"",IF(AND(DV84="",DW84=""),"",N(DW84)-N(DV84)))</f>
        <v/>
      </c>
      <c r="EB84">
        <f>IF(OR(DZ$3="",DZ$3&gt;TODAY()),"",IF(AND(DZ84="",EA84=""),"",N(EA84)-N(DZ84)))</f>
        <v/>
      </c>
      <c r="EE84">
        <f>IF(OR(DZ$3="",DZ$3&gt;TODAY()),"",IF(AND(EC84="",ED84=""),"",N(ED84)-N(EC84)))</f>
        <v/>
      </c>
      <c r="EI84">
        <f>IF(OR(EG$3="",EG$3&gt;TODAY()),"",IF(AND(EG84="",EH84=""),"",N(EH84)-N(EG84)))</f>
        <v/>
      </c>
      <c r="EL84">
        <f>IF(OR(EG$3="",EG$3&gt;TODAY()),"",IF(AND(EJ84="",EK84=""),"",N(EK84)-N(EJ84)))</f>
        <v/>
      </c>
      <c r="EP84">
        <f>IF(OR(EN$3="",EN$3&gt;TODAY()),"",IF(AND(EN84="",EO84=""),"",N(EO84)-N(EN84)))</f>
        <v/>
      </c>
      <c r="ES84">
        <f>IF(OR(EN$3="",EN$3&gt;TODAY()),"",IF(AND(EQ84="",ER84=""),"",N(ER84)-N(EQ84)))</f>
        <v/>
      </c>
      <c r="EW84">
        <f>IF(OR(EU$3="",EU$3&gt;TODAY()),"",IF(AND(EU84="",EV84=""),"",N(EV84)-N(EU84)))</f>
        <v/>
      </c>
      <c r="EZ84">
        <f>IF(OR(EU$3="",EU$3&gt;TODAY()),"",IF(AND(EX84="",EY84=""),"",N(EY84)-N(EX84)))</f>
        <v/>
      </c>
      <c r="FD84">
        <f>IF(OR(FB$3="",FB$3&gt;TODAY()),"",IF(AND(FB84="",FC84=""),"",N(FC84)-N(FB84)))</f>
        <v/>
      </c>
      <c r="FG84">
        <f>IF(OR(FB$3="",FB$3&gt;TODAY()),"",IF(AND(FE84="",FF84=""),"",N(FF84)-N(FE84)))</f>
        <v/>
      </c>
      <c r="FK84">
        <f>IF(OR(FI$3="",FI$3&gt;TODAY()),"",IF(AND(FI84="",FJ84=""),"",N(FJ84)-N(FI84)))</f>
        <v/>
      </c>
      <c r="FN84">
        <f>IF(OR(FI$3="",FI$3&gt;TODAY()),"",IF(AND(FL84="",FM84=""),"",N(FM84)-N(FL84)))</f>
        <v/>
      </c>
      <c r="FR84">
        <f>IF(OR(FP$3="",FP$3&gt;TODAY()),"",IF(AND(FP84="",FQ84=""),"",N(FQ84)-N(FP84)))</f>
        <v/>
      </c>
      <c r="FU84">
        <f>IF(OR(FP$3="",FP$3&gt;TODAY()),"",IF(AND(FS84="",FT84=""),"",N(FT84)-N(FS84)))</f>
        <v/>
      </c>
      <c r="FY84">
        <f>IF(OR(FW$3="",FW$3&gt;TODAY()),"",IF(AND(FW84="",FX84=""),"",N(FX84)-N(FW84)))</f>
        <v/>
      </c>
      <c r="GB84">
        <f>IF(OR(FW$3="",FW$3&gt;TODAY()),"",IF(AND(FZ84="",GA84=""),"",N(GA84)-N(FZ84)))</f>
        <v/>
      </c>
      <c r="GF84">
        <f>IF(OR(GD$3="",GD$3&gt;TODAY()),"",IF(AND(GD84="",GE84=""),"",N(GE84)-N(GD84)))</f>
        <v/>
      </c>
      <c r="GI84">
        <f>IF(OR(GD$3="",GD$3&gt;TODAY()),"",IF(AND(GG84="",GH84=""),"",N(GH84)-N(GG84)))</f>
        <v/>
      </c>
      <c r="GM84">
        <f>IF(OR(GK$3="",GK$3&gt;TODAY()),"",IF(AND(GK84="",GL84=""),"",N(GL84)-N(GK84)))</f>
        <v/>
      </c>
      <c r="GP84">
        <f>IF(OR(GK$3="",GK$3&gt;TODAY()),"",IF(AND(GN84="",GO84=""),"",N(GO84)-N(GN84)))</f>
        <v/>
      </c>
      <c r="GT84">
        <f>IF(OR(GR$3="",GR$3&gt;TODAY()),"",IF(AND(GR84="",GS84=""),"",N(GS84)-N(GR84)))</f>
        <v/>
      </c>
      <c r="GW84">
        <f>IF(OR(GR$3="",GR$3&gt;TODAY()),"",IF(AND(GU84="",GV84=""),"",N(GV84)-N(GU84)))</f>
        <v/>
      </c>
      <c r="HA84">
        <f>IF(OR(GY$3="",GY$3&gt;TODAY()),"",IF(AND(GY84="",GZ84=""),"",N(GZ84)-N(GY84)))</f>
        <v/>
      </c>
      <c r="HD84">
        <f>IF(OR(GY$3="",GY$3&gt;TODAY()),"",IF(AND(HB84="",HC84=""),"",N(HC84)-N(HB84)))</f>
        <v/>
      </c>
      <c r="HH84">
        <f>IF(OR(HF$3="",HF$3&gt;TODAY()),"",IF(AND(HF84="",HG84=""),"",N(HG84)-N(HF84)))</f>
        <v/>
      </c>
      <c r="HK84">
        <f>IF(OR(HF$3="",HF$3&gt;TODAY()),"",IF(AND(HI84="",HJ84=""),"",N(HJ84)-N(HI84)))</f>
        <v/>
      </c>
      <c r="HO84">
        <f>IF(OR(HM$3="",HM$3&gt;TODAY()),"",IF(AND(HM84="",HN84=""),"",N(HN84)-N(HM84)))</f>
        <v/>
      </c>
      <c r="HR84">
        <f>IF(OR(HM$3="",HM$3&gt;TODAY()),"",IF(AND(HP84="",HQ84=""),"",N(HQ84)-N(HP84)))</f>
        <v/>
      </c>
      <c r="HV84">
        <f>IF(OR(HT$3="",HT$3&gt;TODAY()),"",IF(AND(HT84="",HU84=""),"",N(HU84)-N(HT84)))</f>
        <v/>
      </c>
      <c r="HY84">
        <f>IF(OR(HT$3="",HT$3&gt;TODAY()),"",IF(AND(HW84="",HX84=""),"",N(HX84)-N(HW84)))</f>
        <v/>
      </c>
      <c r="IC84">
        <f>IF(OR(IA$3="",IA$3&gt;TODAY()),"",IF(AND(IA84="",IB84=""),"",N(IB84)-N(IA84)))</f>
        <v/>
      </c>
      <c r="IF84">
        <f>IF(OR(IA$3="",IA$3&gt;TODAY()),"",IF(AND(ID84="",IE84=""),"",N(IE84)-N(ID84)))</f>
        <v/>
      </c>
      <c r="IJ84">
        <f>IF(OR(IH$3="",IH$3&gt;TODAY()),"",IF(AND(IH84="",II84=""),"",N(II84)-N(IH84)))</f>
        <v/>
      </c>
      <c r="IM84">
        <f>IF(OR(IH$3="",IH$3&gt;TODAY()),"",IF(AND(IK84="",IL84=""),"",N(IL84)-N(IK84)))</f>
        <v/>
      </c>
    </row>
    <row r="85">
      <c r="A85" s="21" t="n"/>
      <c r="B85" s="21" t="n"/>
      <c r="C85" s="21" t="n"/>
      <c r="D85" s="21" t="n"/>
      <c r="E85" s="21" t="n"/>
      <c r="F85" s="21" t="n"/>
      <c r="G85" s="21" t="n"/>
      <c r="H85" s="21" t="n"/>
      <c r="I85" s="22" t="n"/>
      <c r="J85" s="22" t="n"/>
      <c r="K85" s="23" t="n"/>
      <c r="L85" s="22" t="n"/>
      <c r="M85" s="22" t="n"/>
      <c r="N85" s="21" t="n"/>
      <c r="O85" s="23" t="n"/>
      <c r="P85" s="23" t="n"/>
      <c r="Q85" s="23" t="n"/>
      <c r="R85" s="23" t="n"/>
      <c r="S85" s="22" t="n"/>
      <c r="T85" s="23" t="n"/>
      <c r="U85" s="23" t="n"/>
      <c r="V85" s="24">
        <f>IF(J85&lt;&gt;"",J85,IF(I85&lt;&gt;"",I85,""))</f>
        <v/>
      </c>
      <c r="W85" s="25">
        <f>IF($E85="","",N(O85)+SUMIFS($AF85:$IN85,$AF$4:$IN$4,"SEW_ACT"))</f>
        <v/>
      </c>
      <c r="X85" s="25">
        <f>IF($E85="","",N(P85)+SUMIFS($AF85:$IN85,$AF$4:$IN$4,"WASH_ACT"))</f>
        <v/>
      </c>
      <c r="Y85" s="25">
        <f>IF($E85="","",W85-X85-N(T85)-N(U85))</f>
        <v/>
      </c>
      <c r="Z85" s="25">
        <f>IF($E85="","",IF(N(K85)-X85&lt;=0.02*N(K85),0,N(K85)-X85))</f>
        <v/>
      </c>
      <c r="AA85" s="24">
        <f>IF($E85="","",IF(S85&lt;&gt;"",S85,IF(N(O85)&gt;0,IF(L85&lt;&gt;"",L85,99999),IFERROR(1/(1/_xlfn.MINIFS($AF$3:$IN$3,$AF$4:$IN$4,"SEW_ACT",$AF85:$IN85,"&gt;0")),99999))))</f>
        <v/>
      </c>
      <c r="AB85" s="26">
        <f>IF(OR($E85="",Z85=0,V85=""),"",1+COUNTIFS(Z$8:Z$707,"&gt;0",V$8:V$707,"&lt;"&amp;V85)+COUNTIFS(Z$8:Z$707,"&gt;0",V$8:V$707,V85,AA$8:AA$707,"&lt;"&amp;AA85)+COUNTIFS(Z$8:Z$707,"&gt;0",V$8:V$707,V85,AA$8:AA$707,AA85,E$8:E$707,"&lt;"&amp;$E85))</f>
        <v/>
      </c>
      <c r="AC85" s="24">
        <f>IF(OR($E85="",Z85=0),"",IFERROR(TODAY()+ROUNDUP(Z85/(SUMIFS($AF85:$IN85,$AF$4:$IN$4,"WASH_ACT")/COUNTIFS($AF$4:$IN$4,"WASH_ACT",$AF85:$IN85,"&gt;0")),0),"no output yet"))</f>
        <v/>
      </c>
      <c r="AD85" s="26">
        <f>IF($E85="","",IFERROR(ROUND(MAX(0,SUMIFS($AF85:$IN85,$AF$4:$IN$4,"SEW_PLAN",$AF$3:$IN$3,"&lt;="&amp;TODAY())-SUMIFS($AF85:$IN85,$AF$4:$IN$4,"SEW_ACT",$AF$3:$IN$3,"&lt;="&amp;TODAY())+N(Q85))/(SUMIFS($AF85:$IN85,$AF$4:$IN$4,"SEW_PLAN")/COUNTIFS($AF$4:$IN$4,"SEW_PLAN",$AF85:$IN85,"&gt;0")),1),0))</f>
        <v/>
      </c>
      <c r="AE85" s="26">
        <f>IF($E85="","",IF(AND(Z85&gt;0,OR(AND(M85&lt;&gt;"",TODAY()&gt;M85),AND(V85&lt;&gt;"",V85-TODAY()&lt;=7))),"Yes","No"))</f>
        <v/>
      </c>
      <c r="AH85">
        <f>IF(OR(AF$3="",AF$3&gt;TODAY()),"",IF(AND(AF85="",AG85=""),"",N(AG85)-N(AF85)))</f>
        <v/>
      </c>
      <c r="AK85">
        <f>IF(OR(AF$3="",AF$3&gt;TODAY()),"",IF(AND(AI85="",AJ85=""),"",N(AJ85)-N(AI85)))</f>
        <v/>
      </c>
      <c r="AO85">
        <f>IF(OR(AM$3="",AM$3&gt;TODAY()),"",IF(AND(AM85="",AN85=""),"",N(AN85)-N(AM85)))</f>
        <v/>
      </c>
      <c r="AR85">
        <f>IF(OR(AM$3="",AM$3&gt;TODAY()),"",IF(AND(AP85="",AQ85=""),"",N(AQ85)-N(AP85)))</f>
        <v/>
      </c>
      <c r="AV85">
        <f>IF(OR(AT$3="",AT$3&gt;TODAY()),"",IF(AND(AT85="",AU85=""),"",N(AU85)-N(AT85)))</f>
        <v/>
      </c>
      <c r="AY85">
        <f>IF(OR(AT$3="",AT$3&gt;TODAY()),"",IF(AND(AW85="",AX85=""),"",N(AX85)-N(AW85)))</f>
        <v/>
      </c>
      <c r="BC85">
        <f>IF(OR(BA$3="",BA$3&gt;TODAY()),"",IF(AND(BA85="",BB85=""),"",N(BB85)-N(BA85)))</f>
        <v/>
      </c>
      <c r="BF85">
        <f>IF(OR(BA$3="",BA$3&gt;TODAY()),"",IF(AND(BD85="",BE85=""),"",N(BE85)-N(BD85)))</f>
        <v/>
      </c>
      <c r="BJ85">
        <f>IF(OR(BH$3="",BH$3&gt;TODAY()),"",IF(AND(BH85="",BI85=""),"",N(BI85)-N(BH85)))</f>
        <v/>
      </c>
      <c r="BM85">
        <f>IF(OR(BH$3="",BH$3&gt;TODAY()),"",IF(AND(BK85="",BL85=""),"",N(BL85)-N(BK85)))</f>
        <v/>
      </c>
      <c r="BQ85">
        <f>IF(OR(BO$3="",BO$3&gt;TODAY()),"",IF(AND(BO85="",BP85=""),"",N(BP85)-N(BO85)))</f>
        <v/>
      </c>
      <c r="BT85">
        <f>IF(OR(BO$3="",BO$3&gt;TODAY()),"",IF(AND(BR85="",BS85=""),"",N(BS85)-N(BR85)))</f>
        <v/>
      </c>
      <c r="BX85">
        <f>IF(OR(BV$3="",BV$3&gt;TODAY()),"",IF(AND(BV85="",BW85=""),"",N(BW85)-N(BV85)))</f>
        <v/>
      </c>
      <c r="CA85">
        <f>IF(OR(BV$3="",BV$3&gt;TODAY()),"",IF(AND(BY85="",BZ85=""),"",N(BZ85)-N(BY85)))</f>
        <v/>
      </c>
      <c r="CE85">
        <f>IF(OR(CC$3="",CC$3&gt;TODAY()),"",IF(AND(CC85="",CD85=""),"",N(CD85)-N(CC85)))</f>
        <v/>
      </c>
      <c r="CH85">
        <f>IF(OR(CC$3="",CC$3&gt;TODAY()),"",IF(AND(CF85="",CG85=""),"",N(CG85)-N(CF85)))</f>
        <v/>
      </c>
      <c r="CL85">
        <f>IF(OR(CJ$3="",CJ$3&gt;TODAY()),"",IF(AND(CJ85="",CK85=""),"",N(CK85)-N(CJ85)))</f>
        <v/>
      </c>
      <c r="CO85">
        <f>IF(OR(CJ$3="",CJ$3&gt;TODAY()),"",IF(AND(CM85="",CN85=""),"",N(CN85)-N(CM85)))</f>
        <v/>
      </c>
      <c r="CS85">
        <f>IF(OR(CQ$3="",CQ$3&gt;TODAY()),"",IF(AND(CQ85="",CR85=""),"",N(CR85)-N(CQ85)))</f>
        <v/>
      </c>
      <c r="CV85">
        <f>IF(OR(CQ$3="",CQ$3&gt;TODAY()),"",IF(AND(CT85="",CU85=""),"",N(CU85)-N(CT85)))</f>
        <v/>
      </c>
      <c r="CZ85">
        <f>IF(OR(CX$3="",CX$3&gt;TODAY()),"",IF(AND(CX85="",CY85=""),"",N(CY85)-N(CX85)))</f>
        <v/>
      </c>
      <c r="DC85">
        <f>IF(OR(CX$3="",CX$3&gt;TODAY()),"",IF(AND(DA85="",DB85=""),"",N(DB85)-N(DA85)))</f>
        <v/>
      </c>
      <c r="DG85">
        <f>IF(OR(DE$3="",DE$3&gt;TODAY()),"",IF(AND(DE85="",DF85=""),"",N(DF85)-N(DE85)))</f>
        <v/>
      </c>
      <c r="DJ85">
        <f>IF(OR(DE$3="",DE$3&gt;TODAY()),"",IF(AND(DH85="",DI85=""),"",N(DI85)-N(DH85)))</f>
        <v/>
      </c>
      <c r="DN85">
        <f>IF(OR(DL$3="",DL$3&gt;TODAY()),"",IF(AND(DL85="",DM85=""),"",N(DM85)-N(DL85)))</f>
        <v/>
      </c>
      <c r="DQ85">
        <f>IF(OR(DL$3="",DL$3&gt;TODAY()),"",IF(AND(DO85="",DP85=""),"",N(DP85)-N(DO85)))</f>
        <v/>
      </c>
      <c r="DU85">
        <f>IF(OR(DS$3="",DS$3&gt;TODAY()),"",IF(AND(DS85="",DT85=""),"",N(DT85)-N(DS85)))</f>
        <v/>
      </c>
      <c r="DX85">
        <f>IF(OR(DS$3="",DS$3&gt;TODAY()),"",IF(AND(DV85="",DW85=""),"",N(DW85)-N(DV85)))</f>
        <v/>
      </c>
      <c r="EB85">
        <f>IF(OR(DZ$3="",DZ$3&gt;TODAY()),"",IF(AND(DZ85="",EA85=""),"",N(EA85)-N(DZ85)))</f>
        <v/>
      </c>
      <c r="EE85">
        <f>IF(OR(DZ$3="",DZ$3&gt;TODAY()),"",IF(AND(EC85="",ED85=""),"",N(ED85)-N(EC85)))</f>
        <v/>
      </c>
      <c r="EI85">
        <f>IF(OR(EG$3="",EG$3&gt;TODAY()),"",IF(AND(EG85="",EH85=""),"",N(EH85)-N(EG85)))</f>
        <v/>
      </c>
      <c r="EL85">
        <f>IF(OR(EG$3="",EG$3&gt;TODAY()),"",IF(AND(EJ85="",EK85=""),"",N(EK85)-N(EJ85)))</f>
        <v/>
      </c>
      <c r="EP85">
        <f>IF(OR(EN$3="",EN$3&gt;TODAY()),"",IF(AND(EN85="",EO85=""),"",N(EO85)-N(EN85)))</f>
        <v/>
      </c>
      <c r="ES85">
        <f>IF(OR(EN$3="",EN$3&gt;TODAY()),"",IF(AND(EQ85="",ER85=""),"",N(ER85)-N(EQ85)))</f>
        <v/>
      </c>
      <c r="EW85">
        <f>IF(OR(EU$3="",EU$3&gt;TODAY()),"",IF(AND(EU85="",EV85=""),"",N(EV85)-N(EU85)))</f>
        <v/>
      </c>
      <c r="EZ85">
        <f>IF(OR(EU$3="",EU$3&gt;TODAY()),"",IF(AND(EX85="",EY85=""),"",N(EY85)-N(EX85)))</f>
        <v/>
      </c>
      <c r="FD85">
        <f>IF(OR(FB$3="",FB$3&gt;TODAY()),"",IF(AND(FB85="",FC85=""),"",N(FC85)-N(FB85)))</f>
        <v/>
      </c>
      <c r="FG85">
        <f>IF(OR(FB$3="",FB$3&gt;TODAY()),"",IF(AND(FE85="",FF85=""),"",N(FF85)-N(FE85)))</f>
        <v/>
      </c>
      <c r="FK85">
        <f>IF(OR(FI$3="",FI$3&gt;TODAY()),"",IF(AND(FI85="",FJ85=""),"",N(FJ85)-N(FI85)))</f>
        <v/>
      </c>
      <c r="FN85">
        <f>IF(OR(FI$3="",FI$3&gt;TODAY()),"",IF(AND(FL85="",FM85=""),"",N(FM85)-N(FL85)))</f>
        <v/>
      </c>
      <c r="FR85">
        <f>IF(OR(FP$3="",FP$3&gt;TODAY()),"",IF(AND(FP85="",FQ85=""),"",N(FQ85)-N(FP85)))</f>
        <v/>
      </c>
      <c r="FU85">
        <f>IF(OR(FP$3="",FP$3&gt;TODAY()),"",IF(AND(FS85="",FT85=""),"",N(FT85)-N(FS85)))</f>
        <v/>
      </c>
      <c r="FY85">
        <f>IF(OR(FW$3="",FW$3&gt;TODAY()),"",IF(AND(FW85="",FX85=""),"",N(FX85)-N(FW85)))</f>
        <v/>
      </c>
      <c r="GB85">
        <f>IF(OR(FW$3="",FW$3&gt;TODAY()),"",IF(AND(FZ85="",GA85=""),"",N(GA85)-N(FZ85)))</f>
        <v/>
      </c>
      <c r="GF85">
        <f>IF(OR(GD$3="",GD$3&gt;TODAY()),"",IF(AND(GD85="",GE85=""),"",N(GE85)-N(GD85)))</f>
        <v/>
      </c>
      <c r="GI85">
        <f>IF(OR(GD$3="",GD$3&gt;TODAY()),"",IF(AND(GG85="",GH85=""),"",N(GH85)-N(GG85)))</f>
        <v/>
      </c>
      <c r="GM85">
        <f>IF(OR(GK$3="",GK$3&gt;TODAY()),"",IF(AND(GK85="",GL85=""),"",N(GL85)-N(GK85)))</f>
        <v/>
      </c>
      <c r="GP85">
        <f>IF(OR(GK$3="",GK$3&gt;TODAY()),"",IF(AND(GN85="",GO85=""),"",N(GO85)-N(GN85)))</f>
        <v/>
      </c>
      <c r="GT85">
        <f>IF(OR(GR$3="",GR$3&gt;TODAY()),"",IF(AND(GR85="",GS85=""),"",N(GS85)-N(GR85)))</f>
        <v/>
      </c>
      <c r="GW85">
        <f>IF(OR(GR$3="",GR$3&gt;TODAY()),"",IF(AND(GU85="",GV85=""),"",N(GV85)-N(GU85)))</f>
        <v/>
      </c>
      <c r="HA85">
        <f>IF(OR(GY$3="",GY$3&gt;TODAY()),"",IF(AND(GY85="",GZ85=""),"",N(GZ85)-N(GY85)))</f>
        <v/>
      </c>
      <c r="HD85">
        <f>IF(OR(GY$3="",GY$3&gt;TODAY()),"",IF(AND(HB85="",HC85=""),"",N(HC85)-N(HB85)))</f>
        <v/>
      </c>
      <c r="HH85">
        <f>IF(OR(HF$3="",HF$3&gt;TODAY()),"",IF(AND(HF85="",HG85=""),"",N(HG85)-N(HF85)))</f>
        <v/>
      </c>
      <c r="HK85">
        <f>IF(OR(HF$3="",HF$3&gt;TODAY()),"",IF(AND(HI85="",HJ85=""),"",N(HJ85)-N(HI85)))</f>
        <v/>
      </c>
      <c r="HO85">
        <f>IF(OR(HM$3="",HM$3&gt;TODAY()),"",IF(AND(HM85="",HN85=""),"",N(HN85)-N(HM85)))</f>
        <v/>
      </c>
      <c r="HR85">
        <f>IF(OR(HM$3="",HM$3&gt;TODAY()),"",IF(AND(HP85="",HQ85=""),"",N(HQ85)-N(HP85)))</f>
        <v/>
      </c>
      <c r="HV85">
        <f>IF(OR(HT$3="",HT$3&gt;TODAY()),"",IF(AND(HT85="",HU85=""),"",N(HU85)-N(HT85)))</f>
        <v/>
      </c>
      <c r="HY85">
        <f>IF(OR(HT$3="",HT$3&gt;TODAY()),"",IF(AND(HW85="",HX85=""),"",N(HX85)-N(HW85)))</f>
        <v/>
      </c>
      <c r="IC85">
        <f>IF(OR(IA$3="",IA$3&gt;TODAY()),"",IF(AND(IA85="",IB85=""),"",N(IB85)-N(IA85)))</f>
        <v/>
      </c>
      <c r="IF85">
        <f>IF(OR(IA$3="",IA$3&gt;TODAY()),"",IF(AND(ID85="",IE85=""),"",N(IE85)-N(ID85)))</f>
        <v/>
      </c>
      <c r="IJ85">
        <f>IF(OR(IH$3="",IH$3&gt;TODAY()),"",IF(AND(IH85="",II85=""),"",N(II85)-N(IH85)))</f>
        <v/>
      </c>
      <c r="IM85">
        <f>IF(OR(IH$3="",IH$3&gt;TODAY()),"",IF(AND(IK85="",IL85=""),"",N(IL85)-N(IK85)))</f>
        <v/>
      </c>
    </row>
    <row r="86">
      <c r="A86" s="21" t="n"/>
      <c r="B86" s="21" t="n"/>
      <c r="C86" s="21" t="n"/>
      <c r="D86" s="21" t="n"/>
      <c r="E86" s="21" t="n"/>
      <c r="F86" s="21" t="n"/>
      <c r="G86" s="21" t="n"/>
      <c r="H86" s="21" t="n"/>
      <c r="I86" s="22" t="n"/>
      <c r="J86" s="22" t="n"/>
      <c r="K86" s="23" t="n"/>
      <c r="L86" s="22" t="n"/>
      <c r="M86" s="22" t="n"/>
      <c r="N86" s="21" t="n"/>
      <c r="O86" s="23" t="n"/>
      <c r="P86" s="23" t="n"/>
      <c r="Q86" s="23" t="n"/>
      <c r="R86" s="23" t="n"/>
      <c r="S86" s="22" t="n"/>
      <c r="T86" s="23" t="n"/>
      <c r="U86" s="23" t="n"/>
      <c r="V86" s="24">
        <f>IF(J86&lt;&gt;"",J86,IF(I86&lt;&gt;"",I86,""))</f>
        <v/>
      </c>
      <c r="W86" s="25">
        <f>IF($E86="","",N(O86)+SUMIFS($AF86:$IN86,$AF$4:$IN$4,"SEW_ACT"))</f>
        <v/>
      </c>
      <c r="X86" s="25">
        <f>IF($E86="","",N(P86)+SUMIFS($AF86:$IN86,$AF$4:$IN$4,"WASH_ACT"))</f>
        <v/>
      </c>
      <c r="Y86" s="25">
        <f>IF($E86="","",W86-X86-N(T86)-N(U86))</f>
        <v/>
      </c>
      <c r="Z86" s="25">
        <f>IF($E86="","",IF(N(K86)-X86&lt;=0.02*N(K86),0,N(K86)-X86))</f>
        <v/>
      </c>
      <c r="AA86" s="24">
        <f>IF($E86="","",IF(S86&lt;&gt;"",S86,IF(N(O86)&gt;0,IF(L86&lt;&gt;"",L86,99999),IFERROR(1/(1/_xlfn.MINIFS($AF$3:$IN$3,$AF$4:$IN$4,"SEW_ACT",$AF86:$IN86,"&gt;0")),99999))))</f>
        <v/>
      </c>
      <c r="AB86" s="26">
        <f>IF(OR($E86="",Z86=0,V86=""),"",1+COUNTIFS(Z$8:Z$707,"&gt;0",V$8:V$707,"&lt;"&amp;V86)+COUNTIFS(Z$8:Z$707,"&gt;0",V$8:V$707,V86,AA$8:AA$707,"&lt;"&amp;AA86)+COUNTIFS(Z$8:Z$707,"&gt;0",V$8:V$707,V86,AA$8:AA$707,AA86,E$8:E$707,"&lt;"&amp;$E86))</f>
        <v/>
      </c>
      <c r="AC86" s="24">
        <f>IF(OR($E86="",Z86=0),"",IFERROR(TODAY()+ROUNDUP(Z86/(SUMIFS($AF86:$IN86,$AF$4:$IN$4,"WASH_ACT")/COUNTIFS($AF$4:$IN$4,"WASH_ACT",$AF86:$IN86,"&gt;0")),0),"no output yet"))</f>
        <v/>
      </c>
      <c r="AD86" s="26">
        <f>IF($E86="","",IFERROR(ROUND(MAX(0,SUMIFS($AF86:$IN86,$AF$4:$IN$4,"SEW_PLAN",$AF$3:$IN$3,"&lt;="&amp;TODAY())-SUMIFS($AF86:$IN86,$AF$4:$IN$4,"SEW_ACT",$AF$3:$IN$3,"&lt;="&amp;TODAY())+N(Q86))/(SUMIFS($AF86:$IN86,$AF$4:$IN$4,"SEW_PLAN")/COUNTIFS($AF$4:$IN$4,"SEW_PLAN",$AF86:$IN86,"&gt;0")),1),0))</f>
        <v/>
      </c>
      <c r="AE86" s="26">
        <f>IF($E86="","",IF(AND(Z86&gt;0,OR(AND(M86&lt;&gt;"",TODAY()&gt;M86),AND(V86&lt;&gt;"",V86-TODAY()&lt;=7))),"Yes","No"))</f>
        <v/>
      </c>
      <c r="AH86">
        <f>IF(OR(AF$3="",AF$3&gt;TODAY()),"",IF(AND(AF86="",AG86=""),"",N(AG86)-N(AF86)))</f>
        <v/>
      </c>
      <c r="AK86">
        <f>IF(OR(AF$3="",AF$3&gt;TODAY()),"",IF(AND(AI86="",AJ86=""),"",N(AJ86)-N(AI86)))</f>
        <v/>
      </c>
      <c r="AO86">
        <f>IF(OR(AM$3="",AM$3&gt;TODAY()),"",IF(AND(AM86="",AN86=""),"",N(AN86)-N(AM86)))</f>
        <v/>
      </c>
      <c r="AR86">
        <f>IF(OR(AM$3="",AM$3&gt;TODAY()),"",IF(AND(AP86="",AQ86=""),"",N(AQ86)-N(AP86)))</f>
        <v/>
      </c>
      <c r="AV86">
        <f>IF(OR(AT$3="",AT$3&gt;TODAY()),"",IF(AND(AT86="",AU86=""),"",N(AU86)-N(AT86)))</f>
        <v/>
      </c>
      <c r="AY86">
        <f>IF(OR(AT$3="",AT$3&gt;TODAY()),"",IF(AND(AW86="",AX86=""),"",N(AX86)-N(AW86)))</f>
        <v/>
      </c>
      <c r="BC86">
        <f>IF(OR(BA$3="",BA$3&gt;TODAY()),"",IF(AND(BA86="",BB86=""),"",N(BB86)-N(BA86)))</f>
        <v/>
      </c>
      <c r="BF86">
        <f>IF(OR(BA$3="",BA$3&gt;TODAY()),"",IF(AND(BD86="",BE86=""),"",N(BE86)-N(BD86)))</f>
        <v/>
      </c>
      <c r="BJ86">
        <f>IF(OR(BH$3="",BH$3&gt;TODAY()),"",IF(AND(BH86="",BI86=""),"",N(BI86)-N(BH86)))</f>
        <v/>
      </c>
      <c r="BM86">
        <f>IF(OR(BH$3="",BH$3&gt;TODAY()),"",IF(AND(BK86="",BL86=""),"",N(BL86)-N(BK86)))</f>
        <v/>
      </c>
      <c r="BQ86">
        <f>IF(OR(BO$3="",BO$3&gt;TODAY()),"",IF(AND(BO86="",BP86=""),"",N(BP86)-N(BO86)))</f>
        <v/>
      </c>
      <c r="BT86">
        <f>IF(OR(BO$3="",BO$3&gt;TODAY()),"",IF(AND(BR86="",BS86=""),"",N(BS86)-N(BR86)))</f>
        <v/>
      </c>
      <c r="BX86">
        <f>IF(OR(BV$3="",BV$3&gt;TODAY()),"",IF(AND(BV86="",BW86=""),"",N(BW86)-N(BV86)))</f>
        <v/>
      </c>
      <c r="CA86">
        <f>IF(OR(BV$3="",BV$3&gt;TODAY()),"",IF(AND(BY86="",BZ86=""),"",N(BZ86)-N(BY86)))</f>
        <v/>
      </c>
      <c r="CE86">
        <f>IF(OR(CC$3="",CC$3&gt;TODAY()),"",IF(AND(CC86="",CD86=""),"",N(CD86)-N(CC86)))</f>
        <v/>
      </c>
      <c r="CH86">
        <f>IF(OR(CC$3="",CC$3&gt;TODAY()),"",IF(AND(CF86="",CG86=""),"",N(CG86)-N(CF86)))</f>
        <v/>
      </c>
      <c r="CL86">
        <f>IF(OR(CJ$3="",CJ$3&gt;TODAY()),"",IF(AND(CJ86="",CK86=""),"",N(CK86)-N(CJ86)))</f>
        <v/>
      </c>
      <c r="CO86">
        <f>IF(OR(CJ$3="",CJ$3&gt;TODAY()),"",IF(AND(CM86="",CN86=""),"",N(CN86)-N(CM86)))</f>
        <v/>
      </c>
      <c r="CS86">
        <f>IF(OR(CQ$3="",CQ$3&gt;TODAY()),"",IF(AND(CQ86="",CR86=""),"",N(CR86)-N(CQ86)))</f>
        <v/>
      </c>
      <c r="CV86">
        <f>IF(OR(CQ$3="",CQ$3&gt;TODAY()),"",IF(AND(CT86="",CU86=""),"",N(CU86)-N(CT86)))</f>
        <v/>
      </c>
      <c r="CZ86">
        <f>IF(OR(CX$3="",CX$3&gt;TODAY()),"",IF(AND(CX86="",CY86=""),"",N(CY86)-N(CX86)))</f>
        <v/>
      </c>
      <c r="DC86">
        <f>IF(OR(CX$3="",CX$3&gt;TODAY()),"",IF(AND(DA86="",DB86=""),"",N(DB86)-N(DA86)))</f>
        <v/>
      </c>
      <c r="DG86">
        <f>IF(OR(DE$3="",DE$3&gt;TODAY()),"",IF(AND(DE86="",DF86=""),"",N(DF86)-N(DE86)))</f>
        <v/>
      </c>
      <c r="DJ86">
        <f>IF(OR(DE$3="",DE$3&gt;TODAY()),"",IF(AND(DH86="",DI86=""),"",N(DI86)-N(DH86)))</f>
        <v/>
      </c>
      <c r="DN86">
        <f>IF(OR(DL$3="",DL$3&gt;TODAY()),"",IF(AND(DL86="",DM86=""),"",N(DM86)-N(DL86)))</f>
        <v/>
      </c>
      <c r="DQ86">
        <f>IF(OR(DL$3="",DL$3&gt;TODAY()),"",IF(AND(DO86="",DP86=""),"",N(DP86)-N(DO86)))</f>
        <v/>
      </c>
      <c r="DU86">
        <f>IF(OR(DS$3="",DS$3&gt;TODAY()),"",IF(AND(DS86="",DT86=""),"",N(DT86)-N(DS86)))</f>
        <v/>
      </c>
      <c r="DX86">
        <f>IF(OR(DS$3="",DS$3&gt;TODAY()),"",IF(AND(DV86="",DW86=""),"",N(DW86)-N(DV86)))</f>
        <v/>
      </c>
      <c r="EB86">
        <f>IF(OR(DZ$3="",DZ$3&gt;TODAY()),"",IF(AND(DZ86="",EA86=""),"",N(EA86)-N(DZ86)))</f>
        <v/>
      </c>
      <c r="EE86">
        <f>IF(OR(DZ$3="",DZ$3&gt;TODAY()),"",IF(AND(EC86="",ED86=""),"",N(ED86)-N(EC86)))</f>
        <v/>
      </c>
      <c r="EI86">
        <f>IF(OR(EG$3="",EG$3&gt;TODAY()),"",IF(AND(EG86="",EH86=""),"",N(EH86)-N(EG86)))</f>
        <v/>
      </c>
      <c r="EL86">
        <f>IF(OR(EG$3="",EG$3&gt;TODAY()),"",IF(AND(EJ86="",EK86=""),"",N(EK86)-N(EJ86)))</f>
        <v/>
      </c>
      <c r="EP86">
        <f>IF(OR(EN$3="",EN$3&gt;TODAY()),"",IF(AND(EN86="",EO86=""),"",N(EO86)-N(EN86)))</f>
        <v/>
      </c>
      <c r="ES86">
        <f>IF(OR(EN$3="",EN$3&gt;TODAY()),"",IF(AND(EQ86="",ER86=""),"",N(ER86)-N(EQ86)))</f>
        <v/>
      </c>
      <c r="EW86">
        <f>IF(OR(EU$3="",EU$3&gt;TODAY()),"",IF(AND(EU86="",EV86=""),"",N(EV86)-N(EU86)))</f>
        <v/>
      </c>
      <c r="EZ86">
        <f>IF(OR(EU$3="",EU$3&gt;TODAY()),"",IF(AND(EX86="",EY86=""),"",N(EY86)-N(EX86)))</f>
        <v/>
      </c>
      <c r="FD86">
        <f>IF(OR(FB$3="",FB$3&gt;TODAY()),"",IF(AND(FB86="",FC86=""),"",N(FC86)-N(FB86)))</f>
        <v/>
      </c>
      <c r="FG86">
        <f>IF(OR(FB$3="",FB$3&gt;TODAY()),"",IF(AND(FE86="",FF86=""),"",N(FF86)-N(FE86)))</f>
        <v/>
      </c>
      <c r="FK86">
        <f>IF(OR(FI$3="",FI$3&gt;TODAY()),"",IF(AND(FI86="",FJ86=""),"",N(FJ86)-N(FI86)))</f>
        <v/>
      </c>
      <c r="FN86">
        <f>IF(OR(FI$3="",FI$3&gt;TODAY()),"",IF(AND(FL86="",FM86=""),"",N(FM86)-N(FL86)))</f>
        <v/>
      </c>
      <c r="FR86">
        <f>IF(OR(FP$3="",FP$3&gt;TODAY()),"",IF(AND(FP86="",FQ86=""),"",N(FQ86)-N(FP86)))</f>
        <v/>
      </c>
      <c r="FU86">
        <f>IF(OR(FP$3="",FP$3&gt;TODAY()),"",IF(AND(FS86="",FT86=""),"",N(FT86)-N(FS86)))</f>
        <v/>
      </c>
      <c r="FY86">
        <f>IF(OR(FW$3="",FW$3&gt;TODAY()),"",IF(AND(FW86="",FX86=""),"",N(FX86)-N(FW86)))</f>
        <v/>
      </c>
      <c r="GB86">
        <f>IF(OR(FW$3="",FW$3&gt;TODAY()),"",IF(AND(FZ86="",GA86=""),"",N(GA86)-N(FZ86)))</f>
        <v/>
      </c>
      <c r="GF86">
        <f>IF(OR(GD$3="",GD$3&gt;TODAY()),"",IF(AND(GD86="",GE86=""),"",N(GE86)-N(GD86)))</f>
        <v/>
      </c>
      <c r="GI86">
        <f>IF(OR(GD$3="",GD$3&gt;TODAY()),"",IF(AND(GG86="",GH86=""),"",N(GH86)-N(GG86)))</f>
        <v/>
      </c>
      <c r="GM86">
        <f>IF(OR(GK$3="",GK$3&gt;TODAY()),"",IF(AND(GK86="",GL86=""),"",N(GL86)-N(GK86)))</f>
        <v/>
      </c>
      <c r="GP86">
        <f>IF(OR(GK$3="",GK$3&gt;TODAY()),"",IF(AND(GN86="",GO86=""),"",N(GO86)-N(GN86)))</f>
        <v/>
      </c>
      <c r="GT86">
        <f>IF(OR(GR$3="",GR$3&gt;TODAY()),"",IF(AND(GR86="",GS86=""),"",N(GS86)-N(GR86)))</f>
        <v/>
      </c>
      <c r="GW86">
        <f>IF(OR(GR$3="",GR$3&gt;TODAY()),"",IF(AND(GU86="",GV86=""),"",N(GV86)-N(GU86)))</f>
        <v/>
      </c>
      <c r="HA86">
        <f>IF(OR(GY$3="",GY$3&gt;TODAY()),"",IF(AND(GY86="",GZ86=""),"",N(GZ86)-N(GY86)))</f>
        <v/>
      </c>
      <c r="HD86">
        <f>IF(OR(GY$3="",GY$3&gt;TODAY()),"",IF(AND(HB86="",HC86=""),"",N(HC86)-N(HB86)))</f>
        <v/>
      </c>
      <c r="HH86">
        <f>IF(OR(HF$3="",HF$3&gt;TODAY()),"",IF(AND(HF86="",HG86=""),"",N(HG86)-N(HF86)))</f>
        <v/>
      </c>
      <c r="HK86">
        <f>IF(OR(HF$3="",HF$3&gt;TODAY()),"",IF(AND(HI86="",HJ86=""),"",N(HJ86)-N(HI86)))</f>
        <v/>
      </c>
      <c r="HO86">
        <f>IF(OR(HM$3="",HM$3&gt;TODAY()),"",IF(AND(HM86="",HN86=""),"",N(HN86)-N(HM86)))</f>
        <v/>
      </c>
      <c r="HR86">
        <f>IF(OR(HM$3="",HM$3&gt;TODAY()),"",IF(AND(HP86="",HQ86=""),"",N(HQ86)-N(HP86)))</f>
        <v/>
      </c>
      <c r="HV86">
        <f>IF(OR(HT$3="",HT$3&gt;TODAY()),"",IF(AND(HT86="",HU86=""),"",N(HU86)-N(HT86)))</f>
        <v/>
      </c>
      <c r="HY86">
        <f>IF(OR(HT$3="",HT$3&gt;TODAY()),"",IF(AND(HW86="",HX86=""),"",N(HX86)-N(HW86)))</f>
        <v/>
      </c>
      <c r="IC86">
        <f>IF(OR(IA$3="",IA$3&gt;TODAY()),"",IF(AND(IA86="",IB86=""),"",N(IB86)-N(IA86)))</f>
        <v/>
      </c>
      <c r="IF86">
        <f>IF(OR(IA$3="",IA$3&gt;TODAY()),"",IF(AND(ID86="",IE86=""),"",N(IE86)-N(ID86)))</f>
        <v/>
      </c>
      <c r="IJ86">
        <f>IF(OR(IH$3="",IH$3&gt;TODAY()),"",IF(AND(IH86="",II86=""),"",N(II86)-N(IH86)))</f>
        <v/>
      </c>
      <c r="IM86">
        <f>IF(OR(IH$3="",IH$3&gt;TODAY()),"",IF(AND(IK86="",IL86=""),"",N(IL86)-N(IK86)))</f>
        <v/>
      </c>
    </row>
    <row r="87">
      <c r="A87" s="21" t="n"/>
      <c r="B87" s="21" t="n"/>
      <c r="C87" s="21" t="n"/>
      <c r="D87" s="21" t="n"/>
      <c r="E87" s="21" t="n"/>
      <c r="F87" s="21" t="n"/>
      <c r="G87" s="21" t="n"/>
      <c r="H87" s="21" t="n"/>
      <c r="I87" s="22" t="n"/>
      <c r="J87" s="22" t="n"/>
      <c r="K87" s="23" t="n"/>
      <c r="L87" s="22" t="n"/>
      <c r="M87" s="22" t="n"/>
      <c r="N87" s="21" t="n"/>
      <c r="O87" s="23" t="n"/>
      <c r="P87" s="23" t="n"/>
      <c r="Q87" s="23" t="n"/>
      <c r="R87" s="23" t="n"/>
      <c r="S87" s="22" t="n"/>
      <c r="T87" s="23" t="n"/>
      <c r="U87" s="23" t="n"/>
      <c r="V87" s="24">
        <f>IF(J87&lt;&gt;"",J87,IF(I87&lt;&gt;"",I87,""))</f>
        <v/>
      </c>
      <c r="W87" s="25">
        <f>IF($E87="","",N(O87)+SUMIFS($AF87:$IN87,$AF$4:$IN$4,"SEW_ACT"))</f>
        <v/>
      </c>
      <c r="X87" s="25">
        <f>IF($E87="","",N(P87)+SUMIFS($AF87:$IN87,$AF$4:$IN$4,"WASH_ACT"))</f>
        <v/>
      </c>
      <c r="Y87" s="25">
        <f>IF($E87="","",W87-X87-N(T87)-N(U87))</f>
        <v/>
      </c>
      <c r="Z87" s="25">
        <f>IF($E87="","",IF(N(K87)-X87&lt;=0.02*N(K87),0,N(K87)-X87))</f>
        <v/>
      </c>
      <c r="AA87" s="24">
        <f>IF($E87="","",IF(S87&lt;&gt;"",S87,IF(N(O87)&gt;0,IF(L87&lt;&gt;"",L87,99999),IFERROR(1/(1/_xlfn.MINIFS($AF$3:$IN$3,$AF$4:$IN$4,"SEW_ACT",$AF87:$IN87,"&gt;0")),99999))))</f>
        <v/>
      </c>
      <c r="AB87" s="26">
        <f>IF(OR($E87="",Z87=0,V87=""),"",1+COUNTIFS(Z$8:Z$707,"&gt;0",V$8:V$707,"&lt;"&amp;V87)+COUNTIFS(Z$8:Z$707,"&gt;0",V$8:V$707,V87,AA$8:AA$707,"&lt;"&amp;AA87)+COUNTIFS(Z$8:Z$707,"&gt;0",V$8:V$707,V87,AA$8:AA$707,AA87,E$8:E$707,"&lt;"&amp;$E87))</f>
        <v/>
      </c>
      <c r="AC87" s="24">
        <f>IF(OR($E87="",Z87=0),"",IFERROR(TODAY()+ROUNDUP(Z87/(SUMIFS($AF87:$IN87,$AF$4:$IN$4,"WASH_ACT")/COUNTIFS($AF$4:$IN$4,"WASH_ACT",$AF87:$IN87,"&gt;0")),0),"no output yet"))</f>
        <v/>
      </c>
      <c r="AD87" s="26">
        <f>IF($E87="","",IFERROR(ROUND(MAX(0,SUMIFS($AF87:$IN87,$AF$4:$IN$4,"SEW_PLAN",$AF$3:$IN$3,"&lt;="&amp;TODAY())-SUMIFS($AF87:$IN87,$AF$4:$IN$4,"SEW_ACT",$AF$3:$IN$3,"&lt;="&amp;TODAY())+N(Q87))/(SUMIFS($AF87:$IN87,$AF$4:$IN$4,"SEW_PLAN")/COUNTIFS($AF$4:$IN$4,"SEW_PLAN",$AF87:$IN87,"&gt;0")),1),0))</f>
        <v/>
      </c>
      <c r="AE87" s="26">
        <f>IF($E87="","",IF(AND(Z87&gt;0,OR(AND(M87&lt;&gt;"",TODAY()&gt;M87),AND(V87&lt;&gt;"",V87-TODAY()&lt;=7))),"Yes","No"))</f>
        <v/>
      </c>
      <c r="AH87">
        <f>IF(OR(AF$3="",AF$3&gt;TODAY()),"",IF(AND(AF87="",AG87=""),"",N(AG87)-N(AF87)))</f>
        <v/>
      </c>
      <c r="AK87">
        <f>IF(OR(AF$3="",AF$3&gt;TODAY()),"",IF(AND(AI87="",AJ87=""),"",N(AJ87)-N(AI87)))</f>
        <v/>
      </c>
      <c r="AO87">
        <f>IF(OR(AM$3="",AM$3&gt;TODAY()),"",IF(AND(AM87="",AN87=""),"",N(AN87)-N(AM87)))</f>
        <v/>
      </c>
      <c r="AR87">
        <f>IF(OR(AM$3="",AM$3&gt;TODAY()),"",IF(AND(AP87="",AQ87=""),"",N(AQ87)-N(AP87)))</f>
        <v/>
      </c>
      <c r="AV87">
        <f>IF(OR(AT$3="",AT$3&gt;TODAY()),"",IF(AND(AT87="",AU87=""),"",N(AU87)-N(AT87)))</f>
        <v/>
      </c>
      <c r="AY87">
        <f>IF(OR(AT$3="",AT$3&gt;TODAY()),"",IF(AND(AW87="",AX87=""),"",N(AX87)-N(AW87)))</f>
        <v/>
      </c>
      <c r="BC87">
        <f>IF(OR(BA$3="",BA$3&gt;TODAY()),"",IF(AND(BA87="",BB87=""),"",N(BB87)-N(BA87)))</f>
        <v/>
      </c>
      <c r="BF87">
        <f>IF(OR(BA$3="",BA$3&gt;TODAY()),"",IF(AND(BD87="",BE87=""),"",N(BE87)-N(BD87)))</f>
        <v/>
      </c>
      <c r="BJ87">
        <f>IF(OR(BH$3="",BH$3&gt;TODAY()),"",IF(AND(BH87="",BI87=""),"",N(BI87)-N(BH87)))</f>
        <v/>
      </c>
      <c r="BM87">
        <f>IF(OR(BH$3="",BH$3&gt;TODAY()),"",IF(AND(BK87="",BL87=""),"",N(BL87)-N(BK87)))</f>
        <v/>
      </c>
      <c r="BQ87">
        <f>IF(OR(BO$3="",BO$3&gt;TODAY()),"",IF(AND(BO87="",BP87=""),"",N(BP87)-N(BO87)))</f>
        <v/>
      </c>
      <c r="BT87">
        <f>IF(OR(BO$3="",BO$3&gt;TODAY()),"",IF(AND(BR87="",BS87=""),"",N(BS87)-N(BR87)))</f>
        <v/>
      </c>
      <c r="BX87">
        <f>IF(OR(BV$3="",BV$3&gt;TODAY()),"",IF(AND(BV87="",BW87=""),"",N(BW87)-N(BV87)))</f>
        <v/>
      </c>
      <c r="CA87">
        <f>IF(OR(BV$3="",BV$3&gt;TODAY()),"",IF(AND(BY87="",BZ87=""),"",N(BZ87)-N(BY87)))</f>
        <v/>
      </c>
      <c r="CE87">
        <f>IF(OR(CC$3="",CC$3&gt;TODAY()),"",IF(AND(CC87="",CD87=""),"",N(CD87)-N(CC87)))</f>
        <v/>
      </c>
      <c r="CH87">
        <f>IF(OR(CC$3="",CC$3&gt;TODAY()),"",IF(AND(CF87="",CG87=""),"",N(CG87)-N(CF87)))</f>
        <v/>
      </c>
      <c r="CL87">
        <f>IF(OR(CJ$3="",CJ$3&gt;TODAY()),"",IF(AND(CJ87="",CK87=""),"",N(CK87)-N(CJ87)))</f>
        <v/>
      </c>
      <c r="CO87">
        <f>IF(OR(CJ$3="",CJ$3&gt;TODAY()),"",IF(AND(CM87="",CN87=""),"",N(CN87)-N(CM87)))</f>
        <v/>
      </c>
      <c r="CS87">
        <f>IF(OR(CQ$3="",CQ$3&gt;TODAY()),"",IF(AND(CQ87="",CR87=""),"",N(CR87)-N(CQ87)))</f>
        <v/>
      </c>
      <c r="CV87">
        <f>IF(OR(CQ$3="",CQ$3&gt;TODAY()),"",IF(AND(CT87="",CU87=""),"",N(CU87)-N(CT87)))</f>
        <v/>
      </c>
      <c r="CZ87">
        <f>IF(OR(CX$3="",CX$3&gt;TODAY()),"",IF(AND(CX87="",CY87=""),"",N(CY87)-N(CX87)))</f>
        <v/>
      </c>
      <c r="DC87">
        <f>IF(OR(CX$3="",CX$3&gt;TODAY()),"",IF(AND(DA87="",DB87=""),"",N(DB87)-N(DA87)))</f>
        <v/>
      </c>
      <c r="DG87">
        <f>IF(OR(DE$3="",DE$3&gt;TODAY()),"",IF(AND(DE87="",DF87=""),"",N(DF87)-N(DE87)))</f>
        <v/>
      </c>
      <c r="DJ87">
        <f>IF(OR(DE$3="",DE$3&gt;TODAY()),"",IF(AND(DH87="",DI87=""),"",N(DI87)-N(DH87)))</f>
        <v/>
      </c>
      <c r="DN87">
        <f>IF(OR(DL$3="",DL$3&gt;TODAY()),"",IF(AND(DL87="",DM87=""),"",N(DM87)-N(DL87)))</f>
        <v/>
      </c>
      <c r="DQ87">
        <f>IF(OR(DL$3="",DL$3&gt;TODAY()),"",IF(AND(DO87="",DP87=""),"",N(DP87)-N(DO87)))</f>
        <v/>
      </c>
      <c r="DU87">
        <f>IF(OR(DS$3="",DS$3&gt;TODAY()),"",IF(AND(DS87="",DT87=""),"",N(DT87)-N(DS87)))</f>
        <v/>
      </c>
      <c r="DX87">
        <f>IF(OR(DS$3="",DS$3&gt;TODAY()),"",IF(AND(DV87="",DW87=""),"",N(DW87)-N(DV87)))</f>
        <v/>
      </c>
      <c r="EB87">
        <f>IF(OR(DZ$3="",DZ$3&gt;TODAY()),"",IF(AND(DZ87="",EA87=""),"",N(EA87)-N(DZ87)))</f>
        <v/>
      </c>
      <c r="EE87">
        <f>IF(OR(DZ$3="",DZ$3&gt;TODAY()),"",IF(AND(EC87="",ED87=""),"",N(ED87)-N(EC87)))</f>
        <v/>
      </c>
      <c r="EI87">
        <f>IF(OR(EG$3="",EG$3&gt;TODAY()),"",IF(AND(EG87="",EH87=""),"",N(EH87)-N(EG87)))</f>
        <v/>
      </c>
      <c r="EL87">
        <f>IF(OR(EG$3="",EG$3&gt;TODAY()),"",IF(AND(EJ87="",EK87=""),"",N(EK87)-N(EJ87)))</f>
        <v/>
      </c>
      <c r="EP87">
        <f>IF(OR(EN$3="",EN$3&gt;TODAY()),"",IF(AND(EN87="",EO87=""),"",N(EO87)-N(EN87)))</f>
        <v/>
      </c>
      <c r="ES87">
        <f>IF(OR(EN$3="",EN$3&gt;TODAY()),"",IF(AND(EQ87="",ER87=""),"",N(ER87)-N(EQ87)))</f>
        <v/>
      </c>
      <c r="EW87">
        <f>IF(OR(EU$3="",EU$3&gt;TODAY()),"",IF(AND(EU87="",EV87=""),"",N(EV87)-N(EU87)))</f>
        <v/>
      </c>
      <c r="EZ87">
        <f>IF(OR(EU$3="",EU$3&gt;TODAY()),"",IF(AND(EX87="",EY87=""),"",N(EY87)-N(EX87)))</f>
        <v/>
      </c>
      <c r="FD87">
        <f>IF(OR(FB$3="",FB$3&gt;TODAY()),"",IF(AND(FB87="",FC87=""),"",N(FC87)-N(FB87)))</f>
        <v/>
      </c>
      <c r="FG87">
        <f>IF(OR(FB$3="",FB$3&gt;TODAY()),"",IF(AND(FE87="",FF87=""),"",N(FF87)-N(FE87)))</f>
        <v/>
      </c>
      <c r="FK87">
        <f>IF(OR(FI$3="",FI$3&gt;TODAY()),"",IF(AND(FI87="",FJ87=""),"",N(FJ87)-N(FI87)))</f>
        <v/>
      </c>
      <c r="FN87">
        <f>IF(OR(FI$3="",FI$3&gt;TODAY()),"",IF(AND(FL87="",FM87=""),"",N(FM87)-N(FL87)))</f>
        <v/>
      </c>
      <c r="FR87">
        <f>IF(OR(FP$3="",FP$3&gt;TODAY()),"",IF(AND(FP87="",FQ87=""),"",N(FQ87)-N(FP87)))</f>
        <v/>
      </c>
      <c r="FU87">
        <f>IF(OR(FP$3="",FP$3&gt;TODAY()),"",IF(AND(FS87="",FT87=""),"",N(FT87)-N(FS87)))</f>
        <v/>
      </c>
      <c r="FY87">
        <f>IF(OR(FW$3="",FW$3&gt;TODAY()),"",IF(AND(FW87="",FX87=""),"",N(FX87)-N(FW87)))</f>
        <v/>
      </c>
      <c r="GB87">
        <f>IF(OR(FW$3="",FW$3&gt;TODAY()),"",IF(AND(FZ87="",GA87=""),"",N(GA87)-N(FZ87)))</f>
        <v/>
      </c>
      <c r="GF87">
        <f>IF(OR(GD$3="",GD$3&gt;TODAY()),"",IF(AND(GD87="",GE87=""),"",N(GE87)-N(GD87)))</f>
        <v/>
      </c>
      <c r="GI87">
        <f>IF(OR(GD$3="",GD$3&gt;TODAY()),"",IF(AND(GG87="",GH87=""),"",N(GH87)-N(GG87)))</f>
        <v/>
      </c>
      <c r="GM87">
        <f>IF(OR(GK$3="",GK$3&gt;TODAY()),"",IF(AND(GK87="",GL87=""),"",N(GL87)-N(GK87)))</f>
        <v/>
      </c>
      <c r="GP87">
        <f>IF(OR(GK$3="",GK$3&gt;TODAY()),"",IF(AND(GN87="",GO87=""),"",N(GO87)-N(GN87)))</f>
        <v/>
      </c>
      <c r="GT87">
        <f>IF(OR(GR$3="",GR$3&gt;TODAY()),"",IF(AND(GR87="",GS87=""),"",N(GS87)-N(GR87)))</f>
        <v/>
      </c>
      <c r="GW87">
        <f>IF(OR(GR$3="",GR$3&gt;TODAY()),"",IF(AND(GU87="",GV87=""),"",N(GV87)-N(GU87)))</f>
        <v/>
      </c>
      <c r="HA87">
        <f>IF(OR(GY$3="",GY$3&gt;TODAY()),"",IF(AND(GY87="",GZ87=""),"",N(GZ87)-N(GY87)))</f>
        <v/>
      </c>
      <c r="HD87">
        <f>IF(OR(GY$3="",GY$3&gt;TODAY()),"",IF(AND(HB87="",HC87=""),"",N(HC87)-N(HB87)))</f>
        <v/>
      </c>
      <c r="HH87">
        <f>IF(OR(HF$3="",HF$3&gt;TODAY()),"",IF(AND(HF87="",HG87=""),"",N(HG87)-N(HF87)))</f>
        <v/>
      </c>
      <c r="HK87">
        <f>IF(OR(HF$3="",HF$3&gt;TODAY()),"",IF(AND(HI87="",HJ87=""),"",N(HJ87)-N(HI87)))</f>
        <v/>
      </c>
      <c r="HO87">
        <f>IF(OR(HM$3="",HM$3&gt;TODAY()),"",IF(AND(HM87="",HN87=""),"",N(HN87)-N(HM87)))</f>
        <v/>
      </c>
      <c r="HR87">
        <f>IF(OR(HM$3="",HM$3&gt;TODAY()),"",IF(AND(HP87="",HQ87=""),"",N(HQ87)-N(HP87)))</f>
        <v/>
      </c>
      <c r="HV87">
        <f>IF(OR(HT$3="",HT$3&gt;TODAY()),"",IF(AND(HT87="",HU87=""),"",N(HU87)-N(HT87)))</f>
        <v/>
      </c>
      <c r="HY87">
        <f>IF(OR(HT$3="",HT$3&gt;TODAY()),"",IF(AND(HW87="",HX87=""),"",N(HX87)-N(HW87)))</f>
        <v/>
      </c>
      <c r="IC87">
        <f>IF(OR(IA$3="",IA$3&gt;TODAY()),"",IF(AND(IA87="",IB87=""),"",N(IB87)-N(IA87)))</f>
        <v/>
      </c>
      <c r="IF87">
        <f>IF(OR(IA$3="",IA$3&gt;TODAY()),"",IF(AND(ID87="",IE87=""),"",N(IE87)-N(ID87)))</f>
        <v/>
      </c>
      <c r="IJ87">
        <f>IF(OR(IH$3="",IH$3&gt;TODAY()),"",IF(AND(IH87="",II87=""),"",N(II87)-N(IH87)))</f>
        <v/>
      </c>
      <c r="IM87">
        <f>IF(OR(IH$3="",IH$3&gt;TODAY()),"",IF(AND(IK87="",IL87=""),"",N(IL87)-N(IK87)))</f>
        <v/>
      </c>
    </row>
    <row r="88">
      <c r="A88" s="21" t="n"/>
      <c r="B88" s="21" t="n"/>
      <c r="C88" s="21" t="n"/>
      <c r="D88" s="21" t="n"/>
      <c r="E88" s="21" t="n"/>
      <c r="F88" s="21" t="n"/>
      <c r="G88" s="21" t="n"/>
      <c r="H88" s="21" t="n"/>
      <c r="I88" s="22" t="n"/>
      <c r="J88" s="22" t="n"/>
      <c r="K88" s="23" t="n"/>
      <c r="L88" s="22" t="n"/>
      <c r="M88" s="22" t="n"/>
      <c r="N88" s="21" t="n"/>
      <c r="O88" s="23" t="n"/>
      <c r="P88" s="23" t="n"/>
      <c r="Q88" s="23" t="n"/>
      <c r="R88" s="23" t="n"/>
      <c r="S88" s="22" t="n"/>
      <c r="T88" s="23" t="n"/>
      <c r="U88" s="23" t="n"/>
      <c r="V88" s="24">
        <f>IF(J88&lt;&gt;"",J88,IF(I88&lt;&gt;"",I88,""))</f>
        <v/>
      </c>
      <c r="W88" s="25">
        <f>IF($E88="","",N(O88)+SUMIFS($AF88:$IN88,$AF$4:$IN$4,"SEW_ACT"))</f>
        <v/>
      </c>
      <c r="X88" s="25">
        <f>IF($E88="","",N(P88)+SUMIFS($AF88:$IN88,$AF$4:$IN$4,"WASH_ACT"))</f>
        <v/>
      </c>
      <c r="Y88" s="25">
        <f>IF($E88="","",W88-X88-N(T88)-N(U88))</f>
        <v/>
      </c>
      <c r="Z88" s="25">
        <f>IF($E88="","",IF(N(K88)-X88&lt;=0.02*N(K88),0,N(K88)-X88))</f>
        <v/>
      </c>
      <c r="AA88" s="24">
        <f>IF($E88="","",IF(S88&lt;&gt;"",S88,IF(N(O88)&gt;0,IF(L88&lt;&gt;"",L88,99999),IFERROR(1/(1/_xlfn.MINIFS($AF$3:$IN$3,$AF$4:$IN$4,"SEW_ACT",$AF88:$IN88,"&gt;0")),99999))))</f>
        <v/>
      </c>
      <c r="AB88" s="26">
        <f>IF(OR($E88="",Z88=0,V88=""),"",1+COUNTIFS(Z$8:Z$707,"&gt;0",V$8:V$707,"&lt;"&amp;V88)+COUNTIFS(Z$8:Z$707,"&gt;0",V$8:V$707,V88,AA$8:AA$707,"&lt;"&amp;AA88)+COUNTIFS(Z$8:Z$707,"&gt;0",V$8:V$707,V88,AA$8:AA$707,AA88,E$8:E$707,"&lt;"&amp;$E88))</f>
        <v/>
      </c>
      <c r="AC88" s="24">
        <f>IF(OR($E88="",Z88=0),"",IFERROR(TODAY()+ROUNDUP(Z88/(SUMIFS($AF88:$IN88,$AF$4:$IN$4,"WASH_ACT")/COUNTIFS($AF$4:$IN$4,"WASH_ACT",$AF88:$IN88,"&gt;0")),0),"no output yet"))</f>
        <v/>
      </c>
      <c r="AD88" s="26">
        <f>IF($E88="","",IFERROR(ROUND(MAX(0,SUMIFS($AF88:$IN88,$AF$4:$IN$4,"SEW_PLAN",$AF$3:$IN$3,"&lt;="&amp;TODAY())-SUMIFS($AF88:$IN88,$AF$4:$IN$4,"SEW_ACT",$AF$3:$IN$3,"&lt;="&amp;TODAY())+N(Q88))/(SUMIFS($AF88:$IN88,$AF$4:$IN$4,"SEW_PLAN")/COUNTIFS($AF$4:$IN$4,"SEW_PLAN",$AF88:$IN88,"&gt;0")),1),0))</f>
        <v/>
      </c>
      <c r="AE88" s="26">
        <f>IF($E88="","",IF(AND(Z88&gt;0,OR(AND(M88&lt;&gt;"",TODAY()&gt;M88),AND(V88&lt;&gt;"",V88-TODAY()&lt;=7))),"Yes","No"))</f>
        <v/>
      </c>
      <c r="AH88">
        <f>IF(OR(AF$3="",AF$3&gt;TODAY()),"",IF(AND(AF88="",AG88=""),"",N(AG88)-N(AF88)))</f>
        <v/>
      </c>
      <c r="AK88">
        <f>IF(OR(AF$3="",AF$3&gt;TODAY()),"",IF(AND(AI88="",AJ88=""),"",N(AJ88)-N(AI88)))</f>
        <v/>
      </c>
      <c r="AO88">
        <f>IF(OR(AM$3="",AM$3&gt;TODAY()),"",IF(AND(AM88="",AN88=""),"",N(AN88)-N(AM88)))</f>
        <v/>
      </c>
      <c r="AR88">
        <f>IF(OR(AM$3="",AM$3&gt;TODAY()),"",IF(AND(AP88="",AQ88=""),"",N(AQ88)-N(AP88)))</f>
        <v/>
      </c>
      <c r="AV88">
        <f>IF(OR(AT$3="",AT$3&gt;TODAY()),"",IF(AND(AT88="",AU88=""),"",N(AU88)-N(AT88)))</f>
        <v/>
      </c>
      <c r="AY88">
        <f>IF(OR(AT$3="",AT$3&gt;TODAY()),"",IF(AND(AW88="",AX88=""),"",N(AX88)-N(AW88)))</f>
        <v/>
      </c>
      <c r="BC88">
        <f>IF(OR(BA$3="",BA$3&gt;TODAY()),"",IF(AND(BA88="",BB88=""),"",N(BB88)-N(BA88)))</f>
        <v/>
      </c>
      <c r="BF88">
        <f>IF(OR(BA$3="",BA$3&gt;TODAY()),"",IF(AND(BD88="",BE88=""),"",N(BE88)-N(BD88)))</f>
        <v/>
      </c>
      <c r="BJ88">
        <f>IF(OR(BH$3="",BH$3&gt;TODAY()),"",IF(AND(BH88="",BI88=""),"",N(BI88)-N(BH88)))</f>
        <v/>
      </c>
      <c r="BM88">
        <f>IF(OR(BH$3="",BH$3&gt;TODAY()),"",IF(AND(BK88="",BL88=""),"",N(BL88)-N(BK88)))</f>
        <v/>
      </c>
      <c r="BQ88">
        <f>IF(OR(BO$3="",BO$3&gt;TODAY()),"",IF(AND(BO88="",BP88=""),"",N(BP88)-N(BO88)))</f>
        <v/>
      </c>
      <c r="BT88">
        <f>IF(OR(BO$3="",BO$3&gt;TODAY()),"",IF(AND(BR88="",BS88=""),"",N(BS88)-N(BR88)))</f>
        <v/>
      </c>
      <c r="BX88">
        <f>IF(OR(BV$3="",BV$3&gt;TODAY()),"",IF(AND(BV88="",BW88=""),"",N(BW88)-N(BV88)))</f>
        <v/>
      </c>
      <c r="CA88">
        <f>IF(OR(BV$3="",BV$3&gt;TODAY()),"",IF(AND(BY88="",BZ88=""),"",N(BZ88)-N(BY88)))</f>
        <v/>
      </c>
      <c r="CE88">
        <f>IF(OR(CC$3="",CC$3&gt;TODAY()),"",IF(AND(CC88="",CD88=""),"",N(CD88)-N(CC88)))</f>
        <v/>
      </c>
      <c r="CH88">
        <f>IF(OR(CC$3="",CC$3&gt;TODAY()),"",IF(AND(CF88="",CG88=""),"",N(CG88)-N(CF88)))</f>
        <v/>
      </c>
      <c r="CL88">
        <f>IF(OR(CJ$3="",CJ$3&gt;TODAY()),"",IF(AND(CJ88="",CK88=""),"",N(CK88)-N(CJ88)))</f>
        <v/>
      </c>
      <c r="CO88">
        <f>IF(OR(CJ$3="",CJ$3&gt;TODAY()),"",IF(AND(CM88="",CN88=""),"",N(CN88)-N(CM88)))</f>
        <v/>
      </c>
      <c r="CS88">
        <f>IF(OR(CQ$3="",CQ$3&gt;TODAY()),"",IF(AND(CQ88="",CR88=""),"",N(CR88)-N(CQ88)))</f>
        <v/>
      </c>
      <c r="CV88">
        <f>IF(OR(CQ$3="",CQ$3&gt;TODAY()),"",IF(AND(CT88="",CU88=""),"",N(CU88)-N(CT88)))</f>
        <v/>
      </c>
      <c r="CZ88">
        <f>IF(OR(CX$3="",CX$3&gt;TODAY()),"",IF(AND(CX88="",CY88=""),"",N(CY88)-N(CX88)))</f>
        <v/>
      </c>
      <c r="DC88">
        <f>IF(OR(CX$3="",CX$3&gt;TODAY()),"",IF(AND(DA88="",DB88=""),"",N(DB88)-N(DA88)))</f>
        <v/>
      </c>
      <c r="DG88">
        <f>IF(OR(DE$3="",DE$3&gt;TODAY()),"",IF(AND(DE88="",DF88=""),"",N(DF88)-N(DE88)))</f>
        <v/>
      </c>
      <c r="DJ88">
        <f>IF(OR(DE$3="",DE$3&gt;TODAY()),"",IF(AND(DH88="",DI88=""),"",N(DI88)-N(DH88)))</f>
        <v/>
      </c>
      <c r="DN88">
        <f>IF(OR(DL$3="",DL$3&gt;TODAY()),"",IF(AND(DL88="",DM88=""),"",N(DM88)-N(DL88)))</f>
        <v/>
      </c>
      <c r="DQ88">
        <f>IF(OR(DL$3="",DL$3&gt;TODAY()),"",IF(AND(DO88="",DP88=""),"",N(DP88)-N(DO88)))</f>
        <v/>
      </c>
      <c r="DU88">
        <f>IF(OR(DS$3="",DS$3&gt;TODAY()),"",IF(AND(DS88="",DT88=""),"",N(DT88)-N(DS88)))</f>
        <v/>
      </c>
      <c r="DX88">
        <f>IF(OR(DS$3="",DS$3&gt;TODAY()),"",IF(AND(DV88="",DW88=""),"",N(DW88)-N(DV88)))</f>
        <v/>
      </c>
      <c r="EB88">
        <f>IF(OR(DZ$3="",DZ$3&gt;TODAY()),"",IF(AND(DZ88="",EA88=""),"",N(EA88)-N(DZ88)))</f>
        <v/>
      </c>
      <c r="EE88">
        <f>IF(OR(DZ$3="",DZ$3&gt;TODAY()),"",IF(AND(EC88="",ED88=""),"",N(ED88)-N(EC88)))</f>
        <v/>
      </c>
      <c r="EI88">
        <f>IF(OR(EG$3="",EG$3&gt;TODAY()),"",IF(AND(EG88="",EH88=""),"",N(EH88)-N(EG88)))</f>
        <v/>
      </c>
      <c r="EL88">
        <f>IF(OR(EG$3="",EG$3&gt;TODAY()),"",IF(AND(EJ88="",EK88=""),"",N(EK88)-N(EJ88)))</f>
        <v/>
      </c>
      <c r="EP88">
        <f>IF(OR(EN$3="",EN$3&gt;TODAY()),"",IF(AND(EN88="",EO88=""),"",N(EO88)-N(EN88)))</f>
        <v/>
      </c>
      <c r="ES88">
        <f>IF(OR(EN$3="",EN$3&gt;TODAY()),"",IF(AND(EQ88="",ER88=""),"",N(ER88)-N(EQ88)))</f>
        <v/>
      </c>
      <c r="EW88">
        <f>IF(OR(EU$3="",EU$3&gt;TODAY()),"",IF(AND(EU88="",EV88=""),"",N(EV88)-N(EU88)))</f>
        <v/>
      </c>
      <c r="EZ88">
        <f>IF(OR(EU$3="",EU$3&gt;TODAY()),"",IF(AND(EX88="",EY88=""),"",N(EY88)-N(EX88)))</f>
        <v/>
      </c>
      <c r="FD88">
        <f>IF(OR(FB$3="",FB$3&gt;TODAY()),"",IF(AND(FB88="",FC88=""),"",N(FC88)-N(FB88)))</f>
        <v/>
      </c>
      <c r="FG88">
        <f>IF(OR(FB$3="",FB$3&gt;TODAY()),"",IF(AND(FE88="",FF88=""),"",N(FF88)-N(FE88)))</f>
        <v/>
      </c>
      <c r="FK88">
        <f>IF(OR(FI$3="",FI$3&gt;TODAY()),"",IF(AND(FI88="",FJ88=""),"",N(FJ88)-N(FI88)))</f>
        <v/>
      </c>
      <c r="FN88">
        <f>IF(OR(FI$3="",FI$3&gt;TODAY()),"",IF(AND(FL88="",FM88=""),"",N(FM88)-N(FL88)))</f>
        <v/>
      </c>
      <c r="FR88">
        <f>IF(OR(FP$3="",FP$3&gt;TODAY()),"",IF(AND(FP88="",FQ88=""),"",N(FQ88)-N(FP88)))</f>
        <v/>
      </c>
      <c r="FU88">
        <f>IF(OR(FP$3="",FP$3&gt;TODAY()),"",IF(AND(FS88="",FT88=""),"",N(FT88)-N(FS88)))</f>
        <v/>
      </c>
      <c r="FY88">
        <f>IF(OR(FW$3="",FW$3&gt;TODAY()),"",IF(AND(FW88="",FX88=""),"",N(FX88)-N(FW88)))</f>
        <v/>
      </c>
      <c r="GB88">
        <f>IF(OR(FW$3="",FW$3&gt;TODAY()),"",IF(AND(FZ88="",GA88=""),"",N(GA88)-N(FZ88)))</f>
        <v/>
      </c>
      <c r="GF88">
        <f>IF(OR(GD$3="",GD$3&gt;TODAY()),"",IF(AND(GD88="",GE88=""),"",N(GE88)-N(GD88)))</f>
        <v/>
      </c>
      <c r="GI88">
        <f>IF(OR(GD$3="",GD$3&gt;TODAY()),"",IF(AND(GG88="",GH88=""),"",N(GH88)-N(GG88)))</f>
        <v/>
      </c>
      <c r="GM88">
        <f>IF(OR(GK$3="",GK$3&gt;TODAY()),"",IF(AND(GK88="",GL88=""),"",N(GL88)-N(GK88)))</f>
        <v/>
      </c>
      <c r="GP88">
        <f>IF(OR(GK$3="",GK$3&gt;TODAY()),"",IF(AND(GN88="",GO88=""),"",N(GO88)-N(GN88)))</f>
        <v/>
      </c>
      <c r="GT88">
        <f>IF(OR(GR$3="",GR$3&gt;TODAY()),"",IF(AND(GR88="",GS88=""),"",N(GS88)-N(GR88)))</f>
        <v/>
      </c>
      <c r="GW88">
        <f>IF(OR(GR$3="",GR$3&gt;TODAY()),"",IF(AND(GU88="",GV88=""),"",N(GV88)-N(GU88)))</f>
        <v/>
      </c>
      <c r="HA88">
        <f>IF(OR(GY$3="",GY$3&gt;TODAY()),"",IF(AND(GY88="",GZ88=""),"",N(GZ88)-N(GY88)))</f>
        <v/>
      </c>
      <c r="HD88">
        <f>IF(OR(GY$3="",GY$3&gt;TODAY()),"",IF(AND(HB88="",HC88=""),"",N(HC88)-N(HB88)))</f>
        <v/>
      </c>
      <c r="HH88">
        <f>IF(OR(HF$3="",HF$3&gt;TODAY()),"",IF(AND(HF88="",HG88=""),"",N(HG88)-N(HF88)))</f>
        <v/>
      </c>
      <c r="HK88">
        <f>IF(OR(HF$3="",HF$3&gt;TODAY()),"",IF(AND(HI88="",HJ88=""),"",N(HJ88)-N(HI88)))</f>
        <v/>
      </c>
      <c r="HO88">
        <f>IF(OR(HM$3="",HM$3&gt;TODAY()),"",IF(AND(HM88="",HN88=""),"",N(HN88)-N(HM88)))</f>
        <v/>
      </c>
      <c r="HR88">
        <f>IF(OR(HM$3="",HM$3&gt;TODAY()),"",IF(AND(HP88="",HQ88=""),"",N(HQ88)-N(HP88)))</f>
        <v/>
      </c>
      <c r="HV88">
        <f>IF(OR(HT$3="",HT$3&gt;TODAY()),"",IF(AND(HT88="",HU88=""),"",N(HU88)-N(HT88)))</f>
        <v/>
      </c>
      <c r="HY88">
        <f>IF(OR(HT$3="",HT$3&gt;TODAY()),"",IF(AND(HW88="",HX88=""),"",N(HX88)-N(HW88)))</f>
        <v/>
      </c>
      <c r="IC88">
        <f>IF(OR(IA$3="",IA$3&gt;TODAY()),"",IF(AND(IA88="",IB88=""),"",N(IB88)-N(IA88)))</f>
        <v/>
      </c>
      <c r="IF88">
        <f>IF(OR(IA$3="",IA$3&gt;TODAY()),"",IF(AND(ID88="",IE88=""),"",N(IE88)-N(ID88)))</f>
        <v/>
      </c>
      <c r="IJ88">
        <f>IF(OR(IH$3="",IH$3&gt;TODAY()),"",IF(AND(IH88="",II88=""),"",N(II88)-N(IH88)))</f>
        <v/>
      </c>
      <c r="IM88">
        <f>IF(OR(IH$3="",IH$3&gt;TODAY()),"",IF(AND(IK88="",IL88=""),"",N(IL88)-N(IK88)))</f>
        <v/>
      </c>
    </row>
    <row r="89">
      <c r="A89" s="21" t="n"/>
      <c r="B89" s="21" t="n"/>
      <c r="C89" s="21" t="n"/>
      <c r="D89" s="21" t="n"/>
      <c r="E89" s="21" t="n"/>
      <c r="F89" s="21" t="n"/>
      <c r="G89" s="21" t="n"/>
      <c r="H89" s="21" t="n"/>
      <c r="I89" s="22" t="n"/>
      <c r="J89" s="22" t="n"/>
      <c r="K89" s="23" t="n"/>
      <c r="L89" s="22" t="n"/>
      <c r="M89" s="22" t="n"/>
      <c r="N89" s="21" t="n"/>
      <c r="O89" s="23" t="n"/>
      <c r="P89" s="23" t="n"/>
      <c r="Q89" s="23" t="n"/>
      <c r="R89" s="23" t="n"/>
      <c r="S89" s="22" t="n"/>
      <c r="T89" s="23" t="n"/>
      <c r="U89" s="23" t="n"/>
      <c r="V89" s="24">
        <f>IF(J89&lt;&gt;"",J89,IF(I89&lt;&gt;"",I89,""))</f>
        <v/>
      </c>
      <c r="W89" s="25">
        <f>IF($E89="","",N(O89)+SUMIFS($AF89:$IN89,$AF$4:$IN$4,"SEW_ACT"))</f>
        <v/>
      </c>
      <c r="X89" s="25">
        <f>IF($E89="","",N(P89)+SUMIFS($AF89:$IN89,$AF$4:$IN$4,"WASH_ACT"))</f>
        <v/>
      </c>
      <c r="Y89" s="25">
        <f>IF($E89="","",W89-X89-N(T89)-N(U89))</f>
        <v/>
      </c>
      <c r="Z89" s="25">
        <f>IF($E89="","",IF(N(K89)-X89&lt;=0.02*N(K89),0,N(K89)-X89))</f>
        <v/>
      </c>
      <c r="AA89" s="24">
        <f>IF($E89="","",IF(S89&lt;&gt;"",S89,IF(N(O89)&gt;0,IF(L89&lt;&gt;"",L89,99999),IFERROR(1/(1/_xlfn.MINIFS($AF$3:$IN$3,$AF$4:$IN$4,"SEW_ACT",$AF89:$IN89,"&gt;0")),99999))))</f>
        <v/>
      </c>
      <c r="AB89" s="26">
        <f>IF(OR($E89="",Z89=0,V89=""),"",1+COUNTIFS(Z$8:Z$707,"&gt;0",V$8:V$707,"&lt;"&amp;V89)+COUNTIFS(Z$8:Z$707,"&gt;0",V$8:V$707,V89,AA$8:AA$707,"&lt;"&amp;AA89)+COUNTIFS(Z$8:Z$707,"&gt;0",V$8:V$707,V89,AA$8:AA$707,AA89,E$8:E$707,"&lt;"&amp;$E89))</f>
        <v/>
      </c>
      <c r="AC89" s="24">
        <f>IF(OR($E89="",Z89=0),"",IFERROR(TODAY()+ROUNDUP(Z89/(SUMIFS($AF89:$IN89,$AF$4:$IN$4,"WASH_ACT")/COUNTIFS($AF$4:$IN$4,"WASH_ACT",$AF89:$IN89,"&gt;0")),0),"no output yet"))</f>
        <v/>
      </c>
      <c r="AD89" s="26">
        <f>IF($E89="","",IFERROR(ROUND(MAX(0,SUMIFS($AF89:$IN89,$AF$4:$IN$4,"SEW_PLAN",$AF$3:$IN$3,"&lt;="&amp;TODAY())-SUMIFS($AF89:$IN89,$AF$4:$IN$4,"SEW_ACT",$AF$3:$IN$3,"&lt;="&amp;TODAY())+N(Q89))/(SUMIFS($AF89:$IN89,$AF$4:$IN$4,"SEW_PLAN")/COUNTIFS($AF$4:$IN$4,"SEW_PLAN",$AF89:$IN89,"&gt;0")),1),0))</f>
        <v/>
      </c>
      <c r="AE89" s="26">
        <f>IF($E89="","",IF(AND(Z89&gt;0,OR(AND(M89&lt;&gt;"",TODAY()&gt;M89),AND(V89&lt;&gt;"",V89-TODAY()&lt;=7))),"Yes","No"))</f>
        <v/>
      </c>
      <c r="AH89">
        <f>IF(OR(AF$3="",AF$3&gt;TODAY()),"",IF(AND(AF89="",AG89=""),"",N(AG89)-N(AF89)))</f>
        <v/>
      </c>
      <c r="AK89">
        <f>IF(OR(AF$3="",AF$3&gt;TODAY()),"",IF(AND(AI89="",AJ89=""),"",N(AJ89)-N(AI89)))</f>
        <v/>
      </c>
      <c r="AO89">
        <f>IF(OR(AM$3="",AM$3&gt;TODAY()),"",IF(AND(AM89="",AN89=""),"",N(AN89)-N(AM89)))</f>
        <v/>
      </c>
      <c r="AR89">
        <f>IF(OR(AM$3="",AM$3&gt;TODAY()),"",IF(AND(AP89="",AQ89=""),"",N(AQ89)-N(AP89)))</f>
        <v/>
      </c>
      <c r="AV89">
        <f>IF(OR(AT$3="",AT$3&gt;TODAY()),"",IF(AND(AT89="",AU89=""),"",N(AU89)-N(AT89)))</f>
        <v/>
      </c>
      <c r="AY89">
        <f>IF(OR(AT$3="",AT$3&gt;TODAY()),"",IF(AND(AW89="",AX89=""),"",N(AX89)-N(AW89)))</f>
        <v/>
      </c>
      <c r="BC89">
        <f>IF(OR(BA$3="",BA$3&gt;TODAY()),"",IF(AND(BA89="",BB89=""),"",N(BB89)-N(BA89)))</f>
        <v/>
      </c>
      <c r="BF89">
        <f>IF(OR(BA$3="",BA$3&gt;TODAY()),"",IF(AND(BD89="",BE89=""),"",N(BE89)-N(BD89)))</f>
        <v/>
      </c>
      <c r="BJ89">
        <f>IF(OR(BH$3="",BH$3&gt;TODAY()),"",IF(AND(BH89="",BI89=""),"",N(BI89)-N(BH89)))</f>
        <v/>
      </c>
      <c r="BM89">
        <f>IF(OR(BH$3="",BH$3&gt;TODAY()),"",IF(AND(BK89="",BL89=""),"",N(BL89)-N(BK89)))</f>
        <v/>
      </c>
      <c r="BQ89">
        <f>IF(OR(BO$3="",BO$3&gt;TODAY()),"",IF(AND(BO89="",BP89=""),"",N(BP89)-N(BO89)))</f>
        <v/>
      </c>
      <c r="BT89">
        <f>IF(OR(BO$3="",BO$3&gt;TODAY()),"",IF(AND(BR89="",BS89=""),"",N(BS89)-N(BR89)))</f>
        <v/>
      </c>
      <c r="BX89">
        <f>IF(OR(BV$3="",BV$3&gt;TODAY()),"",IF(AND(BV89="",BW89=""),"",N(BW89)-N(BV89)))</f>
        <v/>
      </c>
      <c r="CA89">
        <f>IF(OR(BV$3="",BV$3&gt;TODAY()),"",IF(AND(BY89="",BZ89=""),"",N(BZ89)-N(BY89)))</f>
        <v/>
      </c>
      <c r="CE89">
        <f>IF(OR(CC$3="",CC$3&gt;TODAY()),"",IF(AND(CC89="",CD89=""),"",N(CD89)-N(CC89)))</f>
        <v/>
      </c>
      <c r="CH89">
        <f>IF(OR(CC$3="",CC$3&gt;TODAY()),"",IF(AND(CF89="",CG89=""),"",N(CG89)-N(CF89)))</f>
        <v/>
      </c>
      <c r="CL89">
        <f>IF(OR(CJ$3="",CJ$3&gt;TODAY()),"",IF(AND(CJ89="",CK89=""),"",N(CK89)-N(CJ89)))</f>
        <v/>
      </c>
      <c r="CO89">
        <f>IF(OR(CJ$3="",CJ$3&gt;TODAY()),"",IF(AND(CM89="",CN89=""),"",N(CN89)-N(CM89)))</f>
        <v/>
      </c>
      <c r="CS89">
        <f>IF(OR(CQ$3="",CQ$3&gt;TODAY()),"",IF(AND(CQ89="",CR89=""),"",N(CR89)-N(CQ89)))</f>
        <v/>
      </c>
      <c r="CV89">
        <f>IF(OR(CQ$3="",CQ$3&gt;TODAY()),"",IF(AND(CT89="",CU89=""),"",N(CU89)-N(CT89)))</f>
        <v/>
      </c>
      <c r="CZ89">
        <f>IF(OR(CX$3="",CX$3&gt;TODAY()),"",IF(AND(CX89="",CY89=""),"",N(CY89)-N(CX89)))</f>
        <v/>
      </c>
      <c r="DC89">
        <f>IF(OR(CX$3="",CX$3&gt;TODAY()),"",IF(AND(DA89="",DB89=""),"",N(DB89)-N(DA89)))</f>
        <v/>
      </c>
      <c r="DG89">
        <f>IF(OR(DE$3="",DE$3&gt;TODAY()),"",IF(AND(DE89="",DF89=""),"",N(DF89)-N(DE89)))</f>
        <v/>
      </c>
      <c r="DJ89">
        <f>IF(OR(DE$3="",DE$3&gt;TODAY()),"",IF(AND(DH89="",DI89=""),"",N(DI89)-N(DH89)))</f>
        <v/>
      </c>
      <c r="DN89">
        <f>IF(OR(DL$3="",DL$3&gt;TODAY()),"",IF(AND(DL89="",DM89=""),"",N(DM89)-N(DL89)))</f>
        <v/>
      </c>
      <c r="DQ89">
        <f>IF(OR(DL$3="",DL$3&gt;TODAY()),"",IF(AND(DO89="",DP89=""),"",N(DP89)-N(DO89)))</f>
        <v/>
      </c>
      <c r="DU89">
        <f>IF(OR(DS$3="",DS$3&gt;TODAY()),"",IF(AND(DS89="",DT89=""),"",N(DT89)-N(DS89)))</f>
        <v/>
      </c>
      <c r="DX89">
        <f>IF(OR(DS$3="",DS$3&gt;TODAY()),"",IF(AND(DV89="",DW89=""),"",N(DW89)-N(DV89)))</f>
        <v/>
      </c>
      <c r="EB89">
        <f>IF(OR(DZ$3="",DZ$3&gt;TODAY()),"",IF(AND(DZ89="",EA89=""),"",N(EA89)-N(DZ89)))</f>
        <v/>
      </c>
      <c r="EE89">
        <f>IF(OR(DZ$3="",DZ$3&gt;TODAY()),"",IF(AND(EC89="",ED89=""),"",N(ED89)-N(EC89)))</f>
        <v/>
      </c>
      <c r="EI89">
        <f>IF(OR(EG$3="",EG$3&gt;TODAY()),"",IF(AND(EG89="",EH89=""),"",N(EH89)-N(EG89)))</f>
        <v/>
      </c>
      <c r="EL89">
        <f>IF(OR(EG$3="",EG$3&gt;TODAY()),"",IF(AND(EJ89="",EK89=""),"",N(EK89)-N(EJ89)))</f>
        <v/>
      </c>
      <c r="EP89">
        <f>IF(OR(EN$3="",EN$3&gt;TODAY()),"",IF(AND(EN89="",EO89=""),"",N(EO89)-N(EN89)))</f>
        <v/>
      </c>
      <c r="ES89">
        <f>IF(OR(EN$3="",EN$3&gt;TODAY()),"",IF(AND(EQ89="",ER89=""),"",N(ER89)-N(EQ89)))</f>
        <v/>
      </c>
      <c r="EW89">
        <f>IF(OR(EU$3="",EU$3&gt;TODAY()),"",IF(AND(EU89="",EV89=""),"",N(EV89)-N(EU89)))</f>
        <v/>
      </c>
      <c r="EZ89">
        <f>IF(OR(EU$3="",EU$3&gt;TODAY()),"",IF(AND(EX89="",EY89=""),"",N(EY89)-N(EX89)))</f>
        <v/>
      </c>
      <c r="FD89">
        <f>IF(OR(FB$3="",FB$3&gt;TODAY()),"",IF(AND(FB89="",FC89=""),"",N(FC89)-N(FB89)))</f>
        <v/>
      </c>
      <c r="FG89">
        <f>IF(OR(FB$3="",FB$3&gt;TODAY()),"",IF(AND(FE89="",FF89=""),"",N(FF89)-N(FE89)))</f>
        <v/>
      </c>
      <c r="FK89">
        <f>IF(OR(FI$3="",FI$3&gt;TODAY()),"",IF(AND(FI89="",FJ89=""),"",N(FJ89)-N(FI89)))</f>
        <v/>
      </c>
      <c r="FN89">
        <f>IF(OR(FI$3="",FI$3&gt;TODAY()),"",IF(AND(FL89="",FM89=""),"",N(FM89)-N(FL89)))</f>
        <v/>
      </c>
      <c r="FR89">
        <f>IF(OR(FP$3="",FP$3&gt;TODAY()),"",IF(AND(FP89="",FQ89=""),"",N(FQ89)-N(FP89)))</f>
        <v/>
      </c>
      <c r="FU89">
        <f>IF(OR(FP$3="",FP$3&gt;TODAY()),"",IF(AND(FS89="",FT89=""),"",N(FT89)-N(FS89)))</f>
        <v/>
      </c>
      <c r="FY89">
        <f>IF(OR(FW$3="",FW$3&gt;TODAY()),"",IF(AND(FW89="",FX89=""),"",N(FX89)-N(FW89)))</f>
        <v/>
      </c>
      <c r="GB89">
        <f>IF(OR(FW$3="",FW$3&gt;TODAY()),"",IF(AND(FZ89="",GA89=""),"",N(GA89)-N(FZ89)))</f>
        <v/>
      </c>
      <c r="GF89">
        <f>IF(OR(GD$3="",GD$3&gt;TODAY()),"",IF(AND(GD89="",GE89=""),"",N(GE89)-N(GD89)))</f>
        <v/>
      </c>
      <c r="GI89">
        <f>IF(OR(GD$3="",GD$3&gt;TODAY()),"",IF(AND(GG89="",GH89=""),"",N(GH89)-N(GG89)))</f>
        <v/>
      </c>
      <c r="GM89">
        <f>IF(OR(GK$3="",GK$3&gt;TODAY()),"",IF(AND(GK89="",GL89=""),"",N(GL89)-N(GK89)))</f>
        <v/>
      </c>
      <c r="GP89">
        <f>IF(OR(GK$3="",GK$3&gt;TODAY()),"",IF(AND(GN89="",GO89=""),"",N(GO89)-N(GN89)))</f>
        <v/>
      </c>
      <c r="GT89">
        <f>IF(OR(GR$3="",GR$3&gt;TODAY()),"",IF(AND(GR89="",GS89=""),"",N(GS89)-N(GR89)))</f>
        <v/>
      </c>
      <c r="GW89">
        <f>IF(OR(GR$3="",GR$3&gt;TODAY()),"",IF(AND(GU89="",GV89=""),"",N(GV89)-N(GU89)))</f>
        <v/>
      </c>
      <c r="HA89">
        <f>IF(OR(GY$3="",GY$3&gt;TODAY()),"",IF(AND(GY89="",GZ89=""),"",N(GZ89)-N(GY89)))</f>
        <v/>
      </c>
      <c r="HD89">
        <f>IF(OR(GY$3="",GY$3&gt;TODAY()),"",IF(AND(HB89="",HC89=""),"",N(HC89)-N(HB89)))</f>
        <v/>
      </c>
      <c r="HH89">
        <f>IF(OR(HF$3="",HF$3&gt;TODAY()),"",IF(AND(HF89="",HG89=""),"",N(HG89)-N(HF89)))</f>
        <v/>
      </c>
      <c r="HK89">
        <f>IF(OR(HF$3="",HF$3&gt;TODAY()),"",IF(AND(HI89="",HJ89=""),"",N(HJ89)-N(HI89)))</f>
        <v/>
      </c>
      <c r="HO89">
        <f>IF(OR(HM$3="",HM$3&gt;TODAY()),"",IF(AND(HM89="",HN89=""),"",N(HN89)-N(HM89)))</f>
        <v/>
      </c>
      <c r="HR89">
        <f>IF(OR(HM$3="",HM$3&gt;TODAY()),"",IF(AND(HP89="",HQ89=""),"",N(HQ89)-N(HP89)))</f>
        <v/>
      </c>
      <c r="HV89">
        <f>IF(OR(HT$3="",HT$3&gt;TODAY()),"",IF(AND(HT89="",HU89=""),"",N(HU89)-N(HT89)))</f>
        <v/>
      </c>
      <c r="HY89">
        <f>IF(OR(HT$3="",HT$3&gt;TODAY()),"",IF(AND(HW89="",HX89=""),"",N(HX89)-N(HW89)))</f>
        <v/>
      </c>
      <c r="IC89">
        <f>IF(OR(IA$3="",IA$3&gt;TODAY()),"",IF(AND(IA89="",IB89=""),"",N(IB89)-N(IA89)))</f>
        <v/>
      </c>
      <c r="IF89">
        <f>IF(OR(IA$3="",IA$3&gt;TODAY()),"",IF(AND(ID89="",IE89=""),"",N(IE89)-N(ID89)))</f>
        <v/>
      </c>
      <c r="IJ89">
        <f>IF(OR(IH$3="",IH$3&gt;TODAY()),"",IF(AND(IH89="",II89=""),"",N(II89)-N(IH89)))</f>
        <v/>
      </c>
      <c r="IM89">
        <f>IF(OR(IH$3="",IH$3&gt;TODAY()),"",IF(AND(IK89="",IL89=""),"",N(IL89)-N(IK89)))</f>
        <v/>
      </c>
    </row>
    <row r="90">
      <c r="A90" s="21" t="n"/>
      <c r="B90" s="21" t="n"/>
      <c r="C90" s="21" t="n"/>
      <c r="D90" s="21" t="n"/>
      <c r="E90" s="21" t="n"/>
      <c r="F90" s="21" t="n"/>
      <c r="G90" s="21" t="n"/>
      <c r="H90" s="21" t="n"/>
      <c r="I90" s="22" t="n"/>
      <c r="J90" s="22" t="n"/>
      <c r="K90" s="23" t="n"/>
      <c r="L90" s="22" t="n"/>
      <c r="M90" s="22" t="n"/>
      <c r="N90" s="21" t="n"/>
      <c r="O90" s="23" t="n"/>
      <c r="P90" s="23" t="n"/>
      <c r="Q90" s="23" t="n"/>
      <c r="R90" s="23" t="n"/>
      <c r="S90" s="22" t="n"/>
      <c r="T90" s="23" t="n"/>
      <c r="U90" s="23" t="n"/>
      <c r="V90" s="24">
        <f>IF(J90&lt;&gt;"",J90,IF(I90&lt;&gt;"",I90,""))</f>
        <v/>
      </c>
      <c r="W90" s="25">
        <f>IF($E90="","",N(O90)+SUMIFS($AF90:$IN90,$AF$4:$IN$4,"SEW_ACT"))</f>
        <v/>
      </c>
      <c r="X90" s="25">
        <f>IF($E90="","",N(P90)+SUMIFS($AF90:$IN90,$AF$4:$IN$4,"WASH_ACT"))</f>
        <v/>
      </c>
      <c r="Y90" s="25">
        <f>IF($E90="","",W90-X90-N(T90)-N(U90))</f>
        <v/>
      </c>
      <c r="Z90" s="25">
        <f>IF($E90="","",IF(N(K90)-X90&lt;=0.02*N(K90),0,N(K90)-X90))</f>
        <v/>
      </c>
      <c r="AA90" s="24">
        <f>IF($E90="","",IF(S90&lt;&gt;"",S90,IF(N(O90)&gt;0,IF(L90&lt;&gt;"",L90,99999),IFERROR(1/(1/_xlfn.MINIFS($AF$3:$IN$3,$AF$4:$IN$4,"SEW_ACT",$AF90:$IN90,"&gt;0")),99999))))</f>
        <v/>
      </c>
      <c r="AB90" s="26">
        <f>IF(OR($E90="",Z90=0,V90=""),"",1+COUNTIFS(Z$8:Z$707,"&gt;0",V$8:V$707,"&lt;"&amp;V90)+COUNTIFS(Z$8:Z$707,"&gt;0",V$8:V$707,V90,AA$8:AA$707,"&lt;"&amp;AA90)+COUNTIFS(Z$8:Z$707,"&gt;0",V$8:V$707,V90,AA$8:AA$707,AA90,E$8:E$707,"&lt;"&amp;$E90))</f>
        <v/>
      </c>
      <c r="AC90" s="24">
        <f>IF(OR($E90="",Z90=0),"",IFERROR(TODAY()+ROUNDUP(Z90/(SUMIFS($AF90:$IN90,$AF$4:$IN$4,"WASH_ACT")/COUNTIFS($AF$4:$IN$4,"WASH_ACT",$AF90:$IN90,"&gt;0")),0),"no output yet"))</f>
        <v/>
      </c>
      <c r="AD90" s="26">
        <f>IF($E90="","",IFERROR(ROUND(MAX(0,SUMIFS($AF90:$IN90,$AF$4:$IN$4,"SEW_PLAN",$AF$3:$IN$3,"&lt;="&amp;TODAY())-SUMIFS($AF90:$IN90,$AF$4:$IN$4,"SEW_ACT",$AF$3:$IN$3,"&lt;="&amp;TODAY())+N(Q90))/(SUMIFS($AF90:$IN90,$AF$4:$IN$4,"SEW_PLAN")/COUNTIFS($AF$4:$IN$4,"SEW_PLAN",$AF90:$IN90,"&gt;0")),1),0))</f>
        <v/>
      </c>
      <c r="AE90" s="26">
        <f>IF($E90="","",IF(AND(Z90&gt;0,OR(AND(M90&lt;&gt;"",TODAY()&gt;M90),AND(V90&lt;&gt;"",V90-TODAY()&lt;=7))),"Yes","No"))</f>
        <v/>
      </c>
      <c r="AH90">
        <f>IF(OR(AF$3="",AF$3&gt;TODAY()),"",IF(AND(AF90="",AG90=""),"",N(AG90)-N(AF90)))</f>
        <v/>
      </c>
      <c r="AK90">
        <f>IF(OR(AF$3="",AF$3&gt;TODAY()),"",IF(AND(AI90="",AJ90=""),"",N(AJ90)-N(AI90)))</f>
        <v/>
      </c>
      <c r="AO90">
        <f>IF(OR(AM$3="",AM$3&gt;TODAY()),"",IF(AND(AM90="",AN90=""),"",N(AN90)-N(AM90)))</f>
        <v/>
      </c>
      <c r="AR90">
        <f>IF(OR(AM$3="",AM$3&gt;TODAY()),"",IF(AND(AP90="",AQ90=""),"",N(AQ90)-N(AP90)))</f>
        <v/>
      </c>
      <c r="AV90">
        <f>IF(OR(AT$3="",AT$3&gt;TODAY()),"",IF(AND(AT90="",AU90=""),"",N(AU90)-N(AT90)))</f>
        <v/>
      </c>
      <c r="AY90">
        <f>IF(OR(AT$3="",AT$3&gt;TODAY()),"",IF(AND(AW90="",AX90=""),"",N(AX90)-N(AW90)))</f>
        <v/>
      </c>
      <c r="BC90">
        <f>IF(OR(BA$3="",BA$3&gt;TODAY()),"",IF(AND(BA90="",BB90=""),"",N(BB90)-N(BA90)))</f>
        <v/>
      </c>
      <c r="BF90">
        <f>IF(OR(BA$3="",BA$3&gt;TODAY()),"",IF(AND(BD90="",BE90=""),"",N(BE90)-N(BD90)))</f>
        <v/>
      </c>
      <c r="BJ90">
        <f>IF(OR(BH$3="",BH$3&gt;TODAY()),"",IF(AND(BH90="",BI90=""),"",N(BI90)-N(BH90)))</f>
        <v/>
      </c>
      <c r="BM90">
        <f>IF(OR(BH$3="",BH$3&gt;TODAY()),"",IF(AND(BK90="",BL90=""),"",N(BL90)-N(BK90)))</f>
        <v/>
      </c>
      <c r="BQ90">
        <f>IF(OR(BO$3="",BO$3&gt;TODAY()),"",IF(AND(BO90="",BP90=""),"",N(BP90)-N(BO90)))</f>
        <v/>
      </c>
      <c r="BT90">
        <f>IF(OR(BO$3="",BO$3&gt;TODAY()),"",IF(AND(BR90="",BS90=""),"",N(BS90)-N(BR90)))</f>
        <v/>
      </c>
      <c r="BX90">
        <f>IF(OR(BV$3="",BV$3&gt;TODAY()),"",IF(AND(BV90="",BW90=""),"",N(BW90)-N(BV90)))</f>
        <v/>
      </c>
      <c r="CA90">
        <f>IF(OR(BV$3="",BV$3&gt;TODAY()),"",IF(AND(BY90="",BZ90=""),"",N(BZ90)-N(BY90)))</f>
        <v/>
      </c>
      <c r="CE90">
        <f>IF(OR(CC$3="",CC$3&gt;TODAY()),"",IF(AND(CC90="",CD90=""),"",N(CD90)-N(CC90)))</f>
        <v/>
      </c>
      <c r="CH90">
        <f>IF(OR(CC$3="",CC$3&gt;TODAY()),"",IF(AND(CF90="",CG90=""),"",N(CG90)-N(CF90)))</f>
        <v/>
      </c>
      <c r="CL90">
        <f>IF(OR(CJ$3="",CJ$3&gt;TODAY()),"",IF(AND(CJ90="",CK90=""),"",N(CK90)-N(CJ90)))</f>
        <v/>
      </c>
      <c r="CO90">
        <f>IF(OR(CJ$3="",CJ$3&gt;TODAY()),"",IF(AND(CM90="",CN90=""),"",N(CN90)-N(CM90)))</f>
        <v/>
      </c>
      <c r="CS90">
        <f>IF(OR(CQ$3="",CQ$3&gt;TODAY()),"",IF(AND(CQ90="",CR90=""),"",N(CR90)-N(CQ90)))</f>
        <v/>
      </c>
      <c r="CV90">
        <f>IF(OR(CQ$3="",CQ$3&gt;TODAY()),"",IF(AND(CT90="",CU90=""),"",N(CU90)-N(CT90)))</f>
        <v/>
      </c>
      <c r="CZ90">
        <f>IF(OR(CX$3="",CX$3&gt;TODAY()),"",IF(AND(CX90="",CY90=""),"",N(CY90)-N(CX90)))</f>
        <v/>
      </c>
      <c r="DC90">
        <f>IF(OR(CX$3="",CX$3&gt;TODAY()),"",IF(AND(DA90="",DB90=""),"",N(DB90)-N(DA90)))</f>
        <v/>
      </c>
      <c r="DG90">
        <f>IF(OR(DE$3="",DE$3&gt;TODAY()),"",IF(AND(DE90="",DF90=""),"",N(DF90)-N(DE90)))</f>
        <v/>
      </c>
      <c r="DJ90">
        <f>IF(OR(DE$3="",DE$3&gt;TODAY()),"",IF(AND(DH90="",DI90=""),"",N(DI90)-N(DH90)))</f>
        <v/>
      </c>
      <c r="DN90">
        <f>IF(OR(DL$3="",DL$3&gt;TODAY()),"",IF(AND(DL90="",DM90=""),"",N(DM90)-N(DL90)))</f>
        <v/>
      </c>
      <c r="DQ90">
        <f>IF(OR(DL$3="",DL$3&gt;TODAY()),"",IF(AND(DO90="",DP90=""),"",N(DP90)-N(DO90)))</f>
        <v/>
      </c>
      <c r="DU90">
        <f>IF(OR(DS$3="",DS$3&gt;TODAY()),"",IF(AND(DS90="",DT90=""),"",N(DT90)-N(DS90)))</f>
        <v/>
      </c>
      <c r="DX90">
        <f>IF(OR(DS$3="",DS$3&gt;TODAY()),"",IF(AND(DV90="",DW90=""),"",N(DW90)-N(DV90)))</f>
        <v/>
      </c>
      <c r="EB90">
        <f>IF(OR(DZ$3="",DZ$3&gt;TODAY()),"",IF(AND(DZ90="",EA90=""),"",N(EA90)-N(DZ90)))</f>
        <v/>
      </c>
      <c r="EE90">
        <f>IF(OR(DZ$3="",DZ$3&gt;TODAY()),"",IF(AND(EC90="",ED90=""),"",N(ED90)-N(EC90)))</f>
        <v/>
      </c>
      <c r="EI90">
        <f>IF(OR(EG$3="",EG$3&gt;TODAY()),"",IF(AND(EG90="",EH90=""),"",N(EH90)-N(EG90)))</f>
        <v/>
      </c>
      <c r="EL90">
        <f>IF(OR(EG$3="",EG$3&gt;TODAY()),"",IF(AND(EJ90="",EK90=""),"",N(EK90)-N(EJ90)))</f>
        <v/>
      </c>
      <c r="EP90">
        <f>IF(OR(EN$3="",EN$3&gt;TODAY()),"",IF(AND(EN90="",EO90=""),"",N(EO90)-N(EN90)))</f>
        <v/>
      </c>
      <c r="ES90">
        <f>IF(OR(EN$3="",EN$3&gt;TODAY()),"",IF(AND(EQ90="",ER90=""),"",N(ER90)-N(EQ90)))</f>
        <v/>
      </c>
      <c r="EW90">
        <f>IF(OR(EU$3="",EU$3&gt;TODAY()),"",IF(AND(EU90="",EV90=""),"",N(EV90)-N(EU90)))</f>
        <v/>
      </c>
      <c r="EZ90">
        <f>IF(OR(EU$3="",EU$3&gt;TODAY()),"",IF(AND(EX90="",EY90=""),"",N(EY90)-N(EX90)))</f>
        <v/>
      </c>
      <c r="FD90">
        <f>IF(OR(FB$3="",FB$3&gt;TODAY()),"",IF(AND(FB90="",FC90=""),"",N(FC90)-N(FB90)))</f>
        <v/>
      </c>
      <c r="FG90">
        <f>IF(OR(FB$3="",FB$3&gt;TODAY()),"",IF(AND(FE90="",FF90=""),"",N(FF90)-N(FE90)))</f>
        <v/>
      </c>
      <c r="FK90">
        <f>IF(OR(FI$3="",FI$3&gt;TODAY()),"",IF(AND(FI90="",FJ90=""),"",N(FJ90)-N(FI90)))</f>
        <v/>
      </c>
      <c r="FN90">
        <f>IF(OR(FI$3="",FI$3&gt;TODAY()),"",IF(AND(FL90="",FM90=""),"",N(FM90)-N(FL90)))</f>
        <v/>
      </c>
      <c r="FR90">
        <f>IF(OR(FP$3="",FP$3&gt;TODAY()),"",IF(AND(FP90="",FQ90=""),"",N(FQ90)-N(FP90)))</f>
        <v/>
      </c>
      <c r="FU90">
        <f>IF(OR(FP$3="",FP$3&gt;TODAY()),"",IF(AND(FS90="",FT90=""),"",N(FT90)-N(FS90)))</f>
        <v/>
      </c>
      <c r="FY90">
        <f>IF(OR(FW$3="",FW$3&gt;TODAY()),"",IF(AND(FW90="",FX90=""),"",N(FX90)-N(FW90)))</f>
        <v/>
      </c>
      <c r="GB90">
        <f>IF(OR(FW$3="",FW$3&gt;TODAY()),"",IF(AND(FZ90="",GA90=""),"",N(GA90)-N(FZ90)))</f>
        <v/>
      </c>
      <c r="GF90">
        <f>IF(OR(GD$3="",GD$3&gt;TODAY()),"",IF(AND(GD90="",GE90=""),"",N(GE90)-N(GD90)))</f>
        <v/>
      </c>
      <c r="GI90">
        <f>IF(OR(GD$3="",GD$3&gt;TODAY()),"",IF(AND(GG90="",GH90=""),"",N(GH90)-N(GG90)))</f>
        <v/>
      </c>
      <c r="GM90">
        <f>IF(OR(GK$3="",GK$3&gt;TODAY()),"",IF(AND(GK90="",GL90=""),"",N(GL90)-N(GK90)))</f>
        <v/>
      </c>
      <c r="GP90">
        <f>IF(OR(GK$3="",GK$3&gt;TODAY()),"",IF(AND(GN90="",GO90=""),"",N(GO90)-N(GN90)))</f>
        <v/>
      </c>
      <c r="GT90">
        <f>IF(OR(GR$3="",GR$3&gt;TODAY()),"",IF(AND(GR90="",GS90=""),"",N(GS90)-N(GR90)))</f>
        <v/>
      </c>
      <c r="GW90">
        <f>IF(OR(GR$3="",GR$3&gt;TODAY()),"",IF(AND(GU90="",GV90=""),"",N(GV90)-N(GU90)))</f>
        <v/>
      </c>
      <c r="HA90">
        <f>IF(OR(GY$3="",GY$3&gt;TODAY()),"",IF(AND(GY90="",GZ90=""),"",N(GZ90)-N(GY90)))</f>
        <v/>
      </c>
      <c r="HD90">
        <f>IF(OR(GY$3="",GY$3&gt;TODAY()),"",IF(AND(HB90="",HC90=""),"",N(HC90)-N(HB90)))</f>
        <v/>
      </c>
      <c r="HH90">
        <f>IF(OR(HF$3="",HF$3&gt;TODAY()),"",IF(AND(HF90="",HG90=""),"",N(HG90)-N(HF90)))</f>
        <v/>
      </c>
      <c r="HK90">
        <f>IF(OR(HF$3="",HF$3&gt;TODAY()),"",IF(AND(HI90="",HJ90=""),"",N(HJ90)-N(HI90)))</f>
        <v/>
      </c>
      <c r="HO90">
        <f>IF(OR(HM$3="",HM$3&gt;TODAY()),"",IF(AND(HM90="",HN90=""),"",N(HN90)-N(HM90)))</f>
        <v/>
      </c>
      <c r="HR90">
        <f>IF(OR(HM$3="",HM$3&gt;TODAY()),"",IF(AND(HP90="",HQ90=""),"",N(HQ90)-N(HP90)))</f>
        <v/>
      </c>
      <c r="HV90">
        <f>IF(OR(HT$3="",HT$3&gt;TODAY()),"",IF(AND(HT90="",HU90=""),"",N(HU90)-N(HT90)))</f>
        <v/>
      </c>
      <c r="HY90">
        <f>IF(OR(HT$3="",HT$3&gt;TODAY()),"",IF(AND(HW90="",HX90=""),"",N(HX90)-N(HW90)))</f>
        <v/>
      </c>
      <c r="IC90">
        <f>IF(OR(IA$3="",IA$3&gt;TODAY()),"",IF(AND(IA90="",IB90=""),"",N(IB90)-N(IA90)))</f>
        <v/>
      </c>
      <c r="IF90">
        <f>IF(OR(IA$3="",IA$3&gt;TODAY()),"",IF(AND(ID90="",IE90=""),"",N(IE90)-N(ID90)))</f>
        <v/>
      </c>
      <c r="IJ90">
        <f>IF(OR(IH$3="",IH$3&gt;TODAY()),"",IF(AND(IH90="",II90=""),"",N(II90)-N(IH90)))</f>
        <v/>
      </c>
      <c r="IM90">
        <f>IF(OR(IH$3="",IH$3&gt;TODAY()),"",IF(AND(IK90="",IL90=""),"",N(IL90)-N(IK90)))</f>
        <v/>
      </c>
    </row>
    <row r="91">
      <c r="A91" s="21" t="n"/>
      <c r="B91" s="21" t="n"/>
      <c r="C91" s="21" t="n"/>
      <c r="D91" s="21" t="n"/>
      <c r="E91" s="21" t="n"/>
      <c r="F91" s="21" t="n"/>
      <c r="G91" s="21" t="n"/>
      <c r="H91" s="21" t="n"/>
      <c r="I91" s="22" t="n"/>
      <c r="J91" s="22" t="n"/>
      <c r="K91" s="23" t="n"/>
      <c r="L91" s="22" t="n"/>
      <c r="M91" s="22" t="n"/>
      <c r="N91" s="21" t="n"/>
      <c r="O91" s="23" t="n"/>
      <c r="P91" s="23" t="n"/>
      <c r="Q91" s="23" t="n"/>
      <c r="R91" s="23" t="n"/>
      <c r="S91" s="22" t="n"/>
      <c r="T91" s="23" t="n"/>
      <c r="U91" s="23" t="n"/>
      <c r="V91" s="24">
        <f>IF(J91&lt;&gt;"",J91,IF(I91&lt;&gt;"",I91,""))</f>
        <v/>
      </c>
      <c r="W91" s="25">
        <f>IF($E91="","",N(O91)+SUMIFS($AF91:$IN91,$AF$4:$IN$4,"SEW_ACT"))</f>
        <v/>
      </c>
      <c r="X91" s="25">
        <f>IF($E91="","",N(P91)+SUMIFS($AF91:$IN91,$AF$4:$IN$4,"WASH_ACT"))</f>
        <v/>
      </c>
      <c r="Y91" s="25">
        <f>IF($E91="","",W91-X91-N(T91)-N(U91))</f>
        <v/>
      </c>
      <c r="Z91" s="25">
        <f>IF($E91="","",IF(N(K91)-X91&lt;=0.02*N(K91),0,N(K91)-X91))</f>
        <v/>
      </c>
      <c r="AA91" s="24">
        <f>IF($E91="","",IF(S91&lt;&gt;"",S91,IF(N(O91)&gt;0,IF(L91&lt;&gt;"",L91,99999),IFERROR(1/(1/_xlfn.MINIFS($AF$3:$IN$3,$AF$4:$IN$4,"SEW_ACT",$AF91:$IN91,"&gt;0")),99999))))</f>
        <v/>
      </c>
      <c r="AB91" s="26">
        <f>IF(OR($E91="",Z91=0,V91=""),"",1+COUNTIFS(Z$8:Z$707,"&gt;0",V$8:V$707,"&lt;"&amp;V91)+COUNTIFS(Z$8:Z$707,"&gt;0",V$8:V$707,V91,AA$8:AA$707,"&lt;"&amp;AA91)+COUNTIFS(Z$8:Z$707,"&gt;0",V$8:V$707,V91,AA$8:AA$707,AA91,E$8:E$707,"&lt;"&amp;$E91))</f>
        <v/>
      </c>
      <c r="AC91" s="24">
        <f>IF(OR($E91="",Z91=0),"",IFERROR(TODAY()+ROUNDUP(Z91/(SUMIFS($AF91:$IN91,$AF$4:$IN$4,"WASH_ACT")/COUNTIFS($AF$4:$IN$4,"WASH_ACT",$AF91:$IN91,"&gt;0")),0),"no output yet"))</f>
        <v/>
      </c>
      <c r="AD91" s="26">
        <f>IF($E91="","",IFERROR(ROUND(MAX(0,SUMIFS($AF91:$IN91,$AF$4:$IN$4,"SEW_PLAN",$AF$3:$IN$3,"&lt;="&amp;TODAY())-SUMIFS($AF91:$IN91,$AF$4:$IN$4,"SEW_ACT",$AF$3:$IN$3,"&lt;="&amp;TODAY())+N(Q91))/(SUMIFS($AF91:$IN91,$AF$4:$IN$4,"SEW_PLAN")/COUNTIFS($AF$4:$IN$4,"SEW_PLAN",$AF91:$IN91,"&gt;0")),1),0))</f>
        <v/>
      </c>
      <c r="AE91" s="26">
        <f>IF($E91="","",IF(AND(Z91&gt;0,OR(AND(M91&lt;&gt;"",TODAY()&gt;M91),AND(V91&lt;&gt;"",V91-TODAY()&lt;=7))),"Yes","No"))</f>
        <v/>
      </c>
      <c r="AH91">
        <f>IF(OR(AF$3="",AF$3&gt;TODAY()),"",IF(AND(AF91="",AG91=""),"",N(AG91)-N(AF91)))</f>
        <v/>
      </c>
      <c r="AK91">
        <f>IF(OR(AF$3="",AF$3&gt;TODAY()),"",IF(AND(AI91="",AJ91=""),"",N(AJ91)-N(AI91)))</f>
        <v/>
      </c>
      <c r="AO91">
        <f>IF(OR(AM$3="",AM$3&gt;TODAY()),"",IF(AND(AM91="",AN91=""),"",N(AN91)-N(AM91)))</f>
        <v/>
      </c>
      <c r="AR91">
        <f>IF(OR(AM$3="",AM$3&gt;TODAY()),"",IF(AND(AP91="",AQ91=""),"",N(AQ91)-N(AP91)))</f>
        <v/>
      </c>
      <c r="AV91">
        <f>IF(OR(AT$3="",AT$3&gt;TODAY()),"",IF(AND(AT91="",AU91=""),"",N(AU91)-N(AT91)))</f>
        <v/>
      </c>
      <c r="AY91">
        <f>IF(OR(AT$3="",AT$3&gt;TODAY()),"",IF(AND(AW91="",AX91=""),"",N(AX91)-N(AW91)))</f>
        <v/>
      </c>
      <c r="BC91">
        <f>IF(OR(BA$3="",BA$3&gt;TODAY()),"",IF(AND(BA91="",BB91=""),"",N(BB91)-N(BA91)))</f>
        <v/>
      </c>
      <c r="BF91">
        <f>IF(OR(BA$3="",BA$3&gt;TODAY()),"",IF(AND(BD91="",BE91=""),"",N(BE91)-N(BD91)))</f>
        <v/>
      </c>
      <c r="BJ91">
        <f>IF(OR(BH$3="",BH$3&gt;TODAY()),"",IF(AND(BH91="",BI91=""),"",N(BI91)-N(BH91)))</f>
        <v/>
      </c>
      <c r="BM91">
        <f>IF(OR(BH$3="",BH$3&gt;TODAY()),"",IF(AND(BK91="",BL91=""),"",N(BL91)-N(BK91)))</f>
        <v/>
      </c>
      <c r="BQ91">
        <f>IF(OR(BO$3="",BO$3&gt;TODAY()),"",IF(AND(BO91="",BP91=""),"",N(BP91)-N(BO91)))</f>
        <v/>
      </c>
      <c r="BT91">
        <f>IF(OR(BO$3="",BO$3&gt;TODAY()),"",IF(AND(BR91="",BS91=""),"",N(BS91)-N(BR91)))</f>
        <v/>
      </c>
      <c r="BX91">
        <f>IF(OR(BV$3="",BV$3&gt;TODAY()),"",IF(AND(BV91="",BW91=""),"",N(BW91)-N(BV91)))</f>
        <v/>
      </c>
      <c r="CA91">
        <f>IF(OR(BV$3="",BV$3&gt;TODAY()),"",IF(AND(BY91="",BZ91=""),"",N(BZ91)-N(BY91)))</f>
        <v/>
      </c>
      <c r="CE91">
        <f>IF(OR(CC$3="",CC$3&gt;TODAY()),"",IF(AND(CC91="",CD91=""),"",N(CD91)-N(CC91)))</f>
        <v/>
      </c>
      <c r="CH91">
        <f>IF(OR(CC$3="",CC$3&gt;TODAY()),"",IF(AND(CF91="",CG91=""),"",N(CG91)-N(CF91)))</f>
        <v/>
      </c>
      <c r="CL91">
        <f>IF(OR(CJ$3="",CJ$3&gt;TODAY()),"",IF(AND(CJ91="",CK91=""),"",N(CK91)-N(CJ91)))</f>
        <v/>
      </c>
      <c r="CO91">
        <f>IF(OR(CJ$3="",CJ$3&gt;TODAY()),"",IF(AND(CM91="",CN91=""),"",N(CN91)-N(CM91)))</f>
        <v/>
      </c>
      <c r="CS91">
        <f>IF(OR(CQ$3="",CQ$3&gt;TODAY()),"",IF(AND(CQ91="",CR91=""),"",N(CR91)-N(CQ91)))</f>
        <v/>
      </c>
      <c r="CV91">
        <f>IF(OR(CQ$3="",CQ$3&gt;TODAY()),"",IF(AND(CT91="",CU91=""),"",N(CU91)-N(CT91)))</f>
        <v/>
      </c>
      <c r="CZ91">
        <f>IF(OR(CX$3="",CX$3&gt;TODAY()),"",IF(AND(CX91="",CY91=""),"",N(CY91)-N(CX91)))</f>
        <v/>
      </c>
      <c r="DC91">
        <f>IF(OR(CX$3="",CX$3&gt;TODAY()),"",IF(AND(DA91="",DB91=""),"",N(DB91)-N(DA91)))</f>
        <v/>
      </c>
      <c r="DG91">
        <f>IF(OR(DE$3="",DE$3&gt;TODAY()),"",IF(AND(DE91="",DF91=""),"",N(DF91)-N(DE91)))</f>
        <v/>
      </c>
      <c r="DJ91">
        <f>IF(OR(DE$3="",DE$3&gt;TODAY()),"",IF(AND(DH91="",DI91=""),"",N(DI91)-N(DH91)))</f>
        <v/>
      </c>
      <c r="DN91">
        <f>IF(OR(DL$3="",DL$3&gt;TODAY()),"",IF(AND(DL91="",DM91=""),"",N(DM91)-N(DL91)))</f>
        <v/>
      </c>
      <c r="DQ91">
        <f>IF(OR(DL$3="",DL$3&gt;TODAY()),"",IF(AND(DO91="",DP91=""),"",N(DP91)-N(DO91)))</f>
        <v/>
      </c>
      <c r="DU91">
        <f>IF(OR(DS$3="",DS$3&gt;TODAY()),"",IF(AND(DS91="",DT91=""),"",N(DT91)-N(DS91)))</f>
        <v/>
      </c>
      <c r="DX91">
        <f>IF(OR(DS$3="",DS$3&gt;TODAY()),"",IF(AND(DV91="",DW91=""),"",N(DW91)-N(DV91)))</f>
        <v/>
      </c>
      <c r="EB91">
        <f>IF(OR(DZ$3="",DZ$3&gt;TODAY()),"",IF(AND(DZ91="",EA91=""),"",N(EA91)-N(DZ91)))</f>
        <v/>
      </c>
      <c r="EE91">
        <f>IF(OR(DZ$3="",DZ$3&gt;TODAY()),"",IF(AND(EC91="",ED91=""),"",N(ED91)-N(EC91)))</f>
        <v/>
      </c>
      <c r="EI91">
        <f>IF(OR(EG$3="",EG$3&gt;TODAY()),"",IF(AND(EG91="",EH91=""),"",N(EH91)-N(EG91)))</f>
        <v/>
      </c>
      <c r="EL91">
        <f>IF(OR(EG$3="",EG$3&gt;TODAY()),"",IF(AND(EJ91="",EK91=""),"",N(EK91)-N(EJ91)))</f>
        <v/>
      </c>
      <c r="EP91">
        <f>IF(OR(EN$3="",EN$3&gt;TODAY()),"",IF(AND(EN91="",EO91=""),"",N(EO91)-N(EN91)))</f>
        <v/>
      </c>
      <c r="ES91">
        <f>IF(OR(EN$3="",EN$3&gt;TODAY()),"",IF(AND(EQ91="",ER91=""),"",N(ER91)-N(EQ91)))</f>
        <v/>
      </c>
      <c r="EW91">
        <f>IF(OR(EU$3="",EU$3&gt;TODAY()),"",IF(AND(EU91="",EV91=""),"",N(EV91)-N(EU91)))</f>
        <v/>
      </c>
      <c r="EZ91">
        <f>IF(OR(EU$3="",EU$3&gt;TODAY()),"",IF(AND(EX91="",EY91=""),"",N(EY91)-N(EX91)))</f>
        <v/>
      </c>
      <c r="FD91">
        <f>IF(OR(FB$3="",FB$3&gt;TODAY()),"",IF(AND(FB91="",FC91=""),"",N(FC91)-N(FB91)))</f>
        <v/>
      </c>
      <c r="FG91">
        <f>IF(OR(FB$3="",FB$3&gt;TODAY()),"",IF(AND(FE91="",FF91=""),"",N(FF91)-N(FE91)))</f>
        <v/>
      </c>
      <c r="FK91">
        <f>IF(OR(FI$3="",FI$3&gt;TODAY()),"",IF(AND(FI91="",FJ91=""),"",N(FJ91)-N(FI91)))</f>
        <v/>
      </c>
      <c r="FN91">
        <f>IF(OR(FI$3="",FI$3&gt;TODAY()),"",IF(AND(FL91="",FM91=""),"",N(FM91)-N(FL91)))</f>
        <v/>
      </c>
      <c r="FR91">
        <f>IF(OR(FP$3="",FP$3&gt;TODAY()),"",IF(AND(FP91="",FQ91=""),"",N(FQ91)-N(FP91)))</f>
        <v/>
      </c>
      <c r="FU91">
        <f>IF(OR(FP$3="",FP$3&gt;TODAY()),"",IF(AND(FS91="",FT91=""),"",N(FT91)-N(FS91)))</f>
        <v/>
      </c>
      <c r="FY91">
        <f>IF(OR(FW$3="",FW$3&gt;TODAY()),"",IF(AND(FW91="",FX91=""),"",N(FX91)-N(FW91)))</f>
        <v/>
      </c>
      <c r="GB91">
        <f>IF(OR(FW$3="",FW$3&gt;TODAY()),"",IF(AND(FZ91="",GA91=""),"",N(GA91)-N(FZ91)))</f>
        <v/>
      </c>
      <c r="GF91">
        <f>IF(OR(GD$3="",GD$3&gt;TODAY()),"",IF(AND(GD91="",GE91=""),"",N(GE91)-N(GD91)))</f>
        <v/>
      </c>
      <c r="GI91">
        <f>IF(OR(GD$3="",GD$3&gt;TODAY()),"",IF(AND(GG91="",GH91=""),"",N(GH91)-N(GG91)))</f>
        <v/>
      </c>
      <c r="GM91">
        <f>IF(OR(GK$3="",GK$3&gt;TODAY()),"",IF(AND(GK91="",GL91=""),"",N(GL91)-N(GK91)))</f>
        <v/>
      </c>
      <c r="GP91">
        <f>IF(OR(GK$3="",GK$3&gt;TODAY()),"",IF(AND(GN91="",GO91=""),"",N(GO91)-N(GN91)))</f>
        <v/>
      </c>
      <c r="GT91">
        <f>IF(OR(GR$3="",GR$3&gt;TODAY()),"",IF(AND(GR91="",GS91=""),"",N(GS91)-N(GR91)))</f>
        <v/>
      </c>
      <c r="GW91">
        <f>IF(OR(GR$3="",GR$3&gt;TODAY()),"",IF(AND(GU91="",GV91=""),"",N(GV91)-N(GU91)))</f>
        <v/>
      </c>
      <c r="HA91">
        <f>IF(OR(GY$3="",GY$3&gt;TODAY()),"",IF(AND(GY91="",GZ91=""),"",N(GZ91)-N(GY91)))</f>
        <v/>
      </c>
      <c r="HD91">
        <f>IF(OR(GY$3="",GY$3&gt;TODAY()),"",IF(AND(HB91="",HC91=""),"",N(HC91)-N(HB91)))</f>
        <v/>
      </c>
      <c r="HH91">
        <f>IF(OR(HF$3="",HF$3&gt;TODAY()),"",IF(AND(HF91="",HG91=""),"",N(HG91)-N(HF91)))</f>
        <v/>
      </c>
      <c r="HK91">
        <f>IF(OR(HF$3="",HF$3&gt;TODAY()),"",IF(AND(HI91="",HJ91=""),"",N(HJ91)-N(HI91)))</f>
        <v/>
      </c>
      <c r="HO91">
        <f>IF(OR(HM$3="",HM$3&gt;TODAY()),"",IF(AND(HM91="",HN91=""),"",N(HN91)-N(HM91)))</f>
        <v/>
      </c>
      <c r="HR91">
        <f>IF(OR(HM$3="",HM$3&gt;TODAY()),"",IF(AND(HP91="",HQ91=""),"",N(HQ91)-N(HP91)))</f>
        <v/>
      </c>
      <c r="HV91">
        <f>IF(OR(HT$3="",HT$3&gt;TODAY()),"",IF(AND(HT91="",HU91=""),"",N(HU91)-N(HT91)))</f>
        <v/>
      </c>
      <c r="HY91">
        <f>IF(OR(HT$3="",HT$3&gt;TODAY()),"",IF(AND(HW91="",HX91=""),"",N(HX91)-N(HW91)))</f>
        <v/>
      </c>
      <c r="IC91">
        <f>IF(OR(IA$3="",IA$3&gt;TODAY()),"",IF(AND(IA91="",IB91=""),"",N(IB91)-N(IA91)))</f>
        <v/>
      </c>
      <c r="IF91">
        <f>IF(OR(IA$3="",IA$3&gt;TODAY()),"",IF(AND(ID91="",IE91=""),"",N(IE91)-N(ID91)))</f>
        <v/>
      </c>
      <c r="IJ91">
        <f>IF(OR(IH$3="",IH$3&gt;TODAY()),"",IF(AND(IH91="",II91=""),"",N(II91)-N(IH91)))</f>
        <v/>
      </c>
      <c r="IM91">
        <f>IF(OR(IH$3="",IH$3&gt;TODAY()),"",IF(AND(IK91="",IL91=""),"",N(IL91)-N(IK91)))</f>
        <v/>
      </c>
    </row>
    <row r="92">
      <c r="A92" s="21" t="n"/>
      <c r="B92" s="21" t="n"/>
      <c r="C92" s="21" t="n"/>
      <c r="D92" s="21" t="n"/>
      <c r="E92" s="21" t="n"/>
      <c r="F92" s="21" t="n"/>
      <c r="G92" s="21" t="n"/>
      <c r="H92" s="21" t="n"/>
      <c r="I92" s="22" t="n"/>
      <c r="J92" s="22" t="n"/>
      <c r="K92" s="23" t="n"/>
      <c r="L92" s="22" t="n"/>
      <c r="M92" s="22" t="n"/>
      <c r="N92" s="21" t="n"/>
      <c r="O92" s="23" t="n"/>
      <c r="P92" s="23" t="n"/>
      <c r="Q92" s="23" t="n"/>
      <c r="R92" s="23" t="n"/>
      <c r="S92" s="22" t="n"/>
      <c r="T92" s="23" t="n"/>
      <c r="U92" s="23" t="n"/>
      <c r="V92" s="24">
        <f>IF(J92&lt;&gt;"",J92,IF(I92&lt;&gt;"",I92,""))</f>
        <v/>
      </c>
      <c r="W92" s="25">
        <f>IF($E92="","",N(O92)+SUMIFS($AF92:$IN92,$AF$4:$IN$4,"SEW_ACT"))</f>
        <v/>
      </c>
      <c r="X92" s="25">
        <f>IF($E92="","",N(P92)+SUMIFS($AF92:$IN92,$AF$4:$IN$4,"WASH_ACT"))</f>
        <v/>
      </c>
      <c r="Y92" s="25">
        <f>IF($E92="","",W92-X92-N(T92)-N(U92))</f>
        <v/>
      </c>
      <c r="Z92" s="25">
        <f>IF($E92="","",IF(N(K92)-X92&lt;=0.02*N(K92),0,N(K92)-X92))</f>
        <v/>
      </c>
      <c r="AA92" s="24">
        <f>IF($E92="","",IF(S92&lt;&gt;"",S92,IF(N(O92)&gt;0,IF(L92&lt;&gt;"",L92,99999),IFERROR(1/(1/_xlfn.MINIFS($AF$3:$IN$3,$AF$4:$IN$4,"SEW_ACT",$AF92:$IN92,"&gt;0")),99999))))</f>
        <v/>
      </c>
      <c r="AB92" s="26">
        <f>IF(OR($E92="",Z92=0,V92=""),"",1+COUNTIFS(Z$8:Z$707,"&gt;0",V$8:V$707,"&lt;"&amp;V92)+COUNTIFS(Z$8:Z$707,"&gt;0",V$8:V$707,V92,AA$8:AA$707,"&lt;"&amp;AA92)+COUNTIFS(Z$8:Z$707,"&gt;0",V$8:V$707,V92,AA$8:AA$707,AA92,E$8:E$707,"&lt;"&amp;$E92))</f>
        <v/>
      </c>
      <c r="AC92" s="24">
        <f>IF(OR($E92="",Z92=0),"",IFERROR(TODAY()+ROUNDUP(Z92/(SUMIFS($AF92:$IN92,$AF$4:$IN$4,"WASH_ACT")/COUNTIFS($AF$4:$IN$4,"WASH_ACT",$AF92:$IN92,"&gt;0")),0),"no output yet"))</f>
        <v/>
      </c>
      <c r="AD92" s="26">
        <f>IF($E92="","",IFERROR(ROUND(MAX(0,SUMIFS($AF92:$IN92,$AF$4:$IN$4,"SEW_PLAN",$AF$3:$IN$3,"&lt;="&amp;TODAY())-SUMIFS($AF92:$IN92,$AF$4:$IN$4,"SEW_ACT",$AF$3:$IN$3,"&lt;="&amp;TODAY())+N(Q92))/(SUMIFS($AF92:$IN92,$AF$4:$IN$4,"SEW_PLAN")/COUNTIFS($AF$4:$IN$4,"SEW_PLAN",$AF92:$IN92,"&gt;0")),1),0))</f>
        <v/>
      </c>
      <c r="AE92" s="26">
        <f>IF($E92="","",IF(AND(Z92&gt;0,OR(AND(M92&lt;&gt;"",TODAY()&gt;M92),AND(V92&lt;&gt;"",V92-TODAY()&lt;=7))),"Yes","No"))</f>
        <v/>
      </c>
      <c r="AH92">
        <f>IF(OR(AF$3="",AF$3&gt;TODAY()),"",IF(AND(AF92="",AG92=""),"",N(AG92)-N(AF92)))</f>
        <v/>
      </c>
      <c r="AK92">
        <f>IF(OR(AF$3="",AF$3&gt;TODAY()),"",IF(AND(AI92="",AJ92=""),"",N(AJ92)-N(AI92)))</f>
        <v/>
      </c>
      <c r="AO92">
        <f>IF(OR(AM$3="",AM$3&gt;TODAY()),"",IF(AND(AM92="",AN92=""),"",N(AN92)-N(AM92)))</f>
        <v/>
      </c>
      <c r="AR92">
        <f>IF(OR(AM$3="",AM$3&gt;TODAY()),"",IF(AND(AP92="",AQ92=""),"",N(AQ92)-N(AP92)))</f>
        <v/>
      </c>
      <c r="AV92">
        <f>IF(OR(AT$3="",AT$3&gt;TODAY()),"",IF(AND(AT92="",AU92=""),"",N(AU92)-N(AT92)))</f>
        <v/>
      </c>
      <c r="AY92">
        <f>IF(OR(AT$3="",AT$3&gt;TODAY()),"",IF(AND(AW92="",AX92=""),"",N(AX92)-N(AW92)))</f>
        <v/>
      </c>
      <c r="BC92">
        <f>IF(OR(BA$3="",BA$3&gt;TODAY()),"",IF(AND(BA92="",BB92=""),"",N(BB92)-N(BA92)))</f>
        <v/>
      </c>
      <c r="BF92">
        <f>IF(OR(BA$3="",BA$3&gt;TODAY()),"",IF(AND(BD92="",BE92=""),"",N(BE92)-N(BD92)))</f>
        <v/>
      </c>
      <c r="BJ92">
        <f>IF(OR(BH$3="",BH$3&gt;TODAY()),"",IF(AND(BH92="",BI92=""),"",N(BI92)-N(BH92)))</f>
        <v/>
      </c>
      <c r="BM92">
        <f>IF(OR(BH$3="",BH$3&gt;TODAY()),"",IF(AND(BK92="",BL92=""),"",N(BL92)-N(BK92)))</f>
        <v/>
      </c>
      <c r="BQ92">
        <f>IF(OR(BO$3="",BO$3&gt;TODAY()),"",IF(AND(BO92="",BP92=""),"",N(BP92)-N(BO92)))</f>
        <v/>
      </c>
      <c r="BT92">
        <f>IF(OR(BO$3="",BO$3&gt;TODAY()),"",IF(AND(BR92="",BS92=""),"",N(BS92)-N(BR92)))</f>
        <v/>
      </c>
      <c r="BX92">
        <f>IF(OR(BV$3="",BV$3&gt;TODAY()),"",IF(AND(BV92="",BW92=""),"",N(BW92)-N(BV92)))</f>
        <v/>
      </c>
      <c r="CA92">
        <f>IF(OR(BV$3="",BV$3&gt;TODAY()),"",IF(AND(BY92="",BZ92=""),"",N(BZ92)-N(BY92)))</f>
        <v/>
      </c>
      <c r="CE92">
        <f>IF(OR(CC$3="",CC$3&gt;TODAY()),"",IF(AND(CC92="",CD92=""),"",N(CD92)-N(CC92)))</f>
        <v/>
      </c>
      <c r="CH92">
        <f>IF(OR(CC$3="",CC$3&gt;TODAY()),"",IF(AND(CF92="",CG92=""),"",N(CG92)-N(CF92)))</f>
        <v/>
      </c>
      <c r="CL92">
        <f>IF(OR(CJ$3="",CJ$3&gt;TODAY()),"",IF(AND(CJ92="",CK92=""),"",N(CK92)-N(CJ92)))</f>
        <v/>
      </c>
      <c r="CO92">
        <f>IF(OR(CJ$3="",CJ$3&gt;TODAY()),"",IF(AND(CM92="",CN92=""),"",N(CN92)-N(CM92)))</f>
        <v/>
      </c>
      <c r="CS92">
        <f>IF(OR(CQ$3="",CQ$3&gt;TODAY()),"",IF(AND(CQ92="",CR92=""),"",N(CR92)-N(CQ92)))</f>
        <v/>
      </c>
      <c r="CV92">
        <f>IF(OR(CQ$3="",CQ$3&gt;TODAY()),"",IF(AND(CT92="",CU92=""),"",N(CU92)-N(CT92)))</f>
        <v/>
      </c>
      <c r="CZ92">
        <f>IF(OR(CX$3="",CX$3&gt;TODAY()),"",IF(AND(CX92="",CY92=""),"",N(CY92)-N(CX92)))</f>
        <v/>
      </c>
      <c r="DC92">
        <f>IF(OR(CX$3="",CX$3&gt;TODAY()),"",IF(AND(DA92="",DB92=""),"",N(DB92)-N(DA92)))</f>
        <v/>
      </c>
      <c r="DG92">
        <f>IF(OR(DE$3="",DE$3&gt;TODAY()),"",IF(AND(DE92="",DF92=""),"",N(DF92)-N(DE92)))</f>
        <v/>
      </c>
      <c r="DJ92">
        <f>IF(OR(DE$3="",DE$3&gt;TODAY()),"",IF(AND(DH92="",DI92=""),"",N(DI92)-N(DH92)))</f>
        <v/>
      </c>
      <c r="DN92">
        <f>IF(OR(DL$3="",DL$3&gt;TODAY()),"",IF(AND(DL92="",DM92=""),"",N(DM92)-N(DL92)))</f>
        <v/>
      </c>
      <c r="DQ92">
        <f>IF(OR(DL$3="",DL$3&gt;TODAY()),"",IF(AND(DO92="",DP92=""),"",N(DP92)-N(DO92)))</f>
        <v/>
      </c>
      <c r="DU92">
        <f>IF(OR(DS$3="",DS$3&gt;TODAY()),"",IF(AND(DS92="",DT92=""),"",N(DT92)-N(DS92)))</f>
        <v/>
      </c>
      <c r="DX92">
        <f>IF(OR(DS$3="",DS$3&gt;TODAY()),"",IF(AND(DV92="",DW92=""),"",N(DW92)-N(DV92)))</f>
        <v/>
      </c>
      <c r="EB92">
        <f>IF(OR(DZ$3="",DZ$3&gt;TODAY()),"",IF(AND(DZ92="",EA92=""),"",N(EA92)-N(DZ92)))</f>
        <v/>
      </c>
      <c r="EE92">
        <f>IF(OR(DZ$3="",DZ$3&gt;TODAY()),"",IF(AND(EC92="",ED92=""),"",N(ED92)-N(EC92)))</f>
        <v/>
      </c>
      <c r="EI92">
        <f>IF(OR(EG$3="",EG$3&gt;TODAY()),"",IF(AND(EG92="",EH92=""),"",N(EH92)-N(EG92)))</f>
        <v/>
      </c>
      <c r="EL92">
        <f>IF(OR(EG$3="",EG$3&gt;TODAY()),"",IF(AND(EJ92="",EK92=""),"",N(EK92)-N(EJ92)))</f>
        <v/>
      </c>
      <c r="EP92">
        <f>IF(OR(EN$3="",EN$3&gt;TODAY()),"",IF(AND(EN92="",EO92=""),"",N(EO92)-N(EN92)))</f>
        <v/>
      </c>
      <c r="ES92">
        <f>IF(OR(EN$3="",EN$3&gt;TODAY()),"",IF(AND(EQ92="",ER92=""),"",N(ER92)-N(EQ92)))</f>
        <v/>
      </c>
      <c r="EW92">
        <f>IF(OR(EU$3="",EU$3&gt;TODAY()),"",IF(AND(EU92="",EV92=""),"",N(EV92)-N(EU92)))</f>
        <v/>
      </c>
      <c r="EZ92">
        <f>IF(OR(EU$3="",EU$3&gt;TODAY()),"",IF(AND(EX92="",EY92=""),"",N(EY92)-N(EX92)))</f>
        <v/>
      </c>
      <c r="FD92">
        <f>IF(OR(FB$3="",FB$3&gt;TODAY()),"",IF(AND(FB92="",FC92=""),"",N(FC92)-N(FB92)))</f>
        <v/>
      </c>
      <c r="FG92">
        <f>IF(OR(FB$3="",FB$3&gt;TODAY()),"",IF(AND(FE92="",FF92=""),"",N(FF92)-N(FE92)))</f>
        <v/>
      </c>
      <c r="FK92">
        <f>IF(OR(FI$3="",FI$3&gt;TODAY()),"",IF(AND(FI92="",FJ92=""),"",N(FJ92)-N(FI92)))</f>
        <v/>
      </c>
      <c r="FN92">
        <f>IF(OR(FI$3="",FI$3&gt;TODAY()),"",IF(AND(FL92="",FM92=""),"",N(FM92)-N(FL92)))</f>
        <v/>
      </c>
      <c r="FR92">
        <f>IF(OR(FP$3="",FP$3&gt;TODAY()),"",IF(AND(FP92="",FQ92=""),"",N(FQ92)-N(FP92)))</f>
        <v/>
      </c>
      <c r="FU92">
        <f>IF(OR(FP$3="",FP$3&gt;TODAY()),"",IF(AND(FS92="",FT92=""),"",N(FT92)-N(FS92)))</f>
        <v/>
      </c>
      <c r="FY92">
        <f>IF(OR(FW$3="",FW$3&gt;TODAY()),"",IF(AND(FW92="",FX92=""),"",N(FX92)-N(FW92)))</f>
        <v/>
      </c>
      <c r="GB92">
        <f>IF(OR(FW$3="",FW$3&gt;TODAY()),"",IF(AND(FZ92="",GA92=""),"",N(GA92)-N(FZ92)))</f>
        <v/>
      </c>
      <c r="GF92">
        <f>IF(OR(GD$3="",GD$3&gt;TODAY()),"",IF(AND(GD92="",GE92=""),"",N(GE92)-N(GD92)))</f>
        <v/>
      </c>
      <c r="GI92">
        <f>IF(OR(GD$3="",GD$3&gt;TODAY()),"",IF(AND(GG92="",GH92=""),"",N(GH92)-N(GG92)))</f>
        <v/>
      </c>
      <c r="GM92">
        <f>IF(OR(GK$3="",GK$3&gt;TODAY()),"",IF(AND(GK92="",GL92=""),"",N(GL92)-N(GK92)))</f>
        <v/>
      </c>
      <c r="GP92">
        <f>IF(OR(GK$3="",GK$3&gt;TODAY()),"",IF(AND(GN92="",GO92=""),"",N(GO92)-N(GN92)))</f>
        <v/>
      </c>
      <c r="GT92">
        <f>IF(OR(GR$3="",GR$3&gt;TODAY()),"",IF(AND(GR92="",GS92=""),"",N(GS92)-N(GR92)))</f>
        <v/>
      </c>
      <c r="GW92">
        <f>IF(OR(GR$3="",GR$3&gt;TODAY()),"",IF(AND(GU92="",GV92=""),"",N(GV92)-N(GU92)))</f>
        <v/>
      </c>
      <c r="HA92">
        <f>IF(OR(GY$3="",GY$3&gt;TODAY()),"",IF(AND(GY92="",GZ92=""),"",N(GZ92)-N(GY92)))</f>
        <v/>
      </c>
      <c r="HD92">
        <f>IF(OR(GY$3="",GY$3&gt;TODAY()),"",IF(AND(HB92="",HC92=""),"",N(HC92)-N(HB92)))</f>
        <v/>
      </c>
      <c r="HH92">
        <f>IF(OR(HF$3="",HF$3&gt;TODAY()),"",IF(AND(HF92="",HG92=""),"",N(HG92)-N(HF92)))</f>
        <v/>
      </c>
      <c r="HK92">
        <f>IF(OR(HF$3="",HF$3&gt;TODAY()),"",IF(AND(HI92="",HJ92=""),"",N(HJ92)-N(HI92)))</f>
        <v/>
      </c>
      <c r="HO92">
        <f>IF(OR(HM$3="",HM$3&gt;TODAY()),"",IF(AND(HM92="",HN92=""),"",N(HN92)-N(HM92)))</f>
        <v/>
      </c>
      <c r="HR92">
        <f>IF(OR(HM$3="",HM$3&gt;TODAY()),"",IF(AND(HP92="",HQ92=""),"",N(HQ92)-N(HP92)))</f>
        <v/>
      </c>
      <c r="HV92">
        <f>IF(OR(HT$3="",HT$3&gt;TODAY()),"",IF(AND(HT92="",HU92=""),"",N(HU92)-N(HT92)))</f>
        <v/>
      </c>
      <c r="HY92">
        <f>IF(OR(HT$3="",HT$3&gt;TODAY()),"",IF(AND(HW92="",HX92=""),"",N(HX92)-N(HW92)))</f>
        <v/>
      </c>
      <c r="IC92">
        <f>IF(OR(IA$3="",IA$3&gt;TODAY()),"",IF(AND(IA92="",IB92=""),"",N(IB92)-N(IA92)))</f>
        <v/>
      </c>
      <c r="IF92">
        <f>IF(OR(IA$3="",IA$3&gt;TODAY()),"",IF(AND(ID92="",IE92=""),"",N(IE92)-N(ID92)))</f>
        <v/>
      </c>
      <c r="IJ92">
        <f>IF(OR(IH$3="",IH$3&gt;TODAY()),"",IF(AND(IH92="",II92=""),"",N(II92)-N(IH92)))</f>
        <v/>
      </c>
      <c r="IM92">
        <f>IF(OR(IH$3="",IH$3&gt;TODAY()),"",IF(AND(IK92="",IL92=""),"",N(IL92)-N(IK92)))</f>
        <v/>
      </c>
    </row>
    <row r="93">
      <c r="A93" s="21" t="n"/>
      <c r="B93" s="21" t="n"/>
      <c r="C93" s="21" t="n"/>
      <c r="D93" s="21" t="n"/>
      <c r="E93" s="21" t="n"/>
      <c r="F93" s="21" t="n"/>
      <c r="G93" s="21" t="n"/>
      <c r="H93" s="21" t="n"/>
      <c r="I93" s="22" t="n"/>
      <c r="J93" s="22" t="n"/>
      <c r="K93" s="23" t="n"/>
      <c r="L93" s="22" t="n"/>
      <c r="M93" s="22" t="n"/>
      <c r="N93" s="21" t="n"/>
      <c r="O93" s="23" t="n"/>
      <c r="P93" s="23" t="n"/>
      <c r="Q93" s="23" t="n"/>
      <c r="R93" s="23" t="n"/>
      <c r="S93" s="22" t="n"/>
      <c r="T93" s="23" t="n"/>
      <c r="U93" s="23" t="n"/>
      <c r="V93" s="24">
        <f>IF(J93&lt;&gt;"",J93,IF(I93&lt;&gt;"",I93,""))</f>
        <v/>
      </c>
      <c r="W93" s="25">
        <f>IF($E93="","",N(O93)+SUMIFS($AF93:$IN93,$AF$4:$IN$4,"SEW_ACT"))</f>
        <v/>
      </c>
      <c r="X93" s="25">
        <f>IF($E93="","",N(P93)+SUMIFS($AF93:$IN93,$AF$4:$IN$4,"WASH_ACT"))</f>
        <v/>
      </c>
      <c r="Y93" s="25">
        <f>IF($E93="","",W93-X93-N(T93)-N(U93))</f>
        <v/>
      </c>
      <c r="Z93" s="25">
        <f>IF($E93="","",IF(N(K93)-X93&lt;=0.02*N(K93),0,N(K93)-X93))</f>
        <v/>
      </c>
      <c r="AA93" s="24">
        <f>IF($E93="","",IF(S93&lt;&gt;"",S93,IF(N(O93)&gt;0,IF(L93&lt;&gt;"",L93,99999),IFERROR(1/(1/_xlfn.MINIFS($AF$3:$IN$3,$AF$4:$IN$4,"SEW_ACT",$AF93:$IN93,"&gt;0")),99999))))</f>
        <v/>
      </c>
      <c r="AB93" s="26">
        <f>IF(OR($E93="",Z93=0,V93=""),"",1+COUNTIFS(Z$8:Z$707,"&gt;0",V$8:V$707,"&lt;"&amp;V93)+COUNTIFS(Z$8:Z$707,"&gt;0",V$8:V$707,V93,AA$8:AA$707,"&lt;"&amp;AA93)+COUNTIFS(Z$8:Z$707,"&gt;0",V$8:V$707,V93,AA$8:AA$707,AA93,E$8:E$707,"&lt;"&amp;$E93))</f>
        <v/>
      </c>
      <c r="AC93" s="24">
        <f>IF(OR($E93="",Z93=0),"",IFERROR(TODAY()+ROUNDUP(Z93/(SUMIFS($AF93:$IN93,$AF$4:$IN$4,"WASH_ACT")/COUNTIFS($AF$4:$IN$4,"WASH_ACT",$AF93:$IN93,"&gt;0")),0),"no output yet"))</f>
        <v/>
      </c>
      <c r="AD93" s="26">
        <f>IF($E93="","",IFERROR(ROUND(MAX(0,SUMIFS($AF93:$IN93,$AF$4:$IN$4,"SEW_PLAN",$AF$3:$IN$3,"&lt;="&amp;TODAY())-SUMIFS($AF93:$IN93,$AF$4:$IN$4,"SEW_ACT",$AF$3:$IN$3,"&lt;="&amp;TODAY())+N(Q93))/(SUMIFS($AF93:$IN93,$AF$4:$IN$4,"SEW_PLAN")/COUNTIFS($AF$4:$IN$4,"SEW_PLAN",$AF93:$IN93,"&gt;0")),1),0))</f>
        <v/>
      </c>
      <c r="AE93" s="26">
        <f>IF($E93="","",IF(AND(Z93&gt;0,OR(AND(M93&lt;&gt;"",TODAY()&gt;M93),AND(V93&lt;&gt;"",V93-TODAY()&lt;=7))),"Yes","No"))</f>
        <v/>
      </c>
      <c r="AH93">
        <f>IF(OR(AF$3="",AF$3&gt;TODAY()),"",IF(AND(AF93="",AG93=""),"",N(AG93)-N(AF93)))</f>
        <v/>
      </c>
      <c r="AK93">
        <f>IF(OR(AF$3="",AF$3&gt;TODAY()),"",IF(AND(AI93="",AJ93=""),"",N(AJ93)-N(AI93)))</f>
        <v/>
      </c>
      <c r="AO93">
        <f>IF(OR(AM$3="",AM$3&gt;TODAY()),"",IF(AND(AM93="",AN93=""),"",N(AN93)-N(AM93)))</f>
        <v/>
      </c>
      <c r="AR93">
        <f>IF(OR(AM$3="",AM$3&gt;TODAY()),"",IF(AND(AP93="",AQ93=""),"",N(AQ93)-N(AP93)))</f>
        <v/>
      </c>
      <c r="AV93">
        <f>IF(OR(AT$3="",AT$3&gt;TODAY()),"",IF(AND(AT93="",AU93=""),"",N(AU93)-N(AT93)))</f>
        <v/>
      </c>
      <c r="AY93">
        <f>IF(OR(AT$3="",AT$3&gt;TODAY()),"",IF(AND(AW93="",AX93=""),"",N(AX93)-N(AW93)))</f>
        <v/>
      </c>
      <c r="BC93">
        <f>IF(OR(BA$3="",BA$3&gt;TODAY()),"",IF(AND(BA93="",BB93=""),"",N(BB93)-N(BA93)))</f>
        <v/>
      </c>
      <c r="BF93">
        <f>IF(OR(BA$3="",BA$3&gt;TODAY()),"",IF(AND(BD93="",BE93=""),"",N(BE93)-N(BD93)))</f>
        <v/>
      </c>
      <c r="BJ93">
        <f>IF(OR(BH$3="",BH$3&gt;TODAY()),"",IF(AND(BH93="",BI93=""),"",N(BI93)-N(BH93)))</f>
        <v/>
      </c>
      <c r="BM93">
        <f>IF(OR(BH$3="",BH$3&gt;TODAY()),"",IF(AND(BK93="",BL93=""),"",N(BL93)-N(BK93)))</f>
        <v/>
      </c>
      <c r="BQ93">
        <f>IF(OR(BO$3="",BO$3&gt;TODAY()),"",IF(AND(BO93="",BP93=""),"",N(BP93)-N(BO93)))</f>
        <v/>
      </c>
      <c r="BT93">
        <f>IF(OR(BO$3="",BO$3&gt;TODAY()),"",IF(AND(BR93="",BS93=""),"",N(BS93)-N(BR93)))</f>
        <v/>
      </c>
      <c r="BX93">
        <f>IF(OR(BV$3="",BV$3&gt;TODAY()),"",IF(AND(BV93="",BW93=""),"",N(BW93)-N(BV93)))</f>
        <v/>
      </c>
      <c r="CA93">
        <f>IF(OR(BV$3="",BV$3&gt;TODAY()),"",IF(AND(BY93="",BZ93=""),"",N(BZ93)-N(BY93)))</f>
        <v/>
      </c>
      <c r="CE93">
        <f>IF(OR(CC$3="",CC$3&gt;TODAY()),"",IF(AND(CC93="",CD93=""),"",N(CD93)-N(CC93)))</f>
        <v/>
      </c>
      <c r="CH93">
        <f>IF(OR(CC$3="",CC$3&gt;TODAY()),"",IF(AND(CF93="",CG93=""),"",N(CG93)-N(CF93)))</f>
        <v/>
      </c>
      <c r="CL93">
        <f>IF(OR(CJ$3="",CJ$3&gt;TODAY()),"",IF(AND(CJ93="",CK93=""),"",N(CK93)-N(CJ93)))</f>
        <v/>
      </c>
      <c r="CO93">
        <f>IF(OR(CJ$3="",CJ$3&gt;TODAY()),"",IF(AND(CM93="",CN93=""),"",N(CN93)-N(CM93)))</f>
        <v/>
      </c>
      <c r="CS93">
        <f>IF(OR(CQ$3="",CQ$3&gt;TODAY()),"",IF(AND(CQ93="",CR93=""),"",N(CR93)-N(CQ93)))</f>
        <v/>
      </c>
      <c r="CV93">
        <f>IF(OR(CQ$3="",CQ$3&gt;TODAY()),"",IF(AND(CT93="",CU93=""),"",N(CU93)-N(CT93)))</f>
        <v/>
      </c>
      <c r="CZ93">
        <f>IF(OR(CX$3="",CX$3&gt;TODAY()),"",IF(AND(CX93="",CY93=""),"",N(CY93)-N(CX93)))</f>
        <v/>
      </c>
      <c r="DC93">
        <f>IF(OR(CX$3="",CX$3&gt;TODAY()),"",IF(AND(DA93="",DB93=""),"",N(DB93)-N(DA93)))</f>
        <v/>
      </c>
      <c r="DG93">
        <f>IF(OR(DE$3="",DE$3&gt;TODAY()),"",IF(AND(DE93="",DF93=""),"",N(DF93)-N(DE93)))</f>
        <v/>
      </c>
      <c r="DJ93">
        <f>IF(OR(DE$3="",DE$3&gt;TODAY()),"",IF(AND(DH93="",DI93=""),"",N(DI93)-N(DH93)))</f>
        <v/>
      </c>
      <c r="DN93">
        <f>IF(OR(DL$3="",DL$3&gt;TODAY()),"",IF(AND(DL93="",DM93=""),"",N(DM93)-N(DL93)))</f>
        <v/>
      </c>
      <c r="DQ93">
        <f>IF(OR(DL$3="",DL$3&gt;TODAY()),"",IF(AND(DO93="",DP93=""),"",N(DP93)-N(DO93)))</f>
        <v/>
      </c>
      <c r="DU93">
        <f>IF(OR(DS$3="",DS$3&gt;TODAY()),"",IF(AND(DS93="",DT93=""),"",N(DT93)-N(DS93)))</f>
        <v/>
      </c>
      <c r="DX93">
        <f>IF(OR(DS$3="",DS$3&gt;TODAY()),"",IF(AND(DV93="",DW93=""),"",N(DW93)-N(DV93)))</f>
        <v/>
      </c>
      <c r="EB93">
        <f>IF(OR(DZ$3="",DZ$3&gt;TODAY()),"",IF(AND(DZ93="",EA93=""),"",N(EA93)-N(DZ93)))</f>
        <v/>
      </c>
      <c r="EE93">
        <f>IF(OR(DZ$3="",DZ$3&gt;TODAY()),"",IF(AND(EC93="",ED93=""),"",N(ED93)-N(EC93)))</f>
        <v/>
      </c>
      <c r="EI93">
        <f>IF(OR(EG$3="",EG$3&gt;TODAY()),"",IF(AND(EG93="",EH93=""),"",N(EH93)-N(EG93)))</f>
        <v/>
      </c>
      <c r="EL93">
        <f>IF(OR(EG$3="",EG$3&gt;TODAY()),"",IF(AND(EJ93="",EK93=""),"",N(EK93)-N(EJ93)))</f>
        <v/>
      </c>
      <c r="EP93">
        <f>IF(OR(EN$3="",EN$3&gt;TODAY()),"",IF(AND(EN93="",EO93=""),"",N(EO93)-N(EN93)))</f>
        <v/>
      </c>
      <c r="ES93">
        <f>IF(OR(EN$3="",EN$3&gt;TODAY()),"",IF(AND(EQ93="",ER93=""),"",N(ER93)-N(EQ93)))</f>
        <v/>
      </c>
      <c r="EW93">
        <f>IF(OR(EU$3="",EU$3&gt;TODAY()),"",IF(AND(EU93="",EV93=""),"",N(EV93)-N(EU93)))</f>
        <v/>
      </c>
      <c r="EZ93">
        <f>IF(OR(EU$3="",EU$3&gt;TODAY()),"",IF(AND(EX93="",EY93=""),"",N(EY93)-N(EX93)))</f>
        <v/>
      </c>
      <c r="FD93">
        <f>IF(OR(FB$3="",FB$3&gt;TODAY()),"",IF(AND(FB93="",FC93=""),"",N(FC93)-N(FB93)))</f>
        <v/>
      </c>
      <c r="FG93">
        <f>IF(OR(FB$3="",FB$3&gt;TODAY()),"",IF(AND(FE93="",FF93=""),"",N(FF93)-N(FE93)))</f>
        <v/>
      </c>
      <c r="FK93">
        <f>IF(OR(FI$3="",FI$3&gt;TODAY()),"",IF(AND(FI93="",FJ93=""),"",N(FJ93)-N(FI93)))</f>
        <v/>
      </c>
      <c r="FN93">
        <f>IF(OR(FI$3="",FI$3&gt;TODAY()),"",IF(AND(FL93="",FM93=""),"",N(FM93)-N(FL93)))</f>
        <v/>
      </c>
      <c r="FR93">
        <f>IF(OR(FP$3="",FP$3&gt;TODAY()),"",IF(AND(FP93="",FQ93=""),"",N(FQ93)-N(FP93)))</f>
        <v/>
      </c>
      <c r="FU93">
        <f>IF(OR(FP$3="",FP$3&gt;TODAY()),"",IF(AND(FS93="",FT93=""),"",N(FT93)-N(FS93)))</f>
        <v/>
      </c>
      <c r="FY93">
        <f>IF(OR(FW$3="",FW$3&gt;TODAY()),"",IF(AND(FW93="",FX93=""),"",N(FX93)-N(FW93)))</f>
        <v/>
      </c>
      <c r="GB93">
        <f>IF(OR(FW$3="",FW$3&gt;TODAY()),"",IF(AND(FZ93="",GA93=""),"",N(GA93)-N(FZ93)))</f>
        <v/>
      </c>
      <c r="GF93">
        <f>IF(OR(GD$3="",GD$3&gt;TODAY()),"",IF(AND(GD93="",GE93=""),"",N(GE93)-N(GD93)))</f>
        <v/>
      </c>
      <c r="GI93">
        <f>IF(OR(GD$3="",GD$3&gt;TODAY()),"",IF(AND(GG93="",GH93=""),"",N(GH93)-N(GG93)))</f>
        <v/>
      </c>
      <c r="GM93">
        <f>IF(OR(GK$3="",GK$3&gt;TODAY()),"",IF(AND(GK93="",GL93=""),"",N(GL93)-N(GK93)))</f>
        <v/>
      </c>
      <c r="GP93">
        <f>IF(OR(GK$3="",GK$3&gt;TODAY()),"",IF(AND(GN93="",GO93=""),"",N(GO93)-N(GN93)))</f>
        <v/>
      </c>
      <c r="GT93">
        <f>IF(OR(GR$3="",GR$3&gt;TODAY()),"",IF(AND(GR93="",GS93=""),"",N(GS93)-N(GR93)))</f>
        <v/>
      </c>
      <c r="GW93">
        <f>IF(OR(GR$3="",GR$3&gt;TODAY()),"",IF(AND(GU93="",GV93=""),"",N(GV93)-N(GU93)))</f>
        <v/>
      </c>
      <c r="HA93">
        <f>IF(OR(GY$3="",GY$3&gt;TODAY()),"",IF(AND(GY93="",GZ93=""),"",N(GZ93)-N(GY93)))</f>
        <v/>
      </c>
      <c r="HD93">
        <f>IF(OR(GY$3="",GY$3&gt;TODAY()),"",IF(AND(HB93="",HC93=""),"",N(HC93)-N(HB93)))</f>
        <v/>
      </c>
      <c r="HH93">
        <f>IF(OR(HF$3="",HF$3&gt;TODAY()),"",IF(AND(HF93="",HG93=""),"",N(HG93)-N(HF93)))</f>
        <v/>
      </c>
      <c r="HK93">
        <f>IF(OR(HF$3="",HF$3&gt;TODAY()),"",IF(AND(HI93="",HJ93=""),"",N(HJ93)-N(HI93)))</f>
        <v/>
      </c>
      <c r="HO93">
        <f>IF(OR(HM$3="",HM$3&gt;TODAY()),"",IF(AND(HM93="",HN93=""),"",N(HN93)-N(HM93)))</f>
        <v/>
      </c>
      <c r="HR93">
        <f>IF(OR(HM$3="",HM$3&gt;TODAY()),"",IF(AND(HP93="",HQ93=""),"",N(HQ93)-N(HP93)))</f>
        <v/>
      </c>
      <c r="HV93">
        <f>IF(OR(HT$3="",HT$3&gt;TODAY()),"",IF(AND(HT93="",HU93=""),"",N(HU93)-N(HT93)))</f>
        <v/>
      </c>
      <c r="HY93">
        <f>IF(OR(HT$3="",HT$3&gt;TODAY()),"",IF(AND(HW93="",HX93=""),"",N(HX93)-N(HW93)))</f>
        <v/>
      </c>
      <c r="IC93">
        <f>IF(OR(IA$3="",IA$3&gt;TODAY()),"",IF(AND(IA93="",IB93=""),"",N(IB93)-N(IA93)))</f>
        <v/>
      </c>
      <c r="IF93">
        <f>IF(OR(IA$3="",IA$3&gt;TODAY()),"",IF(AND(ID93="",IE93=""),"",N(IE93)-N(ID93)))</f>
        <v/>
      </c>
      <c r="IJ93">
        <f>IF(OR(IH$3="",IH$3&gt;TODAY()),"",IF(AND(IH93="",II93=""),"",N(II93)-N(IH93)))</f>
        <v/>
      </c>
      <c r="IM93">
        <f>IF(OR(IH$3="",IH$3&gt;TODAY()),"",IF(AND(IK93="",IL93=""),"",N(IL93)-N(IK93)))</f>
        <v/>
      </c>
    </row>
    <row r="94">
      <c r="A94" s="21" t="n"/>
      <c r="B94" s="21" t="n"/>
      <c r="C94" s="21" t="n"/>
      <c r="D94" s="21" t="n"/>
      <c r="E94" s="21" t="n"/>
      <c r="F94" s="21" t="n"/>
      <c r="G94" s="21" t="n"/>
      <c r="H94" s="21" t="n"/>
      <c r="I94" s="22" t="n"/>
      <c r="J94" s="22" t="n"/>
      <c r="K94" s="23" t="n"/>
      <c r="L94" s="22" t="n"/>
      <c r="M94" s="22" t="n"/>
      <c r="N94" s="21" t="n"/>
      <c r="O94" s="23" t="n"/>
      <c r="P94" s="23" t="n"/>
      <c r="Q94" s="23" t="n"/>
      <c r="R94" s="23" t="n"/>
      <c r="S94" s="22" t="n"/>
      <c r="T94" s="23" t="n"/>
      <c r="U94" s="23" t="n"/>
      <c r="V94" s="24">
        <f>IF(J94&lt;&gt;"",J94,IF(I94&lt;&gt;"",I94,""))</f>
        <v/>
      </c>
      <c r="W94" s="25">
        <f>IF($E94="","",N(O94)+SUMIFS($AF94:$IN94,$AF$4:$IN$4,"SEW_ACT"))</f>
        <v/>
      </c>
      <c r="X94" s="25">
        <f>IF($E94="","",N(P94)+SUMIFS($AF94:$IN94,$AF$4:$IN$4,"WASH_ACT"))</f>
        <v/>
      </c>
      <c r="Y94" s="25">
        <f>IF($E94="","",W94-X94-N(T94)-N(U94))</f>
        <v/>
      </c>
      <c r="Z94" s="25">
        <f>IF($E94="","",IF(N(K94)-X94&lt;=0.02*N(K94),0,N(K94)-X94))</f>
        <v/>
      </c>
      <c r="AA94" s="24">
        <f>IF($E94="","",IF(S94&lt;&gt;"",S94,IF(N(O94)&gt;0,IF(L94&lt;&gt;"",L94,99999),IFERROR(1/(1/_xlfn.MINIFS($AF$3:$IN$3,$AF$4:$IN$4,"SEW_ACT",$AF94:$IN94,"&gt;0")),99999))))</f>
        <v/>
      </c>
      <c r="AB94" s="26">
        <f>IF(OR($E94="",Z94=0,V94=""),"",1+COUNTIFS(Z$8:Z$707,"&gt;0",V$8:V$707,"&lt;"&amp;V94)+COUNTIFS(Z$8:Z$707,"&gt;0",V$8:V$707,V94,AA$8:AA$707,"&lt;"&amp;AA94)+COUNTIFS(Z$8:Z$707,"&gt;0",V$8:V$707,V94,AA$8:AA$707,AA94,E$8:E$707,"&lt;"&amp;$E94))</f>
        <v/>
      </c>
      <c r="AC94" s="24">
        <f>IF(OR($E94="",Z94=0),"",IFERROR(TODAY()+ROUNDUP(Z94/(SUMIFS($AF94:$IN94,$AF$4:$IN$4,"WASH_ACT")/COUNTIFS($AF$4:$IN$4,"WASH_ACT",$AF94:$IN94,"&gt;0")),0),"no output yet"))</f>
        <v/>
      </c>
      <c r="AD94" s="26">
        <f>IF($E94="","",IFERROR(ROUND(MAX(0,SUMIFS($AF94:$IN94,$AF$4:$IN$4,"SEW_PLAN",$AF$3:$IN$3,"&lt;="&amp;TODAY())-SUMIFS($AF94:$IN94,$AF$4:$IN$4,"SEW_ACT",$AF$3:$IN$3,"&lt;="&amp;TODAY())+N(Q94))/(SUMIFS($AF94:$IN94,$AF$4:$IN$4,"SEW_PLAN")/COUNTIFS($AF$4:$IN$4,"SEW_PLAN",$AF94:$IN94,"&gt;0")),1),0))</f>
        <v/>
      </c>
      <c r="AE94" s="26">
        <f>IF($E94="","",IF(AND(Z94&gt;0,OR(AND(M94&lt;&gt;"",TODAY()&gt;M94),AND(V94&lt;&gt;"",V94-TODAY()&lt;=7))),"Yes","No"))</f>
        <v/>
      </c>
      <c r="AH94">
        <f>IF(OR(AF$3="",AF$3&gt;TODAY()),"",IF(AND(AF94="",AG94=""),"",N(AG94)-N(AF94)))</f>
        <v/>
      </c>
      <c r="AK94">
        <f>IF(OR(AF$3="",AF$3&gt;TODAY()),"",IF(AND(AI94="",AJ94=""),"",N(AJ94)-N(AI94)))</f>
        <v/>
      </c>
      <c r="AO94">
        <f>IF(OR(AM$3="",AM$3&gt;TODAY()),"",IF(AND(AM94="",AN94=""),"",N(AN94)-N(AM94)))</f>
        <v/>
      </c>
      <c r="AR94">
        <f>IF(OR(AM$3="",AM$3&gt;TODAY()),"",IF(AND(AP94="",AQ94=""),"",N(AQ94)-N(AP94)))</f>
        <v/>
      </c>
      <c r="AV94">
        <f>IF(OR(AT$3="",AT$3&gt;TODAY()),"",IF(AND(AT94="",AU94=""),"",N(AU94)-N(AT94)))</f>
        <v/>
      </c>
      <c r="AY94">
        <f>IF(OR(AT$3="",AT$3&gt;TODAY()),"",IF(AND(AW94="",AX94=""),"",N(AX94)-N(AW94)))</f>
        <v/>
      </c>
      <c r="BC94">
        <f>IF(OR(BA$3="",BA$3&gt;TODAY()),"",IF(AND(BA94="",BB94=""),"",N(BB94)-N(BA94)))</f>
        <v/>
      </c>
      <c r="BF94">
        <f>IF(OR(BA$3="",BA$3&gt;TODAY()),"",IF(AND(BD94="",BE94=""),"",N(BE94)-N(BD94)))</f>
        <v/>
      </c>
      <c r="BJ94">
        <f>IF(OR(BH$3="",BH$3&gt;TODAY()),"",IF(AND(BH94="",BI94=""),"",N(BI94)-N(BH94)))</f>
        <v/>
      </c>
      <c r="BM94">
        <f>IF(OR(BH$3="",BH$3&gt;TODAY()),"",IF(AND(BK94="",BL94=""),"",N(BL94)-N(BK94)))</f>
        <v/>
      </c>
      <c r="BQ94">
        <f>IF(OR(BO$3="",BO$3&gt;TODAY()),"",IF(AND(BO94="",BP94=""),"",N(BP94)-N(BO94)))</f>
        <v/>
      </c>
      <c r="BT94">
        <f>IF(OR(BO$3="",BO$3&gt;TODAY()),"",IF(AND(BR94="",BS94=""),"",N(BS94)-N(BR94)))</f>
        <v/>
      </c>
      <c r="BX94">
        <f>IF(OR(BV$3="",BV$3&gt;TODAY()),"",IF(AND(BV94="",BW94=""),"",N(BW94)-N(BV94)))</f>
        <v/>
      </c>
      <c r="CA94">
        <f>IF(OR(BV$3="",BV$3&gt;TODAY()),"",IF(AND(BY94="",BZ94=""),"",N(BZ94)-N(BY94)))</f>
        <v/>
      </c>
      <c r="CE94">
        <f>IF(OR(CC$3="",CC$3&gt;TODAY()),"",IF(AND(CC94="",CD94=""),"",N(CD94)-N(CC94)))</f>
        <v/>
      </c>
      <c r="CH94">
        <f>IF(OR(CC$3="",CC$3&gt;TODAY()),"",IF(AND(CF94="",CG94=""),"",N(CG94)-N(CF94)))</f>
        <v/>
      </c>
      <c r="CL94">
        <f>IF(OR(CJ$3="",CJ$3&gt;TODAY()),"",IF(AND(CJ94="",CK94=""),"",N(CK94)-N(CJ94)))</f>
        <v/>
      </c>
      <c r="CO94">
        <f>IF(OR(CJ$3="",CJ$3&gt;TODAY()),"",IF(AND(CM94="",CN94=""),"",N(CN94)-N(CM94)))</f>
        <v/>
      </c>
      <c r="CS94">
        <f>IF(OR(CQ$3="",CQ$3&gt;TODAY()),"",IF(AND(CQ94="",CR94=""),"",N(CR94)-N(CQ94)))</f>
        <v/>
      </c>
      <c r="CV94">
        <f>IF(OR(CQ$3="",CQ$3&gt;TODAY()),"",IF(AND(CT94="",CU94=""),"",N(CU94)-N(CT94)))</f>
        <v/>
      </c>
      <c r="CZ94">
        <f>IF(OR(CX$3="",CX$3&gt;TODAY()),"",IF(AND(CX94="",CY94=""),"",N(CY94)-N(CX94)))</f>
        <v/>
      </c>
      <c r="DC94">
        <f>IF(OR(CX$3="",CX$3&gt;TODAY()),"",IF(AND(DA94="",DB94=""),"",N(DB94)-N(DA94)))</f>
        <v/>
      </c>
      <c r="DG94">
        <f>IF(OR(DE$3="",DE$3&gt;TODAY()),"",IF(AND(DE94="",DF94=""),"",N(DF94)-N(DE94)))</f>
        <v/>
      </c>
      <c r="DJ94">
        <f>IF(OR(DE$3="",DE$3&gt;TODAY()),"",IF(AND(DH94="",DI94=""),"",N(DI94)-N(DH94)))</f>
        <v/>
      </c>
      <c r="DN94">
        <f>IF(OR(DL$3="",DL$3&gt;TODAY()),"",IF(AND(DL94="",DM94=""),"",N(DM94)-N(DL94)))</f>
        <v/>
      </c>
      <c r="DQ94">
        <f>IF(OR(DL$3="",DL$3&gt;TODAY()),"",IF(AND(DO94="",DP94=""),"",N(DP94)-N(DO94)))</f>
        <v/>
      </c>
      <c r="DU94">
        <f>IF(OR(DS$3="",DS$3&gt;TODAY()),"",IF(AND(DS94="",DT94=""),"",N(DT94)-N(DS94)))</f>
        <v/>
      </c>
      <c r="DX94">
        <f>IF(OR(DS$3="",DS$3&gt;TODAY()),"",IF(AND(DV94="",DW94=""),"",N(DW94)-N(DV94)))</f>
        <v/>
      </c>
      <c r="EB94">
        <f>IF(OR(DZ$3="",DZ$3&gt;TODAY()),"",IF(AND(DZ94="",EA94=""),"",N(EA94)-N(DZ94)))</f>
        <v/>
      </c>
      <c r="EE94">
        <f>IF(OR(DZ$3="",DZ$3&gt;TODAY()),"",IF(AND(EC94="",ED94=""),"",N(ED94)-N(EC94)))</f>
        <v/>
      </c>
      <c r="EI94">
        <f>IF(OR(EG$3="",EG$3&gt;TODAY()),"",IF(AND(EG94="",EH94=""),"",N(EH94)-N(EG94)))</f>
        <v/>
      </c>
      <c r="EL94">
        <f>IF(OR(EG$3="",EG$3&gt;TODAY()),"",IF(AND(EJ94="",EK94=""),"",N(EK94)-N(EJ94)))</f>
        <v/>
      </c>
      <c r="EP94">
        <f>IF(OR(EN$3="",EN$3&gt;TODAY()),"",IF(AND(EN94="",EO94=""),"",N(EO94)-N(EN94)))</f>
        <v/>
      </c>
      <c r="ES94">
        <f>IF(OR(EN$3="",EN$3&gt;TODAY()),"",IF(AND(EQ94="",ER94=""),"",N(ER94)-N(EQ94)))</f>
        <v/>
      </c>
      <c r="EW94">
        <f>IF(OR(EU$3="",EU$3&gt;TODAY()),"",IF(AND(EU94="",EV94=""),"",N(EV94)-N(EU94)))</f>
        <v/>
      </c>
      <c r="EZ94">
        <f>IF(OR(EU$3="",EU$3&gt;TODAY()),"",IF(AND(EX94="",EY94=""),"",N(EY94)-N(EX94)))</f>
        <v/>
      </c>
      <c r="FD94">
        <f>IF(OR(FB$3="",FB$3&gt;TODAY()),"",IF(AND(FB94="",FC94=""),"",N(FC94)-N(FB94)))</f>
        <v/>
      </c>
      <c r="FG94">
        <f>IF(OR(FB$3="",FB$3&gt;TODAY()),"",IF(AND(FE94="",FF94=""),"",N(FF94)-N(FE94)))</f>
        <v/>
      </c>
      <c r="FK94">
        <f>IF(OR(FI$3="",FI$3&gt;TODAY()),"",IF(AND(FI94="",FJ94=""),"",N(FJ94)-N(FI94)))</f>
        <v/>
      </c>
      <c r="FN94">
        <f>IF(OR(FI$3="",FI$3&gt;TODAY()),"",IF(AND(FL94="",FM94=""),"",N(FM94)-N(FL94)))</f>
        <v/>
      </c>
      <c r="FR94">
        <f>IF(OR(FP$3="",FP$3&gt;TODAY()),"",IF(AND(FP94="",FQ94=""),"",N(FQ94)-N(FP94)))</f>
        <v/>
      </c>
      <c r="FU94">
        <f>IF(OR(FP$3="",FP$3&gt;TODAY()),"",IF(AND(FS94="",FT94=""),"",N(FT94)-N(FS94)))</f>
        <v/>
      </c>
      <c r="FY94">
        <f>IF(OR(FW$3="",FW$3&gt;TODAY()),"",IF(AND(FW94="",FX94=""),"",N(FX94)-N(FW94)))</f>
        <v/>
      </c>
      <c r="GB94">
        <f>IF(OR(FW$3="",FW$3&gt;TODAY()),"",IF(AND(FZ94="",GA94=""),"",N(GA94)-N(FZ94)))</f>
        <v/>
      </c>
      <c r="GF94">
        <f>IF(OR(GD$3="",GD$3&gt;TODAY()),"",IF(AND(GD94="",GE94=""),"",N(GE94)-N(GD94)))</f>
        <v/>
      </c>
      <c r="GI94">
        <f>IF(OR(GD$3="",GD$3&gt;TODAY()),"",IF(AND(GG94="",GH94=""),"",N(GH94)-N(GG94)))</f>
        <v/>
      </c>
      <c r="GM94">
        <f>IF(OR(GK$3="",GK$3&gt;TODAY()),"",IF(AND(GK94="",GL94=""),"",N(GL94)-N(GK94)))</f>
        <v/>
      </c>
      <c r="GP94">
        <f>IF(OR(GK$3="",GK$3&gt;TODAY()),"",IF(AND(GN94="",GO94=""),"",N(GO94)-N(GN94)))</f>
        <v/>
      </c>
      <c r="GT94">
        <f>IF(OR(GR$3="",GR$3&gt;TODAY()),"",IF(AND(GR94="",GS94=""),"",N(GS94)-N(GR94)))</f>
        <v/>
      </c>
      <c r="GW94">
        <f>IF(OR(GR$3="",GR$3&gt;TODAY()),"",IF(AND(GU94="",GV94=""),"",N(GV94)-N(GU94)))</f>
        <v/>
      </c>
      <c r="HA94">
        <f>IF(OR(GY$3="",GY$3&gt;TODAY()),"",IF(AND(GY94="",GZ94=""),"",N(GZ94)-N(GY94)))</f>
        <v/>
      </c>
      <c r="HD94">
        <f>IF(OR(GY$3="",GY$3&gt;TODAY()),"",IF(AND(HB94="",HC94=""),"",N(HC94)-N(HB94)))</f>
        <v/>
      </c>
      <c r="HH94">
        <f>IF(OR(HF$3="",HF$3&gt;TODAY()),"",IF(AND(HF94="",HG94=""),"",N(HG94)-N(HF94)))</f>
        <v/>
      </c>
      <c r="HK94">
        <f>IF(OR(HF$3="",HF$3&gt;TODAY()),"",IF(AND(HI94="",HJ94=""),"",N(HJ94)-N(HI94)))</f>
        <v/>
      </c>
      <c r="HO94">
        <f>IF(OR(HM$3="",HM$3&gt;TODAY()),"",IF(AND(HM94="",HN94=""),"",N(HN94)-N(HM94)))</f>
        <v/>
      </c>
      <c r="HR94">
        <f>IF(OR(HM$3="",HM$3&gt;TODAY()),"",IF(AND(HP94="",HQ94=""),"",N(HQ94)-N(HP94)))</f>
        <v/>
      </c>
      <c r="HV94">
        <f>IF(OR(HT$3="",HT$3&gt;TODAY()),"",IF(AND(HT94="",HU94=""),"",N(HU94)-N(HT94)))</f>
        <v/>
      </c>
      <c r="HY94">
        <f>IF(OR(HT$3="",HT$3&gt;TODAY()),"",IF(AND(HW94="",HX94=""),"",N(HX94)-N(HW94)))</f>
        <v/>
      </c>
      <c r="IC94">
        <f>IF(OR(IA$3="",IA$3&gt;TODAY()),"",IF(AND(IA94="",IB94=""),"",N(IB94)-N(IA94)))</f>
        <v/>
      </c>
      <c r="IF94">
        <f>IF(OR(IA$3="",IA$3&gt;TODAY()),"",IF(AND(ID94="",IE94=""),"",N(IE94)-N(ID94)))</f>
        <v/>
      </c>
      <c r="IJ94">
        <f>IF(OR(IH$3="",IH$3&gt;TODAY()),"",IF(AND(IH94="",II94=""),"",N(II94)-N(IH94)))</f>
        <v/>
      </c>
      <c r="IM94">
        <f>IF(OR(IH$3="",IH$3&gt;TODAY()),"",IF(AND(IK94="",IL94=""),"",N(IL94)-N(IK94)))</f>
        <v/>
      </c>
    </row>
    <row r="95">
      <c r="A95" s="21" t="n"/>
      <c r="B95" s="21" t="n"/>
      <c r="C95" s="21" t="n"/>
      <c r="D95" s="21" t="n"/>
      <c r="E95" s="21" t="n"/>
      <c r="F95" s="21" t="n"/>
      <c r="G95" s="21" t="n"/>
      <c r="H95" s="21" t="n"/>
      <c r="I95" s="22" t="n"/>
      <c r="J95" s="22" t="n"/>
      <c r="K95" s="23" t="n"/>
      <c r="L95" s="22" t="n"/>
      <c r="M95" s="22" t="n"/>
      <c r="N95" s="21" t="n"/>
      <c r="O95" s="23" t="n"/>
      <c r="P95" s="23" t="n"/>
      <c r="Q95" s="23" t="n"/>
      <c r="R95" s="23" t="n"/>
      <c r="S95" s="22" t="n"/>
      <c r="T95" s="23" t="n"/>
      <c r="U95" s="23" t="n"/>
      <c r="V95" s="24">
        <f>IF(J95&lt;&gt;"",J95,IF(I95&lt;&gt;"",I95,""))</f>
        <v/>
      </c>
      <c r="W95" s="25">
        <f>IF($E95="","",N(O95)+SUMIFS($AF95:$IN95,$AF$4:$IN$4,"SEW_ACT"))</f>
        <v/>
      </c>
      <c r="X95" s="25">
        <f>IF($E95="","",N(P95)+SUMIFS($AF95:$IN95,$AF$4:$IN$4,"WASH_ACT"))</f>
        <v/>
      </c>
      <c r="Y95" s="25">
        <f>IF($E95="","",W95-X95-N(T95)-N(U95))</f>
        <v/>
      </c>
      <c r="Z95" s="25">
        <f>IF($E95="","",IF(N(K95)-X95&lt;=0.02*N(K95),0,N(K95)-X95))</f>
        <v/>
      </c>
      <c r="AA95" s="24">
        <f>IF($E95="","",IF(S95&lt;&gt;"",S95,IF(N(O95)&gt;0,IF(L95&lt;&gt;"",L95,99999),IFERROR(1/(1/_xlfn.MINIFS($AF$3:$IN$3,$AF$4:$IN$4,"SEW_ACT",$AF95:$IN95,"&gt;0")),99999))))</f>
        <v/>
      </c>
      <c r="AB95" s="26">
        <f>IF(OR($E95="",Z95=0,V95=""),"",1+COUNTIFS(Z$8:Z$707,"&gt;0",V$8:V$707,"&lt;"&amp;V95)+COUNTIFS(Z$8:Z$707,"&gt;0",V$8:V$707,V95,AA$8:AA$707,"&lt;"&amp;AA95)+COUNTIFS(Z$8:Z$707,"&gt;0",V$8:V$707,V95,AA$8:AA$707,AA95,E$8:E$707,"&lt;"&amp;$E95))</f>
        <v/>
      </c>
      <c r="AC95" s="24">
        <f>IF(OR($E95="",Z95=0),"",IFERROR(TODAY()+ROUNDUP(Z95/(SUMIFS($AF95:$IN95,$AF$4:$IN$4,"WASH_ACT")/COUNTIFS($AF$4:$IN$4,"WASH_ACT",$AF95:$IN95,"&gt;0")),0),"no output yet"))</f>
        <v/>
      </c>
      <c r="AD95" s="26">
        <f>IF($E95="","",IFERROR(ROUND(MAX(0,SUMIFS($AF95:$IN95,$AF$4:$IN$4,"SEW_PLAN",$AF$3:$IN$3,"&lt;="&amp;TODAY())-SUMIFS($AF95:$IN95,$AF$4:$IN$4,"SEW_ACT",$AF$3:$IN$3,"&lt;="&amp;TODAY())+N(Q95))/(SUMIFS($AF95:$IN95,$AF$4:$IN$4,"SEW_PLAN")/COUNTIFS($AF$4:$IN$4,"SEW_PLAN",$AF95:$IN95,"&gt;0")),1),0))</f>
        <v/>
      </c>
      <c r="AE95" s="26">
        <f>IF($E95="","",IF(AND(Z95&gt;0,OR(AND(M95&lt;&gt;"",TODAY()&gt;M95),AND(V95&lt;&gt;"",V95-TODAY()&lt;=7))),"Yes","No"))</f>
        <v/>
      </c>
      <c r="AH95">
        <f>IF(OR(AF$3="",AF$3&gt;TODAY()),"",IF(AND(AF95="",AG95=""),"",N(AG95)-N(AF95)))</f>
        <v/>
      </c>
      <c r="AK95">
        <f>IF(OR(AF$3="",AF$3&gt;TODAY()),"",IF(AND(AI95="",AJ95=""),"",N(AJ95)-N(AI95)))</f>
        <v/>
      </c>
      <c r="AO95">
        <f>IF(OR(AM$3="",AM$3&gt;TODAY()),"",IF(AND(AM95="",AN95=""),"",N(AN95)-N(AM95)))</f>
        <v/>
      </c>
      <c r="AR95">
        <f>IF(OR(AM$3="",AM$3&gt;TODAY()),"",IF(AND(AP95="",AQ95=""),"",N(AQ95)-N(AP95)))</f>
        <v/>
      </c>
      <c r="AV95">
        <f>IF(OR(AT$3="",AT$3&gt;TODAY()),"",IF(AND(AT95="",AU95=""),"",N(AU95)-N(AT95)))</f>
        <v/>
      </c>
      <c r="AY95">
        <f>IF(OR(AT$3="",AT$3&gt;TODAY()),"",IF(AND(AW95="",AX95=""),"",N(AX95)-N(AW95)))</f>
        <v/>
      </c>
      <c r="BC95">
        <f>IF(OR(BA$3="",BA$3&gt;TODAY()),"",IF(AND(BA95="",BB95=""),"",N(BB95)-N(BA95)))</f>
        <v/>
      </c>
      <c r="BF95">
        <f>IF(OR(BA$3="",BA$3&gt;TODAY()),"",IF(AND(BD95="",BE95=""),"",N(BE95)-N(BD95)))</f>
        <v/>
      </c>
      <c r="BJ95">
        <f>IF(OR(BH$3="",BH$3&gt;TODAY()),"",IF(AND(BH95="",BI95=""),"",N(BI95)-N(BH95)))</f>
        <v/>
      </c>
      <c r="BM95">
        <f>IF(OR(BH$3="",BH$3&gt;TODAY()),"",IF(AND(BK95="",BL95=""),"",N(BL95)-N(BK95)))</f>
        <v/>
      </c>
      <c r="BQ95">
        <f>IF(OR(BO$3="",BO$3&gt;TODAY()),"",IF(AND(BO95="",BP95=""),"",N(BP95)-N(BO95)))</f>
        <v/>
      </c>
      <c r="BT95">
        <f>IF(OR(BO$3="",BO$3&gt;TODAY()),"",IF(AND(BR95="",BS95=""),"",N(BS95)-N(BR95)))</f>
        <v/>
      </c>
      <c r="BX95">
        <f>IF(OR(BV$3="",BV$3&gt;TODAY()),"",IF(AND(BV95="",BW95=""),"",N(BW95)-N(BV95)))</f>
        <v/>
      </c>
      <c r="CA95">
        <f>IF(OR(BV$3="",BV$3&gt;TODAY()),"",IF(AND(BY95="",BZ95=""),"",N(BZ95)-N(BY95)))</f>
        <v/>
      </c>
      <c r="CE95">
        <f>IF(OR(CC$3="",CC$3&gt;TODAY()),"",IF(AND(CC95="",CD95=""),"",N(CD95)-N(CC95)))</f>
        <v/>
      </c>
      <c r="CH95">
        <f>IF(OR(CC$3="",CC$3&gt;TODAY()),"",IF(AND(CF95="",CG95=""),"",N(CG95)-N(CF95)))</f>
        <v/>
      </c>
      <c r="CL95">
        <f>IF(OR(CJ$3="",CJ$3&gt;TODAY()),"",IF(AND(CJ95="",CK95=""),"",N(CK95)-N(CJ95)))</f>
        <v/>
      </c>
      <c r="CO95">
        <f>IF(OR(CJ$3="",CJ$3&gt;TODAY()),"",IF(AND(CM95="",CN95=""),"",N(CN95)-N(CM95)))</f>
        <v/>
      </c>
      <c r="CS95">
        <f>IF(OR(CQ$3="",CQ$3&gt;TODAY()),"",IF(AND(CQ95="",CR95=""),"",N(CR95)-N(CQ95)))</f>
        <v/>
      </c>
      <c r="CV95">
        <f>IF(OR(CQ$3="",CQ$3&gt;TODAY()),"",IF(AND(CT95="",CU95=""),"",N(CU95)-N(CT95)))</f>
        <v/>
      </c>
      <c r="CZ95">
        <f>IF(OR(CX$3="",CX$3&gt;TODAY()),"",IF(AND(CX95="",CY95=""),"",N(CY95)-N(CX95)))</f>
        <v/>
      </c>
      <c r="DC95">
        <f>IF(OR(CX$3="",CX$3&gt;TODAY()),"",IF(AND(DA95="",DB95=""),"",N(DB95)-N(DA95)))</f>
        <v/>
      </c>
      <c r="DG95">
        <f>IF(OR(DE$3="",DE$3&gt;TODAY()),"",IF(AND(DE95="",DF95=""),"",N(DF95)-N(DE95)))</f>
        <v/>
      </c>
      <c r="DJ95">
        <f>IF(OR(DE$3="",DE$3&gt;TODAY()),"",IF(AND(DH95="",DI95=""),"",N(DI95)-N(DH95)))</f>
        <v/>
      </c>
      <c r="DN95">
        <f>IF(OR(DL$3="",DL$3&gt;TODAY()),"",IF(AND(DL95="",DM95=""),"",N(DM95)-N(DL95)))</f>
        <v/>
      </c>
      <c r="DQ95">
        <f>IF(OR(DL$3="",DL$3&gt;TODAY()),"",IF(AND(DO95="",DP95=""),"",N(DP95)-N(DO95)))</f>
        <v/>
      </c>
      <c r="DU95">
        <f>IF(OR(DS$3="",DS$3&gt;TODAY()),"",IF(AND(DS95="",DT95=""),"",N(DT95)-N(DS95)))</f>
        <v/>
      </c>
      <c r="DX95">
        <f>IF(OR(DS$3="",DS$3&gt;TODAY()),"",IF(AND(DV95="",DW95=""),"",N(DW95)-N(DV95)))</f>
        <v/>
      </c>
      <c r="EB95">
        <f>IF(OR(DZ$3="",DZ$3&gt;TODAY()),"",IF(AND(DZ95="",EA95=""),"",N(EA95)-N(DZ95)))</f>
        <v/>
      </c>
      <c r="EE95">
        <f>IF(OR(DZ$3="",DZ$3&gt;TODAY()),"",IF(AND(EC95="",ED95=""),"",N(ED95)-N(EC95)))</f>
        <v/>
      </c>
      <c r="EI95">
        <f>IF(OR(EG$3="",EG$3&gt;TODAY()),"",IF(AND(EG95="",EH95=""),"",N(EH95)-N(EG95)))</f>
        <v/>
      </c>
      <c r="EL95">
        <f>IF(OR(EG$3="",EG$3&gt;TODAY()),"",IF(AND(EJ95="",EK95=""),"",N(EK95)-N(EJ95)))</f>
        <v/>
      </c>
      <c r="EP95">
        <f>IF(OR(EN$3="",EN$3&gt;TODAY()),"",IF(AND(EN95="",EO95=""),"",N(EO95)-N(EN95)))</f>
        <v/>
      </c>
      <c r="ES95">
        <f>IF(OR(EN$3="",EN$3&gt;TODAY()),"",IF(AND(EQ95="",ER95=""),"",N(ER95)-N(EQ95)))</f>
        <v/>
      </c>
      <c r="EW95">
        <f>IF(OR(EU$3="",EU$3&gt;TODAY()),"",IF(AND(EU95="",EV95=""),"",N(EV95)-N(EU95)))</f>
        <v/>
      </c>
      <c r="EZ95">
        <f>IF(OR(EU$3="",EU$3&gt;TODAY()),"",IF(AND(EX95="",EY95=""),"",N(EY95)-N(EX95)))</f>
        <v/>
      </c>
      <c r="FD95">
        <f>IF(OR(FB$3="",FB$3&gt;TODAY()),"",IF(AND(FB95="",FC95=""),"",N(FC95)-N(FB95)))</f>
        <v/>
      </c>
      <c r="FG95">
        <f>IF(OR(FB$3="",FB$3&gt;TODAY()),"",IF(AND(FE95="",FF95=""),"",N(FF95)-N(FE95)))</f>
        <v/>
      </c>
      <c r="FK95">
        <f>IF(OR(FI$3="",FI$3&gt;TODAY()),"",IF(AND(FI95="",FJ95=""),"",N(FJ95)-N(FI95)))</f>
        <v/>
      </c>
      <c r="FN95">
        <f>IF(OR(FI$3="",FI$3&gt;TODAY()),"",IF(AND(FL95="",FM95=""),"",N(FM95)-N(FL95)))</f>
        <v/>
      </c>
      <c r="FR95">
        <f>IF(OR(FP$3="",FP$3&gt;TODAY()),"",IF(AND(FP95="",FQ95=""),"",N(FQ95)-N(FP95)))</f>
        <v/>
      </c>
      <c r="FU95">
        <f>IF(OR(FP$3="",FP$3&gt;TODAY()),"",IF(AND(FS95="",FT95=""),"",N(FT95)-N(FS95)))</f>
        <v/>
      </c>
      <c r="FY95">
        <f>IF(OR(FW$3="",FW$3&gt;TODAY()),"",IF(AND(FW95="",FX95=""),"",N(FX95)-N(FW95)))</f>
        <v/>
      </c>
      <c r="GB95">
        <f>IF(OR(FW$3="",FW$3&gt;TODAY()),"",IF(AND(FZ95="",GA95=""),"",N(GA95)-N(FZ95)))</f>
        <v/>
      </c>
      <c r="GF95">
        <f>IF(OR(GD$3="",GD$3&gt;TODAY()),"",IF(AND(GD95="",GE95=""),"",N(GE95)-N(GD95)))</f>
        <v/>
      </c>
      <c r="GI95">
        <f>IF(OR(GD$3="",GD$3&gt;TODAY()),"",IF(AND(GG95="",GH95=""),"",N(GH95)-N(GG95)))</f>
        <v/>
      </c>
      <c r="GM95">
        <f>IF(OR(GK$3="",GK$3&gt;TODAY()),"",IF(AND(GK95="",GL95=""),"",N(GL95)-N(GK95)))</f>
        <v/>
      </c>
      <c r="GP95">
        <f>IF(OR(GK$3="",GK$3&gt;TODAY()),"",IF(AND(GN95="",GO95=""),"",N(GO95)-N(GN95)))</f>
        <v/>
      </c>
      <c r="GT95">
        <f>IF(OR(GR$3="",GR$3&gt;TODAY()),"",IF(AND(GR95="",GS95=""),"",N(GS95)-N(GR95)))</f>
        <v/>
      </c>
      <c r="GW95">
        <f>IF(OR(GR$3="",GR$3&gt;TODAY()),"",IF(AND(GU95="",GV95=""),"",N(GV95)-N(GU95)))</f>
        <v/>
      </c>
      <c r="HA95">
        <f>IF(OR(GY$3="",GY$3&gt;TODAY()),"",IF(AND(GY95="",GZ95=""),"",N(GZ95)-N(GY95)))</f>
        <v/>
      </c>
      <c r="HD95">
        <f>IF(OR(GY$3="",GY$3&gt;TODAY()),"",IF(AND(HB95="",HC95=""),"",N(HC95)-N(HB95)))</f>
        <v/>
      </c>
      <c r="HH95">
        <f>IF(OR(HF$3="",HF$3&gt;TODAY()),"",IF(AND(HF95="",HG95=""),"",N(HG95)-N(HF95)))</f>
        <v/>
      </c>
      <c r="HK95">
        <f>IF(OR(HF$3="",HF$3&gt;TODAY()),"",IF(AND(HI95="",HJ95=""),"",N(HJ95)-N(HI95)))</f>
        <v/>
      </c>
      <c r="HO95">
        <f>IF(OR(HM$3="",HM$3&gt;TODAY()),"",IF(AND(HM95="",HN95=""),"",N(HN95)-N(HM95)))</f>
        <v/>
      </c>
      <c r="HR95">
        <f>IF(OR(HM$3="",HM$3&gt;TODAY()),"",IF(AND(HP95="",HQ95=""),"",N(HQ95)-N(HP95)))</f>
        <v/>
      </c>
      <c r="HV95">
        <f>IF(OR(HT$3="",HT$3&gt;TODAY()),"",IF(AND(HT95="",HU95=""),"",N(HU95)-N(HT95)))</f>
        <v/>
      </c>
      <c r="HY95">
        <f>IF(OR(HT$3="",HT$3&gt;TODAY()),"",IF(AND(HW95="",HX95=""),"",N(HX95)-N(HW95)))</f>
        <v/>
      </c>
      <c r="IC95">
        <f>IF(OR(IA$3="",IA$3&gt;TODAY()),"",IF(AND(IA95="",IB95=""),"",N(IB95)-N(IA95)))</f>
        <v/>
      </c>
      <c r="IF95">
        <f>IF(OR(IA$3="",IA$3&gt;TODAY()),"",IF(AND(ID95="",IE95=""),"",N(IE95)-N(ID95)))</f>
        <v/>
      </c>
      <c r="IJ95">
        <f>IF(OR(IH$3="",IH$3&gt;TODAY()),"",IF(AND(IH95="",II95=""),"",N(II95)-N(IH95)))</f>
        <v/>
      </c>
      <c r="IM95">
        <f>IF(OR(IH$3="",IH$3&gt;TODAY()),"",IF(AND(IK95="",IL95=""),"",N(IL95)-N(IK95)))</f>
        <v/>
      </c>
    </row>
    <row r="96">
      <c r="A96" s="21" t="n"/>
      <c r="B96" s="21" t="n"/>
      <c r="C96" s="21" t="n"/>
      <c r="D96" s="21" t="n"/>
      <c r="E96" s="21" t="n"/>
      <c r="F96" s="21" t="n"/>
      <c r="G96" s="21" t="n"/>
      <c r="H96" s="21" t="n"/>
      <c r="I96" s="22" t="n"/>
      <c r="J96" s="22" t="n"/>
      <c r="K96" s="23" t="n"/>
      <c r="L96" s="22" t="n"/>
      <c r="M96" s="22" t="n"/>
      <c r="N96" s="21" t="n"/>
      <c r="O96" s="23" t="n"/>
      <c r="P96" s="23" t="n"/>
      <c r="Q96" s="23" t="n"/>
      <c r="R96" s="23" t="n"/>
      <c r="S96" s="22" t="n"/>
      <c r="T96" s="23" t="n"/>
      <c r="U96" s="23" t="n"/>
      <c r="V96" s="24">
        <f>IF(J96&lt;&gt;"",J96,IF(I96&lt;&gt;"",I96,""))</f>
        <v/>
      </c>
      <c r="W96" s="25">
        <f>IF($E96="","",N(O96)+SUMIFS($AF96:$IN96,$AF$4:$IN$4,"SEW_ACT"))</f>
        <v/>
      </c>
      <c r="X96" s="25">
        <f>IF($E96="","",N(P96)+SUMIFS($AF96:$IN96,$AF$4:$IN$4,"WASH_ACT"))</f>
        <v/>
      </c>
      <c r="Y96" s="25">
        <f>IF($E96="","",W96-X96-N(T96)-N(U96))</f>
        <v/>
      </c>
      <c r="Z96" s="25">
        <f>IF($E96="","",IF(N(K96)-X96&lt;=0.02*N(K96),0,N(K96)-X96))</f>
        <v/>
      </c>
      <c r="AA96" s="24">
        <f>IF($E96="","",IF(S96&lt;&gt;"",S96,IF(N(O96)&gt;0,IF(L96&lt;&gt;"",L96,99999),IFERROR(1/(1/_xlfn.MINIFS($AF$3:$IN$3,$AF$4:$IN$4,"SEW_ACT",$AF96:$IN96,"&gt;0")),99999))))</f>
        <v/>
      </c>
      <c r="AB96" s="26">
        <f>IF(OR($E96="",Z96=0,V96=""),"",1+COUNTIFS(Z$8:Z$707,"&gt;0",V$8:V$707,"&lt;"&amp;V96)+COUNTIFS(Z$8:Z$707,"&gt;0",V$8:V$707,V96,AA$8:AA$707,"&lt;"&amp;AA96)+COUNTIFS(Z$8:Z$707,"&gt;0",V$8:V$707,V96,AA$8:AA$707,AA96,E$8:E$707,"&lt;"&amp;$E96))</f>
        <v/>
      </c>
      <c r="AC96" s="24">
        <f>IF(OR($E96="",Z96=0),"",IFERROR(TODAY()+ROUNDUP(Z96/(SUMIFS($AF96:$IN96,$AF$4:$IN$4,"WASH_ACT")/COUNTIFS($AF$4:$IN$4,"WASH_ACT",$AF96:$IN96,"&gt;0")),0),"no output yet"))</f>
        <v/>
      </c>
      <c r="AD96" s="26">
        <f>IF($E96="","",IFERROR(ROUND(MAX(0,SUMIFS($AF96:$IN96,$AF$4:$IN$4,"SEW_PLAN",$AF$3:$IN$3,"&lt;="&amp;TODAY())-SUMIFS($AF96:$IN96,$AF$4:$IN$4,"SEW_ACT",$AF$3:$IN$3,"&lt;="&amp;TODAY())+N(Q96))/(SUMIFS($AF96:$IN96,$AF$4:$IN$4,"SEW_PLAN")/COUNTIFS($AF$4:$IN$4,"SEW_PLAN",$AF96:$IN96,"&gt;0")),1),0))</f>
        <v/>
      </c>
      <c r="AE96" s="26">
        <f>IF($E96="","",IF(AND(Z96&gt;0,OR(AND(M96&lt;&gt;"",TODAY()&gt;M96),AND(V96&lt;&gt;"",V96-TODAY()&lt;=7))),"Yes","No"))</f>
        <v/>
      </c>
      <c r="AH96">
        <f>IF(OR(AF$3="",AF$3&gt;TODAY()),"",IF(AND(AF96="",AG96=""),"",N(AG96)-N(AF96)))</f>
        <v/>
      </c>
      <c r="AK96">
        <f>IF(OR(AF$3="",AF$3&gt;TODAY()),"",IF(AND(AI96="",AJ96=""),"",N(AJ96)-N(AI96)))</f>
        <v/>
      </c>
      <c r="AO96">
        <f>IF(OR(AM$3="",AM$3&gt;TODAY()),"",IF(AND(AM96="",AN96=""),"",N(AN96)-N(AM96)))</f>
        <v/>
      </c>
      <c r="AR96">
        <f>IF(OR(AM$3="",AM$3&gt;TODAY()),"",IF(AND(AP96="",AQ96=""),"",N(AQ96)-N(AP96)))</f>
        <v/>
      </c>
      <c r="AV96">
        <f>IF(OR(AT$3="",AT$3&gt;TODAY()),"",IF(AND(AT96="",AU96=""),"",N(AU96)-N(AT96)))</f>
        <v/>
      </c>
      <c r="AY96">
        <f>IF(OR(AT$3="",AT$3&gt;TODAY()),"",IF(AND(AW96="",AX96=""),"",N(AX96)-N(AW96)))</f>
        <v/>
      </c>
      <c r="BC96">
        <f>IF(OR(BA$3="",BA$3&gt;TODAY()),"",IF(AND(BA96="",BB96=""),"",N(BB96)-N(BA96)))</f>
        <v/>
      </c>
      <c r="BF96">
        <f>IF(OR(BA$3="",BA$3&gt;TODAY()),"",IF(AND(BD96="",BE96=""),"",N(BE96)-N(BD96)))</f>
        <v/>
      </c>
      <c r="BJ96">
        <f>IF(OR(BH$3="",BH$3&gt;TODAY()),"",IF(AND(BH96="",BI96=""),"",N(BI96)-N(BH96)))</f>
        <v/>
      </c>
      <c r="BM96">
        <f>IF(OR(BH$3="",BH$3&gt;TODAY()),"",IF(AND(BK96="",BL96=""),"",N(BL96)-N(BK96)))</f>
        <v/>
      </c>
      <c r="BQ96">
        <f>IF(OR(BO$3="",BO$3&gt;TODAY()),"",IF(AND(BO96="",BP96=""),"",N(BP96)-N(BO96)))</f>
        <v/>
      </c>
      <c r="BT96">
        <f>IF(OR(BO$3="",BO$3&gt;TODAY()),"",IF(AND(BR96="",BS96=""),"",N(BS96)-N(BR96)))</f>
        <v/>
      </c>
      <c r="BX96">
        <f>IF(OR(BV$3="",BV$3&gt;TODAY()),"",IF(AND(BV96="",BW96=""),"",N(BW96)-N(BV96)))</f>
        <v/>
      </c>
      <c r="CA96">
        <f>IF(OR(BV$3="",BV$3&gt;TODAY()),"",IF(AND(BY96="",BZ96=""),"",N(BZ96)-N(BY96)))</f>
        <v/>
      </c>
      <c r="CE96">
        <f>IF(OR(CC$3="",CC$3&gt;TODAY()),"",IF(AND(CC96="",CD96=""),"",N(CD96)-N(CC96)))</f>
        <v/>
      </c>
      <c r="CH96">
        <f>IF(OR(CC$3="",CC$3&gt;TODAY()),"",IF(AND(CF96="",CG96=""),"",N(CG96)-N(CF96)))</f>
        <v/>
      </c>
      <c r="CL96">
        <f>IF(OR(CJ$3="",CJ$3&gt;TODAY()),"",IF(AND(CJ96="",CK96=""),"",N(CK96)-N(CJ96)))</f>
        <v/>
      </c>
      <c r="CO96">
        <f>IF(OR(CJ$3="",CJ$3&gt;TODAY()),"",IF(AND(CM96="",CN96=""),"",N(CN96)-N(CM96)))</f>
        <v/>
      </c>
      <c r="CS96">
        <f>IF(OR(CQ$3="",CQ$3&gt;TODAY()),"",IF(AND(CQ96="",CR96=""),"",N(CR96)-N(CQ96)))</f>
        <v/>
      </c>
      <c r="CV96">
        <f>IF(OR(CQ$3="",CQ$3&gt;TODAY()),"",IF(AND(CT96="",CU96=""),"",N(CU96)-N(CT96)))</f>
        <v/>
      </c>
      <c r="CZ96">
        <f>IF(OR(CX$3="",CX$3&gt;TODAY()),"",IF(AND(CX96="",CY96=""),"",N(CY96)-N(CX96)))</f>
        <v/>
      </c>
      <c r="DC96">
        <f>IF(OR(CX$3="",CX$3&gt;TODAY()),"",IF(AND(DA96="",DB96=""),"",N(DB96)-N(DA96)))</f>
        <v/>
      </c>
      <c r="DG96">
        <f>IF(OR(DE$3="",DE$3&gt;TODAY()),"",IF(AND(DE96="",DF96=""),"",N(DF96)-N(DE96)))</f>
        <v/>
      </c>
      <c r="DJ96">
        <f>IF(OR(DE$3="",DE$3&gt;TODAY()),"",IF(AND(DH96="",DI96=""),"",N(DI96)-N(DH96)))</f>
        <v/>
      </c>
      <c r="DN96">
        <f>IF(OR(DL$3="",DL$3&gt;TODAY()),"",IF(AND(DL96="",DM96=""),"",N(DM96)-N(DL96)))</f>
        <v/>
      </c>
      <c r="DQ96">
        <f>IF(OR(DL$3="",DL$3&gt;TODAY()),"",IF(AND(DO96="",DP96=""),"",N(DP96)-N(DO96)))</f>
        <v/>
      </c>
      <c r="DU96">
        <f>IF(OR(DS$3="",DS$3&gt;TODAY()),"",IF(AND(DS96="",DT96=""),"",N(DT96)-N(DS96)))</f>
        <v/>
      </c>
      <c r="DX96">
        <f>IF(OR(DS$3="",DS$3&gt;TODAY()),"",IF(AND(DV96="",DW96=""),"",N(DW96)-N(DV96)))</f>
        <v/>
      </c>
      <c r="EB96">
        <f>IF(OR(DZ$3="",DZ$3&gt;TODAY()),"",IF(AND(DZ96="",EA96=""),"",N(EA96)-N(DZ96)))</f>
        <v/>
      </c>
      <c r="EE96">
        <f>IF(OR(DZ$3="",DZ$3&gt;TODAY()),"",IF(AND(EC96="",ED96=""),"",N(ED96)-N(EC96)))</f>
        <v/>
      </c>
      <c r="EI96">
        <f>IF(OR(EG$3="",EG$3&gt;TODAY()),"",IF(AND(EG96="",EH96=""),"",N(EH96)-N(EG96)))</f>
        <v/>
      </c>
      <c r="EL96">
        <f>IF(OR(EG$3="",EG$3&gt;TODAY()),"",IF(AND(EJ96="",EK96=""),"",N(EK96)-N(EJ96)))</f>
        <v/>
      </c>
      <c r="EP96">
        <f>IF(OR(EN$3="",EN$3&gt;TODAY()),"",IF(AND(EN96="",EO96=""),"",N(EO96)-N(EN96)))</f>
        <v/>
      </c>
      <c r="ES96">
        <f>IF(OR(EN$3="",EN$3&gt;TODAY()),"",IF(AND(EQ96="",ER96=""),"",N(ER96)-N(EQ96)))</f>
        <v/>
      </c>
      <c r="EW96">
        <f>IF(OR(EU$3="",EU$3&gt;TODAY()),"",IF(AND(EU96="",EV96=""),"",N(EV96)-N(EU96)))</f>
        <v/>
      </c>
      <c r="EZ96">
        <f>IF(OR(EU$3="",EU$3&gt;TODAY()),"",IF(AND(EX96="",EY96=""),"",N(EY96)-N(EX96)))</f>
        <v/>
      </c>
      <c r="FD96">
        <f>IF(OR(FB$3="",FB$3&gt;TODAY()),"",IF(AND(FB96="",FC96=""),"",N(FC96)-N(FB96)))</f>
        <v/>
      </c>
      <c r="FG96">
        <f>IF(OR(FB$3="",FB$3&gt;TODAY()),"",IF(AND(FE96="",FF96=""),"",N(FF96)-N(FE96)))</f>
        <v/>
      </c>
      <c r="FK96">
        <f>IF(OR(FI$3="",FI$3&gt;TODAY()),"",IF(AND(FI96="",FJ96=""),"",N(FJ96)-N(FI96)))</f>
        <v/>
      </c>
      <c r="FN96">
        <f>IF(OR(FI$3="",FI$3&gt;TODAY()),"",IF(AND(FL96="",FM96=""),"",N(FM96)-N(FL96)))</f>
        <v/>
      </c>
      <c r="FR96">
        <f>IF(OR(FP$3="",FP$3&gt;TODAY()),"",IF(AND(FP96="",FQ96=""),"",N(FQ96)-N(FP96)))</f>
        <v/>
      </c>
      <c r="FU96">
        <f>IF(OR(FP$3="",FP$3&gt;TODAY()),"",IF(AND(FS96="",FT96=""),"",N(FT96)-N(FS96)))</f>
        <v/>
      </c>
      <c r="FY96">
        <f>IF(OR(FW$3="",FW$3&gt;TODAY()),"",IF(AND(FW96="",FX96=""),"",N(FX96)-N(FW96)))</f>
        <v/>
      </c>
      <c r="GB96">
        <f>IF(OR(FW$3="",FW$3&gt;TODAY()),"",IF(AND(FZ96="",GA96=""),"",N(GA96)-N(FZ96)))</f>
        <v/>
      </c>
      <c r="GF96">
        <f>IF(OR(GD$3="",GD$3&gt;TODAY()),"",IF(AND(GD96="",GE96=""),"",N(GE96)-N(GD96)))</f>
        <v/>
      </c>
      <c r="GI96">
        <f>IF(OR(GD$3="",GD$3&gt;TODAY()),"",IF(AND(GG96="",GH96=""),"",N(GH96)-N(GG96)))</f>
        <v/>
      </c>
      <c r="GM96">
        <f>IF(OR(GK$3="",GK$3&gt;TODAY()),"",IF(AND(GK96="",GL96=""),"",N(GL96)-N(GK96)))</f>
        <v/>
      </c>
      <c r="GP96">
        <f>IF(OR(GK$3="",GK$3&gt;TODAY()),"",IF(AND(GN96="",GO96=""),"",N(GO96)-N(GN96)))</f>
        <v/>
      </c>
      <c r="GT96">
        <f>IF(OR(GR$3="",GR$3&gt;TODAY()),"",IF(AND(GR96="",GS96=""),"",N(GS96)-N(GR96)))</f>
        <v/>
      </c>
      <c r="GW96">
        <f>IF(OR(GR$3="",GR$3&gt;TODAY()),"",IF(AND(GU96="",GV96=""),"",N(GV96)-N(GU96)))</f>
        <v/>
      </c>
      <c r="HA96">
        <f>IF(OR(GY$3="",GY$3&gt;TODAY()),"",IF(AND(GY96="",GZ96=""),"",N(GZ96)-N(GY96)))</f>
        <v/>
      </c>
      <c r="HD96">
        <f>IF(OR(GY$3="",GY$3&gt;TODAY()),"",IF(AND(HB96="",HC96=""),"",N(HC96)-N(HB96)))</f>
        <v/>
      </c>
      <c r="HH96">
        <f>IF(OR(HF$3="",HF$3&gt;TODAY()),"",IF(AND(HF96="",HG96=""),"",N(HG96)-N(HF96)))</f>
        <v/>
      </c>
      <c r="HK96">
        <f>IF(OR(HF$3="",HF$3&gt;TODAY()),"",IF(AND(HI96="",HJ96=""),"",N(HJ96)-N(HI96)))</f>
        <v/>
      </c>
      <c r="HO96">
        <f>IF(OR(HM$3="",HM$3&gt;TODAY()),"",IF(AND(HM96="",HN96=""),"",N(HN96)-N(HM96)))</f>
        <v/>
      </c>
      <c r="HR96">
        <f>IF(OR(HM$3="",HM$3&gt;TODAY()),"",IF(AND(HP96="",HQ96=""),"",N(HQ96)-N(HP96)))</f>
        <v/>
      </c>
      <c r="HV96">
        <f>IF(OR(HT$3="",HT$3&gt;TODAY()),"",IF(AND(HT96="",HU96=""),"",N(HU96)-N(HT96)))</f>
        <v/>
      </c>
      <c r="HY96">
        <f>IF(OR(HT$3="",HT$3&gt;TODAY()),"",IF(AND(HW96="",HX96=""),"",N(HX96)-N(HW96)))</f>
        <v/>
      </c>
      <c r="IC96">
        <f>IF(OR(IA$3="",IA$3&gt;TODAY()),"",IF(AND(IA96="",IB96=""),"",N(IB96)-N(IA96)))</f>
        <v/>
      </c>
      <c r="IF96">
        <f>IF(OR(IA$3="",IA$3&gt;TODAY()),"",IF(AND(ID96="",IE96=""),"",N(IE96)-N(ID96)))</f>
        <v/>
      </c>
      <c r="IJ96">
        <f>IF(OR(IH$3="",IH$3&gt;TODAY()),"",IF(AND(IH96="",II96=""),"",N(II96)-N(IH96)))</f>
        <v/>
      </c>
      <c r="IM96">
        <f>IF(OR(IH$3="",IH$3&gt;TODAY()),"",IF(AND(IK96="",IL96=""),"",N(IL96)-N(IK96)))</f>
        <v/>
      </c>
    </row>
    <row r="97">
      <c r="A97" s="21" t="n"/>
      <c r="B97" s="21" t="n"/>
      <c r="C97" s="21" t="n"/>
      <c r="D97" s="21" t="n"/>
      <c r="E97" s="21" t="n"/>
      <c r="F97" s="21" t="n"/>
      <c r="G97" s="21" t="n"/>
      <c r="H97" s="21" t="n"/>
      <c r="I97" s="22" t="n"/>
      <c r="J97" s="22" t="n"/>
      <c r="K97" s="23" t="n"/>
      <c r="L97" s="22" t="n"/>
      <c r="M97" s="22" t="n"/>
      <c r="N97" s="21" t="n"/>
      <c r="O97" s="23" t="n"/>
      <c r="P97" s="23" t="n"/>
      <c r="Q97" s="23" t="n"/>
      <c r="R97" s="23" t="n"/>
      <c r="S97" s="22" t="n"/>
      <c r="T97" s="23" t="n"/>
      <c r="U97" s="23" t="n"/>
      <c r="V97" s="24">
        <f>IF(J97&lt;&gt;"",J97,IF(I97&lt;&gt;"",I97,""))</f>
        <v/>
      </c>
      <c r="W97" s="25">
        <f>IF($E97="","",N(O97)+SUMIFS($AF97:$IN97,$AF$4:$IN$4,"SEW_ACT"))</f>
        <v/>
      </c>
      <c r="X97" s="25">
        <f>IF($E97="","",N(P97)+SUMIFS($AF97:$IN97,$AF$4:$IN$4,"WASH_ACT"))</f>
        <v/>
      </c>
      <c r="Y97" s="25">
        <f>IF($E97="","",W97-X97-N(T97)-N(U97))</f>
        <v/>
      </c>
      <c r="Z97" s="25">
        <f>IF($E97="","",IF(N(K97)-X97&lt;=0.02*N(K97),0,N(K97)-X97))</f>
        <v/>
      </c>
      <c r="AA97" s="24">
        <f>IF($E97="","",IF(S97&lt;&gt;"",S97,IF(N(O97)&gt;0,IF(L97&lt;&gt;"",L97,99999),IFERROR(1/(1/_xlfn.MINIFS($AF$3:$IN$3,$AF$4:$IN$4,"SEW_ACT",$AF97:$IN97,"&gt;0")),99999))))</f>
        <v/>
      </c>
      <c r="AB97" s="26">
        <f>IF(OR($E97="",Z97=0,V97=""),"",1+COUNTIFS(Z$8:Z$707,"&gt;0",V$8:V$707,"&lt;"&amp;V97)+COUNTIFS(Z$8:Z$707,"&gt;0",V$8:V$707,V97,AA$8:AA$707,"&lt;"&amp;AA97)+COUNTIFS(Z$8:Z$707,"&gt;0",V$8:V$707,V97,AA$8:AA$707,AA97,E$8:E$707,"&lt;"&amp;$E97))</f>
        <v/>
      </c>
      <c r="AC97" s="24">
        <f>IF(OR($E97="",Z97=0),"",IFERROR(TODAY()+ROUNDUP(Z97/(SUMIFS($AF97:$IN97,$AF$4:$IN$4,"WASH_ACT")/COUNTIFS($AF$4:$IN$4,"WASH_ACT",$AF97:$IN97,"&gt;0")),0),"no output yet"))</f>
        <v/>
      </c>
      <c r="AD97" s="26">
        <f>IF($E97="","",IFERROR(ROUND(MAX(0,SUMIFS($AF97:$IN97,$AF$4:$IN$4,"SEW_PLAN",$AF$3:$IN$3,"&lt;="&amp;TODAY())-SUMIFS($AF97:$IN97,$AF$4:$IN$4,"SEW_ACT",$AF$3:$IN$3,"&lt;="&amp;TODAY())+N(Q97))/(SUMIFS($AF97:$IN97,$AF$4:$IN$4,"SEW_PLAN")/COUNTIFS($AF$4:$IN$4,"SEW_PLAN",$AF97:$IN97,"&gt;0")),1),0))</f>
        <v/>
      </c>
      <c r="AE97" s="26">
        <f>IF($E97="","",IF(AND(Z97&gt;0,OR(AND(M97&lt;&gt;"",TODAY()&gt;M97),AND(V97&lt;&gt;"",V97-TODAY()&lt;=7))),"Yes","No"))</f>
        <v/>
      </c>
      <c r="AH97">
        <f>IF(OR(AF$3="",AF$3&gt;TODAY()),"",IF(AND(AF97="",AG97=""),"",N(AG97)-N(AF97)))</f>
        <v/>
      </c>
      <c r="AK97">
        <f>IF(OR(AF$3="",AF$3&gt;TODAY()),"",IF(AND(AI97="",AJ97=""),"",N(AJ97)-N(AI97)))</f>
        <v/>
      </c>
      <c r="AO97">
        <f>IF(OR(AM$3="",AM$3&gt;TODAY()),"",IF(AND(AM97="",AN97=""),"",N(AN97)-N(AM97)))</f>
        <v/>
      </c>
      <c r="AR97">
        <f>IF(OR(AM$3="",AM$3&gt;TODAY()),"",IF(AND(AP97="",AQ97=""),"",N(AQ97)-N(AP97)))</f>
        <v/>
      </c>
      <c r="AV97">
        <f>IF(OR(AT$3="",AT$3&gt;TODAY()),"",IF(AND(AT97="",AU97=""),"",N(AU97)-N(AT97)))</f>
        <v/>
      </c>
      <c r="AY97">
        <f>IF(OR(AT$3="",AT$3&gt;TODAY()),"",IF(AND(AW97="",AX97=""),"",N(AX97)-N(AW97)))</f>
        <v/>
      </c>
      <c r="BC97">
        <f>IF(OR(BA$3="",BA$3&gt;TODAY()),"",IF(AND(BA97="",BB97=""),"",N(BB97)-N(BA97)))</f>
        <v/>
      </c>
      <c r="BF97">
        <f>IF(OR(BA$3="",BA$3&gt;TODAY()),"",IF(AND(BD97="",BE97=""),"",N(BE97)-N(BD97)))</f>
        <v/>
      </c>
      <c r="BJ97">
        <f>IF(OR(BH$3="",BH$3&gt;TODAY()),"",IF(AND(BH97="",BI97=""),"",N(BI97)-N(BH97)))</f>
        <v/>
      </c>
      <c r="BM97">
        <f>IF(OR(BH$3="",BH$3&gt;TODAY()),"",IF(AND(BK97="",BL97=""),"",N(BL97)-N(BK97)))</f>
        <v/>
      </c>
      <c r="BQ97">
        <f>IF(OR(BO$3="",BO$3&gt;TODAY()),"",IF(AND(BO97="",BP97=""),"",N(BP97)-N(BO97)))</f>
        <v/>
      </c>
      <c r="BT97">
        <f>IF(OR(BO$3="",BO$3&gt;TODAY()),"",IF(AND(BR97="",BS97=""),"",N(BS97)-N(BR97)))</f>
        <v/>
      </c>
      <c r="BX97">
        <f>IF(OR(BV$3="",BV$3&gt;TODAY()),"",IF(AND(BV97="",BW97=""),"",N(BW97)-N(BV97)))</f>
        <v/>
      </c>
      <c r="CA97">
        <f>IF(OR(BV$3="",BV$3&gt;TODAY()),"",IF(AND(BY97="",BZ97=""),"",N(BZ97)-N(BY97)))</f>
        <v/>
      </c>
      <c r="CE97">
        <f>IF(OR(CC$3="",CC$3&gt;TODAY()),"",IF(AND(CC97="",CD97=""),"",N(CD97)-N(CC97)))</f>
        <v/>
      </c>
      <c r="CH97">
        <f>IF(OR(CC$3="",CC$3&gt;TODAY()),"",IF(AND(CF97="",CG97=""),"",N(CG97)-N(CF97)))</f>
        <v/>
      </c>
      <c r="CL97">
        <f>IF(OR(CJ$3="",CJ$3&gt;TODAY()),"",IF(AND(CJ97="",CK97=""),"",N(CK97)-N(CJ97)))</f>
        <v/>
      </c>
      <c r="CO97">
        <f>IF(OR(CJ$3="",CJ$3&gt;TODAY()),"",IF(AND(CM97="",CN97=""),"",N(CN97)-N(CM97)))</f>
        <v/>
      </c>
      <c r="CS97">
        <f>IF(OR(CQ$3="",CQ$3&gt;TODAY()),"",IF(AND(CQ97="",CR97=""),"",N(CR97)-N(CQ97)))</f>
        <v/>
      </c>
      <c r="CV97">
        <f>IF(OR(CQ$3="",CQ$3&gt;TODAY()),"",IF(AND(CT97="",CU97=""),"",N(CU97)-N(CT97)))</f>
        <v/>
      </c>
      <c r="CZ97">
        <f>IF(OR(CX$3="",CX$3&gt;TODAY()),"",IF(AND(CX97="",CY97=""),"",N(CY97)-N(CX97)))</f>
        <v/>
      </c>
      <c r="DC97">
        <f>IF(OR(CX$3="",CX$3&gt;TODAY()),"",IF(AND(DA97="",DB97=""),"",N(DB97)-N(DA97)))</f>
        <v/>
      </c>
      <c r="DG97">
        <f>IF(OR(DE$3="",DE$3&gt;TODAY()),"",IF(AND(DE97="",DF97=""),"",N(DF97)-N(DE97)))</f>
        <v/>
      </c>
      <c r="DJ97">
        <f>IF(OR(DE$3="",DE$3&gt;TODAY()),"",IF(AND(DH97="",DI97=""),"",N(DI97)-N(DH97)))</f>
        <v/>
      </c>
      <c r="DN97">
        <f>IF(OR(DL$3="",DL$3&gt;TODAY()),"",IF(AND(DL97="",DM97=""),"",N(DM97)-N(DL97)))</f>
        <v/>
      </c>
      <c r="DQ97">
        <f>IF(OR(DL$3="",DL$3&gt;TODAY()),"",IF(AND(DO97="",DP97=""),"",N(DP97)-N(DO97)))</f>
        <v/>
      </c>
      <c r="DU97">
        <f>IF(OR(DS$3="",DS$3&gt;TODAY()),"",IF(AND(DS97="",DT97=""),"",N(DT97)-N(DS97)))</f>
        <v/>
      </c>
      <c r="DX97">
        <f>IF(OR(DS$3="",DS$3&gt;TODAY()),"",IF(AND(DV97="",DW97=""),"",N(DW97)-N(DV97)))</f>
        <v/>
      </c>
      <c r="EB97">
        <f>IF(OR(DZ$3="",DZ$3&gt;TODAY()),"",IF(AND(DZ97="",EA97=""),"",N(EA97)-N(DZ97)))</f>
        <v/>
      </c>
      <c r="EE97">
        <f>IF(OR(DZ$3="",DZ$3&gt;TODAY()),"",IF(AND(EC97="",ED97=""),"",N(ED97)-N(EC97)))</f>
        <v/>
      </c>
      <c r="EI97">
        <f>IF(OR(EG$3="",EG$3&gt;TODAY()),"",IF(AND(EG97="",EH97=""),"",N(EH97)-N(EG97)))</f>
        <v/>
      </c>
      <c r="EL97">
        <f>IF(OR(EG$3="",EG$3&gt;TODAY()),"",IF(AND(EJ97="",EK97=""),"",N(EK97)-N(EJ97)))</f>
        <v/>
      </c>
      <c r="EP97">
        <f>IF(OR(EN$3="",EN$3&gt;TODAY()),"",IF(AND(EN97="",EO97=""),"",N(EO97)-N(EN97)))</f>
        <v/>
      </c>
      <c r="ES97">
        <f>IF(OR(EN$3="",EN$3&gt;TODAY()),"",IF(AND(EQ97="",ER97=""),"",N(ER97)-N(EQ97)))</f>
        <v/>
      </c>
      <c r="EW97">
        <f>IF(OR(EU$3="",EU$3&gt;TODAY()),"",IF(AND(EU97="",EV97=""),"",N(EV97)-N(EU97)))</f>
        <v/>
      </c>
      <c r="EZ97">
        <f>IF(OR(EU$3="",EU$3&gt;TODAY()),"",IF(AND(EX97="",EY97=""),"",N(EY97)-N(EX97)))</f>
        <v/>
      </c>
      <c r="FD97">
        <f>IF(OR(FB$3="",FB$3&gt;TODAY()),"",IF(AND(FB97="",FC97=""),"",N(FC97)-N(FB97)))</f>
        <v/>
      </c>
      <c r="FG97">
        <f>IF(OR(FB$3="",FB$3&gt;TODAY()),"",IF(AND(FE97="",FF97=""),"",N(FF97)-N(FE97)))</f>
        <v/>
      </c>
      <c r="FK97">
        <f>IF(OR(FI$3="",FI$3&gt;TODAY()),"",IF(AND(FI97="",FJ97=""),"",N(FJ97)-N(FI97)))</f>
        <v/>
      </c>
      <c r="FN97">
        <f>IF(OR(FI$3="",FI$3&gt;TODAY()),"",IF(AND(FL97="",FM97=""),"",N(FM97)-N(FL97)))</f>
        <v/>
      </c>
      <c r="FR97">
        <f>IF(OR(FP$3="",FP$3&gt;TODAY()),"",IF(AND(FP97="",FQ97=""),"",N(FQ97)-N(FP97)))</f>
        <v/>
      </c>
      <c r="FU97">
        <f>IF(OR(FP$3="",FP$3&gt;TODAY()),"",IF(AND(FS97="",FT97=""),"",N(FT97)-N(FS97)))</f>
        <v/>
      </c>
      <c r="FY97">
        <f>IF(OR(FW$3="",FW$3&gt;TODAY()),"",IF(AND(FW97="",FX97=""),"",N(FX97)-N(FW97)))</f>
        <v/>
      </c>
      <c r="GB97">
        <f>IF(OR(FW$3="",FW$3&gt;TODAY()),"",IF(AND(FZ97="",GA97=""),"",N(GA97)-N(FZ97)))</f>
        <v/>
      </c>
      <c r="GF97">
        <f>IF(OR(GD$3="",GD$3&gt;TODAY()),"",IF(AND(GD97="",GE97=""),"",N(GE97)-N(GD97)))</f>
        <v/>
      </c>
      <c r="GI97">
        <f>IF(OR(GD$3="",GD$3&gt;TODAY()),"",IF(AND(GG97="",GH97=""),"",N(GH97)-N(GG97)))</f>
        <v/>
      </c>
      <c r="GM97">
        <f>IF(OR(GK$3="",GK$3&gt;TODAY()),"",IF(AND(GK97="",GL97=""),"",N(GL97)-N(GK97)))</f>
        <v/>
      </c>
      <c r="GP97">
        <f>IF(OR(GK$3="",GK$3&gt;TODAY()),"",IF(AND(GN97="",GO97=""),"",N(GO97)-N(GN97)))</f>
        <v/>
      </c>
      <c r="GT97">
        <f>IF(OR(GR$3="",GR$3&gt;TODAY()),"",IF(AND(GR97="",GS97=""),"",N(GS97)-N(GR97)))</f>
        <v/>
      </c>
      <c r="GW97">
        <f>IF(OR(GR$3="",GR$3&gt;TODAY()),"",IF(AND(GU97="",GV97=""),"",N(GV97)-N(GU97)))</f>
        <v/>
      </c>
      <c r="HA97">
        <f>IF(OR(GY$3="",GY$3&gt;TODAY()),"",IF(AND(GY97="",GZ97=""),"",N(GZ97)-N(GY97)))</f>
        <v/>
      </c>
      <c r="HD97">
        <f>IF(OR(GY$3="",GY$3&gt;TODAY()),"",IF(AND(HB97="",HC97=""),"",N(HC97)-N(HB97)))</f>
        <v/>
      </c>
      <c r="HH97">
        <f>IF(OR(HF$3="",HF$3&gt;TODAY()),"",IF(AND(HF97="",HG97=""),"",N(HG97)-N(HF97)))</f>
        <v/>
      </c>
      <c r="HK97">
        <f>IF(OR(HF$3="",HF$3&gt;TODAY()),"",IF(AND(HI97="",HJ97=""),"",N(HJ97)-N(HI97)))</f>
        <v/>
      </c>
      <c r="HO97">
        <f>IF(OR(HM$3="",HM$3&gt;TODAY()),"",IF(AND(HM97="",HN97=""),"",N(HN97)-N(HM97)))</f>
        <v/>
      </c>
      <c r="HR97">
        <f>IF(OR(HM$3="",HM$3&gt;TODAY()),"",IF(AND(HP97="",HQ97=""),"",N(HQ97)-N(HP97)))</f>
        <v/>
      </c>
      <c r="HV97">
        <f>IF(OR(HT$3="",HT$3&gt;TODAY()),"",IF(AND(HT97="",HU97=""),"",N(HU97)-N(HT97)))</f>
        <v/>
      </c>
      <c r="HY97">
        <f>IF(OR(HT$3="",HT$3&gt;TODAY()),"",IF(AND(HW97="",HX97=""),"",N(HX97)-N(HW97)))</f>
        <v/>
      </c>
      <c r="IC97">
        <f>IF(OR(IA$3="",IA$3&gt;TODAY()),"",IF(AND(IA97="",IB97=""),"",N(IB97)-N(IA97)))</f>
        <v/>
      </c>
      <c r="IF97">
        <f>IF(OR(IA$3="",IA$3&gt;TODAY()),"",IF(AND(ID97="",IE97=""),"",N(IE97)-N(ID97)))</f>
        <v/>
      </c>
      <c r="IJ97">
        <f>IF(OR(IH$3="",IH$3&gt;TODAY()),"",IF(AND(IH97="",II97=""),"",N(II97)-N(IH97)))</f>
        <v/>
      </c>
      <c r="IM97">
        <f>IF(OR(IH$3="",IH$3&gt;TODAY()),"",IF(AND(IK97="",IL97=""),"",N(IL97)-N(IK97)))</f>
        <v/>
      </c>
    </row>
    <row r="98">
      <c r="A98" s="21" t="n"/>
      <c r="B98" s="21" t="n"/>
      <c r="C98" s="21" t="n"/>
      <c r="D98" s="21" t="n"/>
      <c r="E98" s="21" t="n"/>
      <c r="F98" s="21" t="n"/>
      <c r="G98" s="21" t="n"/>
      <c r="H98" s="21" t="n"/>
      <c r="I98" s="22" t="n"/>
      <c r="J98" s="22" t="n"/>
      <c r="K98" s="23" t="n"/>
      <c r="L98" s="22" t="n"/>
      <c r="M98" s="22" t="n"/>
      <c r="N98" s="21" t="n"/>
      <c r="O98" s="23" t="n"/>
      <c r="P98" s="23" t="n"/>
      <c r="Q98" s="23" t="n"/>
      <c r="R98" s="23" t="n"/>
      <c r="S98" s="22" t="n"/>
      <c r="T98" s="23" t="n"/>
      <c r="U98" s="23" t="n"/>
      <c r="V98" s="24">
        <f>IF(J98&lt;&gt;"",J98,IF(I98&lt;&gt;"",I98,""))</f>
        <v/>
      </c>
      <c r="W98" s="25">
        <f>IF($E98="","",N(O98)+SUMIFS($AF98:$IN98,$AF$4:$IN$4,"SEW_ACT"))</f>
        <v/>
      </c>
      <c r="X98" s="25">
        <f>IF($E98="","",N(P98)+SUMIFS($AF98:$IN98,$AF$4:$IN$4,"WASH_ACT"))</f>
        <v/>
      </c>
      <c r="Y98" s="25">
        <f>IF($E98="","",W98-X98-N(T98)-N(U98))</f>
        <v/>
      </c>
      <c r="Z98" s="25">
        <f>IF($E98="","",IF(N(K98)-X98&lt;=0.02*N(K98),0,N(K98)-X98))</f>
        <v/>
      </c>
      <c r="AA98" s="24">
        <f>IF($E98="","",IF(S98&lt;&gt;"",S98,IF(N(O98)&gt;0,IF(L98&lt;&gt;"",L98,99999),IFERROR(1/(1/_xlfn.MINIFS($AF$3:$IN$3,$AF$4:$IN$4,"SEW_ACT",$AF98:$IN98,"&gt;0")),99999))))</f>
        <v/>
      </c>
      <c r="AB98" s="26">
        <f>IF(OR($E98="",Z98=0,V98=""),"",1+COUNTIFS(Z$8:Z$707,"&gt;0",V$8:V$707,"&lt;"&amp;V98)+COUNTIFS(Z$8:Z$707,"&gt;0",V$8:V$707,V98,AA$8:AA$707,"&lt;"&amp;AA98)+COUNTIFS(Z$8:Z$707,"&gt;0",V$8:V$707,V98,AA$8:AA$707,AA98,E$8:E$707,"&lt;"&amp;$E98))</f>
        <v/>
      </c>
      <c r="AC98" s="24">
        <f>IF(OR($E98="",Z98=0),"",IFERROR(TODAY()+ROUNDUP(Z98/(SUMIFS($AF98:$IN98,$AF$4:$IN$4,"WASH_ACT")/COUNTIFS($AF$4:$IN$4,"WASH_ACT",$AF98:$IN98,"&gt;0")),0),"no output yet"))</f>
        <v/>
      </c>
      <c r="AD98" s="26">
        <f>IF($E98="","",IFERROR(ROUND(MAX(0,SUMIFS($AF98:$IN98,$AF$4:$IN$4,"SEW_PLAN",$AF$3:$IN$3,"&lt;="&amp;TODAY())-SUMIFS($AF98:$IN98,$AF$4:$IN$4,"SEW_ACT",$AF$3:$IN$3,"&lt;="&amp;TODAY())+N(Q98))/(SUMIFS($AF98:$IN98,$AF$4:$IN$4,"SEW_PLAN")/COUNTIFS($AF$4:$IN$4,"SEW_PLAN",$AF98:$IN98,"&gt;0")),1),0))</f>
        <v/>
      </c>
      <c r="AE98" s="26">
        <f>IF($E98="","",IF(AND(Z98&gt;0,OR(AND(M98&lt;&gt;"",TODAY()&gt;M98),AND(V98&lt;&gt;"",V98-TODAY()&lt;=7))),"Yes","No"))</f>
        <v/>
      </c>
      <c r="AH98">
        <f>IF(OR(AF$3="",AF$3&gt;TODAY()),"",IF(AND(AF98="",AG98=""),"",N(AG98)-N(AF98)))</f>
        <v/>
      </c>
      <c r="AK98">
        <f>IF(OR(AF$3="",AF$3&gt;TODAY()),"",IF(AND(AI98="",AJ98=""),"",N(AJ98)-N(AI98)))</f>
        <v/>
      </c>
      <c r="AO98">
        <f>IF(OR(AM$3="",AM$3&gt;TODAY()),"",IF(AND(AM98="",AN98=""),"",N(AN98)-N(AM98)))</f>
        <v/>
      </c>
      <c r="AR98">
        <f>IF(OR(AM$3="",AM$3&gt;TODAY()),"",IF(AND(AP98="",AQ98=""),"",N(AQ98)-N(AP98)))</f>
        <v/>
      </c>
      <c r="AV98">
        <f>IF(OR(AT$3="",AT$3&gt;TODAY()),"",IF(AND(AT98="",AU98=""),"",N(AU98)-N(AT98)))</f>
        <v/>
      </c>
      <c r="AY98">
        <f>IF(OR(AT$3="",AT$3&gt;TODAY()),"",IF(AND(AW98="",AX98=""),"",N(AX98)-N(AW98)))</f>
        <v/>
      </c>
      <c r="BC98">
        <f>IF(OR(BA$3="",BA$3&gt;TODAY()),"",IF(AND(BA98="",BB98=""),"",N(BB98)-N(BA98)))</f>
        <v/>
      </c>
      <c r="BF98">
        <f>IF(OR(BA$3="",BA$3&gt;TODAY()),"",IF(AND(BD98="",BE98=""),"",N(BE98)-N(BD98)))</f>
        <v/>
      </c>
      <c r="BJ98">
        <f>IF(OR(BH$3="",BH$3&gt;TODAY()),"",IF(AND(BH98="",BI98=""),"",N(BI98)-N(BH98)))</f>
        <v/>
      </c>
      <c r="BM98">
        <f>IF(OR(BH$3="",BH$3&gt;TODAY()),"",IF(AND(BK98="",BL98=""),"",N(BL98)-N(BK98)))</f>
        <v/>
      </c>
      <c r="BQ98">
        <f>IF(OR(BO$3="",BO$3&gt;TODAY()),"",IF(AND(BO98="",BP98=""),"",N(BP98)-N(BO98)))</f>
        <v/>
      </c>
      <c r="BT98">
        <f>IF(OR(BO$3="",BO$3&gt;TODAY()),"",IF(AND(BR98="",BS98=""),"",N(BS98)-N(BR98)))</f>
        <v/>
      </c>
      <c r="BX98">
        <f>IF(OR(BV$3="",BV$3&gt;TODAY()),"",IF(AND(BV98="",BW98=""),"",N(BW98)-N(BV98)))</f>
        <v/>
      </c>
      <c r="CA98">
        <f>IF(OR(BV$3="",BV$3&gt;TODAY()),"",IF(AND(BY98="",BZ98=""),"",N(BZ98)-N(BY98)))</f>
        <v/>
      </c>
      <c r="CE98">
        <f>IF(OR(CC$3="",CC$3&gt;TODAY()),"",IF(AND(CC98="",CD98=""),"",N(CD98)-N(CC98)))</f>
        <v/>
      </c>
      <c r="CH98">
        <f>IF(OR(CC$3="",CC$3&gt;TODAY()),"",IF(AND(CF98="",CG98=""),"",N(CG98)-N(CF98)))</f>
        <v/>
      </c>
      <c r="CL98">
        <f>IF(OR(CJ$3="",CJ$3&gt;TODAY()),"",IF(AND(CJ98="",CK98=""),"",N(CK98)-N(CJ98)))</f>
        <v/>
      </c>
      <c r="CO98">
        <f>IF(OR(CJ$3="",CJ$3&gt;TODAY()),"",IF(AND(CM98="",CN98=""),"",N(CN98)-N(CM98)))</f>
        <v/>
      </c>
      <c r="CS98">
        <f>IF(OR(CQ$3="",CQ$3&gt;TODAY()),"",IF(AND(CQ98="",CR98=""),"",N(CR98)-N(CQ98)))</f>
        <v/>
      </c>
      <c r="CV98">
        <f>IF(OR(CQ$3="",CQ$3&gt;TODAY()),"",IF(AND(CT98="",CU98=""),"",N(CU98)-N(CT98)))</f>
        <v/>
      </c>
      <c r="CZ98">
        <f>IF(OR(CX$3="",CX$3&gt;TODAY()),"",IF(AND(CX98="",CY98=""),"",N(CY98)-N(CX98)))</f>
        <v/>
      </c>
      <c r="DC98">
        <f>IF(OR(CX$3="",CX$3&gt;TODAY()),"",IF(AND(DA98="",DB98=""),"",N(DB98)-N(DA98)))</f>
        <v/>
      </c>
      <c r="DG98">
        <f>IF(OR(DE$3="",DE$3&gt;TODAY()),"",IF(AND(DE98="",DF98=""),"",N(DF98)-N(DE98)))</f>
        <v/>
      </c>
      <c r="DJ98">
        <f>IF(OR(DE$3="",DE$3&gt;TODAY()),"",IF(AND(DH98="",DI98=""),"",N(DI98)-N(DH98)))</f>
        <v/>
      </c>
      <c r="DN98">
        <f>IF(OR(DL$3="",DL$3&gt;TODAY()),"",IF(AND(DL98="",DM98=""),"",N(DM98)-N(DL98)))</f>
        <v/>
      </c>
      <c r="DQ98">
        <f>IF(OR(DL$3="",DL$3&gt;TODAY()),"",IF(AND(DO98="",DP98=""),"",N(DP98)-N(DO98)))</f>
        <v/>
      </c>
      <c r="DU98">
        <f>IF(OR(DS$3="",DS$3&gt;TODAY()),"",IF(AND(DS98="",DT98=""),"",N(DT98)-N(DS98)))</f>
        <v/>
      </c>
      <c r="DX98">
        <f>IF(OR(DS$3="",DS$3&gt;TODAY()),"",IF(AND(DV98="",DW98=""),"",N(DW98)-N(DV98)))</f>
        <v/>
      </c>
      <c r="EB98">
        <f>IF(OR(DZ$3="",DZ$3&gt;TODAY()),"",IF(AND(DZ98="",EA98=""),"",N(EA98)-N(DZ98)))</f>
        <v/>
      </c>
      <c r="EE98">
        <f>IF(OR(DZ$3="",DZ$3&gt;TODAY()),"",IF(AND(EC98="",ED98=""),"",N(ED98)-N(EC98)))</f>
        <v/>
      </c>
      <c r="EI98">
        <f>IF(OR(EG$3="",EG$3&gt;TODAY()),"",IF(AND(EG98="",EH98=""),"",N(EH98)-N(EG98)))</f>
        <v/>
      </c>
      <c r="EL98">
        <f>IF(OR(EG$3="",EG$3&gt;TODAY()),"",IF(AND(EJ98="",EK98=""),"",N(EK98)-N(EJ98)))</f>
        <v/>
      </c>
      <c r="EP98">
        <f>IF(OR(EN$3="",EN$3&gt;TODAY()),"",IF(AND(EN98="",EO98=""),"",N(EO98)-N(EN98)))</f>
        <v/>
      </c>
      <c r="ES98">
        <f>IF(OR(EN$3="",EN$3&gt;TODAY()),"",IF(AND(EQ98="",ER98=""),"",N(ER98)-N(EQ98)))</f>
        <v/>
      </c>
      <c r="EW98">
        <f>IF(OR(EU$3="",EU$3&gt;TODAY()),"",IF(AND(EU98="",EV98=""),"",N(EV98)-N(EU98)))</f>
        <v/>
      </c>
      <c r="EZ98">
        <f>IF(OR(EU$3="",EU$3&gt;TODAY()),"",IF(AND(EX98="",EY98=""),"",N(EY98)-N(EX98)))</f>
        <v/>
      </c>
      <c r="FD98">
        <f>IF(OR(FB$3="",FB$3&gt;TODAY()),"",IF(AND(FB98="",FC98=""),"",N(FC98)-N(FB98)))</f>
        <v/>
      </c>
      <c r="FG98">
        <f>IF(OR(FB$3="",FB$3&gt;TODAY()),"",IF(AND(FE98="",FF98=""),"",N(FF98)-N(FE98)))</f>
        <v/>
      </c>
      <c r="FK98">
        <f>IF(OR(FI$3="",FI$3&gt;TODAY()),"",IF(AND(FI98="",FJ98=""),"",N(FJ98)-N(FI98)))</f>
        <v/>
      </c>
      <c r="FN98">
        <f>IF(OR(FI$3="",FI$3&gt;TODAY()),"",IF(AND(FL98="",FM98=""),"",N(FM98)-N(FL98)))</f>
        <v/>
      </c>
      <c r="FR98">
        <f>IF(OR(FP$3="",FP$3&gt;TODAY()),"",IF(AND(FP98="",FQ98=""),"",N(FQ98)-N(FP98)))</f>
        <v/>
      </c>
      <c r="FU98">
        <f>IF(OR(FP$3="",FP$3&gt;TODAY()),"",IF(AND(FS98="",FT98=""),"",N(FT98)-N(FS98)))</f>
        <v/>
      </c>
      <c r="FY98">
        <f>IF(OR(FW$3="",FW$3&gt;TODAY()),"",IF(AND(FW98="",FX98=""),"",N(FX98)-N(FW98)))</f>
        <v/>
      </c>
      <c r="GB98">
        <f>IF(OR(FW$3="",FW$3&gt;TODAY()),"",IF(AND(FZ98="",GA98=""),"",N(GA98)-N(FZ98)))</f>
        <v/>
      </c>
      <c r="GF98">
        <f>IF(OR(GD$3="",GD$3&gt;TODAY()),"",IF(AND(GD98="",GE98=""),"",N(GE98)-N(GD98)))</f>
        <v/>
      </c>
      <c r="GI98">
        <f>IF(OR(GD$3="",GD$3&gt;TODAY()),"",IF(AND(GG98="",GH98=""),"",N(GH98)-N(GG98)))</f>
        <v/>
      </c>
      <c r="GM98">
        <f>IF(OR(GK$3="",GK$3&gt;TODAY()),"",IF(AND(GK98="",GL98=""),"",N(GL98)-N(GK98)))</f>
        <v/>
      </c>
      <c r="GP98">
        <f>IF(OR(GK$3="",GK$3&gt;TODAY()),"",IF(AND(GN98="",GO98=""),"",N(GO98)-N(GN98)))</f>
        <v/>
      </c>
      <c r="GT98">
        <f>IF(OR(GR$3="",GR$3&gt;TODAY()),"",IF(AND(GR98="",GS98=""),"",N(GS98)-N(GR98)))</f>
        <v/>
      </c>
      <c r="GW98">
        <f>IF(OR(GR$3="",GR$3&gt;TODAY()),"",IF(AND(GU98="",GV98=""),"",N(GV98)-N(GU98)))</f>
        <v/>
      </c>
      <c r="HA98">
        <f>IF(OR(GY$3="",GY$3&gt;TODAY()),"",IF(AND(GY98="",GZ98=""),"",N(GZ98)-N(GY98)))</f>
        <v/>
      </c>
      <c r="HD98">
        <f>IF(OR(GY$3="",GY$3&gt;TODAY()),"",IF(AND(HB98="",HC98=""),"",N(HC98)-N(HB98)))</f>
        <v/>
      </c>
      <c r="HH98">
        <f>IF(OR(HF$3="",HF$3&gt;TODAY()),"",IF(AND(HF98="",HG98=""),"",N(HG98)-N(HF98)))</f>
        <v/>
      </c>
      <c r="HK98">
        <f>IF(OR(HF$3="",HF$3&gt;TODAY()),"",IF(AND(HI98="",HJ98=""),"",N(HJ98)-N(HI98)))</f>
        <v/>
      </c>
      <c r="HO98">
        <f>IF(OR(HM$3="",HM$3&gt;TODAY()),"",IF(AND(HM98="",HN98=""),"",N(HN98)-N(HM98)))</f>
        <v/>
      </c>
      <c r="HR98">
        <f>IF(OR(HM$3="",HM$3&gt;TODAY()),"",IF(AND(HP98="",HQ98=""),"",N(HQ98)-N(HP98)))</f>
        <v/>
      </c>
      <c r="HV98">
        <f>IF(OR(HT$3="",HT$3&gt;TODAY()),"",IF(AND(HT98="",HU98=""),"",N(HU98)-N(HT98)))</f>
        <v/>
      </c>
      <c r="HY98">
        <f>IF(OR(HT$3="",HT$3&gt;TODAY()),"",IF(AND(HW98="",HX98=""),"",N(HX98)-N(HW98)))</f>
        <v/>
      </c>
      <c r="IC98">
        <f>IF(OR(IA$3="",IA$3&gt;TODAY()),"",IF(AND(IA98="",IB98=""),"",N(IB98)-N(IA98)))</f>
        <v/>
      </c>
      <c r="IF98">
        <f>IF(OR(IA$3="",IA$3&gt;TODAY()),"",IF(AND(ID98="",IE98=""),"",N(IE98)-N(ID98)))</f>
        <v/>
      </c>
      <c r="IJ98">
        <f>IF(OR(IH$3="",IH$3&gt;TODAY()),"",IF(AND(IH98="",II98=""),"",N(II98)-N(IH98)))</f>
        <v/>
      </c>
      <c r="IM98">
        <f>IF(OR(IH$3="",IH$3&gt;TODAY()),"",IF(AND(IK98="",IL98=""),"",N(IL98)-N(IK98)))</f>
        <v/>
      </c>
    </row>
    <row r="99">
      <c r="A99" s="21" t="n"/>
      <c r="B99" s="21" t="n"/>
      <c r="C99" s="21" t="n"/>
      <c r="D99" s="21" t="n"/>
      <c r="E99" s="21" t="n"/>
      <c r="F99" s="21" t="n"/>
      <c r="G99" s="21" t="n"/>
      <c r="H99" s="21" t="n"/>
      <c r="I99" s="22" t="n"/>
      <c r="J99" s="22" t="n"/>
      <c r="K99" s="23" t="n"/>
      <c r="L99" s="22" t="n"/>
      <c r="M99" s="22" t="n"/>
      <c r="N99" s="21" t="n"/>
      <c r="O99" s="23" t="n"/>
      <c r="P99" s="23" t="n"/>
      <c r="Q99" s="23" t="n"/>
      <c r="R99" s="23" t="n"/>
      <c r="S99" s="22" t="n"/>
      <c r="T99" s="23" t="n"/>
      <c r="U99" s="23" t="n"/>
      <c r="V99" s="24">
        <f>IF(J99&lt;&gt;"",J99,IF(I99&lt;&gt;"",I99,""))</f>
        <v/>
      </c>
      <c r="W99" s="25">
        <f>IF($E99="","",N(O99)+SUMIFS($AF99:$IN99,$AF$4:$IN$4,"SEW_ACT"))</f>
        <v/>
      </c>
      <c r="X99" s="25">
        <f>IF($E99="","",N(P99)+SUMIFS($AF99:$IN99,$AF$4:$IN$4,"WASH_ACT"))</f>
        <v/>
      </c>
      <c r="Y99" s="25">
        <f>IF($E99="","",W99-X99-N(T99)-N(U99))</f>
        <v/>
      </c>
      <c r="Z99" s="25">
        <f>IF($E99="","",IF(N(K99)-X99&lt;=0.02*N(K99),0,N(K99)-X99))</f>
        <v/>
      </c>
      <c r="AA99" s="24">
        <f>IF($E99="","",IF(S99&lt;&gt;"",S99,IF(N(O99)&gt;0,IF(L99&lt;&gt;"",L99,99999),IFERROR(1/(1/_xlfn.MINIFS($AF$3:$IN$3,$AF$4:$IN$4,"SEW_ACT",$AF99:$IN99,"&gt;0")),99999))))</f>
        <v/>
      </c>
      <c r="AB99" s="26">
        <f>IF(OR($E99="",Z99=0,V99=""),"",1+COUNTIFS(Z$8:Z$707,"&gt;0",V$8:V$707,"&lt;"&amp;V99)+COUNTIFS(Z$8:Z$707,"&gt;0",V$8:V$707,V99,AA$8:AA$707,"&lt;"&amp;AA99)+COUNTIFS(Z$8:Z$707,"&gt;0",V$8:V$707,V99,AA$8:AA$707,AA99,E$8:E$707,"&lt;"&amp;$E99))</f>
        <v/>
      </c>
      <c r="AC99" s="24">
        <f>IF(OR($E99="",Z99=0),"",IFERROR(TODAY()+ROUNDUP(Z99/(SUMIFS($AF99:$IN99,$AF$4:$IN$4,"WASH_ACT")/COUNTIFS($AF$4:$IN$4,"WASH_ACT",$AF99:$IN99,"&gt;0")),0),"no output yet"))</f>
        <v/>
      </c>
      <c r="AD99" s="26">
        <f>IF($E99="","",IFERROR(ROUND(MAX(0,SUMIFS($AF99:$IN99,$AF$4:$IN$4,"SEW_PLAN",$AF$3:$IN$3,"&lt;="&amp;TODAY())-SUMIFS($AF99:$IN99,$AF$4:$IN$4,"SEW_ACT",$AF$3:$IN$3,"&lt;="&amp;TODAY())+N(Q99))/(SUMIFS($AF99:$IN99,$AF$4:$IN$4,"SEW_PLAN")/COUNTIFS($AF$4:$IN$4,"SEW_PLAN",$AF99:$IN99,"&gt;0")),1),0))</f>
        <v/>
      </c>
      <c r="AE99" s="26">
        <f>IF($E99="","",IF(AND(Z99&gt;0,OR(AND(M99&lt;&gt;"",TODAY()&gt;M99),AND(V99&lt;&gt;"",V99-TODAY()&lt;=7))),"Yes","No"))</f>
        <v/>
      </c>
      <c r="AH99">
        <f>IF(OR(AF$3="",AF$3&gt;TODAY()),"",IF(AND(AF99="",AG99=""),"",N(AG99)-N(AF99)))</f>
        <v/>
      </c>
      <c r="AK99">
        <f>IF(OR(AF$3="",AF$3&gt;TODAY()),"",IF(AND(AI99="",AJ99=""),"",N(AJ99)-N(AI99)))</f>
        <v/>
      </c>
      <c r="AO99">
        <f>IF(OR(AM$3="",AM$3&gt;TODAY()),"",IF(AND(AM99="",AN99=""),"",N(AN99)-N(AM99)))</f>
        <v/>
      </c>
      <c r="AR99">
        <f>IF(OR(AM$3="",AM$3&gt;TODAY()),"",IF(AND(AP99="",AQ99=""),"",N(AQ99)-N(AP99)))</f>
        <v/>
      </c>
      <c r="AV99">
        <f>IF(OR(AT$3="",AT$3&gt;TODAY()),"",IF(AND(AT99="",AU99=""),"",N(AU99)-N(AT99)))</f>
        <v/>
      </c>
      <c r="AY99">
        <f>IF(OR(AT$3="",AT$3&gt;TODAY()),"",IF(AND(AW99="",AX99=""),"",N(AX99)-N(AW99)))</f>
        <v/>
      </c>
      <c r="BC99">
        <f>IF(OR(BA$3="",BA$3&gt;TODAY()),"",IF(AND(BA99="",BB99=""),"",N(BB99)-N(BA99)))</f>
        <v/>
      </c>
      <c r="BF99">
        <f>IF(OR(BA$3="",BA$3&gt;TODAY()),"",IF(AND(BD99="",BE99=""),"",N(BE99)-N(BD99)))</f>
        <v/>
      </c>
      <c r="BJ99">
        <f>IF(OR(BH$3="",BH$3&gt;TODAY()),"",IF(AND(BH99="",BI99=""),"",N(BI99)-N(BH99)))</f>
        <v/>
      </c>
      <c r="BM99">
        <f>IF(OR(BH$3="",BH$3&gt;TODAY()),"",IF(AND(BK99="",BL99=""),"",N(BL99)-N(BK99)))</f>
        <v/>
      </c>
      <c r="BQ99">
        <f>IF(OR(BO$3="",BO$3&gt;TODAY()),"",IF(AND(BO99="",BP99=""),"",N(BP99)-N(BO99)))</f>
        <v/>
      </c>
      <c r="BT99">
        <f>IF(OR(BO$3="",BO$3&gt;TODAY()),"",IF(AND(BR99="",BS99=""),"",N(BS99)-N(BR99)))</f>
        <v/>
      </c>
      <c r="BX99">
        <f>IF(OR(BV$3="",BV$3&gt;TODAY()),"",IF(AND(BV99="",BW99=""),"",N(BW99)-N(BV99)))</f>
        <v/>
      </c>
      <c r="CA99">
        <f>IF(OR(BV$3="",BV$3&gt;TODAY()),"",IF(AND(BY99="",BZ99=""),"",N(BZ99)-N(BY99)))</f>
        <v/>
      </c>
      <c r="CE99">
        <f>IF(OR(CC$3="",CC$3&gt;TODAY()),"",IF(AND(CC99="",CD99=""),"",N(CD99)-N(CC99)))</f>
        <v/>
      </c>
      <c r="CH99">
        <f>IF(OR(CC$3="",CC$3&gt;TODAY()),"",IF(AND(CF99="",CG99=""),"",N(CG99)-N(CF99)))</f>
        <v/>
      </c>
      <c r="CL99">
        <f>IF(OR(CJ$3="",CJ$3&gt;TODAY()),"",IF(AND(CJ99="",CK99=""),"",N(CK99)-N(CJ99)))</f>
        <v/>
      </c>
      <c r="CO99">
        <f>IF(OR(CJ$3="",CJ$3&gt;TODAY()),"",IF(AND(CM99="",CN99=""),"",N(CN99)-N(CM99)))</f>
        <v/>
      </c>
      <c r="CS99">
        <f>IF(OR(CQ$3="",CQ$3&gt;TODAY()),"",IF(AND(CQ99="",CR99=""),"",N(CR99)-N(CQ99)))</f>
        <v/>
      </c>
      <c r="CV99">
        <f>IF(OR(CQ$3="",CQ$3&gt;TODAY()),"",IF(AND(CT99="",CU99=""),"",N(CU99)-N(CT99)))</f>
        <v/>
      </c>
      <c r="CZ99">
        <f>IF(OR(CX$3="",CX$3&gt;TODAY()),"",IF(AND(CX99="",CY99=""),"",N(CY99)-N(CX99)))</f>
        <v/>
      </c>
      <c r="DC99">
        <f>IF(OR(CX$3="",CX$3&gt;TODAY()),"",IF(AND(DA99="",DB99=""),"",N(DB99)-N(DA99)))</f>
        <v/>
      </c>
      <c r="DG99">
        <f>IF(OR(DE$3="",DE$3&gt;TODAY()),"",IF(AND(DE99="",DF99=""),"",N(DF99)-N(DE99)))</f>
        <v/>
      </c>
      <c r="DJ99">
        <f>IF(OR(DE$3="",DE$3&gt;TODAY()),"",IF(AND(DH99="",DI99=""),"",N(DI99)-N(DH99)))</f>
        <v/>
      </c>
      <c r="DN99">
        <f>IF(OR(DL$3="",DL$3&gt;TODAY()),"",IF(AND(DL99="",DM99=""),"",N(DM99)-N(DL99)))</f>
        <v/>
      </c>
      <c r="DQ99">
        <f>IF(OR(DL$3="",DL$3&gt;TODAY()),"",IF(AND(DO99="",DP99=""),"",N(DP99)-N(DO99)))</f>
        <v/>
      </c>
      <c r="DU99">
        <f>IF(OR(DS$3="",DS$3&gt;TODAY()),"",IF(AND(DS99="",DT99=""),"",N(DT99)-N(DS99)))</f>
        <v/>
      </c>
      <c r="DX99">
        <f>IF(OR(DS$3="",DS$3&gt;TODAY()),"",IF(AND(DV99="",DW99=""),"",N(DW99)-N(DV99)))</f>
        <v/>
      </c>
      <c r="EB99">
        <f>IF(OR(DZ$3="",DZ$3&gt;TODAY()),"",IF(AND(DZ99="",EA99=""),"",N(EA99)-N(DZ99)))</f>
        <v/>
      </c>
      <c r="EE99">
        <f>IF(OR(DZ$3="",DZ$3&gt;TODAY()),"",IF(AND(EC99="",ED99=""),"",N(ED99)-N(EC99)))</f>
        <v/>
      </c>
      <c r="EI99">
        <f>IF(OR(EG$3="",EG$3&gt;TODAY()),"",IF(AND(EG99="",EH99=""),"",N(EH99)-N(EG99)))</f>
        <v/>
      </c>
      <c r="EL99">
        <f>IF(OR(EG$3="",EG$3&gt;TODAY()),"",IF(AND(EJ99="",EK99=""),"",N(EK99)-N(EJ99)))</f>
        <v/>
      </c>
      <c r="EP99">
        <f>IF(OR(EN$3="",EN$3&gt;TODAY()),"",IF(AND(EN99="",EO99=""),"",N(EO99)-N(EN99)))</f>
        <v/>
      </c>
      <c r="ES99">
        <f>IF(OR(EN$3="",EN$3&gt;TODAY()),"",IF(AND(EQ99="",ER99=""),"",N(ER99)-N(EQ99)))</f>
        <v/>
      </c>
      <c r="EW99">
        <f>IF(OR(EU$3="",EU$3&gt;TODAY()),"",IF(AND(EU99="",EV99=""),"",N(EV99)-N(EU99)))</f>
        <v/>
      </c>
      <c r="EZ99">
        <f>IF(OR(EU$3="",EU$3&gt;TODAY()),"",IF(AND(EX99="",EY99=""),"",N(EY99)-N(EX99)))</f>
        <v/>
      </c>
      <c r="FD99">
        <f>IF(OR(FB$3="",FB$3&gt;TODAY()),"",IF(AND(FB99="",FC99=""),"",N(FC99)-N(FB99)))</f>
        <v/>
      </c>
      <c r="FG99">
        <f>IF(OR(FB$3="",FB$3&gt;TODAY()),"",IF(AND(FE99="",FF99=""),"",N(FF99)-N(FE99)))</f>
        <v/>
      </c>
      <c r="FK99">
        <f>IF(OR(FI$3="",FI$3&gt;TODAY()),"",IF(AND(FI99="",FJ99=""),"",N(FJ99)-N(FI99)))</f>
        <v/>
      </c>
      <c r="FN99">
        <f>IF(OR(FI$3="",FI$3&gt;TODAY()),"",IF(AND(FL99="",FM99=""),"",N(FM99)-N(FL99)))</f>
        <v/>
      </c>
      <c r="FR99">
        <f>IF(OR(FP$3="",FP$3&gt;TODAY()),"",IF(AND(FP99="",FQ99=""),"",N(FQ99)-N(FP99)))</f>
        <v/>
      </c>
      <c r="FU99">
        <f>IF(OR(FP$3="",FP$3&gt;TODAY()),"",IF(AND(FS99="",FT99=""),"",N(FT99)-N(FS99)))</f>
        <v/>
      </c>
      <c r="FY99">
        <f>IF(OR(FW$3="",FW$3&gt;TODAY()),"",IF(AND(FW99="",FX99=""),"",N(FX99)-N(FW99)))</f>
        <v/>
      </c>
      <c r="GB99">
        <f>IF(OR(FW$3="",FW$3&gt;TODAY()),"",IF(AND(FZ99="",GA99=""),"",N(GA99)-N(FZ99)))</f>
        <v/>
      </c>
      <c r="GF99">
        <f>IF(OR(GD$3="",GD$3&gt;TODAY()),"",IF(AND(GD99="",GE99=""),"",N(GE99)-N(GD99)))</f>
        <v/>
      </c>
      <c r="GI99">
        <f>IF(OR(GD$3="",GD$3&gt;TODAY()),"",IF(AND(GG99="",GH99=""),"",N(GH99)-N(GG99)))</f>
        <v/>
      </c>
      <c r="GM99">
        <f>IF(OR(GK$3="",GK$3&gt;TODAY()),"",IF(AND(GK99="",GL99=""),"",N(GL99)-N(GK99)))</f>
        <v/>
      </c>
      <c r="GP99">
        <f>IF(OR(GK$3="",GK$3&gt;TODAY()),"",IF(AND(GN99="",GO99=""),"",N(GO99)-N(GN99)))</f>
        <v/>
      </c>
      <c r="GT99">
        <f>IF(OR(GR$3="",GR$3&gt;TODAY()),"",IF(AND(GR99="",GS99=""),"",N(GS99)-N(GR99)))</f>
        <v/>
      </c>
      <c r="GW99">
        <f>IF(OR(GR$3="",GR$3&gt;TODAY()),"",IF(AND(GU99="",GV99=""),"",N(GV99)-N(GU99)))</f>
        <v/>
      </c>
      <c r="HA99">
        <f>IF(OR(GY$3="",GY$3&gt;TODAY()),"",IF(AND(GY99="",GZ99=""),"",N(GZ99)-N(GY99)))</f>
        <v/>
      </c>
      <c r="HD99">
        <f>IF(OR(GY$3="",GY$3&gt;TODAY()),"",IF(AND(HB99="",HC99=""),"",N(HC99)-N(HB99)))</f>
        <v/>
      </c>
      <c r="HH99">
        <f>IF(OR(HF$3="",HF$3&gt;TODAY()),"",IF(AND(HF99="",HG99=""),"",N(HG99)-N(HF99)))</f>
        <v/>
      </c>
      <c r="HK99">
        <f>IF(OR(HF$3="",HF$3&gt;TODAY()),"",IF(AND(HI99="",HJ99=""),"",N(HJ99)-N(HI99)))</f>
        <v/>
      </c>
      <c r="HO99">
        <f>IF(OR(HM$3="",HM$3&gt;TODAY()),"",IF(AND(HM99="",HN99=""),"",N(HN99)-N(HM99)))</f>
        <v/>
      </c>
      <c r="HR99">
        <f>IF(OR(HM$3="",HM$3&gt;TODAY()),"",IF(AND(HP99="",HQ99=""),"",N(HQ99)-N(HP99)))</f>
        <v/>
      </c>
      <c r="HV99">
        <f>IF(OR(HT$3="",HT$3&gt;TODAY()),"",IF(AND(HT99="",HU99=""),"",N(HU99)-N(HT99)))</f>
        <v/>
      </c>
      <c r="HY99">
        <f>IF(OR(HT$3="",HT$3&gt;TODAY()),"",IF(AND(HW99="",HX99=""),"",N(HX99)-N(HW99)))</f>
        <v/>
      </c>
      <c r="IC99">
        <f>IF(OR(IA$3="",IA$3&gt;TODAY()),"",IF(AND(IA99="",IB99=""),"",N(IB99)-N(IA99)))</f>
        <v/>
      </c>
      <c r="IF99">
        <f>IF(OR(IA$3="",IA$3&gt;TODAY()),"",IF(AND(ID99="",IE99=""),"",N(IE99)-N(ID99)))</f>
        <v/>
      </c>
      <c r="IJ99">
        <f>IF(OR(IH$3="",IH$3&gt;TODAY()),"",IF(AND(IH99="",II99=""),"",N(II99)-N(IH99)))</f>
        <v/>
      </c>
      <c r="IM99">
        <f>IF(OR(IH$3="",IH$3&gt;TODAY()),"",IF(AND(IK99="",IL99=""),"",N(IL99)-N(IK99)))</f>
        <v/>
      </c>
    </row>
    <row r="100">
      <c r="A100" s="21" t="n"/>
      <c r="B100" s="21" t="n"/>
      <c r="C100" s="21" t="n"/>
      <c r="D100" s="21" t="n"/>
      <c r="E100" s="21" t="n"/>
      <c r="F100" s="21" t="n"/>
      <c r="G100" s="21" t="n"/>
      <c r="H100" s="21" t="n"/>
      <c r="I100" s="22" t="n"/>
      <c r="J100" s="22" t="n"/>
      <c r="K100" s="23" t="n"/>
      <c r="L100" s="22" t="n"/>
      <c r="M100" s="22" t="n"/>
      <c r="N100" s="21" t="n"/>
      <c r="O100" s="23" t="n"/>
      <c r="P100" s="23" t="n"/>
      <c r="Q100" s="23" t="n"/>
      <c r="R100" s="23" t="n"/>
      <c r="S100" s="22" t="n"/>
      <c r="T100" s="23" t="n"/>
      <c r="U100" s="23" t="n"/>
      <c r="V100" s="24">
        <f>IF(J100&lt;&gt;"",J100,IF(I100&lt;&gt;"",I100,""))</f>
        <v/>
      </c>
      <c r="W100" s="25">
        <f>IF($E100="","",N(O100)+SUMIFS($AF100:$IN100,$AF$4:$IN$4,"SEW_ACT"))</f>
        <v/>
      </c>
      <c r="X100" s="25">
        <f>IF($E100="","",N(P100)+SUMIFS($AF100:$IN100,$AF$4:$IN$4,"WASH_ACT"))</f>
        <v/>
      </c>
      <c r="Y100" s="25">
        <f>IF($E100="","",W100-X100-N(T100)-N(U100))</f>
        <v/>
      </c>
      <c r="Z100" s="25">
        <f>IF($E100="","",IF(N(K100)-X100&lt;=0.02*N(K100),0,N(K100)-X100))</f>
        <v/>
      </c>
      <c r="AA100" s="24">
        <f>IF($E100="","",IF(S100&lt;&gt;"",S100,IF(N(O100)&gt;0,IF(L100&lt;&gt;"",L100,99999),IFERROR(1/(1/_xlfn.MINIFS($AF$3:$IN$3,$AF$4:$IN$4,"SEW_ACT",$AF100:$IN100,"&gt;0")),99999))))</f>
        <v/>
      </c>
      <c r="AB100" s="26">
        <f>IF(OR($E100="",Z100=0,V100=""),"",1+COUNTIFS(Z$8:Z$707,"&gt;0",V$8:V$707,"&lt;"&amp;V100)+COUNTIFS(Z$8:Z$707,"&gt;0",V$8:V$707,V100,AA$8:AA$707,"&lt;"&amp;AA100)+COUNTIFS(Z$8:Z$707,"&gt;0",V$8:V$707,V100,AA$8:AA$707,AA100,E$8:E$707,"&lt;"&amp;$E100))</f>
        <v/>
      </c>
      <c r="AC100" s="24">
        <f>IF(OR($E100="",Z100=0),"",IFERROR(TODAY()+ROUNDUP(Z100/(SUMIFS($AF100:$IN100,$AF$4:$IN$4,"WASH_ACT")/COUNTIFS($AF$4:$IN$4,"WASH_ACT",$AF100:$IN100,"&gt;0")),0),"no output yet"))</f>
        <v/>
      </c>
      <c r="AD100" s="26">
        <f>IF($E100="","",IFERROR(ROUND(MAX(0,SUMIFS($AF100:$IN100,$AF$4:$IN$4,"SEW_PLAN",$AF$3:$IN$3,"&lt;="&amp;TODAY())-SUMIFS($AF100:$IN100,$AF$4:$IN$4,"SEW_ACT",$AF$3:$IN$3,"&lt;="&amp;TODAY())+N(Q100))/(SUMIFS($AF100:$IN100,$AF$4:$IN$4,"SEW_PLAN")/COUNTIFS($AF$4:$IN$4,"SEW_PLAN",$AF100:$IN100,"&gt;0")),1),0))</f>
        <v/>
      </c>
      <c r="AE100" s="26">
        <f>IF($E100="","",IF(AND(Z100&gt;0,OR(AND(M100&lt;&gt;"",TODAY()&gt;M100),AND(V100&lt;&gt;"",V100-TODAY()&lt;=7))),"Yes","No"))</f>
        <v/>
      </c>
      <c r="AH100">
        <f>IF(OR(AF$3="",AF$3&gt;TODAY()),"",IF(AND(AF100="",AG100=""),"",N(AG100)-N(AF100)))</f>
        <v/>
      </c>
      <c r="AK100">
        <f>IF(OR(AF$3="",AF$3&gt;TODAY()),"",IF(AND(AI100="",AJ100=""),"",N(AJ100)-N(AI100)))</f>
        <v/>
      </c>
      <c r="AO100">
        <f>IF(OR(AM$3="",AM$3&gt;TODAY()),"",IF(AND(AM100="",AN100=""),"",N(AN100)-N(AM100)))</f>
        <v/>
      </c>
      <c r="AR100">
        <f>IF(OR(AM$3="",AM$3&gt;TODAY()),"",IF(AND(AP100="",AQ100=""),"",N(AQ100)-N(AP100)))</f>
        <v/>
      </c>
      <c r="AV100">
        <f>IF(OR(AT$3="",AT$3&gt;TODAY()),"",IF(AND(AT100="",AU100=""),"",N(AU100)-N(AT100)))</f>
        <v/>
      </c>
      <c r="AY100">
        <f>IF(OR(AT$3="",AT$3&gt;TODAY()),"",IF(AND(AW100="",AX100=""),"",N(AX100)-N(AW100)))</f>
        <v/>
      </c>
      <c r="BC100">
        <f>IF(OR(BA$3="",BA$3&gt;TODAY()),"",IF(AND(BA100="",BB100=""),"",N(BB100)-N(BA100)))</f>
        <v/>
      </c>
      <c r="BF100">
        <f>IF(OR(BA$3="",BA$3&gt;TODAY()),"",IF(AND(BD100="",BE100=""),"",N(BE100)-N(BD100)))</f>
        <v/>
      </c>
      <c r="BJ100">
        <f>IF(OR(BH$3="",BH$3&gt;TODAY()),"",IF(AND(BH100="",BI100=""),"",N(BI100)-N(BH100)))</f>
        <v/>
      </c>
      <c r="BM100">
        <f>IF(OR(BH$3="",BH$3&gt;TODAY()),"",IF(AND(BK100="",BL100=""),"",N(BL100)-N(BK100)))</f>
        <v/>
      </c>
      <c r="BQ100">
        <f>IF(OR(BO$3="",BO$3&gt;TODAY()),"",IF(AND(BO100="",BP100=""),"",N(BP100)-N(BO100)))</f>
        <v/>
      </c>
      <c r="BT100">
        <f>IF(OR(BO$3="",BO$3&gt;TODAY()),"",IF(AND(BR100="",BS100=""),"",N(BS100)-N(BR100)))</f>
        <v/>
      </c>
      <c r="BX100">
        <f>IF(OR(BV$3="",BV$3&gt;TODAY()),"",IF(AND(BV100="",BW100=""),"",N(BW100)-N(BV100)))</f>
        <v/>
      </c>
      <c r="CA100">
        <f>IF(OR(BV$3="",BV$3&gt;TODAY()),"",IF(AND(BY100="",BZ100=""),"",N(BZ100)-N(BY100)))</f>
        <v/>
      </c>
      <c r="CE100">
        <f>IF(OR(CC$3="",CC$3&gt;TODAY()),"",IF(AND(CC100="",CD100=""),"",N(CD100)-N(CC100)))</f>
        <v/>
      </c>
      <c r="CH100">
        <f>IF(OR(CC$3="",CC$3&gt;TODAY()),"",IF(AND(CF100="",CG100=""),"",N(CG100)-N(CF100)))</f>
        <v/>
      </c>
      <c r="CL100">
        <f>IF(OR(CJ$3="",CJ$3&gt;TODAY()),"",IF(AND(CJ100="",CK100=""),"",N(CK100)-N(CJ100)))</f>
        <v/>
      </c>
      <c r="CO100">
        <f>IF(OR(CJ$3="",CJ$3&gt;TODAY()),"",IF(AND(CM100="",CN100=""),"",N(CN100)-N(CM100)))</f>
        <v/>
      </c>
      <c r="CS100">
        <f>IF(OR(CQ$3="",CQ$3&gt;TODAY()),"",IF(AND(CQ100="",CR100=""),"",N(CR100)-N(CQ100)))</f>
        <v/>
      </c>
      <c r="CV100">
        <f>IF(OR(CQ$3="",CQ$3&gt;TODAY()),"",IF(AND(CT100="",CU100=""),"",N(CU100)-N(CT100)))</f>
        <v/>
      </c>
      <c r="CZ100">
        <f>IF(OR(CX$3="",CX$3&gt;TODAY()),"",IF(AND(CX100="",CY100=""),"",N(CY100)-N(CX100)))</f>
        <v/>
      </c>
      <c r="DC100">
        <f>IF(OR(CX$3="",CX$3&gt;TODAY()),"",IF(AND(DA100="",DB100=""),"",N(DB100)-N(DA100)))</f>
        <v/>
      </c>
      <c r="DG100">
        <f>IF(OR(DE$3="",DE$3&gt;TODAY()),"",IF(AND(DE100="",DF100=""),"",N(DF100)-N(DE100)))</f>
        <v/>
      </c>
      <c r="DJ100">
        <f>IF(OR(DE$3="",DE$3&gt;TODAY()),"",IF(AND(DH100="",DI100=""),"",N(DI100)-N(DH100)))</f>
        <v/>
      </c>
      <c r="DN100">
        <f>IF(OR(DL$3="",DL$3&gt;TODAY()),"",IF(AND(DL100="",DM100=""),"",N(DM100)-N(DL100)))</f>
        <v/>
      </c>
      <c r="DQ100">
        <f>IF(OR(DL$3="",DL$3&gt;TODAY()),"",IF(AND(DO100="",DP100=""),"",N(DP100)-N(DO100)))</f>
        <v/>
      </c>
      <c r="DU100">
        <f>IF(OR(DS$3="",DS$3&gt;TODAY()),"",IF(AND(DS100="",DT100=""),"",N(DT100)-N(DS100)))</f>
        <v/>
      </c>
      <c r="DX100">
        <f>IF(OR(DS$3="",DS$3&gt;TODAY()),"",IF(AND(DV100="",DW100=""),"",N(DW100)-N(DV100)))</f>
        <v/>
      </c>
      <c r="EB100">
        <f>IF(OR(DZ$3="",DZ$3&gt;TODAY()),"",IF(AND(DZ100="",EA100=""),"",N(EA100)-N(DZ100)))</f>
        <v/>
      </c>
      <c r="EE100">
        <f>IF(OR(DZ$3="",DZ$3&gt;TODAY()),"",IF(AND(EC100="",ED100=""),"",N(ED100)-N(EC100)))</f>
        <v/>
      </c>
      <c r="EI100">
        <f>IF(OR(EG$3="",EG$3&gt;TODAY()),"",IF(AND(EG100="",EH100=""),"",N(EH100)-N(EG100)))</f>
        <v/>
      </c>
      <c r="EL100">
        <f>IF(OR(EG$3="",EG$3&gt;TODAY()),"",IF(AND(EJ100="",EK100=""),"",N(EK100)-N(EJ100)))</f>
        <v/>
      </c>
      <c r="EP100">
        <f>IF(OR(EN$3="",EN$3&gt;TODAY()),"",IF(AND(EN100="",EO100=""),"",N(EO100)-N(EN100)))</f>
        <v/>
      </c>
      <c r="ES100">
        <f>IF(OR(EN$3="",EN$3&gt;TODAY()),"",IF(AND(EQ100="",ER100=""),"",N(ER100)-N(EQ100)))</f>
        <v/>
      </c>
      <c r="EW100">
        <f>IF(OR(EU$3="",EU$3&gt;TODAY()),"",IF(AND(EU100="",EV100=""),"",N(EV100)-N(EU100)))</f>
        <v/>
      </c>
      <c r="EZ100">
        <f>IF(OR(EU$3="",EU$3&gt;TODAY()),"",IF(AND(EX100="",EY100=""),"",N(EY100)-N(EX100)))</f>
        <v/>
      </c>
      <c r="FD100">
        <f>IF(OR(FB$3="",FB$3&gt;TODAY()),"",IF(AND(FB100="",FC100=""),"",N(FC100)-N(FB100)))</f>
        <v/>
      </c>
      <c r="FG100">
        <f>IF(OR(FB$3="",FB$3&gt;TODAY()),"",IF(AND(FE100="",FF100=""),"",N(FF100)-N(FE100)))</f>
        <v/>
      </c>
      <c r="FK100">
        <f>IF(OR(FI$3="",FI$3&gt;TODAY()),"",IF(AND(FI100="",FJ100=""),"",N(FJ100)-N(FI100)))</f>
        <v/>
      </c>
      <c r="FN100">
        <f>IF(OR(FI$3="",FI$3&gt;TODAY()),"",IF(AND(FL100="",FM100=""),"",N(FM100)-N(FL100)))</f>
        <v/>
      </c>
      <c r="FR100">
        <f>IF(OR(FP$3="",FP$3&gt;TODAY()),"",IF(AND(FP100="",FQ100=""),"",N(FQ100)-N(FP100)))</f>
        <v/>
      </c>
      <c r="FU100">
        <f>IF(OR(FP$3="",FP$3&gt;TODAY()),"",IF(AND(FS100="",FT100=""),"",N(FT100)-N(FS100)))</f>
        <v/>
      </c>
      <c r="FY100">
        <f>IF(OR(FW$3="",FW$3&gt;TODAY()),"",IF(AND(FW100="",FX100=""),"",N(FX100)-N(FW100)))</f>
        <v/>
      </c>
      <c r="GB100">
        <f>IF(OR(FW$3="",FW$3&gt;TODAY()),"",IF(AND(FZ100="",GA100=""),"",N(GA100)-N(FZ100)))</f>
        <v/>
      </c>
      <c r="GF100">
        <f>IF(OR(GD$3="",GD$3&gt;TODAY()),"",IF(AND(GD100="",GE100=""),"",N(GE100)-N(GD100)))</f>
        <v/>
      </c>
      <c r="GI100">
        <f>IF(OR(GD$3="",GD$3&gt;TODAY()),"",IF(AND(GG100="",GH100=""),"",N(GH100)-N(GG100)))</f>
        <v/>
      </c>
      <c r="GM100">
        <f>IF(OR(GK$3="",GK$3&gt;TODAY()),"",IF(AND(GK100="",GL100=""),"",N(GL100)-N(GK100)))</f>
        <v/>
      </c>
      <c r="GP100">
        <f>IF(OR(GK$3="",GK$3&gt;TODAY()),"",IF(AND(GN100="",GO100=""),"",N(GO100)-N(GN100)))</f>
        <v/>
      </c>
      <c r="GT100">
        <f>IF(OR(GR$3="",GR$3&gt;TODAY()),"",IF(AND(GR100="",GS100=""),"",N(GS100)-N(GR100)))</f>
        <v/>
      </c>
      <c r="GW100">
        <f>IF(OR(GR$3="",GR$3&gt;TODAY()),"",IF(AND(GU100="",GV100=""),"",N(GV100)-N(GU100)))</f>
        <v/>
      </c>
      <c r="HA100">
        <f>IF(OR(GY$3="",GY$3&gt;TODAY()),"",IF(AND(GY100="",GZ100=""),"",N(GZ100)-N(GY100)))</f>
        <v/>
      </c>
      <c r="HD100">
        <f>IF(OR(GY$3="",GY$3&gt;TODAY()),"",IF(AND(HB100="",HC100=""),"",N(HC100)-N(HB100)))</f>
        <v/>
      </c>
      <c r="HH100">
        <f>IF(OR(HF$3="",HF$3&gt;TODAY()),"",IF(AND(HF100="",HG100=""),"",N(HG100)-N(HF100)))</f>
        <v/>
      </c>
      <c r="HK100">
        <f>IF(OR(HF$3="",HF$3&gt;TODAY()),"",IF(AND(HI100="",HJ100=""),"",N(HJ100)-N(HI100)))</f>
        <v/>
      </c>
      <c r="HO100">
        <f>IF(OR(HM$3="",HM$3&gt;TODAY()),"",IF(AND(HM100="",HN100=""),"",N(HN100)-N(HM100)))</f>
        <v/>
      </c>
      <c r="HR100">
        <f>IF(OR(HM$3="",HM$3&gt;TODAY()),"",IF(AND(HP100="",HQ100=""),"",N(HQ100)-N(HP100)))</f>
        <v/>
      </c>
      <c r="HV100">
        <f>IF(OR(HT$3="",HT$3&gt;TODAY()),"",IF(AND(HT100="",HU100=""),"",N(HU100)-N(HT100)))</f>
        <v/>
      </c>
      <c r="HY100">
        <f>IF(OR(HT$3="",HT$3&gt;TODAY()),"",IF(AND(HW100="",HX100=""),"",N(HX100)-N(HW100)))</f>
        <v/>
      </c>
      <c r="IC100">
        <f>IF(OR(IA$3="",IA$3&gt;TODAY()),"",IF(AND(IA100="",IB100=""),"",N(IB100)-N(IA100)))</f>
        <v/>
      </c>
      <c r="IF100">
        <f>IF(OR(IA$3="",IA$3&gt;TODAY()),"",IF(AND(ID100="",IE100=""),"",N(IE100)-N(ID100)))</f>
        <v/>
      </c>
      <c r="IJ100">
        <f>IF(OR(IH$3="",IH$3&gt;TODAY()),"",IF(AND(IH100="",II100=""),"",N(II100)-N(IH100)))</f>
        <v/>
      </c>
      <c r="IM100">
        <f>IF(OR(IH$3="",IH$3&gt;TODAY()),"",IF(AND(IK100="",IL100=""),"",N(IL100)-N(IK100)))</f>
        <v/>
      </c>
    </row>
    <row r="101">
      <c r="A101" s="21" t="n"/>
      <c r="B101" s="21" t="n"/>
      <c r="C101" s="21" t="n"/>
      <c r="D101" s="21" t="n"/>
      <c r="E101" s="21" t="n"/>
      <c r="F101" s="21" t="n"/>
      <c r="G101" s="21" t="n"/>
      <c r="H101" s="21" t="n"/>
      <c r="I101" s="22" t="n"/>
      <c r="J101" s="22" t="n"/>
      <c r="K101" s="23" t="n"/>
      <c r="L101" s="22" t="n"/>
      <c r="M101" s="22" t="n"/>
      <c r="N101" s="21" t="n"/>
      <c r="O101" s="23" t="n"/>
      <c r="P101" s="23" t="n"/>
      <c r="Q101" s="23" t="n"/>
      <c r="R101" s="23" t="n"/>
      <c r="S101" s="22" t="n"/>
      <c r="T101" s="23" t="n"/>
      <c r="U101" s="23" t="n"/>
      <c r="V101" s="24">
        <f>IF(J101&lt;&gt;"",J101,IF(I101&lt;&gt;"",I101,""))</f>
        <v/>
      </c>
      <c r="W101" s="25">
        <f>IF($E101="","",N(O101)+SUMIFS($AF101:$IN101,$AF$4:$IN$4,"SEW_ACT"))</f>
        <v/>
      </c>
      <c r="X101" s="25">
        <f>IF($E101="","",N(P101)+SUMIFS($AF101:$IN101,$AF$4:$IN$4,"WASH_ACT"))</f>
        <v/>
      </c>
      <c r="Y101" s="25">
        <f>IF($E101="","",W101-X101-N(T101)-N(U101))</f>
        <v/>
      </c>
      <c r="Z101" s="25">
        <f>IF($E101="","",IF(N(K101)-X101&lt;=0.02*N(K101),0,N(K101)-X101))</f>
        <v/>
      </c>
      <c r="AA101" s="24">
        <f>IF($E101="","",IF(S101&lt;&gt;"",S101,IF(N(O101)&gt;0,IF(L101&lt;&gt;"",L101,99999),IFERROR(1/(1/_xlfn.MINIFS($AF$3:$IN$3,$AF$4:$IN$4,"SEW_ACT",$AF101:$IN101,"&gt;0")),99999))))</f>
        <v/>
      </c>
      <c r="AB101" s="26">
        <f>IF(OR($E101="",Z101=0,V101=""),"",1+COUNTIFS(Z$8:Z$707,"&gt;0",V$8:V$707,"&lt;"&amp;V101)+COUNTIFS(Z$8:Z$707,"&gt;0",V$8:V$707,V101,AA$8:AA$707,"&lt;"&amp;AA101)+COUNTIFS(Z$8:Z$707,"&gt;0",V$8:V$707,V101,AA$8:AA$707,AA101,E$8:E$707,"&lt;"&amp;$E101))</f>
        <v/>
      </c>
      <c r="AC101" s="24">
        <f>IF(OR($E101="",Z101=0),"",IFERROR(TODAY()+ROUNDUP(Z101/(SUMIFS($AF101:$IN101,$AF$4:$IN$4,"WASH_ACT")/COUNTIFS($AF$4:$IN$4,"WASH_ACT",$AF101:$IN101,"&gt;0")),0),"no output yet"))</f>
        <v/>
      </c>
      <c r="AD101" s="26">
        <f>IF($E101="","",IFERROR(ROUND(MAX(0,SUMIFS($AF101:$IN101,$AF$4:$IN$4,"SEW_PLAN",$AF$3:$IN$3,"&lt;="&amp;TODAY())-SUMIFS($AF101:$IN101,$AF$4:$IN$4,"SEW_ACT",$AF$3:$IN$3,"&lt;="&amp;TODAY())+N(Q101))/(SUMIFS($AF101:$IN101,$AF$4:$IN$4,"SEW_PLAN")/COUNTIFS($AF$4:$IN$4,"SEW_PLAN",$AF101:$IN101,"&gt;0")),1),0))</f>
        <v/>
      </c>
      <c r="AE101" s="26">
        <f>IF($E101="","",IF(AND(Z101&gt;0,OR(AND(M101&lt;&gt;"",TODAY()&gt;M101),AND(V101&lt;&gt;"",V101-TODAY()&lt;=7))),"Yes","No"))</f>
        <v/>
      </c>
      <c r="AH101">
        <f>IF(OR(AF$3="",AF$3&gt;TODAY()),"",IF(AND(AF101="",AG101=""),"",N(AG101)-N(AF101)))</f>
        <v/>
      </c>
      <c r="AK101">
        <f>IF(OR(AF$3="",AF$3&gt;TODAY()),"",IF(AND(AI101="",AJ101=""),"",N(AJ101)-N(AI101)))</f>
        <v/>
      </c>
      <c r="AO101">
        <f>IF(OR(AM$3="",AM$3&gt;TODAY()),"",IF(AND(AM101="",AN101=""),"",N(AN101)-N(AM101)))</f>
        <v/>
      </c>
      <c r="AR101">
        <f>IF(OR(AM$3="",AM$3&gt;TODAY()),"",IF(AND(AP101="",AQ101=""),"",N(AQ101)-N(AP101)))</f>
        <v/>
      </c>
      <c r="AV101">
        <f>IF(OR(AT$3="",AT$3&gt;TODAY()),"",IF(AND(AT101="",AU101=""),"",N(AU101)-N(AT101)))</f>
        <v/>
      </c>
      <c r="AY101">
        <f>IF(OR(AT$3="",AT$3&gt;TODAY()),"",IF(AND(AW101="",AX101=""),"",N(AX101)-N(AW101)))</f>
        <v/>
      </c>
      <c r="BC101">
        <f>IF(OR(BA$3="",BA$3&gt;TODAY()),"",IF(AND(BA101="",BB101=""),"",N(BB101)-N(BA101)))</f>
        <v/>
      </c>
      <c r="BF101">
        <f>IF(OR(BA$3="",BA$3&gt;TODAY()),"",IF(AND(BD101="",BE101=""),"",N(BE101)-N(BD101)))</f>
        <v/>
      </c>
      <c r="BJ101">
        <f>IF(OR(BH$3="",BH$3&gt;TODAY()),"",IF(AND(BH101="",BI101=""),"",N(BI101)-N(BH101)))</f>
        <v/>
      </c>
      <c r="BM101">
        <f>IF(OR(BH$3="",BH$3&gt;TODAY()),"",IF(AND(BK101="",BL101=""),"",N(BL101)-N(BK101)))</f>
        <v/>
      </c>
      <c r="BQ101">
        <f>IF(OR(BO$3="",BO$3&gt;TODAY()),"",IF(AND(BO101="",BP101=""),"",N(BP101)-N(BO101)))</f>
        <v/>
      </c>
      <c r="BT101">
        <f>IF(OR(BO$3="",BO$3&gt;TODAY()),"",IF(AND(BR101="",BS101=""),"",N(BS101)-N(BR101)))</f>
        <v/>
      </c>
      <c r="BX101">
        <f>IF(OR(BV$3="",BV$3&gt;TODAY()),"",IF(AND(BV101="",BW101=""),"",N(BW101)-N(BV101)))</f>
        <v/>
      </c>
      <c r="CA101">
        <f>IF(OR(BV$3="",BV$3&gt;TODAY()),"",IF(AND(BY101="",BZ101=""),"",N(BZ101)-N(BY101)))</f>
        <v/>
      </c>
      <c r="CE101">
        <f>IF(OR(CC$3="",CC$3&gt;TODAY()),"",IF(AND(CC101="",CD101=""),"",N(CD101)-N(CC101)))</f>
        <v/>
      </c>
      <c r="CH101">
        <f>IF(OR(CC$3="",CC$3&gt;TODAY()),"",IF(AND(CF101="",CG101=""),"",N(CG101)-N(CF101)))</f>
        <v/>
      </c>
      <c r="CL101">
        <f>IF(OR(CJ$3="",CJ$3&gt;TODAY()),"",IF(AND(CJ101="",CK101=""),"",N(CK101)-N(CJ101)))</f>
        <v/>
      </c>
      <c r="CO101">
        <f>IF(OR(CJ$3="",CJ$3&gt;TODAY()),"",IF(AND(CM101="",CN101=""),"",N(CN101)-N(CM101)))</f>
        <v/>
      </c>
      <c r="CS101">
        <f>IF(OR(CQ$3="",CQ$3&gt;TODAY()),"",IF(AND(CQ101="",CR101=""),"",N(CR101)-N(CQ101)))</f>
        <v/>
      </c>
      <c r="CV101">
        <f>IF(OR(CQ$3="",CQ$3&gt;TODAY()),"",IF(AND(CT101="",CU101=""),"",N(CU101)-N(CT101)))</f>
        <v/>
      </c>
      <c r="CZ101">
        <f>IF(OR(CX$3="",CX$3&gt;TODAY()),"",IF(AND(CX101="",CY101=""),"",N(CY101)-N(CX101)))</f>
        <v/>
      </c>
      <c r="DC101">
        <f>IF(OR(CX$3="",CX$3&gt;TODAY()),"",IF(AND(DA101="",DB101=""),"",N(DB101)-N(DA101)))</f>
        <v/>
      </c>
      <c r="DG101">
        <f>IF(OR(DE$3="",DE$3&gt;TODAY()),"",IF(AND(DE101="",DF101=""),"",N(DF101)-N(DE101)))</f>
        <v/>
      </c>
      <c r="DJ101">
        <f>IF(OR(DE$3="",DE$3&gt;TODAY()),"",IF(AND(DH101="",DI101=""),"",N(DI101)-N(DH101)))</f>
        <v/>
      </c>
      <c r="DN101">
        <f>IF(OR(DL$3="",DL$3&gt;TODAY()),"",IF(AND(DL101="",DM101=""),"",N(DM101)-N(DL101)))</f>
        <v/>
      </c>
      <c r="DQ101">
        <f>IF(OR(DL$3="",DL$3&gt;TODAY()),"",IF(AND(DO101="",DP101=""),"",N(DP101)-N(DO101)))</f>
        <v/>
      </c>
      <c r="DU101">
        <f>IF(OR(DS$3="",DS$3&gt;TODAY()),"",IF(AND(DS101="",DT101=""),"",N(DT101)-N(DS101)))</f>
        <v/>
      </c>
      <c r="DX101">
        <f>IF(OR(DS$3="",DS$3&gt;TODAY()),"",IF(AND(DV101="",DW101=""),"",N(DW101)-N(DV101)))</f>
        <v/>
      </c>
      <c r="EB101">
        <f>IF(OR(DZ$3="",DZ$3&gt;TODAY()),"",IF(AND(DZ101="",EA101=""),"",N(EA101)-N(DZ101)))</f>
        <v/>
      </c>
      <c r="EE101">
        <f>IF(OR(DZ$3="",DZ$3&gt;TODAY()),"",IF(AND(EC101="",ED101=""),"",N(ED101)-N(EC101)))</f>
        <v/>
      </c>
      <c r="EI101">
        <f>IF(OR(EG$3="",EG$3&gt;TODAY()),"",IF(AND(EG101="",EH101=""),"",N(EH101)-N(EG101)))</f>
        <v/>
      </c>
      <c r="EL101">
        <f>IF(OR(EG$3="",EG$3&gt;TODAY()),"",IF(AND(EJ101="",EK101=""),"",N(EK101)-N(EJ101)))</f>
        <v/>
      </c>
      <c r="EP101">
        <f>IF(OR(EN$3="",EN$3&gt;TODAY()),"",IF(AND(EN101="",EO101=""),"",N(EO101)-N(EN101)))</f>
        <v/>
      </c>
      <c r="ES101">
        <f>IF(OR(EN$3="",EN$3&gt;TODAY()),"",IF(AND(EQ101="",ER101=""),"",N(ER101)-N(EQ101)))</f>
        <v/>
      </c>
      <c r="EW101">
        <f>IF(OR(EU$3="",EU$3&gt;TODAY()),"",IF(AND(EU101="",EV101=""),"",N(EV101)-N(EU101)))</f>
        <v/>
      </c>
      <c r="EZ101">
        <f>IF(OR(EU$3="",EU$3&gt;TODAY()),"",IF(AND(EX101="",EY101=""),"",N(EY101)-N(EX101)))</f>
        <v/>
      </c>
      <c r="FD101">
        <f>IF(OR(FB$3="",FB$3&gt;TODAY()),"",IF(AND(FB101="",FC101=""),"",N(FC101)-N(FB101)))</f>
        <v/>
      </c>
      <c r="FG101">
        <f>IF(OR(FB$3="",FB$3&gt;TODAY()),"",IF(AND(FE101="",FF101=""),"",N(FF101)-N(FE101)))</f>
        <v/>
      </c>
      <c r="FK101">
        <f>IF(OR(FI$3="",FI$3&gt;TODAY()),"",IF(AND(FI101="",FJ101=""),"",N(FJ101)-N(FI101)))</f>
        <v/>
      </c>
      <c r="FN101">
        <f>IF(OR(FI$3="",FI$3&gt;TODAY()),"",IF(AND(FL101="",FM101=""),"",N(FM101)-N(FL101)))</f>
        <v/>
      </c>
      <c r="FR101">
        <f>IF(OR(FP$3="",FP$3&gt;TODAY()),"",IF(AND(FP101="",FQ101=""),"",N(FQ101)-N(FP101)))</f>
        <v/>
      </c>
      <c r="FU101">
        <f>IF(OR(FP$3="",FP$3&gt;TODAY()),"",IF(AND(FS101="",FT101=""),"",N(FT101)-N(FS101)))</f>
        <v/>
      </c>
      <c r="FY101">
        <f>IF(OR(FW$3="",FW$3&gt;TODAY()),"",IF(AND(FW101="",FX101=""),"",N(FX101)-N(FW101)))</f>
        <v/>
      </c>
      <c r="GB101">
        <f>IF(OR(FW$3="",FW$3&gt;TODAY()),"",IF(AND(FZ101="",GA101=""),"",N(GA101)-N(FZ101)))</f>
        <v/>
      </c>
      <c r="GF101">
        <f>IF(OR(GD$3="",GD$3&gt;TODAY()),"",IF(AND(GD101="",GE101=""),"",N(GE101)-N(GD101)))</f>
        <v/>
      </c>
      <c r="GI101">
        <f>IF(OR(GD$3="",GD$3&gt;TODAY()),"",IF(AND(GG101="",GH101=""),"",N(GH101)-N(GG101)))</f>
        <v/>
      </c>
      <c r="GM101">
        <f>IF(OR(GK$3="",GK$3&gt;TODAY()),"",IF(AND(GK101="",GL101=""),"",N(GL101)-N(GK101)))</f>
        <v/>
      </c>
      <c r="GP101">
        <f>IF(OR(GK$3="",GK$3&gt;TODAY()),"",IF(AND(GN101="",GO101=""),"",N(GO101)-N(GN101)))</f>
        <v/>
      </c>
      <c r="GT101">
        <f>IF(OR(GR$3="",GR$3&gt;TODAY()),"",IF(AND(GR101="",GS101=""),"",N(GS101)-N(GR101)))</f>
        <v/>
      </c>
      <c r="GW101">
        <f>IF(OR(GR$3="",GR$3&gt;TODAY()),"",IF(AND(GU101="",GV101=""),"",N(GV101)-N(GU101)))</f>
        <v/>
      </c>
      <c r="HA101">
        <f>IF(OR(GY$3="",GY$3&gt;TODAY()),"",IF(AND(GY101="",GZ101=""),"",N(GZ101)-N(GY101)))</f>
        <v/>
      </c>
      <c r="HD101">
        <f>IF(OR(GY$3="",GY$3&gt;TODAY()),"",IF(AND(HB101="",HC101=""),"",N(HC101)-N(HB101)))</f>
        <v/>
      </c>
      <c r="HH101">
        <f>IF(OR(HF$3="",HF$3&gt;TODAY()),"",IF(AND(HF101="",HG101=""),"",N(HG101)-N(HF101)))</f>
        <v/>
      </c>
      <c r="HK101">
        <f>IF(OR(HF$3="",HF$3&gt;TODAY()),"",IF(AND(HI101="",HJ101=""),"",N(HJ101)-N(HI101)))</f>
        <v/>
      </c>
      <c r="HO101">
        <f>IF(OR(HM$3="",HM$3&gt;TODAY()),"",IF(AND(HM101="",HN101=""),"",N(HN101)-N(HM101)))</f>
        <v/>
      </c>
      <c r="HR101">
        <f>IF(OR(HM$3="",HM$3&gt;TODAY()),"",IF(AND(HP101="",HQ101=""),"",N(HQ101)-N(HP101)))</f>
        <v/>
      </c>
      <c r="HV101">
        <f>IF(OR(HT$3="",HT$3&gt;TODAY()),"",IF(AND(HT101="",HU101=""),"",N(HU101)-N(HT101)))</f>
        <v/>
      </c>
      <c r="HY101">
        <f>IF(OR(HT$3="",HT$3&gt;TODAY()),"",IF(AND(HW101="",HX101=""),"",N(HX101)-N(HW101)))</f>
        <v/>
      </c>
      <c r="IC101">
        <f>IF(OR(IA$3="",IA$3&gt;TODAY()),"",IF(AND(IA101="",IB101=""),"",N(IB101)-N(IA101)))</f>
        <v/>
      </c>
      <c r="IF101">
        <f>IF(OR(IA$3="",IA$3&gt;TODAY()),"",IF(AND(ID101="",IE101=""),"",N(IE101)-N(ID101)))</f>
        <v/>
      </c>
      <c r="IJ101">
        <f>IF(OR(IH$3="",IH$3&gt;TODAY()),"",IF(AND(IH101="",II101=""),"",N(II101)-N(IH101)))</f>
        <v/>
      </c>
      <c r="IM101">
        <f>IF(OR(IH$3="",IH$3&gt;TODAY()),"",IF(AND(IK101="",IL101=""),"",N(IL101)-N(IK101)))</f>
        <v/>
      </c>
    </row>
    <row r="102">
      <c r="A102" s="21" t="n"/>
      <c r="B102" s="21" t="n"/>
      <c r="C102" s="21" t="n"/>
      <c r="D102" s="21" t="n"/>
      <c r="E102" s="21" t="n"/>
      <c r="F102" s="21" t="n"/>
      <c r="G102" s="21" t="n"/>
      <c r="H102" s="21" t="n"/>
      <c r="I102" s="22" t="n"/>
      <c r="J102" s="22" t="n"/>
      <c r="K102" s="23" t="n"/>
      <c r="L102" s="22" t="n"/>
      <c r="M102" s="22" t="n"/>
      <c r="N102" s="21" t="n"/>
      <c r="O102" s="23" t="n"/>
      <c r="P102" s="23" t="n"/>
      <c r="Q102" s="23" t="n"/>
      <c r="R102" s="23" t="n"/>
      <c r="S102" s="22" t="n"/>
      <c r="T102" s="23" t="n"/>
      <c r="U102" s="23" t="n"/>
      <c r="V102" s="24">
        <f>IF(J102&lt;&gt;"",J102,IF(I102&lt;&gt;"",I102,""))</f>
        <v/>
      </c>
      <c r="W102" s="25">
        <f>IF($E102="","",N(O102)+SUMIFS($AF102:$IN102,$AF$4:$IN$4,"SEW_ACT"))</f>
        <v/>
      </c>
      <c r="X102" s="25">
        <f>IF($E102="","",N(P102)+SUMIFS($AF102:$IN102,$AF$4:$IN$4,"WASH_ACT"))</f>
        <v/>
      </c>
      <c r="Y102" s="25">
        <f>IF($E102="","",W102-X102-N(T102)-N(U102))</f>
        <v/>
      </c>
      <c r="Z102" s="25">
        <f>IF($E102="","",IF(N(K102)-X102&lt;=0.02*N(K102),0,N(K102)-X102))</f>
        <v/>
      </c>
      <c r="AA102" s="24">
        <f>IF($E102="","",IF(S102&lt;&gt;"",S102,IF(N(O102)&gt;0,IF(L102&lt;&gt;"",L102,99999),IFERROR(1/(1/_xlfn.MINIFS($AF$3:$IN$3,$AF$4:$IN$4,"SEW_ACT",$AF102:$IN102,"&gt;0")),99999))))</f>
        <v/>
      </c>
      <c r="AB102" s="26">
        <f>IF(OR($E102="",Z102=0,V102=""),"",1+COUNTIFS(Z$8:Z$707,"&gt;0",V$8:V$707,"&lt;"&amp;V102)+COUNTIFS(Z$8:Z$707,"&gt;0",V$8:V$707,V102,AA$8:AA$707,"&lt;"&amp;AA102)+COUNTIFS(Z$8:Z$707,"&gt;0",V$8:V$707,V102,AA$8:AA$707,AA102,E$8:E$707,"&lt;"&amp;$E102))</f>
        <v/>
      </c>
      <c r="AC102" s="24">
        <f>IF(OR($E102="",Z102=0),"",IFERROR(TODAY()+ROUNDUP(Z102/(SUMIFS($AF102:$IN102,$AF$4:$IN$4,"WASH_ACT")/COUNTIFS($AF$4:$IN$4,"WASH_ACT",$AF102:$IN102,"&gt;0")),0),"no output yet"))</f>
        <v/>
      </c>
      <c r="AD102" s="26">
        <f>IF($E102="","",IFERROR(ROUND(MAX(0,SUMIFS($AF102:$IN102,$AF$4:$IN$4,"SEW_PLAN",$AF$3:$IN$3,"&lt;="&amp;TODAY())-SUMIFS($AF102:$IN102,$AF$4:$IN$4,"SEW_ACT",$AF$3:$IN$3,"&lt;="&amp;TODAY())+N(Q102))/(SUMIFS($AF102:$IN102,$AF$4:$IN$4,"SEW_PLAN")/COUNTIFS($AF$4:$IN$4,"SEW_PLAN",$AF102:$IN102,"&gt;0")),1),0))</f>
        <v/>
      </c>
      <c r="AE102" s="26">
        <f>IF($E102="","",IF(AND(Z102&gt;0,OR(AND(M102&lt;&gt;"",TODAY()&gt;M102),AND(V102&lt;&gt;"",V102-TODAY()&lt;=7))),"Yes","No"))</f>
        <v/>
      </c>
      <c r="AH102">
        <f>IF(OR(AF$3="",AF$3&gt;TODAY()),"",IF(AND(AF102="",AG102=""),"",N(AG102)-N(AF102)))</f>
        <v/>
      </c>
      <c r="AK102">
        <f>IF(OR(AF$3="",AF$3&gt;TODAY()),"",IF(AND(AI102="",AJ102=""),"",N(AJ102)-N(AI102)))</f>
        <v/>
      </c>
      <c r="AO102">
        <f>IF(OR(AM$3="",AM$3&gt;TODAY()),"",IF(AND(AM102="",AN102=""),"",N(AN102)-N(AM102)))</f>
        <v/>
      </c>
      <c r="AR102">
        <f>IF(OR(AM$3="",AM$3&gt;TODAY()),"",IF(AND(AP102="",AQ102=""),"",N(AQ102)-N(AP102)))</f>
        <v/>
      </c>
      <c r="AV102">
        <f>IF(OR(AT$3="",AT$3&gt;TODAY()),"",IF(AND(AT102="",AU102=""),"",N(AU102)-N(AT102)))</f>
        <v/>
      </c>
      <c r="AY102">
        <f>IF(OR(AT$3="",AT$3&gt;TODAY()),"",IF(AND(AW102="",AX102=""),"",N(AX102)-N(AW102)))</f>
        <v/>
      </c>
      <c r="BC102">
        <f>IF(OR(BA$3="",BA$3&gt;TODAY()),"",IF(AND(BA102="",BB102=""),"",N(BB102)-N(BA102)))</f>
        <v/>
      </c>
      <c r="BF102">
        <f>IF(OR(BA$3="",BA$3&gt;TODAY()),"",IF(AND(BD102="",BE102=""),"",N(BE102)-N(BD102)))</f>
        <v/>
      </c>
      <c r="BJ102">
        <f>IF(OR(BH$3="",BH$3&gt;TODAY()),"",IF(AND(BH102="",BI102=""),"",N(BI102)-N(BH102)))</f>
        <v/>
      </c>
      <c r="BM102">
        <f>IF(OR(BH$3="",BH$3&gt;TODAY()),"",IF(AND(BK102="",BL102=""),"",N(BL102)-N(BK102)))</f>
        <v/>
      </c>
      <c r="BQ102">
        <f>IF(OR(BO$3="",BO$3&gt;TODAY()),"",IF(AND(BO102="",BP102=""),"",N(BP102)-N(BO102)))</f>
        <v/>
      </c>
      <c r="BT102">
        <f>IF(OR(BO$3="",BO$3&gt;TODAY()),"",IF(AND(BR102="",BS102=""),"",N(BS102)-N(BR102)))</f>
        <v/>
      </c>
      <c r="BX102">
        <f>IF(OR(BV$3="",BV$3&gt;TODAY()),"",IF(AND(BV102="",BW102=""),"",N(BW102)-N(BV102)))</f>
        <v/>
      </c>
      <c r="CA102">
        <f>IF(OR(BV$3="",BV$3&gt;TODAY()),"",IF(AND(BY102="",BZ102=""),"",N(BZ102)-N(BY102)))</f>
        <v/>
      </c>
      <c r="CE102">
        <f>IF(OR(CC$3="",CC$3&gt;TODAY()),"",IF(AND(CC102="",CD102=""),"",N(CD102)-N(CC102)))</f>
        <v/>
      </c>
      <c r="CH102">
        <f>IF(OR(CC$3="",CC$3&gt;TODAY()),"",IF(AND(CF102="",CG102=""),"",N(CG102)-N(CF102)))</f>
        <v/>
      </c>
      <c r="CL102">
        <f>IF(OR(CJ$3="",CJ$3&gt;TODAY()),"",IF(AND(CJ102="",CK102=""),"",N(CK102)-N(CJ102)))</f>
        <v/>
      </c>
      <c r="CO102">
        <f>IF(OR(CJ$3="",CJ$3&gt;TODAY()),"",IF(AND(CM102="",CN102=""),"",N(CN102)-N(CM102)))</f>
        <v/>
      </c>
      <c r="CS102">
        <f>IF(OR(CQ$3="",CQ$3&gt;TODAY()),"",IF(AND(CQ102="",CR102=""),"",N(CR102)-N(CQ102)))</f>
        <v/>
      </c>
      <c r="CV102">
        <f>IF(OR(CQ$3="",CQ$3&gt;TODAY()),"",IF(AND(CT102="",CU102=""),"",N(CU102)-N(CT102)))</f>
        <v/>
      </c>
      <c r="CZ102">
        <f>IF(OR(CX$3="",CX$3&gt;TODAY()),"",IF(AND(CX102="",CY102=""),"",N(CY102)-N(CX102)))</f>
        <v/>
      </c>
      <c r="DC102">
        <f>IF(OR(CX$3="",CX$3&gt;TODAY()),"",IF(AND(DA102="",DB102=""),"",N(DB102)-N(DA102)))</f>
        <v/>
      </c>
      <c r="DG102">
        <f>IF(OR(DE$3="",DE$3&gt;TODAY()),"",IF(AND(DE102="",DF102=""),"",N(DF102)-N(DE102)))</f>
        <v/>
      </c>
      <c r="DJ102">
        <f>IF(OR(DE$3="",DE$3&gt;TODAY()),"",IF(AND(DH102="",DI102=""),"",N(DI102)-N(DH102)))</f>
        <v/>
      </c>
      <c r="DN102">
        <f>IF(OR(DL$3="",DL$3&gt;TODAY()),"",IF(AND(DL102="",DM102=""),"",N(DM102)-N(DL102)))</f>
        <v/>
      </c>
      <c r="DQ102">
        <f>IF(OR(DL$3="",DL$3&gt;TODAY()),"",IF(AND(DO102="",DP102=""),"",N(DP102)-N(DO102)))</f>
        <v/>
      </c>
      <c r="DU102">
        <f>IF(OR(DS$3="",DS$3&gt;TODAY()),"",IF(AND(DS102="",DT102=""),"",N(DT102)-N(DS102)))</f>
        <v/>
      </c>
      <c r="DX102">
        <f>IF(OR(DS$3="",DS$3&gt;TODAY()),"",IF(AND(DV102="",DW102=""),"",N(DW102)-N(DV102)))</f>
        <v/>
      </c>
      <c r="EB102">
        <f>IF(OR(DZ$3="",DZ$3&gt;TODAY()),"",IF(AND(DZ102="",EA102=""),"",N(EA102)-N(DZ102)))</f>
        <v/>
      </c>
      <c r="EE102">
        <f>IF(OR(DZ$3="",DZ$3&gt;TODAY()),"",IF(AND(EC102="",ED102=""),"",N(ED102)-N(EC102)))</f>
        <v/>
      </c>
      <c r="EI102">
        <f>IF(OR(EG$3="",EG$3&gt;TODAY()),"",IF(AND(EG102="",EH102=""),"",N(EH102)-N(EG102)))</f>
        <v/>
      </c>
      <c r="EL102">
        <f>IF(OR(EG$3="",EG$3&gt;TODAY()),"",IF(AND(EJ102="",EK102=""),"",N(EK102)-N(EJ102)))</f>
        <v/>
      </c>
      <c r="EP102">
        <f>IF(OR(EN$3="",EN$3&gt;TODAY()),"",IF(AND(EN102="",EO102=""),"",N(EO102)-N(EN102)))</f>
        <v/>
      </c>
      <c r="ES102">
        <f>IF(OR(EN$3="",EN$3&gt;TODAY()),"",IF(AND(EQ102="",ER102=""),"",N(ER102)-N(EQ102)))</f>
        <v/>
      </c>
      <c r="EW102">
        <f>IF(OR(EU$3="",EU$3&gt;TODAY()),"",IF(AND(EU102="",EV102=""),"",N(EV102)-N(EU102)))</f>
        <v/>
      </c>
      <c r="EZ102">
        <f>IF(OR(EU$3="",EU$3&gt;TODAY()),"",IF(AND(EX102="",EY102=""),"",N(EY102)-N(EX102)))</f>
        <v/>
      </c>
      <c r="FD102">
        <f>IF(OR(FB$3="",FB$3&gt;TODAY()),"",IF(AND(FB102="",FC102=""),"",N(FC102)-N(FB102)))</f>
        <v/>
      </c>
      <c r="FG102">
        <f>IF(OR(FB$3="",FB$3&gt;TODAY()),"",IF(AND(FE102="",FF102=""),"",N(FF102)-N(FE102)))</f>
        <v/>
      </c>
      <c r="FK102">
        <f>IF(OR(FI$3="",FI$3&gt;TODAY()),"",IF(AND(FI102="",FJ102=""),"",N(FJ102)-N(FI102)))</f>
        <v/>
      </c>
      <c r="FN102">
        <f>IF(OR(FI$3="",FI$3&gt;TODAY()),"",IF(AND(FL102="",FM102=""),"",N(FM102)-N(FL102)))</f>
        <v/>
      </c>
      <c r="FR102">
        <f>IF(OR(FP$3="",FP$3&gt;TODAY()),"",IF(AND(FP102="",FQ102=""),"",N(FQ102)-N(FP102)))</f>
        <v/>
      </c>
      <c r="FU102">
        <f>IF(OR(FP$3="",FP$3&gt;TODAY()),"",IF(AND(FS102="",FT102=""),"",N(FT102)-N(FS102)))</f>
        <v/>
      </c>
      <c r="FY102">
        <f>IF(OR(FW$3="",FW$3&gt;TODAY()),"",IF(AND(FW102="",FX102=""),"",N(FX102)-N(FW102)))</f>
        <v/>
      </c>
      <c r="GB102">
        <f>IF(OR(FW$3="",FW$3&gt;TODAY()),"",IF(AND(FZ102="",GA102=""),"",N(GA102)-N(FZ102)))</f>
        <v/>
      </c>
      <c r="GF102">
        <f>IF(OR(GD$3="",GD$3&gt;TODAY()),"",IF(AND(GD102="",GE102=""),"",N(GE102)-N(GD102)))</f>
        <v/>
      </c>
      <c r="GI102">
        <f>IF(OR(GD$3="",GD$3&gt;TODAY()),"",IF(AND(GG102="",GH102=""),"",N(GH102)-N(GG102)))</f>
        <v/>
      </c>
      <c r="GM102">
        <f>IF(OR(GK$3="",GK$3&gt;TODAY()),"",IF(AND(GK102="",GL102=""),"",N(GL102)-N(GK102)))</f>
        <v/>
      </c>
      <c r="GP102">
        <f>IF(OR(GK$3="",GK$3&gt;TODAY()),"",IF(AND(GN102="",GO102=""),"",N(GO102)-N(GN102)))</f>
        <v/>
      </c>
      <c r="GT102">
        <f>IF(OR(GR$3="",GR$3&gt;TODAY()),"",IF(AND(GR102="",GS102=""),"",N(GS102)-N(GR102)))</f>
        <v/>
      </c>
      <c r="GW102">
        <f>IF(OR(GR$3="",GR$3&gt;TODAY()),"",IF(AND(GU102="",GV102=""),"",N(GV102)-N(GU102)))</f>
        <v/>
      </c>
      <c r="HA102">
        <f>IF(OR(GY$3="",GY$3&gt;TODAY()),"",IF(AND(GY102="",GZ102=""),"",N(GZ102)-N(GY102)))</f>
        <v/>
      </c>
      <c r="HD102">
        <f>IF(OR(GY$3="",GY$3&gt;TODAY()),"",IF(AND(HB102="",HC102=""),"",N(HC102)-N(HB102)))</f>
        <v/>
      </c>
      <c r="HH102">
        <f>IF(OR(HF$3="",HF$3&gt;TODAY()),"",IF(AND(HF102="",HG102=""),"",N(HG102)-N(HF102)))</f>
        <v/>
      </c>
      <c r="HK102">
        <f>IF(OR(HF$3="",HF$3&gt;TODAY()),"",IF(AND(HI102="",HJ102=""),"",N(HJ102)-N(HI102)))</f>
        <v/>
      </c>
      <c r="HO102">
        <f>IF(OR(HM$3="",HM$3&gt;TODAY()),"",IF(AND(HM102="",HN102=""),"",N(HN102)-N(HM102)))</f>
        <v/>
      </c>
      <c r="HR102">
        <f>IF(OR(HM$3="",HM$3&gt;TODAY()),"",IF(AND(HP102="",HQ102=""),"",N(HQ102)-N(HP102)))</f>
        <v/>
      </c>
      <c r="HV102">
        <f>IF(OR(HT$3="",HT$3&gt;TODAY()),"",IF(AND(HT102="",HU102=""),"",N(HU102)-N(HT102)))</f>
        <v/>
      </c>
      <c r="HY102">
        <f>IF(OR(HT$3="",HT$3&gt;TODAY()),"",IF(AND(HW102="",HX102=""),"",N(HX102)-N(HW102)))</f>
        <v/>
      </c>
      <c r="IC102">
        <f>IF(OR(IA$3="",IA$3&gt;TODAY()),"",IF(AND(IA102="",IB102=""),"",N(IB102)-N(IA102)))</f>
        <v/>
      </c>
      <c r="IF102">
        <f>IF(OR(IA$3="",IA$3&gt;TODAY()),"",IF(AND(ID102="",IE102=""),"",N(IE102)-N(ID102)))</f>
        <v/>
      </c>
      <c r="IJ102">
        <f>IF(OR(IH$3="",IH$3&gt;TODAY()),"",IF(AND(IH102="",II102=""),"",N(II102)-N(IH102)))</f>
        <v/>
      </c>
      <c r="IM102">
        <f>IF(OR(IH$3="",IH$3&gt;TODAY()),"",IF(AND(IK102="",IL102=""),"",N(IL102)-N(IK102)))</f>
        <v/>
      </c>
    </row>
    <row r="103">
      <c r="A103" s="21" t="n"/>
      <c r="B103" s="21" t="n"/>
      <c r="C103" s="21" t="n"/>
      <c r="D103" s="21" t="n"/>
      <c r="E103" s="21" t="n"/>
      <c r="F103" s="21" t="n"/>
      <c r="G103" s="21" t="n"/>
      <c r="H103" s="21" t="n"/>
      <c r="I103" s="22" t="n"/>
      <c r="J103" s="22" t="n"/>
      <c r="K103" s="23" t="n"/>
      <c r="L103" s="22" t="n"/>
      <c r="M103" s="22" t="n"/>
      <c r="N103" s="21" t="n"/>
      <c r="O103" s="23" t="n"/>
      <c r="P103" s="23" t="n"/>
      <c r="Q103" s="23" t="n"/>
      <c r="R103" s="23" t="n"/>
      <c r="S103" s="22" t="n"/>
      <c r="T103" s="23" t="n"/>
      <c r="U103" s="23" t="n"/>
      <c r="V103" s="24">
        <f>IF(J103&lt;&gt;"",J103,IF(I103&lt;&gt;"",I103,""))</f>
        <v/>
      </c>
      <c r="W103" s="25">
        <f>IF($E103="","",N(O103)+SUMIFS($AF103:$IN103,$AF$4:$IN$4,"SEW_ACT"))</f>
        <v/>
      </c>
      <c r="X103" s="25">
        <f>IF($E103="","",N(P103)+SUMIFS($AF103:$IN103,$AF$4:$IN$4,"WASH_ACT"))</f>
        <v/>
      </c>
      <c r="Y103" s="25">
        <f>IF($E103="","",W103-X103-N(T103)-N(U103))</f>
        <v/>
      </c>
      <c r="Z103" s="25">
        <f>IF($E103="","",IF(N(K103)-X103&lt;=0.02*N(K103),0,N(K103)-X103))</f>
        <v/>
      </c>
      <c r="AA103" s="24">
        <f>IF($E103="","",IF(S103&lt;&gt;"",S103,IF(N(O103)&gt;0,IF(L103&lt;&gt;"",L103,99999),IFERROR(1/(1/_xlfn.MINIFS($AF$3:$IN$3,$AF$4:$IN$4,"SEW_ACT",$AF103:$IN103,"&gt;0")),99999))))</f>
        <v/>
      </c>
      <c r="AB103" s="26">
        <f>IF(OR($E103="",Z103=0,V103=""),"",1+COUNTIFS(Z$8:Z$707,"&gt;0",V$8:V$707,"&lt;"&amp;V103)+COUNTIFS(Z$8:Z$707,"&gt;0",V$8:V$707,V103,AA$8:AA$707,"&lt;"&amp;AA103)+COUNTIFS(Z$8:Z$707,"&gt;0",V$8:V$707,V103,AA$8:AA$707,AA103,E$8:E$707,"&lt;"&amp;$E103))</f>
        <v/>
      </c>
      <c r="AC103" s="24">
        <f>IF(OR($E103="",Z103=0),"",IFERROR(TODAY()+ROUNDUP(Z103/(SUMIFS($AF103:$IN103,$AF$4:$IN$4,"WASH_ACT")/COUNTIFS($AF$4:$IN$4,"WASH_ACT",$AF103:$IN103,"&gt;0")),0),"no output yet"))</f>
        <v/>
      </c>
      <c r="AD103" s="26">
        <f>IF($E103="","",IFERROR(ROUND(MAX(0,SUMIFS($AF103:$IN103,$AF$4:$IN$4,"SEW_PLAN",$AF$3:$IN$3,"&lt;="&amp;TODAY())-SUMIFS($AF103:$IN103,$AF$4:$IN$4,"SEW_ACT",$AF$3:$IN$3,"&lt;="&amp;TODAY())+N(Q103))/(SUMIFS($AF103:$IN103,$AF$4:$IN$4,"SEW_PLAN")/COUNTIFS($AF$4:$IN$4,"SEW_PLAN",$AF103:$IN103,"&gt;0")),1),0))</f>
        <v/>
      </c>
      <c r="AE103" s="26">
        <f>IF($E103="","",IF(AND(Z103&gt;0,OR(AND(M103&lt;&gt;"",TODAY()&gt;M103),AND(V103&lt;&gt;"",V103-TODAY()&lt;=7))),"Yes","No"))</f>
        <v/>
      </c>
      <c r="AH103">
        <f>IF(OR(AF$3="",AF$3&gt;TODAY()),"",IF(AND(AF103="",AG103=""),"",N(AG103)-N(AF103)))</f>
        <v/>
      </c>
      <c r="AK103">
        <f>IF(OR(AF$3="",AF$3&gt;TODAY()),"",IF(AND(AI103="",AJ103=""),"",N(AJ103)-N(AI103)))</f>
        <v/>
      </c>
      <c r="AO103">
        <f>IF(OR(AM$3="",AM$3&gt;TODAY()),"",IF(AND(AM103="",AN103=""),"",N(AN103)-N(AM103)))</f>
        <v/>
      </c>
      <c r="AR103">
        <f>IF(OR(AM$3="",AM$3&gt;TODAY()),"",IF(AND(AP103="",AQ103=""),"",N(AQ103)-N(AP103)))</f>
        <v/>
      </c>
      <c r="AV103">
        <f>IF(OR(AT$3="",AT$3&gt;TODAY()),"",IF(AND(AT103="",AU103=""),"",N(AU103)-N(AT103)))</f>
        <v/>
      </c>
      <c r="AY103">
        <f>IF(OR(AT$3="",AT$3&gt;TODAY()),"",IF(AND(AW103="",AX103=""),"",N(AX103)-N(AW103)))</f>
        <v/>
      </c>
      <c r="BC103">
        <f>IF(OR(BA$3="",BA$3&gt;TODAY()),"",IF(AND(BA103="",BB103=""),"",N(BB103)-N(BA103)))</f>
        <v/>
      </c>
      <c r="BF103">
        <f>IF(OR(BA$3="",BA$3&gt;TODAY()),"",IF(AND(BD103="",BE103=""),"",N(BE103)-N(BD103)))</f>
        <v/>
      </c>
      <c r="BJ103">
        <f>IF(OR(BH$3="",BH$3&gt;TODAY()),"",IF(AND(BH103="",BI103=""),"",N(BI103)-N(BH103)))</f>
        <v/>
      </c>
      <c r="BM103">
        <f>IF(OR(BH$3="",BH$3&gt;TODAY()),"",IF(AND(BK103="",BL103=""),"",N(BL103)-N(BK103)))</f>
        <v/>
      </c>
      <c r="BQ103">
        <f>IF(OR(BO$3="",BO$3&gt;TODAY()),"",IF(AND(BO103="",BP103=""),"",N(BP103)-N(BO103)))</f>
        <v/>
      </c>
      <c r="BT103">
        <f>IF(OR(BO$3="",BO$3&gt;TODAY()),"",IF(AND(BR103="",BS103=""),"",N(BS103)-N(BR103)))</f>
        <v/>
      </c>
      <c r="BX103">
        <f>IF(OR(BV$3="",BV$3&gt;TODAY()),"",IF(AND(BV103="",BW103=""),"",N(BW103)-N(BV103)))</f>
        <v/>
      </c>
      <c r="CA103">
        <f>IF(OR(BV$3="",BV$3&gt;TODAY()),"",IF(AND(BY103="",BZ103=""),"",N(BZ103)-N(BY103)))</f>
        <v/>
      </c>
      <c r="CE103">
        <f>IF(OR(CC$3="",CC$3&gt;TODAY()),"",IF(AND(CC103="",CD103=""),"",N(CD103)-N(CC103)))</f>
        <v/>
      </c>
      <c r="CH103">
        <f>IF(OR(CC$3="",CC$3&gt;TODAY()),"",IF(AND(CF103="",CG103=""),"",N(CG103)-N(CF103)))</f>
        <v/>
      </c>
      <c r="CL103">
        <f>IF(OR(CJ$3="",CJ$3&gt;TODAY()),"",IF(AND(CJ103="",CK103=""),"",N(CK103)-N(CJ103)))</f>
        <v/>
      </c>
      <c r="CO103">
        <f>IF(OR(CJ$3="",CJ$3&gt;TODAY()),"",IF(AND(CM103="",CN103=""),"",N(CN103)-N(CM103)))</f>
        <v/>
      </c>
      <c r="CS103">
        <f>IF(OR(CQ$3="",CQ$3&gt;TODAY()),"",IF(AND(CQ103="",CR103=""),"",N(CR103)-N(CQ103)))</f>
        <v/>
      </c>
      <c r="CV103">
        <f>IF(OR(CQ$3="",CQ$3&gt;TODAY()),"",IF(AND(CT103="",CU103=""),"",N(CU103)-N(CT103)))</f>
        <v/>
      </c>
      <c r="CZ103">
        <f>IF(OR(CX$3="",CX$3&gt;TODAY()),"",IF(AND(CX103="",CY103=""),"",N(CY103)-N(CX103)))</f>
        <v/>
      </c>
      <c r="DC103">
        <f>IF(OR(CX$3="",CX$3&gt;TODAY()),"",IF(AND(DA103="",DB103=""),"",N(DB103)-N(DA103)))</f>
        <v/>
      </c>
      <c r="DG103">
        <f>IF(OR(DE$3="",DE$3&gt;TODAY()),"",IF(AND(DE103="",DF103=""),"",N(DF103)-N(DE103)))</f>
        <v/>
      </c>
      <c r="DJ103">
        <f>IF(OR(DE$3="",DE$3&gt;TODAY()),"",IF(AND(DH103="",DI103=""),"",N(DI103)-N(DH103)))</f>
        <v/>
      </c>
      <c r="DN103">
        <f>IF(OR(DL$3="",DL$3&gt;TODAY()),"",IF(AND(DL103="",DM103=""),"",N(DM103)-N(DL103)))</f>
        <v/>
      </c>
      <c r="DQ103">
        <f>IF(OR(DL$3="",DL$3&gt;TODAY()),"",IF(AND(DO103="",DP103=""),"",N(DP103)-N(DO103)))</f>
        <v/>
      </c>
      <c r="DU103">
        <f>IF(OR(DS$3="",DS$3&gt;TODAY()),"",IF(AND(DS103="",DT103=""),"",N(DT103)-N(DS103)))</f>
        <v/>
      </c>
      <c r="DX103">
        <f>IF(OR(DS$3="",DS$3&gt;TODAY()),"",IF(AND(DV103="",DW103=""),"",N(DW103)-N(DV103)))</f>
        <v/>
      </c>
      <c r="EB103">
        <f>IF(OR(DZ$3="",DZ$3&gt;TODAY()),"",IF(AND(DZ103="",EA103=""),"",N(EA103)-N(DZ103)))</f>
        <v/>
      </c>
      <c r="EE103">
        <f>IF(OR(DZ$3="",DZ$3&gt;TODAY()),"",IF(AND(EC103="",ED103=""),"",N(ED103)-N(EC103)))</f>
        <v/>
      </c>
      <c r="EI103">
        <f>IF(OR(EG$3="",EG$3&gt;TODAY()),"",IF(AND(EG103="",EH103=""),"",N(EH103)-N(EG103)))</f>
        <v/>
      </c>
      <c r="EL103">
        <f>IF(OR(EG$3="",EG$3&gt;TODAY()),"",IF(AND(EJ103="",EK103=""),"",N(EK103)-N(EJ103)))</f>
        <v/>
      </c>
      <c r="EP103">
        <f>IF(OR(EN$3="",EN$3&gt;TODAY()),"",IF(AND(EN103="",EO103=""),"",N(EO103)-N(EN103)))</f>
        <v/>
      </c>
      <c r="ES103">
        <f>IF(OR(EN$3="",EN$3&gt;TODAY()),"",IF(AND(EQ103="",ER103=""),"",N(ER103)-N(EQ103)))</f>
        <v/>
      </c>
      <c r="EW103">
        <f>IF(OR(EU$3="",EU$3&gt;TODAY()),"",IF(AND(EU103="",EV103=""),"",N(EV103)-N(EU103)))</f>
        <v/>
      </c>
      <c r="EZ103">
        <f>IF(OR(EU$3="",EU$3&gt;TODAY()),"",IF(AND(EX103="",EY103=""),"",N(EY103)-N(EX103)))</f>
        <v/>
      </c>
      <c r="FD103">
        <f>IF(OR(FB$3="",FB$3&gt;TODAY()),"",IF(AND(FB103="",FC103=""),"",N(FC103)-N(FB103)))</f>
        <v/>
      </c>
      <c r="FG103">
        <f>IF(OR(FB$3="",FB$3&gt;TODAY()),"",IF(AND(FE103="",FF103=""),"",N(FF103)-N(FE103)))</f>
        <v/>
      </c>
      <c r="FK103">
        <f>IF(OR(FI$3="",FI$3&gt;TODAY()),"",IF(AND(FI103="",FJ103=""),"",N(FJ103)-N(FI103)))</f>
        <v/>
      </c>
      <c r="FN103">
        <f>IF(OR(FI$3="",FI$3&gt;TODAY()),"",IF(AND(FL103="",FM103=""),"",N(FM103)-N(FL103)))</f>
        <v/>
      </c>
      <c r="FR103">
        <f>IF(OR(FP$3="",FP$3&gt;TODAY()),"",IF(AND(FP103="",FQ103=""),"",N(FQ103)-N(FP103)))</f>
        <v/>
      </c>
      <c r="FU103">
        <f>IF(OR(FP$3="",FP$3&gt;TODAY()),"",IF(AND(FS103="",FT103=""),"",N(FT103)-N(FS103)))</f>
        <v/>
      </c>
      <c r="FY103">
        <f>IF(OR(FW$3="",FW$3&gt;TODAY()),"",IF(AND(FW103="",FX103=""),"",N(FX103)-N(FW103)))</f>
        <v/>
      </c>
      <c r="GB103">
        <f>IF(OR(FW$3="",FW$3&gt;TODAY()),"",IF(AND(FZ103="",GA103=""),"",N(GA103)-N(FZ103)))</f>
        <v/>
      </c>
      <c r="GF103">
        <f>IF(OR(GD$3="",GD$3&gt;TODAY()),"",IF(AND(GD103="",GE103=""),"",N(GE103)-N(GD103)))</f>
        <v/>
      </c>
      <c r="GI103">
        <f>IF(OR(GD$3="",GD$3&gt;TODAY()),"",IF(AND(GG103="",GH103=""),"",N(GH103)-N(GG103)))</f>
        <v/>
      </c>
      <c r="GM103">
        <f>IF(OR(GK$3="",GK$3&gt;TODAY()),"",IF(AND(GK103="",GL103=""),"",N(GL103)-N(GK103)))</f>
        <v/>
      </c>
      <c r="GP103">
        <f>IF(OR(GK$3="",GK$3&gt;TODAY()),"",IF(AND(GN103="",GO103=""),"",N(GO103)-N(GN103)))</f>
        <v/>
      </c>
      <c r="GT103">
        <f>IF(OR(GR$3="",GR$3&gt;TODAY()),"",IF(AND(GR103="",GS103=""),"",N(GS103)-N(GR103)))</f>
        <v/>
      </c>
      <c r="GW103">
        <f>IF(OR(GR$3="",GR$3&gt;TODAY()),"",IF(AND(GU103="",GV103=""),"",N(GV103)-N(GU103)))</f>
        <v/>
      </c>
      <c r="HA103">
        <f>IF(OR(GY$3="",GY$3&gt;TODAY()),"",IF(AND(GY103="",GZ103=""),"",N(GZ103)-N(GY103)))</f>
        <v/>
      </c>
      <c r="HD103">
        <f>IF(OR(GY$3="",GY$3&gt;TODAY()),"",IF(AND(HB103="",HC103=""),"",N(HC103)-N(HB103)))</f>
        <v/>
      </c>
      <c r="HH103">
        <f>IF(OR(HF$3="",HF$3&gt;TODAY()),"",IF(AND(HF103="",HG103=""),"",N(HG103)-N(HF103)))</f>
        <v/>
      </c>
      <c r="HK103">
        <f>IF(OR(HF$3="",HF$3&gt;TODAY()),"",IF(AND(HI103="",HJ103=""),"",N(HJ103)-N(HI103)))</f>
        <v/>
      </c>
      <c r="HO103">
        <f>IF(OR(HM$3="",HM$3&gt;TODAY()),"",IF(AND(HM103="",HN103=""),"",N(HN103)-N(HM103)))</f>
        <v/>
      </c>
      <c r="HR103">
        <f>IF(OR(HM$3="",HM$3&gt;TODAY()),"",IF(AND(HP103="",HQ103=""),"",N(HQ103)-N(HP103)))</f>
        <v/>
      </c>
      <c r="HV103">
        <f>IF(OR(HT$3="",HT$3&gt;TODAY()),"",IF(AND(HT103="",HU103=""),"",N(HU103)-N(HT103)))</f>
        <v/>
      </c>
      <c r="HY103">
        <f>IF(OR(HT$3="",HT$3&gt;TODAY()),"",IF(AND(HW103="",HX103=""),"",N(HX103)-N(HW103)))</f>
        <v/>
      </c>
      <c r="IC103">
        <f>IF(OR(IA$3="",IA$3&gt;TODAY()),"",IF(AND(IA103="",IB103=""),"",N(IB103)-N(IA103)))</f>
        <v/>
      </c>
      <c r="IF103">
        <f>IF(OR(IA$3="",IA$3&gt;TODAY()),"",IF(AND(ID103="",IE103=""),"",N(IE103)-N(ID103)))</f>
        <v/>
      </c>
      <c r="IJ103">
        <f>IF(OR(IH$3="",IH$3&gt;TODAY()),"",IF(AND(IH103="",II103=""),"",N(II103)-N(IH103)))</f>
        <v/>
      </c>
      <c r="IM103">
        <f>IF(OR(IH$3="",IH$3&gt;TODAY()),"",IF(AND(IK103="",IL103=""),"",N(IL103)-N(IK103)))</f>
        <v/>
      </c>
    </row>
    <row r="104">
      <c r="A104" s="21" t="n"/>
      <c r="B104" s="21" t="n"/>
      <c r="C104" s="21" t="n"/>
      <c r="D104" s="21" t="n"/>
      <c r="E104" s="21" t="n"/>
      <c r="F104" s="21" t="n"/>
      <c r="G104" s="21" t="n"/>
      <c r="H104" s="21" t="n"/>
      <c r="I104" s="22" t="n"/>
      <c r="J104" s="22" t="n"/>
      <c r="K104" s="23" t="n"/>
      <c r="L104" s="22" t="n"/>
      <c r="M104" s="22" t="n"/>
      <c r="N104" s="21" t="n"/>
      <c r="O104" s="23" t="n"/>
      <c r="P104" s="23" t="n"/>
      <c r="Q104" s="23" t="n"/>
      <c r="R104" s="23" t="n"/>
      <c r="S104" s="22" t="n"/>
      <c r="T104" s="23" t="n"/>
      <c r="U104" s="23" t="n"/>
      <c r="V104" s="24">
        <f>IF(J104&lt;&gt;"",J104,IF(I104&lt;&gt;"",I104,""))</f>
        <v/>
      </c>
      <c r="W104" s="25">
        <f>IF($E104="","",N(O104)+SUMIFS($AF104:$IN104,$AF$4:$IN$4,"SEW_ACT"))</f>
        <v/>
      </c>
      <c r="X104" s="25">
        <f>IF($E104="","",N(P104)+SUMIFS($AF104:$IN104,$AF$4:$IN$4,"WASH_ACT"))</f>
        <v/>
      </c>
      <c r="Y104" s="25">
        <f>IF($E104="","",W104-X104-N(T104)-N(U104))</f>
        <v/>
      </c>
      <c r="Z104" s="25">
        <f>IF($E104="","",IF(N(K104)-X104&lt;=0.02*N(K104),0,N(K104)-X104))</f>
        <v/>
      </c>
      <c r="AA104" s="24">
        <f>IF($E104="","",IF(S104&lt;&gt;"",S104,IF(N(O104)&gt;0,IF(L104&lt;&gt;"",L104,99999),IFERROR(1/(1/_xlfn.MINIFS($AF$3:$IN$3,$AF$4:$IN$4,"SEW_ACT",$AF104:$IN104,"&gt;0")),99999))))</f>
        <v/>
      </c>
      <c r="AB104" s="26">
        <f>IF(OR($E104="",Z104=0,V104=""),"",1+COUNTIFS(Z$8:Z$707,"&gt;0",V$8:V$707,"&lt;"&amp;V104)+COUNTIFS(Z$8:Z$707,"&gt;0",V$8:V$707,V104,AA$8:AA$707,"&lt;"&amp;AA104)+COUNTIFS(Z$8:Z$707,"&gt;0",V$8:V$707,V104,AA$8:AA$707,AA104,E$8:E$707,"&lt;"&amp;$E104))</f>
        <v/>
      </c>
      <c r="AC104" s="24">
        <f>IF(OR($E104="",Z104=0),"",IFERROR(TODAY()+ROUNDUP(Z104/(SUMIFS($AF104:$IN104,$AF$4:$IN$4,"WASH_ACT")/COUNTIFS($AF$4:$IN$4,"WASH_ACT",$AF104:$IN104,"&gt;0")),0),"no output yet"))</f>
        <v/>
      </c>
      <c r="AD104" s="26">
        <f>IF($E104="","",IFERROR(ROUND(MAX(0,SUMIFS($AF104:$IN104,$AF$4:$IN$4,"SEW_PLAN",$AF$3:$IN$3,"&lt;="&amp;TODAY())-SUMIFS($AF104:$IN104,$AF$4:$IN$4,"SEW_ACT",$AF$3:$IN$3,"&lt;="&amp;TODAY())+N(Q104))/(SUMIFS($AF104:$IN104,$AF$4:$IN$4,"SEW_PLAN")/COUNTIFS($AF$4:$IN$4,"SEW_PLAN",$AF104:$IN104,"&gt;0")),1),0))</f>
        <v/>
      </c>
      <c r="AE104" s="26">
        <f>IF($E104="","",IF(AND(Z104&gt;0,OR(AND(M104&lt;&gt;"",TODAY()&gt;M104),AND(V104&lt;&gt;"",V104-TODAY()&lt;=7))),"Yes","No"))</f>
        <v/>
      </c>
      <c r="AH104">
        <f>IF(OR(AF$3="",AF$3&gt;TODAY()),"",IF(AND(AF104="",AG104=""),"",N(AG104)-N(AF104)))</f>
        <v/>
      </c>
      <c r="AK104">
        <f>IF(OR(AF$3="",AF$3&gt;TODAY()),"",IF(AND(AI104="",AJ104=""),"",N(AJ104)-N(AI104)))</f>
        <v/>
      </c>
      <c r="AO104">
        <f>IF(OR(AM$3="",AM$3&gt;TODAY()),"",IF(AND(AM104="",AN104=""),"",N(AN104)-N(AM104)))</f>
        <v/>
      </c>
      <c r="AR104">
        <f>IF(OR(AM$3="",AM$3&gt;TODAY()),"",IF(AND(AP104="",AQ104=""),"",N(AQ104)-N(AP104)))</f>
        <v/>
      </c>
      <c r="AV104">
        <f>IF(OR(AT$3="",AT$3&gt;TODAY()),"",IF(AND(AT104="",AU104=""),"",N(AU104)-N(AT104)))</f>
        <v/>
      </c>
      <c r="AY104">
        <f>IF(OR(AT$3="",AT$3&gt;TODAY()),"",IF(AND(AW104="",AX104=""),"",N(AX104)-N(AW104)))</f>
        <v/>
      </c>
      <c r="BC104">
        <f>IF(OR(BA$3="",BA$3&gt;TODAY()),"",IF(AND(BA104="",BB104=""),"",N(BB104)-N(BA104)))</f>
        <v/>
      </c>
      <c r="BF104">
        <f>IF(OR(BA$3="",BA$3&gt;TODAY()),"",IF(AND(BD104="",BE104=""),"",N(BE104)-N(BD104)))</f>
        <v/>
      </c>
      <c r="BJ104">
        <f>IF(OR(BH$3="",BH$3&gt;TODAY()),"",IF(AND(BH104="",BI104=""),"",N(BI104)-N(BH104)))</f>
        <v/>
      </c>
      <c r="BM104">
        <f>IF(OR(BH$3="",BH$3&gt;TODAY()),"",IF(AND(BK104="",BL104=""),"",N(BL104)-N(BK104)))</f>
        <v/>
      </c>
      <c r="BQ104">
        <f>IF(OR(BO$3="",BO$3&gt;TODAY()),"",IF(AND(BO104="",BP104=""),"",N(BP104)-N(BO104)))</f>
        <v/>
      </c>
      <c r="BT104">
        <f>IF(OR(BO$3="",BO$3&gt;TODAY()),"",IF(AND(BR104="",BS104=""),"",N(BS104)-N(BR104)))</f>
        <v/>
      </c>
      <c r="BX104">
        <f>IF(OR(BV$3="",BV$3&gt;TODAY()),"",IF(AND(BV104="",BW104=""),"",N(BW104)-N(BV104)))</f>
        <v/>
      </c>
      <c r="CA104">
        <f>IF(OR(BV$3="",BV$3&gt;TODAY()),"",IF(AND(BY104="",BZ104=""),"",N(BZ104)-N(BY104)))</f>
        <v/>
      </c>
      <c r="CE104">
        <f>IF(OR(CC$3="",CC$3&gt;TODAY()),"",IF(AND(CC104="",CD104=""),"",N(CD104)-N(CC104)))</f>
        <v/>
      </c>
      <c r="CH104">
        <f>IF(OR(CC$3="",CC$3&gt;TODAY()),"",IF(AND(CF104="",CG104=""),"",N(CG104)-N(CF104)))</f>
        <v/>
      </c>
      <c r="CL104">
        <f>IF(OR(CJ$3="",CJ$3&gt;TODAY()),"",IF(AND(CJ104="",CK104=""),"",N(CK104)-N(CJ104)))</f>
        <v/>
      </c>
      <c r="CO104">
        <f>IF(OR(CJ$3="",CJ$3&gt;TODAY()),"",IF(AND(CM104="",CN104=""),"",N(CN104)-N(CM104)))</f>
        <v/>
      </c>
      <c r="CS104">
        <f>IF(OR(CQ$3="",CQ$3&gt;TODAY()),"",IF(AND(CQ104="",CR104=""),"",N(CR104)-N(CQ104)))</f>
        <v/>
      </c>
      <c r="CV104">
        <f>IF(OR(CQ$3="",CQ$3&gt;TODAY()),"",IF(AND(CT104="",CU104=""),"",N(CU104)-N(CT104)))</f>
        <v/>
      </c>
      <c r="CZ104">
        <f>IF(OR(CX$3="",CX$3&gt;TODAY()),"",IF(AND(CX104="",CY104=""),"",N(CY104)-N(CX104)))</f>
        <v/>
      </c>
      <c r="DC104">
        <f>IF(OR(CX$3="",CX$3&gt;TODAY()),"",IF(AND(DA104="",DB104=""),"",N(DB104)-N(DA104)))</f>
        <v/>
      </c>
      <c r="DG104">
        <f>IF(OR(DE$3="",DE$3&gt;TODAY()),"",IF(AND(DE104="",DF104=""),"",N(DF104)-N(DE104)))</f>
        <v/>
      </c>
      <c r="DJ104">
        <f>IF(OR(DE$3="",DE$3&gt;TODAY()),"",IF(AND(DH104="",DI104=""),"",N(DI104)-N(DH104)))</f>
        <v/>
      </c>
      <c r="DN104">
        <f>IF(OR(DL$3="",DL$3&gt;TODAY()),"",IF(AND(DL104="",DM104=""),"",N(DM104)-N(DL104)))</f>
        <v/>
      </c>
      <c r="DQ104">
        <f>IF(OR(DL$3="",DL$3&gt;TODAY()),"",IF(AND(DO104="",DP104=""),"",N(DP104)-N(DO104)))</f>
        <v/>
      </c>
      <c r="DU104">
        <f>IF(OR(DS$3="",DS$3&gt;TODAY()),"",IF(AND(DS104="",DT104=""),"",N(DT104)-N(DS104)))</f>
        <v/>
      </c>
      <c r="DX104">
        <f>IF(OR(DS$3="",DS$3&gt;TODAY()),"",IF(AND(DV104="",DW104=""),"",N(DW104)-N(DV104)))</f>
        <v/>
      </c>
      <c r="EB104">
        <f>IF(OR(DZ$3="",DZ$3&gt;TODAY()),"",IF(AND(DZ104="",EA104=""),"",N(EA104)-N(DZ104)))</f>
        <v/>
      </c>
      <c r="EE104">
        <f>IF(OR(DZ$3="",DZ$3&gt;TODAY()),"",IF(AND(EC104="",ED104=""),"",N(ED104)-N(EC104)))</f>
        <v/>
      </c>
      <c r="EI104">
        <f>IF(OR(EG$3="",EG$3&gt;TODAY()),"",IF(AND(EG104="",EH104=""),"",N(EH104)-N(EG104)))</f>
        <v/>
      </c>
      <c r="EL104">
        <f>IF(OR(EG$3="",EG$3&gt;TODAY()),"",IF(AND(EJ104="",EK104=""),"",N(EK104)-N(EJ104)))</f>
        <v/>
      </c>
      <c r="EP104">
        <f>IF(OR(EN$3="",EN$3&gt;TODAY()),"",IF(AND(EN104="",EO104=""),"",N(EO104)-N(EN104)))</f>
        <v/>
      </c>
      <c r="ES104">
        <f>IF(OR(EN$3="",EN$3&gt;TODAY()),"",IF(AND(EQ104="",ER104=""),"",N(ER104)-N(EQ104)))</f>
        <v/>
      </c>
      <c r="EW104">
        <f>IF(OR(EU$3="",EU$3&gt;TODAY()),"",IF(AND(EU104="",EV104=""),"",N(EV104)-N(EU104)))</f>
        <v/>
      </c>
      <c r="EZ104">
        <f>IF(OR(EU$3="",EU$3&gt;TODAY()),"",IF(AND(EX104="",EY104=""),"",N(EY104)-N(EX104)))</f>
        <v/>
      </c>
      <c r="FD104">
        <f>IF(OR(FB$3="",FB$3&gt;TODAY()),"",IF(AND(FB104="",FC104=""),"",N(FC104)-N(FB104)))</f>
        <v/>
      </c>
      <c r="FG104">
        <f>IF(OR(FB$3="",FB$3&gt;TODAY()),"",IF(AND(FE104="",FF104=""),"",N(FF104)-N(FE104)))</f>
        <v/>
      </c>
      <c r="FK104">
        <f>IF(OR(FI$3="",FI$3&gt;TODAY()),"",IF(AND(FI104="",FJ104=""),"",N(FJ104)-N(FI104)))</f>
        <v/>
      </c>
      <c r="FN104">
        <f>IF(OR(FI$3="",FI$3&gt;TODAY()),"",IF(AND(FL104="",FM104=""),"",N(FM104)-N(FL104)))</f>
        <v/>
      </c>
      <c r="FR104">
        <f>IF(OR(FP$3="",FP$3&gt;TODAY()),"",IF(AND(FP104="",FQ104=""),"",N(FQ104)-N(FP104)))</f>
        <v/>
      </c>
      <c r="FU104">
        <f>IF(OR(FP$3="",FP$3&gt;TODAY()),"",IF(AND(FS104="",FT104=""),"",N(FT104)-N(FS104)))</f>
        <v/>
      </c>
      <c r="FY104">
        <f>IF(OR(FW$3="",FW$3&gt;TODAY()),"",IF(AND(FW104="",FX104=""),"",N(FX104)-N(FW104)))</f>
        <v/>
      </c>
      <c r="GB104">
        <f>IF(OR(FW$3="",FW$3&gt;TODAY()),"",IF(AND(FZ104="",GA104=""),"",N(GA104)-N(FZ104)))</f>
        <v/>
      </c>
      <c r="GF104">
        <f>IF(OR(GD$3="",GD$3&gt;TODAY()),"",IF(AND(GD104="",GE104=""),"",N(GE104)-N(GD104)))</f>
        <v/>
      </c>
      <c r="GI104">
        <f>IF(OR(GD$3="",GD$3&gt;TODAY()),"",IF(AND(GG104="",GH104=""),"",N(GH104)-N(GG104)))</f>
        <v/>
      </c>
      <c r="GM104">
        <f>IF(OR(GK$3="",GK$3&gt;TODAY()),"",IF(AND(GK104="",GL104=""),"",N(GL104)-N(GK104)))</f>
        <v/>
      </c>
      <c r="GP104">
        <f>IF(OR(GK$3="",GK$3&gt;TODAY()),"",IF(AND(GN104="",GO104=""),"",N(GO104)-N(GN104)))</f>
        <v/>
      </c>
      <c r="GT104">
        <f>IF(OR(GR$3="",GR$3&gt;TODAY()),"",IF(AND(GR104="",GS104=""),"",N(GS104)-N(GR104)))</f>
        <v/>
      </c>
      <c r="GW104">
        <f>IF(OR(GR$3="",GR$3&gt;TODAY()),"",IF(AND(GU104="",GV104=""),"",N(GV104)-N(GU104)))</f>
        <v/>
      </c>
      <c r="HA104">
        <f>IF(OR(GY$3="",GY$3&gt;TODAY()),"",IF(AND(GY104="",GZ104=""),"",N(GZ104)-N(GY104)))</f>
        <v/>
      </c>
      <c r="HD104">
        <f>IF(OR(GY$3="",GY$3&gt;TODAY()),"",IF(AND(HB104="",HC104=""),"",N(HC104)-N(HB104)))</f>
        <v/>
      </c>
      <c r="HH104">
        <f>IF(OR(HF$3="",HF$3&gt;TODAY()),"",IF(AND(HF104="",HG104=""),"",N(HG104)-N(HF104)))</f>
        <v/>
      </c>
      <c r="HK104">
        <f>IF(OR(HF$3="",HF$3&gt;TODAY()),"",IF(AND(HI104="",HJ104=""),"",N(HJ104)-N(HI104)))</f>
        <v/>
      </c>
      <c r="HO104">
        <f>IF(OR(HM$3="",HM$3&gt;TODAY()),"",IF(AND(HM104="",HN104=""),"",N(HN104)-N(HM104)))</f>
        <v/>
      </c>
      <c r="HR104">
        <f>IF(OR(HM$3="",HM$3&gt;TODAY()),"",IF(AND(HP104="",HQ104=""),"",N(HQ104)-N(HP104)))</f>
        <v/>
      </c>
      <c r="HV104">
        <f>IF(OR(HT$3="",HT$3&gt;TODAY()),"",IF(AND(HT104="",HU104=""),"",N(HU104)-N(HT104)))</f>
        <v/>
      </c>
      <c r="HY104">
        <f>IF(OR(HT$3="",HT$3&gt;TODAY()),"",IF(AND(HW104="",HX104=""),"",N(HX104)-N(HW104)))</f>
        <v/>
      </c>
      <c r="IC104">
        <f>IF(OR(IA$3="",IA$3&gt;TODAY()),"",IF(AND(IA104="",IB104=""),"",N(IB104)-N(IA104)))</f>
        <v/>
      </c>
      <c r="IF104">
        <f>IF(OR(IA$3="",IA$3&gt;TODAY()),"",IF(AND(ID104="",IE104=""),"",N(IE104)-N(ID104)))</f>
        <v/>
      </c>
      <c r="IJ104">
        <f>IF(OR(IH$3="",IH$3&gt;TODAY()),"",IF(AND(IH104="",II104=""),"",N(II104)-N(IH104)))</f>
        <v/>
      </c>
      <c r="IM104">
        <f>IF(OR(IH$3="",IH$3&gt;TODAY()),"",IF(AND(IK104="",IL104=""),"",N(IL104)-N(IK104)))</f>
        <v/>
      </c>
    </row>
    <row r="105">
      <c r="A105" s="21" t="n"/>
      <c r="B105" s="21" t="n"/>
      <c r="C105" s="21" t="n"/>
      <c r="D105" s="21" t="n"/>
      <c r="E105" s="21" t="n"/>
      <c r="F105" s="21" t="n"/>
      <c r="G105" s="21" t="n"/>
      <c r="H105" s="21" t="n"/>
      <c r="I105" s="22" t="n"/>
      <c r="J105" s="22" t="n"/>
      <c r="K105" s="23" t="n"/>
      <c r="L105" s="22" t="n"/>
      <c r="M105" s="22" t="n"/>
      <c r="N105" s="21" t="n"/>
      <c r="O105" s="23" t="n"/>
      <c r="P105" s="23" t="n"/>
      <c r="Q105" s="23" t="n"/>
      <c r="R105" s="23" t="n"/>
      <c r="S105" s="22" t="n"/>
      <c r="T105" s="23" t="n"/>
      <c r="U105" s="23" t="n"/>
      <c r="V105" s="24">
        <f>IF(J105&lt;&gt;"",J105,IF(I105&lt;&gt;"",I105,""))</f>
        <v/>
      </c>
      <c r="W105" s="25">
        <f>IF($E105="","",N(O105)+SUMIFS($AF105:$IN105,$AF$4:$IN$4,"SEW_ACT"))</f>
        <v/>
      </c>
      <c r="X105" s="25">
        <f>IF($E105="","",N(P105)+SUMIFS($AF105:$IN105,$AF$4:$IN$4,"WASH_ACT"))</f>
        <v/>
      </c>
      <c r="Y105" s="25">
        <f>IF($E105="","",W105-X105-N(T105)-N(U105))</f>
        <v/>
      </c>
      <c r="Z105" s="25">
        <f>IF($E105="","",IF(N(K105)-X105&lt;=0.02*N(K105),0,N(K105)-X105))</f>
        <v/>
      </c>
      <c r="AA105" s="24">
        <f>IF($E105="","",IF(S105&lt;&gt;"",S105,IF(N(O105)&gt;0,IF(L105&lt;&gt;"",L105,99999),IFERROR(1/(1/_xlfn.MINIFS($AF$3:$IN$3,$AF$4:$IN$4,"SEW_ACT",$AF105:$IN105,"&gt;0")),99999))))</f>
        <v/>
      </c>
      <c r="AB105" s="26">
        <f>IF(OR($E105="",Z105=0,V105=""),"",1+COUNTIFS(Z$8:Z$707,"&gt;0",V$8:V$707,"&lt;"&amp;V105)+COUNTIFS(Z$8:Z$707,"&gt;0",V$8:V$707,V105,AA$8:AA$707,"&lt;"&amp;AA105)+COUNTIFS(Z$8:Z$707,"&gt;0",V$8:V$707,V105,AA$8:AA$707,AA105,E$8:E$707,"&lt;"&amp;$E105))</f>
        <v/>
      </c>
      <c r="AC105" s="24">
        <f>IF(OR($E105="",Z105=0),"",IFERROR(TODAY()+ROUNDUP(Z105/(SUMIFS($AF105:$IN105,$AF$4:$IN$4,"WASH_ACT")/COUNTIFS($AF$4:$IN$4,"WASH_ACT",$AF105:$IN105,"&gt;0")),0),"no output yet"))</f>
        <v/>
      </c>
      <c r="AD105" s="26">
        <f>IF($E105="","",IFERROR(ROUND(MAX(0,SUMIFS($AF105:$IN105,$AF$4:$IN$4,"SEW_PLAN",$AF$3:$IN$3,"&lt;="&amp;TODAY())-SUMIFS($AF105:$IN105,$AF$4:$IN$4,"SEW_ACT",$AF$3:$IN$3,"&lt;="&amp;TODAY())+N(Q105))/(SUMIFS($AF105:$IN105,$AF$4:$IN$4,"SEW_PLAN")/COUNTIFS($AF$4:$IN$4,"SEW_PLAN",$AF105:$IN105,"&gt;0")),1),0))</f>
        <v/>
      </c>
      <c r="AE105" s="26">
        <f>IF($E105="","",IF(AND(Z105&gt;0,OR(AND(M105&lt;&gt;"",TODAY()&gt;M105),AND(V105&lt;&gt;"",V105-TODAY()&lt;=7))),"Yes","No"))</f>
        <v/>
      </c>
      <c r="AH105">
        <f>IF(OR(AF$3="",AF$3&gt;TODAY()),"",IF(AND(AF105="",AG105=""),"",N(AG105)-N(AF105)))</f>
        <v/>
      </c>
      <c r="AK105">
        <f>IF(OR(AF$3="",AF$3&gt;TODAY()),"",IF(AND(AI105="",AJ105=""),"",N(AJ105)-N(AI105)))</f>
        <v/>
      </c>
      <c r="AO105">
        <f>IF(OR(AM$3="",AM$3&gt;TODAY()),"",IF(AND(AM105="",AN105=""),"",N(AN105)-N(AM105)))</f>
        <v/>
      </c>
      <c r="AR105">
        <f>IF(OR(AM$3="",AM$3&gt;TODAY()),"",IF(AND(AP105="",AQ105=""),"",N(AQ105)-N(AP105)))</f>
        <v/>
      </c>
      <c r="AV105">
        <f>IF(OR(AT$3="",AT$3&gt;TODAY()),"",IF(AND(AT105="",AU105=""),"",N(AU105)-N(AT105)))</f>
        <v/>
      </c>
      <c r="AY105">
        <f>IF(OR(AT$3="",AT$3&gt;TODAY()),"",IF(AND(AW105="",AX105=""),"",N(AX105)-N(AW105)))</f>
        <v/>
      </c>
      <c r="BC105">
        <f>IF(OR(BA$3="",BA$3&gt;TODAY()),"",IF(AND(BA105="",BB105=""),"",N(BB105)-N(BA105)))</f>
        <v/>
      </c>
      <c r="BF105">
        <f>IF(OR(BA$3="",BA$3&gt;TODAY()),"",IF(AND(BD105="",BE105=""),"",N(BE105)-N(BD105)))</f>
        <v/>
      </c>
      <c r="BJ105">
        <f>IF(OR(BH$3="",BH$3&gt;TODAY()),"",IF(AND(BH105="",BI105=""),"",N(BI105)-N(BH105)))</f>
        <v/>
      </c>
      <c r="BM105">
        <f>IF(OR(BH$3="",BH$3&gt;TODAY()),"",IF(AND(BK105="",BL105=""),"",N(BL105)-N(BK105)))</f>
        <v/>
      </c>
      <c r="BQ105">
        <f>IF(OR(BO$3="",BO$3&gt;TODAY()),"",IF(AND(BO105="",BP105=""),"",N(BP105)-N(BO105)))</f>
        <v/>
      </c>
      <c r="BT105">
        <f>IF(OR(BO$3="",BO$3&gt;TODAY()),"",IF(AND(BR105="",BS105=""),"",N(BS105)-N(BR105)))</f>
        <v/>
      </c>
      <c r="BX105">
        <f>IF(OR(BV$3="",BV$3&gt;TODAY()),"",IF(AND(BV105="",BW105=""),"",N(BW105)-N(BV105)))</f>
        <v/>
      </c>
      <c r="CA105">
        <f>IF(OR(BV$3="",BV$3&gt;TODAY()),"",IF(AND(BY105="",BZ105=""),"",N(BZ105)-N(BY105)))</f>
        <v/>
      </c>
      <c r="CE105">
        <f>IF(OR(CC$3="",CC$3&gt;TODAY()),"",IF(AND(CC105="",CD105=""),"",N(CD105)-N(CC105)))</f>
        <v/>
      </c>
      <c r="CH105">
        <f>IF(OR(CC$3="",CC$3&gt;TODAY()),"",IF(AND(CF105="",CG105=""),"",N(CG105)-N(CF105)))</f>
        <v/>
      </c>
      <c r="CL105">
        <f>IF(OR(CJ$3="",CJ$3&gt;TODAY()),"",IF(AND(CJ105="",CK105=""),"",N(CK105)-N(CJ105)))</f>
        <v/>
      </c>
      <c r="CO105">
        <f>IF(OR(CJ$3="",CJ$3&gt;TODAY()),"",IF(AND(CM105="",CN105=""),"",N(CN105)-N(CM105)))</f>
        <v/>
      </c>
      <c r="CS105">
        <f>IF(OR(CQ$3="",CQ$3&gt;TODAY()),"",IF(AND(CQ105="",CR105=""),"",N(CR105)-N(CQ105)))</f>
        <v/>
      </c>
      <c r="CV105">
        <f>IF(OR(CQ$3="",CQ$3&gt;TODAY()),"",IF(AND(CT105="",CU105=""),"",N(CU105)-N(CT105)))</f>
        <v/>
      </c>
      <c r="CZ105">
        <f>IF(OR(CX$3="",CX$3&gt;TODAY()),"",IF(AND(CX105="",CY105=""),"",N(CY105)-N(CX105)))</f>
        <v/>
      </c>
      <c r="DC105">
        <f>IF(OR(CX$3="",CX$3&gt;TODAY()),"",IF(AND(DA105="",DB105=""),"",N(DB105)-N(DA105)))</f>
        <v/>
      </c>
      <c r="DG105">
        <f>IF(OR(DE$3="",DE$3&gt;TODAY()),"",IF(AND(DE105="",DF105=""),"",N(DF105)-N(DE105)))</f>
        <v/>
      </c>
      <c r="DJ105">
        <f>IF(OR(DE$3="",DE$3&gt;TODAY()),"",IF(AND(DH105="",DI105=""),"",N(DI105)-N(DH105)))</f>
        <v/>
      </c>
      <c r="DN105">
        <f>IF(OR(DL$3="",DL$3&gt;TODAY()),"",IF(AND(DL105="",DM105=""),"",N(DM105)-N(DL105)))</f>
        <v/>
      </c>
      <c r="DQ105">
        <f>IF(OR(DL$3="",DL$3&gt;TODAY()),"",IF(AND(DO105="",DP105=""),"",N(DP105)-N(DO105)))</f>
        <v/>
      </c>
      <c r="DU105">
        <f>IF(OR(DS$3="",DS$3&gt;TODAY()),"",IF(AND(DS105="",DT105=""),"",N(DT105)-N(DS105)))</f>
        <v/>
      </c>
      <c r="DX105">
        <f>IF(OR(DS$3="",DS$3&gt;TODAY()),"",IF(AND(DV105="",DW105=""),"",N(DW105)-N(DV105)))</f>
        <v/>
      </c>
      <c r="EB105">
        <f>IF(OR(DZ$3="",DZ$3&gt;TODAY()),"",IF(AND(DZ105="",EA105=""),"",N(EA105)-N(DZ105)))</f>
        <v/>
      </c>
      <c r="EE105">
        <f>IF(OR(DZ$3="",DZ$3&gt;TODAY()),"",IF(AND(EC105="",ED105=""),"",N(ED105)-N(EC105)))</f>
        <v/>
      </c>
      <c r="EI105">
        <f>IF(OR(EG$3="",EG$3&gt;TODAY()),"",IF(AND(EG105="",EH105=""),"",N(EH105)-N(EG105)))</f>
        <v/>
      </c>
      <c r="EL105">
        <f>IF(OR(EG$3="",EG$3&gt;TODAY()),"",IF(AND(EJ105="",EK105=""),"",N(EK105)-N(EJ105)))</f>
        <v/>
      </c>
      <c r="EP105">
        <f>IF(OR(EN$3="",EN$3&gt;TODAY()),"",IF(AND(EN105="",EO105=""),"",N(EO105)-N(EN105)))</f>
        <v/>
      </c>
      <c r="ES105">
        <f>IF(OR(EN$3="",EN$3&gt;TODAY()),"",IF(AND(EQ105="",ER105=""),"",N(ER105)-N(EQ105)))</f>
        <v/>
      </c>
      <c r="EW105">
        <f>IF(OR(EU$3="",EU$3&gt;TODAY()),"",IF(AND(EU105="",EV105=""),"",N(EV105)-N(EU105)))</f>
        <v/>
      </c>
      <c r="EZ105">
        <f>IF(OR(EU$3="",EU$3&gt;TODAY()),"",IF(AND(EX105="",EY105=""),"",N(EY105)-N(EX105)))</f>
        <v/>
      </c>
      <c r="FD105">
        <f>IF(OR(FB$3="",FB$3&gt;TODAY()),"",IF(AND(FB105="",FC105=""),"",N(FC105)-N(FB105)))</f>
        <v/>
      </c>
      <c r="FG105">
        <f>IF(OR(FB$3="",FB$3&gt;TODAY()),"",IF(AND(FE105="",FF105=""),"",N(FF105)-N(FE105)))</f>
        <v/>
      </c>
      <c r="FK105">
        <f>IF(OR(FI$3="",FI$3&gt;TODAY()),"",IF(AND(FI105="",FJ105=""),"",N(FJ105)-N(FI105)))</f>
        <v/>
      </c>
      <c r="FN105">
        <f>IF(OR(FI$3="",FI$3&gt;TODAY()),"",IF(AND(FL105="",FM105=""),"",N(FM105)-N(FL105)))</f>
        <v/>
      </c>
      <c r="FR105">
        <f>IF(OR(FP$3="",FP$3&gt;TODAY()),"",IF(AND(FP105="",FQ105=""),"",N(FQ105)-N(FP105)))</f>
        <v/>
      </c>
      <c r="FU105">
        <f>IF(OR(FP$3="",FP$3&gt;TODAY()),"",IF(AND(FS105="",FT105=""),"",N(FT105)-N(FS105)))</f>
        <v/>
      </c>
      <c r="FY105">
        <f>IF(OR(FW$3="",FW$3&gt;TODAY()),"",IF(AND(FW105="",FX105=""),"",N(FX105)-N(FW105)))</f>
        <v/>
      </c>
      <c r="GB105">
        <f>IF(OR(FW$3="",FW$3&gt;TODAY()),"",IF(AND(FZ105="",GA105=""),"",N(GA105)-N(FZ105)))</f>
        <v/>
      </c>
      <c r="GF105">
        <f>IF(OR(GD$3="",GD$3&gt;TODAY()),"",IF(AND(GD105="",GE105=""),"",N(GE105)-N(GD105)))</f>
        <v/>
      </c>
      <c r="GI105">
        <f>IF(OR(GD$3="",GD$3&gt;TODAY()),"",IF(AND(GG105="",GH105=""),"",N(GH105)-N(GG105)))</f>
        <v/>
      </c>
      <c r="GM105">
        <f>IF(OR(GK$3="",GK$3&gt;TODAY()),"",IF(AND(GK105="",GL105=""),"",N(GL105)-N(GK105)))</f>
        <v/>
      </c>
      <c r="GP105">
        <f>IF(OR(GK$3="",GK$3&gt;TODAY()),"",IF(AND(GN105="",GO105=""),"",N(GO105)-N(GN105)))</f>
        <v/>
      </c>
      <c r="GT105">
        <f>IF(OR(GR$3="",GR$3&gt;TODAY()),"",IF(AND(GR105="",GS105=""),"",N(GS105)-N(GR105)))</f>
        <v/>
      </c>
      <c r="GW105">
        <f>IF(OR(GR$3="",GR$3&gt;TODAY()),"",IF(AND(GU105="",GV105=""),"",N(GV105)-N(GU105)))</f>
        <v/>
      </c>
      <c r="HA105">
        <f>IF(OR(GY$3="",GY$3&gt;TODAY()),"",IF(AND(GY105="",GZ105=""),"",N(GZ105)-N(GY105)))</f>
        <v/>
      </c>
      <c r="HD105">
        <f>IF(OR(GY$3="",GY$3&gt;TODAY()),"",IF(AND(HB105="",HC105=""),"",N(HC105)-N(HB105)))</f>
        <v/>
      </c>
      <c r="HH105">
        <f>IF(OR(HF$3="",HF$3&gt;TODAY()),"",IF(AND(HF105="",HG105=""),"",N(HG105)-N(HF105)))</f>
        <v/>
      </c>
      <c r="HK105">
        <f>IF(OR(HF$3="",HF$3&gt;TODAY()),"",IF(AND(HI105="",HJ105=""),"",N(HJ105)-N(HI105)))</f>
        <v/>
      </c>
      <c r="HO105">
        <f>IF(OR(HM$3="",HM$3&gt;TODAY()),"",IF(AND(HM105="",HN105=""),"",N(HN105)-N(HM105)))</f>
        <v/>
      </c>
      <c r="HR105">
        <f>IF(OR(HM$3="",HM$3&gt;TODAY()),"",IF(AND(HP105="",HQ105=""),"",N(HQ105)-N(HP105)))</f>
        <v/>
      </c>
      <c r="HV105">
        <f>IF(OR(HT$3="",HT$3&gt;TODAY()),"",IF(AND(HT105="",HU105=""),"",N(HU105)-N(HT105)))</f>
        <v/>
      </c>
      <c r="HY105">
        <f>IF(OR(HT$3="",HT$3&gt;TODAY()),"",IF(AND(HW105="",HX105=""),"",N(HX105)-N(HW105)))</f>
        <v/>
      </c>
      <c r="IC105">
        <f>IF(OR(IA$3="",IA$3&gt;TODAY()),"",IF(AND(IA105="",IB105=""),"",N(IB105)-N(IA105)))</f>
        <v/>
      </c>
      <c r="IF105">
        <f>IF(OR(IA$3="",IA$3&gt;TODAY()),"",IF(AND(ID105="",IE105=""),"",N(IE105)-N(ID105)))</f>
        <v/>
      </c>
      <c r="IJ105">
        <f>IF(OR(IH$3="",IH$3&gt;TODAY()),"",IF(AND(IH105="",II105=""),"",N(II105)-N(IH105)))</f>
        <v/>
      </c>
      <c r="IM105">
        <f>IF(OR(IH$3="",IH$3&gt;TODAY()),"",IF(AND(IK105="",IL105=""),"",N(IL105)-N(IK105)))</f>
        <v/>
      </c>
    </row>
    <row r="106">
      <c r="A106" s="21" t="n"/>
      <c r="B106" s="21" t="n"/>
      <c r="C106" s="21" t="n"/>
      <c r="D106" s="21" t="n"/>
      <c r="E106" s="21" t="n"/>
      <c r="F106" s="21" t="n"/>
      <c r="G106" s="21" t="n"/>
      <c r="H106" s="21" t="n"/>
      <c r="I106" s="22" t="n"/>
      <c r="J106" s="22" t="n"/>
      <c r="K106" s="23" t="n"/>
      <c r="L106" s="22" t="n"/>
      <c r="M106" s="22" t="n"/>
      <c r="N106" s="21" t="n"/>
      <c r="O106" s="23" t="n"/>
      <c r="P106" s="23" t="n"/>
      <c r="Q106" s="23" t="n"/>
      <c r="R106" s="23" t="n"/>
      <c r="S106" s="22" t="n"/>
      <c r="T106" s="23" t="n"/>
      <c r="U106" s="23" t="n"/>
      <c r="V106" s="24">
        <f>IF(J106&lt;&gt;"",J106,IF(I106&lt;&gt;"",I106,""))</f>
        <v/>
      </c>
      <c r="W106" s="25">
        <f>IF($E106="","",N(O106)+SUMIFS($AF106:$IN106,$AF$4:$IN$4,"SEW_ACT"))</f>
        <v/>
      </c>
      <c r="X106" s="25">
        <f>IF($E106="","",N(P106)+SUMIFS($AF106:$IN106,$AF$4:$IN$4,"WASH_ACT"))</f>
        <v/>
      </c>
      <c r="Y106" s="25">
        <f>IF($E106="","",W106-X106-N(T106)-N(U106))</f>
        <v/>
      </c>
      <c r="Z106" s="25">
        <f>IF($E106="","",IF(N(K106)-X106&lt;=0.02*N(K106),0,N(K106)-X106))</f>
        <v/>
      </c>
      <c r="AA106" s="24">
        <f>IF($E106="","",IF(S106&lt;&gt;"",S106,IF(N(O106)&gt;0,IF(L106&lt;&gt;"",L106,99999),IFERROR(1/(1/_xlfn.MINIFS($AF$3:$IN$3,$AF$4:$IN$4,"SEW_ACT",$AF106:$IN106,"&gt;0")),99999))))</f>
        <v/>
      </c>
      <c r="AB106" s="26">
        <f>IF(OR($E106="",Z106=0,V106=""),"",1+COUNTIFS(Z$8:Z$707,"&gt;0",V$8:V$707,"&lt;"&amp;V106)+COUNTIFS(Z$8:Z$707,"&gt;0",V$8:V$707,V106,AA$8:AA$707,"&lt;"&amp;AA106)+COUNTIFS(Z$8:Z$707,"&gt;0",V$8:V$707,V106,AA$8:AA$707,AA106,E$8:E$707,"&lt;"&amp;$E106))</f>
        <v/>
      </c>
      <c r="AC106" s="24">
        <f>IF(OR($E106="",Z106=0),"",IFERROR(TODAY()+ROUNDUP(Z106/(SUMIFS($AF106:$IN106,$AF$4:$IN$4,"WASH_ACT")/COUNTIFS($AF$4:$IN$4,"WASH_ACT",$AF106:$IN106,"&gt;0")),0),"no output yet"))</f>
        <v/>
      </c>
      <c r="AD106" s="26">
        <f>IF($E106="","",IFERROR(ROUND(MAX(0,SUMIFS($AF106:$IN106,$AF$4:$IN$4,"SEW_PLAN",$AF$3:$IN$3,"&lt;="&amp;TODAY())-SUMIFS($AF106:$IN106,$AF$4:$IN$4,"SEW_ACT",$AF$3:$IN$3,"&lt;="&amp;TODAY())+N(Q106))/(SUMIFS($AF106:$IN106,$AF$4:$IN$4,"SEW_PLAN")/COUNTIFS($AF$4:$IN$4,"SEW_PLAN",$AF106:$IN106,"&gt;0")),1),0))</f>
        <v/>
      </c>
      <c r="AE106" s="26">
        <f>IF($E106="","",IF(AND(Z106&gt;0,OR(AND(M106&lt;&gt;"",TODAY()&gt;M106),AND(V106&lt;&gt;"",V106-TODAY()&lt;=7))),"Yes","No"))</f>
        <v/>
      </c>
      <c r="AH106">
        <f>IF(OR(AF$3="",AF$3&gt;TODAY()),"",IF(AND(AF106="",AG106=""),"",N(AG106)-N(AF106)))</f>
        <v/>
      </c>
      <c r="AK106">
        <f>IF(OR(AF$3="",AF$3&gt;TODAY()),"",IF(AND(AI106="",AJ106=""),"",N(AJ106)-N(AI106)))</f>
        <v/>
      </c>
      <c r="AO106">
        <f>IF(OR(AM$3="",AM$3&gt;TODAY()),"",IF(AND(AM106="",AN106=""),"",N(AN106)-N(AM106)))</f>
        <v/>
      </c>
      <c r="AR106">
        <f>IF(OR(AM$3="",AM$3&gt;TODAY()),"",IF(AND(AP106="",AQ106=""),"",N(AQ106)-N(AP106)))</f>
        <v/>
      </c>
      <c r="AV106">
        <f>IF(OR(AT$3="",AT$3&gt;TODAY()),"",IF(AND(AT106="",AU106=""),"",N(AU106)-N(AT106)))</f>
        <v/>
      </c>
      <c r="AY106">
        <f>IF(OR(AT$3="",AT$3&gt;TODAY()),"",IF(AND(AW106="",AX106=""),"",N(AX106)-N(AW106)))</f>
        <v/>
      </c>
      <c r="BC106">
        <f>IF(OR(BA$3="",BA$3&gt;TODAY()),"",IF(AND(BA106="",BB106=""),"",N(BB106)-N(BA106)))</f>
        <v/>
      </c>
      <c r="BF106">
        <f>IF(OR(BA$3="",BA$3&gt;TODAY()),"",IF(AND(BD106="",BE106=""),"",N(BE106)-N(BD106)))</f>
        <v/>
      </c>
      <c r="BJ106">
        <f>IF(OR(BH$3="",BH$3&gt;TODAY()),"",IF(AND(BH106="",BI106=""),"",N(BI106)-N(BH106)))</f>
        <v/>
      </c>
      <c r="BM106">
        <f>IF(OR(BH$3="",BH$3&gt;TODAY()),"",IF(AND(BK106="",BL106=""),"",N(BL106)-N(BK106)))</f>
        <v/>
      </c>
      <c r="BQ106">
        <f>IF(OR(BO$3="",BO$3&gt;TODAY()),"",IF(AND(BO106="",BP106=""),"",N(BP106)-N(BO106)))</f>
        <v/>
      </c>
      <c r="BT106">
        <f>IF(OR(BO$3="",BO$3&gt;TODAY()),"",IF(AND(BR106="",BS106=""),"",N(BS106)-N(BR106)))</f>
        <v/>
      </c>
      <c r="BX106">
        <f>IF(OR(BV$3="",BV$3&gt;TODAY()),"",IF(AND(BV106="",BW106=""),"",N(BW106)-N(BV106)))</f>
        <v/>
      </c>
      <c r="CA106">
        <f>IF(OR(BV$3="",BV$3&gt;TODAY()),"",IF(AND(BY106="",BZ106=""),"",N(BZ106)-N(BY106)))</f>
        <v/>
      </c>
      <c r="CE106">
        <f>IF(OR(CC$3="",CC$3&gt;TODAY()),"",IF(AND(CC106="",CD106=""),"",N(CD106)-N(CC106)))</f>
        <v/>
      </c>
      <c r="CH106">
        <f>IF(OR(CC$3="",CC$3&gt;TODAY()),"",IF(AND(CF106="",CG106=""),"",N(CG106)-N(CF106)))</f>
        <v/>
      </c>
      <c r="CL106">
        <f>IF(OR(CJ$3="",CJ$3&gt;TODAY()),"",IF(AND(CJ106="",CK106=""),"",N(CK106)-N(CJ106)))</f>
        <v/>
      </c>
      <c r="CO106">
        <f>IF(OR(CJ$3="",CJ$3&gt;TODAY()),"",IF(AND(CM106="",CN106=""),"",N(CN106)-N(CM106)))</f>
        <v/>
      </c>
      <c r="CS106">
        <f>IF(OR(CQ$3="",CQ$3&gt;TODAY()),"",IF(AND(CQ106="",CR106=""),"",N(CR106)-N(CQ106)))</f>
        <v/>
      </c>
      <c r="CV106">
        <f>IF(OR(CQ$3="",CQ$3&gt;TODAY()),"",IF(AND(CT106="",CU106=""),"",N(CU106)-N(CT106)))</f>
        <v/>
      </c>
      <c r="CZ106">
        <f>IF(OR(CX$3="",CX$3&gt;TODAY()),"",IF(AND(CX106="",CY106=""),"",N(CY106)-N(CX106)))</f>
        <v/>
      </c>
      <c r="DC106">
        <f>IF(OR(CX$3="",CX$3&gt;TODAY()),"",IF(AND(DA106="",DB106=""),"",N(DB106)-N(DA106)))</f>
        <v/>
      </c>
      <c r="DG106">
        <f>IF(OR(DE$3="",DE$3&gt;TODAY()),"",IF(AND(DE106="",DF106=""),"",N(DF106)-N(DE106)))</f>
        <v/>
      </c>
      <c r="DJ106">
        <f>IF(OR(DE$3="",DE$3&gt;TODAY()),"",IF(AND(DH106="",DI106=""),"",N(DI106)-N(DH106)))</f>
        <v/>
      </c>
      <c r="DN106">
        <f>IF(OR(DL$3="",DL$3&gt;TODAY()),"",IF(AND(DL106="",DM106=""),"",N(DM106)-N(DL106)))</f>
        <v/>
      </c>
      <c r="DQ106">
        <f>IF(OR(DL$3="",DL$3&gt;TODAY()),"",IF(AND(DO106="",DP106=""),"",N(DP106)-N(DO106)))</f>
        <v/>
      </c>
      <c r="DU106">
        <f>IF(OR(DS$3="",DS$3&gt;TODAY()),"",IF(AND(DS106="",DT106=""),"",N(DT106)-N(DS106)))</f>
        <v/>
      </c>
      <c r="DX106">
        <f>IF(OR(DS$3="",DS$3&gt;TODAY()),"",IF(AND(DV106="",DW106=""),"",N(DW106)-N(DV106)))</f>
        <v/>
      </c>
      <c r="EB106">
        <f>IF(OR(DZ$3="",DZ$3&gt;TODAY()),"",IF(AND(DZ106="",EA106=""),"",N(EA106)-N(DZ106)))</f>
        <v/>
      </c>
      <c r="EE106">
        <f>IF(OR(DZ$3="",DZ$3&gt;TODAY()),"",IF(AND(EC106="",ED106=""),"",N(ED106)-N(EC106)))</f>
        <v/>
      </c>
      <c r="EI106">
        <f>IF(OR(EG$3="",EG$3&gt;TODAY()),"",IF(AND(EG106="",EH106=""),"",N(EH106)-N(EG106)))</f>
        <v/>
      </c>
      <c r="EL106">
        <f>IF(OR(EG$3="",EG$3&gt;TODAY()),"",IF(AND(EJ106="",EK106=""),"",N(EK106)-N(EJ106)))</f>
        <v/>
      </c>
      <c r="EP106">
        <f>IF(OR(EN$3="",EN$3&gt;TODAY()),"",IF(AND(EN106="",EO106=""),"",N(EO106)-N(EN106)))</f>
        <v/>
      </c>
      <c r="ES106">
        <f>IF(OR(EN$3="",EN$3&gt;TODAY()),"",IF(AND(EQ106="",ER106=""),"",N(ER106)-N(EQ106)))</f>
        <v/>
      </c>
      <c r="EW106">
        <f>IF(OR(EU$3="",EU$3&gt;TODAY()),"",IF(AND(EU106="",EV106=""),"",N(EV106)-N(EU106)))</f>
        <v/>
      </c>
      <c r="EZ106">
        <f>IF(OR(EU$3="",EU$3&gt;TODAY()),"",IF(AND(EX106="",EY106=""),"",N(EY106)-N(EX106)))</f>
        <v/>
      </c>
      <c r="FD106">
        <f>IF(OR(FB$3="",FB$3&gt;TODAY()),"",IF(AND(FB106="",FC106=""),"",N(FC106)-N(FB106)))</f>
        <v/>
      </c>
      <c r="FG106">
        <f>IF(OR(FB$3="",FB$3&gt;TODAY()),"",IF(AND(FE106="",FF106=""),"",N(FF106)-N(FE106)))</f>
        <v/>
      </c>
      <c r="FK106">
        <f>IF(OR(FI$3="",FI$3&gt;TODAY()),"",IF(AND(FI106="",FJ106=""),"",N(FJ106)-N(FI106)))</f>
        <v/>
      </c>
      <c r="FN106">
        <f>IF(OR(FI$3="",FI$3&gt;TODAY()),"",IF(AND(FL106="",FM106=""),"",N(FM106)-N(FL106)))</f>
        <v/>
      </c>
      <c r="FR106">
        <f>IF(OR(FP$3="",FP$3&gt;TODAY()),"",IF(AND(FP106="",FQ106=""),"",N(FQ106)-N(FP106)))</f>
        <v/>
      </c>
      <c r="FU106">
        <f>IF(OR(FP$3="",FP$3&gt;TODAY()),"",IF(AND(FS106="",FT106=""),"",N(FT106)-N(FS106)))</f>
        <v/>
      </c>
      <c r="FY106">
        <f>IF(OR(FW$3="",FW$3&gt;TODAY()),"",IF(AND(FW106="",FX106=""),"",N(FX106)-N(FW106)))</f>
        <v/>
      </c>
      <c r="GB106">
        <f>IF(OR(FW$3="",FW$3&gt;TODAY()),"",IF(AND(FZ106="",GA106=""),"",N(GA106)-N(FZ106)))</f>
        <v/>
      </c>
      <c r="GF106">
        <f>IF(OR(GD$3="",GD$3&gt;TODAY()),"",IF(AND(GD106="",GE106=""),"",N(GE106)-N(GD106)))</f>
        <v/>
      </c>
      <c r="GI106">
        <f>IF(OR(GD$3="",GD$3&gt;TODAY()),"",IF(AND(GG106="",GH106=""),"",N(GH106)-N(GG106)))</f>
        <v/>
      </c>
      <c r="GM106">
        <f>IF(OR(GK$3="",GK$3&gt;TODAY()),"",IF(AND(GK106="",GL106=""),"",N(GL106)-N(GK106)))</f>
        <v/>
      </c>
      <c r="GP106">
        <f>IF(OR(GK$3="",GK$3&gt;TODAY()),"",IF(AND(GN106="",GO106=""),"",N(GO106)-N(GN106)))</f>
        <v/>
      </c>
      <c r="GT106">
        <f>IF(OR(GR$3="",GR$3&gt;TODAY()),"",IF(AND(GR106="",GS106=""),"",N(GS106)-N(GR106)))</f>
        <v/>
      </c>
      <c r="GW106">
        <f>IF(OR(GR$3="",GR$3&gt;TODAY()),"",IF(AND(GU106="",GV106=""),"",N(GV106)-N(GU106)))</f>
        <v/>
      </c>
      <c r="HA106">
        <f>IF(OR(GY$3="",GY$3&gt;TODAY()),"",IF(AND(GY106="",GZ106=""),"",N(GZ106)-N(GY106)))</f>
        <v/>
      </c>
      <c r="HD106">
        <f>IF(OR(GY$3="",GY$3&gt;TODAY()),"",IF(AND(HB106="",HC106=""),"",N(HC106)-N(HB106)))</f>
        <v/>
      </c>
      <c r="HH106">
        <f>IF(OR(HF$3="",HF$3&gt;TODAY()),"",IF(AND(HF106="",HG106=""),"",N(HG106)-N(HF106)))</f>
        <v/>
      </c>
      <c r="HK106">
        <f>IF(OR(HF$3="",HF$3&gt;TODAY()),"",IF(AND(HI106="",HJ106=""),"",N(HJ106)-N(HI106)))</f>
        <v/>
      </c>
      <c r="HO106">
        <f>IF(OR(HM$3="",HM$3&gt;TODAY()),"",IF(AND(HM106="",HN106=""),"",N(HN106)-N(HM106)))</f>
        <v/>
      </c>
      <c r="HR106">
        <f>IF(OR(HM$3="",HM$3&gt;TODAY()),"",IF(AND(HP106="",HQ106=""),"",N(HQ106)-N(HP106)))</f>
        <v/>
      </c>
      <c r="HV106">
        <f>IF(OR(HT$3="",HT$3&gt;TODAY()),"",IF(AND(HT106="",HU106=""),"",N(HU106)-N(HT106)))</f>
        <v/>
      </c>
      <c r="HY106">
        <f>IF(OR(HT$3="",HT$3&gt;TODAY()),"",IF(AND(HW106="",HX106=""),"",N(HX106)-N(HW106)))</f>
        <v/>
      </c>
      <c r="IC106">
        <f>IF(OR(IA$3="",IA$3&gt;TODAY()),"",IF(AND(IA106="",IB106=""),"",N(IB106)-N(IA106)))</f>
        <v/>
      </c>
      <c r="IF106">
        <f>IF(OR(IA$3="",IA$3&gt;TODAY()),"",IF(AND(ID106="",IE106=""),"",N(IE106)-N(ID106)))</f>
        <v/>
      </c>
      <c r="IJ106">
        <f>IF(OR(IH$3="",IH$3&gt;TODAY()),"",IF(AND(IH106="",II106=""),"",N(II106)-N(IH106)))</f>
        <v/>
      </c>
      <c r="IM106">
        <f>IF(OR(IH$3="",IH$3&gt;TODAY()),"",IF(AND(IK106="",IL106=""),"",N(IL106)-N(IK106)))</f>
        <v/>
      </c>
    </row>
    <row r="107">
      <c r="A107" s="21" t="n"/>
      <c r="B107" s="21" t="n"/>
      <c r="C107" s="21" t="n"/>
      <c r="D107" s="21" t="n"/>
      <c r="E107" s="21" t="n"/>
      <c r="F107" s="21" t="n"/>
      <c r="G107" s="21" t="n"/>
      <c r="H107" s="21" t="n"/>
      <c r="I107" s="22" t="n"/>
      <c r="J107" s="22" t="n"/>
      <c r="K107" s="23" t="n"/>
      <c r="L107" s="22" t="n"/>
      <c r="M107" s="22" t="n"/>
      <c r="N107" s="21" t="n"/>
      <c r="O107" s="23" t="n"/>
      <c r="P107" s="23" t="n"/>
      <c r="Q107" s="23" t="n"/>
      <c r="R107" s="23" t="n"/>
      <c r="S107" s="22" t="n"/>
      <c r="T107" s="23" t="n"/>
      <c r="U107" s="23" t="n"/>
      <c r="V107" s="24">
        <f>IF(J107&lt;&gt;"",J107,IF(I107&lt;&gt;"",I107,""))</f>
        <v/>
      </c>
      <c r="W107" s="25">
        <f>IF($E107="","",N(O107)+SUMIFS($AF107:$IN107,$AF$4:$IN$4,"SEW_ACT"))</f>
        <v/>
      </c>
      <c r="X107" s="25">
        <f>IF($E107="","",N(P107)+SUMIFS($AF107:$IN107,$AF$4:$IN$4,"WASH_ACT"))</f>
        <v/>
      </c>
      <c r="Y107" s="25">
        <f>IF($E107="","",W107-X107-N(T107)-N(U107))</f>
        <v/>
      </c>
      <c r="Z107" s="25">
        <f>IF($E107="","",IF(N(K107)-X107&lt;=0.02*N(K107),0,N(K107)-X107))</f>
        <v/>
      </c>
      <c r="AA107" s="24">
        <f>IF($E107="","",IF(S107&lt;&gt;"",S107,IF(N(O107)&gt;0,IF(L107&lt;&gt;"",L107,99999),IFERROR(1/(1/_xlfn.MINIFS($AF$3:$IN$3,$AF$4:$IN$4,"SEW_ACT",$AF107:$IN107,"&gt;0")),99999))))</f>
        <v/>
      </c>
      <c r="AB107" s="26">
        <f>IF(OR($E107="",Z107=0,V107=""),"",1+COUNTIFS(Z$8:Z$707,"&gt;0",V$8:V$707,"&lt;"&amp;V107)+COUNTIFS(Z$8:Z$707,"&gt;0",V$8:V$707,V107,AA$8:AA$707,"&lt;"&amp;AA107)+COUNTIFS(Z$8:Z$707,"&gt;0",V$8:V$707,V107,AA$8:AA$707,AA107,E$8:E$707,"&lt;"&amp;$E107))</f>
        <v/>
      </c>
      <c r="AC107" s="24">
        <f>IF(OR($E107="",Z107=0),"",IFERROR(TODAY()+ROUNDUP(Z107/(SUMIFS($AF107:$IN107,$AF$4:$IN$4,"WASH_ACT")/COUNTIFS($AF$4:$IN$4,"WASH_ACT",$AF107:$IN107,"&gt;0")),0),"no output yet"))</f>
        <v/>
      </c>
      <c r="AD107" s="26">
        <f>IF($E107="","",IFERROR(ROUND(MAX(0,SUMIFS($AF107:$IN107,$AF$4:$IN$4,"SEW_PLAN",$AF$3:$IN$3,"&lt;="&amp;TODAY())-SUMIFS($AF107:$IN107,$AF$4:$IN$4,"SEW_ACT",$AF$3:$IN$3,"&lt;="&amp;TODAY())+N(Q107))/(SUMIFS($AF107:$IN107,$AF$4:$IN$4,"SEW_PLAN")/COUNTIFS($AF$4:$IN$4,"SEW_PLAN",$AF107:$IN107,"&gt;0")),1),0))</f>
        <v/>
      </c>
      <c r="AE107" s="26">
        <f>IF($E107="","",IF(AND(Z107&gt;0,OR(AND(M107&lt;&gt;"",TODAY()&gt;M107),AND(V107&lt;&gt;"",V107-TODAY()&lt;=7))),"Yes","No"))</f>
        <v/>
      </c>
      <c r="AH107">
        <f>IF(OR(AF$3="",AF$3&gt;TODAY()),"",IF(AND(AF107="",AG107=""),"",N(AG107)-N(AF107)))</f>
        <v/>
      </c>
      <c r="AK107">
        <f>IF(OR(AF$3="",AF$3&gt;TODAY()),"",IF(AND(AI107="",AJ107=""),"",N(AJ107)-N(AI107)))</f>
        <v/>
      </c>
      <c r="AO107">
        <f>IF(OR(AM$3="",AM$3&gt;TODAY()),"",IF(AND(AM107="",AN107=""),"",N(AN107)-N(AM107)))</f>
        <v/>
      </c>
      <c r="AR107">
        <f>IF(OR(AM$3="",AM$3&gt;TODAY()),"",IF(AND(AP107="",AQ107=""),"",N(AQ107)-N(AP107)))</f>
        <v/>
      </c>
      <c r="AV107">
        <f>IF(OR(AT$3="",AT$3&gt;TODAY()),"",IF(AND(AT107="",AU107=""),"",N(AU107)-N(AT107)))</f>
        <v/>
      </c>
      <c r="AY107">
        <f>IF(OR(AT$3="",AT$3&gt;TODAY()),"",IF(AND(AW107="",AX107=""),"",N(AX107)-N(AW107)))</f>
        <v/>
      </c>
      <c r="BC107">
        <f>IF(OR(BA$3="",BA$3&gt;TODAY()),"",IF(AND(BA107="",BB107=""),"",N(BB107)-N(BA107)))</f>
        <v/>
      </c>
      <c r="BF107">
        <f>IF(OR(BA$3="",BA$3&gt;TODAY()),"",IF(AND(BD107="",BE107=""),"",N(BE107)-N(BD107)))</f>
        <v/>
      </c>
      <c r="BJ107">
        <f>IF(OR(BH$3="",BH$3&gt;TODAY()),"",IF(AND(BH107="",BI107=""),"",N(BI107)-N(BH107)))</f>
        <v/>
      </c>
      <c r="BM107">
        <f>IF(OR(BH$3="",BH$3&gt;TODAY()),"",IF(AND(BK107="",BL107=""),"",N(BL107)-N(BK107)))</f>
        <v/>
      </c>
      <c r="BQ107">
        <f>IF(OR(BO$3="",BO$3&gt;TODAY()),"",IF(AND(BO107="",BP107=""),"",N(BP107)-N(BO107)))</f>
        <v/>
      </c>
      <c r="BT107">
        <f>IF(OR(BO$3="",BO$3&gt;TODAY()),"",IF(AND(BR107="",BS107=""),"",N(BS107)-N(BR107)))</f>
        <v/>
      </c>
      <c r="BX107">
        <f>IF(OR(BV$3="",BV$3&gt;TODAY()),"",IF(AND(BV107="",BW107=""),"",N(BW107)-N(BV107)))</f>
        <v/>
      </c>
      <c r="CA107">
        <f>IF(OR(BV$3="",BV$3&gt;TODAY()),"",IF(AND(BY107="",BZ107=""),"",N(BZ107)-N(BY107)))</f>
        <v/>
      </c>
      <c r="CE107">
        <f>IF(OR(CC$3="",CC$3&gt;TODAY()),"",IF(AND(CC107="",CD107=""),"",N(CD107)-N(CC107)))</f>
        <v/>
      </c>
      <c r="CH107">
        <f>IF(OR(CC$3="",CC$3&gt;TODAY()),"",IF(AND(CF107="",CG107=""),"",N(CG107)-N(CF107)))</f>
        <v/>
      </c>
      <c r="CL107">
        <f>IF(OR(CJ$3="",CJ$3&gt;TODAY()),"",IF(AND(CJ107="",CK107=""),"",N(CK107)-N(CJ107)))</f>
        <v/>
      </c>
      <c r="CO107">
        <f>IF(OR(CJ$3="",CJ$3&gt;TODAY()),"",IF(AND(CM107="",CN107=""),"",N(CN107)-N(CM107)))</f>
        <v/>
      </c>
      <c r="CS107">
        <f>IF(OR(CQ$3="",CQ$3&gt;TODAY()),"",IF(AND(CQ107="",CR107=""),"",N(CR107)-N(CQ107)))</f>
        <v/>
      </c>
      <c r="CV107">
        <f>IF(OR(CQ$3="",CQ$3&gt;TODAY()),"",IF(AND(CT107="",CU107=""),"",N(CU107)-N(CT107)))</f>
        <v/>
      </c>
      <c r="CZ107">
        <f>IF(OR(CX$3="",CX$3&gt;TODAY()),"",IF(AND(CX107="",CY107=""),"",N(CY107)-N(CX107)))</f>
        <v/>
      </c>
      <c r="DC107">
        <f>IF(OR(CX$3="",CX$3&gt;TODAY()),"",IF(AND(DA107="",DB107=""),"",N(DB107)-N(DA107)))</f>
        <v/>
      </c>
      <c r="DG107">
        <f>IF(OR(DE$3="",DE$3&gt;TODAY()),"",IF(AND(DE107="",DF107=""),"",N(DF107)-N(DE107)))</f>
        <v/>
      </c>
      <c r="DJ107">
        <f>IF(OR(DE$3="",DE$3&gt;TODAY()),"",IF(AND(DH107="",DI107=""),"",N(DI107)-N(DH107)))</f>
        <v/>
      </c>
      <c r="DN107">
        <f>IF(OR(DL$3="",DL$3&gt;TODAY()),"",IF(AND(DL107="",DM107=""),"",N(DM107)-N(DL107)))</f>
        <v/>
      </c>
      <c r="DQ107">
        <f>IF(OR(DL$3="",DL$3&gt;TODAY()),"",IF(AND(DO107="",DP107=""),"",N(DP107)-N(DO107)))</f>
        <v/>
      </c>
      <c r="DU107">
        <f>IF(OR(DS$3="",DS$3&gt;TODAY()),"",IF(AND(DS107="",DT107=""),"",N(DT107)-N(DS107)))</f>
        <v/>
      </c>
      <c r="DX107">
        <f>IF(OR(DS$3="",DS$3&gt;TODAY()),"",IF(AND(DV107="",DW107=""),"",N(DW107)-N(DV107)))</f>
        <v/>
      </c>
      <c r="EB107">
        <f>IF(OR(DZ$3="",DZ$3&gt;TODAY()),"",IF(AND(DZ107="",EA107=""),"",N(EA107)-N(DZ107)))</f>
        <v/>
      </c>
      <c r="EE107">
        <f>IF(OR(DZ$3="",DZ$3&gt;TODAY()),"",IF(AND(EC107="",ED107=""),"",N(ED107)-N(EC107)))</f>
        <v/>
      </c>
      <c r="EI107">
        <f>IF(OR(EG$3="",EG$3&gt;TODAY()),"",IF(AND(EG107="",EH107=""),"",N(EH107)-N(EG107)))</f>
        <v/>
      </c>
      <c r="EL107">
        <f>IF(OR(EG$3="",EG$3&gt;TODAY()),"",IF(AND(EJ107="",EK107=""),"",N(EK107)-N(EJ107)))</f>
        <v/>
      </c>
      <c r="EP107">
        <f>IF(OR(EN$3="",EN$3&gt;TODAY()),"",IF(AND(EN107="",EO107=""),"",N(EO107)-N(EN107)))</f>
        <v/>
      </c>
      <c r="ES107">
        <f>IF(OR(EN$3="",EN$3&gt;TODAY()),"",IF(AND(EQ107="",ER107=""),"",N(ER107)-N(EQ107)))</f>
        <v/>
      </c>
      <c r="EW107">
        <f>IF(OR(EU$3="",EU$3&gt;TODAY()),"",IF(AND(EU107="",EV107=""),"",N(EV107)-N(EU107)))</f>
        <v/>
      </c>
      <c r="EZ107">
        <f>IF(OR(EU$3="",EU$3&gt;TODAY()),"",IF(AND(EX107="",EY107=""),"",N(EY107)-N(EX107)))</f>
        <v/>
      </c>
      <c r="FD107">
        <f>IF(OR(FB$3="",FB$3&gt;TODAY()),"",IF(AND(FB107="",FC107=""),"",N(FC107)-N(FB107)))</f>
        <v/>
      </c>
      <c r="FG107">
        <f>IF(OR(FB$3="",FB$3&gt;TODAY()),"",IF(AND(FE107="",FF107=""),"",N(FF107)-N(FE107)))</f>
        <v/>
      </c>
      <c r="FK107">
        <f>IF(OR(FI$3="",FI$3&gt;TODAY()),"",IF(AND(FI107="",FJ107=""),"",N(FJ107)-N(FI107)))</f>
        <v/>
      </c>
      <c r="FN107">
        <f>IF(OR(FI$3="",FI$3&gt;TODAY()),"",IF(AND(FL107="",FM107=""),"",N(FM107)-N(FL107)))</f>
        <v/>
      </c>
      <c r="FR107">
        <f>IF(OR(FP$3="",FP$3&gt;TODAY()),"",IF(AND(FP107="",FQ107=""),"",N(FQ107)-N(FP107)))</f>
        <v/>
      </c>
      <c r="FU107">
        <f>IF(OR(FP$3="",FP$3&gt;TODAY()),"",IF(AND(FS107="",FT107=""),"",N(FT107)-N(FS107)))</f>
        <v/>
      </c>
      <c r="FY107">
        <f>IF(OR(FW$3="",FW$3&gt;TODAY()),"",IF(AND(FW107="",FX107=""),"",N(FX107)-N(FW107)))</f>
        <v/>
      </c>
      <c r="GB107">
        <f>IF(OR(FW$3="",FW$3&gt;TODAY()),"",IF(AND(FZ107="",GA107=""),"",N(GA107)-N(FZ107)))</f>
        <v/>
      </c>
      <c r="GF107">
        <f>IF(OR(GD$3="",GD$3&gt;TODAY()),"",IF(AND(GD107="",GE107=""),"",N(GE107)-N(GD107)))</f>
        <v/>
      </c>
      <c r="GI107">
        <f>IF(OR(GD$3="",GD$3&gt;TODAY()),"",IF(AND(GG107="",GH107=""),"",N(GH107)-N(GG107)))</f>
        <v/>
      </c>
      <c r="GM107">
        <f>IF(OR(GK$3="",GK$3&gt;TODAY()),"",IF(AND(GK107="",GL107=""),"",N(GL107)-N(GK107)))</f>
        <v/>
      </c>
      <c r="GP107">
        <f>IF(OR(GK$3="",GK$3&gt;TODAY()),"",IF(AND(GN107="",GO107=""),"",N(GO107)-N(GN107)))</f>
        <v/>
      </c>
      <c r="GT107">
        <f>IF(OR(GR$3="",GR$3&gt;TODAY()),"",IF(AND(GR107="",GS107=""),"",N(GS107)-N(GR107)))</f>
        <v/>
      </c>
      <c r="GW107">
        <f>IF(OR(GR$3="",GR$3&gt;TODAY()),"",IF(AND(GU107="",GV107=""),"",N(GV107)-N(GU107)))</f>
        <v/>
      </c>
      <c r="HA107">
        <f>IF(OR(GY$3="",GY$3&gt;TODAY()),"",IF(AND(GY107="",GZ107=""),"",N(GZ107)-N(GY107)))</f>
        <v/>
      </c>
      <c r="HD107">
        <f>IF(OR(GY$3="",GY$3&gt;TODAY()),"",IF(AND(HB107="",HC107=""),"",N(HC107)-N(HB107)))</f>
        <v/>
      </c>
      <c r="HH107">
        <f>IF(OR(HF$3="",HF$3&gt;TODAY()),"",IF(AND(HF107="",HG107=""),"",N(HG107)-N(HF107)))</f>
        <v/>
      </c>
      <c r="HK107">
        <f>IF(OR(HF$3="",HF$3&gt;TODAY()),"",IF(AND(HI107="",HJ107=""),"",N(HJ107)-N(HI107)))</f>
        <v/>
      </c>
      <c r="HO107">
        <f>IF(OR(HM$3="",HM$3&gt;TODAY()),"",IF(AND(HM107="",HN107=""),"",N(HN107)-N(HM107)))</f>
        <v/>
      </c>
      <c r="HR107">
        <f>IF(OR(HM$3="",HM$3&gt;TODAY()),"",IF(AND(HP107="",HQ107=""),"",N(HQ107)-N(HP107)))</f>
        <v/>
      </c>
      <c r="HV107">
        <f>IF(OR(HT$3="",HT$3&gt;TODAY()),"",IF(AND(HT107="",HU107=""),"",N(HU107)-N(HT107)))</f>
        <v/>
      </c>
      <c r="HY107">
        <f>IF(OR(HT$3="",HT$3&gt;TODAY()),"",IF(AND(HW107="",HX107=""),"",N(HX107)-N(HW107)))</f>
        <v/>
      </c>
      <c r="IC107">
        <f>IF(OR(IA$3="",IA$3&gt;TODAY()),"",IF(AND(IA107="",IB107=""),"",N(IB107)-N(IA107)))</f>
        <v/>
      </c>
      <c r="IF107">
        <f>IF(OR(IA$3="",IA$3&gt;TODAY()),"",IF(AND(ID107="",IE107=""),"",N(IE107)-N(ID107)))</f>
        <v/>
      </c>
      <c r="IJ107">
        <f>IF(OR(IH$3="",IH$3&gt;TODAY()),"",IF(AND(IH107="",II107=""),"",N(II107)-N(IH107)))</f>
        <v/>
      </c>
      <c r="IM107">
        <f>IF(OR(IH$3="",IH$3&gt;TODAY()),"",IF(AND(IK107="",IL107=""),"",N(IL107)-N(IK107)))</f>
        <v/>
      </c>
    </row>
    <row r="108">
      <c r="A108" s="21" t="n"/>
      <c r="B108" s="21" t="n"/>
      <c r="C108" s="21" t="n"/>
      <c r="D108" s="21" t="n"/>
      <c r="E108" s="21" t="n"/>
      <c r="F108" s="21" t="n"/>
      <c r="G108" s="21" t="n"/>
      <c r="H108" s="21" t="n"/>
      <c r="I108" s="22" t="n"/>
      <c r="J108" s="22" t="n"/>
      <c r="K108" s="23" t="n"/>
      <c r="L108" s="22" t="n"/>
      <c r="M108" s="22" t="n"/>
      <c r="N108" s="21" t="n"/>
      <c r="O108" s="23" t="n"/>
      <c r="P108" s="23" t="n"/>
      <c r="Q108" s="23" t="n"/>
      <c r="R108" s="23" t="n"/>
      <c r="S108" s="22" t="n"/>
      <c r="T108" s="23" t="n"/>
      <c r="U108" s="23" t="n"/>
      <c r="V108" s="24">
        <f>IF(J108&lt;&gt;"",J108,IF(I108&lt;&gt;"",I108,""))</f>
        <v/>
      </c>
      <c r="W108" s="25">
        <f>IF($E108="","",N(O108)+SUMIFS($AF108:$IN108,$AF$4:$IN$4,"SEW_ACT"))</f>
        <v/>
      </c>
      <c r="X108" s="25">
        <f>IF($E108="","",N(P108)+SUMIFS($AF108:$IN108,$AF$4:$IN$4,"WASH_ACT"))</f>
        <v/>
      </c>
      <c r="Y108" s="25">
        <f>IF($E108="","",W108-X108-N(T108)-N(U108))</f>
        <v/>
      </c>
      <c r="Z108" s="25">
        <f>IF($E108="","",IF(N(K108)-X108&lt;=0.02*N(K108),0,N(K108)-X108))</f>
        <v/>
      </c>
      <c r="AA108" s="24">
        <f>IF($E108="","",IF(S108&lt;&gt;"",S108,IF(N(O108)&gt;0,IF(L108&lt;&gt;"",L108,99999),IFERROR(1/(1/_xlfn.MINIFS($AF$3:$IN$3,$AF$4:$IN$4,"SEW_ACT",$AF108:$IN108,"&gt;0")),99999))))</f>
        <v/>
      </c>
      <c r="AB108" s="26">
        <f>IF(OR($E108="",Z108=0,V108=""),"",1+COUNTIFS(Z$8:Z$707,"&gt;0",V$8:V$707,"&lt;"&amp;V108)+COUNTIFS(Z$8:Z$707,"&gt;0",V$8:V$707,V108,AA$8:AA$707,"&lt;"&amp;AA108)+COUNTIFS(Z$8:Z$707,"&gt;0",V$8:V$707,V108,AA$8:AA$707,AA108,E$8:E$707,"&lt;"&amp;$E108))</f>
        <v/>
      </c>
      <c r="AC108" s="24">
        <f>IF(OR($E108="",Z108=0),"",IFERROR(TODAY()+ROUNDUP(Z108/(SUMIFS($AF108:$IN108,$AF$4:$IN$4,"WASH_ACT")/COUNTIFS($AF$4:$IN$4,"WASH_ACT",$AF108:$IN108,"&gt;0")),0),"no output yet"))</f>
        <v/>
      </c>
      <c r="AD108" s="26">
        <f>IF($E108="","",IFERROR(ROUND(MAX(0,SUMIFS($AF108:$IN108,$AF$4:$IN$4,"SEW_PLAN",$AF$3:$IN$3,"&lt;="&amp;TODAY())-SUMIFS($AF108:$IN108,$AF$4:$IN$4,"SEW_ACT",$AF$3:$IN$3,"&lt;="&amp;TODAY())+N(Q108))/(SUMIFS($AF108:$IN108,$AF$4:$IN$4,"SEW_PLAN")/COUNTIFS($AF$4:$IN$4,"SEW_PLAN",$AF108:$IN108,"&gt;0")),1),0))</f>
        <v/>
      </c>
      <c r="AE108" s="26">
        <f>IF($E108="","",IF(AND(Z108&gt;0,OR(AND(M108&lt;&gt;"",TODAY()&gt;M108),AND(V108&lt;&gt;"",V108-TODAY()&lt;=7))),"Yes","No"))</f>
        <v/>
      </c>
      <c r="AH108">
        <f>IF(OR(AF$3="",AF$3&gt;TODAY()),"",IF(AND(AF108="",AG108=""),"",N(AG108)-N(AF108)))</f>
        <v/>
      </c>
      <c r="AK108">
        <f>IF(OR(AF$3="",AF$3&gt;TODAY()),"",IF(AND(AI108="",AJ108=""),"",N(AJ108)-N(AI108)))</f>
        <v/>
      </c>
      <c r="AO108">
        <f>IF(OR(AM$3="",AM$3&gt;TODAY()),"",IF(AND(AM108="",AN108=""),"",N(AN108)-N(AM108)))</f>
        <v/>
      </c>
      <c r="AR108">
        <f>IF(OR(AM$3="",AM$3&gt;TODAY()),"",IF(AND(AP108="",AQ108=""),"",N(AQ108)-N(AP108)))</f>
        <v/>
      </c>
      <c r="AV108">
        <f>IF(OR(AT$3="",AT$3&gt;TODAY()),"",IF(AND(AT108="",AU108=""),"",N(AU108)-N(AT108)))</f>
        <v/>
      </c>
      <c r="AY108">
        <f>IF(OR(AT$3="",AT$3&gt;TODAY()),"",IF(AND(AW108="",AX108=""),"",N(AX108)-N(AW108)))</f>
        <v/>
      </c>
      <c r="BC108">
        <f>IF(OR(BA$3="",BA$3&gt;TODAY()),"",IF(AND(BA108="",BB108=""),"",N(BB108)-N(BA108)))</f>
        <v/>
      </c>
      <c r="BF108">
        <f>IF(OR(BA$3="",BA$3&gt;TODAY()),"",IF(AND(BD108="",BE108=""),"",N(BE108)-N(BD108)))</f>
        <v/>
      </c>
      <c r="BJ108">
        <f>IF(OR(BH$3="",BH$3&gt;TODAY()),"",IF(AND(BH108="",BI108=""),"",N(BI108)-N(BH108)))</f>
        <v/>
      </c>
      <c r="BM108">
        <f>IF(OR(BH$3="",BH$3&gt;TODAY()),"",IF(AND(BK108="",BL108=""),"",N(BL108)-N(BK108)))</f>
        <v/>
      </c>
      <c r="BQ108">
        <f>IF(OR(BO$3="",BO$3&gt;TODAY()),"",IF(AND(BO108="",BP108=""),"",N(BP108)-N(BO108)))</f>
        <v/>
      </c>
      <c r="BT108">
        <f>IF(OR(BO$3="",BO$3&gt;TODAY()),"",IF(AND(BR108="",BS108=""),"",N(BS108)-N(BR108)))</f>
        <v/>
      </c>
      <c r="BX108">
        <f>IF(OR(BV$3="",BV$3&gt;TODAY()),"",IF(AND(BV108="",BW108=""),"",N(BW108)-N(BV108)))</f>
        <v/>
      </c>
      <c r="CA108">
        <f>IF(OR(BV$3="",BV$3&gt;TODAY()),"",IF(AND(BY108="",BZ108=""),"",N(BZ108)-N(BY108)))</f>
        <v/>
      </c>
      <c r="CE108">
        <f>IF(OR(CC$3="",CC$3&gt;TODAY()),"",IF(AND(CC108="",CD108=""),"",N(CD108)-N(CC108)))</f>
        <v/>
      </c>
      <c r="CH108">
        <f>IF(OR(CC$3="",CC$3&gt;TODAY()),"",IF(AND(CF108="",CG108=""),"",N(CG108)-N(CF108)))</f>
        <v/>
      </c>
      <c r="CL108">
        <f>IF(OR(CJ$3="",CJ$3&gt;TODAY()),"",IF(AND(CJ108="",CK108=""),"",N(CK108)-N(CJ108)))</f>
        <v/>
      </c>
      <c r="CO108">
        <f>IF(OR(CJ$3="",CJ$3&gt;TODAY()),"",IF(AND(CM108="",CN108=""),"",N(CN108)-N(CM108)))</f>
        <v/>
      </c>
      <c r="CS108">
        <f>IF(OR(CQ$3="",CQ$3&gt;TODAY()),"",IF(AND(CQ108="",CR108=""),"",N(CR108)-N(CQ108)))</f>
        <v/>
      </c>
      <c r="CV108">
        <f>IF(OR(CQ$3="",CQ$3&gt;TODAY()),"",IF(AND(CT108="",CU108=""),"",N(CU108)-N(CT108)))</f>
        <v/>
      </c>
      <c r="CZ108">
        <f>IF(OR(CX$3="",CX$3&gt;TODAY()),"",IF(AND(CX108="",CY108=""),"",N(CY108)-N(CX108)))</f>
        <v/>
      </c>
      <c r="DC108">
        <f>IF(OR(CX$3="",CX$3&gt;TODAY()),"",IF(AND(DA108="",DB108=""),"",N(DB108)-N(DA108)))</f>
        <v/>
      </c>
      <c r="DG108">
        <f>IF(OR(DE$3="",DE$3&gt;TODAY()),"",IF(AND(DE108="",DF108=""),"",N(DF108)-N(DE108)))</f>
        <v/>
      </c>
      <c r="DJ108">
        <f>IF(OR(DE$3="",DE$3&gt;TODAY()),"",IF(AND(DH108="",DI108=""),"",N(DI108)-N(DH108)))</f>
        <v/>
      </c>
      <c r="DN108">
        <f>IF(OR(DL$3="",DL$3&gt;TODAY()),"",IF(AND(DL108="",DM108=""),"",N(DM108)-N(DL108)))</f>
        <v/>
      </c>
      <c r="DQ108">
        <f>IF(OR(DL$3="",DL$3&gt;TODAY()),"",IF(AND(DO108="",DP108=""),"",N(DP108)-N(DO108)))</f>
        <v/>
      </c>
      <c r="DU108">
        <f>IF(OR(DS$3="",DS$3&gt;TODAY()),"",IF(AND(DS108="",DT108=""),"",N(DT108)-N(DS108)))</f>
        <v/>
      </c>
      <c r="DX108">
        <f>IF(OR(DS$3="",DS$3&gt;TODAY()),"",IF(AND(DV108="",DW108=""),"",N(DW108)-N(DV108)))</f>
        <v/>
      </c>
      <c r="EB108">
        <f>IF(OR(DZ$3="",DZ$3&gt;TODAY()),"",IF(AND(DZ108="",EA108=""),"",N(EA108)-N(DZ108)))</f>
        <v/>
      </c>
      <c r="EE108">
        <f>IF(OR(DZ$3="",DZ$3&gt;TODAY()),"",IF(AND(EC108="",ED108=""),"",N(ED108)-N(EC108)))</f>
        <v/>
      </c>
      <c r="EI108">
        <f>IF(OR(EG$3="",EG$3&gt;TODAY()),"",IF(AND(EG108="",EH108=""),"",N(EH108)-N(EG108)))</f>
        <v/>
      </c>
      <c r="EL108">
        <f>IF(OR(EG$3="",EG$3&gt;TODAY()),"",IF(AND(EJ108="",EK108=""),"",N(EK108)-N(EJ108)))</f>
        <v/>
      </c>
      <c r="EP108">
        <f>IF(OR(EN$3="",EN$3&gt;TODAY()),"",IF(AND(EN108="",EO108=""),"",N(EO108)-N(EN108)))</f>
        <v/>
      </c>
      <c r="ES108">
        <f>IF(OR(EN$3="",EN$3&gt;TODAY()),"",IF(AND(EQ108="",ER108=""),"",N(ER108)-N(EQ108)))</f>
        <v/>
      </c>
      <c r="EW108">
        <f>IF(OR(EU$3="",EU$3&gt;TODAY()),"",IF(AND(EU108="",EV108=""),"",N(EV108)-N(EU108)))</f>
        <v/>
      </c>
      <c r="EZ108">
        <f>IF(OR(EU$3="",EU$3&gt;TODAY()),"",IF(AND(EX108="",EY108=""),"",N(EY108)-N(EX108)))</f>
        <v/>
      </c>
      <c r="FD108">
        <f>IF(OR(FB$3="",FB$3&gt;TODAY()),"",IF(AND(FB108="",FC108=""),"",N(FC108)-N(FB108)))</f>
        <v/>
      </c>
      <c r="FG108">
        <f>IF(OR(FB$3="",FB$3&gt;TODAY()),"",IF(AND(FE108="",FF108=""),"",N(FF108)-N(FE108)))</f>
        <v/>
      </c>
      <c r="FK108">
        <f>IF(OR(FI$3="",FI$3&gt;TODAY()),"",IF(AND(FI108="",FJ108=""),"",N(FJ108)-N(FI108)))</f>
        <v/>
      </c>
      <c r="FN108">
        <f>IF(OR(FI$3="",FI$3&gt;TODAY()),"",IF(AND(FL108="",FM108=""),"",N(FM108)-N(FL108)))</f>
        <v/>
      </c>
      <c r="FR108">
        <f>IF(OR(FP$3="",FP$3&gt;TODAY()),"",IF(AND(FP108="",FQ108=""),"",N(FQ108)-N(FP108)))</f>
        <v/>
      </c>
      <c r="FU108">
        <f>IF(OR(FP$3="",FP$3&gt;TODAY()),"",IF(AND(FS108="",FT108=""),"",N(FT108)-N(FS108)))</f>
        <v/>
      </c>
      <c r="FY108">
        <f>IF(OR(FW$3="",FW$3&gt;TODAY()),"",IF(AND(FW108="",FX108=""),"",N(FX108)-N(FW108)))</f>
        <v/>
      </c>
      <c r="GB108">
        <f>IF(OR(FW$3="",FW$3&gt;TODAY()),"",IF(AND(FZ108="",GA108=""),"",N(GA108)-N(FZ108)))</f>
        <v/>
      </c>
      <c r="GF108">
        <f>IF(OR(GD$3="",GD$3&gt;TODAY()),"",IF(AND(GD108="",GE108=""),"",N(GE108)-N(GD108)))</f>
        <v/>
      </c>
      <c r="GI108">
        <f>IF(OR(GD$3="",GD$3&gt;TODAY()),"",IF(AND(GG108="",GH108=""),"",N(GH108)-N(GG108)))</f>
        <v/>
      </c>
      <c r="GM108">
        <f>IF(OR(GK$3="",GK$3&gt;TODAY()),"",IF(AND(GK108="",GL108=""),"",N(GL108)-N(GK108)))</f>
        <v/>
      </c>
      <c r="GP108">
        <f>IF(OR(GK$3="",GK$3&gt;TODAY()),"",IF(AND(GN108="",GO108=""),"",N(GO108)-N(GN108)))</f>
        <v/>
      </c>
      <c r="GT108">
        <f>IF(OR(GR$3="",GR$3&gt;TODAY()),"",IF(AND(GR108="",GS108=""),"",N(GS108)-N(GR108)))</f>
        <v/>
      </c>
      <c r="GW108">
        <f>IF(OR(GR$3="",GR$3&gt;TODAY()),"",IF(AND(GU108="",GV108=""),"",N(GV108)-N(GU108)))</f>
        <v/>
      </c>
      <c r="HA108">
        <f>IF(OR(GY$3="",GY$3&gt;TODAY()),"",IF(AND(GY108="",GZ108=""),"",N(GZ108)-N(GY108)))</f>
        <v/>
      </c>
      <c r="HD108">
        <f>IF(OR(GY$3="",GY$3&gt;TODAY()),"",IF(AND(HB108="",HC108=""),"",N(HC108)-N(HB108)))</f>
        <v/>
      </c>
      <c r="HH108">
        <f>IF(OR(HF$3="",HF$3&gt;TODAY()),"",IF(AND(HF108="",HG108=""),"",N(HG108)-N(HF108)))</f>
        <v/>
      </c>
      <c r="HK108">
        <f>IF(OR(HF$3="",HF$3&gt;TODAY()),"",IF(AND(HI108="",HJ108=""),"",N(HJ108)-N(HI108)))</f>
        <v/>
      </c>
      <c r="HO108">
        <f>IF(OR(HM$3="",HM$3&gt;TODAY()),"",IF(AND(HM108="",HN108=""),"",N(HN108)-N(HM108)))</f>
        <v/>
      </c>
      <c r="HR108">
        <f>IF(OR(HM$3="",HM$3&gt;TODAY()),"",IF(AND(HP108="",HQ108=""),"",N(HQ108)-N(HP108)))</f>
        <v/>
      </c>
      <c r="HV108">
        <f>IF(OR(HT$3="",HT$3&gt;TODAY()),"",IF(AND(HT108="",HU108=""),"",N(HU108)-N(HT108)))</f>
        <v/>
      </c>
      <c r="HY108">
        <f>IF(OR(HT$3="",HT$3&gt;TODAY()),"",IF(AND(HW108="",HX108=""),"",N(HX108)-N(HW108)))</f>
        <v/>
      </c>
      <c r="IC108">
        <f>IF(OR(IA$3="",IA$3&gt;TODAY()),"",IF(AND(IA108="",IB108=""),"",N(IB108)-N(IA108)))</f>
        <v/>
      </c>
      <c r="IF108">
        <f>IF(OR(IA$3="",IA$3&gt;TODAY()),"",IF(AND(ID108="",IE108=""),"",N(IE108)-N(ID108)))</f>
        <v/>
      </c>
      <c r="IJ108">
        <f>IF(OR(IH$3="",IH$3&gt;TODAY()),"",IF(AND(IH108="",II108=""),"",N(II108)-N(IH108)))</f>
        <v/>
      </c>
      <c r="IM108">
        <f>IF(OR(IH$3="",IH$3&gt;TODAY()),"",IF(AND(IK108="",IL108=""),"",N(IL108)-N(IK108)))</f>
        <v/>
      </c>
    </row>
    <row r="109">
      <c r="A109" s="21" t="n"/>
      <c r="B109" s="21" t="n"/>
      <c r="C109" s="21" t="n"/>
      <c r="D109" s="21" t="n"/>
      <c r="E109" s="21" t="n"/>
      <c r="F109" s="21" t="n"/>
      <c r="G109" s="21" t="n"/>
      <c r="H109" s="21" t="n"/>
      <c r="I109" s="22" t="n"/>
      <c r="J109" s="22" t="n"/>
      <c r="K109" s="23" t="n"/>
      <c r="L109" s="22" t="n"/>
      <c r="M109" s="22" t="n"/>
      <c r="N109" s="21" t="n"/>
      <c r="O109" s="23" t="n"/>
      <c r="P109" s="23" t="n"/>
      <c r="Q109" s="23" t="n"/>
      <c r="R109" s="23" t="n"/>
      <c r="S109" s="22" t="n"/>
      <c r="T109" s="23" t="n"/>
      <c r="U109" s="23" t="n"/>
      <c r="V109" s="24">
        <f>IF(J109&lt;&gt;"",J109,IF(I109&lt;&gt;"",I109,""))</f>
        <v/>
      </c>
      <c r="W109" s="25">
        <f>IF($E109="","",N(O109)+SUMIFS($AF109:$IN109,$AF$4:$IN$4,"SEW_ACT"))</f>
        <v/>
      </c>
      <c r="X109" s="25">
        <f>IF($E109="","",N(P109)+SUMIFS($AF109:$IN109,$AF$4:$IN$4,"WASH_ACT"))</f>
        <v/>
      </c>
      <c r="Y109" s="25">
        <f>IF($E109="","",W109-X109-N(T109)-N(U109))</f>
        <v/>
      </c>
      <c r="Z109" s="25">
        <f>IF($E109="","",IF(N(K109)-X109&lt;=0.02*N(K109),0,N(K109)-X109))</f>
        <v/>
      </c>
      <c r="AA109" s="24">
        <f>IF($E109="","",IF(S109&lt;&gt;"",S109,IF(N(O109)&gt;0,IF(L109&lt;&gt;"",L109,99999),IFERROR(1/(1/_xlfn.MINIFS($AF$3:$IN$3,$AF$4:$IN$4,"SEW_ACT",$AF109:$IN109,"&gt;0")),99999))))</f>
        <v/>
      </c>
      <c r="AB109" s="26">
        <f>IF(OR($E109="",Z109=0,V109=""),"",1+COUNTIFS(Z$8:Z$707,"&gt;0",V$8:V$707,"&lt;"&amp;V109)+COUNTIFS(Z$8:Z$707,"&gt;0",V$8:V$707,V109,AA$8:AA$707,"&lt;"&amp;AA109)+COUNTIFS(Z$8:Z$707,"&gt;0",V$8:V$707,V109,AA$8:AA$707,AA109,E$8:E$707,"&lt;"&amp;$E109))</f>
        <v/>
      </c>
      <c r="AC109" s="24">
        <f>IF(OR($E109="",Z109=0),"",IFERROR(TODAY()+ROUNDUP(Z109/(SUMIFS($AF109:$IN109,$AF$4:$IN$4,"WASH_ACT")/COUNTIFS($AF$4:$IN$4,"WASH_ACT",$AF109:$IN109,"&gt;0")),0),"no output yet"))</f>
        <v/>
      </c>
      <c r="AD109" s="26">
        <f>IF($E109="","",IFERROR(ROUND(MAX(0,SUMIFS($AF109:$IN109,$AF$4:$IN$4,"SEW_PLAN",$AF$3:$IN$3,"&lt;="&amp;TODAY())-SUMIFS($AF109:$IN109,$AF$4:$IN$4,"SEW_ACT",$AF$3:$IN$3,"&lt;="&amp;TODAY())+N(Q109))/(SUMIFS($AF109:$IN109,$AF$4:$IN$4,"SEW_PLAN")/COUNTIFS($AF$4:$IN$4,"SEW_PLAN",$AF109:$IN109,"&gt;0")),1),0))</f>
        <v/>
      </c>
      <c r="AE109" s="26">
        <f>IF($E109="","",IF(AND(Z109&gt;0,OR(AND(M109&lt;&gt;"",TODAY()&gt;M109),AND(V109&lt;&gt;"",V109-TODAY()&lt;=7))),"Yes","No"))</f>
        <v/>
      </c>
      <c r="AH109">
        <f>IF(OR(AF$3="",AF$3&gt;TODAY()),"",IF(AND(AF109="",AG109=""),"",N(AG109)-N(AF109)))</f>
        <v/>
      </c>
      <c r="AK109">
        <f>IF(OR(AF$3="",AF$3&gt;TODAY()),"",IF(AND(AI109="",AJ109=""),"",N(AJ109)-N(AI109)))</f>
        <v/>
      </c>
      <c r="AO109">
        <f>IF(OR(AM$3="",AM$3&gt;TODAY()),"",IF(AND(AM109="",AN109=""),"",N(AN109)-N(AM109)))</f>
        <v/>
      </c>
      <c r="AR109">
        <f>IF(OR(AM$3="",AM$3&gt;TODAY()),"",IF(AND(AP109="",AQ109=""),"",N(AQ109)-N(AP109)))</f>
        <v/>
      </c>
      <c r="AV109">
        <f>IF(OR(AT$3="",AT$3&gt;TODAY()),"",IF(AND(AT109="",AU109=""),"",N(AU109)-N(AT109)))</f>
        <v/>
      </c>
      <c r="AY109">
        <f>IF(OR(AT$3="",AT$3&gt;TODAY()),"",IF(AND(AW109="",AX109=""),"",N(AX109)-N(AW109)))</f>
        <v/>
      </c>
      <c r="BC109">
        <f>IF(OR(BA$3="",BA$3&gt;TODAY()),"",IF(AND(BA109="",BB109=""),"",N(BB109)-N(BA109)))</f>
        <v/>
      </c>
      <c r="BF109">
        <f>IF(OR(BA$3="",BA$3&gt;TODAY()),"",IF(AND(BD109="",BE109=""),"",N(BE109)-N(BD109)))</f>
        <v/>
      </c>
      <c r="BJ109">
        <f>IF(OR(BH$3="",BH$3&gt;TODAY()),"",IF(AND(BH109="",BI109=""),"",N(BI109)-N(BH109)))</f>
        <v/>
      </c>
      <c r="BM109">
        <f>IF(OR(BH$3="",BH$3&gt;TODAY()),"",IF(AND(BK109="",BL109=""),"",N(BL109)-N(BK109)))</f>
        <v/>
      </c>
      <c r="BQ109">
        <f>IF(OR(BO$3="",BO$3&gt;TODAY()),"",IF(AND(BO109="",BP109=""),"",N(BP109)-N(BO109)))</f>
        <v/>
      </c>
      <c r="BT109">
        <f>IF(OR(BO$3="",BO$3&gt;TODAY()),"",IF(AND(BR109="",BS109=""),"",N(BS109)-N(BR109)))</f>
        <v/>
      </c>
      <c r="BX109">
        <f>IF(OR(BV$3="",BV$3&gt;TODAY()),"",IF(AND(BV109="",BW109=""),"",N(BW109)-N(BV109)))</f>
        <v/>
      </c>
      <c r="CA109">
        <f>IF(OR(BV$3="",BV$3&gt;TODAY()),"",IF(AND(BY109="",BZ109=""),"",N(BZ109)-N(BY109)))</f>
        <v/>
      </c>
      <c r="CE109">
        <f>IF(OR(CC$3="",CC$3&gt;TODAY()),"",IF(AND(CC109="",CD109=""),"",N(CD109)-N(CC109)))</f>
        <v/>
      </c>
      <c r="CH109">
        <f>IF(OR(CC$3="",CC$3&gt;TODAY()),"",IF(AND(CF109="",CG109=""),"",N(CG109)-N(CF109)))</f>
        <v/>
      </c>
      <c r="CL109">
        <f>IF(OR(CJ$3="",CJ$3&gt;TODAY()),"",IF(AND(CJ109="",CK109=""),"",N(CK109)-N(CJ109)))</f>
        <v/>
      </c>
      <c r="CO109">
        <f>IF(OR(CJ$3="",CJ$3&gt;TODAY()),"",IF(AND(CM109="",CN109=""),"",N(CN109)-N(CM109)))</f>
        <v/>
      </c>
      <c r="CS109">
        <f>IF(OR(CQ$3="",CQ$3&gt;TODAY()),"",IF(AND(CQ109="",CR109=""),"",N(CR109)-N(CQ109)))</f>
        <v/>
      </c>
      <c r="CV109">
        <f>IF(OR(CQ$3="",CQ$3&gt;TODAY()),"",IF(AND(CT109="",CU109=""),"",N(CU109)-N(CT109)))</f>
        <v/>
      </c>
      <c r="CZ109">
        <f>IF(OR(CX$3="",CX$3&gt;TODAY()),"",IF(AND(CX109="",CY109=""),"",N(CY109)-N(CX109)))</f>
        <v/>
      </c>
      <c r="DC109">
        <f>IF(OR(CX$3="",CX$3&gt;TODAY()),"",IF(AND(DA109="",DB109=""),"",N(DB109)-N(DA109)))</f>
        <v/>
      </c>
      <c r="DG109">
        <f>IF(OR(DE$3="",DE$3&gt;TODAY()),"",IF(AND(DE109="",DF109=""),"",N(DF109)-N(DE109)))</f>
        <v/>
      </c>
      <c r="DJ109">
        <f>IF(OR(DE$3="",DE$3&gt;TODAY()),"",IF(AND(DH109="",DI109=""),"",N(DI109)-N(DH109)))</f>
        <v/>
      </c>
      <c r="DN109">
        <f>IF(OR(DL$3="",DL$3&gt;TODAY()),"",IF(AND(DL109="",DM109=""),"",N(DM109)-N(DL109)))</f>
        <v/>
      </c>
      <c r="DQ109">
        <f>IF(OR(DL$3="",DL$3&gt;TODAY()),"",IF(AND(DO109="",DP109=""),"",N(DP109)-N(DO109)))</f>
        <v/>
      </c>
      <c r="DU109">
        <f>IF(OR(DS$3="",DS$3&gt;TODAY()),"",IF(AND(DS109="",DT109=""),"",N(DT109)-N(DS109)))</f>
        <v/>
      </c>
      <c r="DX109">
        <f>IF(OR(DS$3="",DS$3&gt;TODAY()),"",IF(AND(DV109="",DW109=""),"",N(DW109)-N(DV109)))</f>
        <v/>
      </c>
      <c r="EB109">
        <f>IF(OR(DZ$3="",DZ$3&gt;TODAY()),"",IF(AND(DZ109="",EA109=""),"",N(EA109)-N(DZ109)))</f>
        <v/>
      </c>
      <c r="EE109">
        <f>IF(OR(DZ$3="",DZ$3&gt;TODAY()),"",IF(AND(EC109="",ED109=""),"",N(ED109)-N(EC109)))</f>
        <v/>
      </c>
      <c r="EI109">
        <f>IF(OR(EG$3="",EG$3&gt;TODAY()),"",IF(AND(EG109="",EH109=""),"",N(EH109)-N(EG109)))</f>
        <v/>
      </c>
      <c r="EL109">
        <f>IF(OR(EG$3="",EG$3&gt;TODAY()),"",IF(AND(EJ109="",EK109=""),"",N(EK109)-N(EJ109)))</f>
        <v/>
      </c>
      <c r="EP109">
        <f>IF(OR(EN$3="",EN$3&gt;TODAY()),"",IF(AND(EN109="",EO109=""),"",N(EO109)-N(EN109)))</f>
        <v/>
      </c>
      <c r="ES109">
        <f>IF(OR(EN$3="",EN$3&gt;TODAY()),"",IF(AND(EQ109="",ER109=""),"",N(ER109)-N(EQ109)))</f>
        <v/>
      </c>
      <c r="EW109">
        <f>IF(OR(EU$3="",EU$3&gt;TODAY()),"",IF(AND(EU109="",EV109=""),"",N(EV109)-N(EU109)))</f>
        <v/>
      </c>
      <c r="EZ109">
        <f>IF(OR(EU$3="",EU$3&gt;TODAY()),"",IF(AND(EX109="",EY109=""),"",N(EY109)-N(EX109)))</f>
        <v/>
      </c>
      <c r="FD109">
        <f>IF(OR(FB$3="",FB$3&gt;TODAY()),"",IF(AND(FB109="",FC109=""),"",N(FC109)-N(FB109)))</f>
        <v/>
      </c>
      <c r="FG109">
        <f>IF(OR(FB$3="",FB$3&gt;TODAY()),"",IF(AND(FE109="",FF109=""),"",N(FF109)-N(FE109)))</f>
        <v/>
      </c>
      <c r="FK109">
        <f>IF(OR(FI$3="",FI$3&gt;TODAY()),"",IF(AND(FI109="",FJ109=""),"",N(FJ109)-N(FI109)))</f>
        <v/>
      </c>
      <c r="FN109">
        <f>IF(OR(FI$3="",FI$3&gt;TODAY()),"",IF(AND(FL109="",FM109=""),"",N(FM109)-N(FL109)))</f>
        <v/>
      </c>
      <c r="FR109">
        <f>IF(OR(FP$3="",FP$3&gt;TODAY()),"",IF(AND(FP109="",FQ109=""),"",N(FQ109)-N(FP109)))</f>
        <v/>
      </c>
      <c r="FU109">
        <f>IF(OR(FP$3="",FP$3&gt;TODAY()),"",IF(AND(FS109="",FT109=""),"",N(FT109)-N(FS109)))</f>
        <v/>
      </c>
      <c r="FY109">
        <f>IF(OR(FW$3="",FW$3&gt;TODAY()),"",IF(AND(FW109="",FX109=""),"",N(FX109)-N(FW109)))</f>
        <v/>
      </c>
      <c r="GB109">
        <f>IF(OR(FW$3="",FW$3&gt;TODAY()),"",IF(AND(FZ109="",GA109=""),"",N(GA109)-N(FZ109)))</f>
        <v/>
      </c>
      <c r="GF109">
        <f>IF(OR(GD$3="",GD$3&gt;TODAY()),"",IF(AND(GD109="",GE109=""),"",N(GE109)-N(GD109)))</f>
        <v/>
      </c>
      <c r="GI109">
        <f>IF(OR(GD$3="",GD$3&gt;TODAY()),"",IF(AND(GG109="",GH109=""),"",N(GH109)-N(GG109)))</f>
        <v/>
      </c>
      <c r="GM109">
        <f>IF(OR(GK$3="",GK$3&gt;TODAY()),"",IF(AND(GK109="",GL109=""),"",N(GL109)-N(GK109)))</f>
        <v/>
      </c>
      <c r="GP109">
        <f>IF(OR(GK$3="",GK$3&gt;TODAY()),"",IF(AND(GN109="",GO109=""),"",N(GO109)-N(GN109)))</f>
        <v/>
      </c>
      <c r="GT109">
        <f>IF(OR(GR$3="",GR$3&gt;TODAY()),"",IF(AND(GR109="",GS109=""),"",N(GS109)-N(GR109)))</f>
        <v/>
      </c>
      <c r="GW109">
        <f>IF(OR(GR$3="",GR$3&gt;TODAY()),"",IF(AND(GU109="",GV109=""),"",N(GV109)-N(GU109)))</f>
        <v/>
      </c>
      <c r="HA109">
        <f>IF(OR(GY$3="",GY$3&gt;TODAY()),"",IF(AND(GY109="",GZ109=""),"",N(GZ109)-N(GY109)))</f>
        <v/>
      </c>
      <c r="HD109">
        <f>IF(OR(GY$3="",GY$3&gt;TODAY()),"",IF(AND(HB109="",HC109=""),"",N(HC109)-N(HB109)))</f>
        <v/>
      </c>
      <c r="HH109">
        <f>IF(OR(HF$3="",HF$3&gt;TODAY()),"",IF(AND(HF109="",HG109=""),"",N(HG109)-N(HF109)))</f>
        <v/>
      </c>
      <c r="HK109">
        <f>IF(OR(HF$3="",HF$3&gt;TODAY()),"",IF(AND(HI109="",HJ109=""),"",N(HJ109)-N(HI109)))</f>
        <v/>
      </c>
      <c r="HO109">
        <f>IF(OR(HM$3="",HM$3&gt;TODAY()),"",IF(AND(HM109="",HN109=""),"",N(HN109)-N(HM109)))</f>
        <v/>
      </c>
      <c r="HR109">
        <f>IF(OR(HM$3="",HM$3&gt;TODAY()),"",IF(AND(HP109="",HQ109=""),"",N(HQ109)-N(HP109)))</f>
        <v/>
      </c>
      <c r="HV109">
        <f>IF(OR(HT$3="",HT$3&gt;TODAY()),"",IF(AND(HT109="",HU109=""),"",N(HU109)-N(HT109)))</f>
        <v/>
      </c>
      <c r="HY109">
        <f>IF(OR(HT$3="",HT$3&gt;TODAY()),"",IF(AND(HW109="",HX109=""),"",N(HX109)-N(HW109)))</f>
        <v/>
      </c>
      <c r="IC109">
        <f>IF(OR(IA$3="",IA$3&gt;TODAY()),"",IF(AND(IA109="",IB109=""),"",N(IB109)-N(IA109)))</f>
        <v/>
      </c>
      <c r="IF109">
        <f>IF(OR(IA$3="",IA$3&gt;TODAY()),"",IF(AND(ID109="",IE109=""),"",N(IE109)-N(ID109)))</f>
        <v/>
      </c>
      <c r="IJ109">
        <f>IF(OR(IH$3="",IH$3&gt;TODAY()),"",IF(AND(IH109="",II109=""),"",N(II109)-N(IH109)))</f>
        <v/>
      </c>
      <c r="IM109">
        <f>IF(OR(IH$3="",IH$3&gt;TODAY()),"",IF(AND(IK109="",IL109=""),"",N(IL109)-N(IK109)))</f>
        <v/>
      </c>
    </row>
    <row r="110">
      <c r="A110" s="21" t="n"/>
      <c r="B110" s="21" t="n"/>
      <c r="C110" s="21" t="n"/>
      <c r="D110" s="21" t="n"/>
      <c r="E110" s="21" t="n"/>
      <c r="F110" s="21" t="n"/>
      <c r="G110" s="21" t="n"/>
      <c r="H110" s="21" t="n"/>
      <c r="I110" s="22" t="n"/>
      <c r="J110" s="22" t="n"/>
      <c r="K110" s="23" t="n"/>
      <c r="L110" s="22" t="n"/>
      <c r="M110" s="22" t="n"/>
      <c r="N110" s="21" t="n"/>
      <c r="O110" s="23" t="n"/>
      <c r="P110" s="23" t="n"/>
      <c r="Q110" s="23" t="n"/>
      <c r="R110" s="23" t="n"/>
      <c r="S110" s="22" t="n"/>
      <c r="T110" s="23" t="n"/>
      <c r="U110" s="23" t="n"/>
      <c r="V110" s="24">
        <f>IF(J110&lt;&gt;"",J110,IF(I110&lt;&gt;"",I110,""))</f>
        <v/>
      </c>
      <c r="W110" s="25">
        <f>IF($E110="","",N(O110)+SUMIFS($AF110:$IN110,$AF$4:$IN$4,"SEW_ACT"))</f>
        <v/>
      </c>
      <c r="X110" s="25">
        <f>IF($E110="","",N(P110)+SUMIFS($AF110:$IN110,$AF$4:$IN$4,"WASH_ACT"))</f>
        <v/>
      </c>
      <c r="Y110" s="25">
        <f>IF($E110="","",W110-X110-N(T110)-N(U110))</f>
        <v/>
      </c>
      <c r="Z110" s="25">
        <f>IF($E110="","",IF(N(K110)-X110&lt;=0.02*N(K110),0,N(K110)-X110))</f>
        <v/>
      </c>
      <c r="AA110" s="24">
        <f>IF($E110="","",IF(S110&lt;&gt;"",S110,IF(N(O110)&gt;0,IF(L110&lt;&gt;"",L110,99999),IFERROR(1/(1/_xlfn.MINIFS($AF$3:$IN$3,$AF$4:$IN$4,"SEW_ACT",$AF110:$IN110,"&gt;0")),99999))))</f>
        <v/>
      </c>
      <c r="AB110" s="26">
        <f>IF(OR($E110="",Z110=0,V110=""),"",1+COUNTIFS(Z$8:Z$707,"&gt;0",V$8:V$707,"&lt;"&amp;V110)+COUNTIFS(Z$8:Z$707,"&gt;0",V$8:V$707,V110,AA$8:AA$707,"&lt;"&amp;AA110)+COUNTIFS(Z$8:Z$707,"&gt;0",V$8:V$707,V110,AA$8:AA$707,AA110,E$8:E$707,"&lt;"&amp;$E110))</f>
        <v/>
      </c>
      <c r="AC110" s="24">
        <f>IF(OR($E110="",Z110=0),"",IFERROR(TODAY()+ROUNDUP(Z110/(SUMIFS($AF110:$IN110,$AF$4:$IN$4,"WASH_ACT")/COUNTIFS($AF$4:$IN$4,"WASH_ACT",$AF110:$IN110,"&gt;0")),0),"no output yet"))</f>
        <v/>
      </c>
      <c r="AD110" s="26">
        <f>IF($E110="","",IFERROR(ROUND(MAX(0,SUMIFS($AF110:$IN110,$AF$4:$IN$4,"SEW_PLAN",$AF$3:$IN$3,"&lt;="&amp;TODAY())-SUMIFS($AF110:$IN110,$AF$4:$IN$4,"SEW_ACT",$AF$3:$IN$3,"&lt;="&amp;TODAY())+N(Q110))/(SUMIFS($AF110:$IN110,$AF$4:$IN$4,"SEW_PLAN")/COUNTIFS($AF$4:$IN$4,"SEW_PLAN",$AF110:$IN110,"&gt;0")),1),0))</f>
        <v/>
      </c>
      <c r="AE110" s="26">
        <f>IF($E110="","",IF(AND(Z110&gt;0,OR(AND(M110&lt;&gt;"",TODAY()&gt;M110),AND(V110&lt;&gt;"",V110-TODAY()&lt;=7))),"Yes","No"))</f>
        <v/>
      </c>
      <c r="AH110">
        <f>IF(OR(AF$3="",AF$3&gt;TODAY()),"",IF(AND(AF110="",AG110=""),"",N(AG110)-N(AF110)))</f>
        <v/>
      </c>
      <c r="AK110">
        <f>IF(OR(AF$3="",AF$3&gt;TODAY()),"",IF(AND(AI110="",AJ110=""),"",N(AJ110)-N(AI110)))</f>
        <v/>
      </c>
      <c r="AO110">
        <f>IF(OR(AM$3="",AM$3&gt;TODAY()),"",IF(AND(AM110="",AN110=""),"",N(AN110)-N(AM110)))</f>
        <v/>
      </c>
      <c r="AR110">
        <f>IF(OR(AM$3="",AM$3&gt;TODAY()),"",IF(AND(AP110="",AQ110=""),"",N(AQ110)-N(AP110)))</f>
        <v/>
      </c>
      <c r="AV110">
        <f>IF(OR(AT$3="",AT$3&gt;TODAY()),"",IF(AND(AT110="",AU110=""),"",N(AU110)-N(AT110)))</f>
        <v/>
      </c>
      <c r="AY110">
        <f>IF(OR(AT$3="",AT$3&gt;TODAY()),"",IF(AND(AW110="",AX110=""),"",N(AX110)-N(AW110)))</f>
        <v/>
      </c>
      <c r="BC110">
        <f>IF(OR(BA$3="",BA$3&gt;TODAY()),"",IF(AND(BA110="",BB110=""),"",N(BB110)-N(BA110)))</f>
        <v/>
      </c>
      <c r="BF110">
        <f>IF(OR(BA$3="",BA$3&gt;TODAY()),"",IF(AND(BD110="",BE110=""),"",N(BE110)-N(BD110)))</f>
        <v/>
      </c>
      <c r="BJ110">
        <f>IF(OR(BH$3="",BH$3&gt;TODAY()),"",IF(AND(BH110="",BI110=""),"",N(BI110)-N(BH110)))</f>
        <v/>
      </c>
      <c r="BM110">
        <f>IF(OR(BH$3="",BH$3&gt;TODAY()),"",IF(AND(BK110="",BL110=""),"",N(BL110)-N(BK110)))</f>
        <v/>
      </c>
      <c r="BQ110">
        <f>IF(OR(BO$3="",BO$3&gt;TODAY()),"",IF(AND(BO110="",BP110=""),"",N(BP110)-N(BO110)))</f>
        <v/>
      </c>
      <c r="BT110">
        <f>IF(OR(BO$3="",BO$3&gt;TODAY()),"",IF(AND(BR110="",BS110=""),"",N(BS110)-N(BR110)))</f>
        <v/>
      </c>
      <c r="BX110">
        <f>IF(OR(BV$3="",BV$3&gt;TODAY()),"",IF(AND(BV110="",BW110=""),"",N(BW110)-N(BV110)))</f>
        <v/>
      </c>
      <c r="CA110">
        <f>IF(OR(BV$3="",BV$3&gt;TODAY()),"",IF(AND(BY110="",BZ110=""),"",N(BZ110)-N(BY110)))</f>
        <v/>
      </c>
      <c r="CE110">
        <f>IF(OR(CC$3="",CC$3&gt;TODAY()),"",IF(AND(CC110="",CD110=""),"",N(CD110)-N(CC110)))</f>
        <v/>
      </c>
      <c r="CH110">
        <f>IF(OR(CC$3="",CC$3&gt;TODAY()),"",IF(AND(CF110="",CG110=""),"",N(CG110)-N(CF110)))</f>
        <v/>
      </c>
      <c r="CL110">
        <f>IF(OR(CJ$3="",CJ$3&gt;TODAY()),"",IF(AND(CJ110="",CK110=""),"",N(CK110)-N(CJ110)))</f>
        <v/>
      </c>
      <c r="CO110">
        <f>IF(OR(CJ$3="",CJ$3&gt;TODAY()),"",IF(AND(CM110="",CN110=""),"",N(CN110)-N(CM110)))</f>
        <v/>
      </c>
      <c r="CS110">
        <f>IF(OR(CQ$3="",CQ$3&gt;TODAY()),"",IF(AND(CQ110="",CR110=""),"",N(CR110)-N(CQ110)))</f>
        <v/>
      </c>
      <c r="CV110">
        <f>IF(OR(CQ$3="",CQ$3&gt;TODAY()),"",IF(AND(CT110="",CU110=""),"",N(CU110)-N(CT110)))</f>
        <v/>
      </c>
      <c r="CZ110">
        <f>IF(OR(CX$3="",CX$3&gt;TODAY()),"",IF(AND(CX110="",CY110=""),"",N(CY110)-N(CX110)))</f>
        <v/>
      </c>
      <c r="DC110">
        <f>IF(OR(CX$3="",CX$3&gt;TODAY()),"",IF(AND(DA110="",DB110=""),"",N(DB110)-N(DA110)))</f>
        <v/>
      </c>
      <c r="DG110">
        <f>IF(OR(DE$3="",DE$3&gt;TODAY()),"",IF(AND(DE110="",DF110=""),"",N(DF110)-N(DE110)))</f>
        <v/>
      </c>
      <c r="DJ110">
        <f>IF(OR(DE$3="",DE$3&gt;TODAY()),"",IF(AND(DH110="",DI110=""),"",N(DI110)-N(DH110)))</f>
        <v/>
      </c>
      <c r="DN110">
        <f>IF(OR(DL$3="",DL$3&gt;TODAY()),"",IF(AND(DL110="",DM110=""),"",N(DM110)-N(DL110)))</f>
        <v/>
      </c>
      <c r="DQ110">
        <f>IF(OR(DL$3="",DL$3&gt;TODAY()),"",IF(AND(DO110="",DP110=""),"",N(DP110)-N(DO110)))</f>
        <v/>
      </c>
      <c r="DU110">
        <f>IF(OR(DS$3="",DS$3&gt;TODAY()),"",IF(AND(DS110="",DT110=""),"",N(DT110)-N(DS110)))</f>
        <v/>
      </c>
      <c r="DX110">
        <f>IF(OR(DS$3="",DS$3&gt;TODAY()),"",IF(AND(DV110="",DW110=""),"",N(DW110)-N(DV110)))</f>
        <v/>
      </c>
      <c r="EB110">
        <f>IF(OR(DZ$3="",DZ$3&gt;TODAY()),"",IF(AND(DZ110="",EA110=""),"",N(EA110)-N(DZ110)))</f>
        <v/>
      </c>
      <c r="EE110">
        <f>IF(OR(DZ$3="",DZ$3&gt;TODAY()),"",IF(AND(EC110="",ED110=""),"",N(ED110)-N(EC110)))</f>
        <v/>
      </c>
      <c r="EI110">
        <f>IF(OR(EG$3="",EG$3&gt;TODAY()),"",IF(AND(EG110="",EH110=""),"",N(EH110)-N(EG110)))</f>
        <v/>
      </c>
      <c r="EL110">
        <f>IF(OR(EG$3="",EG$3&gt;TODAY()),"",IF(AND(EJ110="",EK110=""),"",N(EK110)-N(EJ110)))</f>
        <v/>
      </c>
      <c r="EP110">
        <f>IF(OR(EN$3="",EN$3&gt;TODAY()),"",IF(AND(EN110="",EO110=""),"",N(EO110)-N(EN110)))</f>
        <v/>
      </c>
      <c r="ES110">
        <f>IF(OR(EN$3="",EN$3&gt;TODAY()),"",IF(AND(EQ110="",ER110=""),"",N(ER110)-N(EQ110)))</f>
        <v/>
      </c>
      <c r="EW110">
        <f>IF(OR(EU$3="",EU$3&gt;TODAY()),"",IF(AND(EU110="",EV110=""),"",N(EV110)-N(EU110)))</f>
        <v/>
      </c>
      <c r="EZ110">
        <f>IF(OR(EU$3="",EU$3&gt;TODAY()),"",IF(AND(EX110="",EY110=""),"",N(EY110)-N(EX110)))</f>
        <v/>
      </c>
      <c r="FD110">
        <f>IF(OR(FB$3="",FB$3&gt;TODAY()),"",IF(AND(FB110="",FC110=""),"",N(FC110)-N(FB110)))</f>
        <v/>
      </c>
      <c r="FG110">
        <f>IF(OR(FB$3="",FB$3&gt;TODAY()),"",IF(AND(FE110="",FF110=""),"",N(FF110)-N(FE110)))</f>
        <v/>
      </c>
      <c r="FK110">
        <f>IF(OR(FI$3="",FI$3&gt;TODAY()),"",IF(AND(FI110="",FJ110=""),"",N(FJ110)-N(FI110)))</f>
        <v/>
      </c>
      <c r="FN110">
        <f>IF(OR(FI$3="",FI$3&gt;TODAY()),"",IF(AND(FL110="",FM110=""),"",N(FM110)-N(FL110)))</f>
        <v/>
      </c>
      <c r="FR110">
        <f>IF(OR(FP$3="",FP$3&gt;TODAY()),"",IF(AND(FP110="",FQ110=""),"",N(FQ110)-N(FP110)))</f>
        <v/>
      </c>
      <c r="FU110">
        <f>IF(OR(FP$3="",FP$3&gt;TODAY()),"",IF(AND(FS110="",FT110=""),"",N(FT110)-N(FS110)))</f>
        <v/>
      </c>
      <c r="FY110">
        <f>IF(OR(FW$3="",FW$3&gt;TODAY()),"",IF(AND(FW110="",FX110=""),"",N(FX110)-N(FW110)))</f>
        <v/>
      </c>
      <c r="GB110">
        <f>IF(OR(FW$3="",FW$3&gt;TODAY()),"",IF(AND(FZ110="",GA110=""),"",N(GA110)-N(FZ110)))</f>
        <v/>
      </c>
      <c r="GF110">
        <f>IF(OR(GD$3="",GD$3&gt;TODAY()),"",IF(AND(GD110="",GE110=""),"",N(GE110)-N(GD110)))</f>
        <v/>
      </c>
      <c r="GI110">
        <f>IF(OR(GD$3="",GD$3&gt;TODAY()),"",IF(AND(GG110="",GH110=""),"",N(GH110)-N(GG110)))</f>
        <v/>
      </c>
      <c r="GM110">
        <f>IF(OR(GK$3="",GK$3&gt;TODAY()),"",IF(AND(GK110="",GL110=""),"",N(GL110)-N(GK110)))</f>
        <v/>
      </c>
      <c r="GP110">
        <f>IF(OR(GK$3="",GK$3&gt;TODAY()),"",IF(AND(GN110="",GO110=""),"",N(GO110)-N(GN110)))</f>
        <v/>
      </c>
      <c r="GT110">
        <f>IF(OR(GR$3="",GR$3&gt;TODAY()),"",IF(AND(GR110="",GS110=""),"",N(GS110)-N(GR110)))</f>
        <v/>
      </c>
      <c r="GW110">
        <f>IF(OR(GR$3="",GR$3&gt;TODAY()),"",IF(AND(GU110="",GV110=""),"",N(GV110)-N(GU110)))</f>
        <v/>
      </c>
      <c r="HA110">
        <f>IF(OR(GY$3="",GY$3&gt;TODAY()),"",IF(AND(GY110="",GZ110=""),"",N(GZ110)-N(GY110)))</f>
        <v/>
      </c>
      <c r="HD110">
        <f>IF(OR(GY$3="",GY$3&gt;TODAY()),"",IF(AND(HB110="",HC110=""),"",N(HC110)-N(HB110)))</f>
        <v/>
      </c>
      <c r="HH110">
        <f>IF(OR(HF$3="",HF$3&gt;TODAY()),"",IF(AND(HF110="",HG110=""),"",N(HG110)-N(HF110)))</f>
        <v/>
      </c>
      <c r="HK110">
        <f>IF(OR(HF$3="",HF$3&gt;TODAY()),"",IF(AND(HI110="",HJ110=""),"",N(HJ110)-N(HI110)))</f>
        <v/>
      </c>
      <c r="HO110">
        <f>IF(OR(HM$3="",HM$3&gt;TODAY()),"",IF(AND(HM110="",HN110=""),"",N(HN110)-N(HM110)))</f>
        <v/>
      </c>
      <c r="HR110">
        <f>IF(OR(HM$3="",HM$3&gt;TODAY()),"",IF(AND(HP110="",HQ110=""),"",N(HQ110)-N(HP110)))</f>
        <v/>
      </c>
      <c r="HV110">
        <f>IF(OR(HT$3="",HT$3&gt;TODAY()),"",IF(AND(HT110="",HU110=""),"",N(HU110)-N(HT110)))</f>
        <v/>
      </c>
      <c r="HY110">
        <f>IF(OR(HT$3="",HT$3&gt;TODAY()),"",IF(AND(HW110="",HX110=""),"",N(HX110)-N(HW110)))</f>
        <v/>
      </c>
      <c r="IC110">
        <f>IF(OR(IA$3="",IA$3&gt;TODAY()),"",IF(AND(IA110="",IB110=""),"",N(IB110)-N(IA110)))</f>
        <v/>
      </c>
      <c r="IF110">
        <f>IF(OR(IA$3="",IA$3&gt;TODAY()),"",IF(AND(ID110="",IE110=""),"",N(IE110)-N(ID110)))</f>
        <v/>
      </c>
      <c r="IJ110">
        <f>IF(OR(IH$3="",IH$3&gt;TODAY()),"",IF(AND(IH110="",II110=""),"",N(II110)-N(IH110)))</f>
        <v/>
      </c>
      <c r="IM110">
        <f>IF(OR(IH$3="",IH$3&gt;TODAY()),"",IF(AND(IK110="",IL110=""),"",N(IL110)-N(IK110)))</f>
        <v/>
      </c>
    </row>
    <row r="111">
      <c r="A111" s="21" t="n"/>
      <c r="B111" s="21" t="n"/>
      <c r="C111" s="21" t="n"/>
      <c r="D111" s="21" t="n"/>
      <c r="E111" s="21" t="n"/>
      <c r="F111" s="21" t="n"/>
      <c r="G111" s="21" t="n"/>
      <c r="H111" s="21" t="n"/>
      <c r="I111" s="22" t="n"/>
      <c r="J111" s="22" t="n"/>
      <c r="K111" s="23" t="n"/>
      <c r="L111" s="22" t="n"/>
      <c r="M111" s="22" t="n"/>
      <c r="N111" s="21" t="n"/>
      <c r="O111" s="23" t="n"/>
      <c r="P111" s="23" t="n"/>
      <c r="Q111" s="23" t="n"/>
      <c r="R111" s="23" t="n"/>
      <c r="S111" s="22" t="n"/>
      <c r="T111" s="23" t="n"/>
      <c r="U111" s="23" t="n"/>
      <c r="V111" s="24">
        <f>IF(J111&lt;&gt;"",J111,IF(I111&lt;&gt;"",I111,""))</f>
        <v/>
      </c>
      <c r="W111" s="25">
        <f>IF($E111="","",N(O111)+SUMIFS($AF111:$IN111,$AF$4:$IN$4,"SEW_ACT"))</f>
        <v/>
      </c>
      <c r="X111" s="25">
        <f>IF($E111="","",N(P111)+SUMIFS($AF111:$IN111,$AF$4:$IN$4,"WASH_ACT"))</f>
        <v/>
      </c>
      <c r="Y111" s="25">
        <f>IF($E111="","",W111-X111-N(T111)-N(U111))</f>
        <v/>
      </c>
      <c r="Z111" s="25">
        <f>IF($E111="","",IF(N(K111)-X111&lt;=0.02*N(K111),0,N(K111)-X111))</f>
        <v/>
      </c>
      <c r="AA111" s="24">
        <f>IF($E111="","",IF(S111&lt;&gt;"",S111,IF(N(O111)&gt;0,IF(L111&lt;&gt;"",L111,99999),IFERROR(1/(1/_xlfn.MINIFS($AF$3:$IN$3,$AF$4:$IN$4,"SEW_ACT",$AF111:$IN111,"&gt;0")),99999))))</f>
        <v/>
      </c>
      <c r="AB111" s="26">
        <f>IF(OR($E111="",Z111=0,V111=""),"",1+COUNTIFS(Z$8:Z$707,"&gt;0",V$8:V$707,"&lt;"&amp;V111)+COUNTIFS(Z$8:Z$707,"&gt;0",V$8:V$707,V111,AA$8:AA$707,"&lt;"&amp;AA111)+COUNTIFS(Z$8:Z$707,"&gt;0",V$8:V$707,V111,AA$8:AA$707,AA111,E$8:E$707,"&lt;"&amp;$E111))</f>
        <v/>
      </c>
      <c r="AC111" s="24">
        <f>IF(OR($E111="",Z111=0),"",IFERROR(TODAY()+ROUNDUP(Z111/(SUMIFS($AF111:$IN111,$AF$4:$IN$4,"WASH_ACT")/COUNTIFS($AF$4:$IN$4,"WASH_ACT",$AF111:$IN111,"&gt;0")),0),"no output yet"))</f>
        <v/>
      </c>
      <c r="AD111" s="26">
        <f>IF($E111="","",IFERROR(ROUND(MAX(0,SUMIFS($AF111:$IN111,$AF$4:$IN$4,"SEW_PLAN",$AF$3:$IN$3,"&lt;="&amp;TODAY())-SUMIFS($AF111:$IN111,$AF$4:$IN$4,"SEW_ACT",$AF$3:$IN$3,"&lt;="&amp;TODAY())+N(Q111))/(SUMIFS($AF111:$IN111,$AF$4:$IN$4,"SEW_PLAN")/COUNTIFS($AF$4:$IN$4,"SEW_PLAN",$AF111:$IN111,"&gt;0")),1),0))</f>
        <v/>
      </c>
      <c r="AE111" s="26">
        <f>IF($E111="","",IF(AND(Z111&gt;0,OR(AND(M111&lt;&gt;"",TODAY()&gt;M111),AND(V111&lt;&gt;"",V111-TODAY()&lt;=7))),"Yes","No"))</f>
        <v/>
      </c>
      <c r="AH111">
        <f>IF(OR(AF$3="",AF$3&gt;TODAY()),"",IF(AND(AF111="",AG111=""),"",N(AG111)-N(AF111)))</f>
        <v/>
      </c>
      <c r="AK111">
        <f>IF(OR(AF$3="",AF$3&gt;TODAY()),"",IF(AND(AI111="",AJ111=""),"",N(AJ111)-N(AI111)))</f>
        <v/>
      </c>
      <c r="AO111">
        <f>IF(OR(AM$3="",AM$3&gt;TODAY()),"",IF(AND(AM111="",AN111=""),"",N(AN111)-N(AM111)))</f>
        <v/>
      </c>
      <c r="AR111">
        <f>IF(OR(AM$3="",AM$3&gt;TODAY()),"",IF(AND(AP111="",AQ111=""),"",N(AQ111)-N(AP111)))</f>
        <v/>
      </c>
      <c r="AV111">
        <f>IF(OR(AT$3="",AT$3&gt;TODAY()),"",IF(AND(AT111="",AU111=""),"",N(AU111)-N(AT111)))</f>
        <v/>
      </c>
      <c r="AY111">
        <f>IF(OR(AT$3="",AT$3&gt;TODAY()),"",IF(AND(AW111="",AX111=""),"",N(AX111)-N(AW111)))</f>
        <v/>
      </c>
      <c r="BC111">
        <f>IF(OR(BA$3="",BA$3&gt;TODAY()),"",IF(AND(BA111="",BB111=""),"",N(BB111)-N(BA111)))</f>
        <v/>
      </c>
      <c r="BF111">
        <f>IF(OR(BA$3="",BA$3&gt;TODAY()),"",IF(AND(BD111="",BE111=""),"",N(BE111)-N(BD111)))</f>
        <v/>
      </c>
      <c r="BJ111">
        <f>IF(OR(BH$3="",BH$3&gt;TODAY()),"",IF(AND(BH111="",BI111=""),"",N(BI111)-N(BH111)))</f>
        <v/>
      </c>
      <c r="BM111">
        <f>IF(OR(BH$3="",BH$3&gt;TODAY()),"",IF(AND(BK111="",BL111=""),"",N(BL111)-N(BK111)))</f>
        <v/>
      </c>
      <c r="BQ111">
        <f>IF(OR(BO$3="",BO$3&gt;TODAY()),"",IF(AND(BO111="",BP111=""),"",N(BP111)-N(BO111)))</f>
        <v/>
      </c>
      <c r="BT111">
        <f>IF(OR(BO$3="",BO$3&gt;TODAY()),"",IF(AND(BR111="",BS111=""),"",N(BS111)-N(BR111)))</f>
        <v/>
      </c>
      <c r="BX111">
        <f>IF(OR(BV$3="",BV$3&gt;TODAY()),"",IF(AND(BV111="",BW111=""),"",N(BW111)-N(BV111)))</f>
        <v/>
      </c>
      <c r="CA111">
        <f>IF(OR(BV$3="",BV$3&gt;TODAY()),"",IF(AND(BY111="",BZ111=""),"",N(BZ111)-N(BY111)))</f>
        <v/>
      </c>
      <c r="CE111">
        <f>IF(OR(CC$3="",CC$3&gt;TODAY()),"",IF(AND(CC111="",CD111=""),"",N(CD111)-N(CC111)))</f>
        <v/>
      </c>
      <c r="CH111">
        <f>IF(OR(CC$3="",CC$3&gt;TODAY()),"",IF(AND(CF111="",CG111=""),"",N(CG111)-N(CF111)))</f>
        <v/>
      </c>
      <c r="CL111">
        <f>IF(OR(CJ$3="",CJ$3&gt;TODAY()),"",IF(AND(CJ111="",CK111=""),"",N(CK111)-N(CJ111)))</f>
        <v/>
      </c>
      <c r="CO111">
        <f>IF(OR(CJ$3="",CJ$3&gt;TODAY()),"",IF(AND(CM111="",CN111=""),"",N(CN111)-N(CM111)))</f>
        <v/>
      </c>
      <c r="CS111">
        <f>IF(OR(CQ$3="",CQ$3&gt;TODAY()),"",IF(AND(CQ111="",CR111=""),"",N(CR111)-N(CQ111)))</f>
        <v/>
      </c>
      <c r="CV111">
        <f>IF(OR(CQ$3="",CQ$3&gt;TODAY()),"",IF(AND(CT111="",CU111=""),"",N(CU111)-N(CT111)))</f>
        <v/>
      </c>
      <c r="CZ111">
        <f>IF(OR(CX$3="",CX$3&gt;TODAY()),"",IF(AND(CX111="",CY111=""),"",N(CY111)-N(CX111)))</f>
        <v/>
      </c>
      <c r="DC111">
        <f>IF(OR(CX$3="",CX$3&gt;TODAY()),"",IF(AND(DA111="",DB111=""),"",N(DB111)-N(DA111)))</f>
        <v/>
      </c>
      <c r="DG111">
        <f>IF(OR(DE$3="",DE$3&gt;TODAY()),"",IF(AND(DE111="",DF111=""),"",N(DF111)-N(DE111)))</f>
        <v/>
      </c>
      <c r="DJ111">
        <f>IF(OR(DE$3="",DE$3&gt;TODAY()),"",IF(AND(DH111="",DI111=""),"",N(DI111)-N(DH111)))</f>
        <v/>
      </c>
      <c r="DN111">
        <f>IF(OR(DL$3="",DL$3&gt;TODAY()),"",IF(AND(DL111="",DM111=""),"",N(DM111)-N(DL111)))</f>
        <v/>
      </c>
      <c r="DQ111">
        <f>IF(OR(DL$3="",DL$3&gt;TODAY()),"",IF(AND(DO111="",DP111=""),"",N(DP111)-N(DO111)))</f>
        <v/>
      </c>
      <c r="DU111">
        <f>IF(OR(DS$3="",DS$3&gt;TODAY()),"",IF(AND(DS111="",DT111=""),"",N(DT111)-N(DS111)))</f>
        <v/>
      </c>
      <c r="DX111">
        <f>IF(OR(DS$3="",DS$3&gt;TODAY()),"",IF(AND(DV111="",DW111=""),"",N(DW111)-N(DV111)))</f>
        <v/>
      </c>
      <c r="EB111">
        <f>IF(OR(DZ$3="",DZ$3&gt;TODAY()),"",IF(AND(DZ111="",EA111=""),"",N(EA111)-N(DZ111)))</f>
        <v/>
      </c>
      <c r="EE111">
        <f>IF(OR(DZ$3="",DZ$3&gt;TODAY()),"",IF(AND(EC111="",ED111=""),"",N(ED111)-N(EC111)))</f>
        <v/>
      </c>
      <c r="EI111">
        <f>IF(OR(EG$3="",EG$3&gt;TODAY()),"",IF(AND(EG111="",EH111=""),"",N(EH111)-N(EG111)))</f>
        <v/>
      </c>
      <c r="EL111">
        <f>IF(OR(EG$3="",EG$3&gt;TODAY()),"",IF(AND(EJ111="",EK111=""),"",N(EK111)-N(EJ111)))</f>
        <v/>
      </c>
      <c r="EP111">
        <f>IF(OR(EN$3="",EN$3&gt;TODAY()),"",IF(AND(EN111="",EO111=""),"",N(EO111)-N(EN111)))</f>
        <v/>
      </c>
      <c r="ES111">
        <f>IF(OR(EN$3="",EN$3&gt;TODAY()),"",IF(AND(EQ111="",ER111=""),"",N(ER111)-N(EQ111)))</f>
        <v/>
      </c>
      <c r="EW111">
        <f>IF(OR(EU$3="",EU$3&gt;TODAY()),"",IF(AND(EU111="",EV111=""),"",N(EV111)-N(EU111)))</f>
        <v/>
      </c>
      <c r="EZ111">
        <f>IF(OR(EU$3="",EU$3&gt;TODAY()),"",IF(AND(EX111="",EY111=""),"",N(EY111)-N(EX111)))</f>
        <v/>
      </c>
      <c r="FD111">
        <f>IF(OR(FB$3="",FB$3&gt;TODAY()),"",IF(AND(FB111="",FC111=""),"",N(FC111)-N(FB111)))</f>
        <v/>
      </c>
      <c r="FG111">
        <f>IF(OR(FB$3="",FB$3&gt;TODAY()),"",IF(AND(FE111="",FF111=""),"",N(FF111)-N(FE111)))</f>
        <v/>
      </c>
      <c r="FK111">
        <f>IF(OR(FI$3="",FI$3&gt;TODAY()),"",IF(AND(FI111="",FJ111=""),"",N(FJ111)-N(FI111)))</f>
        <v/>
      </c>
      <c r="FN111">
        <f>IF(OR(FI$3="",FI$3&gt;TODAY()),"",IF(AND(FL111="",FM111=""),"",N(FM111)-N(FL111)))</f>
        <v/>
      </c>
      <c r="FR111">
        <f>IF(OR(FP$3="",FP$3&gt;TODAY()),"",IF(AND(FP111="",FQ111=""),"",N(FQ111)-N(FP111)))</f>
        <v/>
      </c>
      <c r="FU111">
        <f>IF(OR(FP$3="",FP$3&gt;TODAY()),"",IF(AND(FS111="",FT111=""),"",N(FT111)-N(FS111)))</f>
        <v/>
      </c>
      <c r="FY111">
        <f>IF(OR(FW$3="",FW$3&gt;TODAY()),"",IF(AND(FW111="",FX111=""),"",N(FX111)-N(FW111)))</f>
        <v/>
      </c>
      <c r="GB111">
        <f>IF(OR(FW$3="",FW$3&gt;TODAY()),"",IF(AND(FZ111="",GA111=""),"",N(GA111)-N(FZ111)))</f>
        <v/>
      </c>
      <c r="GF111">
        <f>IF(OR(GD$3="",GD$3&gt;TODAY()),"",IF(AND(GD111="",GE111=""),"",N(GE111)-N(GD111)))</f>
        <v/>
      </c>
      <c r="GI111">
        <f>IF(OR(GD$3="",GD$3&gt;TODAY()),"",IF(AND(GG111="",GH111=""),"",N(GH111)-N(GG111)))</f>
        <v/>
      </c>
      <c r="GM111">
        <f>IF(OR(GK$3="",GK$3&gt;TODAY()),"",IF(AND(GK111="",GL111=""),"",N(GL111)-N(GK111)))</f>
        <v/>
      </c>
      <c r="GP111">
        <f>IF(OR(GK$3="",GK$3&gt;TODAY()),"",IF(AND(GN111="",GO111=""),"",N(GO111)-N(GN111)))</f>
        <v/>
      </c>
      <c r="GT111">
        <f>IF(OR(GR$3="",GR$3&gt;TODAY()),"",IF(AND(GR111="",GS111=""),"",N(GS111)-N(GR111)))</f>
        <v/>
      </c>
      <c r="GW111">
        <f>IF(OR(GR$3="",GR$3&gt;TODAY()),"",IF(AND(GU111="",GV111=""),"",N(GV111)-N(GU111)))</f>
        <v/>
      </c>
      <c r="HA111">
        <f>IF(OR(GY$3="",GY$3&gt;TODAY()),"",IF(AND(GY111="",GZ111=""),"",N(GZ111)-N(GY111)))</f>
        <v/>
      </c>
      <c r="HD111">
        <f>IF(OR(GY$3="",GY$3&gt;TODAY()),"",IF(AND(HB111="",HC111=""),"",N(HC111)-N(HB111)))</f>
        <v/>
      </c>
      <c r="HH111">
        <f>IF(OR(HF$3="",HF$3&gt;TODAY()),"",IF(AND(HF111="",HG111=""),"",N(HG111)-N(HF111)))</f>
        <v/>
      </c>
      <c r="HK111">
        <f>IF(OR(HF$3="",HF$3&gt;TODAY()),"",IF(AND(HI111="",HJ111=""),"",N(HJ111)-N(HI111)))</f>
        <v/>
      </c>
      <c r="HO111">
        <f>IF(OR(HM$3="",HM$3&gt;TODAY()),"",IF(AND(HM111="",HN111=""),"",N(HN111)-N(HM111)))</f>
        <v/>
      </c>
      <c r="HR111">
        <f>IF(OR(HM$3="",HM$3&gt;TODAY()),"",IF(AND(HP111="",HQ111=""),"",N(HQ111)-N(HP111)))</f>
        <v/>
      </c>
      <c r="HV111">
        <f>IF(OR(HT$3="",HT$3&gt;TODAY()),"",IF(AND(HT111="",HU111=""),"",N(HU111)-N(HT111)))</f>
        <v/>
      </c>
      <c r="HY111">
        <f>IF(OR(HT$3="",HT$3&gt;TODAY()),"",IF(AND(HW111="",HX111=""),"",N(HX111)-N(HW111)))</f>
        <v/>
      </c>
      <c r="IC111">
        <f>IF(OR(IA$3="",IA$3&gt;TODAY()),"",IF(AND(IA111="",IB111=""),"",N(IB111)-N(IA111)))</f>
        <v/>
      </c>
      <c r="IF111">
        <f>IF(OR(IA$3="",IA$3&gt;TODAY()),"",IF(AND(ID111="",IE111=""),"",N(IE111)-N(ID111)))</f>
        <v/>
      </c>
      <c r="IJ111">
        <f>IF(OR(IH$3="",IH$3&gt;TODAY()),"",IF(AND(IH111="",II111=""),"",N(II111)-N(IH111)))</f>
        <v/>
      </c>
      <c r="IM111">
        <f>IF(OR(IH$3="",IH$3&gt;TODAY()),"",IF(AND(IK111="",IL111=""),"",N(IL111)-N(IK111)))</f>
        <v/>
      </c>
    </row>
    <row r="112">
      <c r="A112" s="21" t="n"/>
      <c r="B112" s="21" t="n"/>
      <c r="C112" s="21" t="n"/>
      <c r="D112" s="21" t="n"/>
      <c r="E112" s="21" t="n"/>
      <c r="F112" s="21" t="n"/>
      <c r="G112" s="21" t="n"/>
      <c r="H112" s="21" t="n"/>
      <c r="I112" s="22" t="n"/>
      <c r="J112" s="22" t="n"/>
      <c r="K112" s="23" t="n"/>
      <c r="L112" s="22" t="n"/>
      <c r="M112" s="22" t="n"/>
      <c r="N112" s="21" t="n"/>
      <c r="O112" s="23" t="n"/>
      <c r="P112" s="23" t="n"/>
      <c r="Q112" s="23" t="n"/>
      <c r="R112" s="23" t="n"/>
      <c r="S112" s="22" t="n"/>
      <c r="T112" s="23" t="n"/>
      <c r="U112" s="23" t="n"/>
      <c r="V112" s="24">
        <f>IF(J112&lt;&gt;"",J112,IF(I112&lt;&gt;"",I112,""))</f>
        <v/>
      </c>
      <c r="W112" s="25">
        <f>IF($E112="","",N(O112)+SUMIFS($AF112:$IN112,$AF$4:$IN$4,"SEW_ACT"))</f>
        <v/>
      </c>
      <c r="X112" s="25">
        <f>IF($E112="","",N(P112)+SUMIFS($AF112:$IN112,$AF$4:$IN$4,"WASH_ACT"))</f>
        <v/>
      </c>
      <c r="Y112" s="25">
        <f>IF($E112="","",W112-X112-N(T112)-N(U112))</f>
        <v/>
      </c>
      <c r="Z112" s="25">
        <f>IF($E112="","",IF(N(K112)-X112&lt;=0.02*N(K112),0,N(K112)-X112))</f>
        <v/>
      </c>
      <c r="AA112" s="24">
        <f>IF($E112="","",IF(S112&lt;&gt;"",S112,IF(N(O112)&gt;0,IF(L112&lt;&gt;"",L112,99999),IFERROR(1/(1/_xlfn.MINIFS($AF$3:$IN$3,$AF$4:$IN$4,"SEW_ACT",$AF112:$IN112,"&gt;0")),99999))))</f>
        <v/>
      </c>
      <c r="AB112" s="26">
        <f>IF(OR($E112="",Z112=0,V112=""),"",1+COUNTIFS(Z$8:Z$707,"&gt;0",V$8:V$707,"&lt;"&amp;V112)+COUNTIFS(Z$8:Z$707,"&gt;0",V$8:V$707,V112,AA$8:AA$707,"&lt;"&amp;AA112)+COUNTIFS(Z$8:Z$707,"&gt;0",V$8:V$707,V112,AA$8:AA$707,AA112,E$8:E$707,"&lt;"&amp;$E112))</f>
        <v/>
      </c>
      <c r="AC112" s="24">
        <f>IF(OR($E112="",Z112=0),"",IFERROR(TODAY()+ROUNDUP(Z112/(SUMIFS($AF112:$IN112,$AF$4:$IN$4,"WASH_ACT")/COUNTIFS($AF$4:$IN$4,"WASH_ACT",$AF112:$IN112,"&gt;0")),0),"no output yet"))</f>
        <v/>
      </c>
      <c r="AD112" s="26">
        <f>IF($E112="","",IFERROR(ROUND(MAX(0,SUMIFS($AF112:$IN112,$AF$4:$IN$4,"SEW_PLAN",$AF$3:$IN$3,"&lt;="&amp;TODAY())-SUMIFS($AF112:$IN112,$AF$4:$IN$4,"SEW_ACT",$AF$3:$IN$3,"&lt;="&amp;TODAY())+N(Q112))/(SUMIFS($AF112:$IN112,$AF$4:$IN$4,"SEW_PLAN")/COUNTIFS($AF$4:$IN$4,"SEW_PLAN",$AF112:$IN112,"&gt;0")),1),0))</f>
        <v/>
      </c>
      <c r="AE112" s="26">
        <f>IF($E112="","",IF(AND(Z112&gt;0,OR(AND(M112&lt;&gt;"",TODAY()&gt;M112),AND(V112&lt;&gt;"",V112-TODAY()&lt;=7))),"Yes","No"))</f>
        <v/>
      </c>
      <c r="AH112">
        <f>IF(OR(AF$3="",AF$3&gt;TODAY()),"",IF(AND(AF112="",AG112=""),"",N(AG112)-N(AF112)))</f>
        <v/>
      </c>
      <c r="AK112">
        <f>IF(OR(AF$3="",AF$3&gt;TODAY()),"",IF(AND(AI112="",AJ112=""),"",N(AJ112)-N(AI112)))</f>
        <v/>
      </c>
      <c r="AO112">
        <f>IF(OR(AM$3="",AM$3&gt;TODAY()),"",IF(AND(AM112="",AN112=""),"",N(AN112)-N(AM112)))</f>
        <v/>
      </c>
      <c r="AR112">
        <f>IF(OR(AM$3="",AM$3&gt;TODAY()),"",IF(AND(AP112="",AQ112=""),"",N(AQ112)-N(AP112)))</f>
        <v/>
      </c>
      <c r="AV112">
        <f>IF(OR(AT$3="",AT$3&gt;TODAY()),"",IF(AND(AT112="",AU112=""),"",N(AU112)-N(AT112)))</f>
        <v/>
      </c>
      <c r="AY112">
        <f>IF(OR(AT$3="",AT$3&gt;TODAY()),"",IF(AND(AW112="",AX112=""),"",N(AX112)-N(AW112)))</f>
        <v/>
      </c>
      <c r="BC112">
        <f>IF(OR(BA$3="",BA$3&gt;TODAY()),"",IF(AND(BA112="",BB112=""),"",N(BB112)-N(BA112)))</f>
        <v/>
      </c>
      <c r="BF112">
        <f>IF(OR(BA$3="",BA$3&gt;TODAY()),"",IF(AND(BD112="",BE112=""),"",N(BE112)-N(BD112)))</f>
        <v/>
      </c>
      <c r="BJ112">
        <f>IF(OR(BH$3="",BH$3&gt;TODAY()),"",IF(AND(BH112="",BI112=""),"",N(BI112)-N(BH112)))</f>
        <v/>
      </c>
      <c r="BM112">
        <f>IF(OR(BH$3="",BH$3&gt;TODAY()),"",IF(AND(BK112="",BL112=""),"",N(BL112)-N(BK112)))</f>
        <v/>
      </c>
      <c r="BQ112">
        <f>IF(OR(BO$3="",BO$3&gt;TODAY()),"",IF(AND(BO112="",BP112=""),"",N(BP112)-N(BO112)))</f>
        <v/>
      </c>
      <c r="BT112">
        <f>IF(OR(BO$3="",BO$3&gt;TODAY()),"",IF(AND(BR112="",BS112=""),"",N(BS112)-N(BR112)))</f>
        <v/>
      </c>
      <c r="BX112">
        <f>IF(OR(BV$3="",BV$3&gt;TODAY()),"",IF(AND(BV112="",BW112=""),"",N(BW112)-N(BV112)))</f>
        <v/>
      </c>
      <c r="CA112">
        <f>IF(OR(BV$3="",BV$3&gt;TODAY()),"",IF(AND(BY112="",BZ112=""),"",N(BZ112)-N(BY112)))</f>
        <v/>
      </c>
      <c r="CE112">
        <f>IF(OR(CC$3="",CC$3&gt;TODAY()),"",IF(AND(CC112="",CD112=""),"",N(CD112)-N(CC112)))</f>
        <v/>
      </c>
      <c r="CH112">
        <f>IF(OR(CC$3="",CC$3&gt;TODAY()),"",IF(AND(CF112="",CG112=""),"",N(CG112)-N(CF112)))</f>
        <v/>
      </c>
      <c r="CL112">
        <f>IF(OR(CJ$3="",CJ$3&gt;TODAY()),"",IF(AND(CJ112="",CK112=""),"",N(CK112)-N(CJ112)))</f>
        <v/>
      </c>
      <c r="CO112">
        <f>IF(OR(CJ$3="",CJ$3&gt;TODAY()),"",IF(AND(CM112="",CN112=""),"",N(CN112)-N(CM112)))</f>
        <v/>
      </c>
      <c r="CS112">
        <f>IF(OR(CQ$3="",CQ$3&gt;TODAY()),"",IF(AND(CQ112="",CR112=""),"",N(CR112)-N(CQ112)))</f>
        <v/>
      </c>
      <c r="CV112">
        <f>IF(OR(CQ$3="",CQ$3&gt;TODAY()),"",IF(AND(CT112="",CU112=""),"",N(CU112)-N(CT112)))</f>
        <v/>
      </c>
      <c r="CZ112">
        <f>IF(OR(CX$3="",CX$3&gt;TODAY()),"",IF(AND(CX112="",CY112=""),"",N(CY112)-N(CX112)))</f>
        <v/>
      </c>
      <c r="DC112">
        <f>IF(OR(CX$3="",CX$3&gt;TODAY()),"",IF(AND(DA112="",DB112=""),"",N(DB112)-N(DA112)))</f>
        <v/>
      </c>
      <c r="DG112">
        <f>IF(OR(DE$3="",DE$3&gt;TODAY()),"",IF(AND(DE112="",DF112=""),"",N(DF112)-N(DE112)))</f>
        <v/>
      </c>
      <c r="DJ112">
        <f>IF(OR(DE$3="",DE$3&gt;TODAY()),"",IF(AND(DH112="",DI112=""),"",N(DI112)-N(DH112)))</f>
        <v/>
      </c>
      <c r="DN112">
        <f>IF(OR(DL$3="",DL$3&gt;TODAY()),"",IF(AND(DL112="",DM112=""),"",N(DM112)-N(DL112)))</f>
        <v/>
      </c>
      <c r="DQ112">
        <f>IF(OR(DL$3="",DL$3&gt;TODAY()),"",IF(AND(DO112="",DP112=""),"",N(DP112)-N(DO112)))</f>
        <v/>
      </c>
      <c r="DU112">
        <f>IF(OR(DS$3="",DS$3&gt;TODAY()),"",IF(AND(DS112="",DT112=""),"",N(DT112)-N(DS112)))</f>
        <v/>
      </c>
      <c r="DX112">
        <f>IF(OR(DS$3="",DS$3&gt;TODAY()),"",IF(AND(DV112="",DW112=""),"",N(DW112)-N(DV112)))</f>
        <v/>
      </c>
      <c r="EB112">
        <f>IF(OR(DZ$3="",DZ$3&gt;TODAY()),"",IF(AND(DZ112="",EA112=""),"",N(EA112)-N(DZ112)))</f>
        <v/>
      </c>
      <c r="EE112">
        <f>IF(OR(DZ$3="",DZ$3&gt;TODAY()),"",IF(AND(EC112="",ED112=""),"",N(ED112)-N(EC112)))</f>
        <v/>
      </c>
      <c r="EI112">
        <f>IF(OR(EG$3="",EG$3&gt;TODAY()),"",IF(AND(EG112="",EH112=""),"",N(EH112)-N(EG112)))</f>
        <v/>
      </c>
      <c r="EL112">
        <f>IF(OR(EG$3="",EG$3&gt;TODAY()),"",IF(AND(EJ112="",EK112=""),"",N(EK112)-N(EJ112)))</f>
        <v/>
      </c>
      <c r="EP112">
        <f>IF(OR(EN$3="",EN$3&gt;TODAY()),"",IF(AND(EN112="",EO112=""),"",N(EO112)-N(EN112)))</f>
        <v/>
      </c>
      <c r="ES112">
        <f>IF(OR(EN$3="",EN$3&gt;TODAY()),"",IF(AND(EQ112="",ER112=""),"",N(ER112)-N(EQ112)))</f>
        <v/>
      </c>
      <c r="EW112">
        <f>IF(OR(EU$3="",EU$3&gt;TODAY()),"",IF(AND(EU112="",EV112=""),"",N(EV112)-N(EU112)))</f>
        <v/>
      </c>
      <c r="EZ112">
        <f>IF(OR(EU$3="",EU$3&gt;TODAY()),"",IF(AND(EX112="",EY112=""),"",N(EY112)-N(EX112)))</f>
        <v/>
      </c>
      <c r="FD112">
        <f>IF(OR(FB$3="",FB$3&gt;TODAY()),"",IF(AND(FB112="",FC112=""),"",N(FC112)-N(FB112)))</f>
        <v/>
      </c>
      <c r="FG112">
        <f>IF(OR(FB$3="",FB$3&gt;TODAY()),"",IF(AND(FE112="",FF112=""),"",N(FF112)-N(FE112)))</f>
        <v/>
      </c>
      <c r="FK112">
        <f>IF(OR(FI$3="",FI$3&gt;TODAY()),"",IF(AND(FI112="",FJ112=""),"",N(FJ112)-N(FI112)))</f>
        <v/>
      </c>
      <c r="FN112">
        <f>IF(OR(FI$3="",FI$3&gt;TODAY()),"",IF(AND(FL112="",FM112=""),"",N(FM112)-N(FL112)))</f>
        <v/>
      </c>
      <c r="FR112">
        <f>IF(OR(FP$3="",FP$3&gt;TODAY()),"",IF(AND(FP112="",FQ112=""),"",N(FQ112)-N(FP112)))</f>
        <v/>
      </c>
      <c r="FU112">
        <f>IF(OR(FP$3="",FP$3&gt;TODAY()),"",IF(AND(FS112="",FT112=""),"",N(FT112)-N(FS112)))</f>
        <v/>
      </c>
      <c r="FY112">
        <f>IF(OR(FW$3="",FW$3&gt;TODAY()),"",IF(AND(FW112="",FX112=""),"",N(FX112)-N(FW112)))</f>
        <v/>
      </c>
      <c r="GB112">
        <f>IF(OR(FW$3="",FW$3&gt;TODAY()),"",IF(AND(FZ112="",GA112=""),"",N(GA112)-N(FZ112)))</f>
        <v/>
      </c>
      <c r="GF112">
        <f>IF(OR(GD$3="",GD$3&gt;TODAY()),"",IF(AND(GD112="",GE112=""),"",N(GE112)-N(GD112)))</f>
        <v/>
      </c>
      <c r="GI112">
        <f>IF(OR(GD$3="",GD$3&gt;TODAY()),"",IF(AND(GG112="",GH112=""),"",N(GH112)-N(GG112)))</f>
        <v/>
      </c>
      <c r="GM112">
        <f>IF(OR(GK$3="",GK$3&gt;TODAY()),"",IF(AND(GK112="",GL112=""),"",N(GL112)-N(GK112)))</f>
        <v/>
      </c>
      <c r="GP112">
        <f>IF(OR(GK$3="",GK$3&gt;TODAY()),"",IF(AND(GN112="",GO112=""),"",N(GO112)-N(GN112)))</f>
        <v/>
      </c>
      <c r="GT112">
        <f>IF(OR(GR$3="",GR$3&gt;TODAY()),"",IF(AND(GR112="",GS112=""),"",N(GS112)-N(GR112)))</f>
        <v/>
      </c>
      <c r="GW112">
        <f>IF(OR(GR$3="",GR$3&gt;TODAY()),"",IF(AND(GU112="",GV112=""),"",N(GV112)-N(GU112)))</f>
        <v/>
      </c>
      <c r="HA112">
        <f>IF(OR(GY$3="",GY$3&gt;TODAY()),"",IF(AND(GY112="",GZ112=""),"",N(GZ112)-N(GY112)))</f>
        <v/>
      </c>
      <c r="HD112">
        <f>IF(OR(GY$3="",GY$3&gt;TODAY()),"",IF(AND(HB112="",HC112=""),"",N(HC112)-N(HB112)))</f>
        <v/>
      </c>
      <c r="HH112">
        <f>IF(OR(HF$3="",HF$3&gt;TODAY()),"",IF(AND(HF112="",HG112=""),"",N(HG112)-N(HF112)))</f>
        <v/>
      </c>
      <c r="HK112">
        <f>IF(OR(HF$3="",HF$3&gt;TODAY()),"",IF(AND(HI112="",HJ112=""),"",N(HJ112)-N(HI112)))</f>
        <v/>
      </c>
      <c r="HO112">
        <f>IF(OR(HM$3="",HM$3&gt;TODAY()),"",IF(AND(HM112="",HN112=""),"",N(HN112)-N(HM112)))</f>
        <v/>
      </c>
      <c r="HR112">
        <f>IF(OR(HM$3="",HM$3&gt;TODAY()),"",IF(AND(HP112="",HQ112=""),"",N(HQ112)-N(HP112)))</f>
        <v/>
      </c>
      <c r="HV112">
        <f>IF(OR(HT$3="",HT$3&gt;TODAY()),"",IF(AND(HT112="",HU112=""),"",N(HU112)-N(HT112)))</f>
        <v/>
      </c>
      <c r="HY112">
        <f>IF(OR(HT$3="",HT$3&gt;TODAY()),"",IF(AND(HW112="",HX112=""),"",N(HX112)-N(HW112)))</f>
        <v/>
      </c>
      <c r="IC112">
        <f>IF(OR(IA$3="",IA$3&gt;TODAY()),"",IF(AND(IA112="",IB112=""),"",N(IB112)-N(IA112)))</f>
        <v/>
      </c>
      <c r="IF112">
        <f>IF(OR(IA$3="",IA$3&gt;TODAY()),"",IF(AND(ID112="",IE112=""),"",N(IE112)-N(ID112)))</f>
        <v/>
      </c>
      <c r="IJ112">
        <f>IF(OR(IH$3="",IH$3&gt;TODAY()),"",IF(AND(IH112="",II112=""),"",N(II112)-N(IH112)))</f>
        <v/>
      </c>
      <c r="IM112">
        <f>IF(OR(IH$3="",IH$3&gt;TODAY()),"",IF(AND(IK112="",IL112=""),"",N(IL112)-N(IK112)))</f>
        <v/>
      </c>
    </row>
    <row r="113">
      <c r="A113" s="21" t="n"/>
      <c r="B113" s="21" t="n"/>
      <c r="C113" s="21" t="n"/>
      <c r="D113" s="21" t="n"/>
      <c r="E113" s="21" t="n"/>
      <c r="F113" s="21" t="n"/>
      <c r="G113" s="21" t="n"/>
      <c r="H113" s="21" t="n"/>
      <c r="I113" s="22" t="n"/>
      <c r="J113" s="22" t="n"/>
      <c r="K113" s="23" t="n"/>
      <c r="L113" s="22" t="n"/>
      <c r="M113" s="22" t="n"/>
      <c r="N113" s="21" t="n"/>
      <c r="O113" s="23" t="n"/>
      <c r="P113" s="23" t="n"/>
      <c r="Q113" s="23" t="n"/>
      <c r="R113" s="23" t="n"/>
      <c r="S113" s="22" t="n"/>
      <c r="T113" s="23" t="n"/>
      <c r="U113" s="23" t="n"/>
      <c r="V113" s="24">
        <f>IF(J113&lt;&gt;"",J113,IF(I113&lt;&gt;"",I113,""))</f>
        <v/>
      </c>
      <c r="W113" s="25">
        <f>IF($E113="","",N(O113)+SUMIFS($AF113:$IN113,$AF$4:$IN$4,"SEW_ACT"))</f>
        <v/>
      </c>
      <c r="X113" s="25">
        <f>IF($E113="","",N(P113)+SUMIFS($AF113:$IN113,$AF$4:$IN$4,"WASH_ACT"))</f>
        <v/>
      </c>
      <c r="Y113" s="25">
        <f>IF($E113="","",W113-X113-N(T113)-N(U113))</f>
        <v/>
      </c>
      <c r="Z113" s="25">
        <f>IF($E113="","",IF(N(K113)-X113&lt;=0.02*N(K113),0,N(K113)-X113))</f>
        <v/>
      </c>
      <c r="AA113" s="24">
        <f>IF($E113="","",IF(S113&lt;&gt;"",S113,IF(N(O113)&gt;0,IF(L113&lt;&gt;"",L113,99999),IFERROR(1/(1/_xlfn.MINIFS($AF$3:$IN$3,$AF$4:$IN$4,"SEW_ACT",$AF113:$IN113,"&gt;0")),99999))))</f>
        <v/>
      </c>
      <c r="AB113" s="26">
        <f>IF(OR($E113="",Z113=0,V113=""),"",1+COUNTIFS(Z$8:Z$707,"&gt;0",V$8:V$707,"&lt;"&amp;V113)+COUNTIFS(Z$8:Z$707,"&gt;0",V$8:V$707,V113,AA$8:AA$707,"&lt;"&amp;AA113)+COUNTIFS(Z$8:Z$707,"&gt;0",V$8:V$707,V113,AA$8:AA$707,AA113,E$8:E$707,"&lt;"&amp;$E113))</f>
        <v/>
      </c>
      <c r="AC113" s="24">
        <f>IF(OR($E113="",Z113=0),"",IFERROR(TODAY()+ROUNDUP(Z113/(SUMIFS($AF113:$IN113,$AF$4:$IN$4,"WASH_ACT")/COUNTIFS($AF$4:$IN$4,"WASH_ACT",$AF113:$IN113,"&gt;0")),0),"no output yet"))</f>
        <v/>
      </c>
      <c r="AD113" s="26">
        <f>IF($E113="","",IFERROR(ROUND(MAX(0,SUMIFS($AF113:$IN113,$AF$4:$IN$4,"SEW_PLAN",$AF$3:$IN$3,"&lt;="&amp;TODAY())-SUMIFS($AF113:$IN113,$AF$4:$IN$4,"SEW_ACT",$AF$3:$IN$3,"&lt;="&amp;TODAY())+N(Q113))/(SUMIFS($AF113:$IN113,$AF$4:$IN$4,"SEW_PLAN")/COUNTIFS($AF$4:$IN$4,"SEW_PLAN",$AF113:$IN113,"&gt;0")),1),0))</f>
        <v/>
      </c>
      <c r="AE113" s="26">
        <f>IF($E113="","",IF(AND(Z113&gt;0,OR(AND(M113&lt;&gt;"",TODAY()&gt;M113),AND(V113&lt;&gt;"",V113-TODAY()&lt;=7))),"Yes","No"))</f>
        <v/>
      </c>
      <c r="AH113">
        <f>IF(OR(AF$3="",AF$3&gt;TODAY()),"",IF(AND(AF113="",AG113=""),"",N(AG113)-N(AF113)))</f>
        <v/>
      </c>
      <c r="AK113">
        <f>IF(OR(AF$3="",AF$3&gt;TODAY()),"",IF(AND(AI113="",AJ113=""),"",N(AJ113)-N(AI113)))</f>
        <v/>
      </c>
      <c r="AO113">
        <f>IF(OR(AM$3="",AM$3&gt;TODAY()),"",IF(AND(AM113="",AN113=""),"",N(AN113)-N(AM113)))</f>
        <v/>
      </c>
      <c r="AR113">
        <f>IF(OR(AM$3="",AM$3&gt;TODAY()),"",IF(AND(AP113="",AQ113=""),"",N(AQ113)-N(AP113)))</f>
        <v/>
      </c>
      <c r="AV113">
        <f>IF(OR(AT$3="",AT$3&gt;TODAY()),"",IF(AND(AT113="",AU113=""),"",N(AU113)-N(AT113)))</f>
        <v/>
      </c>
      <c r="AY113">
        <f>IF(OR(AT$3="",AT$3&gt;TODAY()),"",IF(AND(AW113="",AX113=""),"",N(AX113)-N(AW113)))</f>
        <v/>
      </c>
      <c r="BC113">
        <f>IF(OR(BA$3="",BA$3&gt;TODAY()),"",IF(AND(BA113="",BB113=""),"",N(BB113)-N(BA113)))</f>
        <v/>
      </c>
      <c r="BF113">
        <f>IF(OR(BA$3="",BA$3&gt;TODAY()),"",IF(AND(BD113="",BE113=""),"",N(BE113)-N(BD113)))</f>
        <v/>
      </c>
      <c r="BJ113">
        <f>IF(OR(BH$3="",BH$3&gt;TODAY()),"",IF(AND(BH113="",BI113=""),"",N(BI113)-N(BH113)))</f>
        <v/>
      </c>
      <c r="BM113">
        <f>IF(OR(BH$3="",BH$3&gt;TODAY()),"",IF(AND(BK113="",BL113=""),"",N(BL113)-N(BK113)))</f>
        <v/>
      </c>
      <c r="BQ113">
        <f>IF(OR(BO$3="",BO$3&gt;TODAY()),"",IF(AND(BO113="",BP113=""),"",N(BP113)-N(BO113)))</f>
        <v/>
      </c>
      <c r="BT113">
        <f>IF(OR(BO$3="",BO$3&gt;TODAY()),"",IF(AND(BR113="",BS113=""),"",N(BS113)-N(BR113)))</f>
        <v/>
      </c>
      <c r="BX113">
        <f>IF(OR(BV$3="",BV$3&gt;TODAY()),"",IF(AND(BV113="",BW113=""),"",N(BW113)-N(BV113)))</f>
        <v/>
      </c>
      <c r="CA113">
        <f>IF(OR(BV$3="",BV$3&gt;TODAY()),"",IF(AND(BY113="",BZ113=""),"",N(BZ113)-N(BY113)))</f>
        <v/>
      </c>
      <c r="CE113">
        <f>IF(OR(CC$3="",CC$3&gt;TODAY()),"",IF(AND(CC113="",CD113=""),"",N(CD113)-N(CC113)))</f>
        <v/>
      </c>
      <c r="CH113">
        <f>IF(OR(CC$3="",CC$3&gt;TODAY()),"",IF(AND(CF113="",CG113=""),"",N(CG113)-N(CF113)))</f>
        <v/>
      </c>
      <c r="CL113">
        <f>IF(OR(CJ$3="",CJ$3&gt;TODAY()),"",IF(AND(CJ113="",CK113=""),"",N(CK113)-N(CJ113)))</f>
        <v/>
      </c>
      <c r="CO113">
        <f>IF(OR(CJ$3="",CJ$3&gt;TODAY()),"",IF(AND(CM113="",CN113=""),"",N(CN113)-N(CM113)))</f>
        <v/>
      </c>
      <c r="CS113">
        <f>IF(OR(CQ$3="",CQ$3&gt;TODAY()),"",IF(AND(CQ113="",CR113=""),"",N(CR113)-N(CQ113)))</f>
        <v/>
      </c>
      <c r="CV113">
        <f>IF(OR(CQ$3="",CQ$3&gt;TODAY()),"",IF(AND(CT113="",CU113=""),"",N(CU113)-N(CT113)))</f>
        <v/>
      </c>
      <c r="CZ113">
        <f>IF(OR(CX$3="",CX$3&gt;TODAY()),"",IF(AND(CX113="",CY113=""),"",N(CY113)-N(CX113)))</f>
        <v/>
      </c>
      <c r="DC113">
        <f>IF(OR(CX$3="",CX$3&gt;TODAY()),"",IF(AND(DA113="",DB113=""),"",N(DB113)-N(DA113)))</f>
        <v/>
      </c>
      <c r="DG113">
        <f>IF(OR(DE$3="",DE$3&gt;TODAY()),"",IF(AND(DE113="",DF113=""),"",N(DF113)-N(DE113)))</f>
        <v/>
      </c>
      <c r="DJ113">
        <f>IF(OR(DE$3="",DE$3&gt;TODAY()),"",IF(AND(DH113="",DI113=""),"",N(DI113)-N(DH113)))</f>
        <v/>
      </c>
      <c r="DN113">
        <f>IF(OR(DL$3="",DL$3&gt;TODAY()),"",IF(AND(DL113="",DM113=""),"",N(DM113)-N(DL113)))</f>
        <v/>
      </c>
      <c r="DQ113">
        <f>IF(OR(DL$3="",DL$3&gt;TODAY()),"",IF(AND(DO113="",DP113=""),"",N(DP113)-N(DO113)))</f>
        <v/>
      </c>
      <c r="DU113">
        <f>IF(OR(DS$3="",DS$3&gt;TODAY()),"",IF(AND(DS113="",DT113=""),"",N(DT113)-N(DS113)))</f>
        <v/>
      </c>
      <c r="DX113">
        <f>IF(OR(DS$3="",DS$3&gt;TODAY()),"",IF(AND(DV113="",DW113=""),"",N(DW113)-N(DV113)))</f>
        <v/>
      </c>
      <c r="EB113">
        <f>IF(OR(DZ$3="",DZ$3&gt;TODAY()),"",IF(AND(DZ113="",EA113=""),"",N(EA113)-N(DZ113)))</f>
        <v/>
      </c>
      <c r="EE113">
        <f>IF(OR(DZ$3="",DZ$3&gt;TODAY()),"",IF(AND(EC113="",ED113=""),"",N(ED113)-N(EC113)))</f>
        <v/>
      </c>
      <c r="EI113">
        <f>IF(OR(EG$3="",EG$3&gt;TODAY()),"",IF(AND(EG113="",EH113=""),"",N(EH113)-N(EG113)))</f>
        <v/>
      </c>
      <c r="EL113">
        <f>IF(OR(EG$3="",EG$3&gt;TODAY()),"",IF(AND(EJ113="",EK113=""),"",N(EK113)-N(EJ113)))</f>
        <v/>
      </c>
      <c r="EP113">
        <f>IF(OR(EN$3="",EN$3&gt;TODAY()),"",IF(AND(EN113="",EO113=""),"",N(EO113)-N(EN113)))</f>
        <v/>
      </c>
      <c r="ES113">
        <f>IF(OR(EN$3="",EN$3&gt;TODAY()),"",IF(AND(EQ113="",ER113=""),"",N(ER113)-N(EQ113)))</f>
        <v/>
      </c>
      <c r="EW113">
        <f>IF(OR(EU$3="",EU$3&gt;TODAY()),"",IF(AND(EU113="",EV113=""),"",N(EV113)-N(EU113)))</f>
        <v/>
      </c>
      <c r="EZ113">
        <f>IF(OR(EU$3="",EU$3&gt;TODAY()),"",IF(AND(EX113="",EY113=""),"",N(EY113)-N(EX113)))</f>
        <v/>
      </c>
      <c r="FD113">
        <f>IF(OR(FB$3="",FB$3&gt;TODAY()),"",IF(AND(FB113="",FC113=""),"",N(FC113)-N(FB113)))</f>
        <v/>
      </c>
      <c r="FG113">
        <f>IF(OR(FB$3="",FB$3&gt;TODAY()),"",IF(AND(FE113="",FF113=""),"",N(FF113)-N(FE113)))</f>
        <v/>
      </c>
      <c r="FK113">
        <f>IF(OR(FI$3="",FI$3&gt;TODAY()),"",IF(AND(FI113="",FJ113=""),"",N(FJ113)-N(FI113)))</f>
        <v/>
      </c>
      <c r="FN113">
        <f>IF(OR(FI$3="",FI$3&gt;TODAY()),"",IF(AND(FL113="",FM113=""),"",N(FM113)-N(FL113)))</f>
        <v/>
      </c>
      <c r="FR113">
        <f>IF(OR(FP$3="",FP$3&gt;TODAY()),"",IF(AND(FP113="",FQ113=""),"",N(FQ113)-N(FP113)))</f>
        <v/>
      </c>
      <c r="FU113">
        <f>IF(OR(FP$3="",FP$3&gt;TODAY()),"",IF(AND(FS113="",FT113=""),"",N(FT113)-N(FS113)))</f>
        <v/>
      </c>
      <c r="FY113">
        <f>IF(OR(FW$3="",FW$3&gt;TODAY()),"",IF(AND(FW113="",FX113=""),"",N(FX113)-N(FW113)))</f>
        <v/>
      </c>
      <c r="GB113">
        <f>IF(OR(FW$3="",FW$3&gt;TODAY()),"",IF(AND(FZ113="",GA113=""),"",N(GA113)-N(FZ113)))</f>
        <v/>
      </c>
      <c r="GF113">
        <f>IF(OR(GD$3="",GD$3&gt;TODAY()),"",IF(AND(GD113="",GE113=""),"",N(GE113)-N(GD113)))</f>
        <v/>
      </c>
      <c r="GI113">
        <f>IF(OR(GD$3="",GD$3&gt;TODAY()),"",IF(AND(GG113="",GH113=""),"",N(GH113)-N(GG113)))</f>
        <v/>
      </c>
      <c r="GM113">
        <f>IF(OR(GK$3="",GK$3&gt;TODAY()),"",IF(AND(GK113="",GL113=""),"",N(GL113)-N(GK113)))</f>
        <v/>
      </c>
      <c r="GP113">
        <f>IF(OR(GK$3="",GK$3&gt;TODAY()),"",IF(AND(GN113="",GO113=""),"",N(GO113)-N(GN113)))</f>
        <v/>
      </c>
      <c r="GT113">
        <f>IF(OR(GR$3="",GR$3&gt;TODAY()),"",IF(AND(GR113="",GS113=""),"",N(GS113)-N(GR113)))</f>
        <v/>
      </c>
      <c r="GW113">
        <f>IF(OR(GR$3="",GR$3&gt;TODAY()),"",IF(AND(GU113="",GV113=""),"",N(GV113)-N(GU113)))</f>
        <v/>
      </c>
      <c r="HA113">
        <f>IF(OR(GY$3="",GY$3&gt;TODAY()),"",IF(AND(GY113="",GZ113=""),"",N(GZ113)-N(GY113)))</f>
        <v/>
      </c>
      <c r="HD113">
        <f>IF(OR(GY$3="",GY$3&gt;TODAY()),"",IF(AND(HB113="",HC113=""),"",N(HC113)-N(HB113)))</f>
        <v/>
      </c>
      <c r="HH113">
        <f>IF(OR(HF$3="",HF$3&gt;TODAY()),"",IF(AND(HF113="",HG113=""),"",N(HG113)-N(HF113)))</f>
        <v/>
      </c>
      <c r="HK113">
        <f>IF(OR(HF$3="",HF$3&gt;TODAY()),"",IF(AND(HI113="",HJ113=""),"",N(HJ113)-N(HI113)))</f>
        <v/>
      </c>
      <c r="HO113">
        <f>IF(OR(HM$3="",HM$3&gt;TODAY()),"",IF(AND(HM113="",HN113=""),"",N(HN113)-N(HM113)))</f>
        <v/>
      </c>
      <c r="HR113">
        <f>IF(OR(HM$3="",HM$3&gt;TODAY()),"",IF(AND(HP113="",HQ113=""),"",N(HQ113)-N(HP113)))</f>
        <v/>
      </c>
      <c r="HV113">
        <f>IF(OR(HT$3="",HT$3&gt;TODAY()),"",IF(AND(HT113="",HU113=""),"",N(HU113)-N(HT113)))</f>
        <v/>
      </c>
      <c r="HY113">
        <f>IF(OR(HT$3="",HT$3&gt;TODAY()),"",IF(AND(HW113="",HX113=""),"",N(HX113)-N(HW113)))</f>
        <v/>
      </c>
      <c r="IC113">
        <f>IF(OR(IA$3="",IA$3&gt;TODAY()),"",IF(AND(IA113="",IB113=""),"",N(IB113)-N(IA113)))</f>
        <v/>
      </c>
      <c r="IF113">
        <f>IF(OR(IA$3="",IA$3&gt;TODAY()),"",IF(AND(ID113="",IE113=""),"",N(IE113)-N(ID113)))</f>
        <v/>
      </c>
      <c r="IJ113">
        <f>IF(OR(IH$3="",IH$3&gt;TODAY()),"",IF(AND(IH113="",II113=""),"",N(II113)-N(IH113)))</f>
        <v/>
      </c>
      <c r="IM113">
        <f>IF(OR(IH$3="",IH$3&gt;TODAY()),"",IF(AND(IK113="",IL113=""),"",N(IL113)-N(IK113)))</f>
        <v/>
      </c>
    </row>
    <row r="114">
      <c r="A114" s="21" t="n"/>
      <c r="B114" s="21" t="n"/>
      <c r="C114" s="21" t="n"/>
      <c r="D114" s="21" t="n"/>
      <c r="E114" s="21" t="n"/>
      <c r="F114" s="21" t="n"/>
      <c r="G114" s="21" t="n"/>
      <c r="H114" s="21" t="n"/>
      <c r="I114" s="22" t="n"/>
      <c r="J114" s="22" t="n"/>
      <c r="K114" s="23" t="n"/>
      <c r="L114" s="22" t="n"/>
      <c r="M114" s="22" t="n"/>
      <c r="N114" s="21" t="n"/>
      <c r="O114" s="23" t="n"/>
      <c r="P114" s="23" t="n"/>
      <c r="Q114" s="23" t="n"/>
      <c r="R114" s="23" t="n"/>
      <c r="S114" s="22" t="n"/>
      <c r="T114" s="23" t="n"/>
      <c r="U114" s="23" t="n"/>
      <c r="V114" s="24">
        <f>IF(J114&lt;&gt;"",J114,IF(I114&lt;&gt;"",I114,""))</f>
        <v/>
      </c>
      <c r="W114" s="25">
        <f>IF($E114="","",N(O114)+SUMIFS($AF114:$IN114,$AF$4:$IN$4,"SEW_ACT"))</f>
        <v/>
      </c>
      <c r="X114" s="25">
        <f>IF($E114="","",N(P114)+SUMIFS($AF114:$IN114,$AF$4:$IN$4,"WASH_ACT"))</f>
        <v/>
      </c>
      <c r="Y114" s="25">
        <f>IF($E114="","",W114-X114-N(T114)-N(U114))</f>
        <v/>
      </c>
      <c r="Z114" s="25">
        <f>IF($E114="","",IF(N(K114)-X114&lt;=0.02*N(K114),0,N(K114)-X114))</f>
        <v/>
      </c>
      <c r="AA114" s="24">
        <f>IF($E114="","",IF(S114&lt;&gt;"",S114,IF(N(O114)&gt;0,IF(L114&lt;&gt;"",L114,99999),IFERROR(1/(1/_xlfn.MINIFS($AF$3:$IN$3,$AF$4:$IN$4,"SEW_ACT",$AF114:$IN114,"&gt;0")),99999))))</f>
        <v/>
      </c>
      <c r="AB114" s="26">
        <f>IF(OR($E114="",Z114=0,V114=""),"",1+COUNTIFS(Z$8:Z$707,"&gt;0",V$8:V$707,"&lt;"&amp;V114)+COUNTIFS(Z$8:Z$707,"&gt;0",V$8:V$707,V114,AA$8:AA$707,"&lt;"&amp;AA114)+COUNTIFS(Z$8:Z$707,"&gt;0",V$8:V$707,V114,AA$8:AA$707,AA114,E$8:E$707,"&lt;"&amp;$E114))</f>
        <v/>
      </c>
      <c r="AC114" s="24">
        <f>IF(OR($E114="",Z114=0),"",IFERROR(TODAY()+ROUNDUP(Z114/(SUMIFS($AF114:$IN114,$AF$4:$IN$4,"WASH_ACT")/COUNTIFS($AF$4:$IN$4,"WASH_ACT",$AF114:$IN114,"&gt;0")),0),"no output yet"))</f>
        <v/>
      </c>
      <c r="AD114" s="26">
        <f>IF($E114="","",IFERROR(ROUND(MAX(0,SUMIFS($AF114:$IN114,$AF$4:$IN$4,"SEW_PLAN",$AF$3:$IN$3,"&lt;="&amp;TODAY())-SUMIFS($AF114:$IN114,$AF$4:$IN$4,"SEW_ACT",$AF$3:$IN$3,"&lt;="&amp;TODAY())+N(Q114))/(SUMIFS($AF114:$IN114,$AF$4:$IN$4,"SEW_PLAN")/COUNTIFS($AF$4:$IN$4,"SEW_PLAN",$AF114:$IN114,"&gt;0")),1),0))</f>
        <v/>
      </c>
      <c r="AE114" s="26">
        <f>IF($E114="","",IF(AND(Z114&gt;0,OR(AND(M114&lt;&gt;"",TODAY()&gt;M114),AND(V114&lt;&gt;"",V114-TODAY()&lt;=7))),"Yes","No"))</f>
        <v/>
      </c>
      <c r="AH114">
        <f>IF(OR(AF$3="",AF$3&gt;TODAY()),"",IF(AND(AF114="",AG114=""),"",N(AG114)-N(AF114)))</f>
        <v/>
      </c>
      <c r="AK114">
        <f>IF(OR(AF$3="",AF$3&gt;TODAY()),"",IF(AND(AI114="",AJ114=""),"",N(AJ114)-N(AI114)))</f>
        <v/>
      </c>
      <c r="AO114">
        <f>IF(OR(AM$3="",AM$3&gt;TODAY()),"",IF(AND(AM114="",AN114=""),"",N(AN114)-N(AM114)))</f>
        <v/>
      </c>
      <c r="AR114">
        <f>IF(OR(AM$3="",AM$3&gt;TODAY()),"",IF(AND(AP114="",AQ114=""),"",N(AQ114)-N(AP114)))</f>
        <v/>
      </c>
      <c r="AV114">
        <f>IF(OR(AT$3="",AT$3&gt;TODAY()),"",IF(AND(AT114="",AU114=""),"",N(AU114)-N(AT114)))</f>
        <v/>
      </c>
      <c r="AY114">
        <f>IF(OR(AT$3="",AT$3&gt;TODAY()),"",IF(AND(AW114="",AX114=""),"",N(AX114)-N(AW114)))</f>
        <v/>
      </c>
      <c r="BC114">
        <f>IF(OR(BA$3="",BA$3&gt;TODAY()),"",IF(AND(BA114="",BB114=""),"",N(BB114)-N(BA114)))</f>
        <v/>
      </c>
      <c r="BF114">
        <f>IF(OR(BA$3="",BA$3&gt;TODAY()),"",IF(AND(BD114="",BE114=""),"",N(BE114)-N(BD114)))</f>
        <v/>
      </c>
      <c r="BJ114">
        <f>IF(OR(BH$3="",BH$3&gt;TODAY()),"",IF(AND(BH114="",BI114=""),"",N(BI114)-N(BH114)))</f>
        <v/>
      </c>
      <c r="BM114">
        <f>IF(OR(BH$3="",BH$3&gt;TODAY()),"",IF(AND(BK114="",BL114=""),"",N(BL114)-N(BK114)))</f>
        <v/>
      </c>
      <c r="BQ114">
        <f>IF(OR(BO$3="",BO$3&gt;TODAY()),"",IF(AND(BO114="",BP114=""),"",N(BP114)-N(BO114)))</f>
        <v/>
      </c>
      <c r="BT114">
        <f>IF(OR(BO$3="",BO$3&gt;TODAY()),"",IF(AND(BR114="",BS114=""),"",N(BS114)-N(BR114)))</f>
        <v/>
      </c>
      <c r="BX114">
        <f>IF(OR(BV$3="",BV$3&gt;TODAY()),"",IF(AND(BV114="",BW114=""),"",N(BW114)-N(BV114)))</f>
        <v/>
      </c>
      <c r="CA114">
        <f>IF(OR(BV$3="",BV$3&gt;TODAY()),"",IF(AND(BY114="",BZ114=""),"",N(BZ114)-N(BY114)))</f>
        <v/>
      </c>
      <c r="CE114">
        <f>IF(OR(CC$3="",CC$3&gt;TODAY()),"",IF(AND(CC114="",CD114=""),"",N(CD114)-N(CC114)))</f>
        <v/>
      </c>
      <c r="CH114">
        <f>IF(OR(CC$3="",CC$3&gt;TODAY()),"",IF(AND(CF114="",CG114=""),"",N(CG114)-N(CF114)))</f>
        <v/>
      </c>
      <c r="CL114">
        <f>IF(OR(CJ$3="",CJ$3&gt;TODAY()),"",IF(AND(CJ114="",CK114=""),"",N(CK114)-N(CJ114)))</f>
        <v/>
      </c>
      <c r="CO114">
        <f>IF(OR(CJ$3="",CJ$3&gt;TODAY()),"",IF(AND(CM114="",CN114=""),"",N(CN114)-N(CM114)))</f>
        <v/>
      </c>
      <c r="CS114">
        <f>IF(OR(CQ$3="",CQ$3&gt;TODAY()),"",IF(AND(CQ114="",CR114=""),"",N(CR114)-N(CQ114)))</f>
        <v/>
      </c>
      <c r="CV114">
        <f>IF(OR(CQ$3="",CQ$3&gt;TODAY()),"",IF(AND(CT114="",CU114=""),"",N(CU114)-N(CT114)))</f>
        <v/>
      </c>
      <c r="CZ114">
        <f>IF(OR(CX$3="",CX$3&gt;TODAY()),"",IF(AND(CX114="",CY114=""),"",N(CY114)-N(CX114)))</f>
        <v/>
      </c>
      <c r="DC114">
        <f>IF(OR(CX$3="",CX$3&gt;TODAY()),"",IF(AND(DA114="",DB114=""),"",N(DB114)-N(DA114)))</f>
        <v/>
      </c>
      <c r="DG114">
        <f>IF(OR(DE$3="",DE$3&gt;TODAY()),"",IF(AND(DE114="",DF114=""),"",N(DF114)-N(DE114)))</f>
        <v/>
      </c>
      <c r="DJ114">
        <f>IF(OR(DE$3="",DE$3&gt;TODAY()),"",IF(AND(DH114="",DI114=""),"",N(DI114)-N(DH114)))</f>
        <v/>
      </c>
      <c r="DN114">
        <f>IF(OR(DL$3="",DL$3&gt;TODAY()),"",IF(AND(DL114="",DM114=""),"",N(DM114)-N(DL114)))</f>
        <v/>
      </c>
      <c r="DQ114">
        <f>IF(OR(DL$3="",DL$3&gt;TODAY()),"",IF(AND(DO114="",DP114=""),"",N(DP114)-N(DO114)))</f>
        <v/>
      </c>
      <c r="DU114">
        <f>IF(OR(DS$3="",DS$3&gt;TODAY()),"",IF(AND(DS114="",DT114=""),"",N(DT114)-N(DS114)))</f>
        <v/>
      </c>
      <c r="DX114">
        <f>IF(OR(DS$3="",DS$3&gt;TODAY()),"",IF(AND(DV114="",DW114=""),"",N(DW114)-N(DV114)))</f>
        <v/>
      </c>
      <c r="EB114">
        <f>IF(OR(DZ$3="",DZ$3&gt;TODAY()),"",IF(AND(DZ114="",EA114=""),"",N(EA114)-N(DZ114)))</f>
        <v/>
      </c>
      <c r="EE114">
        <f>IF(OR(DZ$3="",DZ$3&gt;TODAY()),"",IF(AND(EC114="",ED114=""),"",N(ED114)-N(EC114)))</f>
        <v/>
      </c>
      <c r="EI114">
        <f>IF(OR(EG$3="",EG$3&gt;TODAY()),"",IF(AND(EG114="",EH114=""),"",N(EH114)-N(EG114)))</f>
        <v/>
      </c>
      <c r="EL114">
        <f>IF(OR(EG$3="",EG$3&gt;TODAY()),"",IF(AND(EJ114="",EK114=""),"",N(EK114)-N(EJ114)))</f>
        <v/>
      </c>
      <c r="EP114">
        <f>IF(OR(EN$3="",EN$3&gt;TODAY()),"",IF(AND(EN114="",EO114=""),"",N(EO114)-N(EN114)))</f>
        <v/>
      </c>
      <c r="ES114">
        <f>IF(OR(EN$3="",EN$3&gt;TODAY()),"",IF(AND(EQ114="",ER114=""),"",N(ER114)-N(EQ114)))</f>
        <v/>
      </c>
      <c r="EW114">
        <f>IF(OR(EU$3="",EU$3&gt;TODAY()),"",IF(AND(EU114="",EV114=""),"",N(EV114)-N(EU114)))</f>
        <v/>
      </c>
      <c r="EZ114">
        <f>IF(OR(EU$3="",EU$3&gt;TODAY()),"",IF(AND(EX114="",EY114=""),"",N(EY114)-N(EX114)))</f>
        <v/>
      </c>
      <c r="FD114">
        <f>IF(OR(FB$3="",FB$3&gt;TODAY()),"",IF(AND(FB114="",FC114=""),"",N(FC114)-N(FB114)))</f>
        <v/>
      </c>
      <c r="FG114">
        <f>IF(OR(FB$3="",FB$3&gt;TODAY()),"",IF(AND(FE114="",FF114=""),"",N(FF114)-N(FE114)))</f>
        <v/>
      </c>
      <c r="FK114">
        <f>IF(OR(FI$3="",FI$3&gt;TODAY()),"",IF(AND(FI114="",FJ114=""),"",N(FJ114)-N(FI114)))</f>
        <v/>
      </c>
      <c r="FN114">
        <f>IF(OR(FI$3="",FI$3&gt;TODAY()),"",IF(AND(FL114="",FM114=""),"",N(FM114)-N(FL114)))</f>
        <v/>
      </c>
      <c r="FR114">
        <f>IF(OR(FP$3="",FP$3&gt;TODAY()),"",IF(AND(FP114="",FQ114=""),"",N(FQ114)-N(FP114)))</f>
        <v/>
      </c>
      <c r="FU114">
        <f>IF(OR(FP$3="",FP$3&gt;TODAY()),"",IF(AND(FS114="",FT114=""),"",N(FT114)-N(FS114)))</f>
        <v/>
      </c>
      <c r="FY114">
        <f>IF(OR(FW$3="",FW$3&gt;TODAY()),"",IF(AND(FW114="",FX114=""),"",N(FX114)-N(FW114)))</f>
        <v/>
      </c>
      <c r="GB114">
        <f>IF(OR(FW$3="",FW$3&gt;TODAY()),"",IF(AND(FZ114="",GA114=""),"",N(GA114)-N(FZ114)))</f>
        <v/>
      </c>
      <c r="GF114">
        <f>IF(OR(GD$3="",GD$3&gt;TODAY()),"",IF(AND(GD114="",GE114=""),"",N(GE114)-N(GD114)))</f>
        <v/>
      </c>
      <c r="GI114">
        <f>IF(OR(GD$3="",GD$3&gt;TODAY()),"",IF(AND(GG114="",GH114=""),"",N(GH114)-N(GG114)))</f>
        <v/>
      </c>
      <c r="GM114">
        <f>IF(OR(GK$3="",GK$3&gt;TODAY()),"",IF(AND(GK114="",GL114=""),"",N(GL114)-N(GK114)))</f>
        <v/>
      </c>
      <c r="GP114">
        <f>IF(OR(GK$3="",GK$3&gt;TODAY()),"",IF(AND(GN114="",GO114=""),"",N(GO114)-N(GN114)))</f>
        <v/>
      </c>
      <c r="GT114">
        <f>IF(OR(GR$3="",GR$3&gt;TODAY()),"",IF(AND(GR114="",GS114=""),"",N(GS114)-N(GR114)))</f>
        <v/>
      </c>
      <c r="GW114">
        <f>IF(OR(GR$3="",GR$3&gt;TODAY()),"",IF(AND(GU114="",GV114=""),"",N(GV114)-N(GU114)))</f>
        <v/>
      </c>
      <c r="HA114">
        <f>IF(OR(GY$3="",GY$3&gt;TODAY()),"",IF(AND(GY114="",GZ114=""),"",N(GZ114)-N(GY114)))</f>
        <v/>
      </c>
      <c r="HD114">
        <f>IF(OR(GY$3="",GY$3&gt;TODAY()),"",IF(AND(HB114="",HC114=""),"",N(HC114)-N(HB114)))</f>
        <v/>
      </c>
      <c r="HH114">
        <f>IF(OR(HF$3="",HF$3&gt;TODAY()),"",IF(AND(HF114="",HG114=""),"",N(HG114)-N(HF114)))</f>
        <v/>
      </c>
      <c r="HK114">
        <f>IF(OR(HF$3="",HF$3&gt;TODAY()),"",IF(AND(HI114="",HJ114=""),"",N(HJ114)-N(HI114)))</f>
        <v/>
      </c>
      <c r="HO114">
        <f>IF(OR(HM$3="",HM$3&gt;TODAY()),"",IF(AND(HM114="",HN114=""),"",N(HN114)-N(HM114)))</f>
        <v/>
      </c>
      <c r="HR114">
        <f>IF(OR(HM$3="",HM$3&gt;TODAY()),"",IF(AND(HP114="",HQ114=""),"",N(HQ114)-N(HP114)))</f>
        <v/>
      </c>
      <c r="HV114">
        <f>IF(OR(HT$3="",HT$3&gt;TODAY()),"",IF(AND(HT114="",HU114=""),"",N(HU114)-N(HT114)))</f>
        <v/>
      </c>
      <c r="HY114">
        <f>IF(OR(HT$3="",HT$3&gt;TODAY()),"",IF(AND(HW114="",HX114=""),"",N(HX114)-N(HW114)))</f>
        <v/>
      </c>
      <c r="IC114">
        <f>IF(OR(IA$3="",IA$3&gt;TODAY()),"",IF(AND(IA114="",IB114=""),"",N(IB114)-N(IA114)))</f>
        <v/>
      </c>
      <c r="IF114">
        <f>IF(OR(IA$3="",IA$3&gt;TODAY()),"",IF(AND(ID114="",IE114=""),"",N(IE114)-N(ID114)))</f>
        <v/>
      </c>
      <c r="IJ114">
        <f>IF(OR(IH$3="",IH$3&gt;TODAY()),"",IF(AND(IH114="",II114=""),"",N(II114)-N(IH114)))</f>
        <v/>
      </c>
      <c r="IM114">
        <f>IF(OR(IH$3="",IH$3&gt;TODAY()),"",IF(AND(IK114="",IL114=""),"",N(IL114)-N(IK114)))</f>
        <v/>
      </c>
    </row>
    <row r="115">
      <c r="A115" s="21" t="n"/>
      <c r="B115" s="21" t="n"/>
      <c r="C115" s="21" t="n"/>
      <c r="D115" s="21" t="n"/>
      <c r="E115" s="21" t="n"/>
      <c r="F115" s="21" t="n"/>
      <c r="G115" s="21" t="n"/>
      <c r="H115" s="21" t="n"/>
      <c r="I115" s="22" t="n"/>
      <c r="J115" s="22" t="n"/>
      <c r="K115" s="23" t="n"/>
      <c r="L115" s="22" t="n"/>
      <c r="M115" s="22" t="n"/>
      <c r="N115" s="21" t="n"/>
      <c r="O115" s="23" t="n"/>
      <c r="P115" s="23" t="n"/>
      <c r="Q115" s="23" t="n"/>
      <c r="R115" s="23" t="n"/>
      <c r="S115" s="22" t="n"/>
      <c r="T115" s="23" t="n"/>
      <c r="U115" s="23" t="n"/>
      <c r="V115" s="24">
        <f>IF(J115&lt;&gt;"",J115,IF(I115&lt;&gt;"",I115,""))</f>
        <v/>
      </c>
      <c r="W115" s="25">
        <f>IF($E115="","",N(O115)+SUMIFS($AF115:$IN115,$AF$4:$IN$4,"SEW_ACT"))</f>
        <v/>
      </c>
      <c r="X115" s="25">
        <f>IF($E115="","",N(P115)+SUMIFS($AF115:$IN115,$AF$4:$IN$4,"WASH_ACT"))</f>
        <v/>
      </c>
      <c r="Y115" s="25">
        <f>IF($E115="","",W115-X115-N(T115)-N(U115))</f>
        <v/>
      </c>
      <c r="Z115" s="25">
        <f>IF($E115="","",IF(N(K115)-X115&lt;=0.02*N(K115),0,N(K115)-X115))</f>
        <v/>
      </c>
      <c r="AA115" s="24">
        <f>IF($E115="","",IF(S115&lt;&gt;"",S115,IF(N(O115)&gt;0,IF(L115&lt;&gt;"",L115,99999),IFERROR(1/(1/_xlfn.MINIFS($AF$3:$IN$3,$AF$4:$IN$4,"SEW_ACT",$AF115:$IN115,"&gt;0")),99999))))</f>
        <v/>
      </c>
      <c r="AB115" s="26">
        <f>IF(OR($E115="",Z115=0,V115=""),"",1+COUNTIFS(Z$8:Z$707,"&gt;0",V$8:V$707,"&lt;"&amp;V115)+COUNTIFS(Z$8:Z$707,"&gt;0",V$8:V$707,V115,AA$8:AA$707,"&lt;"&amp;AA115)+COUNTIFS(Z$8:Z$707,"&gt;0",V$8:V$707,V115,AA$8:AA$707,AA115,E$8:E$707,"&lt;"&amp;$E115))</f>
        <v/>
      </c>
      <c r="AC115" s="24">
        <f>IF(OR($E115="",Z115=0),"",IFERROR(TODAY()+ROUNDUP(Z115/(SUMIFS($AF115:$IN115,$AF$4:$IN$4,"WASH_ACT")/COUNTIFS($AF$4:$IN$4,"WASH_ACT",$AF115:$IN115,"&gt;0")),0),"no output yet"))</f>
        <v/>
      </c>
      <c r="AD115" s="26">
        <f>IF($E115="","",IFERROR(ROUND(MAX(0,SUMIFS($AF115:$IN115,$AF$4:$IN$4,"SEW_PLAN",$AF$3:$IN$3,"&lt;="&amp;TODAY())-SUMIFS($AF115:$IN115,$AF$4:$IN$4,"SEW_ACT",$AF$3:$IN$3,"&lt;="&amp;TODAY())+N(Q115))/(SUMIFS($AF115:$IN115,$AF$4:$IN$4,"SEW_PLAN")/COUNTIFS($AF$4:$IN$4,"SEW_PLAN",$AF115:$IN115,"&gt;0")),1),0))</f>
        <v/>
      </c>
      <c r="AE115" s="26">
        <f>IF($E115="","",IF(AND(Z115&gt;0,OR(AND(M115&lt;&gt;"",TODAY()&gt;M115),AND(V115&lt;&gt;"",V115-TODAY()&lt;=7))),"Yes","No"))</f>
        <v/>
      </c>
      <c r="AH115">
        <f>IF(OR(AF$3="",AF$3&gt;TODAY()),"",IF(AND(AF115="",AG115=""),"",N(AG115)-N(AF115)))</f>
        <v/>
      </c>
      <c r="AK115">
        <f>IF(OR(AF$3="",AF$3&gt;TODAY()),"",IF(AND(AI115="",AJ115=""),"",N(AJ115)-N(AI115)))</f>
        <v/>
      </c>
      <c r="AO115">
        <f>IF(OR(AM$3="",AM$3&gt;TODAY()),"",IF(AND(AM115="",AN115=""),"",N(AN115)-N(AM115)))</f>
        <v/>
      </c>
      <c r="AR115">
        <f>IF(OR(AM$3="",AM$3&gt;TODAY()),"",IF(AND(AP115="",AQ115=""),"",N(AQ115)-N(AP115)))</f>
        <v/>
      </c>
      <c r="AV115">
        <f>IF(OR(AT$3="",AT$3&gt;TODAY()),"",IF(AND(AT115="",AU115=""),"",N(AU115)-N(AT115)))</f>
        <v/>
      </c>
      <c r="AY115">
        <f>IF(OR(AT$3="",AT$3&gt;TODAY()),"",IF(AND(AW115="",AX115=""),"",N(AX115)-N(AW115)))</f>
        <v/>
      </c>
      <c r="BC115">
        <f>IF(OR(BA$3="",BA$3&gt;TODAY()),"",IF(AND(BA115="",BB115=""),"",N(BB115)-N(BA115)))</f>
        <v/>
      </c>
      <c r="BF115">
        <f>IF(OR(BA$3="",BA$3&gt;TODAY()),"",IF(AND(BD115="",BE115=""),"",N(BE115)-N(BD115)))</f>
        <v/>
      </c>
      <c r="BJ115">
        <f>IF(OR(BH$3="",BH$3&gt;TODAY()),"",IF(AND(BH115="",BI115=""),"",N(BI115)-N(BH115)))</f>
        <v/>
      </c>
      <c r="BM115">
        <f>IF(OR(BH$3="",BH$3&gt;TODAY()),"",IF(AND(BK115="",BL115=""),"",N(BL115)-N(BK115)))</f>
        <v/>
      </c>
      <c r="BQ115">
        <f>IF(OR(BO$3="",BO$3&gt;TODAY()),"",IF(AND(BO115="",BP115=""),"",N(BP115)-N(BO115)))</f>
        <v/>
      </c>
      <c r="BT115">
        <f>IF(OR(BO$3="",BO$3&gt;TODAY()),"",IF(AND(BR115="",BS115=""),"",N(BS115)-N(BR115)))</f>
        <v/>
      </c>
      <c r="BX115">
        <f>IF(OR(BV$3="",BV$3&gt;TODAY()),"",IF(AND(BV115="",BW115=""),"",N(BW115)-N(BV115)))</f>
        <v/>
      </c>
      <c r="CA115">
        <f>IF(OR(BV$3="",BV$3&gt;TODAY()),"",IF(AND(BY115="",BZ115=""),"",N(BZ115)-N(BY115)))</f>
        <v/>
      </c>
      <c r="CE115">
        <f>IF(OR(CC$3="",CC$3&gt;TODAY()),"",IF(AND(CC115="",CD115=""),"",N(CD115)-N(CC115)))</f>
        <v/>
      </c>
      <c r="CH115">
        <f>IF(OR(CC$3="",CC$3&gt;TODAY()),"",IF(AND(CF115="",CG115=""),"",N(CG115)-N(CF115)))</f>
        <v/>
      </c>
      <c r="CL115">
        <f>IF(OR(CJ$3="",CJ$3&gt;TODAY()),"",IF(AND(CJ115="",CK115=""),"",N(CK115)-N(CJ115)))</f>
        <v/>
      </c>
      <c r="CO115">
        <f>IF(OR(CJ$3="",CJ$3&gt;TODAY()),"",IF(AND(CM115="",CN115=""),"",N(CN115)-N(CM115)))</f>
        <v/>
      </c>
      <c r="CS115">
        <f>IF(OR(CQ$3="",CQ$3&gt;TODAY()),"",IF(AND(CQ115="",CR115=""),"",N(CR115)-N(CQ115)))</f>
        <v/>
      </c>
      <c r="CV115">
        <f>IF(OR(CQ$3="",CQ$3&gt;TODAY()),"",IF(AND(CT115="",CU115=""),"",N(CU115)-N(CT115)))</f>
        <v/>
      </c>
      <c r="CZ115">
        <f>IF(OR(CX$3="",CX$3&gt;TODAY()),"",IF(AND(CX115="",CY115=""),"",N(CY115)-N(CX115)))</f>
        <v/>
      </c>
      <c r="DC115">
        <f>IF(OR(CX$3="",CX$3&gt;TODAY()),"",IF(AND(DA115="",DB115=""),"",N(DB115)-N(DA115)))</f>
        <v/>
      </c>
      <c r="DG115">
        <f>IF(OR(DE$3="",DE$3&gt;TODAY()),"",IF(AND(DE115="",DF115=""),"",N(DF115)-N(DE115)))</f>
        <v/>
      </c>
      <c r="DJ115">
        <f>IF(OR(DE$3="",DE$3&gt;TODAY()),"",IF(AND(DH115="",DI115=""),"",N(DI115)-N(DH115)))</f>
        <v/>
      </c>
      <c r="DN115">
        <f>IF(OR(DL$3="",DL$3&gt;TODAY()),"",IF(AND(DL115="",DM115=""),"",N(DM115)-N(DL115)))</f>
        <v/>
      </c>
      <c r="DQ115">
        <f>IF(OR(DL$3="",DL$3&gt;TODAY()),"",IF(AND(DO115="",DP115=""),"",N(DP115)-N(DO115)))</f>
        <v/>
      </c>
      <c r="DU115">
        <f>IF(OR(DS$3="",DS$3&gt;TODAY()),"",IF(AND(DS115="",DT115=""),"",N(DT115)-N(DS115)))</f>
        <v/>
      </c>
      <c r="DX115">
        <f>IF(OR(DS$3="",DS$3&gt;TODAY()),"",IF(AND(DV115="",DW115=""),"",N(DW115)-N(DV115)))</f>
        <v/>
      </c>
      <c r="EB115">
        <f>IF(OR(DZ$3="",DZ$3&gt;TODAY()),"",IF(AND(DZ115="",EA115=""),"",N(EA115)-N(DZ115)))</f>
        <v/>
      </c>
      <c r="EE115">
        <f>IF(OR(DZ$3="",DZ$3&gt;TODAY()),"",IF(AND(EC115="",ED115=""),"",N(ED115)-N(EC115)))</f>
        <v/>
      </c>
      <c r="EI115">
        <f>IF(OR(EG$3="",EG$3&gt;TODAY()),"",IF(AND(EG115="",EH115=""),"",N(EH115)-N(EG115)))</f>
        <v/>
      </c>
      <c r="EL115">
        <f>IF(OR(EG$3="",EG$3&gt;TODAY()),"",IF(AND(EJ115="",EK115=""),"",N(EK115)-N(EJ115)))</f>
        <v/>
      </c>
      <c r="EP115">
        <f>IF(OR(EN$3="",EN$3&gt;TODAY()),"",IF(AND(EN115="",EO115=""),"",N(EO115)-N(EN115)))</f>
        <v/>
      </c>
      <c r="ES115">
        <f>IF(OR(EN$3="",EN$3&gt;TODAY()),"",IF(AND(EQ115="",ER115=""),"",N(ER115)-N(EQ115)))</f>
        <v/>
      </c>
      <c r="EW115">
        <f>IF(OR(EU$3="",EU$3&gt;TODAY()),"",IF(AND(EU115="",EV115=""),"",N(EV115)-N(EU115)))</f>
        <v/>
      </c>
      <c r="EZ115">
        <f>IF(OR(EU$3="",EU$3&gt;TODAY()),"",IF(AND(EX115="",EY115=""),"",N(EY115)-N(EX115)))</f>
        <v/>
      </c>
      <c r="FD115">
        <f>IF(OR(FB$3="",FB$3&gt;TODAY()),"",IF(AND(FB115="",FC115=""),"",N(FC115)-N(FB115)))</f>
        <v/>
      </c>
      <c r="FG115">
        <f>IF(OR(FB$3="",FB$3&gt;TODAY()),"",IF(AND(FE115="",FF115=""),"",N(FF115)-N(FE115)))</f>
        <v/>
      </c>
      <c r="FK115">
        <f>IF(OR(FI$3="",FI$3&gt;TODAY()),"",IF(AND(FI115="",FJ115=""),"",N(FJ115)-N(FI115)))</f>
        <v/>
      </c>
      <c r="FN115">
        <f>IF(OR(FI$3="",FI$3&gt;TODAY()),"",IF(AND(FL115="",FM115=""),"",N(FM115)-N(FL115)))</f>
        <v/>
      </c>
      <c r="FR115">
        <f>IF(OR(FP$3="",FP$3&gt;TODAY()),"",IF(AND(FP115="",FQ115=""),"",N(FQ115)-N(FP115)))</f>
        <v/>
      </c>
      <c r="FU115">
        <f>IF(OR(FP$3="",FP$3&gt;TODAY()),"",IF(AND(FS115="",FT115=""),"",N(FT115)-N(FS115)))</f>
        <v/>
      </c>
      <c r="FY115">
        <f>IF(OR(FW$3="",FW$3&gt;TODAY()),"",IF(AND(FW115="",FX115=""),"",N(FX115)-N(FW115)))</f>
        <v/>
      </c>
      <c r="GB115">
        <f>IF(OR(FW$3="",FW$3&gt;TODAY()),"",IF(AND(FZ115="",GA115=""),"",N(GA115)-N(FZ115)))</f>
        <v/>
      </c>
      <c r="GF115">
        <f>IF(OR(GD$3="",GD$3&gt;TODAY()),"",IF(AND(GD115="",GE115=""),"",N(GE115)-N(GD115)))</f>
        <v/>
      </c>
      <c r="GI115">
        <f>IF(OR(GD$3="",GD$3&gt;TODAY()),"",IF(AND(GG115="",GH115=""),"",N(GH115)-N(GG115)))</f>
        <v/>
      </c>
      <c r="GM115">
        <f>IF(OR(GK$3="",GK$3&gt;TODAY()),"",IF(AND(GK115="",GL115=""),"",N(GL115)-N(GK115)))</f>
        <v/>
      </c>
      <c r="GP115">
        <f>IF(OR(GK$3="",GK$3&gt;TODAY()),"",IF(AND(GN115="",GO115=""),"",N(GO115)-N(GN115)))</f>
        <v/>
      </c>
      <c r="GT115">
        <f>IF(OR(GR$3="",GR$3&gt;TODAY()),"",IF(AND(GR115="",GS115=""),"",N(GS115)-N(GR115)))</f>
        <v/>
      </c>
      <c r="GW115">
        <f>IF(OR(GR$3="",GR$3&gt;TODAY()),"",IF(AND(GU115="",GV115=""),"",N(GV115)-N(GU115)))</f>
        <v/>
      </c>
      <c r="HA115">
        <f>IF(OR(GY$3="",GY$3&gt;TODAY()),"",IF(AND(GY115="",GZ115=""),"",N(GZ115)-N(GY115)))</f>
        <v/>
      </c>
      <c r="HD115">
        <f>IF(OR(GY$3="",GY$3&gt;TODAY()),"",IF(AND(HB115="",HC115=""),"",N(HC115)-N(HB115)))</f>
        <v/>
      </c>
      <c r="HH115">
        <f>IF(OR(HF$3="",HF$3&gt;TODAY()),"",IF(AND(HF115="",HG115=""),"",N(HG115)-N(HF115)))</f>
        <v/>
      </c>
      <c r="HK115">
        <f>IF(OR(HF$3="",HF$3&gt;TODAY()),"",IF(AND(HI115="",HJ115=""),"",N(HJ115)-N(HI115)))</f>
        <v/>
      </c>
      <c r="HO115">
        <f>IF(OR(HM$3="",HM$3&gt;TODAY()),"",IF(AND(HM115="",HN115=""),"",N(HN115)-N(HM115)))</f>
        <v/>
      </c>
      <c r="HR115">
        <f>IF(OR(HM$3="",HM$3&gt;TODAY()),"",IF(AND(HP115="",HQ115=""),"",N(HQ115)-N(HP115)))</f>
        <v/>
      </c>
      <c r="HV115">
        <f>IF(OR(HT$3="",HT$3&gt;TODAY()),"",IF(AND(HT115="",HU115=""),"",N(HU115)-N(HT115)))</f>
        <v/>
      </c>
      <c r="HY115">
        <f>IF(OR(HT$3="",HT$3&gt;TODAY()),"",IF(AND(HW115="",HX115=""),"",N(HX115)-N(HW115)))</f>
        <v/>
      </c>
      <c r="IC115">
        <f>IF(OR(IA$3="",IA$3&gt;TODAY()),"",IF(AND(IA115="",IB115=""),"",N(IB115)-N(IA115)))</f>
        <v/>
      </c>
      <c r="IF115">
        <f>IF(OR(IA$3="",IA$3&gt;TODAY()),"",IF(AND(ID115="",IE115=""),"",N(IE115)-N(ID115)))</f>
        <v/>
      </c>
      <c r="IJ115">
        <f>IF(OR(IH$3="",IH$3&gt;TODAY()),"",IF(AND(IH115="",II115=""),"",N(II115)-N(IH115)))</f>
        <v/>
      </c>
      <c r="IM115">
        <f>IF(OR(IH$3="",IH$3&gt;TODAY()),"",IF(AND(IK115="",IL115=""),"",N(IL115)-N(IK115)))</f>
        <v/>
      </c>
    </row>
    <row r="116">
      <c r="A116" s="21" t="n"/>
      <c r="B116" s="21" t="n"/>
      <c r="C116" s="21" t="n"/>
      <c r="D116" s="21" t="n"/>
      <c r="E116" s="21" t="n"/>
      <c r="F116" s="21" t="n"/>
      <c r="G116" s="21" t="n"/>
      <c r="H116" s="21" t="n"/>
      <c r="I116" s="22" t="n"/>
      <c r="J116" s="22" t="n"/>
      <c r="K116" s="23" t="n"/>
      <c r="L116" s="22" t="n"/>
      <c r="M116" s="22" t="n"/>
      <c r="N116" s="21" t="n"/>
      <c r="O116" s="23" t="n"/>
      <c r="P116" s="23" t="n"/>
      <c r="Q116" s="23" t="n"/>
      <c r="R116" s="23" t="n"/>
      <c r="S116" s="22" t="n"/>
      <c r="T116" s="23" t="n"/>
      <c r="U116" s="23" t="n"/>
      <c r="V116" s="24">
        <f>IF(J116&lt;&gt;"",J116,IF(I116&lt;&gt;"",I116,""))</f>
        <v/>
      </c>
      <c r="W116" s="25">
        <f>IF($E116="","",N(O116)+SUMIFS($AF116:$IN116,$AF$4:$IN$4,"SEW_ACT"))</f>
        <v/>
      </c>
      <c r="X116" s="25">
        <f>IF($E116="","",N(P116)+SUMIFS($AF116:$IN116,$AF$4:$IN$4,"WASH_ACT"))</f>
        <v/>
      </c>
      <c r="Y116" s="25">
        <f>IF($E116="","",W116-X116-N(T116)-N(U116))</f>
        <v/>
      </c>
      <c r="Z116" s="25">
        <f>IF($E116="","",IF(N(K116)-X116&lt;=0.02*N(K116),0,N(K116)-X116))</f>
        <v/>
      </c>
      <c r="AA116" s="24">
        <f>IF($E116="","",IF(S116&lt;&gt;"",S116,IF(N(O116)&gt;0,IF(L116&lt;&gt;"",L116,99999),IFERROR(1/(1/_xlfn.MINIFS($AF$3:$IN$3,$AF$4:$IN$4,"SEW_ACT",$AF116:$IN116,"&gt;0")),99999))))</f>
        <v/>
      </c>
      <c r="AB116" s="26">
        <f>IF(OR($E116="",Z116=0,V116=""),"",1+COUNTIFS(Z$8:Z$707,"&gt;0",V$8:V$707,"&lt;"&amp;V116)+COUNTIFS(Z$8:Z$707,"&gt;0",V$8:V$707,V116,AA$8:AA$707,"&lt;"&amp;AA116)+COUNTIFS(Z$8:Z$707,"&gt;0",V$8:V$707,V116,AA$8:AA$707,AA116,E$8:E$707,"&lt;"&amp;$E116))</f>
        <v/>
      </c>
      <c r="AC116" s="24">
        <f>IF(OR($E116="",Z116=0),"",IFERROR(TODAY()+ROUNDUP(Z116/(SUMIFS($AF116:$IN116,$AF$4:$IN$4,"WASH_ACT")/COUNTIFS($AF$4:$IN$4,"WASH_ACT",$AF116:$IN116,"&gt;0")),0),"no output yet"))</f>
        <v/>
      </c>
      <c r="AD116" s="26">
        <f>IF($E116="","",IFERROR(ROUND(MAX(0,SUMIFS($AF116:$IN116,$AF$4:$IN$4,"SEW_PLAN",$AF$3:$IN$3,"&lt;="&amp;TODAY())-SUMIFS($AF116:$IN116,$AF$4:$IN$4,"SEW_ACT",$AF$3:$IN$3,"&lt;="&amp;TODAY())+N(Q116))/(SUMIFS($AF116:$IN116,$AF$4:$IN$4,"SEW_PLAN")/COUNTIFS($AF$4:$IN$4,"SEW_PLAN",$AF116:$IN116,"&gt;0")),1),0))</f>
        <v/>
      </c>
      <c r="AE116" s="26">
        <f>IF($E116="","",IF(AND(Z116&gt;0,OR(AND(M116&lt;&gt;"",TODAY()&gt;M116),AND(V116&lt;&gt;"",V116-TODAY()&lt;=7))),"Yes","No"))</f>
        <v/>
      </c>
      <c r="AH116">
        <f>IF(OR(AF$3="",AF$3&gt;TODAY()),"",IF(AND(AF116="",AG116=""),"",N(AG116)-N(AF116)))</f>
        <v/>
      </c>
      <c r="AK116">
        <f>IF(OR(AF$3="",AF$3&gt;TODAY()),"",IF(AND(AI116="",AJ116=""),"",N(AJ116)-N(AI116)))</f>
        <v/>
      </c>
      <c r="AO116">
        <f>IF(OR(AM$3="",AM$3&gt;TODAY()),"",IF(AND(AM116="",AN116=""),"",N(AN116)-N(AM116)))</f>
        <v/>
      </c>
      <c r="AR116">
        <f>IF(OR(AM$3="",AM$3&gt;TODAY()),"",IF(AND(AP116="",AQ116=""),"",N(AQ116)-N(AP116)))</f>
        <v/>
      </c>
      <c r="AV116">
        <f>IF(OR(AT$3="",AT$3&gt;TODAY()),"",IF(AND(AT116="",AU116=""),"",N(AU116)-N(AT116)))</f>
        <v/>
      </c>
      <c r="AY116">
        <f>IF(OR(AT$3="",AT$3&gt;TODAY()),"",IF(AND(AW116="",AX116=""),"",N(AX116)-N(AW116)))</f>
        <v/>
      </c>
      <c r="BC116">
        <f>IF(OR(BA$3="",BA$3&gt;TODAY()),"",IF(AND(BA116="",BB116=""),"",N(BB116)-N(BA116)))</f>
        <v/>
      </c>
      <c r="BF116">
        <f>IF(OR(BA$3="",BA$3&gt;TODAY()),"",IF(AND(BD116="",BE116=""),"",N(BE116)-N(BD116)))</f>
        <v/>
      </c>
      <c r="BJ116">
        <f>IF(OR(BH$3="",BH$3&gt;TODAY()),"",IF(AND(BH116="",BI116=""),"",N(BI116)-N(BH116)))</f>
        <v/>
      </c>
      <c r="BM116">
        <f>IF(OR(BH$3="",BH$3&gt;TODAY()),"",IF(AND(BK116="",BL116=""),"",N(BL116)-N(BK116)))</f>
        <v/>
      </c>
      <c r="BQ116">
        <f>IF(OR(BO$3="",BO$3&gt;TODAY()),"",IF(AND(BO116="",BP116=""),"",N(BP116)-N(BO116)))</f>
        <v/>
      </c>
      <c r="BT116">
        <f>IF(OR(BO$3="",BO$3&gt;TODAY()),"",IF(AND(BR116="",BS116=""),"",N(BS116)-N(BR116)))</f>
        <v/>
      </c>
      <c r="BX116">
        <f>IF(OR(BV$3="",BV$3&gt;TODAY()),"",IF(AND(BV116="",BW116=""),"",N(BW116)-N(BV116)))</f>
        <v/>
      </c>
      <c r="CA116">
        <f>IF(OR(BV$3="",BV$3&gt;TODAY()),"",IF(AND(BY116="",BZ116=""),"",N(BZ116)-N(BY116)))</f>
        <v/>
      </c>
      <c r="CE116">
        <f>IF(OR(CC$3="",CC$3&gt;TODAY()),"",IF(AND(CC116="",CD116=""),"",N(CD116)-N(CC116)))</f>
        <v/>
      </c>
      <c r="CH116">
        <f>IF(OR(CC$3="",CC$3&gt;TODAY()),"",IF(AND(CF116="",CG116=""),"",N(CG116)-N(CF116)))</f>
        <v/>
      </c>
      <c r="CL116">
        <f>IF(OR(CJ$3="",CJ$3&gt;TODAY()),"",IF(AND(CJ116="",CK116=""),"",N(CK116)-N(CJ116)))</f>
        <v/>
      </c>
      <c r="CO116">
        <f>IF(OR(CJ$3="",CJ$3&gt;TODAY()),"",IF(AND(CM116="",CN116=""),"",N(CN116)-N(CM116)))</f>
        <v/>
      </c>
      <c r="CS116">
        <f>IF(OR(CQ$3="",CQ$3&gt;TODAY()),"",IF(AND(CQ116="",CR116=""),"",N(CR116)-N(CQ116)))</f>
        <v/>
      </c>
      <c r="CV116">
        <f>IF(OR(CQ$3="",CQ$3&gt;TODAY()),"",IF(AND(CT116="",CU116=""),"",N(CU116)-N(CT116)))</f>
        <v/>
      </c>
      <c r="CZ116">
        <f>IF(OR(CX$3="",CX$3&gt;TODAY()),"",IF(AND(CX116="",CY116=""),"",N(CY116)-N(CX116)))</f>
        <v/>
      </c>
      <c r="DC116">
        <f>IF(OR(CX$3="",CX$3&gt;TODAY()),"",IF(AND(DA116="",DB116=""),"",N(DB116)-N(DA116)))</f>
        <v/>
      </c>
      <c r="DG116">
        <f>IF(OR(DE$3="",DE$3&gt;TODAY()),"",IF(AND(DE116="",DF116=""),"",N(DF116)-N(DE116)))</f>
        <v/>
      </c>
      <c r="DJ116">
        <f>IF(OR(DE$3="",DE$3&gt;TODAY()),"",IF(AND(DH116="",DI116=""),"",N(DI116)-N(DH116)))</f>
        <v/>
      </c>
      <c r="DN116">
        <f>IF(OR(DL$3="",DL$3&gt;TODAY()),"",IF(AND(DL116="",DM116=""),"",N(DM116)-N(DL116)))</f>
        <v/>
      </c>
      <c r="DQ116">
        <f>IF(OR(DL$3="",DL$3&gt;TODAY()),"",IF(AND(DO116="",DP116=""),"",N(DP116)-N(DO116)))</f>
        <v/>
      </c>
      <c r="DU116">
        <f>IF(OR(DS$3="",DS$3&gt;TODAY()),"",IF(AND(DS116="",DT116=""),"",N(DT116)-N(DS116)))</f>
        <v/>
      </c>
      <c r="DX116">
        <f>IF(OR(DS$3="",DS$3&gt;TODAY()),"",IF(AND(DV116="",DW116=""),"",N(DW116)-N(DV116)))</f>
        <v/>
      </c>
      <c r="EB116">
        <f>IF(OR(DZ$3="",DZ$3&gt;TODAY()),"",IF(AND(DZ116="",EA116=""),"",N(EA116)-N(DZ116)))</f>
        <v/>
      </c>
      <c r="EE116">
        <f>IF(OR(DZ$3="",DZ$3&gt;TODAY()),"",IF(AND(EC116="",ED116=""),"",N(ED116)-N(EC116)))</f>
        <v/>
      </c>
      <c r="EI116">
        <f>IF(OR(EG$3="",EG$3&gt;TODAY()),"",IF(AND(EG116="",EH116=""),"",N(EH116)-N(EG116)))</f>
        <v/>
      </c>
      <c r="EL116">
        <f>IF(OR(EG$3="",EG$3&gt;TODAY()),"",IF(AND(EJ116="",EK116=""),"",N(EK116)-N(EJ116)))</f>
        <v/>
      </c>
      <c r="EP116">
        <f>IF(OR(EN$3="",EN$3&gt;TODAY()),"",IF(AND(EN116="",EO116=""),"",N(EO116)-N(EN116)))</f>
        <v/>
      </c>
      <c r="ES116">
        <f>IF(OR(EN$3="",EN$3&gt;TODAY()),"",IF(AND(EQ116="",ER116=""),"",N(ER116)-N(EQ116)))</f>
        <v/>
      </c>
      <c r="EW116">
        <f>IF(OR(EU$3="",EU$3&gt;TODAY()),"",IF(AND(EU116="",EV116=""),"",N(EV116)-N(EU116)))</f>
        <v/>
      </c>
      <c r="EZ116">
        <f>IF(OR(EU$3="",EU$3&gt;TODAY()),"",IF(AND(EX116="",EY116=""),"",N(EY116)-N(EX116)))</f>
        <v/>
      </c>
      <c r="FD116">
        <f>IF(OR(FB$3="",FB$3&gt;TODAY()),"",IF(AND(FB116="",FC116=""),"",N(FC116)-N(FB116)))</f>
        <v/>
      </c>
      <c r="FG116">
        <f>IF(OR(FB$3="",FB$3&gt;TODAY()),"",IF(AND(FE116="",FF116=""),"",N(FF116)-N(FE116)))</f>
        <v/>
      </c>
      <c r="FK116">
        <f>IF(OR(FI$3="",FI$3&gt;TODAY()),"",IF(AND(FI116="",FJ116=""),"",N(FJ116)-N(FI116)))</f>
        <v/>
      </c>
      <c r="FN116">
        <f>IF(OR(FI$3="",FI$3&gt;TODAY()),"",IF(AND(FL116="",FM116=""),"",N(FM116)-N(FL116)))</f>
        <v/>
      </c>
      <c r="FR116">
        <f>IF(OR(FP$3="",FP$3&gt;TODAY()),"",IF(AND(FP116="",FQ116=""),"",N(FQ116)-N(FP116)))</f>
        <v/>
      </c>
      <c r="FU116">
        <f>IF(OR(FP$3="",FP$3&gt;TODAY()),"",IF(AND(FS116="",FT116=""),"",N(FT116)-N(FS116)))</f>
        <v/>
      </c>
      <c r="FY116">
        <f>IF(OR(FW$3="",FW$3&gt;TODAY()),"",IF(AND(FW116="",FX116=""),"",N(FX116)-N(FW116)))</f>
        <v/>
      </c>
      <c r="GB116">
        <f>IF(OR(FW$3="",FW$3&gt;TODAY()),"",IF(AND(FZ116="",GA116=""),"",N(GA116)-N(FZ116)))</f>
        <v/>
      </c>
      <c r="GF116">
        <f>IF(OR(GD$3="",GD$3&gt;TODAY()),"",IF(AND(GD116="",GE116=""),"",N(GE116)-N(GD116)))</f>
        <v/>
      </c>
      <c r="GI116">
        <f>IF(OR(GD$3="",GD$3&gt;TODAY()),"",IF(AND(GG116="",GH116=""),"",N(GH116)-N(GG116)))</f>
        <v/>
      </c>
      <c r="GM116">
        <f>IF(OR(GK$3="",GK$3&gt;TODAY()),"",IF(AND(GK116="",GL116=""),"",N(GL116)-N(GK116)))</f>
        <v/>
      </c>
      <c r="GP116">
        <f>IF(OR(GK$3="",GK$3&gt;TODAY()),"",IF(AND(GN116="",GO116=""),"",N(GO116)-N(GN116)))</f>
        <v/>
      </c>
      <c r="GT116">
        <f>IF(OR(GR$3="",GR$3&gt;TODAY()),"",IF(AND(GR116="",GS116=""),"",N(GS116)-N(GR116)))</f>
        <v/>
      </c>
      <c r="GW116">
        <f>IF(OR(GR$3="",GR$3&gt;TODAY()),"",IF(AND(GU116="",GV116=""),"",N(GV116)-N(GU116)))</f>
        <v/>
      </c>
      <c r="HA116">
        <f>IF(OR(GY$3="",GY$3&gt;TODAY()),"",IF(AND(GY116="",GZ116=""),"",N(GZ116)-N(GY116)))</f>
        <v/>
      </c>
      <c r="HD116">
        <f>IF(OR(GY$3="",GY$3&gt;TODAY()),"",IF(AND(HB116="",HC116=""),"",N(HC116)-N(HB116)))</f>
        <v/>
      </c>
      <c r="HH116">
        <f>IF(OR(HF$3="",HF$3&gt;TODAY()),"",IF(AND(HF116="",HG116=""),"",N(HG116)-N(HF116)))</f>
        <v/>
      </c>
      <c r="HK116">
        <f>IF(OR(HF$3="",HF$3&gt;TODAY()),"",IF(AND(HI116="",HJ116=""),"",N(HJ116)-N(HI116)))</f>
        <v/>
      </c>
      <c r="HO116">
        <f>IF(OR(HM$3="",HM$3&gt;TODAY()),"",IF(AND(HM116="",HN116=""),"",N(HN116)-N(HM116)))</f>
        <v/>
      </c>
      <c r="HR116">
        <f>IF(OR(HM$3="",HM$3&gt;TODAY()),"",IF(AND(HP116="",HQ116=""),"",N(HQ116)-N(HP116)))</f>
        <v/>
      </c>
      <c r="HV116">
        <f>IF(OR(HT$3="",HT$3&gt;TODAY()),"",IF(AND(HT116="",HU116=""),"",N(HU116)-N(HT116)))</f>
        <v/>
      </c>
      <c r="HY116">
        <f>IF(OR(HT$3="",HT$3&gt;TODAY()),"",IF(AND(HW116="",HX116=""),"",N(HX116)-N(HW116)))</f>
        <v/>
      </c>
      <c r="IC116">
        <f>IF(OR(IA$3="",IA$3&gt;TODAY()),"",IF(AND(IA116="",IB116=""),"",N(IB116)-N(IA116)))</f>
        <v/>
      </c>
      <c r="IF116">
        <f>IF(OR(IA$3="",IA$3&gt;TODAY()),"",IF(AND(ID116="",IE116=""),"",N(IE116)-N(ID116)))</f>
        <v/>
      </c>
      <c r="IJ116">
        <f>IF(OR(IH$3="",IH$3&gt;TODAY()),"",IF(AND(IH116="",II116=""),"",N(II116)-N(IH116)))</f>
        <v/>
      </c>
      <c r="IM116">
        <f>IF(OR(IH$3="",IH$3&gt;TODAY()),"",IF(AND(IK116="",IL116=""),"",N(IL116)-N(IK116)))</f>
        <v/>
      </c>
    </row>
    <row r="117">
      <c r="A117" s="21" t="n"/>
      <c r="B117" s="21" t="n"/>
      <c r="C117" s="21" t="n"/>
      <c r="D117" s="21" t="n"/>
      <c r="E117" s="21" t="n"/>
      <c r="F117" s="21" t="n"/>
      <c r="G117" s="21" t="n"/>
      <c r="H117" s="21" t="n"/>
      <c r="I117" s="22" t="n"/>
      <c r="J117" s="22" t="n"/>
      <c r="K117" s="23" t="n"/>
      <c r="L117" s="22" t="n"/>
      <c r="M117" s="22" t="n"/>
      <c r="N117" s="21" t="n"/>
      <c r="O117" s="23" t="n"/>
      <c r="P117" s="23" t="n"/>
      <c r="Q117" s="23" t="n"/>
      <c r="R117" s="23" t="n"/>
      <c r="S117" s="22" t="n"/>
      <c r="T117" s="23" t="n"/>
      <c r="U117" s="23" t="n"/>
      <c r="V117" s="24">
        <f>IF(J117&lt;&gt;"",J117,IF(I117&lt;&gt;"",I117,""))</f>
        <v/>
      </c>
      <c r="W117" s="25">
        <f>IF($E117="","",N(O117)+SUMIFS($AF117:$IN117,$AF$4:$IN$4,"SEW_ACT"))</f>
        <v/>
      </c>
      <c r="X117" s="25">
        <f>IF($E117="","",N(P117)+SUMIFS($AF117:$IN117,$AF$4:$IN$4,"WASH_ACT"))</f>
        <v/>
      </c>
      <c r="Y117" s="25">
        <f>IF($E117="","",W117-X117-N(T117)-N(U117))</f>
        <v/>
      </c>
      <c r="Z117" s="25">
        <f>IF($E117="","",IF(N(K117)-X117&lt;=0.02*N(K117),0,N(K117)-X117))</f>
        <v/>
      </c>
      <c r="AA117" s="24">
        <f>IF($E117="","",IF(S117&lt;&gt;"",S117,IF(N(O117)&gt;0,IF(L117&lt;&gt;"",L117,99999),IFERROR(1/(1/_xlfn.MINIFS($AF$3:$IN$3,$AF$4:$IN$4,"SEW_ACT",$AF117:$IN117,"&gt;0")),99999))))</f>
        <v/>
      </c>
      <c r="AB117" s="26">
        <f>IF(OR($E117="",Z117=0,V117=""),"",1+COUNTIFS(Z$8:Z$707,"&gt;0",V$8:V$707,"&lt;"&amp;V117)+COUNTIFS(Z$8:Z$707,"&gt;0",V$8:V$707,V117,AA$8:AA$707,"&lt;"&amp;AA117)+COUNTIFS(Z$8:Z$707,"&gt;0",V$8:V$707,V117,AA$8:AA$707,AA117,E$8:E$707,"&lt;"&amp;$E117))</f>
        <v/>
      </c>
      <c r="AC117" s="24">
        <f>IF(OR($E117="",Z117=0),"",IFERROR(TODAY()+ROUNDUP(Z117/(SUMIFS($AF117:$IN117,$AF$4:$IN$4,"WASH_ACT")/COUNTIFS($AF$4:$IN$4,"WASH_ACT",$AF117:$IN117,"&gt;0")),0),"no output yet"))</f>
        <v/>
      </c>
      <c r="AD117" s="26">
        <f>IF($E117="","",IFERROR(ROUND(MAX(0,SUMIFS($AF117:$IN117,$AF$4:$IN$4,"SEW_PLAN",$AF$3:$IN$3,"&lt;="&amp;TODAY())-SUMIFS($AF117:$IN117,$AF$4:$IN$4,"SEW_ACT",$AF$3:$IN$3,"&lt;="&amp;TODAY())+N(Q117))/(SUMIFS($AF117:$IN117,$AF$4:$IN$4,"SEW_PLAN")/COUNTIFS($AF$4:$IN$4,"SEW_PLAN",$AF117:$IN117,"&gt;0")),1),0))</f>
        <v/>
      </c>
      <c r="AE117" s="26">
        <f>IF($E117="","",IF(AND(Z117&gt;0,OR(AND(M117&lt;&gt;"",TODAY()&gt;M117),AND(V117&lt;&gt;"",V117-TODAY()&lt;=7))),"Yes","No"))</f>
        <v/>
      </c>
      <c r="AH117">
        <f>IF(OR(AF$3="",AF$3&gt;TODAY()),"",IF(AND(AF117="",AG117=""),"",N(AG117)-N(AF117)))</f>
        <v/>
      </c>
      <c r="AK117">
        <f>IF(OR(AF$3="",AF$3&gt;TODAY()),"",IF(AND(AI117="",AJ117=""),"",N(AJ117)-N(AI117)))</f>
        <v/>
      </c>
      <c r="AO117">
        <f>IF(OR(AM$3="",AM$3&gt;TODAY()),"",IF(AND(AM117="",AN117=""),"",N(AN117)-N(AM117)))</f>
        <v/>
      </c>
      <c r="AR117">
        <f>IF(OR(AM$3="",AM$3&gt;TODAY()),"",IF(AND(AP117="",AQ117=""),"",N(AQ117)-N(AP117)))</f>
        <v/>
      </c>
      <c r="AV117">
        <f>IF(OR(AT$3="",AT$3&gt;TODAY()),"",IF(AND(AT117="",AU117=""),"",N(AU117)-N(AT117)))</f>
        <v/>
      </c>
      <c r="AY117">
        <f>IF(OR(AT$3="",AT$3&gt;TODAY()),"",IF(AND(AW117="",AX117=""),"",N(AX117)-N(AW117)))</f>
        <v/>
      </c>
      <c r="BC117">
        <f>IF(OR(BA$3="",BA$3&gt;TODAY()),"",IF(AND(BA117="",BB117=""),"",N(BB117)-N(BA117)))</f>
        <v/>
      </c>
      <c r="BF117">
        <f>IF(OR(BA$3="",BA$3&gt;TODAY()),"",IF(AND(BD117="",BE117=""),"",N(BE117)-N(BD117)))</f>
        <v/>
      </c>
      <c r="BJ117">
        <f>IF(OR(BH$3="",BH$3&gt;TODAY()),"",IF(AND(BH117="",BI117=""),"",N(BI117)-N(BH117)))</f>
        <v/>
      </c>
      <c r="BM117">
        <f>IF(OR(BH$3="",BH$3&gt;TODAY()),"",IF(AND(BK117="",BL117=""),"",N(BL117)-N(BK117)))</f>
        <v/>
      </c>
      <c r="BQ117">
        <f>IF(OR(BO$3="",BO$3&gt;TODAY()),"",IF(AND(BO117="",BP117=""),"",N(BP117)-N(BO117)))</f>
        <v/>
      </c>
      <c r="BT117">
        <f>IF(OR(BO$3="",BO$3&gt;TODAY()),"",IF(AND(BR117="",BS117=""),"",N(BS117)-N(BR117)))</f>
        <v/>
      </c>
      <c r="BX117">
        <f>IF(OR(BV$3="",BV$3&gt;TODAY()),"",IF(AND(BV117="",BW117=""),"",N(BW117)-N(BV117)))</f>
        <v/>
      </c>
      <c r="CA117">
        <f>IF(OR(BV$3="",BV$3&gt;TODAY()),"",IF(AND(BY117="",BZ117=""),"",N(BZ117)-N(BY117)))</f>
        <v/>
      </c>
      <c r="CE117">
        <f>IF(OR(CC$3="",CC$3&gt;TODAY()),"",IF(AND(CC117="",CD117=""),"",N(CD117)-N(CC117)))</f>
        <v/>
      </c>
      <c r="CH117">
        <f>IF(OR(CC$3="",CC$3&gt;TODAY()),"",IF(AND(CF117="",CG117=""),"",N(CG117)-N(CF117)))</f>
        <v/>
      </c>
      <c r="CL117">
        <f>IF(OR(CJ$3="",CJ$3&gt;TODAY()),"",IF(AND(CJ117="",CK117=""),"",N(CK117)-N(CJ117)))</f>
        <v/>
      </c>
      <c r="CO117">
        <f>IF(OR(CJ$3="",CJ$3&gt;TODAY()),"",IF(AND(CM117="",CN117=""),"",N(CN117)-N(CM117)))</f>
        <v/>
      </c>
      <c r="CS117">
        <f>IF(OR(CQ$3="",CQ$3&gt;TODAY()),"",IF(AND(CQ117="",CR117=""),"",N(CR117)-N(CQ117)))</f>
        <v/>
      </c>
      <c r="CV117">
        <f>IF(OR(CQ$3="",CQ$3&gt;TODAY()),"",IF(AND(CT117="",CU117=""),"",N(CU117)-N(CT117)))</f>
        <v/>
      </c>
      <c r="CZ117">
        <f>IF(OR(CX$3="",CX$3&gt;TODAY()),"",IF(AND(CX117="",CY117=""),"",N(CY117)-N(CX117)))</f>
        <v/>
      </c>
      <c r="DC117">
        <f>IF(OR(CX$3="",CX$3&gt;TODAY()),"",IF(AND(DA117="",DB117=""),"",N(DB117)-N(DA117)))</f>
        <v/>
      </c>
      <c r="DG117">
        <f>IF(OR(DE$3="",DE$3&gt;TODAY()),"",IF(AND(DE117="",DF117=""),"",N(DF117)-N(DE117)))</f>
        <v/>
      </c>
      <c r="DJ117">
        <f>IF(OR(DE$3="",DE$3&gt;TODAY()),"",IF(AND(DH117="",DI117=""),"",N(DI117)-N(DH117)))</f>
        <v/>
      </c>
      <c r="DN117">
        <f>IF(OR(DL$3="",DL$3&gt;TODAY()),"",IF(AND(DL117="",DM117=""),"",N(DM117)-N(DL117)))</f>
        <v/>
      </c>
      <c r="DQ117">
        <f>IF(OR(DL$3="",DL$3&gt;TODAY()),"",IF(AND(DO117="",DP117=""),"",N(DP117)-N(DO117)))</f>
        <v/>
      </c>
      <c r="DU117">
        <f>IF(OR(DS$3="",DS$3&gt;TODAY()),"",IF(AND(DS117="",DT117=""),"",N(DT117)-N(DS117)))</f>
        <v/>
      </c>
      <c r="DX117">
        <f>IF(OR(DS$3="",DS$3&gt;TODAY()),"",IF(AND(DV117="",DW117=""),"",N(DW117)-N(DV117)))</f>
        <v/>
      </c>
      <c r="EB117">
        <f>IF(OR(DZ$3="",DZ$3&gt;TODAY()),"",IF(AND(DZ117="",EA117=""),"",N(EA117)-N(DZ117)))</f>
        <v/>
      </c>
      <c r="EE117">
        <f>IF(OR(DZ$3="",DZ$3&gt;TODAY()),"",IF(AND(EC117="",ED117=""),"",N(ED117)-N(EC117)))</f>
        <v/>
      </c>
      <c r="EI117">
        <f>IF(OR(EG$3="",EG$3&gt;TODAY()),"",IF(AND(EG117="",EH117=""),"",N(EH117)-N(EG117)))</f>
        <v/>
      </c>
      <c r="EL117">
        <f>IF(OR(EG$3="",EG$3&gt;TODAY()),"",IF(AND(EJ117="",EK117=""),"",N(EK117)-N(EJ117)))</f>
        <v/>
      </c>
      <c r="EP117">
        <f>IF(OR(EN$3="",EN$3&gt;TODAY()),"",IF(AND(EN117="",EO117=""),"",N(EO117)-N(EN117)))</f>
        <v/>
      </c>
      <c r="ES117">
        <f>IF(OR(EN$3="",EN$3&gt;TODAY()),"",IF(AND(EQ117="",ER117=""),"",N(ER117)-N(EQ117)))</f>
        <v/>
      </c>
      <c r="EW117">
        <f>IF(OR(EU$3="",EU$3&gt;TODAY()),"",IF(AND(EU117="",EV117=""),"",N(EV117)-N(EU117)))</f>
        <v/>
      </c>
      <c r="EZ117">
        <f>IF(OR(EU$3="",EU$3&gt;TODAY()),"",IF(AND(EX117="",EY117=""),"",N(EY117)-N(EX117)))</f>
        <v/>
      </c>
      <c r="FD117">
        <f>IF(OR(FB$3="",FB$3&gt;TODAY()),"",IF(AND(FB117="",FC117=""),"",N(FC117)-N(FB117)))</f>
        <v/>
      </c>
      <c r="FG117">
        <f>IF(OR(FB$3="",FB$3&gt;TODAY()),"",IF(AND(FE117="",FF117=""),"",N(FF117)-N(FE117)))</f>
        <v/>
      </c>
      <c r="FK117">
        <f>IF(OR(FI$3="",FI$3&gt;TODAY()),"",IF(AND(FI117="",FJ117=""),"",N(FJ117)-N(FI117)))</f>
        <v/>
      </c>
      <c r="FN117">
        <f>IF(OR(FI$3="",FI$3&gt;TODAY()),"",IF(AND(FL117="",FM117=""),"",N(FM117)-N(FL117)))</f>
        <v/>
      </c>
      <c r="FR117">
        <f>IF(OR(FP$3="",FP$3&gt;TODAY()),"",IF(AND(FP117="",FQ117=""),"",N(FQ117)-N(FP117)))</f>
        <v/>
      </c>
      <c r="FU117">
        <f>IF(OR(FP$3="",FP$3&gt;TODAY()),"",IF(AND(FS117="",FT117=""),"",N(FT117)-N(FS117)))</f>
        <v/>
      </c>
      <c r="FY117">
        <f>IF(OR(FW$3="",FW$3&gt;TODAY()),"",IF(AND(FW117="",FX117=""),"",N(FX117)-N(FW117)))</f>
        <v/>
      </c>
      <c r="GB117">
        <f>IF(OR(FW$3="",FW$3&gt;TODAY()),"",IF(AND(FZ117="",GA117=""),"",N(GA117)-N(FZ117)))</f>
        <v/>
      </c>
      <c r="GF117">
        <f>IF(OR(GD$3="",GD$3&gt;TODAY()),"",IF(AND(GD117="",GE117=""),"",N(GE117)-N(GD117)))</f>
        <v/>
      </c>
      <c r="GI117">
        <f>IF(OR(GD$3="",GD$3&gt;TODAY()),"",IF(AND(GG117="",GH117=""),"",N(GH117)-N(GG117)))</f>
        <v/>
      </c>
      <c r="GM117">
        <f>IF(OR(GK$3="",GK$3&gt;TODAY()),"",IF(AND(GK117="",GL117=""),"",N(GL117)-N(GK117)))</f>
        <v/>
      </c>
      <c r="GP117">
        <f>IF(OR(GK$3="",GK$3&gt;TODAY()),"",IF(AND(GN117="",GO117=""),"",N(GO117)-N(GN117)))</f>
        <v/>
      </c>
      <c r="GT117">
        <f>IF(OR(GR$3="",GR$3&gt;TODAY()),"",IF(AND(GR117="",GS117=""),"",N(GS117)-N(GR117)))</f>
        <v/>
      </c>
      <c r="GW117">
        <f>IF(OR(GR$3="",GR$3&gt;TODAY()),"",IF(AND(GU117="",GV117=""),"",N(GV117)-N(GU117)))</f>
        <v/>
      </c>
      <c r="HA117">
        <f>IF(OR(GY$3="",GY$3&gt;TODAY()),"",IF(AND(GY117="",GZ117=""),"",N(GZ117)-N(GY117)))</f>
        <v/>
      </c>
      <c r="HD117">
        <f>IF(OR(GY$3="",GY$3&gt;TODAY()),"",IF(AND(HB117="",HC117=""),"",N(HC117)-N(HB117)))</f>
        <v/>
      </c>
      <c r="HH117">
        <f>IF(OR(HF$3="",HF$3&gt;TODAY()),"",IF(AND(HF117="",HG117=""),"",N(HG117)-N(HF117)))</f>
        <v/>
      </c>
      <c r="HK117">
        <f>IF(OR(HF$3="",HF$3&gt;TODAY()),"",IF(AND(HI117="",HJ117=""),"",N(HJ117)-N(HI117)))</f>
        <v/>
      </c>
      <c r="HO117">
        <f>IF(OR(HM$3="",HM$3&gt;TODAY()),"",IF(AND(HM117="",HN117=""),"",N(HN117)-N(HM117)))</f>
        <v/>
      </c>
      <c r="HR117">
        <f>IF(OR(HM$3="",HM$3&gt;TODAY()),"",IF(AND(HP117="",HQ117=""),"",N(HQ117)-N(HP117)))</f>
        <v/>
      </c>
      <c r="HV117">
        <f>IF(OR(HT$3="",HT$3&gt;TODAY()),"",IF(AND(HT117="",HU117=""),"",N(HU117)-N(HT117)))</f>
        <v/>
      </c>
      <c r="HY117">
        <f>IF(OR(HT$3="",HT$3&gt;TODAY()),"",IF(AND(HW117="",HX117=""),"",N(HX117)-N(HW117)))</f>
        <v/>
      </c>
      <c r="IC117">
        <f>IF(OR(IA$3="",IA$3&gt;TODAY()),"",IF(AND(IA117="",IB117=""),"",N(IB117)-N(IA117)))</f>
        <v/>
      </c>
      <c r="IF117">
        <f>IF(OR(IA$3="",IA$3&gt;TODAY()),"",IF(AND(ID117="",IE117=""),"",N(IE117)-N(ID117)))</f>
        <v/>
      </c>
      <c r="IJ117">
        <f>IF(OR(IH$3="",IH$3&gt;TODAY()),"",IF(AND(IH117="",II117=""),"",N(II117)-N(IH117)))</f>
        <v/>
      </c>
      <c r="IM117">
        <f>IF(OR(IH$3="",IH$3&gt;TODAY()),"",IF(AND(IK117="",IL117=""),"",N(IL117)-N(IK117)))</f>
        <v/>
      </c>
    </row>
    <row r="118">
      <c r="A118" s="21" t="n"/>
      <c r="B118" s="21" t="n"/>
      <c r="C118" s="21" t="n"/>
      <c r="D118" s="21" t="n"/>
      <c r="E118" s="21" t="n"/>
      <c r="F118" s="21" t="n"/>
      <c r="G118" s="21" t="n"/>
      <c r="H118" s="21" t="n"/>
      <c r="I118" s="22" t="n"/>
      <c r="J118" s="22" t="n"/>
      <c r="K118" s="23" t="n"/>
      <c r="L118" s="22" t="n"/>
      <c r="M118" s="22" t="n"/>
      <c r="N118" s="21" t="n"/>
      <c r="O118" s="23" t="n"/>
      <c r="P118" s="23" t="n"/>
      <c r="Q118" s="23" t="n"/>
      <c r="R118" s="23" t="n"/>
      <c r="S118" s="22" t="n"/>
      <c r="T118" s="23" t="n"/>
      <c r="U118" s="23" t="n"/>
      <c r="V118" s="24">
        <f>IF(J118&lt;&gt;"",J118,IF(I118&lt;&gt;"",I118,""))</f>
        <v/>
      </c>
      <c r="W118" s="25">
        <f>IF($E118="","",N(O118)+SUMIFS($AF118:$IN118,$AF$4:$IN$4,"SEW_ACT"))</f>
        <v/>
      </c>
      <c r="X118" s="25">
        <f>IF($E118="","",N(P118)+SUMIFS($AF118:$IN118,$AF$4:$IN$4,"WASH_ACT"))</f>
        <v/>
      </c>
      <c r="Y118" s="25">
        <f>IF($E118="","",W118-X118-N(T118)-N(U118))</f>
        <v/>
      </c>
      <c r="Z118" s="25">
        <f>IF($E118="","",IF(N(K118)-X118&lt;=0.02*N(K118),0,N(K118)-X118))</f>
        <v/>
      </c>
      <c r="AA118" s="24">
        <f>IF($E118="","",IF(S118&lt;&gt;"",S118,IF(N(O118)&gt;0,IF(L118&lt;&gt;"",L118,99999),IFERROR(1/(1/_xlfn.MINIFS($AF$3:$IN$3,$AF$4:$IN$4,"SEW_ACT",$AF118:$IN118,"&gt;0")),99999))))</f>
        <v/>
      </c>
      <c r="AB118" s="26">
        <f>IF(OR($E118="",Z118=0,V118=""),"",1+COUNTIFS(Z$8:Z$707,"&gt;0",V$8:V$707,"&lt;"&amp;V118)+COUNTIFS(Z$8:Z$707,"&gt;0",V$8:V$707,V118,AA$8:AA$707,"&lt;"&amp;AA118)+COUNTIFS(Z$8:Z$707,"&gt;0",V$8:V$707,V118,AA$8:AA$707,AA118,E$8:E$707,"&lt;"&amp;$E118))</f>
        <v/>
      </c>
      <c r="AC118" s="24">
        <f>IF(OR($E118="",Z118=0),"",IFERROR(TODAY()+ROUNDUP(Z118/(SUMIFS($AF118:$IN118,$AF$4:$IN$4,"WASH_ACT")/COUNTIFS($AF$4:$IN$4,"WASH_ACT",$AF118:$IN118,"&gt;0")),0),"no output yet"))</f>
        <v/>
      </c>
      <c r="AD118" s="26">
        <f>IF($E118="","",IFERROR(ROUND(MAX(0,SUMIFS($AF118:$IN118,$AF$4:$IN$4,"SEW_PLAN",$AF$3:$IN$3,"&lt;="&amp;TODAY())-SUMIFS($AF118:$IN118,$AF$4:$IN$4,"SEW_ACT",$AF$3:$IN$3,"&lt;="&amp;TODAY())+N(Q118))/(SUMIFS($AF118:$IN118,$AF$4:$IN$4,"SEW_PLAN")/COUNTIFS($AF$4:$IN$4,"SEW_PLAN",$AF118:$IN118,"&gt;0")),1),0))</f>
        <v/>
      </c>
      <c r="AE118" s="26">
        <f>IF($E118="","",IF(AND(Z118&gt;0,OR(AND(M118&lt;&gt;"",TODAY()&gt;M118),AND(V118&lt;&gt;"",V118-TODAY()&lt;=7))),"Yes","No"))</f>
        <v/>
      </c>
      <c r="AH118">
        <f>IF(OR(AF$3="",AF$3&gt;TODAY()),"",IF(AND(AF118="",AG118=""),"",N(AG118)-N(AF118)))</f>
        <v/>
      </c>
      <c r="AK118">
        <f>IF(OR(AF$3="",AF$3&gt;TODAY()),"",IF(AND(AI118="",AJ118=""),"",N(AJ118)-N(AI118)))</f>
        <v/>
      </c>
      <c r="AO118">
        <f>IF(OR(AM$3="",AM$3&gt;TODAY()),"",IF(AND(AM118="",AN118=""),"",N(AN118)-N(AM118)))</f>
        <v/>
      </c>
      <c r="AR118">
        <f>IF(OR(AM$3="",AM$3&gt;TODAY()),"",IF(AND(AP118="",AQ118=""),"",N(AQ118)-N(AP118)))</f>
        <v/>
      </c>
      <c r="AV118">
        <f>IF(OR(AT$3="",AT$3&gt;TODAY()),"",IF(AND(AT118="",AU118=""),"",N(AU118)-N(AT118)))</f>
        <v/>
      </c>
      <c r="AY118">
        <f>IF(OR(AT$3="",AT$3&gt;TODAY()),"",IF(AND(AW118="",AX118=""),"",N(AX118)-N(AW118)))</f>
        <v/>
      </c>
      <c r="BC118">
        <f>IF(OR(BA$3="",BA$3&gt;TODAY()),"",IF(AND(BA118="",BB118=""),"",N(BB118)-N(BA118)))</f>
        <v/>
      </c>
      <c r="BF118">
        <f>IF(OR(BA$3="",BA$3&gt;TODAY()),"",IF(AND(BD118="",BE118=""),"",N(BE118)-N(BD118)))</f>
        <v/>
      </c>
      <c r="BJ118">
        <f>IF(OR(BH$3="",BH$3&gt;TODAY()),"",IF(AND(BH118="",BI118=""),"",N(BI118)-N(BH118)))</f>
        <v/>
      </c>
      <c r="BM118">
        <f>IF(OR(BH$3="",BH$3&gt;TODAY()),"",IF(AND(BK118="",BL118=""),"",N(BL118)-N(BK118)))</f>
        <v/>
      </c>
      <c r="BQ118">
        <f>IF(OR(BO$3="",BO$3&gt;TODAY()),"",IF(AND(BO118="",BP118=""),"",N(BP118)-N(BO118)))</f>
        <v/>
      </c>
      <c r="BT118">
        <f>IF(OR(BO$3="",BO$3&gt;TODAY()),"",IF(AND(BR118="",BS118=""),"",N(BS118)-N(BR118)))</f>
        <v/>
      </c>
      <c r="BX118">
        <f>IF(OR(BV$3="",BV$3&gt;TODAY()),"",IF(AND(BV118="",BW118=""),"",N(BW118)-N(BV118)))</f>
        <v/>
      </c>
      <c r="CA118">
        <f>IF(OR(BV$3="",BV$3&gt;TODAY()),"",IF(AND(BY118="",BZ118=""),"",N(BZ118)-N(BY118)))</f>
        <v/>
      </c>
      <c r="CE118">
        <f>IF(OR(CC$3="",CC$3&gt;TODAY()),"",IF(AND(CC118="",CD118=""),"",N(CD118)-N(CC118)))</f>
        <v/>
      </c>
      <c r="CH118">
        <f>IF(OR(CC$3="",CC$3&gt;TODAY()),"",IF(AND(CF118="",CG118=""),"",N(CG118)-N(CF118)))</f>
        <v/>
      </c>
      <c r="CL118">
        <f>IF(OR(CJ$3="",CJ$3&gt;TODAY()),"",IF(AND(CJ118="",CK118=""),"",N(CK118)-N(CJ118)))</f>
        <v/>
      </c>
      <c r="CO118">
        <f>IF(OR(CJ$3="",CJ$3&gt;TODAY()),"",IF(AND(CM118="",CN118=""),"",N(CN118)-N(CM118)))</f>
        <v/>
      </c>
      <c r="CS118">
        <f>IF(OR(CQ$3="",CQ$3&gt;TODAY()),"",IF(AND(CQ118="",CR118=""),"",N(CR118)-N(CQ118)))</f>
        <v/>
      </c>
      <c r="CV118">
        <f>IF(OR(CQ$3="",CQ$3&gt;TODAY()),"",IF(AND(CT118="",CU118=""),"",N(CU118)-N(CT118)))</f>
        <v/>
      </c>
      <c r="CZ118">
        <f>IF(OR(CX$3="",CX$3&gt;TODAY()),"",IF(AND(CX118="",CY118=""),"",N(CY118)-N(CX118)))</f>
        <v/>
      </c>
      <c r="DC118">
        <f>IF(OR(CX$3="",CX$3&gt;TODAY()),"",IF(AND(DA118="",DB118=""),"",N(DB118)-N(DA118)))</f>
        <v/>
      </c>
      <c r="DG118">
        <f>IF(OR(DE$3="",DE$3&gt;TODAY()),"",IF(AND(DE118="",DF118=""),"",N(DF118)-N(DE118)))</f>
        <v/>
      </c>
      <c r="DJ118">
        <f>IF(OR(DE$3="",DE$3&gt;TODAY()),"",IF(AND(DH118="",DI118=""),"",N(DI118)-N(DH118)))</f>
        <v/>
      </c>
      <c r="DN118">
        <f>IF(OR(DL$3="",DL$3&gt;TODAY()),"",IF(AND(DL118="",DM118=""),"",N(DM118)-N(DL118)))</f>
        <v/>
      </c>
      <c r="DQ118">
        <f>IF(OR(DL$3="",DL$3&gt;TODAY()),"",IF(AND(DO118="",DP118=""),"",N(DP118)-N(DO118)))</f>
        <v/>
      </c>
      <c r="DU118">
        <f>IF(OR(DS$3="",DS$3&gt;TODAY()),"",IF(AND(DS118="",DT118=""),"",N(DT118)-N(DS118)))</f>
        <v/>
      </c>
      <c r="DX118">
        <f>IF(OR(DS$3="",DS$3&gt;TODAY()),"",IF(AND(DV118="",DW118=""),"",N(DW118)-N(DV118)))</f>
        <v/>
      </c>
      <c r="EB118">
        <f>IF(OR(DZ$3="",DZ$3&gt;TODAY()),"",IF(AND(DZ118="",EA118=""),"",N(EA118)-N(DZ118)))</f>
        <v/>
      </c>
      <c r="EE118">
        <f>IF(OR(DZ$3="",DZ$3&gt;TODAY()),"",IF(AND(EC118="",ED118=""),"",N(ED118)-N(EC118)))</f>
        <v/>
      </c>
      <c r="EI118">
        <f>IF(OR(EG$3="",EG$3&gt;TODAY()),"",IF(AND(EG118="",EH118=""),"",N(EH118)-N(EG118)))</f>
        <v/>
      </c>
      <c r="EL118">
        <f>IF(OR(EG$3="",EG$3&gt;TODAY()),"",IF(AND(EJ118="",EK118=""),"",N(EK118)-N(EJ118)))</f>
        <v/>
      </c>
      <c r="EP118">
        <f>IF(OR(EN$3="",EN$3&gt;TODAY()),"",IF(AND(EN118="",EO118=""),"",N(EO118)-N(EN118)))</f>
        <v/>
      </c>
      <c r="ES118">
        <f>IF(OR(EN$3="",EN$3&gt;TODAY()),"",IF(AND(EQ118="",ER118=""),"",N(ER118)-N(EQ118)))</f>
        <v/>
      </c>
      <c r="EW118">
        <f>IF(OR(EU$3="",EU$3&gt;TODAY()),"",IF(AND(EU118="",EV118=""),"",N(EV118)-N(EU118)))</f>
        <v/>
      </c>
      <c r="EZ118">
        <f>IF(OR(EU$3="",EU$3&gt;TODAY()),"",IF(AND(EX118="",EY118=""),"",N(EY118)-N(EX118)))</f>
        <v/>
      </c>
      <c r="FD118">
        <f>IF(OR(FB$3="",FB$3&gt;TODAY()),"",IF(AND(FB118="",FC118=""),"",N(FC118)-N(FB118)))</f>
        <v/>
      </c>
      <c r="FG118">
        <f>IF(OR(FB$3="",FB$3&gt;TODAY()),"",IF(AND(FE118="",FF118=""),"",N(FF118)-N(FE118)))</f>
        <v/>
      </c>
      <c r="FK118">
        <f>IF(OR(FI$3="",FI$3&gt;TODAY()),"",IF(AND(FI118="",FJ118=""),"",N(FJ118)-N(FI118)))</f>
        <v/>
      </c>
      <c r="FN118">
        <f>IF(OR(FI$3="",FI$3&gt;TODAY()),"",IF(AND(FL118="",FM118=""),"",N(FM118)-N(FL118)))</f>
        <v/>
      </c>
      <c r="FR118">
        <f>IF(OR(FP$3="",FP$3&gt;TODAY()),"",IF(AND(FP118="",FQ118=""),"",N(FQ118)-N(FP118)))</f>
        <v/>
      </c>
      <c r="FU118">
        <f>IF(OR(FP$3="",FP$3&gt;TODAY()),"",IF(AND(FS118="",FT118=""),"",N(FT118)-N(FS118)))</f>
        <v/>
      </c>
      <c r="FY118">
        <f>IF(OR(FW$3="",FW$3&gt;TODAY()),"",IF(AND(FW118="",FX118=""),"",N(FX118)-N(FW118)))</f>
        <v/>
      </c>
      <c r="GB118">
        <f>IF(OR(FW$3="",FW$3&gt;TODAY()),"",IF(AND(FZ118="",GA118=""),"",N(GA118)-N(FZ118)))</f>
        <v/>
      </c>
      <c r="GF118">
        <f>IF(OR(GD$3="",GD$3&gt;TODAY()),"",IF(AND(GD118="",GE118=""),"",N(GE118)-N(GD118)))</f>
        <v/>
      </c>
      <c r="GI118">
        <f>IF(OR(GD$3="",GD$3&gt;TODAY()),"",IF(AND(GG118="",GH118=""),"",N(GH118)-N(GG118)))</f>
        <v/>
      </c>
      <c r="GM118">
        <f>IF(OR(GK$3="",GK$3&gt;TODAY()),"",IF(AND(GK118="",GL118=""),"",N(GL118)-N(GK118)))</f>
        <v/>
      </c>
      <c r="GP118">
        <f>IF(OR(GK$3="",GK$3&gt;TODAY()),"",IF(AND(GN118="",GO118=""),"",N(GO118)-N(GN118)))</f>
        <v/>
      </c>
      <c r="GT118">
        <f>IF(OR(GR$3="",GR$3&gt;TODAY()),"",IF(AND(GR118="",GS118=""),"",N(GS118)-N(GR118)))</f>
        <v/>
      </c>
      <c r="GW118">
        <f>IF(OR(GR$3="",GR$3&gt;TODAY()),"",IF(AND(GU118="",GV118=""),"",N(GV118)-N(GU118)))</f>
        <v/>
      </c>
      <c r="HA118">
        <f>IF(OR(GY$3="",GY$3&gt;TODAY()),"",IF(AND(GY118="",GZ118=""),"",N(GZ118)-N(GY118)))</f>
        <v/>
      </c>
      <c r="HD118">
        <f>IF(OR(GY$3="",GY$3&gt;TODAY()),"",IF(AND(HB118="",HC118=""),"",N(HC118)-N(HB118)))</f>
        <v/>
      </c>
      <c r="HH118">
        <f>IF(OR(HF$3="",HF$3&gt;TODAY()),"",IF(AND(HF118="",HG118=""),"",N(HG118)-N(HF118)))</f>
        <v/>
      </c>
      <c r="HK118">
        <f>IF(OR(HF$3="",HF$3&gt;TODAY()),"",IF(AND(HI118="",HJ118=""),"",N(HJ118)-N(HI118)))</f>
        <v/>
      </c>
      <c r="HO118">
        <f>IF(OR(HM$3="",HM$3&gt;TODAY()),"",IF(AND(HM118="",HN118=""),"",N(HN118)-N(HM118)))</f>
        <v/>
      </c>
      <c r="HR118">
        <f>IF(OR(HM$3="",HM$3&gt;TODAY()),"",IF(AND(HP118="",HQ118=""),"",N(HQ118)-N(HP118)))</f>
        <v/>
      </c>
      <c r="HV118">
        <f>IF(OR(HT$3="",HT$3&gt;TODAY()),"",IF(AND(HT118="",HU118=""),"",N(HU118)-N(HT118)))</f>
        <v/>
      </c>
      <c r="HY118">
        <f>IF(OR(HT$3="",HT$3&gt;TODAY()),"",IF(AND(HW118="",HX118=""),"",N(HX118)-N(HW118)))</f>
        <v/>
      </c>
      <c r="IC118">
        <f>IF(OR(IA$3="",IA$3&gt;TODAY()),"",IF(AND(IA118="",IB118=""),"",N(IB118)-N(IA118)))</f>
        <v/>
      </c>
      <c r="IF118">
        <f>IF(OR(IA$3="",IA$3&gt;TODAY()),"",IF(AND(ID118="",IE118=""),"",N(IE118)-N(ID118)))</f>
        <v/>
      </c>
      <c r="IJ118">
        <f>IF(OR(IH$3="",IH$3&gt;TODAY()),"",IF(AND(IH118="",II118=""),"",N(II118)-N(IH118)))</f>
        <v/>
      </c>
      <c r="IM118">
        <f>IF(OR(IH$3="",IH$3&gt;TODAY()),"",IF(AND(IK118="",IL118=""),"",N(IL118)-N(IK118)))</f>
        <v/>
      </c>
    </row>
    <row r="119">
      <c r="A119" s="21" t="n"/>
      <c r="B119" s="21" t="n"/>
      <c r="C119" s="21" t="n"/>
      <c r="D119" s="21" t="n"/>
      <c r="E119" s="21" t="n"/>
      <c r="F119" s="21" t="n"/>
      <c r="G119" s="21" t="n"/>
      <c r="H119" s="21" t="n"/>
      <c r="I119" s="22" t="n"/>
      <c r="J119" s="22" t="n"/>
      <c r="K119" s="23" t="n"/>
      <c r="L119" s="22" t="n"/>
      <c r="M119" s="22" t="n"/>
      <c r="N119" s="21" t="n"/>
      <c r="O119" s="23" t="n"/>
      <c r="P119" s="23" t="n"/>
      <c r="Q119" s="23" t="n"/>
      <c r="R119" s="23" t="n"/>
      <c r="S119" s="22" t="n"/>
      <c r="T119" s="23" t="n"/>
      <c r="U119" s="23" t="n"/>
      <c r="V119" s="24">
        <f>IF(J119&lt;&gt;"",J119,IF(I119&lt;&gt;"",I119,""))</f>
        <v/>
      </c>
      <c r="W119" s="25">
        <f>IF($E119="","",N(O119)+SUMIFS($AF119:$IN119,$AF$4:$IN$4,"SEW_ACT"))</f>
        <v/>
      </c>
      <c r="X119" s="25">
        <f>IF($E119="","",N(P119)+SUMIFS($AF119:$IN119,$AF$4:$IN$4,"WASH_ACT"))</f>
        <v/>
      </c>
      <c r="Y119" s="25">
        <f>IF($E119="","",W119-X119-N(T119)-N(U119))</f>
        <v/>
      </c>
      <c r="Z119" s="25">
        <f>IF($E119="","",IF(N(K119)-X119&lt;=0.02*N(K119),0,N(K119)-X119))</f>
        <v/>
      </c>
      <c r="AA119" s="24">
        <f>IF($E119="","",IF(S119&lt;&gt;"",S119,IF(N(O119)&gt;0,IF(L119&lt;&gt;"",L119,99999),IFERROR(1/(1/_xlfn.MINIFS($AF$3:$IN$3,$AF$4:$IN$4,"SEW_ACT",$AF119:$IN119,"&gt;0")),99999))))</f>
        <v/>
      </c>
      <c r="AB119" s="26">
        <f>IF(OR($E119="",Z119=0,V119=""),"",1+COUNTIFS(Z$8:Z$707,"&gt;0",V$8:V$707,"&lt;"&amp;V119)+COUNTIFS(Z$8:Z$707,"&gt;0",V$8:V$707,V119,AA$8:AA$707,"&lt;"&amp;AA119)+COUNTIFS(Z$8:Z$707,"&gt;0",V$8:V$707,V119,AA$8:AA$707,AA119,E$8:E$707,"&lt;"&amp;$E119))</f>
        <v/>
      </c>
      <c r="AC119" s="24">
        <f>IF(OR($E119="",Z119=0),"",IFERROR(TODAY()+ROUNDUP(Z119/(SUMIFS($AF119:$IN119,$AF$4:$IN$4,"WASH_ACT")/COUNTIFS($AF$4:$IN$4,"WASH_ACT",$AF119:$IN119,"&gt;0")),0),"no output yet"))</f>
        <v/>
      </c>
      <c r="AD119" s="26">
        <f>IF($E119="","",IFERROR(ROUND(MAX(0,SUMIFS($AF119:$IN119,$AF$4:$IN$4,"SEW_PLAN",$AF$3:$IN$3,"&lt;="&amp;TODAY())-SUMIFS($AF119:$IN119,$AF$4:$IN$4,"SEW_ACT",$AF$3:$IN$3,"&lt;="&amp;TODAY())+N(Q119))/(SUMIFS($AF119:$IN119,$AF$4:$IN$4,"SEW_PLAN")/COUNTIFS($AF$4:$IN$4,"SEW_PLAN",$AF119:$IN119,"&gt;0")),1),0))</f>
        <v/>
      </c>
      <c r="AE119" s="26">
        <f>IF($E119="","",IF(AND(Z119&gt;0,OR(AND(M119&lt;&gt;"",TODAY()&gt;M119),AND(V119&lt;&gt;"",V119-TODAY()&lt;=7))),"Yes","No"))</f>
        <v/>
      </c>
      <c r="AH119">
        <f>IF(OR(AF$3="",AF$3&gt;TODAY()),"",IF(AND(AF119="",AG119=""),"",N(AG119)-N(AF119)))</f>
        <v/>
      </c>
      <c r="AK119">
        <f>IF(OR(AF$3="",AF$3&gt;TODAY()),"",IF(AND(AI119="",AJ119=""),"",N(AJ119)-N(AI119)))</f>
        <v/>
      </c>
      <c r="AO119">
        <f>IF(OR(AM$3="",AM$3&gt;TODAY()),"",IF(AND(AM119="",AN119=""),"",N(AN119)-N(AM119)))</f>
        <v/>
      </c>
      <c r="AR119">
        <f>IF(OR(AM$3="",AM$3&gt;TODAY()),"",IF(AND(AP119="",AQ119=""),"",N(AQ119)-N(AP119)))</f>
        <v/>
      </c>
      <c r="AV119">
        <f>IF(OR(AT$3="",AT$3&gt;TODAY()),"",IF(AND(AT119="",AU119=""),"",N(AU119)-N(AT119)))</f>
        <v/>
      </c>
      <c r="AY119">
        <f>IF(OR(AT$3="",AT$3&gt;TODAY()),"",IF(AND(AW119="",AX119=""),"",N(AX119)-N(AW119)))</f>
        <v/>
      </c>
      <c r="BC119">
        <f>IF(OR(BA$3="",BA$3&gt;TODAY()),"",IF(AND(BA119="",BB119=""),"",N(BB119)-N(BA119)))</f>
        <v/>
      </c>
      <c r="BF119">
        <f>IF(OR(BA$3="",BA$3&gt;TODAY()),"",IF(AND(BD119="",BE119=""),"",N(BE119)-N(BD119)))</f>
        <v/>
      </c>
      <c r="BJ119">
        <f>IF(OR(BH$3="",BH$3&gt;TODAY()),"",IF(AND(BH119="",BI119=""),"",N(BI119)-N(BH119)))</f>
        <v/>
      </c>
      <c r="BM119">
        <f>IF(OR(BH$3="",BH$3&gt;TODAY()),"",IF(AND(BK119="",BL119=""),"",N(BL119)-N(BK119)))</f>
        <v/>
      </c>
      <c r="BQ119">
        <f>IF(OR(BO$3="",BO$3&gt;TODAY()),"",IF(AND(BO119="",BP119=""),"",N(BP119)-N(BO119)))</f>
        <v/>
      </c>
      <c r="BT119">
        <f>IF(OR(BO$3="",BO$3&gt;TODAY()),"",IF(AND(BR119="",BS119=""),"",N(BS119)-N(BR119)))</f>
        <v/>
      </c>
      <c r="BX119">
        <f>IF(OR(BV$3="",BV$3&gt;TODAY()),"",IF(AND(BV119="",BW119=""),"",N(BW119)-N(BV119)))</f>
        <v/>
      </c>
      <c r="CA119">
        <f>IF(OR(BV$3="",BV$3&gt;TODAY()),"",IF(AND(BY119="",BZ119=""),"",N(BZ119)-N(BY119)))</f>
        <v/>
      </c>
      <c r="CE119">
        <f>IF(OR(CC$3="",CC$3&gt;TODAY()),"",IF(AND(CC119="",CD119=""),"",N(CD119)-N(CC119)))</f>
        <v/>
      </c>
      <c r="CH119">
        <f>IF(OR(CC$3="",CC$3&gt;TODAY()),"",IF(AND(CF119="",CG119=""),"",N(CG119)-N(CF119)))</f>
        <v/>
      </c>
      <c r="CL119">
        <f>IF(OR(CJ$3="",CJ$3&gt;TODAY()),"",IF(AND(CJ119="",CK119=""),"",N(CK119)-N(CJ119)))</f>
        <v/>
      </c>
      <c r="CO119">
        <f>IF(OR(CJ$3="",CJ$3&gt;TODAY()),"",IF(AND(CM119="",CN119=""),"",N(CN119)-N(CM119)))</f>
        <v/>
      </c>
      <c r="CS119">
        <f>IF(OR(CQ$3="",CQ$3&gt;TODAY()),"",IF(AND(CQ119="",CR119=""),"",N(CR119)-N(CQ119)))</f>
        <v/>
      </c>
      <c r="CV119">
        <f>IF(OR(CQ$3="",CQ$3&gt;TODAY()),"",IF(AND(CT119="",CU119=""),"",N(CU119)-N(CT119)))</f>
        <v/>
      </c>
      <c r="CZ119">
        <f>IF(OR(CX$3="",CX$3&gt;TODAY()),"",IF(AND(CX119="",CY119=""),"",N(CY119)-N(CX119)))</f>
        <v/>
      </c>
      <c r="DC119">
        <f>IF(OR(CX$3="",CX$3&gt;TODAY()),"",IF(AND(DA119="",DB119=""),"",N(DB119)-N(DA119)))</f>
        <v/>
      </c>
      <c r="DG119">
        <f>IF(OR(DE$3="",DE$3&gt;TODAY()),"",IF(AND(DE119="",DF119=""),"",N(DF119)-N(DE119)))</f>
        <v/>
      </c>
      <c r="DJ119">
        <f>IF(OR(DE$3="",DE$3&gt;TODAY()),"",IF(AND(DH119="",DI119=""),"",N(DI119)-N(DH119)))</f>
        <v/>
      </c>
      <c r="DN119">
        <f>IF(OR(DL$3="",DL$3&gt;TODAY()),"",IF(AND(DL119="",DM119=""),"",N(DM119)-N(DL119)))</f>
        <v/>
      </c>
      <c r="DQ119">
        <f>IF(OR(DL$3="",DL$3&gt;TODAY()),"",IF(AND(DO119="",DP119=""),"",N(DP119)-N(DO119)))</f>
        <v/>
      </c>
      <c r="DU119">
        <f>IF(OR(DS$3="",DS$3&gt;TODAY()),"",IF(AND(DS119="",DT119=""),"",N(DT119)-N(DS119)))</f>
        <v/>
      </c>
      <c r="DX119">
        <f>IF(OR(DS$3="",DS$3&gt;TODAY()),"",IF(AND(DV119="",DW119=""),"",N(DW119)-N(DV119)))</f>
        <v/>
      </c>
      <c r="EB119">
        <f>IF(OR(DZ$3="",DZ$3&gt;TODAY()),"",IF(AND(DZ119="",EA119=""),"",N(EA119)-N(DZ119)))</f>
        <v/>
      </c>
      <c r="EE119">
        <f>IF(OR(DZ$3="",DZ$3&gt;TODAY()),"",IF(AND(EC119="",ED119=""),"",N(ED119)-N(EC119)))</f>
        <v/>
      </c>
      <c r="EI119">
        <f>IF(OR(EG$3="",EG$3&gt;TODAY()),"",IF(AND(EG119="",EH119=""),"",N(EH119)-N(EG119)))</f>
        <v/>
      </c>
      <c r="EL119">
        <f>IF(OR(EG$3="",EG$3&gt;TODAY()),"",IF(AND(EJ119="",EK119=""),"",N(EK119)-N(EJ119)))</f>
        <v/>
      </c>
      <c r="EP119">
        <f>IF(OR(EN$3="",EN$3&gt;TODAY()),"",IF(AND(EN119="",EO119=""),"",N(EO119)-N(EN119)))</f>
        <v/>
      </c>
      <c r="ES119">
        <f>IF(OR(EN$3="",EN$3&gt;TODAY()),"",IF(AND(EQ119="",ER119=""),"",N(ER119)-N(EQ119)))</f>
        <v/>
      </c>
      <c r="EW119">
        <f>IF(OR(EU$3="",EU$3&gt;TODAY()),"",IF(AND(EU119="",EV119=""),"",N(EV119)-N(EU119)))</f>
        <v/>
      </c>
      <c r="EZ119">
        <f>IF(OR(EU$3="",EU$3&gt;TODAY()),"",IF(AND(EX119="",EY119=""),"",N(EY119)-N(EX119)))</f>
        <v/>
      </c>
      <c r="FD119">
        <f>IF(OR(FB$3="",FB$3&gt;TODAY()),"",IF(AND(FB119="",FC119=""),"",N(FC119)-N(FB119)))</f>
        <v/>
      </c>
      <c r="FG119">
        <f>IF(OR(FB$3="",FB$3&gt;TODAY()),"",IF(AND(FE119="",FF119=""),"",N(FF119)-N(FE119)))</f>
        <v/>
      </c>
      <c r="FK119">
        <f>IF(OR(FI$3="",FI$3&gt;TODAY()),"",IF(AND(FI119="",FJ119=""),"",N(FJ119)-N(FI119)))</f>
        <v/>
      </c>
      <c r="FN119">
        <f>IF(OR(FI$3="",FI$3&gt;TODAY()),"",IF(AND(FL119="",FM119=""),"",N(FM119)-N(FL119)))</f>
        <v/>
      </c>
      <c r="FR119">
        <f>IF(OR(FP$3="",FP$3&gt;TODAY()),"",IF(AND(FP119="",FQ119=""),"",N(FQ119)-N(FP119)))</f>
        <v/>
      </c>
      <c r="FU119">
        <f>IF(OR(FP$3="",FP$3&gt;TODAY()),"",IF(AND(FS119="",FT119=""),"",N(FT119)-N(FS119)))</f>
        <v/>
      </c>
      <c r="FY119">
        <f>IF(OR(FW$3="",FW$3&gt;TODAY()),"",IF(AND(FW119="",FX119=""),"",N(FX119)-N(FW119)))</f>
        <v/>
      </c>
      <c r="GB119">
        <f>IF(OR(FW$3="",FW$3&gt;TODAY()),"",IF(AND(FZ119="",GA119=""),"",N(GA119)-N(FZ119)))</f>
        <v/>
      </c>
      <c r="GF119">
        <f>IF(OR(GD$3="",GD$3&gt;TODAY()),"",IF(AND(GD119="",GE119=""),"",N(GE119)-N(GD119)))</f>
        <v/>
      </c>
      <c r="GI119">
        <f>IF(OR(GD$3="",GD$3&gt;TODAY()),"",IF(AND(GG119="",GH119=""),"",N(GH119)-N(GG119)))</f>
        <v/>
      </c>
      <c r="GM119">
        <f>IF(OR(GK$3="",GK$3&gt;TODAY()),"",IF(AND(GK119="",GL119=""),"",N(GL119)-N(GK119)))</f>
        <v/>
      </c>
      <c r="GP119">
        <f>IF(OR(GK$3="",GK$3&gt;TODAY()),"",IF(AND(GN119="",GO119=""),"",N(GO119)-N(GN119)))</f>
        <v/>
      </c>
      <c r="GT119">
        <f>IF(OR(GR$3="",GR$3&gt;TODAY()),"",IF(AND(GR119="",GS119=""),"",N(GS119)-N(GR119)))</f>
        <v/>
      </c>
      <c r="GW119">
        <f>IF(OR(GR$3="",GR$3&gt;TODAY()),"",IF(AND(GU119="",GV119=""),"",N(GV119)-N(GU119)))</f>
        <v/>
      </c>
      <c r="HA119">
        <f>IF(OR(GY$3="",GY$3&gt;TODAY()),"",IF(AND(GY119="",GZ119=""),"",N(GZ119)-N(GY119)))</f>
        <v/>
      </c>
      <c r="HD119">
        <f>IF(OR(GY$3="",GY$3&gt;TODAY()),"",IF(AND(HB119="",HC119=""),"",N(HC119)-N(HB119)))</f>
        <v/>
      </c>
      <c r="HH119">
        <f>IF(OR(HF$3="",HF$3&gt;TODAY()),"",IF(AND(HF119="",HG119=""),"",N(HG119)-N(HF119)))</f>
        <v/>
      </c>
      <c r="HK119">
        <f>IF(OR(HF$3="",HF$3&gt;TODAY()),"",IF(AND(HI119="",HJ119=""),"",N(HJ119)-N(HI119)))</f>
        <v/>
      </c>
      <c r="HO119">
        <f>IF(OR(HM$3="",HM$3&gt;TODAY()),"",IF(AND(HM119="",HN119=""),"",N(HN119)-N(HM119)))</f>
        <v/>
      </c>
      <c r="HR119">
        <f>IF(OR(HM$3="",HM$3&gt;TODAY()),"",IF(AND(HP119="",HQ119=""),"",N(HQ119)-N(HP119)))</f>
        <v/>
      </c>
      <c r="HV119">
        <f>IF(OR(HT$3="",HT$3&gt;TODAY()),"",IF(AND(HT119="",HU119=""),"",N(HU119)-N(HT119)))</f>
        <v/>
      </c>
      <c r="HY119">
        <f>IF(OR(HT$3="",HT$3&gt;TODAY()),"",IF(AND(HW119="",HX119=""),"",N(HX119)-N(HW119)))</f>
        <v/>
      </c>
      <c r="IC119">
        <f>IF(OR(IA$3="",IA$3&gt;TODAY()),"",IF(AND(IA119="",IB119=""),"",N(IB119)-N(IA119)))</f>
        <v/>
      </c>
      <c r="IF119">
        <f>IF(OR(IA$3="",IA$3&gt;TODAY()),"",IF(AND(ID119="",IE119=""),"",N(IE119)-N(ID119)))</f>
        <v/>
      </c>
      <c r="IJ119">
        <f>IF(OR(IH$3="",IH$3&gt;TODAY()),"",IF(AND(IH119="",II119=""),"",N(II119)-N(IH119)))</f>
        <v/>
      </c>
      <c r="IM119">
        <f>IF(OR(IH$3="",IH$3&gt;TODAY()),"",IF(AND(IK119="",IL119=""),"",N(IL119)-N(IK119)))</f>
        <v/>
      </c>
    </row>
    <row r="120">
      <c r="A120" s="21" t="n"/>
      <c r="B120" s="21" t="n"/>
      <c r="C120" s="21" t="n"/>
      <c r="D120" s="21" t="n"/>
      <c r="E120" s="21" t="n"/>
      <c r="F120" s="21" t="n"/>
      <c r="G120" s="21" t="n"/>
      <c r="H120" s="21" t="n"/>
      <c r="I120" s="22" t="n"/>
      <c r="J120" s="22" t="n"/>
      <c r="K120" s="23" t="n"/>
      <c r="L120" s="22" t="n"/>
      <c r="M120" s="22" t="n"/>
      <c r="N120" s="21" t="n"/>
      <c r="O120" s="23" t="n"/>
      <c r="P120" s="23" t="n"/>
      <c r="Q120" s="23" t="n"/>
      <c r="R120" s="23" t="n"/>
      <c r="S120" s="22" t="n"/>
      <c r="T120" s="23" t="n"/>
      <c r="U120" s="23" t="n"/>
      <c r="V120" s="24">
        <f>IF(J120&lt;&gt;"",J120,IF(I120&lt;&gt;"",I120,""))</f>
        <v/>
      </c>
      <c r="W120" s="25">
        <f>IF($E120="","",N(O120)+SUMIFS($AF120:$IN120,$AF$4:$IN$4,"SEW_ACT"))</f>
        <v/>
      </c>
      <c r="X120" s="25">
        <f>IF($E120="","",N(P120)+SUMIFS($AF120:$IN120,$AF$4:$IN$4,"WASH_ACT"))</f>
        <v/>
      </c>
      <c r="Y120" s="25">
        <f>IF($E120="","",W120-X120-N(T120)-N(U120))</f>
        <v/>
      </c>
      <c r="Z120" s="25">
        <f>IF($E120="","",IF(N(K120)-X120&lt;=0.02*N(K120),0,N(K120)-X120))</f>
        <v/>
      </c>
      <c r="AA120" s="24">
        <f>IF($E120="","",IF(S120&lt;&gt;"",S120,IF(N(O120)&gt;0,IF(L120&lt;&gt;"",L120,99999),IFERROR(1/(1/_xlfn.MINIFS($AF$3:$IN$3,$AF$4:$IN$4,"SEW_ACT",$AF120:$IN120,"&gt;0")),99999))))</f>
        <v/>
      </c>
      <c r="AB120" s="26">
        <f>IF(OR($E120="",Z120=0,V120=""),"",1+COUNTIFS(Z$8:Z$707,"&gt;0",V$8:V$707,"&lt;"&amp;V120)+COUNTIFS(Z$8:Z$707,"&gt;0",V$8:V$707,V120,AA$8:AA$707,"&lt;"&amp;AA120)+COUNTIFS(Z$8:Z$707,"&gt;0",V$8:V$707,V120,AA$8:AA$707,AA120,E$8:E$707,"&lt;"&amp;$E120))</f>
        <v/>
      </c>
      <c r="AC120" s="24">
        <f>IF(OR($E120="",Z120=0),"",IFERROR(TODAY()+ROUNDUP(Z120/(SUMIFS($AF120:$IN120,$AF$4:$IN$4,"WASH_ACT")/COUNTIFS($AF$4:$IN$4,"WASH_ACT",$AF120:$IN120,"&gt;0")),0),"no output yet"))</f>
        <v/>
      </c>
      <c r="AD120" s="26">
        <f>IF($E120="","",IFERROR(ROUND(MAX(0,SUMIFS($AF120:$IN120,$AF$4:$IN$4,"SEW_PLAN",$AF$3:$IN$3,"&lt;="&amp;TODAY())-SUMIFS($AF120:$IN120,$AF$4:$IN$4,"SEW_ACT",$AF$3:$IN$3,"&lt;="&amp;TODAY())+N(Q120))/(SUMIFS($AF120:$IN120,$AF$4:$IN$4,"SEW_PLAN")/COUNTIFS($AF$4:$IN$4,"SEW_PLAN",$AF120:$IN120,"&gt;0")),1),0))</f>
        <v/>
      </c>
      <c r="AE120" s="26">
        <f>IF($E120="","",IF(AND(Z120&gt;0,OR(AND(M120&lt;&gt;"",TODAY()&gt;M120),AND(V120&lt;&gt;"",V120-TODAY()&lt;=7))),"Yes","No"))</f>
        <v/>
      </c>
      <c r="AH120">
        <f>IF(OR(AF$3="",AF$3&gt;TODAY()),"",IF(AND(AF120="",AG120=""),"",N(AG120)-N(AF120)))</f>
        <v/>
      </c>
      <c r="AK120">
        <f>IF(OR(AF$3="",AF$3&gt;TODAY()),"",IF(AND(AI120="",AJ120=""),"",N(AJ120)-N(AI120)))</f>
        <v/>
      </c>
      <c r="AO120">
        <f>IF(OR(AM$3="",AM$3&gt;TODAY()),"",IF(AND(AM120="",AN120=""),"",N(AN120)-N(AM120)))</f>
        <v/>
      </c>
      <c r="AR120">
        <f>IF(OR(AM$3="",AM$3&gt;TODAY()),"",IF(AND(AP120="",AQ120=""),"",N(AQ120)-N(AP120)))</f>
        <v/>
      </c>
      <c r="AV120">
        <f>IF(OR(AT$3="",AT$3&gt;TODAY()),"",IF(AND(AT120="",AU120=""),"",N(AU120)-N(AT120)))</f>
        <v/>
      </c>
      <c r="AY120">
        <f>IF(OR(AT$3="",AT$3&gt;TODAY()),"",IF(AND(AW120="",AX120=""),"",N(AX120)-N(AW120)))</f>
        <v/>
      </c>
      <c r="BC120">
        <f>IF(OR(BA$3="",BA$3&gt;TODAY()),"",IF(AND(BA120="",BB120=""),"",N(BB120)-N(BA120)))</f>
        <v/>
      </c>
      <c r="BF120">
        <f>IF(OR(BA$3="",BA$3&gt;TODAY()),"",IF(AND(BD120="",BE120=""),"",N(BE120)-N(BD120)))</f>
        <v/>
      </c>
      <c r="BJ120">
        <f>IF(OR(BH$3="",BH$3&gt;TODAY()),"",IF(AND(BH120="",BI120=""),"",N(BI120)-N(BH120)))</f>
        <v/>
      </c>
      <c r="BM120">
        <f>IF(OR(BH$3="",BH$3&gt;TODAY()),"",IF(AND(BK120="",BL120=""),"",N(BL120)-N(BK120)))</f>
        <v/>
      </c>
      <c r="BQ120">
        <f>IF(OR(BO$3="",BO$3&gt;TODAY()),"",IF(AND(BO120="",BP120=""),"",N(BP120)-N(BO120)))</f>
        <v/>
      </c>
      <c r="BT120">
        <f>IF(OR(BO$3="",BO$3&gt;TODAY()),"",IF(AND(BR120="",BS120=""),"",N(BS120)-N(BR120)))</f>
        <v/>
      </c>
      <c r="BX120">
        <f>IF(OR(BV$3="",BV$3&gt;TODAY()),"",IF(AND(BV120="",BW120=""),"",N(BW120)-N(BV120)))</f>
        <v/>
      </c>
      <c r="CA120">
        <f>IF(OR(BV$3="",BV$3&gt;TODAY()),"",IF(AND(BY120="",BZ120=""),"",N(BZ120)-N(BY120)))</f>
        <v/>
      </c>
      <c r="CE120">
        <f>IF(OR(CC$3="",CC$3&gt;TODAY()),"",IF(AND(CC120="",CD120=""),"",N(CD120)-N(CC120)))</f>
        <v/>
      </c>
      <c r="CH120">
        <f>IF(OR(CC$3="",CC$3&gt;TODAY()),"",IF(AND(CF120="",CG120=""),"",N(CG120)-N(CF120)))</f>
        <v/>
      </c>
      <c r="CL120">
        <f>IF(OR(CJ$3="",CJ$3&gt;TODAY()),"",IF(AND(CJ120="",CK120=""),"",N(CK120)-N(CJ120)))</f>
        <v/>
      </c>
      <c r="CO120">
        <f>IF(OR(CJ$3="",CJ$3&gt;TODAY()),"",IF(AND(CM120="",CN120=""),"",N(CN120)-N(CM120)))</f>
        <v/>
      </c>
      <c r="CS120">
        <f>IF(OR(CQ$3="",CQ$3&gt;TODAY()),"",IF(AND(CQ120="",CR120=""),"",N(CR120)-N(CQ120)))</f>
        <v/>
      </c>
      <c r="CV120">
        <f>IF(OR(CQ$3="",CQ$3&gt;TODAY()),"",IF(AND(CT120="",CU120=""),"",N(CU120)-N(CT120)))</f>
        <v/>
      </c>
      <c r="CZ120">
        <f>IF(OR(CX$3="",CX$3&gt;TODAY()),"",IF(AND(CX120="",CY120=""),"",N(CY120)-N(CX120)))</f>
        <v/>
      </c>
      <c r="DC120">
        <f>IF(OR(CX$3="",CX$3&gt;TODAY()),"",IF(AND(DA120="",DB120=""),"",N(DB120)-N(DA120)))</f>
        <v/>
      </c>
      <c r="DG120">
        <f>IF(OR(DE$3="",DE$3&gt;TODAY()),"",IF(AND(DE120="",DF120=""),"",N(DF120)-N(DE120)))</f>
        <v/>
      </c>
      <c r="DJ120">
        <f>IF(OR(DE$3="",DE$3&gt;TODAY()),"",IF(AND(DH120="",DI120=""),"",N(DI120)-N(DH120)))</f>
        <v/>
      </c>
      <c r="DN120">
        <f>IF(OR(DL$3="",DL$3&gt;TODAY()),"",IF(AND(DL120="",DM120=""),"",N(DM120)-N(DL120)))</f>
        <v/>
      </c>
      <c r="DQ120">
        <f>IF(OR(DL$3="",DL$3&gt;TODAY()),"",IF(AND(DO120="",DP120=""),"",N(DP120)-N(DO120)))</f>
        <v/>
      </c>
      <c r="DU120">
        <f>IF(OR(DS$3="",DS$3&gt;TODAY()),"",IF(AND(DS120="",DT120=""),"",N(DT120)-N(DS120)))</f>
        <v/>
      </c>
      <c r="DX120">
        <f>IF(OR(DS$3="",DS$3&gt;TODAY()),"",IF(AND(DV120="",DW120=""),"",N(DW120)-N(DV120)))</f>
        <v/>
      </c>
      <c r="EB120">
        <f>IF(OR(DZ$3="",DZ$3&gt;TODAY()),"",IF(AND(DZ120="",EA120=""),"",N(EA120)-N(DZ120)))</f>
        <v/>
      </c>
      <c r="EE120">
        <f>IF(OR(DZ$3="",DZ$3&gt;TODAY()),"",IF(AND(EC120="",ED120=""),"",N(ED120)-N(EC120)))</f>
        <v/>
      </c>
      <c r="EI120">
        <f>IF(OR(EG$3="",EG$3&gt;TODAY()),"",IF(AND(EG120="",EH120=""),"",N(EH120)-N(EG120)))</f>
        <v/>
      </c>
      <c r="EL120">
        <f>IF(OR(EG$3="",EG$3&gt;TODAY()),"",IF(AND(EJ120="",EK120=""),"",N(EK120)-N(EJ120)))</f>
        <v/>
      </c>
      <c r="EP120">
        <f>IF(OR(EN$3="",EN$3&gt;TODAY()),"",IF(AND(EN120="",EO120=""),"",N(EO120)-N(EN120)))</f>
        <v/>
      </c>
      <c r="ES120">
        <f>IF(OR(EN$3="",EN$3&gt;TODAY()),"",IF(AND(EQ120="",ER120=""),"",N(ER120)-N(EQ120)))</f>
        <v/>
      </c>
      <c r="EW120">
        <f>IF(OR(EU$3="",EU$3&gt;TODAY()),"",IF(AND(EU120="",EV120=""),"",N(EV120)-N(EU120)))</f>
        <v/>
      </c>
      <c r="EZ120">
        <f>IF(OR(EU$3="",EU$3&gt;TODAY()),"",IF(AND(EX120="",EY120=""),"",N(EY120)-N(EX120)))</f>
        <v/>
      </c>
      <c r="FD120">
        <f>IF(OR(FB$3="",FB$3&gt;TODAY()),"",IF(AND(FB120="",FC120=""),"",N(FC120)-N(FB120)))</f>
        <v/>
      </c>
      <c r="FG120">
        <f>IF(OR(FB$3="",FB$3&gt;TODAY()),"",IF(AND(FE120="",FF120=""),"",N(FF120)-N(FE120)))</f>
        <v/>
      </c>
      <c r="FK120">
        <f>IF(OR(FI$3="",FI$3&gt;TODAY()),"",IF(AND(FI120="",FJ120=""),"",N(FJ120)-N(FI120)))</f>
        <v/>
      </c>
      <c r="FN120">
        <f>IF(OR(FI$3="",FI$3&gt;TODAY()),"",IF(AND(FL120="",FM120=""),"",N(FM120)-N(FL120)))</f>
        <v/>
      </c>
      <c r="FR120">
        <f>IF(OR(FP$3="",FP$3&gt;TODAY()),"",IF(AND(FP120="",FQ120=""),"",N(FQ120)-N(FP120)))</f>
        <v/>
      </c>
      <c r="FU120">
        <f>IF(OR(FP$3="",FP$3&gt;TODAY()),"",IF(AND(FS120="",FT120=""),"",N(FT120)-N(FS120)))</f>
        <v/>
      </c>
      <c r="FY120">
        <f>IF(OR(FW$3="",FW$3&gt;TODAY()),"",IF(AND(FW120="",FX120=""),"",N(FX120)-N(FW120)))</f>
        <v/>
      </c>
      <c r="GB120">
        <f>IF(OR(FW$3="",FW$3&gt;TODAY()),"",IF(AND(FZ120="",GA120=""),"",N(GA120)-N(FZ120)))</f>
        <v/>
      </c>
      <c r="GF120">
        <f>IF(OR(GD$3="",GD$3&gt;TODAY()),"",IF(AND(GD120="",GE120=""),"",N(GE120)-N(GD120)))</f>
        <v/>
      </c>
      <c r="GI120">
        <f>IF(OR(GD$3="",GD$3&gt;TODAY()),"",IF(AND(GG120="",GH120=""),"",N(GH120)-N(GG120)))</f>
        <v/>
      </c>
      <c r="GM120">
        <f>IF(OR(GK$3="",GK$3&gt;TODAY()),"",IF(AND(GK120="",GL120=""),"",N(GL120)-N(GK120)))</f>
        <v/>
      </c>
      <c r="GP120">
        <f>IF(OR(GK$3="",GK$3&gt;TODAY()),"",IF(AND(GN120="",GO120=""),"",N(GO120)-N(GN120)))</f>
        <v/>
      </c>
      <c r="GT120">
        <f>IF(OR(GR$3="",GR$3&gt;TODAY()),"",IF(AND(GR120="",GS120=""),"",N(GS120)-N(GR120)))</f>
        <v/>
      </c>
      <c r="GW120">
        <f>IF(OR(GR$3="",GR$3&gt;TODAY()),"",IF(AND(GU120="",GV120=""),"",N(GV120)-N(GU120)))</f>
        <v/>
      </c>
      <c r="HA120">
        <f>IF(OR(GY$3="",GY$3&gt;TODAY()),"",IF(AND(GY120="",GZ120=""),"",N(GZ120)-N(GY120)))</f>
        <v/>
      </c>
      <c r="HD120">
        <f>IF(OR(GY$3="",GY$3&gt;TODAY()),"",IF(AND(HB120="",HC120=""),"",N(HC120)-N(HB120)))</f>
        <v/>
      </c>
      <c r="HH120">
        <f>IF(OR(HF$3="",HF$3&gt;TODAY()),"",IF(AND(HF120="",HG120=""),"",N(HG120)-N(HF120)))</f>
        <v/>
      </c>
      <c r="HK120">
        <f>IF(OR(HF$3="",HF$3&gt;TODAY()),"",IF(AND(HI120="",HJ120=""),"",N(HJ120)-N(HI120)))</f>
        <v/>
      </c>
      <c r="HO120">
        <f>IF(OR(HM$3="",HM$3&gt;TODAY()),"",IF(AND(HM120="",HN120=""),"",N(HN120)-N(HM120)))</f>
        <v/>
      </c>
      <c r="HR120">
        <f>IF(OR(HM$3="",HM$3&gt;TODAY()),"",IF(AND(HP120="",HQ120=""),"",N(HQ120)-N(HP120)))</f>
        <v/>
      </c>
      <c r="HV120">
        <f>IF(OR(HT$3="",HT$3&gt;TODAY()),"",IF(AND(HT120="",HU120=""),"",N(HU120)-N(HT120)))</f>
        <v/>
      </c>
      <c r="HY120">
        <f>IF(OR(HT$3="",HT$3&gt;TODAY()),"",IF(AND(HW120="",HX120=""),"",N(HX120)-N(HW120)))</f>
        <v/>
      </c>
      <c r="IC120">
        <f>IF(OR(IA$3="",IA$3&gt;TODAY()),"",IF(AND(IA120="",IB120=""),"",N(IB120)-N(IA120)))</f>
        <v/>
      </c>
      <c r="IF120">
        <f>IF(OR(IA$3="",IA$3&gt;TODAY()),"",IF(AND(ID120="",IE120=""),"",N(IE120)-N(ID120)))</f>
        <v/>
      </c>
      <c r="IJ120">
        <f>IF(OR(IH$3="",IH$3&gt;TODAY()),"",IF(AND(IH120="",II120=""),"",N(II120)-N(IH120)))</f>
        <v/>
      </c>
      <c r="IM120">
        <f>IF(OR(IH$3="",IH$3&gt;TODAY()),"",IF(AND(IK120="",IL120=""),"",N(IL120)-N(IK120)))</f>
        <v/>
      </c>
    </row>
    <row r="121">
      <c r="A121" s="21" t="n"/>
      <c r="B121" s="21" t="n"/>
      <c r="C121" s="21" t="n"/>
      <c r="D121" s="21" t="n"/>
      <c r="E121" s="21" t="n"/>
      <c r="F121" s="21" t="n"/>
      <c r="G121" s="21" t="n"/>
      <c r="H121" s="21" t="n"/>
      <c r="I121" s="22" t="n"/>
      <c r="J121" s="22" t="n"/>
      <c r="K121" s="23" t="n"/>
      <c r="L121" s="22" t="n"/>
      <c r="M121" s="22" t="n"/>
      <c r="N121" s="21" t="n"/>
      <c r="O121" s="23" t="n"/>
      <c r="P121" s="23" t="n"/>
      <c r="Q121" s="23" t="n"/>
      <c r="R121" s="23" t="n"/>
      <c r="S121" s="22" t="n"/>
      <c r="T121" s="23" t="n"/>
      <c r="U121" s="23" t="n"/>
      <c r="V121" s="24">
        <f>IF(J121&lt;&gt;"",J121,IF(I121&lt;&gt;"",I121,""))</f>
        <v/>
      </c>
      <c r="W121" s="25">
        <f>IF($E121="","",N(O121)+SUMIFS($AF121:$IN121,$AF$4:$IN$4,"SEW_ACT"))</f>
        <v/>
      </c>
      <c r="X121" s="25">
        <f>IF($E121="","",N(P121)+SUMIFS($AF121:$IN121,$AF$4:$IN$4,"WASH_ACT"))</f>
        <v/>
      </c>
      <c r="Y121" s="25">
        <f>IF($E121="","",W121-X121-N(T121)-N(U121))</f>
        <v/>
      </c>
      <c r="Z121" s="25">
        <f>IF($E121="","",IF(N(K121)-X121&lt;=0.02*N(K121),0,N(K121)-X121))</f>
        <v/>
      </c>
      <c r="AA121" s="24">
        <f>IF($E121="","",IF(S121&lt;&gt;"",S121,IF(N(O121)&gt;0,IF(L121&lt;&gt;"",L121,99999),IFERROR(1/(1/_xlfn.MINIFS($AF$3:$IN$3,$AF$4:$IN$4,"SEW_ACT",$AF121:$IN121,"&gt;0")),99999))))</f>
        <v/>
      </c>
      <c r="AB121" s="26">
        <f>IF(OR($E121="",Z121=0,V121=""),"",1+COUNTIFS(Z$8:Z$707,"&gt;0",V$8:V$707,"&lt;"&amp;V121)+COUNTIFS(Z$8:Z$707,"&gt;0",V$8:V$707,V121,AA$8:AA$707,"&lt;"&amp;AA121)+COUNTIFS(Z$8:Z$707,"&gt;0",V$8:V$707,V121,AA$8:AA$707,AA121,E$8:E$707,"&lt;"&amp;$E121))</f>
        <v/>
      </c>
      <c r="AC121" s="24">
        <f>IF(OR($E121="",Z121=0),"",IFERROR(TODAY()+ROUNDUP(Z121/(SUMIFS($AF121:$IN121,$AF$4:$IN$4,"WASH_ACT")/COUNTIFS($AF$4:$IN$4,"WASH_ACT",$AF121:$IN121,"&gt;0")),0),"no output yet"))</f>
        <v/>
      </c>
      <c r="AD121" s="26">
        <f>IF($E121="","",IFERROR(ROUND(MAX(0,SUMIFS($AF121:$IN121,$AF$4:$IN$4,"SEW_PLAN",$AF$3:$IN$3,"&lt;="&amp;TODAY())-SUMIFS($AF121:$IN121,$AF$4:$IN$4,"SEW_ACT",$AF$3:$IN$3,"&lt;="&amp;TODAY())+N(Q121))/(SUMIFS($AF121:$IN121,$AF$4:$IN$4,"SEW_PLAN")/COUNTIFS($AF$4:$IN$4,"SEW_PLAN",$AF121:$IN121,"&gt;0")),1),0))</f>
        <v/>
      </c>
      <c r="AE121" s="26">
        <f>IF($E121="","",IF(AND(Z121&gt;0,OR(AND(M121&lt;&gt;"",TODAY()&gt;M121),AND(V121&lt;&gt;"",V121-TODAY()&lt;=7))),"Yes","No"))</f>
        <v/>
      </c>
      <c r="AH121">
        <f>IF(OR(AF$3="",AF$3&gt;TODAY()),"",IF(AND(AF121="",AG121=""),"",N(AG121)-N(AF121)))</f>
        <v/>
      </c>
      <c r="AK121">
        <f>IF(OR(AF$3="",AF$3&gt;TODAY()),"",IF(AND(AI121="",AJ121=""),"",N(AJ121)-N(AI121)))</f>
        <v/>
      </c>
      <c r="AO121">
        <f>IF(OR(AM$3="",AM$3&gt;TODAY()),"",IF(AND(AM121="",AN121=""),"",N(AN121)-N(AM121)))</f>
        <v/>
      </c>
      <c r="AR121">
        <f>IF(OR(AM$3="",AM$3&gt;TODAY()),"",IF(AND(AP121="",AQ121=""),"",N(AQ121)-N(AP121)))</f>
        <v/>
      </c>
      <c r="AV121">
        <f>IF(OR(AT$3="",AT$3&gt;TODAY()),"",IF(AND(AT121="",AU121=""),"",N(AU121)-N(AT121)))</f>
        <v/>
      </c>
      <c r="AY121">
        <f>IF(OR(AT$3="",AT$3&gt;TODAY()),"",IF(AND(AW121="",AX121=""),"",N(AX121)-N(AW121)))</f>
        <v/>
      </c>
      <c r="BC121">
        <f>IF(OR(BA$3="",BA$3&gt;TODAY()),"",IF(AND(BA121="",BB121=""),"",N(BB121)-N(BA121)))</f>
        <v/>
      </c>
      <c r="BF121">
        <f>IF(OR(BA$3="",BA$3&gt;TODAY()),"",IF(AND(BD121="",BE121=""),"",N(BE121)-N(BD121)))</f>
        <v/>
      </c>
      <c r="BJ121">
        <f>IF(OR(BH$3="",BH$3&gt;TODAY()),"",IF(AND(BH121="",BI121=""),"",N(BI121)-N(BH121)))</f>
        <v/>
      </c>
      <c r="BM121">
        <f>IF(OR(BH$3="",BH$3&gt;TODAY()),"",IF(AND(BK121="",BL121=""),"",N(BL121)-N(BK121)))</f>
        <v/>
      </c>
      <c r="BQ121">
        <f>IF(OR(BO$3="",BO$3&gt;TODAY()),"",IF(AND(BO121="",BP121=""),"",N(BP121)-N(BO121)))</f>
        <v/>
      </c>
      <c r="BT121">
        <f>IF(OR(BO$3="",BO$3&gt;TODAY()),"",IF(AND(BR121="",BS121=""),"",N(BS121)-N(BR121)))</f>
        <v/>
      </c>
      <c r="BX121">
        <f>IF(OR(BV$3="",BV$3&gt;TODAY()),"",IF(AND(BV121="",BW121=""),"",N(BW121)-N(BV121)))</f>
        <v/>
      </c>
      <c r="CA121">
        <f>IF(OR(BV$3="",BV$3&gt;TODAY()),"",IF(AND(BY121="",BZ121=""),"",N(BZ121)-N(BY121)))</f>
        <v/>
      </c>
      <c r="CE121">
        <f>IF(OR(CC$3="",CC$3&gt;TODAY()),"",IF(AND(CC121="",CD121=""),"",N(CD121)-N(CC121)))</f>
        <v/>
      </c>
      <c r="CH121">
        <f>IF(OR(CC$3="",CC$3&gt;TODAY()),"",IF(AND(CF121="",CG121=""),"",N(CG121)-N(CF121)))</f>
        <v/>
      </c>
      <c r="CL121">
        <f>IF(OR(CJ$3="",CJ$3&gt;TODAY()),"",IF(AND(CJ121="",CK121=""),"",N(CK121)-N(CJ121)))</f>
        <v/>
      </c>
      <c r="CO121">
        <f>IF(OR(CJ$3="",CJ$3&gt;TODAY()),"",IF(AND(CM121="",CN121=""),"",N(CN121)-N(CM121)))</f>
        <v/>
      </c>
      <c r="CS121">
        <f>IF(OR(CQ$3="",CQ$3&gt;TODAY()),"",IF(AND(CQ121="",CR121=""),"",N(CR121)-N(CQ121)))</f>
        <v/>
      </c>
      <c r="CV121">
        <f>IF(OR(CQ$3="",CQ$3&gt;TODAY()),"",IF(AND(CT121="",CU121=""),"",N(CU121)-N(CT121)))</f>
        <v/>
      </c>
      <c r="CZ121">
        <f>IF(OR(CX$3="",CX$3&gt;TODAY()),"",IF(AND(CX121="",CY121=""),"",N(CY121)-N(CX121)))</f>
        <v/>
      </c>
      <c r="DC121">
        <f>IF(OR(CX$3="",CX$3&gt;TODAY()),"",IF(AND(DA121="",DB121=""),"",N(DB121)-N(DA121)))</f>
        <v/>
      </c>
      <c r="DG121">
        <f>IF(OR(DE$3="",DE$3&gt;TODAY()),"",IF(AND(DE121="",DF121=""),"",N(DF121)-N(DE121)))</f>
        <v/>
      </c>
      <c r="DJ121">
        <f>IF(OR(DE$3="",DE$3&gt;TODAY()),"",IF(AND(DH121="",DI121=""),"",N(DI121)-N(DH121)))</f>
        <v/>
      </c>
      <c r="DN121">
        <f>IF(OR(DL$3="",DL$3&gt;TODAY()),"",IF(AND(DL121="",DM121=""),"",N(DM121)-N(DL121)))</f>
        <v/>
      </c>
      <c r="DQ121">
        <f>IF(OR(DL$3="",DL$3&gt;TODAY()),"",IF(AND(DO121="",DP121=""),"",N(DP121)-N(DO121)))</f>
        <v/>
      </c>
      <c r="DU121">
        <f>IF(OR(DS$3="",DS$3&gt;TODAY()),"",IF(AND(DS121="",DT121=""),"",N(DT121)-N(DS121)))</f>
        <v/>
      </c>
      <c r="DX121">
        <f>IF(OR(DS$3="",DS$3&gt;TODAY()),"",IF(AND(DV121="",DW121=""),"",N(DW121)-N(DV121)))</f>
        <v/>
      </c>
      <c r="EB121">
        <f>IF(OR(DZ$3="",DZ$3&gt;TODAY()),"",IF(AND(DZ121="",EA121=""),"",N(EA121)-N(DZ121)))</f>
        <v/>
      </c>
      <c r="EE121">
        <f>IF(OR(DZ$3="",DZ$3&gt;TODAY()),"",IF(AND(EC121="",ED121=""),"",N(ED121)-N(EC121)))</f>
        <v/>
      </c>
      <c r="EI121">
        <f>IF(OR(EG$3="",EG$3&gt;TODAY()),"",IF(AND(EG121="",EH121=""),"",N(EH121)-N(EG121)))</f>
        <v/>
      </c>
      <c r="EL121">
        <f>IF(OR(EG$3="",EG$3&gt;TODAY()),"",IF(AND(EJ121="",EK121=""),"",N(EK121)-N(EJ121)))</f>
        <v/>
      </c>
      <c r="EP121">
        <f>IF(OR(EN$3="",EN$3&gt;TODAY()),"",IF(AND(EN121="",EO121=""),"",N(EO121)-N(EN121)))</f>
        <v/>
      </c>
      <c r="ES121">
        <f>IF(OR(EN$3="",EN$3&gt;TODAY()),"",IF(AND(EQ121="",ER121=""),"",N(ER121)-N(EQ121)))</f>
        <v/>
      </c>
      <c r="EW121">
        <f>IF(OR(EU$3="",EU$3&gt;TODAY()),"",IF(AND(EU121="",EV121=""),"",N(EV121)-N(EU121)))</f>
        <v/>
      </c>
      <c r="EZ121">
        <f>IF(OR(EU$3="",EU$3&gt;TODAY()),"",IF(AND(EX121="",EY121=""),"",N(EY121)-N(EX121)))</f>
        <v/>
      </c>
      <c r="FD121">
        <f>IF(OR(FB$3="",FB$3&gt;TODAY()),"",IF(AND(FB121="",FC121=""),"",N(FC121)-N(FB121)))</f>
        <v/>
      </c>
      <c r="FG121">
        <f>IF(OR(FB$3="",FB$3&gt;TODAY()),"",IF(AND(FE121="",FF121=""),"",N(FF121)-N(FE121)))</f>
        <v/>
      </c>
      <c r="FK121">
        <f>IF(OR(FI$3="",FI$3&gt;TODAY()),"",IF(AND(FI121="",FJ121=""),"",N(FJ121)-N(FI121)))</f>
        <v/>
      </c>
      <c r="FN121">
        <f>IF(OR(FI$3="",FI$3&gt;TODAY()),"",IF(AND(FL121="",FM121=""),"",N(FM121)-N(FL121)))</f>
        <v/>
      </c>
      <c r="FR121">
        <f>IF(OR(FP$3="",FP$3&gt;TODAY()),"",IF(AND(FP121="",FQ121=""),"",N(FQ121)-N(FP121)))</f>
        <v/>
      </c>
      <c r="FU121">
        <f>IF(OR(FP$3="",FP$3&gt;TODAY()),"",IF(AND(FS121="",FT121=""),"",N(FT121)-N(FS121)))</f>
        <v/>
      </c>
      <c r="FY121">
        <f>IF(OR(FW$3="",FW$3&gt;TODAY()),"",IF(AND(FW121="",FX121=""),"",N(FX121)-N(FW121)))</f>
        <v/>
      </c>
      <c r="GB121">
        <f>IF(OR(FW$3="",FW$3&gt;TODAY()),"",IF(AND(FZ121="",GA121=""),"",N(GA121)-N(FZ121)))</f>
        <v/>
      </c>
      <c r="GF121">
        <f>IF(OR(GD$3="",GD$3&gt;TODAY()),"",IF(AND(GD121="",GE121=""),"",N(GE121)-N(GD121)))</f>
        <v/>
      </c>
      <c r="GI121">
        <f>IF(OR(GD$3="",GD$3&gt;TODAY()),"",IF(AND(GG121="",GH121=""),"",N(GH121)-N(GG121)))</f>
        <v/>
      </c>
      <c r="GM121">
        <f>IF(OR(GK$3="",GK$3&gt;TODAY()),"",IF(AND(GK121="",GL121=""),"",N(GL121)-N(GK121)))</f>
        <v/>
      </c>
      <c r="GP121">
        <f>IF(OR(GK$3="",GK$3&gt;TODAY()),"",IF(AND(GN121="",GO121=""),"",N(GO121)-N(GN121)))</f>
        <v/>
      </c>
      <c r="GT121">
        <f>IF(OR(GR$3="",GR$3&gt;TODAY()),"",IF(AND(GR121="",GS121=""),"",N(GS121)-N(GR121)))</f>
        <v/>
      </c>
      <c r="GW121">
        <f>IF(OR(GR$3="",GR$3&gt;TODAY()),"",IF(AND(GU121="",GV121=""),"",N(GV121)-N(GU121)))</f>
        <v/>
      </c>
      <c r="HA121">
        <f>IF(OR(GY$3="",GY$3&gt;TODAY()),"",IF(AND(GY121="",GZ121=""),"",N(GZ121)-N(GY121)))</f>
        <v/>
      </c>
      <c r="HD121">
        <f>IF(OR(GY$3="",GY$3&gt;TODAY()),"",IF(AND(HB121="",HC121=""),"",N(HC121)-N(HB121)))</f>
        <v/>
      </c>
      <c r="HH121">
        <f>IF(OR(HF$3="",HF$3&gt;TODAY()),"",IF(AND(HF121="",HG121=""),"",N(HG121)-N(HF121)))</f>
        <v/>
      </c>
      <c r="HK121">
        <f>IF(OR(HF$3="",HF$3&gt;TODAY()),"",IF(AND(HI121="",HJ121=""),"",N(HJ121)-N(HI121)))</f>
        <v/>
      </c>
      <c r="HO121">
        <f>IF(OR(HM$3="",HM$3&gt;TODAY()),"",IF(AND(HM121="",HN121=""),"",N(HN121)-N(HM121)))</f>
        <v/>
      </c>
      <c r="HR121">
        <f>IF(OR(HM$3="",HM$3&gt;TODAY()),"",IF(AND(HP121="",HQ121=""),"",N(HQ121)-N(HP121)))</f>
        <v/>
      </c>
      <c r="HV121">
        <f>IF(OR(HT$3="",HT$3&gt;TODAY()),"",IF(AND(HT121="",HU121=""),"",N(HU121)-N(HT121)))</f>
        <v/>
      </c>
      <c r="HY121">
        <f>IF(OR(HT$3="",HT$3&gt;TODAY()),"",IF(AND(HW121="",HX121=""),"",N(HX121)-N(HW121)))</f>
        <v/>
      </c>
      <c r="IC121">
        <f>IF(OR(IA$3="",IA$3&gt;TODAY()),"",IF(AND(IA121="",IB121=""),"",N(IB121)-N(IA121)))</f>
        <v/>
      </c>
      <c r="IF121">
        <f>IF(OR(IA$3="",IA$3&gt;TODAY()),"",IF(AND(ID121="",IE121=""),"",N(IE121)-N(ID121)))</f>
        <v/>
      </c>
      <c r="IJ121">
        <f>IF(OR(IH$3="",IH$3&gt;TODAY()),"",IF(AND(IH121="",II121=""),"",N(II121)-N(IH121)))</f>
        <v/>
      </c>
      <c r="IM121">
        <f>IF(OR(IH$3="",IH$3&gt;TODAY()),"",IF(AND(IK121="",IL121=""),"",N(IL121)-N(IK121)))</f>
        <v/>
      </c>
    </row>
    <row r="122">
      <c r="A122" s="21" t="n"/>
      <c r="B122" s="21" t="n"/>
      <c r="C122" s="21" t="n"/>
      <c r="D122" s="21" t="n"/>
      <c r="E122" s="21" t="n"/>
      <c r="F122" s="21" t="n"/>
      <c r="G122" s="21" t="n"/>
      <c r="H122" s="21" t="n"/>
      <c r="I122" s="22" t="n"/>
      <c r="J122" s="22" t="n"/>
      <c r="K122" s="23" t="n"/>
      <c r="L122" s="22" t="n"/>
      <c r="M122" s="22" t="n"/>
      <c r="N122" s="21" t="n"/>
      <c r="O122" s="23" t="n"/>
      <c r="P122" s="23" t="n"/>
      <c r="Q122" s="23" t="n"/>
      <c r="R122" s="23" t="n"/>
      <c r="S122" s="22" t="n"/>
      <c r="T122" s="23" t="n"/>
      <c r="U122" s="23" t="n"/>
      <c r="V122" s="24">
        <f>IF(J122&lt;&gt;"",J122,IF(I122&lt;&gt;"",I122,""))</f>
        <v/>
      </c>
      <c r="W122" s="25">
        <f>IF($E122="","",N(O122)+SUMIFS($AF122:$IN122,$AF$4:$IN$4,"SEW_ACT"))</f>
        <v/>
      </c>
      <c r="X122" s="25">
        <f>IF($E122="","",N(P122)+SUMIFS($AF122:$IN122,$AF$4:$IN$4,"WASH_ACT"))</f>
        <v/>
      </c>
      <c r="Y122" s="25">
        <f>IF($E122="","",W122-X122-N(T122)-N(U122))</f>
        <v/>
      </c>
      <c r="Z122" s="25">
        <f>IF($E122="","",IF(N(K122)-X122&lt;=0.02*N(K122),0,N(K122)-X122))</f>
        <v/>
      </c>
      <c r="AA122" s="24">
        <f>IF($E122="","",IF(S122&lt;&gt;"",S122,IF(N(O122)&gt;0,IF(L122&lt;&gt;"",L122,99999),IFERROR(1/(1/_xlfn.MINIFS($AF$3:$IN$3,$AF$4:$IN$4,"SEW_ACT",$AF122:$IN122,"&gt;0")),99999))))</f>
        <v/>
      </c>
      <c r="AB122" s="26">
        <f>IF(OR($E122="",Z122=0,V122=""),"",1+COUNTIFS(Z$8:Z$707,"&gt;0",V$8:V$707,"&lt;"&amp;V122)+COUNTIFS(Z$8:Z$707,"&gt;0",V$8:V$707,V122,AA$8:AA$707,"&lt;"&amp;AA122)+COUNTIFS(Z$8:Z$707,"&gt;0",V$8:V$707,V122,AA$8:AA$707,AA122,E$8:E$707,"&lt;"&amp;$E122))</f>
        <v/>
      </c>
      <c r="AC122" s="24">
        <f>IF(OR($E122="",Z122=0),"",IFERROR(TODAY()+ROUNDUP(Z122/(SUMIFS($AF122:$IN122,$AF$4:$IN$4,"WASH_ACT")/COUNTIFS($AF$4:$IN$4,"WASH_ACT",$AF122:$IN122,"&gt;0")),0),"no output yet"))</f>
        <v/>
      </c>
      <c r="AD122" s="26">
        <f>IF($E122="","",IFERROR(ROUND(MAX(0,SUMIFS($AF122:$IN122,$AF$4:$IN$4,"SEW_PLAN",$AF$3:$IN$3,"&lt;="&amp;TODAY())-SUMIFS($AF122:$IN122,$AF$4:$IN$4,"SEW_ACT",$AF$3:$IN$3,"&lt;="&amp;TODAY())+N(Q122))/(SUMIFS($AF122:$IN122,$AF$4:$IN$4,"SEW_PLAN")/COUNTIFS($AF$4:$IN$4,"SEW_PLAN",$AF122:$IN122,"&gt;0")),1),0))</f>
        <v/>
      </c>
      <c r="AE122" s="26">
        <f>IF($E122="","",IF(AND(Z122&gt;0,OR(AND(M122&lt;&gt;"",TODAY()&gt;M122),AND(V122&lt;&gt;"",V122-TODAY()&lt;=7))),"Yes","No"))</f>
        <v/>
      </c>
      <c r="AH122">
        <f>IF(OR(AF$3="",AF$3&gt;TODAY()),"",IF(AND(AF122="",AG122=""),"",N(AG122)-N(AF122)))</f>
        <v/>
      </c>
      <c r="AK122">
        <f>IF(OR(AF$3="",AF$3&gt;TODAY()),"",IF(AND(AI122="",AJ122=""),"",N(AJ122)-N(AI122)))</f>
        <v/>
      </c>
      <c r="AO122">
        <f>IF(OR(AM$3="",AM$3&gt;TODAY()),"",IF(AND(AM122="",AN122=""),"",N(AN122)-N(AM122)))</f>
        <v/>
      </c>
      <c r="AR122">
        <f>IF(OR(AM$3="",AM$3&gt;TODAY()),"",IF(AND(AP122="",AQ122=""),"",N(AQ122)-N(AP122)))</f>
        <v/>
      </c>
      <c r="AV122">
        <f>IF(OR(AT$3="",AT$3&gt;TODAY()),"",IF(AND(AT122="",AU122=""),"",N(AU122)-N(AT122)))</f>
        <v/>
      </c>
      <c r="AY122">
        <f>IF(OR(AT$3="",AT$3&gt;TODAY()),"",IF(AND(AW122="",AX122=""),"",N(AX122)-N(AW122)))</f>
        <v/>
      </c>
      <c r="BC122">
        <f>IF(OR(BA$3="",BA$3&gt;TODAY()),"",IF(AND(BA122="",BB122=""),"",N(BB122)-N(BA122)))</f>
        <v/>
      </c>
      <c r="BF122">
        <f>IF(OR(BA$3="",BA$3&gt;TODAY()),"",IF(AND(BD122="",BE122=""),"",N(BE122)-N(BD122)))</f>
        <v/>
      </c>
      <c r="BJ122">
        <f>IF(OR(BH$3="",BH$3&gt;TODAY()),"",IF(AND(BH122="",BI122=""),"",N(BI122)-N(BH122)))</f>
        <v/>
      </c>
      <c r="BM122">
        <f>IF(OR(BH$3="",BH$3&gt;TODAY()),"",IF(AND(BK122="",BL122=""),"",N(BL122)-N(BK122)))</f>
        <v/>
      </c>
      <c r="BQ122">
        <f>IF(OR(BO$3="",BO$3&gt;TODAY()),"",IF(AND(BO122="",BP122=""),"",N(BP122)-N(BO122)))</f>
        <v/>
      </c>
      <c r="BT122">
        <f>IF(OR(BO$3="",BO$3&gt;TODAY()),"",IF(AND(BR122="",BS122=""),"",N(BS122)-N(BR122)))</f>
        <v/>
      </c>
      <c r="BX122">
        <f>IF(OR(BV$3="",BV$3&gt;TODAY()),"",IF(AND(BV122="",BW122=""),"",N(BW122)-N(BV122)))</f>
        <v/>
      </c>
      <c r="CA122">
        <f>IF(OR(BV$3="",BV$3&gt;TODAY()),"",IF(AND(BY122="",BZ122=""),"",N(BZ122)-N(BY122)))</f>
        <v/>
      </c>
      <c r="CE122">
        <f>IF(OR(CC$3="",CC$3&gt;TODAY()),"",IF(AND(CC122="",CD122=""),"",N(CD122)-N(CC122)))</f>
        <v/>
      </c>
      <c r="CH122">
        <f>IF(OR(CC$3="",CC$3&gt;TODAY()),"",IF(AND(CF122="",CG122=""),"",N(CG122)-N(CF122)))</f>
        <v/>
      </c>
      <c r="CL122">
        <f>IF(OR(CJ$3="",CJ$3&gt;TODAY()),"",IF(AND(CJ122="",CK122=""),"",N(CK122)-N(CJ122)))</f>
        <v/>
      </c>
      <c r="CO122">
        <f>IF(OR(CJ$3="",CJ$3&gt;TODAY()),"",IF(AND(CM122="",CN122=""),"",N(CN122)-N(CM122)))</f>
        <v/>
      </c>
      <c r="CS122">
        <f>IF(OR(CQ$3="",CQ$3&gt;TODAY()),"",IF(AND(CQ122="",CR122=""),"",N(CR122)-N(CQ122)))</f>
        <v/>
      </c>
      <c r="CV122">
        <f>IF(OR(CQ$3="",CQ$3&gt;TODAY()),"",IF(AND(CT122="",CU122=""),"",N(CU122)-N(CT122)))</f>
        <v/>
      </c>
      <c r="CZ122">
        <f>IF(OR(CX$3="",CX$3&gt;TODAY()),"",IF(AND(CX122="",CY122=""),"",N(CY122)-N(CX122)))</f>
        <v/>
      </c>
      <c r="DC122">
        <f>IF(OR(CX$3="",CX$3&gt;TODAY()),"",IF(AND(DA122="",DB122=""),"",N(DB122)-N(DA122)))</f>
        <v/>
      </c>
      <c r="DG122">
        <f>IF(OR(DE$3="",DE$3&gt;TODAY()),"",IF(AND(DE122="",DF122=""),"",N(DF122)-N(DE122)))</f>
        <v/>
      </c>
      <c r="DJ122">
        <f>IF(OR(DE$3="",DE$3&gt;TODAY()),"",IF(AND(DH122="",DI122=""),"",N(DI122)-N(DH122)))</f>
        <v/>
      </c>
      <c r="DN122">
        <f>IF(OR(DL$3="",DL$3&gt;TODAY()),"",IF(AND(DL122="",DM122=""),"",N(DM122)-N(DL122)))</f>
        <v/>
      </c>
      <c r="DQ122">
        <f>IF(OR(DL$3="",DL$3&gt;TODAY()),"",IF(AND(DO122="",DP122=""),"",N(DP122)-N(DO122)))</f>
        <v/>
      </c>
      <c r="DU122">
        <f>IF(OR(DS$3="",DS$3&gt;TODAY()),"",IF(AND(DS122="",DT122=""),"",N(DT122)-N(DS122)))</f>
        <v/>
      </c>
      <c r="DX122">
        <f>IF(OR(DS$3="",DS$3&gt;TODAY()),"",IF(AND(DV122="",DW122=""),"",N(DW122)-N(DV122)))</f>
        <v/>
      </c>
      <c r="EB122">
        <f>IF(OR(DZ$3="",DZ$3&gt;TODAY()),"",IF(AND(DZ122="",EA122=""),"",N(EA122)-N(DZ122)))</f>
        <v/>
      </c>
      <c r="EE122">
        <f>IF(OR(DZ$3="",DZ$3&gt;TODAY()),"",IF(AND(EC122="",ED122=""),"",N(ED122)-N(EC122)))</f>
        <v/>
      </c>
      <c r="EI122">
        <f>IF(OR(EG$3="",EG$3&gt;TODAY()),"",IF(AND(EG122="",EH122=""),"",N(EH122)-N(EG122)))</f>
        <v/>
      </c>
      <c r="EL122">
        <f>IF(OR(EG$3="",EG$3&gt;TODAY()),"",IF(AND(EJ122="",EK122=""),"",N(EK122)-N(EJ122)))</f>
        <v/>
      </c>
      <c r="EP122">
        <f>IF(OR(EN$3="",EN$3&gt;TODAY()),"",IF(AND(EN122="",EO122=""),"",N(EO122)-N(EN122)))</f>
        <v/>
      </c>
      <c r="ES122">
        <f>IF(OR(EN$3="",EN$3&gt;TODAY()),"",IF(AND(EQ122="",ER122=""),"",N(ER122)-N(EQ122)))</f>
        <v/>
      </c>
      <c r="EW122">
        <f>IF(OR(EU$3="",EU$3&gt;TODAY()),"",IF(AND(EU122="",EV122=""),"",N(EV122)-N(EU122)))</f>
        <v/>
      </c>
      <c r="EZ122">
        <f>IF(OR(EU$3="",EU$3&gt;TODAY()),"",IF(AND(EX122="",EY122=""),"",N(EY122)-N(EX122)))</f>
        <v/>
      </c>
      <c r="FD122">
        <f>IF(OR(FB$3="",FB$3&gt;TODAY()),"",IF(AND(FB122="",FC122=""),"",N(FC122)-N(FB122)))</f>
        <v/>
      </c>
      <c r="FG122">
        <f>IF(OR(FB$3="",FB$3&gt;TODAY()),"",IF(AND(FE122="",FF122=""),"",N(FF122)-N(FE122)))</f>
        <v/>
      </c>
      <c r="FK122">
        <f>IF(OR(FI$3="",FI$3&gt;TODAY()),"",IF(AND(FI122="",FJ122=""),"",N(FJ122)-N(FI122)))</f>
        <v/>
      </c>
      <c r="FN122">
        <f>IF(OR(FI$3="",FI$3&gt;TODAY()),"",IF(AND(FL122="",FM122=""),"",N(FM122)-N(FL122)))</f>
        <v/>
      </c>
      <c r="FR122">
        <f>IF(OR(FP$3="",FP$3&gt;TODAY()),"",IF(AND(FP122="",FQ122=""),"",N(FQ122)-N(FP122)))</f>
        <v/>
      </c>
      <c r="FU122">
        <f>IF(OR(FP$3="",FP$3&gt;TODAY()),"",IF(AND(FS122="",FT122=""),"",N(FT122)-N(FS122)))</f>
        <v/>
      </c>
      <c r="FY122">
        <f>IF(OR(FW$3="",FW$3&gt;TODAY()),"",IF(AND(FW122="",FX122=""),"",N(FX122)-N(FW122)))</f>
        <v/>
      </c>
      <c r="GB122">
        <f>IF(OR(FW$3="",FW$3&gt;TODAY()),"",IF(AND(FZ122="",GA122=""),"",N(GA122)-N(FZ122)))</f>
        <v/>
      </c>
      <c r="GF122">
        <f>IF(OR(GD$3="",GD$3&gt;TODAY()),"",IF(AND(GD122="",GE122=""),"",N(GE122)-N(GD122)))</f>
        <v/>
      </c>
      <c r="GI122">
        <f>IF(OR(GD$3="",GD$3&gt;TODAY()),"",IF(AND(GG122="",GH122=""),"",N(GH122)-N(GG122)))</f>
        <v/>
      </c>
      <c r="GM122">
        <f>IF(OR(GK$3="",GK$3&gt;TODAY()),"",IF(AND(GK122="",GL122=""),"",N(GL122)-N(GK122)))</f>
        <v/>
      </c>
      <c r="GP122">
        <f>IF(OR(GK$3="",GK$3&gt;TODAY()),"",IF(AND(GN122="",GO122=""),"",N(GO122)-N(GN122)))</f>
        <v/>
      </c>
      <c r="GT122">
        <f>IF(OR(GR$3="",GR$3&gt;TODAY()),"",IF(AND(GR122="",GS122=""),"",N(GS122)-N(GR122)))</f>
        <v/>
      </c>
      <c r="GW122">
        <f>IF(OR(GR$3="",GR$3&gt;TODAY()),"",IF(AND(GU122="",GV122=""),"",N(GV122)-N(GU122)))</f>
        <v/>
      </c>
      <c r="HA122">
        <f>IF(OR(GY$3="",GY$3&gt;TODAY()),"",IF(AND(GY122="",GZ122=""),"",N(GZ122)-N(GY122)))</f>
        <v/>
      </c>
      <c r="HD122">
        <f>IF(OR(GY$3="",GY$3&gt;TODAY()),"",IF(AND(HB122="",HC122=""),"",N(HC122)-N(HB122)))</f>
        <v/>
      </c>
      <c r="HH122">
        <f>IF(OR(HF$3="",HF$3&gt;TODAY()),"",IF(AND(HF122="",HG122=""),"",N(HG122)-N(HF122)))</f>
        <v/>
      </c>
      <c r="HK122">
        <f>IF(OR(HF$3="",HF$3&gt;TODAY()),"",IF(AND(HI122="",HJ122=""),"",N(HJ122)-N(HI122)))</f>
        <v/>
      </c>
      <c r="HO122">
        <f>IF(OR(HM$3="",HM$3&gt;TODAY()),"",IF(AND(HM122="",HN122=""),"",N(HN122)-N(HM122)))</f>
        <v/>
      </c>
      <c r="HR122">
        <f>IF(OR(HM$3="",HM$3&gt;TODAY()),"",IF(AND(HP122="",HQ122=""),"",N(HQ122)-N(HP122)))</f>
        <v/>
      </c>
      <c r="HV122">
        <f>IF(OR(HT$3="",HT$3&gt;TODAY()),"",IF(AND(HT122="",HU122=""),"",N(HU122)-N(HT122)))</f>
        <v/>
      </c>
      <c r="HY122">
        <f>IF(OR(HT$3="",HT$3&gt;TODAY()),"",IF(AND(HW122="",HX122=""),"",N(HX122)-N(HW122)))</f>
        <v/>
      </c>
      <c r="IC122">
        <f>IF(OR(IA$3="",IA$3&gt;TODAY()),"",IF(AND(IA122="",IB122=""),"",N(IB122)-N(IA122)))</f>
        <v/>
      </c>
      <c r="IF122">
        <f>IF(OR(IA$3="",IA$3&gt;TODAY()),"",IF(AND(ID122="",IE122=""),"",N(IE122)-N(ID122)))</f>
        <v/>
      </c>
      <c r="IJ122">
        <f>IF(OR(IH$3="",IH$3&gt;TODAY()),"",IF(AND(IH122="",II122=""),"",N(II122)-N(IH122)))</f>
        <v/>
      </c>
      <c r="IM122">
        <f>IF(OR(IH$3="",IH$3&gt;TODAY()),"",IF(AND(IK122="",IL122=""),"",N(IL122)-N(IK122)))</f>
        <v/>
      </c>
    </row>
    <row r="123">
      <c r="A123" s="21" t="n"/>
      <c r="B123" s="21" t="n"/>
      <c r="C123" s="21" t="n"/>
      <c r="D123" s="21" t="n"/>
      <c r="E123" s="21" t="n"/>
      <c r="F123" s="21" t="n"/>
      <c r="G123" s="21" t="n"/>
      <c r="H123" s="21" t="n"/>
      <c r="I123" s="22" t="n"/>
      <c r="J123" s="22" t="n"/>
      <c r="K123" s="23" t="n"/>
      <c r="L123" s="22" t="n"/>
      <c r="M123" s="22" t="n"/>
      <c r="N123" s="21" t="n"/>
      <c r="O123" s="23" t="n"/>
      <c r="P123" s="23" t="n"/>
      <c r="Q123" s="23" t="n"/>
      <c r="R123" s="23" t="n"/>
      <c r="S123" s="22" t="n"/>
      <c r="T123" s="23" t="n"/>
      <c r="U123" s="23" t="n"/>
      <c r="V123" s="24">
        <f>IF(J123&lt;&gt;"",J123,IF(I123&lt;&gt;"",I123,""))</f>
        <v/>
      </c>
      <c r="W123" s="25">
        <f>IF($E123="","",N(O123)+SUMIFS($AF123:$IN123,$AF$4:$IN$4,"SEW_ACT"))</f>
        <v/>
      </c>
      <c r="X123" s="25">
        <f>IF($E123="","",N(P123)+SUMIFS($AF123:$IN123,$AF$4:$IN$4,"WASH_ACT"))</f>
        <v/>
      </c>
      <c r="Y123" s="25">
        <f>IF($E123="","",W123-X123-N(T123)-N(U123))</f>
        <v/>
      </c>
      <c r="Z123" s="25">
        <f>IF($E123="","",IF(N(K123)-X123&lt;=0.02*N(K123),0,N(K123)-X123))</f>
        <v/>
      </c>
      <c r="AA123" s="24">
        <f>IF($E123="","",IF(S123&lt;&gt;"",S123,IF(N(O123)&gt;0,IF(L123&lt;&gt;"",L123,99999),IFERROR(1/(1/_xlfn.MINIFS($AF$3:$IN$3,$AF$4:$IN$4,"SEW_ACT",$AF123:$IN123,"&gt;0")),99999))))</f>
        <v/>
      </c>
      <c r="AB123" s="26">
        <f>IF(OR($E123="",Z123=0,V123=""),"",1+COUNTIFS(Z$8:Z$707,"&gt;0",V$8:V$707,"&lt;"&amp;V123)+COUNTIFS(Z$8:Z$707,"&gt;0",V$8:V$707,V123,AA$8:AA$707,"&lt;"&amp;AA123)+COUNTIFS(Z$8:Z$707,"&gt;0",V$8:V$707,V123,AA$8:AA$707,AA123,E$8:E$707,"&lt;"&amp;$E123))</f>
        <v/>
      </c>
      <c r="AC123" s="24">
        <f>IF(OR($E123="",Z123=0),"",IFERROR(TODAY()+ROUNDUP(Z123/(SUMIFS($AF123:$IN123,$AF$4:$IN$4,"WASH_ACT")/COUNTIFS($AF$4:$IN$4,"WASH_ACT",$AF123:$IN123,"&gt;0")),0),"no output yet"))</f>
        <v/>
      </c>
      <c r="AD123" s="26">
        <f>IF($E123="","",IFERROR(ROUND(MAX(0,SUMIFS($AF123:$IN123,$AF$4:$IN$4,"SEW_PLAN",$AF$3:$IN$3,"&lt;="&amp;TODAY())-SUMIFS($AF123:$IN123,$AF$4:$IN$4,"SEW_ACT",$AF$3:$IN$3,"&lt;="&amp;TODAY())+N(Q123))/(SUMIFS($AF123:$IN123,$AF$4:$IN$4,"SEW_PLAN")/COUNTIFS($AF$4:$IN$4,"SEW_PLAN",$AF123:$IN123,"&gt;0")),1),0))</f>
        <v/>
      </c>
      <c r="AE123" s="26">
        <f>IF($E123="","",IF(AND(Z123&gt;0,OR(AND(M123&lt;&gt;"",TODAY()&gt;M123),AND(V123&lt;&gt;"",V123-TODAY()&lt;=7))),"Yes","No"))</f>
        <v/>
      </c>
      <c r="AH123">
        <f>IF(OR(AF$3="",AF$3&gt;TODAY()),"",IF(AND(AF123="",AG123=""),"",N(AG123)-N(AF123)))</f>
        <v/>
      </c>
      <c r="AK123">
        <f>IF(OR(AF$3="",AF$3&gt;TODAY()),"",IF(AND(AI123="",AJ123=""),"",N(AJ123)-N(AI123)))</f>
        <v/>
      </c>
      <c r="AO123">
        <f>IF(OR(AM$3="",AM$3&gt;TODAY()),"",IF(AND(AM123="",AN123=""),"",N(AN123)-N(AM123)))</f>
        <v/>
      </c>
      <c r="AR123">
        <f>IF(OR(AM$3="",AM$3&gt;TODAY()),"",IF(AND(AP123="",AQ123=""),"",N(AQ123)-N(AP123)))</f>
        <v/>
      </c>
      <c r="AV123">
        <f>IF(OR(AT$3="",AT$3&gt;TODAY()),"",IF(AND(AT123="",AU123=""),"",N(AU123)-N(AT123)))</f>
        <v/>
      </c>
      <c r="AY123">
        <f>IF(OR(AT$3="",AT$3&gt;TODAY()),"",IF(AND(AW123="",AX123=""),"",N(AX123)-N(AW123)))</f>
        <v/>
      </c>
      <c r="BC123">
        <f>IF(OR(BA$3="",BA$3&gt;TODAY()),"",IF(AND(BA123="",BB123=""),"",N(BB123)-N(BA123)))</f>
        <v/>
      </c>
      <c r="BF123">
        <f>IF(OR(BA$3="",BA$3&gt;TODAY()),"",IF(AND(BD123="",BE123=""),"",N(BE123)-N(BD123)))</f>
        <v/>
      </c>
      <c r="BJ123">
        <f>IF(OR(BH$3="",BH$3&gt;TODAY()),"",IF(AND(BH123="",BI123=""),"",N(BI123)-N(BH123)))</f>
        <v/>
      </c>
      <c r="BM123">
        <f>IF(OR(BH$3="",BH$3&gt;TODAY()),"",IF(AND(BK123="",BL123=""),"",N(BL123)-N(BK123)))</f>
        <v/>
      </c>
      <c r="BQ123">
        <f>IF(OR(BO$3="",BO$3&gt;TODAY()),"",IF(AND(BO123="",BP123=""),"",N(BP123)-N(BO123)))</f>
        <v/>
      </c>
      <c r="BT123">
        <f>IF(OR(BO$3="",BO$3&gt;TODAY()),"",IF(AND(BR123="",BS123=""),"",N(BS123)-N(BR123)))</f>
        <v/>
      </c>
      <c r="BX123">
        <f>IF(OR(BV$3="",BV$3&gt;TODAY()),"",IF(AND(BV123="",BW123=""),"",N(BW123)-N(BV123)))</f>
        <v/>
      </c>
      <c r="CA123">
        <f>IF(OR(BV$3="",BV$3&gt;TODAY()),"",IF(AND(BY123="",BZ123=""),"",N(BZ123)-N(BY123)))</f>
        <v/>
      </c>
      <c r="CE123">
        <f>IF(OR(CC$3="",CC$3&gt;TODAY()),"",IF(AND(CC123="",CD123=""),"",N(CD123)-N(CC123)))</f>
        <v/>
      </c>
      <c r="CH123">
        <f>IF(OR(CC$3="",CC$3&gt;TODAY()),"",IF(AND(CF123="",CG123=""),"",N(CG123)-N(CF123)))</f>
        <v/>
      </c>
      <c r="CL123">
        <f>IF(OR(CJ$3="",CJ$3&gt;TODAY()),"",IF(AND(CJ123="",CK123=""),"",N(CK123)-N(CJ123)))</f>
        <v/>
      </c>
      <c r="CO123">
        <f>IF(OR(CJ$3="",CJ$3&gt;TODAY()),"",IF(AND(CM123="",CN123=""),"",N(CN123)-N(CM123)))</f>
        <v/>
      </c>
      <c r="CS123">
        <f>IF(OR(CQ$3="",CQ$3&gt;TODAY()),"",IF(AND(CQ123="",CR123=""),"",N(CR123)-N(CQ123)))</f>
        <v/>
      </c>
      <c r="CV123">
        <f>IF(OR(CQ$3="",CQ$3&gt;TODAY()),"",IF(AND(CT123="",CU123=""),"",N(CU123)-N(CT123)))</f>
        <v/>
      </c>
      <c r="CZ123">
        <f>IF(OR(CX$3="",CX$3&gt;TODAY()),"",IF(AND(CX123="",CY123=""),"",N(CY123)-N(CX123)))</f>
        <v/>
      </c>
      <c r="DC123">
        <f>IF(OR(CX$3="",CX$3&gt;TODAY()),"",IF(AND(DA123="",DB123=""),"",N(DB123)-N(DA123)))</f>
        <v/>
      </c>
      <c r="DG123">
        <f>IF(OR(DE$3="",DE$3&gt;TODAY()),"",IF(AND(DE123="",DF123=""),"",N(DF123)-N(DE123)))</f>
        <v/>
      </c>
      <c r="DJ123">
        <f>IF(OR(DE$3="",DE$3&gt;TODAY()),"",IF(AND(DH123="",DI123=""),"",N(DI123)-N(DH123)))</f>
        <v/>
      </c>
      <c r="DN123">
        <f>IF(OR(DL$3="",DL$3&gt;TODAY()),"",IF(AND(DL123="",DM123=""),"",N(DM123)-N(DL123)))</f>
        <v/>
      </c>
      <c r="DQ123">
        <f>IF(OR(DL$3="",DL$3&gt;TODAY()),"",IF(AND(DO123="",DP123=""),"",N(DP123)-N(DO123)))</f>
        <v/>
      </c>
      <c r="DU123">
        <f>IF(OR(DS$3="",DS$3&gt;TODAY()),"",IF(AND(DS123="",DT123=""),"",N(DT123)-N(DS123)))</f>
        <v/>
      </c>
      <c r="DX123">
        <f>IF(OR(DS$3="",DS$3&gt;TODAY()),"",IF(AND(DV123="",DW123=""),"",N(DW123)-N(DV123)))</f>
        <v/>
      </c>
      <c r="EB123">
        <f>IF(OR(DZ$3="",DZ$3&gt;TODAY()),"",IF(AND(DZ123="",EA123=""),"",N(EA123)-N(DZ123)))</f>
        <v/>
      </c>
      <c r="EE123">
        <f>IF(OR(DZ$3="",DZ$3&gt;TODAY()),"",IF(AND(EC123="",ED123=""),"",N(ED123)-N(EC123)))</f>
        <v/>
      </c>
      <c r="EI123">
        <f>IF(OR(EG$3="",EG$3&gt;TODAY()),"",IF(AND(EG123="",EH123=""),"",N(EH123)-N(EG123)))</f>
        <v/>
      </c>
      <c r="EL123">
        <f>IF(OR(EG$3="",EG$3&gt;TODAY()),"",IF(AND(EJ123="",EK123=""),"",N(EK123)-N(EJ123)))</f>
        <v/>
      </c>
      <c r="EP123">
        <f>IF(OR(EN$3="",EN$3&gt;TODAY()),"",IF(AND(EN123="",EO123=""),"",N(EO123)-N(EN123)))</f>
        <v/>
      </c>
      <c r="ES123">
        <f>IF(OR(EN$3="",EN$3&gt;TODAY()),"",IF(AND(EQ123="",ER123=""),"",N(ER123)-N(EQ123)))</f>
        <v/>
      </c>
      <c r="EW123">
        <f>IF(OR(EU$3="",EU$3&gt;TODAY()),"",IF(AND(EU123="",EV123=""),"",N(EV123)-N(EU123)))</f>
        <v/>
      </c>
      <c r="EZ123">
        <f>IF(OR(EU$3="",EU$3&gt;TODAY()),"",IF(AND(EX123="",EY123=""),"",N(EY123)-N(EX123)))</f>
        <v/>
      </c>
      <c r="FD123">
        <f>IF(OR(FB$3="",FB$3&gt;TODAY()),"",IF(AND(FB123="",FC123=""),"",N(FC123)-N(FB123)))</f>
        <v/>
      </c>
      <c r="FG123">
        <f>IF(OR(FB$3="",FB$3&gt;TODAY()),"",IF(AND(FE123="",FF123=""),"",N(FF123)-N(FE123)))</f>
        <v/>
      </c>
      <c r="FK123">
        <f>IF(OR(FI$3="",FI$3&gt;TODAY()),"",IF(AND(FI123="",FJ123=""),"",N(FJ123)-N(FI123)))</f>
        <v/>
      </c>
      <c r="FN123">
        <f>IF(OR(FI$3="",FI$3&gt;TODAY()),"",IF(AND(FL123="",FM123=""),"",N(FM123)-N(FL123)))</f>
        <v/>
      </c>
      <c r="FR123">
        <f>IF(OR(FP$3="",FP$3&gt;TODAY()),"",IF(AND(FP123="",FQ123=""),"",N(FQ123)-N(FP123)))</f>
        <v/>
      </c>
      <c r="FU123">
        <f>IF(OR(FP$3="",FP$3&gt;TODAY()),"",IF(AND(FS123="",FT123=""),"",N(FT123)-N(FS123)))</f>
        <v/>
      </c>
      <c r="FY123">
        <f>IF(OR(FW$3="",FW$3&gt;TODAY()),"",IF(AND(FW123="",FX123=""),"",N(FX123)-N(FW123)))</f>
        <v/>
      </c>
      <c r="GB123">
        <f>IF(OR(FW$3="",FW$3&gt;TODAY()),"",IF(AND(FZ123="",GA123=""),"",N(GA123)-N(FZ123)))</f>
        <v/>
      </c>
      <c r="GF123">
        <f>IF(OR(GD$3="",GD$3&gt;TODAY()),"",IF(AND(GD123="",GE123=""),"",N(GE123)-N(GD123)))</f>
        <v/>
      </c>
      <c r="GI123">
        <f>IF(OR(GD$3="",GD$3&gt;TODAY()),"",IF(AND(GG123="",GH123=""),"",N(GH123)-N(GG123)))</f>
        <v/>
      </c>
      <c r="GM123">
        <f>IF(OR(GK$3="",GK$3&gt;TODAY()),"",IF(AND(GK123="",GL123=""),"",N(GL123)-N(GK123)))</f>
        <v/>
      </c>
      <c r="GP123">
        <f>IF(OR(GK$3="",GK$3&gt;TODAY()),"",IF(AND(GN123="",GO123=""),"",N(GO123)-N(GN123)))</f>
        <v/>
      </c>
      <c r="GT123">
        <f>IF(OR(GR$3="",GR$3&gt;TODAY()),"",IF(AND(GR123="",GS123=""),"",N(GS123)-N(GR123)))</f>
        <v/>
      </c>
      <c r="GW123">
        <f>IF(OR(GR$3="",GR$3&gt;TODAY()),"",IF(AND(GU123="",GV123=""),"",N(GV123)-N(GU123)))</f>
        <v/>
      </c>
      <c r="HA123">
        <f>IF(OR(GY$3="",GY$3&gt;TODAY()),"",IF(AND(GY123="",GZ123=""),"",N(GZ123)-N(GY123)))</f>
        <v/>
      </c>
      <c r="HD123">
        <f>IF(OR(GY$3="",GY$3&gt;TODAY()),"",IF(AND(HB123="",HC123=""),"",N(HC123)-N(HB123)))</f>
        <v/>
      </c>
      <c r="HH123">
        <f>IF(OR(HF$3="",HF$3&gt;TODAY()),"",IF(AND(HF123="",HG123=""),"",N(HG123)-N(HF123)))</f>
        <v/>
      </c>
      <c r="HK123">
        <f>IF(OR(HF$3="",HF$3&gt;TODAY()),"",IF(AND(HI123="",HJ123=""),"",N(HJ123)-N(HI123)))</f>
        <v/>
      </c>
      <c r="HO123">
        <f>IF(OR(HM$3="",HM$3&gt;TODAY()),"",IF(AND(HM123="",HN123=""),"",N(HN123)-N(HM123)))</f>
        <v/>
      </c>
      <c r="HR123">
        <f>IF(OR(HM$3="",HM$3&gt;TODAY()),"",IF(AND(HP123="",HQ123=""),"",N(HQ123)-N(HP123)))</f>
        <v/>
      </c>
      <c r="HV123">
        <f>IF(OR(HT$3="",HT$3&gt;TODAY()),"",IF(AND(HT123="",HU123=""),"",N(HU123)-N(HT123)))</f>
        <v/>
      </c>
      <c r="HY123">
        <f>IF(OR(HT$3="",HT$3&gt;TODAY()),"",IF(AND(HW123="",HX123=""),"",N(HX123)-N(HW123)))</f>
        <v/>
      </c>
      <c r="IC123">
        <f>IF(OR(IA$3="",IA$3&gt;TODAY()),"",IF(AND(IA123="",IB123=""),"",N(IB123)-N(IA123)))</f>
        <v/>
      </c>
      <c r="IF123">
        <f>IF(OR(IA$3="",IA$3&gt;TODAY()),"",IF(AND(ID123="",IE123=""),"",N(IE123)-N(ID123)))</f>
        <v/>
      </c>
      <c r="IJ123">
        <f>IF(OR(IH$3="",IH$3&gt;TODAY()),"",IF(AND(IH123="",II123=""),"",N(II123)-N(IH123)))</f>
        <v/>
      </c>
      <c r="IM123">
        <f>IF(OR(IH$3="",IH$3&gt;TODAY()),"",IF(AND(IK123="",IL123=""),"",N(IL123)-N(IK123)))</f>
        <v/>
      </c>
    </row>
    <row r="124">
      <c r="A124" s="21" t="n"/>
      <c r="B124" s="21" t="n"/>
      <c r="C124" s="21" t="n"/>
      <c r="D124" s="21" t="n"/>
      <c r="E124" s="21" t="n"/>
      <c r="F124" s="21" t="n"/>
      <c r="G124" s="21" t="n"/>
      <c r="H124" s="21" t="n"/>
      <c r="I124" s="22" t="n"/>
      <c r="J124" s="22" t="n"/>
      <c r="K124" s="23" t="n"/>
      <c r="L124" s="22" t="n"/>
      <c r="M124" s="22" t="n"/>
      <c r="N124" s="21" t="n"/>
      <c r="O124" s="23" t="n"/>
      <c r="P124" s="23" t="n"/>
      <c r="Q124" s="23" t="n"/>
      <c r="R124" s="23" t="n"/>
      <c r="S124" s="22" t="n"/>
      <c r="T124" s="23" t="n"/>
      <c r="U124" s="23" t="n"/>
      <c r="V124" s="24">
        <f>IF(J124&lt;&gt;"",J124,IF(I124&lt;&gt;"",I124,""))</f>
        <v/>
      </c>
      <c r="W124" s="25">
        <f>IF($E124="","",N(O124)+SUMIFS($AF124:$IN124,$AF$4:$IN$4,"SEW_ACT"))</f>
        <v/>
      </c>
      <c r="X124" s="25">
        <f>IF($E124="","",N(P124)+SUMIFS($AF124:$IN124,$AF$4:$IN$4,"WASH_ACT"))</f>
        <v/>
      </c>
      <c r="Y124" s="25">
        <f>IF($E124="","",W124-X124-N(T124)-N(U124))</f>
        <v/>
      </c>
      <c r="Z124" s="25">
        <f>IF($E124="","",IF(N(K124)-X124&lt;=0.02*N(K124),0,N(K124)-X124))</f>
        <v/>
      </c>
      <c r="AA124" s="24">
        <f>IF($E124="","",IF(S124&lt;&gt;"",S124,IF(N(O124)&gt;0,IF(L124&lt;&gt;"",L124,99999),IFERROR(1/(1/_xlfn.MINIFS($AF$3:$IN$3,$AF$4:$IN$4,"SEW_ACT",$AF124:$IN124,"&gt;0")),99999))))</f>
        <v/>
      </c>
      <c r="AB124" s="26">
        <f>IF(OR($E124="",Z124=0,V124=""),"",1+COUNTIFS(Z$8:Z$707,"&gt;0",V$8:V$707,"&lt;"&amp;V124)+COUNTIFS(Z$8:Z$707,"&gt;0",V$8:V$707,V124,AA$8:AA$707,"&lt;"&amp;AA124)+COUNTIFS(Z$8:Z$707,"&gt;0",V$8:V$707,V124,AA$8:AA$707,AA124,E$8:E$707,"&lt;"&amp;$E124))</f>
        <v/>
      </c>
      <c r="AC124" s="24">
        <f>IF(OR($E124="",Z124=0),"",IFERROR(TODAY()+ROUNDUP(Z124/(SUMIFS($AF124:$IN124,$AF$4:$IN$4,"WASH_ACT")/COUNTIFS($AF$4:$IN$4,"WASH_ACT",$AF124:$IN124,"&gt;0")),0),"no output yet"))</f>
        <v/>
      </c>
      <c r="AD124" s="26">
        <f>IF($E124="","",IFERROR(ROUND(MAX(0,SUMIFS($AF124:$IN124,$AF$4:$IN$4,"SEW_PLAN",$AF$3:$IN$3,"&lt;="&amp;TODAY())-SUMIFS($AF124:$IN124,$AF$4:$IN$4,"SEW_ACT",$AF$3:$IN$3,"&lt;="&amp;TODAY())+N(Q124))/(SUMIFS($AF124:$IN124,$AF$4:$IN$4,"SEW_PLAN")/COUNTIFS($AF$4:$IN$4,"SEW_PLAN",$AF124:$IN124,"&gt;0")),1),0))</f>
        <v/>
      </c>
      <c r="AE124" s="26">
        <f>IF($E124="","",IF(AND(Z124&gt;0,OR(AND(M124&lt;&gt;"",TODAY()&gt;M124),AND(V124&lt;&gt;"",V124-TODAY()&lt;=7))),"Yes","No"))</f>
        <v/>
      </c>
      <c r="AH124">
        <f>IF(OR(AF$3="",AF$3&gt;TODAY()),"",IF(AND(AF124="",AG124=""),"",N(AG124)-N(AF124)))</f>
        <v/>
      </c>
      <c r="AK124">
        <f>IF(OR(AF$3="",AF$3&gt;TODAY()),"",IF(AND(AI124="",AJ124=""),"",N(AJ124)-N(AI124)))</f>
        <v/>
      </c>
      <c r="AO124">
        <f>IF(OR(AM$3="",AM$3&gt;TODAY()),"",IF(AND(AM124="",AN124=""),"",N(AN124)-N(AM124)))</f>
        <v/>
      </c>
      <c r="AR124">
        <f>IF(OR(AM$3="",AM$3&gt;TODAY()),"",IF(AND(AP124="",AQ124=""),"",N(AQ124)-N(AP124)))</f>
        <v/>
      </c>
      <c r="AV124">
        <f>IF(OR(AT$3="",AT$3&gt;TODAY()),"",IF(AND(AT124="",AU124=""),"",N(AU124)-N(AT124)))</f>
        <v/>
      </c>
      <c r="AY124">
        <f>IF(OR(AT$3="",AT$3&gt;TODAY()),"",IF(AND(AW124="",AX124=""),"",N(AX124)-N(AW124)))</f>
        <v/>
      </c>
      <c r="BC124">
        <f>IF(OR(BA$3="",BA$3&gt;TODAY()),"",IF(AND(BA124="",BB124=""),"",N(BB124)-N(BA124)))</f>
        <v/>
      </c>
      <c r="BF124">
        <f>IF(OR(BA$3="",BA$3&gt;TODAY()),"",IF(AND(BD124="",BE124=""),"",N(BE124)-N(BD124)))</f>
        <v/>
      </c>
      <c r="BJ124">
        <f>IF(OR(BH$3="",BH$3&gt;TODAY()),"",IF(AND(BH124="",BI124=""),"",N(BI124)-N(BH124)))</f>
        <v/>
      </c>
      <c r="BM124">
        <f>IF(OR(BH$3="",BH$3&gt;TODAY()),"",IF(AND(BK124="",BL124=""),"",N(BL124)-N(BK124)))</f>
        <v/>
      </c>
      <c r="BQ124">
        <f>IF(OR(BO$3="",BO$3&gt;TODAY()),"",IF(AND(BO124="",BP124=""),"",N(BP124)-N(BO124)))</f>
        <v/>
      </c>
      <c r="BT124">
        <f>IF(OR(BO$3="",BO$3&gt;TODAY()),"",IF(AND(BR124="",BS124=""),"",N(BS124)-N(BR124)))</f>
        <v/>
      </c>
      <c r="BX124">
        <f>IF(OR(BV$3="",BV$3&gt;TODAY()),"",IF(AND(BV124="",BW124=""),"",N(BW124)-N(BV124)))</f>
        <v/>
      </c>
      <c r="CA124">
        <f>IF(OR(BV$3="",BV$3&gt;TODAY()),"",IF(AND(BY124="",BZ124=""),"",N(BZ124)-N(BY124)))</f>
        <v/>
      </c>
      <c r="CE124">
        <f>IF(OR(CC$3="",CC$3&gt;TODAY()),"",IF(AND(CC124="",CD124=""),"",N(CD124)-N(CC124)))</f>
        <v/>
      </c>
      <c r="CH124">
        <f>IF(OR(CC$3="",CC$3&gt;TODAY()),"",IF(AND(CF124="",CG124=""),"",N(CG124)-N(CF124)))</f>
        <v/>
      </c>
      <c r="CL124">
        <f>IF(OR(CJ$3="",CJ$3&gt;TODAY()),"",IF(AND(CJ124="",CK124=""),"",N(CK124)-N(CJ124)))</f>
        <v/>
      </c>
      <c r="CO124">
        <f>IF(OR(CJ$3="",CJ$3&gt;TODAY()),"",IF(AND(CM124="",CN124=""),"",N(CN124)-N(CM124)))</f>
        <v/>
      </c>
      <c r="CS124">
        <f>IF(OR(CQ$3="",CQ$3&gt;TODAY()),"",IF(AND(CQ124="",CR124=""),"",N(CR124)-N(CQ124)))</f>
        <v/>
      </c>
      <c r="CV124">
        <f>IF(OR(CQ$3="",CQ$3&gt;TODAY()),"",IF(AND(CT124="",CU124=""),"",N(CU124)-N(CT124)))</f>
        <v/>
      </c>
      <c r="CZ124">
        <f>IF(OR(CX$3="",CX$3&gt;TODAY()),"",IF(AND(CX124="",CY124=""),"",N(CY124)-N(CX124)))</f>
        <v/>
      </c>
      <c r="DC124">
        <f>IF(OR(CX$3="",CX$3&gt;TODAY()),"",IF(AND(DA124="",DB124=""),"",N(DB124)-N(DA124)))</f>
        <v/>
      </c>
      <c r="DG124">
        <f>IF(OR(DE$3="",DE$3&gt;TODAY()),"",IF(AND(DE124="",DF124=""),"",N(DF124)-N(DE124)))</f>
        <v/>
      </c>
      <c r="DJ124">
        <f>IF(OR(DE$3="",DE$3&gt;TODAY()),"",IF(AND(DH124="",DI124=""),"",N(DI124)-N(DH124)))</f>
        <v/>
      </c>
      <c r="DN124">
        <f>IF(OR(DL$3="",DL$3&gt;TODAY()),"",IF(AND(DL124="",DM124=""),"",N(DM124)-N(DL124)))</f>
        <v/>
      </c>
      <c r="DQ124">
        <f>IF(OR(DL$3="",DL$3&gt;TODAY()),"",IF(AND(DO124="",DP124=""),"",N(DP124)-N(DO124)))</f>
        <v/>
      </c>
      <c r="DU124">
        <f>IF(OR(DS$3="",DS$3&gt;TODAY()),"",IF(AND(DS124="",DT124=""),"",N(DT124)-N(DS124)))</f>
        <v/>
      </c>
      <c r="DX124">
        <f>IF(OR(DS$3="",DS$3&gt;TODAY()),"",IF(AND(DV124="",DW124=""),"",N(DW124)-N(DV124)))</f>
        <v/>
      </c>
      <c r="EB124">
        <f>IF(OR(DZ$3="",DZ$3&gt;TODAY()),"",IF(AND(DZ124="",EA124=""),"",N(EA124)-N(DZ124)))</f>
        <v/>
      </c>
      <c r="EE124">
        <f>IF(OR(DZ$3="",DZ$3&gt;TODAY()),"",IF(AND(EC124="",ED124=""),"",N(ED124)-N(EC124)))</f>
        <v/>
      </c>
      <c r="EI124">
        <f>IF(OR(EG$3="",EG$3&gt;TODAY()),"",IF(AND(EG124="",EH124=""),"",N(EH124)-N(EG124)))</f>
        <v/>
      </c>
      <c r="EL124">
        <f>IF(OR(EG$3="",EG$3&gt;TODAY()),"",IF(AND(EJ124="",EK124=""),"",N(EK124)-N(EJ124)))</f>
        <v/>
      </c>
      <c r="EP124">
        <f>IF(OR(EN$3="",EN$3&gt;TODAY()),"",IF(AND(EN124="",EO124=""),"",N(EO124)-N(EN124)))</f>
        <v/>
      </c>
      <c r="ES124">
        <f>IF(OR(EN$3="",EN$3&gt;TODAY()),"",IF(AND(EQ124="",ER124=""),"",N(ER124)-N(EQ124)))</f>
        <v/>
      </c>
      <c r="EW124">
        <f>IF(OR(EU$3="",EU$3&gt;TODAY()),"",IF(AND(EU124="",EV124=""),"",N(EV124)-N(EU124)))</f>
        <v/>
      </c>
      <c r="EZ124">
        <f>IF(OR(EU$3="",EU$3&gt;TODAY()),"",IF(AND(EX124="",EY124=""),"",N(EY124)-N(EX124)))</f>
        <v/>
      </c>
      <c r="FD124">
        <f>IF(OR(FB$3="",FB$3&gt;TODAY()),"",IF(AND(FB124="",FC124=""),"",N(FC124)-N(FB124)))</f>
        <v/>
      </c>
      <c r="FG124">
        <f>IF(OR(FB$3="",FB$3&gt;TODAY()),"",IF(AND(FE124="",FF124=""),"",N(FF124)-N(FE124)))</f>
        <v/>
      </c>
      <c r="FK124">
        <f>IF(OR(FI$3="",FI$3&gt;TODAY()),"",IF(AND(FI124="",FJ124=""),"",N(FJ124)-N(FI124)))</f>
        <v/>
      </c>
      <c r="FN124">
        <f>IF(OR(FI$3="",FI$3&gt;TODAY()),"",IF(AND(FL124="",FM124=""),"",N(FM124)-N(FL124)))</f>
        <v/>
      </c>
      <c r="FR124">
        <f>IF(OR(FP$3="",FP$3&gt;TODAY()),"",IF(AND(FP124="",FQ124=""),"",N(FQ124)-N(FP124)))</f>
        <v/>
      </c>
      <c r="FU124">
        <f>IF(OR(FP$3="",FP$3&gt;TODAY()),"",IF(AND(FS124="",FT124=""),"",N(FT124)-N(FS124)))</f>
        <v/>
      </c>
      <c r="FY124">
        <f>IF(OR(FW$3="",FW$3&gt;TODAY()),"",IF(AND(FW124="",FX124=""),"",N(FX124)-N(FW124)))</f>
        <v/>
      </c>
      <c r="GB124">
        <f>IF(OR(FW$3="",FW$3&gt;TODAY()),"",IF(AND(FZ124="",GA124=""),"",N(GA124)-N(FZ124)))</f>
        <v/>
      </c>
      <c r="GF124">
        <f>IF(OR(GD$3="",GD$3&gt;TODAY()),"",IF(AND(GD124="",GE124=""),"",N(GE124)-N(GD124)))</f>
        <v/>
      </c>
      <c r="GI124">
        <f>IF(OR(GD$3="",GD$3&gt;TODAY()),"",IF(AND(GG124="",GH124=""),"",N(GH124)-N(GG124)))</f>
        <v/>
      </c>
      <c r="GM124">
        <f>IF(OR(GK$3="",GK$3&gt;TODAY()),"",IF(AND(GK124="",GL124=""),"",N(GL124)-N(GK124)))</f>
        <v/>
      </c>
      <c r="GP124">
        <f>IF(OR(GK$3="",GK$3&gt;TODAY()),"",IF(AND(GN124="",GO124=""),"",N(GO124)-N(GN124)))</f>
        <v/>
      </c>
      <c r="GT124">
        <f>IF(OR(GR$3="",GR$3&gt;TODAY()),"",IF(AND(GR124="",GS124=""),"",N(GS124)-N(GR124)))</f>
        <v/>
      </c>
      <c r="GW124">
        <f>IF(OR(GR$3="",GR$3&gt;TODAY()),"",IF(AND(GU124="",GV124=""),"",N(GV124)-N(GU124)))</f>
        <v/>
      </c>
      <c r="HA124">
        <f>IF(OR(GY$3="",GY$3&gt;TODAY()),"",IF(AND(GY124="",GZ124=""),"",N(GZ124)-N(GY124)))</f>
        <v/>
      </c>
      <c r="HD124">
        <f>IF(OR(GY$3="",GY$3&gt;TODAY()),"",IF(AND(HB124="",HC124=""),"",N(HC124)-N(HB124)))</f>
        <v/>
      </c>
      <c r="HH124">
        <f>IF(OR(HF$3="",HF$3&gt;TODAY()),"",IF(AND(HF124="",HG124=""),"",N(HG124)-N(HF124)))</f>
        <v/>
      </c>
      <c r="HK124">
        <f>IF(OR(HF$3="",HF$3&gt;TODAY()),"",IF(AND(HI124="",HJ124=""),"",N(HJ124)-N(HI124)))</f>
        <v/>
      </c>
      <c r="HO124">
        <f>IF(OR(HM$3="",HM$3&gt;TODAY()),"",IF(AND(HM124="",HN124=""),"",N(HN124)-N(HM124)))</f>
        <v/>
      </c>
      <c r="HR124">
        <f>IF(OR(HM$3="",HM$3&gt;TODAY()),"",IF(AND(HP124="",HQ124=""),"",N(HQ124)-N(HP124)))</f>
        <v/>
      </c>
      <c r="HV124">
        <f>IF(OR(HT$3="",HT$3&gt;TODAY()),"",IF(AND(HT124="",HU124=""),"",N(HU124)-N(HT124)))</f>
        <v/>
      </c>
      <c r="HY124">
        <f>IF(OR(HT$3="",HT$3&gt;TODAY()),"",IF(AND(HW124="",HX124=""),"",N(HX124)-N(HW124)))</f>
        <v/>
      </c>
      <c r="IC124">
        <f>IF(OR(IA$3="",IA$3&gt;TODAY()),"",IF(AND(IA124="",IB124=""),"",N(IB124)-N(IA124)))</f>
        <v/>
      </c>
      <c r="IF124">
        <f>IF(OR(IA$3="",IA$3&gt;TODAY()),"",IF(AND(ID124="",IE124=""),"",N(IE124)-N(ID124)))</f>
        <v/>
      </c>
      <c r="IJ124">
        <f>IF(OR(IH$3="",IH$3&gt;TODAY()),"",IF(AND(IH124="",II124=""),"",N(II124)-N(IH124)))</f>
        <v/>
      </c>
      <c r="IM124">
        <f>IF(OR(IH$3="",IH$3&gt;TODAY()),"",IF(AND(IK124="",IL124=""),"",N(IL124)-N(IK124)))</f>
        <v/>
      </c>
    </row>
    <row r="125">
      <c r="A125" s="21" t="n"/>
      <c r="B125" s="21" t="n"/>
      <c r="C125" s="21" t="n"/>
      <c r="D125" s="21" t="n"/>
      <c r="E125" s="21" t="n"/>
      <c r="F125" s="21" t="n"/>
      <c r="G125" s="21" t="n"/>
      <c r="H125" s="21" t="n"/>
      <c r="I125" s="22" t="n"/>
      <c r="J125" s="22" t="n"/>
      <c r="K125" s="23" t="n"/>
      <c r="L125" s="22" t="n"/>
      <c r="M125" s="22" t="n"/>
      <c r="N125" s="21" t="n"/>
      <c r="O125" s="23" t="n"/>
      <c r="P125" s="23" t="n"/>
      <c r="Q125" s="23" t="n"/>
      <c r="R125" s="23" t="n"/>
      <c r="S125" s="22" t="n"/>
      <c r="T125" s="23" t="n"/>
      <c r="U125" s="23" t="n"/>
      <c r="V125" s="24">
        <f>IF(J125&lt;&gt;"",J125,IF(I125&lt;&gt;"",I125,""))</f>
        <v/>
      </c>
      <c r="W125" s="25">
        <f>IF($E125="","",N(O125)+SUMIFS($AF125:$IN125,$AF$4:$IN$4,"SEW_ACT"))</f>
        <v/>
      </c>
      <c r="X125" s="25">
        <f>IF($E125="","",N(P125)+SUMIFS($AF125:$IN125,$AF$4:$IN$4,"WASH_ACT"))</f>
        <v/>
      </c>
      <c r="Y125" s="25">
        <f>IF($E125="","",W125-X125-N(T125)-N(U125))</f>
        <v/>
      </c>
      <c r="Z125" s="25">
        <f>IF($E125="","",IF(N(K125)-X125&lt;=0.02*N(K125),0,N(K125)-X125))</f>
        <v/>
      </c>
      <c r="AA125" s="24">
        <f>IF($E125="","",IF(S125&lt;&gt;"",S125,IF(N(O125)&gt;0,IF(L125&lt;&gt;"",L125,99999),IFERROR(1/(1/_xlfn.MINIFS($AF$3:$IN$3,$AF$4:$IN$4,"SEW_ACT",$AF125:$IN125,"&gt;0")),99999))))</f>
        <v/>
      </c>
      <c r="AB125" s="26">
        <f>IF(OR($E125="",Z125=0,V125=""),"",1+COUNTIFS(Z$8:Z$707,"&gt;0",V$8:V$707,"&lt;"&amp;V125)+COUNTIFS(Z$8:Z$707,"&gt;0",V$8:V$707,V125,AA$8:AA$707,"&lt;"&amp;AA125)+COUNTIFS(Z$8:Z$707,"&gt;0",V$8:V$707,V125,AA$8:AA$707,AA125,E$8:E$707,"&lt;"&amp;$E125))</f>
        <v/>
      </c>
      <c r="AC125" s="24">
        <f>IF(OR($E125="",Z125=0),"",IFERROR(TODAY()+ROUNDUP(Z125/(SUMIFS($AF125:$IN125,$AF$4:$IN$4,"WASH_ACT")/COUNTIFS($AF$4:$IN$4,"WASH_ACT",$AF125:$IN125,"&gt;0")),0),"no output yet"))</f>
        <v/>
      </c>
      <c r="AD125" s="26">
        <f>IF($E125="","",IFERROR(ROUND(MAX(0,SUMIFS($AF125:$IN125,$AF$4:$IN$4,"SEW_PLAN",$AF$3:$IN$3,"&lt;="&amp;TODAY())-SUMIFS($AF125:$IN125,$AF$4:$IN$4,"SEW_ACT",$AF$3:$IN$3,"&lt;="&amp;TODAY())+N(Q125))/(SUMIFS($AF125:$IN125,$AF$4:$IN$4,"SEW_PLAN")/COUNTIFS($AF$4:$IN$4,"SEW_PLAN",$AF125:$IN125,"&gt;0")),1),0))</f>
        <v/>
      </c>
      <c r="AE125" s="26">
        <f>IF($E125="","",IF(AND(Z125&gt;0,OR(AND(M125&lt;&gt;"",TODAY()&gt;M125),AND(V125&lt;&gt;"",V125-TODAY()&lt;=7))),"Yes","No"))</f>
        <v/>
      </c>
      <c r="AH125">
        <f>IF(OR(AF$3="",AF$3&gt;TODAY()),"",IF(AND(AF125="",AG125=""),"",N(AG125)-N(AF125)))</f>
        <v/>
      </c>
      <c r="AK125">
        <f>IF(OR(AF$3="",AF$3&gt;TODAY()),"",IF(AND(AI125="",AJ125=""),"",N(AJ125)-N(AI125)))</f>
        <v/>
      </c>
      <c r="AO125">
        <f>IF(OR(AM$3="",AM$3&gt;TODAY()),"",IF(AND(AM125="",AN125=""),"",N(AN125)-N(AM125)))</f>
        <v/>
      </c>
      <c r="AR125">
        <f>IF(OR(AM$3="",AM$3&gt;TODAY()),"",IF(AND(AP125="",AQ125=""),"",N(AQ125)-N(AP125)))</f>
        <v/>
      </c>
      <c r="AV125">
        <f>IF(OR(AT$3="",AT$3&gt;TODAY()),"",IF(AND(AT125="",AU125=""),"",N(AU125)-N(AT125)))</f>
        <v/>
      </c>
      <c r="AY125">
        <f>IF(OR(AT$3="",AT$3&gt;TODAY()),"",IF(AND(AW125="",AX125=""),"",N(AX125)-N(AW125)))</f>
        <v/>
      </c>
      <c r="BC125">
        <f>IF(OR(BA$3="",BA$3&gt;TODAY()),"",IF(AND(BA125="",BB125=""),"",N(BB125)-N(BA125)))</f>
        <v/>
      </c>
      <c r="BF125">
        <f>IF(OR(BA$3="",BA$3&gt;TODAY()),"",IF(AND(BD125="",BE125=""),"",N(BE125)-N(BD125)))</f>
        <v/>
      </c>
      <c r="BJ125">
        <f>IF(OR(BH$3="",BH$3&gt;TODAY()),"",IF(AND(BH125="",BI125=""),"",N(BI125)-N(BH125)))</f>
        <v/>
      </c>
      <c r="BM125">
        <f>IF(OR(BH$3="",BH$3&gt;TODAY()),"",IF(AND(BK125="",BL125=""),"",N(BL125)-N(BK125)))</f>
        <v/>
      </c>
      <c r="BQ125">
        <f>IF(OR(BO$3="",BO$3&gt;TODAY()),"",IF(AND(BO125="",BP125=""),"",N(BP125)-N(BO125)))</f>
        <v/>
      </c>
      <c r="BT125">
        <f>IF(OR(BO$3="",BO$3&gt;TODAY()),"",IF(AND(BR125="",BS125=""),"",N(BS125)-N(BR125)))</f>
        <v/>
      </c>
      <c r="BX125">
        <f>IF(OR(BV$3="",BV$3&gt;TODAY()),"",IF(AND(BV125="",BW125=""),"",N(BW125)-N(BV125)))</f>
        <v/>
      </c>
      <c r="CA125">
        <f>IF(OR(BV$3="",BV$3&gt;TODAY()),"",IF(AND(BY125="",BZ125=""),"",N(BZ125)-N(BY125)))</f>
        <v/>
      </c>
      <c r="CE125">
        <f>IF(OR(CC$3="",CC$3&gt;TODAY()),"",IF(AND(CC125="",CD125=""),"",N(CD125)-N(CC125)))</f>
        <v/>
      </c>
      <c r="CH125">
        <f>IF(OR(CC$3="",CC$3&gt;TODAY()),"",IF(AND(CF125="",CG125=""),"",N(CG125)-N(CF125)))</f>
        <v/>
      </c>
      <c r="CL125">
        <f>IF(OR(CJ$3="",CJ$3&gt;TODAY()),"",IF(AND(CJ125="",CK125=""),"",N(CK125)-N(CJ125)))</f>
        <v/>
      </c>
      <c r="CO125">
        <f>IF(OR(CJ$3="",CJ$3&gt;TODAY()),"",IF(AND(CM125="",CN125=""),"",N(CN125)-N(CM125)))</f>
        <v/>
      </c>
      <c r="CS125">
        <f>IF(OR(CQ$3="",CQ$3&gt;TODAY()),"",IF(AND(CQ125="",CR125=""),"",N(CR125)-N(CQ125)))</f>
        <v/>
      </c>
      <c r="CV125">
        <f>IF(OR(CQ$3="",CQ$3&gt;TODAY()),"",IF(AND(CT125="",CU125=""),"",N(CU125)-N(CT125)))</f>
        <v/>
      </c>
      <c r="CZ125">
        <f>IF(OR(CX$3="",CX$3&gt;TODAY()),"",IF(AND(CX125="",CY125=""),"",N(CY125)-N(CX125)))</f>
        <v/>
      </c>
      <c r="DC125">
        <f>IF(OR(CX$3="",CX$3&gt;TODAY()),"",IF(AND(DA125="",DB125=""),"",N(DB125)-N(DA125)))</f>
        <v/>
      </c>
      <c r="DG125">
        <f>IF(OR(DE$3="",DE$3&gt;TODAY()),"",IF(AND(DE125="",DF125=""),"",N(DF125)-N(DE125)))</f>
        <v/>
      </c>
      <c r="DJ125">
        <f>IF(OR(DE$3="",DE$3&gt;TODAY()),"",IF(AND(DH125="",DI125=""),"",N(DI125)-N(DH125)))</f>
        <v/>
      </c>
      <c r="DN125">
        <f>IF(OR(DL$3="",DL$3&gt;TODAY()),"",IF(AND(DL125="",DM125=""),"",N(DM125)-N(DL125)))</f>
        <v/>
      </c>
      <c r="DQ125">
        <f>IF(OR(DL$3="",DL$3&gt;TODAY()),"",IF(AND(DO125="",DP125=""),"",N(DP125)-N(DO125)))</f>
        <v/>
      </c>
      <c r="DU125">
        <f>IF(OR(DS$3="",DS$3&gt;TODAY()),"",IF(AND(DS125="",DT125=""),"",N(DT125)-N(DS125)))</f>
        <v/>
      </c>
      <c r="DX125">
        <f>IF(OR(DS$3="",DS$3&gt;TODAY()),"",IF(AND(DV125="",DW125=""),"",N(DW125)-N(DV125)))</f>
        <v/>
      </c>
      <c r="EB125">
        <f>IF(OR(DZ$3="",DZ$3&gt;TODAY()),"",IF(AND(DZ125="",EA125=""),"",N(EA125)-N(DZ125)))</f>
        <v/>
      </c>
      <c r="EE125">
        <f>IF(OR(DZ$3="",DZ$3&gt;TODAY()),"",IF(AND(EC125="",ED125=""),"",N(ED125)-N(EC125)))</f>
        <v/>
      </c>
      <c r="EI125">
        <f>IF(OR(EG$3="",EG$3&gt;TODAY()),"",IF(AND(EG125="",EH125=""),"",N(EH125)-N(EG125)))</f>
        <v/>
      </c>
      <c r="EL125">
        <f>IF(OR(EG$3="",EG$3&gt;TODAY()),"",IF(AND(EJ125="",EK125=""),"",N(EK125)-N(EJ125)))</f>
        <v/>
      </c>
      <c r="EP125">
        <f>IF(OR(EN$3="",EN$3&gt;TODAY()),"",IF(AND(EN125="",EO125=""),"",N(EO125)-N(EN125)))</f>
        <v/>
      </c>
      <c r="ES125">
        <f>IF(OR(EN$3="",EN$3&gt;TODAY()),"",IF(AND(EQ125="",ER125=""),"",N(ER125)-N(EQ125)))</f>
        <v/>
      </c>
      <c r="EW125">
        <f>IF(OR(EU$3="",EU$3&gt;TODAY()),"",IF(AND(EU125="",EV125=""),"",N(EV125)-N(EU125)))</f>
        <v/>
      </c>
      <c r="EZ125">
        <f>IF(OR(EU$3="",EU$3&gt;TODAY()),"",IF(AND(EX125="",EY125=""),"",N(EY125)-N(EX125)))</f>
        <v/>
      </c>
      <c r="FD125">
        <f>IF(OR(FB$3="",FB$3&gt;TODAY()),"",IF(AND(FB125="",FC125=""),"",N(FC125)-N(FB125)))</f>
        <v/>
      </c>
      <c r="FG125">
        <f>IF(OR(FB$3="",FB$3&gt;TODAY()),"",IF(AND(FE125="",FF125=""),"",N(FF125)-N(FE125)))</f>
        <v/>
      </c>
      <c r="FK125">
        <f>IF(OR(FI$3="",FI$3&gt;TODAY()),"",IF(AND(FI125="",FJ125=""),"",N(FJ125)-N(FI125)))</f>
        <v/>
      </c>
      <c r="FN125">
        <f>IF(OR(FI$3="",FI$3&gt;TODAY()),"",IF(AND(FL125="",FM125=""),"",N(FM125)-N(FL125)))</f>
        <v/>
      </c>
      <c r="FR125">
        <f>IF(OR(FP$3="",FP$3&gt;TODAY()),"",IF(AND(FP125="",FQ125=""),"",N(FQ125)-N(FP125)))</f>
        <v/>
      </c>
      <c r="FU125">
        <f>IF(OR(FP$3="",FP$3&gt;TODAY()),"",IF(AND(FS125="",FT125=""),"",N(FT125)-N(FS125)))</f>
        <v/>
      </c>
      <c r="FY125">
        <f>IF(OR(FW$3="",FW$3&gt;TODAY()),"",IF(AND(FW125="",FX125=""),"",N(FX125)-N(FW125)))</f>
        <v/>
      </c>
      <c r="GB125">
        <f>IF(OR(FW$3="",FW$3&gt;TODAY()),"",IF(AND(FZ125="",GA125=""),"",N(GA125)-N(FZ125)))</f>
        <v/>
      </c>
      <c r="GF125">
        <f>IF(OR(GD$3="",GD$3&gt;TODAY()),"",IF(AND(GD125="",GE125=""),"",N(GE125)-N(GD125)))</f>
        <v/>
      </c>
      <c r="GI125">
        <f>IF(OR(GD$3="",GD$3&gt;TODAY()),"",IF(AND(GG125="",GH125=""),"",N(GH125)-N(GG125)))</f>
        <v/>
      </c>
      <c r="GM125">
        <f>IF(OR(GK$3="",GK$3&gt;TODAY()),"",IF(AND(GK125="",GL125=""),"",N(GL125)-N(GK125)))</f>
        <v/>
      </c>
      <c r="GP125">
        <f>IF(OR(GK$3="",GK$3&gt;TODAY()),"",IF(AND(GN125="",GO125=""),"",N(GO125)-N(GN125)))</f>
        <v/>
      </c>
      <c r="GT125">
        <f>IF(OR(GR$3="",GR$3&gt;TODAY()),"",IF(AND(GR125="",GS125=""),"",N(GS125)-N(GR125)))</f>
        <v/>
      </c>
      <c r="GW125">
        <f>IF(OR(GR$3="",GR$3&gt;TODAY()),"",IF(AND(GU125="",GV125=""),"",N(GV125)-N(GU125)))</f>
        <v/>
      </c>
      <c r="HA125">
        <f>IF(OR(GY$3="",GY$3&gt;TODAY()),"",IF(AND(GY125="",GZ125=""),"",N(GZ125)-N(GY125)))</f>
        <v/>
      </c>
      <c r="HD125">
        <f>IF(OR(GY$3="",GY$3&gt;TODAY()),"",IF(AND(HB125="",HC125=""),"",N(HC125)-N(HB125)))</f>
        <v/>
      </c>
      <c r="HH125">
        <f>IF(OR(HF$3="",HF$3&gt;TODAY()),"",IF(AND(HF125="",HG125=""),"",N(HG125)-N(HF125)))</f>
        <v/>
      </c>
      <c r="HK125">
        <f>IF(OR(HF$3="",HF$3&gt;TODAY()),"",IF(AND(HI125="",HJ125=""),"",N(HJ125)-N(HI125)))</f>
        <v/>
      </c>
      <c r="HO125">
        <f>IF(OR(HM$3="",HM$3&gt;TODAY()),"",IF(AND(HM125="",HN125=""),"",N(HN125)-N(HM125)))</f>
        <v/>
      </c>
      <c r="HR125">
        <f>IF(OR(HM$3="",HM$3&gt;TODAY()),"",IF(AND(HP125="",HQ125=""),"",N(HQ125)-N(HP125)))</f>
        <v/>
      </c>
      <c r="HV125">
        <f>IF(OR(HT$3="",HT$3&gt;TODAY()),"",IF(AND(HT125="",HU125=""),"",N(HU125)-N(HT125)))</f>
        <v/>
      </c>
      <c r="HY125">
        <f>IF(OR(HT$3="",HT$3&gt;TODAY()),"",IF(AND(HW125="",HX125=""),"",N(HX125)-N(HW125)))</f>
        <v/>
      </c>
      <c r="IC125">
        <f>IF(OR(IA$3="",IA$3&gt;TODAY()),"",IF(AND(IA125="",IB125=""),"",N(IB125)-N(IA125)))</f>
        <v/>
      </c>
      <c r="IF125">
        <f>IF(OR(IA$3="",IA$3&gt;TODAY()),"",IF(AND(ID125="",IE125=""),"",N(IE125)-N(ID125)))</f>
        <v/>
      </c>
      <c r="IJ125">
        <f>IF(OR(IH$3="",IH$3&gt;TODAY()),"",IF(AND(IH125="",II125=""),"",N(II125)-N(IH125)))</f>
        <v/>
      </c>
      <c r="IM125">
        <f>IF(OR(IH$3="",IH$3&gt;TODAY()),"",IF(AND(IK125="",IL125=""),"",N(IL125)-N(IK125)))</f>
        <v/>
      </c>
    </row>
    <row r="126">
      <c r="A126" s="21" t="n"/>
      <c r="B126" s="21" t="n"/>
      <c r="C126" s="21" t="n"/>
      <c r="D126" s="21" t="n"/>
      <c r="E126" s="21" t="n"/>
      <c r="F126" s="21" t="n"/>
      <c r="G126" s="21" t="n"/>
      <c r="H126" s="21" t="n"/>
      <c r="I126" s="22" t="n"/>
      <c r="J126" s="22" t="n"/>
      <c r="K126" s="23" t="n"/>
      <c r="L126" s="22" t="n"/>
      <c r="M126" s="22" t="n"/>
      <c r="N126" s="21" t="n"/>
      <c r="O126" s="23" t="n"/>
      <c r="P126" s="23" t="n"/>
      <c r="Q126" s="23" t="n"/>
      <c r="R126" s="23" t="n"/>
      <c r="S126" s="22" t="n"/>
      <c r="T126" s="23" t="n"/>
      <c r="U126" s="23" t="n"/>
      <c r="V126" s="24">
        <f>IF(J126&lt;&gt;"",J126,IF(I126&lt;&gt;"",I126,""))</f>
        <v/>
      </c>
      <c r="W126" s="25">
        <f>IF($E126="","",N(O126)+SUMIFS($AF126:$IN126,$AF$4:$IN$4,"SEW_ACT"))</f>
        <v/>
      </c>
      <c r="X126" s="25">
        <f>IF($E126="","",N(P126)+SUMIFS($AF126:$IN126,$AF$4:$IN$4,"WASH_ACT"))</f>
        <v/>
      </c>
      <c r="Y126" s="25">
        <f>IF($E126="","",W126-X126-N(T126)-N(U126))</f>
        <v/>
      </c>
      <c r="Z126" s="25">
        <f>IF($E126="","",IF(N(K126)-X126&lt;=0.02*N(K126),0,N(K126)-X126))</f>
        <v/>
      </c>
      <c r="AA126" s="24">
        <f>IF($E126="","",IF(S126&lt;&gt;"",S126,IF(N(O126)&gt;0,IF(L126&lt;&gt;"",L126,99999),IFERROR(1/(1/_xlfn.MINIFS($AF$3:$IN$3,$AF$4:$IN$4,"SEW_ACT",$AF126:$IN126,"&gt;0")),99999))))</f>
        <v/>
      </c>
      <c r="AB126" s="26">
        <f>IF(OR($E126="",Z126=0,V126=""),"",1+COUNTIFS(Z$8:Z$707,"&gt;0",V$8:V$707,"&lt;"&amp;V126)+COUNTIFS(Z$8:Z$707,"&gt;0",V$8:V$707,V126,AA$8:AA$707,"&lt;"&amp;AA126)+COUNTIFS(Z$8:Z$707,"&gt;0",V$8:V$707,V126,AA$8:AA$707,AA126,E$8:E$707,"&lt;"&amp;$E126))</f>
        <v/>
      </c>
      <c r="AC126" s="24">
        <f>IF(OR($E126="",Z126=0),"",IFERROR(TODAY()+ROUNDUP(Z126/(SUMIFS($AF126:$IN126,$AF$4:$IN$4,"WASH_ACT")/COUNTIFS($AF$4:$IN$4,"WASH_ACT",$AF126:$IN126,"&gt;0")),0),"no output yet"))</f>
        <v/>
      </c>
      <c r="AD126" s="26">
        <f>IF($E126="","",IFERROR(ROUND(MAX(0,SUMIFS($AF126:$IN126,$AF$4:$IN$4,"SEW_PLAN",$AF$3:$IN$3,"&lt;="&amp;TODAY())-SUMIFS($AF126:$IN126,$AF$4:$IN$4,"SEW_ACT",$AF$3:$IN$3,"&lt;="&amp;TODAY())+N(Q126))/(SUMIFS($AF126:$IN126,$AF$4:$IN$4,"SEW_PLAN")/COUNTIFS($AF$4:$IN$4,"SEW_PLAN",$AF126:$IN126,"&gt;0")),1),0))</f>
        <v/>
      </c>
      <c r="AE126" s="26">
        <f>IF($E126="","",IF(AND(Z126&gt;0,OR(AND(M126&lt;&gt;"",TODAY()&gt;M126),AND(V126&lt;&gt;"",V126-TODAY()&lt;=7))),"Yes","No"))</f>
        <v/>
      </c>
      <c r="AH126">
        <f>IF(OR(AF$3="",AF$3&gt;TODAY()),"",IF(AND(AF126="",AG126=""),"",N(AG126)-N(AF126)))</f>
        <v/>
      </c>
      <c r="AK126">
        <f>IF(OR(AF$3="",AF$3&gt;TODAY()),"",IF(AND(AI126="",AJ126=""),"",N(AJ126)-N(AI126)))</f>
        <v/>
      </c>
      <c r="AO126">
        <f>IF(OR(AM$3="",AM$3&gt;TODAY()),"",IF(AND(AM126="",AN126=""),"",N(AN126)-N(AM126)))</f>
        <v/>
      </c>
      <c r="AR126">
        <f>IF(OR(AM$3="",AM$3&gt;TODAY()),"",IF(AND(AP126="",AQ126=""),"",N(AQ126)-N(AP126)))</f>
        <v/>
      </c>
      <c r="AV126">
        <f>IF(OR(AT$3="",AT$3&gt;TODAY()),"",IF(AND(AT126="",AU126=""),"",N(AU126)-N(AT126)))</f>
        <v/>
      </c>
      <c r="AY126">
        <f>IF(OR(AT$3="",AT$3&gt;TODAY()),"",IF(AND(AW126="",AX126=""),"",N(AX126)-N(AW126)))</f>
        <v/>
      </c>
      <c r="BC126">
        <f>IF(OR(BA$3="",BA$3&gt;TODAY()),"",IF(AND(BA126="",BB126=""),"",N(BB126)-N(BA126)))</f>
        <v/>
      </c>
      <c r="BF126">
        <f>IF(OR(BA$3="",BA$3&gt;TODAY()),"",IF(AND(BD126="",BE126=""),"",N(BE126)-N(BD126)))</f>
        <v/>
      </c>
      <c r="BJ126">
        <f>IF(OR(BH$3="",BH$3&gt;TODAY()),"",IF(AND(BH126="",BI126=""),"",N(BI126)-N(BH126)))</f>
        <v/>
      </c>
      <c r="BM126">
        <f>IF(OR(BH$3="",BH$3&gt;TODAY()),"",IF(AND(BK126="",BL126=""),"",N(BL126)-N(BK126)))</f>
        <v/>
      </c>
      <c r="BQ126">
        <f>IF(OR(BO$3="",BO$3&gt;TODAY()),"",IF(AND(BO126="",BP126=""),"",N(BP126)-N(BO126)))</f>
        <v/>
      </c>
      <c r="BT126">
        <f>IF(OR(BO$3="",BO$3&gt;TODAY()),"",IF(AND(BR126="",BS126=""),"",N(BS126)-N(BR126)))</f>
        <v/>
      </c>
      <c r="BX126">
        <f>IF(OR(BV$3="",BV$3&gt;TODAY()),"",IF(AND(BV126="",BW126=""),"",N(BW126)-N(BV126)))</f>
        <v/>
      </c>
      <c r="CA126">
        <f>IF(OR(BV$3="",BV$3&gt;TODAY()),"",IF(AND(BY126="",BZ126=""),"",N(BZ126)-N(BY126)))</f>
        <v/>
      </c>
      <c r="CE126">
        <f>IF(OR(CC$3="",CC$3&gt;TODAY()),"",IF(AND(CC126="",CD126=""),"",N(CD126)-N(CC126)))</f>
        <v/>
      </c>
      <c r="CH126">
        <f>IF(OR(CC$3="",CC$3&gt;TODAY()),"",IF(AND(CF126="",CG126=""),"",N(CG126)-N(CF126)))</f>
        <v/>
      </c>
      <c r="CL126">
        <f>IF(OR(CJ$3="",CJ$3&gt;TODAY()),"",IF(AND(CJ126="",CK126=""),"",N(CK126)-N(CJ126)))</f>
        <v/>
      </c>
      <c r="CO126">
        <f>IF(OR(CJ$3="",CJ$3&gt;TODAY()),"",IF(AND(CM126="",CN126=""),"",N(CN126)-N(CM126)))</f>
        <v/>
      </c>
      <c r="CS126">
        <f>IF(OR(CQ$3="",CQ$3&gt;TODAY()),"",IF(AND(CQ126="",CR126=""),"",N(CR126)-N(CQ126)))</f>
        <v/>
      </c>
      <c r="CV126">
        <f>IF(OR(CQ$3="",CQ$3&gt;TODAY()),"",IF(AND(CT126="",CU126=""),"",N(CU126)-N(CT126)))</f>
        <v/>
      </c>
      <c r="CZ126">
        <f>IF(OR(CX$3="",CX$3&gt;TODAY()),"",IF(AND(CX126="",CY126=""),"",N(CY126)-N(CX126)))</f>
        <v/>
      </c>
      <c r="DC126">
        <f>IF(OR(CX$3="",CX$3&gt;TODAY()),"",IF(AND(DA126="",DB126=""),"",N(DB126)-N(DA126)))</f>
        <v/>
      </c>
      <c r="DG126">
        <f>IF(OR(DE$3="",DE$3&gt;TODAY()),"",IF(AND(DE126="",DF126=""),"",N(DF126)-N(DE126)))</f>
        <v/>
      </c>
      <c r="DJ126">
        <f>IF(OR(DE$3="",DE$3&gt;TODAY()),"",IF(AND(DH126="",DI126=""),"",N(DI126)-N(DH126)))</f>
        <v/>
      </c>
      <c r="DN126">
        <f>IF(OR(DL$3="",DL$3&gt;TODAY()),"",IF(AND(DL126="",DM126=""),"",N(DM126)-N(DL126)))</f>
        <v/>
      </c>
      <c r="DQ126">
        <f>IF(OR(DL$3="",DL$3&gt;TODAY()),"",IF(AND(DO126="",DP126=""),"",N(DP126)-N(DO126)))</f>
        <v/>
      </c>
      <c r="DU126">
        <f>IF(OR(DS$3="",DS$3&gt;TODAY()),"",IF(AND(DS126="",DT126=""),"",N(DT126)-N(DS126)))</f>
        <v/>
      </c>
      <c r="DX126">
        <f>IF(OR(DS$3="",DS$3&gt;TODAY()),"",IF(AND(DV126="",DW126=""),"",N(DW126)-N(DV126)))</f>
        <v/>
      </c>
      <c r="EB126">
        <f>IF(OR(DZ$3="",DZ$3&gt;TODAY()),"",IF(AND(DZ126="",EA126=""),"",N(EA126)-N(DZ126)))</f>
        <v/>
      </c>
      <c r="EE126">
        <f>IF(OR(DZ$3="",DZ$3&gt;TODAY()),"",IF(AND(EC126="",ED126=""),"",N(ED126)-N(EC126)))</f>
        <v/>
      </c>
      <c r="EI126">
        <f>IF(OR(EG$3="",EG$3&gt;TODAY()),"",IF(AND(EG126="",EH126=""),"",N(EH126)-N(EG126)))</f>
        <v/>
      </c>
      <c r="EL126">
        <f>IF(OR(EG$3="",EG$3&gt;TODAY()),"",IF(AND(EJ126="",EK126=""),"",N(EK126)-N(EJ126)))</f>
        <v/>
      </c>
      <c r="EP126">
        <f>IF(OR(EN$3="",EN$3&gt;TODAY()),"",IF(AND(EN126="",EO126=""),"",N(EO126)-N(EN126)))</f>
        <v/>
      </c>
      <c r="ES126">
        <f>IF(OR(EN$3="",EN$3&gt;TODAY()),"",IF(AND(EQ126="",ER126=""),"",N(ER126)-N(EQ126)))</f>
        <v/>
      </c>
      <c r="EW126">
        <f>IF(OR(EU$3="",EU$3&gt;TODAY()),"",IF(AND(EU126="",EV126=""),"",N(EV126)-N(EU126)))</f>
        <v/>
      </c>
      <c r="EZ126">
        <f>IF(OR(EU$3="",EU$3&gt;TODAY()),"",IF(AND(EX126="",EY126=""),"",N(EY126)-N(EX126)))</f>
        <v/>
      </c>
      <c r="FD126">
        <f>IF(OR(FB$3="",FB$3&gt;TODAY()),"",IF(AND(FB126="",FC126=""),"",N(FC126)-N(FB126)))</f>
        <v/>
      </c>
      <c r="FG126">
        <f>IF(OR(FB$3="",FB$3&gt;TODAY()),"",IF(AND(FE126="",FF126=""),"",N(FF126)-N(FE126)))</f>
        <v/>
      </c>
      <c r="FK126">
        <f>IF(OR(FI$3="",FI$3&gt;TODAY()),"",IF(AND(FI126="",FJ126=""),"",N(FJ126)-N(FI126)))</f>
        <v/>
      </c>
      <c r="FN126">
        <f>IF(OR(FI$3="",FI$3&gt;TODAY()),"",IF(AND(FL126="",FM126=""),"",N(FM126)-N(FL126)))</f>
        <v/>
      </c>
      <c r="FR126">
        <f>IF(OR(FP$3="",FP$3&gt;TODAY()),"",IF(AND(FP126="",FQ126=""),"",N(FQ126)-N(FP126)))</f>
        <v/>
      </c>
      <c r="FU126">
        <f>IF(OR(FP$3="",FP$3&gt;TODAY()),"",IF(AND(FS126="",FT126=""),"",N(FT126)-N(FS126)))</f>
        <v/>
      </c>
      <c r="FY126">
        <f>IF(OR(FW$3="",FW$3&gt;TODAY()),"",IF(AND(FW126="",FX126=""),"",N(FX126)-N(FW126)))</f>
        <v/>
      </c>
      <c r="GB126">
        <f>IF(OR(FW$3="",FW$3&gt;TODAY()),"",IF(AND(FZ126="",GA126=""),"",N(GA126)-N(FZ126)))</f>
        <v/>
      </c>
      <c r="GF126">
        <f>IF(OR(GD$3="",GD$3&gt;TODAY()),"",IF(AND(GD126="",GE126=""),"",N(GE126)-N(GD126)))</f>
        <v/>
      </c>
      <c r="GI126">
        <f>IF(OR(GD$3="",GD$3&gt;TODAY()),"",IF(AND(GG126="",GH126=""),"",N(GH126)-N(GG126)))</f>
        <v/>
      </c>
      <c r="GM126">
        <f>IF(OR(GK$3="",GK$3&gt;TODAY()),"",IF(AND(GK126="",GL126=""),"",N(GL126)-N(GK126)))</f>
        <v/>
      </c>
      <c r="GP126">
        <f>IF(OR(GK$3="",GK$3&gt;TODAY()),"",IF(AND(GN126="",GO126=""),"",N(GO126)-N(GN126)))</f>
        <v/>
      </c>
      <c r="GT126">
        <f>IF(OR(GR$3="",GR$3&gt;TODAY()),"",IF(AND(GR126="",GS126=""),"",N(GS126)-N(GR126)))</f>
        <v/>
      </c>
      <c r="GW126">
        <f>IF(OR(GR$3="",GR$3&gt;TODAY()),"",IF(AND(GU126="",GV126=""),"",N(GV126)-N(GU126)))</f>
        <v/>
      </c>
      <c r="HA126">
        <f>IF(OR(GY$3="",GY$3&gt;TODAY()),"",IF(AND(GY126="",GZ126=""),"",N(GZ126)-N(GY126)))</f>
        <v/>
      </c>
      <c r="HD126">
        <f>IF(OR(GY$3="",GY$3&gt;TODAY()),"",IF(AND(HB126="",HC126=""),"",N(HC126)-N(HB126)))</f>
        <v/>
      </c>
      <c r="HH126">
        <f>IF(OR(HF$3="",HF$3&gt;TODAY()),"",IF(AND(HF126="",HG126=""),"",N(HG126)-N(HF126)))</f>
        <v/>
      </c>
      <c r="HK126">
        <f>IF(OR(HF$3="",HF$3&gt;TODAY()),"",IF(AND(HI126="",HJ126=""),"",N(HJ126)-N(HI126)))</f>
        <v/>
      </c>
      <c r="HO126">
        <f>IF(OR(HM$3="",HM$3&gt;TODAY()),"",IF(AND(HM126="",HN126=""),"",N(HN126)-N(HM126)))</f>
        <v/>
      </c>
      <c r="HR126">
        <f>IF(OR(HM$3="",HM$3&gt;TODAY()),"",IF(AND(HP126="",HQ126=""),"",N(HQ126)-N(HP126)))</f>
        <v/>
      </c>
      <c r="HV126">
        <f>IF(OR(HT$3="",HT$3&gt;TODAY()),"",IF(AND(HT126="",HU126=""),"",N(HU126)-N(HT126)))</f>
        <v/>
      </c>
      <c r="HY126">
        <f>IF(OR(HT$3="",HT$3&gt;TODAY()),"",IF(AND(HW126="",HX126=""),"",N(HX126)-N(HW126)))</f>
        <v/>
      </c>
      <c r="IC126">
        <f>IF(OR(IA$3="",IA$3&gt;TODAY()),"",IF(AND(IA126="",IB126=""),"",N(IB126)-N(IA126)))</f>
        <v/>
      </c>
      <c r="IF126">
        <f>IF(OR(IA$3="",IA$3&gt;TODAY()),"",IF(AND(ID126="",IE126=""),"",N(IE126)-N(ID126)))</f>
        <v/>
      </c>
      <c r="IJ126">
        <f>IF(OR(IH$3="",IH$3&gt;TODAY()),"",IF(AND(IH126="",II126=""),"",N(II126)-N(IH126)))</f>
        <v/>
      </c>
      <c r="IM126">
        <f>IF(OR(IH$3="",IH$3&gt;TODAY()),"",IF(AND(IK126="",IL126=""),"",N(IL126)-N(IK126)))</f>
        <v/>
      </c>
    </row>
    <row r="127">
      <c r="A127" s="21" t="n"/>
      <c r="B127" s="21" t="n"/>
      <c r="C127" s="21" t="n"/>
      <c r="D127" s="21" t="n"/>
      <c r="E127" s="21" t="n"/>
      <c r="F127" s="21" t="n"/>
      <c r="G127" s="21" t="n"/>
      <c r="H127" s="21" t="n"/>
      <c r="I127" s="22" t="n"/>
      <c r="J127" s="22" t="n"/>
      <c r="K127" s="23" t="n"/>
      <c r="L127" s="22" t="n"/>
      <c r="M127" s="22" t="n"/>
      <c r="N127" s="21" t="n"/>
      <c r="O127" s="23" t="n"/>
      <c r="P127" s="23" t="n"/>
      <c r="Q127" s="23" t="n"/>
      <c r="R127" s="23" t="n"/>
      <c r="S127" s="22" t="n"/>
      <c r="T127" s="23" t="n"/>
      <c r="U127" s="23" t="n"/>
      <c r="V127" s="24">
        <f>IF(J127&lt;&gt;"",J127,IF(I127&lt;&gt;"",I127,""))</f>
        <v/>
      </c>
      <c r="W127" s="25">
        <f>IF($E127="","",N(O127)+SUMIFS($AF127:$IN127,$AF$4:$IN$4,"SEW_ACT"))</f>
        <v/>
      </c>
      <c r="X127" s="25">
        <f>IF($E127="","",N(P127)+SUMIFS($AF127:$IN127,$AF$4:$IN$4,"WASH_ACT"))</f>
        <v/>
      </c>
      <c r="Y127" s="25">
        <f>IF($E127="","",W127-X127-N(T127)-N(U127))</f>
        <v/>
      </c>
      <c r="Z127" s="25">
        <f>IF($E127="","",IF(N(K127)-X127&lt;=0.02*N(K127),0,N(K127)-X127))</f>
        <v/>
      </c>
      <c r="AA127" s="24">
        <f>IF($E127="","",IF(S127&lt;&gt;"",S127,IF(N(O127)&gt;0,IF(L127&lt;&gt;"",L127,99999),IFERROR(1/(1/_xlfn.MINIFS($AF$3:$IN$3,$AF$4:$IN$4,"SEW_ACT",$AF127:$IN127,"&gt;0")),99999))))</f>
        <v/>
      </c>
      <c r="AB127" s="26">
        <f>IF(OR($E127="",Z127=0,V127=""),"",1+COUNTIFS(Z$8:Z$707,"&gt;0",V$8:V$707,"&lt;"&amp;V127)+COUNTIFS(Z$8:Z$707,"&gt;0",V$8:V$707,V127,AA$8:AA$707,"&lt;"&amp;AA127)+COUNTIFS(Z$8:Z$707,"&gt;0",V$8:V$707,V127,AA$8:AA$707,AA127,E$8:E$707,"&lt;"&amp;$E127))</f>
        <v/>
      </c>
      <c r="AC127" s="24">
        <f>IF(OR($E127="",Z127=0),"",IFERROR(TODAY()+ROUNDUP(Z127/(SUMIFS($AF127:$IN127,$AF$4:$IN$4,"WASH_ACT")/COUNTIFS($AF$4:$IN$4,"WASH_ACT",$AF127:$IN127,"&gt;0")),0),"no output yet"))</f>
        <v/>
      </c>
      <c r="AD127" s="26">
        <f>IF($E127="","",IFERROR(ROUND(MAX(0,SUMIFS($AF127:$IN127,$AF$4:$IN$4,"SEW_PLAN",$AF$3:$IN$3,"&lt;="&amp;TODAY())-SUMIFS($AF127:$IN127,$AF$4:$IN$4,"SEW_ACT",$AF$3:$IN$3,"&lt;="&amp;TODAY())+N(Q127))/(SUMIFS($AF127:$IN127,$AF$4:$IN$4,"SEW_PLAN")/COUNTIFS($AF$4:$IN$4,"SEW_PLAN",$AF127:$IN127,"&gt;0")),1),0))</f>
        <v/>
      </c>
      <c r="AE127" s="26">
        <f>IF($E127="","",IF(AND(Z127&gt;0,OR(AND(M127&lt;&gt;"",TODAY()&gt;M127),AND(V127&lt;&gt;"",V127-TODAY()&lt;=7))),"Yes","No"))</f>
        <v/>
      </c>
      <c r="AH127">
        <f>IF(OR(AF$3="",AF$3&gt;TODAY()),"",IF(AND(AF127="",AG127=""),"",N(AG127)-N(AF127)))</f>
        <v/>
      </c>
      <c r="AK127">
        <f>IF(OR(AF$3="",AF$3&gt;TODAY()),"",IF(AND(AI127="",AJ127=""),"",N(AJ127)-N(AI127)))</f>
        <v/>
      </c>
      <c r="AO127">
        <f>IF(OR(AM$3="",AM$3&gt;TODAY()),"",IF(AND(AM127="",AN127=""),"",N(AN127)-N(AM127)))</f>
        <v/>
      </c>
      <c r="AR127">
        <f>IF(OR(AM$3="",AM$3&gt;TODAY()),"",IF(AND(AP127="",AQ127=""),"",N(AQ127)-N(AP127)))</f>
        <v/>
      </c>
      <c r="AV127">
        <f>IF(OR(AT$3="",AT$3&gt;TODAY()),"",IF(AND(AT127="",AU127=""),"",N(AU127)-N(AT127)))</f>
        <v/>
      </c>
      <c r="AY127">
        <f>IF(OR(AT$3="",AT$3&gt;TODAY()),"",IF(AND(AW127="",AX127=""),"",N(AX127)-N(AW127)))</f>
        <v/>
      </c>
      <c r="BC127">
        <f>IF(OR(BA$3="",BA$3&gt;TODAY()),"",IF(AND(BA127="",BB127=""),"",N(BB127)-N(BA127)))</f>
        <v/>
      </c>
      <c r="BF127">
        <f>IF(OR(BA$3="",BA$3&gt;TODAY()),"",IF(AND(BD127="",BE127=""),"",N(BE127)-N(BD127)))</f>
        <v/>
      </c>
      <c r="BJ127">
        <f>IF(OR(BH$3="",BH$3&gt;TODAY()),"",IF(AND(BH127="",BI127=""),"",N(BI127)-N(BH127)))</f>
        <v/>
      </c>
      <c r="BM127">
        <f>IF(OR(BH$3="",BH$3&gt;TODAY()),"",IF(AND(BK127="",BL127=""),"",N(BL127)-N(BK127)))</f>
        <v/>
      </c>
      <c r="BQ127">
        <f>IF(OR(BO$3="",BO$3&gt;TODAY()),"",IF(AND(BO127="",BP127=""),"",N(BP127)-N(BO127)))</f>
        <v/>
      </c>
      <c r="BT127">
        <f>IF(OR(BO$3="",BO$3&gt;TODAY()),"",IF(AND(BR127="",BS127=""),"",N(BS127)-N(BR127)))</f>
        <v/>
      </c>
      <c r="BX127">
        <f>IF(OR(BV$3="",BV$3&gt;TODAY()),"",IF(AND(BV127="",BW127=""),"",N(BW127)-N(BV127)))</f>
        <v/>
      </c>
      <c r="CA127">
        <f>IF(OR(BV$3="",BV$3&gt;TODAY()),"",IF(AND(BY127="",BZ127=""),"",N(BZ127)-N(BY127)))</f>
        <v/>
      </c>
      <c r="CE127">
        <f>IF(OR(CC$3="",CC$3&gt;TODAY()),"",IF(AND(CC127="",CD127=""),"",N(CD127)-N(CC127)))</f>
        <v/>
      </c>
      <c r="CH127">
        <f>IF(OR(CC$3="",CC$3&gt;TODAY()),"",IF(AND(CF127="",CG127=""),"",N(CG127)-N(CF127)))</f>
        <v/>
      </c>
      <c r="CL127">
        <f>IF(OR(CJ$3="",CJ$3&gt;TODAY()),"",IF(AND(CJ127="",CK127=""),"",N(CK127)-N(CJ127)))</f>
        <v/>
      </c>
      <c r="CO127">
        <f>IF(OR(CJ$3="",CJ$3&gt;TODAY()),"",IF(AND(CM127="",CN127=""),"",N(CN127)-N(CM127)))</f>
        <v/>
      </c>
      <c r="CS127">
        <f>IF(OR(CQ$3="",CQ$3&gt;TODAY()),"",IF(AND(CQ127="",CR127=""),"",N(CR127)-N(CQ127)))</f>
        <v/>
      </c>
      <c r="CV127">
        <f>IF(OR(CQ$3="",CQ$3&gt;TODAY()),"",IF(AND(CT127="",CU127=""),"",N(CU127)-N(CT127)))</f>
        <v/>
      </c>
      <c r="CZ127">
        <f>IF(OR(CX$3="",CX$3&gt;TODAY()),"",IF(AND(CX127="",CY127=""),"",N(CY127)-N(CX127)))</f>
        <v/>
      </c>
      <c r="DC127">
        <f>IF(OR(CX$3="",CX$3&gt;TODAY()),"",IF(AND(DA127="",DB127=""),"",N(DB127)-N(DA127)))</f>
        <v/>
      </c>
      <c r="DG127">
        <f>IF(OR(DE$3="",DE$3&gt;TODAY()),"",IF(AND(DE127="",DF127=""),"",N(DF127)-N(DE127)))</f>
        <v/>
      </c>
      <c r="DJ127">
        <f>IF(OR(DE$3="",DE$3&gt;TODAY()),"",IF(AND(DH127="",DI127=""),"",N(DI127)-N(DH127)))</f>
        <v/>
      </c>
      <c r="DN127">
        <f>IF(OR(DL$3="",DL$3&gt;TODAY()),"",IF(AND(DL127="",DM127=""),"",N(DM127)-N(DL127)))</f>
        <v/>
      </c>
      <c r="DQ127">
        <f>IF(OR(DL$3="",DL$3&gt;TODAY()),"",IF(AND(DO127="",DP127=""),"",N(DP127)-N(DO127)))</f>
        <v/>
      </c>
      <c r="DU127">
        <f>IF(OR(DS$3="",DS$3&gt;TODAY()),"",IF(AND(DS127="",DT127=""),"",N(DT127)-N(DS127)))</f>
        <v/>
      </c>
      <c r="DX127">
        <f>IF(OR(DS$3="",DS$3&gt;TODAY()),"",IF(AND(DV127="",DW127=""),"",N(DW127)-N(DV127)))</f>
        <v/>
      </c>
      <c r="EB127">
        <f>IF(OR(DZ$3="",DZ$3&gt;TODAY()),"",IF(AND(DZ127="",EA127=""),"",N(EA127)-N(DZ127)))</f>
        <v/>
      </c>
      <c r="EE127">
        <f>IF(OR(DZ$3="",DZ$3&gt;TODAY()),"",IF(AND(EC127="",ED127=""),"",N(ED127)-N(EC127)))</f>
        <v/>
      </c>
      <c r="EI127">
        <f>IF(OR(EG$3="",EG$3&gt;TODAY()),"",IF(AND(EG127="",EH127=""),"",N(EH127)-N(EG127)))</f>
        <v/>
      </c>
      <c r="EL127">
        <f>IF(OR(EG$3="",EG$3&gt;TODAY()),"",IF(AND(EJ127="",EK127=""),"",N(EK127)-N(EJ127)))</f>
        <v/>
      </c>
      <c r="EP127">
        <f>IF(OR(EN$3="",EN$3&gt;TODAY()),"",IF(AND(EN127="",EO127=""),"",N(EO127)-N(EN127)))</f>
        <v/>
      </c>
      <c r="ES127">
        <f>IF(OR(EN$3="",EN$3&gt;TODAY()),"",IF(AND(EQ127="",ER127=""),"",N(ER127)-N(EQ127)))</f>
        <v/>
      </c>
      <c r="EW127">
        <f>IF(OR(EU$3="",EU$3&gt;TODAY()),"",IF(AND(EU127="",EV127=""),"",N(EV127)-N(EU127)))</f>
        <v/>
      </c>
      <c r="EZ127">
        <f>IF(OR(EU$3="",EU$3&gt;TODAY()),"",IF(AND(EX127="",EY127=""),"",N(EY127)-N(EX127)))</f>
        <v/>
      </c>
      <c r="FD127">
        <f>IF(OR(FB$3="",FB$3&gt;TODAY()),"",IF(AND(FB127="",FC127=""),"",N(FC127)-N(FB127)))</f>
        <v/>
      </c>
      <c r="FG127">
        <f>IF(OR(FB$3="",FB$3&gt;TODAY()),"",IF(AND(FE127="",FF127=""),"",N(FF127)-N(FE127)))</f>
        <v/>
      </c>
      <c r="FK127">
        <f>IF(OR(FI$3="",FI$3&gt;TODAY()),"",IF(AND(FI127="",FJ127=""),"",N(FJ127)-N(FI127)))</f>
        <v/>
      </c>
      <c r="FN127">
        <f>IF(OR(FI$3="",FI$3&gt;TODAY()),"",IF(AND(FL127="",FM127=""),"",N(FM127)-N(FL127)))</f>
        <v/>
      </c>
      <c r="FR127">
        <f>IF(OR(FP$3="",FP$3&gt;TODAY()),"",IF(AND(FP127="",FQ127=""),"",N(FQ127)-N(FP127)))</f>
        <v/>
      </c>
      <c r="FU127">
        <f>IF(OR(FP$3="",FP$3&gt;TODAY()),"",IF(AND(FS127="",FT127=""),"",N(FT127)-N(FS127)))</f>
        <v/>
      </c>
      <c r="FY127">
        <f>IF(OR(FW$3="",FW$3&gt;TODAY()),"",IF(AND(FW127="",FX127=""),"",N(FX127)-N(FW127)))</f>
        <v/>
      </c>
      <c r="GB127">
        <f>IF(OR(FW$3="",FW$3&gt;TODAY()),"",IF(AND(FZ127="",GA127=""),"",N(GA127)-N(FZ127)))</f>
        <v/>
      </c>
      <c r="GF127">
        <f>IF(OR(GD$3="",GD$3&gt;TODAY()),"",IF(AND(GD127="",GE127=""),"",N(GE127)-N(GD127)))</f>
        <v/>
      </c>
      <c r="GI127">
        <f>IF(OR(GD$3="",GD$3&gt;TODAY()),"",IF(AND(GG127="",GH127=""),"",N(GH127)-N(GG127)))</f>
        <v/>
      </c>
      <c r="GM127">
        <f>IF(OR(GK$3="",GK$3&gt;TODAY()),"",IF(AND(GK127="",GL127=""),"",N(GL127)-N(GK127)))</f>
        <v/>
      </c>
      <c r="GP127">
        <f>IF(OR(GK$3="",GK$3&gt;TODAY()),"",IF(AND(GN127="",GO127=""),"",N(GO127)-N(GN127)))</f>
        <v/>
      </c>
      <c r="GT127">
        <f>IF(OR(GR$3="",GR$3&gt;TODAY()),"",IF(AND(GR127="",GS127=""),"",N(GS127)-N(GR127)))</f>
        <v/>
      </c>
      <c r="GW127">
        <f>IF(OR(GR$3="",GR$3&gt;TODAY()),"",IF(AND(GU127="",GV127=""),"",N(GV127)-N(GU127)))</f>
        <v/>
      </c>
      <c r="HA127">
        <f>IF(OR(GY$3="",GY$3&gt;TODAY()),"",IF(AND(GY127="",GZ127=""),"",N(GZ127)-N(GY127)))</f>
        <v/>
      </c>
      <c r="HD127">
        <f>IF(OR(GY$3="",GY$3&gt;TODAY()),"",IF(AND(HB127="",HC127=""),"",N(HC127)-N(HB127)))</f>
        <v/>
      </c>
      <c r="HH127">
        <f>IF(OR(HF$3="",HF$3&gt;TODAY()),"",IF(AND(HF127="",HG127=""),"",N(HG127)-N(HF127)))</f>
        <v/>
      </c>
      <c r="HK127">
        <f>IF(OR(HF$3="",HF$3&gt;TODAY()),"",IF(AND(HI127="",HJ127=""),"",N(HJ127)-N(HI127)))</f>
        <v/>
      </c>
      <c r="HO127">
        <f>IF(OR(HM$3="",HM$3&gt;TODAY()),"",IF(AND(HM127="",HN127=""),"",N(HN127)-N(HM127)))</f>
        <v/>
      </c>
      <c r="HR127">
        <f>IF(OR(HM$3="",HM$3&gt;TODAY()),"",IF(AND(HP127="",HQ127=""),"",N(HQ127)-N(HP127)))</f>
        <v/>
      </c>
      <c r="HV127">
        <f>IF(OR(HT$3="",HT$3&gt;TODAY()),"",IF(AND(HT127="",HU127=""),"",N(HU127)-N(HT127)))</f>
        <v/>
      </c>
      <c r="HY127">
        <f>IF(OR(HT$3="",HT$3&gt;TODAY()),"",IF(AND(HW127="",HX127=""),"",N(HX127)-N(HW127)))</f>
        <v/>
      </c>
      <c r="IC127">
        <f>IF(OR(IA$3="",IA$3&gt;TODAY()),"",IF(AND(IA127="",IB127=""),"",N(IB127)-N(IA127)))</f>
        <v/>
      </c>
      <c r="IF127">
        <f>IF(OR(IA$3="",IA$3&gt;TODAY()),"",IF(AND(ID127="",IE127=""),"",N(IE127)-N(ID127)))</f>
        <v/>
      </c>
      <c r="IJ127">
        <f>IF(OR(IH$3="",IH$3&gt;TODAY()),"",IF(AND(IH127="",II127=""),"",N(II127)-N(IH127)))</f>
        <v/>
      </c>
      <c r="IM127">
        <f>IF(OR(IH$3="",IH$3&gt;TODAY()),"",IF(AND(IK127="",IL127=""),"",N(IL127)-N(IK127)))</f>
        <v/>
      </c>
    </row>
    <row r="128">
      <c r="A128" s="21" t="n"/>
      <c r="B128" s="21" t="n"/>
      <c r="C128" s="21" t="n"/>
      <c r="D128" s="21" t="n"/>
      <c r="E128" s="21" t="n"/>
      <c r="F128" s="21" t="n"/>
      <c r="G128" s="21" t="n"/>
      <c r="H128" s="21" t="n"/>
      <c r="I128" s="22" t="n"/>
      <c r="J128" s="22" t="n"/>
      <c r="K128" s="23" t="n"/>
      <c r="L128" s="22" t="n"/>
      <c r="M128" s="22" t="n"/>
      <c r="N128" s="21" t="n"/>
      <c r="O128" s="23" t="n"/>
      <c r="P128" s="23" t="n"/>
      <c r="Q128" s="23" t="n"/>
      <c r="R128" s="23" t="n"/>
      <c r="S128" s="22" t="n"/>
      <c r="T128" s="23" t="n"/>
      <c r="U128" s="23" t="n"/>
      <c r="V128" s="24">
        <f>IF(J128&lt;&gt;"",J128,IF(I128&lt;&gt;"",I128,""))</f>
        <v/>
      </c>
      <c r="W128" s="25">
        <f>IF($E128="","",N(O128)+SUMIFS($AF128:$IN128,$AF$4:$IN$4,"SEW_ACT"))</f>
        <v/>
      </c>
      <c r="X128" s="25">
        <f>IF($E128="","",N(P128)+SUMIFS($AF128:$IN128,$AF$4:$IN$4,"WASH_ACT"))</f>
        <v/>
      </c>
      <c r="Y128" s="25">
        <f>IF($E128="","",W128-X128-N(T128)-N(U128))</f>
        <v/>
      </c>
      <c r="Z128" s="25">
        <f>IF($E128="","",IF(N(K128)-X128&lt;=0.02*N(K128),0,N(K128)-X128))</f>
        <v/>
      </c>
      <c r="AA128" s="24">
        <f>IF($E128="","",IF(S128&lt;&gt;"",S128,IF(N(O128)&gt;0,IF(L128&lt;&gt;"",L128,99999),IFERROR(1/(1/_xlfn.MINIFS($AF$3:$IN$3,$AF$4:$IN$4,"SEW_ACT",$AF128:$IN128,"&gt;0")),99999))))</f>
        <v/>
      </c>
      <c r="AB128" s="26">
        <f>IF(OR($E128="",Z128=0,V128=""),"",1+COUNTIFS(Z$8:Z$707,"&gt;0",V$8:V$707,"&lt;"&amp;V128)+COUNTIFS(Z$8:Z$707,"&gt;0",V$8:V$707,V128,AA$8:AA$707,"&lt;"&amp;AA128)+COUNTIFS(Z$8:Z$707,"&gt;0",V$8:V$707,V128,AA$8:AA$707,AA128,E$8:E$707,"&lt;"&amp;$E128))</f>
        <v/>
      </c>
      <c r="AC128" s="24">
        <f>IF(OR($E128="",Z128=0),"",IFERROR(TODAY()+ROUNDUP(Z128/(SUMIFS($AF128:$IN128,$AF$4:$IN$4,"WASH_ACT")/COUNTIFS($AF$4:$IN$4,"WASH_ACT",$AF128:$IN128,"&gt;0")),0),"no output yet"))</f>
        <v/>
      </c>
      <c r="AD128" s="26">
        <f>IF($E128="","",IFERROR(ROUND(MAX(0,SUMIFS($AF128:$IN128,$AF$4:$IN$4,"SEW_PLAN",$AF$3:$IN$3,"&lt;="&amp;TODAY())-SUMIFS($AF128:$IN128,$AF$4:$IN$4,"SEW_ACT",$AF$3:$IN$3,"&lt;="&amp;TODAY())+N(Q128))/(SUMIFS($AF128:$IN128,$AF$4:$IN$4,"SEW_PLAN")/COUNTIFS($AF$4:$IN$4,"SEW_PLAN",$AF128:$IN128,"&gt;0")),1),0))</f>
        <v/>
      </c>
      <c r="AE128" s="26">
        <f>IF($E128="","",IF(AND(Z128&gt;0,OR(AND(M128&lt;&gt;"",TODAY()&gt;M128),AND(V128&lt;&gt;"",V128-TODAY()&lt;=7))),"Yes","No"))</f>
        <v/>
      </c>
      <c r="AH128">
        <f>IF(OR(AF$3="",AF$3&gt;TODAY()),"",IF(AND(AF128="",AG128=""),"",N(AG128)-N(AF128)))</f>
        <v/>
      </c>
      <c r="AK128">
        <f>IF(OR(AF$3="",AF$3&gt;TODAY()),"",IF(AND(AI128="",AJ128=""),"",N(AJ128)-N(AI128)))</f>
        <v/>
      </c>
      <c r="AO128">
        <f>IF(OR(AM$3="",AM$3&gt;TODAY()),"",IF(AND(AM128="",AN128=""),"",N(AN128)-N(AM128)))</f>
        <v/>
      </c>
      <c r="AR128">
        <f>IF(OR(AM$3="",AM$3&gt;TODAY()),"",IF(AND(AP128="",AQ128=""),"",N(AQ128)-N(AP128)))</f>
        <v/>
      </c>
      <c r="AV128">
        <f>IF(OR(AT$3="",AT$3&gt;TODAY()),"",IF(AND(AT128="",AU128=""),"",N(AU128)-N(AT128)))</f>
        <v/>
      </c>
      <c r="AY128">
        <f>IF(OR(AT$3="",AT$3&gt;TODAY()),"",IF(AND(AW128="",AX128=""),"",N(AX128)-N(AW128)))</f>
        <v/>
      </c>
      <c r="BC128">
        <f>IF(OR(BA$3="",BA$3&gt;TODAY()),"",IF(AND(BA128="",BB128=""),"",N(BB128)-N(BA128)))</f>
        <v/>
      </c>
      <c r="BF128">
        <f>IF(OR(BA$3="",BA$3&gt;TODAY()),"",IF(AND(BD128="",BE128=""),"",N(BE128)-N(BD128)))</f>
        <v/>
      </c>
      <c r="BJ128">
        <f>IF(OR(BH$3="",BH$3&gt;TODAY()),"",IF(AND(BH128="",BI128=""),"",N(BI128)-N(BH128)))</f>
        <v/>
      </c>
      <c r="BM128">
        <f>IF(OR(BH$3="",BH$3&gt;TODAY()),"",IF(AND(BK128="",BL128=""),"",N(BL128)-N(BK128)))</f>
        <v/>
      </c>
      <c r="BQ128">
        <f>IF(OR(BO$3="",BO$3&gt;TODAY()),"",IF(AND(BO128="",BP128=""),"",N(BP128)-N(BO128)))</f>
        <v/>
      </c>
      <c r="BT128">
        <f>IF(OR(BO$3="",BO$3&gt;TODAY()),"",IF(AND(BR128="",BS128=""),"",N(BS128)-N(BR128)))</f>
        <v/>
      </c>
      <c r="BX128">
        <f>IF(OR(BV$3="",BV$3&gt;TODAY()),"",IF(AND(BV128="",BW128=""),"",N(BW128)-N(BV128)))</f>
        <v/>
      </c>
      <c r="CA128">
        <f>IF(OR(BV$3="",BV$3&gt;TODAY()),"",IF(AND(BY128="",BZ128=""),"",N(BZ128)-N(BY128)))</f>
        <v/>
      </c>
      <c r="CE128">
        <f>IF(OR(CC$3="",CC$3&gt;TODAY()),"",IF(AND(CC128="",CD128=""),"",N(CD128)-N(CC128)))</f>
        <v/>
      </c>
      <c r="CH128">
        <f>IF(OR(CC$3="",CC$3&gt;TODAY()),"",IF(AND(CF128="",CG128=""),"",N(CG128)-N(CF128)))</f>
        <v/>
      </c>
      <c r="CL128">
        <f>IF(OR(CJ$3="",CJ$3&gt;TODAY()),"",IF(AND(CJ128="",CK128=""),"",N(CK128)-N(CJ128)))</f>
        <v/>
      </c>
      <c r="CO128">
        <f>IF(OR(CJ$3="",CJ$3&gt;TODAY()),"",IF(AND(CM128="",CN128=""),"",N(CN128)-N(CM128)))</f>
        <v/>
      </c>
      <c r="CS128">
        <f>IF(OR(CQ$3="",CQ$3&gt;TODAY()),"",IF(AND(CQ128="",CR128=""),"",N(CR128)-N(CQ128)))</f>
        <v/>
      </c>
      <c r="CV128">
        <f>IF(OR(CQ$3="",CQ$3&gt;TODAY()),"",IF(AND(CT128="",CU128=""),"",N(CU128)-N(CT128)))</f>
        <v/>
      </c>
      <c r="CZ128">
        <f>IF(OR(CX$3="",CX$3&gt;TODAY()),"",IF(AND(CX128="",CY128=""),"",N(CY128)-N(CX128)))</f>
        <v/>
      </c>
      <c r="DC128">
        <f>IF(OR(CX$3="",CX$3&gt;TODAY()),"",IF(AND(DA128="",DB128=""),"",N(DB128)-N(DA128)))</f>
        <v/>
      </c>
      <c r="DG128">
        <f>IF(OR(DE$3="",DE$3&gt;TODAY()),"",IF(AND(DE128="",DF128=""),"",N(DF128)-N(DE128)))</f>
        <v/>
      </c>
      <c r="DJ128">
        <f>IF(OR(DE$3="",DE$3&gt;TODAY()),"",IF(AND(DH128="",DI128=""),"",N(DI128)-N(DH128)))</f>
        <v/>
      </c>
      <c r="DN128">
        <f>IF(OR(DL$3="",DL$3&gt;TODAY()),"",IF(AND(DL128="",DM128=""),"",N(DM128)-N(DL128)))</f>
        <v/>
      </c>
      <c r="DQ128">
        <f>IF(OR(DL$3="",DL$3&gt;TODAY()),"",IF(AND(DO128="",DP128=""),"",N(DP128)-N(DO128)))</f>
        <v/>
      </c>
      <c r="DU128">
        <f>IF(OR(DS$3="",DS$3&gt;TODAY()),"",IF(AND(DS128="",DT128=""),"",N(DT128)-N(DS128)))</f>
        <v/>
      </c>
      <c r="DX128">
        <f>IF(OR(DS$3="",DS$3&gt;TODAY()),"",IF(AND(DV128="",DW128=""),"",N(DW128)-N(DV128)))</f>
        <v/>
      </c>
      <c r="EB128">
        <f>IF(OR(DZ$3="",DZ$3&gt;TODAY()),"",IF(AND(DZ128="",EA128=""),"",N(EA128)-N(DZ128)))</f>
        <v/>
      </c>
      <c r="EE128">
        <f>IF(OR(DZ$3="",DZ$3&gt;TODAY()),"",IF(AND(EC128="",ED128=""),"",N(ED128)-N(EC128)))</f>
        <v/>
      </c>
      <c r="EI128">
        <f>IF(OR(EG$3="",EG$3&gt;TODAY()),"",IF(AND(EG128="",EH128=""),"",N(EH128)-N(EG128)))</f>
        <v/>
      </c>
      <c r="EL128">
        <f>IF(OR(EG$3="",EG$3&gt;TODAY()),"",IF(AND(EJ128="",EK128=""),"",N(EK128)-N(EJ128)))</f>
        <v/>
      </c>
      <c r="EP128">
        <f>IF(OR(EN$3="",EN$3&gt;TODAY()),"",IF(AND(EN128="",EO128=""),"",N(EO128)-N(EN128)))</f>
        <v/>
      </c>
      <c r="ES128">
        <f>IF(OR(EN$3="",EN$3&gt;TODAY()),"",IF(AND(EQ128="",ER128=""),"",N(ER128)-N(EQ128)))</f>
        <v/>
      </c>
      <c r="EW128">
        <f>IF(OR(EU$3="",EU$3&gt;TODAY()),"",IF(AND(EU128="",EV128=""),"",N(EV128)-N(EU128)))</f>
        <v/>
      </c>
      <c r="EZ128">
        <f>IF(OR(EU$3="",EU$3&gt;TODAY()),"",IF(AND(EX128="",EY128=""),"",N(EY128)-N(EX128)))</f>
        <v/>
      </c>
      <c r="FD128">
        <f>IF(OR(FB$3="",FB$3&gt;TODAY()),"",IF(AND(FB128="",FC128=""),"",N(FC128)-N(FB128)))</f>
        <v/>
      </c>
      <c r="FG128">
        <f>IF(OR(FB$3="",FB$3&gt;TODAY()),"",IF(AND(FE128="",FF128=""),"",N(FF128)-N(FE128)))</f>
        <v/>
      </c>
      <c r="FK128">
        <f>IF(OR(FI$3="",FI$3&gt;TODAY()),"",IF(AND(FI128="",FJ128=""),"",N(FJ128)-N(FI128)))</f>
        <v/>
      </c>
      <c r="FN128">
        <f>IF(OR(FI$3="",FI$3&gt;TODAY()),"",IF(AND(FL128="",FM128=""),"",N(FM128)-N(FL128)))</f>
        <v/>
      </c>
      <c r="FR128">
        <f>IF(OR(FP$3="",FP$3&gt;TODAY()),"",IF(AND(FP128="",FQ128=""),"",N(FQ128)-N(FP128)))</f>
        <v/>
      </c>
      <c r="FU128">
        <f>IF(OR(FP$3="",FP$3&gt;TODAY()),"",IF(AND(FS128="",FT128=""),"",N(FT128)-N(FS128)))</f>
        <v/>
      </c>
      <c r="FY128">
        <f>IF(OR(FW$3="",FW$3&gt;TODAY()),"",IF(AND(FW128="",FX128=""),"",N(FX128)-N(FW128)))</f>
        <v/>
      </c>
      <c r="GB128">
        <f>IF(OR(FW$3="",FW$3&gt;TODAY()),"",IF(AND(FZ128="",GA128=""),"",N(GA128)-N(FZ128)))</f>
        <v/>
      </c>
      <c r="GF128">
        <f>IF(OR(GD$3="",GD$3&gt;TODAY()),"",IF(AND(GD128="",GE128=""),"",N(GE128)-N(GD128)))</f>
        <v/>
      </c>
      <c r="GI128">
        <f>IF(OR(GD$3="",GD$3&gt;TODAY()),"",IF(AND(GG128="",GH128=""),"",N(GH128)-N(GG128)))</f>
        <v/>
      </c>
      <c r="GM128">
        <f>IF(OR(GK$3="",GK$3&gt;TODAY()),"",IF(AND(GK128="",GL128=""),"",N(GL128)-N(GK128)))</f>
        <v/>
      </c>
      <c r="GP128">
        <f>IF(OR(GK$3="",GK$3&gt;TODAY()),"",IF(AND(GN128="",GO128=""),"",N(GO128)-N(GN128)))</f>
        <v/>
      </c>
      <c r="GT128">
        <f>IF(OR(GR$3="",GR$3&gt;TODAY()),"",IF(AND(GR128="",GS128=""),"",N(GS128)-N(GR128)))</f>
        <v/>
      </c>
      <c r="GW128">
        <f>IF(OR(GR$3="",GR$3&gt;TODAY()),"",IF(AND(GU128="",GV128=""),"",N(GV128)-N(GU128)))</f>
        <v/>
      </c>
      <c r="HA128">
        <f>IF(OR(GY$3="",GY$3&gt;TODAY()),"",IF(AND(GY128="",GZ128=""),"",N(GZ128)-N(GY128)))</f>
        <v/>
      </c>
      <c r="HD128">
        <f>IF(OR(GY$3="",GY$3&gt;TODAY()),"",IF(AND(HB128="",HC128=""),"",N(HC128)-N(HB128)))</f>
        <v/>
      </c>
      <c r="HH128">
        <f>IF(OR(HF$3="",HF$3&gt;TODAY()),"",IF(AND(HF128="",HG128=""),"",N(HG128)-N(HF128)))</f>
        <v/>
      </c>
      <c r="HK128">
        <f>IF(OR(HF$3="",HF$3&gt;TODAY()),"",IF(AND(HI128="",HJ128=""),"",N(HJ128)-N(HI128)))</f>
        <v/>
      </c>
      <c r="HO128">
        <f>IF(OR(HM$3="",HM$3&gt;TODAY()),"",IF(AND(HM128="",HN128=""),"",N(HN128)-N(HM128)))</f>
        <v/>
      </c>
      <c r="HR128">
        <f>IF(OR(HM$3="",HM$3&gt;TODAY()),"",IF(AND(HP128="",HQ128=""),"",N(HQ128)-N(HP128)))</f>
        <v/>
      </c>
      <c r="HV128">
        <f>IF(OR(HT$3="",HT$3&gt;TODAY()),"",IF(AND(HT128="",HU128=""),"",N(HU128)-N(HT128)))</f>
        <v/>
      </c>
      <c r="HY128">
        <f>IF(OR(HT$3="",HT$3&gt;TODAY()),"",IF(AND(HW128="",HX128=""),"",N(HX128)-N(HW128)))</f>
        <v/>
      </c>
      <c r="IC128">
        <f>IF(OR(IA$3="",IA$3&gt;TODAY()),"",IF(AND(IA128="",IB128=""),"",N(IB128)-N(IA128)))</f>
        <v/>
      </c>
      <c r="IF128">
        <f>IF(OR(IA$3="",IA$3&gt;TODAY()),"",IF(AND(ID128="",IE128=""),"",N(IE128)-N(ID128)))</f>
        <v/>
      </c>
      <c r="IJ128">
        <f>IF(OR(IH$3="",IH$3&gt;TODAY()),"",IF(AND(IH128="",II128=""),"",N(II128)-N(IH128)))</f>
        <v/>
      </c>
      <c r="IM128">
        <f>IF(OR(IH$3="",IH$3&gt;TODAY()),"",IF(AND(IK128="",IL128=""),"",N(IL128)-N(IK128)))</f>
        <v/>
      </c>
    </row>
    <row r="129">
      <c r="A129" s="21" t="n"/>
      <c r="B129" s="21" t="n"/>
      <c r="C129" s="21" t="n"/>
      <c r="D129" s="21" t="n"/>
      <c r="E129" s="21" t="n"/>
      <c r="F129" s="21" t="n"/>
      <c r="G129" s="21" t="n"/>
      <c r="H129" s="21" t="n"/>
      <c r="I129" s="22" t="n"/>
      <c r="J129" s="22" t="n"/>
      <c r="K129" s="23" t="n"/>
      <c r="L129" s="22" t="n"/>
      <c r="M129" s="22" t="n"/>
      <c r="N129" s="21" t="n"/>
      <c r="O129" s="23" t="n"/>
      <c r="P129" s="23" t="n"/>
      <c r="Q129" s="23" t="n"/>
      <c r="R129" s="23" t="n"/>
      <c r="S129" s="22" t="n"/>
      <c r="T129" s="23" t="n"/>
      <c r="U129" s="23" t="n"/>
      <c r="V129" s="24">
        <f>IF(J129&lt;&gt;"",J129,IF(I129&lt;&gt;"",I129,""))</f>
        <v/>
      </c>
      <c r="W129" s="25">
        <f>IF($E129="","",N(O129)+SUMIFS($AF129:$IN129,$AF$4:$IN$4,"SEW_ACT"))</f>
        <v/>
      </c>
      <c r="X129" s="25">
        <f>IF($E129="","",N(P129)+SUMIFS($AF129:$IN129,$AF$4:$IN$4,"WASH_ACT"))</f>
        <v/>
      </c>
      <c r="Y129" s="25">
        <f>IF($E129="","",W129-X129-N(T129)-N(U129))</f>
        <v/>
      </c>
      <c r="Z129" s="25">
        <f>IF($E129="","",IF(N(K129)-X129&lt;=0.02*N(K129),0,N(K129)-X129))</f>
        <v/>
      </c>
      <c r="AA129" s="24">
        <f>IF($E129="","",IF(S129&lt;&gt;"",S129,IF(N(O129)&gt;0,IF(L129&lt;&gt;"",L129,99999),IFERROR(1/(1/_xlfn.MINIFS($AF$3:$IN$3,$AF$4:$IN$4,"SEW_ACT",$AF129:$IN129,"&gt;0")),99999))))</f>
        <v/>
      </c>
      <c r="AB129" s="26">
        <f>IF(OR($E129="",Z129=0,V129=""),"",1+COUNTIFS(Z$8:Z$707,"&gt;0",V$8:V$707,"&lt;"&amp;V129)+COUNTIFS(Z$8:Z$707,"&gt;0",V$8:V$707,V129,AA$8:AA$707,"&lt;"&amp;AA129)+COUNTIFS(Z$8:Z$707,"&gt;0",V$8:V$707,V129,AA$8:AA$707,AA129,E$8:E$707,"&lt;"&amp;$E129))</f>
        <v/>
      </c>
      <c r="AC129" s="24">
        <f>IF(OR($E129="",Z129=0),"",IFERROR(TODAY()+ROUNDUP(Z129/(SUMIFS($AF129:$IN129,$AF$4:$IN$4,"WASH_ACT")/COUNTIFS($AF$4:$IN$4,"WASH_ACT",$AF129:$IN129,"&gt;0")),0),"no output yet"))</f>
        <v/>
      </c>
      <c r="AD129" s="26">
        <f>IF($E129="","",IFERROR(ROUND(MAX(0,SUMIFS($AF129:$IN129,$AF$4:$IN$4,"SEW_PLAN",$AF$3:$IN$3,"&lt;="&amp;TODAY())-SUMIFS($AF129:$IN129,$AF$4:$IN$4,"SEW_ACT",$AF$3:$IN$3,"&lt;="&amp;TODAY())+N(Q129))/(SUMIFS($AF129:$IN129,$AF$4:$IN$4,"SEW_PLAN")/COUNTIFS($AF$4:$IN$4,"SEW_PLAN",$AF129:$IN129,"&gt;0")),1),0))</f>
        <v/>
      </c>
      <c r="AE129" s="26">
        <f>IF($E129="","",IF(AND(Z129&gt;0,OR(AND(M129&lt;&gt;"",TODAY()&gt;M129),AND(V129&lt;&gt;"",V129-TODAY()&lt;=7))),"Yes","No"))</f>
        <v/>
      </c>
      <c r="AH129">
        <f>IF(OR(AF$3="",AF$3&gt;TODAY()),"",IF(AND(AF129="",AG129=""),"",N(AG129)-N(AF129)))</f>
        <v/>
      </c>
      <c r="AK129">
        <f>IF(OR(AF$3="",AF$3&gt;TODAY()),"",IF(AND(AI129="",AJ129=""),"",N(AJ129)-N(AI129)))</f>
        <v/>
      </c>
      <c r="AO129">
        <f>IF(OR(AM$3="",AM$3&gt;TODAY()),"",IF(AND(AM129="",AN129=""),"",N(AN129)-N(AM129)))</f>
        <v/>
      </c>
      <c r="AR129">
        <f>IF(OR(AM$3="",AM$3&gt;TODAY()),"",IF(AND(AP129="",AQ129=""),"",N(AQ129)-N(AP129)))</f>
        <v/>
      </c>
      <c r="AV129">
        <f>IF(OR(AT$3="",AT$3&gt;TODAY()),"",IF(AND(AT129="",AU129=""),"",N(AU129)-N(AT129)))</f>
        <v/>
      </c>
      <c r="AY129">
        <f>IF(OR(AT$3="",AT$3&gt;TODAY()),"",IF(AND(AW129="",AX129=""),"",N(AX129)-N(AW129)))</f>
        <v/>
      </c>
      <c r="BC129">
        <f>IF(OR(BA$3="",BA$3&gt;TODAY()),"",IF(AND(BA129="",BB129=""),"",N(BB129)-N(BA129)))</f>
        <v/>
      </c>
      <c r="BF129">
        <f>IF(OR(BA$3="",BA$3&gt;TODAY()),"",IF(AND(BD129="",BE129=""),"",N(BE129)-N(BD129)))</f>
        <v/>
      </c>
      <c r="BJ129">
        <f>IF(OR(BH$3="",BH$3&gt;TODAY()),"",IF(AND(BH129="",BI129=""),"",N(BI129)-N(BH129)))</f>
        <v/>
      </c>
      <c r="BM129">
        <f>IF(OR(BH$3="",BH$3&gt;TODAY()),"",IF(AND(BK129="",BL129=""),"",N(BL129)-N(BK129)))</f>
        <v/>
      </c>
      <c r="BQ129">
        <f>IF(OR(BO$3="",BO$3&gt;TODAY()),"",IF(AND(BO129="",BP129=""),"",N(BP129)-N(BO129)))</f>
        <v/>
      </c>
      <c r="BT129">
        <f>IF(OR(BO$3="",BO$3&gt;TODAY()),"",IF(AND(BR129="",BS129=""),"",N(BS129)-N(BR129)))</f>
        <v/>
      </c>
      <c r="BX129">
        <f>IF(OR(BV$3="",BV$3&gt;TODAY()),"",IF(AND(BV129="",BW129=""),"",N(BW129)-N(BV129)))</f>
        <v/>
      </c>
      <c r="CA129">
        <f>IF(OR(BV$3="",BV$3&gt;TODAY()),"",IF(AND(BY129="",BZ129=""),"",N(BZ129)-N(BY129)))</f>
        <v/>
      </c>
      <c r="CE129">
        <f>IF(OR(CC$3="",CC$3&gt;TODAY()),"",IF(AND(CC129="",CD129=""),"",N(CD129)-N(CC129)))</f>
        <v/>
      </c>
      <c r="CH129">
        <f>IF(OR(CC$3="",CC$3&gt;TODAY()),"",IF(AND(CF129="",CG129=""),"",N(CG129)-N(CF129)))</f>
        <v/>
      </c>
      <c r="CL129">
        <f>IF(OR(CJ$3="",CJ$3&gt;TODAY()),"",IF(AND(CJ129="",CK129=""),"",N(CK129)-N(CJ129)))</f>
        <v/>
      </c>
      <c r="CO129">
        <f>IF(OR(CJ$3="",CJ$3&gt;TODAY()),"",IF(AND(CM129="",CN129=""),"",N(CN129)-N(CM129)))</f>
        <v/>
      </c>
      <c r="CS129">
        <f>IF(OR(CQ$3="",CQ$3&gt;TODAY()),"",IF(AND(CQ129="",CR129=""),"",N(CR129)-N(CQ129)))</f>
        <v/>
      </c>
      <c r="CV129">
        <f>IF(OR(CQ$3="",CQ$3&gt;TODAY()),"",IF(AND(CT129="",CU129=""),"",N(CU129)-N(CT129)))</f>
        <v/>
      </c>
      <c r="CZ129">
        <f>IF(OR(CX$3="",CX$3&gt;TODAY()),"",IF(AND(CX129="",CY129=""),"",N(CY129)-N(CX129)))</f>
        <v/>
      </c>
      <c r="DC129">
        <f>IF(OR(CX$3="",CX$3&gt;TODAY()),"",IF(AND(DA129="",DB129=""),"",N(DB129)-N(DA129)))</f>
        <v/>
      </c>
      <c r="DG129">
        <f>IF(OR(DE$3="",DE$3&gt;TODAY()),"",IF(AND(DE129="",DF129=""),"",N(DF129)-N(DE129)))</f>
        <v/>
      </c>
      <c r="DJ129">
        <f>IF(OR(DE$3="",DE$3&gt;TODAY()),"",IF(AND(DH129="",DI129=""),"",N(DI129)-N(DH129)))</f>
        <v/>
      </c>
      <c r="DN129">
        <f>IF(OR(DL$3="",DL$3&gt;TODAY()),"",IF(AND(DL129="",DM129=""),"",N(DM129)-N(DL129)))</f>
        <v/>
      </c>
      <c r="DQ129">
        <f>IF(OR(DL$3="",DL$3&gt;TODAY()),"",IF(AND(DO129="",DP129=""),"",N(DP129)-N(DO129)))</f>
        <v/>
      </c>
      <c r="DU129">
        <f>IF(OR(DS$3="",DS$3&gt;TODAY()),"",IF(AND(DS129="",DT129=""),"",N(DT129)-N(DS129)))</f>
        <v/>
      </c>
      <c r="DX129">
        <f>IF(OR(DS$3="",DS$3&gt;TODAY()),"",IF(AND(DV129="",DW129=""),"",N(DW129)-N(DV129)))</f>
        <v/>
      </c>
      <c r="EB129">
        <f>IF(OR(DZ$3="",DZ$3&gt;TODAY()),"",IF(AND(DZ129="",EA129=""),"",N(EA129)-N(DZ129)))</f>
        <v/>
      </c>
      <c r="EE129">
        <f>IF(OR(DZ$3="",DZ$3&gt;TODAY()),"",IF(AND(EC129="",ED129=""),"",N(ED129)-N(EC129)))</f>
        <v/>
      </c>
      <c r="EI129">
        <f>IF(OR(EG$3="",EG$3&gt;TODAY()),"",IF(AND(EG129="",EH129=""),"",N(EH129)-N(EG129)))</f>
        <v/>
      </c>
      <c r="EL129">
        <f>IF(OR(EG$3="",EG$3&gt;TODAY()),"",IF(AND(EJ129="",EK129=""),"",N(EK129)-N(EJ129)))</f>
        <v/>
      </c>
      <c r="EP129">
        <f>IF(OR(EN$3="",EN$3&gt;TODAY()),"",IF(AND(EN129="",EO129=""),"",N(EO129)-N(EN129)))</f>
        <v/>
      </c>
      <c r="ES129">
        <f>IF(OR(EN$3="",EN$3&gt;TODAY()),"",IF(AND(EQ129="",ER129=""),"",N(ER129)-N(EQ129)))</f>
        <v/>
      </c>
      <c r="EW129">
        <f>IF(OR(EU$3="",EU$3&gt;TODAY()),"",IF(AND(EU129="",EV129=""),"",N(EV129)-N(EU129)))</f>
        <v/>
      </c>
      <c r="EZ129">
        <f>IF(OR(EU$3="",EU$3&gt;TODAY()),"",IF(AND(EX129="",EY129=""),"",N(EY129)-N(EX129)))</f>
        <v/>
      </c>
      <c r="FD129">
        <f>IF(OR(FB$3="",FB$3&gt;TODAY()),"",IF(AND(FB129="",FC129=""),"",N(FC129)-N(FB129)))</f>
        <v/>
      </c>
      <c r="FG129">
        <f>IF(OR(FB$3="",FB$3&gt;TODAY()),"",IF(AND(FE129="",FF129=""),"",N(FF129)-N(FE129)))</f>
        <v/>
      </c>
      <c r="FK129">
        <f>IF(OR(FI$3="",FI$3&gt;TODAY()),"",IF(AND(FI129="",FJ129=""),"",N(FJ129)-N(FI129)))</f>
        <v/>
      </c>
      <c r="FN129">
        <f>IF(OR(FI$3="",FI$3&gt;TODAY()),"",IF(AND(FL129="",FM129=""),"",N(FM129)-N(FL129)))</f>
        <v/>
      </c>
      <c r="FR129">
        <f>IF(OR(FP$3="",FP$3&gt;TODAY()),"",IF(AND(FP129="",FQ129=""),"",N(FQ129)-N(FP129)))</f>
        <v/>
      </c>
      <c r="FU129">
        <f>IF(OR(FP$3="",FP$3&gt;TODAY()),"",IF(AND(FS129="",FT129=""),"",N(FT129)-N(FS129)))</f>
        <v/>
      </c>
      <c r="FY129">
        <f>IF(OR(FW$3="",FW$3&gt;TODAY()),"",IF(AND(FW129="",FX129=""),"",N(FX129)-N(FW129)))</f>
        <v/>
      </c>
      <c r="GB129">
        <f>IF(OR(FW$3="",FW$3&gt;TODAY()),"",IF(AND(FZ129="",GA129=""),"",N(GA129)-N(FZ129)))</f>
        <v/>
      </c>
      <c r="GF129">
        <f>IF(OR(GD$3="",GD$3&gt;TODAY()),"",IF(AND(GD129="",GE129=""),"",N(GE129)-N(GD129)))</f>
        <v/>
      </c>
      <c r="GI129">
        <f>IF(OR(GD$3="",GD$3&gt;TODAY()),"",IF(AND(GG129="",GH129=""),"",N(GH129)-N(GG129)))</f>
        <v/>
      </c>
      <c r="GM129">
        <f>IF(OR(GK$3="",GK$3&gt;TODAY()),"",IF(AND(GK129="",GL129=""),"",N(GL129)-N(GK129)))</f>
        <v/>
      </c>
      <c r="GP129">
        <f>IF(OR(GK$3="",GK$3&gt;TODAY()),"",IF(AND(GN129="",GO129=""),"",N(GO129)-N(GN129)))</f>
        <v/>
      </c>
      <c r="GT129">
        <f>IF(OR(GR$3="",GR$3&gt;TODAY()),"",IF(AND(GR129="",GS129=""),"",N(GS129)-N(GR129)))</f>
        <v/>
      </c>
      <c r="GW129">
        <f>IF(OR(GR$3="",GR$3&gt;TODAY()),"",IF(AND(GU129="",GV129=""),"",N(GV129)-N(GU129)))</f>
        <v/>
      </c>
      <c r="HA129">
        <f>IF(OR(GY$3="",GY$3&gt;TODAY()),"",IF(AND(GY129="",GZ129=""),"",N(GZ129)-N(GY129)))</f>
        <v/>
      </c>
      <c r="HD129">
        <f>IF(OR(GY$3="",GY$3&gt;TODAY()),"",IF(AND(HB129="",HC129=""),"",N(HC129)-N(HB129)))</f>
        <v/>
      </c>
      <c r="HH129">
        <f>IF(OR(HF$3="",HF$3&gt;TODAY()),"",IF(AND(HF129="",HG129=""),"",N(HG129)-N(HF129)))</f>
        <v/>
      </c>
      <c r="HK129">
        <f>IF(OR(HF$3="",HF$3&gt;TODAY()),"",IF(AND(HI129="",HJ129=""),"",N(HJ129)-N(HI129)))</f>
        <v/>
      </c>
      <c r="HO129">
        <f>IF(OR(HM$3="",HM$3&gt;TODAY()),"",IF(AND(HM129="",HN129=""),"",N(HN129)-N(HM129)))</f>
        <v/>
      </c>
      <c r="HR129">
        <f>IF(OR(HM$3="",HM$3&gt;TODAY()),"",IF(AND(HP129="",HQ129=""),"",N(HQ129)-N(HP129)))</f>
        <v/>
      </c>
      <c r="HV129">
        <f>IF(OR(HT$3="",HT$3&gt;TODAY()),"",IF(AND(HT129="",HU129=""),"",N(HU129)-N(HT129)))</f>
        <v/>
      </c>
      <c r="HY129">
        <f>IF(OR(HT$3="",HT$3&gt;TODAY()),"",IF(AND(HW129="",HX129=""),"",N(HX129)-N(HW129)))</f>
        <v/>
      </c>
      <c r="IC129">
        <f>IF(OR(IA$3="",IA$3&gt;TODAY()),"",IF(AND(IA129="",IB129=""),"",N(IB129)-N(IA129)))</f>
        <v/>
      </c>
      <c r="IF129">
        <f>IF(OR(IA$3="",IA$3&gt;TODAY()),"",IF(AND(ID129="",IE129=""),"",N(IE129)-N(ID129)))</f>
        <v/>
      </c>
      <c r="IJ129">
        <f>IF(OR(IH$3="",IH$3&gt;TODAY()),"",IF(AND(IH129="",II129=""),"",N(II129)-N(IH129)))</f>
        <v/>
      </c>
      <c r="IM129">
        <f>IF(OR(IH$3="",IH$3&gt;TODAY()),"",IF(AND(IK129="",IL129=""),"",N(IL129)-N(IK129)))</f>
        <v/>
      </c>
    </row>
    <row r="130">
      <c r="A130" s="21" t="n"/>
      <c r="B130" s="21" t="n"/>
      <c r="C130" s="21" t="n"/>
      <c r="D130" s="21" t="n"/>
      <c r="E130" s="21" t="n"/>
      <c r="F130" s="21" t="n"/>
      <c r="G130" s="21" t="n"/>
      <c r="H130" s="21" t="n"/>
      <c r="I130" s="22" t="n"/>
      <c r="J130" s="22" t="n"/>
      <c r="K130" s="23" t="n"/>
      <c r="L130" s="22" t="n"/>
      <c r="M130" s="22" t="n"/>
      <c r="N130" s="21" t="n"/>
      <c r="O130" s="23" t="n"/>
      <c r="P130" s="23" t="n"/>
      <c r="Q130" s="23" t="n"/>
      <c r="R130" s="23" t="n"/>
      <c r="S130" s="22" t="n"/>
      <c r="T130" s="23" t="n"/>
      <c r="U130" s="23" t="n"/>
      <c r="V130" s="24">
        <f>IF(J130&lt;&gt;"",J130,IF(I130&lt;&gt;"",I130,""))</f>
        <v/>
      </c>
      <c r="W130" s="25">
        <f>IF($E130="","",N(O130)+SUMIFS($AF130:$IN130,$AF$4:$IN$4,"SEW_ACT"))</f>
        <v/>
      </c>
      <c r="X130" s="25">
        <f>IF($E130="","",N(P130)+SUMIFS($AF130:$IN130,$AF$4:$IN$4,"WASH_ACT"))</f>
        <v/>
      </c>
      <c r="Y130" s="25">
        <f>IF($E130="","",W130-X130-N(T130)-N(U130))</f>
        <v/>
      </c>
      <c r="Z130" s="25">
        <f>IF($E130="","",IF(N(K130)-X130&lt;=0.02*N(K130),0,N(K130)-X130))</f>
        <v/>
      </c>
      <c r="AA130" s="24">
        <f>IF($E130="","",IF(S130&lt;&gt;"",S130,IF(N(O130)&gt;0,IF(L130&lt;&gt;"",L130,99999),IFERROR(1/(1/_xlfn.MINIFS($AF$3:$IN$3,$AF$4:$IN$4,"SEW_ACT",$AF130:$IN130,"&gt;0")),99999))))</f>
        <v/>
      </c>
      <c r="AB130" s="26">
        <f>IF(OR($E130="",Z130=0,V130=""),"",1+COUNTIFS(Z$8:Z$707,"&gt;0",V$8:V$707,"&lt;"&amp;V130)+COUNTIFS(Z$8:Z$707,"&gt;0",V$8:V$707,V130,AA$8:AA$707,"&lt;"&amp;AA130)+COUNTIFS(Z$8:Z$707,"&gt;0",V$8:V$707,V130,AA$8:AA$707,AA130,E$8:E$707,"&lt;"&amp;$E130))</f>
        <v/>
      </c>
      <c r="AC130" s="24">
        <f>IF(OR($E130="",Z130=0),"",IFERROR(TODAY()+ROUNDUP(Z130/(SUMIFS($AF130:$IN130,$AF$4:$IN$4,"WASH_ACT")/COUNTIFS($AF$4:$IN$4,"WASH_ACT",$AF130:$IN130,"&gt;0")),0),"no output yet"))</f>
        <v/>
      </c>
      <c r="AD130" s="26">
        <f>IF($E130="","",IFERROR(ROUND(MAX(0,SUMIFS($AF130:$IN130,$AF$4:$IN$4,"SEW_PLAN",$AF$3:$IN$3,"&lt;="&amp;TODAY())-SUMIFS($AF130:$IN130,$AF$4:$IN$4,"SEW_ACT",$AF$3:$IN$3,"&lt;="&amp;TODAY())+N(Q130))/(SUMIFS($AF130:$IN130,$AF$4:$IN$4,"SEW_PLAN")/COUNTIFS($AF$4:$IN$4,"SEW_PLAN",$AF130:$IN130,"&gt;0")),1),0))</f>
        <v/>
      </c>
      <c r="AE130" s="26">
        <f>IF($E130="","",IF(AND(Z130&gt;0,OR(AND(M130&lt;&gt;"",TODAY()&gt;M130),AND(V130&lt;&gt;"",V130-TODAY()&lt;=7))),"Yes","No"))</f>
        <v/>
      </c>
      <c r="AH130">
        <f>IF(OR(AF$3="",AF$3&gt;TODAY()),"",IF(AND(AF130="",AG130=""),"",N(AG130)-N(AF130)))</f>
        <v/>
      </c>
      <c r="AK130">
        <f>IF(OR(AF$3="",AF$3&gt;TODAY()),"",IF(AND(AI130="",AJ130=""),"",N(AJ130)-N(AI130)))</f>
        <v/>
      </c>
      <c r="AO130">
        <f>IF(OR(AM$3="",AM$3&gt;TODAY()),"",IF(AND(AM130="",AN130=""),"",N(AN130)-N(AM130)))</f>
        <v/>
      </c>
      <c r="AR130">
        <f>IF(OR(AM$3="",AM$3&gt;TODAY()),"",IF(AND(AP130="",AQ130=""),"",N(AQ130)-N(AP130)))</f>
        <v/>
      </c>
      <c r="AV130">
        <f>IF(OR(AT$3="",AT$3&gt;TODAY()),"",IF(AND(AT130="",AU130=""),"",N(AU130)-N(AT130)))</f>
        <v/>
      </c>
      <c r="AY130">
        <f>IF(OR(AT$3="",AT$3&gt;TODAY()),"",IF(AND(AW130="",AX130=""),"",N(AX130)-N(AW130)))</f>
        <v/>
      </c>
      <c r="BC130">
        <f>IF(OR(BA$3="",BA$3&gt;TODAY()),"",IF(AND(BA130="",BB130=""),"",N(BB130)-N(BA130)))</f>
        <v/>
      </c>
      <c r="BF130">
        <f>IF(OR(BA$3="",BA$3&gt;TODAY()),"",IF(AND(BD130="",BE130=""),"",N(BE130)-N(BD130)))</f>
        <v/>
      </c>
      <c r="BJ130">
        <f>IF(OR(BH$3="",BH$3&gt;TODAY()),"",IF(AND(BH130="",BI130=""),"",N(BI130)-N(BH130)))</f>
        <v/>
      </c>
      <c r="BM130">
        <f>IF(OR(BH$3="",BH$3&gt;TODAY()),"",IF(AND(BK130="",BL130=""),"",N(BL130)-N(BK130)))</f>
        <v/>
      </c>
      <c r="BQ130">
        <f>IF(OR(BO$3="",BO$3&gt;TODAY()),"",IF(AND(BO130="",BP130=""),"",N(BP130)-N(BO130)))</f>
        <v/>
      </c>
      <c r="BT130">
        <f>IF(OR(BO$3="",BO$3&gt;TODAY()),"",IF(AND(BR130="",BS130=""),"",N(BS130)-N(BR130)))</f>
        <v/>
      </c>
      <c r="BX130">
        <f>IF(OR(BV$3="",BV$3&gt;TODAY()),"",IF(AND(BV130="",BW130=""),"",N(BW130)-N(BV130)))</f>
        <v/>
      </c>
      <c r="CA130">
        <f>IF(OR(BV$3="",BV$3&gt;TODAY()),"",IF(AND(BY130="",BZ130=""),"",N(BZ130)-N(BY130)))</f>
        <v/>
      </c>
      <c r="CE130">
        <f>IF(OR(CC$3="",CC$3&gt;TODAY()),"",IF(AND(CC130="",CD130=""),"",N(CD130)-N(CC130)))</f>
        <v/>
      </c>
      <c r="CH130">
        <f>IF(OR(CC$3="",CC$3&gt;TODAY()),"",IF(AND(CF130="",CG130=""),"",N(CG130)-N(CF130)))</f>
        <v/>
      </c>
      <c r="CL130">
        <f>IF(OR(CJ$3="",CJ$3&gt;TODAY()),"",IF(AND(CJ130="",CK130=""),"",N(CK130)-N(CJ130)))</f>
        <v/>
      </c>
      <c r="CO130">
        <f>IF(OR(CJ$3="",CJ$3&gt;TODAY()),"",IF(AND(CM130="",CN130=""),"",N(CN130)-N(CM130)))</f>
        <v/>
      </c>
      <c r="CS130">
        <f>IF(OR(CQ$3="",CQ$3&gt;TODAY()),"",IF(AND(CQ130="",CR130=""),"",N(CR130)-N(CQ130)))</f>
        <v/>
      </c>
      <c r="CV130">
        <f>IF(OR(CQ$3="",CQ$3&gt;TODAY()),"",IF(AND(CT130="",CU130=""),"",N(CU130)-N(CT130)))</f>
        <v/>
      </c>
      <c r="CZ130">
        <f>IF(OR(CX$3="",CX$3&gt;TODAY()),"",IF(AND(CX130="",CY130=""),"",N(CY130)-N(CX130)))</f>
        <v/>
      </c>
      <c r="DC130">
        <f>IF(OR(CX$3="",CX$3&gt;TODAY()),"",IF(AND(DA130="",DB130=""),"",N(DB130)-N(DA130)))</f>
        <v/>
      </c>
      <c r="DG130">
        <f>IF(OR(DE$3="",DE$3&gt;TODAY()),"",IF(AND(DE130="",DF130=""),"",N(DF130)-N(DE130)))</f>
        <v/>
      </c>
      <c r="DJ130">
        <f>IF(OR(DE$3="",DE$3&gt;TODAY()),"",IF(AND(DH130="",DI130=""),"",N(DI130)-N(DH130)))</f>
        <v/>
      </c>
      <c r="DN130">
        <f>IF(OR(DL$3="",DL$3&gt;TODAY()),"",IF(AND(DL130="",DM130=""),"",N(DM130)-N(DL130)))</f>
        <v/>
      </c>
      <c r="DQ130">
        <f>IF(OR(DL$3="",DL$3&gt;TODAY()),"",IF(AND(DO130="",DP130=""),"",N(DP130)-N(DO130)))</f>
        <v/>
      </c>
      <c r="DU130">
        <f>IF(OR(DS$3="",DS$3&gt;TODAY()),"",IF(AND(DS130="",DT130=""),"",N(DT130)-N(DS130)))</f>
        <v/>
      </c>
      <c r="DX130">
        <f>IF(OR(DS$3="",DS$3&gt;TODAY()),"",IF(AND(DV130="",DW130=""),"",N(DW130)-N(DV130)))</f>
        <v/>
      </c>
      <c r="EB130">
        <f>IF(OR(DZ$3="",DZ$3&gt;TODAY()),"",IF(AND(DZ130="",EA130=""),"",N(EA130)-N(DZ130)))</f>
        <v/>
      </c>
      <c r="EE130">
        <f>IF(OR(DZ$3="",DZ$3&gt;TODAY()),"",IF(AND(EC130="",ED130=""),"",N(ED130)-N(EC130)))</f>
        <v/>
      </c>
      <c r="EI130">
        <f>IF(OR(EG$3="",EG$3&gt;TODAY()),"",IF(AND(EG130="",EH130=""),"",N(EH130)-N(EG130)))</f>
        <v/>
      </c>
      <c r="EL130">
        <f>IF(OR(EG$3="",EG$3&gt;TODAY()),"",IF(AND(EJ130="",EK130=""),"",N(EK130)-N(EJ130)))</f>
        <v/>
      </c>
      <c r="EP130">
        <f>IF(OR(EN$3="",EN$3&gt;TODAY()),"",IF(AND(EN130="",EO130=""),"",N(EO130)-N(EN130)))</f>
        <v/>
      </c>
      <c r="ES130">
        <f>IF(OR(EN$3="",EN$3&gt;TODAY()),"",IF(AND(EQ130="",ER130=""),"",N(ER130)-N(EQ130)))</f>
        <v/>
      </c>
      <c r="EW130">
        <f>IF(OR(EU$3="",EU$3&gt;TODAY()),"",IF(AND(EU130="",EV130=""),"",N(EV130)-N(EU130)))</f>
        <v/>
      </c>
      <c r="EZ130">
        <f>IF(OR(EU$3="",EU$3&gt;TODAY()),"",IF(AND(EX130="",EY130=""),"",N(EY130)-N(EX130)))</f>
        <v/>
      </c>
      <c r="FD130">
        <f>IF(OR(FB$3="",FB$3&gt;TODAY()),"",IF(AND(FB130="",FC130=""),"",N(FC130)-N(FB130)))</f>
        <v/>
      </c>
      <c r="FG130">
        <f>IF(OR(FB$3="",FB$3&gt;TODAY()),"",IF(AND(FE130="",FF130=""),"",N(FF130)-N(FE130)))</f>
        <v/>
      </c>
      <c r="FK130">
        <f>IF(OR(FI$3="",FI$3&gt;TODAY()),"",IF(AND(FI130="",FJ130=""),"",N(FJ130)-N(FI130)))</f>
        <v/>
      </c>
      <c r="FN130">
        <f>IF(OR(FI$3="",FI$3&gt;TODAY()),"",IF(AND(FL130="",FM130=""),"",N(FM130)-N(FL130)))</f>
        <v/>
      </c>
      <c r="FR130">
        <f>IF(OR(FP$3="",FP$3&gt;TODAY()),"",IF(AND(FP130="",FQ130=""),"",N(FQ130)-N(FP130)))</f>
        <v/>
      </c>
      <c r="FU130">
        <f>IF(OR(FP$3="",FP$3&gt;TODAY()),"",IF(AND(FS130="",FT130=""),"",N(FT130)-N(FS130)))</f>
        <v/>
      </c>
      <c r="FY130">
        <f>IF(OR(FW$3="",FW$3&gt;TODAY()),"",IF(AND(FW130="",FX130=""),"",N(FX130)-N(FW130)))</f>
        <v/>
      </c>
      <c r="GB130">
        <f>IF(OR(FW$3="",FW$3&gt;TODAY()),"",IF(AND(FZ130="",GA130=""),"",N(GA130)-N(FZ130)))</f>
        <v/>
      </c>
      <c r="GF130">
        <f>IF(OR(GD$3="",GD$3&gt;TODAY()),"",IF(AND(GD130="",GE130=""),"",N(GE130)-N(GD130)))</f>
        <v/>
      </c>
      <c r="GI130">
        <f>IF(OR(GD$3="",GD$3&gt;TODAY()),"",IF(AND(GG130="",GH130=""),"",N(GH130)-N(GG130)))</f>
        <v/>
      </c>
      <c r="GM130">
        <f>IF(OR(GK$3="",GK$3&gt;TODAY()),"",IF(AND(GK130="",GL130=""),"",N(GL130)-N(GK130)))</f>
        <v/>
      </c>
      <c r="GP130">
        <f>IF(OR(GK$3="",GK$3&gt;TODAY()),"",IF(AND(GN130="",GO130=""),"",N(GO130)-N(GN130)))</f>
        <v/>
      </c>
      <c r="GT130">
        <f>IF(OR(GR$3="",GR$3&gt;TODAY()),"",IF(AND(GR130="",GS130=""),"",N(GS130)-N(GR130)))</f>
        <v/>
      </c>
      <c r="GW130">
        <f>IF(OR(GR$3="",GR$3&gt;TODAY()),"",IF(AND(GU130="",GV130=""),"",N(GV130)-N(GU130)))</f>
        <v/>
      </c>
      <c r="HA130">
        <f>IF(OR(GY$3="",GY$3&gt;TODAY()),"",IF(AND(GY130="",GZ130=""),"",N(GZ130)-N(GY130)))</f>
        <v/>
      </c>
      <c r="HD130">
        <f>IF(OR(GY$3="",GY$3&gt;TODAY()),"",IF(AND(HB130="",HC130=""),"",N(HC130)-N(HB130)))</f>
        <v/>
      </c>
      <c r="HH130">
        <f>IF(OR(HF$3="",HF$3&gt;TODAY()),"",IF(AND(HF130="",HG130=""),"",N(HG130)-N(HF130)))</f>
        <v/>
      </c>
      <c r="HK130">
        <f>IF(OR(HF$3="",HF$3&gt;TODAY()),"",IF(AND(HI130="",HJ130=""),"",N(HJ130)-N(HI130)))</f>
        <v/>
      </c>
      <c r="HO130">
        <f>IF(OR(HM$3="",HM$3&gt;TODAY()),"",IF(AND(HM130="",HN130=""),"",N(HN130)-N(HM130)))</f>
        <v/>
      </c>
      <c r="HR130">
        <f>IF(OR(HM$3="",HM$3&gt;TODAY()),"",IF(AND(HP130="",HQ130=""),"",N(HQ130)-N(HP130)))</f>
        <v/>
      </c>
      <c r="HV130">
        <f>IF(OR(HT$3="",HT$3&gt;TODAY()),"",IF(AND(HT130="",HU130=""),"",N(HU130)-N(HT130)))</f>
        <v/>
      </c>
      <c r="HY130">
        <f>IF(OR(HT$3="",HT$3&gt;TODAY()),"",IF(AND(HW130="",HX130=""),"",N(HX130)-N(HW130)))</f>
        <v/>
      </c>
      <c r="IC130">
        <f>IF(OR(IA$3="",IA$3&gt;TODAY()),"",IF(AND(IA130="",IB130=""),"",N(IB130)-N(IA130)))</f>
        <v/>
      </c>
      <c r="IF130">
        <f>IF(OR(IA$3="",IA$3&gt;TODAY()),"",IF(AND(ID130="",IE130=""),"",N(IE130)-N(ID130)))</f>
        <v/>
      </c>
      <c r="IJ130">
        <f>IF(OR(IH$3="",IH$3&gt;TODAY()),"",IF(AND(IH130="",II130=""),"",N(II130)-N(IH130)))</f>
        <v/>
      </c>
      <c r="IM130">
        <f>IF(OR(IH$3="",IH$3&gt;TODAY()),"",IF(AND(IK130="",IL130=""),"",N(IL130)-N(IK130)))</f>
        <v/>
      </c>
    </row>
    <row r="131">
      <c r="A131" s="21" t="n"/>
      <c r="B131" s="21" t="n"/>
      <c r="C131" s="21" t="n"/>
      <c r="D131" s="21" t="n"/>
      <c r="E131" s="21" t="n"/>
      <c r="F131" s="21" t="n"/>
      <c r="G131" s="21" t="n"/>
      <c r="H131" s="21" t="n"/>
      <c r="I131" s="22" t="n"/>
      <c r="J131" s="22" t="n"/>
      <c r="K131" s="23" t="n"/>
      <c r="L131" s="22" t="n"/>
      <c r="M131" s="22" t="n"/>
      <c r="N131" s="21" t="n"/>
      <c r="O131" s="23" t="n"/>
      <c r="P131" s="23" t="n"/>
      <c r="Q131" s="23" t="n"/>
      <c r="R131" s="23" t="n"/>
      <c r="S131" s="22" t="n"/>
      <c r="T131" s="23" t="n"/>
      <c r="U131" s="23" t="n"/>
      <c r="V131" s="24">
        <f>IF(J131&lt;&gt;"",J131,IF(I131&lt;&gt;"",I131,""))</f>
        <v/>
      </c>
      <c r="W131" s="25">
        <f>IF($E131="","",N(O131)+SUMIFS($AF131:$IN131,$AF$4:$IN$4,"SEW_ACT"))</f>
        <v/>
      </c>
      <c r="X131" s="25">
        <f>IF($E131="","",N(P131)+SUMIFS($AF131:$IN131,$AF$4:$IN$4,"WASH_ACT"))</f>
        <v/>
      </c>
      <c r="Y131" s="25">
        <f>IF($E131="","",W131-X131-N(T131)-N(U131))</f>
        <v/>
      </c>
      <c r="Z131" s="25">
        <f>IF($E131="","",IF(N(K131)-X131&lt;=0.02*N(K131),0,N(K131)-X131))</f>
        <v/>
      </c>
      <c r="AA131" s="24">
        <f>IF($E131="","",IF(S131&lt;&gt;"",S131,IF(N(O131)&gt;0,IF(L131&lt;&gt;"",L131,99999),IFERROR(1/(1/_xlfn.MINIFS($AF$3:$IN$3,$AF$4:$IN$4,"SEW_ACT",$AF131:$IN131,"&gt;0")),99999))))</f>
        <v/>
      </c>
      <c r="AB131" s="26">
        <f>IF(OR($E131="",Z131=0,V131=""),"",1+COUNTIFS(Z$8:Z$707,"&gt;0",V$8:V$707,"&lt;"&amp;V131)+COUNTIFS(Z$8:Z$707,"&gt;0",V$8:V$707,V131,AA$8:AA$707,"&lt;"&amp;AA131)+COUNTIFS(Z$8:Z$707,"&gt;0",V$8:V$707,V131,AA$8:AA$707,AA131,E$8:E$707,"&lt;"&amp;$E131))</f>
        <v/>
      </c>
      <c r="AC131" s="24">
        <f>IF(OR($E131="",Z131=0),"",IFERROR(TODAY()+ROUNDUP(Z131/(SUMIFS($AF131:$IN131,$AF$4:$IN$4,"WASH_ACT")/COUNTIFS($AF$4:$IN$4,"WASH_ACT",$AF131:$IN131,"&gt;0")),0),"no output yet"))</f>
        <v/>
      </c>
      <c r="AD131" s="26">
        <f>IF($E131="","",IFERROR(ROUND(MAX(0,SUMIFS($AF131:$IN131,$AF$4:$IN$4,"SEW_PLAN",$AF$3:$IN$3,"&lt;="&amp;TODAY())-SUMIFS($AF131:$IN131,$AF$4:$IN$4,"SEW_ACT",$AF$3:$IN$3,"&lt;="&amp;TODAY())+N(Q131))/(SUMIFS($AF131:$IN131,$AF$4:$IN$4,"SEW_PLAN")/COUNTIFS($AF$4:$IN$4,"SEW_PLAN",$AF131:$IN131,"&gt;0")),1),0))</f>
        <v/>
      </c>
      <c r="AE131" s="26">
        <f>IF($E131="","",IF(AND(Z131&gt;0,OR(AND(M131&lt;&gt;"",TODAY()&gt;M131),AND(V131&lt;&gt;"",V131-TODAY()&lt;=7))),"Yes","No"))</f>
        <v/>
      </c>
      <c r="AH131">
        <f>IF(OR(AF$3="",AF$3&gt;TODAY()),"",IF(AND(AF131="",AG131=""),"",N(AG131)-N(AF131)))</f>
        <v/>
      </c>
      <c r="AK131">
        <f>IF(OR(AF$3="",AF$3&gt;TODAY()),"",IF(AND(AI131="",AJ131=""),"",N(AJ131)-N(AI131)))</f>
        <v/>
      </c>
      <c r="AO131">
        <f>IF(OR(AM$3="",AM$3&gt;TODAY()),"",IF(AND(AM131="",AN131=""),"",N(AN131)-N(AM131)))</f>
        <v/>
      </c>
      <c r="AR131">
        <f>IF(OR(AM$3="",AM$3&gt;TODAY()),"",IF(AND(AP131="",AQ131=""),"",N(AQ131)-N(AP131)))</f>
        <v/>
      </c>
      <c r="AV131">
        <f>IF(OR(AT$3="",AT$3&gt;TODAY()),"",IF(AND(AT131="",AU131=""),"",N(AU131)-N(AT131)))</f>
        <v/>
      </c>
      <c r="AY131">
        <f>IF(OR(AT$3="",AT$3&gt;TODAY()),"",IF(AND(AW131="",AX131=""),"",N(AX131)-N(AW131)))</f>
        <v/>
      </c>
      <c r="BC131">
        <f>IF(OR(BA$3="",BA$3&gt;TODAY()),"",IF(AND(BA131="",BB131=""),"",N(BB131)-N(BA131)))</f>
        <v/>
      </c>
      <c r="BF131">
        <f>IF(OR(BA$3="",BA$3&gt;TODAY()),"",IF(AND(BD131="",BE131=""),"",N(BE131)-N(BD131)))</f>
        <v/>
      </c>
      <c r="BJ131">
        <f>IF(OR(BH$3="",BH$3&gt;TODAY()),"",IF(AND(BH131="",BI131=""),"",N(BI131)-N(BH131)))</f>
        <v/>
      </c>
      <c r="BM131">
        <f>IF(OR(BH$3="",BH$3&gt;TODAY()),"",IF(AND(BK131="",BL131=""),"",N(BL131)-N(BK131)))</f>
        <v/>
      </c>
      <c r="BQ131">
        <f>IF(OR(BO$3="",BO$3&gt;TODAY()),"",IF(AND(BO131="",BP131=""),"",N(BP131)-N(BO131)))</f>
        <v/>
      </c>
      <c r="BT131">
        <f>IF(OR(BO$3="",BO$3&gt;TODAY()),"",IF(AND(BR131="",BS131=""),"",N(BS131)-N(BR131)))</f>
        <v/>
      </c>
      <c r="BX131">
        <f>IF(OR(BV$3="",BV$3&gt;TODAY()),"",IF(AND(BV131="",BW131=""),"",N(BW131)-N(BV131)))</f>
        <v/>
      </c>
      <c r="CA131">
        <f>IF(OR(BV$3="",BV$3&gt;TODAY()),"",IF(AND(BY131="",BZ131=""),"",N(BZ131)-N(BY131)))</f>
        <v/>
      </c>
      <c r="CE131">
        <f>IF(OR(CC$3="",CC$3&gt;TODAY()),"",IF(AND(CC131="",CD131=""),"",N(CD131)-N(CC131)))</f>
        <v/>
      </c>
      <c r="CH131">
        <f>IF(OR(CC$3="",CC$3&gt;TODAY()),"",IF(AND(CF131="",CG131=""),"",N(CG131)-N(CF131)))</f>
        <v/>
      </c>
      <c r="CL131">
        <f>IF(OR(CJ$3="",CJ$3&gt;TODAY()),"",IF(AND(CJ131="",CK131=""),"",N(CK131)-N(CJ131)))</f>
        <v/>
      </c>
      <c r="CO131">
        <f>IF(OR(CJ$3="",CJ$3&gt;TODAY()),"",IF(AND(CM131="",CN131=""),"",N(CN131)-N(CM131)))</f>
        <v/>
      </c>
      <c r="CS131">
        <f>IF(OR(CQ$3="",CQ$3&gt;TODAY()),"",IF(AND(CQ131="",CR131=""),"",N(CR131)-N(CQ131)))</f>
        <v/>
      </c>
      <c r="CV131">
        <f>IF(OR(CQ$3="",CQ$3&gt;TODAY()),"",IF(AND(CT131="",CU131=""),"",N(CU131)-N(CT131)))</f>
        <v/>
      </c>
      <c r="CZ131">
        <f>IF(OR(CX$3="",CX$3&gt;TODAY()),"",IF(AND(CX131="",CY131=""),"",N(CY131)-N(CX131)))</f>
        <v/>
      </c>
      <c r="DC131">
        <f>IF(OR(CX$3="",CX$3&gt;TODAY()),"",IF(AND(DA131="",DB131=""),"",N(DB131)-N(DA131)))</f>
        <v/>
      </c>
      <c r="DG131">
        <f>IF(OR(DE$3="",DE$3&gt;TODAY()),"",IF(AND(DE131="",DF131=""),"",N(DF131)-N(DE131)))</f>
        <v/>
      </c>
      <c r="DJ131">
        <f>IF(OR(DE$3="",DE$3&gt;TODAY()),"",IF(AND(DH131="",DI131=""),"",N(DI131)-N(DH131)))</f>
        <v/>
      </c>
      <c r="DN131">
        <f>IF(OR(DL$3="",DL$3&gt;TODAY()),"",IF(AND(DL131="",DM131=""),"",N(DM131)-N(DL131)))</f>
        <v/>
      </c>
      <c r="DQ131">
        <f>IF(OR(DL$3="",DL$3&gt;TODAY()),"",IF(AND(DO131="",DP131=""),"",N(DP131)-N(DO131)))</f>
        <v/>
      </c>
      <c r="DU131">
        <f>IF(OR(DS$3="",DS$3&gt;TODAY()),"",IF(AND(DS131="",DT131=""),"",N(DT131)-N(DS131)))</f>
        <v/>
      </c>
      <c r="DX131">
        <f>IF(OR(DS$3="",DS$3&gt;TODAY()),"",IF(AND(DV131="",DW131=""),"",N(DW131)-N(DV131)))</f>
        <v/>
      </c>
      <c r="EB131">
        <f>IF(OR(DZ$3="",DZ$3&gt;TODAY()),"",IF(AND(DZ131="",EA131=""),"",N(EA131)-N(DZ131)))</f>
        <v/>
      </c>
      <c r="EE131">
        <f>IF(OR(DZ$3="",DZ$3&gt;TODAY()),"",IF(AND(EC131="",ED131=""),"",N(ED131)-N(EC131)))</f>
        <v/>
      </c>
      <c r="EI131">
        <f>IF(OR(EG$3="",EG$3&gt;TODAY()),"",IF(AND(EG131="",EH131=""),"",N(EH131)-N(EG131)))</f>
        <v/>
      </c>
      <c r="EL131">
        <f>IF(OR(EG$3="",EG$3&gt;TODAY()),"",IF(AND(EJ131="",EK131=""),"",N(EK131)-N(EJ131)))</f>
        <v/>
      </c>
      <c r="EP131">
        <f>IF(OR(EN$3="",EN$3&gt;TODAY()),"",IF(AND(EN131="",EO131=""),"",N(EO131)-N(EN131)))</f>
        <v/>
      </c>
      <c r="ES131">
        <f>IF(OR(EN$3="",EN$3&gt;TODAY()),"",IF(AND(EQ131="",ER131=""),"",N(ER131)-N(EQ131)))</f>
        <v/>
      </c>
      <c r="EW131">
        <f>IF(OR(EU$3="",EU$3&gt;TODAY()),"",IF(AND(EU131="",EV131=""),"",N(EV131)-N(EU131)))</f>
        <v/>
      </c>
      <c r="EZ131">
        <f>IF(OR(EU$3="",EU$3&gt;TODAY()),"",IF(AND(EX131="",EY131=""),"",N(EY131)-N(EX131)))</f>
        <v/>
      </c>
      <c r="FD131">
        <f>IF(OR(FB$3="",FB$3&gt;TODAY()),"",IF(AND(FB131="",FC131=""),"",N(FC131)-N(FB131)))</f>
        <v/>
      </c>
      <c r="FG131">
        <f>IF(OR(FB$3="",FB$3&gt;TODAY()),"",IF(AND(FE131="",FF131=""),"",N(FF131)-N(FE131)))</f>
        <v/>
      </c>
      <c r="FK131">
        <f>IF(OR(FI$3="",FI$3&gt;TODAY()),"",IF(AND(FI131="",FJ131=""),"",N(FJ131)-N(FI131)))</f>
        <v/>
      </c>
      <c r="FN131">
        <f>IF(OR(FI$3="",FI$3&gt;TODAY()),"",IF(AND(FL131="",FM131=""),"",N(FM131)-N(FL131)))</f>
        <v/>
      </c>
      <c r="FR131">
        <f>IF(OR(FP$3="",FP$3&gt;TODAY()),"",IF(AND(FP131="",FQ131=""),"",N(FQ131)-N(FP131)))</f>
        <v/>
      </c>
      <c r="FU131">
        <f>IF(OR(FP$3="",FP$3&gt;TODAY()),"",IF(AND(FS131="",FT131=""),"",N(FT131)-N(FS131)))</f>
        <v/>
      </c>
      <c r="FY131">
        <f>IF(OR(FW$3="",FW$3&gt;TODAY()),"",IF(AND(FW131="",FX131=""),"",N(FX131)-N(FW131)))</f>
        <v/>
      </c>
      <c r="GB131">
        <f>IF(OR(FW$3="",FW$3&gt;TODAY()),"",IF(AND(FZ131="",GA131=""),"",N(GA131)-N(FZ131)))</f>
        <v/>
      </c>
      <c r="GF131">
        <f>IF(OR(GD$3="",GD$3&gt;TODAY()),"",IF(AND(GD131="",GE131=""),"",N(GE131)-N(GD131)))</f>
        <v/>
      </c>
      <c r="GI131">
        <f>IF(OR(GD$3="",GD$3&gt;TODAY()),"",IF(AND(GG131="",GH131=""),"",N(GH131)-N(GG131)))</f>
        <v/>
      </c>
      <c r="GM131">
        <f>IF(OR(GK$3="",GK$3&gt;TODAY()),"",IF(AND(GK131="",GL131=""),"",N(GL131)-N(GK131)))</f>
        <v/>
      </c>
      <c r="GP131">
        <f>IF(OR(GK$3="",GK$3&gt;TODAY()),"",IF(AND(GN131="",GO131=""),"",N(GO131)-N(GN131)))</f>
        <v/>
      </c>
      <c r="GT131">
        <f>IF(OR(GR$3="",GR$3&gt;TODAY()),"",IF(AND(GR131="",GS131=""),"",N(GS131)-N(GR131)))</f>
        <v/>
      </c>
      <c r="GW131">
        <f>IF(OR(GR$3="",GR$3&gt;TODAY()),"",IF(AND(GU131="",GV131=""),"",N(GV131)-N(GU131)))</f>
        <v/>
      </c>
      <c r="HA131">
        <f>IF(OR(GY$3="",GY$3&gt;TODAY()),"",IF(AND(GY131="",GZ131=""),"",N(GZ131)-N(GY131)))</f>
        <v/>
      </c>
      <c r="HD131">
        <f>IF(OR(GY$3="",GY$3&gt;TODAY()),"",IF(AND(HB131="",HC131=""),"",N(HC131)-N(HB131)))</f>
        <v/>
      </c>
      <c r="HH131">
        <f>IF(OR(HF$3="",HF$3&gt;TODAY()),"",IF(AND(HF131="",HG131=""),"",N(HG131)-N(HF131)))</f>
        <v/>
      </c>
      <c r="HK131">
        <f>IF(OR(HF$3="",HF$3&gt;TODAY()),"",IF(AND(HI131="",HJ131=""),"",N(HJ131)-N(HI131)))</f>
        <v/>
      </c>
      <c r="HO131">
        <f>IF(OR(HM$3="",HM$3&gt;TODAY()),"",IF(AND(HM131="",HN131=""),"",N(HN131)-N(HM131)))</f>
        <v/>
      </c>
      <c r="HR131">
        <f>IF(OR(HM$3="",HM$3&gt;TODAY()),"",IF(AND(HP131="",HQ131=""),"",N(HQ131)-N(HP131)))</f>
        <v/>
      </c>
      <c r="HV131">
        <f>IF(OR(HT$3="",HT$3&gt;TODAY()),"",IF(AND(HT131="",HU131=""),"",N(HU131)-N(HT131)))</f>
        <v/>
      </c>
      <c r="HY131">
        <f>IF(OR(HT$3="",HT$3&gt;TODAY()),"",IF(AND(HW131="",HX131=""),"",N(HX131)-N(HW131)))</f>
        <v/>
      </c>
      <c r="IC131">
        <f>IF(OR(IA$3="",IA$3&gt;TODAY()),"",IF(AND(IA131="",IB131=""),"",N(IB131)-N(IA131)))</f>
        <v/>
      </c>
      <c r="IF131">
        <f>IF(OR(IA$3="",IA$3&gt;TODAY()),"",IF(AND(ID131="",IE131=""),"",N(IE131)-N(ID131)))</f>
        <v/>
      </c>
      <c r="IJ131">
        <f>IF(OR(IH$3="",IH$3&gt;TODAY()),"",IF(AND(IH131="",II131=""),"",N(II131)-N(IH131)))</f>
        <v/>
      </c>
      <c r="IM131">
        <f>IF(OR(IH$3="",IH$3&gt;TODAY()),"",IF(AND(IK131="",IL131=""),"",N(IL131)-N(IK131)))</f>
        <v/>
      </c>
    </row>
    <row r="132">
      <c r="A132" s="21" t="n"/>
      <c r="B132" s="21" t="n"/>
      <c r="C132" s="21" t="n"/>
      <c r="D132" s="21" t="n"/>
      <c r="E132" s="21" t="n"/>
      <c r="F132" s="21" t="n"/>
      <c r="G132" s="21" t="n"/>
      <c r="H132" s="21" t="n"/>
      <c r="I132" s="22" t="n"/>
      <c r="J132" s="22" t="n"/>
      <c r="K132" s="23" t="n"/>
      <c r="L132" s="22" t="n"/>
      <c r="M132" s="22" t="n"/>
      <c r="N132" s="21" t="n"/>
      <c r="O132" s="23" t="n"/>
      <c r="P132" s="23" t="n"/>
      <c r="Q132" s="23" t="n"/>
      <c r="R132" s="23" t="n"/>
      <c r="S132" s="22" t="n"/>
      <c r="T132" s="23" t="n"/>
      <c r="U132" s="23" t="n"/>
      <c r="V132" s="24">
        <f>IF(J132&lt;&gt;"",J132,IF(I132&lt;&gt;"",I132,""))</f>
        <v/>
      </c>
      <c r="W132" s="25">
        <f>IF($E132="","",N(O132)+SUMIFS($AF132:$IN132,$AF$4:$IN$4,"SEW_ACT"))</f>
        <v/>
      </c>
      <c r="X132" s="25">
        <f>IF($E132="","",N(P132)+SUMIFS($AF132:$IN132,$AF$4:$IN$4,"WASH_ACT"))</f>
        <v/>
      </c>
      <c r="Y132" s="25">
        <f>IF($E132="","",W132-X132-N(T132)-N(U132))</f>
        <v/>
      </c>
      <c r="Z132" s="25">
        <f>IF($E132="","",IF(N(K132)-X132&lt;=0.02*N(K132),0,N(K132)-X132))</f>
        <v/>
      </c>
      <c r="AA132" s="24">
        <f>IF($E132="","",IF(S132&lt;&gt;"",S132,IF(N(O132)&gt;0,IF(L132&lt;&gt;"",L132,99999),IFERROR(1/(1/_xlfn.MINIFS($AF$3:$IN$3,$AF$4:$IN$4,"SEW_ACT",$AF132:$IN132,"&gt;0")),99999))))</f>
        <v/>
      </c>
      <c r="AB132" s="26">
        <f>IF(OR($E132="",Z132=0,V132=""),"",1+COUNTIFS(Z$8:Z$707,"&gt;0",V$8:V$707,"&lt;"&amp;V132)+COUNTIFS(Z$8:Z$707,"&gt;0",V$8:V$707,V132,AA$8:AA$707,"&lt;"&amp;AA132)+COUNTIFS(Z$8:Z$707,"&gt;0",V$8:V$707,V132,AA$8:AA$707,AA132,E$8:E$707,"&lt;"&amp;$E132))</f>
        <v/>
      </c>
      <c r="AC132" s="24">
        <f>IF(OR($E132="",Z132=0),"",IFERROR(TODAY()+ROUNDUP(Z132/(SUMIFS($AF132:$IN132,$AF$4:$IN$4,"WASH_ACT")/COUNTIFS($AF$4:$IN$4,"WASH_ACT",$AF132:$IN132,"&gt;0")),0),"no output yet"))</f>
        <v/>
      </c>
      <c r="AD132" s="26">
        <f>IF($E132="","",IFERROR(ROUND(MAX(0,SUMIFS($AF132:$IN132,$AF$4:$IN$4,"SEW_PLAN",$AF$3:$IN$3,"&lt;="&amp;TODAY())-SUMIFS($AF132:$IN132,$AF$4:$IN$4,"SEW_ACT",$AF$3:$IN$3,"&lt;="&amp;TODAY())+N(Q132))/(SUMIFS($AF132:$IN132,$AF$4:$IN$4,"SEW_PLAN")/COUNTIFS($AF$4:$IN$4,"SEW_PLAN",$AF132:$IN132,"&gt;0")),1),0))</f>
        <v/>
      </c>
      <c r="AE132" s="26">
        <f>IF($E132="","",IF(AND(Z132&gt;0,OR(AND(M132&lt;&gt;"",TODAY()&gt;M132),AND(V132&lt;&gt;"",V132-TODAY()&lt;=7))),"Yes","No"))</f>
        <v/>
      </c>
      <c r="AH132">
        <f>IF(OR(AF$3="",AF$3&gt;TODAY()),"",IF(AND(AF132="",AG132=""),"",N(AG132)-N(AF132)))</f>
        <v/>
      </c>
      <c r="AK132">
        <f>IF(OR(AF$3="",AF$3&gt;TODAY()),"",IF(AND(AI132="",AJ132=""),"",N(AJ132)-N(AI132)))</f>
        <v/>
      </c>
      <c r="AO132">
        <f>IF(OR(AM$3="",AM$3&gt;TODAY()),"",IF(AND(AM132="",AN132=""),"",N(AN132)-N(AM132)))</f>
        <v/>
      </c>
      <c r="AR132">
        <f>IF(OR(AM$3="",AM$3&gt;TODAY()),"",IF(AND(AP132="",AQ132=""),"",N(AQ132)-N(AP132)))</f>
        <v/>
      </c>
      <c r="AV132">
        <f>IF(OR(AT$3="",AT$3&gt;TODAY()),"",IF(AND(AT132="",AU132=""),"",N(AU132)-N(AT132)))</f>
        <v/>
      </c>
      <c r="AY132">
        <f>IF(OR(AT$3="",AT$3&gt;TODAY()),"",IF(AND(AW132="",AX132=""),"",N(AX132)-N(AW132)))</f>
        <v/>
      </c>
      <c r="BC132">
        <f>IF(OR(BA$3="",BA$3&gt;TODAY()),"",IF(AND(BA132="",BB132=""),"",N(BB132)-N(BA132)))</f>
        <v/>
      </c>
      <c r="BF132">
        <f>IF(OR(BA$3="",BA$3&gt;TODAY()),"",IF(AND(BD132="",BE132=""),"",N(BE132)-N(BD132)))</f>
        <v/>
      </c>
      <c r="BJ132">
        <f>IF(OR(BH$3="",BH$3&gt;TODAY()),"",IF(AND(BH132="",BI132=""),"",N(BI132)-N(BH132)))</f>
        <v/>
      </c>
      <c r="BM132">
        <f>IF(OR(BH$3="",BH$3&gt;TODAY()),"",IF(AND(BK132="",BL132=""),"",N(BL132)-N(BK132)))</f>
        <v/>
      </c>
      <c r="BQ132">
        <f>IF(OR(BO$3="",BO$3&gt;TODAY()),"",IF(AND(BO132="",BP132=""),"",N(BP132)-N(BO132)))</f>
        <v/>
      </c>
      <c r="BT132">
        <f>IF(OR(BO$3="",BO$3&gt;TODAY()),"",IF(AND(BR132="",BS132=""),"",N(BS132)-N(BR132)))</f>
        <v/>
      </c>
      <c r="BX132">
        <f>IF(OR(BV$3="",BV$3&gt;TODAY()),"",IF(AND(BV132="",BW132=""),"",N(BW132)-N(BV132)))</f>
        <v/>
      </c>
      <c r="CA132">
        <f>IF(OR(BV$3="",BV$3&gt;TODAY()),"",IF(AND(BY132="",BZ132=""),"",N(BZ132)-N(BY132)))</f>
        <v/>
      </c>
      <c r="CE132">
        <f>IF(OR(CC$3="",CC$3&gt;TODAY()),"",IF(AND(CC132="",CD132=""),"",N(CD132)-N(CC132)))</f>
        <v/>
      </c>
      <c r="CH132">
        <f>IF(OR(CC$3="",CC$3&gt;TODAY()),"",IF(AND(CF132="",CG132=""),"",N(CG132)-N(CF132)))</f>
        <v/>
      </c>
      <c r="CL132">
        <f>IF(OR(CJ$3="",CJ$3&gt;TODAY()),"",IF(AND(CJ132="",CK132=""),"",N(CK132)-N(CJ132)))</f>
        <v/>
      </c>
      <c r="CO132">
        <f>IF(OR(CJ$3="",CJ$3&gt;TODAY()),"",IF(AND(CM132="",CN132=""),"",N(CN132)-N(CM132)))</f>
        <v/>
      </c>
      <c r="CS132">
        <f>IF(OR(CQ$3="",CQ$3&gt;TODAY()),"",IF(AND(CQ132="",CR132=""),"",N(CR132)-N(CQ132)))</f>
        <v/>
      </c>
      <c r="CV132">
        <f>IF(OR(CQ$3="",CQ$3&gt;TODAY()),"",IF(AND(CT132="",CU132=""),"",N(CU132)-N(CT132)))</f>
        <v/>
      </c>
      <c r="CZ132">
        <f>IF(OR(CX$3="",CX$3&gt;TODAY()),"",IF(AND(CX132="",CY132=""),"",N(CY132)-N(CX132)))</f>
        <v/>
      </c>
      <c r="DC132">
        <f>IF(OR(CX$3="",CX$3&gt;TODAY()),"",IF(AND(DA132="",DB132=""),"",N(DB132)-N(DA132)))</f>
        <v/>
      </c>
      <c r="DG132">
        <f>IF(OR(DE$3="",DE$3&gt;TODAY()),"",IF(AND(DE132="",DF132=""),"",N(DF132)-N(DE132)))</f>
        <v/>
      </c>
      <c r="DJ132">
        <f>IF(OR(DE$3="",DE$3&gt;TODAY()),"",IF(AND(DH132="",DI132=""),"",N(DI132)-N(DH132)))</f>
        <v/>
      </c>
      <c r="DN132">
        <f>IF(OR(DL$3="",DL$3&gt;TODAY()),"",IF(AND(DL132="",DM132=""),"",N(DM132)-N(DL132)))</f>
        <v/>
      </c>
      <c r="DQ132">
        <f>IF(OR(DL$3="",DL$3&gt;TODAY()),"",IF(AND(DO132="",DP132=""),"",N(DP132)-N(DO132)))</f>
        <v/>
      </c>
      <c r="DU132">
        <f>IF(OR(DS$3="",DS$3&gt;TODAY()),"",IF(AND(DS132="",DT132=""),"",N(DT132)-N(DS132)))</f>
        <v/>
      </c>
      <c r="DX132">
        <f>IF(OR(DS$3="",DS$3&gt;TODAY()),"",IF(AND(DV132="",DW132=""),"",N(DW132)-N(DV132)))</f>
        <v/>
      </c>
      <c r="EB132">
        <f>IF(OR(DZ$3="",DZ$3&gt;TODAY()),"",IF(AND(DZ132="",EA132=""),"",N(EA132)-N(DZ132)))</f>
        <v/>
      </c>
      <c r="EE132">
        <f>IF(OR(DZ$3="",DZ$3&gt;TODAY()),"",IF(AND(EC132="",ED132=""),"",N(ED132)-N(EC132)))</f>
        <v/>
      </c>
      <c r="EI132">
        <f>IF(OR(EG$3="",EG$3&gt;TODAY()),"",IF(AND(EG132="",EH132=""),"",N(EH132)-N(EG132)))</f>
        <v/>
      </c>
      <c r="EL132">
        <f>IF(OR(EG$3="",EG$3&gt;TODAY()),"",IF(AND(EJ132="",EK132=""),"",N(EK132)-N(EJ132)))</f>
        <v/>
      </c>
      <c r="EP132">
        <f>IF(OR(EN$3="",EN$3&gt;TODAY()),"",IF(AND(EN132="",EO132=""),"",N(EO132)-N(EN132)))</f>
        <v/>
      </c>
      <c r="ES132">
        <f>IF(OR(EN$3="",EN$3&gt;TODAY()),"",IF(AND(EQ132="",ER132=""),"",N(ER132)-N(EQ132)))</f>
        <v/>
      </c>
      <c r="EW132">
        <f>IF(OR(EU$3="",EU$3&gt;TODAY()),"",IF(AND(EU132="",EV132=""),"",N(EV132)-N(EU132)))</f>
        <v/>
      </c>
      <c r="EZ132">
        <f>IF(OR(EU$3="",EU$3&gt;TODAY()),"",IF(AND(EX132="",EY132=""),"",N(EY132)-N(EX132)))</f>
        <v/>
      </c>
      <c r="FD132">
        <f>IF(OR(FB$3="",FB$3&gt;TODAY()),"",IF(AND(FB132="",FC132=""),"",N(FC132)-N(FB132)))</f>
        <v/>
      </c>
      <c r="FG132">
        <f>IF(OR(FB$3="",FB$3&gt;TODAY()),"",IF(AND(FE132="",FF132=""),"",N(FF132)-N(FE132)))</f>
        <v/>
      </c>
      <c r="FK132">
        <f>IF(OR(FI$3="",FI$3&gt;TODAY()),"",IF(AND(FI132="",FJ132=""),"",N(FJ132)-N(FI132)))</f>
        <v/>
      </c>
      <c r="FN132">
        <f>IF(OR(FI$3="",FI$3&gt;TODAY()),"",IF(AND(FL132="",FM132=""),"",N(FM132)-N(FL132)))</f>
        <v/>
      </c>
      <c r="FR132">
        <f>IF(OR(FP$3="",FP$3&gt;TODAY()),"",IF(AND(FP132="",FQ132=""),"",N(FQ132)-N(FP132)))</f>
        <v/>
      </c>
      <c r="FU132">
        <f>IF(OR(FP$3="",FP$3&gt;TODAY()),"",IF(AND(FS132="",FT132=""),"",N(FT132)-N(FS132)))</f>
        <v/>
      </c>
      <c r="FY132">
        <f>IF(OR(FW$3="",FW$3&gt;TODAY()),"",IF(AND(FW132="",FX132=""),"",N(FX132)-N(FW132)))</f>
        <v/>
      </c>
      <c r="GB132">
        <f>IF(OR(FW$3="",FW$3&gt;TODAY()),"",IF(AND(FZ132="",GA132=""),"",N(GA132)-N(FZ132)))</f>
        <v/>
      </c>
      <c r="GF132">
        <f>IF(OR(GD$3="",GD$3&gt;TODAY()),"",IF(AND(GD132="",GE132=""),"",N(GE132)-N(GD132)))</f>
        <v/>
      </c>
      <c r="GI132">
        <f>IF(OR(GD$3="",GD$3&gt;TODAY()),"",IF(AND(GG132="",GH132=""),"",N(GH132)-N(GG132)))</f>
        <v/>
      </c>
      <c r="GM132">
        <f>IF(OR(GK$3="",GK$3&gt;TODAY()),"",IF(AND(GK132="",GL132=""),"",N(GL132)-N(GK132)))</f>
        <v/>
      </c>
      <c r="GP132">
        <f>IF(OR(GK$3="",GK$3&gt;TODAY()),"",IF(AND(GN132="",GO132=""),"",N(GO132)-N(GN132)))</f>
        <v/>
      </c>
      <c r="GT132">
        <f>IF(OR(GR$3="",GR$3&gt;TODAY()),"",IF(AND(GR132="",GS132=""),"",N(GS132)-N(GR132)))</f>
        <v/>
      </c>
      <c r="GW132">
        <f>IF(OR(GR$3="",GR$3&gt;TODAY()),"",IF(AND(GU132="",GV132=""),"",N(GV132)-N(GU132)))</f>
        <v/>
      </c>
      <c r="HA132">
        <f>IF(OR(GY$3="",GY$3&gt;TODAY()),"",IF(AND(GY132="",GZ132=""),"",N(GZ132)-N(GY132)))</f>
        <v/>
      </c>
      <c r="HD132">
        <f>IF(OR(GY$3="",GY$3&gt;TODAY()),"",IF(AND(HB132="",HC132=""),"",N(HC132)-N(HB132)))</f>
        <v/>
      </c>
      <c r="HH132">
        <f>IF(OR(HF$3="",HF$3&gt;TODAY()),"",IF(AND(HF132="",HG132=""),"",N(HG132)-N(HF132)))</f>
        <v/>
      </c>
      <c r="HK132">
        <f>IF(OR(HF$3="",HF$3&gt;TODAY()),"",IF(AND(HI132="",HJ132=""),"",N(HJ132)-N(HI132)))</f>
        <v/>
      </c>
      <c r="HO132">
        <f>IF(OR(HM$3="",HM$3&gt;TODAY()),"",IF(AND(HM132="",HN132=""),"",N(HN132)-N(HM132)))</f>
        <v/>
      </c>
      <c r="HR132">
        <f>IF(OR(HM$3="",HM$3&gt;TODAY()),"",IF(AND(HP132="",HQ132=""),"",N(HQ132)-N(HP132)))</f>
        <v/>
      </c>
      <c r="HV132">
        <f>IF(OR(HT$3="",HT$3&gt;TODAY()),"",IF(AND(HT132="",HU132=""),"",N(HU132)-N(HT132)))</f>
        <v/>
      </c>
      <c r="HY132">
        <f>IF(OR(HT$3="",HT$3&gt;TODAY()),"",IF(AND(HW132="",HX132=""),"",N(HX132)-N(HW132)))</f>
        <v/>
      </c>
      <c r="IC132">
        <f>IF(OR(IA$3="",IA$3&gt;TODAY()),"",IF(AND(IA132="",IB132=""),"",N(IB132)-N(IA132)))</f>
        <v/>
      </c>
      <c r="IF132">
        <f>IF(OR(IA$3="",IA$3&gt;TODAY()),"",IF(AND(ID132="",IE132=""),"",N(IE132)-N(ID132)))</f>
        <v/>
      </c>
      <c r="IJ132">
        <f>IF(OR(IH$3="",IH$3&gt;TODAY()),"",IF(AND(IH132="",II132=""),"",N(II132)-N(IH132)))</f>
        <v/>
      </c>
      <c r="IM132">
        <f>IF(OR(IH$3="",IH$3&gt;TODAY()),"",IF(AND(IK132="",IL132=""),"",N(IL132)-N(IK132)))</f>
        <v/>
      </c>
    </row>
    <row r="133">
      <c r="A133" s="21" t="n"/>
      <c r="B133" s="21" t="n"/>
      <c r="C133" s="21" t="n"/>
      <c r="D133" s="21" t="n"/>
      <c r="E133" s="21" t="n"/>
      <c r="F133" s="21" t="n"/>
      <c r="G133" s="21" t="n"/>
      <c r="H133" s="21" t="n"/>
      <c r="I133" s="22" t="n"/>
      <c r="J133" s="22" t="n"/>
      <c r="K133" s="23" t="n"/>
      <c r="L133" s="22" t="n"/>
      <c r="M133" s="22" t="n"/>
      <c r="N133" s="21" t="n"/>
      <c r="O133" s="23" t="n"/>
      <c r="P133" s="23" t="n"/>
      <c r="Q133" s="23" t="n"/>
      <c r="R133" s="23" t="n"/>
      <c r="S133" s="22" t="n"/>
      <c r="T133" s="23" t="n"/>
      <c r="U133" s="23" t="n"/>
      <c r="V133" s="24">
        <f>IF(J133&lt;&gt;"",J133,IF(I133&lt;&gt;"",I133,""))</f>
        <v/>
      </c>
      <c r="W133" s="25">
        <f>IF($E133="","",N(O133)+SUMIFS($AF133:$IN133,$AF$4:$IN$4,"SEW_ACT"))</f>
        <v/>
      </c>
      <c r="X133" s="25">
        <f>IF($E133="","",N(P133)+SUMIFS($AF133:$IN133,$AF$4:$IN$4,"WASH_ACT"))</f>
        <v/>
      </c>
      <c r="Y133" s="25">
        <f>IF($E133="","",W133-X133-N(T133)-N(U133))</f>
        <v/>
      </c>
      <c r="Z133" s="25">
        <f>IF($E133="","",IF(N(K133)-X133&lt;=0.02*N(K133),0,N(K133)-X133))</f>
        <v/>
      </c>
      <c r="AA133" s="24">
        <f>IF($E133="","",IF(S133&lt;&gt;"",S133,IF(N(O133)&gt;0,IF(L133&lt;&gt;"",L133,99999),IFERROR(1/(1/_xlfn.MINIFS($AF$3:$IN$3,$AF$4:$IN$4,"SEW_ACT",$AF133:$IN133,"&gt;0")),99999))))</f>
        <v/>
      </c>
      <c r="AB133" s="26">
        <f>IF(OR($E133="",Z133=0,V133=""),"",1+COUNTIFS(Z$8:Z$707,"&gt;0",V$8:V$707,"&lt;"&amp;V133)+COUNTIFS(Z$8:Z$707,"&gt;0",V$8:V$707,V133,AA$8:AA$707,"&lt;"&amp;AA133)+COUNTIFS(Z$8:Z$707,"&gt;0",V$8:V$707,V133,AA$8:AA$707,AA133,E$8:E$707,"&lt;"&amp;$E133))</f>
        <v/>
      </c>
      <c r="AC133" s="24">
        <f>IF(OR($E133="",Z133=0),"",IFERROR(TODAY()+ROUNDUP(Z133/(SUMIFS($AF133:$IN133,$AF$4:$IN$4,"WASH_ACT")/COUNTIFS($AF$4:$IN$4,"WASH_ACT",$AF133:$IN133,"&gt;0")),0),"no output yet"))</f>
        <v/>
      </c>
      <c r="AD133" s="26">
        <f>IF($E133="","",IFERROR(ROUND(MAX(0,SUMIFS($AF133:$IN133,$AF$4:$IN$4,"SEW_PLAN",$AF$3:$IN$3,"&lt;="&amp;TODAY())-SUMIFS($AF133:$IN133,$AF$4:$IN$4,"SEW_ACT",$AF$3:$IN$3,"&lt;="&amp;TODAY())+N(Q133))/(SUMIFS($AF133:$IN133,$AF$4:$IN$4,"SEW_PLAN")/COUNTIFS($AF$4:$IN$4,"SEW_PLAN",$AF133:$IN133,"&gt;0")),1),0))</f>
        <v/>
      </c>
      <c r="AE133" s="26">
        <f>IF($E133="","",IF(AND(Z133&gt;0,OR(AND(M133&lt;&gt;"",TODAY()&gt;M133),AND(V133&lt;&gt;"",V133-TODAY()&lt;=7))),"Yes","No"))</f>
        <v/>
      </c>
      <c r="AH133">
        <f>IF(OR(AF$3="",AF$3&gt;TODAY()),"",IF(AND(AF133="",AG133=""),"",N(AG133)-N(AF133)))</f>
        <v/>
      </c>
      <c r="AK133">
        <f>IF(OR(AF$3="",AF$3&gt;TODAY()),"",IF(AND(AI133="",AJ133=""),"",N(AJ133)-N(AI133)))</f>
        <v/>
      </c>
      <c r="AO133">
        <f>IF(OR(AM$3="",AM$3&gt;TODAY()),"",IF(AND(AM133="",AN133=""),"",N(AN133)-N(AM133)))</f>
        <v/>
      </c>
      <c r="AR133">
        <f>IF(OR(AM$3="",AM$3&gt;TODAY()),"",IF(AND(AP133="",AQ133=""),"",N(AQ133)-N(AP133)))</f>
        <v/>
      </c>
      <c r="AV133">
        <f>IF(OR(AT$3="",AT$3&gt;TODAY()),"",IF(AND(AT133="",AU133=""),"",N(AU133)-N(AT133)))</f>
        <v/>
      </c>
      <c r="AY133">
        <f>IF(OR(AT$3="",AT$3&gt;TODAY()),"",IF(AND(AW133="",AX133=""),"",N(AX133)-N(AW133)))</f>
        <v/>
      </c>
      <c r="BC133">
        <f>IF(OR(BA$3="",BA$3&gt;TODAY()),"",IF(AND(BA133="",BB133=""),"",N(BB133)-N(BA133)))</f>
        <v/>
      </c>
      <c r="BF133">
        <f>IF(OR(BA$3="",BA$3&gt;TODAY()),"",IF(AND(BD133="",BE133=""),"",N(BE133)-N(BD133)))</f>
        <v/>
      </c>
      <c r="BJ133">
        <f>IF(OR(BH$3="",BH$3&gt;TODAY()),"",IF(AND(BH133="",BI133=""),"",N(BI133)-N(BH133)))</f>
        <v/>
      </c>
      <c r="BM133">
        <f>IF(OR(BH$3="",BH$3&gt;TODAY()),"",IF(AND(BK133="",BL133=""),"",N(BL133)-N(BK133)))</f>
        <v/>
      </c>
      <c r="BQ133">
        <f>IF(OR(BO$3="",BO$3&gt;TODAY()),"",IF(AND(BO133="",BP133=""),"",N(BP133)-N(BO133)))</f>
        <v/>
      </c>
      <c r="BT133">
        <f>IF(OR(BO$3="",BO$3&gt;TODAY()),"",IF(AND(BR133="",BS133=""),"",N(BS133)-N(BR133)))</f>
        <v/>
      </c>
      <c r="BX133">
        <f>IF(OR(BV$3="",BV$3&gt;TODAY()),"",IF(AND(BV133="",BW133=""),"",N(BW133)-N(BV133)))</f>
        <v/>
      </c>
      <c r="CA133">
        <f>IF(OR(BV$3="",BV$3&gt;TODAY()),"",IF(AND(BY133="",BZ133=""),"",N(BZ133)-N(BY133)))</f>
        <v/>
      </c>
      <c r="CE133">
        <f>IF(OR(CC$3="",CC$3&gt;TODAY()),"",IF(AND(CC133="",CD133=""),"",N(CD133)-N(CC133)))</f>
        <v/>
      </c>
      <c r="CH133">
        <f>IF(OR(CC$3="",CC$3&gt;TODAY()),"",IF(AND(CF133="",CG133=""),"",N(CG133)-N(CF133)))</f>
        <v/>
      </c>
      <c r="CL133">
        <f>IF(OR(CJ$3="",CJ$3&gt;TODAY()),"",IF(AND(CJ133="",CK133=""),"",N(CK133)-N(CJ133)))</f>
        <v/>
      </c>
      <c r="CO133">
        <f>IF(OR(CJ$3="",CJ$3&gt;TODAY()),"",IF(AND(CM133="",CN133=""),"",N(CN133)-N(CM133)))</f>
        <v/>
      </c>
      <c r="CS133">
        <f>IF(OR(CQ$3="",CQ$3&gt;TODAY()),"",IF(AND(CQ133="",CR133=""),"",N(CR133)-N(CQ133)))</f>
        <v/>
      </c>
      <c r="CV133">
        <f>IF(OR(CQ$3="",CQ$3&gt;TODAY()),"",IF(AND(CT133="",CU133=""),"",N(CU133)-N(CT133)))</f>
        <v/>
      </c>
      <c r="CZ133">
        <f>IF(OR(CX$3="",CX$3&gt;TODAY()),"",IF(AND(CX133="",CY133=""),"",N(CY133)-N(CX133)))</f>
        <v/>
      </c>
      <c r="DC133">
        <f>IF(OR(CX$3="",CX$3&gt;TODAY()),"",IF(AND(DA133="",DB133=""),"",N(DB133)-N(DA133)))</f>
        <v/>
      </c>
      <c r="DG133">
        <f>IF(OR(DE$3="",DE$3&gt;TODAY()),"",IF(AND(DE133="",DF133=""),"",N(DF133)-N(DE133)))</f>
        <v/>
      </c>
      <c r="DJ133">
        <f>IF(OR(DE$3="",DE$3&gt;TODAY()),"",IF(AND(DH133="",DI133=""),"",N(DI133)-N(DH133)))</f>
        <v/>
      </c>
      <c r="DN133">
        <f>IF(OR(DL$3="",DL$3&gt;TODAY()),"",IF(AND(DL133="",DM133=""),"",N(DM133)-N(DL133)))</f>
        <v/>
      </c>
      <c r="DQ133">
        <f>IF(OR(DL$3="",DL$3&gt;TODAY()),"",IF(AND(DO133="",DP133=""),"",N(DP133)-N(DO133)))</f>
        <v/>
      </c>
      <c r="DU133">
        <f>IF(OR(DS$3="",DS$3&gt;TODAY()),"",IF(AND(DS133="",DT133=""),"",N(DT133)-N(DS133)))</f>
        <v/>
      </c>
      <c r="DX133">
        <f>IF(OR(DS$3="",DS$3&gt;TODAY()),"",IF(AND(DV133="",DW133=""),"",N(DW133)-N(DV133)))</f>
        <v/>
      </c>
      <c r="EB133">
        <f>IF(OR(DZ$3="",DZ$3&gt;TODAY()),"",IF(AND(DZ133="",EA133=""),"",N(EA133)-N(DZ133)))</f>
        <v/>
      </c>
      <c r="EE133">
        <f>IF(OR(DZ$3="",DZ$3&gt;TODAY()),"",IF(AND(EC133="",ED133=""),"",N(ED133)-N(EC133)))</f>
        <v/>
      </c>
      <c r="EI133">
        <f>IF(OR(EG$3="",EG$3&gt;TODAY()),"",IF(AND(EG133="",EH133=""),"",N(EH133)-N(EG133)))</f>
        <v/>
      </c>
      <c r="EL133">
        <f>IF(OR(EG$3="",EG$3&gt;TODAY()),"",IF(AND(EJ133="",EK133=""),"",N(EK133)-N(EJ133)))</f>
        <v/>
      </c>
      <c r="EP133">
        <f>IF(OR(EN$3="",EN$3&gt;TODAY()),"",IF(AND(EN133="",EO133=""),"",N(EO133)-N(EN133)))</f>
        <v/>
      </c>
      <c r="ES133">
        <f>IF(OR(EN$3="",EN$3&gt;TODAY()),"",IF(AND(EQ133="",ER133=""),"",N(ER133)-N(EQ133)))</f>
        <v/>
      </c>
      <c r="EW133">
        <f>IF(OR(EU$3="",EU$3&gt;TODAY()),"",IF(AND(EU133="",EV133=""),"",N(EV133)-N(EU133)))</f>
        <v/>
      </c>
      <c r="EZ133">
        <f>IF(OR(EU$3="",EU$3&gt;TODAY()),"",IF(AND(EX133="",EY133=""),"",N(EY133)-N(EX133)))</f>
        <v/>
      </c>
      <c r="FD133">
        <f>IF(OR(FB$3="",FB$3&gt;TODAY()),"",IF(AND(FB133="",FC133=""),"",N(FC133)-N(FB133)))</f>
        <v/>
      </c>
      <c r="FG133">
        <f>IF(OR(FB$3="",FB$3&gt;TODAY()),"",IF(AND(FE133="",FF133=""),"",N(FF133)-N(FE133)))</f>
        <v/>
      </c>
      <c r="FK133">
        <f>IF(OR(FI$3="",FI$3&gt;TODAY()),"",IF(AND(FI133="",FJ133=""),"",N(FJ133)-N(FI133)))</f>
        <v/>
      </c>
      <c r="FN133">
        <f>IF(OR(FI$3="",FI$3&gt;TODAY()),"",IF(AND(FL133="",FM133=""),"",N(FM133)-N(FL133)))</f>
        <v/>
      </c>
      <c r="FR133">
        <f>IF(OR(FP$3="",FP$3&gt;TODAY()),"",IF(AND(FP133="",FQ133=""),"",N(FQ133)-N(FP133)))</f>
        <v/>
      </c>
      <c r="FU133">
        <f>IF(OR(FP$3="",FP$3&gt;TODAY()),"",IF(AND(FS133="",FT133=""),"",N(FT133)-N(FS133)))</f>
        <v/>
      </c>
      <c r="FY133">
        <f>IF(OR(FW$3="",FW$3&gt;TODAY()),"",IF(AND(FW133="",FX133=""),"",N(FX133)-N(FW133)))</f>
        <v/>
      </c>
      <c r="GB133">
        <f>IF(OR(FW$3="",FW$3&gt;TODAY()),"",IF(AND(FZ133="",GA133=""),"",N(GA133)-N(FZ133)))</f>
        <v/>
      </c>
      <c r="GF133">
        <f>IF(OR(GD$3="",GD$3&gt;TODAY()),"",IF(AND(GD133="",GE133=""),"",N(GE133)-N(GD133)))</f>
        <v/>
      </c>
      <c r="GI133">
        <f>IF(OR(GD$3="",GD$3&gt;TODAY()),"",IF(AND(GG133="",GH133=""),"",N(GH133)-N(GG133)))</f>
        <v/>
      </c>
      <c r="GM133">
        <f>IF(OR(GK$3="",GK$3&gt;TODAY()),"",IF(AND(GK133="",GL133=""),"",N(GL133)-N(GK133)))</f>
        <v/>
      </c>
      <c r="GP133">
        <f>IF(OR(GK$3="",GK$3&gt;TODAY()),"",IF(AND(GN133="",GO133=""),"",N(GO133)-N(GN133)))</f>
        <v/>
      </c>
      <c r="GT133">
        <f>IF(OR(GR$3="",GR$3&gt;TODAY()),"",IF(AND(GR133="",GS133=""),"",N(GS133)-N(GR133)))</f>
        <v/>
      </c>
      <c r="GW133">
        <f>IF(OR(GR$3="",GR$3&gt;TODAY()),"",IF(AND(GU133="",GV133=""),"",N(GV133)-N(GU133)))</f>
        <v/>
      </c>
      <c r="HA133">
        <f>IF(OR(GY$3="",GY$3&gt;TODAY()),"",IF(AND(GY133="",GZ133=""),"",N(GZ133)-N(GY133)))</f>
        <v/>
      </c>
      <c r="HD133">
        <f>IF(OR(GY$3="",GY$3&gt;TODAY()),"",IF(AND(HB133="",HC133=""),"",N(HC133)-N(HB133)))</f>
        <v/>
      </c>
      <c r="HH133">
        <f>IF(OR(HF$3="",HF$3&gt;TODAY()),"",IF(AND(HF133="",HG133=""),"",N(HG133)-N(HF133)))</f>
        <v/>
      </c>
      <c r="HK133">
        <f>IF(OR(HF$3="",HF$3&gt;TODAY()),"",IF(AND(HI133="",HJ133=""),"",N(HJ133)-N(HI133)))</f>
        <v/>
      </c>
      <c r="HO133">
        <f>IF(OR(HM$3="",HM$3&gt;TODAY()),"",IF(AND(HM133="",HN133=""),"",N(HN133)-N(HM133)))</f>
        <v/>
      </c>
      <c r="HR133">
        <f>IF(OR(HM$3="",HM$3&gt;TODAY()),"",IF(AND(HP133="",HQ133=""),"",N(HQ133)-N(HP133)))</f>
        <v/>
      </c>
      <c r="HV133">
        <f>IF(OR(HT$3="",HT$3&gt;TODAY()),"",IF(AND(HT133="",HU133=""),"",N(HU133)-N(HT133)))</f>
        <v/>
      </c>
      <c r="HY133">
        <f>IF(OR(HT$3="",HT$3&gt;TODAY()),"",IF(AND(HW133="",HX133=""),"",N(HX133)-N(HW133)))</f>
        <v/>
      </c>
      <c r="IC133">
        <f>IF(OR(IA$3="",IA$3&gt;TODAY()),"",IF(AND(IA133="",IB133=""),"",N(IB133)-N(IA133)))</f>
        <v/>
      </c>
      <c r="IF133">
        <f>IF(OR(IA$3="",IA$3&gt;TODAY()),"",IF(AND(ID133="",IE133=""),"",N(IE133)-N(ID133)))</f>
        <v/>
      </c>
      <c r="IJ133">
        <f>IF(OR(IH$3="",IH$3&gt;TODAY()),"",IF(AND(IH133="",II133=""),"",N(II133)-N(IH133)))</f>
        <v/>
      </c>
      <c r="IM133">
        <f>IF(OR(IH$3="",IH$3&gt;TODAY()),"",IF(AND(IK133="",IL133=""),"",N(IL133)-N(IK133)))</f>
        <v/>
      </c>
    </row>
    <row r="134">
      <c r="A134" s="21" t="n"/>
      <c r="B134" s="21" t="n"/>
      <c r="C134" s="21" t="n"/>
      <c r="D134" s="21" t="n"/>
      <c r="E134" s="21" t="n"/>
      <c r="F134" s="21" t="n"/>
      <c r="G134" s="21" t="n"/>
      <c r="H134" s="21" t="n"/>
      <c r="I134" s="22" t="n"/>
      <c r="J134" s="22" t="n"/>
      <c r="K134" s="23" t="n"/>
      <c r="L134" s="22" t="n"/>
      <c r="M134" s="22" t="n"/>
      <c r="N134" s="21" t="n"/>
      <c r="O134" s="23" t="n"/>
      <c r="P134" s="23" t="n"/>
      <c r="Q134" s="23" t="n"/>
      <c r="R134" s="23" t="n"/>
      <c r="S134" s="22" t="n"/>
      <c r="T134" s="23" t="n"/>
      <c r="U134" s="23" t="n"/>
      <c r="V134" s="24">
        <f>IF(J134&lt;&gt;"",J134,IF(I134&lt;&gt;"",I134,""))</f>
        <v/>
      </c>
      <c r="W134" s="25">
        <f>IF($E134="","",N(O134)+SUMIFS($AF134:$IN134,$AF$4:$IN$4,"SEW_ACT"))</f>
        <v/>
      </c>
      <c r="X134" s="25">
        <f>IF($E134="","",N(P134)+SUMIFS($AF134:$IN134,$AF$4:$IN$4,"WASH_ACT"))</f>
        <v/>
      </c>
      <c r="Y134" s="25">
        <f>IF($E134="","",W134-X134-N(T134)-N(U134))</f>
        <v/>
      </c>
      <c r="Z134" s="25">
        <f>IF($E134="","",IF(N(K134)-X134&lt;=0.02*N(K134),0,N(K134)-X134))</f>
        <v/>
      </c>
      <c r="AA134" s="24">
        <f>IF($E134="","",IF(S134&lt;&gt;"",S134,IF(N(O134)&gt;0,IF(L134&lt;&gt;"",L134,99999),IFERROR(1/(1/_xlfn.MINIFS($AF$3:$IN$3,$AF$4:$IN$4,"SEW_ACT",$AF134:$IN134,"&gt;0")),99999))))</f>
        <v/>
      </c>
      <c r="AB134" s="26">
        <f>IF(OR($E134="",Z134=0,V134=""),"",1+COUNTIFS(Z$8:Z$707,"&gt;0",V$8:V$707,"&lt;"&amp;V134)+COUNTIFS(Z$8:Z$707,"&gt;0",V$8:V$707,V134,AA$8:AA$707,"&lt;"&amp;AA134)+COUNTIFS(Z$8:Z$707,"&gt;0",V$8:V$707,V134,AA$8:AA$707,AA134,E$8:E$707,"&lt;"&amp;$E134))</f>
        <v/>
      </c>
      <c r="AC134" s="24">
        <f>IF(OR($E134="",Z134=0),"",IFERROR(TODAY()+ROUNDUP(Z134/(SUMIFS($AF134:$IN134,$AF$4:$IN$4,"WASH_ACT")/COUNTIFS($AF$4:$IN$4,"WASH_ACT",$AF134:$IN134,"&gt;0")),0),"no output yet"))</f>
        <v/>
      </c>
      <c r="AD134" s="26">
        <f>IF($E134="","",IFERROR(ROUND(MAX(0,SUMIFS($AF134:$IN134,$AF$4:$IN$4,"SEW_PLAN",$AF$3:$IN$3,"&lt;="&amp;TODAY())-SUMIFS($AF134:$IN134,$AF$4:$IN$4,"SEW_ACT",$AF$3:$IN$3,"&lt;="&amp;TODAY())+N(Q134))/(SUMIFS($AF134:$IN134,$AF$4:$IN$4,"SEW_PLAN")/COUNTIFS($AF$4:$IN$4,"SEW_PLAN",$AF134:$IN134,"&gt;0")),1),0))</f>
        <v/>
      </c>
      <c r="AE134" s="26">
        <f>IF($E134="","",IF(AND(Z134&gt;0,OR(AND(M134&lt;&gt;"",TODAY()&gt;M134),AND(V134&lt;&gt;"",V134-TODAY()&lt;=7))),"Yes","No"))</f>
        <v/>
      </c>
      <c r="AH134">
        <f>IF(OR(AF$3="",AF$3&gt;TODAY()),"",IF(AND(AF134="",AG134=""),"",N(AG134)-N(AF134)))</f>
        <v/>
      </c>
      <c r="AK134">
        <f>IF(OR(AF$3="",AF$3&gt;TODAY()),"",IF(AND(AI134="",AJ134=""),"",N(AJ134)-N(AI134)))</f>
        <v/>
      </c>
      <c r="AO134">
        <f>IF(OR(AM$3="",AM$3&gt;TODAY()),"",IF(AND(AM134="",AN134=""),"",N(AN134)-N(AM134)))</f>
        <v/>
      </c>
      <c r="AR134">
        <f>IF(OR(AM$3="",AM$3&gt;TODAY()),"",IF(AND(AP134="",AQ134=""),"",N(AQ134)-N(AP134)))</f>
        <v/>
      </c>
      <c r="AV134">
        <f>IF(OR(AT$3="",AT$3&gt;TODAY()),"",IF(AND(AT134="",AU134=""),"",N(AU134)-N(AT134)))</f>
        <v/>
      </c>
      <c r="AY134">
        <f>IF(OR(AT$3="",AT$3&gt;TODAY()),"",IF(AND(AW134="",AX134=""),"",N(AX134)-N(AW134)))</f>
        <v/>
      </c>
      <c r="BC134">
        <f>IF(OR(BA$3="",BA$3&gt;TODAY()),"",IF(AND(BA134="",BB134=""),"",N(BB134)-N(BA134)))</f>
        <v/>
      </c>
      <c r="BF134">
        <f>IF(OR(BA$3="",BA$3&gt;TODAY()),"",IF(AND(BD134="",BE134=""),"",N(BE134)-N(BD134)))</f>
        <v/>
      </c>
      <c r="BJ134">
        <f>IF(OR(BH$3="",BH$3&gt;TODAY()),"",IF(AND(BH134="",BI134=""),"",N(BI134)-N(BH134)))</f>
        <v/>
      </c>
      <c r="BM134">
        <f>IF(OR(BH$3="",BH$3&gt;TODAY()),"",IF(AND(BK134="",BL134=""),"",N(BL134)-N(BK134)))</f>
        <v/>
      </c>
      <c r="BQ134">
        <f>IF(OR(BO$3="",BO$3&gt;TODAY()),"",IF(AND(BO134="",BP134=""),"",N(BP134)-N(BO134)))</f>
        <v/>
      </c>
      <c r="BT134">
        <f>IF(OR(BO$3="",BO$3&gt;TODAY()),"",IF(AND(BR134="",BS134=""),"",N(BS134)-N(BR134)))</f>
        <v/>
      </c>
      <c r="BX134">
        <f>IF(OR(BV$3="",BV$3&gt;TODAY()),"",IF(AND(BV134="",BW134=""),"",N(BW134)-N(BV134)))</f>
        <v/>
      </c>
      <c r="CA134">
        <f>IF(OR(BV$3="",BV$3&gt;TODAY()),"",IF(AND(BY134="",BZ134=""),"",N(BZ134)-N(BY134)))</f>
        <v/>
      </c>
      <c r="CE134">
        <f>IF(OR(CC$3="",CC$3&gt;TODAY()),"",IF(AND(CC134="",CD134=""),"",N(CD134)-N(CC134)))</f>
        <v/>
      </c>
      <c r="CH134">
        <f>IF(OR(CC$3="",CC$3&gt;TODAY()),"",IF(AND(CF134="",CG134=""),"",N(CG134)-N(CF134)))</f>
        <v/>
      </c>
      <c r="CL134">
        <f>IF(OR(CJ$3="",CJ$3&gt;TODAY()),"",IF(AND(CJ134="",CK134=""),"",N(CK134)-N(CJ134)))</f>
        <v/>
      </c>
      <c r="CO134">
        <f>IF(OR(CJ$3="",CJ$3&gt;TODAY()),"",IF(AND(CM134="",CN134=""),"",N(CN134)-N(CM134)))</f>
        <v/>
      </c>
      <c r="CS134">
        <f>IF(OR(CQ$3="",CQ$3&gt;TODAY()),"",IF(AND(CQ134="",CR134=""),"",N(CR134)-N(CQ134)))</f>
        <v/>
      </c>
      <c r="CV134">
        <f>IF(OR(CQ$3="",CQ$3&gt;TODAY()),"",IF(AND(CT134="",CU134=""),"",N(CU134)-N(CT134)))</f>
        <v/>
      </c>
      <c r="CZ134">
        <f>IF(OR(CX$3="",CX$3&gt;TODAY()),"",IF(AND(CX134="",CY134=""),"",N(CY134)-N(CX134)))</f>
        <v/>
      </c>
      <c r="DC134">
        <f>IF(OR(CX$3="",CX$3&gt;TODAY()),"",IF(AND(DA134="",DB134=""),"",N(DB134)-N(DA134)))</f>
        <v/>
      </c>
      <c r="DG134">
        <f>IF(OR(DE$3="",DE$3&gt;TODAY()),"",IF(AND(DE134="",DF134=""),"",N(DF134)-N(DE134)))</f>
        <v/>
      </c>
      <c r="DJ134">
        <f>IF(OR(DE$3="",DE$3&gt;TODAY()),"",IF(AND(DH134="",DI134=""),"",N(DI134)-N(DH134)))</f>
        <v/>
      </c>
      <c r="DN134">
        <f>IF(OR(DL$3="",DL$3&gt;TODAY()),"",IF(AND(DL134="",DM134=""),"",N(DM134)-N(DL134)))</f>
        <v/>
      </c>
      <c r="DQ134">
        <f>IF(OR(DL$3="",DL$3&gt;TODAY()),"",IF(AND(DO134="",DP134=""),"",N(DP134)-N(DO134)))</f>
        <v/>
      </c>
      <c r="DU134">
        <f>IF(OR(DS$3="",DS$3&gt;TODAY()),"",IF(AND(DS134="",DT134=""),"",N(DT134)-N(DS134)))</f>
        <v/>
      </c>
      <c r="DX134">
        <f>IF(OR(DS$3="",DS$3&gt;TODAY()),"",IF(AND(DV134="",DW134=""),"",N(DW134)-N(DV134)))</f>
        <v/>
      </c>
      <c r="EB134">
        <f>IF(OR(DZ$3="",DZ$3&gt;TODAY()),"",IF(AND(DZ134="",EA134=""),"",N(EA134)-N(DZ134)))</f>
        <v/>
      </c>
      <c r="EE134">
        <f>IF(OR(DZ$3="",DZ$3&gt;TODAY()),"",IF(AND(EC134="",ED134=""),"",N(ED134)-N(EC134)))</f>
        <v/>
      </c>
      <c r="EI134">
        <f>IF(OR(EG$3="",EG$3&gt;TODAY()),"",IF(AND(EG134="",EH134=""),"",N(EH134)-N(EG134)))</f>
        <v/>
      </c>
      <c r="EL134">
        <f>IF(OR(EG$3="",EG$3&gt;TODAY()),"",IF(AND(EJ134="",EK134=""),"",N(EK134)-N(EJ134)))</f>
        <v/>
      </c>
      <c r="EP134">
        <f>IF(OR(EN$3="",EN$3&gt;TODAY()),"",IF(AND(EN134="",EO134=""),"",N(EO134)-N(EN134)))</f>
        <v/>
      </c>
      <c r="ES134">
        <f>IF(OR(EN$3="",EN$3&gt;TODAY()),"",IF(AND(EQ134="",ER134=""),"",N(ER134)-N(EQ134)))</f>
        <v/>
      </c>
      <c r="EW134">
        <f>IF(OR(EU$3="",EU$3&gt;TODAY()),"",IF(AND(EU134="",EV134=""),"",N(EV134)-N(EU134)))</f>
        <v/>
      </c>
      <c r="EZ134">
        <f>IF(OR(EU$3="",EU$3&gt;TODAY()),"",IF(AND(EX134="",EY134=""),"",N(EY134)-N(EX134)))</f>
        <v/>
      </c>
      <c r="FD134">
        <f>IF(OR(FB$3="",FB$3&gt;TODAY()),"",IF(AND(FB134="",FC134=""),"",N(FC134)-N(FB134)))</f>
        <v/>
      </c>
      <c r="FG134">
        <f>IF(OR(FB$3="",FB$3&gt;TODAY()),"",IF(AND(FE134="",FF134=""),"",N(FF134)-N(FE134)))</f>
        <v/>
      </c>
      <c r="FK134">
        <f>IF(OR(FI$3="",FI$3&gt;TODAY()),"",IF(AND(FI134="",FJ134=""),"",N(FJ134)-N(FI134)))</f>
        <v/>
      </c>
      <c r="FN134">
        <f>IF(OR(FI$3="",FI$3&gt;TODAY()),"",IF(AND(FL134="",FM134=""),"",N(FM134)-N(FL134)))</f>
        <v/>
      </c>
      <c r="FR134">
        <f>IF(OR(FP$3="",FP$3&gt;TODAY()),"",IF(AND(FP134="",FQ134=""),"",N(FQ134)-N(FP134)))</f>
        <v/>
      </c>
      <c r="FU134">
        <f>IF(OR(FP$3="",FP$3&gt;TODAY()),"",IF(AND(FS134="",FT134=""),"",N(FT134)-N(FS134)))</f>
        <v/>
      </c>
      <c r="FY134">
        <f>IF(OR(FW$3="",FW$3&gt;TODAY()),"",IF(AND(FW134="",FX134=""),"",N(FX134)-N(FW134)))</f>
        <v/>
      </c>
      <c r="GB134">
        <f>IF(OR(FW$3="",FW$3&gt;TODAY()),"",IF(AND(FZ134="",GA134=""),"",N(GA134)-N(FZ134)))</f>
        <v/>
      </c>
      <c r="GF134">
        <f>IF(OR(GD$3="",GD$3&gt;TODAY()),"",IF(AND(GD134="",GE134=""),"",N(GE134)-N(GD134)))</f>
        <v/>
      </c>
      <c r="GI134">
        <f>IF(OR(GD$3="",GD$3&gt;TODAY()),"",IF(AND(GG134="",GH134=""),"",N(GH134)-N(GG134)))</f>
        <v/>
      </c>
      <c r="GM134">
        <f>IF(OR(GK$3="",GK$3&gt;TODAY()),"",IF(AND(GK134="",GL134=""),"",N(GL134)-N(GK134)))</f>
        <v/>
      </c>
      <c r="GP134">
        <f>IF(OR(GK$3="",GK$3&gt;TODAY()),"",IF(AND(GN134="",GO134=""),"",N(GO134)-N(GN134)))</f>
        <v/>
      </c>
      <c r="GT134">
        <f>IF(OR(GR$3="",GR$3&gt;TODAY()),"",IF(AND(GR134="",GS134=""),"",N(GS134)-N(GR134)))</f>
        <v/>
      </c>
      <c r="GW134">
        <f>IF(OR(GR$3="",GR$3&gt;TODAY()),"",IF(AND(GU134="",GV134=""),"",N(GV134)-N(GU134)))</f>
        <v/>
      </c>
      <c r="HA134">
        <f>IF(OR(GY$3="",GY$3&gt;TODAY()),"",IF(AND(GY134="",GZ134=""),"",N(GZ134)-N(GY134)))</f>
        <v/>
      </c>
      <c r="HD134">
        <f>IF(OR(GY$3="",GY$3&gt;TODAY()),"",IF(AND(HB134="",HC134=""),"",N(HC134)-N(HB134)))</f>
        <v/>
      </c>
      <c r="HH134">
        <f>IF(OR(HF$3="",HF$3&gt;TODAY()),"",IF(AND(HF134="",HG134=""),"",N(HG134)-N(HF134)))</f>
        <v/>
      </c>
      <c r="HK134">
        <f>IF(OR(HF$3="",HF$3&gt;TODAY()),"",IF(AND(HI134="",HJ134=""),"",N(HJ134)-N(HI134)))</f>
        <v/>
      </c>
      <c r="HO134">
        <f>IF(OR(HM$3="",HM$3&gt;TODAY()),"",IF(AND(HM134="",HN134=""),"",N(HN134)-N(HM134)))</f>
        <v/>
      </c>
      <c r="HR134">
        <f>IF(OR(HM$3="",HM$3&gt;TODAY()),"",IF(AND(HP134="",HQ134=""),"",N(HQ134)-N(HP134)))</f>
        <v/>
      </c>
      <c r="HV134">
        <f>IF(OR(HT$3="",HT$3&gt;TODAY()),"",IF(AND(HT134="",HU134=""),"",N(HU134)-N(HT134)))</f>
        <v/>
      </c>
      <c r="HY134">
        <f>IF(OR(HT$3="",HT$3&gt;TODAY()),"",IF(AND(HW134="",HX134=""),"",N(HX134)-N(HW134)))</f>
        <v/>
      </c>
      <c r="IC134">
        <f>IF(OR(IA$3="",IA$3&gt;TODAY()),"",IF(AND(IA134="",IB134=""),"",N(IB134)-N(IA134)))</f>
        <v/>
      </c>
      <c r="IF134">
        <f>IF(OR(IA$3="",IA$3&gt;TODAY()),"",IF(AND(ID134="",IE134=""),"",N(IE134)-N(ID134)))</f>
        <v/>
      </c>
      <c r="IJ134">
        <f>IF(OR(IH$3="",IH$3&gt;TODAY()),"",IF(AND(IH134="",II134=""),"",N(II134)-N(IH134)))</f>
        <v/>
      </c>
      <c r="IM134">
        <f>IF(OR(IH$3="",IH$3&gt;TODAY()),"",IF(AND(IK134="",IL134=""),"",N(IL134)-N(IK134)))</f>
        <v/>
      </c>
    </row>
    <row r="135">
      <c r="A135" s="21" t="n"/>
      <c r="B135" s="21" t="n"/>
      <c r="C135" s="21" t="n"/>
      <c r="D135" s="21" t="n"/>
      <c r="E135" s="21" t="n"/>
      <c r="F135" s="21" t="n"/>
      <c r="G135" s="21" t="n"/>
      <c r="H135" s="21" t="n"/>
      <c r="I135" s="22" t="n"/>
      <c r="J135" s="22" t="n"/>
      <c r="K135" s="23" t="n"/>
      <c r="L135" s="22" t="n"/>
      <c r="M135" s="22" t="n"/>
      <c r="N135" s="21" t="n"/>
      <c r="O135" s="23" t="n"/>
      <c r="P135" s="23" t="n"/>
      <c r="Q135" s="23" t="n"/>
      <c r="R135" s="23" t="n"/>
      <c r="S135" s="22" t="n"/>
      <c r="T135" s="23" t="n"/>
      <c r="U135" s="23" t="n"/>
      <c r="V135" s="24">
        <f>IF(J135&lt;&gt;"",J135,IF(I135&lt;&gt;"",I135,""))</f>
        <v/>
      </c>
      <c r="W135" s="25">
        <f>IF($E135="","",N(O135)+SUMIFS($AF135:$IN135,$AF$4:$IN$4,"SEW_ACT"))</f>
        <v/>
      </c>
      <c r="X135" s="25">
        <f>IF($E135="","",N(P135)+SUMIFS($AF135:$IN135,$AF$4:$IN$4,"WASH_ACT"))</f>
        <v/>
      </c>
      <c r="Y135" s="25">
        <f>IF($E135="","",W135-X135-N(T135)-N(U135))</f>
        <v/>
      </c>
      <c r="Z135" s="25">
        <f>IF($E135="","",IF(N(K135)-X135&lt;=0.02*N(K135),0,N(K135)-X135))</f>
        <v/>
      </c>
      <c r="AA135" s="24">
        <f>IF($E135="","",IF(S135&lt;&gt;"",S135,IF(N(O135)&gt;0,IF(L135&lt;&gt;"",L135,99999),IFERROR(1/(1/_xlfn.MINIFS($AF$3:$IN$3,$AF$4:$IN$4,"SEW_ACT",$AF135:$IN135,"&gt;0")),99999))))</f>
        <v/>
      </c>
      <c r="AB135" s="26">
        <f>IF(OR($E135="",Z135=0,V135=""),"",1+COUNTIFS(Z$8:Z$707,"&gt;0",V$8:V$707,"&lt;"&amp;V135)+COUNTIFS(Z$8:Z$707,"&gt;0",V$8:V$707,V135,AA$8:AA$707,"&lt;"&amp;AA135)+COUNTIFS(Z$8:Z$707,"&gt;0",V$8:V$707,V135,AA$8:AA$707,AA135,E$8:E$707,"&lt;"&amp;$E135))</f>
        <v/>
      </c>
      <c r="AC135" s="24">
        <f>IF(OR($E135="",Z135=0),"",IFERROR(TODAY()+ROUNDUP(Z135/(SUMIFS($AF135:$IN135,$AF$4:$IN$4,"WASH_ACT")/COUNTIFS($AF$4:$IN$4,"WASH_ACT",$AF135:$IN135,"&gt;0")),0),"no output yet"))</f>
        <v/>
      </c>
      <c r="AD135" s="26">
        <f>IF($E135="","",IFERROR(ROUND(MAX(0,SUMIFS($AF135:$IN135,$AF$4:$IN$4,"SEW_PLAN",$AF$3:$IN$3,"&lt;="&amp;TODAY())-SUMIFS($AF135:$IN135,$AF$4:$IN$4,"SEW_ACT",$AF$3:$IN$3,"&lt;="&amp;TODAY())+N(Q135))/(SUMIFS($AF135:$IN135,$AF$4:$IN$4,"SEW_PLAN")/COUNTIFS($AF$4:$IN$4,"SEW_PLAN",$AF135:$IN135,"&gt;0")),1),0))</f>
        <v/>
      </c>
      <c r="AE135" s="26">
        <f>IF($E135="","",IF(AND(Z135&gt;0,OR(AND(M135&lt;&gt;"",TODAY()&gt;M135),AND(V135&lt;&gt;"",V135-TODAY()&lt;=7))),"Yes","No"))</f>
        <v/>
      </c>
      <c r="AH135">
        <f>IF(OR(AF$3="",AF$3&gt;TODAY()),"",IF(AND(AF135="",AG135=""),"",N(AG135)-N(AF135)))</f>
        <v/>
      </c>
      <c r="AK135">
        <f>IF(OR(AF$3="",AF$3&gt;TODAY()),"",IF(AND(AI135="",AJ135=""),"",N(AJ135)-N(AI135)))</f>
        <v/>
      </c>
      <c r="AO135">
        <f>IF(OR(AM$3="",AM$3&gt;TODAY()),"",IF(AND(AM135="",AN135=""),"",N(AN135)-N(AM135)))</f>
        <v/>
      </c>
      <c r="AR135">
        <f>IF(OR(AM$3="",AM$3&gt;TODAY()),"",IF(AND(AP135="",AQ135=""),"",N(AQ135)-N(AP135)))</f>
        <v/>
      </c>
      <c r="AV135">
        <f>IF(OR(AT$3="",AT$3&gt;TODAY()),"",IF(AND(AT135="",AU135=""),"",N(AU135)-N(AT135)))</f>
        <v/>
      </c>
      <c r="AY135">
        <f>IF(OR(AT$3="",AT$3&gt;TODAY()),"",IF(AND(AW135="",AX135=""),"",N(AX135)-N(AW135)))</f>
        <v/>
      </c>
      <c r="BC135">
        <f>IF(OR(BA$3="",BA$3&gt;TODAY()),"",IF(AND(BA135="",BB135=""),"",N(BB135)-N(BA135)))</f>
        <v/>
      </c>
      <c r="BF135">
        <f>IF(OR(BA$3="",BA$3&gt;TODAY()),"",IF(AND(BD135="",BE135=""),"",N(BE135)-N(BD135)))</f>
        <v/>
      </c>
      <c r="BJ135">
        <f>IF(OR(BH$3="",BH$3&gt;TODAY()),"",IF(AND(BH135="",BI135=""),"",N(BI135)-N(BH135)))</f>
        <v/>
      </c>
      <c r="BM135">
        <f>IF(OR(BH$3="",BH$3&gt;TODAY()),"",IF(AND(BK135="",BL135=""),"",N(BL135)-N(BK135)))</f>
        <v/>
      </c>
      <c r="BQ135">
        <f>IF(OR(BO$3="",BO$3&gt;TODAY()),"",IF(AND(BO135="",BP135=""),"",N(BP135)-N(BO135)))</f>
        <v/>
      </c>
      <c r="BT135">
        <f>IF(OR(BO$3="",BO$3&gt;TODAY()),"",IF(AND(BR135="",BS135=""),"",N(BS135)-N(BR135)))</f>
        <v/>
      </c>
      <c r="BX135">
        <f>IF(OR(BV$3="",BV$3&gt;TODAY()),"",IF(AND(BV135="",BW135=""),"",N(BW135)-N(BV135)))</f>
        <v/>
      </c>
      <c r="CA135">
        <f>IF(OR(BV$3="",BV$3&gt;TODAY()),"",IF(AND(BY135="",BZ135=""),"",N(BZ135)-N(BY135)))</f>
        <v/>
      </c>
      <c r="CE135">
        <f>IF(OR(CC$3="",CC$3&gt;TODAY()),"",IF(AND(CC135="",CD135=""),"",N(CD135)-N(CC135)))</f>
        <v/>
      </c>
      <c r="CH135">
        <f>IF(OR(CC$3="",CC$3&gt;TODAY()),"",IF(AND(CF135="",CG135=""),"",N(CG135)-N(CF135)))</f>
        <v/>
      </c>
      <c r="CL135">
        <f>IF(OR(CJ$3="",CJ$3&gt;TODAY()),"",IF(AND(CJ135="",CK135=""),"",N(CK135)-N(CJ135)))</f>
        <v/>
      </c>
      <c r="CO135">
        <f>IF(OR(CJ$3="",CJ$3&gt;TODAY()),"",IF(AND(CM135="",CN135=""),"",N(CN135)-N(CM135)))</f>
        <v/>
      </c>
      <c r="CS135">
        <f>IF(OR(CQ$3="",CQ$3&gt;TODAY()),"",IF(AND(CQ135="",CR135=""),"",N(CR135)-N(CQ135)))</f>
        <v/>
      </c>
      <c r="CV135">
        <f>IF(OR(CQ$3="",CQ$3&gt;TODAY()),"",IF(AND(CT135="",CU135=""),"",N(CU135)-N(CT135)))</f>
        <v/>
      </c>
      <c r="CZ135">
        <f>IF(OR(CX$3="",CX$3&gt;TODAY()),"",IF(AND(CX135="",CY135=""),"",N(CY135)-N(CX135)))</f>
        <v/>
      </c>
      <c r="DC135">
        <f>IF(OR(CX$3="",CX$3&gt;TODAY()),"",IF(AND(DA135="",DB135=""),"",N(DB135)-N(DA135)))</f>
        <v/>
      </c>
      <c r="DG135">
        <f>IF(OR(DE$3="",DE$3&gt;TODAY()),"",IF(AND(DE135="",DF135=""),"",N(DF135)-N(DE135)))</f>
        <v/>
      </c>
      <c r="DJ135">
        <f>IF(OR(DE$3="",DE$3&gt;TODAY()),"",IF(AND(DH135="",DI135=""),"",N(DI135)-N(DH135)))</f>
        <v/>
      </c>
      <c r="DN135">
        <f>IF(OR(DL$3="",DL$3&gt;TODAY()),"",IF(AND(DL135="",DM135=""),"",N(DM135)-N(DL135)))</f>
        <v/>
      </c>
      <c r="DQ135">
        <f>IF(OR(DL$3="",DL$3&gt;TODAY()),"",IF(AND(DO135="",DP135=""),"",N(DP135)-N(DO135)))</f>
        <v/>
      </c>
      <c r="DU135">
        <f>IF(OR(DS$3="",DS$3&gt;TODAY()),"",IF(AND(DS135="",DT135=""),"",N(DT135)-N(DS135)))</f>
        <v/>
      </c>
      <c r="DX135">
        <f>IF(OR(DS$3="",DS$3&gt;TODAY()),"",IF(AND(DV135="",DW135=""),"",N(DW135)-N(DV135)))</f>
        <v/>
      </c>
      <c r="EB135">
        <f>IF(OR(DZ$3="",DZ$3&gt;TODAY()),"",IF(AND(DZ135="",EA135=""),"",N(EA135)-N(DZ135)))</f>
        <v/>
      </c>
      <c r="EE135">
        <f>IF(OR(DZ$3="",DZ$3&gt;TODAY()),"",IF(AND(EC135="",ED135=""),"",N(ED135)-N(EC135)))</f>
        <v/>
      </c>
      <c r="EI135">
        <f>IF(OR(EG$3="",EG$3&gt;TODAY()),"",IF(AND(EG135="",EH135=""),"",N(EH135)-N(EG135)))</f>
        <v/>
      </c>
      <c r="EL135">
        <f>IF(OR(EG$3="",EG$3&gt;TODAY()),"",IF(AND(EJ135="",EK135=""),"",N(EK135)-N(EJ135)))</f>
        <v/>
      </c>
      <c r="EP135">
        <f>IF(OR(EN$3="",EN$3&gt;TODAY()),"",IF(AND(EN135="",EO135=""),"",N(EO135)-N(EN135)))</f>
        <v/>
      </c>
      <c r="ES135">
        <f>IF(OR(EN$3="",EN$3&gt;TODAY()),"",IF(AND(EQ135="",ER135=""),"",N(ER135)-N(EQ135)))</f>
        <v/>
      </c>
      <c r="EW135">
        <f>IF(OR(EU$3="",EU$3&gt;TODAY()),"",IF(AND(EU135="",EV135=""),"",N(EV135)-N(EU135)))</f>
        <v/>
      </c>
      <c r="EZ135">
        <f>IF(OR(EU$3="",EU$3&gt;TODAY()),"",IF(AND(EX135="",EY135=""),"",N(EY135)-N(EX135)))</f>
        <v/>
      </c>
      <c r="FD135">
        <f>IF(OR(FB$3="",FB$3&gt;TODAY()),"",IF(AND(FB135="",FC135=""),"",N(FC135)-N(FB135)))</f>
        <v/>
      </c>
      <c r="FG135">
        <f>IF(OR(FB$3="",FB$3&gt;TODAY()),"",IF(AND(FE135="",FF135=""),"",N(FF135)-N(FE135)))</f>
        <v/>
      </c>
      <c r="FK135">
        <f>IF(OR(FI$3="",FI$3&gt;TODAY()),"",IF(AND(FI135="",FJ135=""),"",N(FJ135)-N(FI135)))</f>
        <v/>
      </c>
      <c r="FN135">
        <f>IF(OR(FI$3="",FI$3&gt;TODAY()),"",IF(AND(FL135="",FM135=""),"",N(FM135)-N(FL135)))</f>
        <v/>
      </c>
      <c r="FR135">
        <f>IF(OR(FP$3="",FP$3&gt;TODAY()),"",IF(AND(FP135="",FQ135=""),"",N(FQ135)-N(FP135)))</f>
        <v/>
      </c>
      <c r="FU135">
        <f>IF(OR(FP$3="",FP$3&gt;TODAY()),"",IF(AND(FS135="",FT135=""),"",N(FT135)-N(FS135)))</f>
        <v/>
      </c>
      <c r="FY135">
        <f>IF(OR(FW$3="",FW$3&gt;TODAY()),"",IF(AND(FW135="",FX135=""),"",N(FX135)-N(FW135)))</f>
        <v/>
      </c>
      <c r="GB135">
        <f>IF(OR(FW$3="",FW$3&gt;TODAY()),"",IF(AND(FZ135="",GA135=""),"",N(GA135)-N(FZ135)))</f>
        <v/>
      </c>
      <c r="GF135">
        <f>IF(OR(GD$3="",GD$3&gt;TODAY()),"",IF(AND(GD135="",GE135=""),"",N(GE135)-N(GD135)))</f>
        <v/>
      </c>
      <c r="GI135">
        <f>IF(OR(GD$3="",GD$3&gt;TODAY()),"",IF(AND(GG135="",GH135=""),"",N(GH135)-N(GG135)))</f>
        <v/>
      </c>
      <c r="GM135">
        <f>IF(OR(GK$3="",GK$3&gt;TODAY()),"",IF(AND(GK135="",GL135=""),"",N(GL135)-N(GK135)))</f>
        <v/>
      </c>
      <c r="GP135">
        <f>IF(OR(GK$3="",GK$3&gt;TODAY()),"",IF(AND(GN135="",GO135=""),"",N(GO135)-N(GN135)))</f>
        <v/>
      </c>
      <c r="GT135">
        <f>IF(OR(GR$3="",GR$3&gt;TODAY()),"",IF(AND(GR135="",GS135=""),"",N(GS135)-N(GR135)))</f>
        <v/>
      </c>
      <c r="GW135">
        <f>IF(OR(GR$3="",GR$3&gt;TODAY()),"",IF(AND(GU135="",GV135=""),"",N(GV135)-N(GU135)))</f>
        <v/>
      </c>
      <c r="HA135">
        <f>IF(OR(GY$3="",GY$3&gt;TODAY()),"",IF(AND(GY135="",GZ135=""),"",N(GZ135)-N(GY135)))</f>
        <v/>
      </c>
      <c r="HD135">
        <f>IF(OR(GY$3="",GY$3&gt;TODAY()),"",IF(AND(HB135="",HC135=""),"",N(HC135)-N(HB135)))</f>
        <v/>
      </c>
      <c r="HH135">
        <f>IF(OR(HF$3="",HF$3&gt;TODAY()),"",IF(AND(HF135="",HG135=""),"",N(HG135)-N(HF135)))</f>
        <v/>
      </c>
      <c r="HK135">
        <f>IF(OR(HF$3="",HF$3&gt;TODAY()),"",IF(AND(HI135="",HJ135=""),"",N(HJ135)-N(HI135)))</f>
        <v/>
      </c>
      <c r="HO135">
        <f>IF(OR(HM$3="",HM$3&gt;TODAY()),"",IF(AND(HM135="",HN135=""),"",N(HN135)-N(HM135)))</f>
        <v/>
      </c>
      <c r="HR135">
        <f>IF(OR(HM$3="",HM$3&gt;TODAY()),"",IF(AND(HP135="",HQ135=""),"",N(HQ135)-N(HP135)))</f>
        <v/>
      </c>
      <c r="HV135">
        <f>IF(OR(HT$3="",HT$3&gt;TODAY()),"",IF(AND(HT135="",HU135=""),"",N(HU135)-N(HT135)))</f>
        <v/>
      </c>
      <c r="HY135">
        <f>IF(OR(HT$3="",HT$3&gt;TODAY()),"",IF(AND(HW135="",HX135=""),"",N(HX135)-N(HW135)))</f>
        <v/>
      </c>
      <c r="IC135">
        <f>IF(OR(IA$3="",IA$3&gt;TODAY()),"",IF(AND(IA135="",IB135=""),"",N(IB135)-N(IA135)))</f>
        <v/>
      </c>
      <c r="IF135">
        <f>IF(OR(IA$3="",IA$3&gt;TODAY()),"",IF(AND(ID135="",IE135=""),"",N(IE135)-N(ID135)))</f>
        <v/>
      </c>
      <c r="IJ135">
        <f>IF(OR(IH$3="",IH$3&gt;TODAY()),"",IF(AND(IH135="",II135=""),"",N(II135)-N(IH135)))</f>
        <v/>
      </c>
      <c r="IM135">
        <f>IF(OR(IH$3="",IH$3&gt;TODAY()),"",IF(AND(IK135="",IL135=""),"",N(IL135)-N(IK135)))</f>
        <v/>
      </c>
    </row>
    <row r="136">
      <c r="A136" s="21" t="n"/>
      <c r="B136" s="21" t="n"/>
      <c r="C136" s="21" t="n"/>
      <c r="D136" s="21" t="n"/>
      <c r="E136" s="21" t="n"/>
      <c r="F136" s="21" t="n"/>
      <c r="G136" s="21" t="n"/>
      <c r="H136" s="21" t="n"/>
      <c r="I136" s="22" t="n"/>
      <c r="J136" s="22" t="n"/>
      <c r="K136" s="23" t="n"/>
      <c r="L136" s="22" t="n"/>
      <c r="M136" s="22" t="n"/>
      <c r="N136" s="21" t="n"/>
      <c r="O136" s="23" t="n"/>
      <c r="P136" s="23" t="n"/>
      <c r="Q136" s="23" t="n"/>
      <c r="R136" s="23" t="n"/>
      <c r="S136" s="22" t="n"/>
      <c r="T136" s="23" t="n"/>
      <c r="U136" s="23" t="n"/>
      <c r="V136" s="24">
        <f>IF(J136&lt;&gt;"",J136,IF(I136&lt;&gt;"",I136,""))</f>
        <v/>
      </c>
      <c r="W136" s="25">
        <f>IF($E136="","",N(O136)+SUMIFS($AF136:$IN136,$AF$4:$IN$4,"SEW_ACT"))</f>
        <v/>
      </c>
      <c r="X136" s="25">
        <f>IF($E136="","",N(P136)+SUMIFS($AF136:$IN136,$AF$4:$IN$4,"WASH_ACT"))</f>
        <v/>
      </c>
      <c r="Y136" s="25">
        <f>IF($E136="","",W136-X136-N(T136)-N(U136))</f>
        <v/>
      </c>
      <c r="Z136" s="25">
        <f>IF($E136="","",IF(N(K136)-X136&lt;=0.02*N(K136),0,N(K136)-X136))</f>
        <v/>
      </c>
      <c r="AA136" s="24">
        <f>IF($E136="","",IF(S136&lt;&gt;"",S136,IF(N(O136)&gt;0,IF(L136&lt;&gt;"",L136,99999),IFERROR(1/(1/_xlfn.MINIFS($AF$3:$IN$3,$AF$4:$IN$4,"SEW_ACT",$AF136:$IN136,"&gt;0")),99999))))</f>
        <v/>
      </c>
      <c r="AB136" s="26">
        <f>IF(OR($E136="",Z136=0,V136=""),"",1+COUNTIFS(Z$8:Z$707,"&gt;0",V$8:V$707,"&lt;"&amp;V136)+COUNTIFS(Z$8:Z$707,"&gt;0",V$8:V$707,V136,AA$8:AA$707,"&lt;"&amp;AA136)+COUNTIFS(Z$8:Z$707,"&gt;0",V$8:V$707,V136,AA$8:AA$707,AA136,E$8:E$707,"&lt;"&amp;$E136))</f>
        <v/>
      </c>
      <c r="AC136" s="24">
        <f>IF(OR($E136="",Z136=0),"",IFERROR(TODAY()+ROUNDUP(Z136/(SUMIFS($AF136:$IN136,$AF$4:$IN$4,"WASH_ACT")/COUNTIFS($AF$4:$IN$4,"WASH_ACT",$AF136:$IN136,"&gt;0")),0),"no output yet"))</f>
        <v/>
      </c>
      <c r="AD136" s="26">
        <f>IF($E136="","",IFERROR(ROUND(MAX(0,SUMIFS($AF136:$IN136,$AF$4:$IN$4,"SEW_PLAN",$AF$3:$IN$3,"&lt;="&amp;TODAY())-SUMIFS($AF136:$IN136,$AF$4:$IN$4,"SEW_ACT",$AF$3:$IN$3,"&lt;="&amp;TODAY())+N(Q136))/(SUMIFS($AF136:$IN136,$AF$4:$IN$4,"SEW_PLAN")/COUNTIFS($AF$4:$IN$4,"SEW_PLAN",$AF136:$IN136,"&gt;0")),1),0))</f>
        <v/>
      </c>
      <c r="AE136" s="26">
        <f>IF($E136="","",IF(AND(Z136&gt;0,OR(AND(M136&lt;&gt;"",TODAY()&gt;M136),AND(V136&lt;&gt;"",V136-TODAY()&lt;=7))),"Yes","No"))</f>
        <v/>
      </c>
      <c r="AH136">
        <f>IF(OR(AF$3="",AF$3&gt;TODAY()),"",IF(AND(AF136="",AG136=""),"",N(AG136)-N(AF136)))</f>
        <v/>
      </c>
      <c r="AK136">
        <f>IF(OR(AF$3="",AF$3&gt;TODAY()),"",IF(AND(AI136="",AJ136=""),"",N(AJ136)-N(AI136)))</f>
        <v/>
      </c>
      <c r="AO136">
        <f>IF(OR(AM$3="",AM$3&gt;TODAY()),"",IF(AND(AM136="",AN136=""),"",N(AN136)-N(AM136)))</f>
        <v/>
      </c>
      <c r="AR136">
        <f>IF(OR(AM$3="",AM$3&gt;TODAY()),"",IF(AND(AP136="",AQ136=""),"",N(AQ136)-N(AP136)))</f>
        <v/>
      </c>
      <c r="AV136">
        <f>IF(OR(AT$3="",AT$3&gt;TODAY()),"",IF(AND(AT136="",AU136=""),"",N(AU136)-N(AT136)))</f>
        <v/>
      </c>
      <c r="AY136">
        <f>IF(OR(AT$3="",AT$3&gt;TODAY()),"",IF(AND(AW136="",AX136=""),"",N(AX136)-N(AW136)))</f>
        <v/>
      </c>
      <c r="BC136">
        <f>IF(OR(BA$3="",BA$3&gt;TODAY()),"",IF(AND(BA136="",BB136=""),"",N(BB136)-N(BA136)))</f>
        <v/>
      </c>
      <c r="BF136">
        <f>IF(OR(BA$3="",BA$3&gt;TODAY()),"",IF(AND(BD136="",BE136=""),"",N(BE136)-N(BD136)))</f>
        <v/>
      </c>
      <c r="BJ136">
        <f>IF(OR(BH$3="",BH$3&gt;TODAY()),"",IF(AND(BH136="",BI136=""),"",N(BI136)-N(BH136)))</f>
        <v/>
      </c>
      <c r="BM136">
        <f>IF(OR(BH$3="",BH$3&gt;TODAY()),"",IF(AND(BK136="",BL136=""),"",N(BL136)-N(BK136)))</f>
        <v/>
      </c>
      <c r="BQ136">
        <f>IF(OR(BO$3="",BO$3&gt;TODAY()),"",IF(AND(BO136="",BP136=""),"",N(BP136)-N(BO136)))</f>
        <v/>
      </c>
      <c r="BT136">
        <f>IF(OR(BO$3="",BO$3&gt;TODAY()),"",IF(AND(BR136="",BS136=""),"",N(BS136)-N(BR136)))</f>
        <v/>
      </c>
      <c r="BX136">
        <f>IF(OR(BV$3="",BV$3&gt;TODAY()),"",IF(AND(BV136="",BW136=""),"",N(BW136)-N(BV136)))</f>
        <v/>
      </c>
      <c r="CA136">
        <f>IF(OR(BV$3="",BV$3&gt;TODAY()),"",IF(AND(BY136="",BZ136=""),"",N(BZ136)-N(BY136)))</f>
        <v/>
      </c>
      <c r="CE136">
        <f>IF(OR(CC$3="",CC$3&gt;TODAY()),"",IF(AND(CC136="",CD136=""),"",N(CD136)-N(CC136)))</f>
        <v/>
      </c>
      <c r="CH136">
        <f>IF(OR(CC$3="",CC$3&gt;TODAY()),"",IF(AND(CF136="",CG136=""),"",N(CG136)-N(CF136)))</f>
        <v/>
      </c>
      <c r="CL136">
        <f>IF(OR(CJ$3="",CJ$3&gt;TODAY()),"",IF(AND(CJ136="",CK136=""),"",N(CK136)-N(CJ136)))</f>
        <v/>
      </c>
      <c r="CO136">
        <f>IF(OR(CJ$3="",CJ$3&gt;TODAY()),"",IF(AND(CM136="",CN136=""),"",N(CN136)-N(CM136)))</f>
        <v/>
      </c>
      <c r="CS136">
        <f>IF(OR(CQ$3="",CQ$3&gt;TODAY()),"",IF(AND(CQ136="",CR136=""),"",N(CR136)-N(CQ136)))</f>
        <v/>
      </c>
      <c r="CV136">
        <f>IF(OR(CQ$3="",CQ$3&gt;TODAY()),"",IF(AND(CT136="",CU136=""),"",N(CU136)-N(CT136)))</f>
        <v/>
      </c>
      <c r="CZ136">
        <f>IF(OR(CX$3="",CX$3&gt;TODAY()),"",IF(AND(CX136="",CY136=""),"",N(CY136)-N(CX136)))</f>
        <v/>
      </c>
      <c r="DC136">
        <f>IF(OR(CX$3="",CX$3&gt;TODAY()),"",IF(AND(DA136="",DB136=""),"",N(DB136)-N(DA136)))</f>
        <v/>
      </c>
      <c r="DG136">
        <f>IF(OR(DE$3="",DE$3&gt;TODAY()),"",IF(AND(DE136="",DF136=""),"",N(DF136)-N(DE136)))</f>
        <v/>
      </c>
      <c r="DJ136">
        <f>IF(OR(DE$3="",DE$3&gt;TODAY()),"",IF(AND(DH136="",DI136=""),"",N(DI136)-N(DH136)))</f>
        <v/>
      </c>
      <c r="DN136">
        <f>IF(OR(DL$3="",DL$3&gt;TODAY()),"",IF(AND(DL136="",DM136=""),"",N(DM136)-N(DL136)))</f>
        <v/>
      </c>
      <c r="DQ136">
        <f>IF(OR(DL$3="",DL$3&gt;TODAY()),"",IF(AND(DO136="",DP136=""),"",N(DP136)-N(DO136)))</f>
        <v/>
      </c>
      <c r="DU136">
        <f>IF(OR(DS$3="",DS$3&gt;TODAY()),"",IF(AND(DS136="",DT136=""),"",N(DT136)-N(DS136)))</f>
        <v/>
      </c>
      <c r="DX136">
        <f>IF(OR(DS$3="",DS$3&gt;TODAY()),"",IF(AND(DV136="",DW136=""),"",N(DW136)-N(DV136)))</f>
        <v/>
      </c>
      <c r="EB136">
        <f>IF(OR(DZ$3="",DZ$3&gt;TODAY()),"",IF(AND(DZ136="",EA136=""),"",N(EA136)-N(DZ136)))</f>
        <v/>
      </c>
      <c r="EE136">
        <f>IF(OR(DZ$3="",DZ$3&gt;TODAY()),"",IF(AND(EC136="",ED136=""),"",N(ED136)-N(EC136)))</f>
        <v/>
      </c>
      <c r="EI136">
        <f>IF(OR(EG$3="",EG$3&gt;TODAY()),"",IF(AND(EG136="",EH136=""),"",N(EH136)-N(EG136)))</f>
        <v/>
      </c>
      <c r="EL136">
        <f>IF(OR(EG$3="",EG$3&gt;TODAY()),"",IF(AND(EJ136="",EK136=""),"",N(EK136)-N(EJ136)))</f>
        <v/>
      </c>
      <c r="EP136">
        <f>IF(OR(EN$3="",EN$3&gt;TODAY()),"",IF(AND(EN136="",EO136=""),"",N(EO136)-N(EN136)))</f>
        <v/>
      </c>
      <c r="ES136">
        <f>IF(OR(EN$3="",EN$3&gt;TODAY()),"",IF(AND(EQ136="",ER136=""),"",N(ER136)-N(EQ136)))</f>
        <v/>
      </c>
      <c r="EW136">
        <f>IF(OR(EU$3="",EU$3&gt;TODAY()),"",IF(AND(EU136="",EV136=""),"",N(EV136)-N(EU136)))</f>
        <v/>
      </c>
      <c r="EZ136">
        <f>IF(OR(EU$3="",EU$3&gt;TODAY()),"",IF(AND(EX136="",EY136=""),"",N(EY136)-N(EX136)))</f>
        <v/>
      </c>
      <c r="FD136">
        <f>IF(OR(FB$3="",FB$3&gt;TODAY()),"",IF(AND(FB136="",FC136=""),"",N(FC136)-N(FB136)))</f>
        <v/>
      </c>
      <c r="FG136">
        <f>IF(OR(FB$3="",FB$3&gt;TODAY()),"",IF(AND(FE136="",FF136=""),"",N(FF136)-N(FE136)))</f>
        <v/>
      </c>
      <c r="FK136">
        <f>IF(OR(FI$3="",FI$3&gt;TODAY()),"",IF(AND(FI136="",FJ136=""),"",N(FJ136)-N(FI136)))</f>
        <v/>
      </c>
      <c r="FN136">
        <f>IF(OR(FI$3="",FI$3&gt;TODAY()),"",IF(AND(FL136="",FM136=""),"",N(FM136)-N(FL136)))</f>
        <v/>
      </c>
      <c r="FR136">
        <f>IF(OR(FP$3="",FP$3&gt;TODAY()),"",IF(AND(FP136="",FQ136=""),"",N(FQ136)-N(FP136)))</f>
        <v/>
      </c>
      <c r="FU136">
        <f>IF(OR(FP$3="",FP$3&gt;TODAY()),"",IF(AND(FS136="",FT136=""),"",N(FT136)-N(FS136)))</f>
        <v/>
      </c>
      <c r="FY136">
        <f>IF(OR(FW$3="",FW$3&gt;TODAY()),"",IF(AND(FW136="",FX136=""),"",N(FX136)-N(FW136)))</f>
        <v/>
      </c>
      <c r="GB136">
        <f>IF(OR(FW$3="",FW$3&gt;TODAY()),"",IF(AND(FZ136="",GA136=""),"",N(GA136)-N(FZ136)))</f>
        <v/>
      </c>
      <c r="GF136">
        <f>IF(OR(GD$3="",GD$3&gt;TODAY()),"",IF(AND(GD136="",GE136=""),"",N(GE136)-N(GD136)))</f>
        <v/>
      </c>
      <c r="GI136">
        <f>IF(OR(GD$3="",GD$3&gt;TODAY()),"",IF(AND(GG136="",GH136=""),"",N(GH136)-N(GG136)))</f>
        <v/>
      </c>
      <c r="GM136">
        <f>IF(OR(GK$3="",GK$3&gt;TODAY()),"",IF(AND(GK136="",GL136=""),"",N(GL136)-N(GK136)))</f>
        <v/>
      </c>
      <c r="GP136">
        <f>IF(OR(GK$3="",GK$3&gt;TODAY()),"",IF(AND(GN136="",GO136=""),"",N(GO136)-N(GN136)))</f>
        <v/>
      </c>
      <c r="GT136">
        <f>IF(OR(GR$3="",GR$3&gt;TODAY()),"",IF(AND(GR136="",GS136=""),"",N(GS136)-N(GR136)))</f>
        <v/>
      </c>
      <c r="GW136">
        <f>IF(OR(GR$3="",GR$3&gt;TODAY()),"",IF(AND(GU136="",GV136=""),"",N(GV136)-N(GU136)))</f>
        <v/>
      </c>
      <c r="HA136">
        <f>IF(OR(GY$3="",GY$3&gt;TODAY()),"",IF(AND(GY136="",GZ136=""),"",N(GZ136)-N(GY136)))</f>
        <v/>
      </c>
      <c r="HD136">
        <f>IF(OR(GY$3="",GY$3&gt;TODAY()),"",IF(AND(HB136="",HC136=""),"",N(HC136)-N(HB136)))</f>
        <v/>
      </c>
      <c r="HH136">
        <f>IF(OR(HF$3="",HF$3&gt;TODAY()),"",IF(AND(HF136="",HG136=""),"",N(HG136)-N(HF136)))</f>
        <v/>
      </c>
      <c r="HK136">
        <f>IF(OR(HF$3="",HF$3&gt;TODAY()),"",IF(AND(HI136="",HJ136=""),"",N(HJ136)-N(HI136)))</f>
        <v/>
      </c>
      <c r="HO136">
        <f>IF(OR(HM$3="",HM$3&gt;TODAY()),"",IF(AND(HM136="",HN136=""),"",N(HN136)-N(HM136)))</f>
        <v/>
      </c>
      <c r="HR136">
        <f>IF(OR(HM$3="",HM$3&gt;TODAY()),"",IF(AND(HP136="",HQ136=""),"",N(HQ136)-N(HP136)))</f>
        <v/>
      </c>
      <c r="HV136">
        <f>IF(OR(HT$3="",HT$3&gt;TODAY()),"",IF(AND(HT136="",HU136=""),"",N(HU136)-N(HT136)))</f>
        <v/>
      </c>
      <c r="HY136">
        <f>IF(OR(HT$3="",HT$3&gt;TODAY()),"",IF(AND(HW136="",HX136=""),"",N(HX136)-N(HW136)))</f>
        <v/>
      </c>
      <c r="IC136">
        <f>IF(OR(IA$3="",IA$3&gt;TODAY()),"",IF(AND(IA136="",IB136=""),"",N(IB136)-N(IA136)))</f>
        <v/>
      </c>
      <c r="IF136">
        <f>IF(OR(IA$3="",IA$3&gt;TODAY()),"",IF(AND(ID136="",IE136=""),"",N(IE136)-N(ID136)))</f>
        <v/>
      </c>
      <c r="IJ136">
        <f>IF(OR(IH$3="",IH$3&gt;TODAY()),"",IF(AND(IH136="",II136=""),"",N(II136)-N(IH136)))</f>
        <v/>
      </c>
      <c r="IM136">
        <f>IF(OR(IH$3="",IH$3&gt;TODAY()),"",IF(AND(IK136="",IL136=""),"",N(IL136)-N(IK136)))</f>
        <v/>
      </c>
    </row>
    <row r="137">
      <c r="A137" s="21" t="n"/>
      <c r="B137" s="21" t="n"/>
      <c r="C137" s="21" t="n"/>
      <c r="D137" s="21" t="n"/>
      <c r="E137" s="21" t="n"/>
      <c r="F137" s="21" t="n"/>
      <c r="G137" s="21" t="n"/>
      <c r="H137" s="21" t="n"/>
      <c r="I137" s="22" t="n"/>
      <c r="J137" s="22" t="n"/>
      <c r="K137" s="23" t="n"/>
      <c r="L137" s="22" t="n"/>
      <c r="M137" s="22" t="n"/>
      <c r="N137" s="21" t="n"/>
      <c r="O137" s="23" t="n"/>
      <c r="P137" s="23" t="n"/>
      <c r="Q137" s="23" t="n"/>
      <c r="R137" s="23" t="n"/>
      <c r="S137" s="22" t="n"/>
      <c r="T137" s="23" t="n"/>
      <c r="U137" s="23" t="n"/>
      <c r="V137" s="24">
        <f>IF(J137&lt;&gt;"",J137,IF(I137&lt;&gt;"",I137,""))</f>
        <v/>
      </c>
      <c r="W137" s="25">
        <f>IF($E137="","",N(O137)+SUMIFS($AF137:$IN137,$AF$4:$IN$4,"SEW_ACT"))</f>
        <v/>
      </c>
      <c r="X137" s="25">
        <f>IF($E137="","",N(P137)+SUMIFS($AF137:$IN137,$AF$4:$IN$4,"WASH_ACT"))</f>
        <v/>
      </c>
      <c r="Y137" s="25">
        <f>IF($E137="","",W137-X137-N(T137)-N(U137))</f>
        <v/>
      </c>
      <c r="Z137" s="25">
        <f>IF($E137="","",IF(N(K137)-X137&lt;=0.02*N(K137),0,N(K137)-X137))</f>
        <v/>
      </c>
      <c r="AA137" s="24">
        <f>IF($E137="","",IF(S137&lt;&gt;"",S137,IF(N(O137)&gt;0,IF(L137&lt;&gt;"",L137,99999),IFERROR(1/(1/_xlfn.MINIFS($AF$3:$IN$3,$AF$4:$IN$4,"SEW_ACT",$AF137:$IN137,"&gt;0")),99999))))</f>
        <v/>
      </c>
      <c r="AB137" s="26">
        <f>IF(OR($E137="",Z137=0,V137=""),"",1+COUNTIFS(Z$8:Z$707,"&gt;0",V$8:V$707,"&lt;"&amp;V137)+COUNTIFS(Z$8:Z$707,"&gt;0",V$8:V$707,V137,AA$8:AA$707,"&lt;"&amp;AA137)+COUNTIFS(Z$8:Z$707,"&gt;0",V$8:V$707,V137,AA$8:AA$707,AA137,E$8:E$707,"&lt;"&amp;$E137))</f>
        <v/>
      </c>
      <c r="AC137" s="24">
        <f>IF(OR($E137="",Z137=0),"",IFERROR(TODAY()+ROUNDUP(Z137/(SUMIFS($AF137:$IN137,$AF$4:$IN$4,"WASH_ACT")/COUNTIFS($AF$4:$IN$4,"WASH_ACT",$AF137:$IN137,"&gt;0")),0),"no output yet"))</f>
        <v/>
      </c>
      <c r="AD137" s="26">
        <f>IF($E137="","",IFERROR(ROUND(MAX(0,SUMIFS($AF137:$IN137,$AF$4:$IN$4,"SEW_PLAN",$AF$3:$IN$3,"&lt;="&amp;TODAY())-SUMIFS($AF137:$IN137,$AF$4:$IN$4,"SEW_ACT",$AF$3:$IN$3,"&lt;="&amp;TODAY())+N(Q137))/(SUMIFS($AF137:$IN137,$AF$4:$IN$4,"SEW_PLAN")/COUNTIFS($AF$4:$IN$4,"SEW_PLAN",$AF137:$IN137,"&gt;0")),1),0))</f>
        <v/>
      </c>
      <c r="AE137" s="26">
        <f>IF($E137="","",IF(AND(Z137&gt;0,OR(AND(M137&lt;&gt;"",TODAY()&gt;M137),AND(V137&lt;&gt;"",V137-TODAY()&lt;=7))),"Yes","No"))</f>
        <v/>
      </c>
      <c r="AH137">
        <f>IF(OR(AF$3="",AF$3&gt;TODAY()),"",IF(AND(AF137="",AG137=""),"",N(AG137)-N(AF137)))</f>
        <v/>
      </c>
      <c r="AK137">
        <f>IF(OR(AF$3="",AF$3&gt;TODAY()),"",IF(AND(AI137="",AJ137=""),"",N(AJ137)-N(AI137)))</f>
        <v/>
      </c>
      <c r="AO137">
        <f>IF(OR(AM$3="",AM$3&gt;TODAY()),"",IF(AND(AM137="",AN137=""),"",N(AN137)-N(AM137)))</f>
        <v/>
      </c>
      <c r="AR137">
        <f>IF(OR(AM$3="",AM$3&gt;TODAY()),"",IF(AND(AP137="",AQ137=""),"",N(AQ137)-N(AP137)))</f>
        <v/>
      </c>
      <c r="AV137">
        <f>IF(OR(AT$3="",AT$3&gt;TODAY()),"",IF(AND(AT137="",AU137=""),"",N(AU137)-N(AT137)))</f>
        <v/>
      </c>
      <c r="AY137">
        <f>IF(OR(AT$3="",AT$3&gt;TODAY()),"",IF(AND(AW137="",AX137=""),"",N(AX137)-N(AW137)))</f>
        <v/>
      </c>
      <c r="BC137">
        <f>IF(OR(BA$3="",BA$3&gt;TODAY()),"",IF(AND(BA137="",BB137=""),"",N(BB137)-N(BA137)))</f>
        <v/>
      </c>
      <c r="BF137">
        <f>IF(OR(BA$3="",BA$3&gt;TODAY()),"",IF(AND(BD137="",BE137=""),"",N(BE137)-N(BD137)))</f>
        <v/>
      </c>
      <c r="BJ137">
        <f>IF(OR(BH$3="",BH$3&gt;TODAY()),"",IF(AND(BH137="",BI137=""),"",N(BI137)-N(BH137)))</f>
        <v/>
      </c>
      <c r="BM137">
        <f>IF(OR(BH$3="",BH$3&gt;TODAY()),"",IF(AND(BK137="",BL137=""),"",N(BL137)-N(BK137)))</f>
        <v/>
      </c>
      <c r="BQ137">
        <f>IF(OR(BO$3="",BO$3&gt;TODAY()),"",IF(AND(BO137="",BP137=""),"",N(BP137)-N(BO137)))</f>
        <v/>
      </c>
      <c r="BT137">
        <f>IF(OR(BO$3="",BO$3&gt;TODAY()),"",IF(AND(BR137="",BS137=""),"",N(BS137)-N(BR137)))</f>
        <v/>
      </c>
      <c r="BX137">
        <f>IF(OR(BV$3="",BV$3&gt;TODAY()),"",IF(AND(BV137="",BW137=""),"",N(BW137)-N(BV137)))</f>
        <v/>
      </c>
      <c r="CA137">
        <f>IF(OR(BV$3="",BV$3&gt;TODAY()),"",IF(AND(BY137="",BZ137=""),"",N(BZ137)-N(BY137)))</f>
        <v/>
      </c>
      <c r="CE137">
        <f>IF(OR(CC$3="",CC$3&gt;TODAY()),"",IF(AND(CC137="",CD137=""),"",N(CD137)-N(CC137)))</f>
        <v/>
      </c>
      <c r="CH137">
        <f>IF(OR(CC$3="",CC$3&gt;TODAY()),"",IF(AND(CF137="",CG137=""),"",N(CG137)-N(CF137)))</f>
        <v/>
      </c>
      <c r="CL137">
        <f>IF(OR(CJ$3="",CJ$3&gt;TODAY()),"",IF(AND(CJ137="",CK137=""),"",N(CK137)-N(CJ137)))</f>
        <v/>
      </c>
      <c r="CO137">
        <f>IF(OR(CJ$3="",CJ$3&gt;TODAY()),"",IF(AND(CM137="",CN137=""),"",N(CN137)-N(CM137)))</f>
        <v/>
      </c>
      <c r="CS137">
        <f>IF(OR(CQ$3="",CQ$3&gt;TODAY()),"",IF(AND(CQ137="",CR137=""),"",N(CR137)-N(CQ137)))</f>
        <v/>
      </c>
      <c r="CV137">
        <f>IF(OR(CQ$3="",CQ$3&gt;TODAY()),"",IF(AND(CT137="",CU137=""),"",N(CU137)-N(CT137)))</f>
        <v/>
      </c>
      <c r="CZ137">
        <f>IF(OR(CX$3="",CX$3&gt;TODAY()),"",IF(AND(CX137="",CY137=""),"",N(CY137)-N(CX137)))</f>
        <v/>
      </c>
      <c r="DC137">
        <f>IF(OR(CX$3="",CX$3&gt;TODAY()),"",IF(AND(DA137="",DB137=""),"",N(DB137)-N(DA137)))</f>
        <v/>
      </c>
      <c r="DG137">
        <f>IF(OR(DE$3="",DE$3&gt;TODAY()),"",IF(AND(DE137="",DF137=""),"",N(DF137)-N(DE137)))</f>
        <v/>
      </c>
      <c r="DJ137">
        <f>IF(OR(DE$3="",DE$3&gt;TODAY()),"",IF(AND(DH137="",DI137=""),"",N(DI137)-N(DH137)))</f>
        <v/>
      </c>
      <c r="DN137">
        <f>IF(OR(DL$3="",DL$3&gt;TODAY()),"",IF(AND(DL137="",DM137=""),"",N(DM137)-N(DL137)))</f>
        <v/>
      </c>
      <c r="DQ137">
        <f>IF(OR(DL$3="",DL$3&gt;TODAY()),"",IF(AND(DO137="",DP137=""),"",N(DP137)-N(DO137)))</f>
        <v/>
      </c>
      <c r="DU137">
        <f>IF(OR(DS$3="",DS$3&gt;TODAY()),"",IF(AND(DS137="",DT137=""),"",N(DT137)-N(DS137)))</f>
        <v/>
      </c>
      <c r="DX137">
        <f>IF(OR(DS$3="",DS$3&gt;TODAY()),"",IF(AND(DV137="",DW137=""),"",N(DW137)-N(DV137)))</f>
        <v/>
      </c>
      <c r="EB137">
        <f>IF(OR(DZ$3="",DZ$3&gt;TODAY()),"",IF(AND(DZ137="",EA137=""),"",N(EA137)-N(DZ137)))</f>
        <v/>
      </c>
      <c r="EE137">
        <f>IF(OR(DZ$3="",DZ$3&gt;TODAY()),"",IF(AND(EC137="",ED137=""),"",N(ED137)-N(EC137)))</f>
        <v/>
      </c>
      <c r="EI137">
        <f>IF(OR(EG$3="",EG$3&gt;TODAY()),"",IF(AND(EG137="",EH137=""),"",N(EH137)-N(EG137)))</f>
        <v/>
      </c>
      <c r="EL137">
        <f>IF(OR(EG$3="",EG$3&gt;TODAY()),"",IF(AND(EJ137="",EK137=""),"",N(EK137)-N(EJ137)))</f>
        <v/>
      </c>
      <c r="EP137">
        <f>IF(OR(EN$3="",EN$3&gt;TODAY()),"",IF(AND(EN137="",EO137=""),"",N(EO137)-N(EN137)))</f>
        <v/>
      </c>
      <c r="ES137">
        <f>IF(OR(EN$3="",EN$3&gt;TODAY()),"",IF(AND(EQ137="",ER137=""),"",N(ER137)-N(EQ137)))</f>
        <v/>
      </c>
      <c r="EW137">
        <f>IF(OR(EU$3="",EU$3&gt;TODAY()),"",IF(AND(EU137="",EV137=""),"",N(EV137)-N(EU137)))</f>
        <v/>
      </c>
      <c r="EZ137">
        <f>IF(OR(EU$3="",EU$3&gt;TODAY()),"",IF(AND(EX137="",EY137=""),"",N(EY137)-N(EX137)))</f>
        <v/>
      </c>
      <c r="FD137">
        <f>IF(OR(FB$3="",FB$3&gt;TODAY()),"",IF(AND(FB137="",FC137=""),"",N(FC137)-N(FB137)))</f>
        <v/>
      </c>
      <c r="FG137">
        <f>IF(OR(FB$3="",FB$3&gt;TODAY()),"",IF(AND(FE137="",FF137=""),"",N(FF137)-N(FE137)))</f>
        <v/>
      </c>
      <c r="FK137">
        <f>IF(OR(FI$3="",FI$3&gt;TODAY()),"",IF(AND(FI137="",FJ137=""),"",N(FJ137)-N(FI137)))</f>
        <v/>
      </c>
      <c r="FN137">
        <f>IF(OR(FI$3="",FI$3&gt;TODAY()),"",IF(AND(FL137="",FM137=""),"",N(FM137)-N(FL137)))</f>
        <v/>
      </c>
      <c r="FR137">
        <f>IF(OR(FP$3="",FP$3&gt;TODAY()),"",IF(AND(FP137="",FQ137=""),"",N(FQ137)-N(FP137)))</f>
        <v/>
      </c>
      <c r="FU137">
        <f>IF(OR(FP$3="",FP$3&gt;TODAY()),"",IF(AND(FS137="",FT137=""),"",N(FT137)-N(FS137)))</f>
        <v/>
      </c>
      <c r="FY137">
        <f>IF(OR(FW$3="",FW$3&gt;TODAY()),"",IF(AND(FW137="",FX137=""),"",N(FX137)-N(FW137)))</f>
        <v/>
      </c>
      <c r="GB137">
        <f>IF(OR(FW$3="",FW$3&gt;TODAY()),"",IF(AND(FZ137="",GA137=""),"",N(GA137)-N(FZ137)))</f>
        <v/>
      </c>
      <c r="GF137">
        <f>IF(OR(GD$3="",GD$3&gt;TODAY()),"",IF(AND(GD137="",GE137=""),"",N(GE137)-N(GD137)))</f>
        <v/>
      </c>
      <c r="GI137">
        <f>IF(OR(GD$3="",GD$3&gt;TODAY()),"",IF(AND(GG137="",GH137=""),"",N(GH137)-N(GG137)))</f>
        <v/>
      </c>
      <c r="GM137">
        <f>IF(OR(GK$3="",GK$3&gt;TODAY()),"",IF(AND(GK137="",GL137=""),"",N(GL137)-N(GK137)))</f>
        <v/>
      </c>
      <c r="GP137">
        <f>IF(OR(GK$3="",GK$3&gt;TODAY()),"",IF(AND(GN137="",GO137=""),"",N(GO137)-N(GN137)))</f>
        <v/>
      </c>
      <c r="GT137">
        <f>IF(OR(GR$3="",GR$3&gt;TODAY()),"",IF(AND(GR137="",GS137=""),"",N(GS137)-N(GR137)))</f>
        <v/>
      </c>
      <c r="GW137">
        <f>IF(OR(GR$3="",GR$3&gt;TODAY()),"",IF(AND(GU137="",GV137=""),"",N(GV137)-N(GU137)))</f>
        <v/>
      </c>
      <c r="HA137">
        <f>IF(OR(GY$3="",GY$3&gt;TODAY()),"",IF(AND(GY137="",GZ137=""),"",N(GZ137)-N(GY137)))</f>
        <v/>
      </c>
      <c r="HD137">
        <f>IF(OR(GY$3="",GY$3&gt;TODAY()),"",IF(AND(HB137="",HC137=""),"",N(HC137)-N(HB137)))</f>
        <v/>
      </c>
      <c r="HH137">
        <f>IF(OR(HF$3="",HF$3&gt;TODAY()),"",IF(AND(HF137="",HG137=""),"",N(HG137)-N(HF137)))</f>
        <v/>
      </c>
      <c r="HK137">
        <f>IF(OR(HF$3="",HF$3&gt;TODAY()),"",IF(AND(HI137="",HJ137=""),"",N(HJ137)-N(HI137)))</f>
        <v/>
      </c>
      <c r="HO137">
        <f>IF(OR(HM$3="",HM$3&gt;TODAY()),"",IF(AND(HM137="",HN137=""),"",N(HN137)-N(HM137)))</f>
        <v/>
      </c>
      <c r="HR137">
        <f>IF(OR(HM$3="",HM$3&gt;TODAY()),"",IF(AND(HP137="",HQ137=""),"",N(HQ137)-N(HP137)))</f>
        <v/>
      </c>
      <c r="HV137">
        <f>IF(OR(HT$3="",HT$3&gt;TODAY()),"",IF(AND(HT137="",HU137=""),"",N(HU137)-N(HT137)))</f>
        <v/>
      </c>
      <c r="HY137">
        <f>IF(OR(HT$3="",HT$3&gt;TODAY()),"",IF(AND(HW137="",HX137=""),"",N(HX137)-N(HW137)))</f>
        <v/>
      </c>
      <c r="IC137">
        <f>IF(OR(IA$3="",IA$3&gt;TODAY()),"",IF(AND(IA137="",IB137=""),"",N(IB137)-N(IA137)))</f>
        <v/>
      </c>
      <c r="IF137">
        <f>IF(OR(IA$3="",IA$3&gt;TODAY()),"",IF(AND(ID137="",IE137=""),"",N(IE137)-N(ID137)))</f>
        <v/>
      </c>
      <c r="IJ137">
        <f>IF(OR(IH$3="",IH$3&gt;TODAY()),"",IF(AND(IH137="",II137=""),"",N(II137)-N(IH137)))</f>
        <v/>
      </c>
      <c r="IM137">
        <f>IF(OR(IH$3="",IH$3&gt;TODAY()),"",IF(AND(IK137="",IL137=""),"",N(IL137)-N(IK137)))</f>
        <v/>
      </c>
    </row>
    <row r="138">
      <c r="A138" s="21" t="n"/>
      <c r="B138" s="21" t="n"/>
      <c r="C138" s="21" t="n"/>
      <c r="D138" s="21" t="n"/>
      <c r="E138" s="21" t="n"/>
      <c r="F138" s="21" t="n"/>
      <c r="G138" s="21" t="n"/>
      <c r="H138" s="21" t="n"/>
      <c r="I138" s="22" t="n"/>
      <c r="J138" s="22" t="n"/>
      <c r="K138" s="23" t="n"/>
      <c r="L138" s="22" t="n"/>
      <c r="M138" s="22" t="n"/>
      <c r="N138" s="21" t="n"/>
      <c r="O138" s="23" t="n"/>
      <c r="P138" s="23" t="n"/>
      <c r="Q138" s="23" t="n"/>
      <c r="R138" s="23" t="n"/>
      <c r="S138" s="22" t="n"/>
      <c r="T138" s="23" t="n"/>
      <c r="U138" s="23" t="n"/>
      <c r="V138" s="24">
        <f>IF(J138&lt;&gt;"",J138,IF(I138&lt;&gt;"",I138,""))</f>
        <v/>
      </c>
      <c r="W138" s="25">
        <f>IF($E138="","",N(O138)+SUMIFS($AF138:$IN138,$AF$4:$IN$4,"SEW_ACT"))</f>
        <v/>
      </c>
      <c r="X138" s="25">
        <f>IF($E138="","",N(P138)+SUMIFS($AF138:$IN138,$AF$4:$IN$4,"WASH_ACT"))</f>
        <v/>
      </c>
      <c r="Y138" s="25">
        <f>IF($E138="","",W138-X138-N(T138)-N(U138))</f>
        <v/>
      </c>
      <c r="Z138" s="25">
        <f>IF($E138="","",IF(N(K138)-X138&lt;=0.02*N(K138),0,N(K138)-X138))</f>
        <v/>
      </c>
      <c r="AA138" s="24">
        <f>IF($E138="","",IF(S138&lt;&gt;"",S138,IF(N(O138)&gt;0,IF(L138&lt;&gt;"",L138,99999),IFERROR(1/(1/_xlfn.MINIFS($AF$3:$IN$3,$AF$4:$IN$4,"SEW_ACT",$AF138:$IN138,"&gt;0")),99999))))</f>
        <v/>
      </c>
      <c r="AB138" s="26">
        <f>IF(OR($E138="",Z138=0,V138=""),"",1+COUNTIFS(Z$8:Z$707,"&gt;0",V$8:V$707,"&lt;"&amp;V138)+COUNTIFS(Z$8:Z$707,"&gt;0",V$8:V$707,V138,AA$8:AA$707,"&lt;"&amp;AA138)+COUNTIFS(Z$8:Z$707,"&gt;0",V$8:V$707,V138,AA$8:AA$707,AA138,E$8:E$707,"&lt;"&amp;$E138))</f>
        <v/>
      </c>
      <c r="AC138" s="24">
        <f>IF(OR($E138="",Z138=0),"",IFERROR(TODAY()+ROUNDUP(Z138/(SUMIFS($AF138:$IN138,$AF$4:$IN$4,"WASH_ACT")/COUNTIFS($AF$4:$IN$4,"WASH_ACT",$AF138:$IN138,"&gt;0")),0),"no output yet"))</f>
        <v/>
      </c>
      <c r="AD138" s="26">
        <f>IF($E138="","",IFERROR(ROUND(MAX(0,SUMIFS($AF138:$IN138,$AF$4:$IN$4,"SEW_PLAN",$AF$3:$IN$3,"&lt;="&amp;TODAY())-SUMIFS($AF138:$IN138,$AF$4:$IN$4,"SEW_ACT",$AF$3:$IN$3,"&lt;="&amp;TODAY())+N(Q138))/(SUMIFS($AF138:$IN138,$AF$4:$IN$4,"SEW_PLAN")/COUNTIFS($AF$4:$IN$4,"SEW_PLAN",$AF138:$IN138,"&gt;0")),1),0))</f>
        <v/>
      </c>
      <c r="AE138" s="26">
        <f>IF($E138="","",IF(AND(Z138&gt;0,OR(AND(M138&lt;&gt;"",TODAY()&gt;M138),AND(V138&lt;&gt;"",V138-TODAY()&lt;=7))),"Yes","No"))</f>
        <v/>
      </c>
      <c r="AH138">
        <f>IF(OR(AF$3="",AF$3&gt;TODAY()),"",IF(AND(AF138="",AG138=""),"",N(AG138)-N(AF138)))</f>
        <v/>
      </c>
      <c r="AK138">
        <f>IF(OR(AF$3="",AF$3&gt;TODAY()),"",IF(AND(AI138="",AJ138=""),"",N(AJ138)-N(AI138)))</f>
        <v/>
      </c>
      <c r="AO138">
        <f>IF(OR(AM$3="",AM$3&gt;TODAY()),"",IF(AND(AM138="",AN138=""),"",N(AN138)-N(AM138)))</f>
        <v/>
      </c>
      <c r="AR138">
        <f>IF(OR(AM$3="",AM$3&gt;TODAY()),"",IF(AND(AP138="",AQ138=""),"",N(AQ138)-N(AP138)))</f>
        <v/>
      </c>
      <c r="AV138">
        <f>IF(OR(AT$3="",AT$3&gt;TODAY()),"",IF(AND(AT138="",AU138=""),"",N(AU138)-N(AT138)))</f>
        <v/>
      </c>
      <c r="AY138">
        <f>IF(OR(AT$3="",AT$3&gt;TODAY()),"",IF(AND(AW138="",AX138=""),"",N(AX138)-N(AW138)))</f>
        <v/>
      </c>
      <c r="BC138">
        <f>IF(OR(BA$3="",BA$3&gt;TODAY()),"",IF(AND(BA138="",BB138=""),"",N(BB138)-N(BA138)))</f>
        <v/>
      </c>
      <c r="BF138">
        <f>IF(OR(BA$3="",BA$3&gt;TODAY()),"",IF(AND(BD138="",BE138=""),"",N(BE138)-N(BD138)))</f>
        <v/>
      </c>
      <c r="BJ138">
        <f>IF(OR(BH$3="",BH$3&gt;TODAY()),"",IF(AND(BH138="",BI138=""),"",N(BI138)-N(BH138)))</f>
        <v/>
      </c>
      <c r="BM138">
        <f>IF(OR(BH$3="",BH$3&gt;TODAY()),"",IF(AND(BK138="",BL138=""),"",N(BL138)-N(BK138)))</f>
        <v/>
      </c>
      <c r="BQ138">
        <f>IF(OR(BO$3="",BO$3&gt;TODAY()),"",IF(AND(BO138="",BP138=""),"",N(BP138)-N(BO138)))</f>
        <v/>
      </c>
      <c r="BT138">
        <f>IF(OR(BO$3="",BO$3&gt;TODAY()),"",IF(AND(BR138="",BS138=""),"",N(BS138)-N(BR138)))</f>
        <v/>
      </c>
      <c r="BX138">
        <f>IF(OR(BV$3="",BV$3&gt;TODAY()),"",IF(AND(BV138="",BW138=""),"",N(BW138)-N(BV138)))</f>
        <v/>
      </c>
      <c r="CA138">
        <f>IF(OR(BV$3="",BV$3&gt;TODAY()),"",IF(AND(BY138="",BZ138=""),"",N(BZ138)-N(BY138)))</f>
        <v/>
      </c>
      <c r="CE138">
        <f>IF(OR(CC$3="",CC$3&gt;TODAY()),"",IF(AND(CC138="",CD138=""),"",N(CD138)-N(CC138)))</f>
        <v/>
      </c>
      <c r="CH138">
        <f>IF(OR(CC$3="",CC$3&gt;TODAY()),"",IF(AND(CF138="",CG138=""),"",N(CG138)-N(CF138)))</f>
        <v/>
      </c>
      <c r="CL138">
        <f>IF(OR(CJ$3="",CJ$3&gt;TODAY()),"",IF(AND(CJ138="",CK138=""),"",N(CK138)-N(CJ138)))</f>
        <v/>
      </c>
      <c r="CO138">
        <f>IF(OR(CJ$3="",CJ$3&gt;TODAY()),"",IF(AND(CM138="",CN138=""),"",N(CN138)-N(CM138)))</f>
        <v/>
      </c>
      <c r="CS138">
        <f>IF(OR(CQ$3="",CQ$3&gt;TODAY()),"",IF(AND(CQ138="",CR138=""),"",N(CR138)-N(CQ138)))</f>
        <v/>
      </c>
      <c r="CV138">
        <f>IF(OR(CQ$3="",CQ$3&gt;TODAY()),"",IF(AND(CT138="",CU138=""),"",N(CU138)-N(CT138)))</f>
        <v/>
      </c>
      <c r="CZ138">
        <f>IF(OR(CX$3="",CX$3&gt;TODAY()),"",IF(AND(CX138="",CY138=""),"",N(CY138)-N(CX138)))</f>
        <v/>
      </c>
      <c r="DC138">
        <f>IF(OR(CX$3="",CX$3&gt;TODAY()),"",IF(AND(DA138="",DB138=""),"",N(DB138)-N(DA138)))</f>
        <v/>
      </c>
      <c r="DG138">
        <f>IF(OR(DE$3="",DE$3&gt;TODAY()),"",IF(AND(DE138="",DF138=""),"",N(DF138)-N(DE138)))</f>
        <v/>
      </c>
      <c r="DJ138">
        <f>IF(OR(DE$3="",DE$3&gt;TODAY()),"",IF(AND(DH138="",DI138=""),"",N(DI138)-N(DH138)))</f>
        <v/>
      </c>
      <c r="DN138">
        <f>IF(OR(DL$3="",DL$3&gt;TODAY()),"",IF(AND(DL138="",DM138=""),"",N(DM138)-N(DL138)))</f>
        <v/>
      </c>
      <c r="DQ138">
        <f>IF(OR(DL$3="",DL$3&gt;TODAY()),"",IF(AND(DO138="",DP138=""),"",N(DP138)-N(DO138)))</f>
        <v/>
      </c>
      <c r="DU138">
        <f>IF(OR(DS$3="",DS$3&gt;TODAY()),"",IF(AND(DS138="",DT138=""),"",N(DT138)-N(DS138)))</f>
        <v/>
      </c>
      <c r="DX138">
        <f>IF(OR(DS$3="",DS$3&gt;TODAY()),"",IF(AND(DV138="",DW138=""),"",N(DW138)-N(DV138)))</f>
        <v/>
      </c>
      <c r="EB138">
        <f>IF(OR(DZ$3="",DZ$3&gt;TODAY()),"",IF(AND(DZ138="",EA138=""),"",N(EA138)-N(DZ138)))</f>
        <v/>
      </c>
      <c r="EE138">
        <f>IF(OR(DZ$3="",DZ$3&gt;TODAY()),"",IF(AND(EC138="",ED138=""),"",N(ED138)-N(EC138)))</f>
        <v/>
      </c>
      <c r="EI138">
        <f>IF(OR(EG$3="",EG$3&gt;TODAY()),"",IF(AND(EG138="",EH138=""),"",N(EH138)-N(EG138)))</f>
        <v/>
      </c>
      <c r="EL138">
        <f>IF(OR(EG$3="",EG$3&gt;TODAY()),"",IF(AND(EJ138="",EK138=""),"",N(EK138)-N(EJ138)))</f>
        <v/>
      </c>
      <c r="EP138">
        <f>IF(OR(EN$3="",EN$3&gt;TODAY()),"",IF(AND(EN138="",EO138=""),"",N(EO138)-N(EN138)))</f>
        <v/>
      </c>
      <c r="ES138">
        <f>IF(OR(EN$3="",EN$3&gt;TODAY()),"",IF(AND(EQ138="",ER138=""),"",N(ER138)-N(EQ138)))</f>
        <v/>
      </c>
      <c r="EW138">
        <f>IF(OR(EU$3="",EU$3&gt;TODAY()),"",IF(AND(EU138="",EV138=""),"",N(EV138)-N(EU138)))</f>
        <v/>
      </c>
      <c r="EZ138">
        <f>IF(OR(EU$3="",EU$3&gt;TODAY()),"",IF(AND(EX138="",EY138=""),"",N(EY138)-N(EX138)))</f>
        <v/>
      </c>
      <c r="FD138">
        <f>IF(OR(FB$3="",FB$3&gt;TODAY()),"",IF(AND(FB138="",FC138=""),"",N(FC138)-N(FB138)))</f>
        <v/>
      </c>
      <c r="FG138">
        <f>IF(OR(FB$3="",FB$3&gt;TODAY()),"",IF(AND(FE138="",FF138=""),"",N(FF138)-N(FE138)))</f>
        <v/>
      </c>
      <c r="FK138">
        <f>IF(OR(FI$3="",FI$3&gt;TODAY()),"",IF(AND(FI138="",FJ138=""),"",N(FJ138)-N(FI138)))</f>
        <v/>
      </c>
      <c r="FN138">
        <f>IF(OR(FI$3="",FI$3&gt;TODAY()),"",IF(AND(FL138="",FM138=""),"",N(FM138)-N(FL138)))</f>
        <v/>
      </c>
      <c r="FR138">
        <f>IF(OR(FP$3="",FP$3&gt;TODAY()),"",IF(AND(FP138="",FQ138=""),"",N(FQ138)-N(FP138)))</f>
        <v/>
      </c>
      <c r="FU138">
        <f>IF(OR(FP$3="",FP$3&gt;TODAY()),"",IF(AND(FS138="",FT138=""),"",N(FT138)-N(FS138)))</f>
        <v/>
      </c>
      <c r="FY138">
        <f>IF(OR(FW$3="",FW$3&gt;TODAY()),"",IF(AND(FW138="",FX138=""),"",N(FX138)-N(FW138)))</f>
        <v/>
      </c>
      <c r="GB138">
        <f>IF(OR(FW$3="",FW$3&gt;TODAY()),"",IF(AND(FZ138="",GA138=""),"",N(GA138)-N(FZ138)))</f>
        <v/>
      </c>
      <c r="GF138">
        <f>IF(OR(GD$3="",GD$3&gt;TODAY()),"",IF(AND(GD138="",GE138=""),"",N(GE138)-N(GD138)))</f>
        <v/>
      </c>
      <c r="GI138">
        <f>IF(OR(GD$3="",GD$3&gt;TODAY()),"",IF(AND(GG138="",GH138=""),"",N(GH138)-N(GG138)))</f>
        <v/>
      </c>
      <c r="GM138">
        <f>IF(OR(GK$3="",GK$3&gt;TODAY()),"",IF(AND(GK138="",GL138=""),"",N(GL138)-N(GK138)))</f>
        <v/>
      </c>
      <c r="GP138">
        <f>IF(OR(GK$3="",GK$3&gt;TODAY()),"",IF(AND(GN138="",GO138=""),"",N(GO138)-N(GN138)))</f>
        <v/>
      </c>
      <c r="GT138">
        <f>IF(OR(GR$3="",GR$3&gt;TODAY()),"",IF(AND(GR138="",GS138=""),"",N(GS138)-N(GR138)))</f>
        <v/>
      </c>
      <c r="GW138">
        <f>IF(OR(GR$3="",GR$3&gt;TODAY()),"",IF(AND(GU138="",GV138=""),"",N(GV138)-N(GU138)))</f>
        <v/>
      </c>
      <c r="HA138">
        <f>IF(OR(GY$3="",GY$3&gt;TODAY()),"",IF(AND(GY138="",GZ138=""),"",N(GZ138)-N(GY138)))</f>
        <v/>
      </c>
      <c r="HD138">
        <f>IF(OR(GY$3="",GY$3&gt;TODAY()),"",IF(AND(HB138="",HC138=""),"",N(HC138)-N(HB138)))</f>
        <v/>
      </c>
      <c r="HH138">
        <f>IF(OR(HF$3="",HF$3&gt;TODAY()),"",IF(AND(HF138="",HG138=""),"",N(HG138)-N(HF138)))</f>
        <v/>
      </c>
      <c r="HK138">
        <f>IF(OR(HF$3="",HF$3&gt;TODAY()),"",IF(AND(HI138="",HJ138=""),"",N(HJ138)-N(HI138)))</f>
        <v/>
      </c>
      <c r="HO138">
        <f>IF(OR(HM$3="",HM$3&gt;TODAY()),"",IF(AND(HM138="",HN138=""),"",N(HN138)-N(HM138)))</f>
        <v/>
      </c>
      <c r="HR138">
        <f>IF(OR(HM$3="",HM$3&gt;TODAY()),"",IF(AND(HP138="",HQ138=""),"",N(HQ138)-N(HP138)))</f>
        <v/>
      </c>
      <c r="HV138">
        <f>IF(OR(HT$3="",HT$3&gt;TODAY()),"",IF(AND(HT138="",HU138=""),"",N(HU138)-N(HT138)))</f>
        <v/>
      </c>
      <c r="HY138">
        <f>IF(OR(HT$3="",HT$3&gt;TODAY()),"",IF(AND(HW138="",HX138=""),"",N(HX138)-N(HW138)))</f>
        <v/>
      </c>
      <c r="IC138">
        <f>IF(OR(IA$3="",IA$3&gt;TODAY()),"",IF(AND(IA138="",IB138=""),"",N(IB138)-N(IA138)))</f>
        <v/>
      </c>
      <c r="IF138">
        <f>IF(OR(IA$3="",IA$3&gt;TODAY()),"",IF(AND(ID138="",IE138=""),"",N(IE138)-N(ID138)))</f>
        <v/>
      </c>
      <c r="IJ138">
        <f>IF(OR(IH$3="",IH$3&gt;TODAY()),"",IF(AND(IH138="",II138=""),"",N(II138)-N(IH138)))</f>
        <v/>
      </c>
      <c r="IM138">
        <f>IF(OR(IH$3="",IH$3&gt;TODAY()),"",IF(AND(IK138="",IL138=""),"",N(IL138)-N(IK138)))</f>
        <v/>
      </c>
    </row>
    <row r="139">
      <c r="A139" s="21" t="n"/>
      <c r="B139" s="21" t="n"/>
      <c r="C139" s="21" t="n"/>
      <c r="D139" s="21" t="n"/>
      <c r="E139" s="21" t="n"/>
      <c r="F139" s="21" t="n"/>
      <c r="G139" s="21" t="n"/>
      <c r="H139" s="21" t="n"/>
      <c r="I139" s="22" t="n"/>
      <c r="J139" s="22" t="n"/>
      <c r="K139" s="23" t="n"/>
      <c r="L139" s="22" t="n"/>
      <c r="M139" s="22" t="n"/>
      <c r="N139" s="21" t="n"/>
      <c r="O139" s="23" t="n"/>
      <c r="P139" s="23" t="n"/>
      <c r="Q139" s="23" t="n"/>
      <c r="R139" s="23" t="n"/>
      <c r="S139" s="22" t="n"/>
      <c r="T139" s="23" t="n"/>
      <c r="U139" s="23" t="n"/>
      <c r="V139" s="24">
        <f>IF(J139&lt;&gt;"",J139,IF(I139&lt;&gt;"",I139,""))</f>
        <v/>
      </c>
      <c r="W139" s="25">
        <f>IF($E139="","",N(O139)+SUMIFS($AF139:$IN139,$AF$4:$IN$4,"SEW_ACT"))</f>
        <v/>
      </c>
      <c r="X139" s="25">
        <f>IF($E139="","",N(P139)+SUMIFS($AF139:$IN139,$AF$4:$IN$4,"WASH_ACT"))</f>
        <v/>
      </c>
      <c r="Y139" s="25">
        <f>IF($E139="","",W139-X139-N(T139)-N(U139))</f>
        <v/>
      </c>
      <c r="Z139" s="25">
        <f>IF($E139="","",IF(N(K139)-X139&lt;=0.02*N(K139),0,N(K139)-X139))</f>
        <v/>
      </c>
      <c r="AA139" s="24">
        <f>IF($E139="","",IF(S139&lt;&gt;"",S139,IF(N(O139)&gt;0,IF(L139&lt;&gt;"",L139,99999),IFERROR(1/(1/_xlfn.MINIFS($AF$3:$IN$3,$AF$4:$IN$4,"SEW_ACT",$AF139:$IN139,"&gt;0")),99999))))</f>
        <v/>
      </c>
      <c r="AB139" s="26">
        <f>IF(OR($E139="",Z139=0,V139=""),"",1+COUNTIFS(Z$8:Z$707,"&gt;0",V$8:V$707,"&lt;"&amp;V139)+COUNTIFS(Z$8:Z$707,"&gt;0",V$8:V$707,V139,AA$8:AA$707,"&lt;"&amp;AA139)+COUNTIFS(Z$8:Z$707,"&gt;0",V$8:V$707,V139,AA$8:AA$707,AA139,E$8:E$707,"&lt;"&amp;$E139))</f>
        <v/>
      </c>
      <c r="AC139" s="24">
        <f>IF(OR($E139="",Z139=0),"",IFERROR(TODAY()+ROUNDUP(Z139/(SUMIFS($AF139:$IN139,$AF$4:$IN$4,"WASH_ACT")/COUNTIFS($AF$4:$IN$4,"WASH_ACT",$AF139:$IN139,"&gt;0")),0),"no output yet"))</f>
        <v/>
      </c>
      <c r="AD139" s="26">
        <f>IF($E139="","",IFERROR(ROUND(MAX(0,SUMIFS($AF139:$IN139,$AF$4:$IN$4,"SEW_PLAN",$AF$3:$IN$3,"&lt;="&amp;TODAY())-SUMIFS($AF139:$IN139,$AF$4:$IN$4,"SEW_ACT",$AF$3:$IN$3,"&lt;="&amp;TODAY())+N(Q139))/(SUMIFS($AF139:$IN139,$AF$4:$IN$4,"SEW_PLAN")/COUNTIFS($AF$4:$IN$4,"SEW_PLAN",$AF139:$IN139,"&gt;0")),1),0))</f>
        <v/>
      </c>
      <c r="AE139" s="26">
        <f>IF($E139="","",IF(AND(Z139&gt;0,OR(AND(M139&lt;&gt;"",TODAY()&gt;M139),AND(V139&lt;&gt;"",V139-TODAY()&lt;=7))),"Yes","No"))</f>
        <v/>
      </c>
      <c r="AH139">
        <f>IF(OR(AF$3="",AF$3&gt;TODAY()),"",IF(AND(AF139="",AG139=""),"",N(AG139)-N(AF139)))</f>
        <v/>
      </c>
      <c r="AK139">
        <f>IF(OR(AF$3="",AF$3&gt;TODAY()),"",IF(AND(AI139="",AJ139=""),"",N(AJ139)-N(AI139)))</f>
        <v/>
      </c>
      <c r="AO139">
        <f>IF(OR(AM$3="",AM$3&gt;TODAY()),"",IF(AND(AM139="",AN139=""),"",N(AN139)-N(AM139)))</f>
        <v/>
      </c>
      <c r="AR139">
        <f>IF(OR(AM$3="",AM$3&gt;TODAY()),"",IF(AND(AP139="",AQ139=""),"",N(AQ139)-N(AP139)))</f>
        <v/>
      </c>
      <c r="AV139">
        <f>IF(OR(AT$3="",AT$3&gt;TODAY()),"",IF(AND(AT139="",AU139=""),"",N(AU139)-N(AT139)))</f>
        <v/>
      </c>
      <c r="AY139">
        <f>IF(OR(AT$3="",AT$3&gt;TODAY()),"",IF(AND(AW139="",AX139=""),"",N(AX139)-N(AW139)))</f>
        <v/>
      </c>
      <c r="BC139">
        <f>IF(OR(BA$3="",BA$3&gt;TODAY()),"",IF(AND(BA139="",BB139=""),"",N(BB139)-N(BA139)))</f>
        <v/>
      </c>
      <c r="BF139">
        <f>IF(OR(BA$3="",BA$3&gt;TODAY()),"",IF(AND(BD139="",BE139=""),"",N(BE139)-N(BD139)))</f>
        <v/>
      </c>
      <c r="BJ139">
        <f>IF(OR(BH$3="",BH$3&gt;TODAY()),"",IF(AND(BH139="",BI139=""),"",N(BI139)-N(BH139)))</f>
        <v/>
      </c>
      <c r="BM139">
        <f>IF(OR(BH$3="",BH$3&gt;TODAY()),"",IF(AND(BK139="",BL139=""),"",N(BL139)-N(BK139)))</f>
        <v/>
      </c>
      <c r="BQ139">
        <f>IF(OR(BO$3="",BO$3&gt;TODAY()),"",IF(AND(BO139="",BP139=""),"",N(BP139)-N(BO139)))</f>
        <v/>
      </c>
      <c r="BT139">
        <f>IF(OR(BO$3="",BO$3&gt;TODAY()),"",IF(AND(BR139="",BS139=""),"",N(BS139)-N(BR139)))</f>
        <v/>
      </c>
      <c r="BX139">
        <f>IF(OR(BV$3="",BV$3&gt;TODAY()),"",IF(AND(BV139="",BW139=""),"",N(BW139)-N(BV139)))</f>
        <v/>
      </c>
      <c r="CA139">
        <f>IF(OR(BV$3="",BV$3&gt;TODAY()),"",IF(AND(BY139="",BZ139=""),"",N(BZ139)-N(BY139)))</f>
        <v/>
      </c>
      <c r="CE139">
        <f>IF(OR(CC$3="",CC$3&gt;TODAY()),"",IF(AND(CC139="",CD139=""),"",N(CD139)-N(CC139)))</f>
        <v/>
      </c>
      <c r="CH139">
        <f>IF(OR(CC$3="",CC$3&gt;TODAY()),"",IF(AND(CF139="",CG139=""),"",N(CG139)-N(CF139)))</f>
        <v/>
      </c>
      <c r="CL139">
        <f>IF(OR(CJ$3="",CJ$3&gt;TODAY()),"",IF(AND(CJ139="",CK139=""),"",N(CK139)-N(CJ139)))</f>
        <v/>
      </c>
      <c r="CO139">
        <f>IF(OR(CJ$3="",CJ$3&gt;TODAY()),"",IF(AND(CM139="",CN139=""),"",N(CN139)-N(CM139)))</f>
        <v/>
      </c>
      <c r="CS139">
        <f>IF(OR(CQ$3="",CQ$3&gt;TODAY()),"",IF(AND(CQ139="",CR139=""),"",N(CR139)-N(CQ139)))</f>
        <v/>
      </c>
      <c r="CV139">
        <f>IF(OR(CQ$3="",CQ$3&gt;TODAY()),"",IF(AND(CT139="",CU139=""),"",N(CU139)-N(CT139)))</f>
        <v/>
      </c>
      <c r="CZ139">
        <f>IF(OR(CX$3="",CX$3&gt;TODAY()),"",IF(AND(CX139="",CY139=""),"",N(CY139)-N(CX139)))</f>
        <v/>
      </c>
      <c r="DC139">
        <f>IF(OR(CX$3="",CX$3&gt;TODAY()),"",IF(AND(DA139="",DB139=""),"",N(DB139)-N(DA139)))</f>
        <v/>
      </c>
      <c r="DG139">
        <f>IF(OR(DE$3="",DE$3&gt;TODAY()),"",IF(AND(DE139="",DF139=""),"",N(DF139)-N(DE139)))</f>
        <v/>
      </c>
      <c r="DJ139">
        <f>IF(OR(DE$3="",DE$3&gt;TODAY()),"",IF(AND(DH139="",DI139=""),"",N(DI139)-N(DH139)))</f>
        <v/>
      </c>
      <c r="DN139">
        <f>IF(OR(DL$3="",DL$3&gt;TODAY()),"",IF(AND(DL139="",DM139=""),"",N(DM139)-N(DL139)))</f>
        <v/>
      </c>
      <c r="DQ139">
        <f>IF(OR(DL$3="",DL$3&gt;TODAY()),"",IF(AND(DO139="",DP139=""),"",N(DP139)-N(DO139)))</f>
        <v/>
      </c>
      <c r="DU139">
        <f>IF(OR(DS$3="",DS$3&gt;TODAY()),"",IF(AND(DS139="",DT139=""),"",N(DT139)-N(DS139)))</f>
        <v/>
      </c>
      <c r="DX139">
        <f>IF(OR(DS$3="",DS$3&gt;TODAY()),"",IF(AND(DV139="",DW139=""),"",N(DW139)-N(DV139)))</f>
        <v/>
      </c>
      <c r="EB139">
        <f>IF(OR(DZ$3="",DZ$3&gt;TODAY()),"",IF(AND(DZ139="",EA139=""),"",N(EA139)-N(DZ139)))</f>
        <v/>
      </c>
      <c r="EE139">
        <f>IF(OR(DZ$3="",DZ$3&gt;TODAY()),"",IF(AND(EC139="",ED139=""),"",N(ED139)-N(EC139)))</f>
        <v/>
      </c>
      <c r="EI139">
        <f>IF(OR(EG$3="",EG$3&gt;TODAY()),"",IF(AND(EG139="",EH139=""),"",N(EH139)-N(EG139)))</f>
        <v/>
      </c>
      <c r="EL139">
        <f>IF(OR(EG$3="",EG$3&gt;TODAY()),"",IF(AND(EJ139="",EK139=""),"",N(EK139)-N(EJ139)))</f>
        <v/>
      </c>
      <c r="EP139">
        <f>IF(OR(EN$3="",EN$3&gt;TODAY()),"",IF(AND(EN139="",EO139=""),"",N(EO139)-N(EN139)))</f>
        <v/>
      </c>
      <c r="ES139">
        <f>IF(OR(EN$3="",EN$3&gt;TODAY()),"",IF(AND(EQ139="",ER139=""),"",N(ER139)-N(EQ139)))</f>
        <v/>
      </c>
      <c r="EW139">
        <f>IF(OR(EU$3="",EU$3&gt;TODAY()),"",IF(AND(EU139="",EV139=""),"",N(EV139)-N(EU139)))</f>
        <v/>
      </c>
      <c r="EZ139">
        <f>IF(OR(EU$3="",EU$3&gt;TODAY()),"",IF(AND(EX139="",EY139=""),"",N(EY139)-N(EX139)))</f>
        <v/>
      </c>
      <c r="FD139">
        <f>IF(OR(FB$3="",FB$3&gt;TODAY()),"",IF(AND(FB139="",FC139=""),"",N(FC139)-N(FB139)))</f>
        <v/>
      </c>
      <c r="FG139">
        <f>IF(OR(FB$3="",FB$3&gt;TODAY()),"",IF(AND(FE139="",FF139=""),"",N(FF139)-N(FE139)))</f>
        <v/>
      </c>
      <c r="FK139">
        <f>IF(OR(FI$3="",FI$3&gt;TODAY()),"",IF(AND(FI139="",FJ139=""),"",N(FJ139)-N(FI139)))</f>
        <v/>
      </c>
      <c r="FN139">
        <f>IF(OR(FI$3="",FI$3&gt;TODAY()),"",IF(AND(FL139="",FM139=""),"",N(FM139)-N(FL139)))</f>
        <v/>
      </c>
      <c r="FR139">
        <f>IF(OR(FP$3="",FP$3&gt;TODAY()),"",IF(AND(FP139="",FQ139=""),"",N(FQ139)-N(FP139)))</f>
        <v/>
      </c>
      <c r="FU139">
        <f>IF(OR(FP$3="",FP$3&gt;TODAY()),"",IF(AND(FS139="",FT139=""),"",N(FT139)-N(FS139)))</f>
        <v/>
      </c>
      <c r="FY139">
        <f>IF(OR(FW$3="",FW$3&gt;TODAY()),"",IF(AND(FW139="",FX139=""),"",N(FX139)-N(FW139)))</f>
        <v/>
      </c>
      <c r="GB139">
        <f>IF(OR(FW$3="",FW$3&gt;TODAY()),"",IF(AND(FZ139="",GA139=""),"",N(GA139)-N(FZ139)))</f>
        <v/>
      </c>
      <c r="GF139">
        <f>IF(OR(GD$3="",GD$3&gt;TODAY()),"",IF(AND(GD139="",GE139=""),"",N(GE139)-N(GD139)))</f>
        <v/>
      </c>
      <c r="GI139">
        <f>IF(OR(GD$3="",GD$3&gt;TODAY()),"",IF(AND(GG139="",GH139=""),"",N(GH139)-N(GG139)))</f>
        <v/>
      </c>
      <c r="GM139">
        <f>IF(OR(GK$3="",GK$3&gt;TODAY()),"",IF(AND(GK139="",GL139=""),"",N(GL139)-N(GK139)))</f>
        <v/>
      </c>
      <c r="GP139">
        <f>IF(OR(GK$3="",GK$3&gt;TODAY()),"",IF(AND(GN139="",GO139=""),"",N(GO139)-N(GN139)))</f>
        <v/>
      </c>
      <c r="GT139">
        <f>IF(OR(GR$3="",GR$3&gt;TODAY()),"",IF(AND(GR139="",GS139=""),"",N(GS139)-N(GR139)))</f>
        <v/>
      </c>
      <c r="GW139">
        <f>IF(OR(GR$3="",GR$3&gt;TODAY()),"",IF(AND(GU139="",GV139=""),"",N(GV139)-N(GU139)))</f>
        <v/>
      </c>
      <c r="HA139">
        <f>IF(OR(GY$3="",GY$3&gt;TODAY()),"",IF(AND(GY139="",GZ139=""),"",N(GZ139)-N(GY139)))</f>
        <v/>
      </c>
      <c r="HD139">
        <f>IF(OR(GY$3="",GY$3&gt;TODAY()),"",IF(AND(HB139="",HC139=""),"",N(HC139)-N(HB139)))</f>
        <v/>
      </c>
      <c r="HH139">
        <f>IF(OR(HF$3="",HF$3&gt;TODAY()),"",IF(AND(HF139="",HG139=""),"",N(HG139)-N(HF139)))</f>
        <v/>
      </c>
      <c r="HK139">
        <f>IF(OR(HF$3="",HF$3&gt;TODAY()),"",IF(AND(HI139="",HJ139=""),"",N(HJ139)-N(HI139)))</f>
        <v/>
      </c>
      <c r="HO139">
        <f>IF(OR(HM$3="",HM$3&gt;TODAY()),"",IF(AND(HM139="",HN139=""),"",N(HN139)-N(HM139)))</f>
        <v/>
      </c>
      <c r="HR139">
        <f>IF(OR(HM$3="",HM$3&gt;TODAY()),"",IF(AND(HP139="",HQ139=""),"",N(HQ139)-N(HP139)))</f>
        <v/>
      </c>
      <c r="HV139">
        <f>IF(OR(HT$3="",HT$3&gt;TODAY()),"",IF(AND(HT139="",HU139=""),"",N(HU139)-N(HT139)))</f>
        <v/>
      </c>
      <c r="HY139">
        <f>IF(OR(HT$3="",HT$3&gt;TODAY()),"",IF(AND(HW139="",HX139=""),"",N(HX139)-N(HW139)))</f>
        <v/>
      </c>
      <c r="IC139">
        <f>IF(OR(IA$3="",IA$3&gt;TODAY()),"",IF(AND(IA139="",IB139=""),"",N(IB139)-N(IA139)))</f>
        <v/>
      </c>
      <c r="IF139">
        <f>IF(OR(IA$3="",IA$3&gt;TODAY()),"",IF(AND(ID139="",IE139=""),"",N(IE139)-N(ID139)))</f>
        <v/>
      </c>
      <c r="IJ139">
        <f>IF(OR(IH$3="",IH$3&gt;TODAY()),"",IF(AND(IH139="",II139=""),"",N(II139)-N(IH139)))</f>
        <v/>
      </c>
      <c r="IM139">
        <f>IF(OR(IH$3="",IH$3&gt;TODAY()),"",IF(AND(IK139="",IL139=""),"",N(IL139)-N(IK139)))</f>
        <v/>
      </c>
    </row>
    <row r="140">
      <c r="A140" s="21" t="n"/>
      <c r="B140" s="21" t="n"/>
      <c r="C140" s="21" t="n"/>
      <c r="D140" s="21" t="n"/>
      <c r="E140" s="21" t="n"/>
      <c r="F140" s="21" t="n"/>
      <c r="G140" s="21" t="n"/>
      <c r="H140" s="21" t="n"/>
      <c r="I140" s="22" t="n"/>
      <c r="J140" s="22" t="n"/>
      <c r="K140" s="23" t="n"/>
      <c r="L140" s="22" t="n"/>
      <c r="M140" s="22" t="n"/>
      <c r="N140" s="21" t="n"/>
      <c r="O140" s="23" t="n"/>
      <c r="P140" s="23" t="n"/>
      <c r="Q140" s="23" t="n"/>
      <c r="R140" s="23" t="n"/>
      <c r="S140" s="22" t="n"/>
      <c r="T140" s="23" t="n"/>
      <c r="U140" s="23" t="n"/>
      <c r="V140" s="24">
        <f>IF(J140&lt;&gt;"",J140,IF(I140&lt;&gt;"",I140,""))</f>
        <v/>
      </c>
      <c r="W140" s="25">
        <f>IF($E140="","",N(O140)+SUMIFS($AF140:$IN140,$AF$4:$IN$4,"SEW_ACT"))</f>
        <v/>
      </c>
      <c r="X140" s="25">
        <f>IF($E140="","",N(P140)+SUMIFS($AF140:$IN140,$AF$4:$IN$4,"WASH_ACT"))</f>
        <v/>
      </c>
      <c r="Y140" s="25">
        <f>IF($E140="","",W140-X140-N(T140)-N(U140))</f>
        <v/>
      </c>
      <c r="Z140" s="25">
        <f>IF($E140="","",IF(N(K140)-X140&lt;=0.02*N(K140),0,N(K140)-X140))</f>
        <v/>
      </c>
      <c r="AA140" s="24">
        <f>IF($E140="","",IF(S140&lt;&gt;"",S140,IF(N(O140)&gt;0,IF(L140&lt;&gt;"",L140,99999),IFERROR(1/(1/_xlfn.MINIFS($AF$3:$IN$3,$AF$4:$IN$4,"SEW_ACT",$AF140:$IN140,"&gt;0")),99999))))</f>
        <v/>
      </c>
      <c r="AB140" s="26">
        <f>IF(OR($E140="",Z140=0,V140=""),"",1+COUNTIFS(Z$8:Z$707,"&gt;0",V$8:V$707,"&lt;"&amp;V140)+COUNTIFS(Z$8:Z$707,"&gt;0",V$8:V$707,V140,AA$8:AA$707,"&lt;"&amp;AA140)+COUNTIFS(Z$8:Z$707,"&gt;0",V$8:V$707,V140,AA$8:AA$707,AA140,E$8:E$707,"&lt;"&amp;$E140))</f>
        <v/>
      </c>
      <c r="AC140" s="24">
        <f>IF(OR($E140="",Z140=0),"",IFERROR(TODAY()+ROUNDUP(Z140/(SUMIFS($AF140:$IN140,$AF$4:$IN$4,"WASH_ACT")/COUNTIFS($AF$4:$IN$4,"WASH_ACT",$AF140:$IN140,"&gt;0")),0),"no output yet"))</f>
        <v/>
      </c>
      <c r="AD140" s="26">
        <f>IF($E140="","",IFERROR(ROUND(MAX(0,SUMIFS($AF140:$IN140,$AF$4:$IN$4,"SEW_PLAN",$AF$3:$IN$3,"&lt;="&amp;TODAY())-SUMIFS($AF140:$IN140,$AF$4:$IN$4,"SEW_ACT",$AF$3:$IN$3,"&lt;="&amp;TODAY())+N(Q140))/(SUMIFS($AF140:$IN140,$AF$4:$IN$4,"SEW_PLAN")/COUNTIFS($AF$4:$IN$4,"SEW_PLAN",$AF140:$IN140,"&gt;0")),1),0))</f>
        <v/>
      </c>
      <c r="AE140" s="26">
        <f>IF($E140="","",IF(AND(Z140&gt;0,OR(AND(M140&lt;&gt;"",TODAY()&gt;M140),AND(V140&lt;&gt;"",V140-TODAY()&lt;=7))),"Yes","No"))</f>
        <v/>
      </c>
      <c r="AH140">
        <f>IF(OR(AF$3="",AF$3&gt;TODAY()),"",IF(AND(AF140="",AG140=""),"",N(AG140)-N(AF140)))</f>
        <v/>
      </c>
      <c r="AK140">
        <f>IF(OR(AF$3="",AF$3&gt;TODAY()),"",IF(AND(AI140="",AJ140=""),"",N(AJ140)-N(AI140)))</f>
        <v/>
      </c>
      <c r="AO140">
        <f>IF(OR(AM$3="",AM$3&gt;TODAY()),"",IF(AND(AM140="",AN140=""),"",N(AN140)-N(AM140)))</f>
        <v/>
      </c>
      <c r="AR140">
        <f>IF(OR(AM$3="",AM$3&gt;TODAY()),"",IF(AND(AP140="",AQ140=""),"",N(AQ140)-N(AP140)))</f>
        <v/>
      </c>
      <c r="AV140">
        <f>IF(OR(AT$3="",AT$3&gt;TODAY()),"",IF(AND(AT140="",AU140=""),"",N(AU140)-N(AT140)))</f>
        <v/>
      </c>
      <c r="AY140">
        <f>IF(OR(AT$3="",AT$3&gt;TODAY()),"",IF(AND(AW140="",AX140=""),"",N(AX140)-N(AW140)))</f>
        <v/>
      </c>
      <c r="BC140">
        <f>IF(OR(BA$3="",BA$3&gt;TODAY()),"",IF(AND(BA140="",BB140=""),"",N(BB140)-N(BA140)))</f>
        <v/>
      </c>
      <c r="BF140">
        <f>IF(OR(BA$3="",BA$3&gt;TODAY()),"",IF(AND(BD140="",BE140=""),"",N(BE140)-N(BD140)))</f>
        <v/>
      </c>
      <c r="BJ140">
        <f>IF(OR(BH$3="",BH$3&gt;TODAY()),"",IF(AND(BH140="",BI140=""),"",N(BI140)-N(BH140)))</f>
        <v/>
      </c>
      <c r="BM140">
        <f>IF(OR(BH$3="",BH$3&gt;TODAY()),"",IF(AND(BK140="",BL140=""),"",N(BL140)-N(BK140)))</f>
        <v/>
      </c>
      <c r="BQ140">
        <f>IF(OR(BO$3="",BO$3&gt;TODAY()),"",IF(AND(BO140="",BP140=""),"",N(BP140)-N(BO140)))</f>
        <v/>
      </c>
      <c r="BT140">
        <f>IF(OR(BO$3="",BO$3&gt;TODAY()),"",IF(AND(BR140="",BS140=""),"",N(BS140)-N(BR140)))</f>
        <v/>
      </c>
      <c r="BX140">
        <f>IF(OR(BV$3="",BV$3&gt;TODAY()),"",IF(AND(BV140="",BW140=""),"",N(BW140)-N(BV140)))</f>
        <v/>
      </c>
      <c r="CA140">
        <f>IF(OR(BV$3="",BV$3&gt;TODAY()),"",IF(AND(BY140="",BZ140=""),"",N(BZ140)-N(BY140)))</f>
        <v/>
      </c>
      <c r="CE140">
        <f>IF(OR(CC$3="",CC$3&gt;TODAY()),"",IF(AND(CC140="",CD140=""),"",N(CD140)-N(CC140)))</f>
        <v/>
      </c>
      <c r="CH140">
        <f>IF(OR(CC$3="",CC$3&gt;TODAY()),"",IF(AND(CF140="",CG140=""),"",N(CG140)-N(CF140)))</f>
        <v/>
      </c>
      <c r="CL140">
        <f>IF(OR(CJ$3="",CJ$3&gt;TODAY()),"",IF(AND(CJ140="",CK140=""),"",N(CK140)-N(CJ140)))</f>
        <v/>
      </c>
      <c r="CO140">
        <f>IF(OR(CJ$3="",CJ$3&gt;TODAY()),"",IF(AND(CM140="",CN140=""),"",N(CN140)-N(CM140)))</f>
        <v/>
      </c>
      <c r="CS140">
        <f>IF(OR(CQ$3="",CQ$3&gt;TODAY()),"",IF(AND(CQ140="",CR140=""),"",N(CR140)-N(CQ140)))</f>
        <v/>
      </c>
      <c r="CV140">
        <f>IF(OR(CQ$3="",CQ$3&gt;TODAY()),"",IF(AND(CT140="",CU140=""),"",N(CU140)-N(CT140)))</f>
        <v/>
      </c>
      <c r="CZ140">
        <f>IF(OR(CX$3="",CX$3&gt;TODAY()),"",IF(AND(CX140="",CY140=""),"",N(CY140)-N(CX140)))</f>
        <v/>
      </c>
      <c r="DC140">
        <f>IF(OR(CX$3="",CX$3&gt;TODAY()),"",IF(AND(DA140="",DB140=""),"",N(DB140)-N(DA140)))</f>
        <v/>
      </c>
      <c r="DG140">
        <f>IF(OR(DE$3="",DE$3&gt;TODAY()),"",IF(AND(DE140="",DF140=""),"",N(DF140)-N(DE140)))</f>
        <v/>
      </c>
      <c r="DJ140">
        <f>IF(OR(DE$3="",DE$3&gt;TODAY()),"",IF(AND(DH140="",DI140=""),"",N(DI140)-N(DH140)))</f>
        <v/>
      </c>
      <c r="DN140">
        <f>IF(OR(DL$3="",DL$3&gt;TODAY()),"",IF(AND(DL140="",DM140=""),"",N(DM140)-N(DL140)))</f>
        <v/>
      </c>
      <c r="DQ140">
        <f>IF(OR(DL$3="",DL$3&gt;TODAY()),"",IF(AND(DO140="",DP140=""),"",N(DP140)-N(DO140)))</f>
        <v/>
      </c>
      <c r="DU140">
        <f>IF(OR(DS$3="",DS$3&gt;TODAY()),"",IF(AND(DS140="",DT140=""),"",N(DT140)-N(DS140)))</f>
        <v/>
      </c>
      <c r="DX140">
        <f>IF(OR(DS$3="",DS$3&gt;TODAY()),"",IF(AND(DV140="",DW140=""),"",N(DW140)-N(DV140)))</f>
        <v/>
      </c>
      <c r="EB140">
        <f>IF(OR(DZ$3="",DZ$3&gt;TODAY()),"",IF(AND(DZ140="",EA140=""),"",N(EA140)-N(DZ140)))</f>
        <v/>
      </c>
      <c r="EE140">
        <f>IF(OR(DZ$3="",DZ$3&gt;TODAY()),"",IF(AND(EC140="",ED140=""),"",N(ED140)-N(EC140)))</f>
        <v/>
      </c>
      <c r="EI140">
        <f>IF(OR(EG$3="",EG$3&gt;TODAY()),"",IF(AND(EG140="",EH140=""),"",N(EH140)-N(EG140)))</f>
        <v/>
      </c>
      <c r="EL140">
        <f>IF(OR(EG$3="",EG$3&gt;TODAY()),"",IF(AND(EJ140="",EK140=""),"",N(EK140)-N(EJ140)))</f>
        <v/>
      </c>
      <c r="EP140">
        <f>IF(OR(EN$3="",EN$3&gt;TODAY()),"",IF(AND(EN140="",EO140=""),"",N(EO140)-N(EN140)))</f>
        <v/>
      </c>
      <c r="ES140">
        <f>IF(OR(EN$3="",EN$3&gt;TODAY()),"",IF(AND(EQ140="",ER140=""),"",N(ER140)-N(EQ140)))</f>
        <v/>
      </c>
      <c r="EW140">
        <f>IF(OR(EU$3="",EU$3&gt;TODAY()),"",IF(AND(EU140="",EV140=""),"",N(EV140)-N(EU140)))</f>
        <v/>
      </c>
      <c r="EZ140">
        <f>IF(OR(EU$3="",EU$3&gt;TODAY()),"",IF(AND(EX140="",EY140=""),"",N(EY140)-N(EX140)))</f>
        <v/>
      </c>
      <c r="FD140">
        <f>IF(OR(FB$3="",FB$3&gt;TODAY()),"",IF(AND(FB140="",FC140=""),"",N(FC140)-N(FB140)))</f>
        <v/>
      </c>
      <c r="FG140">
        <f>IF(OR(FB$3="",FB$3&gt;TODAY()),"",IF(AND(FE140="",FF140=""),"",N(FF140)-N(FE140)))</f>
        <v/>
      </c>
      <c r="FK140">
        <f>IF(OR(FI$3="",FI$3&gt;TODAY()),"",IF(AND(FI140="",FJ140=""),"",N(FJ140)-N(FI140)))</f>
        <v/>
      </c>
      <c r="FN140">
        <f>IF(OR(FI$3="",FI$3&gt;TODAY()),"",IF(AND(FL140="",FM140=""),"",N(FM140)-N(FL140)))</f>
        <v/>
      </c>
      <c r="FR140">
        <f>IF(OR(FP$3="",FP$3&gt;TODAY()),"",IF(AND(FP140="",FQ140=""),"",N(FQ140)-N(FP140)))</f>
        <v/>
      </c>
      <c r="FU140">
        <f>IF(OR(FP$3="",FP$3&gt;TODAY()),"",IF(AND(FS140="",FT140=""),"",N(FT140)-N(FS140)))</f>
        <v/>
      </c>
      <c r="FY140">
        <f>IF(OR(FW$3="",FW$3&gt;TODAY()),"",IF(AND(FW140="",FX140=""),"",N(FX140)-N(FW140)))</f>
        <v/>
      </c>
      <c r="GB140">
        <f>IF(OR(FW$3="",FW$3&gt;TODAY()),"",IF(AND(FZ140="",GA140=""),"",N(GA140)-N(FZ140)))</f>
        <v/>
      </c>
      <c r="GF140">
        <f>IF(OR(GD$3="",GD$3&gt;TODAY()),"",IF(AND(GD140="",GE140=""),"",N(GE140)-N(GD140)))</f>
        <v/>
      </c>
      <c r="GI140">
        <f>IF(OR(GD$3="",GD$3&gt;TODAY()),"",IF(AND(GG140="",GH140=""),"",N(GH140)-N(GG140)))</f>
        <v/>
      </c>
      <c r="GM140">
        <f>IF(OR(GK$3="",GK$3&gt;TODAY()),"",IF(AND(GK140="",GL140=""),"",N(GL140)-N(GK140)))</f>
        <v/>
      </c>
      <c r="GP140">
        <f>IF(OR(GK$3="",GK$3&gt;TODAY()),"",IF(AND(GN140="",GO140=""),"",N(GO140)-N(GN140)))</f>
        <v/>
      </c>
      <c r="GT140">
        <f>IF(OR(GR$3="",GR$3&gt;TODAY()),"",IF(AND(GR140="",GS140=""),"",N(GS140)-N(GR140)))</f>
        <v/>
      </c>
      <c r="GW140">
        <f>IF(OR(GR$3="",GR$3&gt;TODAY()),"",IF(AND(GU140="",GV140=""),"",N(GV140)-N(GU140)))</f>
        <v/>
      </c>
      <c r="HA140">
        <f>IF(OR(GY$3="",GY$3&gt;TODAY()),"",IF(AND(GY140="",GZ140=""),"",N(GZ140)-N(GY140)))</f>
        <v/>
      </c>
      <c r="HD140">
        <f>IF(OR(GY$3="",GY$3&gt;TODAY()),"",IF(AND(HB140="",HC140=""),"",N(HC140)-N(HB140)))</f>
        <v/>
      </c>
      <c r="HH140">
        <f>IF(OR(HF$3="",HF$3&gt;TODAY()),"",IF(AND(HF140="",HG140=""),"",N(HG140)-N(HF140)))</f>
        <v/>
      </c>
      <c r="HK140">
        <f>IF(OR(HF$3="",HF$3&gt;TODAY()),"",IF(AND(HI140="",HJ140=""),"",N(HJ140)-N(HI140)))</f>
        <v/>
      </c>
      <c r="HO140">
        <f>IF(OR(HM$3="",HM$3&gt;TODAY()),"",IF(AND(HM140="",HN140=""),"",N(HN140)-N(HM140)))</f>
        <v/>
      </c>
      <c r="HR140">
        <f>IF(OR(HM$3="",HM$3&gt;TODAY()),"",IF(AND(HP140="",HQ140=""),"",N(HQ140)-N(HP140)))</f>
        <v/>
      </c>
      <c r="HV140">
        <f>IF(OR(HT$3="",HT$3&gt;TODAY()),"",IF(AND(HT140="",HU140=""),"",N(HU140)-N(HT140)))</f>
        <v/>
      </c>
      <c r="HY140">
        <f>IF(OR(HT$3="",HT$3&gt;TODAY()),"",IF(AND(HW140="",HX140=""),"",N(HX140)-N(HW140)))</f>
        <v/>
      </c>
      <c r="IC140">
        <f>IF(OR(IA$3="",IA$3&gt;TODAY()),"",IF(AND(IA140="",IB140=""),"",N(IB140)-N(IA140)))</f>
        <v/>
      </c>
      <c r="IF140">
        <f>IF(OR(IA$3="",IA$3&gt;TODAY()),"",IF(AND(ID140="",IE140=""),"",N(IE140)-N(ID140)))</f>
        <v/>
      </c>
      <c r="IJ140">
        <f>IF(OR(IH$3="",IH$3&gt;TODAY()),"",IF(AND(IH140="",II140=""),"",N(II140)-N(IH140)))</f>
        <v/>
      </c>
      <c r="IM140">
        <f>IF(OR(IH$3="",IH$3&gt;TODAY()),"",IF(AND(IK140="",IL140=""),"",N(IL140)-N(IK140)))</f>
        <v/>
      </c>
    </row>
    <row r="141">
      <c r="A141" s="21" t="n"/>
      <c r="B141" s="21" t="n"/>
      <c r="C141" s="21" t="n"/>
      <c r="D141" s="21" t="n"/>
      <c r="E141" s="21" t="n"/>
      <c r="F141" s="21" t="n"/>
      <c r="G141" s="21" t="n"/>
      <c r="H141" s="21" t="n"/>
      <c r="I141" s="22" t="n"/>
      <c r="J141" s="22" t="n"/>
      <c r="K141" s="23" t="n"/>
      <c r="L141" s="22" t="n"/>
      <c r="M141" s="22" t="n"/>
      <c r="N141" s="21" t="n"/>
      <c r="O141" s="23" t="n"/>
      <c r="P141" s="23" t="n"/>
      <c r="Q141" s="23" t="n"/>
      <c r="R141" s="23" t="n"/>
      <c r="S141" s="22" t="n"/>
      <c r="T141" s="23" t="n"/>
      <c r="U141" s="23" t="n"/>
      <c r="V141" s="24">
        <f>IF(J141&lt;&gt;"",J141,IF(I141&lt;&gt;"",I141,""))</f>
        <v/>
      </c>
      <c r="W141" s="25">
        <f>IF($E141="","",N(O141)+SUMIFS($AF141:$IN141,$AF$4:$IN$4,"SEW_ACT"))</f>
        <v/>
      </c>
      <c r="X141" s="25">
        <f>IF($E141="","",N(P141)+SUMIFS($AF141:$IN141,$AF$4:$IN$4,"WASH_ACT"))</f>
        <v/>
      </c>
      <c r="Y141" s="25">
        <f>IF($E141="","",W141-X141-N(T141)-N(U141))</f>
        <v/>
      </c>
      <c r="Z141" s="25">
        <f>IF($E141="","",IF(N(K141)-X141&lt;=0.02*N(K141),0,N(K141)-X141))</f>
        <v/>
      </c>
      <c r="AA141" s="24">
        <f>IF($E141="","",IF(S141&lt;&gt;"",S141,IF(N(O141)&gt;0,IF(L141&lt;&gt;"",L141,99999),IFERROR(1/(1/_xlfn.MINIFS($AF$3:$IN$3,$AF$4:$IN$4,"SEW_ACT",$AF141:$IN141,"&gt;0")),99999))))</f>
        <v/>
      </c>
      <c r="AB141" s="26">
        <f>IF(OR($E141="",Z141=0,V141=""),"",1+COUNTIFS(Z$8:Z$707,"&gt;0",V$8:V$707,"&lt;"&amp;V141)+COUNTIFS(Z$8:Z$707,"&gt;0",V$8:V$707,V141,AA$8:AA$707,"&lt;"&amp;AA141)+COUNTIFS(Z$8:Z$707,"&gt;0",V$8:V$707,V141,AA$8:AA$707,AA141,E$8:E$707,"&lt;"&amp;$E141))</f>
        <v/>
      </c>
      <c r="AC141" s="24">
        <f>IF(OR($E141="",Z141=0),"",IFERROR(TODAY()+ROUNDUP(Z141/(SUMIFS($AF141:$IN141,$AF$4:$IN$4,"WASH_ACT")/COUNTIFS($AF$4:$IN$4,"WASH_ACT",$AF141:$IN141,"&gt;0")),0),"no output yet"))</f>
        <v/>
      </c>
      <c r="AD141" s="26">
        <f>IF($E141="","",IFERROR(ROUND(MAX(0,SUMIFS($AF141:$IN141,$AF$4:$IN$4,"SEW_PLAN",$AF$3:$IN$3,"&lt;="&amp;TODAY())-SUMIFS($AF141:$IN141,$AF$4:$IN$4,"SEW_ACT",$AF$3:$IN$3,"&lt;="&amp;TODAY())+N(Q141))/(SUMIFS($AF141:$IN141,$AF$4:$IN$4,"SEW_PLAN")/COUNTIFS($AF$4:$IN$4,"SEW_PLAN",$AF141:$IN141,"&gt;0")),1),0))</f>
        <v/>
      </c>
      <c r="AE141" s="26">
        <f>IF($E141="","",IF(AND(Z141&gt;0,OR(AND(M141&lt;&gt;"",TODAY()&gt;M141),AND(V141&lt;&gt;"",V141-TODAY()&lt;=7))),"Yes","No"))</f>
        <v/>
      </c>
      <c r="AH141">
        <f>IF(OR(AF$3="",AF$3&gt;TODAY()),"",IF(AND(AF141="",AG141=""),"",N(AG141)-N(AF141)))</f>
        <v/>
      </c>
      <c r="AK141">
        <f>IF(OR(AF$3="",AF$3&gt;TODAY()),"",IF(AND(AI141="",AJ141=""),"",N(AJ141)-N(AI141)))</f>
        <v/>
      </c>
      <c r="AO141">
        <f>IF(OR(AM$3="",AM$3&gt;TODAY()),"",IF(AND(AM141="",AN141=""),"",N(AN141)-N(AM141)))</f>
        <v/>
      </c>
      <c r="AR141">
        <f>IF(OR(AM$3="",AM$3&gt;TODAY()),"",IF(AND(AP141="",AQ141=""),"",N(AQ141)-N(AP141)))</f>
        <v/>
      </c>
      <c r="AV141">
        <f>IF(OR(AT$3="",AT$3&gt;TODAY()),"",IF(AND(AT141="",AU141=""),"",N(AU141)-N(AT141)))</f>
        <v/>
      </c>
      <c r="AY141">
        <f>IF(OR(AT$3="",AT$3&gt;TODAY()),"",IF(AND(AW141="",AX141=""),"",N(AX141)-N(AW141)))</f>
        <v/>
      </c>
      <c r="BC141">
        <f>IF(OR(BA$3="",BA$3&gt;TODAY()),"",IF(AND(BA141="",BB141=""),"",N(BB141)-N(BA141)))</f>
        <v/>
      </c>
      <c r="BF141">
        <f>IF(OR(BA$3="",BA$3&gt;TODAY()),"",IF(AND(BD141="",BE141=""),"",N(BE141)-N(BD141)))</f>
        <v/>
      </c>
      <c r="BJ141">
        <f>IF(OR(BH$3="",BH$3&gt;TODAY()),"",IF(AND(BH141="",BI141=""),"",N(BI141)-N(BH141)))</f>
        <v/>
      </c>
      <c r="BM141">
        <f>IF(OR(BH$3="",BH$3&gt;TODAY()),"",IF(AND(BK141="",BL141=""),"",N(BL141)-N(BK141)))</f>
        <v/>
      </c>
      <c r="BQ141">
        <f>IF(OR(BO$3="",BO$3&gt;TODAY()),"",IF(AND(BO141="",BP141=""),"",N(BP141)-N(BO141)))</f>
        <v/>
      </c>
      <c r="BT141">
        <f>IF(OR(BO$3="",BO$3&gt;TODAY()),"",IF(AND(BR141="",BS141=""),"",N(BS141)-N(BR141)))</f>
        <v/>
      </c>
      <c r="BX141">
        <f>IF(OR(BV$3="",BV$3&gt;TODAY()),"",IF(AND(BV141="",BW141=""),"",N(BW141)-N(BV141)))</f>
        <v/>
      </c>
      <c r="CA141">
        <f>IF(OR(BV$3="",BV$3&gt;TODAY()),"",IF(AND(BY141="",BZ141=""),"",N(BZ141)-N(BY141)))</f>
        <v/>
      </c>
      <c r="CE141">
        <f>IF(OR(CC$3="",CC$3&gt;TODAY()),"",IF(AND(CC141="",CD141=""),"",N(CD141)-N(CC141)))</f>
        <v/>
      </c>
      <c r="CH141">
        <f>IF(OR(CC$3="",CC$3&gt;TODAY()),"",IF(AND(CF141="",CG141=""),"",N(CG141)-N(CF141)))</f>
        <v/>
      </c>
      <c r="CL141">
        <f>IF(OR(CJ$3="",CJ$3&gt;TODAY()),"",IF(AND(CJ141="",CK141=""),"",N(CK141)-N(CJ141)))</f>
        <v/>
      </c>
      <c r="CO141">
        <f>IF(OR(CJ$3="",CJ$3&gt;TODAY()),"",IF(AND(CM141="",CN141=""),"",N(CN141)-N(CM141)))</f>
        <v/>
      </c>
      <c r="CS141">
        <f>IF(OR(CQ$3="",CQ$3&gt;TODAY()),"",IF(AND(CQ141="",CR141=""),"",N(CR141)-N(CQ141)))</f>
        <v/>
      </c>
      <c r="CV141">
        <f>IF(OR(CQ$3="",CQ$3&gt;TODAY()),"",IF(AND(CT141="",CU141=""),"",N(CU141)-N(CT141)))</f>
        <v/>
      </c>
      <c r="CZ141">
        <f>IF(OR(CX$3="",CX$3&gt;TODAY()),"",IF(AND(CX141="",CY141=""),"",N(CY141)-N(CX141)))</f>
        <v/>
      </c>
      <c r="DC141">
        <f>IF(OR(CX$3="",CX$3&gt;TODAY()),"",IF(AND(DA141="",DB141=""),"",N(DB141)-N(DA141)))</f>
        <v/>
      </c>
      <c r="DG141">
        <f>IF(OR(DE$3="",DE$3&gt;TODAY()),"",IF(AND(DE141="",DF141=""),"",N(DF141)-N(DE141)))</f>
        <v/>
      </c>
      <c r="DJ141">
        <f>IF(OR(DE$3="",DE$3&gt;TODAY()),"",IF(AND(DH141="",DI141=""),"",N(DI141)-N(DH141)))</f>
        <v/>
      </c>
      <c r="DN141">
        <f>IF(OR(DL$3="",DL$3&gt;TODAY()),"",IF(AND(DL141="",DM141=""),"",N(DM141)-N(DL141)))</f>
        <v/>
      </c>
      <c r="DQ141">
        <f>IF(OR(DL$3="",DL$3&gt;TODAY()),"",IF(AND(DO141="",DP141=""),"",N(DP141)-N(DO141)))</f>
        <v/>
      </c>
      <c r="DU141">
        <f>IF(OR(DS$3="",DS$3&gt;TODAY()),"",IF(AND(DS141="",DT141=""),"",N(DT141)-N(DS141)))</f>
        <v/>
      </c>
      <c r="DX141">
        <f>IF(OR(DS$3="",DS$3&gt;TODAY()),"",IF(AND(DV141="",DW141=""),"",N(DW141)-N(DV141)))</f>
        <v/>
      </c>
      <c r="EB141">
        <f>IF(OR(DZ$3="",DZ$3&gt;TODAY()),"",IF(AND(DZ141="",EA141=""),"",N(EA141)-N(DZ141)))</f>
        <v/>
      </c>
      <c r="EE141">
        <f>IF(OR(DZ$3="",DZ$3&gt;TODAY()),"",IF(AND(EC141="",ED141=""),"",N(ED141)-N(EC141)))</f>
        <v/>
      </c>
      <c r="EI141">
        <f>IF(OR(EG$3="",EG$3&gt;TODAY()),"",IF(AND(EG141="",EH141=""),"",N(EH141)-N(EG141)))</f>
        <v/>
      </c>
      <c r="EL141">
        <f>IF(OR(EG$3="",EG$3&gt;TODAY()),"",IF(AND(EJ141="",EK141=""),"",N(EK141)-N(EJ141)))</f>
        <v/>
      </c>
      <c r="EP141">
        <f>IF(OR(EN$3="",EN$3&gt;TODAY()),"",IF(AND(EN141="",EO141=""),"",N(EO141)-N(EN141)))</f>
        <v/>
      </c>
      <c r="ES141">
        <f>IF(OR(EN$3="",EN$3&gt;TODAY()),"",IF(AND(EQ141="",ER141=""),"",N(ER141)-N(EQ141)))</f>
        <v/>
      </c>
      <c r="EW141">
        <f>IF(OR(EU$3="",EU$3&gt;TODAY()),"",IF(AND(EU141="",EV141=""),"",N(EV141)-N(EU141)))</f>
        <v/>
      </c>
      <c r="EZ141">
        <f>IF(OR(EU$3="",EU$3&gt;TODAY()),"",IF(AND(EX141="",EY141=""),"",N(EY141)-N(EX141)))</f>
        <v/>
      </c>
      <c r="FD141">
        <f>IF(OR(FB$3="",FB$3&gt;TODAY()),"",IF(AND(FB141="",FC141=""),"",N(FC141)-N(FB141)))</f>
        <v/>
      </c>
      <c r="FG141">
        <f>IF(OR(FB$3="",FB$3&gt;TODAY()),"",IF(AND(FE141="",FF141=""),"",N(FF141)-N(FE141)))</f>
        <v/>
      </c>
      <c r="FK141">
        <f>IF(OR(FI$3="",FI$3&gt;TODAY()),"",IF(AND(FI141="",FJ141=""),"",N(FJ141)-N(FI141)))</f>
        <v/>
      </c>
      <c r="FN141">
        <f>IF(OR(FI$3="",FI$3&gt;TODAY()),"",IF(AND(FL141="",FM141=""),"",N(FM141)-N(FL141)))</f>
        <v/>
      </c>
      <c r="FR141">
        <f>IF(OR(FP$3="",FP$3&gt;TODAY()),"",IF(AND(FP141="",FQ141=""),"",N(FQ141)-N(FP141)))</f>
        <v/>
      </c>
      <c r="FU141">
        <f>IF(OR(FP$3="",FP$3&gt;TODAY()),"",IF(AND(FS141="",FT141=""),"",N(FT141)-N(FS141)))</f>
        <v/>
      </c>
      <c r="FY141">
        <f>IF(OR(FW$3="",FW$3&gt;TODAY()),"",IF(AND(FW141="",FX141=""),"",N(FX141)-N(FW141)))</f>
        <v/>
      </c>
      <c r="GB141">
        <f>IF(OR(FW$3="",FW$3&gt;TODAY()),"",IF(AND(FZ141="",GA141=""),"",N(GA141)-N(FZ141)))</f>
        <v/>
      </c>
      <c r="GF141">
        <f>IF(OR(GD$3="",GD$3&gt;TODAY()),"",IF(AND(GD141="",GE141=""),"",N(GE141)-N(GD141)))</f>
        <v/>
      </c>
      <c r="GI141">
        <f>IF(OR(GD$3="",GD$3&gt;TODAY()),"",IF(AND(GG141="",GH141=""),"",N(GH141)-N(GG141)))</f>
        <v/>
      </c>
      <c r="GM141">
        <f>IF(OR(GK$3="",GK$3&gt;TODAY()),"",IF(AND(GK141="",GL141=""),"",N(GL141)-N(GK141)))</f>
        <v/>
      </c>
      <c r="GP141">
        <f>IF(OR(GK$3="",GK$3&gt;TODAY()),"",IF(AND(GN141="",GO141=""),"",N(GO141)-N(GN141)))</f>
        <v/>
      </c>
      <c r="GT141">
        <f>IF(OR(GR$3="",GR$3&gt;TODAY()),"",IF(AND(GR141="",GS141=""),"",N(GS141)-N(GR141)))</f>
        <v/>
      </c>
      <c r="GW141">
        <f>IF(OR(GR$3="",GR$3&gt;TODAY()),"",IF(AND(GU141="",GV141=""),"",N(GV141)-N(GU141)))</f>
        <v/>
      </c>
      <c r="HA141">
        <f>IF(OR(GY$3="",GY$3&gt;TODAY()),"",IF(AND(GY141="",GZ141=""),"",N(GZ141)-N(GY141)))</f>
        <v/>
      </c>
      <c r="HD141">
        <f>IF(OR(GY$3="",GY$3&gt;TODAY()),"",IF(AND(HB141="",HC141=""),"",N(HC141)-N(HB141)))</f>
        <v/>
      </c>
      <c r="HH141">
        <f>IF(OR(HF$3="",HF$3&gt;TODAY()),"",IF(AND(HF141="",HG141=""),"",N(HG141)-N(HF141)))</f>
        <v/>
      </c>
      <c r="HK141">
        <f>IF(OR(HF$3="",HF$3&gt;TODAY()),"",IF(AND(HI141="",HJ141=""),"",N(HJ141)-N(HI141)))</f>
        <v/>
      </c>
      <c r="HO141">
        <f>IF(OR(HM$3="",HM$3&gt;TODAY()),"",IF(AND(HM141="",HN141=""),"",N(HN141)-N(HM141)))</f>
        <v/>
      </c>
      <c r="HR141">
        <f>IF(OR(HM$3="",HM$3&gt;TODAY()),"",IF(AND(HP141="",HQ141=""),"",N(HQ141)-N(HP141)))</f>
        <v/>
      </c>
      <c r="HV141">
        <f>IF(OR(HT$3="",HT$3&gt;TODAY()),"",IF(AND(HT141="",HU141=""),"",N(HU141)-N(HT141)))</f>
        <v/>
      </c>
      <c r="HY141">
        <f>IF(OR(HT$3="",HT$3&gt;TODAY()),"",IF(AND(HW141="",HX141=""),"",N(HX141)-N(HW141)))</f>
        <v/>
      </c>
      <c r="IC141">
        <f>IF(OR(IA$3="",IA$3&gt;TODAY()),"",IF(AND(IA141="",IB141=""),"",N(IB141)-N(IA141)))</f>
        <v/>
      </c>
      <c r="IF141">
        <f>IF(OR(IA$3="",IA$3&gt;TODAY()),"",IF(AND(ID141="",IE141=""),"",N(IE141)-N(ID141)))</f>
        <v/>
      </c>
      <c r="IJ141">
        <f>IF(OR(IH$3="",IH$3&gt;TODAY()),"",IF(AND(IH141="",II141=""),"",N(II141)-N(IH141)))</f>
        <v/>
      </c>
      <c r="IM141">
        <f>IF(OR(IH$3="",IH$3&gt;TODAY()),"",IF(AND(IK141="",IL141=""),"",N(IL141)-N(IK141)))</f>
        <v/>
      </c>
    </row>
    <row r="142">
      <c r="A142" s="21" t="n"/>
      <c r="B142" s="21" t="n"/>
      <c r="C142" s="21" t="n"/>
      <c r="D142" s="21" t="n"/>
      <c r="E142" s="21" t="n"/>
      <c r="F142" s="21" t="n"/>
      <c r="G142" s="21" t="n"/>
      <c r="H142" s="21" t="n"/>
      <c r="I142" s="22" t="n"/>
      <c r="J142" s="22" t="n"/>
      <c r="K142" s="23" t="n"/>
      <c r="L142" s="22" t="n"/>
      <c r="M142" s="22" t="n"/>
      <c r="N142" s="21" t="n"/>
      <c r="O142" s="23" t="n"/>
      <c r="P142" s="23" t="n"/>
      <c r="Q142" s="23" t="n"/>
      <c r="R142" s="23" t="n"/>
      <c r="S142" s="22" t="n"/>
      <c r="T142" s="23" t="n"/>
      <c r="U142" s="23" t="n"/>
      <c r="V142" s="24">
        <f>IF(J142&lt;&gt;"",J142,IF(I142&lt;&gt;"",I142,""))</f>
        <v/>
      </c>
      <c r="W142" s="25">
        <f>IF($E142="","",N(O142)+SUMIFS($AF142:$IN142,$AF$4:$IN$4,"SEW_ACT"))</f>
        <v/>
      </c>
      <c r="X142" s="25">
        <f>IF($E142="","",N(P142)+SUMIFS($AF142:$IN142,$AF$4:$IN$4,"WASH_ACT"))</f>
        <v/>
      </c>
      <c r="Y142" s="25">
        <f>IF($E142="","",W142-X142-N(T142)-N(U142))</f>
        <v/>
      </c>
      <c r="Z142" s="25">
        <f>IF($E142="","",IF(N(K142)-X142&lt;=0.02*N(K142),0,N(K142)-X142))</f>
        <v/>
      </c>
      <c r="AA142" s="24">
        <f>IF($E142="","",IF(S142&lt;&gt;"",S142,IF(N(O142)&gt;0,IF(L142&lt;&gt;"",L142,99999),IFERROR(1/(1/_xlfn.MINIFS($AF$3:$IN$3,$AF$4:$IN$4,"SEW_ACT",$AF142:$IN142,"&gt;0")),99999))))</f>
        <v/>
      </c>
      <c r="AB142" s="26">
        <f>IF(OR($E142="",Z142=0,V142=""),"",1+COUNTIFS(Z$8:Z$707,"&gt;0",V$8:V$707,"&lt;"&amp;V142)+COUNTIFS(Z$8:Z$707,"&gt;0",V$8:V$707,V142,AA$8:AA$707,"&lt;"&amp;AA142)+COUNTIFS(Z$8:Z$707,"&gt;0",V$8:V$707,V142,AA$8:AA$707,AA142,E$8:E$707,"&lt;"&amp;$E142))</f>
        <v/>
      </c>
      <c r="AC142" s="24">
        <f>IF(OR($E142="",Z142=0),"",IFERROR(TODAY()+ROUNDUP(Z142/(SUMIFS($AF142:$IN142,$AF$4:$IN$4,"WASH_ACT")/COUNTIFS($AF$4:$IN$4,"WASH_ACT",$AF142:$IN142,"&gt;0")),0),"no output yet"))</f>
        <v/>
      </c>
      <c r="AD142" s="26">
        <f>IF($E142="","",IFERROR(ROUND(MAX(0,SUMIFS($AF142:$IN142,$AF$4:$IN$4,"SEW_PLAN",$AF$3:$IN$3,"&lt;="&amp;TODAY())-SUMIFS($AF142:$IN142,$AF$4:$IN$4,"SEW_ACT",$AF$3:$IN$3,"&lt;="&amp;TODAY())+N(Q142))/(SUMIFS($AF142:$IN142,$AF$4:$IN$4,"SEW_PLAN")/COUNTIFS($AF$4:$IN$4,"SEW_PLAN",$AF142:$IN142,"&gt;0")),1),0))</f>
        <v/>
      </c>
      <c r="AE142" s="26">
        <f>IF($E142="","",IF(AND(Z142&gt;0,OR(AND(M142&lt;&gt;"",TODAY()&gt;M142),AND(V142&lt;&gt;"",V142-TODAY()&lt;=7))),"Yes","No"))</f>
        <v/>
      </c>
      <c r="AH142">
        <f>IF(OR(AF$3="",AF$3&gt;TODAY()),"",IF(AND(AF142="",AG142=""),"",N(AG142)-N(AF142)))</f>
        <v/>
      </c>
      <c r="AK142">
        <f>IF(OR(AF$3="",AF$3&gt;TODAY()),"",IF(AND(AI142="",AJ142=""),"",N(AJ142)-N(AI142)))</f>
        <v/>
      </c>
      <c r="AO142">
        <f>IF(OR(AM$3="",AM$3&gt;TODAY()),"",IF(AND(AM142="",AN142=""),"",N(AN142)-N(AM142)))</f>
        <v/>
      </c>
      <c r="AR142">
        <f>IF(OR(AM$3="",AM$3&gt;TODAY()),"",IF(AND(AP142="",AQ142=""),"",N(AQ142)-N(AP142)))</f>
        <v/>
      </c>
      <c r="AV142">
        <f>IF(OR(AT$3="",AT$3&gt;TODAY()),"",IF(AND(AT142="",AU142=""),"",N(AU142)-N(AT142)))</f>
        <v/>
      </c>
      <c r="AY142">
        <f>IF(OR(AT$3="",AT$3&gt;TODAY()),"",IF(AND(AW142="",AX142=""),"",N(AX142)-N(AW142)))</f>
        <v/>
      </c>
      <c r="BC142">
        <f>IF(OR(BA$3="",BA$3&gt;TODAY()),"",IF(AND(BA142="",BB142=""),"",N(BB142)-N(BA142)))</f>
        <v/>
      </c>
      <c r="BF142">
        <f>IF(OR(BA$3="",BA$3&gt;TODAY()),"",IF(AND(BD142="",BE142=""),"",N(BE142)-N(BD142)))</f>
        <v/>
      </c>
      <c r="BJ142">
        <f>IF(OR(BH$3="",BH$3&gt;TODAY()),"",IF(AND(BH142="",BI142=""),"",N(BI142)-N(BH142)))</f>
        <v/>
      </c>
      <c r="BM142">
        <f>IF(OR(BH$3="",BH$3&gt;TODAY()),"",IF(AND(BK142="",BL142=""),"",N(BL142)-N(BK142)))</f>
        <v/>
      </c>
      <c r="BQ142">
        <f>IF(OR(BO$3="",BO$3&gt;TODAY()),"",IF(AND(BO142="",BP142=""),"",N(BP142)-N(BO142)))</f>
        <v/>
      </c>
      <c r="BT142">
        <f>IF(OR(BO$3="",BO$3&gt;TODAY()),"",IF(AND(BR142="",BS142=""),"",N(BS142)-N(BR142)))</f>
        <v/>
      </c>
      <c r="BX142">
        <f>IF(OR(BV$3="",BV$3&gt;TODAY()),"",IF(AND(BV142="",BW142=""),"",N(BW142)-N(BV142)))</f>
        <v/>
      </c>
      <c r="CA142">
        <f>IF(OR(BV$3="",BV$3&gt;TODAY()),"",IF(AND(BY142="",BZ142=""),"",N(BZ142)-N(BY142)))</f>
        <v/>
      </c>
      <c r="CE142">
        <f>IF(OR(CC$3="",CC$3&gt;TODAY()),"",IF(AND(CC142="",CD142=""),"",N(CD142)-N(CC142)))</f>
        <v/>
      </c>
      <c r="CH142">
        <f>IF(OR(CC$3="",CC$3&gt;TODAY()),"",IF(AND(CF142="",CG142=""),"",N(CG142)-N(CF142)))</f>
        <v/>
      </c>
      <c r="CL142">
        <f>IF(OR(CJ$3="",CJ$3&gt;TODAY()),"",IF(AND(CJ142="",CK142=""),"",N(CK142)-N(CJ142)))</f>
        <v/>
      </c>
      <c r="CO142">
        <f>IF(OR(CJ$3="",CJ$3&gt;TODAY()),"",IF(AND(CM142="",CN142=""),"",N(CN142)-N(CM142)))</f>
        <v/>
      </c>
      <c r="CS142">
        <f>IF(OR(CQ$3="",CQ$3&gt;TODAY()),"",IF(AND(CQ142="",CR142=""),"",N(CR142)-N(CQ142)))</f>
        <v/>
      </c>
      <c r="CV142">
        <f>IF(OR(CQ$3="",CQ$3&gt;TODAY()),"",IF(AND(CT142="",CU142=""),"",N(CU142)-N(CT142)))</f>
        <v/>
      </c>
      <c r="CZ142">
        <f>IF(OR(CX$3="",CX$3&gt;TODAY()),"",IF(AND(CX142="",CY142=""),"",N(CY142)-N(CX142)))</f>
        <v/>
      </c>
      <c r="DC142">
        <f>IF(OR(CX$3="",CX$3&gt;TODAY()),"",IF(AND(DA142="",DB142=""),"",N(DB142)-N(DA142)))</f>
        <v/>
      </c>
      <c r="DG142">
        <f>IF(OR(DE$3="",DE$3&gt;TODAY()),"",IF(AND(DE142="",DF142=""),"",N(DF142)-N(DE142)))</f>
        <v/>
      </c>
      <c r="DJ142">
        <f>IF(OR(DE$3="",DE$3&gt;TODAY()),"",IF(AND(DH142="",DI142=""),"",N(DI142)-N(DH142)))</f>
        <v/>
      </c>
      <c r="DN142">
        <f>IF(OR(DL$3="",DL$3&gt;TODAY()),"",IF(AND(DL142="",DM142=""),"",N(DM142)-N(DL142)))</f>
        <v/>
      </c>
      <c r="DQ142">
        <f>IF(OR(DL$3="",DL$3&gt;TODAY()),"",IF(AND(DO142="",DP142=""),"",N(DP142)-N(DO142)))</f>
        <v/>
      </c>
      <c r="DU142">
        <f>IF(OR(DS$3="",DS$3&gt;TODAY()),"",IF(AND(DS142="",DT142=""),"",N(DT142)-N(DS142)))</f>
        <v/>
      </c>
      <c r="DX142">
        <f>IF(OR(DS$3="",DS$3&gt;TODAY()),"",IF(AND(DV142="",DW142=""),"",N(DW142)-N(DV142)))</f>
        <v/>
      </c>
      <c r="EB142">
        <f>IF(OR(DZ$3="",DZ$3&gt;TODAY()),"",IF(AND(DZ142="",EA142=""),"",N(EA142)-N(DZ142)))</f>
        <v/>
      </c>
      <c r="EE142">
        <f>IF(OR(DZ$3="",DZ$3&gt;TODAY()),"",IF(AND(EC142="",ED142=""),"",N(ED142)-N(EC142)))</f>
        <v/>
      </c>
      <c r="EI142">
        <f>IF(OR(EG$3="",EG$3&gt;TODAY()),"",IF(AND(EG142="",EH142=""),"",N(EH142)-N(EG142)))</f>
        <v/>
      </c>
      <c r="EL142">
        <f>IF(OR(EG$3="",EG$3&gt;TODAY()),"",IF(AND(EJ142="",EK142=""),"",N(EK142)-N(EJ142)))</f>
        <v/>
      </c>
      <c r="EP142">
        <f>IF(OR(EN$3="",EN$3&gt;TODAY()),"",IF(AND(EN142="",EO142=""),"",N(EO142)-N(EN142)))</f>
        <v/>
      </c>
      <c r="ES142">
        <f>IF(OR(EN$3="",EN$3&gt;TODAY()),"",IF(AND(EQ142="",ER142=""),"",N(ER142)-N(EQ142)))</f>
        <v/>
      </c>
      <c r="EW142">
        <f>IF(OR(EU$3="",EU$3&gt;TODAY()),"",IF(AND(EU142="",EV142=""),"",N(EV142)-N(EU142)))</f>
        <v/>
      </c>
      <c r="EZ142">
        <f>IF(OR(EU$3="",EU$3&gt;TODAY()),"",IF(AND(EX142="",EY142=""),"",N(EY142)-N(EX142)))</f>
        <v/>
      </c>
      <c r="FD142">
        <f>IF(OR(FB$3="",FB$3&gt;TODAY()),"",IF(AND(FB142="",FC142=""),"",N(FC142)-N(FB142)))</f>
        <v/>
      </c>
      <c r="FG142">
        <f>IF(OR(FB$3="",FB$3&gt;TODAY()),"",IF(AND(FE142="",FF142=""),"",N(FF142)-N(FE142)))</f>
        <v/>
      </c>
      <c r="FK142">
        <f>IF(OR(FI$3="",FI$3&gt;TODAY()),"",IF(AND(FI142="",FJ142=""),"",N(FJ142)-N(FI142)))</f>
        <v/>
      </c>
      <c r="FN142">
        <f>IF(OR(FI$3="",FI$3&gt;TODAY()),"",IF(AND(FL142="",FM142=""),"",N(FM142)-N(FL142)))</f>
        <v/>
      </c>
      <c r="FR142">
        <f>IF(OR(FP$3="",FP$3&gt;TODAY()),"",IF(AND(FP142="",FQ142=""),"",N(FQ142)-N(FP142)))</f>
        <v/>
      </c>
      <c r="FU142">
        <f>IF(OR(FP$3="",FP$3&gt;TODAY()),"",IF(AND(FS142="",FT142=""),"",N(FT142)-N(FS142)))</f>
        <v/>
      </c>
      <c r="FY142">
        <f>IF(OR(FW$3="",FW$3&gt;TODAY()),"",IF(AND(FW142="",FX142=""),"",N(FX142)-N(FW142)))</f>
        <v/>
      </c>
      <c r="GB142">
        <f>IF(OR(FW$3="",FW$3&gt;TODAY()),"",IF(AND(FZ142="",GA142=""),"",N(GA142)-N(FZ142)))</f>
        <v/>
      </c>
      <c r="GF142">
        <f>IF(OR(GD$3="",GD$3&gt;TODAY()),"",IF(AND(GD142="",GE142=""),"",N(GE142)-N(GD142)))</f>
        <v/>
      </c>
      <c r="GI142">
        <f>IF(OR(GD$3="",GD$3&gt;TODAY()),"",IF(AND(GG142="",GH142=""),"",N(GH142)-N(GG142)))</f>
        <v/>
      </c>
      <c r="GM142">
        <f>IF(OR(GK$3="",GK$3&gt;TODAY()),"",IF(AND(GK142="",GL142=""),"",N(GL142)-N(GK142)))</f>
        <v/>
      </c>
      <c r="GP142">
        <f>IF(OR(GK$3="",GK$3&gt;TODAY()),"",IF(AND(GN142="",GO142=""),"",N(GO142)-N(GN142)))</f>
        <v/>
      </c>
      <c r="GT142">
        <f>IF(OR(GR$3="",GR$3&gt;TODAY()),"",IF(AND(GR142="",GS142=""),"",N(GS142)-N(GR142)))</f>
        <v/>
      </c>
      <c r="GW142">
        <f>IF(OR(GR$3="",GR$3&gt;TODAY()),"",IF(AND(GU142="",GV142=""),"",N(GV142)-N(GU142)))</f>
        <v/>
      </c>
      <c r="HA142">
        <f>IF(OR(GY$3="",GY$3&gt;TODAY()),"",IF(AND(GY142="",GZ142=""),"",N(GZ142)-N(GY142)))</f>
        <v/>
      </c>
      <c r="HD142">
        <f>IF(OR(GY$3="",GY$3&gt;TODAY()),"",IF(AND(HB142="",HC142=""),"",N(HC142)-N(HB142)))</f>
        <v/>
      </c>
      <c r="HH142">
        <f>IF(OR(HF$3="",HF$3&gt;TODAY()),"",IF(AND(HF142="",HG142=""),"",N(HG142)-N(HF142)))</f>
        <v/>
      </c>
      <c r="HK142">
        <f>IF(OR(HF$3="",HF$3&gt;TODAY()),"",IF(AND(HI142="",HJ142=""),"",N(HJ142)-N(HI142)))</f>
        <v/>
      </c>
      <c r="HO142">
        <f>IF(OR(HM$3="",HM$3&gt;TODAY()),"",IF(AND(HM142="",HN142=""),"",N(HN142)-N(HM142)))</f>
        <v/>
      </c>
      <c r="HR142">
        <f>IF(OR(HM$3="",HM$3&gt;TODAY()),"",IF(AND(HP142="",HQ142=""),"",N(HQ142)-N(HP142)))</f>
        <v/>
      </c>
      <c r="HV142">
        <f>IF(OR(HT$3="",HT$3&gt;TODAY()),"",IF(AND(HT142="",HU142=""),"",N(HU142)-N(HT142)))</f>
        <v/>
      </c>
      <c r="HY142">
        <f>IF(OR(HT$3="",HT$3&gt;TODAY()),"",IF(AND(HW142="",HX142=""),"",N(HX142)-N(HW142)))</f>
        <v/>
      </c>
      <c r="IC142">
        <f>IF(OR(IA$3="",IA$3&gt;TODAY()),"",IF(AND(IA142="",IB142=""),"",N(IB142)-N(IA142)))</f>
        <v/>
      </c>
      <c r="IF142">
        <f>IF(OR(IA$3="",IA$3&gt;TODAY()),"",IF(AND(ID142="",IE142=""),"",N(IE142)-N(ID142)))</f>
        <v/>
      </c>
      <c r="IJ142">
        <f>IF(OR(IH$3="",IH$3&gt;TODAY()),"",IF(AND(IH142="",II142=""),"",N(II142)-N(IH142)))</f>
        <v/>
      </c>
      <c r="IM142">
        <f>IF(OR(IH$3="",IH$3&gt;TODAY()),"",IF(AND(IK142="",IL142=""),"",N(IL142)-N(IK142)))</f>
        <v/>
      </c>
    </row>
    <row r="143">
      <c r="A143" s="21" t="n"/>
      <c r="B143" s="21" t="n"/>
      <c r="C143" s="21" t="n"/>
      <c r="D143" s="21" t="n"/>
      <c r="E143" s="21" t="n"/>
      <c r="F143" s="21" t="n"/>
      <c r="G143" s="21" t="n"/>
      <c r="H143" s="21" t="n"/>
      <c r="I143" s="22" t="n"/>
      <c r="J143" s="22" t="n"/>
      <c r="K143" s="23" t="n"/>
      <c r="L143" s="22" t="n"/>
      <c r="M143" s="22" t="n"/>
      <c r="N143" s="21" t="n"/>
      <c r="O143" s="23" t="n"/>
      <c r="P143" s="23" t="n"/>
      <c r="Q143" s="23" t="n"/>
      <c r="R143" s="23" t="n"/>
      <c r="S143" s="22" t="n"/>
      <c r="T143" s="23" t="n"/>
      <c r="U143" s="23" t="n"/>
      <c r="V143" s="24">
        <f>IF(J143&lt;&gt;"",J143,IF(I143&lt;&gt;"",I143,""))</f>
        <v/>
      </c>
      <c r="W143" s="25">
        <f>IF($E143="","",N(O143)+SUMIFS($AF143:$IN143,$AF$4:$IN$4,"SEW_ACT"))</f>
        <v/>
      </c>
      <c r="X143" s="25">
        <f>IF($E143="","",N(P143)+SUMIFS($AF143:$IN143,$AF$4:$IN$4,"WASH_ACT"))</f>
        <v/>
      </c>
      <c r="Y143" s="25">
        <f>IF($E143="","",W143-X143-N(T143)-N(U143))</f>
        <v/>
      </c>
      <c r="Z143" s="25">
        <f>IF($E143="","",IF(N(K143)-X143&lt;=0.02*N(K143),0,N(K143)-X143))</f>
        <v/>
      </c>
      <c r="AA143" s="24">
        <f>IF($E143="","",IF(S143&lt;&gt;"",S143,IF(N(O143)&gt;0,IF(L143&lt;&gt;"",L143,99999),IFERROR(1/(1/_xlfn.MINIFS($AF$3:$IN$3,$AF$4:$IN$4,"SEW_ACT",$AF143:$IN143,"&gt;0")),99999))))</f>
        <v/>
      </c>
      <c r="AB143" s="26">
        <f>IF(OR($E143="",Z143=0,V143=""),"",1+COUNTIFS(Z$8:Z$707,"&gt;0",V$8:V$707,"&lt;"&amp;V143)+COUNTIFS(Z$8:Z$707,"&gt;0",V$8:V$707,V143,AA$8:AA$707,"&lt;"&amp;AA143)+COUNTIFS(Z$8:Z$707,"&gt;0",V$8:V$707,V143,AA$8:AA$707,AA143,E$8:E$707,"&lt;"&amp;$E143))</f>
        <v/>
      </c>
      <c r="AC143" s="24">
        <f>IF(OR($E143="",Z143=0),"",IFERROR(TODAY()+ROUNDUP(Z143/(SUMIFS($AF143:$IN143,$AF$4:$IN$4,"WASH_ACT")/COUNTIFS($AF$4:$IN$4,"WASH_ACT",$AF143:$IN143,"&gt;0")),0),"no output yet"))</f>
        <v/>
      </c>
      <c r="AD143" s="26">
        <f>IF($E143="","",IFERROR(ROUND(MAX(0,SUMIFS($AF143:$IN143,$AF$4:$IN$4,"SEW_PLAN",$AF$3:$IN$3,"&lt;="&amp;TODAY())-SUMIFS($AF143:$IN143,$AF$4:$IN$4,"SEW_ACT",$AF$3:$IN$3,"&lt;="&amp;TODAY())+N(Q143))/(SUMIFS($AF143:$IN143,$AF$4:$IN$4,"SEW_PLAN")/COUNTIFS($AF$4:$IN$4,"SEW_PLAN",$AF143:$IN143,"&gt;0")),1),0))</f>
        <v/>
      </c>
      <c r="AE143" s="26">
        <f>IF($E143="","",IF(AND(Z143&gt;0,OR(AND(M143&lt;&gt;"",TODAY()&gt;M143),AND(V143&lt;&gt;"",V143-TODAY()&lt;=7))),"Yes","No"))</f>
        <v/>
      </c>
      <c r="AH143">
        <f>IF(OR(AF$3="",AF$3&gt;TODAY()),"",IF(AND(AF143="",AG143=""),"",N(AG143)-N(AF143)))</f>
        <v/>
      </c>
      <c r="AK143">
        <f>IF(OR(AF$3="",AF$3&gt;TODAY()),"",IF(AND(AI143="",AJ143=""),"",N(AJ143)-N(AI143)))</f>
        <v/>
      </c>
      <c r="AO143">
        <f>IF(OR(AM$3="",AM$3&gt;TODAY()),"",IF(AND(AM143="",AN143=""),"",N(AN143)-N(AM143)))</f>
        <v/>
      </c>
      <c r="AR143">
        <f>IF(OR(AM$3="",AM$3&gt;TODAY()),"",IF(AND(AP143="",AQ143=""),"",N(AQ143)-N(AP143)))</f>
        <v/>
      </c>
      <c r="AV143">
        <f>IF(OR(AT$3="",AT$3&gt;TODAY()),"",IF(AND(AT143="",AU143=""),"",N(AU143)-N(AT143)))</f>
        <v/>
      </c>
      <c r="AY143">
        <f>IF(OR(AT$3="",AT$3&gt;TODAY()),"",IF(AND(AW143="",AX143=""),"",N(AX143)-N(AW143)))</f>
        <v/>
      </c>
      <c r="BC143">
        <f>IF(OR(BA$3="",BA$3&gt;TODAY()),"",IF(AND(BA143="",BB143=""),"",N(BB143)-N(BA143)))</f>
        <v/>
      </c>
      <c r="BF143">
        <f>IF(OR(BA$3="",BA$3&gt;TODAY()),"",IF(AND(BD143="",BE143=""),"",N(BE143)-N(BD143)))</f>
        <v/>
      </c>
      <c r="BJ143">
        <f>IF(OR(BH$3="",BH$3&gt;TODAY()),"",IF(AND(BH143="",BI143=""),"",N(BI143)-N(BH143)))</f>
        <v/>
      </c>
      <c r="BM143">
        <f>IF(OR(BH$3="",BH$3&gt;TODAY()),"",IF(AND(BK143="",BL143=""),"",N(BL143)-N(BK143)))</f>
        <v/>
      </c>
      <c r="BQ143">
        <f>IF(OR(BO$3="",BO$3&gt;TODAY()),"",IF(AND(BO143="",BP143=""),"",N(BP143)-N(BO143)))</f>
        <v/>
      </c>
      <c r="BT143">
        <f>IF(OR(BO$3="",BO$3&gt;TODAY()),"",IF(AND(BR143="",BS143=""),"",N(BS143)-N(BR143)))</f>
        <v/>
      </c>
      <c r="BX143">
        <f>IF(OR(BV$3="",BV$3&gt;TODAY()),"",IF(AND(BV143="",BW143=""),"",N(BW143)-N(BV143)))</f>
        <v/>
      </c>
      <c r="CA143">
        <f>IF(OR(BV$3="",BV$3&gt;TODAY()),"",IF(AND(BY143="",BZ143=""),"",N(BZ143)-N(BY143)))</f>
        <v/>
      </c>
      <c r="CE143">
        <f>IF(OR(CC$3="",CC$3&gt;TODAY()),"",IF(AND(CC143="",CD143=""),"",N(CD143)-N(CC143)))</f>
        <v/>
      </c>
      <c r="CH143">
        <f>IF(OR(CC$3="",CC$3&gt;TODAY()),"",IF(AND(CF143="",CG143=""),"",N(CG143)-N(CF143)))</f>
        <v/>
      </c>
      <c r="CL143">
        <f>IF(OR(CJ$3="",CJ$3&gt;TODAY()),"",IF(AND(CJ143="",CK143=""),"",N(CK143)-N(CJ143)))</f>
        <v/>
      </c>
      <c r="CO143">
        <f>IF(OR(CJ$3="",CJ$3&gt;TODAY()),"",IF(AND(CM143="",CN143=""),"",N(CN143)-N(CM143)))</f>
        <v/>
      </c>
      <c r="CS143">
        <f>IF(OR(CQ$3="",CQ$3&gt;TODAY()),"",IF(AND(CQ143="",CR143=""),"",N(CR143)-N(CQ143)))</f>
        <v/>
      </c>
      <c r="CV143">
        <f>IF(OR(CQ$3="",CQ$3&gt;TODAY()),"",IF(AND(CT143="",CU143=""),"",N(CU143)-N(CT143)))</f>
        <v/>
      </c>
      <c r="CZ143">
        <f>IF(OR(CX$3="",CX$3&gt;TODAY()),"",IF(AND(CX143="",CY143=""),"",N(CY143)-N(CX143)))</f>
        <v/>
      </c>
      <c r="DC143">
        <f>IF(OR(CX$3="",CX$3&gt;TODAY()),"",IF(AND(DA143="",DB143=""),"",N(DB143)-N(DA143)))</f>
        <v/>
      </c>
      <c r="DG143">
        <f>IF(OR(DE$3="",DE$3&gt;TODAY()),"",IF(AND(DE143="",DF143=""),"",N(DF143)-N(DE143)))</f>
        <v/>
      </c>
      <c r="DJ143">
        <f>IF(OR(DE$3="",DE$3&gt;TODAY()),"",IF(AND(DH143="",DI143=""),"",N(DI143)-N(DH143)))</f>
        <v/>
      </c>
      <c r="DN143">
        <f>IF(OR(DL$3="",DL$3&gt;TODAY()),"",IF(AND(DL143="",DM143=""),"",N(DM143)-N(DL143)))</f>
        <v/>
      </c>
      <c r="DQ143">
        <f>IF(OR(DL$3="",DL$3&gt;TODAY()),"",IF(AND(DO143="",DP143=""),"",N(DP143)-N(DO143)))</f>
        <v/>
      </c>
      <c r="DU143">
        <f>IF(OR(DS$3="",DS$3&gt;TODAY()),"",IF(AND(DS143="",DT143=""),"",N(DT143)-N(DS143)))</f>
        <v/>
      </c>
      <c r="DX143">
        <f>IF(OR(DS$3="",DS$3&gt;TODAY()),"",IF(AND(DV143="",DW143=""),"",N(DW143)-N(DV143)))</f>
        <v/>
      </c>
      <c r="EB143">
        <f>IF(OR(DZ$3="",DZ$3&gt;TODAY()),"",IF(AND(DZ143="",EA143=""),"",N(EA143)-N(DZ143)))</f>
        <v/>
      </c>
      <c r="EE143">
        <f>IF(OR(DZ$3="",DZ$3&gt;TODAY()),"",IF(AND(EC143="",ED143=""),"",N(ED143)-N(EC143)))</f>
        <v/>
      </c>
      <c r="EI143">
        <f>IF(OR(EG$3="",EG$3&gt;TODAY()),"",IF(AND(EG143="",EH143=""),"",N(EH143)-N(EG143)))</f>
        <v/>
      </c>
      <c r="EL143">
        <f>IF(OR(EG$3="",EG$3&gt;TODAY()),"",IF(AND(EJ143="",EK143=""),"",N(EK143)-N(EJ143)))</f>
        <v/>
      </c>
      <c r="EP143">
        <f>IF(OR(EN$3="",EN$3&gt;TODAY()),"",IF(AND(EN143="",EO143=""),"",N(EO143)-N(EN143)))</f>
        <v/>
      </c>
      <c r="ES143">
        <f>IF(OR(EN$3="",EN$3&gt;TODAY()),"",IF(AND(EQ143="",ER143=""),"",N(ER143)-N(EQ143)))</f>
        <v/>
      </c>
      <c r="EW143">
        <f>IF(OR(EU$3="",EU$3&gt;TODAY()),"",IF(AND(EU143="",EV143=""),"",N(EV143)-N(EU143)))</f>
        <v/>
      </c>
      <c r="EZ143">
        <f>IF(OR(EU$3="",EU$3&gt;TODAY()),"",IF(AND(EX143="",EY143=""),"",N(EY143)-N(EX143)))</f>
        <v/>
      </c>
      <c r="FD143">
        <f>IF(OR(FB$3="",FB$3&gt;TODAY()),"",IF(AND(FB143="",FC143=""),"",N(FC143)-N(FB143)))</f>
        <v/>
      </c>
      <c r="FG143">
        <f>IF(OR(FB$3="",FB$3&gt;TODAY()),"",IF(AND(FE143="",FF143=""),"",N(FF143)-N(FE143)))</f>
        <v/>
      </c>
      <c r="FK143">
        <f>IF(OR(FI$3="",FI$3&gt;TODAY()),"",IF(AND(FI143="",FJ143=""),"",N(FJ143)-N(FI143)))</f>
        <v/>
      </c>
      <c r="FN143">
        <f>IF(OR(FI$3="",FI$3&gt;TODAY()),"",IF(AND(FL143="",FM143=""),"",N(FM143)-N(FL143)))</f>
        <v/>
      </c>
      <c r="FR143">
        <f>IF(OR(FP$3="",FP$3&gt;TODAY()),"",IF(AND(FP143="",FQ143=""),"",N(FQ143)-N(FP143)))</f>
        <v/>
      </c>
      <c r="FU143">
        <f>IF(OR(FP$3="",FP$3&gt;TODAY()),"",IF(AND(FS143="",FT143=""),"",N(FT143)-N(FS143)))</f>
        <v/>
      </c>
      <c r="FY143">
        <f>IF(OR(FW$3="",FW$3&gt;TODAY()),"",IF(AND(FW143="",FX143=""),"",N(FX143)-N(FW143)))</f>
        <v/>
      </c>
      <c r="GB143">
        <f>IF(OR(FW$3="",FW$3&gt;TODAY()),"",IF(AND(FZ143="",GA143=""),"",N(GA143)-N(FZ143)))</f>
        <v/>
      </c>
      <c r="GF143">
        <f>IF(OR(GD$3="",GD$3&gt;TODAY()),"",IF(AND(GD143="",GE143=""),"",N(GE143)-N(GD143)))</f>
        <v/>
      </c>
      <c r="GI143">
        <f>IF(OR(GD$3="",GD$3&gt;TODAY()),"",IF(AND(GG143="",GH143=""),"",N(GH143)-N(GG143)))</f>
        <v/>
      </c>
      <c r="GM143">
        <f>IF(OR(GK$3="",GK$3&gt;TODAY()),"",IF(AND(GK143="",GL143=""),"",N(GL143)-N(GK143)))</f>
        <v/>
      </c>
      <c r="GP143">
        <f>IF(OR(GK$3="",GK$3&gt;TODAY()),"",IF(AND(GN143="",GO143=""),"",N(GO143)-N(GN143)))</f>
        <v/>
      </c>
      <c r="GT143">
        <f>IF(OR(GR$3="",GR$3&gt;TODAY()),"",IF(AND(GR143="",GS143=""),"",N(GS143)-N(GR143)))</f>
        <v/>
      </c>
      <c r="GW143">
        <f>IF(OR(GR$3="",GR$3&gt;TODAY()),"",IF(AND(GU143="",GV143=""),"",N(GV143)-N(GU143)))</f>
        <v/>
      </c>
      <c r="HA143">
        <f>IF(OR(GY$3="",GY$3&gt;TODAY()),"",IF(AND(GY143="",GZ143=""),"",N(GZ143)-N(GY143)))</f>
        <v/>
      </c>
      <c r="HD143">
        <f>IF(OR(GY$3="",GY$3&gt;TODAY()),"",IF(AND(HB143="",HC143=""),"",N(HC143)-N(HB143)))</f>
        <v/>
      </c>
      <c r="HH143">
        <f>IF(OR(HF$3="",HF$3&gt;TODAY()),"",IF(AND(HF143="",HG143=""),"",N(HG143)-N(HF143)))</f>
        <v/>
      </c>
      <c r="HK143">
        <f>IF(OR(HF$3="",HF$3&gt;TODAY()),"",IF(AND(HI143="",HJ143=""),"",N(HJ143)-N(HI143)))</f>
        <v/>
      </c>
      <c r="HO143">
        <f>IF(OR(HM$3="",HM$3&gt;TODAY()),"",IF(AND(HM143="",HN143=""),"",N(HN143)-N(HM143)))</f>
        <v/>
      </c>
      <c r="HR143">
        <f>IF(OR(HM$3="",HM$3&gt;TODAY()),"",IF(AND(HP143="",HQ143=""),"",N(HQ143)-N(HP143)))</f>
        <v/>
      </c>
      <c r="HV143">
        <f>IF(OR(HT$3="",HT$3&gt;TODAY()),"",IF(AND(HT143="",HU143=""),"",N(HU143)-N(HT143)))</f>
        <v/>
      </c>
      <c r="HY143">
        <f>IF(OR(HT$3="",HT$3&gt;TODAY()),"",IF(AND(HW143="",HX143=""),"",N(HX143)-N(HW143)))</f>
        <v/>
      </c>
      <c r="IC143">
        <f>IF(OR(IA$3="",IA$3&gt;TODAY()),"",IF(AND(IA143="",IB143=""),"",N(IB143)-N(IA143)))</f>
        <v/>
      </c>
      <c r="IF143">
        <f>IF(OR(IA$3="",IA$3&gt;TODAY()),"",IF(AND(ID143="",IE143=""),"",N(IE143)-N(ID143)))</f>
        <v/>
      </c>
      <c r="IJ143">
        <f>IF(OR(IH$3="",IH$3&gt;TODAY()),"",IF(AND(IH143="",II143=""),"",N(II143)-N(IH143)))</f>
        <v/>
      </c>
      <c r="IM143">
        <f>IF(OR(IH$3="",IH$3&gt;TODAY()),"",IF(AND(IK143="",IL143=""),"",N(IL143)-N(IK143)))</f>
        <v/>
      </c>
    </row>
    <row r="144">
      <c r="A144" s="21" t="n"/>
      <c r="B144" s="21" t="n"/>
      <c r="C144" s="21" t="n"/>
      <c r="D144" s="21" t="n"/>
      <c r="E144" s="21" t="n"/>
      <c r="F144" s="21" t="n"/>
      <c r="G144" s="21" t="n"/>
      <c r="H144" s="21" t="n"/>
      <c r="I144" s="22" t="n"/>
      <c r="J144" s="22" t="n"/>
      <c r="K144" s="23" t="n"/>
      <c r="L144" s="22" t="n"/>
      <c r="M144" s="22" t="n"/>
      <c r="N144" s="21" t="n"/>
      <c r="O144" s="23" t="n"/>
      <c r="P144" s="23" t="n"/>
      <c r="Q144" s="23" t="n"/>
      <c r="R144" s="23" t="n"/>
      <c r="S144" s="22" t="n"/>
      <c r="T144" s="23" t="n"/>
      <c r="U144" s="23" t="n"/>
      <c r="V144" s="24">
        <f>IF(J144&lt;&gt;"",J144,IF(I144&lt;&gt;"",I144,""))</f>
        <v/>
      </c>
      <c r="W144" s="25">
        <f>IF($E144="","",N(O144)+SUMIFS($AF144:$IN144,$AF$4:$IN$4,"SEW_ACT"))</f>
        <v/>
      </c>
      <c r="X144" s="25">
        <f>IF($E144="","",N(P144)+SUMIFS($AF144:$IN144,$AF$4:$IN$4,"WASH_ACT"))</f>
        <v/>
      </c>
      <c r="Y144" s="25">
        <f>IF($E144="","",W144-X144-N(T144)-N(U144))</f>
        <v/>
      </c>
      <c r="Z144" s="25">
        <f>IF($E144="","",IF(N(K144)-X144&lt;=0.02*N(K144),0,N(K144)-X144))</f>
        <v/>
      </c>
      <c r="AA144" s="24">
        <f>IF($E144="","",IF(S144&lt;&gt;"",S144,IF(N(O144)&gt;0,IF(L144&lt;&gt;"",L144,99999),IFERROR(1/(1/_xlfn.MINIFS($AF$3:$IN$3,$AF$4:$IN$4,"SEW_ACT",$AF144:$IN144,"&gt;0")),99999))))</f>
        <v/>
      </c>
      <c r="AB144" s="26">
        <f>IF(OR($E144="",Z144=0,V144=""),"",1+COUNTIFS(Z$8:Z$707,"&gt;0",V$8:V$707,"&lt;"&amp;V144)+COUNTIFS(Z$8:Z$707,"&gt;0",V$8:V$707,V144,AA$8:AA$707,"&lt;"&amp;AA144)+COUNTIFS(Z$8:Z$707,"&gt;0",V$8:V$707,V144,AA$8:AA$707,AA144,E$8:E$707,"&lt;"&amp;$E144))</f>
        <v/>
      </c>
      <c r="AC144" s="24">
        <f>IF(OR($E144="",Z144=0),"",IFERROR(TODAY()+ROUNDUP(Z144/(SUMIFS($AF144:$IN144,$AF$4:$IN$4,"WASH_ACT")/COUNTIFS($AF$4:$IN$4,"WASH_ACT",$AF144:$IN144,"&gt;0")),0),"no output yet"))</f>
        <v/>
      </c>
      <c r="AD144" s="26">
        <f>IF($E144="","",IFERROR(ROUND(MAX(0,SUMIFS($AF144:$IN144,$AF$4:$IN$4,"SEW_PLAN",$AF$3:$IN$3,"&lt;="&amp;TODAY())-SUMIFS($AF144:$IN144,$AF$4:$IN$4,"SEW_ACT",$AF$3:$IN$3,"&lt;="&amp;TODAY())+N(Q144))/(SUMIFS($AF144:$IN144,$AF$4:$IN$4,"SEW_PLAN")/COUNTIFS($AF$4:$IN$4,"SEW_PLAN",$AF144:$IN144,"&gt;0")),1),0))</f>
        <v/>
      </c>
      <c r="AE144" s="26">
        <f>IF($E144="","",IF(AND(Z144&gt;0,OR(AND(M144&lt;&gt;"",TODAY()&gt;M144),AND(V144&lt;&gt;"",V144-TODAY()&lt;=7))),"Yes","No"))</f>
        <v/>
      </c>
      <c r="AH144">
        <f>IF(OR(AF$3="",AF$3&gt;TODAY()),"",IF(AND(AF144="",AG144=""),"",N(AG144)-N(AF144)))</f>
        <v/>
      </c>
      <c r="AK144">
        <f>IF(OR(AF$3="",AF$3&gt;TODAY()),"",IF(AND(AI144="",AJ144=""),"",N(AJ144)-N(AI144)))</f>
        <v/>
      </c>
      <c r="AO144">
        <f>IF(OR(AM$3="",AM$3&gt;TODAY()),"",IF(AND(AM144="",AN144=""),"",N(AN144)-N(AM144)))</f>
        <v/>
      </c>
      <c r="AR144">
        <f>IF(OR(AM$3="",AM$3&gt;TODAY()),"",IF(AND(AP144="",AQ144=""),"",N(AQ144)-N(AP144)))</f>
        <v/>
      </c>
      <c r="AV144">
        <f>IF(OR(AT$3="",AT$3&gt;TODAY()),"",IF(AND(AT144="",AU144=""),"",N(AU144)-N(AT144)))</f>
        <v/>
      </c>
      <c r="AY144">
        <f>IF(OR(AT$3="",AT$3&gt;TODAY()),"",IF(AND(AW144="",AX144=""),"",N(AX144)-N(AW144)))</f>
        <v/>
      </c>
      <c r="BC144">
        <f>IF(OR(BA$3="",BA$3&gt;TODAY()),"",IF(AND(BA144="",BB144=""),"",N(BB144)-N(BA144)))</f>
        <v/>
      </c>
      <c r="BF144">
        <f>IF(OR(BA$3="",BA$3&gt;TODAY()),"",IF(AND(BD144="",BE144=""),"",N(BE144)-N(BD144)))</f>
        <v/>
      </c>
      <c r="BJ144">
        <f>IF(OR(BH$3="",BH$3&gt;TODAY()),"",IF(AND(BH144="",BI144=""),"",N(BI144)-N(BH144)))</f>
        <v/>
      </c>
      <c r="BM144">
        <f>IF(OR(BH$3="",BH$3&gt;TODAY()),"",IF(AND(BK144="",BL144=""),"",N(BL144)-N(BK144)))</f>
        <v/>
      </c>
      <c r="BQ144">
        <f>IF(OR(BO$3="",BO$3&gt;TODAY()),"",IF(AND(BO144="",BP144=""),"",N(BP144)-N(BO144)))</f>
        <v/>
      </c>
      <c r="BT144">
        <f>IF(OR(BO$3="",BO$3&gt;TODAY()),"",IF(AND(BR144="",BS144=""),"",N(BS144)-N(BR144)))</f>
        <v/>
      </c>
      <c r="BX144">
        <f>IF(OR(BV$3="",BV$3&gt;TODAY()),"",IF(AND(BV144="",BW144=""),"",N(BW144)-N(BV144)))</f>
        <v/>
      </c>
      <c r="CA144">
        <f>IF(OR(BV$3="",BV$3&gt;TODAY()),"",IF(AND(BY144="",BZ144=""),"",N(BZ144)-N(BY144)))</f>
        <v/>
      </c>
      <c r="CE144">
        <f>IF(OR(CC$3="",CC$3&gt;TODAY()),"",IF(AND(CC144="",CD144=""),"",N(CD144)-N(CC144)))</f>
        <v/>
      </c>
      <c r="CH144">
        <f>IF(OR(CC$3="",CC$3&gt;TODAY()),"",IF(AND(CF144="",CG144=""),"",N(CG144)-N(CF144)))</f>
        <v/>
      </c>
      <c r="CL144">
        <f>IF(OR(CJ$3="",CJ$3&gt;TODAY()),"",IF(AND(CJ144="",CK144=""),"",N(CK144)-N(CJ144)))</f>
        <v/>
      </c>
      <c r="CO144">
        <f>IF(OR(CJ$3="",CJ$3&gt;TODAY()),"",IF(AND(CM144="",CN144=""),"",N(CN144)-N(CM144)))</f>
        <v/>
      </c>
      <c r="CS144">
        <f>IF(OR(CQ$3="",CQ$3&gt;TODAY()),"",IF(AND(CQ144="",CR144=""),"",N(CR144)-N(CQ144)))</f>
        <v/>
      </c>
      <c r="CV144">
        <f>IF(OR(CQ$3="",CQ$3&gt;TODAY()),"",IF(AND(CT144="",CU144=""),"",N(CU144)-N(CT144)))</f>
        <v/>
      </c>
      <c r="CZ144">
        <f>IF(OR(CX$3="",CX$3&gt;TODAY()),"",IF(AND(CX144="",CY144=""),"",N(CY144)-N(CX144)))</f>
        <v/>
      </c>
      <c r="DC144">
        <f>IF(OR(CX$3="",CX$3&gt;TODAY()),"",IF(AND(DA144="",DB144=""),"",N(DB144)-N(DA144)))</f>
        <v/>
      </c>
      <c r="DG144">
        <f>IF(OR(DE$3="",DE$3&gt;TODAY()),"",IF(AND(DE144="",DF144=""),"",N(DF144)-N(DE144)))</f>
        <v/>
      </c>
      <c r="DJ144">
        <f>IF(OR(DE$3="",DE$3&gt;TODAY()),"",IF(AND(DH144="",DI144=""),"",N(DI144)-N(DH144)))</f>
        <v/>
      </c>
      <c r="DN144">
        <f>IF(OR(DL$3="",DL$3&gt;TODAY()),"",IF(AND(DL144="",DM144=""),"",N(DM144)-N(DL144)))</f>
        <v/>
      </c>
      <c r="DQ144">
        <f>IF(OR(DL$3="",DL$3&gt;TODAY()),"",IF(AND(DO144="",DP144=""),"",N(DP144)-N(DO144)))</f>
        <v/>
      </c>
      <c r="DU144">
        <f>IF(OR(DS$3="",DS$3&gt;TODAY()),"",IF(AND(DS144="",DT144=""),"",N(DT144)-N(DS144)))</f>
        <v/>
      </c>
      <c r="DX144">
        <f>IF(OR(DS$3="",DS$3&gt;TODAY()),"",IF(AND(DV144="",DW144=""),"",N(DW144)-N(DV144)))</f>
        <v/>
      </c>
      <c r="EB144">
        <f>IF(OR(DZ$3="",DZ$3&gt;TODAY()),"",IF(AND(DZ144="",EA144=""),"",N(EA144)-N(DZ144)))</f>
        <v/>
      </c>
      <c r="EE144">
        <f>IF(OR(DZ$3="",DZ$3&gt;TODAY()),"",IF(AND(EC144="",ED144=""),"",N(ED144)-N(EC144)))</f>
        <v/>
      </c>
      <c r="EI144">
        <f>IF(OR(EG$3="",EG$3&gt;TODAY()),"",IF(AND(EG144="",EH144=""),"",N(EH144)-N(EG144)))</f>
        <v/>
      </c>
      <c r="EL144">
        <f>IF(OR(EG$3="",EG$3&gt;TODAY()),"",IF(AND(EJ144="",EK144=""),"",N(EK144)-N(EJ144)))</f>
        <v/>
      </c>
      <c r="EP144">
        <f>IF(OR(EN$3="",EN$3&gt;TODAY()),"",IF(AND(EN144="",EO144=""),"",N(EO144)-N(EN144)))</f>
        <v/>
      </c>
      <c r="ES144">
        <f>IF(OR(EN$3="",EN$3&gt;TODAY()),"",IF(AND(EQ144="",ER144=""),"",N(ER144)-N(EQ144)))</f>
        <v/>
      </c>
      <c r="EW144">
        <f>IF(OR(EU$3="",EU$3&gt;TODAY()),"",IF(AND(EU144="",EV144=""),"",N(EV144)-N(EU144)))</f>
        <v/>
      </c>
      <c r="EZ144">
        <f>IF(OR(EU$3="",EU$3&gt;TODAY()),"",IF(AND(EX144="",EY144=""),"",N(EY144)-N(EX144)))</f>
        <v/>
      </c>
      <c r="FD144">
        <f>IF(OR(FB$3="",FB$3&gt;TODAY()),"",IF(AND(FB144="",FC144=""),"",N(FC144)-N(FB144)))</f>
        <v/>
      </c>
      <c r="FG144">
        <f>IF(OR(FB$3="",FB$3&gt;TODAY()),"",IF(AND(FE144="",FF144=""),"",N(FF144)-N(FE144)))</f>
        <v/>
      </c>
      <c r="FK144">
        <f>IF(OR(FI$3="",FI$3&gt;TODAY()),"",IF(AND(FI144="",FJ144=""),"",N(FJ144)-N(FI144)))</f>
        <v/>
      </c>
      <c r="FN144">
        <f>IF(OR(FI$3="",FI$3&gt;TODAY()),"",IF(AND(FL144="",FM144=""),"",N(FM144)-N(FL144)))</f>
        <v/>
      </c>
      <c r="FR144">
        <f>IF(OR(FP$3="",FP$3&gt;TODAY()),"",IF(AND(FP144="",FQ144=""),"",N(FQ144)-N(FP144)))</f>
        <v/>
      </c>
      <c r="FU144">
        <f>IF(OR(FP$3="",FP$3&gt;TODAY()),"",IF(AND(FS144="",FT144=""),"",N(FT144)-N(FS144)))</f>
        <v/>
      </c>
      <c r="FY144">
        <f>IF(OR(FW$3="",FW$3&gt;TODAY()),"",IF(AND(FW144="",FX144=""),"",N(FX144)-N(FW144)))</f>
        <v/>
      </c>
      <c r="GB144">
        <f>IF(OR(FW$3="",FW$3&gt;TODAY()),"",IF(AND(FZ144="",GA144=""),"",N(GA144)-N(FZ144)))</f>
        <v/>
      </c>
      <c r="GF144">
        <f>IF(OR(GD$3="",GD$3&gt;TODAY()),"",IF(AND(GD144="",GE144=""),"",N(GE144)-N(GD144)))</f>
        <v/>
      </c>
      <c r="GI144">
        <f>IF(OR(GD$3="",GD$3&gt;TODAY()),"",IF(AND(GG144="",GH144=""),"",N(GH144)-N(GG144)))</f>
        <v/>
      </c>
      <c r="GM144">
        <f>IF(OR(GK$3="",GK$3&gt;TODAY()),"",IF(AND(GK144="",GL144=""),"",N(GL144)-N(GK144)))</f>
        <v/>
      </c>
      <c r="GP144">
        <f>IF(OR(GK$3="",GK$3&gt;TODAY()),"",IF(AND(GN144="",GO144=""),"",N(GO144)-N(GN144)))</f>
        <v/>
      </c>
      <c r="GT144">
        <f>IF(OR(GR$3="",GR$3&gt;TODAY()),"",IF(AND(GR144="",GS144=""),"",N(GS144)-N(GR144)))</f>
        <v/>
      </c>
      <c r="GW144">
        <f>IF(OR(GR$3="",GR$3&gt;TODAY()),"",IF(AND(GU144="",GV144=""),"",N(GV144)-N(GU144)))</f>
        <v/>
      </c>
      <c r="HA144">
        <f>IF(OR(GY$3="",GY$3&gt;TODAY()),"",IF(AND(GY144="",GZ144=""),"",N(GZ144)-N(GY144)))</f>
        <v/>
      </c>
      <c r="HD144">
        <f>IF(OR(GY$3="",GY$3&gt;TODAY()),"",IF(AND(HB144="",HC144=""),"",N(HC144)-N(HB144)))</f>
        <v/>
      </c>
      <c r="HH144">
        <f>IF(OR(HF$3="",HF$3&gt;TODAY()),"",IF(AND(HF144="",HG144=""),"",N(HG144)-N(HF144)))</f>
        <v/>
      </c>
      <c r="HK144">
        <f>IF(OR(HF$3="",HF$3&gt;TODAY()),"",IF(AND(HI144="",HJ144=""),"",N(HJ144)-N(HI144)))</f>
        <v/>
      </c>
      <c r="HO144">
        <f>IF(OR(HM$3="",HM$3&gt;TODAY()),"",IF(AND(HM144="",HN144=""),"",N(HN144)-N(HM144)))</f>
        <v/>
      </c>
      <c r="HR144">
        <f>IF(OR(HM$3="",HM$3&gt;TODAY()),"",IF(AND(HP144="",HQ144=""),"",N(HQ144)-N(HP144)))</f>
        <v/>
      </c>
      <c r="HV144">
        <f>IF(OR(HT$3="",HT$3&gt;TODAY()),"",IF(AND(HT144="",HU144=""),"",N(HU144)-N(HT144)))</f>
        <v/>
      </c>
      <c r="HY144">
        <f>IF(OR(HT$3="",HT$3&gt;TODAY()),"",IF(AND(HW144="",HX144=""),"",N(HX144)-N(HW144)))</f>
        <v/>
      </c>
      <c r="IC144">
        <f>IF(OR(IA$3="",IA$3&gt;TODAY()),"",IF(AND(IA144="",IB144=""),"",N(IB144)-N(IA144)))</f>
        <v/>
      </c>
      <c r="IF144">
        <f>IF(OR(IA$3="",IA$3&gt;TODAY()),"",IF(AND(ID144="",IE144=""),"",N(IE144)-N(ID144)))</f>
        <v/>
      </c>
      <c r="IJ144">
        <f>IF(OR(IH$3="",IH$3&gt;TODAY()),"",IF(AND(IH144="",II144=""),"",N(II144)-N(IH144)))</f>
        <v/>
      </c>
      <c r="IM144">
        <f>IF(OR(IH$3="",IH$3&gt;TODAY()),"",IF(AND(IK144="",IL144=""),"",N(IL144)-N(IK144)))</f>
        <v/>
      </c>
    </row>
    <row r="145">
      <c r="A145" s="21" t="n"/>
      <c r="B145" s="21" t="n"/>
      <c r="C145" s="21" t="n"/>
      <c r="D145" s="21" t="n"/>
      <c r="E145" s="21" t="n"/>
      <c r="F145" s="21" t="n"/>
      <c r="G145" s="21" t="n"/>
      <c r="H145" s="21" t="n"/>
      <c r="I145" s="22" t="n"/>
      <c r="J145" s="22" t="n"/>
      <c r="K145" s="23" t="n"/>
      <c r="L145" s="22" t="n"/>
      <c r="M145" s="22" t="n"/>
      <c r="N145" s="21" t="n"/>
      <c r="O145" s="23" t="n"/>
      <c r="P145" s="23" t="n"/>
      <c r="Q145" s="23" t="n"/>
      <c r="R145" s="23" t="n"/>
      <c r="S145" s="22" t="n"/>
      <c r="T145" s="23" t="n"/>
      <c r="U145" s="23" t="n"/>
      <c r="V145" s="24">
        <f>IF(J145&lt;&gt;"",J145,IF(I145&lt;&gt;"",I145,""))</f>
        <v/>
      </c>
      <c r="W145" s="25">
        <f>IF($E145="","",N(O145)+SUMIFS($AF145:$IN145,$AF$4:$IN$4,"SEW_ACT"))</f>
        <v/>
      </c>
      <c r="X145" s="25">
        <f>IF($E145="","",N(P145)+SUMIFS($AF145:$IN145,$AF$4:$IN$4,"WASH_ACT"))</f>
        <v/>
      </c>
      <c r="Y145" s="25">
        <f>IF($E145="","",W145-X145-N(T145)-N(U145))</f>
        <v/>
      </c>
      <c r="Z145" s="25">
        <f>IF($E145="","",IF(N(K145)-X145&lt;=0.02*N(K145),0,N(K145)-X145))</f>
        <v/>
      </c>
      <c r="AA145" s="24">
        <f>IF($E145="","",IF(S145&lt;&gt;"",S145,IF(N(O145)&gt;0,IF(L145&lt;&gt;"",L145,99999),IFERROR(1/(1/_xlfn.MINIFS($AF$3:$IN$3,$AF$4:$IN$4,"SEW_ACT",$AF145:$IN145,"&gt;0")),99999))))</f>
        <v/>
      </c>
      <c r="AB145" s="26">
        <f>IF(OR($E145="",Z145=0,V145=""),"",1+COUNTIFS(Z$8:Z$707,"&gt;0",V$8:V$707,"&lt;"&amp;V145)+COUNTIFS(Z$8:Z$707,"&gt;0",V$8:V$707,V145,AA$8:AA$707,"&lt;"&amp;AA145)+COUNTIFS(Z$8:Z$707,"&gt;0",V$8:V$707,V145,AA$8:AA$707,AA145,E$8:E$707,"&lt;"&amp;$E145))</f>
        <v/>
      </c>
      <c r="AC145" s="24">
        <f>IF(OR($E145="",Z145=0),"",IFERROR(TODAY()+ROUNDUP(Z145/(SUMIFS($AF145:$IN145,$AF$4:$IN$4,"WASH_ACT")/COUNTIFS($AF$4:$IN$4,"WASH_ACT",$AF145:$IN145,"&gt;0")),0),"no output yet"))</f>
        <v/>
      </c>
      <c r="AD145" s="26">
        <f>IF($E145="","",IFERROR(ROUND(MAX(0,SUMIFS($AF145:$IN145,$AF$4:$IN$4,"SEW_PLAN",$AF$3:$IN$3,"&lt;="&amp;TODAY())-SUMIFS($AF145:$IN145,$AF$4:$IN$4,"SEW_ACT",$AF$3:$IN$3,"&lt;="&amp;TODAY())+N(Q145))/(SUMIFS($AF145:$IN145,$AF$4:$IN$4,"SEW_PLAN")/COUNTIFS($AF$4:$IN$4,"SEW_PLAN",$AF145:$IN145,"&gt;0")),1),0))</f>
        <v/>
      </c>
      <c r="AE145" s="26">
        <f>IF($E145="","",IF(AND(Z145&gt;0,OR(AND(M145&lt;&gt;"",TODAY()&gt;M145),AND(V145&lt;&gt;"",V145-TODAY()&lt;=7))),"Yes","No"))</f>
        <v/>
      </c>
      <c r="AH145">
        <f>IF(OR(AF$3="",AF$3&gt;TODAY()),"",IF(AND(AF145="",AG145=""),"",N(AG145)-N(AF145)))</f>
        <v/>
      </c>
      <c r="AK145">
        <f>IF(OR(AF$3="",AF$3&gt;TODAY()),"",IF(AND(AI145="",AJ145=""),"",N(AJ145)-N(AI145)))</f>
        <v/>
      </c>
      <c r="AO145">
        <f>IF(OR(AM$3="",AM$3&gt;TODAY()),"",IF(AND(AM145="",AN145=""),"",N(AN145)-N(AM145)))</f>
        <v/>
      </c>
      <c r="AR145">
        <f>IF(OR(AM$3="",AM$3&gt;TODAY()),"",IF(AND(AP145="",AQ145=""),"",N(AQ145)-N(AP145)))</f>
        <v/>
      </c>
      <c r="AV145">
        <f>IF(OR(AT$3="",AT$3&gt;TODAY()),"",IF(AND(AT145="",AU145=""),"",N(AU145)-N(AT145)))</f>
        <v/>
      </c>
      <c r="AY145">
        <f>IF(OR(AT$3="",AT$3&gt;TODAY()),"",IF(AND(AW145="",AX145=""),"",N(AX145)-N(AW145)))</f>
        <v/>
      </c>
      <c r="BC145">
        <f>IF(OR(BA$3="",BA$3&gt;TODAY()),"",IF(AND(BA145="",BB145=""),"",N(BB145)-N(BA145)))</f>
        <v/>
      </c>
      <c r="BF145">
        <f>IF(OR(BA$3="",BA$3&gt;TODAY()),"",IF(AND(BD145="",BE145=""),"",N(BE145)-N(BD145)))</f>
        <v/>
      </c>
      <c r="BJ145">
        <f>IF(OR(BH$3="",BH$3&gt;TODAY()),"",IF(AND(BH145="",BI145=""),"",N(BI145)-N(BH145)))</f>
        <v/>
      </c>
      <c r="BM145">
        <f>IF(OR(BH$3="",BH$3&gt;TODAY()),"",IF(AND(BK145="",BL145=""),"",N(BL145)-N(BK145)))</f>
        <v/>
      </c>
      <c r="BQ145">
        <f>IF(OR(BO$3="",BO$3&gt;TODAY()),"",IF(AND(BO145="",BP145=""),"",N(BP145)-N(BO145)))</f>
        <v/>
      </c>
      <c r="BT145">
        <f>IF(OR(BO$3="",BO$3&gt;TODAY()),"",IF(AND(BR145="",BS145=""),"",N(BS145)-N(BR145)))</f>
        <v/>
      </c>
      <c r="BX145">
        <f>IF(OR(BV$3="",BV$3&gt;TODAY()),"",IF(AND(BV145="",BW145=""),"",N(BW145)-N(BV145)))</f>
        <v/>
      </c>
      <c r="CA145">
        <f>IF(OR(BV$3="",BV$3&gt;TODAY()),"",IF(AND(BY145="",BZ145=""),"",N(BZ145)-N(BY145)))</f>
        <v/>
      </c>
      <c r="CE145">
        <f>IF(OR(CC$3="",CC$3&gt;TODAY()),"",IF(AND(CC145="",CD145=""),"",N(CD145)-N(CC145)))</f>
        <v/>
      </c>
      <c r="CH145">
        <f>IF(OR(CC$3="",CC$3&gt;TODAY()),"",IF(AND(CF145="",CG145=""),"",N(CG145)-N(CF145)))</f>
        <v/>
      </c>
      <c r="CL145">
        <f>IF(OR(CJ$3="",CJ$3&gt;TODAY()),"",IF(AND(CJ145="",CK145=""),"",N(CK145)-N(CJ145)))</f>
        <v/>
      </c>
      <c r="CO145">
        <f>IF(OR(CJ$3="",CJ$3&gt;TODAY()),"",IF(AND(CM145="",CN145=""),"",N(CN145)-N(CM145)))</f>
        <v/>
      </c>
      <c r="CS145">
        <f>IF(OR(CQ$3="",CQ$3&gt;TODAY()),"",IF(AND(CQ145="",CR145=""),"",N(CR145)-N(CQ145)))</f>
        <v/>
      </c>
      <c r="CV145">
        <f>IF(OR(CQ$3="",CQ$3&gt;TODAY()),"",IF(AND(CT145="",CU145=""),"",N(CU145)-N(CT145)))</f>
        <v/>
      </c>
      <c r="CZ145">
        <f>IF(OR(CX$3="",CX$3&gt;TODAY()),"",IF(AND(CX145="",CY145=""),"",N(CY145)-N(CX145)))</f>
        <v/>
      </c>
      <c r="DC145">
        <f>IF(OR(CX$3="",CX$3&gt;TODAY()),"",IF(AND(DA145="",DB145=""),"",N(DB145)-N(DA145)))</f>
        <v/>
      </c>
      <c r="DG145">
        <f>IF(OR(DE$3="",DE$3&gt;TODAY()),"",IF(AND(DE145="",DF145=""),"",N(DF145)-N(DE145)))</f>
        <v/>
      </c>
      <c r="DJ145">
        <f>IF(OR(DE$3="",DE$3&gt;TODAY()),"",IF(AND(DH145="",DI145=""),"",N(DI145)-N(DH145)))</f>
        <v/>
      </c>
      <c r="DN145">
        <f>IF(OR(DL$3="",DL$3&gt;TODAY()),"",IF(AND(DL145="",DM145=""),"",N(DM145)-N(DL145)))</f>
        <v/>
      </c>
      <c r="DQ145">
        <f>IF(OR(DL$3="",DL$3&gt;TODAY()),"",IF(AND(DO145="",DP145=""),"",N(DP145)-N(DO145)))</f>
        <v/>
      </c>
      <c r="DU145">
        <f>IF(OR(DS$3="",DS$3&gt;TODAY()),"",IF(AND(DS145="",DT145=""),"",N(DT145)-N(DS145)))</f>
        <v/>
      </c>
      <c r="DX145">
        <f>IF(OR(DS$3="",DS$3&gt;TODAY()),"",IF(AND(DV145="",DW145=""),"",N(DW145)-N(DV145)))</f>
        <v/>
      </c>
      <c r="EB145">
        <f>IF(OR(DZ$3="",DZ$3&gt;TODAY()),"",IF(AND(DZ145="",EA145=""),"",N(EA145)-N(DZ145)))</f>
        <v/>
      </c>
      <c r="EE145">
        <f>IF(OR(DZ$3="",DZ$3&gt;TODAY()),"",IF(AND(EC145="",ED145=""),"",N(ED145)-N(EC145)))</f>
        <v/>
      </c>
      <c r="EI145">
        <f>IF(OR(EG$3="",EG$3&gt;TODAY()),"",IF(AND(EG145="",EH145=""),"",N(EH145)-N(EG145)))</f>
        <v/>
      </c>
      <c r="EL145">
        <f>IF(OR(EG$3="",EG$3&gt;TODAY()),"",IF(AND(EJ145="",EK145=""),"",N(EK145)-N(EJ145)))</f>
        <v/>
      </c>
      <c r="EP145">
        <f>IF(OR(EN$3="",EN$3&gt;TODAY()),"",IF(AND(EN145="",EO145=""),"",N(EO145)-N(EN145)))</f>
        <v/>
      </c>
      <c r="ES145">
        <f>IF(OR(EN$3="",EN$3&gt;TODAY()),"",IF(AND(EQ145="",ER145=""),"",N(ER145)-N(EQ145)))</f>
        <v/>
      </c>
      <c r="EW145">
        <f>IF(OR(EU$3="",EU$3&gt;TODAY()),"",IF(AND(EU145="",EV145=""),"",N(EV145)-N(EU145)))</f>
        <v/>
      </c>
      <c r="EZ145">
        <f>IF(OR(EU$3="",EU$3&gt;TODAY()),"",IF(AND(EX145="",EY145=""),"",N(EY145)-N(EX145)))</f>
        <v/>
      </c>
      <c r="FD145">
        <f>IF(OR(FB$3="",FB$3&gt;TODAY()),"",IF(AND(FB145="",FC145=""),"",N(FC145)-N(FB145)))</f>
        <v/>
      </c>
      <c r="FG145">
        <f>IF(OR(FB$3="",FB$3&gt;TODAY()),"",IF(AND(FE145="",FF145=""),"",N(FF145)-N(FE145)))</f>
        <v/>
      </c>
      <c r="FK145">
        <f>IF(OR(FI$3="",FI$3&gt;TODAY()),"",IF(AND(FI145="",FJ145=""),"",N(FJ145)-N(FI145)))</f>
        <v/>
      </c>
      <c r="FN145">
        <f>IF(OR(FI$3="",FI$3&gt;TODAY()),"",IF(AND(FL145="",FM145=""),"",N(FM145)-N(FL145)))</f>
        <v/>
      </c>
      <c r="FR145">
        <f>IF(OR(FP$3="",FP$3&gt;TODAY()),"",IF(AND(FP145="",FQ145=""),"",N(FQ145)-N(FP145)))</f>
        <v/>
      </c>
      <c r="FU145">
        <f>IF(OR(FP$3="",FP$3&gt;TODAY()),"",IF(AND(FS145="",FT145=""),"",N(FT145)-N(FS145)))</f>
        <v/>
      </c>
      <c r="FY145">
        <f>IF(OR(FW$3="",FW$3&gt;TODAY()),"",IF(AND(FW145="",FX145=""),"",N(FX145)-N(FW145)))</f>
        <v/>
      </c>
      <c r="GB145">
        <f>IF(OR(FW$3="",FW$3&gt;TODAY()),"",IF(AND(FZ145="",GA145=""),"",N(GA145)-N(FZ145)))</f>
        <v/>
      </c>
      <c r="GF145">
        <f>IF(OR(GD$3="",GD$3&gt;TODAY()),"",IF(AND(GD145="",GE145=""),"",N(GE145)-N(GD145)))</f>
        <v/>
      </c>
      <c r="GI145">
        <f>IF(OR(GD$3="",GD$3&gt;TODAY()),"",IF(AND(GG145="",GH145=""),"",N(GH145)-N(GG145)))</f>
        <v/>
      </c>
      <c r="GM145">
        <f>IF(OR(GK$3="",GK$3&gt;TODAY()),"",IF(AND(GK145="",GL145=""),"",N(GL145)-N(GK145)))</f>
        <v/>
      </c>
      <c r="GP145">
        <f>IF(OR(GK$3="",GK$3&gt;TODAY()),"",IF(AND(GN145="",GO145=""),"",N(GO145)-N(GN145)))</f>
        <v/>
      </c>
      <c r="GT145">
        <f>IF(OR(GR$3="",GR$3&gt;TODAY()),"",IF(AND(GR145="",GS145=""),"",N(GS145)-N(GR145)))</f>
        <v/>
      </c>
      <c r="GW145">
        <f>IF(OR(GR$3="",GR$3&gt;TODAY()),"",IF(AND(GU145="",GV145=""),"",N(GV145)-N(GU145)))</f>
        <v/>
      </c>
      <c r="HA145">
        <f>IF(OR(GY$3="",GY$3&gt;TODAY()),"",IF(AND(GY145="",GZ145=""),"",N(GZ145)-N(GY145)))</f>
        <v/>
      </c>
      <c r="HD145">
        <f>IF(OR(GY$3="",GY$3&gt;TODAY()),"",IF(AND(HB145="",HC145=""),"",N(HC145)-N(HB145)))</f>
        <v/>
      </c>
      <c r="HH145">
        <f>IF(OR(HF$3="",HF$3&gt;TODAY()),"",IF(AND(HF145="",HG145=""),"",N(HG145)-N(HF145)))</f>
        <v/>
      </c>
      <c r="HK145">
        <f>IF(OR(HF$3="",HF$3&gt;TODAY()),"",IF(AND(HI145="",HJ145=""),"",N(HJ145)-N(HI145)))</f>
        <v/>
      </c>
      <c r="HO145">
        <f>IF(OR(HM$3="",HM$3&gt;TODAY()),"",IF(AND(HM145="",HN145=""),"",N(HN145)-N(HM145)))</f>
        <v/>
      </c>
      <c r="HR145">
        <f>IF(OR(HM$3="",HM$3&gt;TODAY()),"",IF(AND(HP145="",HQ145=""),"",N(HQ145)-N(HP145)))</f>
        <v/>
      </c>
      <c r="HV145">
        <f>IF(OR(HT$3="",HT$3&gt;TODAY()),"",IF(AND(HT145="",HU145=""),"",N(HU145)-N(HT145)))</f>
        <v/>
      </c>
      <c r="HY145">
        <f>IF(OR(HT$3="",HT$3&gt;TODAY()),"",IF(AND(HW145="",HX145=""),"",N(HX145)-N(HW145)))</f>
        <v/>
      </c>
      <c r="IC145">
        <f>IF(OR(IA$3="",IA$3&gt;TODAY()),"",IF(AND(IA145="",IB145=""),"",N(IB145)-N(IA145)))</f>
        <v/>
      </c>
      <c r="IF145">
        <f>IF(OR(IA$3="",IA$3&gt;TODAY()),"",IF(AND(ID145="",IE145=""),"",N(IE145)-N(ID145)))</f>
        <v/>
      </c>
      <c r="IJ145">
        <f>IF(OR(IH$3="",IH$3&gt;TODAY()),"",IF(AND(IH145="",II145=""),"",N(II145)-N(IH145)))</f>
        <v/>
      </c>
      <c r="IM145">
        <f>IF(OR(IH$3="",IH$3&gt;TODAY()),"",IF(AND(IK145="",IL145=""),"",N(IL145)-N(IK145)))</f>
        <v/>
      </c>
    </row>
    <row r="146">
      <c r="A146" s="21" t="n"/>
      <c r="B146" s="21" t="n"/>
      <c r="C146" s="21" t="n"/>
      <c r="D146" s="21" t="n"/>
      <c r="E146" s="21" t="n"/>
      <c r="F146" s="21" t="n"/>
      <c r="G146" s="21" t="n"/>
      <c r="H146" s="21" t="n"/>
      <c r="I146" s="22" t="n"/>
      <c r="J146" s="22" t="n"/>
      <c r="K146" s="23" t="n"/>
      <c r="L146" s="22" t="n"/>
      <c r="M146" s="22" t="n"/>
      <c r="N146" s="21" t="n"/>
      <c r="O146" s="23" t="n"/>
      <c r="P146" s="23" t="n"/>
      <c r="Q146" s="23" t="n"/>
      <c r="R146" s="23" t="n"/>
      <c r="S146" s="22" t="n"/>
      <c r="T146" s="23" t="n"/>
      <c r="U146" s="23" t="n"/>
      <c r="V146" s="24">
        <f>IF(J146&lt;&gt;"",J146,IF(I146&lt;&gt;"",I146,""))</f>
        <v/>
      </c>
      <c r="W146" s="25">
        <f>IF($E146="","",N(O146)+SUMIFS($AF146:$IN146,$AF$4:$IN$4,"SEW_ACT"))</f>
        <v/>
      </c>
      <c r="X146" s="25">
        <f>IF($E146="","",N(P146)+SUMIFS($AF146:$IN146,$AF$4:$IN$4,"WASH_ACT"))</f>
        <v/>
      </c>
      <c r="Y146" s="25">
        <f>IF($E146="","",W146-X146-N(T146)-N(U146))</f>
        <v/>
      </c>
      <c r="Z146" s="25">
        <f>IF($E146="","",IF(N(K146)-X146&lt;=0.02*N(K146),0,N(K146)-X146))</f>
        <v/>
      </c>
      <c r="AA146" s="24">
        <f>IF($E146="","",IF(S146&lt;&gt;"",S146,IF(N(O146)&gt;0,IF(L146&lt;&gt;"",L146,99999),IFERROR(1/(1/_xlfn.MINIFS($AF$3:$IN$3,$AF$4:$IN$4,"SEW_ACT",$AF146:$IN146,"&gt;0")),99999))))</f>
        <v/>
      </c>
      <c r="AB146" s="26">
        <f>IF(OR($E146="",Z146=0,V146=""),"",1+COUNTIFS(Z$8:Z$707,"&gt;0",V$8:V$707,"&lt;"&amp;V146)+COUNTIFS(Z$8:Z$707,"&gt;0",V$8:V$707,V146,AA$8:AA$707,"&lt;"&amp;AA146)+COUNTIFS(Z$8:Z$707,"&gt;0",V$8:V$707,V146,AA$8:AA$707,AA146,E$8:E$707,"&lt;"&amp;$E146))</f>
        <v/>
      </c>
      <c r="AC146" s="24">
        <f>IF(OR($E146="",Z146=0),"",IFERROR(TODAY()+ROUNDUP(Z146/(SUMIFS($AF146:$IN146,$AF$4:$IN$4,"WASH_ACT")/COUNTIFS($AF$4:$IN$4,"WASH_ACT",$AF146:$IN146,"&gt;0")),0),"no output yet"))</f>
        <v/>
      </c>
      <c r="AD146" s="26">
        <f>IF($E146="","",IFERROR(ROUND(MAX(0,SUMIFS($AF146:$IN146,$AF$4:$IN$4,"SEW_PLAN",$AF$3:$IN$3,"&lt;="&amp;TODAY())-SUMIFS($AF146:$IN146,$AF$4:$IN$4,"SEW_ACT",$AF$3:$IN$3,"&lt;="&amp;TODAY())+N(Q146))/(SUMIFS($AF146:$IN146,$AF$4:$IN$4,"SEW_PLAN")/COUNTIFS($AF$4:$IN$4,"SEW_PLAN",$AF146:$IN146,"&gt;0")),1),0))</f>
        <v/>
      </c>
      <c r="AE146" s="26">
        <f>IF($E146="","",IF(AND(Z146&gt;0,OR(AND(M146&lt;&gt;"",TODAY()&gt;M146),AND(V146&lt;&gt;"",V146-TODAY()&lt;=7))),"Yes","No"))</f>
        <v/>
      </c>
      <c r="AH146">
        <f>IF(OR(AF$3="",AF$3&gt;TODAY()),"",IF(AND(AF146="",AG146=""),"",N(AG146)-N(AF146)))</f>
        <v/>
      </c>
      <c r="AK146">
        <f>IF(OR(AF$3="",AF$3&gt;TODAY()),"",IF(AND(AI146="",AJ146=""),"",N(AJ146)-N(AI146)))</f>
        <v/>
      </c>
      <c r="AO146">
        <f>IF(OR(AM$3="",AM$3&gt;TODAY()),"",IF(AND(AM146="",AN146=""),"",N(AN146)-N(AM146)))</f>
        <v/>
      </c>
      <c r="AR146">
        <f>IF(OR(AM$3="",AM$3&gt;TODAY()),"",IF(AND(AP146="",AQ146=""),"",N(AQ146)-N(AP146)))</f>
        <v/>
      </c>
      <c r="AV146">
        <f>IF(OR(AT$3="",AT$3&gt;TODAY()),"",IF(AND(AT146="",AU146=""),"",N(AU146)-N(AT146)))</f>
        <v/>
      </c>
      <c r="AY146">
        <f>IF(OR(AT$3="",AT$3&gt;TODAY()),"",IF(AND(AW146="",AX146=""),"",N(AX146)-N(AW146)))</f>
        <v/>
      </c>
      <c r="BC146">
        <f>IF(OR(BA$3="",BA$3&gt;TODAY()),"",IF(AND(BA146="",BB146=""),"",N(BB146)-N(BA146)))</f>
        <v/>
      </c>
      <c r="BF146">
        <f>IF(OR(BA$3="",BA$3&gt;TODAY()),"",IF(AND(BD146="",BE146=""),"",N(BE146)-N(BD146)))</f>
        <v/>
      </c>
      <c r="BJ146">
        <f>IF(OR(BH$3="",BH$3&gt;TODAY()),"",IF(AND(BH146="",BI146=""),"",N(BI146)-N(BH146)))</f>
        <v/>
      </c>
      <c r="BM146">
        <f>IF(OR(BH$3="",BH$3&gt;TODAY()),"",IF(AND(BK146="",BL146=""),"",N(BL146)-N(BK146)))</f>
        <v/>
      </c>
      <c r="BQ146">
        <f>IF(OR(BO$3="",BO$3&gt;TODAY()),"",IF(AND(BO146="",BP146=""),"",N(BP146)-N(BO146)))</f>
        <v/>
      </c>
      <c r="BT146">
        <f>IF(OR(BO$3="",BO$3&gt;TODAY()),"",IF(AND(BR146="",BS146=""),"",N(BS146)-N(BR146)))</f>
        <v/>
      </c>
      <c r="BX146">
        <f>IF(OR(BV$3="",BV$3&gt;TODAY()),"",IF(AND(BV146="",BW146=""),"",N(BW146)-N(BV146)))</f>
        <v/>
      </c>
      <c r="CA146">
        <f>IF(OR(BV$3="",BV$3&gt;TODAY()),"",IF(AND(BY146="",BZ146=""),"",N(BZ146)-N(BY146)))</f>
        <v/>
      </c>
      <c r="CE146">
        <f>IF(OR(CC$3="",CC$3&gt;TODAY()),"",IF(AND(CC146="",CD146=""),"",N(CD146)-N(CC146)))</f>
        <v/>
      </c>
      <c r="CH146">
        <f>IF(OR(CC$3="",CC$3&gt;TODAY()),"",IF(AND(CF146="",CG146=""),"",N(CG146)-N(CF146)))</f>
        <v/>
      </c>
      <c r="CL146">
        <f>IF(OR(CJ$3="",CJ$3&gt;TODAY()),"",IF(AND(CJ146="",CK146=""),"",N(CK146)-N(CJ146)))</f>
        <v/>
      </c>
      <c r="CO146">
        <f>IF(OR(CJ$3="",CJ$3&gt;TODAY()),"",IF(AND(CM146="",CN146=""),"",N(CN146)-N(CM146)))</f>
        <v/>
      </c>
      <c r="CS146">
        <f>IF(OR(CQ$3="",CQ$3&gt;TODAY()),"",IF(AND(CQ146="",CR146=""),"",N(CR146)-N(CQ146)))</f>
        <v/>
      </c>
      <c r="CV146">
        <f>IF(OR(CQ$3="",CQ$3&gt;TODAY()),"",IF(AND(CT146="",CU146=""),"",N(CU146)-N(CT146)))</f>
        <v/>
      </c>
      <c r="CZ146">
        <f>IF(OR(CX$3="",CX$3&gt;TODAY()),"",IF(AND(CX146="",CY146=""),"",N(CY146)-N(CX146)))</f>
        <v/>
      </c>
      <c r="DC146">
        <f>IF(OR(CX$3="",CX$3&gt;TODAY()),"",IF(AND(DA146="",DB146=""),"",N(DB146)-N(DA146)))</f>
        <v/>
      </c>
      <c r="DG146">
        <f>IF(OR(DE$3="",DE$3&gt;TODAY()),"",IF(AND(DE146="",DF146=""),"",N(DF146)-N(DE146)))</f>
        <v/>
      </c>
      <c r="DJ146">
        <f>IF(OR(DE$3="",DE$3&gt;TODAY()),"",IF(AND(DH146="",DI146=""),"",N(DI146)-N(DH146)))</f>
        <v/>
      </c>
      <c r="DN146">
        <f>IF(OR(DL$3="",DL$3&gt;TODAY()),"",IF(AND(DL146="",DM146=""),"",N(DM146)-N(DL146)))</f>
        <v/>
      </c>
      <c r="DQ146">
        <f>IF(OR(DL$3="",DL$3&gt;TODAY()),"",IF(AND(DO146="",DP146=""),"",N(DP146)-N(DO146)))</f>
        <v/>
      </c>
      <c r="DU146">
        <f>IF(OR(DS$3="",DS$3&gt;TODAY()),"",IF(AND(DS146="",DT146=""),"",N(DT146)-N(DS146)))</f>
        <v/>
      </c>
      <c r="DX146">
        <f>IF(OR(DS$3="",DS$3&gt;TODAY()),"",IF(AND(DV146="",DW146=""),"",N(DW146)-N(DV146)))</f>
        <v/>
      </c>
      <c r="EB146">
        <f>IF(OR(DZ$3="",DZ$3&gt;TODAY()),"",IF(AND(DZ146="",EA146=""),"",N(EA146)-N(DZ146)))</f>
        <v/>
      </c>
      <c r="EE146">
        <f>IF(OR(DZ$3="",DZ$3&gt;TODAY()),"",IF(AND(EC146="",ED146=""),"",N(ED146)-N(EC146)))</f>
        <v/>
      </c>
      <c r="EI146">
        <f>IF(OR(EG$3="",EG$3&gt;TODAY()),"",IF(AND(EG146="",EH146=""),"",N(EH146)-N(EG146)))</f>
        <v/>
      </c>
      <c r="EL146">
        <f>IF(OR(EG$3="",EG$3&gt;TODAY()),"",IF(AND(EJ146="",EK146=""),"",N(EK146)-N(EJ146)))</f>
        <v/>
      </c>
      <c r="EP146">
        <f>IF(OR(EN$3="",EN$3&gt;TODAY()),"",IF(AND(EN146="",EO146=""),"",N(EO146)-N(EN146)))</f>
        <v/>
      </c>
      <c r="ES146">
        <f>IF(OR(EN$3="",EN$3&gt;TODAY()),"",IF(AND(EQ146="",ER146=""),"",N(ER146)-N(EQ146)))</f>
        <v/>
      </c>
      <c r="EW146">
        <f>IF(OR(EU$3="",EU$3&gt;TODAY()),"",IF(AND(EU146="",EV146=""),"",N(EV146)-N(EU146)))</f>
        <v/>
      </c>
      <c r="EZ146">
        <f>IF(OR(EU$3="",EU$3&gt;TODAY()),"",IF(AND(EX146="",EY146=""),"",N(EY146)-N(EX146)))</f>
        <v/>
      </c>
      <c r="FD146">
        <f>IF(OR(FB$3="",FB$3&gt;TODAY()),"",IF(AND(FB146="",FC146=""),"",N(FC146)-N(FB146)))</f>
        <v/>
      </c>
      <c r="FG146">
        <f>IF(OR(FB$3="",FB$3&gt;TODAY()),"",IF(AND(FE146="",FF146=""),"",N(FF146)-N(FE146)))</f>
        <v/>
      </c>
      <c r="FK146">
        <f>IF(OR(FI$3="",FI$3&gt;TODAY()),"",IF(AND(FI146="",FJ146=""),"",N(FJ146)-N(FI146)))</f>
        <v/>
      </c>
      <c r="FN146">
        <f>IF(OR(FI$3="",FI$3&gt;TODAY()),"",IF(AND(FL146="",FM146=""),"",N(FM146)-N(FL146)))</f>
        <v/>
      </c>
      <c r="FR146">
        <f>IF(OR(FP$3="",FP$3&gt;TODAY()),"",IF(AND(FP146="",FQ146=""),"",N(FQ146)-N(FP146)))</f>
        <v/>
      </c>
      <c r="FU146">
        <f>IF(OR(FP$3="",FP$3&gt;TODAY()),"",IF(AND(FS146="",FT146=""),"",N(FT146)-N(FS146)))</f>
        <v/>
      </c>
      <c r="FY146">
        <f>IF(OR(FW$3="",FW$3&gt;TODAY()),"",IF(AND(FW146="",FX146=""),"",N(FX146)-N(FW146)))</f>
        <v/>
      </c>
      <c r="GB146">
        <f>IF(OR(FW$3="",FW$3&gt;TODAY()),"",IF(AND(FZ146="",GA146=""),"",N(GA146)-N(FZ146)))</f>
        <v/>
      </c>
      <c r="GF146">
        <f>IF(OR(GD$3="",GD$3&gt;TODAY()),"",IF(AND(GD146="",GE146=""),"",N(GE146)-N(GD146)))</f>
        <v/>
      </c>
      <c r="GI146">
        <f>IF(OR(GD$3="",GD$3&gt;TODAY()),"",IF(AND(GG146="",GH146=""),"",N(GH146)-N(GG146)))</f>
        <v/>
      </c>
      <c r="GM146">
        <f>IF(OR(GK$3="",GK$3&gt;TODAY()),"",IF(AND(GK146="",GL146=""),"",N(GL146)-N(GK146)))</f>
        <v/>
      </c>
      <c r="GP146">
        <f>IF(OR(GK$3="",GK$3&gt;TODAY()),"",IF(AND(GN146="",GO146=""),"",N(GO146)-N(GN146)))</f>
        <v/>
      </c>
      <c r="GT146">
        <f>IF(OR(GR$3="",GR$3&gt;TODAY()),"",IF(AND(GR146="",GS146=""),"",N(GS146)-N(GR146)))</f>
        <v/>
      </c>
      <c r="GW146">
        <f>IF(OR(GR$3="",GR$3&gt;TODAY()),"",IF(AND(GU146="",GV146=""),"",N(GV146)-N(GU146)))</f>
        <v/>
      </c>
      <c r="HA146">
        <f>IF(OR(GY$3="",GY$3&gt;TODAY()),"",IF(AND(GY146="",GZ146=""),"",N(GZ146)-N(GY146)))</f>
        <v/>
      </c>
      <c r="HD146">
        <f>IF(OR(GY$3="",GY$3&gt;TODAY()),"",IF(AND(HB146="",HC146=""),"",N(HC146)-N(HB146)))</f>
        <v/>
      </c>
      <c r="HH146">
        <f>IF(OR(HF$3="",HF$3&gt;TODAY()),"",IF(AND(HF146="",HG146=""),"",N(HG146)-N(HF146)))</f>
        <v/>
      </c>
      <c r="HK146">
        <f>IF(OR(HF$3="",HF$3&gt;TODAY()),"",IF(AND(HI146="",HJ146=""),"",N(HJ146)-N(HI146)))</f>
        <v/>
      </c>
      <c r="HO146">
        <f>IF(OR(HM$3="",HM$3&gt;TODAY()),"",IF(AND(HM146="",HN146=""),"",N(HN146)-N(HM146)))</f>
        <v/>
      </c>
      <c r="HR146">
        <f>IF(OR(HM$3="",HM$3&gt;TODAY()),"",IF(AND(HP146="",HQ146=""),"",N(HQ146)-N(HP146)))</f>
        <v/>
      </c>
      <c r="HV146">
        <f>IF(OR(HT$3="",HT$3&gt;TODAY()),"",IF(AND(HT146="",HU146=""),"",N(HU146)-N(HT146)))</f>
        <v/>
      </c>
      <c r="HY146">
        <f>IF(OR(HT$3="",HT$3&gt;TODAY()),"",IF(AND(HW146="",HX146=""),"",N(HX146)-N(HW146)))</f>
        <v/>
      </c>
      <c r="IC146">
        <f>IF(OR(IA$3="",IA$3&gt;TODAY()),"",IF(AND(IA146="",IB146=""),"",N(IB146)-N(IA146)))</f>
        <v/>
      </c>
      <c r="IF146">
        <f>IF(OR(IA$3="",IA$3&gt;TODAY()),"",IF(AND(ID146="",IE146=""),"",N(IE146)-N(ID146)))</f>
        <v/>
      </c>
      <c r="IJ146">
        <f>IF(OR(IH$3="",IH$3&gt;TODAY()),"",IF(AND(IH146="",II146=""),"",N(II146)-N(IH146)))</f>
        <v/>
      </c>
      <c r="IM146">
        <f>IF(OR(IH$3="",IH$3&gt;TODAY()),"",IF(AND(IK146="",IL146=""),"",N(IL146)-N(IK146)))</f>
        <v/>
      </c>
    </row>
    <row r="147">
      <c r="A147" s="21" t="n"/>
      <c r="B147" s="21" t="n"/>
      <c r="C147" s="21" t="n"/>
      <c r="D147" s="21" t="n"/>
      <c r="E147" s="21" t="n"/>
      <c r="F147" s="21" t="n"/>
      <c r="G147" s="21" t="n"/>
      <c r="H147" s="21" t="n"/>
      <c r="I147" s="22" t="n"/>
      <c r="J147" s="22" t="n"/>
      <c r="K147" s="23" t="n"/>
      <c r="L147" s="22" t="n"/>
      <c r="M147" s="22" t="n"/>
      <c r="N147" s="21" t="n"/>
      <c r="O147" s="23" t="n"/>
      <c r="P147" s="23" t="n"/>
      <c r="Q147" s="23" t="n"/>
      <c r="R147" s="23" t="n"/>
      <c r="S147" s="22" t="n"/>
      <c r="T147" s="23" t="n"/>
      <c r="U147" s="23" t="n"/>
      <c r="V147" s="24">
        <f>IF(J147&lt;&gt;"",J147,IF(I147&lt;&gt;"",I147,""))</f>
        <v/>
      </c>
      <c r="W147" s="25">
        <f>IF($E147="","",N(O147)+SUMIFS($AF147:$IN147,$AF$4:$IN$4,"SEW_ACT"))</f>
        <v/>
      </c>
      <c r="X147" s="25">
        <f>IF($E147="","",N(P147)+SUMIFS($AF147:$IN147,$AF$4:$IN$4,"WASH_ACT"))</f>
        <v/>
      </c>
      <c r="Y147" s="25">
        <f>IF($E147="","",W147-X147-N(T147)-N(U147))</f>
        <v/>
      </c>
      <c r="Z147" s="25">
        <f>IF($E147="","",IF(N(K147)-X147&lt;=0.02*N(K147),0,N(K147)-X147))</f>
        <v/>
      </c>
      <c r="AA147" s="24">
        <f>IF($E147="","",IF(S147&lt;&gt;"",S147,IF(N(O147)&gt;0,IF(L147&lt;&gt;"",L147,99999),IFERROR(1/(1/_xlfn.MINIFS($AF$3:$IN$3,$AF$4:$IN$4,"SEW_ACT",$AF147:$IN147,"&gt;0")),99999))))</f>
        <v/>
      </c>
      <c r="AB147" s="26">
        <f>IF(OR($E147="",Z147=0,V147=""),"",1+COUNTIFS(Z$8:Z$707,"&gt;0",V$8:V$707,"&lt;"&amp;V147)+COUNTIFS(Z$8:Z$707,"&gt;0",V$8:V$707,V147,AA$8:AA$707,"&lt;"&amp;AA147)+COUNTIFS(Z$8:Z$707,"&gt;0",V$8:V$707,V147,AA$8:AA$707,AA147,E$8:E$707,"&lt;"&amp;$E147))</f>
        <v/>
      </c>
      <c r="AC147" s="24">
        <f>IF(OR($E147="",Z147=0),"",IFERROR(TODAY()+ROUNDUP(Z147/(SUMIFS($AF147:$IN147,$AF$4:$IN$4,"WASH_ACT")/COUNTIFS($AF$4:$IN$4,"WASH_ACT",$AF147:$IN147,"&gt;0")),0),"no output yet"))</f>
        <v/>
      </c>
      <c r="AD147" s="26">
        <f>IF($E147="","",IFERROR(ROUND(MAX(0,SUMIFS($AF147:$IN147,$AF$4:$IN$4,"SEW_PLAN",$AF$3:$IN$3,"&lt;="&amp;TODAY())-SUMIFS($AF147:$IN147,$AF$4:$IN$4,"SEW_ACT",$AF$3:$IN$3,"&lt;="&amp;TODAY())+N(Q147))/(SUMIFS($AF147:$IN147,$AF$4:$IN$4,"SEW_PLAN")/COUNTIFS($AF$4:$IN$4,"SEW_PLAN",$AF147:$IN147,"&gt;0")),1),0))</f>
        <v/>
      </c>
      <c r="AE147" s="26">
        <f>IF($E147="","",IF(AND(Z147&gt;0,OR(AND(M147&lt;&gt;"",TODAY()&gt;M147),AND(V147&lt;&gt;"",V147-TODAY()&lt;=7))),"Yes","No"))</f>
        <v/>
      </c>
      <c r="AH147">
        <f>IF(OR(AF$3="",AF$3&gt;TODAY()),"",IF(AND(AF147="",AG147=""),"",N(AG147)-N(AF147)))</f>
        <v/>
      </c>
      <c r="AK147">
        <f>IF(OR(AF$3="",AF$3&gt;TODAY()),"",IF(AND(AI147="",AJ147=""),"",N(AJ147)-N(AI147)))</f>
        <v/>
      </c>
      <c r="AO147">
        <f>IF(OR(AM$3="",AM$3&gt;TODAY()),"",IF(AND(AM147="",AN147=""),"",N(AN147)-N(AM147)))</f>
        <v/>
      </c>
      <c r="AR147">
        <f>IF(OR(AM$3="",AM$3&gt;TODAY()),"",IF(AND(AP147="",AQ147=""),"",N(AQ147)-N(AP147)))</f>
        <v/>
      </c>
      <c r="AV147">
        <f>IF(OR(AT$3="",AT$3&gt;TODAY()),"",IF(AND(AT147="",AU147=""),"",N(AU147)-N(AT147)))</f>
        <v/>
      </c>
      <c r="AY147">
        <f>IF(OR(AT$3="",AT$3&gt;TODAY()),"",IF(AND(AW147="",AX147=""),"",N(AX147)-N(AW147)))</f>
        <v/>
      </c>
      <c r="BC147">
        <f>IF(OR(BA$3="",BA$3&gt;TODAY()),"",IF(AND(BA147="",BB147=""),"",N(BB147)-N(BA147)))</f>
        <v/>
      </c>
      <c r="BF147">
        <f>IF(OR(BA$3="",BA$3&gt;TODAY()),"",IF(AND(BD147="",BE147=""),"",N(BE147)-N(BD147)))</f>
        <v/>
      </c>
      <c r="BJ147">
        <f>IF(OR(BH$3="",BH$3&gt;TODAY()),"",IF(AND(BH147="",BI147=""),"",N(BI147)-N(BH147)))</f>
        <v/>
      </c>
      <c r="BM147">
        <f>IF(OR(BH$3="",BH$3&gt;TODAY()),"",IF(AND(BK147="",BL147=""),"",N(BL147)-N(BK147)))</f>
        <v/>
      </c>
      <c r="BQ147">
        <f>IF(OR(BO$3="",BO$3&gt;TODAY()),"",IF(AND(BO147="",BP147=""),"",N(BP147)-N(BO147)))</f>
        <v/>
      </c>
      <c r="BT147">
        <f>IF(OR(BO$3="",BO$3&gt;TODAY()),"",IF(AND(BR147="",BS147=""),"",N(BS147)-N(BR147)))</f>
        <v/>
      </c>
      <c r="BX147">
        <f>IF(OR(BV$3="",BV$3&gt;TODAY()),"",IF(AND(BV147="",BW147=""),"",N(BW147)-N(BV147)))</f>
        <v/>
      </c>
      <c r="CA147">
        <f>IF(OR(BV$3="",BV$3&gt;TODAY()),"",IF(AND(BY147="",BZ147=""),"",N(BZ147)-N(BY147)))</f>
        <v/>
      </c>
      <c r="CE147">
        <f>IF(OR(CC$3="",CC$3&gt;TODAY()),"",IF(AND(CC147="",CD147=""),"",N(CD147)-N(CC147)))</f>
        <v/>
      </c>
      <c r="CH147">
        <f>IF(OR(CC$3="",CC$3&gt;TODAY()),"",IF(AND(CF147="",CG147=""),"",N(CG147)-N(CF147)))</f>
        <v/>
      </c>
      <c r="CL147">
        <f>IF(OR(CJ$3="",CJ$3&gt;TODAY()),"",IF(AND(CJ147="",CK147=""),"",N(CK147)-N(CJ147)))</f>
        <v/>
      </c>
      <c r="CO147">
        <f>IF(OR(CJ$3="",CJ$3&gt;TODAY()),"",IF(AND(CM147="",CN147=""),"",N(CN147)-N(CM147)))</f>
        <v/>
      </c>
      <c r="CS147">
        <f>IF(OR(CQ$3="",CQ$3&gt;TODAY()),"",IF(AND(CQ147="",CR147=""),"",N(CR147)-N(CQ147)))</f>
        <v/>
      </c>
      <c r="CV147">
        <f>IF(OR(CQ$3="",CQ$3&gt;TODAY()),"",IF(AND(CT147="",CU147=""),"",N(CU147)-N(CT147)))</f>
        <v/>
      </c>
      <c r="CZ147">
        <f>IF(OR(CX$3="",CX$3&gt;TODAY()),"",IF(AND(CX147="",CY147=""),"",N(CY147)-N(CX147)))</f>
        <v/>
      </c>
      <c r="DC147">
        <f>IF(OR(CX$3="",CX$3&gt;TODAY()),"",IF(AND(DA147="",DB147=""),"",N(DB147)-N(DA147)))</f>
        <v/>
      </c>
      <c r="DG147">
        <f>IF(OR(DE$3="",DE$3&gt;TODAY()),"",IF(AND(DE147="",DF147=""),"",N(DF147)-N(DE147)))</f>
        <v/>
      </c>
      <c r="DJ147">
        <f>IF(OR(DE$3="",DE$3&gt;TODAY()),"",IF(AND(DH147="",DI147=""),"",N(DI147)-N(DH147)))</f>
        <v/>
      </c>
      <c r="DN147">
        <f>IF(OR(DL$3="",DL$3&gt;TODAY()),"",IF(AND(DL147="",DM147=""),"",N(DM147)-N(DL147)))</f>
        <v/>
      </c>
      <c r="DQ147">
        <f>IF(OR(DL$3="",DL$3&gt;TODAY()),"",IF(AND(DO147="",DP147=""),"",N(DP147)-N(DO147)))</f>
        <v/>
      </c>
      <c r="DU147">
        <f>IF(OR(DS$3="",DS$3&gt;TODAY()),"",IF(AND(DS147="",DT147=""),"",N(DT147)-N(DS147)))</f>
        <v/>
      </c>
      <c r="DX147">
        <f>IF(OR(DS$3="",DS$3&gt;TODAY()),"",IF(AND(DV147="",DW147=""),"",N(DW147)-N(DV147)))</f>
        <v/>
      </c>
      <c r="EB147">
        <f>IF(OR(DZ$3="",DZ$3&gt;TODAY()),"",IF(AND(DZ147="",EA147=""),"",N(EA147)-N(DZ147)))</f>
        <v/>
      </c>
      <c r="EE147">
        <f>IF(OR(DZ$3="",DZ$3&gt;TODAY()),"",IF(AND(EC147="",ED147=""),"",N(ED147)-N(EC147)))</f>
        <v/>
      </c>
      <c r="EI147">
        <f>IF(OR(EG$3="",EG$3&gt;TODAY()),"",IF(AND(EG147="",EH147=""),"",N(EH147)-N(EG147)))</f>
        <v/>
      </c>
      <c r="EL147">
        <f>IF(OR(EG$3="",EG$3&gt;TODAY()),"",IF(AND(EJ147="",EK147=""),"",N(EK147)-N(EJ147)))</f>
        <v/>
      </c>
      <c r="EP147">
        <f>IF(OR(EN$3="",EN$3&gt;TODAY()),"",IF(AND(EN147="",EO147=""),"",N(EO147)-N(EN147)))</f>
        <v/>
      </c>
      <c r="ES147">
        <f>IF(OR(EN$3="",EN$3&gt;TODAY()),"",IF(AND(EQ147="",ER147=""),"",N(ER147)-N(EQ147)))</f>
        <v/>
      </c>
      <c r="EW147">
        <f>IF(OR(EU$3="",EU$3&gt;TODAY()),"",IF(AND(EU147="",EV147=""),"",N(EV147)-N(EU147)))</f>
        <v/>
      </c>
      <c r="EZ147">
        <f>IF(OR(EU$3="",EU$3&gt;TODAY()),"",IF(AND(EX147="",EY147=""),"",N(EY147)-N(EX147)))</f>
        <v/>
      </c>
      <c r="FD147">
        <f>IF(OR(FB$3="",FB$3&gt;TODAY()),"",IF(AND(FB147="",FC147=""),"",N(FC147)-N(FB147)))</f>
        <v/>
      </c>
      <c r="FG147">
        <f>IF(OR(FB$3="",FB$3&gt;TODAY()),"",IF(AND(FE147="",FF147=""),"",N(FF147)-N(FE147)))</f>
        <v/>
      </c>
      <c r="FK147">
        <f>IF(OR(FI$3="",FI$3&gt;TODAY()),"",IF(AND(FI147="",FJ147=""),"",N(FJ147)-N(FI147)))</f>
        <v/>
      </c>
      <c r="FN147">
        <f>IF(OR(FI$3="",FI$3&gt;TODAY()),"",IF(AND(FL147="",FM147=""),"",N(FM147)-N(FL147)))</f>
        <v/>
      </c>
      <c r="FR147">
        <f>IF(OR(FP$3="",FP$3&gt;TODAY()),"",IF(AND(FP147="",FQ147=""),"",N(FQ147)-N(FP147)))</f>
        <v/>
      </c>
      <c r="FU147">
        <f>IF(OR(FP$3="",FP$3&gt;TODAY()),"",IF(AND(FS147="",FT147=""),"",N(FT147)-N(FS147)))</f>
        <v/>
      </c>
      <c r="FY147">
        <f>IF(OR(FW$3="",FW$3&gt;TODAY()),"",IF(AND(FW147="",FX147=""),"",N(FX147)-N(FW147)))</f>
        <v/>
      </c>
      <c r="GB147">
        <f>IF(OR(FW$3="",FW$3&gt;TODAY()),"",IF(AND(FZ147="",GA147=""),"",N(GA147)-N(FZ147)))</f>
        <v/>
      </c>
      <c r="GF147">
        <f>IF(OR(GD$3="",GD$3&gt;TODAY()),"",IF(AND(GD147="",GE147=""),"",N(GE147)-N(GD147)))</f>
        <v/>
      </c>
      <c r="GI147">
        <f>IF(OR(GD$3="",GD$3&gt;TODAY()),"",IF(AND(GG147="",GH147=""),"",N(GH147)-N(GG147)))</f>
        <v/>
      </c>
      <c r="GM147">
        <f>IF(OR(GK$3="",GK$3&gt;TODAY()),"",IF(AND(GK147="",GL147=""),"",N(GL147)-N(GK147)))</f>
        <v/>
      </c>
      <c r="GP147">
        <f>IF(OR(GK$3="",GK$3&gt;TODAY()),"",IF(AND(GN147="",GO147=""),"",N(GO147)-N(GN147)))</f>
        <v/>
      </c>
      <c r="GT147">
        <f>IF(OR(GR$3="",GR$3&gt;TODAY()),"",IF(AND(GR147="",GS147=""),"",N(GS147)-N(GR147)))</f>
        <v/>
      </c>
      <c r="GW147">
        <f>IF(OR(GR$3="",GR$3&gt;TODAY()),"",IF(AND(GU147="",GV147=""),"",N(GV147)-N(GU147)))</f>
        <v/>
      </c>
      <c r="HA147">
        <f>IF(OR(GY$3="",GY$3&gt;TODAY()),"",IF(AND(GY147="",GZ147=""),"",N(GZ147)-N(GY147)))</f>
        <v/>
      </c>
      <c r="HD147">
        <f>IF(OR(GY$3="",GY$3&gt;TODAY()),"",IF(AND(HB147="",HC147=""),"",N(HC147)-N(HB147)))</f>
        <v/>
      </c>
      <c r="HH147">
        <f>IF(OR(HF$3="",HF$3&gt;TODAY()),"",IF(AND(HF147="",HG147=""),"",N(HG147)-N(HF147)))</f>
        <v/>
      </c>
      <c r="HK147">
        <f>IF(OR(HF$3="",HF$3&gt;TODAY()),"",IF(AND(HI147="",HJ147=""),"",N(HJ147)-N(HI147)))</f>
        <v/>
      </c>
      <c r="HO147">
        <f>IF(OR(HM$3="",HM$3&gt;TODAY()),"",IF(AND(HM147="",HN147=""),"",N(HN147)-N(HM147)))</f>
        <v/>
      </c>
      <c r="HR147">
        <f>IF(OR(HM$3="",HM$3&gt;TODAY()),"",IF(AND(HP147="",HQ147=""),"",N(HQ147)-N(HP147)))</f>
        <v/>
      </c>
      <c r="HV147">
        <f>IF(OR(HT$3="",HT$3&gt;TODAY()),"",IF(AND(HT147="",HU147=""),"",N(HU147)-N(HT147)))</f>
        <v/>
      </c>
      <c r="HY147">
        <f>IF(OR(HT$3="",HT$3&gt;TODAY()),"",IF(AND(HW147="",HX147=""),"",N(HX147)-N(HW147)))</f>
        <v/>
      </c>
      <c r="IC147">
        <f>IF(OR(IA$3="",IA$3&gt;TODAY()),"",IF(AND(IA147="",IB147=""),"",N(IB147)-N(IA147)))</f>
        <v/>
      </c>
      <c r="IF147">
        <f>IF(OR(IA$3="",IA$3&gt;TODAY()),"",IF(AND(ID147="",IE147=""),"",N(IE147)-N(ID147)))</f>
        <v/>
      </c>
      <c r="IJ147">
        <f>IF(OR(IH$3="",IH$3&gt;TODAY()),"",IF(AND(IH147="",II147=""),"",N(II147)-N(IH147)))</f>
        <v/>
      </c>
      <c r="IM147">
        <f>IF(OR(IH$3="",IH$3&gt;TODAY()),"",IF(AND(IK147="",IL147=""),"",N(IL147)-N(IK147)))</f>
        <v/>
      </c>
    </row>
    <row r="148">
      <c r="A148" s="21" t="n"/>
      <c r="B148" s="21" t="n"/>
      <c r="C148" s="21" t="n"/>
      <c r="D148" s="21" t="n"/>
      <c r="E148" s="21" t="n"/>
      <c r="F148" s="21" t="n"/>
      <c r="G148" s="21" t="n"/>
      <c r="H148" s="21" t="n"/>
      <c r="I148" s="22" t="n"/>
      <c r="J148" s="22" t="n"/>
      <c r="K148" s="23" t="n"/>
      <c r="L148" s="22" t="n"/>
      <c r="M148" s="22" t="n"/>
      <c r="N148" s="21" t="n"/>
      <c r="O148" s="23" t="n"/>
      <c r="P148" s="23" t="n"/>
      <c r="Q148" s="23" t="n"/>
      <c r="R148" s="23" t="n"/>
      <c r="S148" s="22" t="n"/>
      <c r="T148" s="23" t="n"/>
      <c r="U148" s="23" t="n"/>
      <c r="V148" s="24">
        <f>IF(J148&lt;&gt;"",J148,IF(I148&lt;&gt;"",I148,""))</f>
        <v/>
      </c>
      <c r="W148" s="25">
        <f>IF($E148="","",N(O148)+SUMIFS($AF148:$IN148,$AF$4:$IN$4,"SEW_ACT"))</f>
        <v/>
      </c>
      <c r="X148" s="25">
        <f>IF($E148="","",N(P148)+SUMIFS($AF148:$IN148,$AF$4:$IN$4,"WASH_ACT"))</f>
        <v/>
      </c>
      <c r="Y148" s="25">
        <f>IF($E148="","",W148-X148-N(T148)-N(U148))</f>
        <v/>
      </c>
      <c r="Z148" s="25">
        <f>IF($E148="","",IF(N(K148)-X148&lt;=0.02*N(K148),0,N(K148)-X148))</f>
        <v/>
      </c>
      <c r="AA148" s="24">
        <f>IF($E148="","",IF(S148&lt;&gt;"",S148,IF(N(O148)&gt;0,IF(L148&lt;&gt;"",L148,99999),IFERROR(1/(1/_xlfn.MINIFS($AF$3:$IN$3,$AF$4:$IN$4,"SEW_ACT",$AF148:$IN148,"&gt;0")),99999))))</f>
        <v/>
      </c>
      <c r="AB148" s="26">
        <f>IF(OR($E148="",Z148=0,V148=""),"",1+COUNTIFS(Z$8:Z$707,"&gt;0",V$8:V$707,"&lt;"&amp;V148)+COUNTIFS(Z$8:Z$707,"&gt;0",V$8:V$707,V148,AA$8:AA$707,"&lt;"&amp;AA148)+COUNTIFS(Z$8:Z$707,"&gt;0",V$8:V$707,V148,AA$8:AA$707,AA148,E$8:E$707,"&lt;"&amp;$E148))</f>
        <v/>
      </c>
      <c r="AC148" s="24">
        <f>IF(OR($E148="",Z148=0),"",IFERROR(TODAY()+ROUNDUP(Z148/(SUMIFS($AF148:$IN148,$AF$4:$IN$4,"WASH_ACT")/COUNTIFS($AF$4:$IN$4,"WASH_ACT",$AF148:$IN148,"&gt;0")),0),"no output yet"))</f>
        <v/>
      </c>
      <c r="AD148" s="26">
        <f>IF($E148="","",IFERROR(ROUND(MAX(0,SUMIFS($AF148:$IN148,$AF$4:$IN$4,"SEW_PLAN",$AF$3:$IN$3,"&lt;="&amp;TODAY())-SUMIFS($AF148:$IN148,$AF$4:$IN$4,"SEW_ACT",$AF$3:$IN$3,"&lt;="&amp;TODAY())+N(Q148))/(SUMIFS($AF148:$IN148,$AF$4:$IN$4,"SEW_PLAN")/COUNTIFS($AF$4:$IN$4,"SEW_PLAN",$AF148:$IN148,"&gt;0")),1),0))</f>
        <v/>
      </c>
      <c r="AE148" s="26">
        <f>IF($E148="","",IF(AND(Z148&gt;0,OR(AND(M148&lt;&gt;"",TODAY()&gt;M148),AND(V148&lt;&gt;"",V148-TODAY()&lt;=7))),"Yes","No"))</f>
        <v/>
      </c>
      <c r="AH148">
        <f>IF(OR(AF$3="",AF$3&gt;TODAY()),"",IF(AND(AF148="",AG148=""),"",N(AG148)-N(AF148)))</f>
        <v/>
      </c>
      <c r="AK148">
        <f>IF(OR(AF$3="",AF$3&gt;TODAY()),"",IF(AND(AI148="",AJ148=""),"",N(AJ148)-N(AI148)))</f>
        <v/>
      </c>
      <c r="AO148">
        <f>IF(OR(AM$3="",AM$3&gt;TODAY()),"",IF(AND(AM148="",AN148=""),"",N(AN148)-N(AM148)))</f>
        <v/>
      </c>
      <c r="AR148">
        <f>IF(OR(AM$3="",AM$3&gt;TODAY()),"",IF(AND(AP148="",AQ148=""),"",N(AQ148)-N(AP148)))</f>
        <v/>
      </c>
      <c r="AV148">
        <f>IF(OR(AT$3="",AT$3&gt;TODAY()),"",IF(AND(AT148="",AU148=""),"",N(AU148)-N(AT148)))</f>
        <v/>
      </c>
      <c r="AY148">
        <f>IF(OR(AT$3="",AT$3&gt;TODAY()),"",IF(AND(AW148="",AX148=""),"",N(AX148)-N(AW148)))</f>
        <v/>
      </c>
      <c r="BC148">
        <f>IF(OR(BA$3="",BA$3&gt;TODAY()),"",IF(AND(BA148="",BB148=""),"",N(BB148)-N(BA148)))</f>
        <v/>
      </c>
      <c r="BF148">
        <f>IF(OR(BA$3="",BA$3&gt;TODAY()),"",IF(AND(BD148="",BE148=""),"",N(BE148)-N(BD148)))</f>
        <v/>
      </c>
      <c r="BJ148">
        <f>IF(OR(BH$3="",BH$3&gt;TODAY()),"",IF(AND(BH148="",BI148=""),"",N(BI148)-N(BH148)))</f>
        <v/>
      </c>
      <c r="BM148">
        <f>IF(OR(BH$3="",BH$3&gt;TODAY()),"",IF(AND(BK148="",BL148=""),"",N(BL148)-N(BK148)))</f>
        <v/>
      </c>
      <c r="BQ148">
        <f>IF(OR(BO$3="",BO$3&gt;TODAY()),"",IF(AND(BO148="",BP148=""),"",N(BP148)-N(BO148)))</f>
        <v/>
      </c>
      <c r="BT148">
        <f>IF(OR(BO$3="",BO$3&gt;TODAY()),"",IF(AND(BR148="",BS148=""),"",N(BS148)-N(BR148)))</f>
        <v/>
      </c>
      <c r="BX148">
        <f>IF(OR(BV$3="",BV$3&gt;TODAY()),"",IF(AND(BV148="",BW148=""),"",N(BW148)-N(BV148)))</f>
        <v/>
      </c>
      <c r="CA148">
        <f>IF(OR(BV$3="",BV$3&gt;TODAY()),"",IF(AND(BY148="",BZ148=""),"",N(BZ148)-N(BY148)))</f>
        <v/>
      </c>
      <c r="CE148">
        <f>IF(OR(CC$3="",CC$3&gt;TODAY()),"",IF(AND(CC148="",CD148=""),"",N(CD148)-N(CC148)))</f>
        <v/>
      </c>
      <c r="CH148">
        <f>IF(OR(CC$3="",CC$3&gt;TODAY()),"",IF(AND(CF148="",CG148=""),"",N(CG148)-N(CF148)))</f>
        <v/>
      </c>
      <c r="CL148">
        <f>IF(OR(CJ$3="",CJ$3&gt;TODAY()),"",IF(AND(CJ148="",CK148=""),"",N(CK148)-N(CJ148)))</f>
        <v/>
      </c>
      <c r="CO148">
        <f>IF(OR(CJ$3="",CJ$3&gt;TODAY()),"",IF(AND(CM148="",CN148=""),"",N(CN148)-N(CM148)))</f>
        <v/>
      </c>
      <c r="CS148">
        <f>IF(OR(CQ$3="",CQ$3&gt;TODAY()),"",IF(AND(CQ148="",CR148=""),"",N(CR148)-N(CQ148)))</f>
        <v/>
      </c>
      <c r="CV148">
        <f>IF(OR(CQ$3="",CQ$3&gt;TODAY()),"",IF(AND(CT148="",CU148=""),"",N(CU148)-N(CT148)))</f>
        <v/>
      </c>
      <c r="CZ148">
        <f>IF(OR(CX$3="",CX$3&gt;TODAY()),"",IF(AND(CX148="",CY148=""),"",N(CY148)-N(CX148)))</f>
        <v/>
      </c>
      <c r="DC148">
        <f>IF(OR(CX$3="",CX$3&gt;TODAY()),"",IF(AND(DA148="",DB148=""),"",N(DB148)-N(DA148)))</f>
        <v/>
      </c>
      <c r="DG148">
        <f>IF(OR(DE$3="",DE$3&gt;TODAY()),"",IF(AND(DE148="",DF148=""),"",N(DF148)-N(DE148)))</f>
        <v/>
      </c>
      <c r="DJ148">
        <f>IF(OR(DE$3="",DE$3&gt;TODAY()),"",IF(AND(DH148="",DI148=""),"",N(DI148)-N(DH148)))</f>
        <v/>
      </c>
      <c r="DN148">
        <f>IF(OR(DL$3="",DL$3&gt;TODAY()),"",IF(AND(DL148="",DM148=""),"",N(DM148)-N(DL148)))</f>
        <v/>
      </c>
      <c r="DQ148">
        <f>IF(OR(DL$3="",DL$3&gt;TODAY()),"",IF(AND(DO148="",DP148=""),"",N(DP148)-N(DO148)))</f>
        <v/>
      </c>
      <c r="DU148">
        <f>IF(OR(DS$3="",DS$3&gt;TODAY()),"",IF(AND(DS148="",DT148=""),"",N(DT148)-N(DS148)))</f>
        <v/>
      </c>
      <c r="DX148">
        <f>IF(OR(DS$3="",DS$3&gt;TODAY()),"",IF(AND(DV148="",DW148=""),"",N(DW148)-N(DV148)))</f>
        <v/>
      </c>
      <c r="EB148">
        <f>IF(OR(DZ$3="",DZ$3&gt;TODAY()),"",IF(AND(DZ148="",EA148=""),"",N(EA148)-N(DZ148)))</f>
        <v/>
      </c>
      <c r="EE148">
        <f>IF(OR(DZ$3="",DZ$3&gt;TODAY()),"",IF(AND(EC148="",ED148=""),"",N(ED148)-N(EC148)))</f>
        <v/>
      </c>
      <c r="EI148">
        <f>IF(OR(EG$3="",EG$3&gt;TODAY()),"",IF(AND(EG148="",EH148=""),"",N(EH148)-N(EG148)))</f>
        <v/>
      </c>
      <c r="EL148">
        <f>IF(OR(EG$3="",EG$3&gt;TODAY()),"",IF(AND(EJ148="",EK148=""),"",N(EK148)-N(EJ148)))</f>
        <v/>
      </c>
      <c r="EP148">
        <f>IF(OR(EN$3="",EN$3&gt;TODAY()),"",IF(AND(EN148="",EO148=""),"",N(EO148)-N(EN148)))</f>
        <v/>
      </c>
      <c r="ES148">
        <f>IF(OR(EN$3="",EN$3&gt;TODAY()),"",IF(AND(EQ148="",ER148=""),"",N(ER148)-N(EQ148)))</f>
        <v/>
      </c>
      <c r="EW148">
        <f>IF(OR(EU$3="",EU$3&gt;TODAY()),"",IF(AND(EU148="",EV148=""),"",N(EV148)-N(EU148)))</f>
        <v/>
      </c>
      <c r="EZ148">
        <f>IF(OR(EU$3="",EU$3&gt;TODAY()),"",IF(AND(EX148="",EY148=""),"",N(EY148)-N(EX148)))</f>
        <v/>
      </c>
      <c r="FD148">
        <f>IF(OR(FB$3="",FB$3&gt;TODAY()),"",IF(AND(FB148="",FC148=""),"",N(FC148)-N(FB148)))</f>
        <v/>
      </c>
      <c r="FG148">
        <f>IF(OR(FB$3="",FB$3&gt;TODAY()),"",IF(AND(FE148="",FF148=""),"",N(FF148)-N(FE148)))</f>
        <v/>
      </c>
      <c r="FK148">
        <f>IF(OR(FI$3="",FI$3&gt;TODAY()),"",IF(AND(FI148="",FJ148=""),"",N(FJ148)-N(FI148)))</f>
        <v/>
      </c>
      <c r="FN148">
        <f>IF(OR(FI$3="",FI$3&gt;TODAY()),"",IF(AND(FL148="",FM148=""),"",N(FM148)-N(FL148)))</f>
        <v/>
      </c>
      <c r="FR148">
        <f>IF(OR(FP$3="",FP$3&gt;TODAY()),"",IF(AND(FP148="",FQ148=""),"",N(FQ148)-N(FP148)))</f>
        <v/>
      </c>
      <c r="FU148">
        <f>IF(OR(FP$3="",FP$3&gt;TODAY()),"",IF(AND(FS148="",FT148=""),"",N(FT148)-N(FS148)))</f>
        <v/>
      </c>
      <c r="FY148">
        <f>IF(OR(FW$3="",FW$3&gt;TODAY()),"",IF(AND(FW148="",FX148=""),"",N(FX148)-N(FW148)))</f>
        <v/>
      </c>
      <c r="GB148">
        <f>IF(OR(FW$3="",FW$3&gt;TODAY()),"",IF(AND(FZ148="",GA148=""),"",N(GA148)-N(FZ148)))</f>
        <v/>
      </c>
      <c r="GF148">
        <f>IF(OR(GD$3="",GD$3&gt;TODAY()),"",IF(AND(GD148="",GE148=""),"",N(GE148)-N(GD148)))</f>
        <v/>
      </c>
      <c r="GI148">
        <f>IF(OR(GD$3="",GD$3&gt;TODAY()),"",IF(AND(GG148="",GH148=""),"",N(GH148)-N(GG148)))</f>
        <v/>
      </c>
      <c r="GM148">
        <f>IF(OR(GK$3="",GK$3&gt;TODAY()),"",IF(AND(GK148="",GL148=""),"",N(GL148)-N(GK148)))</f>
        <v/>
      </c>
      <c r="GP148">
        <f>IF(OR(GK$3="",GK$3&gt;TODAY()),"",IF(AND(GN148="",GO148=""),"",N(GO148)-N(GN148)))</f>
        <v/>
      </c>
      <c r="GT148">
        <f>IF(OR(GR$3="",GR$3&gt;TODAY()),"",IF(AND(GR148="",GS148=""),"",N(GS148)-N(GR148)))</f>
        <v/>
      </c>
      <c r="GW148">
        <f>IF(OR(GR$3="",GR$3&gt;TODAY()),"",IF(AND(GU148="",GV148=""),"",N(GV148)-N(GU148)))</f>
        <v/>
      </c>
      <c r="HA148">
        <f>IF(OR(GY$3="",GY$3&gt;TODAY()),"",IF(AND(GY148="",GZ148=""),"",N(GZ148)-N(GY148)))</f>
        <v/>
      </c>
      <c r="HD148">
        <f>IF(OR(GY$3="",GY$3&gt;TODAY()),"",IF(AND(HB148="",HC148=""),"",N(HC148)-N(HB148)))</f>
        <v/>
      </c>
      <c r="HH148">
        <f>IF(OR(HF$3="",HF$3&gt;TODAY()),"",IF(AND(HF148="",HG148=""),"",N(HG148)-N(HF148)))</f>
        <v/>
      </c>
      <c r="HK148">
        <f>IF(OR(HF$3="",HF$3&gt;TODAY()),"",IF(AND(HI148="",HJ148=""),"",N(HJ148)-N(HI148)))</f>
        <v/>
      </c>
      <c r="HO148">
        <f>IF(OR(HM$3="",HM$3&gt;TODAY()),"",IF(AND(HM148="",HN148=""),"",N(HN148)-N(HM148)))</f>
        <v/>
      </c>
      <c r="HR148">
        <f>IF(OR(HM$3="",HM$3&gt;TODAY()),"",IF(AND(HP148="",HQ148=""),"",N(HQ148)-N(HP148)))</f>
        <v/>
      </c>
      <c r="HV148">
        <f>IF(OR(HT$3="",HT$3&gt;TODAY()),"",IF(AND(HT148="",HU148=""),"",N(HU148)-N(HT148)))</f>
        <v/>
      </c>
      <c r="HY148">
        <f>IF(OR(HT$3="",HT$3&gt;TODAY()),"",IF(AND(HW148="",HX148=""),"",N(HX148)-N(HW148)))</f>
        <v/>
      </c>
      <c r="IC148">
        <f>IF(OR(IA$3="",IA$3&gt;TODAY()),"",IF(AND(IA148="",IB148=""),"",N(IB148)-N(IA148)))</f>
        <v/>
      </c>
      <c r="IF148">
        <f>IF(OR(IA$3="",IA$3&gt;TODAY()),"",IF(AND(ID148="",IE148=""),"",N(IE148)-N(ID148)))</f>
        <v/>
      </c>
      <c r="IJ148">
        <f>IF(OR(IH$3="",IH$3&gt;TODAY()),"",IF(AND(IH148="",II148=""),"",N(II148)-N(IH148)))</f>
        <v/>
      </c>
      <c r="IM148">
        <f>IF(OR(IH$3="",IH$3&gt;TODAY()),"",IF(AND(IK148="",IL148=""),"",N(IL148)-N(IK148)))</f>
        <v/>
      </c>
    </row>
    <row r="149">
      <c r="A149" s="21" t="n"/>
      <c r="B149" s="21" t="n"/>
      <c r="C149" s="21" t="n"/>
      <c r="D149" s="21" t="n"/>
      <c r="E149" s="21" t="n"/>
      <c r="F149" s="21" t="n"/>
      <c r="G149" s="21" t="n"/>
      <c r="H149" s="21" t="n"/>
      <c r="I149" s="22" t="n"/>
      <c r="J149" s="22" t="n"/>
      <c r="K149" s="23" t="n"/>
      <c r="L149" s="22" t="n"/>
      <c r="M149" s="22" t="n"/>
      <c r="N149" s="21" t="n"/>
      <c r="O149" s="23" t="n"/>
      <c r="P149" s="23" t="n"/>
      <c r="Q149" s="23" t="n"/>
      <c r="R149" s="23" t="n"/>
      <c r="S149" s="22" t="n"/>
      <c r="T149" s="23" t="n"/>
      <c r="U149" s="23" t="n"/>
      <c r="V149" s="24">
        <f>IF(J149&lt;&gt;"",J149,IF(I149&lt;&gt;"",I149,""))</f>
        <v/>
      </c>
      <c r="W149" s="25">
        <f>IF($E149="","",N(O149)+SUMIFS($AF149:$IN149,$AF$4:$IN$4,"SEW_ACT"))</f>
        <v/>
      </c>
      <c r="X149" s="25">
        <f>IF($E149="","",N(P149)+SUMIFS($AF149:$IN149,$AF$4:$IN$4,"WASH_ACT"))</f>
        <v/>
      </c>
      <c r="Y149" s="25">
        <f>IF($E149="","",W149-X149-N(T149)-N(U149))</f>
        <v/>
      </c>
      <c r="Z149" s="25">
        <f>IF($E149="","",IF(N(K149)-X149&lt;=0.02*N(K149),0,N(K149)-X149))</f>
        <v/>
      </c>
      <c r="AA149" s="24">
        <f>IF($E149="","",IF(S149&lt;&gt;"",S149,IF(N(O149)&gt;0,IF(L149&lt;&gt;"",L149,99999),IFERROR(1/(1/_xlfn.MINIFS($AF$3:$IN$3,$AF$4:$IN$4,"SEW_ACT",$AF149:$IN149,"&gt;0")),99999))))</f>
        <v/>
      </c>
      <c r="AB149" s="26">
        <f>IF(OR($E149="",Z149=0,V149=""),"",1+COUNTIFS(Z$8:Z$707,"&gt;0",V$8:V$707,"&lt;"&amp;V149)+COUNTIFS(Z$8:Z$707,"&gt;0",V$8:V$707,V149,AA$8:AA$707,"&lt;"&amp;AA149)+COUNTIFS(Z$8:Z$707,"&gt;0",V$8:V$707,V149,AA$8:AA$707,AA149,E$8:E$707,"&lt;"&amp;$E149))</f>
        <v/>
      </c>
      <c r="AC149" s="24">
        <f>IF(OR($E149="",Z149=0),"",IFERROR(TODAY()+ROUNDUP(Z149/(SUMIFS($AF149:$IN149,$AF$4:$IN$4,"WASH_ACT")/COUNTIFS($AF$4:$IN$4,"WASH_ACT",$AF149:$IN149,"&gt;0")),0),"no output yet"))</f>
        <v/>
      </c>
      <c r="AD149" s="26">
        <f>IF($E149="","",IFERROR(ROUND(MAX(0,SUMIFS($AF149:$IN149,$AF$4:$IN$4,"SEW_PLAN",$AF$3:$IN$3,"&lt;="&amp;TODAY())-SUMIFS($AF149:$IN149,$AF$4:$IN$4,"SEW_ACT",$AF$3:$IN$3,"&lt;="&amp;TODAY())+N(Q149))/(SUMIFS($AF149:$IN149,$AF$4:$IN$4,"SEW_PLAN")/COUNTIFS($AF$4:$IN$4,"SEW_PLAN",$AF149:$IN149,"&gt;0")),1),0))</f>
        <v/>
      </c>
      <c r="AE149" s="26">
        <f>IF($E149="","",IF(AND(Z149&gt;0,OR(AND(M149&lt;&gt;"",TODAY()&gt;M149),AND(V149&lt;&gt;"",V149-TODAY()&lt;=7))),"Yes","No"))</f>
        <v/>
      </c>
      <c r="AH149">
        <f>IF(OR(AF$3="",AF$3&gt;TODAY()),"",IF(AND(AF149="",AG149=""),"",N(AG149)-N(AF149)))</f>
        <v/>
      </c>
      <c r="AK149">
        <f>IF(OR(AF$3="",AF$3&gt;TODAY()),"",IF(AND(AI149="",AJ149=""),"",N(AJ149)-N(AI149)))</f>
        <v/>
      </c>
      <c r="AO149">
        <f>IF(OR(AM$3="",AM$3&gt;TODAY()),"",IF(AND(AM149="",AN149=""),"",N(AN149)-N(AM149)))</f>
        <v/>
      </c>
      <c r="AR149">
        <f>IF(OR(AM$3="",AM$3&gt;TODAY()),"",IF(AND(AP149="",AQ149=""),"",N(AQ149)-N(AP149)))</f>
        <v/>
      </c>
      <c r="AV149">
        <f>IF(OR(AT$3="",AT$3&gt;TODAY()),"",IF(AND(AT149="",AU149=""),"",N(AU149)-N(AT149)))</f>
        <v/>
      </c>
      <c r="AY149">
        <f>IF(OR(AT$3="",AT$3&gt;TODAY()),"",IF(AND(AW149="",AX149=""),"",N(AX149)-N(AW149)))</f>
        <v/>
      </c>
      <c r="BC149">
        <f>IF(OR(BA$3="",BA$3&gt;TODAY()),"",IF(AND(BA149="",BB149=""),"",N(BB149)-N(BA149)))</f>
        <v/>
      </c>
      <c r="BF149">
        <f>IF(OR(BA$3="",BA$3&gt;TODAY()),"",IF(AND(BD149="",BE149=""),"",N(BE149)-N(BD149)))</f>
        <v/>
      </c>
      <c r="BJ149">
        <f>IF(OR(BH$3="",BH$3&gt;TODAY()),"",IF(AND(BH149="",BI149=""),"",N(BI149)-N(BH149)))</f>
        <v/>
      </c>
      <c r="BM149">
        <f>IF(OR(BH$3="",BH$3&gt;TODAY()),"",IF(AND(BK149="",BL149=""),"",N(BL149)-N(BK149)))</f>
        <v/>
      </c>
      <c r="BQ149">
        <f>IF(OR(BO$3="",BO$3&gt;TODAY()),"",IF(AND(BO149="",BP149=""),"",N(BP149)-N(BO149)))</f>
        <v/>
      </c>
      <c r="BT149">
        <f>IF(OR(BO$3="",BO$3&gt;TODAY()),"",IF(AND(BR149="",BS149=""),"",N(BS149)-N(BR149)))</f>
        <v/>
      </c>
      <c r="BX149">
        <f>IF(OR(BV$3="",BV$3&gt;TODAY()),"",IF(AND(BV149="",BW149=""),"",N(BW149)-N(BV149)))</f>
        <v/>
      </c>
      <c r="CA149">
        <f>IF(OR(BV$3="",BV$3&gt;TODAY()),"",IF(AND(BY149="",BZ149=""),"",N(BZ149)-N(BY149)))</f>
        <v/>
      </c>
      <c r="CE149">
        <f>IF(OR(CC$3="",CC$3&gt;TODAY()),"",IF(AND(CC149="",CD149=""),"",N(CD149)-N(CC149)))</f>
        <v/>
      </c>
      <c r="CH149">
        <f>IF(OR(CC$3="",CC$3&gt;TODAY()),"",IF(AND(CF149="",CG149=""),"",N(CG149)-N(CF149)))</f>
        <v/>
      </c>
      <c r="CL149">
        <f>IF(OR(CJ$3="",CJ$3&gt;TODAY()),"",IF(AND(CJ149="",CK149=""),"",N(CK149)-N(CJ149)))</f>
        <v/>
      </c>
      <c r="CO149">
        <f>IF(OR(CJ$3="",CJ$3&gt;TODAY()),"",IF(AND(CM149="",CN149=""),"",N(CN149)-N(CM149)))</f>
        <v/>
      </c>
      <c r="CS149">
        <f>IF(OR(CQ$3="",CQ$3&gt;TODAY()),"",IF(AND(CQ149="",CR149=""),"",N(CR149)-N(CQ149)))</f>
        <v/>
      </c>
      <c r="CV149">
        <f>IF(OR(CQ$3="",CQ$3&gt;TODAY()),"",IF(AND(CT149="",CU149=""),"",N(CU149)-N(CT149)))</f>
        <v/>
      </c>
      <c r="CZ149">
        <f>IF(OR(CX$3="",CX$3&gt;TODAY()),"",IF(AND(CX149="",CY149=""),"",N(CY149)-N(CX149)))</f>
        <v/>
      </c>
      <c r="DC149">
        <f>IF(OR(CX$3="",CX$3&gt;TODAY()),"",IF(AND(DA149="",DB149=""),"",N(DB149)-N(DA149)))</f>
        <v/>
      </c>
      <c r="DG149">
        <f>IF(OR(DE$3="",DE$3&gt;TODAY()),"",IF(AND(DE149="",DF149=""),"",N(DF149)-N(DE149)))</f>
        <v/>
      </c>
      <c r="DJ149">
        <f>IF(OR(DE$3="",DE$3&gt;TODAY()),"",IF(AND(DH149="",DI149=""),"",N(DI149)-N(DH149)))</f>
        <v/>
      </c>
      <c r="DN149">
        <f>IF(OR(DL$3="",DL$3&gt;TODAY()),"",IF(AND(DL149="",DM149=""),"",N(DM149)-N(DL149)))</f>
        <v/>
      </c>
      <c r="DQ149">
        <f>IF(OR(DL$3="",DL$3&gt;TODAY()),"",IF(AND(DO149="",DP149=""),"",N(DP149)-N(DO149)))</f>
        <v/>
      </c>
      <c r="DU149">
        <f>IF(OR(DS$3="",DS$3&gt;TODAY()),"",IF(AND(DS149="",DT149=""),"",N(DT149)-N(DS149)))</f>
        <v/>
      </c>
      <c r="DX149">
        <f>IF(OR(DS$3="",DS$3&gt;TODAY()),"",IF(AND(DV149="",DW149=""),"",N(DW149)-N(DV149)))</f>
        <v/>
      </c>
      <c r="EB149">
        <f>IF(OR(DZ$3="",DZ$3&gt;TODAY()),"",IF(AND(DZ149="",EA149=""),"",N(EA149)-N(DZ149)))</f>
        <v/>
      </c>
      <c r="EE149">
        <f>IF(OR(DZ$3="",DZ$3&gt;TODAY()),"",IF(AND(EC149="",ED149=""),"",N(ED149)-N(EC149)))</f>
        <v/>
      </c>
      <c r="EI149">
        <f>IF(OR(EG$3="",EG$3&gt;TODAY()),"",IF(AND(EG149="",EH149=""),"",N(EH149)-N(EG149)))</f>
        <v/>
      </c>
      <c r="EL149">
        <f>IF(OR(EG$3="",EG$3&gt;TODAY()),"",IF(AND(EJ149="",EK149=""),"",N(EK149)-N(EJ149)))</f>
        <v/>
      </c>
      <c r="EP149">
        <f>IF(OR(EN$3="",EN$3&gt;TODAY()),"",IF(AND(EN149="",EO149=""),"",N(EO149)-N(EN149)))</f>
        <v/>
      </c>
      <c r="ES149">
        <f>IF(OR(EN$3="",EN$3&gt;TODAY()),"",IF(AND(EQ149="",ER149=""),"",N(ER149)-N(EQ149)))</f>
        <v/>
      </c>
      <c r="EW149">
        <f>IF(OR(EU$3="",EU$3&gt;TODAY()),"",IF(AND(EU149="",EV149=""),"",N(EV149)-N(EU149)))</f>
        <v/>
      </c>
      <c r="EZ149">
        <f>IF(OR(EU$3="",EU$3&gt;TODAY()),"",IF(AND(EX149="",EY149=""),"",N(EY149)-N(EX149)))</f>
        <v/>
      </c>
      <c r="FD149">
        <f>IF(OR(FB$3="",FB$3&gt;TODAY()),"",IF(AND(FB149="",FC149=""),"",N(FC149)-N(FB149)))</f>
        <v/>
      </c>
      <c r="FG149">
        <f>IF(OR(FB$3="",FB$3&gt;TODAY()),"",IF(AND(FE149="",FF149=""),"",N(FF149)-N(FE149)))</f>
        <v/>
      </c>
      <c r="FK149">
        <f>IF(OR(FI$3="",FI$3&gt;TODAY()),"",IF(AND(FI149="",FJ149=""),"",N(FJ149)-N(FI149)))</f>
        <v/>
      </c>
      <c r="FN149">
        <f>IF(OR(FI$3="",FI$3&gt;TODAY()),"",IF(AND(FL149="",FM149=""),"",N(FM149)-N(FL149)))</f>
        <v/>
      </c>
      <c r="FR149">
        <f>IF(OR(FP$3="",FP$3&gt;TODAY()),"",IF(AND(FP149="",FQ149=""),"",N(FQ149)-N(FP149)))</f>
        <v/>
      </c>
      <c r="FU149">
        <f>IF(OR(FP$3="",FP$3&gt;TODAY()),"",IF(AND(FS149="",FT149=""),"",N(FT149)-N(FS149)))</f>
        <v/>
      </c>
      <c r="FY149">
        <f>IF(OR(FW$3="",FW$3&gt;TODAY()),"",IF(AND(FW149="",FX149=""),"",N(FX149)-N(FW149)))</f>
        <v/>
      </c>
      <c r="GB149">
        <f>IF(OR(FW$3="",FW$3&gt;TODAY()),"",IF(AND(FZ149="",GA149=""),"",N(GA149)-N(FZ149)))</f>
        <v/>
      </c>
      <c r="GF149">
        <f>IF(OR(GD$3="",GD$3&gt;TODAY()),"",IF(AND(GD149="",GE149=""),"",N(GE149)-N(GD149)))</f>
        <v/>
      </c>
      <c r="GI149">
        <f>IF(OR(GD$3="",GD$3&gt;TODAY()),"",IF(AND(GG149="",GH149=""),"",N(GH149)-N(GG149)))</f>
        <v/>
      </c>
      <c r="GM149">
        <f>IF(OR(GK$3="",GK$3&gt;TODAY()),"",IF(AND(GK149="",GL149=""),"",N(GL149)-N(GK149)))</f>
        <v/>
      </c>
      <c r="GP149">
        <f>IF(OR(GK$3="",GK$3&gt;TODAY()),"",IF(AND(GN149="",GO149=""),"",N(GO149)-N(GN149)))</f>
        <v/>
      </c>
      <c r="GT149">
        <f>IF(OR(GR$3="",GR$3&gt;TODAY()),"",IF(AND(GR149="",GS149=""),"",N(GS149)-N(GR149)))</f>
        <v/>
      </c>
      <c r="GW149">
        <f>IF(OR(GR$3="",GR$3&gt;TODAY()),"",IF(AND(GU149="",GV149=""),"",N(GV149)-N(GU149)))</f>
        <v/>
      </c>
      <c r="HA149">
        <f>IF(OR(GY$3="",GY$3&gt;TODAY()),"",IF(AND(GY149="",GZ149=""),"",N(GZ149)-N(GY149)))</f>
        <v/>
      </c>
      <c r="HD149">
        <f>IF(OR(GY$3="",GY$3&gt;TODAY()),"",IF(AND(HB149="",HC149=""),"",N(HC149)-N(HB149)))</f>
        <v/>
      </c>
      <c r="HH149">
        <f>IF(OR(HF$3="",HF$3&gt;TODAY()),"",IF(AND(HF149="",HG149=""),"",N(HG149)-N(HF149)))</f>
        <v/>
      </c>
      <c r="HK149">
        <f>IF(OR(HF$3="",HF$3&gt;TODAY()),"",IF(AND(HI149="",HJ149=""),"",N(HJ149)-N(HI149)))</f>
        <v/>
      </c>
      <c r="HO149">
        <f>IF(OR(HM$3="",HM$3&gt;TODAY()),"",IF(AND(HM149="",HN149=""),"",N(HN149)-N(HM149)))</f>
        <v/>
      </c>
      <c r="HR149">
        <f>IF(OR(HM$3="",HM$3&gt;TODAY()),"",IF(AND(HP149="",HQ149=""),"",N(HQ149)-N(HP149)))</f>
        <v/>
      </c>
      <c r="HV149">
        <f>IF(OR(HT$3="",HT$3&gt;TODAY()),"",IF(AND(HT149="",HU149=""),"",N(HU149)-N(HT149)))</f>
        <v/>
      </c>
      <c r="HY149">
        <f>IF(OR(HT$3="",HT$3&gt;TODAY()),"",IF(AND(HW149="",HX149=""),"",N(HX149)-N(HW149)))</f>
        <v/>
      </c>
      <c r="IC149">
        <f>IF(OR(IA$3="",IA$3&gt;TODAY()),"",IF(AND(IA149="",IB149=""),"",N(IB149)-N(IA149)))</f>
        <v/>
      </c>
      <c r="IF149">
        <f>IF(OR(IA$3="",IA$3&gt;TODAY()),"",IF(AND(ID149="",IE149=""),"",N(IE149)-N(ID149)))</f>
        <v/>
      </c>
      <c r="IJ149">
        <f>IF(OR(IH$3="",IH$3&gt;TODAY()),"",IF(AND(IH149="",II149=""),"",N(II149)-N(IH149)))</f>
        <v/>
      </c>
      <c r="IM149">
        <f>IF(OR(IH$3="",IH$3&gt;TODAY()),"",IF(AND(IK149="",IL149=""),"",N(IL149)-N(IK149)))</f>
        <v/>
      </c>
    </row>
    <row r="150">
      <c r="A150" s="21" t="n"/>
      <c r="B150" s="21" t="n"/>
      <c r="C150" s="21" t="n"/>
      <c r="D150" s="21" t="n"/>
      <c r="E150" s="21" t="n"/>
      <c r="F150" s="21" t="n"/>
      <c r="G150" s="21" t="n"/>
      <c r="H150" s="21" t="n"/>
      <c r="I150" s="22" t="n"/>
      <c r="J150" s="22" t="n"/>
      <c r="K150" s="23" t="n"/>
      <c r="L150" s="22" t="n"/>
      <c r="M150" s="22" t="n"/>
      <c r="N150" s="21" t="n"/>
      <c r="O150" s="23" t="n"/>
      <c r="P150" s="23" t="n"/>
      <c r="Q150" s="23" t="n"/>
      <c r="R150" s="23" t="n"/>
      <c r="S150" s="22" t="n"/>
      <c r="T150" s="23" t="n"/>
      <c r="U150" s="23" t="n"/>
      <c r="V150" s="24">
        <f>IF(J150&lt;&gt;"",J150,IF(I150&lt;&gt;"",I150,""))</f>
        <v/>
      </c>
      <c r="W150" s="25">
        <f>IF($E150="","",N(O150)+SUMIFS($AF150:$IN150,$AF$4:$IN$4,"SEW_ACT"))</f>
        <v/>
      </c>
      <c r="X150" s="25">
        <f>IF($E150="","",N(P150)+SUMIFS($AF150:$IN150,$AF$4:$IN$4,"WASH_ACT"))</f>
        <v/>
      </c>
      <c r="Y150" s="25">
        <f>IF($E150="","",W150-X150-N(T150)-N(U150))</f>
        <v/>
      </c>
      <c r="Z150" s="25">
        <f>IF($E150="","",IF(N(K150)-X150&lt;=0.02*N(K150),0,N(K150)-X150))</f>
        <v/>
      </c>
      <c r="AA150" s="24">
        <f>IF($E150="","",IF(S150&lt;&gt;"",S150,IF(N(O150)&gt;0,IF(L150&lt;&gt;"",L150,99999),IFERROR(1/(1/_xlfn.MINIFS($AF$3:$IN$3,$AF$4:$IN$4,"SEW_ACT",$AF150:$IN150,"&gt;0")),99999))))</f>
        <v/>
      </c>
      <c r="AB150" s="26">
        <f>IF(OR($E150="",Z150=0,V150=""),"",1+COUNTIFS(Z$8:Z$707,"&gt;0",V$8:V$707,"&lt;"&amp;V150)+COUNTIFS(Z$8:Z$707,"&gt;0",V$8:V$707,V150,AA$8:AA$707,"&lt;"&amp;AA150)+COUNTIFS(Z$8:Z$707,"&gt;0",V$8:V$707,V150,AA$8:AA$707,AA150,E$8:E$707,"&lt;"&amp;$E150))</f>
        <v/>
      </c>
      <c r="AC150" s="24">
        <f>IF(OR($E150="",Z150=0),"",IFERROR(TODAY()+ROUNDUP(Z150/(SUMIFS($AF150:$IN150,$AF$4:$IN$4,"WASH_ACT")/COUNTIFS($AF$4:$IN$4,"WASH_ACT",$AF150:$IN150,"&gt;0")),0),"no output yet"))</f>
        <v/>
      </c>
      <c r="AD150" s="26">
        <f>IF($E150="","",IFERROR(ROUND(MAX(0,SUMIFS($AF150:$IN150,$AF$4:$IN$4,"SEW_PLAN",$AF$3:$IN$3,"&lt;="&amp;TODAY())-SUMIFS($AF150:$IN150,$AF$4:$IN$4,"SEW_ACT",$AF$3:$IN$3,"&lt;="&amp;TODAY())+N(Q150))/(SUMIFS($AF150:$IN150,$AF$4:$IN$4,"SEW_PLAN")/COUNTIFS($AF$4:$IN$4,"SEW_PLAN",$AF150:$IN150,"&gt;0")),1),0))</f>
        <v/>
      </c>
      <c r="AE150" s="26">
        <f>IF($E150="","",IF(AND(Z150&gt;0,OR(AND(M150&lt;&gt;"",TODAY()&gt;M150),AND(V150&lt;&gt;"",V150-TODAY()&lt;=7))),"Yes","No"))</f>
        <v/>
      </c>
      <c r="AH150">
        <f>IF(OR(AF$3="",AF$3&gt;TODAY()),"",IF(AND(AF150="",AG150=""),"",N(AG150)-N(AF150)))</f>
        <v/>
      </c>
      <c r="AK150">
        <f>IF(OR(AF$3="",AF$3&gt;TODAY()),"",IF(AND(AI150="",AJ150=""),"",N(AJ150)-N(AI150)))</f>
        <v/>
      </c>
      <c r="AO150">
        <f>IF(OR(AM$3="",AM$3&gt;TODAY()),"",IF(AND(AM150="",AN150=""),"",N(AN150)-N(AM150)))</f>
        <v/>
      </c>
      <c r="AR150">
        <f>IF(OR(AM$3="",AM$3&gt;TODAY()),"",IF(AND(AP150="",AQ150=""),"",N(AQ150)-N(AP150)))</f>
        <v/>
      </c>
      <c r="AV150">
        <f>IF(OR(AT$3="",AT$3&gt;TODAY()),"",IF(AND(AT150="",AU150=""),"",N(AU150)-N(AT150)))</f>
        <v/>
      </c>
      <c r="AY150">
        <f>IF(OR(AT$3="",AT$3&gt;TODAY()),"",IF(AND(AW150="",AX150=""),"",N(AX150)-N(AW150)))</f>
        <v/>
      </c>
      <c r="BC150">
        <f>IF(OR(BA$3="",BA$3&gt;TODAY()),"",IF(AND(BA150="",BB150=""),"",N(BB150)-N(BA150)))</f>
        <v/>
      </c>
      <c r="BF150">
        <f>IF(OR(BA$3="",BA$3&gt;TODAY()),"",IF(AND(BD150="",BE150=""),"",N(BE150)-N(BD150)))</f>
        <v/>
      </c>
      <c r="BJ150">
        <f>IF(OR(BH$3="",BH$3&gt;TODAY()),"",IF(AND(BH150="",BI150=""),"",N(BI150)-N(BH150)))</f>
        <v/>
      </c>
      <c r="BM150">
        <f>IF(OR(BH$3="",BH$3&gt;TODAY()),"",IF(AND(BK150="",BL150=""),"",N(BL150)-N(BK150)))</f>
        <v/>
      </c>
      <c r="BQ150">
        <f>IF(OR(BO$3="",BO$3&gt;TODAY()),"",IF(AND(BO150="",BP150=""),"",N(BP150)-N(BO150)))</f>
        <v/>
      </c>
      <c r="BT150">
        <f>IF(OR(BO$3="",BO$3&gt;TODAY()),"",IF(AND(BR150="",BS150=""),"",N(BS150)-N(BR150)))</f>
        <v/>
      </c>
      <c r="BX150">
        <f>IF(OR(BV$3="",BV$3&gt;TODAY()),"",IF(AND(BV150="",BW150=""),"",N(BW150)-N(BV150)))</f>
        <v/>
      </c>
      <c r="CA150">
        <f>IF(OR(BV$3="",BV$3&gt;TODAY()),"",IF(AND(BY150="",BZ150=""),"",N(BZ150)-N(BY150)))</f>
        <v/>
      </c>
      <c r="CE150">
        <f>IF(OR(CC$3="",CC$3&gt;TODAY()),"",IF(AND(CC150="",CD150=""),"",N(CD150)-N(CC150)))</f>
        <v/>
      </c>
      <c r="CH150">
        <f>IF(OR(CC$3="",CC$3&gt;TODAY()),"",IF(AND(CF150="",CG150=""),"",N(CG150)-N(CF150)))</f>
        <v/>
      </c>
      <c r="CL150">
        <f>IF(OR(CJ$3="",CJ$3&gt;TODAY()),"",IF(AND(CJ150="",CK150=""),"",N(CK150)-N(CJ150)))</f>
        <v/>
      </c>
      <c r="CO150">
        <f>IF(OR(CJ$3="",CJ$3&gt;TODAY()),"",IF(AND(CM150="",CN150=""),"",N(CN150)-N(CM150)))</f>
        <v/>
      </c>
      <c r="CS150">
        <f>IF(OR(CQ$3="",CQ$3&gt;TODAY()),"",IF(AND(CQ150="",CR150=""),"",N(CR150)-N(CQ150)))</f>
        <v/>
      </c>
      <c r="CV150">
        <f>IF(OR(CQ$3="",CQ$3&gt;TODAY()),"",IF(AND(CT150="",CU150=""),"",N(CU150)-N(CT150)))</f>
        <v/>
      </c>
      <c r="CZ150">
        <f>IF(OR(CX$3="",CX$3&gt;TODAY()),"",IF(AND(CX150="",CY150=""),"",N(CY150)-N(CX150)))</f>
        <v/>
      </c>
      <c r="DC150">
        <f>IF(OR(CX$3="",CX$3&gt;TODAY()),"",IF(AND(DA150="",DB150=""),"",N(DB150)-N(DA150)))</f>
        <v/>
      </c>
      <c r="DG150">
        <f>IF(OR(DE$3="",DE$3&gt;TODAY()),"",IF(AND(DE150="",DF150=""),"",N(DF150)-N(DE150)))</f>
        <v/>
      </c>
      <c r="DJ150">
        <f>IF(OR(DE$3="",DE$3&gt;TODAY()),"",IF(AND(DH150="",DI150=""),"",N(DI150)-N(DH150)))</f>
        <v/>
      </c>
      <c r="DN150">
        <f>IF(OR(DL$3="",DL$3&gt;TODAY()),"",IF(AND(DL150="",DM150=""),"",N(DM150)-N(DL150)))</f>
        <v/>
      </c>
      <c r="DQ150">
        <f>IF(OR(DL$3="",DL$3&gt;TODAY()),"",IF(AND(DO150="",DP150=""),"",N(DP150)-N(DO150)))</f>
        <v/>
      </c>
      <c r="DU150">
        <f>IF(OR(DS$3="",DS$3&gt;TODAY()),"",IF(AND(DS150="",DT150=""),"",N(DT150)-N(DS150)))</f>
        <v/>
      </c>
      <c r="DX150">
        <f>IF(OR(DS$3="",DS$3&gt;TODAY()),"",IF(AND(DV150="",DW150=""),"",N(DW150)-N(DV150)))</f>
        <v/>
      </c>
      <c r="EB150">
        <f>IF(OR(DZ$3="",DZ$3&gt;TODAY()),"",IF(AND(DZ150="",EA150=""),"",N(EA150)-N(DZ150)))</f>
        <v/>
      </c>
      <c r="EE150">
        <f>IF(OR(DZ$3="",DZ$3&gt;TODAY()),"",IF(AND(EC150="",ED150=""),"",N(ED150)-N(EC150)))</f>
        <v/>
      </c>
      <c r="EI150">
        <f>IF(OR(EG$3="",EG$3&gt;TODAY()),"",IF(AND(EG150="",EH150=""),"",N(EH150)-N(EG150)))</f>
        <v/>
      </c>
      <c r="EL150">
        <f>IF(OR(EG$3="",EG$3&gt;TODAY()),"",IF(AND(EJ150="",EK150=""),"",N(EK150)-N(EJ150)))</f>
        <v/>
      </c>
      <c r="EP150">
        <f>IF(OR(EN$3="",EN$3&gt;TODAY()),"",IF(AND(EN150="",EO150=""),"",N(EO150)-N(EN150)))</f>
        <v/>
      </c>
      <c r="ES150">
        <f>IF(OR(EN$3="",EN$3&gt;TODAY()),"",IF(AND(EQ150="",ER150=""),"",N(ER150)-N(EQ150)))</f>
        <v/>
      </c>
      <c r="EW150">
        <f>IF(OR(EU$3="",EU$3&gt;TODAY()),"",IF(AND(EU150="",EV150=""),"",N(EV150)-N(EU150)))</f>
        <v/>
      </c>
      <c r="EZ150">
        <f>IF(OR(EU$3="",EU$3&gt;TODAY()),"",IF(AND(EX150="",EY150=""),"",N(EY150)-N(EX150)))</f>
        <v/>
      </c>
      <c r="FD150">
        <f>IF(OR(FB$3="",FB$3&gt;TODAY()),"",IF(AND(FB150="",FC150=""),"",N(FC150)-N(FB150)))</f>
        <v/>
      </c>
      <c r="FG150">
        <f>IF(OR(FB$3="",FB$3&gt;TODAY()),"",IF(AND(FE150="",FF150=""),"",N(FF150)-N(FE150)))</f>
        <v/>
      </c>
      <c r="FK150">
        <f>IF(OR(FI$3="",FI$3&gt;TODAY()),"",IF(AND(FI150="",FJ150=""),"",N(FJ150)-N(FI150)))</f>
        <v/>
      </c>
      <c r="FN150">
        <f>IF(OR(FI$3="",FI$3&gt;TODAY()),"",IF(AND(FL150="",FM150=""),"",N(FM150)-N(FL150)))</f>
        <v/>
      </c>
      <c r="FR150">
        <f>IF(OR(FP$3="",FP$3&gt;TODAY()),"",IF(AND(FP150="",FQ150=""),"",N(FQ150)-N(FP150)))</f>
        <v/>
      </c>
      <c r="FU150">
        <f>IF(OR(FP$3="",FP$3&gt;TODAY()),"",IF(AND(FS150="",FT150=""),"",N(FT150)-N(FS150)))</f>
        <v/>
      </c>
      <c r="FY150">
        <f>IF(OR(FW$3="",FW$3&gt;TODAY()),"",IF(AND(FW150="",FX150=""),"",N(FX150)-N(FW150)))</f>
        <v/>
      </c>
      <c r="GB150">
        <f>IF(OR(FW$3="",FW$3&gt;TODAY()),"",IF(AND(FZ150="",GA150=""),"",N(GA150)-N(FZ150)))</f>
        <v/>
      </c>
      <c r="GF150">
        <f>IF(OR(GD$3="",GD$3&gt;TODAY()),"",IF(AND(GD150="",GE150=""),"",N(GE150)-N(GD150)))</f>
        <v/>
      </c>
      <c r="GI150">
        <f>IF(OR(GD$3="",GD$3&gt;TODAY()),"",IF(AND(GG150="",GH150=""),"",N(GH150)-N(GG150)))</f>
        <v/>
      </c>
      <c r="GM150">
        <f>IF(OR(GK$3="",GK$3&gt;TODAY()),"",IF(AND(GK150="",GL150=""),"",N(GL150)-N(GK150)))</f>
        <v/>
      </c>
      <c r="GP150">
        <f>IF(OR(GK$3="",GK$3&gt;TODAY()),"",IF(AND(GN150="",GO150=""),"",N(GO150)-N(GN150)))</f>
        <v/>
      </c>
      <c r="GT150">
        <f>IF(OR(GR$3="",GR$3&gt;TODAY()),"",IF(AND(GR150="",GS150=""),"",N(GS150)-N(GR150)))</f>
        <v/>
      </c>
      <c r="GW150">
        <f>IF(OR(GR$3="",GR$3&gt;TODAY()),"",IF(AND(GU150="",GV150=""),"",N(GV150)-N(GU150)))</f>
        <v/>
      </c>
      <c r="HA150">
        <f>IF(OR(GY$3="",GY$3&gt;TODAY()),"",IF(AND(GY150="",GZ150=""),"",N(GZ150)-N(GY150)))</f>
        <v/>
      </c>
      <c r="HD150">
        <f>IF(OR(GY$3="",GY$3&gt;TODAY()),"",IF(AND(HB150="",HC150=""),"",N(HC150)-N(HB150)))</f>
        <v/>
      </c>
      <c r="HH150">
        <f>IF(OR(HF$3="",HF$3&gt;TODAY()),"",IF(AND(HF150="",HG150=""),"",N(HG150)-N(HF150)))</f>
        <v/>
      </c>
      <c r="HK150">
        <f>IF(OR(HF$3="",HF$3&gt;TODAY()),"",IF(AND(HI150="",HJ150=""),"",N(HJ150)-N(HI150)))</f>
        <v/>
      </c>
      <c r="HO150">
        <f>IF(OR(HM$3="",HM$3&gt;TODAY()),"",IF(AND(HM150="",HN150=""),"",N(HN150)-N(HM150)))</f>
        <v/>
      </c>
      <c r="HR150">
        <f>IF(OR(HM$3="",HM$3&gt;TODAY()),"",IF(AND(HP150="",HQ150=""),"",N(HQ150)-N(HP150)))</f>
        <v/>
      </c>
      <c r="HV150">
        <f>IF(OR(HT$3="",HT$3&gt;TODAY()),"",IF(AND(HT150="",HU150=""),"",N(HU150)-N(HT150)))</f>
        <v/>
      </c>
      <c r="HY150">
        <f>IF(OR(HT$3="",HT$3&gt;TODAY()),"",IF(AND(HW150="",HX150=""),"",N(HX150)-N(HW150)))</f>
        <v/>
      </c>
      <c r="IC150">
        <f>IF(OR(IA$3="",IA$3&gt;TODAY()),"",IF(AND(IA150="",IB150=""),"",N(IB150)-N(IA150)))</f>
        <v/>
      </c>
      <c r="IF150">
        <f>IF(OR(IA$3="",IA$3&gt;TODAY()),"",IF(AND(ID150="",IE150=""),"",N(IE150)-N(ID150)))</f>
        <v/>
      </c>
      <c r="IJ150">
        <f>IF(OR(IH$3="",IH$3&gt;TODAY()),"",IF(AND(IH150="",II150=""),"",N(II150)-N(IH150)))</f>
        <v/>
      </c>
      <c r="IM150">
        <f>IF(OR(IH$3="",IH$3&gt;TODAY()),"",IF(AND(IK150="",IL150=""),"",N(IL150)-N(IK150)))</f>
        <v/>
      </c>
    </row>
    <row r="151">
      <c r="A151" s="21" t="n"/>
      <c r="B151" s="21" t="n"/>
      <c r="C151" s="21" t="n"/>
      <c r="D151" s="21" t="n"/>
      <c r="E151" s="21" t="n"/>
      <c r="F151" s="21" t="n"/>
      <c r="G151" s="21" t="n"/>
      <c r="H151" s="21" t="n"/>
      <c r="I151" s="22" t="n"/>
      <c r="J151" s="22" t="n"/>
      <c r="K151" s="23" t="n"/>
      <c r="L151" s="22" t="n"/>
      <c r="M151" s="22" t="n"/>
      <c r="N151" s="21" t="n"/>
      <c r="O151" s="23" t="n"/>
      <c r="P151" s="23" t="n"/>
      <c r="Q151" s="23" t="n"/>
      <c r="R151" s="23" t="n"/>
      <c r="S151" s="22" t="n"/>
      <c r="T151" s="23" t="n"/>
      <c r="U151" s="23" t="n"/>
      <c r="V151" s="24">
        <f>IF(J151&lt;&gt;"",J151,IF(I151&lt;&gt;"",I151,""))</f>
        <v/>
      </c>
      <c r="W151" s="25">
        <f>IF($E151="","",N(O151)+SUMIFS($AF151:$IN151,$AF$4:$IN$4,"SEW_ACT"))</f>
        <v/>
      </c>
      <c r="X151" s="25">
        <f>IF($E151="","",N(P151)+SUMIFS($AF151:$IN151,$AF$4:$IN$4,"WASH_ACT"))</f>
        <v/>
      </c>
      <c r="Y151" s="25">
        <f>IF($E151="","",W151-X151-N(T151)-N(U151))</f>
        <v/>
      </c>
      <c r="Z151" s="25">
        <f>IF($E151="","",IF(N(K151)-X151&lt;=0.02*N(K151),0,N(K151)-X151))</f>
        <v/>
      </c>
      <c r="AA151" s="24">
        <f>IF($E151="","",IF(S151&lt;&gt;"",S151,IF(N(O151)&gt;0,IF(L151&lt;&gt;"",L151,99999),IFERROR(1/(1/_xlfn.MINIFS($AF$3:$IN$3,$AF$4:$IN$4,"SEW_ACT",$AF151:$IN151,"&gt;0")),99999))))</f>
        <v/>
      </c>
      <c r="AB151" s="26">
        <f>IF(OR($E151="",Z151=0,V151=""),"",1+COUNTIFS(Z$8:Z$707,"&gt;0",V$8:V$707,"&lt;"&amp;V151)+COUNTIFS(Z$8:Z$707,"&gt;0",V$8:V$707,V151,AA$8:AA$707,"&lt;"&amp;AA151)+COUNTIFS(Z$8:Z$707,"&gt;0",V$8:V$707,V151,AA$8:AA$707,AA151,E$8:E$707,"&lt;"&amp;$E151))</f>
        <v/>
      </c>
      <c r="AC151" s="24">
        <f>IF(OR($E151="",Z151=0),"",IFERROR(TODAY()+ROUNDUP(Z151/(SUMIFS($AF151:$IN151,$AF$4:$IN$4,"WASH_ACT")/COUNTIFS($AF$4:$IN$4,"WASH_ACT",$AF151:$IN151,"&gt;0")),0),"no output yet"))</f>
        <v/>
      </c>
      <c r="AD151" s="26">
        <f>IF($E151="","",IFERROR(ROUND(MAX(0,SUMIFS($AF151:$IN151,$AF$4:$IN$4,"SEW_PLAN",$AF$3:$IN$3,"&lt;="&amp;TODAY())-SUMIFS($AF151:$IN151,$AF$4:$IN$4,"SEW_ACT",$AF$3:$IN$3,"&lt;="&amp;TODAY())+N(Q151))/(SUMIFS($AF151:$IN151,$AF$4:$IN$4,"SEW_PLAN")/COUNTIFS($AF$4:$IN$4,"SEW_PLAN",$AF151:$IN151,"&gt;0")),1),0))</f>
        <v/>
      </c>
      <c r="AE151" s="26">
        <f>IF($E151="","",IF(AND(Z151&gt;0,OR(AND(M151&lt;&gt;"",TODAY()&gt;M151),AND(V151&lt;&gt;"",V151-TODAY()&lt;=7))),"Yes","No"))</f>
        <v/>
      </c>
      <c r="AH151">
        <f>IF(OR(AF$3="",AF$3&gt;TODAY()),"",IF(AND(AF151="",AG151=""),"",N(AG151)-N(AF151)))</f>
        <v/>
      </c>
      <c r="AK151">
        <f>IF(OR(AF$3="",AF$3&gt;TODAY()),"",IF(AND(AI151="",AJ151=""),"",N(AJ151)-N(AI151)))</f>
        <v/>
      </c>
      <c r="AO151">
        <f>IF(OR(AM$3="",AM$3&gt;TODAY()),"",IF(AND(AM151="",AN151=""),"",N(AN151)-N(AM151)))</f>
        <v/>
      </c>
      <c r="AR151">
        <f>IF(OR(AM$3="",AM$3&gt;TODAY()),"",IF(AND(AP151="",AQ151=""),"",N(AQ151)-N(AP151)))</f>
        <v/>
      </c>
      <c r="AV151">
        <f>IF(OR(AT$3="",AT$3&gt;TODAY()),"",IF(AND(AT151="",AU151=""),"",N(AU151)-N(AT151)))</f>
        <v/>
      </c>
      <c r="AY151">
        <f>IF(OR(AT$3="",AT$3&gt;TODAY()),"",IF(AND(AW151="",AX151=""),"",N(AX151)-N(AW151)))</f>
        <v/>
      </c>
      <c r="BC151">
        <f>IF(OR(BA$3="",BA$3&gt;TODAY()),"",IF(AND(BA151="",BB151=""),"",N(BB151)-N(BA151)))</f>
        <v/>
      </c>
      <c r="BF151">
        <f>IF(OR(BA$3="",BA$3&gt;TODAY()),"",IF(AND(BD151="",BE151=""),"",N(BE151)-N(BD151)))</f>
        <v/>
      </c>
      <c r="BJ151">
        <f>IF(OR(BH$3="",BH$3&gt;TODAY()),"",IF(AND(BH151="",BI151=""),"",N(BI151)-N(BH151)))</f>
        <v/>
      </c>
      <c r="BM151">
        <f>IF(OR(BH$3="",BH$3&gt;TODAY()),"",IF(AND(BK151="",BL151=""),"",N(BL151)-N(BK151)))</f>
        <v/>
      </c>
      <c r="BQ151">
        <f>IF(OR(BO$3="",BO$3&gt;TODAY()),"",IF(AND(BO151="",BP151=""),"",N(BP151)-N(BO151)))</f>
        <v/>
      </c>
      <c r="BT151">
        <f>IF(OR(BO$3="",BO$3&gt;TODAY()),"",IF(AND(BR151="",BS151=""),"",N(BS151)-N(BR151)))</f>
        <v/>
      </c>
      <c r="BX151">
        <f>IF(OR(BV$3="",BV$3&gt;TODAY()),"",IF(AND(BV151="",BW151=""),"",N(BW151)-N(BV151)))</f>
        <v/>
      </c>
      <c r="CA151">
        <f>IF(OR(BV$3="",BV$3&gt;TODAY()),"",IF(AND(BY151="",BZ151=""),"",N(BZ151)-N(BY151)))</f>
        <v/>
      </c>
      <c r="CE151">
        <f>IF(OR(CC$3="",CC$3&gt;TODAY()),"",IF(AND(CC151="",CD151=""),"",N(CD151)-N(CC151)))</f>
        <v/>
      </c>
      <c r="CH151">
        <f>IF(OR(CC$3="",CC$3&gt;TODAY()),"",IF(AND(CF151="",CG151=""),"",N(CG151)-N(CF151)))</f>
        <v/>
      </c>
      <c r="CL151">
        <f>IF(OR(CJ$3="",CJ$3&gt;TODAY()),"",IF(AND(CJ151="",CK151=""),"",N(CK151)-N(CJ151)))</f>
        <v/>
      </c>
      <c r="CO151">
        <f>IF(OR(CJ$3="",CJ$3&gt;TODAY()),"",IF(AND(CM151="",CN151=""),"",N(CN151)-N(CM151)))</f>
        <v/>
      </c>
      <c r="CS151">
        <f>IF(OR(CQ$3="",CQ$3&gt;TODAY()),"",IF(AND(CQ151="",CR151=""),"",N(CR151)-N(CQ151)))</f>
        <v/>
      </c>
      <c r="CV151">
        <f>IF(OR(CQ$3="",CQ$3&gt;TODAY()),"",IF(AND(CT151="",CU151=""),"",N(CU151)-N(CT151)))</f>
        <v/>
      </c>
      <c r="CZ151">
        <f>IF(OR(CX$3="",CX$3&gt;TODAY()),"",IF(AND(CX151="",CY151=""),"",N(CY151)-N(CX151)))</f>
        <v/>
      </c>
      <c r="DC151">
        <f>IF(OR(CX$3="",CX$3&gt;TODAY()),"",IF(AND(DA151="",DB151=""),"",N(DB151)-N(DA151)))</f>
        <v/>
      </c>
      <c r="DG151">
        <f>IF(OR(DE$3="",DE$3&gt;TODAY()),"",IF(AND(DE151="",DF151=""),"",N(DF151)-N(DE151)))</f>
        <v/>
      </c>
      <c r="DJ151">
        <f>IF(OR(DE$3="",DE$3&gt;TODAY()),"",IF(AND(DH151="",DI151=""),"",N(DI151)-N(DH151)))</f>
        <v/>
      </c>
      <c r="DN151">
        <f>IF(OR(DL$3="",DL$3&gt;TODAY()),"",IF(AND(DL151="",DM151=""),"",N(DM151)-N(DL151)))</f>
        <v/>
      </c>
      <c r="DQ151">
        <f>IF(OR(DL$3="",DL$3&gt;TODAY()),"",IF(AND(DO151="",DP151=""),"",N(DP151)-N(DO151)))</f>
        <v/>
      </c>
      <c r="DU151">
        <f>IF(OR(DS$3="",DS$3&gt;TODAY()),"",IF(AND(DS151="",DT151=""),"",N(DT151)-N(DS151)))</f>
        <v/>
      </c>
      <c r="DX151">
        <f>IF(OR(DS$3="",DS$3&gt;TODAY()),"",IF(AND(DV151="",DW151=""),"",N(DW151)-N(DV151)))</f>
        <v/>
      </c>
      <c r="EB151">
        <f>IF(OR(DZ$3="",DZ$3&gt;TODAY()),"",IF(AND(DZ151="",EA151=""),"",N(EA151)-N(DZ151)))</f>
        <v/>
      </c>
      <c r="EE151">
        <f>IF(OR(DZ$3="",DZ$3&gt;TODAY()),"",IF(AND(EC151="",ED151=""),"",N(ED151)-N(EC151)))</f>
        <v/>
      </c>
      <c r="EI151">
        <f>IF(OR(EG$3="",EG$3&gt;TODAY()),"",IF(AND(EG151="",EH151=""),"",N(EH151)-N(EG151)))</f>
        <v/>
      </c>
      <c r="EL151">
        <f>IF(OR(EG$3="",EG$3&gt;TODAY()),"",IF(AND(EJ151="",EK151=""),"",N(EK151)-N(EJ151)))</f>
        <v/>
      </c>
      <c r="EP151">
        <f>IF(OR(EN$3="",EN$3&gt;TODAY()),"",IF(AND(EN151="",EO151=""),"",N(EO151)-N(EN151)))</f>
        <v/>
      </c>
      <c r="ES151">
        <f>IF(OR(EN$3="",EN$3&gt;TODAY()),"",IF(AND(EQ151="",ER151=""),"",N(ER151)-N(EQ151)))</f>
        <v/>
      </c>
      <c r="EW151">
        <f>IF(OR(EU$3="",EU$3&gt;TODAY()),"",IF(AND(EU151="",EV151=""),"",N(EV151)-N(EU151)))</f>
        <v/>
      </c>
      <c r="EZ151">
        <f>IF(OR(EU$3="",EU$3&gt;TODAY()),"",IF(AND(EX151="",EY151=""),"",N(EY151)-N(EX151)))</f>
        <v/>
      </c>
      <c r="FD151">
        <f>IF(OR(FB$3="",FB$3&gt;TODAY()),"",IF(AND(FB151="",FC151=""),"",N(FC151)-N(FB151)))</f>
        <v/>
      </c>
      <c r="FG151">
        <f>IF(OR(FB$3="",FB$3&gt;TODAY()),"",IF(AND(FE151="",FF151=""),"",N(FF151)-N(FE151)))</f>
        <v/>
      </c>
      <c r="FK151">
        <f>IF(OR(FI$3="",FI$3&gt;TODAY()),"",IF(AND(FI151="",FJ151=""),"",N(FJ151)-N(FI151)))</f>
        <v/>
      </c>
      <c r="FN151">
        <f>IF(OR(FI$3="",FI$3&gt;TODAY()),"",IF(AND(FL151="",FM151=""),"",N(FM151)-N(FL151)))</f>
        <v/>
      </c>
      <c r="FR151">
        <f>IF(OR(FP$3="",FP$3&gt;TODAY()),"",IF(AND(FP151="",FQ151=""),"",N(FQ151)-N(FP151)))</f>
        <v/>
      </c>
      <c r="FU151">
        <f>IF(OR(FP$3="",FP$3&gt;TODAY()),"",IF(AND(FS151="",FT151=""),"",N(FT151)-N(FS151)))</f>
        <v/>
      </c>
      <c r="FY151">
        <f>IF(OR(FW$3="",FW$3&gt;TODAY()),"",IF(AND(FW151="",FX151=""),"",N(FX151)-N(FW151)))</f>
        <v/>
      </c>
      <c r="GB151">
        <f>IF(OR(FW$3="",FW$3&gt;TODAY()),"",IF(AND(FZ151="",GA151=""),"",N(GA151)-N(FZ151)))</f>
        <v/>
      </c>
      <c r="GF151">
        <f>IF(OR(GD$3="",GD$3&gt;TODAY()),"",IF(AND(GD151="",GE151=""),"",N(GE151)-N(GD151)))</f>
        <v/>
      </c>
      <c r="GI151">
        <f>IF(OR(GD$3="",GD$3&gt;TODAY()),"",IF(AND(GG151="",GH151=""),"",N(GH151)-N(GG151)))</f>
        <v/>
      </c>
      <c r="GM151">
        <f>IF(OR(GK$3="",GK$3&gt;TODAY()),"",IF(AND(GK151="",GL151=""),"",N(GL151)-N(GK151)))</f>
        <v/>
      </c>
      <c r="GP151">
        <f>IF(OR(GK$3="",GK$3&gt;TODAY()),"",IF(AND(GN151="",GO151=""),"",N(GO151)-N(GN151)))</f>
        <v/>
      </c>
      <c r="GT151">
        <f>IF(OR(GR$3="",GR$3&gt;TODAY()),"",IF(AND(GR151="",GS151=""),"",N(GS151)-N(GR151)))</f>
        <v/>
      </c>
      <c r="GW151">
        <f>IF(OR(GR$3="",GR$3&gt;TODAY()),"",IF(AND(GU151="",GV151=""),"",N(GV151)-N(GU151)))</f>
        <v/>
      </c>
      <c r="HA151">
        <f>IF(OR(GY$3="",GY$3&gt;TODAY()),"",IF(AND(GY151="",GZ151=""),"",N(GZ151)-N(GY151)))</f>
        <v/>
      </c>
      <c r="HD151">
        <f>IF(OR(GY$3="",GY$3&gt;TODAY()),"",IF(AND(HB151="",HC151=""),"",N(HC151)-N(HB151)))</f>
        <v/>
      </c>
      <c r="HH151">
        <f>IF(OR(HF$3="",HF$3&gt;TODAY()),"",IF(AND(HF151="",HG151=""),"",N(HG151)-N(HF151)))</f>
        <v/>
      </c>
      <c r="HK151">
        <f>IF(OR(HF$3="",HF$3&gt;TODAY()),"",IF(AND(HI151="",HJ151=""),"",N(HJ151)-N(HI151)))</f>
        <v/>
      </c>
      <c r="HO151">
        <f>IF(OR(HM$3="",HM$3&gt;TODAY()),"",IF(AND(HM151="",HN151=""),"",N(HN151)-N(HM151)))</f>
        <v/>
      </c>
      <c r="HR151">
        <f>IF(OR(HM$3="",HM$3&gt;TODAY()),"",IF(AND(HP151="",HQ151=""),"",N(HQ151)-N(HP151)))</f>
        <v/>
      </c>
      <c r="HV151">
        <f>IF(OR(HT$3="",HT$3&gt;TODAY()),"",IF(AND(HT151="",HU151=""),"",N(HU151)-N(HT151)))</f>
        <v/>
      </c>
      <c r="HY151">
        <f>IF(OR(HT$3="",HT$3&gt;TODAY()),"",IF(AND(HW151="",HX151=""),"",N(HX151)-N(HW151)))</f>
        <v/>
      </c>
      <c r="IC151">
        <f>IF(OR(IA$3="",IA$3&gt;TODAY()),"",IF(AND(IA151="",IB151=""),"",N(IB151)-N(IA151)))</f>
        <v/>
      </c>
      <c r="IF151">
        <f>IF(OR(IA$3="",IA$3&gt;TODAY()),"",IF(AND(ID151="",IE151=""),"",N(IE151)-N(ID151)))</f>
        <v/>
      </c>
      <c r="IJ151">
        <f>IF(OR(IH$3="",IH$3&gt;TODAY()),"",IF(AND(IH151="",II151=""),"",N(II151)-N(IH151)))</f>
        <v/>
      </c>
      <c r="IM151">
        <f>IF(OR(IH$3="",IH$3&gt;TODAY()),"",IF(AND(IK151="",IL151=""),"",N(IL151)-N(IK151)))</f>
        <v/>
      </c>
    </row>
    <row r="152">
      <c r="A152" s="21" t="n"/>
      <c r="B152" s="21" t="n"/>
      <c r="C152" s="21" t="n"/>
      <c r="D152" s="21" t="n"/>
      <c r="E152" s="21" t="n"/>
      <c r="F152" s="21" t="n"/>
      <c r="G152" s="21" t="n"/>
      <c r="H152" s="21" t="n"/>
      <c r="I152" s="22" t="n"/>
      <c r="J152" s="22" t="n"/>
      <c r="K152" s="23" t="n"/>
      <c r="L152" s="22" t="n"/>
      <c r="M152" s="22" t="n"/>
      <c r="N152" s="21" t="n"/>
      <c r="O152" s="23" t="n"/>
      <c r="P152" s="23" t="n"/>
      <c r="Q152" s="23" t="n"/>
      <c r="R152" s="23" t="n"/>
      <c r="S152" s="22" t="n"/>
      <c r="T152" s="23" t="n"/>
      <c r="U152" s="23" t="n"/>
      <c r="V152" s="24">
        <f>IF(J152&lt;&gt;"",J152,IF(I152&lt;&gt;"",I152,""))</f>
        <v/>
      </c>
      <c r="W152" s="25">
        <f>IF($E152="","",N(O152)+SUMIFS($AF152:$IN152,$AF$4:$IN$4,"SEW_ACT"))</f>
        <v/>
      </c>
      <c r="X152" s="25">
        <f>IF($E152="","",N(P152)+SUMIFS($AF152:$IN152,$AF$4:$IN$4,"WASH_ACT"))</f>
        <v/>
      </c>
      <c r="Y152" s="25">
        <f>IF($E152="","",W152-X152-N(T152)-N(U152))</f>
        <v/>
      </c>
      <c r="Z152" s="25">
        <f>IF($E152="","",IF(N(K152)-X152&lt;=0.02*N(K152),0,N(K152)-X152))</f>
        <v/>
      </c>
      <c r="AA152" s="24">
        <f>IF($E152="","",IF(S152&lt;&gt;"",S152,IF(N(O152)&gt;0,IF(L152&lt;&gt;"",L152,99999),IFERROR(1/(1/_xlfn.MINIFS($AF$3:$IN$3,$AF$4:$IN$4,"SEW_ACT",$AF152:$IN152,"&gt;0")),99999))))</f>
        <v/>
      </c>
      <c r="AB152" s="26">
        <f>IF(OR($E152="",Z152=0,V152=""),"",1+COUNTIFS(Z$8:Z$707,"&gt;0",V$8:V$707,"&lt;"&amp;V152)+COUNTIFS(Z$8:Z$707,"&gt;0",V$8:V$707,V152,AA$8:AA$707,"&lt;"&amp;AA152)+COUNTIFS(Z$8:Z$707,"&gt;0",V$8:V$707,V152,AA$8:AA$707,AA152,E$8:E$707,"&lt;"&amp;$E152))</f>
        <v/>
      </c>
      <c r="AC152" s="24">
        <f>IF(OR($E152="",Z152=0),"",IFERROR(TODAY()+ROUNDUP(Z152/(SUMIFS($AF152:$IN152,$AF$4:$IN$4,"WASH_ACT")/COUNTIFS($AF$4:$IN$4,"WASH_ACT",$AF152:$IN152,"&gt;0")),0),"no output yet"))</f>
        <v/>
      </c>
      <c r="AD152" s="26">
        <f>IF($E152="","",IFERROR(ROUND(MAX(0,SUMIFS($AF152:$IN152,$AF$4:$IN$4,"SEW_PLAN",$AF$3:$IN$3,"&lt;="&amp;TODAY())-SUMIFS($AF152:$IN152,$AF$4:$IN$4,"SEW_ACT",$AF$3:$IN$3,"&lt;="&amp;TODAY())+N(Q152))/(SUMIFS($AF152:$IN152,$AF$4:$IN$4,"SEW_PLAN")/COUNTIFS($AF$4:$IN$4,"SEW_PLAN",$AF152:$IN152,"&gt;0")),1),0))</f>
        <v/>
      </c>
      <c r="AE152" s="26">
        <f>IF($E152="","",IF(AND(Z152&gt;0,OR(AND(M152&lt;&gt;"",TODAY()&gt;M152),AND(V152&lt;&gt;"",V152-TODAY()&lt;=7))),"Yes","No"))</f>
        <v/>
      </c>
      <c r="AH152">
        <f>IF(OR(AF$3="",AF$3&gt;TODAY()),"",IF(AND(AF152="",AG152=""),"",N(AG152)-N(AF152)))</f>
        <v/>
      </c>
      <c r="AK152">
        <f>IF(OR(AF$3="",AF$3&gt;TODAY()),"",IF(AND(AI152="",AJ152=""),"",N(AJ152)-N(AI152)))</f>
        <v/>
      </c>
      <c r="AO152">
        <f>IF(OR(AM$3="",AM$3&gt;TODAY()),"",IF(AND(AM152="",AN152=""),"",N(AN152)-N(AM152)))</f>
        <v/>
      </c>
      <c r="AR152">
        <f>IF(OR(AM$3="",AM$3&gt;TODAY()),"",IF(AND(AP152="",AQ152=""),"",N(AQ152)-N(AP152)))</f>
        <v/>
      </c>
      <c r="AV152">
        <f>IF(OR(AT$3="",AT$3&gt;TODAY()),"",IF(AND(AT152="",AU152=""),"",N(AU152)-N(AT152)))</f>
        <v/>
      </c>
      <c r="AY152">
        <f>IF(OR(AT$3="",AT$3&gt;TODAY()),"",IF(AND(AW152="",AX152=""),"",N(AX152)-N(AW152)))</f>
        <v/>
      </c>
      <c r="BC152">
        <f>IF(OR(BA$3="",BA$3&gt;TODAY()),"",IF(AND(BA152="",BB152=""),"",N(BB152)-N(BA152)))</f>
        <v/>
      </c>
      <c r="BF152">
        <f>IF(OR(BA$3="",BA$3&gt;TODAY()),"",IF(AND(BD152="",BE152=""),"",N(BE152)-N(BD152)))</f>
        <v/>
      </c>
      <c r="BJ152">
        <f>IF(OR(BH$3="",BH$3&gt;TODAY()),"",IF(AND(BH152="",BI152=""),"",N(BI152)-N(BH152)))</f>
        <v/>
      </c>
      <c r="BM152">
        <f>IF(OR(BH$3="",BH$3&gt;TODAY()),"",IF(AND(BK152="",BL152=""),"",N(BL152)-N(BK152)))</f>
        <v/>
      </c>
      <c r="BQ152">
        <f>IF(OR(BO$3="",BO$3&gt;TODAY()),"",IF(AND(BO152="",BP152=""),"",N(BP152)-N(BO152)))</f>
        <v/>
      </c>
      <c r="BT152">
        <f>IF(OR(BO$3="",BO$3&gt;TODAY()),"",IF(AND(BR152="",BS152=""),"",N(BS152)-N(BR152)))</f>
        <v/>
      </c>
      <c r="BX152">
        <f>IF(OR(BV$3="",BV$3&gt;TODAY()),"",IF(AND(BV152="",BW152=""),"",N(BW152)-N(BV152)))</f>
        <v/>
      </c>
      <c r="CA152">
        <f>IF(OR(BV$3="",BV$3&gt;TODAY()),"",IF(AND(BY152="",BZ152=""),"",N(BZ152)-N(BY152)))</f>
        <v/>
      </c>
      <c r="CE152">
        <f>IF(OR(CC$3="",CC$3&gt;TODAY()),"",IF(AND(CC152="",CD152=""),"",N(CD152)-N(CC152)))</f>
        <v/>
      </c>
      <c r="CH152">
        <f>IF(OR(CC$3="",CC$3&gt;TODAY()),"",IF(AND(CF152="",CG152=""),"",N(CG152)-N(CF152)))</f>
        <v/>
      </c>
      <c r="CL152">
        <f>IF(OR(CJ$3="",CJ$3&gt;TODAY()),"",IF(AND(CJ152="",CK152=""),"",N(CK152)-N(CJ152)))</f>
        <v/>
      </c>
      <c r="CO152">
        <f>IF(OR(CJ$3="",CJ$3&gt;TODAY()),"",IF(AND(CM152="",CN152=""),"",N(CN152)-N(CM152)))</f>
        <v/>
      </c>
      <c r="CS152">
        <f>IF(OR(CQ$3="",CQ$3&gt;TODAY()),"",IF(AND(CQ152="",CR152=""),"",N(CR152)-N(CQ152)))</f>
        <v/>
      </c>
      <c r="CV152">
        <f>IF(OR(CQ$3="",CQ$3&gt;TODAY()),"",IF(AND(CT152="",CU152=""),"",N(CU152)-N(CT152)))</f>
        <v/>
      </c>
      <c r="CZ152">
        <f>IF(OR(CX$3="",CX$3&gt;TODAY()),"",IF(AND(CX152="",CY152=""),"",N(CY152)-N(CX152)))</f>
        <v/>
      </c>
      <c r="DC152">
        <f>IF(OR(CX$3="",CX$3&gt;TODAY()),"",IF(AND(DA152="",DB152=""),"",N(DB152)-N(DA152)))</f>
        <v/>
      </c>
      <c r="DG152">
        <f>IF(OR(DE$3="",DE$3&gt;TODAY()),"",IF(AND(DE152="",DF152=""),"",N(DF152)-N(DE152)))</f>
        <v/>
      </c>
      <c r="DJ152">
        <f>IF(OR(DE$3="",DE$3&gt;TODAY()),"",IF(AND(DH152="",DI152=""),"",N(DI152)-N(DH152)))</f>
        <v/>
      </c>
      <c r="DN152">
        <f>IF(OR(DL$3="",DL$3&gt;TODAY()),"",IF(AND(DL152="",DM152=""),"",N(DM152)-N(DL152)))</f>
        <v/>
      </c>
      <c r="DQ152">
        <f>IF(OR(DL$3="",DL$3&gt;TODAY()),"",IF(AND(DO152="",DP152=""),"",N(DP152)-N(DO152)))</f>
        <v/>
      </c>
      <c r="DU152">
        <f>IF(OR(DS$3="",DS$3&gt;TODAY()),"",IF(AND(DS152="",DT152=""),"",N(DT152)-N(DS152)))</f>
        <v/>
      </c>
      <c r="DX152">
        <f>IF(OR(DS$3="",DS$3&gt;TODAY()),"",IF(AND(DV152="",DW152=""),"",N(DW152)-N(DV152)))</f>
        <v/>
      </c>
      <c r="EB152">
        <f>IF(OR(DZ$3="",DZ$3&gt;TODAY()),"",IF(AND(DZ152="",EA152=""),"",N(EA152)-N(DZ152)))</f>
        <v/>
      </c>
      <c r="EE152">
        <f>IF(OR(DZ$3="",DZ$3&gt;TODAY()),"",IF(AND(EC152="",ED152=""),"",N(ED152)-N(EC152)))</f>
        <v/>
      </c>
      <c r="EI152">
        <f>IF(OR(EG$3="",EG$3&gt;TODAY()),"",IF(AND(EG152="",EH152=""),"",N(EH152)-N(EG152)))</f>
        <v/>
      </c>
      <c r="EL152">
        <f>IF(OR(EG$3="",EG$3&gt;TODAY()),"",IF(AND(EJ152="",EK152=""),"",N(EK152)-N(EJ152)))</f>
        <v/>
      </c>
      <c r="EP152">
        <f>IF(OR(EN$3="",EN$3&gt;TODAY()),"",IF(AND(EN152="",EO152=""),"",N(EO152)-N(EN152)))</f>
        <v/>
      </c>
      <c r="ES152">
        <f>IF(OR(EN$3="",EN$3&gt;TODAY()),"",IF(AND(EQ152="",ER152=""),"",N(ER152)-N(EQ152)))</f>
        <v/>
      </c>
      <c r="EW152">
        <f>IF(OR(EU$3="",EU$3&gt;TODAY()),"",IF(AND(EU152="",EV152=""),"",N(EV152)-N(EU152)))</f>
        <v/>
      </c>
      <c r="EZ152">
        <f>IF(OR(EU$3="",EU$3&gt;TODAY()),"",IF(AND(EX152="",EY152=""),"",N(EY152)-N(EX152)))</f>
        <v/>
      </c>
      <c r="FD152">
        <f>IF(OR(FB$3="",FB$3&gt;TODAY()),"",IF(AND(FB152="",FC152=""),"",N(FC152)-N(FB152)))</f>
        <v/>
      </c>
      <c r="FG152">
        <f>IF(OR(FB$3="",FB$3&gt;TODAY()),"",IF(AND(FE152="",FF152=""),"",N(FF152)-N(FE152)))</f>
        <v/>
      </c>
      <c r="FK152">
        <f>IF(OR(FI$3="",FI$3&gt;TODAY()),"",IF(AND(FI152="",FJ152=""),"",N(FJ152)-N(FI152)))</f>
        <v/>
      </c>
      <c r="FN152">
        <f>IF(OR(FI$3="",FI$3&gt;TODAY()),"",IF(AND(FL152="",FM152=""),"",N(FM152)-N(FL152)))</f>
        <v/>
      </c>
      <c r="FR152">
        <f>IF(OR(FP$3="",FP$3&gt;TODAY()),"",IF(AND(FP152="",FQ152=""),"",N(FQ152)-N(FP152)))</f>
        <v/>
      </c>
      <c r="FU152">
        <f>IF(OR(FP$3="",FP$3&gt;TODAY()),"",IF(AND(FS152="",FT152=""),"",N(FT152)-N(FS152)))</f>
        <v/>
      </c>
      <c r="FY152">
        <f>IF(OR(FW$3="",FW$3&gt;TODAY()),"",IF(AND(FW152="",FX152=""),"",N(FX152)-N(FW152)))</f>
        <v/>
      </c>
      <c r="GB152">
        <f>IF(OR(FW$3="",FW$3&gt;TODAY()),"",IF(AND(FZ152="",GA152=""),"",N(GA152)-N(FZ152)))</f>
        <v/>
      </c>
      <c r="GF152">
        <f>IF(OR(GD$3="",GD$3&gt;TODAY()),"",IF(AND(GD152="",GE152=""),"",N(GE152)-N(GD152)))</f>
        <v/>
      </c>
      <c r="GI152">
        <f>IF(OR(GD$3="",GD$3&gt;TODAY()),"",IF(AND(GG152="",GH152=""),"",N(GH152)-N(GG152)))</f>
        <v/>
      </c>
      <c r="GM152">
        <f>IF(OR(GK$3="",GK$3&gt;TODAY()),"",IF(AND(GK152="",GL152=""),"",N(GL152)-N(GK152)))</f>
        <v/>
      </c>
      <c r="GP152">
        <f>IF(OR(GK$3="",GK$3&gt;TODAY()),"",IF(AND(GN152="",GO152=""),"",N(GO152)-N(GN152)))</f>
        <v/>
      </c>
      <c r="GT152">
        <f>IF(OR(GR$3="",GR$3&gt;TODAY()),"",IF(AND(GR152="",GS152=""),"",N(GS152)-N(GR152)))</f>
        <v/>
      </c>
      <c r="GW152">
        <f>IF(OR(GR$3="",GR$3&gt;TODAY()),"",IF(AND(GU152="",GV152=""),"",N(GV152)-N(GU152)))</f>
        <v/>
      </c>
      <c r="HA152">
        <f>IF(OR(GY$3="",GY$3&gt;TODAY()),"",IF(AND(GY152="",GZ152=""),"",N(GZ152)-N(GY152)))</f>
        <v/>
      </c>
      <c r="HD152">
        <f>IF(OR(GY$3="",GY$3&gt;TODAY()),"",IF(AND(HB152="",HC152=""),"",N(HC152)-N(HB152)))</f>
        <v/>
      </c>
      <c r="HH152">
        <f>IF(OR(HF$3="",HF$3&gt;TODAY()),"",IF(AND(HF152="",HG152=""),"",N(HG152)-N(HF152)))</f>
        <v/>
      </c>
      <c r="HK152">
        <f>IF(OR(HF$3="",HF$3&gt;TODAY()),"",IF(AND(HI152="",HJ152=""),"",N(HJ152)-N(HI152)))</f>
        <v/>
      </c>
      <c r="HO152">
        <f>IF(OR(HM$3="",HM$3&gt;TODAY()),"",IF(AND(HM152="",HN152=""),"",N(HN152)-N(HM152)))</f>
        <v/>
      </c>
      <c r="HR152">
        <f>IF(OR(HM$3="",HM$3&gt;TODAY()),"",IF(AND(HP152="",HQ152=""),"",N(HQ152)-N(HP152)))</f>
        <v/>
      </c>
      <c r="HV152">
        <f>IF(OR(HT$3="",HT$3&gt;TODAY()),"",IF(AND(HT152="",HU152=""),"",N(HU152)-N(HT152)))</f>
        <v/>
      </c>
      <c r="HY152">
        <f>IF(OR(HT$3="",HT$3&gt;TODAY()),"",IF(AND(HW152="",HX152=""),"",N(HX152)-N(HW152)))</f>
        <v/>
      </c>
      <c r="IC152">
        <f>IF(OR(IA$3="",IA$3&gt;TODAY()),"",IF(AND(IA152="",IB152=""),"",N(IB152)-N(IA152)))</f>
        <v/>
      </c>
      <c r="IF152">
        <f>IF(OR(IA$3="",IA$3&gt;TODAY()),"",IF(AND(ID152="",IE152=""),"",N(IE152)-N(ID152)))</f>
        <v/>
      </c>
      <c r="IJ152">
        <f>IF(OR(IH$3="",IH$3&gt;TODAY()),"",IF(AND(IH152="",II152=""),"",N(II152)-N(IH152)))</f>
        <v/>
      </c>
      <c r="IM152">
        <f>IF(OR(IH$3="",IH$3&gt;TODAY()),"",IF(AND(IK152="",IL152=""),"",N(IL152)-N(IK152)))</f>
        <v/>
      </c>
    </row>
    <row r="153">
      <c r="A153" s="21" t="n"/>
      <c r="B153" s="21" t="n"/>
      <c r="C153" s="21" t="n"/>
      <c r="D153" s="21" t="n"/>
      <c r="E153" s="21" t="n"/>
      <c r="F153" s="21" t="n"/>
      <c r="G153" s="21" t="n"/>
      <c r="H153" s="21" t="n"/>
      <c r="I153" s="22" t="n"/>
      <c r="J153" s="22" t="n"/>
      <c r="K153" s="23" t="n"/>
      <c r="L153" s="22" t="n"/>
      <c r="M153" s="22" t="n"/>
      <c r="N153" s="21" t="n"/>
      <c r="O153" s="23" t="n"/>
      <c r="P153" s="23" t="n"/>
      <c r="Q153" s="23" t="n"/>
      <c r="R153" s="23" t="n"/>
      <c r="S153" s="22" t="n"/>
      <c r="T153" s="23" t="n"/>
      <c r="U153" s="23" t="n"/>
      <c r="V153" s="24">
        <f>IF(J153&lt;&gt;"",J153,IF(I153&lt;&gt;"",I153,""))</f>
        <v/>
      </c>
      <c r="W153" s="25">
        <f>IF($E153="","",N(O153)+SUMIFS($AF153:$IN153,$AF$4:$IN$4,"SEW_ACT"))</f>
        <v/>
      </c>
      <c r="X153" s="25">
        <f>IF($E153="","",N(P153)+SUMIFS($AF153:$IN153,$AF$4:$IN$4,"WASH_ACT"))</f>
        <v/>
      </c>
      <c r="Y153" s="25">
        <f>IF($E153="","",W153-X153-N(T153)-N(U153))</f>
        <v/>
      </c>
      <c r="Z153" s="25">
        <f>IF($E153="","",IF(N(K153)-X153&lt;=0.02*N(K153),0,N(K153)-X153))</f>
        <v/>
      </c>
      <c r="AA153" s="24">
        <f>IF($E153="","",IF(S153&lt;&gt;"",S153,IF(N(O153)&gt;0,IF(L153&lt;&gt;"",L153,99999),IFERROR(1/(1/_xlfn.MINIFS($AF$3:$IN$3,$AF$4:$IN$4,"SEW_ACT",$AF153:$IN153,"&gt;0")),99999))))</f>
        <v/>
      </c>
      <c r="AB153" s="26">
        <f>IF(OR($E153="",Z153=0,V153=""),"",1+COUNTIFS(Z$8:Z$707,"&gt;0",V$8:V$707,"&lt;"&amp;V153)+COUNTIFS(Z$8:Z$707,"&gt;0",V$8:V$707,V153,AA$8:AA$707,"&lt;"&amp;AA153)+COUNTIFS(Z$8:Z$707,"&gt;0",V$8:V$707,V153,AA$8:AA$707,AA153,E$8:E$707,"&lt;"&amp;$E153))</f>
        <v/>
      </c>
      <c r="AC153" s="24">
        <f>IF(OR($E153="",Z153=0),"",IFERROR(TODAY()+ROUNDUP(Z153/(SUMIFS($AF153:$IN153,$AF$4:$IN$4,"WASH_ACT")/COUNTIFS($AF$4:$IN$4,"WASH_ACT",$AF153:$IN153,"&gt;0")),0),"no output yet"))</f>
        <v/>
      </c>
      <c r="AD153" s="26">
        <f>IF($E153="","",IFERROR(ROUND(MAX(0,SUMIFS($AF153:$IN153,$AF$4:$IN$4,"SEW_PLAN",$AF$3:$IN$3,"&lt;="&amp;TODAY())-SUMIFS($AF153:$IN153,$AF$4:$IN$4,"SEW_ACT",$AF$3:$IN$3,"&lt;="&amp;TODAY())+N(Q153))/(SUMIFS($AF153:$IN153,$AF$4:$IN$4,"SEW_PLAN")/COUNTIFS($AF$4:$IN$4,"SEW_PLAN",$AF153:$IN153,"&gt;0")),1),0))</f>
        <v/>
      </c>
      <c r="AE153" s="26">
        <f>IF($E153="","",IF(AND(Z153&gt;0,OR(AND(M153&lt;&gt;"",TODAY()&gt;M153),AND(V153&lt;&gt;"",V153-TODAY()&lt;=7))),"Yes","No"))</f>
        <v/>
      </c>
      <c r="AH153">
        <f>IF(OR(AF$3="",AF$3&gt;TODAY()),"",IF(AND(AF153="",AG153=""),"",N(AG153)-N(AF153)))</f>
        <v/>
      </c>
      <c r="AK153">
        <f>IF(OR(AF$3="",AF$3&gt;TODAY()),"",IF(AND(AI153="",AJ153=""),"",N(AJ153)-N(AI153)))</f>
        <v/>
      </c>
      <c r="AO153">
        <f>IF(OR(AM$3="",AM$3&gt;TODAY()),"",IF(AND(AM153="",AN153=""),"",N(AN153)-N(AM153)))</f>
        <v/>
      </c>
      <c r="AR153">
        <f>IF(OR(AM$3="",AM$3&gt;TODAY()),"",IF(AND(AP153="",AQ153=""),"",N(AQ153)-N(AP153)))</f>
        <v/>
      </c>
      <c r="AV153">
        <f>IF(OR(AT$3="",AT$3&gt;TODAY()),"",IF(AND(AT153="",AU153=""),"",N(AU153)-N(AT153)))</f>
        <v/>
      </c>
      <c r="AY153">
        <f>IF(OR(AT$3="",AT$3&gt;TODAY()),"",IF(AND(AW153="",AX153=""),"",N(AX153)-N(AW153)))</f>
        <v/>
      </c>
      <c r="BC153">
        <f>IF(OR(BA$3="",BA$3&gt;TODAY()),"",IF(AND(BA153="",BB153=""),"",N(BB153)-N(BA153)))</f>
        <v/>
      </c>
      <c r="BF153">
        <f>IF(OR(BA$3="",BA$3&gt;TODAY()),"",IF(AND(BD153="",BE153=""),"",N(BE153)-N(BD153)))</f>
        <v/>
      </c>
      <c r="BJ153">
        <f>IF(OR(BH$3="",BH$3&gt;TODAY()),"",IF(AND(BH153="",BI153=""),"",N(BI153)-N(BH153)))</f>
        <v/>
      </c>
      <c r="BM153">
        <f>IF(OR(BH$3="",BH$3&gt;TODAY()),"",IF(AND(BK153="",BL153=""),"",N(BL153)-N(BK153)))</f>
        <v/>
      </c>
      <c r="BQ153">
        <f>IF(OR(BO$3="",BO$3&gt;TODAY()),"",IF(AND(BO153="",BP153=""),"",N(BP153)-N(BO153)))</f>
        <v/>
      </c>
      <c r="BT153">
        <f>IF(OR(BO$3="",BO$3&gt;TODAY()),"",IF(AND(BR153="",BS153=""),"",N(BS153)-N(BR153)))</f>
        <v/>
      </c>
      <c r="BX153">
        <f>IF(OR(BV$3="",BV$3&gt;TODAY()),"",IF(AND(BV153="",BW153=""),"",N(BW153)-N(BV153)))</f>
        <v/>
      </c>
      <c r="CA153">
        <f>IF(OR(BV$3="",BV$3&gt;TODAY()),"",IF(AND(BY153="",BZ153=""),"",N(BZ153)-N(BY153)))</f>
        <v/>
      </c>
      <c r="CE153">
        <f>IF(OR(CC$3="",CC$3&gt;TODAY()),"",IF(AND(CC153="",CD153=""),"",N(CD153)-N(CC153)))</f>
        <v/>
      </c>
      <c r="CH153">
        <f>IF(OR(CC$3="",CC$3&gt;TODAY()),"",IF(AND(CF153="",CG153=""),"",N(CG153)-N(CF153)))</f>
        <v/>
      </c>
      <c r="CL153">
        <f>IF(OR(CJ$3="",CJ$3&gt;TODAY()),"",IF(AND(CJ153="",CK153=""),"",N(CK153)-N(CJ153)))</f>
        <v/>
      </c>
      <c r="CO153">
        <f>IF(OR(CJ$3="",CJ$3&gt;TODAY()),"",IF(AND(CM153="",CN153=""),"",N(CN153)-N(CM153)))</f>
        <v/>
      </c>
      <c r="CS153">
        <f>IF(OR(CQ$3="",CQ$3&gt;TODAY()),"",IF(AND(CQ153="",CR153=""),"",N(CR153)-N(CQ153)))</f>
        <v/>
      </c>
      <c r="CV153">
        <f>IF(OR(CQ$3="",CQ$3&gt;TODAY()),"",IF(AND(CT153="",CU153=""),"",N(CU153)-N(CT153)))</f>
        <v/>
      </c>
      <c r="CZ153">
        <f>IF(OR(CX$3="",CX$3&gt;TODAY()),"",IF(AND(CX153="",CY153=""),"",N(CY153)-N(CX153)))</f>
        <v/>
      </c>
      <c r="DC153">
        <f>IF(OR(CX$3="",CX$3&gt;TODAY()),"",IF(AND(DA153="",DB153=""),"",N(DB153)-N(DA153)))</f>
        <v/>
      </c>
      <c r="DG153">
        <f>IF(OR(DE$3="",DE$3&gt;TODAY()),"",IF(AND(DE153="",DF153=""),"",N(DF153)-N(DE153)))</f>
        <v/>
      </c>
      <c r="DJ153">
        <f>IF(OR(DE$3="",DE$3&gt;TODAY()),"",IF(AND(DH153="",DI153=""),"",N(DI153)-N(DH153)))</f>
        <v/>
      </c>
      <c r="DN153">
        <f>IF(OR(DL$3="",DL$3&gt;TODAY()),"",IF(AND(DL153="",DM153=""),"",N(DM153)-N(DL153)))</f>
        <v/>
      </c>
      <c r="DQ153">
        <f>IF(OR(DL$3="",DL$3&gt;TODAY()),"",IF(AND(DO153="",DP153=""),"",N(DP153)-N(DO153)))</f>
        <v/>
      </c>
      <c r="DU153">
        <f>IF(OR(DS$3="",DS$3&gt;TODAY()),"",IF(AND(DS153="",DT153=""),"",N(DT153)-N(DS153)))</f>
        <v/>
      </c>
      <c r="DX153">
        <f>IF(OR(DS$3="",DS$3&gt;TODAY()),"",IF(AND(DV153="",DW153=""),"",N(DW153)-N(DV153)))</f>
        <v/>
      </c>
      <c r="EB153">
        <f>IF(OR(DZ$3="",DZ$3&gt;TODAY()),"",IF(AND(DZ153="",EA153=""),"",N(EA153)-N(DZ153)))</f>
        <v/>
      </c>
      <c r="EE153">
        <f>IF(OR(DZ$3="",DZ$3&gt;TODAY()),"",IF(AND(EC153="",ED153=""),"",N(ED153)-N(EC153)))</f>
        <v/>
      </c>
      <c r="EI153">
        <f>IF(OR(EG$3="",EG$3&gt;TODAY()),"",IF(AND(EG153="",EH153=""),"",N(EH153)-N(EG153)))</f>
        <v/>
      </c>
      <c r="EL153">
        <f>IF(OR(EG$3="",EG$3&gt;TODAY()),"",IF(AND(EJ153="",EK153=""),"",N(EK153)-N(EJ153)))</f>
        <v/>
      </c>
      <c r="EP153">
        <f>IF(OR(EN$3="",EN$3&gt;TODAY()),"",IF(AND(EN153="",EO153=""),"",N(EO153)-N(EN153)))</f>
        <v/>
      </c>
      <c r="ES153">
        <f>IF(OR(EN$3="",EN$3&gt;TODAY()),"",IF(AND(EQ153="",ER153=""),"",N(ER153)-N(EQ153)))</f>
        <v/>
      </c>
      <c r="EW153">
        <f>IF(OR(EU$3="",EU$3&gt;TODAY()),"",IF(AND(EU153="",EV153=""),"",N(EV153)-N(EU153)))</f>
        <v/>
      </c>
      <c r="EZ153">
        <f>IF(OR(EU$3="",EU$3&gt;TODAY()),"",IF(AND(EX153="",EY153=""),"",N(EY153)-N(EX153)))</f>
        <v/>
      </c>
      <c r="FD153">
        <f>IF(OR(FB$3="",FB$3&gt;TODAY()),"",IF(AND(FB153="",FC153=""),"",N(FC153)-N(FB153)))</f>
        <v/>
      </c>
      <c r="FG153">
        <f>IF(OR(FB$3="",FB$3&gt;TODAY()),"",IF(AND(FE153="",FF153=""),"",N(FF153)-N(FE153)))</f>
        <v/>
      </c>
      <c r="FK153">
        <f>IF(OR(FI$3="",FI$3&gt;TODAY()),"",IF(AND(FI153="",FJ153=""),"",N(FJ153)-N(FI153)))</f>
        <v/>
      </c>
      <c r="FN153">
        <f>IF(OR(FI$3="",FI$3&gt;TODAY()),"",IF(AND(FL153="",FM153=""),"",N(FM153)-N(FL153)))</f>
        <v/>
      </c>
      <c r="FR153">
        <f>IF(OR(FP$3="",FP$3&gt;TODAY()),"",IF(AND(FP153="",FQ153=""),"",N(FQ153)-N(FP153)))</f>
        <v/>
      </c>
      <c r="FU153">
        <f>IF(OR(FP$3="",FP$3&gt;TODAY()),"",IF(AND(FS153="",FT153=""),"",N(FT153)-N(FS153)))</f>
        <v/>
      </c>
      <c r="FY153">
        <f>IF(OR(FW$3="",FW$3&gt;TODAY()),"",IF(AND(FW153="",FX153=""),"",N(FX153)-N(FW153)))</f>
        <v/>
      </c>
      <c r="GB153">
        <f>IF(OR(FW$3="",FW$3&gt;TODAY()),"",IF(AND(FZ153="",GA153=""),"",N(GA153)-N(FZ153)))</f>
        <v/>
      </c>
      <c r="GF153">
        <f>IF(OR(GD$3="",GD$3&gt;TODAY()),"",IF(AND(GD153="",GE153=""),"",N(GE153)-N(GD153)))</f>
        <v/>
      </c>
      <c r="GI153">
        <f>IF(OR(GD$3="",GD$3&gt;TODAY()),"",IF(AND(GG153="",GH153=""),"",N(GH153)-N(GG153)))</f>
        <v/>
      </c>
      <c r="GM153">
        <f>IF(OR(GK$3="",GK$3&gt;TODAY()),"",IF(AND(GK153="",GL153=""),"",N(GL153)-N(GK153)))</f>
        <v/>
      </c>
      <c r="GP153">
        <f>IF(OR(GK$3="",GK$3&gt;TODAY()),"",IF(AND(GN153="",GO153=""),"",N(GO153)-N(GN153)))</f>
        <v/>
      </c>
      <c r="GT153">
        <f>IF(OR(GR$3="",GR$3&gt;TODAY()),"",IF(AND(GR153="",GS153=""),"",N(GS153)-N(GR153)))</f>
        <v/>
      </c>
      <c r="GW153">
        <f>IF(OR(GR$3="",GR$3&gt;TODAY()),"",IF(AND(GU153="",GV153=""),"",N(GV153)-N(GU153)))</f>
        <v/>
      </c>
      <c r="HA153">
        <f>IF(OR(GY$3="",GY$3&gt;TODAY()),"",IF(AND(GY153="",GZ153=""),"",N(GZ153)-N(GY153)))</f>
        <v/>
      </c>
      <c r="HD153">
        <f>IF(OR(GY$3="",GY$3&gt;TODAY()),"",IF(AND(HB153="",HC153=""),"",N(HC153)-N(HB153)))</f>
        <v/>
      </c>
      <c r="HH153">
        <f>IF(OR(HF$3="",HF$3&gt;TODAY()),"",IF(AND(HF153="",HG153=""),"",N(HG153)-N(HF153)))</f>
        <v/>
      </c>
      <c r="HK153">
        <f>IF(OR(HF$3="",HF$3&gt;TODAY()),"",IF(AND(HI153="",HJ153=""),"",N(HJ153)-N(HI153)))</f>
        <v/>
      </c>
      <c r="HO153">
        <f>IF(OR(HM$3="",HM$3&gt;TODAY()),"",IF(AND(HM153="",HN153=""),"",N(HN153)-N(HM153)))</f>
        <v/>
      </c>
      <c r="HR153">
        <f>IF(OR(HM$3="",HM$3&gt;TODAY()),"",IF(AND(HP153="",HQ153=""),"",N(HQ153)-N(HP153)))</f>
        <v/>
      </c>
      <c r="HV153">
        <f>IF(OR(HT$3="",HT$3&gt;TODAY()),"",IF(AND(HT153="",HU153=""),"",N(HU153)-N(HT153)))</f>
        <v/>
      </c>
      <c r="HY153">
        <f>IF(OR(HT$3="",HT$3&gt;TODAY()),"",IF(AND(HW153="",HX153=""),"",N(HX153)-N(HW153)))</f>
        <v/>
      </c>
      <c r="IC153">
        <f>IF(OR(IA$3="",IA$3&gt;TODAY()),"",IF(AND(IA153="",IB153=""),"",N(IB153)-N(IA153)))</f>
        <v/>
      </c>
      <c r="IF153">
        <f>IF(OR(IA$3="",IA$3&gt;TODAY()),"",IF(AND(ID153="",IE153=""),"",N(IE153)-N(ID153)))</f>
        <v/>
      </c>
      <c r="IJ153">
        <f>IF(OR(IH$3="",IH$3&gt;TODAY()),"",IF(AND(IH153="",II153=""),"",N(II153)-N(IH153)))</f>
        <v/>
      </c>
      <c r="IM153">
        <f>IF(OR(IH$3="",IH$3&gt;TODAY()),"",IF(AND(IK153="",IL153=""),"",N(IL153)-N(IK153)))</f>
        <v/>
      </c>
    </row>
    <row r="154">
      <c r="A154" s="21" t="n"/>
      <c r="B154" s="21" t="n"/>
      <c r="C154" s="21" t="n"/>
      <c r="D154" s="21" t="n"/>
      <c r="E154" s="21" t="n"/>
      <c r="F154" s="21" t="n"/>
      <c r="G154" s="21" t="n"/>
      <c r="H154" s="21" t="n"/>
      <c r="I154" s="22" t="n"/>
      <c r="J154" s="22" t="n"/>
      <c r="K154" s="23" t="n"/>
      <c r="L154" s="22" t="n"/>
      <c r="M154" s="22" t="n"/>
      <c r="N154" s="21" t="n"/>
      <c r="O154" s="23" t="n"/>
      <c r="P154" s="23" t="n"/>
      <c r="Q154" s="23" t="n"/>
      <c r="R154" s="23" t="n"/>
      <c r="S154" s="22" t="n"/>
      <c r="T154" s="23" t="n"/>
      <c r="U154" s="23" t="n"/>
      <c r="V154" s="24">
        <f>IF(J154&lt;&gt;"",J154,IF(I154&lt;&gt;"",I154,""))</f>
        <v/>
      </c>
      <c r="W154" s="25">
        <f>IF($E154="","",N(O154)+SUMIFS($AF154:$IN154,$AF$4:$IN$4,"SEW_ACT"))</f>
        <v/>
      </c>
      <c r="X154" s="25">
        <f>IF($E154="","",N(P154)+SUMIFS($AF154:$IN154,$AF$4:$IN$4,"WASH_ACT"))</f>
        <v/>
      </c>
      <c r="Y154" s="25">
        <f>IF($E154="","",W154-X154-N(T154)-N(U154))</f>
        <v/>
      </c>
      <c r="Z154" s="25">
        <f>IF($E154="","",IF(N(K154)-X154&lt;=0.02*N(K154),0,N(K154)-X154))</f>
        <v/>
      </c>
      <c r="AA154" s="24">
        <f>IF($E154="","",IF(S154&lt;&gt;"",S154,IF(N(O154)&gt;0,IF(L154&lt;&gt;"",L154,99999),IFERROR(1/(1/_xlfn.MINIFS($AF$3:$IN$3,$AF$4:$IN$4,"SEW_ACT",$AF154:$IN154,"&gt;0")),99999))))</f>
        <v/>
      </c>
      <c r="AB154" s="26">
        <f>IF(OR($E154="",Z154=0,V154=""),"",1+COUNTIFS(Z$8:Z$707,"&gt;0",V$8:V$707,"&lt;"&amp;V154)+COUNTIFS(Z$8:Z$707,"&gt;0",V$8:V$707,V154,AA$8:AA$707,"&lt;"&amp;AA154)+COUNTIFS(Z$8:Z$707,"&gt;0",V$8:V$707,V154,AA$8:AA$707,AA154,E$8:E$707,"&lt;"&amp;$E154))</f>
        <v/>
      </c>
      <c r="AC154" s="24">
        <f>IF(OR($E154="",Z154=0),"",IFERROR(TODAY()+ROUNDUP(Z154/(SUMIFS($AF154:$IN154,$AF$4:$IN$4,"WASH_ACT")/COUNTIFS($AF$4:$IN$4,"WASH_ACT",$AF154:$IN154,"&gt;0")),0),"no output yet"))</f>
        <v/>
      </c>
      <c r="AD154" s="26">
        <f>IF($E154="","",IFERROR(ROUND(MAX(0,SUMIFS($AF154:$IN154,$AF$4:$IN$4,"SEW_PLAN",$AF$3:$IN$3,"&lt;="&amp;TODAY())-SUMIFS($AF154:$IN154,$AF$4:$IN$4,"SEW_ACT",$AF$3:$IN$3,"&lt;="&amp;TODAY())+N(Q154))/(SUMIFS($AF154:$IN154,$AF$4:$IN$4,"SEW_PLAN")/COUNTIFS($AF$4:$IN$4,"SEW_PLAN",$AF154:$IN154,"&gt;0")),1),0))</f>
        <v/>
      </c>
      <c r="AE154" s="26">
        <f>IF($E154="","",IF(AND(Z154&gt;0,OR(AND(M154&lt;&gt;"",TODAY()&gt;M154),AND(V154&lt;&gt;"",V154-TODAY()&lt;=7))),"Yes","No"))</f>
        <v/>
      </c>
      <c r="AH154">
        <f>IF(OR(AF$3="",AF$3&gt;TODAY()),"",IF(AND(AF154="",AG154=""),"",N(AG154)-N(AF154)))</f>
        <v/>
      </c>
      <c r="AK154">
        <f>IF(OR(AF$3="",AF$3&gt;TODAY()),"",IF(AND(AI154="",AJ154=""),"",N(AJ154)-N(AI154)))</f>
        <v/>
      </c>
      <c r="AO154">
        <f>IF(OR(AM$3="",AM$3&gt;TODAY()),"",IF(AND(AM154="",AN154=""),"",N(AN154)-N(AM154)))</f>
        <v/>
      </c>
      <c r="AR154">
        <f>IF(OR(AM$3="",AM$3&gt;TODAY()),"",IF(AND(AP154="",AQ154=""),"",N(AQ154)-N(AP154)))</f>
        <v/>
      </c>
      <c r="AV154">
        <f>IF(OR(AT$3="",AT$3&gt;TODAY()),"",IF(AND(AT154="",AU154=""),"",N(AU154)-N(AT154)))</f>
        <v/>
      </c>
      <c r="AY154">
        <f>IF(OR(AT$3="",AT$3&gt;TODAY()),"",IF(AND(AW154="",AX154=""),"",N(AX154)-N(AW154)))</f>
        <v/>
      </c>
      <c r="BC154">
        <f>IF(OR(BA$3="",BA$3&gt;TODAY()),"",IF(AND(BA154="",BB154=""),"",N(BB154)-N(BA154)))</f>
        <v/>
      </c>
      <c r="BF154">
        <f>IF(OR(BA$3="",BA$3&gt;TODAY()),"",IF(AND(BD154="",BE154=""),"",N(BE154)-N(BD154)))</f>
        <v/>
      </c>
      <c r="BJ154">
        <f>IF(OR(BH$3="",BH$3&gt;TODAY()),"",IF(AND(BH154="",BI154=""),"",N(BI154)-N(BH154)))</f>
        <v/>
      </c>
      <c r="BM154">
        <f>IF(OR(BH$3="",BH$3&gt;TODAY()),"",IF(AND(BK154="",BL154=""),"",N(BL154)-N(BK154)))</f>
        <v/>
      </c>
      <c r="BQ154">
        <f>IF(OR(BO$3="",BO$3&gt;TODAY()),"",IF(AND(BO154="",BP154=""),"",N(BP154)-N(BO154)))</f>
        <v/>
      </c>
      <c r="BT154">
        <f>IF(OR(BO$3="",BO$3&gt;TODAY()),"",IF(AND(BR154="",BS154=""),"",N(BS154)-N(BR154)))</f>
        <v/>
      </c>
      <c r="BX154">
        <f>IF(OR(BV$3="",BV$3&gt;TODAY()),"",IF(AND(BV154="",BW154=""),"",N(BW154)-N(BV154)))</f>
        <v/>
      </c>
      <c r="CA154">
        <f>IF(OR(BV$3="",BV$3&gt;TODAY()),"",IF(AND(BY154="",BZ154=""),"",N(BZ154)-N(BY154)))</f>
        <v/>
      </c>
      <c r="CE154">
        <f>IF(OR(CC$3="",CC$3&gt;TODAY()),"",IF(AND(CC154="",CD154=""),"",N(CD154)-N(CC154)))</f>
        <v/>
      </c>
      <c r="CH154">
        <f>IF(OR(CC$3="",CC$3&gt;TODAY()),"",IF(AND(CF154="",CG154=""),"",N(CG154)-N(CF154)))</f>
        <v/>
      </c>
      <c r="CL154">
        <f>IF(OR(CJ$3="",CJ$3&gt;TODAY()),"",IF(AND(CJ154="",CK154=""),"",N(CK154)-N(CJ154)))</f>
        <v/>
      </c>
      <c r="CO154">
        <f>IF(OR(CJ$3="",CJ$3&gt;TODAY()),"",IF(AND(CM154="",CN154=""),"",N(CN154)-N(CM154)))</f>
        <v/>
      </c>
      <c r="CS154">
        <f>IF(OR(CQ$3="",CQ$3&gt;TODAY()),"",IF(AND(CQ154="",CR154=""),"",N(CR154)-N(CQ154)))</f>
        <v/>
      </c>
      <c r="CV154">
        <f>IF(OR(CQ$3="",CQ$3&gt;TODAY()),"",IF(AND(CT154="",CU154=""),"",N(CU154)-N(CT154)))</f>
        <v/>
      </c>
      <c r="CZ154">
        <f>IF(OR(CX$3="",CX$3&gt;TODAY()),"",IF(AND(CX154="",CY154=""),"",N(CY154)-N(CX154)))</f>
        <v/>
      </c>
      <c r="DC154">
        <f>IF(OR(CX$3="",CX$3&gt;TODAY()),"",IF(AND(DA154="",DB154=""),"",N(DB154)-N(DA154)))</f>
        <v/>
      </c>
      <c r="DG154">
        <f>IF(OR(DE$3="",DE$3&gt;TODAY()),"",IF(AND(DE154="",DF154=""),"",N(DF154)-N(DE154)))</f>
        <v/>
      </c>
      <c r="DJ154">
        <f>IF(OR(DE$3="",DE$3&gt;TODAY()),"",IF(AND(DH154="",DI154=""),"",N(DI154)-N(DH154)))</f>
        <v/>
      </c>
      <c r="DN154">
        <f>IF(OR(DL$3="",DL$3&gt;TODAY()),"",IF(AND(DL154="",DM154=""),"",N(DM154)-N(DL154)))</f>
        <v/>
      </c>
      <c r="DQ154">
        <f>IF(OR(DL$3="",DL$3&gt;TODAY()),"",IF(AND(DO154="",DP154=""),"",N(DP154)-N(DO154)))</f>
        <v/>
      </c>
      <c r="DU154">
        <f>IF(OR(DS$3="",DS$3&gt;TODAY()),"",IF(AND(DS154="",DT154=""),"",N(DT154)-N(DS154)))</f>
        <v/>
      </c>
      <c r="DX154">
        <f>IF(OR(DS$3="",DS$3&gt;TODAY()),"",IF(AND(DV154="",DW154=""),"",N(DW154)-N(DV154)))</f>
        <v/>
      </c>
      <c r="EB154">
        <f>IF(OR(DZ$3="",DZ$3&gt;TODAY()),"",IF(AND(DZ154="",EA154=""),"",N(EA154)-N(DZ154)))</f>
        <v/>
      </c>
      <c r="EE154">
        <f>IF(OR(DZ$3="",DZ$3&gt;TODAY()),"",IF(AND(EC154="",ED154=""),"",N(ED154)-N(EC154)))</f>
        <v/>
      </c>
      <c r="EI154">
        <f>IF(OR(EG$3="",EG$3&gt;TODAY()),"",IF(AND(EG154="",EH154=""),"",N(EH154)-N(EG154)))</f>
        <v/>
      </c>
      <c r="EL154">
        <f>IF(OR(EG$3="",EG$3&gt;TODAY()),"",IF(AND(EJ154="",EK154=""),"",N(EK154)-N(EJ154)))</f>
        <v/>
      </c>
      <c r="EP154">
        <f>IF(OR(EN$3="",EN$3&gt;TODAY()),"",IF(AND(EN154="",EO154=""),"",N(EO154)-N(EN154)))</f>
        <v/>
      </c>
      <c r="ES154">
        <f>IF(OR(EN$3="",EN$3&gt;TODAY()),"",IF(AND(EQ154="",ER154=""),"",N(ER154)-N(EQ154)))</f>
        <v/>
      </c>
      <c r="EW154">
        <f>IF(OR(EU$3="",EU$3&gt;TODAY()),"",IF(AND(EU154="",EV154=""),"",N(EV154)-N(EU154)))</f>
        <v/>
      </c>
      <c r="EZ154">
        <f>IF(OR(EU$3="",EU$3&gt;TODAY()),"",IF(AND(EX154="",EY154=""),"",N(EY154)-N(EX154)))</f>
        <v/>
      </c>
      <c r="FD154">
        <f>IF(OR(FB$3="",FB$3&gt;TODAY()),"",IF(AND(FB154="",FC154=""),"",N(FC154)-N(FB154)))</f>
        <v/>
      </c>
      <c r="FG154">
        <f>IF(OR(FB$3="",FB$3&gt;TODAY()),"",IF(AND(FE154="",FF154=""),"",N(FF154)-N(FE154)))</f>
        <v/>
      </c>
      <c r="FK154">
        <f>IF(OR(FI$3="",FI$3&gt;TODAY()),"",IF(AND(FI154="",FJ154=""),"",N(FJ154)-N(FI154)))</f>
        <v/>
      </c>
      <c r="FN154">
        <f>IF(OR(FI$3="",FI$3&gt;TODAY()),"",IF(AND(FL154="",FM154=""),"",N(FM154)-N(FL154)))</f>
        <v/>
      </c>
      <c r="FR154">
        <f>IF(OR(FP$3="",FP$3&gt;TODAY()),"",IF(AND(FP154="",FQ154=""),"",N(FQ154)-N(FP154)))</f>
        <v/>
      </c>
      <c r="FU154">
        <f>IF(OR(FP$3="",FP$3&gt;TODAY()),"",IF(AND(FS154="",FT154=""),"",N(FT154)-N(FS154)))</f>
        <v/>
      </c>
      <c r="FY154">
        <f>IF(OR(FW$3="",FW$3&gt;TODAY()),"",IF(AND(FW154="",FX154=""),"",N(FX154)-N(FW154)))</f>
        <v/>
      </c>
      <c r="GB154">
        <f>IF(OR(FW$3="",FW$3&gt;TODAY()),"",IF(AND(FZ154="",GA154=""),"",N(GA154)-N(FZ154)))</f>
        <v/>
      </c>
      <c r="GF154">
        <f>IF(OR(GD$3="",GD$3&gt;TODAY()),"",IF(AND(GD154="",GE154=""),"",N(GE154)-N(GD154)))</f>
        <v/>
      </c>
      <c r="GI154">
        <f>IF(OR(GD$3="",GD$3&gt;TODAY()),"",IF(AND(GG154="",GH154=""),"",N(GH154)-N(GG154)))</f>
        <v/>
      </c>
      <c r="GM154">
        <f>IF(OR(GK$3="",GK$3&gt;TODAY()),"",IF(AND(GK154="",GL154=""),"",N(GL154)-N(GK154)))</f>
        <v/>
      </c>
      <c r="GP154">
        <f>IF(OR(GK$3="",GK$3&gt;TODAY()),"",IF(AND(GN154="",GO154=""),"",N(GO154)-N(GN154)))</f>
        <v/>
      </c>
      <c r="GT154">
        <f>IF(OR(GR$3="",GR$3&gt;TODAY()),"",IF(AND(GR154="",GS154=""),"",N(GS154)-N(GR154)))</f>
        <v/>
      </c>
      <c r="GW154">
        <f>IF(OR(GR$3="",GR$3&gt;TODAY()),"",IF(AND(GU154="",GV154=""),"",N(GV154)-N(GU154)))</f>
        <v/>
      </c>
      <c r="HA154">
        <f>IF(OR(GY$3="",GY$3&gt;TODAY()),"",IF(AND(GY154="",GZ154=""),"",N(GZ154)-N(GY154)))</f>
        <v/>
      </c>
      <c r="HD154">
        <f>IF(OR(GY$3="",GY$3&gt;TODAY()),"",IF(AND(HB154="",HC154=""),"",N(HC154)-N(HB154)))</f>
        <v/>
      </c>
      <c r="HH154">
        <f>IF(OR(HF$3="",HF$3&gt;TODAY()),"",IF(AND(HF154="",HG154=""),"",N(HG154)-N(HF154)))</f>
        <v/>
      </c>
      <c r="HK154">
        <f>IF(OR(HF$3="",HF$3&gt;TODAY()),"",IF(AND(HI154="",HJ154=""),"",N(HJ154)-N(HI154)))</f>
        <v/>
      </c>
      <c r="HO154">
        <f>IF(OR(HM$3="",HM$3&gt;TODAY()),"",IF(AND(HM154="",HN154=""),"",N(HN154)-N(HM154)))</f>
        <v/>
      </c>
      <c r="HR154">
        <f>IF(OR(HM$3="",HM$3&gt;TODAY()),"",IF(AND(HP154="",HQ154=""),"",N(HQ154)-N(HP154)))</f>
        <v/>
      </c>
      <c r="HV154">
        <f>IF(OR(HT$3="",HT$3&gt;TODAY()),"",IF(AND(HT154="",HU154=""),"",N(HU154)-N(HT154)))</f>
        <v/>
      </c>
      <c r="HY154">
        <f>IF(OR(HT$3="",HT$3&gt;TODAY()),"",IF(AND(HW154="",HX154=""),"",N(HX154)-N(HW154)))</f>
        <v/>
      </c>
      <c r="IC154">
        <f>IF(OR(IA$3="",IA$3&gt;TODAY()),"",IF(AND(IA154="",IB154=""),"",N(IB154)-N(IA154)))</f>
        <v/>
      </c>
      <c r="IF154">
        <f>IF(OR(IA$3="",IA$3&gt;TODAY()),"",IF(AND(ID154="",IE154=""),"",N(IE154)-N(ID154)))</f>
        <v/>
      </c>
      <c r="IJ154">
        <f>IF(OR(IH$3="",IH$3&gt;TODAY()),"",IF(AND(IH154="",II154=""),"",N(II154)-N(IH154)))</f>
        <v/>
      </c>
      <c r="IM154">
        <f>IF(OR(IH$3="",IH$3&gt;TODAY()),"",IF(AND(IK154="",IL154=""),"",N(IL154)-N(IK154)))</f>
        <v/>
      </c>
    </row>
    <row r="155">
      <c r="A155" s="21" t="n"/>
      <c r="B155" s="21" t="n"/>
      <c r="C155" s="21" t="n"/>
      <c r="D155" s="21" t="n"/>
      <c r="E155" s="21" t="n"/>
      <c r="F155" s="21" t="n"/>
      <c r="G155" s="21" t="n"/>
      <c r="H155" s="21" t="n"/>
      <c r="I155" s="22" t="n"/>
      <c r="J155" s="22" t="n"/>
      <c r="K155" s="23" t="n"/>
      <c r="L155" s="22" t="n"/>
      <c r="M155" s="22" t="n"/>
      <c r="N155" s="21" t="n"/>
      <c r="O155" s="23" t="n"/>
      <c r="P155" s="23" t="n"/>
      <c r="Q155" s="23" t="n"/>
      <c r="R155" s="23" t="n"/>
      <c r="S155" s="22" t="n"/>
      <c r="T155" s="23" t="n"/>
      <c r="U155" s="23" t="n"/>
      <c r="V155" s="24">
        <f>IF(J155&lt;&gt;"",J155,IF(I155&lt;&gt;"",I155,""))</f>
        <v/>
      </c>
      <c r="W155" s="25">
        <f>IF($E155="","",N(O155)+SUMIFS($AF155:$IN155,$AF$4:$IN$4,"SEW_ACT"))</f>
        <v/>
      </c>
      <c r="X155" s="25">
        <f>IF($E155="","",N(P155)+SUMIFS($AF155:$IN155,$AF$4:$IN$4,"WASH_ACT"))</f>
        <v/>
      </c>
      <c r="Y155" s="25">
        <f>IF($E155="","",W155-X155-N(T155)-N(U155))</f>
        <v/>
      </c>
      <c r="Z155" s="25">
        <f>IF($E155="","",IF(N(K155)-X155&lt;=0.02*N(K155),0,N(K155)-X155))</f>
        <v/>
      </c>
      <c r="AA155" s="24">
        <f>IF($E155="","",IF(S155&lt;&gt;"",S155,IF(N(O155)&gt;0,IF(L155&lt;&gt;"",L155,99999),IFERROR(1/(1/_xlfn.MINIFS($AF$3:$IN$3,$AF$4:$IN$4,"SEW_ACT",$AF155:$IN155,"&gt;0")),99999))))</f>
        <v/>
      </c>
      <c r="AB155" s="26">
        <f>IF(OR($E155="",Z155=0,V155=""),"",1+COUNTIFS(Z$8:Z$707,"&gt;0",V$8:V$707,"&lt;"&amp;V155)+COUNTIFS(Z$8:Z$707,"&gt;0",V$8:V$707,V155,AA$8:AA$707,"&lt;"&amp;AA155)+COUNTIFS(Z$8:Z$707,"&gt;0",V$8:V$707,V155,AA$8:AA$707,AA155,E$8:E$707,"&lt;"&amp;$E155))</f>
        <v/>
      </c>
      <c r="AC155" s="24">
        <f>IF(OR($E155="",Z155=0),"",IFERROR(TODAY()+ROUNDUP(Z155/(SUMIFS($AF155:$IN155,$AF$4:$IN$4,"WASH_ACT")/COUNTIFS($AF$4:$IN$4,"WASH_ACT",$AF155:$IN155,"&gt;0")),0),"no output yet"))</f>
        <v/>
      </c>
      <c r="AD155" s="26">
        <f>IF($E155="","",IFERROR(ROUND(MAX(0,SUMIFS($AF155:$IN155,$AF$4:$IN$4,"SEW_PLAN",$AF$3:$IN$3,"&lt;="&amp;TODAY())-SUMIFS($AF155:$IN155,$AF$4:$IN$4,"SEW_ACT",$AF$3:$IN$3,"&lt;="&amp;TODAY())+N(Q155))/(SUMIFS($AF155:$IN155,$AF$4:$IN$4,"SEW_PLAN")/COUNTIFS($AF$4:$IN$4,"SEW_PLAN",$AF155:$IN155,"&gt;0")),1),0))</f>
        <v/>
      </c>
      <c r="AE155" s="26">
        <f>IF($E155="","",IF(AND(Z155&gt;0,OR(AND(M155&lt;&gt;"",TODAY()&gt;M155),AND(V155&lt;&gt;"",V155-TODAY()&lt;=7))),"Yes","No"))</f>
        <v/>
      </c>
      <c r="AH155">
        <f>IF(OR(AF$3="",AF$3&gt;TODAY()),"",IF(AND(AF155="",AG155=""),"",N(AG155)-N(AF155)))</f>
        <v/>
      </c>
      <c r="AK155">
        <f>IF(OR(AF$3="",AF$3&gt;TODAY()),"",IF(AND(AI155="",AJ155=""),"",N(AJ155)-N(AI155)))</f>
        <v/>
      </c>
      <c r="AO155">
        <f>IF(OR(AM$3="",AM$3&gt;TODAY()),"",IF(AND(AM155="",AN155=""),"",N(AN155)-N(AM155)))</f>
        <v/>
      </c>
      <c r="AR155">
        <f>IF(OR(AM$3="",AM$3&gt;TODAY()),"",IF(AND(AP155="",AQ155=""),"",N(AQ155)-N(AP155)))</f>
        <v/>
      </c>
      <c r="AV155">
        <f>IF(OR(AT$3="",AT$3&gt;TODAY()),"",IF(AND(AT155="",AU155=""),"",N(AU155)-N(AT155)))</f>
        <v/>
      </c>
      <c r="AY155">
        <f>IF(OR(AT$3="",AT$3&gt;TODAY()),"",IF(AND(AW155="",AX155=""),"",N(AX155)-N(AW155)))</f>
        <v/>
      </c>
      <c r="BC155">
        <f>IF(OR(BA$3="",BA$3&gt;TODAY()),"",IF(AND(BA155="",BB155=""),"",N(BB155)-N(BA155)))</f>
        <v/>
      </c>
      <c r="BF155">
        <f>IF(OR(BA$3="",BA$3&gt;TODAY()),"",IF(AND(BD155="",BE155=""),"",N(BE155)-N(BD155)))</f>
        <v/>
      </c>
      <c r="BJ155">
        <f>IF(OR(BH$3="",BH$3&gt;TODAY()),"",IF(AND(BH155="",BI155=""),"",N(BI155)-N(BH155)))</f>
        <v/>
      </c>
      <c r="BM155">
        <f>IF(OR(BH$3="",BH$3&gt;TODAY()),"",IF(AND(BK155="",BL155=""),"",N(BL155)-N(BK155)))</f>
        <v/>
      </c>
      <c r="BQ155">
        <f>IF(OR(BO$3="",BO$3&gt;TODAY()),"",IF(AND(BO155="",BP155=""),"",N(BP155)-N(BO155)))</f>
        <v/>
      </c>
      <c r="BT155">
        <f>IF(OR(BO$3="",BO$3&gt;TODAY()),"",IF(AND(BR155="",BS155=""),"",N(BS155)-N(BR155)))</f>
        <v/>
      </c>
      <c r="BX155">
        <f>IF(OR(BV$3="",BV$3&gt;TODAY()),"",IF(AND(BV155="",BW155=""),"",N(BW155)-N(BV155)))</f>
        <v/>
      </c>
      <c r="CA155">
        <f>IF(OR(BV$3="",BV$3&gt;TODAY()),"",IF(AND(BY155="",BZ155=""),"",N(BZ155)-N(BY155)))</f>
        <v/>
      </c>
      <c r="CE155">
        <f>IF(OR(CC$3="",CC$3&gt;TODAY()),"",IF(AND(CC155="",CD155=""),"",N(CD155)-N(CC155)))</f>
        <v/>
      </c>
      <c r="CH155">
        <f>IF(OR(CC$3="",CC$3&gt;TODAY()),"",IF(AND(CF155="",CG155=""),"",N(CG155)-N(CF155)))</f>
        <v/>
      </c>
      <c r="CL155">
        <f>IF(OR(CJ$3="",CJ$3&gt;TODAY()),"",IF(AND(CJ155="",CK155=""),"",N(CK155)-N(CJ155)))</f>
        <v/>
      </c>
      <c r="CO155">
        <f>IF(OR(CJ$3="",CJ$3&gt;TODAY()),"",IF(AND(CM155="",CN155=""),"",N(CN155)-N(CM155)))</f>
        <v/>
      </c>
      <c r="CS155">
        <f>IF(OR(CQ$3="",CQ$3&gt;TODAY()),"",IF(AND(CQ155="",CR155=""),"",N(CR155)-N(CQ155)))</f>
        <v/>
      </c>
      <c r="CV155">
        <f>IF(OR(CQ$3="",CQ$3&gt;TODAY()),"",IF(AND(CT155="",CU155=""),"",N(CU155)-N(CT155)))</f>
        <v/>
      </c>
      <c r="CZ155">
        <f>IF(OR(CX$3="",CX$3&gt;TODAY()),"",IF(AND(CX155="",CY155=""),"",N(CY155)-N(CX155)))</f>
        <v/>
      </c>
      <c r="DC155">
        <f>IF(OR(CX$3="",CX$3&gt;TODAY()),"",IF(AND(DA155="",DB155=""),"",N(DB155)-N(DA155)))</f>
        <v/>
      </c>
      <c r="DG155">
        <f>IF(OR(DE$3="",DE$3&gt;TODAY()),"",IF(AND(DE155="",DF155=""),"",N(DF155)-N(DE155)))</f>
        <v/>
      </c>
      <c r="DJ155">
        <f>IF(OR(DE$3="",DE$3&gt;TODAY()),"",IF(AND(DH155="",DI155=""),"",N(DI155)-N(DH155)))</f>
        <v/>
      </c>
      <c r="DN155">
        <f>IF(OR(DL$3="",DL$3&gt;TODAY()),"",IF(AND(DL155="",DM155=""),"",N(DM155)-N(DL155)))</f>
        <v/>
      </c>
      <c r="DQ155">
        <f>IF(OR(DL$3="",DL$3&gt;TODAY()),"",IF(AND(DO155="",DP155=""),"",N(DP155)-N(DO155)))</f>
        <v/>
      </c>
      <c r="DU155">
        <f>IF(OR(DS$3="",DS$3&gt;TODAY()),"",IF(AND(DS155="",DT155=""),"",N(DT155)-N(DS155)))</f>
        <v/>
      </c>
      <c r="DX155">
        <f>IF(OR(DS$3="",DS$3&gt;TODAY()),"",IF(AND(DV155="",DW155=""),"",N(DW155)-N(DV155)))</f>
        <v/>
      </c>
      <c r="EB155">
        <f>IF(OR(DZ$3="",DZ$3&gt;TODAY()),"",IF(AND(DZ155="",EA155=""),"",N(EA155)-N(DZ155)))</f>
        <v/>
      </c>
      <c r="EE155">
        <f>IF(OR(DZ$3="",DZ$3&gt;TODAY()),"",IF(AND(EC155="",ED155=""),"",N(ED155)-N(EC155)))</f>
        <v/>
      </c>
      <c r="EI155">
        <f>IF(OR(EG$3="",EG$3&gt;TODAY()),"",IF(AND(EG155="",EH155=""),"",N(EH155)-N(EG155)))</f>
        <v/>
      </c>
      <c r="EL155">
        <f>IF(OR(EG$3="",EG$3&gt;TODAY()),"",IF(AND(EJ155="",EK155=""),"",N(EK155)-N(EJ155)))</f>
        <v/>
      </c>
      <c r="EP155">
        <f>IF(OR(EN$3="",EN$3&gt;TODAY()),"",IF(AND(EN155="",EO155=""),"",N(EO155)-N(EN155)))</f>
        <v/>
      </c>
      <c r="ES155">
        <f>IF(OR(EN$3="",EN$3&gt;TODAY()),"",IF(AND(EQ155="",ER155=""),"",N(ER155)-N(EQ155)))</f>
        <v/>
      </c>
      <c r="EW155">
        <f>IF(OR(EU$3="",EU$3&gt;TODAY()),"",IF(AND(EU155="",EV155=""),"",N(EV155)-N(EU155)))</f>
        <v/>
      </c>
      <c r="EZ155">
        <f>IF(OR(EU$3="",EU$3&gt;TODAY()),"",IF(AND(EX155="",EY155=""),"",N(EY155)-N(EX155)))</f>
        <v/>
      </c>
      <c r="FD155">
        <f>IF(OR(FB$3="",FB$3&gt;TODAY()),"",IF(AND(FB155="",FC155=""),"",N(FC155)-N(FB155)))</f>
        <v/>
      </c>
      <c r="FG155">
        <f>IF(OR(FB$3="",FB$3&gt;TODAY()),"",IF(AND(FE155="",FF155=""),"",N(FF155)-N(FE155)))</f>
        <v/>
      </c>
      <c r="FK155">
        <f>IF(OR(FI$3="",FI$3&gt;TODAY()),"",IF(AND(FI155="",FJ155=""),"",N(FJ155)-N(FI155)))</f>
        <v/>
      </c>
      <c r="FN155">
        <f>IF(OR(FI$3="",FI$3&gt;TODAY()),"",IF(AND(FL155="",FM155=""),"",N(FM155)-N(FL155)))</f>
        <v/>
      </c>
      <c r="FR155">
        <f>IF(OR(FP$3="",FP$3&gt;TODAY()),"",IF(AND(FP155="",FQ155=""),"",N(FQ155)-N(FP155)))</f>
        <v/>
      </c>
      <c r="FU155">
        <f>IF(OR(FP$3="",FP$3&gt;TODAY()),"",IF(AND(FS155="",FT155=""),"",N(FT155)-N(FS155)))</f>
        <v/>
      </c>
      <c r="FY155">
        <f>IF(OR(FW$3="",FW$3&gt;TODAY()),"",IF(AND(FW155="",FX155=""),"",N(FX155)-N(FW155)))</f>
        <v/>
      </c>
      <c r="GB155">
        <f>IF(OR(FW$3="",FW$3&gt;TODAY()),"",IF(AND(FZ155="",GA155=""),"",N(GA155)-N(FZ155)))</f>
        <v/>
      </c>
      <c r="GF155">
        <f>IF(OR(GD$3="",GD$3&gt;TODAY()),"",IF(AND(GD155="",GE155=""),"",N(GE155)-N(GD155)))</f>
        <v/>
      </c>
      <c r="GI155">
        <f>IF(OR(GD$3="",GD$3&gt;TODAY()),"",IF(AND(GG155="",GH155=""),"",N(GH155)-N(GG155)))</f>
        <v/>
      </c>
      <c r="GM155">
        <f>IF(OR(GK$3="",GK$3&gt;TODAY()),"",IF(AND(GK155="",GL155=""),"",N(GL155)-N(GK155)))</f>
        <v/>
      </c>
      <c r="GP155">
        <f>IF(OR(GK$3="",GK$3&gt;TODAY()),"",IF(AND(GN155="",GO155=""),"",N(GO155)-N(GN155)))</f>
        <v/>
      </c>
      <c r="GT155">
        <f>IF(OR(GR$3="",GR$3&gt;TODAY()),"",IF(AND(GR155="",GS155=""),"",N(GS155)-N(GR155)))</f>
        <v/>
      </c>
      <c r="GW155">
        <f>IF(OR(GR$3="",GR$3&gt;TODAY()),"",IF(AND(GU155="",GV155=""),"",N(GV155)-N(GU155)))</f>
        <v/>
      </c>
      <c r="HA155">
        <f>IF(OR(GY$3="",GY$3&gt;TODAY()),"",IF(AND(GY155="",GZ155=""),"",N(GZ155)-N(GY155)))</f>
        <v/>
      </c>
      <c r="HD155">
        <f>IF(OR(GY$3="",GY$3&gt;TODAY()),"",IF(AND(HB155="",HC155=""),"",N(HC155)-N(HB155)))</f>
        <v/>
      </c>
      <c r="HH155">
        <f>IF(OR(HF$3="",HF$3&gt;TODAY()),"",IF(AND(HF155="",HG155=""),"",N(HG155)-N(HF155)))</f>
        <v/>
      </c>
      <c r="HK155">
        <f>IF(OR(HF$3="",HF$3&gt;TODAY()),"",IF(AND(HI155="",HJ155=""),"",N(HJ155)-N(HI155)))</f>
        <v/>
      </c>
      <c r="HO155">
        <f>IF(OR(HM$3="",HM$3&gt;TODAY()),"",IF(AND(HM155="",HN155=""),"",N(HN155)-N(HM155)))</f>
        <v/>
      </c>
      <c r="HR155">
        <f>IF(OR(HM$3="",HM$3&gt;TODAY()),"",IF(AND(HP155="",HQ155=""),"",N(HQ155)-N(HP155)))</f>
        <v/>
      </c>
      <c r="HV155">
        <f>IF(OR(HT$3="",HT$3&gt;TODAY()),"",IF(AND(HT155="",HU155=""),"",N(HU155)-N(HT155)))</f>
        <v/>
      </c>
      <c r="HY155">
        <f>IF(OR(HT$3="",HT$3&gt;TODAY()),"",IF(AND(HW155="",HX155=""),"",N(HX155)-N(HW155)))</f>
        <v/>
      </c>
      <c r="IC155">
        <f>IF(OR(IA$3="",IA$3&gt;TODAY()),"",IF(AND(IA155="",IB155=""),"",N(IB155)-N(IA155)))</f>
        <v/>
      </c>
      <c r="IF155">
        <f>IF(OR(IA$3="",IA$3&gt;TODAY()),"",IF(AND(ID155="",IE155=""),"",N(IE155)-N(ID155)))</f>
        <v/>
      </c>
      <c r="IJ155">
        <f>IF(OR(IH$3="",IH$3&gt;TODAY()),"",IF(AND(IH155="",II155=""),"",N(II155)-N(IH155)))</f>
        <v/>
      </c>
      <c r="IM155">
        <f>IF(OR(IH$3="",IH$3&gt;TODAY()),"",IF(AND(IK155="",IL155=""),"",N(IL155)-N(IK155)))</f>
        <v/>
      </c>
    </row>
    <row r="156">
      <c r="A156" s="21" t="n"/>
      <c r="B156" s="21" t="n"/>
      <c r="C156" s="21" t="n"/>
      <c r="D156" s="21" t="n"/>
      <c r="E156" s="21" t="n"/>
      <c r="F156" s="21" t="n"/>
      <c r="G156" s="21" t="n"/>
      <c r="H156" s="21" t="n"/>
      <c r="I156" s="22" t="n"/>
      <c r="J156" s="22" t="n"/>
      <c r="K156" s="23" t="n"/>
      <c r="L156" s="22" t="n"/>
      <c r="M156" s="22" t="n"/>
      <c r="N156" s="21" t="n"/>
      <c r="O156" s="23" t="n"/>
      <c r="P156" s="23" t="n"/>
      <c r="Q156" s="23" t="n"/>
      <c r="R156" s="23" t="n"/>
      <c r="S156" s="22" t="n"/>
      <c r="T156" s="23" t="n"/>
      <c r="U156" s="23" t="n"/>
      <c r="V156" s="24">
        <f>IF(J156&lt;&gt;"",J156,IF(I156&lt;&gt;"",I156,""))</f>
        <v/>
      </c>
      <c r="W156" s="25">
        <f>IF($E156="","",N(O156)+SUMIFS($AF156:$IN156,$AF$4:$IN$4,"SEW_ACT"))</f>
        <v/>
      </c>
      <c r="X156" s="25">
        <f>IF($E156="","",N(P156)+SUMIFS($AF156:$IN156,$AF$4:$IN$4,"WASH_ACT"))</f>
        <v/>
      </c>
      <c r="Y156" s="25">
        <f>IF($E156="","",W156-X156-N(T156)-N(U156))</f>
        <v/>
      </c>
      <c r="Z156" s="25">
        <f>IF($E156="","",IF(N(K156)-X156&lt;=0.02*N(K156),0,N(K156)-X156))</f>
        <v/>
      </c>
      <c r="AA156" s="24">
        <f>IF($E156="","",IF(S156&lt;&gt;"",S156,IF(N(O156)&gt;0,IF(L156&lt;&gt;"",L156,99999),IFERROR(1/(1/_xlfn.MINIFS($AF$3:$IN$3,$AF$4:$IN$4,"SEW_ACT",$AF156:$IN156,"&gt;0")),99999))))</f>
        <v/>
      </c>
      <c r="AB156" s="26">
        <f>IF(OR($E156="",Z156=0,V156=""),"",1+COUNTIFS(Z$8:Z$707,"&gt;0",V$8:V$707,"&lt;"&amp;V156)+COUNTIFS(Z$8:Z$707,"&gt;0",V$8:V$707,V156,AA$8:AA$707,"&lt;"&amp;AA156)+COUNTIFS(Z$8:Z$707,"&gt;0",V$8:V$707,V156,AA$8:AA$707,AA156,E$8:E$707,"&lt;"&amp;$E156))</f>
        <v/>
      </c>
      <c r="AC156" s="24">
        <f>IF(OR($E156="",Z156=0),"",IFERROR(TODAY()+ROUNDUP(Z156/(SUMIFS($AF156:$IN156,$AF$4:$IN$4,"WASH_ACT")/COUNTIFS($AF$4:$IN$4,"WASH_ACT",$AF156:$IN156,"&gt;0")),0),"no output yet"))</f>
        <v/>
      </c>
      <c r="AD156" s="26">
        <f>IF($E156="","",IFERROR(ROUND(MAX(0,SUMIFS($AF156:$IN156,$AF$4:$IN$4,"SEW_PLAN",$AF$3:$IN$3,"&lt;="&amp;TODAY())-SUMIFS($AF156:$IN156,$AF$4:$IN$4,"SEW_ACT",$AF$3:$IN$3,"&lt;="&amp;TODAY())+N(Q156))/(SUMIFS($AF156:$IN156,$AF$4:$IN$4,"SEW_PLAN")/COUNTIFS($AF$4:$IN$4,"SEW_PLAN",$AF156:$IN156,"&gt;0")),1),0))</f>
        <v/>
      </c>
      <c r="AE156" s="26">
        <f>IF($E156="","",IF(AND(Z156&gt;0,OR(AND(M156&lt;&gt;"",TODAY()&gt;M156),AND(V156&lt;&gt;"",V156-TODAY()&lt;=7))),"Yes","No"))</f>
        <v/>
      </c>
      <c r="AH156">
        <f>IF(OR(AF$3="",AF$3&gt;TODAY()),"",IF(AND(AF156="",AG156=""),"",N(AG156)-N(AF156)))</f>
        <v/>
      </c>
      <c r="AK156">
        <f>IF(OR(AF$3="",AF$3&gt;TODAY()),"",IF(AND(AI156="",AJ156=""),"",N(AJ156)-N(AI156)))</f>
        <v/>
      </c>
      <c r="AO156">
        <f>IF(OR(AM$3="",AM$3&gt;TODAY()),"",IF(AND(AM156="",AN156=""),"",N(AN156)-N(AM156)))</f>
        <v/>
      </c>
      <c r="AR156">
        <f>IF(OR(AM$3="",AM$3&gt;TODAY()),"",IF(AND(AP156="",AQ156=""),"",N(AQ156)-N(AP156)))</f>
        <v/>
      </c>
      <c r="AV156">
        <f>IF(OR(AT$3="",AT$3&gt;TODAY()),"",IF(AND(AT156="",AU156=""),"",N(AU156)-N(AT156)))</f>
        <v/>
      </c>
      <c r="AY156">
        <f>IF(OR(AT$3="",AT$3&gt;TODAY()),"",IF(AND(AW156="",AX156=""),"",N(AX156)-N(AW156)))</f>
        <v/>
      </c>
      <c r="BC156">
        <f>IF(OR(BA$3="",BA$3&gt;TODAY()),"",IF(AND(BA156="",BB156=""),"",N(BB156)-N(BA156)))</f>
        <v/>
      </c>
      <c r="BF156">
        <f>IF(OR(BA$3="",BA$3&gt;TODAY()),"",IF(AND(BD156="",BE156=""),"",N(BE156)-N(BD156)))</f>
        <v/>
      </c>
      <c r="BJ156">
        <f>IF(OR(BH$3="",BH$3&gt;TODAY()),"",IF(AND(BH156="",BI156=""),"",N(BI156)-N(BH156)))</f>
        <v/>
      </c>
      <c r="BM156">
        <f>IF(OR(BH$3="",BH$3&gt;TODAY()),"",IF(AND(BK156="",BL156=""),"",N(BL156)-N(BK156)))</f>
        <v/>
      </c>
      <c r="BQ156">
        <f>IF(OR(BO$3="",BO$3&gt;TODAY()),"",IF(AND(BO156="",BP156=""),"",N(BP156)-N(BO156)))</f>
        <v/>
      </c>
      <c r="BT156">
        <f>IF(OR(BO$3="",BO$3&gt;TODAY()),"",IF(AND(BR156="",BS156=""),"",N(BS156)-N(BR156)))</f>
        <v/>
      </c>
      <c r="BX156">
        <f>IF(OR(BV$3="",BV$3&gt;TODAY()),"",IF(AND(BV156="",BW156=""),"",N(BW156)-N(BV156)))</f>
        <v/>
      </c>
      <c r="CA156">
        <f>IF(OR(BV$3="",BV$3&gt;TODAY()),"",IF(AND(BY156="",BZ156=""),"",N(BZ156)-N(BY156)))</f>
        <v/>
      </c>
      <c r="CE156">
        <f>IF(OR(CC$3="",CC$3&gt;TODAY()),"",IF(AND(CC156="",CD156=""),"",N(CD156)-N(CC156)))</f>
        <v/>
      </c>
      <c r="CH156">
        <f>IF(OR(CC$3="",CC$3&gt;TODAY()),"",IF(AND(CF156="",CG156=""),"",N(CG156)-N(CF156)))</f>
        <v/>
      </c>
      <c r="CL156">
        <f>IF(OR(CJ$3="",CJ$3&gt;TODAY()),"",IF(AND(CJ156="",CK156=""),"",N(CK156)-N(CJ156)))</f>
        <v/>
      </c>
      <c r="CO156">
        <f>IF(OR(CJ$3="",CJ$3&gt;TODAY()),"",IF(AND(CM156="",CN156=""),"",N(CN156)-N(CM156)))</f>
        <v/>
      </c>
      <c r="CS156">
        <f>IF(OR(CQ$3="",CQ$3&gt;TODAY()),"",IF(AND(CQ156="",CR156=""),"",N(CR156)-N(CQ156)))</f>
        <v/>
      </c>
      <c r="CV156">
        <f>IF(OR(CQ$3="",CQ$3&gt;TODAY()),"",IF(AND(CT156="",CU156=""),"",N(CU156)-N(CT156)))</f>
        <v/>
      </c>
      <c r="CZ156">
        <f>IF(OR(CX$3="",CX$3&gt;TODAY()),"",IF(AND(CX156="",CY156=""),"",N(CY156)-N(CX156)))</f>
        <v/>
      </c>
      <c r="DC156">
        <f>IF(OR(CX$3="",CX$3&gt;TODAY()),"",IF(AND(DA156="",DB156=""),"",N(DB156)-N(DA156)))</f>
        <v/>
      </c>
      <c r="DG156">
        <f>IF(OR(DE$3="",DE$3&gt;TODAY()),"",IF(AND(DE156="",DF156=""),"",N(DF156)-N(DE156)))</f>
        <v/>
      </c>
      <c r="DJ156">
        <f>IF(OR(DE$3="",DE$3&gt;TODAY()),"",IF(AND(DH156="",DI156=""),"",N(DI156)-N(DH156)))</f>
        <v/>
      </c>
      <c r="DN156">
        <f>IF(OR(DL$3="",DL$3&gt;TODAY()),"",IF(AND(DL156="",DM156=""),"",N(DM156)-N(DL156)))</f>
        <v/>
      </c>
      <c r="DQ156">
        <f>IF(OR(DL$3="",DL$3&gt;TODAY()),"",IF(AND(DO156="",DP156=""),"",N(DP156)-N(DO156)))</f>
        <v/>
      </c>
      <c r="DU156">
        <f>IF(OR(DS$3="",DS$3&gt;TODAY()),"",IF(AND(DS156="",DT156=""),"",N(DT156)-N(DS156)))</f>
        <v/>
      </c>
      <c r="DX156">
        <f>IF(OR(DS$3="",DS$3&gt;TODAY()),"",IF(AND(DV156="",DW156=""),"",N(DW156)-N(DV156)))</f>
        <v/>
      </c>
      <c r="EB156">
        <f>IF(OR(DZ$3="",DZ$3&gt;TODAY()),"",IF(AND(DZ156="",EA156=""),"",N(EA156)-N(DZ156)))</f>
        <v/>
      </c>
      <c r="EE156">
        <f>IF(OR(DZ$3="",DZ$3&gt;TODAY()),"",IF(AND(EC156="",ED156=""),"",N(ED156)-N(EC156)))</f>
        <v/>
      </c>
      <c r="EI156">
        <f>IF(OR(EG$3="",EG$3&gt;TODAY()),"",IF(AND(EG156="",EH156=""),"",N(EH156)-N(EG156)))</f>
        <v/>
      </c>
      <c r="EL156">
        <f>IF(OR(EG$3="",EG$3&gt;TODAY()),"",IF(AND(EJ156="",EK156=""),"",N(EK156)-N(EJ156)))</f>
        <v/>
      </c>
      <c r="EP156">
        <f>IF(OR(EN$3="",EN$3&gt;TODAY()),"",IF(AND(EN156="",EO156=""),"",N(EO156)-N(EN156)))</f>
        <v/>
      </c>
      <c r="ES156">
        <f>IF(OR(EN$3="",EN$3&gt;TODAY()),"",IF(AND(EQ156="",ER156=""),"",N(ER156)-N(EQ156)))</f>
        <v/>
      </c>
      <c r="EW156">
        <f>IF(OR(EU$3="",EU$3&gt;TODAY()),"",IF(AND(EU156="",EV156=""),"",N(EV156)-N(EU156)))</f>
        <v/>
      </c>
      <c r="EZ156">
        <f>IF(OR(EU$3="",EU$3&gt;TODAY()),"",IF(AND(EX156="",EY156=""),"",N(EY156)-N(EX156)))</f>
        <v/>
      </c>
      <c r="FD156">
        <f>IF(OR(FB$3="",FB$3&gt;TODAY()),"",IF(AND(FB156="",FC156=""),"",N(FC156)-N(FB156)))</f>
        <v/>
      </c>
      <c r="FG156">
        <f>IF(OR(FB$3="",FB$3&gt;TODAY()),"",IF(AND(FE156="",FF156=""),"",N(FF156)-N(FE156)))</f>
        <v/>
      </c>
      <c r="FK156">
        <f>IF(OR(FI$3="",FI$3&gt;TODAY()),"",IF(AND(FI156="",FJ156=""),"",N(FJ156)-N(FI156)))</f>
        <v/>
      </c>
      <c r="FN156">
        <f>IF(OR(FI$3="",FI$3&gt;TODAY()),"",IF(AND(FL156="",FM156=""),"",N(FM156)-N(FL156)))</f>
        <v/>
      </c>
      <c r="FR156">
        <f>IF(OR(FP$3="",FP$3&gt;TODAY()),"",IF(AND(FP156="",FQ156=""),"",N(FQ156)-N(FP156)))</f>
        <v/>
      </c>
      <c r="FU156">
        <f>IF(OR(FP$3="",FP$3&gt;TODAY()),"",IF(AND(FS156="",FT156=""),"",N(FT156)-N(FS156)))</f>
        <v/>
      </c>
      <c r="FY156">
        <f>IF(OR(FW$3="",FW$3&gt;TODAY()),"",IF(AND(FW156="",FX156=""),"",N(FX156)-N(FW156)))</f>
        <v/>
      </c>
      <c r="GB156">
        <f>IF(OR(FW$3="",FW$3&gt;TODAY()),"",IF(AND(FZ156="",GA156=""),"",N(GA156)-N(FZ156)))</f>
        <v/>
      </c>
      <c r="GF156">
        <f>IF(OR(GD$3="",GD$3&gt;TODAY()),"",IF(AND(GD156="",GE156=""),"",N(GE156)-N(GD156)))</f>
        <v/>
      </c>
      <c r="GI156">
        <f>IF(OR(GD$3="",GD$3&gt;TODAY()),"",IF(AND(GG156="",GH156=""),"",N(GH156)-N(GG156)))</f>
        <v/>
      </c>
      <c r="GM156">
        <f>IF(OR(GK$3="",GK$3&gt;TODAY()),"",IF(AND(GK156="",GL156=""),"",N(GL156)-N(GK156)))</f>
        <v/>
      </c>
      <c r="GP156">
        <f>IF(OR(GK$3="",GK$3&gt;TODAY()),"",IF(AND(GN156="",GO156=""),"",N(GO156)-N(GN156)))</f>
        <v/>
      </c>
      <c r="GT156">
        <f>IF(OR(GR$3="",GR$3&gt;TODAY()),"",IF(AND(GR156="",GS156=""),"",N(GS156)-N(GR156)))</f>
        <v/>
      </c>
      <c r="GW156">
        <f>IF(OR(GR$3="",GR$3&gt;TODAY()),"",IF(AND(GU156="",GV156=""),"",N(GV156)-N(GU156)))</f>
        <v/>
      </c>
      <c r="HA156">
        <f>IF(OR(GY$3="",GY$3&gt;TODAY()),"",IF(AND(GY156="",GZ156=""),"",N(GZ156)-N(GY156)))</f>
        <v/>
      </c>
      <c r="HD156">
        <f>IF(OR(GY$3="",GY$3&gt;TODAY()),"",IF(AND(HB156="",HC156=""),"",N(HC156)-N(HB156)))</f>
        <v/>
      </c>
      <c r="HH156">
        <f>IF(OR(HF$3="",HF$3&gt;TODAY()),"",IF(AND(HF156="",HG156=""),"",N(HG156)-N(HF156)))</f>
        <v/>
      </c>
      <c r="HK156">
        <f>IF(OR(HF$3="",HF$3&gt;TODAY()),"",IF(AND(HI156="",HJ156=""),"",N(HJ156)-N(HI156)))</f>
        <v/>
      </c>
      <c r="HO156">
        <f>IF(OR(HM$3="",HM$3&gt;TODAY()),"",IF(AND(HM156="",HN156=""),"",N(HN156)-N(HM156)))</f>
        <v/>
      </c>
      <c r="HR156">
        <f>IF(OR(HM$3="",HM$3&gt;TODAY()),"",IF(AND(HP156="",HQ156=""),"",N(HQ156)-N(HP156)))</f>
        <v/>
      </c>
      <c r="HV156">
        <f>IF(OR(HT$3="",HT$3&gt;TODAY()),"",IF(AND(HT156="",HU156=""),"",N(HU156)-N(HT156)))</f>
        <v/>
      </c>
      <c r="HY156">
        <f>IF(OR(HT$3="",HT$3&gt;TODAY()),"",IF(AND(HW156="",HX156=""),"",N(HX156)-N(HW156)))</f>
        <v/>
      </c>
      <c r="IC156">
        <f>IF(OR(IA$3="",IA$3&gt;TODAY()),"",IF(AND(IA156="",IB156=""),"",N(IB156)-N(IA156)))</f>
        <v/>
      </c>
      <c r="IF156">
        <f>IF(OR(IA$3="",IA$3&gt;TODAY()),"",IF(AND(ID156="",IE156=""),"",N(IE156)-N(ID156)))</f>
        <v/>
      </c>
      <c r="IJ156">
        <f>IF(OR(IH$3="",IH$3&gt;TODAY()),"",IF(AND(IH156="",II156=""),"",N(II156)-N(IH156)))</f>
        <v/>
      </c>
      <c r="IM156">
        <f>IF(OR(IH$3="",IH$3&gt;TODAY()),"",IF(AND(IK156="",IL156=""),"",N(IL156)-N(IK156)))</f>
        <v/>
      </c>
    </row>
    <row r="157">
      <c r="A157" s="21" t="n"/>
      <c r="B157" s="21" t="n"/>
      <c r="C157" s="21" t="n"/>
      <c r="D157" s="21" t="n"/>
      <c r="E157" s="21" t="n"/>
      <c r="F157" s="21" t="n"/>
      <c r="G157" s="21" t="n"/>
      <c r="H157" s="21" t="n"/>
      <c r="I157" s="22" t="n"/>
      <c r="J157" s="22" t="n"/>
      <c r="K157" s="23" t="n"/>
      <c r="L157" s="22" t="n"/>
      <c r="M157" s="22" t="n"/>
      <c r="N157" s="21" t="n"/>
      <c r="O157" s="23" t="n"/>
      <c r="P157" s="23" t="n"/>
      <c r="Q157" s="23" t="n"/>
      <c r="R157" s="23" t="n"/>
      <c r="S157" s="22" t="n"/>
      <c r="T157" s="23" t="n"/>
      <c r="U157" s="23" t="n"/>
      <c r="V157" s="24">
        <f>IF(J157&lt;&gt;"",J157,IF(I157&lt;&gt;"",I157,""))</f>
        <v/>
      </c>
      <c r="W157" s="25">
        <f>IF($E157="","",N(O157)+SUMIFS($AF157:$IN157,$AF$4:$IN$4,"SEW_ACT"))</f>
        <v/>
      </c>
      <c r="X157" s="25">
        <f>IF($E157="","",N(P157)+SUMIFS($AF157:$IN157,$AF$4:$IN$4,"WASH_ACT"))</f>
        <v/>
      </c>
      <c r="Y157" s="25">
        <f>IF($E157="","",W157-X157-N(T157)-N(U157))</f>
        <v/>
      </c>
      <c r="Z157" s="25">
        <f>IF($E157="","",IF(N(K157)-X157&lt;=0.02*N(K157),0,N(K157)-X157))</f>
        <v/>
      </c>
      <c r="AA157" s="24">
        <f>IF($E157="","",IF(S157&lt;&gt;"",S157,IF(N(O157)&gt;0,IF(L157&lt;&gt;"",L157,99999),IFERROR(1/(1/_xlfn.MINIFS($AF$3:$IN$3,$AF$4:$IN$4,"SEW_ACT",$AF157:$IN157,"&gt;0")),99999))))</f>
        <v/>
      </c>
      <c r="AB157" s="26">
        <f>IF(OR($E157="",Z157=0,V157=""),"",1+COUNTIFS(Z$8:Z$707,"&gt;0",V$8:V$707,"&lt;"&amp;V157)+COUNTIFS(Z$8:Z$707,"&gt;0",V$8:V$707,V157,AA$8:AA$707,"&lt;"&amp;AA157)+COUNTIFS(Z$8:Z$707,"&gt;0",V$8:V$707,V157,AA$8:AA$707,AA157,E$8:E$707,"&lt;"&amp;$E157))</f>
        <v/>
      </c>
      <c r="AC157" s="24">
        <f>IF(OR($E157="",Z157=0),"",IFERROR(TODAY()+ROUNDUP(Z157/(SUMIFS($AF157:$IN157,$AF$4:$IN$4,"WASH_ACT")/COUNTIFS($AF$4:$IN$4,"WASH_ACT",$AF157:$IN157,"&gt;0")),0),"no output yet"))</f>
        <v/>
      </c>
      <c r="AD157" s="26">
        <f>IF($E157="","",IFERROR(ROUND(MAX(0,SUMIFS($AF157:$IN157,$AF$4:$IN$4,"SEW_PLAN",$AF$3:$IN$3,"&lt;="&amp;TODAY())-SUMIFS($AF157:$IN157,$AF$4:$IN$4,"SEW_ACT",$AF$3:$IN$3,"&lt;="&amp;TODAY())+N(Q157))/(SUMIFS($AF157:$IN157,$AF$4:$IN$4,"SEW_PLAN")/COUNTIFS($AF$4:$IN$4,"SEW_PLAN",$AF157:$IN157,"&gt;0")),1),0))</f>
        <v/>
      </c>
      <c r="AE157" s="26">
        <f>IF($E157="","",IF(AND(Z157&gt;0,OR(AND(M157&lt;&gt;"",TODAY()&gt;M157),AND(V157&lt;&gt;"",V157-TODAY()&lt;=7))),"Yes","No"))</f>
        <v/>
      </c>
      <c r="AH157">
        <f>IF(OR(AF$3="",AF$3&gt;TODAY()),"",IF(AND(AF157="",AG157=""),"",N(AG157)-N(AF157)))</f>
        <v/>
      </c>
      <c r="AK157">
        <f>IF(OR(AF$3="",AF$3&gt;TODAY()),"",IF(AND(AI157="",AJ157=""),"",N(AJ157)-N(AI157)))</f>
        <v/>
      </c>
      <c r="AO157">
        <f>IF(OR(AM$3="",AM$3&gt;TODAY()),"",IF(AND(AM157="",AN157=""),"",N(AN157)-N(AM157)))</f>
        <v/>
      </c>
      <c r="AR157">
        <f>IF(OR(AM$3="",AM$3&gt;TODAY()),"",IF(AND(AP157="",AQ157=""),"",N(AQ157)-N(AP157)))</f>
        <v/>
      </c>
      <c r="AV157">
        <f>IF(OR(AT$3="",AT$3&gt;TODAY()),"",IF(AND(AT157="",AU157=""),"",N(AU157)-N(AT157)))</f>
        <v/>
      </c>
      <c r="AY157">
        <f>IF(OR(AT$3="",AT$3&gt;TODAY()),"",IF(AND(AW157="",AX157=""),"",N(AX157)-N(AW157)))</f>
        <v/>
      </c>
      <c r="BC157">
        <f>IF(OR(BA$3="",BA$3&gt;TODAY()),"",IF(AND(BA157="",BB157=""),"",N(BB157)-N(BA157)))</f>
        <v/>
      </c>
      <c r="BF157">
        <f>IF(OR(BA$3="",BA$3&gt;TODAY()),"",IF(AND(BD157="",BE157=""),"",N(BE157)-N(BD157)))</f>
        <v/>
      </c>
      <c r="BJ157">
        <f>IF(OR(BH$3="",BH$3&gt;TODAY()),"",IF(AND(BH157="",BI157=""),"",N(BI157)-N(BH157)))</f>
        <v/>
      </c>
      <c r="BM157">
        <f>IF(OR(BH$3="",BH$3&gt;TODAY()),"",IF(AND(BK157="",BL157=""),"",N(BL157)-N(BK157)))</f>
        <v/>
      </c>
      <c r="BQ157">
        <f>IF(OR(BO$3="",BO$3&gt;TODAY()),"",IF(AND(BO157="",BP157=""),"",N(BP157)-N(BO157)))</f>
        <v/>
      </c>
      <c r="BT157">
        <f>IF(OR(BO$3="",BO$3&gt;TODAY()),"",IF(AND(BR157="",BS157=""),"",N(BS157)-N(BR157)))</f>
        <v/>
      </c>
      <c r="BX157">
        <f>IF(OR(BV$3="",BV$3&gt;TODAY()),"",IF(AND(BV157="",BW157=""),"",N(BW157)-N(BV157)))</f>
        <v/>
      </c>
      <c r="CA157">
        <f>IF(OR(BV$3="",BV$3&gt;TODAY()),"",IF(AND(BY157="",BZ157=""),"",N(BZ157)-N(BY157)))</f>
        <v/>
      </c>
      <c r="CE157">
        <f>IF(OR(CC$3="",CC$3&gt;TODAY()),"",IF(AND(CC157="",CD157=""),"",N(CD157)-N(CC157)))</f>
        <v/>
      </c>
      <c r="CH157">
        <f>IF(OR(CC$3="",CC$3&gt;TODAY()),"",IF(AND(CF157="",CG157=""),"",N(CG157)-N(CF157)))</f>
        <v/>
      </c>
      <c r="CL157">
        <f>IF(OR(CJ$3="",CJ$3&gt;TODAY()),"",IF(AND(CJ157="",CK157=""),"",N(CK157)-N(CJ157)))</f>
        <v/>
      </c>
      <c r="CO157">
        <f>IF(OR(CJ$3="",CJ$3&gt;TODAY()),"",IF(AND(CM157="",CN157=""),"",N(CN157)-N(CM157)))</f>
        <v/>
      </c>
      <c r="CS157">
        <f>IF(OR(CQ$3="",CQ$3&gt;TODAY()),"",IF(AND(CQ157="",CR157=""),"",N(CR157)-N(CQ157)))</f>
        <v/>
      </c>
      <c r="CV157">
        <f>IF(OR(CQ$3="",CQ$3&gt;TODAY()),"",IF(AND(CT157="",CU157=""),"",N(CU157)-N(CT157)))</f>
        <v/>
      </c>
      <c r="CZ157">
        <f>IF(OR(CX$3="",CX$3&gt;TODAY()),"",IF(AND(CX157="",CY157=""),"",N(CY157)-N(CX157)))</f>
        <v/>
      </c>
      <c r="DC157">
        <f>IF(OR(CX$3="",CX$3&gt;TODAY()),"",IF(AND(DA157="",DB157=""),"",N(DB157)-N(DA157)))</f>
        <v/>
      </c>
      <c r="DG157">
        <f>IF(OR(DE$3="",DE$3&gt;TODAY()),"",IF(AND(DE157="",DF157=""),"",N(DF157)-N(DE157)))</f>
        <v/>
      </c>
      <c r="DJ157">
        <f>IF(OR(DE$3="",DE$3&gt;TODAY()),"",IF(AND(DH157="",DI157=""),"",N(DI157)-N(DH157)))</f>
        <v/>
      </c>
      <c r="DN157">
        <f>IF(OR(DL$3="",DL$3&gt;TODAY()),"",IF(AND(DL157="",DM157=""),"",N(DM157)-N(DL157)))</f>
        <v/>
      </c>
      <c r="DQ157">
        <f>IF(OR(DL$3="",DL$3&gt;TODAY()),"",IF(AND(DO157="",DP157=""),"",N(DP157)-N(DO157)))</f>
        <v/>
      </c>
      <c r="DU157">
        <f>IF(OR(DS$3="",DS$3&gt;TODAY()),"",IF(AND(DS157="",DT157=""),"",N(DT157)-N(DS157)))</f>
        <v/>
      </c>
      <c r="DX157">
        <f>IF(OR(DS$3="",DS$3&gt;TODAY()),"",IF(AND(DV157="",DW157=""),"",N(DW157)-N(DV157)))</f>
        <v/>
      </c>
      <c r="EB157">
        <f>IF(OR(DZ$3="",DZ$3&gt;TODAY()),"",IF(AND(DZ157="",EA157=""),"",N(EA157)-N(DZ157)))</f>
        <v/>
      </c>
      <c r="EE157">
        <f>IF(OR(DZ$3="",DZ$3&gt;TODAY()),"",IF(AND(EC157="",ED157=""),"",N(ED157)-N(EC157)))</f>
        <v/>
      </c>
      <c r="EI157">
        <f>IF(OR(EG$3="",EG$3&gt;TODAY()),"",IF(AND(EG157="",EH157=""),"",N(EH157)-N(EG157)))</f>
        <v/>
      </c>
      <c r="EL157">
        <f>IF(OR(EG$3="",EG$3&gt;TODAY()),"",IF(AND(EJ157="",EK157=""),"",N(EK157)-N(EJ157)))</f>
        <v/>
      </c>
      <c r="EP157">
        <f>IF(OR(EN$3="",EN$3&gt;TODAY()),"",IF(AND(EN157="",EO157=""),"",N(EO157)-N(EN157)))</f>
        <v/>
      </c>
      <c r="ES157">
        <f>IF(OR(EN$3="",EN$3&gt;TODAY()),"",IF(AND(EQ157="",ER157=""),"",N(ER157)-N(EQ157)))</f>
        <v/>
      </c>
      <c r="EW157">
        <f>IF(OR(EU$3="",EU$3&gt;TODAY()),"",IF(AND(EU157="",EV157=""),"",N(EV157)-N(EU157)))</f>
        <v/>
      </c>
      <c r="EZ157">
        <f>IF(OR(EU$3="",EU$3&gt;TODAY()),"",IF(AND(EX157="",EY157=""),"",N(EY157)-N(EX157)))</f>
        <v/>
      </c>
      <c r="FD157">
        <f>IF(OR(FB$3="",FB$3&gt;TODAY()),"",IF(AND(FB157="",FC157=""),"",N(FC157)-N(FB157)))</f>
        <v/>
      </c>
      <c r="FG157">
        <f>IF(OR(FB$3="",FB$3&gt;TODAY()),"",IF(AND(FE157="",FF157=""),"",N(FF157)-N(FE157)))</f>
        <v/>
      </c>
      <c r="FK157">
        <f>IF(OR(FI$3="",FI$3&gt;TODAY()),"",IF(AND(FI157="",FJ157=""),"",N(FJ157)-N(FI157)))</f>
        <v/>
      </c>
      <c r="FN157">
        <f>IF(OR(FI$3="",FI$3&gt;TODAY()),"",IF(AND(FL157="",FM157=""),"",N(FM157)-N(FL157)))</f>
        <v/>
      </c>
      <c r="FR157">
        <f>IF(OR(FP$3="",FP$3&gt;TODAY()),"",IF(AND(FP157="",FQ157=""),"",N(FQ157)-N(FP157)))</f>
        <v/>
      </c>
      <c r="FU157">
        <f>IF(OR(FP$3="",FP$3&gt;TODAY()),"",IF(AND(FS157="",FT157=""),"",N(FT157)-N(FS157)))</f>
        <v/>
      </c>
      <c r="FY157">
        <f>IF(OR(FW$3="",FW$3&gt;TODAY()),"",IF(AND(FW157="",FX157=""),"",N(FX157)-N(FW157)))</f>
        <v/>
      </c>
      <c r="GB157">
        <f>IF(OR(FW$3="",FW$3&gt;TODAY()),"",IF(AND(FZ157="",GA157=""),"",N(GA157)-N(FZ157)))</f>
        <v/>
      </c>
      <c r="GF157">
        <f>IF(OR(GD$3="",GD$3&gt;TODAY()),"",IF(AND(GD157="",GE157=""),"",N(GE157)-N(GD157)))</f>
        <v/>
      </c>
      <c r="GI157">
        <f>IF(OR(GD$3="",GD$3&gt;TODAY()),"",IF(AND(GG157="",GH157=""),"",N(GH157)-N(GG157)))</f>
        <v/>
      </c>
      <c r="GM157">
        <f>IF(OR(GK$3="",GK$3&gt;TODAY()),"",IF(AND(GK157="",GL157=""),"",N(GL157)-N(GK157)))</f>
        <v/>
      </c>
      <c r="GP157">
        <f>IF(OR(GK$3="",GK$3&gt;TODAY()),"",IF(AND(GN157="",GO157=""),"",N(GO157)-N(GN157)))</f>
        <v/>
      </c>
      <c r="GT157">
        <f>IF(OR(GR$3="",GR$3&gt;TODAY()),"",IF(AND(GR157="",GS157=""),"",N(GS157)-N(GR157)))</f>
        <v/>
      </c>
      <c r="GW157">
        <f>IF(OR(GR$3="",GR$3&gt;TODAY()),"",IF(AND(GU157="",GV157=""),"",N(GV157)-N(GU157)))</f>
        <v/>
      </c>
      <c r="HA157">
        <f>IF(OR(GY$3="",GY$3&gt;TODAY()),"",IF(AND(GY157="",GZ157=""),"",N(GZ157)-N(GY157)))</f>
        <v/>
      </c>
      <c r="HD157">
        <f>IF(OR(GY$3="",GY$3&gt;TODAY()),"",IF(AND(HB157="",HC157=""),"",N(HC157)-N(HB157)))</f>
        <v/>
      </c>
      <c r="HH157">
        <f>IF(OR(HF$3="",HF$3&gt;TODAY()),"",IF(AND(HF157="",HG157=""),"",N(HG157)-N(HF157)))</f>
        <v/>
      </c>
      <c r="HK157">
        <f>IF(OR(HF$3="",HF$3&gt;TODAY()),"",IF(AND(HI157="",HJ157=""),"",N(HJ157)-N(HI157)))</f>
        <v/>
      </c>
      <c r="HO157">
        <f>IF(OR(HM$3="",HM$3&gt;TODAY()),"",IF(AND(HM157="",HN157=""),"",N(HN157)-N(HM157)))</f>
        <v/>
      </c>
      <c r="HR157">
        <f>IF(OR(HM$3="",HM$3&gt;TODAY()),"",IF(AND(HP157="",HQ157=""),"",N(HQ157)-N(HP157)))</f>
        <v/>
      </c>
      <c r="HV157">
        <f>IF(OR(HT$3="",HT$3&gt;TODAY()),"",IF(AND(HT157="",HU157=""),"",N(HU157)-N(HT157)))</f>
        <v/>
      </c>
      <c r="HY157">
        <f>IF(OR(HT$3="",HT$3&gt;TODAY()),"",IF(AND(HW157="",HX157=""),"",N(HX157)-N(HW157)))</f>
        <v/>
      </c>
      <c r="IC157">
        <f>IF(OR(IA$3="",IA$3&gt;TODAY()),"",IF(AND(IA157="",IB157=""),"",N(IB157)-N(IA157)))</f>
        <v/>
      </c>
      <c r="IF157">
        <f>IF(OR(IA$3="",IA$3&gt;TODAY()),"",IF(AND(ID157="",IE157=""),"",N(IE157)-N(ID157)))</f>
        <v/>
      </c>
      <c r="IJ157">
        <f>IF(OR(IH$3="",IH$3&gt;TODAY()),"",IF(AND(IH157="",II157=""),"",N(II157)-N(IH157)))</f>
        <v/>
      </c>
      <c r="IM157">
        <f>IF(OR(IH$3="",IH$3&gt;TODAY()),"",IF(AND(IK157="",IL157=""),"",N(IL157)-N(IK157)))</f>
        <v/>
      </c>
    </row>
    <row r="158">
      <c r="A158" s="21" t="n"/>
      <c r="B158" s="21" t="n"/>
      <c r="C158" s="21" t="n"/>
      <c r="D158" s="21" t="n"/>
      <c r="E158" s="21" t="n"/>
      <c r="F158" s="21" t="n"/>
      <c r="G158" s="21" t="n"/>
      <c r="H158" s="21" t="n"/>
      <c r="I158" s="22" t="n"/>
      <c r="J158" s="22" t="n"/>
      <c r="K158" s="23" t="n"/>
      <c r="L158" s="22" t="n"/>
      <c r="M158" s="22" t="n"/>
      <c r="N158" s="21" t="n"/>
      <c r="O158" s="23" t="n"/>
      <c r="P158" s="23" t="n"/>
      <c r="Q158" s="23" t="n"/>
      <c r="R158" s="23" t="n"/>
      <c r="S158" s="22" t="n"/>
      <c r="T158" s="23" t="n"/>
      <c r="U158" s="23" t="n"/>
      <c r="V158" s="24">
        <f>IF(J158&lt;&gt;"",J158,IF(I158&lt;&gt;"",I158,""))</f>
        <v/>
      </c>
      <c r="W158" s="25">
        <f>IF($E158="","",N(O158)+SUMIFS($AF158:$IN158,$AF$4:$IN$4,"SEW_ACT"))</f>
        <v/>
      </c>
      <c r="X158" s="25">
        <f>IF($E158="","",N(P158)+SUMIFS($AF158:$IN158,$AF$4:$IN$4,"WASH_ACT"))</f>
        <v/>
      </c>
      <c r="Y158" s="25">
        <f>IF($E158="","",W158-X158-N(T158)-N(U158))</f>
        <v/>
      </c>
      <c r="Z158" s="25">
        <f>IF($E158="","",IF(N(K158)-X158&lt;=0.02*N(K158),0,N(K158)-X158))</f>
        <v/>
      </c>
      <c r="AA158" s="24">
        <f>IF($E158="","",IF(S158&lt;&gt;"",S158,IF(N(O158)&gt;0,IF(L158&lt;&gt;"",L158,99999),IFERROR(1/(1/_xlfn.MINIFS($AF$3:$IN$3,$AF$4:$IN$4,"SEW_ACT",$AF158:$IN158,"&gt;0")),99999))))</f>
        <v/>
      </c>
      <c r="AB158" s="26">
        <f>IF(OR($E158="",Z158=0,V158=""),"",1+COUNTIFS(Z$8:Z$707,"&gt;0",V$8:V$707,"&lt;"&amp;V158)+COUNTIFS(Z$8:Z$707,"&gt;0",V$8:V$707,V158,AA$8:AA$707,"&lt;"&amp;AA158)+COUNTIFS(Z$8:Z$707,"&gt;0",V$8:V$707,V158,AA$8:AA$707,AA158,E$8:E$707,"&lt;"&amp;$E158))</f>
        <v/>
      </c>
      <c r="AC158" s="24">
        <f>IF(OR($E158="",Z158=0),"",IFERROR(TODAY()+ROUNDUP(Z158/(SUMIFS($AF158:$IN158,$AF$4:$IN$4,"WASH_ACT")/COUNTIFS($AF$4:$IN$4,"WASH_ACT",$AF158:$IN158,"&gt;0")),0),"no output yet"))</f>
        <v/>
      </c>
      <c r="AD158" s="26">
        <f>IF($E158="","",IFERROR(ROUND(MAX(0,SUMIFS($AF158:$IN158,$AF$4:$IN$4,"SEW_PLAN",$AF$3:$IN$3,"&lt;="&amp;TODAY())-SUMIFS($AF158:$IN158,$AF$4:$IN$4,"SEW_ACT",$AF$3:$IN$3,"&lt;="&amp;TODAY())+N(Q158))/(SUMIFS($AF158:$IN158,$AF$4:$IN$4,"SEW_PLAN")/COUNTIFS($AF$4:$IN$4,"SEW_PLAN",$AF158:$IN158,"&gt;0")),1),0))</f>
        <v/>
      </c>
      <c r="AE158" s="26">
        <f>IF($E158="","",IF(AND(Z158&gt;0,OR(AND(M158&lt;&gt;"",TODAY()&gt;M158),AND(V158&lt;&gt;"",V158-TODAY()&lt;=7))),"Yes","No"))</f>
        <v/>
      </c>
      <c r="AH158">
        <f>IF(OR(AF$3="",AF$3&gt;TODAY()),"",IF(AND(AF158="",AG158=""),"",N(AG158)-N(AF158)))</f>
        <v/>
      </c>
      <c r="AK158">
        <f>IF(OR(AF$3="",AF$3&gt;TODAY()),"",IF(AND(AI158="",AJ158=""),"",N(AJ158)-N(AI158)))</f>
        <v/>
      </c>
      <c r="AO158">
        <f>IF(OR(AM$3="",AM$3&gt;TODAY()),"",IF(AND(AM158="",AN158=""),"",N(AN158)-N(AM158)))</f>
        <v/>
      </c>
      <c r="AR158">
        <f>IF(OR(AM$3="",AM$3&gt;TODAY()),"",IF(AND(AP158="",AQ158=""),"",N(AQ158)-N(AP158)))</f>
        <v/>
      </c>
      <c r="AV158">
        <f>IF(OR(AT$3="",AT$3&gt;TODAY()),"",IF(AND(AT158="",AU158=""),"",N(AU158)-N(AT158)))</f>
        <v/>
      </c>
      <c r="AY158">
        <f>IF(OR(AT$3="",AT$3&gt;TODAY()),"",IF(AND(AW158="",AX158=""),"",N(AX158)-N(AW158)))</f>
        <v/>
      </c>
      <c r="BC158">
        <f>IF(OR(BA$3="",BA$3&gt;TODAY()),"",IF(AND(BA158="",BB158=""),"",N(BB158)-N(BA158)))</f>
        <v/>
      </c>
      <c r="BF158">
        <f>IF(OR(BA$3="",BA$3&gt;TODAY()),"",IF(AND(BD158="",BE158=""),"",N(BE158)-N(BD158)))</f>
        <v/>
      </c>
      <c r="BJ158">
        <f>IF(OR(BH$3="",BH$3&gt;TODAY()),"",IF(AND(BH158="",BI158=""),"",N(BI158)-N(BH158)))</f>
        <v/>
      </c>
      <c r="BM158">
        <f>IF(OR(BH$3="",BH$3&gt;TODAY()),"",IF(AND(BK158="",BL158=""),"",N(BL158)-N(BK158)))</f>
        <v/>
      </c>
      <c r="BQ158">
        <f>IF(OR(BO$3="",BO$3&gt;TODAY()),"",IF(AND(BO158="",BP158=""),"",N(BP158)-N(BO158)))</f>
        <v/>
      </c>
      <c r="BT158">
        <f>IF(OR(BO$3="",BO$3&gt;TODAY()),"",IF(AND(BR158="",BS158=""),"",N(BS158)-N(BR158)))</f>
        <v/>
      </c>
      <c r="BX158">
        <f>IF(OR(BV$3="",BV$3&gt;TODAY()),"",IF(AND(BV158="",BW158=""),"",N(BW158)-N(BV158)))</f>
        <v/>
      </c>
      <c r="CA158">
        <f>IF(OR(BV$3="",BV$3&gt;TODAY()),"",IF(AND(BY158="",BZ158=""),"",N(BZ158)-N(BY158)))</f>
        <v/>
      </c>
      <c r="CE158">
        <f>IF(OR(CC$3="",CC$3&gt;TODAY()),"",IF(AND(CC158="",CD158=""),"",N(CD158)-N(CC158)))</f>
        <v/>
      </c>
      <c r="CH158">
        <f>IF(OR(CC$3="",CC$3&gt;TODAY()),"",IF(AND(CF158="",CG158=""),"",N(CG158)-N(CF158)))</f>
        <v/>
      </c>
      <c r="CL158">
        <f>IF(OR(CJ$3="",CJ$3&gt;TODAY()),"",IF(AND(CJ158="",CK158=""),"",N(CK158)-N(CJ158)))</f>
        <v/>
      </c>
      <c r="CO158">
        <f>IF(OR(CJ$3="",CJ$3&gt;TODAY()),"",IF(AND(CM158="",CN158=""),"",N(CN158)-N(CM158)))</f>
        <v/>
      </c>
      <c r="CS158">
        <f>IF(OR(CQ$3="",CQ$3&gt;TODAY()),"",IF(AND(CQ158="",CR158=""),"",N(CR158)-N(CQ158)))</f>
        <v/>
      </c>
      <c r="CV158">
        <f>IF(OR(CQ$3="",CQ$3&gt;TODAY()),"",IF(AND(CT158="",CU158=""),"",N(CU158)-N(CT158)))</f>
        <v/>
      </c>
      <c r="CZ158">
        <f>IF(OR(CX$3="",CX$3&gt;TODAY()),"",IF(AND(CX158="",CY158=""),"",N(CY158)-N(CX158)))</f>
        <v/>
      </c>
      <c r="DC158">
        <f>IF(OR(CX$3="",CX$3&gt;TODAY()),"",IF(AND(DA158="",DB158=""),"",N(DB158)-N(DA158)))</f>
        <v/>
      </c>
      <c r="DG158">
        <f>IF(OR(DE$3="",DE$3&gt;TODAY()),"",IF(AND(DE158="",DF158=""),"",N(DF158)-N(DE158)))</f>
        <v/>
      </c>
      <c r="DJ158">
        <f>IF(OR(DE$3="",DE$3&gt;TODAY()),"",IF(AND(DH158="",DI158=""),"",N(DI158)-N(DH158)))</f>
        <v/>
      </c>
      <c r="DN158">
        <f>IF(OR(DL$3="",DL$3&gt;TODAY()),"",IF(AND(DL158="",DM158=""),"",N(DM158)-N(DL158)))</f>
        <v/>
      </c>
      <c r="DQ158">
        <f>IF(OR(DL$3="",DL$3&gt;TODAY()),"",IF(AND(DO158="",DP158=""),"",N(DP158)-N(DO158)))</f>
        <v/>
      </c>
      <c r="DU158">
        <f>IF(OR(DS$3="",DS$3&gt;TODAY()),"",IF(AND(DS158="",DT158=""),"",N(DT158)-N(DS158)))</f>
        <v/>
      </c>
      <c r="DX158">
        <f>IF(OR(DS$3="",DS$3&gt;TODAY()),"",IF(AND(DV158="",DW158=""),"",N(DW158)-N(DV158)))</f>
        <v/>
      </c>
      <c r="EB158">
        <f>IF(OR(DZ$3="",DZ$3&gt;TODAY()),"",IF(AND(DZ158="",EA158=""),"",N(EA158)-N(DZ158)))</f>
        <v/>
      </c>
      <c r="EE158">
        <f>IF(OR(DZ$3="",DZ$3&gt;TODAY()),"",IF(AND(EC158="",ED158=""),"",N(ED158)-N(EC158)))</f>
        <v/>
      </c>
      <c r="EI158">
        <f>IF(OR(EG$3="",EG$3&gt;TODAY()),"",IF(AND(EG158="",EH158=""),"",N(EH158)-N(EG158)))</f>
        <v/>
      </c>
      <c r="EL158">
        <f>IF(OR(EG$3="",EG$3&gt;TODAY()),"",IF(AND(EJ158="",EK158=""),"",N(EK158)-N(EJ158)))</f>
        <v/>
      </c>
      <c r="EP158">
        <f>IF(OR(EN$3="",EN$3&gt;TODAY()),"",IF(AND(EN158="",EO158=""),"",N(EO158)-N(EN158)))</f>
        <v/>
      </c>
      <c r="ES158">
        <f>IF(OR(EN$3="",EN$3&gt;TODAY()),"",IF(AND(EQ158="",ER158=""),"",N(ER158)-N(EQ158)))</f>
        <v/>
      </c>
      <c r="EW158">
        <f>IF(OR(EU$3="",EU$3&gt;TODAY()),"",IF(AND(EU158="",EV158=""),"",N(EV158)-N(EU158)))</f>
        <v/>
      </c>
      <c r="EZ158">
        <f>IF(OR(EU$3="",EU$3&gt;TODAY()),"",IF(AND(EX158="",EY158=""),"",N(EY158)-N(EX158)))</f>
        <v/>
      </c>
      <c r="FD158">
        <f>IF(OR(FB$3="",FB$3&gt;TODAY()),"",IF(AND(FB158="",FC158=""),"",N(FC158)-N(FB158)))</f>
        <v/>
      </c>
      <c r="FG158">
        <f>IF(OR(FB$3="",FB$3&gt;TODAY()),"",IF(AND(FE158="",FF158=""),"",N(FF158)-N(FE158)))</f>
        <v/>
      </c>
      <c r="FK158">
        <f>IF(OR(FI$3="",FI$3&gt;TODAY()),"",IF(AND(FI158="",FJ158=""),"",N(FJ158)-N(FI158)))</f>
        <v/>
      </c>
      <c r="FN158">
        <f>IF(OR(FI$3="",FI$3&gt;TODAY()),"",IF(AND(FL158="",FM158=""),"",N(FM158)-N(FL158)))</f>
        <v/>
      </c>
      <c r="FR158">
        <f>IF(OR(FP$3="",FP$3&gt;TODAY()),"",IF(AND(FP158="",FQ158=""),"",N(FQ158)-N(FP158)))</f>
        <v/>
      </c>
      <c r="FU158">
        <f>IF(OR(FP$3="",FP$3&gt;TODAY()),"",IF(AND(FS158="",FT158=""),"",N(FT158)-N(FS158)))</f>
        <v/>
      </c>
      <c r="FY158">
        <f>IF(OR(FW$3="",FW$3&gt;TODAY()),"",IF(AND(FW158="",FX158=""),"",N(FX158)-N(FW158)))</f>
        <v/>
      </c>
      <c r="GB158">
        <f>IF(OR(FW$3="",FW$3&gt;TODAY()),"",IF(AND(FZ158="",GA158=""),"",N(GA158)-N(FZ158)))</f>
        <v/>
      </c>
      <c r="GF158">
        <f>IF(OR(GD$3="",GD$3&gt;TODAY()),"",IF(AND(GD158="",GE158=""),"",N(GE158)-N(GD158)))</f>
        <v/>
      </c>
      <c r="GI158">
        <f>IF(OR(GD$3="",GD$3&gt;TODAY()),"",IF(AND(GG158="",GH158=""),"",N(GH158)-N(GG158)))</f>
        <v/>
      </c>
      <c r="GM158">
        <f>IF(OR(GK$3="",GK$3&gt;TODAY()),"",IF(AND(GK158="",GL158=""),"",N(GL158)-N(GK158)))</f>
        <v/>
      </c>
      <c r="GP158">
        <f>IF(OR(GK$3="",GK$3&gt;TODAY()),"",IF(AND(GN158="",GO158=""),"",N(GO158)-N(GN158)))</f>
        <v/>
      </c>
      <c r="GT158">
        <f>IF(OR(GR$3="",GR$3&gt;TODAY()),"",IF(AND(GR158="",GS158=""),"",N(GS158)-N(GR158)))</f>
        <v/>
      </c>
      <c r="GW158">
        <f>IF(OR(GR$3="",GR$3&gt;TODAY()),"",IF(AND(GU158="",GV158=""),"",N(GV158)-N(GU158)))</f>
        <v/>
      </c>
      <c r="HA158">
        <f>IF(OR(GY$3="",GY$3&gt;TODAY()),"",IF(AND(GY158="",GZ158=""),"",N(GZ158)-N(GY158)))</f>
        <v/>
      </c>
      <c r="HD158">
        <f>IF(OR(GY$3="",GY$3&gt;TODAY()),"",IF(AND(HB158="",HC158=""),"",N(HC158)-N(HB158)))</f>
        <v/>
      </c>
      <c r="HH158">
        <f>IF(OR(HF$3="",HF$3&gt;TODAY()),"",IF(AND(HF158="",HG158=""),"",N(HG158)-N(HF158)))</f>
        <v/>
      </c>
      <c r="HK158">
        <f>IF(OR(HF$3="",HF$3&gt;TODAY()),"",IF(AND(HI158="",HJ158=""),"",N(HJ158)-N(HI158)))</f>
        <v/>
      </c>
      <c r="HO158">
        <f>IF(OR(HM$3="",HM$3&gt;TODAY()),"",IF(AND(HM158="",HN158=""),"",N(HN158)-N(HM158)))</f>
        <v/>
      </c>
      <c r="HR158">
        <f>IF(OR(HM$3="",HM$3&gt;TODAY()),"",IF(AND(HP158="",HQ158=""),"",N(HQ158)-N(HP158)))</f>
        <v/>
      </c>
      <c r="HV158">
        <f>IF(OR(HT$3="",HT$3&gt;TODAY()),"",IF(AND(HT158="",HU158=""),"",N(HU158)-N(HT158)))</f>
        <v/>
      </c>
      <c r="HY158">
        <f>IF(OR(HT$3="",HT$3&gt;TODAY()),"",IF(AND(HW158="",HX158=""),"",N(HX158)-N(HW158)))</f>
        <v/>
      </c>
      <c r="IC158">
        <f>IF(OR(IA$3="",IA$3&gt;TODAY()),"",IF(AND(IA158="",IB158=""),"",N(IB158)-N(IA158)))</f>
        <v/>
      </c>
      <c r="IF158">
        <f>IF(OR(IA$3="",IA$3&gt;TODAY()),"",IF(AND(ID158="",IE158=""),"",N(IE158)-N(ID158)))</f>
        <v/>
      </c>
      <c r="IJ158">
        <f>IF(OR(IH$3="",IH$3&gt;TODAY()),"",IF(AND(IH158="",II158=""),"",N(II158)-N(IH158)))</f>
        <v/>
      </c>
      <c r="IM158">
        <f>IF(OR(IH$3="",IH$3&gt;TODAY()),"",IF(AND(IK158="",IL158=""),"",N(IL158)-N(IK158)))</f>
        <v/>
      </c>
    </row>
    <row r="159">
      <c r="A159" s="21" t="n"/>
      <c r="B159" s="21" t="n"/>
      <c r="C159" s="21" t="n"/>
      <c r="D159" s="21" t="n"/>
      <c r="E159" s="21" t="n"/>
      <c r="F159" s="21" t="n"/>
      <c r="G159" s="21" t="n"/>
      <c r="H159" s="21" t="n"/>
      <c r="I159" s="22" t="n"/>
      <c r="J159" s="22" t="n"/>
      <c r="K159" s="23" t="n"/>
      <c r="L159" s="22" t="n"/>
      <c r="M159" s="22" t="n"/>
      <c r="N159" s="21" t="n"/>
      <c r="O159" s="23" t="n"/>
      <c r="P159" s="23" t="n"/>
      <c r="Q159" s="23" t="n"/>
      <c r="R159" s="23" t="n"/>
      <c r="S159" s="22" t="n"/>
      <c r="T159" s="23" t="n"/>
      <c r="U159" s="23" t="n"/>
      <c r="V159" s="24">
        <f>IF(J159&lt;&gt;"",J159,IF(I159&lt;&gt;"",I159,""))</f>
        <v/>
      </c>
      <c r="W159" s="25">
        <f>IF($E159="","",N(O159)+SUMIFS($AF159:$IN159,$AF$4:$IN$4,"SEW_ACT"))</f>
        <v/>
      </c>
      <c r="X159" s="25">
        <f>IF($E159="","",N(P159)+SUMIFS($AF159:$IN159,$AF$4:$IN$4,"WASH_ACT"))</f>
        <v/>
      </c>
      <c r="Y159" s="25">
        <f>IF($E159="","",W159-X159-N(T159)-N(U159))</f>
        <v/>
      </c>
      <c r="Z159" s="25">
        <f>IF($E159="","",IF(N(K159)-X159&lt;=0.02*N(K159),0,N(K159)-X159))</f>
        <v/>
      </c>
      <c r="AA159" s="24">
        <f>IF($E159="","",IF(S159&lt;&gt;"",S159,IF(N(O159)&gt;0,IF(L159&lt;&gt;"",L159,99999),IFERROR(1/(1/_xlfn.MINIFS($AF$3:$IN$3,$AF$4:$IN$4,"SEW_ACT",$AF159:$IN159,"&gt;0")),99999))))</f>
        <v/>
      </c>
      <c r="AB159" s="26">
        <f>IF(OR($E159="",Z159=0,V159=""),"",1+COUNTIFS(Z$8:Z$707,"&gt;0",V$8:V$707,"&lt;"&amp;V159)+COUNTIFS(Z$8:Z$707,"&gt;0",V$8:V$707,V159,AA$8:AA$707,"&lt;"&amp;AA159)+COUNTIFS(Z$8:Z$707,"&gt;0",V$8:V$707,V159,AA$8:AA$707,AA159,E$8:E$707,"&lt;"&amp;$E159))</f>
        <v/>
      </c>
      <c r="AC159" s="24">
        <f>IF(OR($E159="",Z159=0),"",IFERROR(TODAY()+ROUNDUP(Z159/(SUMIFS($AF159:$IN159,$AF$4:$IN$4,"WASH_ACT")/COUNTIFS($AF$4:$IN$4,"WASH_ACT",$AF159:$IN159,"&gt;0")),0),"no output yet"))</f>
        <v/>
      </c>
      <c r="AD159" s="26">
        <f>IF($E159="","",IFERROR(ROUND(MAX(0,SUMIFS($AF159:$IN159,$AF$4:$IN$4,"SEW_PLAN",$AF$3:$IN$3,"&lt;="&amp;TODAY())-SUMIFS($AF159:$IN159,$AF$4:$IN$4,"SEW_ACT",$AF$3:$IN$3,"&lt;="&amp;TODAY())+N(Q159))/(SUMIFS($AF159:$IN159,$AF$4:$IN$4,"SEW_PLAN")/COUNTIFS($AF$4:$IN$4,"SEW_PLAN",$AF159:$IN159,"&gt;0")),1),0))</f>
        <v/>
      </c>
      <c r="AE159" s="26">
        <f>IF($E159="","",IF(AND(Z159&gt;0,OR(AND(M159&lt;&gt;"",TODAY()&gt;M159),AND(V159&lt;&gt;"",V159-TODAY()&lt;=7))),"Yes","No"))</f>
        <v/>
      </c>
      <c r="AH159">
        <f>IF(OR(AF$3="",AF$3&gt;TODAY()),"",IF(AND(AF159="",AG159=""),"",N(AG159)-N(AF159)))</f>
        <v/>
      </c>
      <c r="AK159">
        <f>IF(OR(AF$3="",AF$3&gt;TODAY()),"",IF(AND(AI159="",AJ159=""),"",N(AJ159)-N(AI159)))</f>
        <v/>
      </c>
      <c r="AO159">
        <f>IF(OR(AM$3="",AM$3&gt;TODAY()),"",IF(AND(AM159="",AN159=""),"",N(AN159)-N(AM159)))</f>
        <v/>
      </c>
      <c r="AR159">
        <f>IF(OR(AM$3="",AM$3&gt;TODAY()),"",IF(AND(AP159="",AQ159=""),"",N(AQ159)-N(AP159)))</f>
        <v/>
      </c>
      <c r="AV159">
        <f>IF(OR(AT$3="",AT$3&gt;TODAY()),"",IF(AND(AT159="",AU159=""),"",N(AU159)-N(AT159)))</f>
        <v/>
      </c>
      <c r="AY159">
        <f>IF(OR(AT$3="",AT$3&gt;TODAY()),"",IF(AND(AW159="",AX159=""),"",N(AX159)-N(AW159)))</f>
        <v/>
      </c>
      <c r="BC159">
        <f>IF(OR(BA$3="",BA$3&gt;TODAY()),"",IF(AND(BA159="",BB159=""),"",N(BB159)-N(BA159)))</f>
        <v/>
      </c>
      <c r="BF159">
        <f>IF(OR(BA$3="",BA$3&gt;TODAY()),"",IF(AND(BD159="",BE159=""),"",N(BE159)-N(BD159)))</f>
        <v/>
      </c>
      <c r="BJ159">
        <f>IF(OR(BH$3="",BH$3&gt;TODAY()),"",IF(AND(BH159="",BI159=""),"",N(BI159)-N(BH159)))</f>
        <v/>
      </c>
      <c r="BM159">
        <f>IF(OR(BH$3="",BH$3&gt;TODAY()),"",IF(AND(BK159="",BL159=""),"",N(BL159)-N(BK159)))</f>
        <v/>
      </c>
      <c r="BQ159">
        <f>IF(OR(BO$3="",BO$3&gt;TODAY()),"",IF(AND(BO159="",BP159=""),"",N(BP159)-N(BO159)))</f>
        <v/>
      </c>
      <c r="BT159">
        <f>IF(OR(BO$3="",BO$3&gt;TODAY()),"",IF(AND(BR159="",BS159=""),"",N(BS159)-N(BR159)))</f>
        <v/>
      </c>
      <c r="BX159">
        <f>IF(OR(BV$3="",BV$3&gt;TODAY()),"",IF(AND(BV159="",BW159=""),"",N(BW159)-N(BV159)))</f>
        <v/>
      </c>
      <c r="CA159">
        <f>IF(OR(BV$3="",BV$3&gt;TODAY()),"",IF(AND(BY159="",BZ159=""),"",N(BZ159)-N(BY159)))</f>
        <v/>
      </c>
      <c r="CE159">
        <f>IF(OR(CC$3="",CC$3&gt;TODAY()),"",IF(AND(CC159="",CD159=""),"",N(CD159)-N(CC159)))</f>
        <v/>
      </c>
      <c r="CH159">
        <f>IF(OR(CC$3="",CC$3&gt;TODAY()),"",IF(AND(CF159="",CG159=""),"",N(CG159)-N(CF159)))</f>
        <v/>
      </c>
      <c r="CL159">
        <f>IF(OR(CJ$3="",CJ$3&gt;TODAY()),"",IF(AND(CJ159="",CK159=""),"",N(CK159)-N(CJ159)))</f>
        <v/>
      </c>
      <c r="CO159">
        <f>IF(OR(CJ$3="",CJ$3&gt;TODAY()),"",IF(AND(CM159="",CN159=""),"",N(CN159)-N(CM159)))</f>
        <v/>
      </c>
      <c r="CS159">
        <f>IF(OR(CQ$3="",CQ$3&gt;TODAY()),"",IF(AND(CQ159="",CR159=""),"",N(CR159)-N(CQ159)))</f>
        <v/>
      </c>
      <c r="CV159">
        <f>IF(OR(CQ$3="",CQ$3&gt;TODAY()),"",IF(AND(CT159="",CU159=""),"",N(CU159)-N(CT159)))</f>
        <v/>
      </c>
      <c r="CZ159">
        <f>IF(OR(CX$3="",CX$3&gt;TODAY()),"",IF(AND(CX159="",CY159=""),"",N(CY159)-N(CX159)))</f>
        <v/>
      </c>
      <c r="DC159">
        <f>IF(OR(CX$3="",CX$3&gt;TODAY()),"",IF(AND(DA159="",DB159=""),"",N(DB159)-N(DA159)))</f>
        <v/>
      </c>
      <c r="DG159">
        <f>IF(OR(DE$3="",DE$3&gt;TODAY()),"",IF(AND(DE159="",DF159=""),"",N(DF159)-N(DE159)))</f>
        <v/>
      </c>
      <c r="DJ159">
        <f>IF(OR(DE$3="",DE$3&gt;TODAY()),"",IF(AND(DH159="",DI159=""),"",N(DI159)-N(DH159)))</f>
        <v/>
      </c>
      <c r="DN159">
        <f>IF(OR(DL$3="",DL$3&gt;TODAY()),"",IF(AND(DL159="",DM159=""),"",N(DM159)-N(DL159)))</f>
        <v/>
      </c>
      <c r="DQ159">
        <f>IF(OR(DL$3="",DL$3&gt;TODAY()),"",IF(AND(DO159="",DP159=""),"",N(DP159)-N(DO159)))</f>
        <v/>
      </c>
      <c r="DU159">
        <f>IF(OR(DS$3="",DS$3&gt;TODAY()),"",IF(AND(DS159="",DT159=""),"",N(DT159)-N(DS159)))</f>
        <v/>
      </c>
      <c r="DX159">
        <f>IF(OR(DS$3="",DS$3&gt;TODAY()),"",IF(AND(DV159="",DW159=""),"",N(DW159)-N(DV159)))</f>
        <v/>
      </c>
      <c r="EB159">
        <f>IF(OR(DZ$3="",DZ$3&gt;TODAY()),"",IF(AND(DZ159="",EA159=""),"",N(EA159)-N(DZ159)))</f>
        <v/>
      </c>
      <c r="EE159">
        <f>IF(OR(DZ$3="",DZ$3&gt;TODAY()),"",IF(AND(EC159="",ED159=""),"",N(ED159)-N(EC159)))</f>
        <v/>
      </c>
      <c r="EI159">
        <f>IF(OR(EG$3="",EG$3&gt;TODAY()),"",IF(AND(EG159="",EH159=""),"",N(EH159)-N(EG159)))</f>
        <v/>
      </c>
      <c r="EL159">
        <f>IF(OR(EG$3="",EG$3&gt;TODAY()),"",IF(AND(EJ159="",EK159=""),"",N(EK159)-N(EJ159)))</f>
        <v/>
      </c>
      <c r="EP159">
        <f>IF(OR(EN$3="",EN$3&gt;TODAY()),"",IF(AND(EN159="",EO159=""),"",N(EO159)-N(EN159)))</f>
        <v/>
      </c>
      <c r="ES159">
        <f>IF(OR(EN$3="",EN$3&gt;TODAY()),"",IF(AND(EQ159="",ER159=""),"",N(ER159)-N(EQ159)))</f>
        <v/>
      </c>
      <c r="EW159">
        <f>IF(OR(EU$3="",EU$3&gt;TODAY()),"",IF(AND(EU159="",EV159=""),"",N(EV159)-N(EU159)))</f>
        <v/>
      </c>
      <c r="EZ159">
        <f>IF(OR(EU$3="",EU$3&gt;TODAY()),"",IF(AND(EX159="",EY159=""),"",N(EY159)-N(EX159)))</f>
        <v/>
      </c>
      <c r="FD159">
        <f>IF(OR(FB$3="",FB$3&gt;TODAY()),"",IF(AND(FB159="",FC159=""),"",N(FC159)-N(FB159)))</f>
        <v/>
      </c>
      <c r="FG159">
        <f>IF(OR(FB$3="",FB$3&gt;TODAY()),"",IF(AND(FE159="",FF159=""),"",N(FF159)-N(FE159)))</f>
        <v/>
      </c>
      <c r="FK159">
        <f>IF(OR(FI$3="",FI$3&gt;TODAY()),"",IF(AND(FI159="",FJ159=""),"",N(FJ159)-N(FI159)))</f>
        <v/>
      </c>
      <c r="FN159">
        <f>IF(OR(FI$3="",FI$3&gt;TODAY()),"",IF(AND(FL159="",FM159=""),"",N(FM159)-N(FL159)))</f>
        <v/>
      </c>
      <c r="FR159">
        <f>IF(OR(FP$3="",FP$3&gt;TODAY()),"",IF(AND(FP159="",FQ159=""),"",N(FQ159)-N(FP159)))</f>
        <v/>
      </c>
      <c r="FU159">
        <f>IF(OR(FP$3="",FP$3&gt;TODAY()),"",IF(AND(FS159="",FT159=""),"",N(FT159)-N(FS159)))</f>
        <v/>
      </c>
      <c r="FY159">
        <f>IF(OR(FW$3="",FW$3&gt;TODAY()),"",IF(AND(FW159="",FX159=""),"",N(FX159)-N(FW159)))</f>
        <v/>
      </c>
      <c r="GB159">
        <f>IF(OR(FW$3="",FW$3&gt;TODAY()),"",IF(AND(FZ159="",GA159=""),"",N(GA159)-N(FZ159)))</f>
        <v/>
      </c>
      <c r="GF159">
        <f>IF(OR(GD$3="",GD$3&gt;TODAY()),"",IF(AND(GD159="",GE159=""),"",N(GE159)-N(GD159)))</f>
        <v/>
      </c>
      <c r="GI159">
        <f>IF(OR(GD$3="",GD$3&gt;TODAY()),"",IF(AND(GG159="",GH159=""),"",N(GH159)-N(GG159)))</f>
        <v/>
      </c>
      <c r="GM159">
        <f>IF(OR(GK$3="",GK$3&gt;TODAY()),"",IF(AND(GK159="",GL159=""),"",N(GL159)-N(GK159)))</f>
        <v/>
      </c>
      <c r="GP159">
        <f>IF(OR(GK$3="",GK$3&gt;TODAY()),"",IF(AND(GN159="",GO159=""),"",N(GO159)-N(GN159)))</f>
        <v/>
      </c>
      <c r="GT159">
        <f>IF(OR(GR$3="",GR$3&gt;TODAY()),"",IF(AND(GR159="",GS159=""),"",N(GS159)-N(GR159)))</f>
        <v/>
      </c>
      <c r="GW159">
        <f>IF(OR(GR$3="",GR$3&gt;TODAY()),"",IF(AND(GU159="",GV159=""),"",N(GV159)-N(GU159)))</f>
        <v/>
      </c>
      <c r="HA159">
        <f>IF(OR(GY$3="",GY$3&gt;TODAY()),"",IF(AND(GY159="",GZ159=""),"",N(GZ159)-N(GY159)))</f>
        <v/>
      </c>
      <c r="HD159">
        <f>IF(OR(GY$3="",GY$3&gt;TODAY()),"",IF(AND(HB159="",HC159=""),"",N(HC159)-N(HB159)))</f>
        <v/>
      </c>
      <c r="HH159">
        <f>IF(OR(HF$3="",HF$3&gt;TODAY()),"",IF(AND(HF159="",HG159=""),"",N(HG159)-N(HF159)))</f>
        <v/>
      </c>
      <c r="HK159">
        <f>IF(OR(HF$3="",HF$3&gt;TODAY()),"",IF(AND(HI159="",HJ159=""),"",N(HJ159)-N(HI159)))</f>
        <v/>
      </c>
      <c r="HO159">
        <f>IF(OR(HM$3="",HM$3&gt;TODAY()),"",IF(AND(HM159="",HN159=""),"",N(HN159)-N(HM159)))</f>
        <v/>
      </c>
      <c r="HR159">
        <f>IF(OR(HM$3="",HM$3&gt;TODAY()),"",IF(AND(HP159="",HQ159=""),"",N(HQ159)-N(HP159)))</f>
        <v/>
      </c>
      <c r="HV159">
        <f>IF(OR(HT$3="",HT$3&gt;TODAY()),"",IF(AND(HT159="",HU159=""),"",N(HU159)-N(HT159)))</f>
        <v/>
      </c>
      <c r="HY159">
        <f>IF(OR(HT$3="",HT$3&gt;TODAY()),"",IF(AND(HW159="",HX159=""),"",N(HX159)-N(HW159)))</f>
        <v/>
      </c>
      <c r="IC159">
        <f>IF(OR(IA$3="",IA$3&gt;TODAY()),"",IF(AND(IA159="",IB159=""),"",N(IB159)-N(IA159)))</f>
        <v/>
      </c>
      <c r="IF159">
        <f>IF(OR(IA$3="",IA$3&gt;TODAY()),"",IF(AND(ID159="",IE159=""),"",N(IE159)-N(ID159)))</f>
        <v/>
      </c>
      <c r="IJ159">
        <f>IF(OR(IH$3="",IH$3&gt;TODAY()),"",IF(AND(IH159="",II159=""),"",N(II159)-N(IH159)))</f>
        <v/>
      </c>
      <c r="IM159">
        <f>IF(OR(IH$3="",IH$3&gt;TODAY()),"",IF(AND(IK159="",IL159=""),"",N(IL159)-N(IK159)))</f>
        <v/>
      </c>
    </row>
    <row r="160">
      <c r="A160" s="21" t="n"/>
      <c r="B160" s="21" t="n"/>
      <c r="C160" s="21" t="n"/>
      <c r="D160" s="21" t="n"/>
      <c r="E160" s="21" t="n"/>
      <c r="F160" s="21" t="n"/>
      <c r="G160" s="21" t="n"/>
      <c r="H160" s="21" t="n"/>
      <c r="I160" s="22" t="n"/>
      <c r="J160" s="22" t="n"/>
      <c r="K160" s="23" t="n"/>
      <c r="L160" s="22" t="n"/>
      <c r="M160" s="22" t="n"/>
      <c r="N160" s="21" t="n"/>
      <c r="O160" s="23" t="n"/>
      <c r="P160" s="23" t="n"/>
      <c r="Q160" s="23" t="n"/>
      <c r="R160" s="23" t="n"/>
      <c r="S160" s="22" t="n"/>
      <c r="T160" s="23" t="n"/>
      <c r="U160" s="23" t="n"/>
      <c r="V160" s="24">
        <f>IF(J160&lt;&gt;"",J160,IF(I160&lt;&gt;"",I160,""))</f>
        <v/>
      </c>
      <c r="W160" s="25">
        <f>IF($E160="","",N(O160)+SUMIFS($AF160:$IN160,$AF$4:$IN$4,"SEW_ACT"))</f>
        <v/>
      </c>
      <c r="X160" s="25">
        <f>IF($E160="","",N(P160)+SUMIFS($AF160:$IN160,$AF$4:$IN$4,"WASH_ACT"))</f>
        <v/>
      </c>
      <c r="Y160" s="25">
        <f>IF($E160="","",W160-X160-N(T160)-N(U160))</f>
        <v/>
      </c>
      <c r="Z160" s="25">
        <f>IF($E160="","",IF(N(K160)-X160&lt;=0.02*N(K160),0,N(K160)-X160))</f>
        <v/>
      </c>
      <c r="AA160" s="24">
        <f>IF($E160="","",IF(S160&lt;&gt;"",S160,IF(N(O160)&gt;0,IF(L160&lt;&gt;"",L160,99999),IFERROR(1/(1/_xlfn.MINIFS($AF$3:$IN$3,$AF$4:$IN$4,"SEW_ACT",$AF160:$IN160,"&gt;0")),99999))))</f>
        <v/>
      </c>
      <c r="AB160" s="26">
        <f>IF(OR($E160="",Z160=0,V160=""),"",1+COUNTIFS(Z$8:Z$707,"&gt;0",V$8:V$707,"&lt;"&amp;V160)+COUNTIFS(Z$8:Z$707,"&gt;0",V$8:V$707,V160,AA$8:AA$707,"&lt;"&amp;AA160)+COUNTIFS(Z$8:Z$707,"&gt;0",V$8:V$707,V160,AA$8:AA$707,AA160,E$8:E$707,"&lt;"&amp;$E160))</f>
        <v/>
      </c>
      <c r="AC160" s="24">
        <f>IF(OR($E160="",Z160=0),"",IFERROR(TODAY()+ROUNDUP(Z160/(SUMIFS($AF160:$IN160,$AF$4:$IN$4,"WASH_ACT")/COUNTIFS($AF$4:$IN$4,"WASH_ACT",$AF160:$IN160,"&gt;0")),0),"no output yet"))</f>
        <v/>
      </c>
      <c r="AD160" s="26">
        <f>IF($E160="","",IFERROR(ROUND(MAX(0,SUMIFS($AF160:$IN160,$AF$4:$IN$4,"SEW_PLAN",$AF$3:$IN$3,"&lt;="&amp;TODAY())-SUMIFS($AF160:$IN160,$AF$4:$IN$4,"SEW_ACT",$AF$3:$IN$3,"&lt;="&amp;TODAY())+N(Q160))/(SUMIFS($AF160:$IN160,$AF$4:$IN$4,"SEW_PLAN")/COUNTIFS($AF$4:$IN$4,"SEW_PLAN",$AF160:$IN160,"&gt;0")),1),0))</f>
        <v/>
      </c>
      <c r="AE160" s="26">
        <f>IF($E160="","",IF(AND(Z160&gt;0,OR(AND(M160&lt;&gt;"",TODAY()&gt;M160),AND(V160&lt;&gt;"",V160-TODAY()&lt;=7))),"Yes","No"))</f>
        <v/>
      </c>
      <c r="AH160">
        <f>IF(OR(AF$3="",AF$3&gt;TODAY()),"",IF(AND(AF160="",AG160=""),"",N(AG160)-N(AF160)))</f>
        <v/>
      </c>
      <c r="AK160">
        <f>IF(OR(AF$3="",AF$3&gt;TODAY()),"",IF(AND(AI160="",AJ160=""),"",N(AJ160)-N(AI160)))</f>
        <v/>
      </c>
      <c r="AO160">
        <f>IF(OR(AM$3="",AM$3&gt;TODAY()),"",IF(AND(AM160="",AN160=""),"",N(AN160)-N(AM160)))</f>
        <v/>
      </c>
      <c r="AR160">
        <f>IF(OR(AM$3="",AM$3&gt;TODAY()),"",IF(AND(AP160="",AQ160=""),"",N(AQ160)-N(AP160)))</f>
        <v/>
      </c>
      <c r="AV160">
        <f>IF(OR(AT$3="",AT$3&gt;TODAY()),"",IF(AND(AT160="",AU160=""),"",N(AU160)-N(AT160)))</f>
        <v/>
      </c>
      <c r="AY160">
        <f>IF(OR(AT$3="",AT$3&gt;TODAY()),"",IF(AND(AW160="",AX160=""),"",N(AX160)-N(AW160)))</f>
        <v/>
      </c>
      <c r="BC160">
        <f>IF(OR(BA$3="",BA$3&gt;TODAY()),"",IF(AND(BA160="",BB160=""),"",N(BB160)-N(BA160)))</f>
        <v/>
      </c>
      <c r="BF160">
        <f>IF(OR(BA$3="",BA$3&gt;TODAY()),"",IF(AND(BD160="",BE160=""),"",N(BE160)-N(BD160)))</f>
        <v/>
      </c>
      <c r="BJ160">
        <f>IF(OR(BH$3="",BH$3&gt;TODAY()),"",IF(AND(BH160="",BI160=""),"",N(BI160)-N(BH160)))</f>
        <v/>
      </c>
      <c r="BM160">
        <f>IF(OR(BH$3="",BH$3&gt;TODAY()),"",IF(AND(BK160="",BL160=""),"",N(BL160)-N(BK160)))</f>
        <v/>
      </c>
      <c r="BQ160">
        <f>IF(OR(BO$3="",BO$3&gt;TODAY()),"",IF(AND(BO160="",BP160=""),"",N(BP160)-N(BO160)))</f>
        <v/>
      </c>
      <c r="BT160">
        <f>IF(OR(BO$3="",BO$3&gt;TODAY()),"",IF(AND(BR160="",BS160=""),"",N(BS160)-N(BR160)))</f>
        <v/>
      </c>
      <c r="BX160">
        <f>IF(OR(BV$3="",BV$3&gt;TODAY()),"",IF(AND(BV160="",BW160=""),"",N(BW160)-N(BV160)))</f>
        <v/>
      </c>
      <c r="CA160">
        <f>IF(OR(BV$3="",BV$3&gt;TODAY()),"",IF(AND(BY160="",BZ160=""),"",N(BZ160)-N(BY160)))</f>
        <v/>
      </c>
      <c r="CE160">
        <f>IF(OR(CC$3="",CC$3&gt;TODAY()),"",IF(AND(CC160="",CD160=""),"",N(CD160)-N(CC160)))</f>
        <v/>
      </c>
      <c r="CH160">
        <f>IF(OR(CC$3="",CC$3&gt;TODAY()),"",IF(AND(CF160="",CG160=""),"",N(CG160)-N(CF160)))</f>
        <v/>
      </c>
      <c r="CL160">
        <f>IF(OR(CJ$3="",CJ$3&gt;TODAY()),"",IF(AND(CJ160="",CK160=""),"",N(CK160)-N(CJ160)))</f>
        <v/>
      </c>
      <c r="CO160">
        <f>IF(OR(CJ$3="",CJ$3&gt;TODAY()),"",IF(AND(CM160="",CN160=""),"",N(CN160)-N(CM160)))</f>
        <v/>
      </c>
      <c r="CS160">
        <f>IF(OR(CQ$3="",CQ$3&gt;TODAY()),"",IF(AND(CQ160="",CR160=""),"",N(CR160)-N(CQ160)))</f>
        <v/>
      </c>
      <c r="CV160">
        <f>IF(OR(CQ$3="",CQ$3&gt;TODAY()),"",IF(AND(CT160="",CU160=""),"",N(CU160)-N(CT160)))</f>
        <v/>
      </c>
      <c r="CZ160">
        <f>IF(OR(CX$3="",CX$3&gt;TODAY()),"",IF(AND(CX160="",CY160=""),"",N(CY160)-N(CX160)))</f>
        <v/>
      </c>
      <c r="DC160">
        <f>IF(OR(CX$3="",CX$3&gt;TODAY()),"",IF(AND(DA160="",DB160=""),"",N(DB160)-N(DA160)))</f>
        <v/>
      </c>
      <c r="DG160">
        <f>IF(OR(DE$3="",DE$3&gt;TODAY()),"",IF(AND(DE160="",DF160=""),"",N(DF160)-N(DE160)))</f>
        <v/>
      </c>
      <c r="DJ160">
        <f>IF(OR(DE$3="",DE$3&gt;TODAY()),"",IF(AND(DH160="",DI160=""),"",N(DI160)-N(DH160)))</f>
        <v/>
      </c>
      <c r="DN160">
        <f>IF(OR(DL$3="",DL$3&gt;TODAY()),"",IF(AND(DL160="",DM160=""),"",N(DM160)-N(DL160)))</f>
        <v/>
      </c>
      <c r="DQ160">
        <f>IF(OR(DL$3="",DL$3&gt;TODAY()),"",IF(AND(DO160="",DP160=""),"",N(DP160)-N(DO160)))</f>
        <v/>
      </c>
      <c r="DU160">
        <f>IF(OR(DS$3="",DS$3&gt;TODAY()),"",IF(AND(DS160="",DT160=""),"",N(DT160)-N(DS160)))</f>
        <v/>
      </c>
      <c r="DX160">
        <f>IF(OR(DS$3="",DS$3&gt;TODAY()),"",IF(AND(DV160="",DW160=""),"",N(DW160)-N(DV160)))</f>
        <v/>
      </c>
      <c r="EB160">
        <f>IF(OR(DZ$3="",DZ$3&gt;TODAY()),"",IF(AND(DZ160="",EA160=""),"",N(EA160)-N(DZ160)))</f>
        <v/>
      </c>
      <c r="EE160">
        <f>IF(OR(DZ$3="",DZ$3&gt;TODAY()),"",IF(AND(EC160="",ED160=""),"",N(ED160)-N(EC160)))</f>
        <v/>
      </c>
      <c r="EI160">
        <f>IF(OR(EG$3="",EG$3&gt;TODAY()),"",IF(AND(EG160="",EH160=""),"",N(EH160)-N(EG160)))</f>
        <v/>
      </c>
      <c r="EL160">
        <f>IF(OR(EG$3="",EG$3&gt;TODAY()),"",IF(AND(EJ160="",EK160=""),"",N(EK160)-N(EJ160)))</f>
        <v/>
      </c>
      <c r="EP160">
        <f>IF(OR(EN$3="",EN$3&gt;TODAY()),"",IF(AND(EN160="",EO160=""),"",N(EO160)-N(EN160)))</f>
        <v/>
      </c>
      <c r="ES160">
        <f>IF(OR(EN$3="",EN$3&gt;TODAY()),"",IF(AND(EQ160="",ER160=""),"",N(ER160)-N(EQ160)))</f>
        <v/>
      </c>
      <c r="EW160">
        <f>IF(OR(EU$3="",EU$3&gt;TODAY()),"",IF(AND(EU160="",EV160=""),"",N(EV160)-N(EU160)))</f>
        <v/>
      </c>
      <c r="EZ160">
        <f>IF(OR(EU$3="",EU$3&gt;TODAY()),"",IF(AND(EX160="",EY160=""),"",N(EY160)-N(EX160)))</f>
        <v/>
      </c>
      <c r="FD160">
        <f>IF(OR(FB$3="",FB$3&gt;TODAY()),"",IF(AND(FB160="",FC160=""),"",N(FC160)-N(FB160)))</f>
        <v/>
      </c>
      <c r="FG160">
        <f>IF(OR(FB$3="",FB$3&gt;TODAY()),"",IF(AND(FE160="",FF160=""),"",N(FF160)-N(FE160)))</f>
        <v/>
      </c>
      <c r="FK160">
        <f>IF(OR(FI$3="",FI$3&gt;TODAY()),"",IF(AND(FI160="",FJ160=""),"",N(FJ160)-N(FI160)))</f>
        <v/>
      </c>
      <c r="FN160">
        <f>IF(OR(FI$3="",FI$3&gt;TODAY()),"",IF(AND(FL160="",FM160=""),"",N(FM160)-N(FL160)))</f>
        <v/>
      </c>
      <c r="FR160">
        <f>IF(OR(FP$3="",FP$3&gt;TODAY()),"",IF(AND(FP160="",FQ160=""),"",N(FQ160)-N(FP160)))</f>
        <v/>
      </c>
      <c r="FU160">
        <f>IF(OR(FP$3="",FP$3&gt;TODAY()),"",IF(AND(FS160="",FT160=""),"",N(FT160)-N(FS160)))</f>
        <v/>
      </c>
      <c r="FY160">
        <f>IF(OR(FW$3="",FW$3&gt;TODAY()),"",IF(AND(FW160="",FX160=""),"",N(FX160)-N(FW160)))</f>
        <v/>
      </c>
      <c r="GB160">
        <f>IF(OR(FW$3="",FW$3&gt;TODAY()),"",IF(AND(FZ160="",GA160=""),"",N(GA160)-N(FZ160)))</f>
        <v/>
      </c>
      <c r="GF160">
        <f>IF(OR(GD$3="",GD$3&gt;TODAY()),"",IF(AND(GD160="",GE160=""),"",N(GE160)-N(GD160)))</f>
        <v/>
      </c>
      <c r="GI160">
        <f>IF(OR(GD$3="",GD$3&gt;TODAY()),"",IF(AND(GG160="",GH160=""),"",N(GH160)-N(GG160)))</f>
        <v/>
      </c>
      <c r="GM160">
        <f>IF(OR(GK$3="",GK$3&gt;TODAY()),"",IF(AND(GK160="",GL160=""),"",N(GL160)-N(GK160)))</f>
        <v/>
      </c>
      <c r="GP160">
        <f>IF(OR(GK$3="",GK$3&gt;TODAY()),"",IF(AND(GN160="",GO160=""),"",N(GO160)-N(GN160)))</f>
        <v/>
      </c>
      <c r="GT160">
        <f>IF(OR(GR$3="",GR$3&gt;TODAY()),"",IF(AND(GR160="",GS160=""),"",N(GS160)-N(GR160)))</f>
        <v/>
      </c>
      <c r="GW160">
        <f>IF(OR(GR$3="",GR$3&gt;TODAY()),"",IF(AND(GU160="",GV160=""),"",N(GV160)-N(GU160)))</f>
        <v/>
      </c>
      <c r="HA160">
        <f>IF(OR(GY$3="",GY$3&gt;TODAY()),"",IF(AND(GY160="",GZ160=""),"",N(GZ160)-N(GY160)))</f>
        <v/>
      </c>
      <c r="HD160">
        <f>IF(OR(GY$3="",GY$3&gt;TODAY()),"",IF(AND(HB160="",HC160=""),"",N(HC160)-N(HB160)))</f>
        <v/>
      </c>
      <c r="HH160">
        <f>IF(OR(HF$3="",HF$3&gt;TODAY()),"",IF(AND(HF160="",HG160=""),"",N(HG160)-N(HF160)))</f>
        <v/>
      </c>
      <c r="HK160">
        <f>IF(OR(HF$3="",HF$3&gt;TODAY()),"",IF(AND(HI160="",HJ160=""),"",N(HJ160)-N(HI160)))</f>
        <v/>
      </c>
      <c r="HO160">
        <f>IF(OR(HM$3="",HM$3&gt;TODAY()),"",IF(AND(HM160="",HN160=""),"",N(HN160)-N(HM160)))</f>
        <v/>
      </c>
      <c r="HR160">
        <f>IF(OR(HM$3="",HM$3&gt;TODAY()),"",IF(AND(HP160="",HQ160=""),"",N(HQ160)-N(HP160)))</f>
        <v/>
      </c>
      <c r="HV160">
        <f>IF(OR(HT$3="",HT$3&gt;TODAY()),"",IF(AND(HT160="",HU160=""),"",N(HU160)-N(HT160)))</f>
        <v/>
      </c>
      <c r="HY160">
        <f>IF(OR(HT$3="",HT$3&gt;TODAY()),"",IF(AND(HW160="",HX160=""),"",N(HX160)-N(HW160)))</f>
        <v/>
      </c>
      <c r="IC160">
        <f>IF(OR(IA$3="",IA$3&gt;TODAY()),"",IF(AND(IA160="",IB160=""),"",N(IB160)-N(IA160)))</f>
        <v/>
      </c>
      <c r="IF160">
        <f>IF(OR(IA$3="",IA$3&gt;TODAY()),"",IF(AND(ID160="",IE160=""),"",N(IE160)-N(ID160)))</f>
        <v/>
      </c>
      <c r="IJ160">
        <f>IF(OR(IH$3="",IH$3&gt;TODAY()),"",IF(AND(IH160="",II160=""),"",N(II160)-N(IH160)))</f>
        <v/>
      </c>
      <c r="IM160">
        <f>IF(OR(IH$3="",IH$3&gt;TODAY()),"",IF(AND(IK160="",IL160=""),"",N(IL160)-N(IK160)))</f>
        <v/>
      </c>
    </row>
    <row r="161">
      <c r="A161" s="21" t="n"/>
      <c r="B161" s="21" t="n"/>
      <c r="C161" s="21" t="n"/>
      <c r="D161" s="21" t="n"/>
      <c r="E161" s="21" t="n"/>
      <c r="F161" s="21" t="n"/>
      <c r="G161" s="21" t="n"/>
      <c r="H161" s="21" t="n"/>
      <c r="I161" s="22" t="n"/>
      <c r="J161" s="22" t="n"/>
      <c r="K161" s="23" t="n"/>
      <c r="L161" s="22" t="n"/>
      <c r="M161" s="22" t="n"/>
      <c r="N161" s="21" t="n"/>
      <c r="O161" s="23" t="n"/>
      <c r="P161" s="23" t="n"/>
      <c r="Q161" s="23" t="n"/>
      <c r="R161" s="23" t="n"/>
      <c r="S161" s="22" t="n"/>
      <c r="T161" s="23" t="n"/>
      <c r="U161" s="23" t="n"/>
      <c r="V161" s="24">
        <f>IF(J161&lt;&gt;"",J161,IF(I161&lt;&gt;"",I161,""))</f>
        <v/>
      </c>
      <c r="W161" s="25">
        <f>IF($E161="","",N(O161)+SUMIFS($AF161:$IN161,$AF$4:$IN$4,"SEW_ACT"))</f>
        <v/>
      </c>
      <c r="X161" s="25">
        <f>IF($E161="","",N(P161)+SUMIFS($AF161:$IN161,$AF$4:$IN$4,"WASH_ACT"))</f>
        <v/>
      </c>
      <c r="Y161" s="25">
        <f>IF($E161="","",W161-X161-N(T161)-N(U161))</f>
        <v/>
      </c>
      <c r="Z161" s="25">
        <f>IF($E161="","",IF(N(K161)-X161&lt;=0.02*N(K161),0,N(K161)-X161))</f>
        <v/>
      </c>
      <c r="AA161" s="24">
        <f>IF($E161="","",IF(S161&lt;&gt;"",S161,IF(N(O161)&gt;0,IF(L161&lt;&gt;"",L161,99999),IFERROR(1/(1/_xlfn.MINIFS($AF$3:$IN$3,$AF$4:$IN$4,"SEW_ACT",$AF161:$IN161,"&gt;0")),99999))))</f>
        <v/>
      </c>
      <c r="AB161" s="26">
        <f>IF(OR($E161="",Z161=0,V161=""),"",1+COUNTIFS(Z$8:Z$707,"&gt;0",V$8:V$707,"&lt;"&amp;V161)+COUNTIFS(Z$8:Z$707,"&gt;0",V$8:V$707,V161,AA$8:AA$707,"&lt;"&amp;AA161)+COUNTIFS(Z$8:Z$707,"&gt;0",V$8:V$707,V161,AA$8:AA$707,AA161,E$8:E$707,"&lt;"&amp;$E161))</f>
        <v/>
      </c>
      <c r="AC161" s="24">
        <f>IF(OR($E161="",Z161=0),"",IFERROR(TODAY()+ROUNDUP(Z161/(SUMIFS($AF161:$IN161,$AF$4:$IN$4,"WASH_ACT")/COUNTIFS($AF$4:$IN$4,"WASH_ACT",$AF161:$IN161,"&gt;0")),0),"no output yet"))</f>
        <v/>
      </c>
      <c r="AD161" s="26">
        <f>IF($E161="","",IFERROR(ROUND(MAX(0,SUMIFS($AF161:$IN161,$AF$4:$IN$4,"SEW_PLAN",$AF$3:$IN$3,"&lt;="&amp;TODAY())-SUMIFS($AF161:$IN161,$AF$4:$IN$4,"SEW_ACT",$AF$3:$IN$3,"&lt;="&amp;TODAY())+N(Q161))/(SUMIFS($AF161:$IN161,$AF$4:$IN$4,"SEW_PLAN")/COUNTIFS($AF$4:$IN$4,"SEW_PLAN",$AF161:$IN161,"&gt;0")),1),0))</f>
        <v/>
      </c>
      <c r="AE161" s="26">
        <f>IF($E161="","",IF(AND(Z161&gt;0,OR(AND(M161&lt;&gt;"",TODAY()&gt;M161),AND(V161&lt;&gt;"",V161-TODAY()&lt;=7))),"Yes","No"))</f>
        <v/>
      </c>
      <c r="AH161">
        <f>IF(OR(AF$3="",AF$3&gt;TODAY()),"",IF(AND(AF161="",AG161=""),"",N(AG161)-N(AF161)))</f>
        <v/>
      </c>
      <c r="AK161">
        <f>IF(OR(AF$3="",AF$3&gt;TODAY()),"",IF(AND(AI161="",AJ161=""),"",N(AJ161)-N(AI161)))</f>
        <v/>
      </c>
      <c r="AO161">
        <f>IF(OR(AM$3="",AM$3&gt;TODAY()),"",IF(AND(AM161="",AN161=""),"",N(AN161)-N(AM161)))</f>
        <v/>
      </c>
      <c r="AR161">
        <f>IF(OR(AM$3="",AM$3&gt;TODAY()),"",IF(AND(AP161="",AQ161=""),"",N(AQ161)-N(AP161)))</f>
        <v/>
      </c>
      <c r="AV161">
        <f>IF(OR(AT$3="",AT$3&gt;TODAY()),"",IF(AND(AT161="",AU161=""),"",N(AU161)-N(AT161)))</f>
        <v/>
      </c>
      <c r="AY161">
        <f>IF(OR(AT$3="",AT$3&gt;TODAY()),"",IF(AND(AW161="",AX161=""),"",N(AX161)-N(AW161)))</f>
        <v/>
      </c>
      <c r="BC161">
        <f>IF(OR(BA$3="",BA$3&gt;TODAY()),"",IF(AND(BA161="",BB161=""),"",N(BB161)-N(BA161)))</f>
        <v/>
      </c>
      <c r="BF161">
        <f>IF(OR(BA$3="",BA$3&gt;TODAY()),"",IF(AND(BD161="",BE161=""),"",N(BE161)-N(BD161)))</f>
        <v/>
      </c>
      <c r="BJ161">
        <f>IF(OR(BH$3="",BH$3&gt;TODAY()),"",IF(AND(BH161="",BI161=""),"",N(BI161)-N(BH161)))</f>
        <v/>
      </c>
      <c r="BM161">
        <f>IF(OR(BH$3="",BH$3&gt;TODAY()),"",IF(AND(BK161="",BL161=""),"",N(BL161)-N(BK161)))</f>
        <v/>
      </c>
      <c r="BQ161">
        <f>IF(OR(BO$3="",BO$3&gt;TODAY()),"",IF(AND(BO161="",BP161=""),"",N(BP161)-N(BO161)))</f>
        <v/>
      </c>
      <c r="BT161">
        <f>IF(OR(BO$3="",BO$3&gt;TODAY()),"",IF(AND(BR161="",BS161=""),"",N(BS161)-N(BR161)))</f>
        <v/>
      </c>
      <c r="BX161">
        <f>IF(OR(BV$3="",BV$3&gt;TODAY()),"",IF(AND(BV161="",BW161=""),"",N(BW161)-N(BV161)))</f>
        <v/>
      </c>
      <c r="CA161">
        <f>IF(OR(BV$3="",BV$3&gt;TODAY()),"",IF(AND(BY161="",BZ161=""),"",N(BZ161)-N(BY161)))</f>
        <v/>
      </c>
      <c r="CE161">
        <f>IF(OR(CC$3="",CC$3&gt;TODAY()),"",IF(AND(CC161="",CD161=""),"",N(CD161)-N(CC161)))</f>
        <v/>
      </c>
      <c r="CH161">
        <f>IF(OR(CC$3="",CC$3&gt;TODAY()),"",IF(AND(CF161="",CG161=""),"",N(CG161)-N(CF161)))</f>
        <v/>
      </c>
      <c r="CL161">
        <f>IF(OR(CJ$3="",CJ$3&gt;TODAY()),"",IF(AND(CJ161="",CK161=""),"",N(CK161)-N(CJ161)))</f>
        <v/>
      </c>
      <c r="CO161">
        <f>IF(OR(CJ$3="",CJ$3&gt;TODAY()),"",IF(AND(CM161="",CN161=""),"",N(CN161)-N(CM161)))</f>
        <v/>
      </c>
      <c r="CS161">
        <f>IF(OR(CQ$3="",CQ$3&gt;TODAY()),"",IF(AND(CQ161="",CR161=""),"",N(CR161)-N(CQ161)))</f>
        <v/>
      </c>
      <c r="CV161">
        <f>IF(OR(CQ$3="",CQ$3&gt;TODAY()),"",IF(AND(CT161="",CU161=""),"",N(CU161)-N(CT161)))</f>
        <v/>
      </c>
      <c r="CZ161">
        <f>IF(OR(CX$3="",CX$3&gt;TODAY()),"",IF(AND(CX161="",CY161=""),"",N(CY161)-N(CX161)))</f>
        <v/>
      </c>
      <c r="DC161">
        <f>IF(OR(CX$3="",CX$3&gt;TODAY()),"",IF(AND(DA161="",DB161=""),"",N(DB161)-N(DA161)))</f>
        <v/>
      </c>
      <c r="DG161">
        <f>IF(OR(DE$3="",DE$3&gt;TODAY()),"",IF(AND(DE161="",DF161=""),"",N(DF161)-N(DE161)))</f>
        <v/>
      </c>
      <c r="DJ161">
        <f>IF(OR(DE$3="",DE$3&gt;TODAY()),"",IF(AND(DH161="",DI161=""),"",N(DI161)-N(DH161)))</f>
        <v/>
      </c>
      <c r="DN161">
        <f>IF(OR(DL$3="",DL$3&gt;TODAY()),"",IF(AND(DL161="",DM161=""),"",N(DM161)-N(DL161)))</f>
        <v/>
      </c>
      <c r="DQ161">
        <f>IF(OR(DL$3="",DL$3&gt;TODAY()),"",IF(AND(DO161="",DP161=""),"",N(DP161)-N(DO161)))</f>
        <v/>
      </c>
      <c r="DU161">
        <f>IF(OR(DS$3="",DS$3&gt;TODAY()),"",IF(AND(DS161="",DT161=""),"",N(DT161)-N(DS161)))</f>
        <v/>
      </c>
      <c r="DX161">
        <f>IF(OR(DS$3="",DS$3&gt;TODAY()),"",IF(AND(DV161="",DW161=""),"",N(DW161)-N(DV161)))</f>
        <v/>
      </c>
      <c r="EB161">
        <f>IF(OR(DZ$3="",DZ$3&gt;TODAY()),"",IF(AND(DZ161="",EA161=""),"",N(EA161)-N(DZ161)))</f>
        <v/>
      </c>
      <c r="EE161">
        <f>IF(OR(DZ$3="",DZ$3&gt;TODAY()),"",IF(AND(EC161="",ED161=""),"",N(ED161)-N(EC161)))</f>
        <v/>
      </c>
      <c r="EI161">
        <f>IF(OR(EG$3="",EG$3&gt;TODAY()),"",IF(AND(EG161="",EH161=""),"",N(EH161)-N(EG161)))</f>
        <v/>
      </c>
      <c r="EL161">
        <f>IF(OR(EG$3="",EG$3&gt;TODAY()),"",IF(AND(EJ161="",EK161=""),"",N(EK161)-N(EJ161)))</f>
        <v/>
      </c>
      <c r="EP161">
        <f>IF(OR(EN$3="",EN$3&gt;TODAY()),"",IF(AND(EN161="",EO161=""),"",N(EO161)-N(EN161)))</f>
        <v/>
      </c>
      <c r="ES161">
        <f>IF(OR(EN$3="",EN$3&gt;TODAY()),"",IF(AND(EQ161="",ER161=""),"",N(ER161)-N(EQ161)))</f>
        <v/>
      </c>
      <c r="EW161">
        <f>IF(OR(EU$3="",EU$3&gt;TODAY()),"",IF(AND(EU161="",EV161=""),"",N(EV161)-N(EU161)))</f>
        <v/>
      </c>
      <c r="EZ161">
        <f>IF(OR(EU$3="",EU$3&gt;TODAY()),"",IF(AND(EX161="",EY161=""),"",N(EY161)-N(EX161)))</f>
        <v/>
      </c>
      <c r="FD161">
        <f>IF(OR(FB$3="",FB$3&gt;TODAY()),"",IF(AND(FB161="",FC161=""),"",N(FC161)-N(FB161)))</f>
        <v/>
      </c>
      <c r="FG161">
        <f>IF(OR(FB$3="",FB$3&gt;TODAY()),"",IF(AND(FE161="",FF161=""),"",N(FF161)-N(FE161)))</f>
        <v/>
      </c>
      <c r="FK161">
        <f>IF(OR(FI$3="",FI$3&gt;TODAY()),"",IF(AND(FI161="",FJ161=""),"",N(FJ161)-N(FI161)))</f>
        <v/>
      </c>
      <c r="FN161">
        <f>IF(OR(FI$3="",FI$3&gt;TODAY()),"",IF(AND(FL161="",FM161=""),"",N(FM161)-N(FL161)))</f>
        <v/>
      </c>
      <c r="FR161">
        <f>IF(OR(FP$3="",FP$3&gt;TODAY()),"",IF(AND(FP161="",FQ161=""),"",N(FQ161)-N(FP161)))</f>
        <v/>
      </c>
      <c r="FU161">
        <f>IF(OR(FP$3="",FP$3&gt;TODAY()),"",IF(AND(FS161="",FT161=""),"",N(FT161)-N(FS161)))</f>
        <v/>
      </c>
      <c r="FY161">
        <f>IF(OR(FW$3="",FW$3&gt;TODAY()),"",IF(AND(FW161="",FX161=""),"",N(FX161)-N(FW161)))</f>
        <v/>
      </c>
      <c r="GB161">
        <f>IF(OR(FW$3="",FW$3&gt;TODAY()),"",IF(AND(FZ161="",GA161=""),"",N(GA161)-N(FZ161)))</f>
        <v/>
      </c>
      <c r="GF161">
        <f>IF(OR(GD$3="",GD$3&gt;TODAY()),"",IF(AND(GD161="",GE161=""),"",N(GE161)-N(GD161)))</f>
        <v/>
      </c>
      <c r="GI161">
        <f>IF(OR(GD$3="",GD$3&gt;TODAY()),"",IF(AND(GG161="",GH161=""),"",N(GH161)-N(GG161)))</f>
        <v/>
      </c>
      <c r="GM161">
        <f>IF(OR(GK$3="",GK$3&gt;TODAY()),"",IF(AND(GK161="",GL161=""),"",N(GL161)-N(GK161)))</f>
        <v/>
      </c>
      <c r="GP161">
        <f>IF(OR(GK$3="",GK$3&gt;TODAY()),"",IF(AND(GN161="",GO161=""),"",N(GO161)-N(GN161)))</f>
        <v/>
      </c>
      <c r="GT161">
        <f>IF(OR(GR$3="",GR$3&gt;TODAY()),"",IF(AND(GR161="",GS161=""),"",N(GS161)-N(GR161)))</f>
        <v/>
      </c>
      <c r="GW161">
        <f>IF(OR(GR$3="",GR$3&gt;TODAY()),"",IF(AND(GU161="",GV161=""),"",N(GV161)-N(GU161)))</f>
        <v/>
      </c>
      <c r="HA161">
        <f>IF(OR(GY$3="",GY$3&gt;TODAY()),"",IF(AND(GY161="",GZ161=""),"",N(GZ161)-N(GY161)))</f>
        <v/>
      </c>
      <c r="HD161">
        <f>IF(OR(GY$3="",GY$3&gt;TODAY()),"",IF(AND(HB161="",HC161=""),"",N(HC161)-N(HB161)))</f>
        <v/>
      </c>
      <c r="HH161">
        <f>IF(OR(HF$3="",HF$3&gt;TODAY()),"",IF(AND(HF161="",HG161=""),"",N(HG161)-N(HF161)))</f>
        <v/>
      </c>
      <c r="HK161">
        <f>IF(OR(HF$3="",HF$3&gt;TODAY()),"",IF(AND(HI161="",HJ161=""),"",N(HJ161)-N(HI161)))</f>
        <v/>
      </c>
      <c r="HO161">
        <f>IF(OR(HM$3="",HM$3&gt;TODAY()),"",IF(AND(HM161="",HN161=""),"",N(HN161)-N(HM161)))</f>
        <v/>
      </c>
      <c r="HR161">
        <f>IF(OR(HM$3="",HM$3&gt;TODAY()),"",IF(AND(HP161="",HQ161=""),"",N(HQ161)-N(HP161)))</f>
        <v/>
      </c>
      <c r="HV161">
        <f>IF(OR(HT$3="",HT$3&gt;TODAY()),"",IF(AND(HT161="",HU161=""),"",N(HU161)-N(HT161)))</f>
        <v/>
      </c>
      <c r="HY161">
        <f>IF(OR(HT$3="",HT$3&gt;TODAY()),"",IF(AND(HW161="",HX161=""),"",N(HX161)-N(HW161)))</f>
        <v/>
      </c>
      <c r="IC161">
        <f>IF(OR(IA$3="",IA$3&gt;TODAY()),"",IF(AND(IA161="",IB161=""),"",N(IB161)-N(IA161)))</f>
        <v/>
      </c>
      <c r="IF161">
        <f>IF(OR(IA$3="",IA$3&gt;TODAY()),"",IF(AND(ID161="",IE161=""),"",N(IE161)-N(ID161)))</f>
        <v/>
      </c>
      <c r="IJ161">
        <f>IF(OR(IH$3="",IH$3&gt;TODAY()),"",IF(AND(IH161="",II161=""),"",N(II161)-N(IH161)))</f>
        <v/>
      </c>
      <c r="IM161">
        <f>IF(OR(IH$3="",IH$3&gt;TODAY()),"",IF(AND(IK161="",IL161=""),"",N(IL161)-N(IK161)))</f>
        <v/>
      </c>
    </row>
    <row r="162">
      <c r="A162" s="21" t="n"/>
      <c r="B162" s="21" t="n"/>
      <c r="C162" s="21" t="n"/>
      <c r="D162" s="21" t="n"/>
      <c r="E162" s="21" t="n"/>
      <c r="F162" s="21" t="n"/>
      <c r="G162" s="21" t="n"/>
      <c r="H162" s="21" t="n"/>
      <c r="I162" s="22" t="n"/>
      <c r="J162" s="22" t="n"/>
      <c r="K162" s="23" t="n"/>
      <c r="L162" s="22" t="n"/>
      <c r="M162" s="22" t="n"/>
      <c r="N162" s="21" t="n"/>
      <c r="O162" s="23" t="n"/>
      <c r="P162" s="23" t="n"/>
      <c r="Q162" s="23" t="n"/>
      <c r="R162" s="23" t="n"/>
      <c r="S162" s="22" t="n"/>
      <c r="T162" s="23" t="n"/>
      <c r="U162" s="23" t="n"/>
      <c r="V162" s="24">
        <f>IF(J162&lt;&gt;"",J162,IF(I162&lt;&gt;"",I162,""))</f>
        <v/>
      </c>
      <c r="W162" s="25">
        <f>IF($E162="","",N(O162)+SUMIFS($AF162:$IN162,$AF$4:$IN$4,"SEW_ACT"))</f>
        <v/>
      </c>
      <c r="X162" s="25">
        <f>IF($E162="","",N(P162)+SUMIFS($AF162:$IN162,$AF$4:$IN$4,"WASH_ACT"))</f>
        <v/>
      </c>
      <c r="Y162" s="25">
        <f>IF($E162="","",W162-X162-N(T162)-N(U162))</f>
        <v/>
      </c>
      <c r="Z162" s="25">
        <f>IF($E162="","",IF(N(K162)-X162&lt;=0.02*N(K162),0,N(K162)-X162))</f>
        <v/>
      </c>
      <c r="AA162" s="24">
        <f>IF($E162="","",IF(S162&lt;&gt;"",S162,IF(N(O162)&gt;0,IF(L162&lt;&gt;"",L162,99999),IFERROR(1/(1/_xlfn.MINIFS($AF$3:$IN$3,$AF$4:$IN$4,"SEW_ACT",$AF162:$IN162,"&gt;0")),99999))))</f>
        <v/>
      </c>
      <c r="AB162" s="26">
        <f>IF(OR($E162="",Z162=0,V162=""),"",1+COUNTIFS(Z$8:Z$707,"&gt;0",V$8:V$707,"&lt;"&amp;V162)+COUNTIFS(Z$8:Z$707,"&gt;0",V$8:V$707,V162,AA$8:AA$707,"&lt;"&amp;AA162)+COUNTIFS(Z$8:Z$707,"&gt;0",V$8:V$707,V162,AA$8:AA$707,AA162,E$8:E$707,"&lt;"&amp;$E162))</f>
        <v/>
      </c>
      <c r="AC162" s="24">
        <f>IF(OR($E162="",Z162=0),"",IFERROR(TODAY()+ROUNDUP(Z162/(SUMIFS($AF162:$IN162,$AF$4:$IN$4,"WASH_ACT")/COUNTIFS($AF$4:$IN$4,"WASH_ACT",$AF162:$IN162,"&gt;0")),0),"no output yet"))</f>
        <v/>
      </c>
      <c r="AD162" s="26">
        <f>IF($E162="","",IFERROR(ROUND(MAX(0,SUMIFS($AF162:$IN162,$AF$4:$IN$4,"SEW_PLAN",$AF$3:$IN$3,"&lt;="&amp;TODAY())-SUMIFS($AF162:$IN162,$AF$4:$IN$4,"SEW_ACT",$AF$3:$IN$3,"&lt;="&amp;TODAY())+N(Q162))/(SUMIFS($AF162:$IN162,$AF$4:$IN$4,"SEW_PLAN")/COUNTIFS($AF$4:$IN$4,"SEW_PLAN",$AF162:$IN162,"&gt;0")),1),0))</f>
        <v/>
      </c>
      <c r="AE162" s="26">
        <f>IF($E162="","",IF(AND(Z162&gt;0,OR(AND(M162&lt;&gt;"",TODAY()&gt;M162),AND(V162&lt;&gt;"",V162-TODAY()&lt;=7))),"Yes","No"))</f>
        <v/>
      </c>
      <c r="AH162">
        <f>IF(OR(AF$3="",AF$3&gt;TODAY()),"",IF(AND(AF162="",AG162=""),"",N(AG162)-N(AF162)))</f>
        <v/>
      </c>
      <c r="AK162">
        <f>IF(OR(AF$3="",AF$3&gt;TODAY()),"",IF(AND(AI162="",AJ162=""),"",N(AJ162)-N(AI162)))</f>
        <v/>
      </c>
      <c r="AO162">
        <f>IF(OR(AM$3="",AM$3&gt;TODAY()),"",IF(AND(AM162="",AN162=""),"",N(AN162)-N(AM162)))</f>
        <v/>
      </c>
      <c r="AR162">
        <f>IF(OR(AM$3="",AM$3&gt;TODAY()),"",IF(AND(AP162="",AQ162=""),"",N(AQ162)-N(AP162)))</f>
        <v/>
      </c>
      <c r="AV162">
        <f>IF(OR(AT$3="",AT$3&gt;TODAY()),"",IF(AND(AT162="",AU162=""),"",N(AU162)-N(AT162)))</f>
        <v/>
      </c>
      <c r="AY162">
        <f>IF(OR(AT$3="",AT$3&gt;TODAY()),"",IF(AND(AW162="",AX162=""),"",N(AX162)-N(AW162)))</f>
        <v/>
      </c>
      <c r="BC162">
        <f>IF(OR(BA$3="",BA$3&gt;TODAY()),"",IF(AND(BA162="",BB162=""),"",N(BB162)-N(BA162)))</f>
        <v/>
      </c>
      <c r="BF162">
        <f>IF(OR(BA$3="",BA$3&gt;TODAY()),"",IF(AND(BD162="",BE162=""),"",N(BE162)-N(BD162)))</f>
        <v/>
      </c>
      <c r="BJ162">
        <f>IF(OR(BH$3="",BH$3&gt;TODAY()),"",IF(AND(BH162="",BI162=""),"",N(BI162)-N(BH162)))</f>
        <v/>
      </c>
      <c r="BM162">
        <f>IF(OR(BH$3="",BH$3&gt;TODAY()),"",IF(AND(BK162="",BL162=""),"",N(BL162)-N(BK162)))</f>
        <v/>
      </c>
      <c r="BQ162">
        <f>IF(OR(BO$3="",BO$3&gt;TODAY()),"",IF(AND(BO162="",BP162=""),"",N(BP162)-N(BO162)))</f>
        <v/>
      </c>
      <c r="BT162">
        <f>IF(OR(BO$3="",BO$3&gt;TODAY()),"",IF(AND(BR162="",BS162=""),"",N(BS162)-N(BR162)))</f>
        <v/>
      </c>
      <c r="BX162">
        <f>IF(OR(BV$3="",BV$3&gt;TODAY()),"",IF(AND(BV162="",BW162=""),"",N(BW162)-N(BV162)))</f>
        <v/>
      </c>
      <c r="CA162">
        <f>IF(OR(BV$3="",BV$3&gt;TODAY()),"",IF(AND(BY162="",BZ162=""),"",N(BZ162)-N(BY162)))</f>
        <v/>
      </c>
      <c r="CE162">
        <f>IF(OR(CC$3="",CC$3&gt;TODAY()),"",IF(AND(CC162="",CD162=""),"",N(CD162)-N(CC162)))</f>
        <v/>
      </c>
      <c r="CH162">
        <f>IF(OR(CC$3="",CC$3&gt;TODAY()),"",IF(AND(CF162="",CG162=""),"",N(CG162)-N(CF162)))</f>
        <v/>
      </c>
      <c r="CL162">
        <f>IF(OR(CJ$3="",CJ$3&gt;TODAY()),"",IF(AND(CJ162="",CK162=""),"",N(CK162)-N(CJ162)))</f>
        <v/>
      </c>
      <c r="CO162">
        <f>IF(OR(CJ$3="",CJ$3&gt;TODAY()),"",IF(AND(CM162="",CN162=""),"",N(CN162)-N(CM162)))</f>
        <v/>
      </c>
      <c r="CS162">
        <f>IF(OR(CQ$3="",CQ$3&gt;TODAY()),"",IF(AND(CQ162="",CR162=""),"",N(CR162)-N(CQ162)))</f>
        <v/>
      </c>
      <c r="CV162">
        <f>IF(OR(CQ$3="",CQ$3&gt;TODAY()),"",IF(AND(CT162="",CU162=""),"",N(CU162)-N(CT162)))</f>
        <v/>
      </c>
      <c r="CZ162">
        <f>IF(OR(CX$3="",CX$3&gt;TODAY()),"",IF(AND(CX162="",CY162=""),"",N(CY162)-N(CX162)))</f>
        <v/>
      </c>
      <c r="DC162">
        <f>IF(OR(CX$3="",CX$3&gt;TODAY()),"",IF(AND(DA162="",DB162=""),"",N(DB162)-N(DA162)))</f>
        <v/>
      </c>
      <c r="DG162">
        <f>IF(OR(DE$3="",DE$3&gt;TODAY()),"",IF(AND(DE162="",DF162=""),"",N(DF162)-N(DE162)))</f>
        <v/>
      </c>
      <c r="DJ162">
        <f>IF(OR(DE$3="",DE$3&gt;TODAY()),"",IF(AND(DH162="",DI162=""),"",N(DI162)-N(DH162)))</f>
        <v/>
      </c>
      <c r="DN162">
        <f>IF(OR(DL$3="",DL$3&gt;TODAY()),"",IF(AND(DL162="",DM162=""),"",N(DM162)-N(DL162)))</f>
        <v/>
      </c>
      <c r="DQ162">
        <f>IF(OR(DL$3="",DL$3&gt;TODAY()),"",IF(AND(DO162="",DP162=""),"",N(DP162)-N(DO162)))</f>
        <v/>
      </c>
      <c r="DU162">
        <f>IF(OR(DS$3="",DS$3&gt;TODAY()),"",IF(AND(DS162="",DT162=""),"",N(DT162)-N(DS162)))</f>
        <v/>
      </c>
      <c r="DX162">
        <f>IF(OR(DS$3="",DS$3&gt;TODAY()),"",IF(AND(DV162="",DW162=""),"",N(DW162)-N(DV162)))</f>
        <v/>
      </c>
      <c r="EB162">
        <f>IF(OR(DZ$3="",DZ$3&gt;TODAY()),"",IF(AND(DZ162="",EA162=""),"",N(EA162)-N(DZ162)))</f>
        <v/>
      </c>
      <c r="EE162">
        <f>IF(OR(DZ$3="",DZ$3&gt;TODAY()),"",IF(AND(EC162="",ED162=""),"",N(ED162)-N(EC162)))</f>
        <v/>
      </c>
      <c r="EI162">
        <f>IF(OR(EG$3="",EG$3&gt;TODAY()),"",IF(AND(EG162="",EH162=""),"",N(EH162)-N(EG162)))</f>
        <v/>
      </c>
      <c r="EL162">
        <f>IF(OR(EG$3="",EG$3&gt;TODAY()),"",IF(AND(EJ162="",EK162=""),"",N(EK162)-N(EJ162)))</f>
        <v/>
      </c>
      <c r="EP162">
        <f>IF(OR(EN$3="",EN$3&gt;TODAY()),"",IF(AND(EN162="",EO162=""),"",N(EO162)-N(EN162)))</f>
        <v/>
      </c>
      <c r="ES162">
        <f>IF(OR(EN$3="",EN$3&gt;TODAY()),"",IF(AND(EQ162="",ER162=""),"",N(ER162)-N(EQ162)))</f>
        <v/>
      </c>
      <c r="EW162">
        <f>IF(OR(EU$3="",EU$3&gt;TODAY()),"",IF(AND(EU162="",EV162=""),"",N(EV162)-N(EU162)))</f>
        <v/>
      </c>
      <c r="EZ162">
        <f>IF(OR(EU$3="",EU$3&gt;TODAY()),"",IF(AND(EX162="",EY162=""),"",N(EY162)-N(EX162)))</f>
        <v/>
      </c>
      <c r="FD162">
        <f>IF(OR(FB$3="",FB$3&gt;TODAY()),"",IF(AND(FB162="",FC162=""),"",N(FC162)-N(FB162)))</f>
        <v/>
      </c>
      <c r="FG162">
        <f>IF(OR(FB$3="",FB$3&gt;TODAY()),"",IF(AND(FE162="",FF162=""),"",N(FF162)-N(FE162)))</f>
        <v/>
      </c>
      <c r="FK162">
        <f>IF(OR(FI$3="",FI$3&gt;TODAY()),"",IF(AND(FI162="",FJ162=""),"",N(FJ162)-N(FI162)))</f>
        <v/>
      </c>
      <c r="FN162">
        <f>IF(OR(FI$3="",FI$3&gt;TODAY()),"",IF(AND(FL162="",FM162=""),"",N(FM162)-N(FL162)))</f>
        <v/>
      </c>
      <c r="FR162">
        <f>IF(OR(FP$3="",FP$3&gt;TODAY()),"",IF(AND(FP162="",FQ162=""),"",N(FQ162)-N(FP162)))</f>
        <v/>
      </c>
      <c r="FU162">
        <f>IF(OR(FP$3="",FP$3&gt;TODAY()),"",IF(AND(FS162="",FT162=""),"",N(FT162)-N(FS162)))</f>
        <v/>
      </c>
      <c r="FY162">
        <f>IF(OR(FW$3="",FW$3&gt;TODAY()),"",IF(AND(FW162="",FX162=""),"",N(FX162)-N(FW162)))</f>
        <v/>
      </c>
      <c r="GB162">
        <f>IF(OR(FW$3="",FW$3&gt;TODAY()),"",IF(AND(FZ162="",GA162=""),"",N(GA162)-N(FZ162)))</f>
        <v/>
      </c>
      <c r="GF162">
        <f>IF(OR(GD$3="",GD$3&gt;TODAY()),"",IF(AND(GD162="",GE162=""),"",N(GE162)-N(GD162)))</f>
        <v/>
      </c>
      <c r="GI162">
        <f>IF(OR(GD$3="",GD$3&gt;TODAY()),"",IF(AND(GG162="",GH162=""),"",N(GH162)-N(GG162)))</f>
        <v/>
      </c>
      <c r="GM162">
        <f>IF(OR(GK$3="",GK$3&gt;TODAY()),"",IF(AND(GK162="",GL162=""),"",N(GL162)-N(GK162)))</f>
        <v/>
      </c>
      <c r="GP162">
        <f>IF(OR(GK$3="",GK$3&gt;TODAY()),"",IF(AND(GN162="",GO162=""),"",N(GO162)-N(GN162)))</f>
        <v/>
      </c>
      <c r="GT162">
        <f>IF(OR(GR$3="",GR$3&gt;TODAY()),"",IF(AND(GR162="",GS162=""),"",N(GS162)-N(GR162)))</f>
        <v/>
      </c>
      <c r="GW162">
        <f>IF(OR(GR$3="",GR$3&gt;TODAY()),"",IF(AND(GU162="",GV162=""),"",N(GV162)-N(GU162)))</f>
        <v/>
      </c>
      <c r="HA162">
        <f>IF(OR(GY$3="",GY$3&gt;TODAY()),"",IF(AND(GY162="",GZ162=""),"",N(GZ162)-N(GY162)))</f>
        <v/>
      </c>
      <c r="HD162">
        <f>IF(OR(GY$3="",GY$3&gt;TODAY()),"",IF(AND(HB162="",HC162=""),"",N(HC162)-N(HB162)))</f>
        <v/>
      </c>
      <c r="HH162">
        <f>IF(OR(HF$3="",HF$3&gt;TODAY()),"",IF(AND(HF162="",HG162=""),"",N(HG162)-N(HF162)))</f>
        <v/>
      </c>
      <c r="HK162">
        <f>IF(OR(HF$3="",HF$3&gt;TODAY()),"",IF(AND(HI162="",HJ162=""),"",N(HJ162)-N(HI162)))</f>
        <v/>
      </c>
      <c r="HO162">
        <f>IF(OR(HM$3="",HM$3&gt;TODAY()),"",IF(AND(HM162="",HN162=""),"",N(HN162)-N(HM162)))</f>
        <v/>
      </c>
      <c r="HR162">
        <f>IF(OR(HM$3="",HM$3&gt;TODAY()),"",IF(AND(HP162="",HQ162=""),"",N(HQ162)-N(HP162)))</f>
        <v/>
      </c>
      <c r="HV162">
        <f>IF(OR(HT$3="",HT$3&gt;TODAY()),"",IF(AND(HT162="",HU162=""),"",N(HU162)-N(HT162)))</f>
        <v/>
      </c>
      <c r="HY162">
        <f>IF(OR(HT$3="",HT$3&gt;TODAY()),"",IF(AND(HW162="",HX162=""),"",N(HX162)-N(HW162)))</f>
        <v/>
      </c>
      <c r="IC162">
        <f>IF(OR(IA$3="",IA$3&gt;TODAY()),"",IF(AND(IA162="",IB162=""),"",N(IB162)-N(IA162)))</f>
        <v/>
      </c>
      <c r="IF162">
        <f>IF(OR(IA$3="",IA$3&gt;TODAY()),"",IF(AND(ID162="",IE162=""),"",N(IE162)-N(ID162)))</f>
        <v/>
      </c>
      <c r="IJ162">
        <f>IF(OR(IH$3="",IH$3&gt;TODAY()),"",IF(AND(IH162="",II162=""),"",N(II162)-N(IH162)))</f>
        <v/>
      </c>
      <c r="IM162">
        <f>IF(OR(IH$3="",IH$3&gt;TODAY()),"",IF(AND(IK162="",IL162=""),"",N(IL162)-N(IK162)))</f>
        <v/>
      </c>
    </row>
    <row r="163">
      <c r="A163" s="21" t="n"/>
      <c r="B163" s="21" t="n"/>
      <c r="C163" s="21" t="n"/>
      <c r="D163" s="21" t="n"/>
      <c r="E163" s="21" t="n"/>
      <c r="F163" s="21" t="n"/>
      <c r="G163" s="21" t="n"/>
      <c r="H163" s="21" t="n"/>
      <c r="I163" s="22" t="n"/>
      <c r="J163" s="22" t="n"/>
      <c r="K163" s="23" t="n"/>
      <c r="L163" s="22" t="n"/>
      <c r="M163" s="22" t="n"/>
      <c r="N163" s="21" t="n"/>
      <c r="O163" s="23" t="n"/>
      <c r="P163" s="23" t="n"/>
      <c r="Q163" s="23" t="n"/>
      <c r="R163" s="23" t="n"/>
      <c r="S163" s="22" t="n"/>
      <c r="T163" s="23" t="n"/>
      <c r="U163" s="23" t="n"/>
      <c r="V163" s="24">
        <f>IF(J163&lt;&gt;"",J163,IF(I163&lt;&gt;"",I163,""))</f>
        <v/>
      </c>
      <c r="W163" s="25">
        <f>IF($E163="","",N(O163)+SUMIFS($AF163:$IN163,$AF$4:$IN$4,"SEW_ACT"))</f>
        <v/>
      </c>
      <c r="X163" s="25">
        <f>IF($E163="","",N(P163)+SUMIFS($AF163:$IN163,$AF$4:$IN$4,"WASH_ACT"))</f>
        <v/>
      </c>
      <c r="Y163" s="25">
        <f>IF($E163="","",W163-X163-N(T163)-N(U163))</f>
        <v/>
      </c>
      <c r="Z163" s="25">
        <f>IF($E163="","",IF(N(K163)-X163&lt;=0.02*N(K163),0,N(K163)-X163))</f>
        <v/>
      </c>
      <c r="AA163" s="24">
        <f>IF($E163="","",IF(S163&lt;&gt;"",S163,IF(N(O163)&gt;0,IF(L163&lt;&gt;"",L163,99999),IFERROR(1/(1/_xlfn.MINIFS($AF$3:$IN$3,$AF$4:$IN$4,"SEW_ACT",$AF163:$IN163,"&gt;0")),99999))))</f>
        <v/>
      </c>
      <c r="AB163" s="26">
        <f>IF(OR($E163="",Z163=0,V163=""),"",1+COUNTIFS(Z$8:Z$707,"&gt;0",V$8:V$707,"&lt;"&amp;V163)+COUNTIFS(Z$8:Z$707,"&gt;0",V$8:V$707,V163,AA$8:AA$707,"&lt;"&amp;AA163)+COUNTIFS(Z$8:Z$707,"&gt;0",V$8:V$707,V163,AA$8:AA$707,AA163,E$8:E$707,"&lt;"&amp;$E163))</f>
        <v/>
      </c>
      <c r="AC163" s="24">
        <f>IF(OR($E163="",Z163=0),"",IFERROR(TODAY()+ROUNDUP(Z163/(SUMIFS($AF163:$IN163,$AF$4:$IN$4,"WASH_ACT")/COUNTIFS($AF$4:$IN$4,"WASH_ACT",$AF163:$IN163,"&gt;0")),0),"no output yet"))</f>
        <v/>
      </c>
      <c r="AD163" s="26">
        <f>IF($E163="","",IFERROR(ROUND(MAX(0,SUMIFS($AF163:$IN163,$AF$4:$IN$4,"SEW_PLAN",$AF$3:$IN$3,"&lt;="&amp;TODAY())-SUMIFS($AF163:$IN163,$AF$4:$IN$4,"SEW_ACT",$AF$3:$IN$3,"&lt;="&amp;TODAY())+N(Q163))/(SUMIFS($AF163:$IN163,$AF$4:$IN$4,"SEW_PLAN")/COUNTIFS($AF$4:$IN$4,"SEW_PLAN",$AF163:$IN163,"&gt;0")),1),0))</f>
        <v/>
      </c>
      <c r="AE163" s="26">
        <f>IF($E163="","",IF(AND(Z163&gt;0,OR(AND(M163&lt;&gt;"",TODAY()&gt;M163),AND(V163&lt;&gt;"",V163-TODAY()&lt;=7))),"Yes","No"))</f>
        <v/>
      </c>
      <c r="AH163">
        <f>IF(OR(AF$3="",AF$3&gt;TODAY()),"",IF(AND(AF163="",AG163=""),"",N(AG163)-N(AF163)))</f>
        <v/>
      </c>
      <c r="AK163">
        <f>IF(OR(AF$3="",AF$3&gt;TODAY()),"",IF(AND(AI163="",AJ163=""),"",N(AJ163)-N(AI163)))</f>
        <v/>
      </c>
      <c r="AO163">
        <f>IF(OR(AM$3="",AM$3&gt;TODAY()),"",IF(AND(AM163="",AN163=""),"",N(AN163)-N(AM163)))</f>
        <v/>
      </c>
      <c r="AR163">
        <f>IF(OR(AM$3="",AM$3&gt;TODAY()),"",IF(AND(AP163="",AQ163=""),"",N(AQ163)-N(AP163)))</f>
        <v/>
      </c>
      <c r="AV163">
        <f>IF(OR(AT$3="",AT$3&gt;TODAY()),"",IF(AND(AT163="",AU163=""),"",N(AU163)-N(AT163)))</f>
        <v/>
      </c>
      <c r="AY163">
        <f>IF(OR(AT$3="",AT$3&gt;TODAY()),"",IF(AND(AW163="",AX163=""),"",N(AX163)-N(AW163)))</f>
        <v/>
      </c>
      <c r="BC163">
        <f>IF(OR(BA$3="",BA$3&gt;TODAY()),"",IF(AND(BA163="",BB163=""),"",N(BB163)-N(BA163)))</f>
        <v/>
      </c>
      <c r="BF163">
        <f>IF(OR(BA$3="",BA$3&gt;TODAY()),"",IF(AND(BD163="",BE163=""),"",N(BE163)-N(BD163)))</f>
        <v/>
      </c>
      <c r="BJ163">
        <f>IF(OR(BH$3="",BH$3&gt;TODAY()),"",IF(AND(BH163="",BI163=""),"",N(BI163)-N(BH163)))</f>
        <v/>
      </c>
      <c r="BM163">
        <f>IF(OR(BH$3="",BH$3&gt;TODAY()),"",IF(AND(BK163="",BL163=""),"",N(BL163)-N(BK163)))</f>
        <v/>
      </c>
      <c r="BQ163">
        <f>IF(OR(BO$3="",BO$3&gt;TODAY()),"",IF(AND(BO163="",BP163=""),"",N(BP163)-N(BO163)))</f>
        <v/>
      </c>
      <c r="BT163">
        <f>IF(OR(BO$3="",BO$3&gt;TODAY()),"",IF(AND(BR163="",BS163=""),"",N(BS163)-N(BR163)))</f>
        <v/>
      </c>
      <c r="BX163">
        <f>IF(OR(BV$3="",BV$3&gt;TODAY()),"",IF(AND(BV163="",BW163=""),"",N(BW163)-N(BV163)))</f>
        <v/>
      </c>
      <c r="CA163">
        <f>IF(OR(BV$3="",BV$3&gt;TODAY()),"",IF(AND(BY163="",BZ163=""),"",N(BZ163)-N(BY163)))</f>
        <v/>
      </c>
      <c r="CE163">
        <f>IF(OR(CC$3="",CC$3&gt;TODAY()),"",IF(AND(CC163="",CD163=""),"",N(CD163)-N(CC163)))</f>
        <v/>
      </c>
      <c r="CH163">
        <f>IF(OR(CC$3="",CC$3&gt;TODAY()),"",IF(AND(CF163="",CG163=""),"",N(CG163)-N(CF163)))</f>
        <v/>
      </c>
      <c r="CL163">
        <f>IF(OR(CJ$3="",CJ$3&gt;TODAY()),"",IF(AND(CJ163="",CK163=""),"",N(CK163)-N(CJ163)))</f>
        <v/>
      </c>
      <c r="CO163">
        <f>IF(OR(CJ$3="",CJ$3&gt;TODAY()),"",IF(AND(CM163="",CN163=""),"",N(CN163)-N(CM163)))</f>
        <v/>
      </c>
      <c r="CS163">
        <f>IF(OR(CQ$3="",CQ$3&gt;TODAY()),"",IF(AND(CQ163="",CR163=""),"",N(CR163)-N(CQ163)))</f>
        <v/>
      </c>
      <c r="CV163">
        <f>IF(OR(CQ$3="",CQ$3&gt;TODAY()),"",IF(AND(CT163="",CU163=""),"",N(CU163)-N(CT163)))</f>
        <v/>
      </c>
      <c r="CZ163">
        <f>IF(OR(CX$3="",CX$3&gt;TODAY()),"",IF(AND(CX163="",CY163=""),"",N(CY163)-N(CX163)))</f>
        <v/>
      </c>
      <c r="DC163">
        <f>IF(OR(CX$3="",CX$3&gt;TODAY()),"",IF(AND(DA163="",DB163=""),"",N(DB163)-N(DA163)))</f>
        <v/>
      </c>
      <c r="DG163">
        <f>IF(OR(DE$3="",DE$3&gt;TODAY()),"",IF(AND(DE163="",DF163=""),"",N(DF163)-N(DE163)))</f>
        <v/>
      </c>
      <c r="DJ163">
        <f>IF(OR(DE$3="",DE$3&gt;TODAY()),"",IF(AND(DH163="",DI163=""),"",N(DI163)-N(DH163)))</f>
        <v/>
      </c>
      <c r="DN163">
        <f>IF(OR(DL$3="",DL$3&gt;TODAY()),"",IF(AND(DL163="",DM163=""),"",N(DM163)-N(DL163)))</f>
        <v/>
      </c>
      <c r="DQ163">
        <f>IF(OR(DL$3="",DL$3&gt;TODAY()),"",IF(AND(DO163="",DP163=""),"",N(DP163)-N(DO163)))</f>
        <v/>
      </c>
      <c r="DU163">
        <f>IF(OR(DS$3="",DS$3&gt;TODAY()),"",IF(AND(DS163="",DT163=""),"",N(DT163)-N(DS163)))</f>
        <v/>
      </c>
      <c r="DX163">
        <f>IF(OR(DS$3="",DS$3&gt;TODAY()),"",IF(AND(DV163="",DW163=""),"",N(DW163)-N(DV163)))</f>
        <v/>
      </c>
      <c r="EB163">
        <f>IF(OR(DZ$3="",DZ$3&gt;TODAY()),"",IF(AND(DZ163="",EA163=""),"",N(EA163)-N(DZ163)))</f>
        <v/>
      </c>
      <c r="EE163">
        <f>IF(OR(DZ$3="",DZ$3&gt;TODAY()),"",IF(AND(EC163="",ED163=""),"",N(ED163)-N(EC163)))</f>
        <v/>
      </c>
      <c r="EI163">
        <f>IF(OR(EG$3="",EG$3&gt;TODAY()),"",IF(AND(EG163="",EH163=""),"",N(EH163)-N(EG163)))</f>
        <v/>
      </c>
      <c r="EL163">
        <f>IF(OR(EG$3="",EG$3&gt;TODAY()),"",IF(AND(EJ163="",EK163=""),"",N(EK163)-N(EJ163)))</f>
        <v/>
      </c>
      <c r="EP163">
        <f>IF(OR(EN$3="",EN$3&gt;TODAY()),"",IF(AND(EN163="",EO163=""),"",N(EO163)-N(EN163)))</f>
        <v/>
      </c>
      <c r="ES163">
        <f>IF(OR(EN$3="",EN$3&gt;TODAY()),"",IF(AND(EQ163="",ER163=""),"",N(ER163)-N(EQ163)))</f>
        <v/>
      </c>
      <c r="EW163">
        <f>IF(OR(EU$3="",EU$3&gt;TODAY()),"",IF(AND(EU163="",EV163=""),"",N(EV163)-N(EU163)))</f>
        <v/>
      </c>
      <c r="EZ163">
        <f>IF(OR(EU$3="",EU$3&gt;TODAY()),"",IF(AND(EX163="",EY163=""),"",N(EY163)-N(EX163)))</f>
        <v/>
      </c>
      <c r="FD163">
        <f>IF(OR(FB$3="",FB$3&gt;TODAY()),"",IF(AND(FB163="",FC163=""),"",N(FC163)-N(FB163)))</f>
        <v/>
      </c>
      <c r="FG163">
        <f>IF(OR(FB$3="",FB$3&gt;TODAY()),"",IF(AND(FE163="",FF163=""),"",N(FF163)-N(FE163)))</f>
        <v/>
      </c>
      <c r="FK163">
        <f>IF(OR(FI$3="",FI$3&gt;TODAY()),"",IF(AND(FI163="",FJ163=""),"",N(FJ163)-N(FI163)))</f>
        <v/>
      </c>
      <c r="FN163">
        <f>IF(OR(FI$3="",FI$3&gt;TODAY()),"",IF(AND(FL163="",FM163=""),"",N(FM163)-N(FL163)))</f>
        <v/>
      </c>
      <c r="FR163">
        <f>IF(OR(FP$3="",FP$3&gt;TODAY()),"",IF(AND(FP163="",FQ163=""),"",N(FQ163)-N(FP163)))</f>
        <v/>
      </c>
      <c r="FU163">
        <f>IF(OR(FP$3="",FP$3&gt;TODAY()),"",IF(AND(FS163="",FT163=""),"",N(FT163)-N(FS163)))</f>
        <v/>
      </c>
      <c r="FY163">
        <f>IF(OR(FW$3="",FW$3&gt;TODAY()),"",IF(AND(FW163="",FX163=""),"",N(FX163)-N(FW163)))</f>
        <v/>
      </c>
      <c r="GB163">
        <f>IF(OR(FW$3="",FW$3&gt;TODAY()),"",IF(AND(FZ163="",GA163=""),"",N(GA163)-N(FZ163)))</f>
        <v/>
      </c>
      <c r="GF163">
        <f>IF(OR(GD$3="",GD$3&gt;TODAY()),"",IF(AND(GD163="",GE163=""),"",N(GE163)-N(GD163)))</f>
        <v/>
      </c>
      <c r="GI163">
        <f>IF(OR(GD$3="",GD$3&gt;TODAY()),"",IF(AND(GG163="",GH163=""),"",N(GH163)-N(GG163)))</f>
        <v/>
      </c>
      <c r="GM163">
        <f>IF(OR(GK$3="",GK$3&gt;TODAY()),"",IF(AND(GK163="",GL163=""),"",N(GL163)-N(GK163)))</f>
        <v/>
      </c>
      <c r="GP163">
        <f>IF(OR(GK$3="",GK$3&gt;TODAY()),"",IF(AND(GN163="",GO163=""),"",N(GO163)-N(GN163)))</f>
        <v/>
      </c>
      <c r="GT163">
        <f>IF(OR(GR$3="",GR$3&gt;TODAY()),"",IF(AND(GR163="",GS163=""),"",N(GS163)-N(GR163)))</f>
        <v/>
      </c>
      <c r="GW163">
        <f>IF(OR(GR$3="",GR$3&gt;TODAY()),"",IF(AND(GU163="",GV163=""),"",N(GV163)-N(GU163)))</f>
        <v/>
      </c>
      <c r="HA163">
        <f>IF(OR(GY$3="",GY$3&gt;TODAY()),"",IF(AND(GY163="",GZ163=""),"",N(GZ163)-N(GY163)))</f>
        <v/>
      </c>
      <c r="HD163">
        <f>IF(OR(GY$3="",GY$3&gt;TODAY()),"",IF(AND(HB163="",HC163=""),"",N(HC163)-N(HB163)))</f>
        <v/>
      </c>
      <c r="HH163">
        <f>IF(OR(HF$3="",HF$3&gt;TODAY()),"",IF(AND(HF163="",HG163=""),"",N(HG163)-N(HF163)))</f>
        <v/>
      </c>
      <c r="HK163">
        <f>IF(OR(HF$3="",HF$3&gt;TODAY()),"",IF(AND(HI163="",HJ163=""),"",N(HJ163)-N(HI163)))</f>
        <v/>
      </c>
      <c r="HO163">
        <f>IF(OR(HM$3="",HM$3&gt;TODAY()),"",IF(AND(HM163="",HN163=""),"",N(HN163)-N(HM163)))</f>
        <v/>
      </c>
      <c r="HR163">
        <f>IF(OR(HM$3="",HM$3&gt;TODAY()),"",IF(AND(HP163="",HQ163=""),"",N(HQ163)-N(HP163)))</f>
        <v/>
      </c>
      <c r="HV163">
        <f>IF(OR(HT$3="",HT$3&gt;TODAY()),"",IF(AND(HT163="",HU163=""),"",N(HU163)-N(HT163)))</f>
        <v/>
      </c>
      <c r="HY163">
        <f>IF(OR(HT$3="",HT$3&gt;TODAY()),"",IF(AND(HW163="",HX163=""),"",N(HX163)-N(HW163)))</f>
        <v/>
      </c>
      <c r="IC163">
        <f>IF(OR(IA$3="",IA$3&gt;TODAY()),"",IF(AND(IA163="",IB163=""),"",N(IB163)-N(IA163)))</f>
        <v/>
      </c>
      <c r="IF163">
        <f>IF(OR(IA$3="",IA$3&gt;TODAY()),"",IF(AND(ID163="",IE163=""),"",N(IE163)-N(ID163)))</f>
        <v/>
      </c>
      <c r="IJ163">
        <f>IF(OR(IH$3="",IH$3&gt;TODAY()),"",IF(AND(IH163="",II163=""),"",N(II163)-N(IH163)))</f>
        <v/>
      </c>
      <c r="IM163">
        <f>IF(OR(IH$3="",IH$3&gt;TODAY()),"",IF(AND(IK163="",IL163=""),"",N(IL163)-N(IK163)))</f>
        <v/>
      </c>
    </row>
    <row r="164">
      <c r="A164" s="21" t="n"/>
      <c r="B164" s="21" t="n"/>
      <c r="C164" s="21" t="n"/>
      <c r="D164" s="21" t="n"/>
      <c r="E164" s="21" t="n"/>
      <c r="F164" s="21" t="n"/>
      <c r="G164" s="21" t="n"/>
      <c r="H164" s="21" t="n"/>
      <c r="I164" s="22" t="n"/>
      <c r="J164" s="22" t="n"/>
      <c r="K164" s="23" t="n"/>
      <c r="L164" s="22" t="n"/>
      <c r="M164" s="22" t="n"/>
      <c r="N164" s="21" t="n"/>
      <c r="O164" s="23" t="n"/>
      <c r="P164" s="23" t="n"/>
      <c r="Q164" s="23" t="n"/>
      <c r="R164" s="23" t="n"/>
      <c r="S164" s="22" t="n"/>
      <c r="T164" s="23" t="n"/>
      <c r="U164" s="23" t="n"/>
      <c r="V164" s="24">
        <f>IF(J164&lt;&gt;"",J164,IF(I164&lt;&gt;"",I164,""))</f>
        <v/>
      </c>
      <c r="W164" s="25">
        <f>IF($E164="","",N(O164)+SUMIFS($AF164:$IN164,$AF$4:$IN$4,"SEW_ACT"))</f>
        <v/>
      </c>
      <c r="X164" s="25">
        <f>IF($E164="","",N(P164)+SUMIFS($AF164:$IN164,$AF$4:$IN$4,"WASH_ACT"))</f>
        <v/>
      </c>
      <c r="Y164" s="25">
        <f>IF($E164="","",W164-X164-N(T164)-N(U164))</f>
        <v/>
      </c>
      <c r="Z164" s="25">
        <f>IF($E164="","",IF(N(K164)-X164&lt;=0.02*N(K164),0,N(K164)-X164))</f>
        <v/>
      </c>
      <c r="AA164" s="24">
        <f>IF($E164="","",IF(S164&lt;&gt;"",S164,IF(N(O164)&gt;0,IF(L164&lt;&gt;"",L164,99999),IFERROR(1/(1/_xlfn.MINIFS($AF$3:$IN$3,$AF$4:$IN$4,"SEW_ACT",$AF164:$IN164,"&gt;0")),99999))))</f>
        <v/>
      </c>
      <c r="AB164" s="26">
        <f>IF(OR($E164="",Z164=0,V164=""),"",1+COUNTIFS(Z$8:Z$707,"&gt;0",V$8:V$707,"&lt;"&amp;V164)+COUNTIFS(Z$8:Z$707,"&gt;0",V$8:V$707,V164,AA$8:AA$707,"&lt;"&amp;AA164)+COUNTIFS(Z$8:Z$707,"&gt;0",V$8:V$707,V164,AA$8:AA$707,AA164,E$8:E$707,"&lt;"&amp;$E164))</f>
        <v/>
      </c>
      <c r="AC164" s="24">
        <f>IF(OR($E164="",Z164=0),"",IFERROR(TODAY()+ROUNDUP(Z164/(SUMIFS($AF164:$IN164,$AF$4:$IN$4,"WASH_ACT")/COUNTIFS($AF$4:$IN$4,"WASH_ACT",$AF164:$IN164,"&gt;0")),0),"no output yet"))</f>
        <v/>
      </c>
      <c r="AD164" s="26">
        <f>IF($E164="","",IFERROR(ROUND(MAX(0,SUMIFS($AF164:$IN164,$AF$4:$IN$4,"SEW_PLAN",$AF$3:$IN$3,"&lt;="&amp;TODAY())-SUMIFS($AF164:$IN164,$AF$4:$IN$4,"SEW_ACT",$AF$3:$IN$3,"&lt;="&amp;TODAY())+N(Q164))/(SUMIFS($AF164:$IN164,$AF$4:$IN$4,"SEW_PLAN")/COUNTIFS($AF$4:$IN$4,"SEW_PLAN",$AF164:$IN164,"&gt;0")),1),0))</f>
        <v/>
      </c>
      <c r="AE164" s="26">
        <f>IF($E164="","",IF(AND(Z164&gt;0,OR(AND(M164&lt;&gt;"",TODAY()&gt;M164),AND(V164&lt;&gt;"",V164-TODAY()&lt;=7))),"Yes","No"))</f>
        <v/>
      </c>
      <c r="AH164">
        <f>IF(OR(AF$3="",AF$3&gt;TODAY()),"",IF(AND(AF164="",AG164=""),"",N(AG164)-N(AF164)))</f>
        <v/>
      </c>
      <c r="AK164">
        <f>IF(OR(AF$3="",AF$3&gt;TODAY()),"",IF(AND(AI164="",AJ164=""),"",N(AJ164)-N(AI164)))</f>
        <v/>
      </c>
      <c r="AO164">
        <f>IF(OR(AM$3="",AM$3&gt;TODAY()),"",IF(AND(AM164="",AN164=""),"",N(AN164)-N(AM164)))</f>
        <v/>
      </c>
      <c r="AR164">
        <f>IF(OR(AM$3="",AM$3&gt;TODAY()),"",IF(AND(AP164="",AQ164=""),"",N(AQ164)-N(AP164)))</f>
        <v/>
      </c>
      <c r="AV164">
        <f>IF(OR(AT$3="",AT$3&gt;TODAY()),"",IF(AND(AT164="",AU164=""),"",N(AU164)-N(AT164)))</f>
        <v/>
      </c>
      <c r="AY164">
        <f>IF(OR(AT$3="",AT$3&gt;TODAY()),"",IF(AND(AW164="",AX164=""),"",N(AX164)-N(AW164)))</f>
        <v/>
      </c>
      <c r="BC164">
        <f>IF(OR(BA$3="",BA$3&gt;TODAY()),"",IF(AND(BA164="",BB164=""),"",N(BB164)-N(BA164)))</f>
        <v/>
      </c>
      <c r="BF164">
        <f>IF(OR(BA$3="",BA$3&gt;TODAY()),"",IF(AND(BD164="",BE164=""),"",N(BE164)-N(BD164)))</f>
        <v/>
      </c>
      <c r="BJ164">
        <f>IF(OR(BH$3="",BH$3&gt;TODAY()),"",IF(AND(BH164="",BI164=""),"",N(BI164)-N(BH164)))</f>
        <v/>
      </c>
      <c r="BM164">
        <f>IF(OR(BH$3="",BH$3&gt;TODAY()),"",IF(AND(BK164="",BL164=""),"",N(BL164)-N(BK164)))</f>
        <v/>
      </c>
      <c r="BQ164">
        <f>IF(OR(BO$3="",BO$3&gt;TODAY()),"",IF(AND(BO164="",BP164=""),"",N(BP164)-N(BO164)))</f>
        <v/>
      </c>
      <c r="BT164">
        <f>IF(OR(BO$3="",BO$3&gt;TODAY()),"",IF(AND(BR164="",BS164=""),"",N(BS164)-N(BR164)))</f>
        <v/>
      </c>
      <c r="BX164">
        <f>IF(OR(BV$3="",BV$3&gt;TODAY()),"",IF(AND(BV164="",BW164=""),"",N(BW164)-N(BV164)))</f>
        <v/>
      </c>
      <c r="CA164">
        <f>IF(OR(BV$3="",BV$3&gt;TODAY()),"",IF(AND(BY164="",BZ164=""),"",N(BZ164)-N(BY164)))</f>
        <v/>
      </c>
      <c r="CE164">
        <f>IF(OR(CC$3="",CC$3&gt;TODAY()),"",IF(AND(CC164="",CD164=""),"",N(CD164)-N(CC164)))</f>
        <v/>
      </c>
      <c r="CH164">
        <f>IF(OR(CC$3="",CC$3&gt;TODAY()),"",IF(AND(CF164="",CG164=""),"",N(CG164)-N(CF164)))</f>
        <v/>
      </c>
      <c r="CL164">
        <f>IF(OR(CJ$3="",CJ$3&gt;TODAY()),"",IF(AND(CJ164="",CK164=""),"",N(CK164)-N(CJ164)))</f>
        <v/>
      </c>
      <c r="CO164">
        <f>IF(OR(CJ$3="",CJ$3&gt;TODAY()),"",IF(AND(CM164="",CN164=""),"",N(CN164)-N(CM164)))</f>
        <v/>
      </c>
      <c r="CS164">
        <f>IF(OR(CQ$3="",CQ$3&gt;TODAY()),"",IF(AND(CQ164="",CR164=""),"",N(CR164)-N(CQ164)))</f>
        <v/>
      </c>
      <c r="CV164">
        <f>IF(OR(CQ$3="",CQ$3&gt;TODAY()),"",IF(AND(CT164="",CU164=""),"",N(CU164)-N(CT164)))</f>
        <v/>
      </c>
      <c r="CZ164">
        <f>IF(OR(CX$3="",CX$3&gt;TODAY()),"",IF(AND(CX164="",CY164=""),"",N(CY164)-N(CX164)))</f>
        <v/>
      </c>
      <c r="DC164">
        <f>IF(OR(CX$3="",CX$3&gt;TODAY()),"",IF(AND(DA164="",DB164=""),"",N(DB164)-N(DA164)))</f>
        <v/>
      </c>
      <c r="DG164">
        <f>IF(OR(DE$3="",DE$3&gt;TODAY()),"",IF(AND(DE164="",DF164=""),"",N(DF164)-N(DE164)))</f>
        <v/>
      </c>
      <c r="DJ164">
        <f>IF(OR(DE$3="",DE$3&gt;TODAY()),"",IF(AND(DH164="",DI164=""),"",N(DI164)-N(DH164)))</f>
        <v/>
      </c>
      <c r="DN164">
        <f>IF(OR(DL$3="",DL$3&gt;TODAY()),"",IF(AND(DL164="",DM164=""),"",N(DM164)-N(DL164)))</f>
        <v/>
      </c>
      <c r="DQ164">
        <f>IF(OR(DL$3="",DL$3&gt;TODAY()),"",IF(AND(DO164="",DP164=""),"",N(DP164)-N(DO164)))</f>
        <v/>
      </c>
      <c r="DU164">
        <f>IF(OR(DS$3="",DS$3&gt;TODAY()),"",IF(AND(DS164="",DT164=""),"",N(DT164)-N(DS164)))</f>
        <v/>
      </c>
      <c r="DX164">
        <f>IF(OR(DS$3="",DS$3&gt;TODAY()),"",IF(AND(DV164="",DW164=""),"",N(DW164)-N(DV164)))</f>
        <v/>
      </c>
      <c r="EB164">
        <f>IF(OR(DZ$3="",DZ$3&gt;TODAY()),"",IF(AND(DZ164="",EA164=""),"",N(EA164)-N(DZ164)))</f>
        <v/>
      </c>
      <c r="EE164">
        <f>IF(OR(DZ$3="",DZ$3&gt;TODAY()),"",IF(AND(EC164="",ED164=""),"",N(ED164)-N(EC164)))</f>
        <v/>
      </c>
      <c r="EI164">
        <f>IF(OR(EG$3="",EG$3&gt;TODAY()),"",IF(AND(EG164="",EH164=""),"",N(EH164)-N(EG164)))</f>
        <v/>
      </c>
      <c r="EL164">
        <f>IF(OR(EG$3="",EG$3&gt;TODAY()),"",IF(AND(EJ164="",EK164=""),"",N(EK164)-N(EJ164)))</f>
        <v/>
      </c>
      <c r="EP164">
        <f>IF(OR(EN$3="",EN$3&gt;TODAY()),"",IF(AND(EN164="",EO164=""),"",N(EO164)-N(EN164)))</f>
        <v/>
      </c>
      <c r="ES164">
        <f>IF(OR(EN$3="",EN$3&gt;TODAY()),"",IF(AND(EQ164="",ER164=""),"",N(ER164)-N(EQ164)))</f>
        <v/>
      </c>
      <c r="EW164">
        <f>IF(OR(EU$3="",EU$3&gt;TODAY()),"",IF(AND(EU164="",EV164=""),"",N(EV164)-N(EU164)))</f>
        <v/>
      </c>
      <c r="EZ164">
        <f>IF(OR(EU$3="",EU$3&gt;TODAY()),"",IF(AND(EX164="",EY164=""),"",N(EY164)-N(EX164)))</f>
        <v/>
      </c>
      <c r="FD164">
        <f>IF(OR(FB$3="",FB$3&gt;TODAY()),"",IF(AND(FB164="",FC164=""),"",N(FC164)-N(FB164)))</f>
        <v/>
      </c>
      <c r="FG164">
        <f>IF(OR(FB$3="",FB$3&gt;TODAY()),"",IF(AND(FE164="",FF164=""),"",N(FF164)-N(FE164)))</f>
        <v/>
      </c>
      <c r="FK164">
        <f>IF(OR(FI$3="",FI$3&gt;TODAY()),"",IF(AND(FI164="",FJ164=""),"",N(FJ164)-N(FI164)))</f>
        <v/>
      </c>
      <c r="FN164">
        <f>IF(OR(FI$3="",FI$3&gt;TODAY()),"",IF(AND(FL164="",FM164=""),"",N(FM164)-N(FL164)))</f>
        <v/>
      </c>
      <c r="FR164">
        <f>IF(OR(FP$3="",FP$3&gt;TODAY()),"",IF(AND(FP164="",FQ164=""),"",N(FQ164)-N(FP164)))</f>
        <v/>
      </c>
      <c r="FU164">
        <f>IF(OR(FP$3="",FP$3&gt;TODAY()),"",IF(AND(FS164="",FT164=""),"",N(FT164)-N(FS164)))</f>
        <v/>
      </c>
      <c r="FY164">
        <f>IF(OR(FW$3="",FW$3&gt;TODAY()),"",IF(AND(FW164="",FX164=""),"",N(FX164)-N(FW164)))</f>
        <v/>
      </c>
      <c r="GB164">
        <f>IF(OR(FW$3="",FW$3&gt;TODAY()),"",IF(AND(FZ164="",GA164=""),"",N(GA164)-N(FZ164)))</f>
        <v/>
      </c>
      <c r="GF164">
        <f>IF(OR(GD$3="",GD$3&gt;TODAY()),"",IF(AND(GD164="",GE164=""),"",N(GE164)-N(GD164)))</f>
        <v/>
      </c>
      <c r="GI164">
        <f>IF(OR(GD$3="",GD$3&gt;TODAY()),"",IF(AND(GG164="",GH164=""),"",N(GH164)-N(GG164)))</f>
        <v/>
      </c>
      <c r="GM164">
        <f>IF(OR(GK$3="",GK$3&gt;TODAY()),"",IF(AND(GK164="",GL164=""),"",N(GL164)-N(GK164)))</f>
        <v/>
      </c>
      <c r="GP164">
        <f>IF(OR(GK$3="",GK$3&gt;TODAY()),"",IF(AND(GN164="",GO164=""),"",N(GO164)-N(GN164)))</f>
        <v/>
      </c>
      <c r="GT164">
        <f>IF(OR(GR$3="",GR$3&gt;TODAY()),"",IF(AND(GR164="",GS164=""),"",N(GS164)-N(GR164)))</f>
        <v/>
      </c>
      <c r="GW164">
        <f>IF(OR(GR$3="",GR$3&gt;TODAY()),"",IF(AND(GU164="",GV164=""),"",N(GV164)-N(GU164)))</f>
        <v/>
      </c>
      <c r="HA164">
        <f>IF(OR(GY$3="",GY$3&gt;TODAY()),"",IF(AND(GY164="",GZ164=""),"",N(GZ164)-N(GY164)))</f>
        <v/>
      </c>
      <c r="HD164">
        <f>IF(OR(GY$3="",GY$3&gt;TODAY()),"",IF(AND(HB164="",HC164=""),"",N(HC164)-N(HB164)))</f>
        <v/>
      </c>
      <c r="HH164">
        <f>IF(OR(HF$3="",HF$3&gt;TODAY()),"",IF(AND(HF164="",HG164=""),"",N(HG164)-N(HF164)))</f>
        <v/>
      </c>
      <c r="HK164">
        <f>IF(OR(HF$3="",HF$3&gt;TODAY()),"",IF(AND(HI164="",HJ164=""),"",N(HJ164)-N(HI164)))</f>
        <v/>
      </c>
      <c r="HO164">
        <f>IF(OR(HM$3="",HM$3&gt;TODAY()),"",IF(AND(HM164="",HN164=""),"",N(HN164)-N(HM164)))</f>
        <v/>
      </c>
      <c r="HR164">
        <f>IF(OR(HM$3="",HM$3&gt;TODAY()),"",IF(AND(HP164="",HQ164=""),"",N(HQ164)-N(HP164)))</f>
        <v/>
      </c>
      <c r="HV164">
        <f>IF(OR(HT$3="",HT$3&gt;TODAY()),"",IF(AND(HT164="",HU164=""),"",N(HU164)-N(HT164)))</f>
        <v/>
      </c>
      <c r="HY164">
        <f>IF(OR(HT$3="",HT$3&gt;TODAY()),"",IF(AND(HW164="",HX164=""),"",N(HX164)-N(HW164)))</f>
        <v/>
      </c>
      <c r="IC164">
        <f>IF(OR(IA$3="",IA$3&gt;TODAY()),"",IF(AND(IA164="",IB164=""),"",N(IB164)-N(IA164)))</f>
        <v/>
      </c>
      <c r="IF164">
        <f>IF(OR(IA$3="",IA$3&gt;TODAY()),"",IF(AND(ID164="",IE164=""),"",N(IE164)-N(ID164)))</f>
        <v/>
      </c>
      <c r="IJ164">
        <f>IF(OR(IH$3="",IH$3&gt;TODAY()),"",IF(AND(IH164="",II164=""),"",N(II164)-N(IH164)))</f>
        <v/>
      </c>
      <c r="IM164">
        <f>IF(OR(IH$3="",IH$3&gt;TODAY()),"",IF(AND(IK164="",IL164=""),"",N(IL164)-N(IK164)))</f>
        <v/>
      </c>
    </row>
    <row r="165">
      <c r="A165" s="21" t="n"/>
      <c r="B165" s="21" t="n"/>
      <c r="C165" s="21" t="n"/>
      <c r="D165" s="21" t="n"/>
      <c r="E165" s="21" t="n"/>
      <c r="F165" s="21" t="n"/>
      <c r="G165" s="21" t="n"/>
      <c r="H165" s="21" t="n"/>
      <c r="I165" s="22" t="n"/>
      <c r="J165" s="22" t="n"/>
      <c r="K165" s="23" t="n"/>
      <c r="L165" s="22" t="n"/>
      <c r="M165" s="22" t="n"/>
      <c r="N165" s="21" t="n"/>
      <c r="O165" s="23" t="n"/>
      <c r="P165" s="23" t="n"/>
      <c r="Q165" s="23" t="n"/>
      <c r="R165" s="23" t="n"/>
      <c r="S165" s="22" t="n"/>
      <c r="T165" s="23" t="n"/>
      <c r="U165" s="23" t="n"/>
      <c r="V165" s="24">
        <f>IF(J165&lt;&gt;"",J165,IF(I165&lt;&gt;"",I165,""))</f>
        <v/>
      </c>
      <c r="W165" s="25">
        <f>IF($E165="","",N(O165)+SUMIFS($AF165:$IN165,$AF$4:$IN$4,"SEW_ACT"))</f>
        <v/>
      </c>
      <c r="X165" s="25">
        <f>IF($E165="","",N(P165)+SUMIFS($AF165:$IN165,$AF$4:$IN$4,"WASH_ACT"))</f>
        <v/>
      </c>
      <c r="Y165" s="25">
        <f>IF($E165="","",W165-X165-N(T165)-N(U165))</f>
        <v/>
      </c>
      <c r="Z165" s="25">
        <f>IF($E165="","",IF(N(K165)-X165&lt;=0.02*N(K165),0,N(K165)-X165))</f>
        <v/>
      </c>
      <c r="AA165" s="24">
        <f>IF($E165="","",IF(S165&lt;&gt;"",S165,IF(N(O165)&gt;0,IF(L165&lt;&gt;"",L165,99999),IFERROR(1/(1/_xlfn.MINIFS($AF$3:$IN$3,$AF$4:$IN$4,"SEW_ACT",$AF165:$IN165,"&gt;0")),99999))))</f>
        <v/>
      </c>
      <c r="AB165" s="26">
        <f>IF(OR($E165="",Z165=0,V165=""),"",1+COUNTIFS(Z$8:Z$707,"&gt;0",V$8:V$707,"&lt;"&amp;V165)+COUNTIFS(Z$8:Z$707,"&gt;0",V$8:V$707,V165,AA$8:AA$707,"&lt;"&amp;AA165)+COUNTIFS(Z$8:Z$707,"&gt;0",V$8:V$707,V165,AA$8:AA$707,AA165,E$8:E$707,"&lt;"&amp;$E165))</f>
        <v/>
      </c>
      <c r="AC165" s="24">
        <f>IF(OR($E165="",Z165=0),"",IFERROR(TODAY()+ROUNDUP(Z165/(SUMIFS($AF165:$IN165,$AF$4:$IN$4,"WASH_ACT")/COUNTIFS($AF$4:$IN$4,"WASH_ACT",$AF165:$IN165,"&gt;0")),0),"no output yet"))</f>
        <v/>
      </c>
      <c r="AD165" s="26">
        <f>IF($E165="","",IFERROR(ROUND(MAX(0,SUMIFS($AF165:$IN165,$AF$4:$IN$4,"SEW_PLAN",$AF$3:$IN$3,"&lt;="&amp;TODAY())-SUMIFS($AF165:$IN165,$AF$4:$IN$4,"SEW_ACT",$AF$3:$IN$3,"&lt;="&amp;TODAY())+N(Q165))/(SUMIFS($AF165:$IN165,$AF$4:$IN$4,"SEW_PLAN")/COUNTIFS($AF$4:$IN$4,"SEW_PLAN",$AF165:$IN165,"&gt;0")),1),0))</f>
        <v/>
      </c>
      <c r="AE165" s="26">
        <f>IF($E165="","",IF(AND(Z165&gt;0,OR(AND(M165&lt;&gt;"",TODAY()&gt;M165),AND(V165&lt;&gt;"",V165-TODAY()&lt;=7))),"Yes","No"))</f>
        <v/>
      </c>
      <c r="AH165">
        <f>IF(OR(AF$3="",AF$3&gt;TODAY()),"",IF(AND(AF165="",AG165=""),"",N(AG165)-N(AF165)))</f>
        <v/>
      </c>
      <c r="AK165">
        <f>IF(OR(AF$3="",AF$3&gt;TODAY()),"",IF(AND(AI165="",AJ165=""),"",N(AJ165)-N(AI165)))</f>
        <v/>
      </c>
      <c r="AO165">
        <f>IF(OR(AM$3="",AM$3&gt;TODAY()),"",IF(AND(AM165="",AN165=""),"",N(AN165)-N(AM165)))</f>
        <v/>
      </c>
      <c r="AR165">
        <f>IF(OR(AM$3="",AM$3&gt;TODAY()),"",IF(AND(AP165="",AQ165=""),"",N(AQ165)-N(AP165)))</f>
        <v/>
      </c>
      <c r="AV165">
        <f>IF(OR(AT$3="",AT$3&gt;TODAY()),"",IF(AND(AT165="",AU165=""),"",N(AU165)-N(AT165)))</f>
        <v/>
      </c>
      <c r="AY165">
        <f>IF(OR(AT$3="",AT$3&gt;TODAY()),"",IF(AND(AW165="",AX165=""),"",N(AX165)-N(AW165)))</f>
        <v/>
      </c>
      <c r="BC165">
        <f>IF(OR(BA$3="",BA$3&gt;TODAY()),"",IF(AND(BA165="",BB165=""),"",N(BB165)-N(BA165)))</f>
        <v/>
      </c>
      <c r="BF165">
        <f>IF(OR(BA$3="",BA$3&gt;TODAY()),"",IF(AND(BD165="",BE165=""),"",N(BE165)-N(BD165)))</f>
        <v/>
      </c>
      <c r="BJ165">
        <f>IF(OR(BH$3="",BH$3&gt;TODAY()),"",IF(AND(BH165="",BI165=""),"",N(BI165)-N(BH165)))</f>
        <v/>
      </c>
      <c r="BM165">
        <f>IF(OR(BH$3="",BH$3&gt;TODAY()),"",IF(AND(BK165="",BL165=""),"",N(BL165)-N(BK165)))</f>
        <v/>
      </c>
      <c r="BQ165">
        <f>IF(OR(BO$3="",BO$3&gt;TODAY()),"",IF(AND(BO165="",BP165=""),"",N(BP165)-N(BO165)))</f>
        <v/>
      </c>
      <c r="BT165">
        <f>IF(OR(BO$3="",BO$3&gt;TODAY()),"",IF(AND(BR165="",BS165=""),"",N(BS165)-N(BR165)))</f>
        <v/>
      </c>
      <c r="BX165">
        <f>IF(OR(BV$3="",BV$3&gt;TODAY()),"",IF(AND(BV165="",BW165=""),"",N(BW165)-N(BV165)))</f>
        <v/>
      </c>
      <c r="CA165">
        <f>IF(OR(BV$3="",BV$3&gt;TODAY()),"",IF(AND(BY165="",BZ165=""),"",N(BZ165)-N(BY165)))</f>
        <v/>
      </c>
      <c r="CE165">
        <f>IF(OR(CC$3="",CC$3&gt;TODAY()),"",IF(AND(CC165="",CD165=""),"",N(CD165)-N(CC165)))</f>
        <v/>
      </c>
      <c r="CH165">
        <f>IF(OR(CC$3="",CC$3&gt;TODAY()),"",IF(AND(CF165="",CG165=""),"",N(CG165)-N(CF165)))</f>
        <v/>
      </c>
      <c r="CL165">
        <f>IF(OR(CJ$3="",CJ$3&gt;TODAY()),"",IF(AND(CJ165="",CK165=""),"",N(CK165)-N(CJ165)))</f>
        <v/>
      </c>
      <c r="CO165">
        <f>IF(OR(CJ$3="",CJ$3&gt;TODAY()),"",IF(AND(CM165="",CN165=""),"",N(CN165)-N(CM165)))</f>
        <v/>
      </c>
      <c r="CS165">
        <f>IF(OR(CQ$3="",CQ$3&gt;TODAY()),"",IF(AND(CQ165="",CR165=""),"",N(CR165)-N(CQ165)))</f>
        <v/>
      </c>
      <c r="CV165">
        <f>IF(OR(CQ$3="",CQ$3&gt;TODAY()),"",IF(AND(CT165="",CU165=""),"",N(CU165)-N(CT165)))</f>
        <v/>
      </c>
      <c r="CZ165">
        <f>IF(OR(CX$3="",CX$3&gt;TODAY()),"",IF(AND(CX165="",CY165=""),"",N(CY165)-N(CX165)))</f>
        <v/>
      </c>
      <c r="DC165">
        <f>IF(OR(CX$3="",CX$3&gt;TODAY()),"",IF(AND(DA165="",DB165=""),"",N(DB165)-N(DA165)))</f>
        <v/>
      </c>
      <c r="DG165">
        <f>IF(OR(DE$3="",DE$3&gt;TODAY()),"",IF(AND(DE165="",DF165=""),"",N(DF165)-N(DE165)))</f>
        <v/>
      </c>
      <c r="DJ165">
        <f>IF(OR(DE$3="",DE$3&gt;TODAY()),"",IF(AND(DH165="",DI165=""),"",N(DI165)-N(DH165)))</f>
        <v/>
      </c>
      <c r="DN165">
        <f>IF(OR(DL$3="",DL$3&gt;TODAY()),"",IF(AND(DL165="",DM165=""),"",N(DM165)-N(DL165)))</f>
        <v/>
      </c>
      <c r="DQ165">
        <f>IF(OR(DL$3="",DL$3&gt;TODAY()),"",IF(AND(DO165="",DP165=""),"",N(DP165)-N(DO165)))</f>
        <v/>
      </c>
      <c r="DU165">
        <f>IF(OR(DS$3="",DS$3&gt;TODAY()),"",IF(AND(DS165="",DT165=""),"",N(DT165)-N(DS165)))</f>
        <v/>
      </c>
      <c r="DX165">
        <f>IF(OR(DS$3="",DS$3&gt;TODAY()),"",IF(AND(DV165="",DW165=""),"",N(DW165)-N(DV165)))</f>
        <v/>
      </c>
      <c r="EB165">
        <f>IF(OR(DZ$3="",DZ$3&gt;TODAY()),"",IF(AND(DZ165="",EA165=""),"",N(EA165)-N(DZ165)))</f>
        <v/>
      </c>
      <c r="EE165">
        <f>IF(OR(DZ$3="",DZ$3&gt;TODAY()),"",IF(AND(EC165="",ED165=""),"",N(ED165)-N(EC165)))</f>
        <v/>
      </c>
      <c r="EI165">
        <f>IF(OR(EG$3="",EG$3&gt;TODAY()),"",IF(AND(EG165="",EH165=""),"",N(EH165)-N(EG165)))</f>
        <v/>
      </c>
      <c r="EL165">
        <f>IF(OR(EG$3="",EG$3&gt;TODAY()),"",IF(AND(EJ165="",EK165=""),"",N(EK165)-N(EJ165)))</f>
        <v/>
      </c>
      <c r="EP165">
        <f>IF(OR(EN$3="",EN$3&gt;TODAY()),"",IF(AND(EN165="",EO165=""),"",N(EO165)-N(EN165)))</f>
        <v/>
      </c>
      <c r="ES165">
        <f>IF(OR(EN$3="",EN$3&gt;TODAY()),"",IF(AND(EQ165="",ER165=""),"",N(ER165)-N(EQ165)))</f>
        <v/>
      </c>
      <c r="EW165">
        <f>IF(OR(EU$3="",EU$3&gt;TODAY()),"",IF(AND(EU165="",EV165=""),"",N(EV165)-N(EU165)))</f>
        <v/>
      </c>
      <c r="EZ165">
        <f>IF(OR(EU$3="",EU$3&gt;TODAY()),"",IF(AND(EX165="",EY165=""),"",N(EY165)-N(EX165)))</f>
        <v/>
      </c>
      <c r="FD165">
        <f>IF(OR(FB$3="",FB$3&gt;TODAY()),"",IF(AND(FB165="",FC165=""),"",N(FC165)-N(FB165)))</f>
        <v/>
      </c>
      <c r="FG165">
        <f>IF(OR(FB$3="",FB$3&gt;TODAY()),"",IF(AND(FE165="",FF165=""),"",N(FF165)-N(FE165)))</f>
        <v/>
      </c>
      <c r="FK165">
        <f>IF(OR(FI$3="",FI$3&gt;TODAY()),"",IF(AND(FI165="",FJ165=""),"",N(FJ165)-N(FI165)))</f>
        <v/>
      </c>
      <c r="FN165">
        <f>IF(OR(FI$3="",FI$3&gt;TODAY()),"",IF(AND(FL165="",FM165=""),"",N(FM165)-N(FL165)))</f>
        <v/>
      </c>
      <c r="FR165">
        <f>IF(OR(FP$3="",FP$3&gt;TODAY()),"",IF(AND(FP165="",FQ165=""),"",N(FQ165)-N(FP165)))</f>
        <v/>
      </c>
      <c r="FU165">
        <f>IF(OR(FP$3="",FP$3&gt;TODAY()),"",IF(AND(FS165="",FT165=""),"",N(FT165)-N(FS165)))</f>
        <v/>
      </c>
      <c r="FY165">
        <f>IF(OR(FW$3="",FW$3&gt;TODAY()),"",IF(AND(FW165="",FX165=""),"",N(FX165)-N(FW165)))</f>
        <v/>
      </c>
      <c r="GB165">
        <f>IF(OR(FW$3="",FW$3&gt;TODAY()),"",IF(AND(FZ165="",GA165=""),"",N(GA165)-N(FZ165)))</f>
        <v/>
      </c>
      <c r="GF165">
        <f>IF(OR(GD$3="",GD$3&gt;TODAY()),"",IF(AND(GD165="",GE165=""),"",N(GE165)-N(GD165)))</f>
        <v/>
      </c>
      <c r="GI165">
        <f>IF(OR(GD$3="",GD$3&gt;TODAY()),"",IF(AND(GG165="",GH165=""),"",N(GH165)-N(GG165)))</f>
        <v/>
      </c>
      <c r="GM165">
        <f>IF(OR(GK$3="",GK$3&gt;TODAY()),"",IF(AND(GK165="",GL165=""),"",N(GL165)-N(GK165)))</f>
        <v/>
      </c>
      <c r="GP165">
        <f>IF(OR(GK$3="",GK$3&gt;TODAY()),"",IF(AND(GN165="",GO165=""),"",N(GO165)-N(GN165)))</f>
        <v/>
      </c>
      <c r="GT165">
        <f>IF(OR(GR$3="",GR$3&gt;TODAY()),"",IF(AND(GR165="",GS165=""),"",N(GS165)-N(GR165)))</f>
        <v/>
      </c>
      <c r="GW165">
        <f>IF(OR(GR$3="",GR$3&gt;TODAY()),"",IF(AND(GU165="",GV165=""),"",N(GV165)-N(GU165)))</f>
        <v/>
      </c>
      <c r="HA165">
        <f>IF(OR(GY$3="",GY$3&gt;TODAY()),"",IF(AND(GY165="",GZ165=""),"",N(GZ165)-N(GY165)))</f>
        <v/>
      </c>
      <c r="HD165">
        <f>IF(OR(GY$3="",GY$3&gt;TODAY()),"",IF(AND(HB165="",HC165=""),"",N(HC165)-N(HB165)))</f>
        <v/>
      </c>
      <c r="HH165">
        <f>IF(OR(HF$3="",HF$3&gt;TODAY()),"",IF(AND(HF165="",HG165=""),"",N(HG165)-N(HF165)))</f>
        <v/>
      </c>
      <c r="HK165">
        <f>IF(OR(HF$3="",HF$3&gt;TODAY()),"",IF(AND(HI165="",HJ165=""),"",N(HJ165)-N(HI165)))</f>
        <v/>
      </c>
      <c r="HO165">
        <f>IF(OR(HM$3="",HM$3&gt;TODAY()),"",IF(AND(HM165="",HN165=""),"",N(HN165)-N(HM165)))</f>
        <v/>
      </c>
      <c r="HR165">
        <f>IF(OR(HM$3="",HM$3&gt;TODAY()),"",IF(AND(HP165="",HQ165=""),"",N(HQ165)-N(HP165)))</f>
        <v/>
      </c>
      <c r="HV165">
        <f>IF(OR(HT$3="",HT$3&gt;TODAY()),"",IF(AND(HT165="",HU165=""),"",N(HU165)-N(HT165)))</f>
        <v/>
      </c>
      <c r="HY165">
        <f>IF(OR(HT$3="",HT$3&gt;TODAY()),"",IF(AND(HW165="",HX165=""),"",N(HX165)-N(HW165)))</f>
        <v/>
      </c>
      <c r="IC165">
        <f>IF(OR(IA$3="",IA$3&gt;TODAY()),"",IF(AND(IA165="",IB165=""),"",N(IB165)-N(IA165)))</f>
        <v/>
      </c>
      <c r="IF165">
        <f>IF(OR(IA$3="",IA$3&gt;TODAY()),"",IF(AND(ID165="",IE165=""),"",N(IE165)-N(ID165)))</f>
        <v/>
      </c>
      <c r="IJ165">
        <f>IF(OR(IH$3="",IH$3&gt;TODAY()),"",IF(AND(IH165="",II165=""),"",N(II165)-N(IH165)))</f>
        <v/>
      </c>
      <c r="IM165">
        <f>IF(OR(IH$3="",IH$3&gt;TODAY()),"",IF(AND(IK165="",IL165=""),"",N(IL165)-N(IK165)))</f>
        <v/>
      </c>
    </row>
    <row r="166">
      <c r="A166" s="21" t="n"/>
      <c r="B166" s="21" t="n"/>
      <c r="C166" s="21" t="n"/>
      <c r="D166" s="21" t="n"/>
      <c r="E166" s="21" t="n"/>
      <c r="F166" s="21" t="n"/>
      <c r="G166" s="21" t="n"/>
      <c r="H166" s="21" t="n"/>
      <c r="I166" s="22" t="n"/>
      <c r="J166" s="22" t="n"/>
      <c r="K166" s="23" t="n"/>
      <c r="L166" s="22" t="n"/>
      <c r="M166" s="22" t="n"/>
      <c r="N166" s="21" t="n"/>
      <c r="O166" s="23" t="n"/>
      <c r="P166" s="23" t="n"/>
      <c r="Q166" s="23" t="n"/>
      <c r="R166" s="23" t="n"/>
      <c r="S166" s="22" t="n"/>
      <c r="T166" s="23" t="n"/>
      <c r="U166" s="23" t="n"/>
      <c r="V166" s="24">
        <f>IF(J166&lt;&gt;"",J166,IF(I166&lt;&gt;"",I166,""))</f>
        <v/>
      </c>
      <c r="W166" s="25">
        <f>IF($E166="","",N(O166)+SUMIFS($AF166:$IN166,$AF$4:$IN$4,"SEW_ACT"))</f>
        <v/>
      </c>
      <c r="X166" s="25">
        <f>IF($E166="","",N(P166)+SUMIFS($AF166:$IN166,$AF$4:$IN$4,"WASH_ACT"))</f>
        <v/>
      </c>
      <c r="Y166" s="25">
        <f>IF($E166="","",W166-X166-N(T166)-N(U166))</f>
        <v/>
      </c>
      <c r="Z166" s="25">
        <f>IF($E166="","",IF(N(K166)-X166&lt;=0.02*N(K166),0,N(K166)-X166))</f>
        <v/>
      </c>
      <c r="AA166" s="24">
        <f>IF($E166="","",IF(S166&lt;&gt;"",S166,IF(N(O166)&gt;0,IF(L166&lt;&gt;"",L166,99999),IFERROR(1/(1/_xlfn.MINIFS($AF$3:$IN$3,$AF$4:$IN$4,"SEW_ACT",$AF166:$IN166,"&gt;0")),99999))))</f>
        <v/>
      </c>
      <c r="AB166" s="26">
        <f>IF(OR($E166="",Z166=0,V166=""),"",1+COUNTIFS(Z$8:Z$707,"&gt;0",V$8:V$707,"&lt;"&amp;V166)+COUNTIFS(Z$8:Z$707,"&gt;0",V$8:V$707,V166,AA$8:AA$707,"&lt;"&amp;AA166)+COUNTIFS(Z$8:Z$707,"&gt;0",V$8:V$707,V166,AA$8:AA$707,AA166,E$8:E$707,"&lt;"&amp;$E166))</f>
        <v/>
      </c>
      <c r="AC166" s="24">
        <f>IF(OR($E166="",Z166=0),"",IFERROR(TODAY()+ROUNDUP(Z166/(SUMIFS($AF166:$IN166,$AF$4:$IN$4,"WASH_ACT")/COUNTIFS($AF$4:$IN$4,"WASH_ACT",$AF166:$IN166,"&gt;0")),0),"no output yet"))</f>
        <v/>
      </c>
      <c r="AD166" s="26">
        <f>IF($E166="","",IFERROR(ROUND(MAX(0,SUMIFS($AF166:$IN166,$AF$4:$IN$4,"SEW_PLAN",$AF$3:$IN$3,"&lt;="&amp;TODAY())-SUMIFS($AF166:$IN166,$AF$4:$IN$4,"SEW_ACT",$AF$3:$IN$3,"&lt;="&amp;TODAY())+N(Q166))/(SUMIFS($AF166:$IN166,$AF$4:$IN$4,"SEW_PLAN")/COUNTIFS($AF$4:$IN$4,"SEW_PLAN",$AF166:$IN166,"&gt;0")),1),0))</f>
        <v/>
      </c>
      <c r="AE166" s="26">
        <f>IF($E166="","",IF(AND(Z166&gt;0,OR(AND(M166&lt;&gt;"",TODAY()&gt;M166),AND(V166&lt;&gt;"",V166-TODAY()&lt;=7))),"Yes","No"))</f>
        <v/>
      </c>
      <c r="AH166">
        <f>IF(OR(AF$3="",AF$3&gt;TODAY()),"",IF(AND(AF166="",AG166=""),"",N(AG166)-N(AF166)))</f>
        <v/>
      </c>
      <c r="AK166">
        <f>IF(OR(AF$3="",AF$3&gt;TODAY()),"",IF(AND(AI166="",AJ166=""),"",N(AJ166)-N(AI166)))</f>
        <v/>
      </c>
      <c r="AO166">
        <f>IF(OR(AM$3="",AM$3&gt;TODAY()),"",IF(AND(AM166="",AN166=""),"",N(AN166)-N(AM166)))</f>
        <v/>
      </c>
      <c r="AR166">
        <f>IF(OR(AM$3="",AM$3&gt;TODAY()),"",IF(AND(AP166="",AQ166=""),"",N(AQ166)-N(AP166)))</f>
        <v/>
      </c>
      <c r="AV166">
        <f>IF(OR(AT$3="",AT$3&gt;TODAY()),"",IF(AND(AT166="",AU166=""),"",N(AU166)-N(AT166)))</f>
        <v/>
      </c>
      <c r="AY166">
        <f>IF(OR(AT$3="",AT$3&gt;TODAY()),"",IF(AND(AW166="",AX166=""),"",N(AX166)-N(AW166)))</f>
        <v/>
      </c>
      <c r="BC166">
        <f>IF(OR(BA$3="",BA$3&gt;TODAY()),"",IF(AND(BA166="",BB166=""),"",N(BB166)-N(BA166)))</f>
        <v/>
      </c>
      <c r="BF166">
        <f>IF(OR(BA$3="",BA$3&gt;TODAY()),"",IF(AND(BD166="",BE166=""),"",N(BE166)-N(BD166)))</f>
        <v/>
      </c>
      <c r="BJ166">
        <f>IF(OR(BH$3="",BH$3&gt;TODAY()),"",IF(AND(BH166="",BI166=""),"",N(BI166)-N(BH166)))</f>
        <v/>
      </c>
      <c r="BM166">
        <f>IF(OR(BH$3="",BH$3&gt;TODAY()),"",IF(AND(BK166="",BL166=""),"",N(BL166)-N(BK166)))</f>
        <v/>
      </c>
      <c r="BQ166">
        <f>IF(OR(BO$3="",BO$3&gt;TODAY()),"",IF(AND(BO166="",BP166=""),"",N(BP166)-N(BO166)))</f>
        <v/>
      </c>
      <c r="BT166">
        <f>IF(OR(BO$3="",BO$3&gt;TODAY()),"",IF(AND(BR166="",BS166=""),"",N(BS166)-N(BR166)))</f>
        <v/>
      </c>
      <c r="BX166">
        <f>IF(OR(BV$3="",BV$3&gt;TODAY()),"",IF(AND(BV166="",BW166=""),"",N(BW166)-N(BV166)))</f>
        <v/>
      </c>
      <c r="CA166">
        <f>IF(OR(BV$3="",BV$3&gt;TODAY()),"",IF(AND(BY166="",BZ166=""),"",N(BZ166)-N(BY166)))</f>
        <v/>
      </c>
      <c r="CE166">
        <f>IF(OR(CC$3="",CC$3&gt;TODAY()),"",IF(AND(CC166="",CD166=""),"",N(CD166)-N(CC166)))</f>
        <v/>
      </c>
      <c r="CH166">
        <f>IF(OR(CC$3="",CC$3&gt;TODAY()),"",IF(AND(CF166="",CG166=""),"",N(CG166)-N(CF166)))</f>
        <v/>
      </c>
      <c r="CL166">
        <f>IF(OR(CJ$3="",CJ$3&gt;TODAY()),"",IF(AND(CJ166="",CK166=""),"",N(CK166)-N(CJ166)))</f>
        <v/>
      </c>
      <c r="CO166">
        <f>IF(OR(CJ$3="",CJ$3&gt;TODAY()),"",IF(AND(CM166="",CN166=""),"",N(CN166)-N(CM166)))</f>
        <v/>
      </c>
      <c r="CS166">
        <f>IF(OR(CQ$3="",CQ$3&gt;TODAY()),"",IF(AND(CQ166="",CR166=""),"",N(CR166)-N(CQ166)))</f>
        <v/>
      </c>
      <c r="CV166">
        <f>IF(OR(CQ$3="",CQ$3&gt;TODAY()),"",IF(AND(CT166="",CU166=""),"",N(CU166)-N(CT166)))</f>
        <v/>
      </c>
      <c r="CZ166">
        <f>IF(OR(CX$3="",CX$3&gt;TODAY()),"",IF(AND(CX166="",CY166=""),"",N(CY166)-N(CX166)))</f>
        <v/>
      </c>
      <c r="DC166">
        <f>IF(OR(CX$3="",CX$3&gt;TODAY()),"",IF(AND(DA166="",DB166=""),"",N(DB166)-N(DA166)))</f>
        <v/>
      </c>
      <c r="DG166">
        <f>IF(OR(DE$3="",DE$3&gt;TODAY()),"",IF(AND(DE166="",DF166=""),"",N(DF166)-N(DE166)))</f>
        <v/>
      </c>
      <c r="DJ166">
        <f>IF(OR(DE$3="",DE$3&gt;TODAY()),"",IF(AND(DH166="",DI166=""),"",N(DI166)-N(DH166)))</f>
        <v/>
      </c>
      <c r="DN166">
        <f>IF(OR(DL$3="",DL$3&gt;TODAY()),"",IF(AND(DL166="",DM166=""),"",N(DM166)-N(DL166)))</f>
        <v/>
      </c>
      <c r="DQ166">
        <f>IF(OR(DL$3="",DL$3&gt;TODAY()),"",IF(AND(DO166="",DP166=""),"",N(DP166)-N(DO166)))</f>
        <v/>
      </c>
      <c r="DU166">
        <f>IF(OR(DS$3="",DS$3&gt;TODAY()),"",IF(AND(DS166="",DT166=""),"",N(DT166)-N(DS166)))</f>
        <v/>
      </c>
      <c r="DX166">
        <f>IF(OR(DS$3="",DS$3&gt;TODAY()),"",IF(AND(DV166="",DW166=""),"",N(DW166)-N(DV166)))</f>
        <v/>
      </c>
      <c r="EB166">
        <f>IF(OR(DZ$3="",DZ$3&gt;TODAY()),"",IF(AND(DZ166="",EA166=""),"",N(EA166)-N(DZ166)))</f>
        <v/>
      </c>
      <c r="EE166">
        <f>IF(OR(DZ$3="",DZ$3&gt;TODAY()),"",IF(AND(EC166="",ED166=""),"",N(ED166)-N(EC166)))</f>
        <v/>
      </c>
      <c r="EI166">
        <f>IF(OR(EG$3="",EG$3&gt;TODAY()),"",IF(AND(EG166="",EH166=""),"",N(EH166)-N(EG166)))</f>
        <v/>
      </c>
      <c r="EL166">
        <f>IF(OR(EG$3="",EG$3&gt;TODAY()),"",IF(AND(EJ166="",EK166=""),"",N(EK166)-N(EJ166)))</f>
        <v/>
      </c>
      <c r="EP166">
        <f>IF(OR(EN$3="",EN$3&gt;TODAY()),"",IF(AND(EN166="",EO166=""),"",N(EO166)-N(EN166)))</f>
        <v/>
      </c>
      <c r="ES166">
        <f>IF(OR(EN$3="",EN$3&gt;TODAY()),"",IF(AND(EQ166="",ER166=""),"",N(ER166)-N(EQ166)))</f>
        <v/>
      </c>
      <c r="EW166">
        <f>IF(OR(EU$3="",EU$3&gt;TODAY()),"",IF(AND(EU166="",EV166=""),"",N(EV166)-N(EU166)))</f>
        <v/>
      </c>
      <c r="EZ166">
        <f>IF(OR(EU$3="",EU$3&gt;TODAY()),"",IF(AND(EX166="",EY166=""),"",N(EY166)-N(EX166)))</f>
        <v/>
      </c>
      <c r="FD166">
        <f>IF(OR(FB$3="",FB$3&gt;TODAY()),"",IF(AND(FB166="",FC166=""),"",N(FC166)-N(FB166)))</f>
        <v/>
      </c>
      <c r="FG166">
        <f>IF(OR(FB$3="",FB$3&gt;TODAY()),"",IF(AND(FE166="",FF166=""),"",N(FF166)-N(FE166)))</f>
        <v/>
      </c>
      <c r="FK166">
        <f>IF(OR(FI$3="",FI$3&gt;TODAY()),"",IF(AND(FI166="",FJ166=""),"",N(FJ166)-N(FI166)))</f>
        <v/>
      </c>
      <c r="FN166">
        <f>IF(OR(FI$3="",FI$3&gt;TODAY()),"",IF(AND(FL166="",FM166=""),"",N(FM166)-N(FL166)))</f>
        <v/>
      </c>
      <c r="FR166">
        <f>IF(OR(FP$3="",FP$3&gt;TODAY()),"",IF(AND(FP166="",FQ166=""),"",N(FQ166)-N(FP166)))</f>
        <v/>
      </c>
      <c r="FU166">
        <f>IF(OR(FP$3="",FP$3&gt;TODAY()),"",IF(AND(FS166="",FT166=""),"",N(FT166)-N(FS166)))</f>
        <v/>
      </c>
      <c r="FY166">
        <f>IF(OR(FW$3="",FW$3&gt;TODAY()),"",IF(AND(FW166="",FX166=""),"",N(FX166)-N(FW166)))</f>
        <v/>
      </c>
      <c r="GB166">
        <f>IF(OR(FW$3="",FW$3&gt;TODAY()),"",IF(AND(FZ166="",GA166=""),"",N(GA166)-N(FZ166)))</f>
        <v/>
      </c>
      <c r="GF166">
        <f>IF(OR(GD$3="",GD$3&gt;TODAY()),"",IF(AND(GD166="",GE166=""),"",N(GE166)-N(GD166)))</f>
        <v/>
      </c>
      <c r="GI166">
        <f>IF(OR(GD$3="",GD$3&gt;TODAY()),"",IF(AND(GG166="",GH166=""),"",N(GH166)-N(GG166)))</f>
        <v/>
      </c>
      <c r="GM166">
        <f>IF(OR(GK$3="",GK$3&gt;TODAY()),"",IF(AND(GK166="",GL166=""),"",N(GL166)-N(GK166)))</f>
        <v/>
      </c>
      <c r="GP166">
        <f>IF(OR(GK$3="",GK$3&gt;TODAY()),"",IF(AND(GN166="",GO166=""),"",N(GO166)-N(GN166)))</f>
        <v/>
      </c>
      <c r="GT166">
        <f>IF(OR(GR$3="",GR$3&gt;TODAY()),"",IF(AND(GR166="",GS166=""),"",N(GS166)-N(GR166)))</f>
        <v/>
      </c>
      <c r="GW166">
        <f>IF(OR(GR$3="",GR$3&gt;TODAY()),"",IF(AND(GU166="",GV166=""),"",N(GV166)-N(GU166)))</f>
        <v/>
      </c>
      <c r="HA166">
        <f>IF(OR(GY$3="",GY$3&gt;TODAY()),"",IF(AND(GY166="",GZ166=""),"",N(GZ166)-N(GY166)))</f>
        <v/>
      </c>
      <c r="HD166">
        <f>IF(OR(GY$3="",GY$3&gt;TODAY()),"",IF(AND(HB166="",HC166=""),"",N(HC166)-N(HB166)))</f>
        <v/>
      </c>
      <c r="HH166">
        <f>IF(OR(HF$3="",HF$3&gt;TODAY()),"",IF(AND(HF166="",HG166=""),"",N(HG166)-N(HF166)))</f>
        <v/>
      </c>
      <c r="HK166">
        <f>IF(OR(HF$3="",HF$3&gt;TODAY()),"",IF(AND(HI166="",HJ166=""),"",N(HJ166)-N(HI166)))</f>
        <v/>
      </c>
      <c r="HO166">
        <f>IF(OR(HM$3="",HM$3&gt;TODAY()),"",IF(AND(HM166="",HN166=""),"",N(HN166)-N(HM166)))</f>
        <v/>
      </c>
      <c r="HR166">
        <f>IF(OR(HM$3="",HM$3&gt;TODAY()),"",IF(AND(HP166="",HQ166=""),"",N(HQ166)-N(HP166)))</f>
        <v/>
      </c>
      <c r="HV166">
        <f>IF(OR(HT$3="",HT$3&gt;TODAY()),"",IF(AND(HT166="",HU166=""),"",N(HU166)-N(HT166)))</f>
        <v/>
      </c>
      <c r="HY166">
        <f>IF(OR(HT$3="",HT$3&gt;TODAY()),"",IF(AND(HW166="",HX166=""),"",N(HX166)-N(HW166)))</f>
        <v/>
      </c>
      <c r="IC166">
        <f>IF(OR(IA$3="",IA$3&gt;TODAY()),"",IF(AND(IA166="",IB166=""),"",N(IB166)-N(IA166)))</f>
        <v/>
      </c>
      <c r="IF166">
        <f>IF(OR(IA$3="",IA$3&gt;TODAY()),"",IF(AND(ID166="",IE166=""),"",N(IE166)-N(ID166)))</f>
        <v/>
      </c>
      <c r="IJ166">
        <f>IF(OR(IH$3="",IH$3&gt;TODAY()),"",IF(AND(IH166="",II166=""),"",N(II166)-N(IH166)))</f>
        <v/>
      </c>
      <c r="IM166">
        <f>IF(OR(IH$3="",IH$3&gt;TODAY()),"",IF(AND(IK166="",IL166=""),"",N(IL166)-N(IK166)))</f>
        <v/>
      </c>
    </row>
    <row r="167">
      <c r="A167" s="21" t="n"/>
      <c r="B167" s="21" t="n"/>
      <c r="C167" s="21" t="n"/>
      <c r="D167" s="21" t="n"/>
      <c r="E167" s="21" t="n"/>
      <c r="F167" s="21" t="n"/>
      <c r="G167" s="21" t="n"/>
      <c r="H167" s="21" t="n"/>
      <c r="I167" s="22" t="n"/>
      <c r="J167" s="22" t="n"/>
      <c r="K167" s="23" t="n"/>
      <c r="L167" s="22" t="n"/>
      <c r="M167" s="22" t="n"/>
      <c r="N167" s="21" t="n"/>
      <c r="O167" s="23" t="n"/>
      <c r="P167" s="23" t="n"/>
      <c r="Q167" s="23" t="n"/>
      <c r="R167" s="23" t="n"/>
      <c r="S167" s="22" t="n"/>
      <c r="T167" s="23" t="n"/>
      <c r="U167" s="23" t="n"/>
      <c r="V167" s="24">
        <f>IF(J167&lt;&gt;"",J167,IF(I167&lt;&gt;"",I167,""))</f>
        <v/>
      </c>
      <c r="W167" s="25">
        <f>IF($E167="","",N(O167)+SUMIFS($AF167:$IN167,$AF$4:$IN$4,"SEW_ACT"))</f>
        <v/>
      </c>
      <c r="X167" s="25">
        <f>IF($E167="","",N(P167)+SUMIFS($AF167:$IN167,$AF$4:$IN$4,"WASH_ACT"))</f>
        <v/>
      </c>
      <c r="Y167" s="25">
        <f>IF($E167="","",W167-X167-N(T167)-N(U167))</f>
        <v/>
      </c>
      <c r="Z167" s="25">
        <f>IF($E167="","",IF(N(K167)-X167&lt;=0.02*N(K167),0,N(K167)-X167))</f>
        <v/>
      </c>
      <c r="AA167" s="24">
        <f>IF($E167="","",IF(S167&lt;&gt;"",S167,IF(N(O167)&gt;0,IF(L167&lt;&gt;"",L167,99999),IFERROR(1/(1/_xlfn.MINIFS($AF$3:$IN$3,$AF$4:$IN$4,"SEW_ACT",$AF167:$IN167,"&gt;0")),99999))))</f>
        <v/>
      </c>
      <c r="AB167" s="26">
        <f>IF(OR($E167="",Z167=0,V167=""),"",1+COUNTIFS(Z$8:Z$707,"&gt;0",V$8:V$707,"&lt;"&amp;V167)+COUNTIFS(Z$8:Z$707,"&gt;0",V$8:V$707,V167,AA$8:AA$707,"&lt;"&amp;AA167)+COUNTIFS(Z$8:Z$707,"&gt;0",V$8:V$707,V167,AA$8:AA$707,AA167,E$8:E$707,"&lt;"&amp;$E167))</f>
        <v/>
      </c>
      <c r="AC167" s="24">
        <f>IF(OR($E167="",Z167=0),"",IFERROR(TODAY()+ROUNDUP(Z167/(SUMIFS($AF167:$IN167,$AF$4:$IN$4,"WASH_ACT")/COUNTIFS($AF$4:$IN$4,"WASH_ACT",$AF167:$IN167,"&gt;0")),0),"no output yet"))</f>
        <v/>
      </c>
      <c r="AD167" s="26">
        <f>IF($E167="","",IFERROR(ROUND(MAX(0,SUMIFS($AF167:$IN167,$AF$4:$IN$4,"SEW_PLAN",$AF$3:$IN$3,"&lt;="&amp;TODAY())-SUMIFS($AF167:$IN167,$AF$4:$IN$4,"SEW_ACT",$AF$3:$IN$3,"&lt;="&amp;TODAY())+N(Q167))/(SUMIFS($AF167:$IN167,$AF$4:$IN$4,"SEW_PLAN")/COUNTIFS($AF$4:$IN$4,"SEW_PLAN",$AF167:$IN167,"&gt;0")),1),0))</f>
        <v/>
      </c>
      <c r="AE167" s="26">
        <f>IF($E167="","",IF(AND(Z167&gt;0,OR(AND(M167&lt;&gt;"",TODAY()&gt;M167),AND(V167&lt;&gt;"",V167-TODAY()&lt;=7))),"Yes","No"))</f>
        <v/>
      </c>
      <c r="AH167">
        <f>IF(OR(AF$3="",AF$3&gt;TODAY()),"",IF(AND(AF167="",AG167=""),"",N(AG167)-N(AF167)))</f>
        <v/>
      </c>
      <c r="AK167">
        <f>IF(OR(AF$3="",AF$3&gt;TODAY()),"",IF(AND(AI167="",AJ167=""),"",N(AJ167)-N(AI167)))</f>
        <v/>
      </c>
      <c r="AO167">
        <f>IF(OR(AM$3="",AM$3&gt;TODAY()),"",IF(AND(AM167="",AN167=""),"",N(AN167)-N(AM167)))</f>
        <v/>
      </c>
      <c r="AR167">
        <f>IF(OR(AM$3="",AM$3&gt;TODAY()),"",IF(AND(AP167="",AQ167=""),"",N(AQ167)-N(AP167)))</f>
        <v/>
      </c>
      <c r="AV167">
        <f>IF(OR(AT$3="",AT$3&gt;TODAY()),"",IF(AND(AT167="",AU167=""),"",N(AU167)-N(AT167)))</f>
        <v/>
      </c>
      <c r="AY167">
        <f>IF(OR(AT$3="",AT$3&gt;TODAY()),"",IF(AND(AW167="",AX167=""),"",N(AX167)-N(AW167)))</f>
        <v/>
      </c>
      <c r="BC167">
        <f>IF(OR(BA$3="",BA$3&gt;TODAY()),"",IF(AND(BA167="",BB167=""),"",N(BB167)-N(BA167)))</f>
        <v/>
      </c>
      <c r="BF167">
        <f>IF(OR(BA$3="",BA$3&gt;TODAY()),"",IF(AND(BD167="",BE167=""),"",N(BE167)-N(BD167)))</f>
        <v/>
      </c>
      <c r="BJ167">
        <f>IF(OR(BH$3="",BH$3&gt;TODAY()),"",IF(AND(BH167="",BI167=""),"",N(BI167)-N(BH167)))</f>
        <v/>
      </c>
      <c r="BM167">
        <f>IF(OR(BH$3="",BH$3&gt;TODAY()),"",IF(AND(BK167="",BL167=""),"",N(BL167)-N(BK167)))</f>
        <v/>
      </c>
      <c r="BQ167">
        <f>IF(OR(BO$3="",BO$3&gt;TODAY()),"",IF(AND(BO167="",BP167=""),"",N(BP167)-N(BO167)))</f>
        <v/>
      </c>
      <c r="BT167">
        <f>IF(OR(BO$3="",BO$3&gt;TODAY()),"",IF(AND(BR167="",BS167=""),"",N(BS167)-N(BR167)))</f>
        <v/>
      </c>
      <c r="BX167">
        <f>IF(OR(BV$3="",BV$3&gt;TODAY()),"",IF(AND(BV167="",BW167=""),"",N(BW167)-N(BV167)))</f>
        <v/>
      </c>
      <c r="CA167">
        <f>IF(OR(BV$3="",BV$3&gt;TODAY()),"",IF(AND(BY167="",BZ167=""),"",N(BZ167)-N(BY167)))</f>
        <v/>
      </c>
      <c r="CE167">
        <f>IF(OR(CC$3="",CC$3&gt;TODAY()),"",IF(AND(CC167="",CD167=""),"",N(CD167)-N(CC167)))</f>
        <v/>
      </c>
      <c r="CH167">
        <f>IF(OR(CC$3="",CC$3&gt;TODAY()),"",IF(AND(CF167="",CG167=""),"",N(CG167)-N(CF167)))</f>
        <v/>
      </c>
      <c r="CL167">
        <f>IF(OR(CJ$3="",CJ$3&gt;TODAY()),"",IF(AND(CJ167="",CK167=""),"",N(CK167)-N(CJ167)))</f>
        <v/>
      </c>
      <c r="CO167">
        <f>IF(OR(CJ$3="",CJ$3&gt;TODAY()),"",IF(AND(CM167="",CN167=""),"",N(CN167)-N(CM167)))</f>
        <v/>
      </c>
      <c r="CS167">
        <f>IF(OR(CQ$3="",CQ$3&gt;TODAY()),"",IF(AND(CQ167="",CR167=""),"",N(CR167)-N(CQ167)))</f>
        <v/>
      </c>
      <c r="CV167">
        <f>IF(OR(CQ$3="",CQ$3&gt;TODAY()),"",IF(AND(CT167="",CU167=""),"",N(CU167)-N(CT167)))</f>
        <v/>
      </c>
      <c r="CZ167">
        <f>IF(OR(CX$3="",CX$3&gt;TODAY()),"",IF(AND(CX167="",CY167=""),"",N(CY167)-N(CX167)))</f>
        <v/>
      </c>
      <c r="DC167">
        <f>IF(OR(CX$3="",CX$3&gt;TODAY()),"",IF(AND(DA167="",DB167=""),"",N(DB167)-N(DA167)))</f>
        <v/>
      </c>
      <c r="DG167">
        <f>IF(OR(DE$3="",DE$3&gt;TODAY()),"",IF(AND(DE167="",DF167=""),"",N(DF167)-N(DE167)))</f>
        <v/>
      </c>
      <c r="DJ167">
        <f>IF(OR(DE$3="",DE$3&gt;TODAY()),"",IF(AND(DH167="",DI167=""),"",N(DI167)-N(DH167)))</f>
        <v/>
      </c>
      <c r="DN167">
        <f>IF(OR(DL$3="",DL$3&gt;TODAY()),"",IF(AND(DL167="",DM167=""),"",N(DM167)-N(DL167)))</f>
        <v/>
      </c>
      <c r="DQ167">
        <f>IF(OR(DL$3="",DL$3&gt;TODAY()),"",IF(AND(DO167="",DP167=""),"",N(DP167)-N(DO167)))</f>
        <v/>
      </c>
      <c r="DU167">
        <f>IF(OR(DS$3="",DS$3&gt;TODAY()),"",IF(AND(DS167="",DT167=""),"",N(DT167)-N(DS167)))</f>
        <v/>
      </c>
      <c r="DX167">
        <f>IF(OR(DS$3="",DS$3&gt;TODAY()),"",IF(AND(DV167="",DW167=""),"",N(DW167)-N(DV167)))</f>
        <v/>
      </c>
      <c r="EB167">
        <f>IF(OR(DZ$3="",DZ$3&gt;TODAY()),"",IF(AND(DZ167="",EA167=""),"",N(EA167)-N(DZ167)))</f>
        <v/>
      </c>
      <c r="EE167">
        <f>IF(OR(DZ$3="",DZ$3&gt;TODAY()),"",IF(AND(EC167="",ED167=""),"",N(ED167)-N(EC167)))</f>
        <v/>
      </c>
      <c r="EI167">
        <f>IF(OR(EG$3="",EG$3&gt;TODAY()),"",IF(AND(EG167="",EH167=""),"",N(EH167)-N(EG167)))</f>
        <v/>
      </c>
      <c r="EL167">
        <f>IF(OR(EG$3="",EG$3&gt;TODAY()),"",IF(AND(EJ167="",EK167=""),"",N(EK167)-N(EJ167)))</f>
        <v/>
      </c>
      <c r="EP167">
        <f>IF(OR(EN$3="",EN$3&gt;TODAY()),"",IF(AND(EN167="",EO167=""),"",N(EO167)-N(EN167)))</f>
        <v/>
      </c>
      <c r="ES167">
        <f>IF(OR(EN$3="",EN$3&gt;TODAY()),"",IF(AND(EQ167="",ER167=""),"",N(ER167)-N(EQ167)))</f>
        <v/>
      </c>
      <c r="EW167">
        <f>IF(OR(EU$3="",EU$3&gt;TODAY()),"",IF(AND(EU167="",EV167=""),"",N(EV167)-N(EU167)))</f>
        <v/>
      </c>
      <c r="EZ167">
        <f>IF(OR(EU$3="",EU$3&gt;TODAY()),"",IF(AND(EX167="",EY167=""),"",N(EY167)-N(EX167)))</f>
        <v/>
      </c>
      <c r="FD167">
        <f>IF(OR(FB$3="",FB$3&gt;TODAY()),"",IF(AND(FB167="",FC167=""),"",N(FC167)-N(FB167)))</f>
        <v/>
      </c>
      <c r="FG167">
        <f>IF(OR(FB$3="",FB$3&gt;TODAY()),"",IF(AND(FE167="",FF167=""),"",N(FF167)-N(FE167)))</f>
        <v/>
      </c>
      <c r="FK167">
        <f>IF(OR(FI$3="",FI$3&gt;TODAY()),"",IF(AND(FI167="",FJ167=""),"",N(FJ167)-N(FI167)))</f>
        <v/>
      </c>
      <c r="FN167">
        <f>IF(OR(FI$3="",FI$3&gt;TODAY()),"",IF(AND(FL167="",FM167=""),"",N(FM167)-N(FL167)))</f>
        <v/>
      </c>
      <c r="FR167">
        <f>IF(OR(FP$3="",FP$3&gt;TODAY()),"",IF(AND(FP167="",FQ167=""),"",N(FQ167)-N(FP167)))</f>
        <v/>
      </c>
      <c r="FU167">
        <f>IF(OR(FP$3="",FP$3&gt;TODAY()),"",IF(AND(FS167="",FT167=""),"",N(FT167)-N(FS167)))</f>
        <v/>
      </c>
      <c r="FY167">
        <f>IF(OR(FW$3="",FW$3&gt;TODAY()),"",IF(AND(FW167="",FX167=""),"",N(FX167)-N(FW167)))</f>
        <v/>
      </c>
      <c r="GB167">
        <f>IF(OR(FW$3="",FW$3&gt;TODAY()),"",IF(AND(FZ167="",GA167=""),"",N(GA167)-N(FZ167)))</f>
        <v/>
      </c>
      <c r="GF167">
        <f>IF(OR(GD$3="",GD$3&gt;TODAY()),"",IF(AND(GD167="",GE167=""),"",N(GE167)-N(GD167)))</f>
        <v/>
      </c>
      <c r="GI167">
        <f>IF(OR(GD$3="",GD$3&gt;TODAY()),"",IF(AND(GG167="",GH167=""),"",N(GH167)-N(GG167)))</f>
        <v/>
      </c>
      <c r="GM167">
        <f>IF(OR(GK$3="",GK$3&gt;TODAY()),"",IF(AND(GK167="",GL167=""),"",N(GL167)-N(GK167)))</f>
        <v/>
      </c>
      <c r="GP167">
        <f>IF(OR(GK$3="",GK$3&gt;TODAY()),"",IF(AND(GN167="",GO167=""),"",N(GO167)-N(GN167)))</f>
        <v/>
      </c>
      <c r="GT167">
        <f>IF(OR(GR$3="",GR$3&gt;TODAY()),"",IF(AND(GR167="",GS167=""),"",N(GS167)-N(GR167)))</f>
        <v/>
      </c>
      <c r="GW167">
        <f>IF(OR(GR$3="",GR$3&gt;TODAY()),"",IF(AND(GU167="",GV167=""),"",N(GV167)-N(GU167)))</f>
        <v/>
      </c>
      <c r="HA167">
        <f>IF(OR(GY$3="",GY$3&gt;TODAY()),"",IF(AND(GY167="",GZ167=""),"",N(GZ167)-N(GY167)))</f>
        <v/>
      </c>
      <c r="HD167">
        <f>IF(OR(GY$3="",GY$3&gt;TODAY()),"",IF(AND(HB167="",HC167=""),"",N(HC167)-N(HB167)))</f>
        <v/>
      </c>
      <c r="HH167">
        <f>IF(OR(HF$3="",HF$3&gt;TODAY()),"",IF(AND(HF167="",HG167=""),"",N(HG167)-N(HF167)))</f>
        <v/>
      </c>
      <c r="HK167">
        <f>IF(OR(HF$3="",HF$3&gt;TODAY()),"",IF(AND(HI167="",HJ167=""),"",N(HJ167)-N(HI167)))</f>
        <v/>
      </c>
      <c r="HO167">
        <f>IF(OR(HM$3="",HM$3&gt;TODAY()),"",IF(AND(HM167="",HN167=""),"",N(HN167)-N(HM167)))</f>
        <v/>
      </c>
      <c r="HR167">
        <f>IF(OR(HM$3="",HM$3&gt;TODAY()),"",IF(AND(HP167="",HQ167=""),"",N(HQ167)-N(HP167)))</f>
        <v/>
      </c>
      <c r="HV167">
        <f>IF(OR(HT$3="",HT$3&gt;TODAY()),"",IF(AND(HT167="",HU167=""),"",N(HU167)-N(HT167)))</f>
        <v/>
      </c>
      <c r="HY167">
        <f>IF(OR(HT$3="",HT$3&gt;TODAY()),"",IF(AND(HW167="",HX167=""),"",N(HX167)-N(HW167)))</f>
        <v/>
      </c>
      <c r="IC167">
        <f>IF(OR(IA$3="",IA$3&gt;TODAY()),"",IF(AND(IA167="",IB167=""),"",N(IB167)-N(IA167)))</f>
        <v/>
      </c>
      <c r="IF167">
        <f>IF(OR(IA$3="",IA$3&gt;TODAY()),"",IF(AND(ID167="",IE167=""),"",N(IE167)-N(ID167)))</f>
        <v/>
      </c>
      <c r="IJ167">
        <f>IF(OR(IH$3="",IH$3&gt;TODAY()),"",IF(AND(IH167="",II167=""),"",N(II167)-N(IH167)))</f>
        <v/>
      </c>
      <c r="IM167">
        <f>IF(OR(IH$3="",IH$3&gt;TODAY()),"",IF(AND(IK167="",IL167=""),"",N(IL167)-N(IK167)))</f>
        <v/>
      </c>
    </row>
    <row r="168">
      <c r="A168" s="21" t="n"/>
      <c r="B168" s="21" t="n"/>
      <c r="C168" s="21" t="n"/>
      <c r="D168" s="21" t="n"/>
      <c r="E168" s="21" t="n"/>
      <c r="F168" s="21" t="n"/>
      <c r="G168" s="21" t="n"/>
      <c r="H168" s="21" t="n"/>
      <c r="I168" s="22" t="n"/>
      <c r="J168" s="22" t="n"/>
      <c r="K168" s="23" t="n"/>
      <c r="L168" s="22" t="n"/>
      <c r="M168" s="22" t="n"/>
      <c r="N168" s="21" t="n"/>
      <c r="O168" s="23" t="n"/>
      <c r="P168" s="23" t="n"/>
      <c r="Q168" s="23" t="n"/>
      <c r="R168" s="23" t="n"/>
      <c r="S168" s="22" t="n"/>
      <c r="T168" s="23" t="n"/>
      <c r="U168" s="23" t="n"/>
      <c r="V168" s="24">
        <f>IF(J168&lt;&gt;"",J168,IF(I168&lt;&gt;"",I168,""))</f>
        <v/>
      </c>
      <c r="W168" s="25">
        <f>IF($E168="","",N(O168)+SUMIFS($AF168:$IN168,$AF$4:$IN$4,"SEW_ACT"))</f>
        <v/>
      </c>
      <c r="X168" s="25">
        <f>IF($E168="","",N(P168)+SUMIFS($AF168:$IN168,$AF$4:$IN$4,"WASH_ACT"))</f>
        <v/>
      </c>
      <c r="Y168" s="25">
        <f>IF($E168="","",W168-X168-N(T168)-N(U168))</f>
        <v/>
      </c>
      <c r="Z168" s="25">
        <f>IF($E168="","",IF(N(K168)-X168&lt;=0.02*N(K168),0,N(K168)-X168))</f>
        <v/>
      </c>
      <c r="AA168" s="24">
        <f>IF($E168="","",IF(S168&lt;&gt;"",S168,IF(N(O168)&gt;0,IF(L168&lt;&gt;"",L168,99999),IFERROR(1/(1/_xlfn.MINIFS($AF$3:$IN$3,$AF$4:$IN$4,"SEW_ACT",$AF168:$IN168,"&gt;0")),99999))))</f>
        <v/>
      </c>
      <c r="AB168" s="26">
        <f>IF(OR($E168="",Z168=0,V168=""),"",1+COUNTIFS(Z$8:Z$707,"&gt;0",V$8:V$707,"&lt;"&amp;V168)+COUNTIFS(Z$8:Z$707,"&gt;0",V$8:V$707,V168,AA$8:AA$707,"&lt;"&amp;AA168)+COUNTIFS(Z$8:Z$707,"&gt;0",V$8:V$707,V168,AA$8:AA$707,AA168,E$8:E$707,"&lt;"&amp;$E168))</f>
        <v/>
      </c>
      <c r="AC168" s="24">
        <f>IF(OR($E168="",Z168=0),"",IFERROR(TODAY()+ROUNDUP(Z168/(SUMIFS($AF168:$IN168,$AF$4:$IN$4,"WASH_ACT")/COUNTIFS($AF$4:$IN$4,"WASH_ACT",$AF168:$IN168,"&gt;0")),0),"no output yet"))</f>
        <v/>
      </c>
      <c r="AD168" s="26">
        <f>IF($E168="","",IFERROR(ROUND(MAX(0,SUMIFS($AF168:$IN168,$AF$4:$IN$4,"SEW_PLAN",$AF$3:$IN$3,"&lt;="&amp;TODAY())-SUMIFS($AF168:$IN168,$AF$4:$IN$4,"SEW_ACT",$AF$3:$IN$3,"&lt;="&amp;TODAY())+N(Q168))/(SUMIFS($AF168:$IN168,$AF$4:$IN$4,"SEW_PLAN")/COUNTIFS($AF$4:$IN$4,"SEW_PLAN",$AF168:$IN168,"&gt;0")),1),0))</f>
        <v/>
      </c>
      <c r="AE168" s="26">
        <f>IF($E168="","",IF(AND(Z168&gt;0,OR(AND(M168&lt;&gt;"",TODAY()&gt;M168),AND(V168&lt;&gt;"",V168-TODAY()&lt;=7))),"Yes","No"))</f>
        <v/>
      </c>
      <c r="AH168">
        <f>IF(OR(AF$3="",AF$3&gt;TODAY()),"",IF(AND(AF168="",AG168=""),"",N(AG168)-N(AF168)))</f>
        <v/>
      </c>
      <c r="AK168">
        <f>IF(OR(AF$3="",AF$3&gt;TODAY()),"",IF(AND(AI168="",AJ168=""),"",N(AJ168)-N(AI168)))</f>
        <v/>
      </c>
      <c r="AO168">
        <f>IF(OR(AM$3="",AM$3&gt;TODAY()),"",IF(AND(AM168="",AN168=""),"",N(AN168)-N(AM168)))</f>
        <v/>
      </c>
      <c r="AR168">
        <f>IF(OR(AM$3="",AM$3&gt;TODAY()),"",IF(AND(AP168="",AQ168=""),"",N(AQ168)-N(AP168)))</f>
        <v/>
      </c>
      <c r="AV168">
        <f>IF(OR(AT$3="",AT$3&gt;TODAY()),"",IF(AND(AT168="",AU168=""),"",N(AU168)-N(AT168)))</f>
        <v/>
      </c>
      <c r="AY168">
        <f>IF(OR(AT$3="",AT$3&gt;TODAY()),"",IF(AND(AW168="",AX168=""),"",N(AX168)-N(AW168)))</f>
        <v/>
      </c>
      <c r="BC168">
        <f>IF(OR(BA$3="",BA$3&gt;TODAY()),"",IF(AND(BA168="",BB168=""),"",N(BB168)-N(BA168)))</f>
        <v/>
      </c>
      <c r="BF168">
        <f>IF(OR(BA$3="",BA$3&gt;TODAY()),"",IF(AND(BD168="",BE168=""),"",N(BE168)-N(BD168)))</f>
        <v/>
      </c>
      <c r="BJ168">
        <f>IF(OR(BH$3="",BH$3&gt;TODAY()),"",IF(AND(BH168="",BI168=""),"",N(BI168)-N(BH168)))</f>
        <v/>
      </c>
      <c r="BM168">
        <f>IF(OR(BH$3="",BH$3&gt;TODAY()),"",IF(AND(BK168="",BL168=""),"",N(BL168)-N(BK168)))</f>
        <v/>
      </c>
      <c r="BQ168">
        <f>IF(OR(BO$3="",BO$3&gt;TODAY()),"",IF(AND(BO168="",BP168=""),"",N(BP168)-N(BO168)))</f>
        <v/>
      </c>
      <c r="BT168">
        <f>IF(OR(BO$3="",BO$3&gt;TODAY()),"",IF(AND(BR168="",BS168=""),"",N(BS168)-N(BR168)))</f>
        <v/>
      </c>
      <c r="BX168">
        <f>IF(OR(BV$3="",BV$3&gt;TODAY()),"",IF(AND(BV168="",BW168=""),"",N(BW168)-N(BV168)))</f>
        <v/>
      </c>
      <c r="CA168">
        <f>IF(OR(BV$3="",BV$3&gt;TODAY()),"",IF(AND(BY168="",BZ168=""),"",N(BZ168)-N(BY168)))</f>
        <v/>
      </c>
      <c r="CE168">
        <f>IF(OR(CC$3="",CC$3&gt;TODAY()),"",IF(AND(CC168="",CD168=""),"",N(CD168)-N(CC168)))</f>
        <v/>
      </c>
      <c r="CH168">
        <f>IF(OR(CC$3="",CC$3&gt;TODAY()),"",IF(AND(CF168="",CG168=""),"",N(CG168)-N(CF168)))</f>
        <v/>
      </c>
      <c r="CL168">
        <f>IF(OR(CJ$3="",CJ$3&gt;TODAY()),"",IF(AND(CJ168="",CK168=""),"",N(CK168)-N(CJ168)))</f>
        <v/>
      </c>
      <c r="CO168">
        <f>IF(OR(CJ$3="",CJ$3&gt;TODAY()),"",IF(AND(CM168="",CN168=""),"",N(CN168)-N(CM168)))</f>
        <v/>
      </c>
      <c r="CS168">
        <f>IF(OR(CQ$3="",CQ$3&gt;TODAY()),"",IF(AND(CQ168="",CR168=""),"",N(CR168)-N(CQ168)))</f>
        <v/>
      </c>
      <c r="CV168">
        <f>IF(OR(CQ$3="",CQ$3&gt;TODAY()),"",IF(AND(CT168="",CU168=""),"",N(CU168)-N(CT168)))</f>
        <v/>
      </c>
      <c r="CZ168">
        <f>IF(OR(CX$3="",CX$3&gt;TODAY()),"",IF(AND(CX168="",CY168=""),"",N(CY168)-N(CX168)))</f>
        <v/>
      </c>
      <c r="DC168">
        <f>IF(OR(CX$3="",CX$3&gt;TODAY()),"",IF(AND(DA168="",DB168=""),"",N(DB168)-N(DA168)))</f>
        <v/>
      </c>
      <c r="DG168">
        <f>IF(OR(DE$3="",DE$3&gt;TODAY()),"",IF(AND(DE168="",DF168=""),"",N(DF168)-N(DE168)))</f>
        <v/>
      </c>
      <c r="DJ168">
        <f>IF(OR(DE$3="",DE$3&gt;TODAY()),"",IF(AND(DH168="",DI168=""),"",N(DI168)-N(DH168)))</f>
        <v/>
      </c>
      <c r="DN168">
        <f>IF(OR(DL$3="",DL$3&gt;TODAY()),"",IF(AND(DL168="",DM168=""),"",N(DM168)-N(DL168)))</f>
        <v/>
      </c>
      <c r="DQ168">
        <f>IF(OR(DL$3="",DL$3&gt;TODAY()),"",IF(AND(DO168="",DP168=""),"",N(DP168)-N(DO168)))</f>
        <v/>
      </c>
      <c r="DU168">
        <f>IF(OR(DS$3="",DS$3&gt;TODAY()),"",IF(AND(DS168="",DT168=""),"",N(DT168)-N(DS168)))</f>
        <v/>
      </c>
      <c r="DX168">
        <f>IF(OR(DS$3="",DS$3&gt;TODAY()),"",IF(AND(DV168="",DW168=""),"",N(DW168)-N(DV168)))</f>
        <v/>
      </c>
      <c r="EB168">
        <f>IF(OR(DZ$3="",DZ$3&gt;TODAY()),"",IF(AND(DZ168="",EA168=""),"",N(EA168)-N(DZ168)))</f>
        <v/>
      </c>
      <c r="EE168">
        <f>IF(OR(DZ$3="",DZ$3&gt;TODAY()),"",IF(AND(EC168="",ED168=""),"",N(ED168)-N(EC168)))</f>
        <v/>
      </c>
      <c r="EI168">
        <f>IF(OR(EG$3="",EG$3&gt;TODAY()),"",IF(AND(EG168="",EH168=""),"",N(EH168)-N(EG168)))</f>
        <v/>
      </c>
      <c r="EL168">
        <f>IF(OR(EG$3="",EG$3&gt;TODAY()),"",IF(AND(EJ168="",EK168=""),"",N(EK168)-N(EJ168)))</f>
        <v/>
      </c>
      <c r="EP168">
        <f>IF(OR(EN$3="",EN$3&gt;TODAY()),"",IF(AND(EN168="",EO168=""),"",N(EO168)-N(EN168)))</f>
        <v/>
      </c>
      <c r="ES168">
        <f>IF(OR(EN$3="",EN$3&gt;TODAY()),"",IF(AND(EQ168="",ER168=""),"",N(ER168)-N(EQ168)))</f>
        <v/>
      </c>
      <c r="EW168">
        <f>IF(OR(EU$3="",EU$3&gt;TODAY()),"",IF(AND(EU168="",EV168=""),"",N(EV168)-N(EU168)))</f>
        <v/>
      </c>
      <c r="EZ168">
        <f>IF(OR(EU$3="",EU$3&gt;TODAY()),"",IF(AND(EX168="",EY168=""),"",N(EY168)-N(EX168)))</f>
        <v/>
      </c>
      <c r="FD168">
        <f>IF(OR(FB$3="",FB$3&gt;TODAY()),"",IF(AND(FB168="",FC168=""),"",N(FC168)-N(FB168)))</f>
        <v/>
      </c>
      <c r="FG168">
        <f>IF(OR(FB$3="",FB$3&gt;TODAY()),"",IF(AND(FE168="",FF168=""),"",N(FF168)-N(FE168)))</f>
        <v/>
      </c>
      <c r="FK168">
        <f>IF(OR(FI$3="",FI$3&gt;TODAY()),"",IF(AND(FI168="",FJ168=""),"",N(FJ168)-N(FI168)))</f>
        <v/>
      </c>
      <c r="FN168">
        <f>IF(OR(FI$3="",FI$3&gt;TODAY()),"",IF(AND(FL168="",FM168=""),"",N(FM168)-N(FL168)))</f>
        <v/>
      </c>
      <c r="FR168">
        <f>IF(OR(FP$3="",FP$3&gt;TODAY()),"",IF(AND(FP168="",FQ168=""),"",N(FQ168)-N(FP168)))</f>
        <v/>
      </c>
      <c r="FU168">
        <f>IF(OR(FP$3="",FP$3&gt;TODAY()),"",IF(AND(FS168="",FT168=""),"",N(FT168)-N(FS168)))</f>
        <v/>
      </c>
      <c r="FY168">
        <f>IF(OR(FW$3="",FW$3&gt;TODAY()),"",IF(AND(FW168="",FX168=""),"",N(FX168)-N(FW168)))</f>
        <v/>
      </c>
      <c r="GB168">
        <f>IF(OR(FW$3="",FW$3&gt;TODAY()),"",IF(AND(FZ168="",GA168=""),"",N(GA168)-N(FZ168)))</f>
        <v/>
      </c>
      <c r="GF168">
        <f>IF(OR(GD$3="",GD$3&gt;TODAY()),"",IF(AND(GD168="",GE168=""),"",N(GE168)-N(GD168)))</f>
        <v/>
      </c>
      <c r="GI168">
        <f>IF(OR(GD$3="",GD$3&gt;TODAY()),"",IF(AND(GG168="",GH168=""),"",N(GH168)-N(GG168)))</f>
        <v/>
      </c>
      <c r="GM168">
        <f>IF(OR(GK$3="",GK$3&gt;TODAY()),"",IF(AND(GK168="",GL168=""),"",N(GL168)-N(GK168)))</f>
        <v/>
      </c>
      <c r="GP168">
        <f>IF(OR(GK$3="",GK$3&gt;TODAY()),"",IF(AND(GN168="",GO168=""),"",N(GO168)-N(GN168)))</f>
        <v/>
      </c>
      <c r="GT168">
        <f>IF(OR(GR$3="",GR$3&gt;TODAY()),"",IF(AND(GR168="",GS168=""),"",N(GS168)-N(GR168)))</f>
        <v/>
      </c>
      <c r="GW168">
        <f>IF(OR(GR$3="",GR$3&gt;TODAY()),"",IF(AND(GU168="",GV168=""),"",N(GV168)-N(GU168)))</f>
        <v/>
      </c>
      <c r="HA168">
        <f>IF(OR(GY$3="",GY$3&gt;TODAY()),"",IF(AND(GY168="",GZ168=""),"",N(GZ168)-N(GY168)))</f>
        <v/>
      </c>
      <c r="HD168">
        <f>IF(OR(GY$3="",GY$3&gt;TODAY()),"",IF(AND(HB168="",HC168=""),"",N(HC168)-N(HB168)))</f>
        <v/>
      </c>
      <c r="HH168">
        <f>IF(OR(HF$3="",HF$3&gt;TODAY()),"",IF(AND(HF168="",HG168=""),"",N(HG168)-N(HF168)))</f>
        <v/>
      </c>
      <c r="HK168">
        <f>IF(OR(HF$3="",HF$3&gt;TODAY()),"",IF(AND(HI168="",HJ168=""),"",N(HJ168)-N(HI168)))</f>
        <v/>
      </c>
      <c r="HO168">
        <f>IF(OR(HM$3="",HM$3&gt;TODAY()),"",IF(AND(HM168="",HN168=""),"",N(HN168)-N(HM168)))</f>
        <v/>
      </c>
      <c r="HR168">
        <f>IF(OR(HM$3="",HM$3&gt;TODAY()),"",IF(AND(HP168="",HQ168=""),"",N(HQ168)-N(HP168)))</f>
        <v/>
      </c>
      <c r="HV168">
        <f>IF(OR(HT$3="",HT$3&gt;TODAY()),"",IF(AND(HT168="",HU168=""),"",N(HU168)-N(HT168)))</f>
        <v/>
      </c>
      <c r="HY168">
        <f>IF(OR(HT$3="",HT$3&gt;TODAY()),"",IF(AND(HW168="",HX168=""),"",N(HX168)-N(HW168)))</f>
        <v/>
      </c>
      <c r="IC168">
        <f>IF(OR(IA$3="",IA$3&gt;TODAY()),"",IF(AND(IA168="",IB168=""),"",N(IB168)-N(IA168)))</f>
        <v/>
      </c>
      <c r="IF168">
        <f>IF(OR(IA$3="",IA$3&gt;TODAY()),"",IF(AND(ID168="",IE168=""),"",N(IE168)-N(ID168)))</f>
        <v/>
      </c>
      <c r="IJ168">
        <f>IF(OR(IH$3="",IH$3&gt;TODAY()),"",IF(AND(IH168="",II168=""),"",N(II168)-N(IH168)))</f>
        <v/>
      </c>
      <c r="IM168">
        <f>IF(OR(IH$3="",IH$3&gt;TODAY()),"",IF(AND(IK168="",IL168=""),"",N(IL168)-N(IK168)))</f>
        <v/>
      </c>
    </row>
    <row r="169">
      <c r="A169" s="21" t="n"/>
      <c r="B169" s="21" t="n"/>
      <c r="C169" s="21" t="n"/>
      <c r="D169" s="21" t="n"/>
      <c r="E169" s="21" t="n"/>
      <c r="F169" s="21" t="n"/>
      <c r="G169" s="21" t="n"/>
      <c r="H169" s="21" t="n"/>
      <c r="I169" s="22" t="n"/>
      <c r="J169" s="22" t="n"/>
      <c r="K169" s="23" t="n"/>
      <c r="L169" s="22" t="n"/>
      <c r="M169" s="22" t="n"/>
      <c r="N169" s="21" t="n"/>
      <c r="O169" s="23" t="n"/>
      <c r="P169" s="23" t="n"/>
      <c r="Q169" s="23" t="n"/>
      <c r="R169" s="23" t="n"/>
      <c r="S169" s="22" t="n"/>
      <c r="T169" s="23" t="n"/>
      <c r="U169" s="23" t="n"/>
      <c r="V169" s="24">
        <f>IF(J169&lt;&gt;"",J169,IF(I169&lt;&gt;"",I169,""))</f>
        <v/>
      </c>
      <c r="W169" s="25">
        <f>IF($E169="","",N(O169)+SUMIFS($AF169:$IN169,$AF$4:$IN$4,"SEW_ACT"))</f>
        <v/>
      </c>
      <c r="X169" s="25">
        <f>IF($E169="","",N(P169)+SUMIFS($AF169:$IN169,$AF$4:$IN$4,"WASH_ACT"))</f>
        <v/>
      </c>
      <c r="Y169" s="25">
        <f>IF($E169="","",W169-X169-N(T169)-N(U169))</f>
        <v/>
      </c>
      <c r="Z169" s="25">
        <f>IF($E169="","",IF(N(K169)-X169&lt;=0.02*N(K169),0,N(K169)-X169))</f>
        <v/>
      </c>
      <c r="AA169" s="24">
        <f>IF($E169="","",IF(S169&lt;&gt;"",S169,IF(N(O169)&gt;0,IF(L169&lt;&gt;"",L169,99999),IFERROR(1/(1/_xlfn.MINIFS($AF$3:$IN$3,$AF$4:$IN$4,"SEW_ACT",$AF169:$IN169,"&gt;0")),99999))))</f>
        <v/>
      </c>
      <c r="AB169" s="26">
        <f>IF(OR($E169="",Z169=0,V169=""),"",1+COUNTIFS(Z$8:Z$707,"&gt;0",V$8:V$707,"&lt;"&amp;V169)+COUNTIFS(Z$8:Z$707,"&gt;0",V$8:V$707,V169,AA$8:AA$707,"&lt;"&amp;AA169)+COUNTIFS(Z$8:Z$707,"&gt;0",V$8:V$707,V169,AA$8:AA$707,AA169,E$8:E$707,"&lt;"&amp;$E169))</f>
        <v/>
      </c>
      <c r="AC169" s="24">
        <f>IF(OR($E169="",Z169=0),"",IFERROR(TODAY()+ROUNDUP(Z169/(SUMIFS($AF169:$IN169,$AF$4:$IN$4,"WASH_ACT")/COUNTIFS($AF$4:$IN$4,"WASH_ACT",$AF169:$IN169,"&gt;0")),0),"no output yet"))</f>
        <v/>
      </c>
      <c r="AD169" s="26">
        <f>IF($E169="","",IFERROR(ROUND(MAX(0,SUMIFS($AF169:$IN169,$AF$4:$IN$4,"SEW_PLAN",$AF$3:$IN$3,"&lt;="&amp;TODAY())-SUMIFS($AF169:$IN169,$AF$4:$IN$4,"SEW_ACT",$AF$3:$IN$3,"&lt;="&amp;TODAY())+N(Q169))/(SUMIFS($AF169:$IN169,$AF$4:$IN$4,"SEW_PLAN")/COUNTIFS($AF$4:$IN$4,"SEW_PLAN",$AF169:$IN169,"&gt;0")),1),0))</f>
        <v/>
      </c>
      <c r="AE169" s="26">
        <f>IF($E169="","",IF(AND(Z169&gt;0,OR(AND(M169&lt;&gt;"",TODAY()&gt;M169),AND(V169&lt;&gt;"",V169-TODAY()&lt;=7))),"Yes","No"))</f>
        <v/>
      </c>
      <c r="AH169">
        <f>IF(OR(AF$3="",AF$3&gt;TODAY()),"",IF(AND(AF169="",AG169=""),"",N(AG169)-N(AF169)))</f>
        <v/>
      </c>
      <c r="AK169">
        <f>IF(OR(AF$3="",AF$3&gt;TODAY()),"",IF(AND(AI169="",AJ169=""),"",N(AJ169)-N(AI169)))</f>
        <v/>
      </c>
      <c r="AO169">
        <f>IF(OR(AM$3="",AM$3&gt;TODAY()),"",IF(AND(AM169="",AN169=""),"",N(AN169)-N(AM169)))</f>
        <v/>
      </c>
      <c r="AR169">
        <f>IF(OR(AM$3="",AM$3&gt;TODAY()),"",IF(AND(AP169="",AQ169=""),"",N(AQ169)-N(AP169)))</f>
        <v/>
      </c>
      <c r="AV169">
        <f>IF(OR(AT$3="",AT$3&gt;TODAY()),"",IF(AND(AT169="",AU169=""),"",N(AU169)-N(AT169)))</f>
        <v/>
      </c>
      <c r="AY169">
        <f>IF(OR(AT$3="",AT$3&gt;TODAY()),"",IF(AND(AW169="",AX169=""),"",N(AX169)-N(AW169)))</f>
        <v/>
      </c>
      <c r="BC169">
        <f>IF(OR(BA$3="",BA$3&gt;TODAY()),"",IF(AND(BA169="",BB169=""),"",N(BB169)-N(BA169)))</f>
        <v/>
      </c>
      <c r="BF169">
        <f>IF(OR(BA$3="",BA$3&gt;TODAY()),"",IF(AND(BD169="",BE169=""),"",N(BE169)-N(BD169)))</f>
        <v/>
      </c>
      <c r="BJ169">
        <f>IF(OR(BH$3="",BH$3&gt;TODAY()),"",IF(AND(BH169="",BI169=""),"",N(BI169)-N(BH169)))</f>
        <v/>
      </c>
      <c r="BM169">
        <f>IF(OR(BH$3="",BH$3&gt;TODAY()),"",IF(AND(BK169="",BL169=""),"",N(BL169)-N(BK169)))</f>
        <v/>
      </c>
      <c r="BQ169">
        <f>IF(OR(BO$3="",BO$3&gt;TODAY()),"",IF(AND(BO169="",BP169=""),"",N(BP169)-N(BO169)))</f>
        <v/>
      </c>
      <c r="BT169">
        <f>IF(OR(BO$3="",BO$3&gt;TODAY()),"",IF(AND(BR169="",BS169=""),"",N(BS169)-N(BR169)))</f>
        <v/>
      </c>
      <c r="BX169">
        <f>IF(OR(BV$3="",BV$3&gt;TODAY()),"",IF(AND(BV169="",BW169=""),"",N(BW169)-N(BV169)))</f>
        <v/>
      </c>
      <c r="CA169">
        <f>IF(OR(BV$3="",BV$3&gt;TODAY()),"",IF(AND(BY169="",BZ169=""),"",N(BZ169)-N(BY169)))</f>
        <v/>
      </c>
      <c r="CE169">
        <f>IF(OR(CC$3="",CC$3&gt;TODAY()),"",IF(AND(CC169="",CD169=""),"",N(CD169)-N(CC169)))</f>
        <v/>
      </c>
      <c r="CH169">
        <f>IF(OR(CC$3="",CC$3&gt;TODAY()),"",IF(AND(CF169="",CG169=""),"",N(CG169)-N(CF169)))</f>
        <v/>
      </c>
      <c r="CL169">
        <f>IF(OR(CJ$3="",CJ$3&gt;TODAY()),"",IF(AND(CJ169="",CK169=""),"",N(CK169)-N(CJ169)))</f>
        <v/>
      </c>
      <c r="CO169">
        <f>IF(OR(CJ$3="",CJ$3&gt;TODAY()),"",IF(AND(CM169="",CN169=""),"",N(CN169)-N(CM169)))</f>
        <v/>
      </c>
      <c r="CS169">
        <f>IF(OR(CQ$3="",CQ$3&gt;TODAY()),"",IF(AND(CQ169="",CR169=""),"",N(CR169)-N(CQ169)))</f>
        <v/>
      </c>
      <c r="CV169">
        <f>IF(OR(CQ$3="",CQ$3&gt;TODAY()),"",IF(AND(CT169="",CU169=""),"",N(CU169)-N(CT169)))</f>
        <v/>
      </c>
      <c r="CZ169">
        <f>IF(OR(CX$3="",CX$3&gt;TODAY()),"",IF(AND(CX169="",CY169=""),"",N(CY169)-N(CX169)))</f>
        <v/>
      </c>
      <c r="DC169">
        <f>IF(OR(CX$3="",CX$3&gt;TODAY()),"",IF(AND(DA169="",DB169=""),"",N(DB169)-N(DA169)))</f>
        <v/>
      </c>
      <c r="DG169">
        <f>IF(OR(DE$3="",DE$3&gt;TODAY()),"",IF(AND(DE169="",DF169=""),"",N(DF169)-N(DE169)))</f>
        <v/>
      </c>
      <c r="DJ169">
        <f>IF(OR(DE$3="",DE$3&gt;TODAY()),"",IF(AND(DH169="",DI169=""),"",N(DI169)-N(DH169)))</f>
        <v/>
      </c>
      <c r="DN169">
        <f>IF(OR(DL$3="",DL$3&gt;TODAY()),"",IF(AND(DL169="",DM169=""),"",N(DM169)-N(DL169)))</f>
        <v/>
      </c>
      <c r="DQ169">
        <f>IF(OR(DL$3="",DL$3&gt;TODAY()),"",IF(AND(DO169="",DP169=""),"",N(DP169)-N(DO169)))</f>
        <v/>
      </c>
      <c r="DU169">
        <f>IF(OR(DS$3="",DS$3&gt;TODAY()),"",IF(AND(DS169="",DT169=""),"",N(DT169)-N(DS169)))</f>
        <v/>
      </c>
      <c r="DX169">
        <f>IF(OR(DS$3="",DS$3&gt;TODAY()),"",IF(AND(DV169="",DW169=""),"",N(DW169)-N(DV169)))</f>
        <v/>
      </c>
      <c r="EB169">
        <f>IF(OR(DZ$3="",DZ$3&gt;TODAY()),"",IF(AND(DZ169="",EA169=""),"",N(EA169)-N(DZ169)))</f>
        <v/>
      </c>
      <c r="EE169">
        <f>IF(OR(DZ$3="",DZ$3&gt;TODAY()),"",IF(AND(EC169="",ED169=""),"",N(ED169)-N(EC169)))</f>
        <v/>
      </c>
      <c r="EI169">
        <f>IF(OR(EG$3="",EG$3&gt;TODAY()),"",IF(AND(EG169="",EH169=""),"",N(EH169)-N(EG169)))</f>
        <v/>
      </c>
      <c r="EL169">
        <f>IF(OR(EG$3="",EG$3&gt;TODAY()),"",IF(AND(EJ169="",EK169=""),"",N(EK169)-N(EJ169)))</f>
        <v/>
      </c>
      <c r="EP169">
        <f>IF(OR(EN$3="",EN$3&gt;TODAY()),"",IF(AND(EN169="",EO169=""),"",N(EO169)-N(EN169)))</f>
        <v/>
      </c>
      <c r="ES169">
        <f>IF(OR(EN$3="",EN$3&gt;TODAY()),"",IF(AND(EQ169="",ER169=""),"",N(ER169)-N(EQ169)))</f>
        <v/>
      </c>
      <c r="EW169">
        <f>IF(OR(EU$3="",EU$3&gt;TODAY()),"",IF(AND(EU169="",EV169=""),"",N(EV169)-N(EU169)))</f>
        <v/>
      </c>
      <c r="EZ169">
        <f>IF(OR(EU$3="",EU$3&gt;TODAY()),"",IF(AND(EX169="",EY169=""),"",N(EY169)-N(EX169)))</f>
        <v/>
      </c>
      <c r="FD169">
        <f>IF(OR(FB$3="",FB$3&gt;TODAY()),"",IF(AND(FB169="",FC169=""),"",N(FC169)-N(FB169)))</f>
        <v/>
      </c>
      <c r="FG169">
        <f>IF(OR(FB$3="",FB$3&gt;TODAY()),"",IF(AND(FE169="",FF169=""),"",N(FF169)-N(FE169)))</f>
        <v/>
      </c>
      <c r="FK169">
        <f>IF(OR(FI$3="",FI$3&gt;TODAY()),"",IF(AND(FI169="",FJ169=""),"",N(FJ169)-N(FI169)))</f>
        <v/>
      </c>
      <c r="FN169">
        <f>IF(OR(FI$3="",FI$3&gt;TODAY()),"",IF(AND(FL169="",FM169=""),"",N(FM169)-N(FL169)))</f>
        <v/>
      </c>
      <c r="FR169">
        <f>IF(OR(FP$3="",FP$3&gt;TODAY()),"",IF(AND(FP169="",FQ169=""),"",N(FQ169)-N(FP169)))</f>
        <v/>
      </c>
      <c r="FU169">
        <f>IF(OR(FP$3="",FP$3&gt;TODAY()),"",IF(AND(FS169="",FT169=""),"",N(FT169)-N(FS169)))</f>
        <v/>
      </c>
      <c r="FY169">
        <f>IF(OR(FW$3="",FW$3&gt;TODAY()),"",IF(AND(FW169="",FX169=""),"",N(FX169)-N(FW169)))</f>
        <v/>
      </c>
      <c r="GB169">
        <f>IF(OR(FW$3="",FW$3&gt;TODAY()),"",IF(AND(FZ169="",GA169=""),"",N(GA169)-N(FZ169)))</f>
        <v/>
      </c>
      <c r="GF169">
        <f>IF(OR(GD$3="",GD$3&gt;TODAY()),"",IF(AND(GD169="",GE169=""),"",N(GE169)-N(GD169)))</f>
        <v/>
      </c>
      <c r="GI169">
        <f>IF(OR(GD$3="",GD$3&gt;TODAY()),"",IF(AND(GG169="",GH169=""),"",N(GH169)-N(GG169)))</f>
        <v/>
      </c>
      <c r="GM169">
        <f>IF(OR(GK$3="",GK$3&gt;TODAY()),"",IF(AND(GK169="",GL169=""),"",N(GL169)-N(GK169)))</f>
        <v/>
      </c>
      <c r="GP169">
        <f>IF(OR(GK$3="",GK$3&gt;TODAY()),"",IF(AND(GN169="",GO169=""),"",N(GO169)-N(GN169)))</f>
        <v/>
      </c>
      <c r="GT169">
        <f>IF(OR(GR$3="",GR$3&gt;TODAY()),"",IF(AND(GR169="",GS169=""),"",N(GS169)-N(GR169)))</f>
        <v/>
      </c>
      <c r="GW169">
        <f>IF(OR(GR$3="",GR$3&gt;TODAY()),"",IF(AND(GU169="",GV169=""),"",N(GV169)-N(GU169)))</f>
        <v/>
      </c>
      <c r="HA169">
        <f>IF(OR(GY$3="",GY$3&gt;TODAY()),"",IF(AND(GY169="",GZ169=""),"",N(GZ169)-N(GY169)))</f>
        <v/>
      </c>
      <c r="HD169">
        <f>IF(OR(GY$3="",GY$3&gt;TODAY()),"",IF(AND(HB169="",HC169=""),"",N(HC169)-N(HB169)))</f>
        <v/>
      </c>
      <c r="HH169">
        <f>IF(OR(HF$3="",HF$3&gt;TODAY()),"",IF(AND(HF169="",HG169=""),"",N(HG169)-N(HF169)))</f>
        <v/>
      </c>
      <c r="HK169">
        <f>IF(OR(HF$3="",HF$3&gt;TODAY()),"",IF(AND(HI169="",HJ169=""),"",N(HJ169)-N(HI169)))</f>
        <v/>
      </c>
      <c r="HO169">
        <f>IF(OR(HM$3="",HM$3&gt;TODAY()),"",IF(AND(HM169="",HN169=""),"",N(HN169)-N(HM169)))</f>
        <v/>
      </c>
      <c r="HR169">
        <f>IF(OR(HM$3="",HM$3&gt;TODAY()),"",IF(AND(HP169="",HQ169=""),"",N(HQ169)-N(HP169)))</f>
        <v/>
      </c>
      <c r="HV169">
        <f>IF(OR(HT$3="",HT$3&gt;TODAY()),"",IF(AND(HT169="",HU169=""),"",N(HU169)-N(HT169)))</f>
        <v/>
      </c>
      <c r="HY169">
        <f>IF(OR(HT$3="",HT$3&gt;TODAY()),"",IF(AND(HW169="",HX169=""),"",N(HX169)-N(HW169)))</f>
        <v/>
      </c>
      <c r="IC169">
        <f>IF(OR(IA$3="",IA$3&gt;TODAY()),"",IF(AND(IA169="",IB169=""),"",N(IB169)-N(IA169)))</f>
        <v/>
      </c>
      <c r="IF169">
        <f>IF(OR(IA$3="",IA$3&gt;TODAY()),"",IF(AND(ID169="",IE169=""),"",N(IE169)-N(ID169)))</f>
        <v/>
      </c>
      <c r="IJ169">
        <f>IF(OR(IH$3="",IH$3&gt;TODAY()),"",IF(AND(IH169="",II169=""),"",N(II169)-N(IH169)))</f>
        <v/>
      </c>
      <c r="IM169">
        <f>IF(OR(IH$3="",IH$3&gt;TODAY()),"",IF(AND(IK169="",IL169=""),"",N(IL169)-N(IK169)))</f>
        <v/>
      </c>
    </row>
    <row r="170">
      <c r="A170" s="21" t="n"/>
      <c r="B170" s="21" t="n"/>
      <c r="C170" s="21" t="n"/>
      <c r="D170" s="21" t="n"/>
      <c r="E170" s="21" t="n"/>
      <c r="F170" s="21" t="n"/>
      <c r="G170" s="21" t="n"/>
      <c r="H170" s="21" t="n"/>
      <c r="I170" s="22" t="n"/>
      <c r="J170" s="22" t="n"/>
      <c r="K170" s="23" t="n"/>
      <c r="L170" s="22" t="n"/>
      <c r="M170" s="22" t="n"/>
      <c r="N170" s="21" t="n"/>
      <c r="O170" s="23" t="n"/>
      <c r="P170" s="23" t="n"/>
      <c r="Q170" s="23" t="n"/>
      <c r="R170" s="23" t="n"/>
      <c r="S170" s="22" t="n"/>
      <c r="T170" s="23" t="n"/>
      <c r="U170" s="23" t="n"/>
      <c r="V170" s="24">
        <f>IF(J170&lt;&gt;"",J170,IF(I170&lt;&gt;"",I170,""))</f>
        <v/>
      </c>
      <c r="W170" s="25">
        <f>IF($E170="","",N(O170)+SUMIFS($AF170:$IN170,$AF$4:$IN$4,"SEW_ACT"))</f>
        <v/>
      </c>
      <c r="X170" s="25">
        <f>IF($E170="","",N(P170)+SUMIFS($AF170:$IN170,$AF$4:$IN$4,"WASH_ACT"))</f>
        <v/>
      </c>
      <c r="Y170" s="25">
        <f>IF($E170="","",W170-X170-N(T170)-N(U170))</f>
        <v/>
      </c>
      <c r="Z170" s="25">
        <f>IF($E170="","",IF(N(K170)-X170&lt;=0.02*N(K170),0,N(K170)-X170))</f>
        <v/>
      </c>
      <c r="AA170" s="24">
        <f>IF($E170="","",IF(S170&lt;&gt;"",S170,IF(N(O170)&gt;0,IF(L170&lt;&gt;"",L170,99999),IFERROR(1/(1/_xlfn.MINIFS($AF$3:$IN$3,$AF$4:$IN$4,"SEW_ACT",$AF170:$IN170,"&gt;0")),99999))))</f>
        <v/>
      </c>
      <c r="AB170" s="26">
        <f>IF(OR($E170="",Z170=0,V170=""),"",1+COUNTIFS(Z$8:Z$707,"&gt;0",V$8:V$707,"&lt;"&amp;V170)+COUNTIFS(Z$8:Z$707,"&gt;0",V$8:V$707,V170,AA$8:AA$707,"&lt;"&amp;AA170)+COUNTIFS(Z$8:Z$707,"&gt;0",V$8:V$707,V170,AA$8:AA$707,AA170,E$8:E$707,"&lt;"&amp;$E170))</f>
        <v/>
      </c>
      <c r="AC170" s="24">
        <f>IF(OR($E170="",Z170=0),"",IFERROR(TODAY()+ROUNDUP(Z170/(SUMIFS($AF170:$IN170,$AF$4:$IN$4,"WASH_ACT")/COUNTIFS($AF$4:$IN$4,"WASH_ACT",$AF170:$IN170,"&gt;0")),0),"no output yet"))</f>
        <v/>
      </c>
      <c r="AD170" s="26">
        <f>IF($E170="","",IFERROR(ROUND(MAX(0,SUMIFS($AF170:$IN170,$AF$4:$IN$4,"SEW_PLAN",$AF$3:$IN$3,"&lt;="&amp;TODAY())-SUMIFS($AF170:$IN170,$AF$4:$IN$4,"SEW_ACT",$AF$3:$IN$3,"&lt;="&amp;TODAY())+N(Q170))/(SUMIFS($AF170:$IN170,$AF$4:$IN$4,"SEW_PLAN")/COUNTIFS($AF$4:$IN$4,"SEW_PLAN",$AF170:$IN170,"&gt;0")),1),0))</f>
        <v/>
      </c>
      <c r="AE170" s="26">
        <f>IF($E170="","",IF(AND(Z170&gt;0,OR(AND(M170&lt;&gt;"",TODAY()&gt;M170),AND(V170&lt;&gt;"",V170-TODAY()&lt;=7))),"Yes","No"))</f>
        <v/>
      </c>
      <c r="AH170">
        <f>IF(OR(AF$3="",AF$3&gt;TODAY()),"",IF(AND(AF170="",AG170=""),"",N(AG170)-N(AF170)))</f>
        <v/>
      </c>
      <c r="AK170">
        <f>IF(OR(AF$3="",AF$3&gt;TODAY()),"",IF(AND(AI170="",AJ170=""),"",N(AJ170)-N(AI170)))</f>
        <v/>
      </c>
      <c r="AO170">
        <f>IF(OR(AM$3="",AM$3&gt;TODAY()),"",IF(AND(AM170="",AN170=""),"",N(AN170)-N(AM170)))</f>
        <v/>
      </c>
      <c r="AR170">
        <f>IF(OR(AM$3="",AM$3&gt;TODAY()),"",IF(AND(AP170="",AQ170=""),"",N(AQ170)-N(AP170)))</f>
        <v/>
      </c>
      <c r="AV170">
        <f>IF(OR(AT$3="",AT$3&gt;TODAY()),"",IF(AND(AT170="",AU170=""),"",N(AU170)-N(AT170)))</f>
        <v/>
      </c>
      <c r="AY170">
        <f>IF(OR(AT$3="",AT$3&gt;TODAY()),"",IF(AND(AW170="",AX170=""),"",N(AX170)-N(AW170)))</f>
        <v/>
      </c>
      <c r="BC170">
        <f>IF(OR(BA$3="",BA$3&gt;TODAY()),"",IF(AND(BA170="",BB170=""),"",N(BB170)-N(BA170)))</f>
        <v/>
      </c>
      <c r="BF170">
        <f>IF(OR(BA$3="",BA$3&gt;TODAY()),"",IF(AND(BD170="",BE170=""),"",N(BE170)-N(BD170)))</f>
        <v/>
      </c>
      <c r="BJ170">
        <f>IF(OR(BH$3="",BH$3&gt;TODAY()),"",IF(AND(BH170="",BI170=""),"",N(BI170)-N(BH170)))</f>
        <v/>
      </c>
      <c r="BM170">
        <f>IF(OR(BH$3="",BH$3&gt;TODAY()),"",IF(AND(BK170="",BL170=""),"",N(BL170)-N(BK170)))</f>
        <v/>
      </c>
      <c r="BQ170">
        <f>IF(OR(BO$3="",BO$3&gt;TODAY()),"",IF(AND(BO170="",BP170=""),"",N(BP170)-N(BO170)))</f>
        <v/>
      </c>
      <c r="BT170">
        <f>IF(OR(BO$3="",BO$3&gt;TODAY()),"",IF(AND(BR170="",BS170=""),"",N(BS170)-N(BR170)))</f>
        <v/>
      </c>
      <c r="BX170">
        <f>IF(OR(BV$3="",BV$3&gt;TODAY()),"",IF(AND(BV170="",BW170=""),"",N(BW170)-N(BV170)))</f>
        <v/>
      </c>
      <c r="CA170">
        <f>IF(OR(BV$3="",BV$3&gt;TODAY()),"",IF(AND(BY170="",BZ170=""),"",N(BZ170)-N(BY170)))</f>
        <v/>
      </c>
      <c r="CE170">
        <f>IF(OR(CC$3="",CC$3&gt;TODAY()),"",IF(AND(CC170="",CD170=""),"",N(CD170)-N(CC170)))</f>
        <v/>
      </c>
      <c r="CH170">
        <f>IF(OR(CC$3="",CC$3&gt;TODAY()),"",IF(AND(CF170="",CG170=""),"",N(CG170)-N(CF170)))</f>
        <v/>
      </c>
      <c r="CL170">
        <f>IF(OR(CJ$3="",CJ$3&gt;TODAY()),"",IF(AND(CJ170="",CK170=""),"",N(CK170)-N(CJ170)))</f>
        <v/>
      </c>
      <c r="CO170">
        <f>IF(OR(CJ$3="",CJ$3&gt;TODAY()),"",IF(AND(CM170="",CN170=""),"",N(CN170)-N(CM170)))</f>
        <v/>
      </c>
      <c r="CS170">
        <f>IF(OR(CQ$3="",CQ$3&gt;TODAY()),"",IF(AND(CQ170="",CR170=""),"",N(CR170)-N(CQ170)))</f>
        <v/>
      </c>
      <c r="CV170">
        <f>IF(OR(CQ$3="",CQ$3&gt;TODAY()),"",IF(AND(CT170="",CU170=""),"",N(CU170)-N(CT170)))</f>
        <v/>
      </c>
      <c r="CZ170">
        <f>IF(OR(CX$3="",CX$3&gt;TODAY()),"",IF(AND(CX170="",CY170=""),"",N(CY170)-N(CX170)))</f>
        <v/>
      </c>
      <c r="DC170">
        <f>IF(OR(CX$3="",CX$3&gt;TODAY()),"",IF(AND(DA170="",DB170=""),"",N(DB170)-N(DA170)))</f>
        <v/>
      </c>
      <c r="DG170">
        <f>IF(OR(DE$3="",DE$3&gt;TODAY()),"",IF(AND(DE170="",DF170=""),"",N(DF170)-N(DE170)))</f>
        <v/>
      </c>
      <c r="DJ170">
        <f>IF(OR(DE$3="",DE$3&gt;TODAY()),"",IF(AND(DH170="",DI170=""),"",N(DI170)-N(DH170)))</f>
        <v/>
      </c>
      <c r="DN170">
        <f>IF(OR(DL$3="",DL$3&gt;TODAY()),"",IF(AND(DL170="",DM170=""),"",N(DM170)-N(DL170)))</f>
        <v/>
      </c>
      <c r="DQ170">
        <f>IF(OR(DL$3="",DL$3&gt;TODAY()),"",IF(AND(DO170="",DP170=""),"",N(DP170)-N(DO170)))</f>
        <v/>
      </c>
      <c r="DU170">
        <f>IF(OR(DS$3="",DS$3&gt;TODAY()),"",IF(AND(DS170="",DT170=""),"",N(DT170)-N(DS170)))</f>
        <v/>
      </c>
      <c r="DX170">
        <f>IF(OR(DS$3="",DS$3&gt;TODAY()),"",IF(AND(DV170="",DW170=""),"",N(DW170)-N(DV170)))</f>
        <v/>
      </c>
      <c r="EB170">
        <f>IF(OR(DZ$3="",DZ$3&gt;TODAY()),"",IF(AND(DZ170="",EA170=""),"",N(EA170)-N(DZ170)))</f>
        <v/>
      </c>
      <c r="EE170">
        <f>IF(OR(DZ$3="",DZ$3&gt;TODAY()),"",IF(AND(EC170="",ED170=""),"",N(ED170)-N(EC170)))</f>
        <v/>
      </c>
      <c r="EI170">
        <f>IF(OR(EG$3="",EG$3&gt;TODAY()),"",IF(AND(EG170="",EH170=""),"",N(EH170)-N(EG170)))</f>
        <v/>
      </c>
      <c r="EL170">
        <f>IF(OR(EG$3="",EG$3&gt;TODAY()),"",IF(AND(EJ170="",EK170=""),"",N(EK170)-N(EJ170)))</f>
        <v/>
      </c>
      <c r="EP170">
        <f>IF(OR(EN$3="",EN$3&gt;TODAY()),"",IF(AND(EN170="",EO170=""),"",N(EO170)-N(EN170)))</f>
        <v/>
      </c>
      <c r="ES170">
        <f>IF(OR(EN$3="",EN$3&gt;TODAY()),"",IF(AND(EQ170="",ER170=""),"",N(ER170)-N(EQ170)))</f>
        <v/>
      </c>
      <c r="EW170">
        <f>IF(OR(EU$3="",EU$3&gt;TODAY()),"",IF(AND(EU170="",EV170=""),"",N(EV170)-N(EU170)))</f>
        <v/>
      </c>
      <c r="EZ170">
        <f>IF(OR(EU$3="",EU$3&gt;TODAY()),"",IF(AND(EX170="",EY170=""),"",N(EY170)-N(EX170)))</f>
        <v/>
      </c>
      <c r="FD170">
        <f>IF(OR(FB$3="",FB$3&gt;TODAY()),"",IF(AND(FB170="",FC170=""),"",N(FC170)-N(FB170)))</f>
        <v/>
      </c>
      <c r="FG170">
        <f>IF(OR(FB$3="",FB$3&gt;TODAY()),"",IF(AND(FE170="",FF170=""),"",N(FF170)-N(FE170)))</f>
        <v/>
      </c>
      <c r="FK170">
        <f>IF(OR(FI$3="",FI$3&gt;TODAY()),"",IF(AND(FI170="",FJ170=""),"",N(FJ170)-N(FI170)))</f>
        <v/>
      </c>
      <c r="FN170">
        <f>IF(OR(FI$3="",FI$3&gt;TODAY()),"",IF(AND(FL170="",FM170=""),"",N(FM170)-N(FL170)))</f>
        <v/>
      </c>
      <c r="FR170">
        <f>IF(OR(FP$3="",FP$3&gt;TODAY()),"",IF(AND(FP170="",FQ170=""),"",N(FQ170)-N(FP170)))</f>
        <v/>
      </c>
      <c r="FU170">
        <f>IF(OR(FP$3="",FP$3&gt;TODAY()),"",IF(AND(FS170="",FT170=""),"",N(FT170)-N(FS170)))</f>
        <v/>
      </c>
      <c r="FY170">
        <f>IF(OR(FW$3="",FW$3&gt;TODAY()),"",IF(AND(FW170="",FX170=""),"",N(FX170)-N(FW170)))</f>
        <v/>
      </c>
      <c r="GB170">
        <f>IF(OR(FW$3="",FW$3&gt;TODAY()),"",IF(AND(FZ170="",GA170=""),"",N(GA170)-N(FZ170)))</f>
        <v/>
      </c>
      <c r="GF170">
        <f>IF(OR(GD$3="",GD$3&gt;TODAY()),"",IF(AND(GD170="",GE170=""),"",N(GE170)-N(GD170)))</f>
        <v/>
      </c>
      <c r="GI170">
        <f>IF(OR(GD$3="",GD$3&gt;TODAY()),"",IF(AND(GG170="",GH170=""),"",N(GH170)-N(GG170)))</f>
        <v/>
      </c>
      <c r="GM170">
        <f>IF(OR(GK$3="",GK$3&gt;TODAY()),"",IF(AND(GK170="",GL170=""),"",N(GL170)-N(GK170)))</f>
        <v/>
      </c>
      <c r="GP170">
        <f>IF(OR(GK$3="",GK$3&gt;TODAY()),"",IF(AND(GN170="",GO170=""),"",N(GO170)-N(GN170)))</f>
        <v/>
      </c>
      <c r="GT170">
        <f>IF(OR(GR$3="",GR$3&gt;TODAY()),"",IF(AND(GR170="",GS170=""),"",N(GS170)-N(GR170)))</f>
        <v/>
      </c>
      <c r="GW170">
        <f>IF(OR(GR$3="",GR$3&gt;TODAY()),"",IF(AND(GU170="",GV170=""),"",N(GV170)-N(GU170)))</f>
        <v/>
      </c>
      <c r="HA170">
        <f>IF(OR(GY$3="",GY$3&gt;TODAY()),"",IF(AND(GY170="",GZ170=""),"",N(GZ170)-N(GY170)))</f>
        <v/>
      </c>
      <c r="HD170">
        <f>IF(OR(GY$3="",GY$3&gt;TODAY()),"",IF(AND(HB170="",HC170=""),"",N(HC170)-N(HB170)))</f>
        <v/>
      </c>
      <c r="HH170">
        <f>IF(OR(HF$3="",HF$3&gt;TODAY()),"",IF(AND(HF170="",HG170=""),"",N(HG170)-N(HF170)))</f>
        <v/>
      </c>
      <c r="HK170">
        <f>IF(OR(HF$3="",HF$3&gt;TODAY()),"",IF(AND(HI170="",HJ170=""),"",N(HJ170)-N(HI170)))</f>
        <v/>
      </c>
      <c r="HO170">
        <f>IF(OR(HM$3="",HM$3&gt;TODAY()),"",IF(AND(HM170="",HN170=""),"",N(HN170)-N(HM170)))</f>
        <v/>
      </c>
      <c r="HR170">
        <f>IF(OR(HM$3="",HM$3&gt;TODAY()),"",IF(AND(HP170="",HQ170=""),"",N(HQ170)-N(HP170)))</f>
        <v/>
      </c>
      <c r="HV170">
        <f>IF(OR(HT$3="",HT$3&gt;TODAY()),"",IF(AND(HT170="",HU170=""),"",N(HU170)-N(HT170)))</f>
        <v/>
      </c>
      <c r="HY170">
        <f>IF(OR(HT$3="",HT$3&gt;TODAY()),"",IF(AND(HW170="",HX170=""),"",N(HX170)-N(HW170)))</f>
        <v/>
      </c>
      <c r="IC170">
        <f>IF(OR(IA$3="",IA$3&gt;TODAY()),"",IF(AND(IA170="",IB170=""),"",N(IB170)-N(IA170)))</f>
        <v/>
      </c>
      <c r="IF170">
        <f>IF(OR(IA$3="",IA$3&gt;TODAY()),"",IF(AND(ID170="",IE170=""),"",N(IE170)-N(ID170)))</f>
        <v/>
      </c>
      <c r="IJ170">
        <f>IF(OR(IH$3="",IH$3&gt;TODAY()),"",IF(AND(IH170="",II170=""),"",N(II170)-N(IH170)))</f>
        <v/>
      </c>
      <c r="IM170">
        <f>IF(OR(IH$3="",IH$3&gt;TODAY()),"",IF(AND(IK170="",IL170=""),"",N(IL170)-N(IK170)))</f>
        <v/>
      </c>
    </row>
    <row r="171">
      <c r="A171" s="21" t="n"/>
      <c r="B171" s="21" t="n"/>
      <c r="C171" s="21" t="n"/>
      <c r="D171" s="21" t="n"/>
      <c r="E171" s="21" t="n"/>
      <c r="F171" s="21" t="n"/>
      <c r="G171" s="21" t="n"/>
      <c r="H171" s="21" t="n"/>
      <c r="I171" s="22" t="n"/>
      <c r="J171" s="22" t="n"/>
      <c r="K171" s="23" t="n"/>
      <c r="L171" s="22" t="n"/>
      <c r="M171" s="22" t="n"/>
      <c r="N171" s="21" t="n"/>
      <c r="O171" s="23" t="n"/>
      <c r="P171" s="23" t="n"/>
      <c r="Q171" s="23" t="n"/>
      <c r="R171" s="23" t="n"/>
      <c r="S171" s="22" t="n"/>
      <c r="T171" s="23" t="n"/>
      <c r="U171" s="23" t="n"/>
      <c r="V171" s="24">
        <f>IF(J171&lt;&gt;"",J171,IF(I171&lt;&gt;"",I171,""))</f>
        <v/>
      </c>
      <c r="W171" s="25">
        <f>IF($E171="","",N(O171)+SUMIFS($AF171:$IN171,$AF$4:$IN$4,"SEW_ACT"))</f>
        <v/>
      </c>
      <c r="X171" s="25">
        <f>IF($E171="","",N(P171)+SUMIFS($AF171:$IN171,$AF$4:$IN$4,"WASH_ACT"))</f>
        <v/>
      </c>
      <c r="Y171" s="25">
        <f>IF($E171="","",W171-X171-N(T171)-N(U171))</f>
        <v/>
      </c>
      <c r="Z171" s="25">
        <f>IF($E171="","",IF(N(K171)-X171&lt;=0.02*N(K171),0,N(K171)-X171))</f>
        <v/>
      </c>
      <c r="AA171" s="24">
        <f>IF($E171="","",IF(S171&lt;&gt;"",S171,IF(N(O171)&gt;0,IF(L171&lt;&gt;"",L171,99999),IFERROR(1/(1/_xlfn.MINIFS($AF$3:$IN$3,$AF$4:$IN$4,"SEW_ACT",$AF171:$IN171,"&gt;0")),99999))))</f>
        <v/>
      </c>
      <c r="AB171" s="26">
        <f>IF(OR($E171="",Z171=0,V171=""),"",1+COUNTIFS(Z$8:Z$707,"&gt;0",V$8:V$707,"&lt;"&amp;V171)+COUNTIFS(Z$8:Z$707,"&gt;0",V$8:V$707,V171,AA$8:AA$707,"&lt;"&amp;AA171)+COUNTIFS(Z$8:Z$707,"&gt;0",V$8:V$707,V171,AA$8:AA$707,AA171,E$8:E$707,"&lt;"&amp;$E171))</f>
        <v/>
      </c>
      <c r="AC171" s="24">
        <f>IF(OR($E171="",Z171=0),"",IFERROR(TODAY()+ROUNDUP(Z171/(SUMIFS($AF171:$IN171,$AF$4:$IN$4,"WASH_ACT")/COUNTIFS($AF$4:$IN$4,"WASH_ACT",$AF171:$IN171,"&gt;0")),0),"no output yet"))</f>
        <v/>
      </c>
      <c r="AD171" s="26">
        <f>IF($E171="","",IFERROR(ROUND(MAX(0,SUMIFS($AF171:$IN171,$AF$4:$IN$4,"SEW_PLAN",$AF$3:$IN$3,"&lt;="&amp;TODAY())-SUMIFS($AF171:$IN171,$AF$4:$IN$4,"SEW_ACT",$AF$3:$IN$3,"&lt;="&amp;TODAY())+N(Q171))/(SUMIFS($AF171:$IN171,$AF$4:$IN$4,"SEW_PLAN")/COUNTIFS($AF$4:$IN$4,"SEW_PLAN",$AF171:$IN171,"&gt;0")),1),0))</f>
        <v/>
      </c>
      <c r="AE171" s="26">
        <f>IF($E171="","",IF(AND(Z171&gt;0,OR(AND(M171&lt;&gt;"",TODAY()&gt;M171),AND(V171&lt;&gt;"",V171-TODAY()&lt;=7))),"Yes","No"))</f>
        <v/>
      </c>
      <c r="AH171">
        <f>IF(OR(AF$3="",AF$3&gt;TODAY()),"",IF(AND(AF171="",AG171=""),"",N(AG171)-N(AF171)))</f>
        <v/>
      </c>
      <c r="AK171">
        <f>IF(OR(AF$3="",AF$3&gt;TODAY()),"",IF(AND(AI171="",AJ171=""),"",N(AJ171)-N(AI171)))</f>
        <v/>
      </c>
      <c r="AO171">
        <f>IF(OR(AM$3="",AM$3&gt;TODAY()),"",IF(AND(AM171="",AN171=""),"",N(AN171)-N(AM171)))</f>
        <v/>
      </c>
      <c r="AR171">
        <f>IF(OR(AM$3="",AM$3&gt;TODAY()),"",IF(AND(AP171="",AQ171=""),"",N(AQ171)-N(AP171)))</f>
        <v/>
      </c>
      <c r="AV171">
        <f>IF(OR(AT$3="",AT$3&gt;TODAY()),"",IF(AND(AT171="",AU171=""),"",N(AU171)-N(AT171)))</f>
        <v/>
      </c>
      <c r="AY171">
        <f>IF(OR(AT$3="",AT$3&gt;TODAY()),"",IF(AND(AW171="",AX171=""),"",N(AX171)-N(AW171)))</f>
        <v/>
      </c>
      <c r="BC171">
        <f>IF(OR(BA$3="",BA$3&gt;TODAY()),"",IF(AND(BA171="",BB171=""),"",N(BB171)-N(BA171)))</f>
        <v/>
      </c>
      <c r="BF171">
        <f>IF(OR(BA$3="",BA$3&gt;TODAY()),"",IF(AND(BD171="",BE171=""),"",N(BE171)-N(BD171)))</f>
        <v/>
      </c>
      <c r="BJ171">
        <f>IF(OR(BH$3="",BH$3&gt;TODAY()),"",IF(AND(BH171="",BI171=""),"",N(BI171)-N(BH171)))</f>
        <v/>
      </c>
      <c r="BM171">
        <f>IF(OR(BH$3="",BH$3&gt;TODAY()),"",IF(AND(BK171="",BL171=""),"",N(BL171)-N(BK171)))</f>
        <v/>
      </c>
      <c r="BQ171">
        <f>IF(OR(BO$3="",BO$3&gt;TODAY()),"",IF(AND(BO171="",BP171=""),"",N(BP171)-N(BO171)))</f>
        <v/>
      </c>
      <c r="BT171">
        <f>IF(OR(BO$3="",BO$3&gt;TODAY()),"",IF(AND(BR171="",BS171=""),"",N(BS171)-N(BR171)))</f>
        <v/>
      </c>
      <c r="BX171">
        <f>IF(OR(BV$3="",BV$3&gt;TODAY()),"",IF(AND(BV171="",BW171=""),"",N(BW171)-N(BV171)))</f>
        <v/>
      </c>
      <c r="CA171">
        <f>IF(OR(BV$3="",BV$3&gt;TODAY()),"",IF(AND(BY171="",BZ171=""),"",N(BZ171)-N(BY171)))</f>
        <v/>
      </c>
      <c r="CE171">
        <f>IF(OR(CC$3="",CC$3&gt;TODAY()),"",IF(AND(CC171="",CD171=""),"",N(CD171)-N(CC171)))</f>
        <v/>
      </c>
      <c r="CH171">
        <f>IF(OR(CC$3="",CC$3&gt;TODAY()),"",IF(AND(CF171="",CG171=""),"",N(CG171)-N(CF171)))</f>
        <v/>
      </c>
      <c r="CL171">
        <f>IF(OR(CJ$3="",CJ$3&gt;TODAY()),"",IF(AND(CJ171="",CK171=""),"",N(CK171)-N(CJ171)))</f>
        <v/>
      </c>
      <c r="CO171">
        <f>IF(OR(CJ$3="",CJ$3&gt;TODAY()),"",IF(AND(CM171="",CN171=""),"",N(CN171)-N(CM171)))</f>
        <v/>
      </c>
      <c r="CS171">
        <f>IF(OR(CQ$3="",CQ$3&gt;TODAY()),"",IF(AND(CQ171="",CR171=""),"",N(CR171)-N(CQ171)))</f>
        <v/>
      </c>
      <c r="CV171">
        <f>IF(OR(CQ$3="",CQ$3&gt;TODAY()),"",IF(AND(CT171="",CU171=""),"",N(CU171)-N(CT171)))</f>
        <v/>
      </c>
      <c r="CZ171">
        <f>IF(OR(CX$3="",CX$3&gt;TODAY()),"",IF(AND(CX171="",CY171=""),"",N(CY171)-N(CX171)))</f>
        <v/>
      </c>
      <c r="DC171">
        <f>IF(OR(CX$3="",CX$3&gt;TODAY()),"",IF(AND(DA171="",DB171=""),"",N(DB171)-N(DA171)))</f>
        <v/>
      </c>
      <c r="DG171">
        <f>IF(OR(DE$3="",DE$3&gt;TODAY()),"",IF(AND(DE171="",DF171=""),"",N(DF171)-N(DE171)))</f>
        <v/>
      </c>
      <c r="DJ171">
        <f>IF(OR(DE$3="",DE$3&gt;TODAY()),"",IF(AND(DH171="",DI171=""),"",N(DI171)-N(DH171)))</f>
        <v/>
      </c>
      <c r="DN171">
        <f>IF(OR(DL$3="",DL$3&gt;TODAY()),"",IF(AND(DL171="",DM171=""),"",N(DM171)-N(DL171)))</f>
        <v/>
      </c>
      <c r="DQ171">
        <f>IF(OR(DL$3="",DL$3&gt;TODAY()),"",IF(AND(DO171="",DP171=""),"",N(DP171)-N(DO171)))</f>
        <v/>
      </c>
      <c r="DU171">
        <f>IF(OR(DS$3="",DS$3&gt;TODAY()),"",IF(AND(DS171="",DT171=""),"",N(DT171)-N(DS171)))</f>
        <v/>
      </c>
      <c r="DX171">
        <f>IF(OR(DS$3="",DS$3&gt;TODAY()),"",IF(AND(DV171="",DW171=""),"",N(DW171)-N(DV171)))</f>
        <v/>
      </c>
      <c r="EB171">
        <f>IF(OR(DZ$3="",DZ$3&gt;TODAY()),"",IF(AND(DZ171="",EA171=""),"",N(EA171)-N(DZ171)))</f>
        <v/>
      </c>
      <c r="EE171">
        <f>IF(OR(DZ$3="",DZ$3&gt;TODAY()),"",IF(AND(EC171="",ED171=""),"",N(ED171)-N(EC171)))</f>
        <v/>
      </c>
      <c r="EI171">
        <f>IF(OR(EG$3="",EG$3&gt;TODAY()),"",IF(AND(EG171="",EH171=""),"",N(EH171)-N(EG171)))</f>
        <v/>
      </c>
      <c r="EL171">
        <f>IF(OR(EG$3="",EG$3&gt;TODAY()),"",IF(AND(EJ171="",EK171=""),"",N(EK171)-N(EJ171)))</f>
        <v/>
      </c>
      <c r="EP171">
        <f>IF(OR(EN$3="",EN$3&gt;TODAY()),"",IF(AND(EN171="",EO171=""),"",N(EO171)-N(EN171)))</f>
        <v/>
      </c>
      <c r="ES171">
        <f>IF(OR(EN$3="",EN$3&gt;TODAY()),"",IF(AND(EQ171="",ER171=""),"",N(ER171)-N(EQ171)))</f>
        <v/>
      </c>
      <c r="EW171">
        <f>IF(OR(EU$3="",EU$3&gt;TODAY()),"",IF(AND(EU171="",EV171=""),"",N(EV171)-N(EU171)))</f>
        <v/>
      </c>
      <c r="EZ171">
        <f>IF(OR(EU$3="",EU$3&gt;TODAY()),"",IF(AND(EX171="",EY171=""),"",N(EY171)-N(EX171)))</f>
        <v/>
      </c>
      <c r="FD171">
        <f>IF(OR(FB$3="",FB$3&gt;TODAY()),"",IF(AND(FB171="",FC171=""),"",N(FC171)-N(FB171)))</f>
        <v/>
      </c>
      <c r="FG171">
        <f>IF(OR(FB$3="",FB$3&gt;TODAY()),"",IF(AND(FE171="",FF171=""),"",N(FF171)-N(FE171)))</f>
        <v/>
      </c>
      <c r="FK171">
        <f>IF(OR(FI$3="",FI$3&gt;TODAY()),"",IF(AND(FI171="",FJ171=""),"",N(FJ171)-N(FI171)))</f>
        <v/>
      </c>
      <c r="FN171">
        <f>IF(OR(FI$3="",FI$3&gt;TODAY()),"",IF(AND(FL171="",FM171=""),"",N(FM171)-N(FL171)))</f>
        <v/>
      </c>
      <c r="FR171">
        <f>IF(OR(FP$3="",FP$3&gt;TODAY()),"",IF(AND(FP171="",FQ171=""),"",N(FQ171)-N(FP171)))</f>
        <v/>
      </c>
      <c r="FU171">
        <f>IF(OR(FP$3="",FP$3&gt;TODAY()),"",IF(AND(FS171="",FT171=""),"",N(FT171)-N(FS171)))</f>
        <v/>
      </c>
      <c r="FY171">
        <f>IF(OR(FW$3="",FW$3&gt;TODAY()),"",IF(AND(FW171="",FX171=""),"",N(FX171)-N(FW171)))</f>
        <v/>
      </c>
      <c r="GB171">
        <f>IF(OR(FW$3="",FW$3&gt;TODAY()),"",IF(AND(FZ171="",GA171=""),"",N(GA171)-N(FZ171)))</f>
        <v/>
      </c>
      <c r="GF171">
        <f>IF(OR(GD$3="",GD$3&gt;TODAY()),"",IF(AND(GD171="",GE171=""),"",N(GE171)-N(GD171)))</f>
        <v/>
      </c>
      <c r="GI171">
        <f>IF(OR(GD$3="",GD$3&gt;TODAY()),"",IF(AND(GG171="",GH171=""),"",N(GH171)-N(GG171)))</f>
        <v/>
      </c>
      <c r="GM171">
        <f>IF(OR(GK$3="",GK$3&gt;TODAY()),"",IF(AND(GK171="",GL171=""),"",N(GL171)-N(GK171)))</f>
        <v/>
      </c>
      <c r="GP171">
        <f>IF(OR(GK$3="",GK$3&gt;TODAY()),"",IF(AND(GN171="",GO171=""),"",N(GO171)-N(GN171)))</f>
        <v/>
      </c>
      <c r="GT171">
        <f>IF(OR(GR$3="",GR$3&gt;TODAY()),"",IF(AND(GR171="",GS171=""),"",N(GS171)-N(GR171)))</f>
        <v/>
      </c>
      <c r="GW171">
        <f>IF(OR(GR$3="",GR$3&gt;TODAY()),"",IF(AND(GU171="",GV171=""),"",N(GV171)-N(GU171)))</f>
        <v/>
      </c>
      <c r="HA171">
        <f>IF(OR(GY$3="",GY$3&gt;TODAY()),"",IF(AND(GY171="",GZ171=""),"",N(GZ171)-N(GY171)))</f>
        <v/>
      </c>
      <c r="HD171">
        <f>IF(OR(GY$3="",GY$3&gt;TODAY()),"",IF(AND(HB171="",HC171=""),"",N(HC171)-N(HB171)))</f>
        <v/>
      </c>
      <c r="HH171">
        <f>IF(OR(HF$3="",HF$3&gt;TODAY()),"",IF(AND(HF171="",HG171=""),"",N(HG171)-N(HF171)))</f>
        <v/>
      </c>
      <c r="HK171">
        <f>IF(OR(HF$3="",HF$3&gt;TODAY()),"",IF(AND(HI171="",HJ171=""),"",N(HJ171)-N(HI171)))</f>
        <v/>
      </c>
      <c r="HO171">
        <f>IF(OR(HM$3="",HM$3&gt;TODAY()),"",IF(AND(HM171="",HN171=""),"",N(HN171)-N(HM171)))</f>
        <v/>
      </c>
      <c r="HR171">
        <f>IF(OR(HM$3="",HM$3&gt;TODAY()),"",IF(AND(HP171="",HQ171=""),"",N(HQ171)-N(HP171)))</f>
        <v/>
      </c>
      <c r="HV171">
        <f>IF(OR(HT$3="",HT$3&gt;TODAY()),"",IF(AND(HT171="",HU171=""),"",N(HU171)-N(HT171)))</f>
        <v/>
      </c>
      <c r="HY171">
        <f>IF(OR(HT$3="",HT$3&gt;TODAY()),"",IF(AND(HW171="",HX171=""),"",N(HX171)-N(HW171)))</f>
        <v/>
      </c>
      <c r="IC171">
        <f>IF(OR(IA$3="",IA$3&gt;TODAY()),"",IF(AND(IA171="",IB171=""),"",N(IB171)-N(IA171)))</f>
        <v/>
      </c>
      <c r="IF171">
        <f>IF(OR(IA$3="",IA$3&gt;TODAY()),"",IF(AND(ID171="",IE171=""),"",N(IE171)-N(ID171)))</f>
        <v/>
      </c>
      <c r="IJ171">
        <f>IF(OR(IH$3="",IH$3&gt;TODAY()),"",IF(AND(IH171="",II171=""),"",N(II171)-N(IH171)))</f>
        <v/>
      </c>
      <c r="IM171">
        <f>IF(OR(IH$3="",IH$3&gt;TODAY()),"",IF(AND(IK171="",IL171=""),"",N(IL171)-N(IK171)))</f>
        <v/>
      </c>
    </row>
    <row r="172">
      <c r="A172" s="21" t="n"/>
      <c r="B172" s="21" t="n"/>
      <c r="C172" s="21" t="n"/>
      <c r="D172" s="21" t="n"/>
      <c r="E172" s="21" t="n"/>
      <c r="F172" s="21" t="n"/>
      <c r="G172" s="21" t="n"/>
      <c r="H172" s="21" t="n"/>
      <c r="I172" s="22" t="n"/>
      <c r="J172" s="22" t="n"/>
      <c r="K172" s="23" t="n"/>
      <c r="L172" s="22" t="n"/>
      <c r="M172" s="22" t="n"/>
      <c r="N172" s="21" t="n"/>
      <c r="O172" s="23" t="n"/>
      <c r="P172" s="23" t="n"/>
      <c r="Q172" s="23" t="n"/>
      <c r="R172" s="23" t="n"/>
      <c r="S172" s="22" t="n"/>
      <c r="T172" s="23" t="n"/>
      <c r="U172" s="23" t="n"/>
      <c r="V172" s="24">
        <f>IF(J172&lt;&gt;"",J172,IF(I172&lt;&gt;"",I172,""))</f>
        <v/>
      </c>
      <c r="W172" s="25">
        <f>IF($E172="","",N(O172)+SUMIFS($AF172:$IN172,$AF$4:$IN$4,"SEW_ACT"))</f>
        <v/>
      </c>
      <c r="X172" s="25">
        <f>IF($E172="","",N(P172)+SUMIFS($AF172:$IN172,$AF$4:$IN$4,"WASH_ACT"))</f>
        <v/>
      </c>
      <c r="Y172" s="25">
        <f>IF($E172="","",W172-X172-N(T172)-N(U172))</f>
        <v/>
      </c>
      <c r="Z172" s="25">
        <f>IF($E172="","",IF(N(K172)-X172&lt;=0.02*N(K172),0,N(K172)-X172))</f>
        <v/>
      </c>
      <c r="AA172" s="24">
        <f>IF($E172="","",IF(S172&lt;&gt;"",S172,IF(N(O172)&gt;0,IF(L172&lt;&gt;"",L172,99999),IFERROR(1/(1/_xlfn.MINIFS($AF$3:$IN$3,$AF$4:$IN$4,"SEW_ACT",$AF172:$IN172,"&gt;0")),99999))))</f>
        <v/>
      </c>
      <c r="AB172" s="26">
        <f>IF(OR($E172="",Z172=0,V172=""),"",1+COUNTIFS(Z$8:Z$707,"&gt;0",V$8:V$707,"&lt;"&amp;V172)+COUNTIFS(Z$8:Z$707,"&gt;0",V$8:V$707,V172,AA$8:AA$707,"&lt;"&amp;AA172)+COUNTIFS(Z$8:Z$707,"&gt;0",V$8:V$707,V172,AA$8:AA$707,AA172,E$8:E$707,"&lt;"&amp;$E172))</f>
        <v/>
      </c>
      <c r="AC172" s="24">
        <f>IF(OR($E172="",Z172=0),"",IFERROR(TODAY()+ROUNDUP(Z172/(SUMIFS($AF172:$IN172,$AF$4:$IN$4,"WASH_ACT")/COUNTIFS($AF$4:$IN$4,"WASH_ACT",$AF172:$IN172,"&gt;0")),0),"no output yet"))</f>
        <v/>
      </c>
      <c r="AD172" s="26">
        <f>IF($E172="","",IFERROR(ROUND(MAX(0,SUMIFS($AF172:$IN172,$AF$4:$IN$4,"SEW_PLAN",$AF$3:$IN$3,"&lt;="&amp;TODAY())-SUMIFS($AF172:$IN172,$AF$4:$IN$4,"SEW_ACT",$AF$3:$IN$3,"&lt;="&amp;TODAY())+N(Q172))/(SUMIFS($AF172:$IN172,$AF$4:$IN$4,"SEW_PLAN")/COUNTIFS($AF$4:$IN$4,"SEW_PLAN",$AF172:$IN172,"&gt;0")),1),0))</f>
        <v/>
      </c>
      <c r="AE172" s="26">
        <f>IF($E172="","",IF(AND(Z172&gt;0,OR(AND(M172&lt;&gt;"",TODAY()&gt;M172),AND(V172&lt;&gt;"",V172-TODAY()&lt;=7))),"Yes","No"))</f>
        <v/>
      </c>
      <c r="AH172">
        <f>IF(OR(AF$3="",AF$3&gt;TODAY()),"",IF(AND(AF172="",AG172=""),"",N(AG172)-N(AF172)))</f>
        <v/>
      </c>
      <c r="AK172">
        <f>IF(OR(AF$3="",AF$3&gt;TODAY()),"",IF(AND(AI172="",AJ172=""),"",N(AJ172)-N(AI172)))</f>
        <v/>
      </c>
      <c r="AO172">
        <f>IF(OR(AM$3="",AM$3&gt;TODAY()),"",IF(AND(AM172="",AN172=""),"",N(AN172)-N(AM172)))</f>
        <v/>
      </c>
      <c r="AR172">
        <f>IF(OR(AM$3="",AM$3&gt;TODAY()),"",IF(AND(AP172="",AQ172=""),"",N(AQ172)-N(AP172)))</f>
        <v/>
      </c>
      <c r="AV172">
        <f>IF(OR(AT$3="",AT$3&gt;TODAY()),"",IF(AND(AT172="",AU172=""),"",N(AU172)-N(AT172)))</f>
        <v/>
      </c>
      <c r="AY172">
        <f>IF(OR(AT$3="",AT$3&gt;TODAY()),"",IF(AND(AW172="",AX172=""),"",N(AX172)-N(AW172)))</f>
        <v/>
      </c>
      <c r="BC172">
        <f>IF(OR(BA$3="",BA$3&gt;TODAY()),"",IF(AND(BA172="",BB172=""),"",N(BB172)-N(BA172)))</f>
        <v/>
      </c>
      <c r="BF172">
        <f>IF(OR(BA$3="",BA$3&gt;TODAY()),"",IF(AND(BD172="",BE172=""),"",N(BE172)-N(BD172)))</f>
        <v/>
      </c>
      <c r="BJ172">
        <f>IF(OR(BH$3="",BH$3&gt;TODAY()),"",IF(AND(BH172="",BI172=""),"",N(BI172)-N(BH172)))</f>
        <v/>
      </c>
      <c r="BM172">
        <f>IF(OR(BH$3="",BH$3&gt;TODAY()),"",IF(AND(BK172="",BL172=""),"",N(BL172)-N(BK172)))</f>
        <v/>
      </c>
      <c r="BQ172">
        <f>IF(OR(BO$3="",BO$3&gt;TODAY()),"",IF(AND(BO172="",BP172=""),"",N(BP172)-N(BO172)))</f>
        <v/>
      </c>
      <c r="BT172">
        <f>IF(OR(BO$3="",BO$3&gt;TODAY()),"",IF(AND(BR172="",BS172=""),"",N(BS172)-N(BR172)))</f>
        <v/>
      </c>
      <c r="BX172">
        <f>IF(OR(BV$3="",BV$3&gt;TODAY()),"",IF(AND(BV172="",BW172=""),"",N(BW172)-N(BV172)))</f>
        <v/>
      </c>
      <c r="CA172">
        <f>IF(OR(BV$3="",BV$3&gt;TODAY()),"",IF(AND(BY172="",BZ172=""),"",N(BZ172)-N(BY172)))</f>
        <v/>
      </c>
      <c r="CE172">
        <f>IF(OR(CC$3="",CC$3&gt;TODAY()),"",IF(AND(CC172="",CD172=""),"",N(CD172)-N(CC172)))</f>
        <v/>
      </c>
      <c r="CH172">
        <f>IF(OR(CC$3="",CC$3&gt;TODAY()),"",IF(AND(CF172="",CG172=""),"",N(CG172)-N(CF172)))</f>
        <v/>
      </c>
      <c r="CL172">
        <f>IF(OR(CJ$3="",CJ$3&gt;TODAY()),"",IF(AND(CJ172="",CK172=""),"",N(CK172)-N(CJ172)))</f>
        <v/>
      </c>
      <c r="CO172">
        <f>IF(OR(CJ$3="",CJ$3&gt;TODAY()),"",IF(AND(CM172="",CN172=""),"",N(CN172)-N(CM172)))</f>
        <v/>
      </c>
      <c r="CS172">
        <f>IF(OR(CQ$3="",CQ$3&gt;TODAY()),"",IF(AND(CQ172="",CR172=""),"",N(CR172)-N(CQ172)))</f>
        <v/>
      </c>
      <c r="CV172">
        <f>IF(OR(CQ$3="",CQ$3&gt;TODAY()),"",IF(AND(CT172="",CU172=""),"",N(CU172)-N(CT172)))</f>
        <v/>
      </c>
      <c r="CZ172">
        <f>IF(OR(CX$3="",CX$3&gt;TODAY()),"",IF(AND(CX172="",CY172=""),"",N(CY172)-N(CX172)))</f>
        <v/>
      </c>
      <c r="DC172">
        <f>IF(OR(CX$3="",CX$3&gt;TODAY()),"",IF(AND(DA172="",DB172=""),"",N(DB172)-N(DA172)))</f>
        <v/>
      </c>
      <c r="DG172">
        <f>IF(OR(DE$3="",DE$3&gt;TODAY()),"",IF(AND(DE172="",DF172=""),"",N(DF172)-N(DE172)))</f>
        <v/>
      </c>
      <c r="DJ172">
        <f>IF(OR(DE$3="",DE$3&gt;TODAY()),"",IF(AND(DH172="",DI172=""),"",N(DI172)-N(DH172)))</f>
        <v/>
      </c>
      <c r="DN172">
        <f>IF(OR(DL$3="",DL$3&gt;TODAY()),"",IF(AND(DL172="",DM172=""),"",N(DM172)-N(DL172)))</f>
        <v/>
      </c>
      <c r="DQ172">
        <f>IF(OR(DL$3="",DL$3&gt;TODAY()),"",IF(AND(DO172="",DP172=""),"",N(DP172)-N(DO172)))</f>
        <v/>
      </c>
      <c r="DU172">
        <f>IF(OR(DS$3="",DS$3&gt;TODAY()),"",IF(AND(DS172="",DT172=""),"",N(DT172)-N(DS172)))</f>
        <v/>
      </c>
      <c r="DX172">
        <f>IF(OR(DS$3="",DS$3&gt;TODAY()),"",IF(AND(DV172="",DW172=""),"",N(DW172)-N(DV172)))</f>
        <v/>
      </c>
      <c r="EB172">
        <f>IF(OR(DZ$3="",DZ$3&gt;TODAY()),"",IF(AND(DZ172="",EA172=""),"",N(EA172)-N(DZ172)))</f>
        <v/>
      </c>
      <c r="EE172">
        <f>IF(OR(DZ$3="",DZ$3&gt;TODAY()),"",IF(AND(EC172="",ED172=""),"",N(ED172)-N(EC172)))</f>
        <v/>
      </c>
      <c r="EI172">
        <f>IF(OR(EG$3="",EG$3&gt;TODAY()),"",IF(AND(EG172="",EH172=""),"",N(EH172)-N(EG172)))</f>
        <v/>
      </c>
      <c r="EL172">
        <f>IF(OR(EG$3="",EG$3&gt;TODAY()),"",IF(AND(EJ172="",EK172=""),"",N(EK172)-N(EJ172)))</f>
        <v/>
      </c>
      <c r="EP172">
        <f>IF(OR(EN$3="",EN$3&gt;TODAY()),"",IF(AND(EN172="",EO172=""),"",N(EO172)-N(EN172)))</f>
        <v/>
      </c>
      <c r="ES172">
        <f>IF(OR(EN$3="",EN$3&gt;TODAY()),"",IF(AND(EQ172="",ER172=""),"",N(ER172)-N(EQ172)))</f>
        <v/>
      </c>
      <c r="EW172">
        <f>IF(OR(EU$3="",EU$3&gt;TODAY()),"",IF(AND(EU172="",EV172=""),"",N(EV172)-N(EU172)))</f>
        <v/>
      </c>
      <c r="EZ172">
        <f>IF(OR(EU$3="",EU$3&gt;TODAY()),"",IF(AND(EX172="",EY172=""),"",N(EY172)-N(EX172)))</f>
        <v/>
      </c>
      <c r="FD172">
        <f>IF(OR(FB$3="",FB$3&gt;TODAY()),"",IF(AND(FB172="",FC172=""),"",N(FC172)-N(FB172)))</f>
        <v/>
      </c>
      <c r="FG172">
        <f>IF(OR(FB$3="",FB$3&gt;TODAY()),"",IF(AND(FE172="",FF172=""),"",N(FF172)-N(FE172)))</f>
        <v/>
      </c>
      <c r="FK172">
        <f>IF(OR(FI$3="",FI$3&gt;TODAY()),"",IF(AND(FI172="",FJ172=""),"",N(FJ172)-N(FI172)))</f>
        <v/>
      </c>
      <c r="FN172">
        <f>IF(OR(FI$3="",FI$3&gt;TODAY()),"",IF(AND(FL172="",FM172=""),"",N(FM172)-N(FL172)))</f>
        <v/>
      </c>
      <c r="FR172">
        <f>IF(OR(FP$3="",FP$3&gt;TODAY()),"",IF(AND(FP172="",FQ172=""),"",N(FQ172)-N(FP172)))</f>
        <v/>
      </c>
      <c r="FU172">
        <f>IF(OR(FP$3="",FP$3&gt;TODAY()),"",IF(AND(FS172="",FT172=""),"",N(FT172)-N(FS172)))</f>
        <v/>
      </c>
      <c r="FY172">
        <f>IF(OR(FW$3="",FW$3&gt;TODAY()),"",IF(AND(FW172="",FX172=""),"",N(FX172)-N(FW172)))</f>
        <v/>
      </c>
      <c r="GB172">
        <f>IF(OR(FW$3="",FW$3&gt;TODAY()),"",IF(AND(FZ172="",GA172=""),"",N(GA172)-N(FZ172)))</f>
        <v/>
      </c>
      <c r="GF172">
        <f>IF(OR(GD$3="",GD$3&gt;TODAY()),"",IF(AND(GD172="",GE172=""),"",N(GE172)-N(GD172)))</f>
        <v/>
      </c>
      <c r="GI172">
        <f>IF(OR(GD$3="",GD$3&gt;TODAY()),"",IF(AND(GG172="",GH172=""),"",N(GH172)-N(GG172)))</f>
        <v/>
      </c>
      <c r="GM172">
        <f>IF(OR(GK$3="",GK$3&gt;TODAY()),"",IF(AND(GK172="",GL172=""),"",N(GL172)-N(GK172)))</f>
        <v/>
      </c>
      <c r="GP172">
        <f>IF(OR(GK$3="",GK$3&gt;TODAY()),"",IF(AND(GN172="",GO172=""),"",N(GO172)-N(GN172)))</f>
        <v/>
      </c>
      <c r="GT172">
        <f>IF(OR(GR$3="",GR$3&gt;TODAY()),"",IF(AND(GR172="",GS172=""),"",N(GS172)-N(GR172)))</f>
        <v/>
      </c>
      <c r="GW172">
        <f>IF(OR(GR$3="",GR$3&gt;TODAY()),"",IF(AND(GU172="",GV172=""),"",N(GV172)-N(GU172)))</f>
        <v/>
      </c>
      <c r="HA172">
        <f>IF(OR(GY$3="",GY$3&gt;TODAY()),"",IF(AND(GY172="",GZ172=""),"",N(GZ172)-N(GY172)))</f>
        <v/>
      </c>
      <c r="HD172">
        <f>IF(OR(GY$3="",GY$3&gt;TODAY()),"",IF(AND(HB172="",HC172=""),"",N(HC172)-N(HB172)))</f>
        <v/>
      </c>
      <c r="HH172">
        <f>IF(OR(HF$3="",HF$3&gt;TODAY()),"",IF(AND(HF172="",HG172=""),"",N(HG172)-N(HF172)))</f>
        <v/>
      </c>
      <c r="HK172">
        <f>IF(OR(HF$3="",HF$3&gt;TODAY()),"",IF(AND(HI172="",HJ172=""),"",N(HJ172)-N(HI172)))</f>
        <v/>
      </c>
      <c r="HO172">
        <f>IF(OR(HM$3="",HM$3&gt;TODAY()),"",IF(AND(HM172="",HN172=""),"",N(HN172)-N(HM172)))</f>
        <v/>
      </c>
      <c r="HR172">
        <f>IF(OR(HM$3="",HM$3&gt;TODAY()),"",IF(AND(HP172="",HQ172=""),"",N(HQ172)-N(HP172)))</f>
        <v/>
      </c>
      <c r="HV172">
        <f>IF(OR(HT$3="",HT$3&gt;TODAY()),"",IF(AND(HT172="",HU172=""),"",N(HU172)-N(HT172)))</f>
        <v/>
      </c>
      <c r="HY172">
        <f>IF(OR(HT$3="",HT$3&gt;TODAY()),"",IF(AND(HW172="",HX172=""),"",N(HX172)-N(HW172)))</f>
        <v/>
      </c>
      <c r="IC172">
        <f>IF(OR(IA$3="",IA$3&gt;TODAY()),"",IF(AND(IA172="",IB172=""),"",N(IB172)-N(IA172)))</f>
        <v/>
      </c>
      <c r="IF172">
        <f>IF(OR(IA$3="",IA$3&gt;TODAY()),"",IF(AND(ID172="",IE172=""),"",N(IE172)-N(ID172)))</f>
        <v/>
      </c>
      <c r="IJ172">
        <f>IF(OR(IH$3="",IH$3&gt;TODAY()),"",IF(AND(IH172="",II172=""),"",N(II172)-N(IH172)))</f>
        <v/>
      </c>
      <c r="IM172">
        <f>IF(OR(IH$3="",IH$3&gt;TODAY()),"",IF(AND(IK172="",IL172=""),"",N(IL172)-N(IK172)))</f>
        <v/>
      </c>
    </row>
    <row r="173">
      <c r="A173" s="21" t="n"/>
      <c r="B173" s="21" t="n"/>
      <c r="C173" s="21" t="n"/>
      <c r="D173" s="21" t="n"/>
      <c r="E173" s="21" t="n"/>
      <c r="F173" s="21" t="n"/>
      <c r="G173" s="21" t="n"/>
      <c r="H173" s="21" t="n"/>
      <c r="I173" s="22" t="n"/>
      <c r="J173" s="22" t="n"/>
      <c r="K173" s="23" t="n"/>
      <c r="L173" s="22" t="n"/>
      <c r="M173" s="22" t="n"/>
      <c r="N173" s="21" t="n"/>
      <c r="O173" s="23" t="n"/>
      <c r="P173" s="23" t="n"/>
      <c r="Q173" s="23" t="n"/>
      <c r="R173" s="23" t="n"/>
      <c r="S173" s="22" t="n"/>
      <c r="T173" s="23" t="n"/>
      <c r="U173" s="23" t="n"/>
      <c r="V173" s="24">
        <f>IF(J173&lt;&gt;"",J173,IF(I173&lt;&gt;"",I173,""))</f>
        <v/>
      </c>
      <c r="W173" s="25">
        <f>IF($E173="","",N(O173)+SUMIFS($AF173:$IN173,$AF$4:$IN$4,"SEW_ACT"))</f>
        <v/>
      </c>
      <c r="X173" s="25">
        <f>IF($E173="","",N(P173)+SUMIFS($AF173:$IN173,$AF$4:$IN$4,"WASH_ACT"))</f>
        <v/>
      </c>
      <c r="Y173" s="25">
        <f>IF($E173="","",W173-X173-N(T173)-N(U173))</f>
        <v/>
      </c>
      <c r="Z173" s="25">
        <f>IF($E173="","",IF(N(K173)-X173&lt;=0.02*N(K173),0,N(K173)-X173))</f>
        <v/>
      </c>
      <c r="AA173" s="24">
        <f>IF($E173="","",IF(S173&lt;&gt;"",S173,IF(N(O173)&gt;0,IF(L173&lt;&gt;"",L173,99999),IFERROR(1/(1/_xlfn.MINIFS($AF$3:$IN$3,$AF$4:$IN$4,"SEW_ACT",$AF173:$IN173,"&gt;0")),99999))))</f>
        <v/>
      </c>
      <c r="AB173" s="26">
        <f>IF(OR($E173="",Z173=0,V173=""),"",1+COUNTIFS(Z$8:Z$707,"&gt;0",V$8:V$707,"&lt;"&amp;V173)+COUNTIFS(Z$8:Z$707,"&gt;0",V$8:V$707,V173,AA$8:AA$707,"&lt;"&amp;AA173)+COUNTIFS(Z$8:Z$707,"&gt;0",V$8:V$707,V173,AA$8:AA$707,AA173,E$8:E$707,"&lt;"&amp;$E173))</f>
        <v/>
      </c>
      <c r="AC173" s="24">
        <f>IF(OR($E173="",Z173=0),"",IFERROR(TODAY()+ROUNDUP(Z173/(SUMIFS($AF173:$IN173,$AF$4:$IN$4,"WASH_ACT")/COUNTIFS($AF$4:$IN$4,"WASH_ACT",$AF173:$IN173,"&gt;0")),0),"no output yet"))</f>
        <v/>
      </c>
      <c r="AD173" s="26">
        <f>IF($E173="","",IFERROR(ROUND(MAX(0,SUMIFS($AF173:$IN173,$AF$4:$IN$4,"SEW_PLAN",$AF$3:$IN$3,"&lt;="&amp;TODAY())-SUMIFS($AF173:$IN173,$AF$4:$IN$4,"SEW_ACT",$AF$3:$IN$3,"&lt;="&amp;TODAY())+N(Q173))/(SUMIFS($AF173:$IN173,$AF$4:$IN$4,"SEW_PLAN")/COUNTIFS($AF$4:$IN$4,"SEW_PLAN",$AF173:$IN173,"&gt;0")),1),0))</f>
        <v/>
      </c>
      <c r="AE173" s="26">
        <f>IF($E173="","",IF(AND(Z173&gt;0,OR(AND(M173&lt;&gt;"",TODAY()&gt;M173),AND(V173&lt;&gt;"",V173-TODAY()&lt;=7))),"Yes","No"))</f>
        <v/>
      </c>
      <c r="AH173">
        <f>IF(OR(AF$3="",AF$3&gt;TODAY()),"",IF(AND(AF173="",AG173=""),"",N(AG173)-N(AF173)))</f>
        <v/>
      </c>
      <c r="AK173">
        <f>IF(OR(AF$3="",AF$3&gt;TODAY()),"",IF(AND(AI173="",AJ173=""),"",N(AJ173)-N(AI173)))</f>
        <v/>
      </c>
      <c r="AO173">
        <f>IF(OR(AM$3="",AM$3&gt;TODAY()),"",IF(AND(AM173="",AN173=""),"",N(AN173)-N(AM173)))</f>
        <v/>
      </c>
      <c r="AR173">
        <f>IF(OR(AM$3="",AM$3&gt;TODAY()),"",IF(AND(AP173="",AQ173=""),"",N(AQ173)-N(AP173)))</f>
        <v/>
      </c>
      <c r="AV173">
        <f>IF(OR(AT$3="",AT$3&gt;TODAY()),"",IF(AND(AT173="",AU173=""),"",N(AU173)-N(AT173)))</f>
        <v/>
      </c>
      <c r="AY173">
        <f>IF(OR(AT$3="",AT$3&gt;TODAY()),"",IF(AND(AW173="",AX173=""),"",N(AX173)-N(AW173)))</f>
        <v/>
      </c>
      <c r="BC173">
        <f>IF(OR(BA$3="",BA$3&gt;TODAY()),"",IF(AND(BA173="",BB173=""),"",N(BB173)-N(BA173)))</f>
        <v/>
      </c>
      <c r="BF173">
        <f>IF(OR(BA$3="",BA$3&gt;TODAY()),"",IF(AND(BD173="",BE173=""),"",N(BE173)-N(BD173)))</f>
        <v/>
      </c>
      <c r="BJ173">
        <f>IF(OR(BH$3="",BH$3&gt;TODAY()),"",IF(AND(BH173="",BI173=""),"",N(BI173)-N(BH173)))</f>
        <v/>
      </c>
      <c r="BM173">
        <f>IF(OR(BH$3="",BH$3&gt;TODAY()),"",IF(AND(BK173="",BL173=""),"",N(BL173)-N(BK173)))</f>
        <v/>
      </c>
      <c r="BQ173">
        <f>IF(OR(BO$3="",BO$3&gt;TODAY()),"",IF(AND(BO173="",BP173=""),"",N(BP173)-N(BO173)))</f>
        <v/>
      </c>
      <c r="BT173">
        <f>IF(OR(BO$3="",BO$3&gt;TODAY()),"",IF(AND(BR173="",BS173=""),"",N(BS173)-N(BR173)))</f>
        <v/>
      </c>
      <c r="BX173">
        <f>IF(OR(BV$3="",BV$3&gt;TODAY()),"",IF(AND(BV173="",BW173=""),"",N(BW173)-N(BV173)))</f>
        <v/>
      </c>
      <c r="CA173">
        <f>IF(OR(BV$3="",BV$3&gt;TODAY()),"",IF(AND(BY173="",BZ173=""),"",N(BZ173)-N(BY173)))</f>
        <v/>
      </c>
      <c r="CE173">
        <f>IF(OR(CC$3="",CC$3&gt;TODAY()),"",IF(AND(CC173="",CD173=""),"",N(CD173)-N(CC173)))</f>
        <v/>
      </c>
      <c r="CH173">
        <f>IF(OR(CC$3="",CC$3&gt;TODAY()),"",IF(AND(CF173="",CG173=""),"",N(CG173)-N(CF173)))</f>
        <v/>
      </c>
      <c r="CL173">
        <f>IF(OR(CJ$3="",CJ$3&gt;TODAY()),"",IF(AND(CJ173="",CK173=""),"",N(CK173)-N(CJ173)))</f>
        <v/>
      </c>
      <c r="CO173">
        <f>IF(OR(CJ$3="",CJ$3&gt;TODAY()),"",IF(AND(CM173="",CN173=""),"",N(CN173)-N(CM173)))</f>
        <v/>
      </c>
      <c r="CS173">
        <f>IF(OR(CQ$3="",CQ$3&gt;TODAY()),"",IF(AND(CQ173="",CR173=""),"",N(CR173)-N(CQ173)))</f>
        <v/>
      </c>
      <c r="CV173">
        <f>IF(OR(CQ$3="",CQ$3&gt;TODAY()),"",IF(AND(CT173="",CU173=""),"",N(CU173)-N(CT173)))</f>
        <v/>
      </c>
      <c r="CZ173">
        <f>IF(OR(CX$3="",CX$3&gt;TODAY()),"",IF(AND(CX173="",CY173=""),"",N(CY173)-N(CX173)))</f>
        <v/>
      </c>
      <c r="DC173">
        <f>IF(OR(CX$3="",CX$3&gt;TODAY()),"",IF(AND(DA173="",DB173=""),"",N(DB173)-N(DA173)))</f>
        <v/>
      </c>
      <c r="DG173">
        <f>IF(OR(DE$3="",DE$3&gt;TODAY()),"",IF(AND(DE173="",DF173=""),"",N(DF173)-N(DE173)))</f>
        <v/>
      </c>
      <c r="DJ173">
        <f>IF(OR(DE$3="",DE$3&gt;TODAY()),"",IF(AND(DH173="",DI173=""),"",N(DI173)-N(DH173)))</f>
        <v/>
      </c>
      <c r="DN173">
        <f>IF(OR(DL$3="",DL$3&gt;TODAY()),"",IF(AND(DL173="",DM173=""),"",N(DM173)-N(DL173)))</f>
        <v/>
      </c>
      <c r="DQ173">
        <f>IF(OR(DL$3="",DL$3&gt;TODAY()),"",IF(AND(DO173="",DP173=""),"",N(DP173)-N(DO173)))</f>
        <v/>
      </c>
      <c r="DU173">
        <f>IF(OR(DS$3="",DS$3&gt;TODAY()),"",IF(AND(DS173="",DT173=""),"",N(DT173)-N(DS173)))</f>
        <v/>
      </c>
      <c r="DX173">
        <f>IF(OR(DS$3="",DS$3&gt;TODAY()),"",IF(AND(DV173="",DW173=""),"",N(DW173)-N(DV173)))</f>
        <v/>
      </c>
      <c r="EB173">
        <f>IF(OR(DZ$3="",DZ$3&gt;TODAY()),"",IF(AND(DZ173="",EA173=""),"",N(EA173)-N(DZ173)))</f>
        <v/>
      </c>
      <c r="EE173">
        <f>IF(OR(DZ$3="",DZ$3&gt;TODAY()),"",IF(AND(EC173="",ED173=""),"",N(ED173)-N(EC173)))</f>
        <v/>
      </c>
      <c r="EI173">
        <f>IF(OR(EG$3="",EG$3&gt;TODAY()),"",IF(AND(EG173="",EH173=""),"",N(EH173)-N(EG173)))</f>
        <v/>
      </c>
      <c r="EL173">
        <f>IF(OR(EG$3="",EG$3&gt;TODAY()),"",IF(AND(EJ173="",EK173=""),"",N(EK173)-N(EJ173)))</f>
        <v/>
      </c>
      <c r="EP173">
        <f>IF(OR(EN$3="",EN$3&gt;TODAY()),"",IF(AND(EN173="",EO173=""),"",N(EO173)-N(EN173)))</f>
        <v/>
      </c>
      <c r="ES173">
        <f>IF(OR(EN$3="",EN$3&gt;TODAY()),"",IF(AND(EQ173="",ER173=""),"",N(ER173)-N(EQ173)))</f>
        <v/>
      </c>
      <c r="EW173">
        <f>IF(OR(EU$3="",EU$3&gt;TODAY()),"",IF(AND(EU173="",EV173=""),"",N(EV173)-N(EU173)))</f>
        <v/>
      </c>
      <c r="EZ173">
        <f>IF(OR(EU$3="",EU$3&gt;TODAY()),"",IF(AND(EX173="",EY173=""),"",N(EY173)-N(EX173)))</f>
        <v/>
      </c>
      <c r="FD173">
        <f>IF(OR(FB$3="",FB$3&gt;TODAY()),"",IF(AND(FB173="",FC173=""),"",N(FC173)-N(FB173)))</f>
        <v/>
      </c>
      <c r="FG173">
        <f>IF(OR(FB$3="",FB$3&gt;TODAY()),"",IF(AND(FE173="",FF173=""),"",N(FF173)-N(FE173)))</f>
        <v/>
      </c>
      <c r="FK173">
        <f>IF(OR(FI$3="",FI$3&gt;TODAY()),"",IF(AND(FI173="",FJ173=""),"",N(FJ173)-N(FI173)))</f>
        <v/>
      </c>
      <c r="FN173">
        <f>IF(OR(FI$3="",FI$3&gt;TODAY()),"",IF(AND(FL173="",FM173=""),"",N(FM173)-N(FL173)))</f>
        <v/>
      </c>
      <c r="FR173">
        <f>IF(OR(FP$3="",FP$3&gt;TODAY()),"",IF(AND(FP173="",FQ173=""),"",N(FQ173)-N(FP173)))</f>
        <v/>
      </c>
      <c r="FU173">
        <f>IF(OR(FP$3="",FP$3&gt;TODAY()),"",IF(AND(FS173="",FT173=""),"",N(FT173)-N(FS173)))</f>
        <v/>
      </c>
      <c r="FY173">
        <f>IF(OR(FW$3="",FW$3&gt;TODAY()),"",IF(AND(FW173="",FX173=""),"",N(FX173)-N(FW173)))</f>
        <v/>
      </c>
      <c r="GB173">
        <f>IF(OR(FW$3="",FW$3&gt;TODAY()),"",IF(AND(FZ173="",GA173=""),"",N(GA173)-N(FZ173)))</f>
        <v/>
      </c>
      <c r="GF173">
        <f>IF(OR(GD$3="",GD$3&gt;TODAY()),"",IF(AND(GD173="",GE173=""),"",N(GE173)-N(GD173)))</f>
        <v/>
      </c>
      <c r="GI173">
        <f>IF(OR(GD$3="",GD$3&gt;TODAY()),"",IF(AND(GG173="",GH173=""),"",N(GH173)-N(GG173)))</f>
        <v/>
      </c>
      <c r="GM173">
        <f>IF(OR(GK$3="",GK$3&gt;TODAY()),"",IF(AND(GK173="",GL173=""),"",N(GL173)-N(GK173)))</f>
        <v/>
      </c>
      <c r="GP173">
        <f>IF(OR(GK$3="",GK$3&gt;TODAY()),"",IF(AND(GN173="",GO173=""),"",N(GO173)-N(GN173)))</f>
        <v/>
      </c>
      <c r="GT173">
        <f>IF(OR(GR$3="",GR$3&gt;TODAY()),"",IF(AND(GR173="",GS173=""),"",N(GS173)-N(GR173)))</f>
        <v/>
      </c>
      <c r="GW173">
        <f>IF(OR(GR$3="",GR$3&gt;TODAY()),"",IF(AND(GU173="",GV173=""),"",N(GV173)-N(GU173)))</f>
        <v/>
      </c>
      <c r="HA173">
        <f>IF(OR(GY$3="",GY$3&gt;TODAY()),"",IF(AND(GY173="",GZ173=""),"",N(GZ173)-N(GY173)))</f>
        <v/>
      </c>
      <c r="HD173">
        <f>IF(OR(GY$3="",GY$3&gt;TODAY()),"",IF(AND(HB173="",HC173=""),"",N(HC173)-N(HB173)))</f>
        <v/>
      </c>
      <c r="HH173">
        <f>IF(OR(HF$3="",HF$3&gt;TODAY()),"",IF(AND(HF173="",HG173=""),"",N(HG173)-N(HF173)))</f>
        <v/>
      </c>
      <c r="HK173">
        <f>IF(OR(HF$3="",HF$3&gt;TODAY()),"",IF(AND(HI173="",HJ173=""),"",N(HJ173)-N(HI173)))</f>
        <v/>
      </c>
      <c r="HO173">
        <f>IF(OR(HM$3="",HM$3&gt;TODAY()),"",IF(AND(HM173="",HN173=""),"",N(HN173)-N(HM173)))</f>
        <v/>
      </c>
      <c r="HR173">
        <f>IF(OR(HM$3="",HM$3&gt;TODAY()),"",IF(AND(HP173="",HQ173=""),"",N(HQ173)-N(HP173)))</f>
        <v/>
      </c>
      <c r="HV173">
        <f>IF(OR(HT$3="",HT$3&gt;TODAY()),"",IF(AND(HT173="",HU173=""),"",N(HU173)-N(HT173)))</f>
        <v/>
      </c>
      <c r="HY173">
        <f>IF(OR(HT$3="",HT$3&gt;TODAY()),"",IF(AND(HW173="",HX173=""),"",N(HX173)-N(HW173)))</f>
        <v/>
      </c>
      <c r="IC173">
        <f>IF(OR(IA$3="",IA$3&gt;TODAY()),"",IF(AND(IA173="",IB173=""),"",N(IB173)-N(IA173)))</f>
        <v/>
      </c>
      <c r="IF173">
        <f>IF(OR(IA$3="",IA$3&gt;TODAY()),"",IF(AND(ID173="",IE173=""),"",N(IE173)-N(ID173)))</f>
        <v/>
      </c>
      <c r="IJ173">
        <f>IF(OR(IH$3="",IH$3&gt;TODAY()),"",IF(AND(IH173="",II173=""),"",N(II173)-N(IH173)))</f>
        <v/>
      </c>
      <c r="IM173">
        <f>IF(OR(IH$3="",IH$3&gt;TODAY()),"",IF(AND(IK173="",IL173=""),"",N(IL173)-N(IK173)))</f>
        <v/>
      </c>
    </row>
    <row r="174">
      <c r="A174" s="21" t="n"/>
      <c r="B174" s="21" t="n"/>
      <c r="C174" s="21" t="n"/>
      <c r="D174" s="21" t="n"/>
      <c r="E174" s="21" t="n"/>
      <c r="F174" s="21" t="n"/>
      <c r="G174" s="21" t="n"/>
      <c r="H174" s="21" t="n"/>
      <c r="I174" s="22" t="n"/>
      <c r="J174" s="22" t="n"/>
      <c r="K174" s="23" t="n"/>
      <c r="L174" s="22" t="n"/>
      <c r="M174" s="22" t="n"/>
      <c r="N174" s="21" t="n"/>
      <c r="O174" s="23" t="n"/>
      <c r="P174" s="23" t="n"/>
      <c r="Q174" s="23" t="n"/>
      <c r="R174" s="23" t="n"/>
      <c r="S174" s="22" t="n"/>
      <c r="T174" s="23" t="n"/>
      <c r="U174" s="23" t="n"/>
      <c r="V174" s="24">
        <f>IF(J174&lt;&gt;"",J174,IF(I174&lt;&gt;"",I174,""))</f>
        <v/>
      </c>
      <c r="W174" s="25">
        <f>IF($E174="","",N(O174)+SUMIFS($AF174:$IN174,$AF$4:$IN$4,"SEW_ACT"))</f>
        <v/>
      </c>
      <c r="X174" s="25">
        <f>IF($E174="","",N(P174)+SUMIFS($AF174:$IN174,$AF$4:$IN$4,"WASH_ACT"))</f>
        <v/>
      </c>
      <c r="Y174" s="25">
        <f>IF($E174="","",W174-X174-N(T174)-N(U174))</f>
        <v/>
      </c>
      <c r="Z174" s="25">
        <f>IF($E174="","",IF(N(K174)-X174&lt;=0.02*N(K174),0,N(K174)-X174))</f>
        <v/>
      </c>
      <c r="AA174" s="24">
        <f>IF($E174="","",IF(S174&lt;&gt;"",S174,IF(N(O174)&gt;0,IF(L174&lt;&gt;"",L174,99999),IFERROR(1/(1/_xlfn.MINIFS($AF$3:$IN$3,$AF$4:$IN$4,"SEW_ACT",$AF174:$IN174,"&gt;0")),99999))))</f>
        <v/>
      </c>
      <c r="AB174" s="26">
        <f>IF(OR($E174="",Z174=0,V174=""),"",1+COUNTIFS(Z$8:Z$707,"&gt;0",V$8:V$707,"&lt;"&amp;V174)+COUNTIFS(Z$8:Z$707,"&gt;0",V$8:V$707,V174,AA$8:AA$707,"&lt;"&amp;AA174)+COUNTIFS(Z$8:Z$707,"&gt;0",V$8:V$707,V174,AA$8:AA$707,AA174,E$8:E$707,"&lt;"&amp;$E174))</f>
        <v/>
      </c>
      <c r="AC174" s="24">
        <f>IF(OR($E174="",Z174=0),"",IFERROR(TODAY()+ROUNDUP(Z174/(SUMIFS($AF174:$IN174,$AF$4:$IN$4,"WASH_ACT")/COUNTIFS($AF$4:$IN$4,"WASH_ACT",$AF174:$IN174,"&gt;0")),0),"no output yet"))</f>
        <v/>
      </c>
      <c r="AD174" s="26">
        <f>IF($E174="","",IFERROR(ROUND(MAX(0,SUMIFS($AF174:$IN174,$AF$4:$IN$4,"SEW_PLAN",$AF$3:$IN$3,"&lt;="&amp;TODAY())-SUMIFS($AF174:$IN174,$AF$4:$IN$4,"SEW_ACT",$AF$3:$IN$3,"&lt;="&amp;TODAY())+N(Q174))/(SUMIFS($AF174:$IN174,$AF$4:$IN$4,"SEW_PLAN")/COUNTIFS($AF$4:$IN$4,"SEW_PLAN",$AF174:$IN174,"&gt;0")),1),0))</f>
        <v/>
      </c>
      <c r="AE174" s="26">
        <f>IF($E174="","",IF(AND(Z174&gt;0,OR(AND(M174&lt;&gt;"",TODAY()&gt;M174),AND(V174&lt;&gt;"",V174-TODAY()&lt;=7))),"Yes","No"))</f>
        <v/>
      </c>
      <c r="AH174">
        <f>IF(OR(AF$3="",AF$3&gt;TODAY()),"",IF(AND(AF174="",AG174=""),"",N(AG174)-N(AF174)))</f>
        <v/>
      </c>
      <c r="AK174">
        <f>IF(OR(AF$3="",AF$3&gt;TODAY()),"",IF(AND(AI174="",AJ174=""),"",N(AJ174)-N(AI174)))</f>
        <v/>
      </c>
      <c r="AO174">
        <f>IF(OR(AM$3="",AM$3&gt;TODAY()),"",IF(AND(AM174="",AN174=""),"",N(AN174)-N(AM174)))</f>
        <v/>
      </c>
      <c r="AR174">
        <f>IF(OR(AM$3="",AM$3&gt;TODAY()),"",IF(AND(AP174="",AQ174=""),"",N(AQ174)-N(AP174)))</f>
        <v/>
      </c>
      <c r="AV174">
        <f>IF(OR(AT$3="",AT$3&gt;TODAY()),"",IF(AND(AT174="",AU174=""),"",N(AU174)-N(AT174)))</f>
        <v/>
      </c>
      <c r="AY174">
        <f>IF(OR(AT$3="",AT$3&gt;TODAY()),"",IF(AND(AW174="",AX174=""),"",N(AX174)-N(AW174)))</f>
        <v/>
      </c>
      <c r="BC174">
        <f>IF(OR(BA$3="",BA$3&gt;TODAY()),"",IF(AND(BA174="",BB174=""),"",N(BB174)-N(BA174)))</f>
        <v/>
      </c>
      <c r="BF174">
        <f>IF(OR(BA$3="",BA$3&gt;TODAY()),"",IF(AND(BD174="",BE174=""),"",N(BE174)-N(BD174)))</f>
        <v/>
      </c>
      <c r="BJ174">
        <f>IF(OR(BH$3="",BH$3&gt;TODAY()),"",IF(AND(BH174="",BI174=""),"",N(BI174)-N(BH174)))</f>
        <v/>
      </c>
      <c r="BM174">
        <f>IF(OR(BH$3="",BH$3&gt;TODAY()),"",IF(AND(BK174="",BL174=""),"",N(BL174)-N(BK174)))</f>
        <v/>
      </c>
      <c r="BQ174">
        <f>IF(OR(BO$3="",BO$3&gt;TODAY()),"",IF(AND(BO174="",BP174=""),"",N(BP174)-N(BO174)))</f>
        <v/>
      </c>
      <c r="BT174">
        <f>IF(OR(BO$3="",BO$3&gt;TODAY()),"",IF(AND(BR174="",BS174=""),"",N(BS174)-N(BR174)))</f>
        <v/>
      </c>
      <c r="BX174">
        <f>IF(OR(BV$3="",BV$3&gt;TODAY()),"",IF(AND(BV174="",BW174=""),"",N(BW174)-N(BV174)))</f>
        <v/>
      </c>
      <c r="CA174">
        <f>IF(OR(BV$3="",BV$3&gt;TODAY()),"",IF(AND(BY174="",BZ174=""),"",N(BZ174)-N(BY174)))</f>
        <v/>
      </c>
      <c r="CE174">
        <f>IF(OR(CC$3="",CC$3&gt;TODAY()),"",IF(AND(CC174="",CD174=""),"",N(CD174)-N(CC174)))</f>
        <v/>
      </c>
      <c r="CH174">
        <f>IF(OR(CC$3="",CC$3&gt;TODAY()),"",IF(AND(CF174="",CG174=""),"",N(CG174)-N(CF174)))</f>
        <v/>
      </c>
      <c r="CL174">
        <f>IF(OR(CJ$3="",CJ$3&gt;TODAY()),"",IF(AND(CJ174="",CK174=""),"",N(CK174)-N(CJ174)))</f>
        <v/>
      </c>
      <c r="CO174">
        <f>IF(OR(CJ$3="",CJ$3&gt;TODAY()),"",IF(AND(CM174="",CN174=""),"",N(CN174)-N(CM174)))</f>
        <v/>
      </c>
      <c r="CS174">
        <f>IF(OR(CQ$3="",CQ$3&gt;TODAY()),"",IF(AND(CQ174="",CR174=""),"",N(CR174)-N(CQ174)))</f>
        <v/>
      </c>
      <c r="CV174">
        <f>IF(OR(CQ$3="",CQ$3&gt;TODAY()),"",IF(AND(CT174="",CU174=""),"",N(CU174)-N(CT174)))</f>
        <v/>
      </c>
      <c r="CZ174">
        <f>IF(OR(CX$3="",CX$3&gt;TODAY()),"",IF(AND(CX174="",CY174=""),"",N(CY174)-N(CX174)))</f>
        <v/>
      </c>
      <c r="DC174">
        <f>IF(OR(CX$3="",CX$3&gt;TODAY()),"",IF(AND(DA174="",DB174=""),"",N(DB174)-N(DA174)))</f>
        <v/>
      </c>
      <c r="DG174">
        <f>IF(OR(DE$3="",DE$3&gt;TODAY()),"",IF(AND(DE174="",DF174=""),"",N(DF174)-N(DE174)))</f>
        <v/>
      </c>
      <c r="DJ174">
        <f>IF(OR(DE$3="",DE$3&gt;TODAY()),"",IF(AND(DH174="",DI174=""),"",N(DI174)-N(DH174)))</f>
        <v/>
      </c>
      <c r="DN174">
        <f>IF(OR(DL$3="",DL$3&gt;TODAY()),"",IF(AND(DL174="",DM174=""),"",N(DM174)-N(DL174)))</f>
        <v/>
      </c>
      <c r="DQ174">
        <f>IF(OR(DL$3="",DL$3&gt;TODAY()),"",IF(AND(DO174="",DP174=""),"",N(DP174)-N(DO174)))</f>
        <v/>
      </c>
      <c r="DU174">
        <f>IF(OR(DS$3="",DS$3&gt;TODAY()),"",IF(AND(DS174="",DT174=""),"",N(DT174)-N(DS174)))</f>
        <v/>
      </c>
      <c r="DX174">
        <f>IF(OR(DS$3="",DS$3&gt;TODAY()),"",IF(AND(DV174="",DW174=""),"",N(DW174)-N(DV174)))</f>
        <v/>
      </c>
      <c r="EB174">
        <f>IF(OR(DZ$3="",DZ$3&gt;TODAY()),"",IF(AND(DZ174="",EA174=""),"",N(EA174)-N(DZ174)))</f>
        <v/>
      </c>
      <c r="EE174">
        <f>IF(OR(DZ$3="",DZ$3&gt;TODAY()),"",IF(AND(EC174="",ED174=""),"",N(ED174)-N(EC174)))</f>
        <v/>
      </c>
      <c r="EI174">
        <f>IF(OR(EG$3="",EG$3&gt;TODAY()),"",IF(AND(EG174="",EH174=""),"",N(EH174)-N(EG174)))</f>
        <v/>
      </c>
      <c r="EL174">
        <f>IF(OR(EG$3="",EG$3&gt;TODAY()),"",IF(AND(EJ174="",EK174=""),"",N(EK174)-N(EJ174)))</f>
        <v/>
      </c>
      <c r="EP174">
        <f>IF(OR(EN$3="",EN$3&gt;TODAY()),"",IF(AND(EN174="",EO174=""),"",N(EO174)-N(EN174)))</f>
        <v/>
      </c>
      <c r="ES174">
        <f>IF(OR(EN$3="",EN$3&gt;TODAY()),"",IF(AND(EQ174="",ER174=""),"",N(ER174)-N(EQ174)))</f>
        <v/>
      </c>
      <c r="EW174">
        <f>IF(OR(EU$3="",EU$3&gt;TODAY()),"",IF(AND(EU174="",EV174=""),"",N(EV174)-N(EU174)))</f>
        <v/>
      </c>
      <c r="EZ174">
        <f>IF(OR(EU$3="",EU$3&gt;TODAY()),"",IF(AND(EX174="",EY174=""),"",N(EY174)-N(EX174)))</f>
        <v/>
      </c>
      <c r="FD174">
        <f>IF(OR(FB$3="",FB$3&gt;TODAY()),"",IF(AND(FB174="",FC174=""),"",N(FC174)-N(FB174)))</f>
        <v/>
      </c>
      <c r="FG174">
        <f>IF(OR(FB$3="",FB$3&gt;TODAY()),"",IF(AND(FE174="",FF174=""),"",N(FF174)-N(FE174)))</f>
        <v/>
      </c>
      <c r="FK174">
        <f>IF(OR(FI$3="",FI$3&gt;TODAY()),"",IF(AND(FI174="",FJ174=""),"",N(FJ174)-N(FI174)))</f>
        <v/>
      </c>
      <c r="FN174">
        <f>IF(OR(FI$3="",FI$3&gt;TODAY()),"",IF(AND(FL174="",FM174=""),"",N(FM174)-N(FL174)))</f>
        <v/>
      </c>
      <c r="FR174">
        <f>IF(OR(FP$3="",FP$3&gt;TODAY()),"",IF(AND(FP174="",FQ174=""),"",N(FQ174)-N(FP174)))</f>
        <v/>
      </c>
      <c r="FU174">
        <f>IF(OR(FP$3="",FP$3&gt;TODAY()),"",IF(AND(FS174="",FT174=""),"",N(FT174)-N(FS174)))</f>
        <v/>
      </c>
      <c r="FY174">
        <f>IF(OR(FW$3="",FW$3&gt;TODAY()),"",IF(AND(FW174="",FX174=""),"",N(FX174)-N(FW174)))</f>
        <v/>
      </c>
      <c r="GB174">
        <f>IF(OR(FW$3="",FW$3&gt;TODAY()),"",IF(AND(FZ174="",GA174=""),"",N(GA174)-N(FZ174)))</f>
        <v/>
      </c>
      <c r="GF174">
        <f>IF(OR(GD$3="",GD$3&gt;TODAY()),"",IF(AND(GD174="",GE174=""),"",N(GE174)-N(GD174)))</f>
        <v/>
      </c>
      <c r="GI174">
        <f>IF(OR(GD$3="",GD$3&gt;TODAY()),"",IF(AND(GG174="",GH174=""),"",N(GH174)-N(GG174)))</f>
        <v/>
      </c>
      <c r="GM174">
        <f>IF(OR(GK$3="",GK$3&gt;TODAY()),"",IF(AND(GK174="",GL174=""),"",N(GL174)-N(GK174)))</f>
        <v/>
      </c>
      <c r="GP174">
        <f>IF(OR(GK$3="",GK$3&gt;TODAY()),"",IF(AND(GN174="",GO174=""),"",N(GO174)-N(GN174)))</f>
        <v/>
      </c>
      <c r="GT174">
        <f>IF(OR(GR$3="",GR$3&gt;TODAY()),"",IF(AND(GR174="",GS174=""),"",N(GS174)-N(GR174)))</f>
        <v/>
      </c>
      <c r="GW174">
        <f>IF(OR(GR$3="",GR$3&gt;TODAY()),"",IF(AND(GU174="",GV174=""),"",N(GV174)-N(GU174)))</f>
        <v/>
      </c>
      <c r="HA174">
        <f>IF(OR(GY$3="",GY$3&gt;TODAY()),"",IF(AND(GY174="",GZ174=""),"",N(GZ174)-N(GY174)))</f>
        <v/>
      </c>
      <c r="HD174">
        <f>IF(OR(GY$3="",GY$3&gt;TODAY()),"",IF(AND(HB174="",HC174=""),"",N(HC174)-N(HB174)))</f>
        <v/>
      </c>
      <c r="HH174">
        <f>IF(OR(HF$3="",HF$3&gt;TODAY()),"",IF(AND(HF174="",HG174=""),"",N(HG174)-N(HF174)))</f>
        <v/>
      </c>
      <c r="HK174">
        <f>IF(OR(HF$3="",HF$3&gt;TODAY()),"",IF(AND(HI174="",HJ174=""),"",N(HJ174)-N(HI174)))</f>
        <v/>
      </c>
      <c r="HO174">
        <f>IF(OR(HM$3="",HM$3&gt;TODAY()),"",IF(AND(HM174="",HN174=""),"",N(HN174)-N(HM174)))</f>
        <v/>
      </c>
      <c r="HR174">
        <f>IF(OR(HM$3="",HM$3&gt;TODAY()),"",IF(AND(HP174="",HQ174=""),"",N(HQ174)-N(HP174)))</f>
        <v/>
      </c>
      <c r="HV174">
        <f>IF(OR(HT$3="",HT$3&gt;TODAY()),"",IF(AND(HT174="",HU174=""),"",N(HU174)-N(HT174)))</f>
        <v/>
      </c>
      <c r="HY174">
        <f>IF(OR(HT$3="",HT$3&gt;TODAY()),"",IF(AND(HW174="",HX174=""),"",N(HX174)-N(HW174)))</f>
        <v/>
      </c>
      <c r="IC174">
        <f>IF(OR(IA$3="",IA$3&gt;TODAY()),"",IF(AND(IA174="",IB174=""),"",N(IB174)-N(IA174)))</f>
        <v/>
      </c>
      <c r="IF174">
        <f>IF(OR(IA$3="",IA$3&gt;TODAY()),"",IF(AND(ID174="",IE174=""),"",N(IE174)-N(ID174)))</f>
        <v/>
      </c>
      <c r="IJ174">
        <f>IF(OR(IH$3="",IH$3&gt;TODAY()),"",IF(AND(IH174="",II174=""),"",N(II174)-N(IH174)))</f>
        <v/>
      </c>
      <c r="IM174">
        <f>IF(OR(IH$3="",IH$3&gt;TODAY()),"",IF(AND(IK174="",IL174=""),"",N(IL174)-N(IK174)))</f>
        <v/>
      </c>
    </row>
    <row r="175">
      <c r="A175" s="21" t="n"/>
      <c r="B175" s="21" t="n"/>
      <c r="C175" s="21" t="n"/>
      <c r="D175" s="21" t="n"/>
      <c r="E175" s="21" t="n"/>
      <c r="F175" s="21" t="n"/>
      <c r="G175" s="21" t="n"/>
      <c r="H175" s="21" t="n"/>
      <c r="I175" s="22" t="n"/>
      <c r="J175" s="22" t="n"/>
      <c r="K175" s="23" t="n"/>
      <c r="L175" s="22" t="n"/>
      <c r="M175" s="22" t="n"/>
      <c r="N175" s="21" t="n"/>
      <c r="O175" s="23" t="n"/>
      <c r="P175" s="23" t="n"/>
      <c r="Q175" s="23" t="n"/>
      <c r="R175" s="23" t="n"/>
      <c r="S175" s="22" t="n"/>
      <c r="T175" s="23" t="n"/>
      <c r="U175" s="23" t="n"/>
      <c r="V175" s="24">
        <f>IF(J175&lt;&gt;"",J175,IF(I175&lt;&gt;"",I175,""))</f>
        <v/>
      </c>
      <c r="W175" s="25">
        <f>IF($E175="","",N(O175)+SUMIFS($AF175:$IN175,$AF$4:$IN$4,"SEW_ACT"))</f>
        <v/>
      </c>
      <c r="X175" s="25">
        <f>IF($E175="","",N(P175)+SUMIFS($AF175:$IN175,$AF$4:$IN$4,"WASH_ACT"))</f>
        <v/>
      </c>
      <c r="Y175" s="25">
        <f>IF($E175="","",W175-X175-N(T175)-N(U175))</f>
        <v/>
      </c>
      <c r="Z175" s="25">
        <f>IF($E175="","",IF(N(K175)-X175&lt;=0.02*N(K175),0,N(K175)-X175))</f>
        <v/>
      </c>
      <c r="AA175" s="24">
        <f>IF($E175="","",IF(S175&lt;&gt;"",S175,IF(N(O175)&gt;0,IF(L175&lt;&gt;"",L175,99999),IFERROR(1/(1/_xlfn.MINIFS($AF$3:$IN$3,$AF$4:$IN$4,"SEW_ACT",$AF175:$IN175,"&gt;0")),99999))))</f>
        <v/>
      </c>
      <c r="AB175" s="26">
        <f>IF(OR($E175="",Z175=0,V175=""),"",1+COUNTIFS(Z$8:Z$707,"&gt;0",V$8:V$707,"&lt;"&amp;V175)+COUNTIFS(Z$8:Z$707,"&gt;0",V$8:V$707,V175,AA$8:AA$707,"&lt;"&amp;AA175)+COUNTIFS(Z$8:Z$707,"&gt;0",V$8:V$707,V175,AA$8:AA$707,AA175,E$8:E$707,"&lt;"&amp;$E175))</f>
        <v/>
      </c>
      <c r="AC175" s="24">
        <f>IF(OR($E175="",Z175=0),"",IFERROR(TODAY()+ROUNDUP(Z175/(SUMIFS($AF175:$IN175,$AF$4:$IN$4,"WASH_ACT")/COUNTIFS($AF$4:$IN$4,"WASH_ACT",$AF175:$IN175,"&gt;0")),0),"no output yet"))</f>
        <v/>
      </c>
      <c r="AD175" s="26">
        <f>IF($E175="","",IFERROR(ROUND(MAX(0,SUMIFS($AF175:$IN175,$AF$4:$IN$4,"SEW_PLAN",$AF$3:$IN$3,"&lt;="&amp;TODAY())-SUMIFS($AF175:$IN175,$AF$4:$IN$4,"SEW_ACT",$AF$3:$IN$3,"&lt;="&amp;TODAY())+N(Q175))/(SUMIFS($AF175:$IN175,$AF$4:$IN$4,"SEW_PLAN")/COUNTIFS($AF$4:$IN$4,"SEW_PLAN",$AF175:$IN175,"&gt;0")),1),0))</f>
        <v/>
      </c>
      <c r="AE175" s="26">
        <f>IF($E175="","",IF(AND(Z175&gt;0,OR(AND(M175&lt;&gt;"",TODAY()&gt;M175),AND(V175&lt;&gt;"",V175-TODAY()&lt;=7))),"Yes","No"))</f>
        <v/>
      </c>
      <c r="AH175">
        <f>IF(OR(AF$3="",AF$3&gt;TODAY()),"",IF(AND(AF175="",AG175=""),"",N(AG175)-N(AF175)))</f>
        <v/>
      </c>
      <c r="AK175">
        <f>IF(OR(AF$3="",AF$3&gt;TODAY()),"",IF(AND(AI175="",AJ175=""),"",N(AJ175)-N(AI175)))</f>
        <v/>
      </c>
      <c r="AO175">
        <f>IF(OR(AM$3="",AM$3&gt;TODAY()),"",IF(AND(AM175="",AN175=""),"",N(AN175)-N(AM175)))</f>
        <v/>
      </c>
      <c r="AR175">
        <f>IF(OR(AM$3="",AM$3&gt;TODAY()),"",IF(AND(AP175="",AQ175=""),"",N(AQ175)-N(AP175)))</f>
        <v/>
      </c>
      <c r="AV175">
        <f>IF(OR(AT$3="",AT$3&gt;TODAY()),"",IF(AND(AT175="",AU175=""),"",N(AU175)-N(AT175)))</f>
        <v/>
      </c>
      <c r="AY175">
        <f>IF(OR(AT$3="",AT$3&gt;TODAY()),"",IF(AND(AW175="",AX175=""),"",N(AX175)-N(AW175)))</f>
        <v/>
      </c>
      <c r="BC175">
        <f>IF(OR(BA$3="",BA$3&gt;TODAY()),"",IF(AND(BA175="",BB175=""),"",N(BB175)-N(BA175)))</f>
        <v/>
      </c>
      <c r="BF175">
        <f>IF(OR(BA$3="",BA$3&gt;TODAY()),"",IF(AND(BD175="",BE175=""),"",N(BE175)-N(BD175)))</f>
        <v/>
      </c>
      <c r="BJ175">
        <f>IF(OR(BH$3="",BH$3&gt;TODAY()),"",IF(AND(BH175="",BI175=""),"",N(BI175)-N(BH175)))</f>
        <v/>
      </c>
      <c r="BM175">
        <f>IF(OR(BH$3="",BH$3&gt;TODAY()),"",IF(AND(BK175="",BL175=""),"",N(BL175)-N(BK175)))</f>
        <v/>
      </c>
      <c r="BQ175">
        <f>IF(OR(BO$3="",BO$3&gt;TODAY()),"",IF(AND(BO175="",BP175=""),"",N(BP175)-N(BO175)))</f>
        <v/>
      </c>
      <c r="BT175">
        <f>IF(OR(BO$3="",BO$3&gt;TODAY()),"",IF(AND(BR175="",BS175=""),"",N(BS175)-N(BR175)))</f>
        <v/>
      </c>
      <c r="BX175">
        <f>IF(OR(BV$3="",BV$3&gt;TODAY()),"",IF(AND(BV175="",BW175=""),"",N(BW175)-N(BV175)))</f>
        <v/>
      </c>
      <c r="CA175">
        <f>IF(OR(BV$3="",BV$3&gt;TODAY()),"",IF(AND(BY175="",BZ175=""),"",N(BZ175)-N(BY175)))</f>
        <v/>
      </c>
      <c r="CE175">
        <f>IF(OR(CC$3="",CC$3&gt;TODAY()),"",IF(AND(CC175="",CD175=""),"",N(CD175)-N(CC175)))</f>
        <v/>
      </c>
      <c r="CH175">
        <f>IF(OR(CC$3="",CC$3&gt;TODAY()),"",IF(AND(CF175="",CG175=""),"",N(CG175)-N(CF175)))</f>
        <v/>
      </c>
      <c r="CL175">
        <f>IF(OR(CJ$3="",CJ$3&gt;TODAY()),"",IF(AND(CJ175="",CK175=""),"",N(CK175)-N(CJ175)))</f>
        <v/>
      </c>
      <c r="CO175">
        <f>IF(OR(CJ$3="",CJ$3&gt;TODAY()),"",IF(AND(CM175="",CN175=""),"",N(CN175)-N(CM175)))</f>
        <v/>
      </c>
      <c r="CS175">
        <f>IF(OR(CQ$3="",CQ$3&gt;TODAY()),"",IF(AND(CQ175="",CR175=""),"",N(CR175)-N(CQ175)))</f>
        <v/>
      </c>
      <c r="CV175">
        <f>IF(OR(CQ$3="",CQ$3&gt;TODAY()),"",IF(AND(CT175="",CU175=""),"",N(CU175)-N(CT175)))</f>
        <v/>
      </c>
      <c r="CZ175">
        <f>IF(OR(CX$3="",CX$3&gt;TODAY()),"",IF(AND(CX175="",CY175=""),"",N(CY175)-N(CX175)))</f>
        <v/>
      </c>
      <c r="DC175">
        <f>IF(OR(CX$3="",CX$3&gt;TODAY()),"",IF(AND(DA175="",DB175=""),"",N(DB175)-N(DA175)))</f>
        <v/>
      </c>
      <c r="DG175">
        <f>IF(OR(DE$3="",DE$3&gt;TODAY()),"",IF(AND(DE175="",DF175=""),"",N(DF175)-N(DE175)))</f>
        <v/>
      </c>
      <c r="DJ175">
        <f>IF(OR(DE$3="",DE$3&gt;TODAY()),"",IF(AND(DH175="",DI175=""),"",N(DI175)-N(DH175)))</f>
        <v/>
      </c>
      <c r="DN175">
        <f>IF(OR(DL$3="",DL$3&gt;TODAY()),"",IF(AND(DL175="",DM175=""),"",N(DM175)-N(DL175)))</f>
        <v/>
      </c>
      <c r="DQ175">
        <f>IF(OR(DL$3="",DL$3&gt;TODAY()),"",IF(AND(DO175="",DP175=""),"",N(DP175)-N(DO175)))</f>
        <v/>
      </c>
      <c r="DU175">
        <f>IF(OR(DS$3="",DS$3&gt;TODAY()),"",IF(AND(DS175="",DT175=""),"",N(DT175)-N(DS175)))</f>
        <v/>
      </c>
      <c r="DX175">
        <f>IF(OR(DS$3="",DS$3&gt;TODAY()),"",IF(AND(DV175="",DW175=""),"",N(DW175)-N(DV175)))</f>
        <v/>
      </c>
      <c r="EB175">
        <f>IF(OR(DZ$3="",DZ$3&gt;TODAY()),"",IF(AND(DZ175="",EA175=""),"",N(EA175)-N(DZ175)))</f>
        <v/>
      </c>
      <c r="EE175">
        <f>IF(OR(DZ$3="",DZ$3&gt;TODAY()),"",IF(AND(EC175="",ED175=""),"",N(ED175)-N(EC175)))</f>
        <v/>
      </c>
      <c r="EI175">
        <f>IF(OR(EG$3="",EG$3&gt;TODAY()),"",IF(AND(EG175="",EH175=""),"",N(EH175)-N(EG175)))</f>
        <v/>
      </c>
      <c r="EL175">
        <f>IF(OR(EG$3="",EG$3&gt;TODAY()),"",IF(AND(EJ175="",EK175=""),"",N(EK175)-N(EJ175)))</f>
        <v/>
      </c>
      <c r="EP175">
        <f>IF(OR(EN$3="",EN$3&gt;TODAY()),"",IF(AND(EN175="",EO175=""),"",N(EO175)-N(EN175)))</f>
        <v/>
      </c>
      <c r="ES175">
        <f>IF(OR(EN$3="",EN$3&gt;TODAY()),"",IF(AND(EQ175="",ER175=""),"",N(ER175)-N(EQ175)))</f>
        <v/>
      </c>
      <c r="EW175">
        <f>IF(OR(EU$3="",EU$3&gt;TODAY()),"",IF(AND(EU175="",EV175=""),"",N(EV175)-N(EU175)))</f>
        <v/>
      </c>
      <c r="EZ175">
        <f>IF(OR(EU$3="",EU$3&gt;TODAY()),"",IF(AND(EX175="",EY175=""),"",N(EY175)-N(EX175)))</f>
        <v/>
      </c>
      <c r="FD175">
        <f>IF(OR(FB$3="",FB$3&gt;TODAY()),"",IF(AND(FB175="",FC175=""),"",N(FC175)-N(FB175)))</f>
        <v/>
      </c>
      <c r="FG175">
        <f>IF(OR(FB$3="",FB$3&gt;TODAY()),"",IF(AND(FE175="",FF175=""),"",N(FF175)-N(FE175)))</f>
        <v/>
      </c>
      <c r="FK175">
        <f>IF(OR(FI$3="",FI$3&gt;TODAY()),"",IF(AND(FI175="",FJ175=""),"",N(FJ175)-N(FI175)))</f>
        <v/>
      </c>
      <c r="FN175">
        <f>IF(OR(FI$3="",FI$3&gt;TODAY()),"",IF(AND(FL175="",FM175=""),"",N(FM175)-N(FL175)))</f>
        <v/>
      </c>
      <c r="FR175">
        <f>IF(OR(FP$3="",FP$3&gt;TODAY()),"",IF(AND(FP175="",FQ175=""),"",N(FQ175)-N(FP175)))</f>
        <v/>
      </c>
      <c r="FU175">
        <f>IF(OR(FP$3="",FP$3&gt;TODAY()),"",IF(AND(FS175="",FT175=""),"",N(FT175)-N(FS175)))</f>
        <v/>
      </c>
      <c r="FY175">
        <f>IF(OR(FW$3="",FW$3&gt;TODAY()),"",IF(AND(FW175="",FX175=""),"",N(FX175)-N(FW175)))</f>
        <v/>
      </c>
      <c r="GB175">
        <f>IF(OR(FW$3="",FW$3&gt;TODAY()),"",IF(AND(FZ175="",GA175=""),"",N(GA175)-N(FZ175)))</f>
        <v/>
      </c>
      <c r="GF175">
        <f>IF(OR(GD$3="",GD$3&gt;TODAY()),"",IF(AND(GD175="",GE175=""),"",N(GE175)-N(GD175)))</f>
        <v/>
      </c>
      <c r="GI175">
        <f>IF(OR(GD$3="",GD$3&gt;TODAY()),"",IF(AND(GG175="",GH175=""),"",N(GH175)-N(GG175)))</f>
        <v/>
      </c>
      <c r="GM175">
        <f>IF(OR(GK$3="",GK$3&gt;TODAY()),"",IF(AND(GK175="",GL175=""),"",N(GL175)-N(GK175)))</f>
        <v/>
      </c>
      <c r="GP175">
        <f>IF(OR(GK$3="",GK$3&gt;TODAY()),"",IF(AND(GN175="",GO175=""),"",N(GO175)-N(GN175)))</f>
        <v/>
      </c>
      <c r="GT175">
        <f>IF(OR(GR$3="",GR$3&gt;TODAY()),"",IF(AND(GR175="",GS175=""),"",N(GS175)-N(GR175)))</f>
        <v/>
      </c>
      <c r="GW175">
        <f>IF(OR(GR$3="",GR$3&gt;TODAY()),"",IF(AND(GU175="",GV175=""),"",N(GV175)-N(GU175)))</f>
        <v/>
      </c>
      <c r="HA175">
        <f>IF(OR(GY$3="",GY$3&gt;TODAY()),"",IF(AND(GY175="",GZ175=""),"",N(GZ175)-N(GY175)))</f>
        <v/>
      </c>
      <c r="HD175">
        <f>IF(OR(GY$3="",GY$3&gt;TODAY()),"",IF(AND(HB175="",HC175=""),"",N(HC175)-N(HB175)))</f>
        <v/>
      </c>
      <c r="HH175">
        <f>IF(OR(HF$3="",HF$3&gt;TODAY()),"",IF(AND(HF175="",HG175=""),"",N(HG175)-N(HF175)))</f>
        <v/>
      </c>
      <c r="HK175">
        <f>IF(OR(HF$3="",HF$3&gt;TODAY()),"",IF(AND(HI175="",HJ175=""),"",N(HJ175)-N(HI175)))</f>
        <v/>
      </c>
      <c r="HO175">
        <f>IF(OR(HM$3="",HM$3&gt;TODAY()),"",IF(AND(HM175="",HN175=""),"",N(HN175)-N(HM175)))</f>
        <v/>
      </c>
      <c r="HR175">
        <f>IF(OR(HM$3="",HM$3&gt;TODAY()),"",IF(AND(HP175="",HQ175=""),"",N(HQ175)-N(HP175)))</f>
        <v/>
      </c>
      <c r="HV175">
        <f>IF(OR(HT$3="",HT$3&gt;TODAY()),"",IF(AND(HT175="",HU175=""),"",N(HU175)-N(HT175)))</f>
        <v/>
      </c>
      <c r="HY175">
        <f>IF(OR(HT$3="",HT$3&gt;TODAY()),"",IF(AND(HW175="",HX175=""),"",N(HX175)-N(HW175)))</f>
        <v/>
      </c>
      <c r="IC175">
        <f>IF(OR(IA$3="",IA$3&gt;TODAY()),"",IF(AND(IA175="",IB175=""),"",N(IB175)-N(IA175)))</f>
        <v/>
      </c>
      <c r="IF175">
        <f>IF(OR(IA$3="",IA$3&gt;TODAY()),"",IF(AND(ID175="",IE175=""),"",N(IE175)-N(ID175)))</f>
        <v/>
      </c>
      <c r="IJ175">
        <f>IF(OR(IH$3="",IH$3&gt;TODAY()),"",IF(AND(IH175="",II175=""),"",N(II175)-N(IH175)))</f>
        <v/>
      </c>
      <c r="IM175">
        <f>IF(OR(IH$3="",IH$3&gt;TODAY()),"",IF(AND(IK175="",IL175=""),"",N(IL175)-N(IK175)))</f>
        <v/>
      </c>
    </row>
    <row r="176">
      <c r="A176" s="21" t="n"/>
      <c r="B176" s="21" t="n"/>
      <c r="C176" s="21" t="n"/>
      <c r="D176" s="21" t="n"/>
      <c r="E176" s="21" t="n"/>
      <c r="F176" s="21" t="n"/>
      <c r="G176" s="21" t="n"/>
      <c r="H176" s="21" t="n"/>
      <c r="I176" s="22" t="n"/>
      <c r="J176" s="22" t="n"/>
      <c r="K176" s="23" t="n"/>
      <c r="L176" s="22" t="n"/>
      <c r="M176" s="22" t="n"/>
      <c r="N176" s="21" t="n"/>
      <c r="O176" s="23" t="n"/>
      <c r="P176" s="23" t="n"/>
      <c r="Q176" s="23" t="n"/>
      <c r="R176" s="23" t="n"/>
      <c r="S176" s="22" t="n"/>
      <c r="T176" s="23" t="n"/>
      <c r="U176" s="23" t="n"/>
      <c r="V176" s="24">
        <f>IF(J176&lt;&gt;"",J176,IF(I176&lt;&gt;"",I176,""))</f>
        <v/>
      </c>
      <c r="W176" s="25">
        <f>IF($E176="","",N(O176)+SUMIFS($AF176:$IN176,$AF$4:$IN$4,"SEW_ACT"))</f>
        <v/>
      </c>
      <c r="X176" s="25">
        <f>IF($E176="","",N(P176)+SUMIFS($AF176:$IN176,$AF$4:$IN$4,"WASH_ACT"))</f>
        <v/>
      </c>
      <c r="Y176" s="25">
        <f>IF($E176="","",W176-X176-N(T176)-N(U176))</f>
        <v/>
      </c>
      <c r="Z176" s="25">
        <f>IF($E176="","",IF(N(K176)-X176&lt;=0.02*N(K176),0,N(K176)-X176))</f>
        <v/>
      </c>
      <c r="AA176" s="24">
        <f>IF($E176="","",IF(S176&lt;&gt;"",S176,IF(N(O176)&gt;0,IF(L176&lt;&gt;"",L176,99999),IFERROR(1/(1/_xlfn.MINIFS($AF$3:$IN$3,$AF$4:$IN$4,"SEW_ACT",$AF176:$IN176,"&gt;0")),99999))))</f>
        <v/>
      </c>
      <c r="AB176" s="26">
        <f>IF(OR($E176="",Z176=0,V176=""),"",1+COUNTIFS(Z$8:Z$707,"&gt;0",V$8:V$707,"&lt;"&amp;V176)+COUNTIFS(Z$8:Z$707,"&gt;0",V$8:V$707,V176,AA$8:AA$707,"&lt;"&amp;AA176)+COUNTIFS(Z$8:Z$707,"&gt;0",V$8:V$707,V176,AA$8:AA$707,AA176,E$8:E$707,"&lt;"&amp;$E176))</f>
        <v/>
      </c>
      <c r="AC176" s="24">
        <f>IF(OR($E176="",Z176=0),"",IFERROR(TODAY()+ROUNDUP(Z176/(SUMIFS($AF176:$IN176,$AF$4:$IN$4,"WASH_ACT")/COUNTIFS($AF$4:$IN$4,"WASH_ACT",$AF176:$IN176,"&gt;0")),0),"no output yet"))</f>
        <v/>
      </c>
      <c r="AD176" s="26">
        <f>IF($E176="","",IFERROR(ROUND(MAX(0,SUMIFS($AF176:$IN176,$AF$4:$IN$4,"SEW_PLAN",$AF$3:$IN$3,"&lt;="&amp;TODAY())-SUMIFS($AF176:$IN176,$AF$4:$IN$4,"SEW_ACT",$AF$3:$IN$3,"&lt;="&amp;TODAY())+N(Q176))/(SUMIFS($AF176:$IN176,$AF$4:$IN$4,"SEW_PLAN")/COUNTIFS($AF$4:$IN$4,"SEW_PLAN",$AF176:$IN176,"&gt;0")),1),0))</f>
        <v/>
      </c>
      <c r="AE176" s="26">
        <f>IF($E176="","",IF(AND(Z176&gt;0,OR(AND(M176&lt;&gt;"",TODAY()&gt;M176),AND(V176&lt;&gt;"",V176-TODAY()&lt;=7))),"Yes","No"))</f>
        <v/>
      </c>
      <c r="AH176">
        <f>IF(OR(AF$3="",AF$3&gt;TODAY()),"",IF(AND(AF176="",AG176=""),"",N(AG176)-N(AF176)))</f>
        <v/>
      </c>
      <c r="AK176">
        <f>IF(OR(AF$3="",AF$3&gt;TODAY()),"",IF(AND(AI176="",AJ176=""),"",N(AJ176)-N(AI176)))</f>
        <v/>
      </c>
      <c r="AO176">
        <f>IF(OR(AM$3="",AM$3&gt;TODAY()),"",IF(AND(AM176="",AN176=""),"",N(AN176)-N(AM176)))</f>
        <v/>
      </c>
      <c r="AR176">
        <f>IF(OR(AM$3="",AM$3&gt;TODAY()),"",IF(AND(AP176="",AQ176=""),"",N(AQ176)-N(AP176)))</f>
        <v/>
      </c>
      <c r="AV176">
        <f>IF(OR(AT$3="",AT$3&gt;TODAY()),"",IF(AND(AT176="",AU176=""),"",N(AU176)-N(AT176)))</f>
        <v/>
      </c>
      <c r="AY176">
        <f>IF(OR(AT$3="",AT$3&gt;TODAY()),"",IF(AND(AW176="",AX176=""),"",N(AX176)-N(AW176)))</f>
        <v/>
      </c>
      <c r="BC176">
        <f>IF(OR(BA$3="",BA$3&gt;TODAY()),"",IF(AND(BA176="",BB176=""),"",N(BB176)-N(BA176)))</f>
        <v/>
      </c>
      <c r="BF176">
        <f>IF(OR(BA$3="",BA$3&gt;TODAY()),"",IF(AND(BD176="",BE176=""),"",N(BE176)-N(BD176)))</f>
        <v/>
      </c>
      <c r="BJ176">
        <f>IF(OR(BH$3="",BH$3&gt;TODAY()),"",IF(AND(BH176="",BI176=""),"",N(BI176)-N(BH176)))</f>
        <v/>
      </c>
      <c r="BM176">
        <f>IF(OR(BH$3="",BH$3&gt;TODAY()),"",IF(AND(BK176="",BL176=""),"",N(BL176)-N(BK176)))</f>
        <v/>
      </c>
      <c r="BQ176">
        <f>IF(OR(BO$3="",BO$3&gt;TODAY()),"",IF(AND(BO176="",BP176=""),"",N(BP176)-N(BO176)))</f>
        <v/>
      </c>
      <c r="BT176">
        <f>IF(OR(BO$3="",BO$3&gt;TODAY()),"",IF(AND(BR176="",BS176=""),"",N(BS176)-N(BR176)))</f>
        <v/>
      </c>
      <c r="BX176">
        <f>IF(OR(BV$3="",BV$3&gt;TODAY()),"",IF(AND(BV176="",BW176=""),"",N(BW176)-N(BV176)))</f>
        <v/>
      </c>
      <c r="CA176">
        <f>IF(OR(BV$3="",BV$3&gt;TODAY()),"",IF(AND(BY176="",BZ176=""),"",N(BZ176)-N(BY176)))</f>
        <v/>
      </c>
      <c r="CE176">
        <f>IF(OR(CC$3="",CC$3&gt;TODAY()),"",IF(AND(CC176="",CD176=""),"",N(CD176)-N(CC176)))</f>
        <v/>
      </c>
      <c r="CH176">
        <f>IF(OR(CC$3="",CC$3&gt;TODAY()),"",IF(AND(CF176="",CG176=""),"",N(CG176)-N(CF176)))</f>
        <v/>
      </c>
      <c r="CL176">
        <f>IF(OR(CJ$3="",CJ$3&gt;TODAY()),"",IF(AND(CJ176="",CK176=""),"",N(CK176)-N(CJ176)))</f>
        <v/>
      </c>
      <c r="CO176">
        <f>IF(OR(CJ$3="",CJ$3&gt;TODAY()),"",IF(AND(CM176="",CN176=""),"",N(CN176)-N(CM176)))</f>
        <v/>
      </c>
      <c r="CS176">
        <f>IF(OR(CQ$3="",CQ$3&gt;TODAY()),"",IF(AND(CQ176="",CR176=""),"",N(CR176)-N(CQ176)))</f>
        <v/>
      </c>
      <c r="CV176">
        <f>IF(OR(CQ$3="",CQ$3&gt;TODAY()),"",IF(AND(CT176="",CU176=""),"",N(CU176)-N(CT176)))</f>
        <v/>
      </c>
      <c r="CZ176">
        <f>IF(OR(CX$3="",CX$3&gt;TODAY()),"",IF(AND(CX176="",CY176=""),"",N(CY176)-N(CX176)))</f>
        <v/>
      </c>
      <c r="DC176">
        <f>IF(OR(CX$3="",CX$3&gt;TODAY()),"",IF(AND(DA176="",DB176=""),"",N(DB176)-N(DA176)))</f>
        <v/>
      </c>
      <c r="DG176">
        <f>IF(OR(DE$3="",DE$3&gt;TODAY()),"",IF(AND(DE176="",DF176=""),"",N(DF176)-N(DE176)))</f>
        <v/>
      </c>
      <c r="DJ176">
        <f>IF(OR(DE$3="",DE$3&gt;TODAY()),"",IF(AND(DH176="",DI176=""),"",N(DI176)-N(DH176)))</f>
        <v/>
      </c>
      <c r="DN176">
        <f>IF(OR(DL$3="",DL$3&gt;TODAY()),"",IF(AND(DL176="",DM176=""),"",N(DM176)-N(DL176)))</f>
        <v/>
      </c>
      <c r="DQ176">
        <f>IF(OR(DL$3="",DL$3&gt;TODAY()),"",IF(AND(DO176="",DP176=""),"",N(DP176)-N(DO176)))</f>
        <v/>
      </c>
      <c r="DU176">
        <f>IF(OR(DS$3="",DS$3&gt;TODAY()),"",IF(AND(DS176="",DT176=""),"",N(DT176)-N(DS176)))</f>
        <v/>
      </c>
      <c r="DX176">
        <f>IF(OR(DS$3="",DS$3&gt;TODAY()),"",IF(AND(DV176="",DW176=""),"",N(DW176)-N(DV176)))</f>
        <v/>
      </c>
      <c r="EB176">
        <f>IF(OR(DZ$3="",DZ$3&gt;TODAY()),"",IF(AND(DZ176="",EA176=""),"",N(EA176)-N(DZ176)))</f>
        <v/>
      </c>
      <c r="EE176">
        <f>IF(OR(DZ$3="",DZ$3&gt;TODAY()),"",IF(AND(EC176="",ED176=""),"",N(ED176)-N(EC176)))</f>
        <v/>
      </c>
      <c r="EI176">
        <f>IF(OR(EG$3="",EG$3&gt;TODAY()),"",IF(AND(EG176="",EH176=""),"",N(EH176)-N(EG176)))</f>
        <v/>
      </c>
      <c r="EL176">
        <f>IF(OR(EG$3="",EG$3&gt;TODAY()),"",IF(AND(EJ176="",EK176=""),"",N(EK176)-N(EJ176)))</f>
        <v/>
      </c>
      <c r="EP176">
        <f>IF(OR(EN$3="",EN$3&gt;TODAY()),"",IF(AND(EN176="",EO176=""),"",N(EO176)-N(EN176)))</f>
        <v/>
      </c>
      <c r="ES176">
        <f>IF(OR(EN$3="",EN$3&gt;TODAY()),"",IF(AND(EQ176="",ER176=""),"",N(ER176)-N(EQ176)))</f>
        <v/>
      </c>
      <c r="EW176">
        <f>IF(OR(EU$3="",EU$3&gt;TODAY()),"",IF(AND(EU176="",EV176=""),"",N(EV176)-N(EU176)))</f>
        <v/>
      </c>
      <c r="EZ176">
        <f>IF(OR(EU$3="",EU$3&gt;TODAY()),"",IF(AND(EX176="",EY176=""),"",N(EY176)-N(EX176)))</f>
        <v/>
      </c>
      <c r="FD176">
        <f>IF(OR(FB$3="",FB$3&gt;TODAY()),"",IF(AND(FB176="",FC176=""),"",N(FC176)-N(FB176)))</f>
        <v/>
      </c>
      <c r="FG176">
        <f>IF(OR(FB$3="",FB$3&gt;TODAY()),"",IF(AND(FE176="",FF176=""),"",N(FF176)-N(FE176)))</f>
        <v/>
      </c>
      <c r="FK176">
        <f>IF(OR(FI$3="",FI$3&gt;TODAY()),"",IF(AND(FI176="",FJ176=""),"",N(FJ176)-N(FI176)))</f>
        <v/>
      </c>
      <c r="FN176">
        <f>IF(OR(FI$3="",FI$3&gt;TODAY()),"",IF(AND(FL176="",FM176=""),"",N(FM176)-N(FL176)))</f>
        <v/>
      </c>
      <c r="FR176">
        <f>IF(OR(FP$3="",FP$3&gt;TODAY()),"",IF(AND(FP176="",FQ176=""),"",N(FQ176)-N(FP176)))</f>
        <v/>
      </c>
      <c r="FU176">
        <f>IF(OR(FP$3="",FP$3&gt;TODAY()),"",IF(AND(FS176="",FT176=""),"",N(FT176)-N(FS176)))</f>
        <v/>
      </c>
      <c r="FY176">
        <f>IF(OR(FW$3="",FW$3&gt;TODAY()),"",IF(AND(FW176="",FX176=""),"",N(FX176)-N(FW176)))</f>
        <v/>
      </c>
      <c r="GB176">
        <f>IF(OR(FW$3="",FW$3&gt;TODAY()),"",IF(AND(FZ176="",GA176=""),"",N(GA176)-N(FZ176)))</f>
        <v/>
      </c>
      <c r="GF176">
        <f>IF(OR(GD$3="",GD$3&gt;TODAY()),"",IF(AND(GD176="",GE176=""),"",N(GE176)-N(GD176)))</f>
        <v/>
      </c>
      <c r="GI176">
        <f>IF(OR(GD$3="",GD$3&gt;TODAY()),"",IF(AND(GG176="",GH176=""),"",N(GH176)-N(GG176)))</f>
        <v/>
      </c>
      <c r="GM176">
        <f>IF(OR(GK$3="",GK$3&gt;TODAY()),"",IF(AND(GK176="",GL176=""),"",N(GL176)-N(GK176)))</f>
        <v/>
      </c>
      <c r="GP176">
        <f>IF(OR(GK$3="",GK$3&gt;TODAY()),"",IF(AND(GN176="",GO176=""),"",N(GO176)-N(GN176)))</f>
        <v/>
      </c>
      <c r="GT176">
        <f>IF(OR(GR$3="",GR$3&gt;TODAY()),"",IF(AND(GR176="",GS176=""),"",N(GS176)-N(GR176)))</f>
        <v/>
      </c>
      <c r="GW176">
        <f>IF(OR(GR$3="",GR$3&gt;TODAY()),"",IF(AND(GU176="",GV176=""),"",N(GV176)-N(GU176)))</f>
        <v/>
      </c>
      <c r="HA176">
        <f>IF(OR(GY$3="",GY$3&gt;TODAY()),"",IF(AND(GY176="",GZ176=""),"",N(GZ176)-N(GY176)))</f>
        <v/>
      </c>
      <c r="HD176">
        <f>IF(OR(GY$3="",GY$3&gt;TODAY()),"",IF(AND(HB176="",HC176=""),"",N(HC176)-N(HB176)))</f>
        <v/>
      </c>
      <c r="HH176">
        <f>IF(OR(HF$3="",HF$3&gt;TODAY()),"",IF(AND(HF176="",HG176=""),"",N(HG176)-N(HF176)))</f>
        <v/>
      </c>
      <c r="HK176">
        <f>IF(OR(HF$3="",HF$3&gt;TODAY()),"",IF(AND(HI176="",HJ176=""),"",N(HJ176)-N(HI176)))</f>
        <v/>
      </c>
      <c r="HO176">
        <f>IF(OR(HM$3="",HM$3&gt;TODAY()),"",IF(AND(HM176="",HN176=""),"",N(HN176)-N(HM176)))</f>
        <v/>
      </c>
      <c r="HR176">
        <f>IF(OR(HM$3="",HM$3&gt;TODAY()),"",IF(AND(HP176="",HQ176=""),"",N(HQ176)-N(HP176)))</f>
        <v/>
      </c>
      <c r="HV176">
        <f>IF(OR(HT$3="",HT$3&gt;TODAY()),"",IF(AND(HT176="",HU176=""),"",N(HU176)-N(HT176)))</f>
        <v/>
      </c>
      <c r="HY176">
        <f>IF(OR(HT$3="",HT$3&gt;TODAY()),"",IF(AND(HW176="",HX176=""),"",N(HX176)-N(HW176)))</f>
        <v/>
      </c>
      <c r="IC176">
        <f>IF(OR(IA$3="",IA$3&gt;TODAY()),"",IF(AND(IA176="",IB176=""),"",N(IB176)-N(IA176)))</f>
        <v/>
      </c>
      <c r="IF176">
        <f>IF(OR(IA$3="",IA$3&gt;TODAY()),"",IF(AND(ID176="",IE176=""),"",N(IE176)-N(ID176)))</f>
        <v/>
      </c>
      <c r="IJ176">
        <f>IF(OR(IH$3="",IH$3&gt;TODAY()),"",IF(AND(IH176="",II176=""),"",N(II176)-N(IH176)))</f>
        <v/>
      </c>
      <c r="IM176">
        <f>IF(OR(IH$3="",IH$3&gt;TODAY()),"",IF(AND(IK176="",IL176=""),"",N(IL176)-N(IK176)))</f>
        <v/>
      </c>
    </row>
    <row r="177">
      <c r="A177" s="21" t="n"/>
      <c r="B177" s="21" t="n"/>
      <c r="C177" s="21" t="n"/>
      <c r="D177" s="21" t="n"/>
      <c r="E177" s="21" t="n"/>
      <c r="F177" s="21" t="n"/>
      <c r="G177" s="21" t="n"/>
      <c r="H177" s="21" t="n"/>
      <c r="I177" s="22" t="n"/>
      <c r="J177" s="22" t="n"/>
      <c r="K177" s="23" t="n"/>
      <c r="L177" s="22" t="n"/>
      <c r="M177" s="22" t="n"/>
      <c r="N177" s="21" t="n"/>
      <c r="O177" s="23" t="n"/>
      <c r="P177" s="23" t="n"/>
      <c r="Q177" s="23" t="n"/>
      <c r="R177" s="23" t="n"/>
      <c r="S177" s="22" t="n"/>
      <c r="T177" s="23" t="n"/>
      <c r="U177" s="23" t="n"/>
      <c r="V177" s="24">
        <f>IF(J177&lt;&gt;"",J177,IF(I177&lt;&gt;"",I177,""))</f>
        <v/>
      </c>
      <c r="W177" s="25">
        <f>IF($E177="","",N(O177)+SUMIFS($AF177:$IN177,$AF$4:$IN$4,"SEW_ACT"))</f>
        <v/>
      </c>
      <c r="X177" s="25">
        <f>IF($E177="","",N(P177)+SUMIFS($AF177:$IN177,$AF$4:$IN$4,"WASH_ACT"))</f>
        <v/>
      </c>
      <c r="Y177" s="25">
        <f>IF($E177="","",W177-X177-N(T177)-N(U177))</f>
        <v/>
      </c>
      <c r="Z177" s="25">
        <f>IF($E177="","",IF(N(K177)-X177&lt;=0.02*N(K177),0,N(K177)-X177))</f>
        <v/>
      </c>
      <c r="AA177" s="24">
        <f>IF($E177="","",IF(S177&lt;&gt;"",S177,IF(N(O177)&gt;0,IF(L177&lt;&gt;"",L177,99999),IFERROR(1/(1/_xlfn.MINIFS($AF$3:$IN$3,$AF$4:$IN$4,"SEW_ACT",$AF177:$IN177,"&gt;0")),99999))))</f>
        <v/>
      </c>
      <c r="AB177" s="26">
        <f>IF(OR($E177="",Z177=0,V177=""),"",1+COUNTIFS(Z$8:Z$707,"&gt;0",V$8:V$707,"&lt;"&amp;V177)+COUNTIFS(Z$8:Z$707,"&gt;0",V$8:V$707,V177,AA$8:AA$707,"&lt;"&amp;AA177)+COUNTIFS(Z$8:Z$707,"&gt;0",V$8:V$707,V177,AA$8:AA$707,AA177,E$8:E$707,"&lt;"&amp;$E177))</f>
        <v/>
      </c>
      <c r="AC177" s="24">
        <f>IF(OR($E177="",Z177=0),"",IFERROR(TODAY()+ROUNDUP(Z177/(SUMIFS($AF177:$IN177,$AF$4:$IN$4,"WASH_ACT")/COUNTIFS($AF$4:$IN$4,"WASH_ACT",$AF177:$IN177,"&gt;0")),0),"no output yet"))</f>
        <v/>
      </c>
      <c r="AD177" s="26">
        <f>IF($E177="","",IFERROR(ROUND(MAX(0,SUMIFS($AF177:$IN177,$AF$4:$IN$4,"SEW_PLAN",$AF$3:$IN$3,"&lt;="&amp;TODAY())-SUMIFS($AF177:$IN177,$AF$4:$IN$4,"SEW_ACT",$AF$3:$IN$3,"&lt;="&amp;TODAY())+N(Q177))/(SUMIFS($AF177:$IN177,$AF$4:$IN$4,"SEW_PLAN")/COUNTIFS($AF$4:$IN$4,"SEW_PLAN",$AF177:$IN177,"&gt;0")),1),0))</f>
        <v/>
      </c>
      <c r="AE177" s="26">
        <f>IF($E177="","",IF(AND(Z177&gt;0,OR(AND(M177&lt;&gt;"",TODAY()&gt;M177),AND(V177&lt;&gt;"",V177-TODAY()&lt;=7))),"Yes","No"))</f>
        <v/>
      </c>
      <c r="AH177">
        <f>IF(OR(AF$3="",AF$3&gt;TODAY()),"",IF(AND(AF177="",AG177=""),"",N(AG177)-N(AF177)))</f>
        <v/>
      </c>
      <c r="AK177">
        <f>IF(OR(AF$3="",AF$3&gt;TODAY()),"",IF(AND(AI177="",AJ177=""),"",N(AJ177)-N(AI177)))</f>
        <v/>
      </c>
      <c r="AO177">
        <f>IF(OR(AM$3="",AM$3&gt;TODAY()),"",IF(AND(AM177="",AN177=""),"",N(AN177)-N(AM177)))</f>
        <v/>
      </c>
      <c r="AR177">
        <f>IF(OR(AM$3="",AM$3&gt;TODAY()),"",IF(AND(AP177="",AQ177=""),"",N(AQ177)-N(AP177)))</f>
        <v/>
      </c>
      <c r="AV177">
        <f>IF(OR(AT$3="",AT$3&gt;TODAY()),"",IF(AND(AT177="",AU177=""),"",N(AU177)-N(AT177)))</f>
        <v/>
      </c>
      <c r="AY177">
        <f>IF(OR(AT$3="",AT$3&gt;TODAY()),"",IF(AND(AW177="",AX177=""),"",N(AX177)-N(AW177)))</f>
        <v/>
      </c>
      <c r="BC177">
        <f>IF(OR(BA$3="",BA$3&gt;TODAY()),"",IF(AND(BA177="",BB177=""),"",N(BB177)-N(BA177)))</f>
        <v/>
      </c>
      <c r="BF177">
        <f>IF(OR(BA$3="",BA$3&gt;TODAY()),"",IF(AND(BD177="",BE177=""),"",N(BE177)-N(BD177)))</f>
        <v/>
      </c>
      <c r="BJ177">
        <f>IF(OR(BH$3="",BH$3&gt;TODAY()),"",IF(AND(BH177="",BI177=""),"",N(BI177)-N(BH177)))</f>
        <v/>
      </c>
      <c r="BM177">
        <f>IF(OR(BH$3="",BH$3&gt;TODAY()),"",IF(AND(BK177="",BL177=""),"",N(BL177)-N(BK177)))</f>
        <v/>
      </c>
      <c r="BQ177">
        <f>IF(OR(BO$3="",BO$3&gt;TODAY()),"",IF(AND(BO177="",BP177=""),"",N(BP177)-N(BO177)))</f>
        <v/>
      </c>
      <c r="BT177">
        <f>IF(OR(BO$3="",BO$3&gt;TODAY()),"",IF(AND(BR177="",BS177=""),"",N(BS177)-N(BR177)))</f>
        <v/>
      </c>
      <c r="BX177">
        <f>IF(OR(BV$3="",BV$3&gt;TODAY()),"",IF(AND(BV177="",BW177=""),"",N(BW177)-N(BV177)))</f>
        <v/>
      </c>
      <c r="CA177">
        <f>IF(OR(BV$3="",BV$3&gt;TODAY()),"",IF(AND(BY177="",BZ177=""),"",N(BZ177)-N(BY177)))</f>
        <v/>
      </c>
      <c r="CE177">
        <f>IF(OR(CC$3="",CC$3&gt;TODAY()),"",IF(AND(CC177="",CD177=""),"",N(CD177)-N(CC177)))</f>
        <v/>
      </c>
      <c r="CH177">
        <f>IF(OR(CC$3="",CC$3&gt;TODAY()),"",IF(AND(CF177="",CG177=""),"",N(CG177)-N(CF177)))</f>
        <v/>
      </c>
      <c r="CL177">
        <f>IF(OR(CJ$3="",CJ$3&gt;TODAY()),"",IF(AND(CJ177="",CK177=""),"",N(CK177)-N(CJ177)))</f>
        <v/>
      </c>
      <c r="CO177">
        <f>IF(OR(CJ$3="",CJ$3&gt;TODAY()),"",IF(AND(CM177="",CN177=""),"",N(CN177)-N(CM177)))</f>
        <v/>
      </c>
      <c r="CS177">
        <f>IF(OR(CQ$3="",CQ$3&gt;TODAY()),"",IF(AND(CQ177="",CR177=""),"",N(CR177)-N(CQ177)))</f>
        <v/>
      </c>
      <c r="CV177">
        <f>IF(OR(CQ$3="",CQ$3&gt;TODAY()),"",IF(AND(CT177="",CU177=""),"",N(CU177)-N(CT177)))</f>
        <v/>
      </c>
      <c r="CZ177">
        <f>IF(OR(CX$3="",CX$3&gt;TODAY()),"",IF(AND(CX177="",CY177=""),"",N(CY177)-N(CX177)))</f>
        <v/>
      </c>
      <c r="DC177">
        <f>IF(OR(CX$3="",CX$3&gt;TODAY()),"",IF(AND(DA177="",DB177=""),"",N(DB177)-N(DA177)))</f>
        <v/>
      </c>
      <c r="DG177">
        <f>IF(OR(DE$3="",DE$3&gt;TODAY()),"",IF(AND(DE177="",DF177=""),"",N(DF177)-N(DE177)))</f>
        <v/>
      </c>
      <c r="DJ177">
        <f>IF(OR(DE$3="",DE$3&gt;TODAY()),"",IF(AND(DH177="",DI177=""),"",N(DI177)-N(DH177)))</f>
        <v/>
      </c>
      <c r="DN177">
        <f>IF(OR(DL$3="",DL$3&gt;TODAY()),"",IF(AND(DL177="",DM177=""),"",N(DM177)-N(DL177)))</f>
        <v/>
      </c>
      <c r="DQ177">
        <f>IF(OR(DL$3="",DL$3&gt;TODAY()),"",IF(AND(DO177="",DP177=""),"",N(DP177)-N(DO177)))</f>
        <v/>
      </c>
      <c r="DU177">
        <f>IF(OR(DS$3="",DS$3&gt;TODAY()),"",IF(AND(DS177="",DT177=""),"",N(DT177)-N(DS177)))</f>
        <v/>
      </c>
      <c r="DX177">
        <f>IF(OR(DS$3="",DS$3&gt;TODAY()),"",IF(AND(DV177="",DW177=""),"",N(DW177)-N(DV177)))</f>
        <v/>
      </c>
      <c r="EB177">
        <f>IF(OR(DZ$3="",DZ$3&gt;TODAY()),"",IF(AND(DZ177="",EA177=""),"",N(EA177)-N(DZ177)))</f>
        <v/>
      </c>
      <c r="EE177">
        <f>IF(OR(DZ$3="",DZ$3&gt;TODAY()),"",IF(AND(EC177="",ED177=""),"",N(ED177)-N(EC177)))</f>
        <v/>
      </c>
      <c r="EI177">
        <f>IF(OR(EG$3="",EG$3&gt;TODAY()),"",IF(AND(EG177="",EH177=""),"",N(EH177)-N(EG177)))</f>
        <v/>
      </c>
      <c r="EL177">
        <f>IF(OR(EG$3="",EG$3&gt;TODAY()),"",IF(AND(EJ177="",EK177=""),"",N(EK177)-N(EJ177)))</f>
        <v/>
      </c>
      <c r="EP177">
        <f>IF(OR(EN$3="",EN$3&gt;TODAY()),"",IF(AND(EN177="",EO177=""),"",N(EO177)-N(EN177)))</f>
        <v/>
      </c>
      <c r="ES177">
        <f>IF(OR(EN$3="",EN$3&gt;TODAY()),"",IF(AND(EQ177="",ER177=""),"",N(ER177)-N(EQ177)))</f>
        <v/>
      </c>
      <c r="EW177">
        <f>IF(OR(EU$3="",EU$3&gt;TODAY()),"",IF(AND(EU177="",EV177=""),"",N(EV177)-N(EU177)))</f>
        <v/>
      </c>
      <c r="EZ177">
        <f>IF(OR(EU$3="",EU$3&gt;TODAY()),"",IF(AND(EX177="",EY177=""),"",N(EY177)-N(EX177)))</f>
        <v/>
      </c>
      <c r="FD177">
        <f>IF(OR(FB$3="",FB$3&gt;TODAY()),"",IF(AND(FB177="",FC177=""),"",N(FC177)-N(FB177)))</f>
        <v/>
      </c>
      <c r="FG177">
        <f>IF(OR(FB$3="",FB$3&gt;TODAY()),"",IF(AND(FE177="",FF177=""),"",N(FF177)-N(FE177)))</f>
        <v/>
      </c>
      <c r="FK177">
        <f>IF(OR(FI$3="",FI$3&gt;TODAY()),"",IF(AND(FI177="",FJ177=""),"",N(FJ177)-N(FI177)))</f>
        <v/>
      </c>
      <c r="FN177">
        <f>IF(OR(FI$3="",FI$3&gt;TODAY()),"",IF(AND(FL177="",FM177=""),"",N(FM177)-N(FL177)))</f>
        <v/>
      </c>
      <c r="FR177">
        <f>IF(OR(FP$3="",FP$3&gt;TODAY()),"",IF(AND(FP177="",FQ177=""),"",N(FQ177)-N(FP177)))</f>
        <v/>
      </c>
      <c r="FU177">
        <f>IF(OR(FP$3="",FP$3&gt;TODAY()),"",IF(AND(FS177="",FT177=""),"",N(FT177)-N(FS177)))</f>
        <v/>
      </c>
      <c r="FY177">
        <f>IF(OR(FW$3="",FW$3&gt;TODAY()),"",IF(AND(FW177="",FX177=""),"",N(FX177)-N(FW177)))</f>
        <v/>
      </c>
      <c r="GB177">
        <f>IF(OR(FW$3="",FW$3&gt;TODAY()),"",IF(AND(FZ177="",GA177=""),"",N(GA177)-N(FZ177)))</f>
        <v/>
      </c>
      <c r="GF177">
        <f>IF(OR(GD$3="",GD$3&gt;TODAY()),"",IF(AND(GD177="",GE177=""),"",N(GE177)-N(GD177)))</f>
        <v/>
      </c>
      <c r="GI177">
        <f>IF(OR(GD$3="",GD$3&gt;TODAY()),"",IF(AND(GG177="",GH177=""),"",N(GH177)-N(GG177)))</f>
        <v/>
      </c>
      <c r="GM177">
        <f>IF(OR(GK$3="",GK$3&gt;TODAY()),"",IF(AND(GK177="",GL177=""),"",N(GL177)-N(GK177)))</f>
        <v/>
      </c>
      <c r="GP177">
        <f>IF(OR(GK$3="",GK$3&gt;TODAY()),"",IF(AND(GN177="",GO177=""),"",N(GO177)-N(GN177)))</f>
        <v/>
      </c>
      <c r="GT177">
        <f>IF(OR(GR$3="",GR$3&gt;TODAY()),"",IF(AND(GR177="",GS177=""),"",N(GS177)-N(GR177)))</f>
        <v/>
      </c>
      <c r="GW177">
        <f>IF(OR(GR$3="",GR$3&gt;TODAY()),"",IF(AND(GU177="",GV177=""),"",N(GV177)-N(GU177)))</f>
        <v/>
      </c>
      <c r="HA177">
        <f>IF(OR(GY$3="",GY$3&gt;TODAY()),"",IF(AND(GY177="",GZ177=""),"",N(GZ177)-N(GY177)))</f>
        <v/>
      </c>
      <c r="HD177">
        <f>IF(OR(GY$3="",GY$3&gt;TODAY()),"",IF(AND(HB177="",HC177=""),"",N(HC177)-N(HB177)))</f>
        <v/>
      </c>
      <c r="HH177">
        <f>IF(OR(HF$3="",HF$3&gt;TODAY()),"",IF(AND(HF177="",HG177=""),"",N(HG177)-N(HF177)))</f>
        <v/>
      </c>
      <c r="HK177">
        <f>IF(OR(HF$3="",HF$3&gt;TODAY()),"",IF(AND(HI177="",HJ177=""),"",N(HJ177)-N(HI177)))</f>
        <v/>
      </c>
      <c r="HO177">
        <f>IF(OR(HM$3="",HM$3&gt;TODAY()),"",IF(AND(HM177="",HN177=""),"",N(HN177)-N(HM177)))</f>
        <v/>
      </c>
      <c r="HR177">
        <f>IF(OR(HM$3="",HM$3&gt;TODAY()),"",IF(AND(HP177="",HQ177=""),"",N(HQ177)-N(HP177)))</f>
        <v/>
      </c>
      <c r="HV177">
        <f>IF(OR(HT$3="",HT$3&gt;TODAY()),"",IF(AND(HT177="",HU177=""),"",N(HU177)-N(HT177)))</f>
        <v/>
      </c>
      <c r="HY177">
        <f>IF(OR(HT$3="",HT$3&gt;TODAY()),"",IF(AND(HW177="",HX177=""),"",N(HX177)-N(HW177)))</f>
        <v/>
      </c>
      <c r="IC177">
        <f>IF(OR(IA$3="",IA$3&gt;TODAY()),"",IF(AND(IA177="",IB177=""),"",N(IB177)-N(IA177)))</f>
        <v/>
      </c>
      <c r="IF177">
        <f>IF(OR(IA$3="",IA$3&gt;TODAY()),"",IF(AND(ID177="",IE177=""),"",N(IE177)-N(ID177)))</f>
        <v/>
      </c>
      <c r="IJ177">
        <f>IF(OR(IH$3="",IH$3&gt;TODAY()),"",IF(AND(IH177="",II177=""),"",N(II177)-N(IH177)))</f>
        <v/>
      </c>
      <c r="IM177">
        <f>IF(OR(IH$3="",IH$3&gt;TODAY()),"",IF(AND(IK177="",IL177=""),"",N(IL177)-N(IK177)))</f>
        <v/>
      </c>
    </row>
    <row r="178">
      <c r="A178" s="21" t="n"/>
      <c r="B178" s="21" t="n"/>
      <c r="C178" s="21" t="n"/>
      <c r="D178" s="21" t="n"/>
      <c r="E178" s="21" t="n"/>
      <c r="F178" s="21" t="n"/>
      <c r="G178" s="21" t="n"/>
      <c r="H178" s="21" t="n"/>
      <c r="I178" s="22" t="n"/>
      <c r="J178" s="22" t="n"/>
      <c r="K178" s="23" t="n"/>
      <c r="L178" s="22" t="n"/>
      <c r="M178" s="22" t="n"/>
      <c r="N178" s="21" t="n"/>
      <c r="O178" s="23" t="n"/>
      <c r="P178" s="23" t="n"/>
      <c r="Q178" s="23" t="n"/>
      <c r="R178" s="23" t="n"/>
      <c r="S178" s="22" t="n"/>
      <c r="T178" s="23" t="n"/>
      <c r="U178" s="23" t="n"/>
      <c r="V178" s="24">
        <f>IF(J178&lt;&gt;"",J178,IF(I178&lt;&gt;"",I178,""))</f>
        <v/>
      </c>
      <c r="W178" s="25">
        <f>IF($E178="","",N(O178)+SUMIFS($AF178:$IN178,$AF$4:$IN$4,"SEW_ACT"))</f>
        <v/>
      </c>
      <c r="X178" s="25">
        <f>IF($E178="","",N(P178)+SUMIFS($AF178:$IN178,$AF$4:$IN$4,"WASH_ACT"))</f>
        <v/>
      </c>
      <c r="Y178" s="25">
        <f>IF($E178="","",W178-X178-N(T178)-N(U178))</f>
        <v/>
      </c>
      <c r="Z178" s="25">
        <f>IF($E178="","",IF(N(K178)-X178&lt;=0.02*N(K178),0,N(K178)-X178))</f>
        <v/>
      </c>
      <c r="AA178" s="24">
        <f>IF($E178="","",IF(S178&lt;&gt;"",S178,IF(N(O178)&gt;0,IF(L178&lt;&gt;"",L178,99999),IFERROR(1/(1/_xlfn.MINIFS($AF$3:$IN$3,$AF$4:$IN$4,"SEW_ACT",$AF178:$IN178,"&gt;0")),99999))))</f>
        <v/>
      </c>
      <c r="AB178" s="26">
        <f>IF(OR($E178="",Z178=0,V178=""),"",1+COUNTIFS(Z$8:Z$707,"&gt;0",V$8:V$707,"&lt;"&amp;V178)+COUNTIFS(Z$8:Z$707,"&gt;0",V$8:V$707,V178,AA$8:AA$707,"&lt;"&amp;AA178)+COUNTIFS(Z$8:Z$707,"&gt;0",V$8:V$707,V178,AA$8:AA$707,AA178,E$8:E$707,"&lt;"&amp;$E178))</f>
        <v/>
      </c>
      <c r="AC178" s="24">
        <f>IF(OR($E178="",Z178=0),"",IFERROR(TODAY()+ROUNDUP(Z178/(SUMIFS($AF178:$IN178,$AF$4:$IN$4,"WASH_ACT")/COUNTIFS($AF$4:$IN$4,"WASH_ACT",$AF178:$IN178,"&gt;0")),0),"no output yet"))</f>
        <v/>
      </c>
      <c r="AD178" s="26">
        <f>IF($E178="","",IFERROR(ROUND(MAX(0,SUMIFS($AF178:$IN178,$AF$4:$IN$4,"SEW_PLAN",$AF$3:$IN$3,"&lt;="&amp;TODAY())-SUMIFS($AF178:$IN178,$AF$4:$IN$4,"SEW_ACT",$AF$3:$IN$3,"&lt;="&amp;TODAY())+N(Q178))/(SUMIFS($AF178:$IN178,$AF$4:$IN$4,"SEW_PLAN")/COUNTIFS($AF$4:$IN$4,"SEW_PLAN",$AF178:$IN178,"&gt;0")),1),0))</f>
        <v/>
      </c>
      <c r="AE178" s="26">
        <f>IF($E178="","",IF(AND(Z178&gt;0,OR(AND(M178&lt;&gt;"",TODAY()&gt;M178),AND(V178&lt;&gt;"",V178-TODAY()&lt;=7))),"Yes","No"))</f>
        <v/>
      </c>
      <c r="AH178">
        <f>IF(OR(AF$3="",AF$3&gt;TODAY()),"",IF(AND(AF178="",AG178=""),"",N(AG178)-N(AF178)))</f>
        <v/>
      </c>
      <c r="AK178">
        <f>IF(OR(AF$3="",AF$3&gt;TODAY()),"",IF(AND(AI178="",AJ178=""),"",N(AJ178)-N(AI178)))</f>
        <v/>
      </c>
      <c r="AO178">
        <f>IF(OR(AM$3="",AM$3&gt;TODAY()),"",IF(AND(AM178="",AN178=""),"",N(AN178)-N(AM178)))</f>
        <v/>
      </c>
      <c r="AR178">
        <f>IF(OR(AM$3="",AM$3&gt;TODAY()),"",IF(AND(AP178="",AQ178=""),"",N(AQ178)-N(AP178)))</f>
        <v/>
      </c>
      <c r="AV178">
        <f>IF(OR(AT$3="",AT$3&gt;TODAY()),"",IF(AND(AT178="",AU178=""),"",N(AU178)-N(AT178)))</f>
        <v/>
      </c>
      <c r="AY178">
        <f>IF(OR(AT$3="",AT$3&gt;TODAY()),"",IF(AND(AW178="",AX178=""),"",N(AX178)-N(AW178)))</f>
        <v/>
      </c>
      <c r="BC178">
        <f>IF(OR(BA$3="",BA$3&gt;TODAY()),"",IF(AND(BA178="",BB178=""),"",N(BB178)-N(BA178)))</f>
        <v/>
      </c>
      <c r="BF178">
        <f>IF(OR(BA$3="",BA$3&gt;TODAY()),"",IF(AND(BD178="",BE178=""),"",N(BE178)-N(BD178)))</f>
        <v/>
      </c>
      <c r="BJ178">
        <f>IF(OR(BH$3="",BH$3&gt;TODAY()),"",IF(AND(BH178="",BI178=""),"",N(BI178)-N(BH178)))</f>
        <v/>
      </c>
      <c r="BM178">
        <f>IF(OR(BH$3="",BH$3&gt;TODAY()),"",IF(AND(BK178="",BL178=""),"",N(BL178)-N(BK178)))</f>
        <v/>
      </c>
      <c r="BQ178">
        <f>IF(OR(BO$3="",BO$3&gt;TODAY()),"",IF(AND(BO178="",BP178=""),"",N(BP178)-N(BO178)))</f>
        <v/>
      </c>
      <c r="BT178">
        <f>IF(OR(BO$3="",BO$3&gt;TODAY()),"",IF(AND(BR178="",BS178=""),"",N(BS178)-N(BR178)))</f>
        <v/>
      </c>
      <c r="BX178">
        <f>IF(OR(BV$3="",BV$3&gt;TODAY()),"",IF(AND(BV178="",BW178=""),"",N(BW178)-N(BV178)))</f>
        <v/>
      </c>
      <c r="CA178">
        <f>IF(OR(BV$3="",BV$3&gt;TODAY()),"",IF(AND(BY178="",BZ178=""),"",N(BZ178)-N(BY178)))</f>
        <v/>
      </c>
      <c r="CE178">
        <f>IF(OR(CC$3="",CC$3&gt;TODAY()),"",IF(AND(CC178="",CD178=""),"",N(CD178)-N(CC178)))</f>
        <v/>
      </c>
      <c r="CH178">
        <f>IF(OR(CC$3="",CC$3&gt;TODAY()),"",IF(AND(CF178="",CG178=""),"",N(CG178)-N(CF178)))</f>
        <v/>
      </c>
      <c r="CL178">
        <f>IF(OR(CJ$3="",CJ$3&gt;TODAY()),"",IF(AND(CJ178="",CK178=""),"",N(CK178)-N(CJ178)))</f>
        <v/>
      </c>
      <c r="CO178">
        <f>IF(OR(CJ$3="",CJ$3&gt;TODAY()),"",IF(AND(CM178="",CN178=""),"",N(CN178)-N(CM178)))</f>
        <v/>
      </c>
      <c r="CS178">
        <f>IF(OR(CQ$3="",CQ$3&gt;TODAY()),"",IF(AND(CQ178="",CR178=""),"",N(CR178)-N(CQ178)))</f>
        <v/>
      </c>
      <c r="CV178">
        <f>IF(OR(CQ$3="",CQ$3&gt;TODAY()),"",IF(AND(CT178="",CU178=""),"",N(CU178)-N(CT178)))</f>
        <v/>
      </c>
      <c r="CZ178">
        <f>IF(OR(CX$3="",CX$3&gt;TODAY()),"",IF(AND(CX178="",CY178=""),"",N(CY178)-N(CX178)))</f>
        <v/>
      </c>
      <c r="DC178">
        <f>IF(OR(CX$3="",CX$3&gt;TODAY()),"",IF(AND(DA178="",DB178=""),"",N(DB178)-N(DA178)))</f>
        <v/>
      </c>
      <c r="DG178">
        <f>IF(OR(DE$3="",DE$3&gt;TODAY()),"",IF(AND(DE178="",DF178=""),"",N(DF178)-N(DE178)))</f>
        <v/>
      </c>
      <c r="DJ178">
        <f>IF(OR(DE$3="",DE$3&gt;TODAY()),"",IF(AND(DH178="",DI178=""),"",N(DI178)-N(DH178)))</f>
        <v/>
      </c>
      <c r="DN178">
        <f>IF(OR(DL$3="",DL$3&gt;TODAY()),"",IF(AND(DL178="",DM178=""),"",N(DM178)-N(DL178)))</f>
        <v/>
      </c>
      <c r="DQ178">
        <f>IF(OR(DL$3="",DL$3&gt;TODAY()),"",IF(AND(DO178="",DP178=""),"",N(DP178)-N(DO178)))</f>
        <v/>
      </c>
      <c r="DU178">
        <f>IF(OR(DS$3="",DS$3&gt;TODAY()),"",IF(AND(DS178="",DT178=""),"",N(DT178)-N(DS178)))</f>
        <v/>
      </c>
      <c r="DX178">
        <f>IF(OR(DS$3="",DS$3&gt;TODAY()),"",IF(AND(DV178="",DW178=""),"",N(DW178)-N(DV178)))</f>
        <v/>
      </c>
      <c r="EB178">
        <f>IF(OR(DZ$3="",DZ$3&gt;TODAY()),"",IF(AND(DZ178="",EA178=""),"",N(EA178)-N(DZ178)))</f>
        <v/>
      </c>
      <c r="EE178">
        <f>IF(OR(DZ$3="",DZ$3&gt;TODAY()),"",IF(AND(EC178="",ED178=""),"",N(ED178)-N(EC178)))</f>
        <v/>
      </c>
      <c r="EI178">
        <f>IF(OR(EG$3="",EG$3&gt;TODAY()),"",IF(AND(EG178="",EH178=""),"",N(EH178)-N(EG178)))</f>
        <v/>
      </c>
      <c r="EL178">
        <f>IF(OR(EG$3="",EG$3&gt;TODAY()),"",IF(AND(EJ178="",EK178=""),"",N(EK178)-N(EJ178)))</f>
        <v/>
      </c>
      <c r="EP178">
        <f>IF(OR(EN$3="",EN$3&gt;TODAY()),"",IF(AND(EN178="",EO178=""),"",N(EO178)-N(EN178)))</f>
        <v/>
      </c>
      <c r="ES178">
        <f>IF(OR(EN$3="",EN$3&gt;TODAY()),"",IF(AND(EQ178="",ER178=""),"",N(ER178)-N(EQ178)))</f>
        <v/>
      </c>
      <c r="EW178">
        <f>IF(OR(EU$3="",EU$3&gt;TODAY()),"",IF(AND(EU178="",EV178=""),"",N(EV178)-N(EU178)))</f>
        <v/>
      </c>
      <c r="EZ178">
        <f>IF(OR(EU$3="",EU$3&gt;TODAY()),"",IF(AND(EX178="",EY178=""),"",N(EY178)-N(EX178)))</f>
        <v/>
      </c>
      <c r="FD178">
        <f>IF(OR(FB$3="",FB$3&gt;TODAY()),"",IF(AND(FB178="",FC178=""),"",N(FC178)-N(FB178)))</f>
        <v/>
      </c>
      <c r="FG178">
        <f>IF(OR(FB$3="",FB$3&gt;TODAY()),"",IF(AND(FE178="",FF178=""),"",N(FF178)-N(FE178)))</f>
        <v/>
      </c>
      <c r="FK178">
        <f>IF(OR(FI$3="",FI$3&gt;TODAY()),"",IF(AND(FI178="",FJ178=""),"",N(FJ178)-N(FI178)))</f>
        <v/>
      </c>
      <c r="FN178">
        <f>IF(OR(FI$3="",FI$3&gt;TODAY()),"",IF(AND(FL178="",FM178=""),"",N(FM178)-N(FL178)))</f>
        <v/>
      </c>
      <c r="FR178">
        <f>IF(OR(FP$3="",FP$3&gt;TODAY()),"",IF(AND(FP178="",FQ178=""),"",N(FQ178)-N(FP178)))</f>
        <v/>
      </c>
      <c r="FU178">
        <f>IF(OR(FP$3="",FP$3&gt;TODAY()),"",IF(AND(FS178="",FT178=""),"",N(FT178)-N(FS178)))</f>
        <v/>
      </c>
      <c r="FY178">
        <f>IF(OR(FW$3="",FW$3&gt;TODAY()),"",IF(AND(FW178="",FX178=""),"",N(FX178)-N(FW178)))</f>
        <v/>
      </c>
      <c r="GB178">
        <f>IF(OR(FW$3="",FW$3&gt;TODAY()),"",IF(AND(FZ178="",GA178=""),"",N(GA178)-N(FZ178)))</f>
        <v/>
      </c>
      <c r="GF178">
        <f>IF(OR(GD$3="",GD$3&gt;TODAY()),"",IF(AND(GD178="",GE178=""),"",N(GE178)-N(GD178)))</f>
        <v/>
      </c>
      <c r="GI178">
        <f>IF(OR(GD$3="",GD$3&gt;TODAY()),"",IF(AND(GG178="",GH178=""),"",N(GH178)-N(GG178)))</f>
        <v/>
      </c>
      <c r="GM178">
        <f>IF(OR(GK$3="",GK$3&gt;TODAY()),"",IF(AND(GK178="",GL178=""),"",N(GL178)-N(GK178)))</f>
        <v/>
      </c>
      <c r="GP178">
        <f>IF(OR(GK$3="",GK$3&gt;TODAY()),"",IF(AND(GN178="",GO178=""),"",N(GO178)-N(GN178)))</f>
        <v/>
      </c>
      <c r="GT178">
        <f>IF(OR(GR$3="",GR$3&gt;TODAY()),"",IF(AND(GR178="",GS178=""),"",N(GS178)-N(GR178)))</f>
        <v/>
      </c>
      <c r="GW178">
        <f>IF(OR(GR$3="",GR$3&gt;TODAY()),"",IF(AND(GU178="",GV178=""),"",N(GV178)-N(GU178)))</f>
        <v/>
      </c>
      <c r="HA178">
        <f>IF(OR(GY$3="",GY$3&gt;TODAY()),"",IF(AND(GY178="",GZ178=""),"",N(GZ178)-N(GY178)))</f>
        <v/>
      </c>
      <c r="HD178">
        <f>IF(OR(GY$3="",GY$3&gt;TODAY()),"",IF(AND(HB178="",HC178=""),"",N(HC178)-N(HB178)))</f>
        <v/>
      </c>
      <c r="HH178">
        <f>IF(OR(HF$3="",HF$3&gt;TODAY()),"",IF(AND(HF178="",HG178=""),"",N(HG178)-N(HF178)))</f>
        <v/>
      </c>
      <c r="HK178">
        <f>IF(OR(HF$3="",HF$3&gt;TODAY()),"",IF(AND(HI178="",HJ178=""),"",N(HJ178)-N(HI178)))</f>
        <v/>
      </c>
      <c r="HO178">
        <f>IF(OR(HM$3="",HM$3&gt;TODAY()),"",IF(AND(HM178="",HN178=""),"",N(HN178)-N(HM178)))</f>
        <v/>
      </c>
      <c r="HR178">
        <f>IF(OR(HM$3="",HM$3&gt;TODAY()),"",IF(AND(HP178="",HQ178=""),"",N(HQ178)-N(HP178)))</f>
        <v/>
      </c>
      <c r="HV178">
        <f>IF(OR(HT$3="",HT$3&gt;TODAY()),"",IF(AND(HT178="",HU178=""),"",N(HU178)-N(HT178)))</f>
        <v/>
      </c>
      <c r="HY178">
        <f>IF(OR(HT$3="",HT$3&gt;TODAY()),"",IF(AND(HW178="",HX178=""),"",N(HX178)-N(HW178)))</f>
        <v/>
      </c>
      <c r="IC178">
        <f>IF(OR(IA$3="",IA$3&gt;TODAY()),"",IF(AND(IA178="",IB178=""),"",N(IB178)-N(IA178)))</f>
        <v/>
      </c>
      <c r="IF178">
        <f>IF(OR(IA$3="",IA$3&gt;TODAY()),"",IF(AND(ID178="",IE178=""),"",N(IE178)-N(ID178)))</f>
        <v/>
      </c>
      <c r="IJ178">
        <f>IF(OR(IH$3="",IH$3&gt;TODAY()),"",IF(AND(IH178="",II178=""),"",N(II178)-N(IH178)))</f>
        <v/>
      </c>
      <c r="IM178">
        <f>IF(OR(IH$3="",IH$3&gt;TODAY()),"",IF(AND(IK178="",IL178=""),"",N(IL178)-N(IK178)))</f>
        <v/>
      </c>
    </row>
    <row r="179">
      <c r="A179" s="21" t="n"/>
      <c r="B179" s="21" t="n"/>
      <c r="C179" s="21" t="n"/>
      <c r="D179" s="21" t="n"/>
      <c r="E179" s="21" t="n"/>
      <c r="F179" s="21" t="n"/>
      <c r="G179" s="21" t="n"/>
      <c r="H179" s="21" t="n"/>
      <c r="I179" s="22" t="n"/>
      <c r="J179" s="22" t="n"/>
      <c r="K179" s="23" t="n"/>
      <c r="L179" s="22" t="n"/>
      <c r="M179" s="22" t="n"/>
      <c r="N179" s="21" t="n"/>
      <c r="O179" s="23" t="n"/>
      <c r="P179" s="23" t="n"/>
      <c r="Q179" s="23" t="n"/>
      <c r="R179" s="23" t="n"/>
      <c r="S179" s="22" t="n"/>
      <c r="T179" s="23" t="n"/>
      <c r="U179" s="23" t="n"/>
      <c r="V179" s="24">
        <f>IF(J179&lt;&gt;"",J179,IF(I179&lt;&gt;"",I179,""))</f>
        <v/>
      </c>
      <c r="W179" s="25">
        <f>IF($E179="","",N(O179)+SUMIFS($AF179:$IN179,$AF$4:$IN$4,"SEW_ACT"))</f>
        <v/>
      </c>
      <c r="X179" s="25">
        <f>IF($E179="","",N(P179)+SUMIFS($AF179:$IN179,$AF$4:$IN$4,"WASH_ACT"))</f>
        <v/>
      </c>
      <c r="Y179" s="25">
        <f>IF($E179="","",W179-X179-N(T179)-N(U179))</f>
        <v/>
      </c>
      <c r="Z179" s="25">
        <f>IF($E179="","",IF(N(K179)-X179&lt;=0.02*N(K179),0,N(K179)-X179))</f>
        <v/>
      </c>
      <c r="AA179" s="24">
        <f>IF($E179="","",IF(S179&lt;&gt;"",S179,IF(N(O179)&gt;0,IF(L179&lt;&gt;"",L179,99999),IFERROR(1/(1/_xlfn.MINIFS($AF$3:$IN$3,$AF$4:$IN$4,"SEW_ACT",$AF179:$IN179,"&gt;0")),99999))))</f>
        <v/>
      </c>
      <c r="AB179" s="26">
        <f>IF(OR($E179="",Z179=0,V179=""),"",1+COUNTIFS(Z$8:Z$707,"&gt;0",V$8:V$707,"&lt;"&amp;V179)+COUNTIFS(Z$8:Z$707,"&gt;0",V$8:V$707,V179,AA$8:AA$707,"&lt;"&amp;AA179)+COUNTIFS(Z$8:Z$707,"&gt;0",V$8:V$707,V179,AA$8:AA$707,AA179,E$8:E$707,"&lt;"&amp;$E179))</f>
        <v/>
      </c>
      <c r="AC179" s="24">
        <f>IF(OR($E179="",Z179=0),"",IFERROR(TODAY()+ROUNDUP(Z179/(SUMIFS($AF179:$IN179,$AF$4:$IN$4,"WASH_ACT")/COUNTIFS($AF$4:$IN$4,"WASH_ACT",$AF179:$IN179,"&gt;0")),0),"no output yet"))</f>
        <v/>
      </c>
      <c r="AD179" s="26">
        <f>IF($E179="","",IFERROR(ROUND(MAX(0,SUMIFS($AF179:$IN179,$AF$4:$IN$4,"SEW_PLAN",$AF$3:$IN$3,"&lt;="&amp;TODAY())-SUMIFS($AF179:$IN179,$AF$4:$IN$4,"SEW_ACT",$AF$3:$IN$3,"&lt;="&amp;TODAY())+N(Q179))/(SUMIFS($AF179:$IN179,$AF$4:$IN$4,"SEW_PLAN")/COUNTIFS($AF$4:$IN$4,"SEW_PLAN",$AF179:$IN179,"&gt;0")),1),0))</f>
        <v/>
      </c>
      <c r="AE179" s="26">
        <f>IF($E179="","",IF(AND(Z179&gt;0,OR(AND(M179&lt;&gt;"",TODAY()&gt;M179),AND(V179&lt;&gt;"",V179-TODAY()&lt;=7))),"Yes","No"))</f>
        <v/>
      </c>
      <c r="AH179">
        <f>IF(OR(AF$3="",AF$3&gt;TODAY()),"",IF(AND(AF179="",AG179=""),"",N(AG179)-N(AF179)))</f>
        <v/>
      </c>
      <c r="AK179">
        <f>IF(OR(AF$3="",AF$3&gt;TODAY()),"",IF(AND(AI179="",AJ179=""),"",N(AJ179)-N(AI179)))</f>
        <v/>
      </c>
      <c r="AO179">
        <f>IF(OR(AM$3="",AM$3&gt;TODAY()),"",IF(AND(AM179="",AN179=""),"",N(AN179)-N(AM179)))</f>
        <v/>
      </c>
      <c r="AR179">
        <f>IF(OR(AM$3="",AM$3&gt;TODAY()),"",IF(AND(AP179="",AQ179=""),"",N(AQ179)-N(AP179)))</f>
        <v/>
      </c>
      <c r="AV179">
        <f>IF(OR(AT$3="",AT$3&gt;TODAY()),"",IF(AND(AT179="",AU179=""),"",N(AU179)-N(AT179)))</f>
        <v/>
      </c>
      <c r="AY179">
        <f>IF(OR(AT$3="",AT$3&gt;TODAY()),"",IF(AND(AW179="",AX179=""),"",N(AX179)-N(AW179)))</f>
        <v/>
      </c>
      <c r="BC179">
        <f>IF(OR(BA$3="",BA$3&gt;TODAY()),"",IF(AND(BA179="",BB179=""),"",N(BB179)-N(BA179)))</f>
        <v/>
      </c>
      <c r="BF179">
        <f>IF(OR(BA$3="",BA$3&gt;TODAY()),"",IF(AND(BD179="",BE179=""),"",N(BE179)-N(BD179)))</f>
        <v/>
      </c>
      <c r="BJ179">
        <f>IF(OR(BH$3="",BH$3&gt;TODAY()),"",IF(AND(BH179="",BI179=""),"",N(BI179)-N(BH179)))</f>
        <v/>
      </c>
      <c r="BM179">
        <f>IF(OR(BH$3="",BH$3&gt;TODAY()),"",IF(AND(BK179="",BL179=""),"",N(BL179)-N(BK179)))</f>
        <v/>
      </c>
      <c r="BQ179">
        <f>IF(OR(BO$3="",BO$3&gt;TODAY()),"",IF(AND(BO179="",BP179=""),"",N(BP179)-N(BO179)))</f>
        <v/>
      </c>
      <c r="BT179">
        <f>IF(OR(BO$3="",BO$3&gt;TODAY()),"",IF(AND(BR179="",BS179=""),"",N(BS179)-N(BR179)))</f>
        <v/>
      </c>
      <c r="BX179">
        <f>IF(OR(BV$3="",BV$3&gt;TODAY()),"",IF(AND(BV179="",BW179=""),"",N(BW179)-N(BV179)))</f>
        <v/>
      </c>
      <c r="CA179">
        <f>IF(OR(BV$3="",BV$3&gt;TODAY()),"",IF(AND(BY179="",BZ179=""),"",N(BZ179)-N(BY179)))</f>
        <v/>
      </c>
      <c r="CE179">
        <f>IF(OR(CC$3="",CC$3&gt;TODAY()),"",IF(AND(CC179="",CD179=""),"",N(CD179)-N(CC179)))</f>
        <v/>
      </c>
      <c r="CH179">
        <f>IF(OR(CC$3="",CC$3&gt;TODAY()),"",IF(AND(CF179="",CG179=""),"",N(CG179)-N(CF179)))</f>
        <v/>
      </c>
      <c r="CL179">
        <f>IF(OR(CJ$3="",CJ$3&gt;TODAY()),"",IF(AND(CJ179="",CK179=""),"",N(CK179)-N(CJ179)))</f>
        <v/>
      </c>
      <c r="CO179">
        <f>IF(OR(CJ$3="",CJ$3&gt;TODAY()),"",IF(AND(CM179="",CN179=""),"",N(CN179)-N(CM179)))</f>
        <v/>
      </c>
      <c r="CS179">
        <f>IF(OR(CQ$3="",CQ$3&gt;TODAY()),"",IF(AND(CQ179="",CR179=""),"",N(CR179)-N(CQ179)))</f>
        <v/>
      </c>
      <c r="CV179">
        <f>IF(OR(CQ$3="",CQ$3&gt;TODAY()),"",IF(AND(CT179="",CU179=""),"",N(CU179)-N(CT179)))</f>
        <v/>
      </c>
      <c r="CZ179">
        <f>IF(OR(CX$3="",CX$3&gt;TODAY()),"",IF(AND(CX179="",CY179=""),"",N(CY179)-N(CX179)))</f>
        <v/>
      </c>
      <c r="DC179">
        <f>IF(OR(CX$3="",CX$3&gt;TODAY()),"",IF(AND(DA179="",DB179=""),"",N(DB179)-N(DA179)))</f>
        <v/>
      </c>
      <c r="DG179">
        <f>IF(OR(DE$3="",DE$3&gt;TODAY()),"",IF(AND(DE179="",DF179=""),"",N(DF179)-N(DE179)))</f>
        <v/>
      </c>
      <c r="DJ179">
        <f>IF(OR(DE$3="",DE$3&gt;TODAY()),"",IF(AND(DH179="",DI179=""),"",N(DI179)-N(DH179)))</f>
        <v/>
      </c>
      <c r="DN179">
        <f>IF(OR(DL$3="",DL$3&gt;TODAY()),"",IF(AND(DL179="",DM179=""),"",N(DM179)-N(DL179)))</f>
        <v/>
      </c>
      <c r="DQ179">
        <f>IF(OR(DL$3="",DL$3&gt;TODAY()),"",IF(AND(DO179="",DP179=""),"",N(DP179)-N(DO179)))</f>
        <v/>
      </c>
      <c r="DU179">
        <f>IF(OR(DS$3="",DS$3&gt;TODAY()),"",IF(AND(DS179="",DT179=""),"",N(DT179)-N(DS179)))</f>
        <v/>
      </c>
      <c r="DX179">
        <f>IF(OR(DS$3="",DS$3&gt;TODAY()),"",IF(AND(DV179="",DW179=""),"",N(DW179)-N(DV179)))</f>
        <v/>
      </c>
      <c r="EB179">
        <f>IF(OR(DZ$3="",DZ$3&gt;TODAY()),"",IF(AND(DZ179="",EA179=""),"",N(EA179)-N(DZ179)))</f>
        <v/>
      </c>
      <c r="EE179">
        <f>IF(OR(DZ$3="",DZ$3&gt;TODAY()),"",IF(AND(EC179="",ED179=""),"",N(ED179)-N(EC179)))</f>
        <v/>
      </c>
      <c r="EI179">
        <f>IF(OR(EG$3="",EG$3&gt;TODAY()),"",IF(AND(EG179="",EH179=""),"",N(EH179)-N(EG179)))</f>
        <v/>
      </c>
      <c r="EL179">
        <f>IF(OR(EG$3="",EG$3&gt;TODAY()),"",IF(AND(EJ179="",EK179=""),"",N(EK179)-N(EJ179)))</f>
        <v/>
      </c>
      <c r="EP179">
        <f>IF(OR(EN$3="",EN$3&gt;TODAY()),"",IF(AND(EN179="",EO179=""),"",N(EO179)-N(EN179)))</f>
        <v/>
      </c>
      <c r="ES179">
        <f>IF(OR(EN$3="",EN$3&gt;TODAY()),"",IF(AND(EQ179="",ER179=""),"",N(ER179)-N(EQ179)))</f>
        <v/>
      </c>
      <c r="EW179">
        <f>IF(OR(EU$3="",EU$3&gt;TODAY()),"",IF(AND(EU179="",EV179=""),"",N(EV179)-N(EU179)))</f>
        <v/>
      </c>
      <c r="EZ179">
        <f>IF(OR(EU$3="",EU$3&gt;TODAY()),"",IF(AND(EX179="",EY179=""),"",N(EY179)-N(EX179)))</f>
        <v/>
      </c>
      <c r="FD179">
        <f>IF(OR(FB$3="",FB$3&gt;TODAY()),"",IF(AND(FB179="",FC179=""),"",N(FC179)-N(FB179)))</f>
        <v/>
      </c>
      <c r="FG179">
        <f>IF(OR(FB$3="",FB$3&gt;TODAY()),"",IF(AND(FE179="",FF179=""),"",N(FF179)-N(FE179)))</f>
        <v/>
      </c>
      <c r="FK179">
        <f>IF(OR(FI$3="",FI$3&gt;TODAY()),"",IF(AND(FI179="",FJ179=""),"",N(FJ179)-N(FI179)))</f>
        <v/>
      </c>
      <c r="FN179">
        <f>IF(OR(FI$3="",FI$3&gt;TODAY()),"",IF(AND(FL179="",FM179=""),"",N(FM179)-N(FL179)))</f>
        <v/>
      </c>
      <c r="FR179">
        <f>IF(OR(FP$3="",FP$3&gt;TODAY()),"",IF(AND(FP179="",FQ179=""),"",N(FQ179)-N(FP179)))</f>
        <v/>
      </c>
      <c r="FU179">
        <f>IF(OR(FP$3="",FP$3&gt;TODAY()),"",IF(AND(FS179="",FT179=""),"",N(FT179)-N(FS179)))</f>
        <v/>
      </c>
      <c r="FY179">
        <f>IF(OR(FW$3="",FW$3&gt;TODAY()),"",IF(AND(FW179="",FX179=""),"",N(FX179)-N(FW179)))</f>
        <v/>
      </c>
      <c r="GB179">
        <f>IF(OR(FW$3="",FW$3&gt;TODAY()),"",IF(AND(FZ179="",GA179=""),"",N(GA179)-N(FZ179)))</f>
        <v/>
      </c>
      <c r="GF179">
        <f>IF(OR(GD$3="",GD$3&gt;TODAY()),"",IF(AND(GD179="",GE179=""),"",N(GE179)-N(GD179)))</f>
        <v/>
      </c>
      <c r="GI179">
        <f>IF(OR(GD$3="",GD$3&gt;TODAY()),"",IF(AND(GG179="",GH179=""),"",N(GH179)-N(GG179)))</f>
        <v/>
      </c>
      <c r="GM179">
        <f>IF(OR(GK$3="",GK$3&gt;TODAY()),"",IF(AND(GK179="",GL179=""),"",N(GL179)-N(GK179)))</f>
        <v/>
      </c>
      <c r="GP179">
        <f>IF(OR(GK$3="",GK$3&gt;TODAY()),"",IF(AND(GN179="",GO179=""),"",N(GO179)-N(GN179)))</f>
        <v/>
      </c>
      <c r="GT179">
        <f>IF(OR(GR$3="",GR$3&gt;TODAY()),"",IF(AND(GR179="",GS179=""),"",N(GS179)-N(GR179)))</f>
        <v/>
      </c>
      <c r="GW179">
        <f>IF(OR(GR$3="",GR$3&gt;TODAY()),"",IF(AND(GU179="",GV179=""),"",N(GV179)-N(GU179)))</f>
        <v/>
      </c>
      <c r="HA179">
        <f>IF(OR(GY$3="",GY$3&gt;TODAY()),"",IF(AND(GY179="",GZ179=""),"",N(GZ179)-N(GY179)))</f>
        <v/>
      </c>
      <c r="HD179">
        <f>IF(OR(GY$3="",GY$3&gt;TODAY()),"",IF(AND(HB179="",HC179=""),"",N(HC179)-N(HB179)))</f>
        <v/>
      </c>
      <c r="HH179">
        <f>IF(OR(HF$3="",HF$3&gt;TODAY()),"",IF(AND(HF179="",HG179=""),"",N(HG179)-N(HF179)))</f>
        <v/>
      </c>
      <c r="HK179">
        <f>IF(OR(HF$3="",HF$3&gt;TODAY()),"",IF(AND(HI179="",HJ179=""),"",N(HJ179)-N(HI179)))</f>
        <v/>
      </c>
      <c r="HO179">
        <f>IF(OR(HM$3="",HM$3&gt;TODAY()),"",IF(AND(HM179="",HN179=""),"",N(HN179)-N(HM179)))</f>
        <v/>
      </c>
      <c r="HR179">
        <f>IF(OR(HM$3="",HM$3&gt;TODAY()),"",IF(AND(HP179="",HQ179=""),"",N(HQ179)-N(HP179)))</f>
        <v/>
      </c>
      <c r="HV179">
        <f>IF(OR(HT$3="",HT$3&gt;TODAY()),"",IF(AND(HT179="",HU179=""),"",N(HU179)-N(HT179)))</f>
        <v/>
      </c>
      <c r="HY179">
        <f>IF(OR(HT$3="",HT$3&gt;TODAY()),"",IF(AND(HW179="",HX179=""),"",N(HX179)-N(HW179)))</f>
        <v/>
      </c>
      <c r="IC179">
        <f>IF(OR(IA$3="",IA$3&gt;TODAY()),"",IF(AND(IA179="",IB179=""),"",N(IB179)-N(IA179)))</f>
        <v/>
      </c>
      <c r="IF179">
        <f>IF(OR(IA$3="",IA$3&gt;TODAY()),"",IF(AND(ID179="",IE179=""),"",N(IE179)-N(ID179)))</f>
        <v/>
      </c>
      <c r="IJ179">
        <f>IF(OR(IH$3="",IH$3&gt;TODAY()),"",IF(AND(IH179="",II179=""),"",N(II179)-N(IH179)))</f>
        <v/>
      </c>
      <c r="IM179">
        <f>IF(OR(IH$3="",IH$3&gt;TODAY()),"",IF(AND(IK179="",IL179=""),"",N(IL179)-N(IK179)))</f>
        <v/>
      </c>
    </row>
    <row r="180">
      <c r="A180" s="21" t="n"/>
      <c r="B180" s="21" t="n"/>
      <c r="C180" s="21" t="n"/>
      <c r="D180" s="21" t="n"/>
      <c r="E180" s="21" t="n"/>
      <c r="F180" s="21" t="n"/>
      <c r="G180" s="21" t="n"/>
      <c r="H180" s="21" t="n"/>
      <c r="I180" s="22" t="n"/>
      <c r="J180" s="22" t="n"/>
      <c r="K180" s="23" t="n"/>
      <c r="L180" s="22" t="n"/>
      <c r="M180" s="22" t="n"/>
      <c r="N180" s="21" t="n"/>
      <c r="O180" s="23" t="n"/>
      <c r="P180" s="23" t="n"/>
      <c r="Q180" s="23" t="n"/>
      <c r="R180" s="23" t="n"/>
      <c r="S180" s="22" t="n"/>
      <c r="T180" s="23" t="n"/>
      <c r="U180" s="23" t="n"/>
      <c r="V180" s="24">
        <f>IF(J180&lt;&gt;"",J180,IF(I180&lt;&gt;"",I180,""))</f>
        <v/>
      </c>
      <c r="W180" s="25">
        <f>IF($E180="","",N(O180)+SUMIFS($AF180:$IN180,$AF$4:$IN$4,"SEW_ACT"))</f>
        <v/>
      </c>
      <c r="X180" s="25">
        <f>IF($E180="","",N(P180)+SUMIFS($AF180:$IN180,$AF$4:$IN$4,"WASH_ACT"))</f>
        <v/>
      </c>
      <c r="Y180" s="25">
        <f>IF($E180="","",W180-X180-N(T180)-N(U180))</f>
        <v/>
      </c>
      <c r="Z180" s="25">
        <f>IF($E180="","",IF(N(K180)-X180&lt;=0.02*N(K180),0,N(K180)-X180))</f>
        <v/>
      </c>
      <c r="AA180" s="24">
        <f>IF($E180="","",IF(S180&lt;&gt;"",S180,IF(N(O180)&gt;0,IF(L180&lt;&gt;"",L180,99999),IFERROR(1/(1/_xlfn.MINIFS($AF$3:$IN$3,$AF$4:$IN$4,"SEW_ACT",$AF180:$IN180,"&gt;0")),99999))))</f>
        <v/>
      </c>
      <c r="AB180" s="26">
        <f>IF(OR($E180="",Z180=0,V180=""),"",1+COUNTIFS(Z$8:Z$707,"&gt;0",V$8:V$707,"&lt;"&amp;V180)+COUNTIFS(Z$8:Z$707,"&gt;0",V$8:V$707,V180,AA$8:AA$707,"&lt;"&amp;AA180)+COUNTIFS(Z$8:Z$707,"&gt;0",V$8:V$707,V180,AA$8:AA$707,AA180,E$8:E$707,"&lt;"&amp;$E180))</f>
        <v/>
      </c>
      <c r="AC180" s="24">
        <f>IF(OR($E180="",Z180=0),"",IFERROR(TODAY()+ROUNDUP(Z180/(SUMIFS($AF180:$IN180,$AF$4:$IN$4,"WASH_ACT")/COUNTIFS($AF$4:$IN$4,"WASH_ACT",$AF180:$IN180,"&gt;0")),0),"no output yet"))</f>
        <v/>
      </c>
      <c r="AD180" s="26">
        <f>IF($E180="","",IFERROR(ROUND(MAX(0,SUMIFS($AF180:$IN180,$AF$4:$IN$4,"SEW_PLAN",$AF$3:$IN$3,"&lt;="&amp;TODAY())-SUMIFS($AF180:$IN180,$AF$4:$IN$4,"SEW_ACT",$AF$3:$IN$3,"&lt;="&amp;TODAY())+N(Q180))/(SUMIFS($AF180:$IN180,$AF$4:$IN$4,"SEW_PLAN")/COUNTIFS($AF$4:$IN$4,"SEW_PLAN",$AF180:$IN180,"&gt;0")),1),0))</f>
        <v/>
      </c>
      <c r="AE180" s="26">
        <f>IF($E180="","",IF(AND(Z180&gt;0,OR(AND(M180&lt;&gt;"",TODAY()&gt;M180),AND(V180&lt;&gt;"",V180-TODAY()&lt;=7))),"Yes","No"))</f>
        <v/>
      </c>
      <c r="AH180">
        <f>IF(OR(AF$3="",AF$3&gt;TODAY()),"",IF(AND(AF180="",AG180=""),"",N(AG180)-N(AF180)))</f>
        <v/>
      </c>
      <c r="AK180">
        <f>IF(OR(AF$3="",AF$3&gt;TODAY()),"",IF(AND(AI180="",AJ180=""),"",N(AJ180)-N(AI180)))</f>
        <v/>
      </c>
      <c r="AO180">
        <f>IF(OR(AM$3="",AM$3&gt;TODAY()),"",IF(AND(AM180="",AN180=""),"",N(AN180)-N(AM180)))</f>
        <v/>
      </c>
      <c r="AR180">
        <f>IF(OR(AM$3="",AM$3&gt;TODAY()),"",IF(AND(AP180="",AQ180=""),"",N(AQ180)-N(AP180)))</f>
        <v/>
      </c>
      <c r="AV180">
        <f>IF(OR(AT$3="",AT$3&gt;TODAY()),"",IF(AND(AT180="",AU180=""),"",N(AU180)-N(AT180)))</f>
        <v/>
      </c>
      <c r="AY180">
        <f>IF(OR(AT$3="",AT$3&gt;TODAY()),"",IF(AND(AW180="",AX180=""),"",N(AX180)-N(AW180)))</f>
        <v/>
      </c>
      <c r="BC180">
        <f>IF(OR(BA$3="",BA$3&gt;TODAY()),"",IF(AND(BA180="",BB180=""),"",N(BB180)-N(BA180)))</f>
        <v/>
      </c>
      <c r="BF180">
        <f>IF(OR(BA$3="",BA$3&gt;TODAY()),"",IF(AND(BD180="",BE180=""),"",N(BE180)-N(BD180)))</f>
        <v/>
      </c>
      <c r="BJ180">
        <f>IF(OR(BH$3="",BH$3&gt;TODAY()),"",IF(AND(BH180="",BI180=""),"",N(BI180)-N(BH180)))</f>
        <v/>
      </c>
      <c r="BM180">
        <f>IF(OR(BH$3="",BH$3&gt;TODAY()),"",IF(AND(BK180="",BL180=""),"",N(BL180)-N(BK180)))</f>
        <v/>
      </c>
      <c r="BQ180">
        <f>IF(OR(BO$3="",BO$3&gt;TODAY()),"",IF(AND(BO180="",BP180=""),"",N(BP180)-N(BO180)))</f>
        <v/>
      </c>
      <c r="BT180">
        <f>IF(OR(BO$3="",BO$3&gt;TODAY()),"",IF(AND(BR180="",BS180=""),"",N(BS180)-N(BR180)))</f>
        <v/>
      </c>
      <c r="BX180">
        <f>IF(OR(BV$3="",BV$3&gt;TODAY()),"",IF(AND(BV180="",BW180=""),"",N(BW180)-N(BV180)))</f>
        <v/>
      </c>
      <c r="CA180">
        <f>IF(OR(BV$3="",BV$3&gt;TODAY()),"",IF(AND(BY180="",BZ180=""),"",N(BZ180)-N(BY180)))</f>
        <v/>
      </c>
      <c r="CE180">
        <f>IF(OR(CC$3="",CC$3&gt;TODAY()),"",IF(AND(CC180="",CD180=""),"",N(CD180)-N(CC180)))</f>
        <v/>
      </c>
      <c r="CH180">
        <f>IF(OR(CC$3="",CC$3&gt;TODAY()),"",IF(AND(CF180="",CG180=""),"",N(CG180)-N(CF180)))</f>
        <v/>
      </c>
      <c r="CL180">
        <f>IF(OR(CJ$3="",CJ$3&gt;TODAY()),"",IF(AND(CJ180="",CK180=""),"",N(CK180)-N(CJ180)))</f>
        <v/>
      </c>
      <c r="CO180">
        <f>IF(OR(CJ$3="",CJ$3&gt;TODAY()),"",IF(AND(CM180="",CN180=""),"",N(CN180)-N(CM180)))</f>
        <v/>
      </c>
      <c r="CS180">
        <f>IF(OR(CQ$3="",CQ$3&gt;TODAY()),"",IF(AND(CQ180="",CR180=""),"",N(CR180)-N(CQ180)))</f>
        <v/>
      </c>
      <c r="CV180">
        <f>IF(OR(CQ$3="",CQ$3&gt;TODAY()),"",IF(AND(CT180="",CU180=""),"",N(CU180)-N(CT180)))</f>
        <v/>
      </c>
      <c r="CZ180">
        <f>IF(OR(CX$3="",CX$3&gt;TODAY()),"",IF(AND(CX180="",CY180=""),"",N(CY180)-N(CX180)))</f>
        <v/>
      </c>
      <c r="DC180">
        <f>IF(OR(CX$3="",CX$3&gt;TODAY()),"",IF(AND(DA180="",DB180=""),"",N(DB180)-N(DA180)))</f>
        <v/>
      </c>
      <c r="DG180">
        <f>IF(OR(DE$3="",DE$3&gt;TODAY()),"",IF(AND(DE180="",DF180=""),"",N(DF180)-N(DE180)))</f>
        <v/>
      </c>
      <c r="DJ180">
        <f>IF(OR(DE$3="",DE$3&gt;TODAY()),"",IF(AND(DH180="",DI180=""),"",N(DI180)-N(DH180)))</f>
        <v/>
      </c>
      <c r="DN180">
        <f>IF(OR(DL$3="",DL$3&gt;TODAY()),"",IF(AND(DL180="",DM180=""),"",N(DM180)-N(DL180)))</f>
        <v/>
      </c>
      <c r="DQ180">
        <f>IF(OR(DL$3="",DL$3&gt;TODAY()),"",IF(AND(DO180="",DP180=""),"",N(DP180)-N(DO180)))</f>
        <v/>
      </c>
      <c r="DU180">
        <f>IF(OR(DS$3="",DS$3&gt;TODAY()),"",IF(AND(DS180="",DT180=""),"",N(DT180)-N(DS180)))</f>
        <v/>
      </c>
      <c r="DX180">
        <f>IF(OR(DS$3="",DS$3&gt;TODAY()),"",IF(AND(DV180="",DW180=""),"",N(DW180)-N(DV180)))</f>
        <v/>
      </c>
      <c r="EB180">
        <f>IF(OR(DZ$3="",DZ$3&gt;TODAY()),"",IF(AND(DZ180="",EA180=""),"",N(EA180)-N(DZ180)))</f>
        <v/>
      </c>
      <c r="EE180">
        <f>IF(OR(DZ$3="",DZ$3&gt;TODAY()),"",IF(AND(EC180="",ED180=""),"",N(ED180)-N(EC180)))</f>
        <v/>
      </c>
      <c r="EI180">
        <f>IF(OR(EG$3="",EG$3&gt;TODAY()),"",IF(AND(EG180="",EH180=""),"",N(EH180)-N(EG180)))</f>
        <v/>
      </c>
      <c r="EL180">
        <f>IF(OR(EG$3="",EG$3&gt;TODAY()),"",IF(AND(EJ180="",EK180=""),"",N(EK180)-N(EJ180)))</f>
        <v/>
      </c>
      <c r="EP180">
        <f>IF(OR(EN$3="",EN$3&gt;TODAY()),"",IF(AND(EN180="",EO180=""),"",N(EO180)-N(EN180)))</f>
        <v/>
      </c>
      <c r="ES180">
        <f>IF(OR(EN$3="",EN$3&gt;TODAY()),"",IF(AND(EQ180="",ER180=""),"",N(ER180)-N(EQ180)))</f>
        <v/>
      </c>
      <c r="EW180">
        <f>IF(OR(EU$3="",EU$3&gt;TODAY()),"",IF(AND(EU180="",EV180=""),"",N(EV180)-N(EU180)))</f>
        <v/>
      </c>
      <c r="EZ180">
        <f>IF(OR(EU$3="",EU$3&gt;TODAY()),"",IF(AND(EX180="",EY180=""),"",N(EY180)-N(EX180)))</f>
        <v/>
      </c>
      <c r="FD180">
        <f>IF(OR(FB$3="",FB$3&gt;TODAY()),"",IF(AND(FB180="",FC180=""),"",N(FC180)-N(FB180)))</f>
        <v/>
      </c>
      <c r="FG180">
        <f>IF(OR(FB$3="",FB$3&gt;TODAY()),"",IF(AND(FE180="",FF180=""),"",N(FF180)-N(FE180)))</f>
        <v/>
      </c>
      <c r="FK180">
        <f>IF(OR(FI$3="",FI$3&gt;TODAY()),"",IF(AND(FI180="",FJ180=""),"",N(FJ180)-N(FI180)))</f>
        <v/>
      </c>
      <c r="FN180">
        <f>IF(OR(FI$3="",FI$3&gt;TODAY()),"",IF(AND(FL180="",FM180=""),"",N(FM180)-N(FL180)))</f>
        <v/>
      </c>
      <c r="FR180">
        <f>IF(OR(FP$3="",FP$3&gt;TODAY()),"",IF(AND(FP180="",FQ180=""),"",N(FQ180)-N(FP180)))</f>
        <v/>
      </c>
      <c r="FU180">
        <f>IF(OR(FP$3="",FP$3&gt;TODAY()),"",IF(AND(FS180="",FT180=""),"",N(FT180)-N(FS180)))</f>
        <v/>
      </c>
      <c r="FY180">
        <f>IF(OR(FW$3="",FW$3&gt;TODAY()),"",IF(AND(FW180="",FX180=""),"",N(FX180)-N(FW180)))</f>
        <v/>
      </c>
      <c r="GB180">
        <f>IF(OR(FW$3="",FW$3&gt;TODAY()),"",IF(AND(FZ180="",GA180=""),"",N(GA180)-N(FZ180)))</f>
        <v/>
      </c>
      <c r="GF180">
        <f>IF(OR(GD$3="",GD$3&gt;TODAY()),"",IF(AND(GD180="",GE180=""),"",N(GE180)-N(GD180)))</f>
        <v/>
      </c>
      <c r="GI180">
        <f>IF(OR(GD$3="",GD$3&gt;TODAY()),"",IF(AND(GG180="",GH180=""),"",N(GH180)-N(GG180)))</f>
        <v/>
      </c>
      <c r="GM180">
        <f>IF(OR(GK$3="",GK$3&gt;TODAY()),"",IF(AND(GK180="",GL180=""),"",N(GL180)-N(GK180)))</f>
        <v/>
      </c>
      <c r="GP180">
        <f>IF(OR(GK$3="",GK$3&gt;TODAY()),"",IF(AND(GN180="",GO180=""),"",N(GO180)-N(GN180)))</f>
        <v/>
      </c>
      <c r="GT180">
        <f>IF(OR(GR$3="",GR$3&gt;TODAY()),"",IF(AND(GR180="",GS180=""),"",N(GS180)-N(GR180)))</f>
        <v/>
      </c>
      <c r="GW180">
        <f>IF(OR(GR$3="",GR$3&gt;TODAY()),"",IF(AND(GU180="",GV180=""),"",N(GV180)-N(GU180)))</f>
        <v/>
      </c>
      <c r="HA180">
        <f>IF(OR(GY$3="",GY$3&gt;TODAY()),"",IF(AND(GY180="",GZ180=""),"",N(GZ180)-N(GY180)))</f>
        <v/>
      </c>
      <c r="HD180">
        <f>IF(OR(GY$3="",GY$3&gt;TODAY()),"",IF(AND(HB180="",HC180=""),"",N(HC180)-N(HB180)))</f>
        <v/>
      </c>
      <c r="HH180">
        <f>IF(OR(HF$3="",HF$3&gt;TODAY()),"",IF(AND(HF180="",HG180=""),"",N(HG180)-N(HF180)))</f>
        <v/>
      </c>
      <c r="HK180">
        <f>IF(OR(HF$3="",HF$3&gt;TODAY()),"",IF(AND(HI180="",HJ180=""),"",N(HJ180)-N(HI180)))</f>
        <v/>
      </c>
      <c r="HO180">
        <f>IF(OR(HM$3="",HM$3&gt;TODAY()),"",IF(AND(HM180="",HN180=""),"",N(HN180)-N(HM180)))</f>
        <v/>
      </c>
      <c r="HR180">
        <f>IF(OR(HM$3="",HM$3&gt;TODAY()),"",IF(AND(HP180="",HQ180=""),"",N(HQ180)-N(HP180)))</f>
        <v/>
      </c>
      <c r="HV180">
        <f>IF(OR(HT$3="",HT$3&gt;TODAY()),"",IF(AND(HT180="",HU180=""),"",N(HU180)-N(HT180)))</f>
        <v/>
      </c>
      <c r="HY180">
        <f>IF(OR(HT$3="",HT$3&gt;TODAY()),"",IF(AND(HW180="",HX180=""),"",N(HX180)-N(HW180)))</f>
        <v/>
      </c>
      <c r="IC180">
        <f>IF(OR(IA$3="",IA$3&gt;TODAY()),"",IF(AND(IA180="",IB180=""),"",N(IB180)-N(IA180)))</f>
        <v/>
      </c>
      <c r="IF180">
        <f>IF(OR(IA$3="",IA$3&gt;TODAY()),"",IF(AND(ID180="",IE180=""),"",N(IE180)-N(ID180)))</f>
        <v/>
      </c>
      <c r="IJ180">
        <f>IF(OR(IH$3="",IH$3&gt;TODAY()),"",IF(AND(IH180="",II180=""),"",N(II180)-N(IH180)))</f>
        <v/>
      </c>
      <c r="IM180">
        <f>IF(OR(IH$3="",IH$3&gt;TODAY()),"",IF(AND(IK180="",IL180=""),"",N(IL180)-N(IK180)))</f>
        <v/>
      </c>
    </row>
    <row r="181">
      <c r="A181" s="21" t="n"/>
      <c r="B181" s="21" t="n"/>
      <c r="C181" s="21" t="n"/>
      <c r="D181" s="21" t="n"/>
      <c r="E181" s="21" t="n"/>
      <c r="F181" s="21" t="n"/>
      <c r="G181" s="21" t="n"/>
      <c r="H181" s="21" t="n"/>
      <c r="I181" s="22" t="n"/>
      <c r="J181" s="22" t="n"/>
      <c r="K181" s="23" t="n"/>
      <c r="L181" s="22" t="n"/>
      <c r="M181" s="22" t="n"/>
      <c r="N181" s="21" t="n"/>
      <c r="O181" s="23" t="n"/>
      <c r="P181" s="23" t="n"/>
      <c r="Q181" s="23" t="n"/>
      <c r="R181" s="23" t="n"/>
      <c r="S181" s="22" t="n"/>
      <c r="T181" s="23" t="n"/>
      <c r="U181" s="23" t="n"/>
      <c r="V181" s="24">
        <f>IF(J181&lt;&gt;"",J181,IF(I181&lt;&gt;"",I181,""))</f>
        <v/>
      </c>
      <c r="W181" s="25">
        <f>IF($E181="","",N(O181)+SUMIFS($AF181:$IN181,$AF$4:$IN$4,"SEW_ACT"))</f>
        <v/>
      </c>
      <c r="X181" s="25">
        <f>IF($E181="","",N(P181)+SUMIFS($AF181:$IN181,$AF$4:$IN$4,"WASH_ACT"))</f>
        <v/>
      </c>
      <c r="Y181" s="25">
        <f>IF($E181="","",W181-X181-N(T181)-N(U181))</f>
        <v/>
      </c>
      <c r="Z181" s="25">
        <f>IF($E181="","",IF(N(K181)-X181&lt;=0.02*N(K181),0,N(K181)-X181))</f>
        <v/>
      </c>
      <c r="AA181" s="24">
        <f>IF($E181="","",IF(S181&lt;&gt;"",S181,IF(N(O181)&gt;0,IF(L181&lt;&gt;"",L181,99999),IFERROR(1/(1/_xlfn.MINIFS($AF$3:$IN$3,$AF$4:$IN$4,"SEW_ACT",$AF181:$IN181,"&gt;0")),99999))))</f>
        <v/>
      </c>
      <c r="AB181" s="26">
        <f>IF(OR($E181="",Z181=0,V181=""),"",1+COUNTIFS(Z$8:Z$707,"&gt;0",V$8:V$707,"&lt;"&amp;V181)+COUNTIFS(Z$8:Z$707,"&gt;0",V$8:V$707,V181,AA$8:AA$707,"&lt;"&amp;AA181)+COUNTIFS(Z$8:Z$707,"&gt;0",V$8:V$707,V181,AA$8:AA$707,AA181,E$8:E$707,"&lt;"&amp;$E181))</f>
        <v/>
      </c>
      <c r="AC181" s="24">
        <f>IF(OR($E181="",Z181=0),"",IFERROR(TODAY()+ROUNDUP(Z181/(SUMIFS($AF181:$IN181,$AF$4:$IN$4,"WASH_ACT")/COUNTIFS($AF$4:$IN$4,"WASH_ACT",$AF181:$IN181,"&gt;0")),0),"no output yet"))</f>
        <v/>
      </c>
      <c r="AD181" s="26">
        <f>IF($E181="","",IFERROR(ROUND(MAX(0,SUMIFS($AF181:$IN181,$AF$4:$IN$4,"SEW_PLAN",$AF$3:$IN$3,"&lt;="&amp;TODAY())-SUMIFS($AF181:$IN181,$AF$4:$IN$4,"SEW_ACT",$AF$3:$IN$3,"&lt;="&amp;TODAY())+N(Q181))/(SUMIFS($AF181:$IN181,$AF$4:$IN$4,"SEW_PLAN")/COUNTIFS($AF$4:$IN$4,"SEW_PLAN",$AF181:$IN181,"&gt;0")),1),0))</f>
        <v/>
      </c>
      <c r="AE181" s="26">
        <f>IF($E181="","",IF(AND(Z181&gt;0,OR(AND(M181&lt;&gt;"",TODAY()&gt;M181),AND(V181&lt;&gt;"",V181-TODAY()&lt;=7))),"Yes","No"))</f>
        <v/>
      </c>
      <c r="AH181">
        <f>IF(OR(AF$3="",AF$3&gt;TODAY()),"",IF(AND(AF181="",AG181=""),"",N(AG181)-N(AF181)))</f>
        <v/>
      </c>
      <c r="AK181">
        <f>IF(OR(AF$3="",AF$3&gt;TODAY()),"",IF(AND(AI181="",AJ181=""),"",N(AJ181)-N(AI181)))</f>
        <v/>
      </c>
      <c r="AO181">
        <f>IF(OR(AM$3="",AM$3&gt;TODAY()),"",IF(AND(AM181="",AN181=""),"",N(AN181)-N(AM181)))</f>
        <v/>
      </c>
      <c r="AR181">
        <f>IF(OR(AM$3="",AM$3&gt;TODAY()),"",IF(AND(AP181="",AQ181=""),"",N(AQ181)-N(AP181)))</f>
        <v/>
      </c>
      <c r="AV181">
        <f>IF(OR(AT$3="",AT$3&gt;TODAY()),"",IF(AND(AT181="",AU181=""),"",N(AU181)-N(AT181)))</f>
        <v/>
      </c>
      <c r="AY181">
        <f>IF(OR(AT$3="",AT$3&gt;TODAY()),"",IF(AND(AW181="",AX181=""),"",N(AX181)-N(AW181)))</f>
        <v/>
      </c>
      <c r="BC181">
        <f>IF(OR(BA$3="",BA$3&gt;TODAY()),"",IF(AND(BA181="",BB181=""),"",N(BB181)-N(BA181)))</f>
        <v/>
      </c>
      <c r="BF181">
        <f>IF(OR(BA$3="",BA$3&gt;TODAY()),"",IF(AND(BD181="",BE181=""),"",N(BE181)-N(BD181)))</f>
        <v/>
      </c>
      <c r="BJ181">
        <f>IF(OR(BH$3="",BH$3&gt;TODAY()),"",IF(AND(BH181="",BI181=""),"",N(BI181)-N(BH181)))</f>
        <v/>
      </c>
      <c r="BM181">
        <f>IF(OR(BH$3="",BH$3&gt;TODAY()),"",IF(AND(BK181="",BL181=""),"",N(BL181)-N(BK181)))</f>
        <v/>
      </c>
      <c r="BQ181">
        <f>IF(OR(BO$3="",BO$3&gt;TODAY()),"",IF(AND(BO181="",BP181=""),"",N(BP181)-N(BO181)))</f>
        <v/>
      </c>
      <c r="BT181">
        <f>IF(OR(BO$3="",BO$3&gt;TODAY()),"",IF(AND(BR181="",BS181=""),"",N(BS181)-N(BR181)))</f>
        <v/>
      </c>
      <c r="BX181">
        <f>IF(OR(BV$3="",BV$3&gt;TODAY()),"",IF(AND(BV181="",BW181=""),"",N(BW181)-N(BV181)))</f>
        <v/>
      </c>
      <c r="CA181">
        <f>IF(OR(BV$3="",BV$3&gt;TODAY()),"",IF(AND(BY181="",BZ181=""),"",N(BZ181)-N(BY181)))</f>
        <v/>
      </c>
      <c r="CE181">
        <f>IF(OR(CC$3="",CC$3&gt;TODAY()),"",IF(AND(CC181="",CD181=""),"",N(CD181)-N(CC181)))</f>
        <v/>
      </c>
      <c r="CH181">
        <f>IF(OR(CC$3="",CC$3&gt;TODAY()),"",IF(AND(CF181="",CG181=""),"",N(CG181)-N(CF181)))</f>
        <v/>
      </c>
      <c r="CL181">
        <f>IF(OR(CJ$3="",CJ$3&gt;TODAY()),"",IF(AND(CJ181="",CK181=""),"",N(CK181)-N(CJ181)))</f>
        <v/>
      </c>
      <c r="CO181">
        <f>IF(OR(CJ$3="",CJ$3&gt;TODAY()),"",IF(AND(CM181="",CN181=""),"",N(CN181)-N(CM181)))</f>
        <v/>
      </c>
      <c r="CS181">
        <f>IF(OR(CQ$3="",CQ$3&gt;TODAY()),"",IF(AND(CQ181="",CR181=""),"",N(CR181)-N(CQ181)))</f>
        <v/>
      </c>
      <c r="CV181">
        <f>IF(OR(CQ$3="",CQ$3&gt;TODAY()),"",IF(AND(CT181="",CU181=""),"",N(CU181)-N(CT181)))</f>
        <v/>
      </c>
      <c r="CZ181">
        <f>IF(OR(CX$3="",CX$3&gt;TODAY()),"",IF(AND(CX181="",CY181=""),"",N(CY181)-N(CX181)))</f>
        <v/>
      </c>
      <c r="DC181">
        <f>IF(OR(CX$3="",CX$3&gt;TODAY()),"",IF(AND(DA181="",DB181=""),"",N(DB181)-N(DA181)))</f>
        <v/>
      </c>
      <c r="DG181">
        <f>IF(OR(DE$3="",DE$3&gt;TODAY()),"",IF(AND(DE181="",DF181=""),"",N(DF181)-N(DE181)))</f>
        <v/>
      </c>
      <c r="DJ181">
        <f>IF(OR(DE$3="",DE$3&gt;TODAY()),"",IF(AND(DH181="",DI181=""),"",N(DI181)-N(DH181)))</f>
        <v/>
      </c>
      <c r="DN181">
        <f>IF(OR(DL$3="",DL$3&gt;TODAY()),"",IF(AND(DL181="",DM181=""),"",N(DM181)-N(DL181)))</f>
        <v/>
      </c>
      <c r="DQ181">
        <f>IF(OR(DL$3="",DL$3&gt;TODAY()),"",IF(AND(DO181="",DP181=""),"",N(DP181)-N(DO181)))</f>
        <v/>
      </c>
      <c r="DU181">
        <f>IF(OR(DS$3="",DS$3&gt;TODAY()),"",IF(AND(DS181="",DT181=""),"",N(DT181)-N(DS181)))</f>
        <v/>
      </c>
      <c r="DX181">
        <f>IF(OR(DS$3="",DS$3&gt;TODAY()),"",IF(AND(DV181="",DW181=""),"",N(DW181)-N(DV181)))</f>
        <v/>
      </c>
      <c r="EB181">
        <f>IF(OR(DZ$3="",DZ$3&gt;TODAY()),"",IF(AND(DZ181="",EA181=""),"",N(EA181)-N(DZ181)))</f>
        <v/>
      </c>
      <c r="EE181">
        <f>IF(OR(DZ$3="",DZ$3&gt;TODAY()),"",IF(AND(EC181="",ED181=""),"",N(ED181)-N(EC181)))</f>
        <v/>
      </c>
      <c r="EI181">
        <f>IF(OR(EG$3="",EG$3&gt;TODAY()),"",IF(AND(EG181="",EH181=""),"",N(EH181)-N(EG181)))</f>
        <v/>
      </c>
      <c r="EL181">
        <f>IF(OR(EG$3="",EG$3&gt;TODAY()),"",IF(AND(EJ181="",EK181=""),"",N(EK181)-N(EJ181)))</f>
        <v/>
      </c>
      <c r="EP181">
        <f>IF(OR(EN$3="",EN$3&gt;TODAY()),"",IF(AND(EN181="",EO181=""),"",N(EO181)-N(EN181)))</f>
        <v/>
      </c>
      <c r="ES181">
        <f>IF(OR(EN$3="",EN$3&gt;TODAY()),"",IF(AND(EQ181="",ER181=""),"",N(ER181)-N(EQ181)))</f>
        <v/>
      </c>
      <c r="EW181">
        <f>IF(OR(EU$3="",EU$3&gt;TODAY()),"",IF(AND(EU181="",EV181=""),"",N(EV181)-N(EU181)))</f>
        <v/>
      </c>
      <c r="EZ181">
        <f>IF(OR(EU$3="",EU$3&gt;TODAY()),"",IF(AND(EX181="",EY181=""),"",N(EY181)-N(EX181)))</f>
        <v/>
      </c>
      <c r="FD181">
        <f>IF(OR(FB$3="",FB$3&gt;TODAY()),"",IF(AND(FB181="",FC181=""),"",N(FC181)-N(FB181)))</f>
        <v/>
      </c>
      <c r="FG181">
        <f>IF(OR(FB$3="",FB$3&gt;TODAY()),"",IF(AND(FE181="",FF181=""),"",N(FF181)-N(FE181)))</f>
        <v/>
      </c>
      <c r="FK181">
        <f>IF(OR(FI$3="",FI$3&gt;TODAY()),"",IF(AND(FI181="",FJ181=""),"",N(FJ181)-N(FI181)))</f>
        <v/>
      </c>
      <c r="FN181">
        <f>IF(OR(FI$3="",FI$3&gt;TODAY()),"",IF(AND(FL181="",FM181=""),"",N(FM181)-N(FL181)))</f>
        <v/>
      </c>
      <c r="FR181">
        <f>IF(OR(FP$3="",FP$3&gt;TODAY()),"",IF(AND(FP181="",FQ181=""),"",N(FQ181)-N(FP181)))</f>
        <v/>
      </c>
      <c r="FU181">
        <f>IF(OR(FP$3="",FP$3&gt;TODAY()),"",IF(AND(FS181="",FT181=""),"",N(FT181)-N(FS181)))</f>
        <v/>
      </c>
      <c r="FY181">
        <f>IF(OR(FW$3="",FW$3&gt;TODAY()),"",IF(AND(FW181="",FX181=""),"",N(FX181)-N(FW181)))</f>
        <v/>
      </c>
      <c r="GB181">
        <f>IF(OR(FW$3="",FW$3&gt;TODAY()),"",IF(AND(FZ181="",GA181=""),"",N(GA181)-N(FZ181)))</f>
        <v/>
      </c>
      <c r="GF181">
        <f>IF(OR(GD$3="",GD$3&gt;TODAY()),"",IF(AND(GD181="",GE181=""),"",N(GE181)-N(GD181)))</f>
        <v/>
      </c>
      <c r="GI181">
        <f>IF(OR(GD$3="",GD$3&gt;TODAY()),"",IF(AND(GG181="",GH181=""),"",N(GH181)-N(GG181)))</f>
        <v/>
      </c>
      <c r="GM181">
        <f>IF(OR(GK$3="",GK$3&gt;TODAY()),"",IF(AND(GK181="",GL181=""),"",N(GL181)-N(GK181)))</f>
        <v/>
      </c>
      <c r="GP181">
        <f>IF(OR(GK$3="",GK$3&gt;TODAY()),"",IF(AND(GN181="",GO181=""),"",N(GO181)-N(GN181)))</f>
        <v/>
      </c>
      <c r="GT181">
        <f>IF(OR(GR$3="",GR$3&gt;TODAY()),"",IF(AND(GR181="",GS181=""),"",N(GS181)-N(GR181)))</f>
        <v/>
      </c>
      <c r="GW181">
        <f>IF(OR(GR$3="",GR$3&gt;TODAY()),"",IF(AND(GU181="",GV181=""),"",N(GV181)-N(GU181)))</f>
        <v/>
      </c>
      <c r="HA181">
        <f>IF(OR(GY$3="",GY$3&gt;TODAY()),"",IF(AND(GY181="",GZ181=""),"",N(GZ181)-N(GY181)))</f>
        <v/>
      </c>
      <c r="HD181">
        <f>IF(OR(GY$3="",GY$3&gt;TODAY()),"",IF(AND(HB181="",HC181=""),"",N(HC181)-N(HB181)))</f>
        <v/>
      </c>
      <c r="HH181">
        <f>IF(OR(HF$3="",HF$3&gt;TODAY()),"",IF(AND(HF181="",HG181=""),"",N(HG181)-N(HF181)))</f>
        <v/>
      </c>
      <c r="HK181">
        <f>IF(OR(HF$3="",HF$3&gt;TODAY()),"",IF(AND(HI181="",HJ181=""),"",N(HJ181)-N(HI181)))</f>
        <v/>
      </c>
      <c r="HO181">
        <f>IF(OR(HM$3="",HM$3&gt;TODAY()),"",IF(AND(HM181="",HN181=""),"",N(HN181)-N(HM181)))</f>
        <v/>
      </c>
      <c r="HR181">
        <f>IF(OR(HM$3="",HM$3&gt;TODAY()),"",IF(AND(HP181="",HQ181=""),"",N(HQ181)-N(HP181)))</f>
        <v/>
      </c>
      <c r="HV181">
        <f>IF(OR(HT$3="",HT$3&gt;TODAY()),"",IF(AND(HT181="",HU181=""),"",N(HU181)-N(HT181)))</f>
        <v/>
      </c>
      <c r="HY181">
        <f>IF(OR(HT$3="",HT$3&gt;TODAY()),"",IF(AND(HW181="",HX181=""),"",N(HX181)-N(HW181)))</f>
        <v/>
      </c>
      <c r="IC181">
        <f>IF(OR(IA$3="",IA$3&gt;TODAY()),"",IF(AND(IA181="",IB181=""),"",N(IB181)-N(IA181)))</f>
        <v/>
      </c>
      <c r="IF181">
        <f>IF(OR(IA$3="",IA$3&gt;TODAY()),"",IF(AND(ID181="",IE181=""),"",N(IE181)-N(ID181)))</f>
        <v/>
      </c>
      <c r="IJ181">
        <f>IF(OR(IH$3="",IH$3&gt;TODAY()),"",IF(AND(IH181="",II181=""),"",N(II181)-N(IH181)))</f>
        <v/>
      </c>
      <c r="IM181">
        <f>IF(OR(IH$3="",IH$3&gt;TODAY()),"",IF(AND(IK181="",IL181=""),"",N(IL181)-N(IK181)))</f>
        <v/>
      </c>
    </row>
    <row r="182">
      <c r="A182" s="21" t="n"/>
      <c r="B182" s="21" t="n"/>
      <c r="C182" s="21" t="n"/>
      <c r="D182" s="21" t="n"/>
      <c r="E182" s="21" t="n"/>
      <c r="F182" s="21" t="n"/>
      <c r="G182" s="21" t="n"/>
      <c r="H182" s="21" t="n"/>
      <c r="I182" s="22" t="n"/>
      <c r="J182" s="22" t="n"/>
      <c r="K182" s="23" t="n"/>
      <c r="L182" s="22" t="n"/>
      <c r="M182" s="22" t="n"/>
      <c r="N182" s="21" t="n"/>
      <c r="O182" s="23" t="n"/>
      <c r="P182" s="23" t="n"/>
      <c r="Q182" s="23" t="n"/>
      <c r="R182" s="23" t="n"/>
      <c r="S182" s="22" t="n"/>
      <c r="T182" s="23" t="n"/>
      <c r="U182" s="23" t="n"/>
      <c r="V182" s="24">
        <f>IF(J182&lt;&gt;"",J182,IF(I182&lt;&gt;"",I182,""))</f>
        <v/>
      </c>
      <c r="W182" s="25">
        <f>IF($E182="","",N(O182)+SUMIFS($AF182:$IN182,$AF$4:$IN$4,"SEW_ACT"))</f>
        <v/>
      </c>
      <c r="X182" s="25">
        <f>IF($E182="","",N(P182)+SUMIFS($AF182:$IN182,$AF$4:$IN$4,"WASH_ACT"))</f>
        <v/>
      </c>
      <c r="Y182" s="25">
        <f>IF($E182="","",W182-X182-N(T182)-N(U182))</f>
        <v/>
      </c>
      <c r="Z182" s="25">
        <f>IF($E182="","",IF(N(K182)-X182&lt;=0.02*N(K182),0,N(K182)-X182))</f>
        <v/>
      </c>
      <c r="AA182" s="24">
        <f>IF($E182="","",IF(S182&lt;&gt;"",S182,IF(N(O182)&gt;0,IF(L182&lt;&gt;"",L182,99999),IFERROR(1/(1/_xlfn.MINIFS($AF$3:$IN$3,$AF$4:$IN$4,"SEW_ACT",$AF182:$IN182,"&gt;0")),99999))))</f>
        <v/>
      </c>
      <c r="AB182" s="26">
        <f>IF(OR($E182="",Z182=0,V182=""),"",1+COUNTIFS(Z$8:Z$707,"&gt;0",V$8:V$707,"&lt;"&amp;V182)+COUNTIFS(Z$8:Z$707,"&gt;0",V$8:V$707,V182,AA$8:AA$707,"&lt;"&amp;AA182)+COUNTIFS(Z$8:Z$707,"&gt;0",V$8:V$707,V182,AA$8:AA$707,AA182,E$8:E$707,"&lt;"&amp;$E182))</f>
        <v/>
      </c>
      <c r="AC182" s="24">
        <f>IF(OR($E182="",Z182=0),"",IFERROR(TODAY()+ROUNDUP(Z182/(SUMIFS($AF182:$IN182,$AF$4:$IN$4,"WASH_ACT")/COUNTIFS($AF$4:$IN$4,"WASH_ACT",$AF182:$IN182,"&gt;0")),0),"no output yet"))</f>
        <v/>
      </c>
      <c r="AD182" s="26">
        <f>IF($E182="","",IFERROR(ROUND(MAX(0,SUMIFS($AF182:$IN182,$AF$4:$IN$4,"SEW_PLAN",$AF$3:$IN$3,"&lt;="&amp;TODAY())-SUMIFS($AF182:$IN182,$AF$4:$IN$4,"SEW_ACT",$AF$3:$IN$3,"&lt;="&amp;TODAY())+N(Q182))/(SUMIFS($AF182:$IN182,$AF$4:$IN$4,"SEW_PLAN")/COUNTIFS($AF$4:$IN$4,"SEW_PLAN",$AF182:$IN182,"&gt;0")),1),0))</f>
        <v/>
      </c>
      <c r="AE182" s="26">
        <f>IF($E182="","",IF(AND(Z182&gt;0,OR(AND(M182&lt;&gt;"",TODAY()&gt;M182),AND(V182&lt;&gt;"",V182-TODAY()&lt;=7))),"Yes","No"))</f>
        <v/>
      </c>
      <c r="AH182">
        <f>IF(OR(AF$3="",AF$3&gt;TODAY()),"",IF(AND(AF182="",AG182=""),"",N(AG182)-N(AF182)))</f>
        <v/>
      </c>
      <c r="AK182">
        <f>IF(OR(AF$3="",AF$3&gt;TODAY()),"",IF(AND(AI182="",AJ182=""),"",N(AJ182)-N(AI182)))</f>
        <v/>
      </c>
      <c r="AO182">
        <f>IF(OR(AM$3="",AM$3&gt;TODAY()),"",IF(AND(AM182="",AN182=""),"",N(AN182)-N(AM182)))</f>
        <v/>
      </c>
      <c r="AR182">
        <f>IF(OR(AM$3="",AM$3&gt;TODAY()),"",IF(AND(AP182="",AQ182=""),"",N(AQ182)-N(AP182)))</f>
        <v/>
      </c>
      <c r="AV182">
        <f>IF(OR(AT$3="",AT$3&gt;TODAY()),"",IF(AND(AT182="",AU182=""),"",N(AU182)-N(AT182)))</f>
        <v/>
      </c>
      <c r="AY182">
        <f>IF(OR(AT$3="",AT$3&gt;TODAY()),"",IF(AND(AW182="",AX182=""),"",N(AX182)-N(AW182)))</f>
        <v/>
      </c>
      <c r="BC182">
        <f>IF(OR(BA$3="",BA$3&gt;TODAY()),"",IF(AND(BA182="",BB182=""),"",N(BB182)-N(BA182)))</f>
        <v/>
      </c>
      <c r="BF182">
        <f>IF(OR(BA$3="",BA$3&gt;TODAY()),"",IF(AND(BD182="",BE182=""),"",N(BE182)-N(BD182)))</f>
        <v/>
      </c>
      <c r="BJ182">
        <f>IF(OR(BH$3="",BH$3&gt;TODAY()),"",IF(AND(BH182="",BI182=""),"",N(BI182)-N(BH182)))</f>
        <v/>
      </c>
      <c r="BM182">
        <f>IF(OR(BH$3="",BH$3&gt;TODAY()),"",IF(AND(BK182="",BL182=""),"",N(BL182)-N(BK182)))</f>
        <v/>
      </c>
      <c r="BQ182">
        <f>IF(OR(BO$3="",BO$3&gt;TODAY()),"",IF(AND(BO182="",BP182=""),"",N(BP182)-N(BO182)))</f>
        <v/>
      </c>
      <c r="BT182">
        <f>IF(OR(BO$3="",BO$3&gt;TODAY()),"",IF(AND(BR182="",BS182=""),"",N(BS182)-N(BR182)))</f>
        <v/>
      </c>
      <c r="BX182">
        <f>IF(OR(BV$3="",BV$3&gt;TODAY()),"",IF(AND(BV182="",BW182=""),"",N(BW182)-N(BV182)))</f>
        <v/>
      </c>
      <c r="CA182">
        <f>IF(OR(BV$3="",BV$3&gt;TODAY()),"",IF(AND(BY182="",BZ182=""),"",N(BZ182)-N(BY182)))</f>
        <v/>
      </c>
      <c r="CE182">
        <f>IF(OR(CC$3="",CC$3&gt;TODAY()),"",IF(AND(CC182="",CD182=""),"",N(CD182)-N(CC182)))</f>
        <v/>
      </c>
      <c r="CH182">
        <f>IF(OR(CC$3="",CC$3&gt;TODAY()),"",IF(AND(CF182="",CG182=""),"",N(CG182)-N(CF182)))</f>
        <v/>
      </c>
      <c r="CL182">
        <f>IF(OR(CJ$3="",CJ$3&gt;TODAY()),"",IF(AND(CJ182="",CK182=""),"",N(CK182)-N(CJ182)))</f>
        <v/>
      </c>
      <c r="CO182">
        <f>IF(OR(CJ$3="",CJ$3&gt;TODAY()),"",IF(AND(CM182="",CN182=""),"",N(CN182)-N(CM182)))</f>
        <v/>
      </c>
      <c r="CS182">
        <f>IF(OR(CQ$3="",CQ$3&gt;TODAY()),"",IF(AND(CQ182="",CR182=""),"",N(CR182)-N(CQ182)))</f>
        <v/>
      </c>
      <c r="CV182">
        <f>IF(OR(CQ$3="",CQ$3&gt;TODAY()),"",IF(AND(CT182="",CU182=""),"",N(CU182)-N(CT182)))</f>
        <v/>
      </c>
      <c r="CZ182">
        <f>IF(OR(CX$3="",CX$3&gt;TODAY()),"",IF(AND(CX182="",CY182=""),"",N(CY182)-N(CX182)))</f>
        <v/>
      </c>
      <c r="DC182">
        <f>IF(OR(CX$3="",CX$3&gt;TODAY()),"",IF(AND(DA182="",DB182=""),"",N(DB182)-N(DA182)))</f>
        <v/>
      </c>
      <c r="DG182">
        <f>IF(OR(DE$3="",DE$3&gt;TODAY()),"",IF(AND(DE182="",DF182=""),"",N(DF182)-N(DE182)))</f>
        <v/>
      </c>
      <c r="DJ182">
        <f>IF(OR(DE$3="",DE$3&gt;TODAY()),"",IF(AND(DH182="",DI182=""),"",N(DI182)-N(DH182)))</f>
        <v/>
      </c>
      <c r="DN182">
        <f>IF(OR(DL$3="",DL$3&gt;TODAY()),"",IF(AND(DL182="",DM182=""),"",N(DM182)-N(DL182)))</f>
        <v/>
      </c>
      <c r="DQ182">
        <f>IF(OR(DL$3="",DL$3&gt;TODAY()),"",IF(AND(DO182="",DP182=""),"",N(DP182)-N(DO182)))</f>
        <v/>
      </c>
      <c r="DU182">
        <f>IF(OR(DS$3="",DS$3&gt;TODAY()),"",IF(AND(DS182="",DT182=""),"",N(DT182)-N(DS182)))</f>
        <v/>
      </c>
      <c r="DX182">
        <f>IF(OR(DS$3="",DS$3&gt;TODAY()),"",IF(AND(DV182="",DW182=""),"",N(DW182)-N(DV182)))</f>
        <v/>
      </c>
      <c r="EB182">
        <f>IF(OR(DZ$3="",DZ$3&gt;TODAY()),"",IF(AND(DZ182="",EA182=""),"",N(EA182)-N(DZ182)))</f>
        <v/>
      </c>
      <c r="EE182">
        <f>IF(OR(DZ$3="",DZ$3&gt;TODAY()),"",IF(AND(EC182="",ED182=""),"",N(ED182)-N(EC182)))</f>
        <v/>
      </c>
      <c r="EI182">
        <f>IF(OR(EG$3="",EG$3&gt;TODAY()),"",IF(AND(EG182="",EH182=""),"",N(EH182)-N(EG182)))</f>
        <v/>
      </c>
      <c r="EL182">
        <f>IF(OR(EG$3="",EG$3&gt;TODAY()),"",IF(AND(EJ182="",EK182=""),"",N(EK182)-N(EJ182)))</f>
        <v/>
      </c>
      <c r="EP182">
        <f>IF(OR(EN$3="",EN$3&gt;TODAY()),"",IF(AND(EN182="",EO182=""),"",N(EO182)-N(EN182)))</f>
        <v/>
      </c>
      <c r="ES182">
        <f>IF(OR(EN$3="",EN$3&gt;TODAY()),"",IF(AND(EQ182="",ER182=""),"",N(ER182)-N(EQ182)))</f>
        <v/>
      </c>
      <c r="EW182">
        <f>IF(OR(EU$3="",EU$3&gt;TODAY()),"",IF(AND(EU182="",EV182=""),"",N(EV182)-N(EU182)))</f>
        <v/>
      </c>
      <c r="EZ182">
        <f>IF(OR(EU$3="",EU$3&gt;TODAY()),"",IF(AND(EX182="",EY182=""),"",N(EY182)-N(EX182)))</f>
        <v/>
      </c>
      <c r="FD182">
        <f>IF(OR(FB$3="",FB$3&gt;TODAY()),"",IF(AND(FB182="",FC182=""),"",N(FC182)-N(FB182)))</f>
        <v/>
      </c>
      <c r="FG182">
        <f>IF(OR(FB$3="",FB$3&gt;TODAY()),"",IF(AND(FE182="",FF182=""),"",N(FF182)-N(FE182)))</f>
        <v/>
      </c>
      <c r="FK182">
        <f>IF(OR(FI$3="",FI$3&gt;TODAY()),"",IF(AND(FI182="",FJ182=""),"",N(FJ182)-N(FI182)))</f>
        <v/>
      </c>
      <c r="FN182">
        <f>IF(OR(FI$3="",FI$3&gt;TODAY()),"",IF(AND(FL182="",FM182=""),"",N(FM182)-N(FL182)))</f>
        <v/>
      </c>
      <c r="FR182">
        <f>IF(OR(FP$3="",FP$3&gt;TODAY()),"",IF(AND(FP182="",FQ182=""),"",N(FQ182)-N(FP182)))</f>
        <v/>
      </c>
      <c r="FU182">
        <f>IF(OR(FP$3="",FP$3&gt;TODAY()),"",IF(AND(FS182="",FT182=""),"",N(FT182)-N(FS182)))</f>
        <v/>
      </c>
      <c r="FY182">
        <f>IF(OR(FW$3="",FW$3&gt;TODAY()),"",IF(AND(FW182="",FX182=""),"",N(FX182)-N(FW182)))</f>
        <v/>
      </c>
      <c r="GB182">
        <f>IF(OR(FW$3="",FW$3&gt;TODAY()),"",IF(AND(FZ182="",GA182=""),"",N(GA182)-N(FZ182)))</f>
        <v/>
      </c>
      <c r="GF182">
        <f>IF(OR(GD$3="",GD$3&gt;TODAY()),"",IF(AND(GD182="",GE182=""),"",N(GE182)-N(GD182)))</f>
        <v/>
      </c>
      <c r="GI182">
        <f>IF(OR(GD$3="",GD$3&gt;TODAY()),"",IF(AND(GG182="",GH182=""),"",N(GH182)-N(GG182)))</f>
        <v/>
      </c>
      <c r="GM182">
        <f>IF(OR(GK$3="",GK$3&gt;TODAY()),"",IF(AND(GK182="",GL182=""),"",N(GL182)-N(GK182)))</f>
        <v/>
      </c>
      <c r="GP182">
        <f>IF(OR(GK$3="",GK$3&gt;TODAY()),"",IF(AND(GN182="",GO182=""),"",N(GO182)-N(GN182)))</f>
        <v/>
      </c>
      <c r="GT182">
        <f>IF(OR(GR$3="",GR$3&gt;TODAY()),"",IF(AND(GR182="",GS182=""),"",N(GS182)-N(GR182)))</f>
        <v/>
      </c>
      <c r="GW182">
        <f>IF(OR(GR$3="",GR$3&gt;TODAY()),"",IF(AND(GU182="",GV182=""),"",N(GV182)-N(GU182)))</f>
        <v/>
      </c>
      <c r="HA182">
        <f>IF(OR(GY$3="",GY$3&gt;TODAY()),"",IF(AND(GY182="",GZ182=""),"",N(GZ182)-N(GY182)))</f>
        <v/>
      </c>
      <c r="HD182">
        <f>IF(OR(GY$3="",GY$3&gt;TODAY()),"",IF(AND(HB182="",HC182=""),"",N(HC182)-N(HB182)))</f>
        <v/>
      </c>
      <c r="HH182">
        <f>IF(OR(HF$3="",HF$3&gt;TODAY()),"",IF(AND(HF182="",HG182=""),"",N(HG182)-N(HF182)))</f>
        <v/>
      </c>
      <c r="HK182">
        <f>IF(OR(HF$3="",HF$3&gt;TODAY()),"",IF(AND(HI182="",HJ182=""),"",N(HJ182)-N(HI182)))</f>
        <v/>
      </c>
      <c r="HO182">
        <f>IF(OR(HM$3="",HM$3&gt;TODAY()),"",IF(AND(HM182="",HN182=""),"",N(HN182)-N(HM182)))</f>
        <v/>
      </c>
      <c r="HR182">
        <f>IF(OR(HM$3="",HM$3&gt;TODAY()),"",IF(AND(HP182="",HQ182=""),"",N(HQ182)-N(HP182)))</f>
        <v/>
      </c>
      <c r="HV182">
        <f>IF(OR(HT$3="",HT$3&gt;TODAY()),"",IF(AND(HT182="",HU182=""),"",N(HU182)-N(HT182)))</f>
        <v/>
      </c>
      <c r="HY182">
        <f>IF(OR(HT$3="",HT$3&gt;TODAY()),"",IF(AND(HW182="",HX182=""),"",N(HX182)-N(HW182)))</f>
        <v/>
      </c>
      <c r="IC182">
        <f>IF(OR(IA$3="",IA$3&gt;TODAY()),"",IF(AND(IA182="",IB182=""),"",N(IB182)-N(IA182)))</f>
        <v/>
      </c>
      <c r="IF182">
        <f>IF(OR(IA$3="",IA$3&gt;TODAY()),"",IF(AND(ID182="",IE182=""),"",N(IE182)-N(ID182)))</f>
        <v/>
      </c>
      <c r="IJ182">
        <f>IF(OR(IH$3="",IH$3&gt;TODAY()),"",IF(AND(IH182="",II182=""),"",N(II182)-N(IH182)))</f>
        <v/>
      </c>
      <c r="IM182">
        <f>IF(OR(IH$3="",IH$3&gt;TODAY()),"",IF(AND(IK182="",IL182=""),"",N(IL182)-N(IK182)))</f>
        <v/>
      </c>
    </row>
    <row r="183">
      <c r="A183" s="21" t="n"/>
      <c r="B183" s="21" t="n"/>
      <c r="C183" s="21" t="n"/>
      <c r="D183" s="21" t="n"/>
      <c r="E183" s="21" t="n"/>
      <c r="F183" s="21" t="n"/>
      <c r="G183" s="21" t="n"/>
      <c r="H183" s="21" t="n"/>
      <c r="I183" s="22" t="n"/>
      <c r="J183" s="22" t="n"/>
      <c r="K183" s="23" t="n"/>
      <c r="L183" s="22" t="n"/>
      <c r="M183" s="22" t="n"/>
      <c r="N183" s="21" t="n"/>
      <c r="O183" s="23" t="n"/>
      <c r="P183" s="23" t="n"/>
      <c r="Q183" s="23" t="n"/>
      <c r="R183" s="23" t="n"/>
      <c r="S183" s="22" t="n"/>
      <c r="T183" s="23" t="n"/>
      <c r="U183" s="23" t="n"/>
      <c r="V183" s="24">
        <f>IF(J183&lt;&gt;"",J183,IF(I183&lt;&gt;"",I183,""))</f>
        <v/>
      </c>
      <c r="W183" s="25">
        <f>IF($E183="","",N(O183)+SUMIFS($AF183:$IN183,$AF$4:$IN$4,"SEW_ACT"))</f>
        <v/>
      </c>
      <c r="X183" s="25">
        <f>IF($E183="","",N(P183)+SUMIFS($AF183:$IN183,$AF$4:$IN$4,"WASH_ACT"))</f>
        <v/>
      </c>
      <c r="Y183" s="25">
        <f>IF($E183="","",W183-X183-N(T183)-N(U183))</f>
        <v/>
      </c>
      <c r="Z183" s="25">
        <f>IF($E183="","",IF(N(K183)-X183&lt;=0.02*N(K183),0,N(K183)-X183))</f>
        <v/>
      </c>
      <c r="AA183" s="24">
        <f>IF($E183="","",IF(S183&lt;&gt;"",S183,IF(N(O183)&gt;0,IF(L183&lt;&gt;"",L183,99999),IFERROR(1/(1/_xlfn.MINIFS($AF$3:$IN$3,$AF$4:$IN$4,"SEW_ACT",$AF183:$IN183,"&gt;0")),99999))))</f>
        <v/>
      </c>
      <c r="AB183" s="26">
        <f>IF(OR($E183="",Z183=0,V183=""),"",1+COUNTIFS(Z$8:Z$707,"&gt;0",V$8:V$707,"&lt;"&amp;V183)+COUNTIFS(Z$8:Z$707,"&gt;0",V$8:V$707,V183,AA$8:AA$707,"&lt;"&amp;AA183)+COUNTIFS(Z$8:Z$707,"&gt;0",V$8:V$707,V183,AA$8:AA$707,AA183,E$8:E$707,"&lt;"&amp;$E183))</f>
        <v/>
      </c>
      <c r="AC183" s="24">
        <f>IF(OR($E183="",Z183=0),"",IFERROR(TODAY()+ROUNDUP(Z183/(SUMIFS($AF183:$IN183,$AF$4:$IN$4,"WASH_ACT")/COUNTIFS($AF$4:$IN$4,"WASH_ACT",$AF183:$IN183,"&gt;0")),0),"no output yet"))</f>
        <v/>
      </c>
      <c r="AD183" s="26">
        <f>IF($E183="","",IFERROR(ROUND(MAX(0,SUMIFS($AF183:$IN183,$AF$4:$IN$4,"SEW_PLAN",$AF$3:$IN$3,"&lt;="&amp;TODAY())-SUMIFS($AF183:$IN183,$AF$4:$IN$4,"SEW_ACT",$AF$3:$IN$3,"&lt;="&amp;TODAY())+N(Q183))/(SUMIFS($AF183:$IN183,$AF$4:$IN$4,"SEW_PLAN")/COUNTIFS($AF$4:$IN$4,"SEW_PLAN",$AF183:$IN183,"&gt;0")),1),0))</f>
        <v/>
      </c>
      <c r="AE183" s="26">
        <f>IF($E183="","",IF(AND(Z183&gt;0,OR(AND(M183&lt;&gt;"",TODAY()&gt;M183),AND(V183&lt;&gt;"",V183-TODAY()&lt;=7))),"Yes","No"))</f>
        <v/>
      </c>
      <c r="AH183">
        <f>IF(OR(AF$3="",AF$3&gt;TODAY()),"",IF(AND(AF183="",AG183=""),"",N(AG183)-N(AF183)))</f>
        <v/>
      </c>
      <c r="AK183">
        <f>IF(OR(AF$3="",AF$3&gt;TODAY()),"",IF(AND(AI183="",AJ183=""),"",N(AJ183)-N(AI183)))</f>
        <v/>
      </c>
      <c r="AO183">
        <f>IF(OR(AM$3="",AM$3&gt;TODAY()),"",IF(AND(AM183="",AN183=""),"",N(AN183)-N(AM183)))</f>
        <v/>
      </c>
      <c r="AR183">
        <f>IF(OR(AM$3="",AM$3&gt;TODAY()),"",IF(AND(AP183="",AQ183=""),"",N(AQ183)-N(AP183)))</f>
        <v/>
      </c>
      <c r="AV183">
        <f>IF(OR(AT$3="",AT$3&gt;TODAY()),"",IF(AND(AT183="",AU183=""),"",N(AU183)-N(AT183)))</f>
        <v/>
      </c>
      <c r="AY183">
        <f>IF(OR(AT$3="",AT$3&gt;TODAY()),"",IF(AND(AW183="",AX183=""),"",N(AX183)-N(AW183)))</f>
        <v/>
      </c>
      <c r="BC183">
        <f>IF(OR(BA$3="",BA$3&gt;TODAY()),"",IF(AND(BA183="",BB183=""),"",N(BB183)-N(BA183)))</f>
        <v/>
      </c>
      <c r="BF183">
        <f>IF(OR(BA$3="",BA$3&gt;TODAY()),"",IF(AND(BD183="",BE183=""),"",N(BE183)-N(BD183)))</f>
        <v/>
      </c>
      <c r="BJ183">
        <f>IF(OR(BH$3="",BH$3&gt;TODAY()),"",IF(AND(BH183="",BI183=""),"",N(BI183)-N(BH183)))</f>
        <v/>
      </c>
      <c r="BM183">
        <f>IF(OR(BH$3="",BH$3&gt;TODAY()),"",IF(AND(BK183="",BL183=""),"",N(BL183)-N(BK183)))</f>
        <v/>
      </c>
      <c r="BQ183">
        <f>IF(OR(BO$3="",BO$3&gt;TODAY()),"",IF(AND(BO183="",BP183=""),"",N(BP183)-N(BO183)))</f>
        <v/>
      </c>
      <c r="BT183">
        <f>IF(OR(BO$3="",BO$3&gt;TODAY()),"",IF(AND(BR183="",BS183=""),"",N(BS183)-N(BR183)))</f>
        <v/>
      </c>
      <c r="BX183">
        <f>IF(OR(BV$3="",BV$3&gt;TODAY()),"",IF(AND(BV183="",BW183=""),"",N(BW183)-N(BV183)))</f>
        <v/>
      </c>
      <c r="CA183">
        <f>IF(OR(BV$3="",BV$3&gt;TODAY()),"",IF(AND(BY183="",BZ183=""),"",N(BZ183)-N(BY183)))</f>
        <v/>
      </c>
      <c r="CE183">
        <f>IF(OR(CC$3="",CC$3&gt;TODAY()),"",IF(AND(CC183="",CD183=""),"",N(CD183)-N(CC183)))</f>
        <v/>
      </c>
      <c r="CH183">
        <f>IF(OR(CC$3="",CC$3&gt;TODAY()),"",IF(AND(CF183="",CG183=""),"",N(CG183)-N(CF183)))</f>
        <v/>
      </c>
      <c r="CL183">
        <f>IF(OR(CJ$3="",CJ$3&gt;TODAY()),"",IF(AND(CJ183="",CK183=""),"",N(CK183)-N(CJ183)))</f>
        <v/>
      </c>
      <c r="CO183">
        <f>IF(OR(CJ$3="",CJ$3&gt;TODAY()),"",IF(AND(CM183="",CN183=""),"",N(CN183)-N(CM183)))</f>
        <v/>
      </c>
      <c r="CS183">
        <f>IF(OR(CQ$3="",CQ$3&gt;TODAY()),"",IF(AND(CQ183="",CR183=""),"",N(CR183)-N(CQ183)))</f>
        <v/>
      </c>
      <c r="CV183">
        <f>IF(OR(CQ$3="",CQ$3&gt;TODAY()),"",IF(AND(CT183="",CU183=""),"",N(CU183)-N(CT183)))</f>
        <v/>
      </c>
      <c r="CZ183">
        <f>IF(OR(CX$3="",CX$3&gt;TODAY()),"",IF(AND(CX183="",CY183=""),"",N(CY183)-N(CX183)))</f>
        <v/>
      </c>
      <c r="DC183">
        <f>IF(OR(CX$3="",CX$3&gt;TODAY()),"",IF(AND(DA183="",DB183=""),"",N(DB183)-N(DA183)))</f>
        <v/>
      </c>
      <c r="DG183">
        <f>IF(OR(DE$3="",DE$3&gt;TODAY()),"",IF(AND(DE183="",DF183=""),"",N(DF183)-N(DE183)))</f>
        <v/>
      </c>
      <c r="DJ183">
        <f>IF(OR(DE$3="",DE$3&gt;TODAY()),"",IF(AND(DH183="",DI183=""),"",N(DI183)-N(DH183)))</f>
        <v/>
      </c>
      <c r="DN183">
        <f>IF(OR(DL$3="",DL$3&gt;TODAY()),"",IF(AND(DL183="",DM183=""),"",N(DM183)-N(DL183)))</f>
        <v/>
      </c>
      <c r="DQ183">
        <f>IF(OR(DL$3="",DL$3&gt;TODAY()),"",IF(AND(DO183="",DP183=""),"",N(DP183)-N(DO183)))</f>
        <v/>
      </c>
      <c r="DU183">
        <f>IF(OR(DS$3="",DS$3&gt;TODAY()),"",IF(AND(DS183="",DT183=""),"",N(DT183)-N(DS183)))</f>
        <v/>
      </c>
      <c r="DX183">
        <f>IF(OR(DS$3="",DS$3&gt;TODAY()),"",IF(AND(DV183="",DW183=""),"",N(DW183)-N(DV183)))</f>
        <v/>
      </c>
      <c r="EB183">
        <f>IF(OR(DZ$3="",DZ$3&gt;TODAY()),"",IF(AND(DZ183="",EA183=""),"",N(EA183)-N(DZ183)))</f>
        <v/>
      </c>
      <c r="EE183">
        <f>IF(OR(DZ$3="",DZ$3&gt;TODAY()),"",IF(AND(EC183="",ED183=""),"",N(ED183)-N(EC183)))</f>
        <v/>
      </c>
      <c r="EI183">
        <f>IF(OR(EG$3="",EG$3&gt;TODAY()),"",IF(AND(EG183="",EH183=""),"",N(EH183)-N(EG183)))</f>
        <v/>
      </c>
      <c r="EL183">
        <f>IF(OR(EG$3="",EG$3&gt;TODAY()),"",IF(AND(EJ183="",EK183=""),"",N(EK183)-N(EJ183)))</f>
        <v/>
      </c>
      <c r="EP183">
        <f>IF(OR(EN$3="",EN$3&gt;TODAY()),"",IF(AND(EN183="",EO183=""),"",N(EO183)-N(EN183)))</f>
        <v/>
      </c>
      <c r="ES183">
        <f>IF(OR(EN$3="",EN$3&gt;TODAY()),"",IF(AND(EQ183="",ER183=""),"",N(ER183)-N(EQ183)))</f>
        <v/>
      </c>
      <c r="EW183">
        <f>IF(OR(EU$3="",EU$3&gt;TODAY()),"",IF(AND(EU183="",EV183=""),"",N(EV183)-N(EU183)))</f>
        <v/>
      </c>
      <c r="EZ183">
        <f>IF(OR(EU$3="",EU$3&gt;TODAY()),"",IF(AND(EX183="",EY183=""),"",N(EY183)-N(EX183)))</f>
        <v/>
      </c>
      <c r="FD183">
        <f>IF(OR(FB$3="",FB$3&gt;TODAY()),"",IF(AND(FB183="",FC183=""),"",N(FC183)-N(FB183)))</f>
        <v/>
      </c>
      <c r="FG183">
        <f>IF(OR(FB$3="",FB$3&gt;TODAY()),"",IF(AND(FE183="",FF183=""),"",N(FF183)-N(FE183)))</f>
        <v/>
      </c>
      <c r="FK183">
        <f>IF(OR(FI$3="",FI$3&gt;TODAY()),"",IF(AND(FI183="",FJ183=""),"",N(FJ183)-N(FI183)))</f>
        <v/>
      </c>
      <c r="FN183">
        <f>IF(OR(FI$3="",FI$3&gt;TODAY()),"",IF(AND(FL183="",FM183=""),"",N(FM183)-N(FL183)))</f>
        <v/>
      </c>
      <c r="FR183">
        <f>IF(OR(FP$3="",FP$3&gt;TODAY()),"",IF(AND(FP183="",FQ183=""),"",N(FQ183)-N(FP183)))</f>
        <v/>
      </c>
      <c r="FU183">
        <f>IF(OR(FP$3="",FP$3&gt;TODAY()),"",IF(AND(FS183="",FT183=""),"",N(FT183)-N(FS183)))</f>
        <v/>
      </c>
      <c r="FY183">
        <f>IF(OR(FW$3="",FW$3&gt;TODAY()),"",IF(AND(FW183="",FX183=""),"",N(FX183)-N(FW183)))</f>
        <v/>
      </c>
      <c r="GB183">
        <f>IF(OR(FW$3="",FW$3&gt;TODAY()),"",IF(AND(FZ183="",GA183=""),"",N(GA183)-N(FZ183)))</f>
        <v/>
      </c>
      <c r="GF183">
        <f>IF(OR(GD$3="",GD$3&gt;TODAY()),"",IF(AND(GD183="",GE183=""),"",N(GE183)-N(GD183)))</f>
        <v/>
      </c>
      <c r="GI183">
        <f>IF(OR(GD$3="",GD$3&gt;TODAY()),"",IF(AND(GG183="",GH183=""),"",N(GH183)-N(GG183)))</f>
        <v/>
      </c>
      <c r="GM183">
        <f>IF(OR(GK$3="",GK$3&gt;TODAY()),"",IF(AND(GK183="",GL183=""),"",N(GL183)-N(GK183)))</f>
        <v/>
      </c>
      <c r="GP183">
        <f>IF(OR(GK$3="",GK$3&gt;TODAY()),"",IF(AND(GN183="",GO183=""),"",N(GO183)-N(GN183)))</f>
        <v/>
      </c>
      <c r="GT183">
        <f>IF(OR(GR$3="",GR$3&gt;TODAY()),"",IF(AND(GR183="",GS183=""),"",N(GS183)-N(GR183)))</f>
        <v/>
      </c>
      <c r="GW183">
        <f>IF(OR(GR$3="",GR$3&gt;TODAY()),"",IF(AND(GU183="",GV183=""),"",N(GV183)-N(GU183)))</f>
        <v/>
      </c>
      <c r="HA183">
        <f>IF(OR(GY$3="",GY$3&gt;TODAY()),"",IF(AND(GY183="",GZ183=""),"",N(GZ183)-N(GY183)))</f>
        <v/>
      </c>
      <c r="HD183">
        <f>IF(OR(GY$3="",GY$3&gt;TODAY()),"",IF(AND(HB183="",HC183=""),"",N(HC183)-N(HB183)))</f>
        <v/>
      </c>
      <c r="HH183">
        <f>IF(OR(HF$3="",HF$3&gt;TODAY()),"",IF(AND(HF183="",HG183=""),"",N(HG183)-N(HF183)))</f>
        <v/>
      </c>
      <c r="HK183">
        <f>IF(OR(HF$3="",HF$3&gt;TODAY()),"",IF(AND(HI183="",HJ183=""),"",N(HJ183)-N(HI183)))</f>
        <v/>
      </c>
      <c r="HO183">
        <f>IF(OR(HM$3="",HM$3&gt;TODAY()),"",IF(AND(HM183="",HN183=""),"",N(HN183)-N(HM183)))</f>
        <v/>
      </c>
      <c r="HR183">
        <f>IF(OR(HM$3="",HM$3&gt;TODAY()),"",IF(AND(HP183="",HQ183=""),"",N(HQ183)-N(HP183)))</f>
        <v/>
      </c>
      <c r="HV183">
        <f>IF(OR(HT$3="",HT$3&gt;TODAY()),"",IF(AND(HT183="",HU183=""),"",N(HU183)-N(HT183)))</f>
        <v/>
      </c>
      <c r="HY183">
        <f>IF(OR(HT$3="",HT$3&gt;TODAY()),"",IF(AND(HW183="",HX183=""),"",N(HX183)-N(HW183)))</f>
        <v/>
      </c>
      <c r="IC183">
        <f>IF(OR(IA$3="",IA$3&gt;TODAY()),"",IF(AND(IA183="",IB183=""),"",N(IB183)-N(IA183)))</f>
        <v/>
      </c>
      <c r="IF183">
        <f>IF(OR(IA$3="",IA$3&gt;TODAY()),"",IF(AND(ID183="",IE183=""),"",N(IE183)-N(ID183)))</f>
        <v/>
      </c>
      <c r="IJ183">
        <f>IF(OR(IH$3="",IH$3&gt;TODAY()),"",IF(AND(IH183="",II183=""),"",N(II183)-N(IH183)))</f>
        <v/>
      </c>
      <c r="IM183">
        <f>IF(OR(IH$3="",IH$3&gt;TODAY()),"",IF(AND(IK183="",IL183=""),"",N(IL183)-N(IK183)))</f>
        <v/>
      </c>
    </row>
    <row r="184">
      <c r="A184" s="21" t="n"/>
      <c r="B184" s="21" t="n"/>
      <c r="C184" s="21" t="n"/>
      <c r="D184" s="21" t="n"/>
      <c r="E184" s="21" t="n"/>
      <c r="F184" s="21" t="n"/>
      <c r="G184" s="21" t="n"/>
      <c r="H184" s="21" t="n"/>
      <c r="I184" s="22" t="n"/>
      <c r="J184" s="22" t="n"/>
      <c r="K184" s="23" t="n"/>
      <c r="L184" s="22" t="n"/>
      <c r="M184" s="22" t="n"/>
      <c r="N184" s="21" t="n"/>
      <c r="O184" s="23" t="n"/>
      <c r="P184" s="23" t="n"/>
      <c r="Q184" s="23" t="n"/>
      <c r="R184" s="23" t="n"/>
      <c r="S184" s="22" t="n"/>
      <c r="T184" s="23" t="n"/>
      <c r="U184" s="23" t="n"/>
      <c r="V184" s="24">
        <f>IF(J184&lt;&gt;"",J184,IF(I184&lt;&gt;"",I184,""))</f>
        <v/>
      </c>
      <c r="W184" s="25">
        <f>IF($E184="","",N(O184)+SUMIFS($AF184:$IN184,$AF$4:$IN$4,"SEW_ACT"))</f>
        <v/>
      </c>
      <c r="X184" s="25">
        <f>IF($E184="","",N(P184)+SUMIFS($AF184:$IN184,$AF$4:$IN$4,"WASH_ACT"))</f>
        <v/>
      </c>
      <c r="Y184" s="25">
        <f>IF($E184="","",W184-X184-N(T184)-N(U184))</f>
        <v/>
      </c>
      <c r="Z184" s="25">
        <f>IF($E184="","",IF(N(K184)-X184&lt;=0.02*N(K184),0,N(K184)-X184))</f>
        <v/>
      </c>
      <c r="AA184" s="24">
        <f>IF($E184="","",IF(S184&lt;&gt;"",S184,IF(N(O184)&gt;0,IF(L184&lt;&gt;"",L184,99999),IFERROR(1/(1/_xlfn.MINIFS($AF$3:$IN$3,$AF$4:$IN$4,"SEW_ACT",$AF184:$IN184,"&gt;0")),99999))))</f>
        <v/>
      </c>
      <c r="AB184" s="26">
        <f>IF(OR($E184="",Z184=0,V184=""),"",1+COUNTIFS(Z$8:Z$707,"&gt;0",V$8:V$707,"&lt;"&amp;V184)+COUNTIFS(Z$8:Z$707,"&gt;0",V$8:V$707,V184,AA$8:AA$707,"&lt;"&amp;AA184)+COUNTIFS(Z$8:Z$707,"&gt;0",V$8:V$707,V184,AA$8:AA$707,AA184,E$8:E$707,"&lt;"&amp;$E184))</f>
        <v/>
      </c>
      <c r="AC184" s="24">
        <f>IF(OR($E184="",Z184=0),"",IFERROR(TODAY()+ROUNDUP(Z184/(SUMIFS($AF184:$IN184,$AF$4:$IN$4,"WASH_ACT")/COUNTIFS($AF$4:$IN$4,"WASH_ACT",$AF184:$IN184,"&gt;0")),0),"no output yet"))</f>
        <v/>
      </c>
      <c r="AD184" s="26">
        <f>IF($E184="","",IFERROR(ROUND(MAX(0,SUMIFS($AF184:$IN184,$AF$4:$IN$4,"SEW_PLAN",$AF$3:$IN$3,"&lt;="&amp;TODAY())-SUMIFS($AF184:$IN184,$AF$4:$IN$4,"SEW_ACT",$AF$3:$IN$3,"&lt;="&amp;TODAY())+N(Q184))/(SUMIFS($AF184:$IN184,$AF$4:$IN$4,"SEW_PLAN")/COUNTIFS($AF$4:$IN$4,"SEW_PLAN",$AF184:$IN184,"&gt;0")),1),0))</f>
        <v/>
      </c>
      <c r="AE184" s="26">
        <f>IF($E184="","",IF(AND(Z184&gt;0,OR(AND(M184&lt;&gt;"",TODAY()&gt;M184),AND(V184&lt;&gt;"",V184-TODAY()&lt;=7))),"Yes","No"))</f>
        <v/>
      </c>
      <c r="AH184">
        <f>IF(OR(AF$3="",AF$3&gt;TODAY()),"",IF(AND(AF184="",AG184=""),"",N(AG184)-N(AF184)))</f>
        <v/>
      </c>
      <c r="AK184">
        <f>IF(OR(AF$3="",AF$3&gt;TODAY()),"",IF(AND(AI184="",AJ184=""),"",N(AJ184)-N(AI184)))</f>
        <v/>
      </c>
      <c r="AO184">
        <f>IF(OR(AM$3="",AM$3&gt;TODAY()),"",IF(AND(AM184="",AN184=""),"",N(AN184)-N(AM184)))</f>
        <v/>
      </c>
      <c r="AR184">
        <f>IF(OR(AM$3="",AM$3&gt;TODAY()),"",IF(AND(AP184="",AQ184=""),"",N(AQ184)-N(AP184)))</f>
        <v/>
      </c>
      <c r="AV184">
        <f>IF(OR(AT$3="",AT$3&gt;TODAY()),"",IF(AND(AT184="",AU184=""),"",N(AU184)-N(AT184)))</f>
        <v/>
      </c>
      <c r="AY184">
        <f>IF(OR(AT$3="",AT$3&gt;TODAY()),"",IF(AND(AW184="",AX184=""),"",N(AX184)-N(AW184)))</f>
        <v/>
      </c>
      <c r="BC184">
        <f>IF(OR(BA$3="",BA$3&gt;TODAY()),"",IF(AND(BA184="",BB184=""),"",N(BB184)-N(BA184)))</f>
        <v/>
      </c>
      <c r="BF184">
        <f>IF(OR(BA$3="",BA$3&gt;TODAY()),"",IF(AND(BD184="",BE184=""),"",N(BE184)-N(BD184)))</f>
        <v/>
      </c>
      <c r="BJ184">
        <f>IF(OR(BH$3="",BH$3&gt;TODAY()),"",IF(AND(BH184="",BI184=""),"",N(BI184)-N(BH184)))</f>
        <v/>
      </c>
      <c r="BM184">
        <f>IF(OR(BH$3="",BH$3&gt;TODAY()),"",IF(AND(BK184="",BL184=""),"",N(BL184)-N(BK184)))</f>
        <v/>
      </c>
      <c r="BQ184">
        <f>IF(OR(BO$3="",BO$3&gt;TODAY()),"",IF(AND(BO184="",BP184=""),"",N(BP184)-N(BO184)))</f>
        <v/>
      </c>
      <c r="BT184">
        <f>IF(OR(BO$3="",BO$3&gt;TODAY()),"",IF(AND(BR184="",BS184=""),"",N(BS184)-N(BR184)))</f>
        <v/>
      </c>
      <c r="BX184">
        <f>IF(OR(BV$3="",BV$3&gt;TODAY()),"",IF(AND(BV184="",BW184=""),"",N(BW184)-N(BV184)))</f>
        <v/>
      </c>
      <c r="CA184">
        <f>IF(OR(BV$3="",BV$3&gt;TODAY()),"",IF(AND(BY184="",BZ184=""),"",N(BZ184)-N(BY184)))</f>
        <v/>
      </c>
      <c r="CE184">
        <f>IF(OR(CC$3="",CC$3&gt;TODAY()),"",IF(AND(CC184="",CD184=""),"",N(CD184)-N(CC184)))</f>
        <v/>
      </c>
      <c r="CH184">
        <f>IF(OR(CC$3="",CC$3&gt;TODAY()),"",IF(AND(CF184="",CG184=""),"",N(CG184)-N(CF184)))</f>
        <v/>
      </c>
      <c r="CL184">
        <f>IF(OR(CJ$3="",CJ$3&gt;TODAY()),"",IF(AND(CJ184="",CK184=""),"",N(CK184)-N(CJ184)))</f>
        <v/>
      </c>
      <c r="CO184">
        <f>IF(OR(CJ$3="",CJ$3&gt;TODAY()),"",IF(AND(CM184="",CN184=""),"",N(CN184)-N(CM184)))</f>
        <v/>
      </c>
      <c r="CS184">
        <f>IF(OR(CQ$3="",CQ$3&gt;TODAY()),"",IF(AND(CQ184="",CR184=""),"",N(CR184)-N(CQ184)))</f>
        <v/>
      </c>
      <c r="CV184">
        <f>IF(OR(CQ$3="",CQ$3&gt;TODAY()),"",IF(AND(CT184="",CU184=""),"",N(CU184)-N(CT184)))</f>
        <v/>
      </c>
      <c r="CZ184">
        <f>IF(OR(CX$3="",CX$3&gt;TODAY()),"",IF(AND(CX184="",CY184=""),"",N(CY184)-N(CX184)))</f>
        <v/>
      </c>
      <c r="DC184">
        <f>IF(OR(CX$3="",CX$3&gt;TODAY()),"",IF(AND(DA184="",DB184=""),"",N(DB184)-N(DA184)))</f>
        <v/>
      </c>
      <c r="DG184">
        <f>IF(OR(DE$3="",DE$3&gt;TODAY()),"",IF(AND(DE184="",DF184=""),"",N(DF184)-N(DE184)))</f>
        <v/>
      </c>
      <c r="DJ184">
        <f>IF(OR(DE$3="",DE$3&gt;TODAY()),"",IF(AND(DH184="",DI184=""),"",N(DI184)-N(DH184)))</f>
        <v/>
      </c>
      <c r="DN184">
        <f>IF(OR(DL$3="",DL$3&gt;TODAY()),"",IF(AND(DL184="",DM184=""),"",N(DM184)-N(DL184)))</f>
        <v/>
      </c>
      <c r="DQ184">
        <f>IF(OR(DL$3="",DL$3&gt;TODAY()),"",IF(AND(DO184="",DP184=""),"",N(DP184)-N(DO184)))</f>
        <v/>
      </c>
      <c r="DU184">
        <f>IF(OR(DS$3="",DS$3&gt;TODAY()),"",IF(AND(DS184="",DT184=""),"",N(DT184)-N(DS184)))</f>
        <v/>
      </c>
      <c r="DX184">
        <f>IF(OR(DS$3="",DS$3&gt;TODAY()),"",IF(AND(DV184="",DW184=""),"",N(DW184)-N(DV184)))</f>
        <v/>
      </c>
      <c r="EB184">
        <f>IF(OR(DZ$3="",DZ$3&gt;TODAY()),"",IF(AND(DZ184="",EA184=""),"",N(EA184)-N(DZ184)))</f>
        <v/>
      </c>
      <c r="EE184">
        <f>IF(OR(DZ$3="",DZ$3&gt;TODAY()),"",IF(AND(EC184="",ED184=""),"",N(ED184)-N(EC184)))</f>
        <v/>
      </c>
      <c r="EI184">
        <f>IF(OR(EG$3="",EG$3&gt;TODAY()),"",IF(AND(EG184="",EH184=""),"",N(EH184)-N(EG184)))</f>
        <v/>
      </c>
      <c r="EL184">
        <f>IF(OR(EG$3="",EG$3&gt;TODAY()),"",IF(AND(EJ184="",EK184=""),"",N(EK184)-N(EJ184)))</f>
        <v/>
      </c>
      <c r="EP184">
        <f>IF(OR(EN$3="",EN$3&gt;TODAY()),"",IF(AND(EN184="",EO184=""),"",N(EO184)-N(EN184)))</f>
        <v/>
      </c>
      <c r="ES184">
        <f>IF(OR(EN$3="",EN$3&gt;TODAY()),"",IF(AND(EQ184="",ER184=""),"",N(ER184)-N(EQ184)))</f>
        <v/>
      </c>
      <c r="EW184">
        <f>IF(OR(EU$3="",EU$3&gt;TODAY()),"",IF(AND(EU184="",EV184=""),"",N(EV184)-N(EU184)))</f>
        <v/>
      </c>
      <c r="EZ184">
        <f>IF(OR(EU$3="",EU$3&gt;TODAY()),"",IF(AND(EX184="",EY184=""),"",N(EY184)-N(EX184)))</f>
        <v/>
      </c>
      <c r="FD184">
        <f>IF(OR(FB$3="",FB$3&gt;TODAY()),"",IF(AND(FB184="",FC184=""),"",N(FC184)-N(FB184)))</f>
        <v/>
      </c>
      <c r="FG184">
        <f>IF(OR(FB$3="",FB$3&gt;TODAY()),"",IF(AND(FE184="",FF184=""),"",N(FF184)-N(FE184)))</f>
        <v/>
      </c>
      <c r="FK184">
        <f>IF(OR(FI$3="",FI$3&gt;TODAY()),"",IF(AND(FI184="",FJ184=""),"",N(FJ184)-N(FI184)))</f>
        <v/>
      </c>
      <c r="FN184">
        <f>IF(OR(FI$3="",FI$3&gt;TODAY()),"",IF(AND(FL184="",FM184=""),"",N(FM184)-N(FL184)))</f>
        <v/>
      </c>
      <c r="FR184">
        <f>IF(OR(FP$3="",FP$3&gt;TODAY()),"",IF(AND(FP184="",FQ184=""),"",N(FQ184)-N(FP184)))</f>
        <v/>
      </c>
      <c r="FU184">
        <f>IF(OR(FP$3="",FP$3&gt;TODAY()),"",IF(AND(FS184="",FT184=""),"",N(FT184)-N(FS184)))</f>
        <v/>
      </c>
      <c r="FY184">
        <f>IF(OR(FW$3="",FW$3&gt;TODAY()),"",IF(AND(FW184="",FX184=""),"",N(FX184)-N(FW184)))</f>
        <v/>
      </c>
      <c r="GB184">
        <f>IF(OR(FW$3="",FW$3&gt;TODAY()),"",IF(AND(FZ184="",GA184=""),"",N(GA184)-N(FZ184)))</f>
        <v/>
      </c>
      <c r="GF184">
        <f>IF(OR(GD$3="",GD$3&gt;TODAY()),"",IF(AND(GD184="",GE184=""),"",N(GE184)-N(GD184)))</f>
        <v/>
      </c>
      <c r="GI184">
        <f>IF(OR(GD$3="",GD$3&gt;TODAY()),"",IF(AND(GG184="",GH184=""),"",N(GH184)-N(GG184)))</f>
        <v/>
      </c>
      <c r="GM184">
        <f>IF(OR(GK$3="",GK$3&gt;TODAY()),"",IF(AND(GK184="",GL184=""),"",N(GL184)-N(GK184)))</f>
        <v/>
      </c>
      <c r="GP184">
        <f>IF(OR(GK$3="",GK$3&gt;TODAY()),"",IF(AND(GN184="",GO184=""),"",N(GO184)-N(GN184)))</f>
        <v/>
      </c>
      <c r="GT184">
        <f>IF(OR(GR$3="",GR$3&gt;TODAY()),"",IF(AND(GR184="",GS184=""),"",N(GS184)-N(GR184)))</f>
        <v/>
      </c>
      <c r="GW184">
        <f>IF(OR(GR$3="",GR$3&gt;TODAY()),"",IF(AND(GU184="",GV184=""),"",N(GV184)-N(GU184)))</f>
        <v/>
      </c>
      <c r="HA184">
        <f>IF(OR(GY$3="",GY$3&gt;TODAY()),"",IF(AND(GY184="",GZ184=""),"",N(GZ184)-N(GY184)))</f>
        <v/>
      </c>
      <c r="HD184">
        <f>IF(OR(GY$3="",GY$3&gt;TODAY()),"",IF(AND(HB184="",HC184=""),"",N(HC184)-N(HB184)))</f>
        <v/>
      </c>
      <c r="HH184">
        <f>IF(OR(HF$3="",HF$3&gt;TODAY()),"",IF(AND(HF184="",HG184=""),"",N(HG184)-N(HF184)))</f>
        <v/>
      </c>
      <c r="HK184">
        <f>IF(OR(HF$3="",HF$3&gt;TODAY()),"",IF(AND(HI184="",HJ184=""),"",N(HJ184)-N(HI184)))</f>
        <v/>
      </c>
      <c r="HO184">
        <f>IF(OR(HM$3="",HM$3&gt;TODAY()),"",IF(AND(HM184="",HN184=""),"",N(HN184)-N(HM184)))</f>
        <v/>
      </c>
      <c r="HR184">
        <f>IF(OR(HM$3="",HM$3&gt;TODAY()),"",IF(AND(HP184="",HQ184=""),"",N(HQ184)-N(HP184)))</f>
        <v/>
      </c>
      <c r="HV184">
        <f>IF(OR(HT$3="",HT$3&gt;TODAY()),"",IF(AND(HT184="",HU184=""),"",N(HU184)-N(HT184)))</f>
        <v/>
      </c>
      <c r="HY184">
        <f>IF(OR(HT$3="",HT$3&gt;TODAY()),"",IF(AND(HW184="",HX184=""),"",N(HX184)-N(HW184)))</f>
        <v/>
      </c>
      <c r="IC184">
        <f>IF(OR(IA$3="",IA$3&gt;TODAY()),"",IF(AND(IA184="",IB184=""),"",N(IB184)-N(IA184)))</f>
        <v/>
      </c>
      <c r="IF184">
        <f>IF(OR(IA$3="",IA$3&gt;TODAY()),"",IF(AND(ID184="",IE184=""),"",N(IE184)-N(ID184)))</f>
        <v/>
      </c>
      <c r="IJ184">
        <f>IF(OR(IH$3="",IH$3&gt;TODAY()),"",IF(AND(IH184="",II184=""),"",N(II184)-N(IH184)))</f>
        <v/>
      </c>
      <c r="IM184">
        <f>IF(OR(IH$3="",IH$3&gt;TODAY()),"",IF(AND(IK184="",IL184=""),"",N(IL184)-N(IK184)))</f>
        <v/>
      </c>
    </row>
    <row r="185">
      <c r="A185" s="21" t="n"/>
      <c r="B185" s="21" t="n"/>
      <c r="C185" s="21" t="n"/>
      <c r="D185" s="21" t="n"/>
      <c r="E185" s="21" t="n"/>
      <c r="F185" s="21" t="n"/>
      <c r="G185" s="21" t="n"/>
      <c r="H185" s="21" t="n"/>
      <c r="I185" s="22" t="n"/>
      <c r="J185" s="22" t="n"/>
      <c r="K185" s="23" t="n"/>
      <c r="L185" s="22" t="n"/>
      <c r="M185" s="22" t="n"/>
      <c r="N185" s="21" t="n"/>
      <c r="O185" s="23" t="n"/>
      <c r="P185" s="23" t="n"/>
      <c r="Q185" s="23" t="n"/>
      <c r="R185" s="23" t="n"/>
      <c r="S185" s="22" t="n"/>
      <c r="T185" s="23" t="n"/>
      <c r="U185" s="23" t="n"/>
      <c r="V185" s="24">
        <f>IF(J185&lt;&gt;"",J185,IF(I185&lt;&gt;"",I185,""))</f>
        <v/>
      </c>
      <c r="W185" s="25">
        <f>IF($E185="","",N(O185)+SUMIFS($AF185:$IN185,$AF$4:$IN$4,"SEW_ACT"))</f>
        <v/>
      </c>
      <c r="X185" s="25">
        <f>IF($E185="","",N(P185)+SUMIFS($AF185:$IN185,$AF$4:$IN$4,"WASH_ACT"))</f>
        <v/>
      </c>
      <c r="Y185" s="25">
        <f>IF($E185="","",W185-X185-N(T185)-N(U185))</f>
        <v/>
      </c>
      <c r="Z185" s="25">
        <f>IF($E185="","",IF(N(K185)-X185&lt;=0.02*N(K185),0,N(K185)-X185))</f>
        <v/>
      </c>
      <c r="AA185" s="24">
        <f>IF($E185="","",IF(S185&lt;&gt;"",S185,IF(N(O185)&gt;0,IF(L185&lt;&gt;"",L185,99999),IFERROR(1/(1/_xlfn.MINIFS($AF$3:$IN$3,$AF$4:$IN$4,"SEW_ACT",$AF185:$IN185,"&gt;0")),99999))))</f>
        <v/>
      </c>
      <c r="AB185" s="26">
        <f>IF(OR($E185="",Z185=0,V185=""),"",1+COUNTIFS(Z$8:Z$707,"&gt;0",V$8:V$707,"&lt;"&amp;V185)+COUNTIFS(Z$8:Z$707,"&gt;0",V$8:V$707,V185,AA$8:AA$707,"&lt;"&amp;AA185)+COUNTIFS(Z$8:Z$707,"&gt;0",V$8:V$707,V185,AA$8:AA$707,AA185,E$8:E$707,"&lt;"&amp;$E185))</f>
        <v/>
      </c>
      <c r="AC185" s="24">
        <f>IF(OR($E185="",Z185=0),"",IFERROR(TODAY()+ROUNDUP(Z185/(SUMIFS($AF185:$IN185,$AF$4:$IN$4,"WASH_ACT")/COUNTIFS($AF$4:$IN$4,"WASH_ACT",$AF185:$IN185,"&gt;0")),0),"no output yet"))</f>
        <v/>
      </c>
      <c r="AD185" s="26">
        <f>IF($E185="","",IFERROR(ROUND(MAX(0,SUMIFS($AF185:$IN185,$AF$4:$IN$4,"SEW_PLAN",$AF$3:$IN$3,"&lt;="&amp;TODAY())-SUMIFS($AF185:$IN185,$AF$4:$IN$4,"SEW_ACT",$AF$3:$IN$3,"&lt;="&amp;TODAY())+N(Q185))/(SUMIFS($AF185:$IN185,$AF$4:$IN$4,"SEW_PLAN")/COUNTIFS($AF$4:$IN$4,"SEW_PLAN",$AF185:$IN185,"&gt;0")),1),0))</f>
        <v/>
      </c>
      <c r="AE185" s="26">
        <f>IF($E185="","",IF(AND(Z185&gt;0,OR(AND(M185&lt;&gt;"",TODAY()&gt;M185),AND(V185&lt;&gt;"",V185-TODAY()&lt;=7))),"Yes","No"))</f>
        <v/>
      </c>
      <c r="AH185">
        <f>IF(OR(AF$3="",AF$3&gt;TODAY()),"",IF(AND(AF185="",AG185=""),"",N(AG185)-N(AF185)))</f>
        <v/>
      </c>
      <c r="AK185">
        <f>IF(OR(AF$3="",AF$3&gt;TODAY()),"",IF(AND(AI185="",AJ185=""),"",N(AJ185)-N(AI185)))</f>
        <v/>
      </c>
      <c r="AO185">
        <f>IF(OR(AM$3="",AM$3&gt;TODAY()),"",IF(AND(AM185="",AN185=""),"",N(AN185)-N(AM185)))</f>
        <v/>
      </c>
      <c r="AR185">
        <f>IF(OR(AM$3="",AM$3&gt;TODAY()),"",IF(AND(AP185="",AQ185=""),"",N(AQ185)-N(AP185)))</f>
        <v/>
      </c>
      <c r="AV185">
        <f>IF(OR(AT$3="",AT$3&gt;TODAY()),"",IF(AND(AT185="",AU185=""),"",N(AU185)-N(AT185)))</f>
        <v/>
      </c>
      <c r="AY185">
        <f>IF(OR(AT$3="",AT$3&gt;TODAY()),"",IF(AND(AW185="",AX185=""),"",N(AX185)-N(AW185)))</f>
        <v/>
      </c>
      <c r="BC185">
        <f>IF(OR(BA$3="",BA$3&gt;TODAY()),"",IF(AND(BA185="",BB185=""),"",N(BB185)-N(BA185)))</f>
        <v/>
      </c>
      <c r="BF185">
        <f>IF(OR(BA$3="",BA$3&gt;TODAY()),"",IF(AND(BD185="",BE185=""),"",N(BE185)-N(BD185)))</f>
        <v/>
      </c>
      <c r="BJ185">
        <f>IF(OR(BH$3="",BH$3&gt;TODAY()),"",IF(AND(BH185="",BI185=""),"",N(BI185)-N(BH185)))</f>
        <v/>
      </c>
      <c r="BM185">
        <f>IF(OR(BH$3="",BH$3&gt;TODAY()),"",IF(AND(BK185="",BL185=""),"",N(BL185)-N(BK185)))</f>
        <v/>
      </c>
      <c r="BQ185">
        <f>IF(OR(BO$3="",BO$3&gt;TODAY()),"",IF(AND(BO185="",BP185=""),"",N(BP185)-N(BO185)))</f>
        <v/>
      </c>
      <c r="BT185">
        <f>IF(OR(BO$3="",BO$3&gt;TODAY()),"",IF(AND(BR185="",BS185=""),"",N(BS185)-N(BR185)))</f>
        <v/>
      </c>
      <c r="BX185">
        <f>IF(OR(BV$3="",BV$3&gt;TODAY()),"",IF(AND(BV185="",BW185=""),"",N(BW185)-N(BV185)))</f>
        <v/>
      </c>
      <c r="CA185">
        <f>IF(OR(BV$3="",BV$3&gt;TODAY()),"",IF(AND(BY185="",BZ185=""),"",N(BZ185)-N(BY185)))</f>
        <v/>
      </c>
      <c r="CE185">
        <f>IF(OR(CC$3="",CC$3&gt;TODAY()),"",IF(AND(CC185="",CD185=""),"",N(CD185)-N(CC185)))</f>
        <v/>
      </c>
      <c r="CH185">
        <f>IF(OR(CC$3="",CC$3&gt;TODAY()),"",IF(AND(CF185="",CG185=""),"",N(CG185)-N(CF185)))</f>
        <v/>
      </c>
      <c r="CL185">
        <f>IF(OR(CJ$3="",CJ$3&gt;TODAY()),"",IF(AND(CJ185="",CK185=""),"",N(CK185)-N(CJ185)))</f>
        <v/>
      </c>
      <c r="CO185">
        <f>IF(OR(CJ$3="",CJ$3&gt;TODAY()),"",IF(AND(CM185="",CN185=""),"",N(CN185)-N(CM185)))</f>
        <v/>
      </c>
      <c r="CS185">
        <f>IF(OR(CQ$3="",CQ$3&gt;TODAY()),"",IF(AND(CQ185="",CR185=""),"",N(CR185)-N(CQ185)))</f>
        <v/>
      </c>
      <c r="CV185">
        <f>IF(OR(CQ$3="",CQ$3&gt;TODAY()),"",IF(AND(CT185="",CU185=""),"",N(CU185)-N(CT185)))</f>
        <v/>
      </c>
      <c r="CZ185">
        <f>IF(OR(CX$3="",CX$3&gt;TODAY()),"",IF(AND(CX185="",CY185=""),"",N(CY185)-N(CX185)))</f>
        <v/>
      </c>
      <c r="DC185">
        <f>IF(OR(CX$3="",CX$3&gt;TODAY()),"",IF(AND(DA185="",DB185=""),"",N(DB185)-N(DA185)))</f>
        <v/>
      </c>
      <c r="DG185">
        <f>IF(OR(DE$3="",DE$3&gt;TODAY()),"",IF(AND(DE185="",DF185=""),"",N(DF185)-N(DE185)))</f>
        <v/>
      </c>
      <c r="DJ185">
        <f>IF(OR(DE$3="",DE$3&gt;TODAY()),"",IF(AND(DH185="",DI185=""),"",N(DI185)-N(DH185)))</f>
        <v/>
      </c>
      <c r="DN185">
        <f>IF(OR(DL$3="",DL$3&gt;TODAY()),"",IF(AND(DL185="",DM185=""),"",N(DM185)-N(DL185)))</f>
        <v/>
      </c>
      <c r="DQ185">
        <f>IF(OR(DL$3="",DL$3&gt;TODAY()),"",IF(AND(DO185="",DP185=""),"",N(DP185)-N(DO185)))</f>
        <v/>
      </c>
      <c r="DU185">
        <f>IF(OR(DS$3="",DS$3&gt;TODAY()),"",IF(AND(DS185="",DT185=""),"",N(DT185)-N(DS185)))</f>
        <v/>
      </c>
      <c r="DX185">
        <f>IF(OR(DS$3="",DS$3&gt;TODAY()),"",IF(AND(DV185="",DW185=""),"",N(DW185)-N(DV185)))</f>
        <v/>
      </c>
      <c r="EB185">
        <f>IF(OR(DZ$3="",DZ$3&gt;TODAY()),"",IF(AND(DZ185="",EA185=""),"",N(EA185)-N(DZ185)))</f>
        <v/>
      </c>
      <c r="EE185">
        <f>IF(OR(DZ$3="",DZ$3&gt;TODAY()),"",IF(AND(EC185="",ED185=""),"",N(ED185)-N(EC185)))</f>
        <v/>
      </c>
      <c r="EI185">
        <f>IF(OR(EG$3="",EG$3&gt;TODAY()),"",IF(AND(EG185="",EH185=""),"",N(EH185)-N(EG185)))</f>
        <v/>
      </c>
      <c r="EL185">
        <f>IF(OR(EG$3="",EG$3&gt;TODAY()),"",IF(AND(EJ185="",EK185=""),"",N(EK185)-N(EJ185)))</f>
        <v/>
      </c>
      <c r="EP185">
        <f>IF(OR(EN$3="",EN$3&gt;TODAY()),"",IF(AND(EN185="",EO185=""),"",N(EO185)-N(EN185)))</f>
        <v/>
      </c>
      <c r="ES185">
        <f>IF(OR(EN$3="",EN$3&gt;TODAY()),"",IF(AND(EQ185="",ER185=""),"",N(ER185)-N(EQ185)))</f>
        <v/>
      </c>
      <c r="EW185">
        <f>IF(OR(EU$3="",EU$3&gt;TODAY()),"",IF(AND(EU185="",EV185=""),"",N(EV185)-N(EU185)))</f>
        <v/>
      </c>
      <c r="EZ185">
        <f>IF(OR(EU$3="",EU$3&gt;TODAY()),"",IF(AND(EX185="",EY185=""),"",N(EY185)-N(EX185)))</f>
        <v/>
      </c>
      <c r="FD185">
        <f>IF(OR(FB$3="",FB$3&gt;TODAY()),"",IF(AND(FB185="",FC185=""),"",N(FC185)-N(FB185)))</f>
        <v/>
      </c>
      <c r="FG185">
        <f>IF(OR(FB$3="",FB$3&gt;TODAY()),"",IF(AND(FE185="",FF185=""),"",N(FF185)-N(FE185)))</f>
        <v/>
      </c>
      <c r="FK185">
        <f>IF(OR(FI$3="",FI$3&gt;TODAY()),"",IF(AND(FI185="",FJ185=""),"",N(FJ185)-N(FI185)))</f>
        <v/>
      </c>
      <c r="FN185">
        <f>IF(OR(FI$3="",FI$3&gt;TODAY()),"",IF(AND(FL185="",FM185=""),"",N(FM185)-N(FL185)))</f>
        <v/>
      </c>
      <c r="FR185">
        <f>IF(OR(FP$3="",FP$3&gt;TODAY()),"",IF(AND(FP185="",FQ185=""),"",N(FQ185)-N(FP185)))</f>
        <v/>
      </c>
      <c r="FU185">
        <f>IF(OR(FP$3="",FP$3&gt;TODAY()),"",IF(AND(FS185="",FT185=""),"",N(FT185)-N(FS185)))</f>
        <v/>
      </c>
      <c r="FY185">
        <f>IF(OR(FW$3="",FW$3&gt;TODAY()),"",IF(AND(FW185="",FX185=""),"",N(FX185)-N(FW185)))</f>
        <v/>
      </c>
      <c r="GB185">
        <f>IF(OR(FW$3="",FW$3&gt;TODAY()),"",IF(AND(FZ185="",GA185=""),"",N(GA185)-N(FZ185)))</f>
        <v/>
      </c>
      <c r="GF185">
        <f>IF(OR(GD$3="",GD$3&gt;TODAY()),"",IF(AND(GD185="",GE185=""),"",N(GE185)-N(GD185)))</f>
        <v/>
      </c>
      <c r="GI185">
        <f>IF(OR(GD$3="",GD$3&gt;TODAY()),"",IF(AND(GG185="",GH185=""),"",N(GH185)-N(GG185)))</f>
        <v/>
      </c>
      <c r="GM185">
        <f>IF(OR(GK$3="",GK$3&gt;TODAY()),"",IF(AND(GK185="",GL185=""),"",N(GL185)-N(GK185)))</f>
        <v/>
      </c>
      <c r="GP185">
        <f>IF(OR(GK$3="",GK$3&gt;TODAY()),"",IF(AND(GN185="",GO185=""),"",N(GO185)-N(GN185)))</f>
        <v/>
      </c>
      <c r="GT185">
        <f>IF(OR(GR$3="",GR$3&gt;TODAY()),"",IF(AND(GR185="",GS185=""),"",N(GS185)-N(GR185)))</f>
        <v/>
      </c>
      <c r="GW185">
        <f>IF(OR(GR$3="",GR$3&gt;TODAY()),"",IF(AND(GU185="",GV185=""),"",N(GV185)-N(GU185)))</f>
        <v/>
      </c>
      <c r="HA185">
        <f>IF(OR(GY$3="",GY$3&gt;TODAY()),"",IF(AND(GY185="",GZ185=""),"",N(GZ185)-N(GY185)))</f>
        <v/>
      </c>
      <c r="HD185">
        <f>IF(OR(GY$3="",GY$3&gt;TODAY()),"",IF(AND(HB185="",HC185=""),"",N(HC185)-N(HB185)))</f>
        <v/>
      </c>
      <c r="HH185">
        <f>IF(OR(HF$3="",HF$3&gt;TODAY()),"",IF(AND(HF185="",HG185=""),"",N(HG185)-N(HF185)))</f>
        <v/>
      </c>
      <c r="HK185">
        <f>IF(OR(HF$3="",HF$3&gt;TODAY()),"",IF(AND(HI185="",HJ185=""),"",N(HJ185)-N(HI185)))</f>
        <v/>
      </c>
      <c r="HO185">
        <f>IF(OR(HM$3="",HM$3&gt;TODAY()),"",IF(AND(HM185="",HN185=""),"",N(HN185)-N(HM185)))</f>
        <v/>
      </c>
      <c r="HR185">
        <f>IF(OR(HM$3="",HM$3&gt;TODAY()),"",IF(AND(HP185="",HQ185=""),"",N(HQ185)-N(HP185)))</f>
        <v/>
      </c>
      <c r="HV185">
        <f>IF(OR(HT$3="",HT$3&gt;TODAY()),"",IF(AND(HT185="",HU185=""),"",N(HU185)-N(HT185)))</f>
        <v/>
      </c>
      <c r="HY185">
        <f>IF(OR(HT$3="",HT$3&gt;TODAY()),"",IF(AND(HW185="",HX185=""),"",N(HX185)-N(HW185)))</f>
        <v/>
      </c>
      <c r="IC185">
        <f>IF(OR(IA$3="",IA$3&gt;TODAY()),"",IF(AND(IA185="",IB185=""),"",N(IB185)-N(IA185)))</f>
        <v/>
      </c>
      <c r="IF185">
        <f>IF(OR(IA$3="",IA$3&gt;TODAY()),"",IF(AND(ID185="",IE185=""),"",N(IE185)-N(ID185)))</f>
        <v/>
      </c>
      <c r="IJ185">
        <f>IF(OR(IH$3="",IH$3&gt;TODAY()),"",IF(AND(IH185="",II185=""),"",N(II185)-N(IH185)))</f>
        <v/>
      </c>
      <c r="IM185">
        <f>IF(OR(IH$3="",IH$3&gt;TODAY()),"",IF(AND(IK185="",IL185=""),"",N(IL185)-N(IK185)))</f>
        <v/>
      </c>
    </row>
    <row r="186">
      <c r="A186" s="21" t="n"/>
      <c r="B186" s="21" t="n"/>
      <c r="C186" s="21" t="n"/>
      <c r="D186" s="21" t="n"/>
      <c r="E186" s="21" t="n"/>
      <c r="F186" s="21" t="n"/>
      <c r="G186" s="21" t="n"/>
      <c r="H186" s="21" t="n"/>
      <c r="I186" s="22" t="n"/>
      <c r="J186" s="22" t="n"/>
      <c r="K186" s="23" t="n"/>
      <c r="L186" s="22" t="n"/>
      <c r="M186" s="22" t="n"/>
      <c r="N186" s="21" t="n"/>
      <c r="O186" s="23" t="n"/>
      <c r="P186" s="23" t="n"/>
      <c r="Q186" s="23" t="n"/>
      <c r="R186" s="23" t="n"/>
      <c r="S186" s="22" t="n"/>
      <c r="T186" s="23" t="n"/>
      <c r="U186" s="23" t="n"/>
      <c r="V186" s="24">
        <f>IF(J186&lt;&gt;"",J186,IF(I186&lt;&gt;"",I186,""))</f>
        <v/>
      </c>
      <c r="W186" s="25">
        <f>IF($E186="","",N(O186)+SUMIFS($AF186:$IN186,$AF$4:$IN$4,"SEW_ACT"))</f>
        <v/>
      </c>
      <c r="X186" s="25">
        <f>IF($E186="","",N(P186)+SUMIFS($AF186:$IN186,$AF$4:$IN$4,"WASH_ACT"))</f>
        <v/>
      </c>
      <c r="Y186" s="25">
        <f>IF($E186="","",W186-X186-N(T186)-N(U186))</f>
        <v/>
      </c>
      <c r="Z186" s="25">
        <f>IF($E186="","",IF(N(K186)-X186&lt;=0.02*N(K186),0,N(K186)-X186))</f>
        <v/>
      </c>
      <c r="AA186" s="24">
        <f>IF($E186="","",IF(S186&lt;&gt;"",S186,IF(N(O186)&gt;0,IF(L186&lt;&gt;"",L186,99999),IFERROR(1/(1/_xlfn.MINIFS($AF$3:$IN$3,$AF$4:$IN$4,"SEW_ACT",$AF186:$IN186,"&gt;0")),99999))))</f>
        <v/>
      </c>
      <c r="AB186" s="26">
        <f>IF(OR($E186="",Z186=0,V186=""),"",1+COUNTIFS(Z$8:Z$707,"&gt;0",V$8:V$707,"&lt;"&amp;V186)+COUNTIFS(Z$8:Z$707,"&gt;0",V$8:V$707,V186,AA$8:AA$707,"&lt;"&amp;AA186)+COUNTIFS(Z$8:Z$707,"&gt;0",V$8:V$707,V186,AA$8:AA$707,AA186,E$8:E$707,"&lt;"&amp;$E186))</f>
        <v/>
      </c>
      <c r="AC186" s="24">
        <f>IF(OR($E186="",Z186=0),"",IFERROR(TODAY()+ROUNDUP(Z186/(SUMIFS($AF186:$IN186,$AF$4:$IN$4,"WASH_ACT")/COUNTIFS($AF$4:$IN$4,"WASH_ACT",$AF186:$IN186,"&gt;0")),0),"no output yet"))</f>
        <v/>
      </c>
      <c r="AD186" s="26">
        <f>IF($E186="","",IFERROR(ROUND(MAX(0,SUMIFS($AF186:$IN186,$AF$4:$IN$4,"SEW_PLAN",$AF$3:$IN$3,"&lt;="&amp;TODAY())-SUMIFS($AF186:$IN186,$AF$4:$IN$4,"SEW_ACT",$AF$3:$IN$3,"&lt;="&amp;TODAY())+N(Q186))/(SUMIFS($AF186:$IN186,$AF$4:$IN$4,"SEW_PLAN")/COUNTIFS($AF$4:$IN$4,"SEW_PLAN",$AF186:$IN186,"&gt;0")),1),0))</f>
        <v/>
      </c>
      <c r="AE186" s="26">
        <f>IF($E186="","",IF(AND(Z186&gt;0,OR(AND(M186&lt;&gt;"",TODAY()&gt;M186),AND(V186&lt;&gt;"",V186-TODAY()&lt;=7))),"Yes","No"))</f>
        <v/>
      </c>
      <c r="AH186">
        <f>IF(OR(AF$3="",AF$3&gt;TODAY()),"",IF(AND(AF186="",AG186=""),"",N(AG186)-N(AF186)))</f>
        <v/>
      </c>
      <c r="AK186">
        <f>IF(OR(AF$3="",AF$3&gt;TODAY()),"",IF(AND(AI186="",AJ186=""),"",N(AJ186)-N(AI186)))</f>
        <v/>
      </c>
      <c r="AO186">
        <f>IF(OR(AM$3="",AM$3&gt;TODAY()),"",IF(AND(AM186="",AN186=""),"",N(AN186)-N(AM186)))</f>
        <v/>
      </c>
      <c r="AR186">
        <f>IF(OR(AM$3="",AM$3&gt;TODAY()),"",IF(AND(AP186="",AQ186=""),"",N(AQ186)-N(AP186)))</f>
        <v/>
      </c>
      <c r="AV186">
        <f>IF(OR(AT$3="",AT$3&gt;TODAY()),"",IF(AND(AT186="",AU186=""),"",N(AU186)-N(AT186)))</f>
        <v/>
      </c>
      <c r="AY186">
        <f>IF(OR(AT$3="",AT$3&gt;TODAY()),"",IF(AND(AW186="",AX186=""),"",N(AX186)-N(AW186)))</f>
        <v/>
      </c>
      <c r="BC186">
        <f>IF(OR(BA$3="",BA$3&gt;TODAY()),"",IF(AND(BA186="",BB186=""),"",N(BB186)-N(BA186)))</f>
        <v/>
      </c>
      <c r="BF186">
        <f>IF(OR(BA$3="",BA$3&gt;TODAY()),"",IF(AND(BD186="",BE186=""),"",N(BE186)-N(BD186)))</f>
        <v/>
      </c>
      <c r="BJ186">
        <f>IF(OR(BH$3="",BH$3&gt;TODAY()),"",IF(AND(BH186="",BI186=""),"",N(BI186)-N(BH186)))</f>
        <v/>
      </c>
      <c r="BM186">
        <f>IF(OR(BH$3="",BH$3&gt;TODAY()),"",IF(AND(BK186="",BL186=""),"",N(BL186)-N(BK186)))</f>
        <v/>
      </c>
      <c r="BQ186">
        <f>IF(OR(BO$3="",BO$3&gt;TODAY()),"",IF(AND(BO186="",BP186=""),"",N(BP186)-N(BO186)))</f>
        <v/>
      </c>
      <c r="BT186">
        <f>IF(OR(BO$3="",BO$3&gt;TODAY()),"",IF(AND(BR186="",BS186=""),"",N(BS186)-N(BR186)))</f>
        <v/>
      </c>
      <c r="BX186">
        <f>IF(OR(BV$3="",BV$3&gt;TODAY()),"",IF(AND(BV186="",BW186=""),"",N(BW186)-N(BV186)))</f>
        <v/>
      </c>
      <c r="CA186">
        <f>IF(OR(BV$3="",BV$3&gt;TODAY()),"",IF(AND(BY186="",BZ186=""),"",N(BZ186)-N(BY186)))</f>
        <v/>
      </c>
      <c r="CE186">
        <f>IF(OR(CC$3="",CC$3&gt;TODAY()),"",IF(AND(CC186="",CD186=""),"",N(CD186)-N(CC186)))</f>
        <v/>
      </c>
      <c r="CH186">
        <f>IF(OR(CC$3="",CC$3&gt;TODAY()),"",IF(AND(CF186="",CG186=""),"",N(CG186)-N(CF186)))</f>
        <v/>
      </c>
      <c r="CL186">
        <f>IF(OR(CJ$3="",CJ$3&gt;TODAY()),"",IF(AND(CJ186="",CK186=""),"",N(CK186)-N(CJ186)))</f>
        <v/>
      </c>
      <c r="CO186">
        <f>IF(OR(CJ$3="",CJ$3&gt;TODAY()),"",IF(AND(CM186="",CN186=""),"",N(CN186)-N(CM186)))</f>
        <v/>
      </c>
      <c r="CS186">
        <f>IF(OR(CQ$3="",CQ$3&gt;TODAY()),"",IF(AND(CQ186="",CR186=""),"",N(CR186)-N(CQ186)))</f>
        <v/>
      </c>
      <c r="CV186">
        <f>IF(OR(CQ$3="",CQ$3&gt;TODAY()),"",IF(AND(CT186="",CU186=""),"",N(CU186)-N(CT186)))</f>
        <v/>
      </c>
      <c r="CZ186">
        <f>IF(OR(CX$3="",CX$3&gt;TODAY()),"",IF(AND(CX186="",CY186=""),"",N(CY186)-N(CX186)))</f>
        <v/>
      </c>
      <c r="DC186">
        <f>IF(OR(CX$3="",CX$3&gt;TODAY()),"",IF(AND(DA186="",DB186=""),"",N(DB186)-N(DA186)))</f>
        <v/>
      </c>
      <c r="DG186">
        <f>IF(OR(DE$3="",DE$3&gt;TODAY()),"",IF(AND(DE186="",DF186=""),"",N(DF186)-N(DE186)))</f>
        <v/>
      </c>
      <c r="DJ186">
        <f>IF(OR(DE$3="",DE$3&gt;TODAY()),"",IF(AND(DH186="",DI186=""),"",N(DI186)-N(DH186)))</f>
        <v/>
      </c>
      <c r="DN186">
        <f>IF(OR(DL$3="",DL$3&gt;TODAY()),"",IF(AND(DL186="",DM186=""),"",N(DM186)-N(DL186)))</f>
        <v/>
      </c>
      <c r="DQ186">
        <f>IF(OR(DL$3="",DL$3&gt;TODAY()),"",IF(AND(DO186="",DP186=""),"",N(DP186)-N(DO186)))</f>
        <v/>
      </c>
      <c r="DU186">
        <f>IF(OR(DS$3="",DS$3&gt;TODAY()),"",IF(AND(DS186="",DT186=""),"",N(DT186)-N(DS186)))</f>
        <v/>
      </c>
      <c r="DX186">
        <f>IF(OR(DS$3="",DS$3&gt;TODAY()),"",IF(AND(DV186="",DW186=""),"",N(DW186)-N(DV186)))</f>
        <v/>
      </c>
      <c r="EB186">
        <f>IF(OR(DZ$3="",DZ$3&gt;TODAY()),"",IF(AND(DZ186="",EA186=""),"",N(EA186)-N(DZ186)))</f>
        <v/>
      </c>
      <c r="EE186">
        <f>IF(OR(DZ$3="",DZ$3&gt;TODAY()),"",IF(AND(EC186="",ED186=""),"",N(ED186)-N(EC186)))</f>
        <v/>
      </c>
      <c r="EI186">
        <f>IF(OR(EG$3="",EG$3&gt;TODAY()),"",IF(AND(EG186="",EH186=""),"",N(EH186)-N(EG186)))</f>
        <v/>
      </c>
      <c r="EL186">
        <f>IF(OR(EG$3="",EG$3&gt;TODAY()),"",IF(AND(EJ186="",EK186=""),"",N(EK186)-N(EJ186)))</f>
        <v/>
      </c>
      <c r="EP186">
        <f>IF(OR(EN$3="",EN$3&gt;TODAY()),"",IF(AND(EN186="",EO186=""),"",N(EO186)-N(EN186)))</f>
        <v/>
      </c>
      <c r="ES186">
        <f>IF(OR(EN$3="",EN$3&gt;TODAY()),"",IF(AND(EQ186="",ER186=""),"",N(ER186)-N(EQ186)))</f>
        <v/>
      </c>
      <c r="EW186">
        <f>IF(OR(EU$3="",EU$3&gt;TODAY()),"",IF(AND(EU186="",EV186=""),"",N(EV186)-N(EU186)))</f>
        <v/>
      </c>
      <c r="EZ186">
        <f>IF(OR(EU$3="",EU$3&gt;TODAY()),"",IF(AND(EX186="",EY186=""),"",N(EY186)-N(EX186)))</f>
        <v/>
      </c>
      <c r="FD186">
        <f>IF(OR(FB$3="",FB$3&gt;TODAY()),"",IF(AND(FB186="",FC186=""),"",N(FC186)-N(FB186)))</f>
        <v/>
      </c>
      <c r="FG186">
        <f>IF(OR(FB$3="",FB$3&gt;TODAY()),"",IF(AND(FE186="",FF186=""),"",N(FF186)-N(FE186)))</f>
        <v/>
      </c>
      <c r="FK186">
        <f>IF(OR(FI$3="",FI$3&gt;TODAY()),"",IF(AND(FI186="",FJ186=""),"",N(FJ186)-N(FI186)))</f>
        <v/>
      </c>
      <c r="FN186">
        <f>IF(OR(FI$3="",FI$3&gt;TODAY()),"",IF(AND(FL186="",FM186=""),"",N(FM186)-N(FL186)))</f>
        <v/>
      </c>
      <c r="FR186">
        <f>IF(OR(FP$3="",FP$3&gt;TODAY()),"",IF(AND(FP186="",FQ186=""),"",N(FQ186)-N(FP186)))</f>
        <v/>
      </c>
      <c r="FU186">
        <f>IF(OR(FP$3="",FP$3&gt;TODAY()),"",IF(AND(FS186="",FT186=""),"",N(FT186)-N(FS186)))</f>
        <v/>
      </c>
      <c r="FY186">
        <f>IF(OR(FW$3="",FW$3&gt;TODAY()),"",IF(AND(FW186="",FX186=""),"",N(FX186)-N(FW186)))</f>
        <v/>
      </c>
      <c r="GB186">
        <f>IF(OR(FW$3="",FW$3&gt;TODAY()),"",IF(AND(FZ186="",GA186=""),"",N(GA186)-N(FZ186)))</f>
        <v/>
      </c>
      <c r="GF186">
        <f>IF(OR(GD$3="",GD$3&gt;TODAY()),"",IF(AND(GD186="",GE186=""),"",N(GE186)-N(GD186)))</f>
        <v/>
      </c>
      <c r="GI186">
        <f>IF(OR(GD$3="",GD$3&gt;TODAY()),"",IF(AND(GG186="",GH186=""),"",N(GH186)-N(GG186)))</f>
        <v/>
      </c>
      <c r="GM186">
        <f>IF(OR(GK$3="",GK$3&gt;TODAY()),"",IF(AND(GK186="",GL186=""),"",N(GL186)-N(GK186)))</f>
        <v/>
      </c>
      <c r="GP186">
        <f>IF(OR(GK$3="",GK$3&gt;TODAY()),"",IF(AND(GN186="",GO186=""),"",N(GO186)-N(GN186)))</f>
        <v/>
      </c>
      <c r="GT186">
        <f>IF(OR(GR$3="",GR$3&gt;TODAY()),"",IF(AND(GR186="",GS186=""),"",N(GS186)-N(GR186)))</f>
        <v/>
      </c>
      <c r="GW186">
        <f>IF(OR(GR$3="",GR$3&gt;TODAY()),"",IF(AND(GU186="",GV186=""),"",N(GV186)-N(GU186)))</f>
        <v/>
      </c>
      <c r="HA186">
        <f>IF(OR(GY$3="",GY$3&gt;TODAY()),"",IF(AND(GY186="",GZ186=""),"",N(GZ186)-N(GY186)))</f>
        <v/>
      </c>
      <c r="HD186">
        <f>IF(OR(GY$3="",GY$3&gt;TODAY()),"",IF(AND(HB186="",HC186=""),"",N(HC186)-N(HB186)))</f>
        <v/>
      </c>
      <c r="HH186">
        <f>IF(OR(HF$3="",HF$3&gt;TODAY()),"",IF(AND(HF186="",HG186=""),"",N(HG186)-N(HF186)))</f>
        <v/>
      </c>
      <c r="HK186">
        <f>IF(OR(HF$3="",HF$3&gt;TODAY()),"",IF(AND(HI186="",HJ186=""),"",N(HJ186)-N(HI186)))</f>
        <v/>
      </c>
      <c r="HO186">
        <f>IF(OR(HM$3="",HM$3&gt;TODAY()),"",IF(AND(HM186="",HN186=""),"",N(HN186)-N(HM186)))</f>
        <v/>
      </c>
      <c r="HR186">
        <f>IF(OR(HM$3="",HM$3&gt;TODAY()),"",IF(AND(HP186="",HQ186=""),"",N(HQ186)-N(HP186)))</f>
        <v/>
      </c>
      <c r="HV186">
        <f>IF(OR(HT$3="",HT$3&gt;TODAY()),"",IF(AND(HT186="",HU186=""),"",N(HU186)-N(HT186)))</f>
        <v/>
      </c>
      <c r="HY186">
        <f>IF(OR(HT$3="",HT$3&gt;TODAY()),"",IF(AND(HW186="",HX186=""),"",N(HX186)-N(HW186)))</f>
        <v/>
      </c>
      <c r="IC186">
        <f>IF(OR(IA$3="",IA$3&gt;TODAY()),"",IF(AND(IA186="",IB186=""),"",N(IB186)-N(IA186)))</f>
        <v/>
      </c>
      <c r="IF186">
        <f>IF(OR(IA$3="",IA$3&gt;TODAY()),"",IF(AND(ID186="",IE186=""),"",N(IE186)-N(ID186)))</f>
        <v/>
      </c>
      <c r="IJ186">
        <f>IF(OR(IH$3="",IH$3&gt;TODAY()),"",IF(AND(IH186="",II186=""),"",N(II186)-N(IH186)))</f>
        <v/>
      </c>
      <c r="IM186">
        <f>IF(OR(IH$3="",IH$3&gt;TODAY()),"",IF(AND(IK186="",IL186=""),"",N(IL186)-N(IK186)))</f>
        <v/>
      </c>
    </row>
    <row r="187">
      <c r="A187" s="21" t="n"/>
      <c r="B187" s="21" t="n"/>
      <c r="C187" s="21" t="n"/>
      <c r="D187" s="21" t="n"/>
      <c r="E187" s="21" t="n"/>
      <c r="F187" s="21" t="n"/>
      <c r="G187" s="21" t="n"/>
      <c r="H187" s="21" t="n"/>
      <c r="I187" s="22" t="n"/>
      <c r="J187" s="22" t="n"/>
      <c r="K187" s="23" t="n"/>
      <c r="L187" s="22" t="n"/>
      <c r="M187" s="22" t="n"/>
      <c r="N187" s="21" t="n"/>
      <c r="O187" s="23" t="n"/>
      <c r="P187" s="23" t="n"/>
      <c r="Q187" s="23" t="n"/>
      <c r="R187" s="23" t="n"/>
      <c r="S187" s="22" t="n"/>
      <c r="T187" s="23" t="n"/>
      <c r="U187" s="23" t="n"/>
      <c r="V187" s="24">
        <f>IF(J187&lt;&gt;"",J187,IF(I187&lt;&gt;"",I187,""))</f>
        <v/>
      </c>
      <c r="W187" s="25">
        <f>IF($E187="","",N(O187)+SUMIFS($AF187:$IN187,$AF$4:$IN$4,"SEW_ACT"))</f>
        <v/>
      </c>
      <c r="X187" s="25">
        <f>IF($E187="","",N(P187)+SUMIFS($AF187:$IN187,$AF$4:$IN$4,"WASH_ACT"))</f>
        <v/>
      </c>
      <c r="Y187" s="25">
        <f>IF($E187="","",W187-X187-N(T187)-N(U187))</f>
        <v/>
      </c>
      <c r="Z187" s="25">
        <f>IF($E187="","",IF(N(K187)-X187&lt;=0.02*N(K187),0,N(K187)-X187))</f>
        <v/>
      </c>
      <c r="AA187" s="24">
        <f>IF($E187="","",IF(S187&lt;&gt;"",S187,IF(N(O187)&gt;0,IF(L187&lt;&gt;"",L187,99999),IFERROR(1/(1/_xlfn.MINIFS($AF$3:$IN$3,$AF$4:$IN$4,"SEW_ACT",$AF187:$IN187,"&gt;0")),99999))))</f>
        <v/>
      </c>
      <c r="AB187" s="26">
        <f>IF(OR($E187="",Z187=0,V187=""),"",1+COUNTIFS(Z$8:Z$707,"&gt;0",V$8:V$707,"&lt;"&amp;V187)+COUNTIFS(Z$8:Z$707,"&gt;0",V$8:V$707,V187,AA$8:AA$707,"&lt;"&amp;AA187)+COUNTIFS(Z$8:Z$707,"&gt;0",V$8:V$707,V187,AA$8:AA$707,AA187,E$8:E$707,"&lt;"&amp;$E187))</f>
        <v/>
      </c>
      <c r="AC187" s="24">
        <f>IF(OR($E187="",Z187=0),"",IFERROR(TODAY()+ROUNDUP(Z187/(SUMIFS($AF187:$IN187,$AF$4:$IN$4,"WASH_ACT")/COUNTIFS($AF$4:$IN$4,"WASH_ACT",$AF187:$IN187,"&gt;0")),0),"no output yet"))</f>
        <v/>
      </c>
      <c r="AD187" s="26">
        <f>IF($E187="","",IFERROR(ROUND(MAX(0,SUMIFS($AF187:$IN187,$AF$4:$IN$4,"SEW_PLAN",$AF$3:$IN$3,"&lt;="&amp;TODAY())-SUMIFS($AF187:$IN187,$AF$4:$IN$4,"SEW_ACT",$AF$3:$IN$3,"&lt;="&amp;TODAY())+N(Q187))/(SUMIFS($AF187:$IN187,$AF$4:$IN$4,"SEW_PLAN")/COUNTIFS($AF$4:$IN$4,"SEW_PLAN",$AF187:$IN187,"&gt;0")),1),0))</f>
        <v/>
      </c>
      <c r="AE187" s="26">
        <f>IF($E187="","",IF(AND(Z187&gt;0,OR(AND(M187&lt;&gt;"",TODAY()&gt;M187),AND(V187&lt;&gt;"",V187-TODAY()&lt;=7))),"Yes","No"))</f>
        <v/>
      </c>
      <c r="AH187">
        <f>IF(OR(AF$3="",AF$3&gt;TODAY()),"",IF(AND(AF187="",AG187=""),"",N(AG187)-N(AF187)))</f>
        <v/>
      </c>
      <c r="AK187">
        <f>IF(OR(AF$3="",AF$3&gt;TODAY()),"",IF(AND(AI187="",AJ187=""),"",N(AJ187)-N(AI187)))</f>
        <v/>
      </c>
      <c r="AO187">
        <f>IF(OR(AM$3="",AM$3&gt;TODAY()),"",IF(AND(AM187="",AN187=""),"",N(AN187)-N(AM187)))</f>
        <v/>
      </c>
      <c r="AR187">
        <f>IF(OR(AM$3="",AM$3&gt;TODAY()),"",IF(AND(AP187="",AQ187=""),"",N(AQ187)-N(AP187)))</f>
        <v/>
      </c>
      <c r="AV187">
        <f>IF(OR(AT$3="",AT$3&gt;TODAY()),"",IF(AND(AT187="",AU187=""),"",N(AU187)-N(AT187)))</f>
        <v/>
      </c>
      <c r="AY187">
        <f>IF(OR(AT$3="",AT$3&gt;TODAY()),"",IF(AND(AW187="",AX187=""),"",N(AX187)-N(AW187)))</f>
        <v/>
      </c>
      <c r="BC187">
        <f>IF(OR(BA$3="",BA$3&gt;TODAY()),"",IF(AND(BA187="",BB187=""),"",N(BB187)-N(BA187)))</f>
        <v/>
      </c>
      <c r="BF187">
        <f>IF(OR(BA$3="",BA$3&gt;TODAY()),"",IF(AND(BD187="",BE187=""),"",N(BE187)-N(BD187)))</f>
        <v/>
      </c>
      <c r="BJ187">
        <f>IF(OR(BH$3="",BH$3&gt;TODAY()),"",IF(AND(BH187="",BI187=""),"",N(BI187)-N(BH187)))</f>
        <v/>
      </c>
      <c r="BM187">
        <f>IF(OR(BH$3="",BH$3&gt;TODAY()),"",IF(AND(BK187="",BL187=""),"",N(BL187)-N(BK187)))</f>
        <v/>
      </c>
      <c r="BQ187">
        <f>IF(OR(BO$3="",BO$3&gt;TODAY()),"",IF(AND(BO187="",BP187=""),"",N(BP187)-N(BO187)))</f>
        <v/>
      </c>
      <c r="BT187">
        <f>IF(OR(BO$3="",BO$3&gt;TODAY()),"",IF(AND(BR187="",BS187=""),"",N(BS187)-N(BR187)))</f>
        <v/>
      </c>
      <c r="BX187">
        <f>IF(OR(BV$3="",BV$3&gt;TODAY()),"",IF(AND(BV187="",BW187=""),"",N(BW187)-N(BV187)))</f>
        <v/>
      </c>
      <c r="CA187">
        <f>IF(OR(BV$3="",BV$3&gt;TODAY()),"",IF(AND(BY187="",BZ187=""),"",N(BZ187)-N(BY187)))</f>
        <v/>
      </c>
      <c r="CE187">
        <f>IF(OR(CC$3="",CC$3&gt;TODAY()),"",IF(AND(CC187="",CD187=""),"",N(CD187)-N(CC187)))</f>
        <v/>
      </c>
      <c r="CH187">
        <f>IF(OR(CC$3="",CC$3&gt;TODAY()),"",IF(AND(CF187="",CG187=""),"",N(CG187)-N(CF187)))</f>
        <v/>
      </c>
      <c r="CL187">
        <f>IF(OR(CJ$3="",CJ$3&gt;TODAY()),"",IF(AND(CJ187="",CK187=""),"",N(CK187)-N(CJ187)))</f>
        <v/>
      </c>
      <c r="CO187">
        <f>IF(OR(CJ$3="",CJ$3&gt;TODAY()),"",IF(AND(CM187="",CN187=""),"",N(CN187)-N(CM187)))</f>
        <v/>
      </c>
      <c r="CS187">
        <f>IF(OR(CQ$3="",CQ$3&gt;TODAY()),"",IF(AND(CQ187="",CR187=""),"",N(CR187)-N(CQ187)))</f>
        <v/>
      </c>
      <c r="CV187">
        <f>IF(OR(CQ$3="",CQ$3&gt;TODAY()),"",IF(AND(CT187="",CU187=""),"",N(CU187)-N(CT187)))</f>
        <v/>
      </c>
      <c r="CZ187">
        <f>IF(OR(CX$3="",CX$3&gt;TODAY()),"",IF(AND(CX187="",CY187=""),"",N(CY187)-N(CX187)))</f>
        <v/>
      </c>
      <c r="DC187">
        <f>IF(OR(CX$3="",CX$3&gt;TODAY()),"",IF(AND(DA187="",DB187=""),"",N(DB187)-N(DA187)))</f>
        <v/>
      </c>
      <c r="DG187">
        <f>IF(OR(DE$3="",DE$3&gt;TODAY()),"",IF(AND(DE187="",DF187=""),"",N(DF187)-N(DE187)))</f>
        <v/>
      </c>
      <c r="DJ187">
        <f>IF(OR(DE$3="",DE$3&gt;TODAY()),"",IF(AND(DH187="",DI187=""),"",N(DI187)-N(DH187)))</f>
        <v/>
      </c>
      <c r="DN187">
        <f>IF(OR(DL$3="",DL$3&gt;TODAY()),"",IF(AND(DL187="",DM187=""),"",N(DM187)-N(DL187)))</f>
        <v/>
      </c>
      <c r="DQ187">
        <f>IF(OR(DL$3="",DL$3&gt;TODAY()),"",IF(AND(DO187="",DP187=""),"",N(DP187)-N(DO187)))</f>
        <v/>
      </c>
      <c r="DU187">
        <f>IF(OR(DS$3="",DS$3&gt;TODAY()),"",IF(AND(DS187="",DT187=""),"",N(DT187)-N(DS187)))</f>
        <v/>
      </c>
      <c r="DX187">
        <f>IF(OR(DS$3="",DS$3&gt;TODAY()),"",IF(AND(DV187="",DW187=""),"",N(DW187)-N(DV187)))</f>
        <v/>
      </c>
      <c r="EB187">
        <f>IF(OR(DZ$3="",DZ$3&gt;TODAY()),"",IF(AND(DZ187="",EA187=""),"",N(EA187)-N(DZ187)))</f>
        <v/>
      </c>
      <c r="EE187">
        <f>IF(OR(DZ$3="",DZ$3&gt;TODAY()),"",IF(AND(EC187="",ED187=""),"",N(ED187)-N(EC187)))</f>
        <v/>
      </c>
      <c r="EI187">
        <f>IF(OR(EG$3="",EG$3&gt;TODAY()),"",IF(AND(EG187="",EH187=""),"",N(EH187)-N(EG187)))</f>
        <v/>
      </c>
      <c r="EL187">
        <f>IF(OR(EG$3="",EG$3&gt;TODAY()),"",IF(AND(EJ187="",EK187=""),"",N(EK187)-N(EJ187)))</f>
        <v/>
      </c>
      <c r="EP187">
        <f>IF(OR(EN$3="",EN$3&gt;TODAY()),"",IF(AND(EN187="",EO187=""),"",N(EO187)-N(EN187)))</f>
        <v/>
      </c>
      <c r="ES187">
        <f>IF(OR(EN$3="",EN$3&gt;TODAY()),"",IF(AND(EQ187="",ER187=""),"",N(ER187)-N(EQ187)))</f>
        <v/>
      </c>
      <c r="EW187">
        <f>IF(OR(EU$3="",EU$3&gt;TODAY()),"",IF(AND(EU187="",EV187=""),"",N(EV187)-N(EU187)))</f>
        <v/>
      </c>
      <c r="EZ187">
        <f>IF(OR(EU$3="",EU$3&gt;TODAY()),"",IF(AND(EX187="",EY187=""),"",N(EY187)-N(EX187)))</f>
        <v/>
      </c>
      <c r="FD187">
        <f>IF(OR(FB$3="",FB$3&gt;TODAY()),"",IF(AND(FB187="",FC187=""),"",N(FC187)-N(FB187)))</f>
        <v/>
      </c>
      <c r="FG187">
        <f>IF(OR(FB$3="",FB$3&gt;TODAY()),"",IF(AND(FE187="",FF187=""),"",N(FF187)-N(FE187)))</f>
        <v/>
      </c>
      <c r="FK187">
        <f>IF(OR(FI$3="",FI$3&gt;TODAY()),"",IF(AND(FI187="",FJ187=""),"",N(FJ187)-N(FI187)))</f>
        <v/>
      </c>
      <c r="FN187">
        <f>IF(OR(FI$3="",FI$3&gt;TODAY()),"",IF(AND(FL187="",FM187=""),"",N(FM187)-N(FL187)))</f>
        <v/>
      </c>
      <c r="FR187">
        <f>IF(OR(FP$3="",FP$3&gt;TODAY()),"",IF(AND(FP187="",FQ187=""),"",N(FQ187)-N(FP187)))</f>
        <v/>
      </c>
      <c r="FU187">
        <f>IF(OR(FP$3="",FP$3&gt;TODAY()),"",IF(AND(FS187="",FT187=""),"",N(FT187)-N(FS187)))</f>
        <v/>
      </c>
      <c r="FY187">
        <f>IF(OR(FW$3="",FW$3&gt;TODAY()),"",IF(AND(FW187="",FX187=""),"",N(FX187)-N(FW187)))</f>
        <v/>
      </c>
      <c r="GB187">
        <f>IF(OR(FW$3="",FW$3&gt;TODAY()),"",IF(AND(FZ187="",GA187=""),"",N(GA187)-N(FZ187)))</f>
        <v/>
      </c>
      <c r="GF187">
        <f>IF(OR(GD$3="",GD$3&gt;TODAY()),"",IF(AND(GD187="",GE187=""),"",N(GE187)-N(GD187)))</f>
        <v/>
      </c>
      <c r="GI187">
        <f>IF(OR(GD$3="",GD$3&gt;TODAY()),"",IF(AND(GG187="",GH187=""),"",N(GH187)-N(GG187)))</f>
        <v/>
      </c>
      <c r="GM187">
        <f>IF(OR(GK$3="",GK$3&gt;TODAY()),"",IF(AND(GK187="",GL187=""),"",N(GL187)-N(GK187)))</f>
        <v/>
      </c>
      <c r="GP187">
        <f>IF(OR(GK$3="",GK$3&gt;TODAY()),"",IF(AND(GN187="",GO187=""),"",N(GO187)-N(GN187)))</f>
        <v/>
      </c>
      <c r="GT187">
        <f>IF(OR(GR$3="",GR$3&gt;TODAY()),"",IF(AND(GR187="",GS187=""),"",N(GS187)-N(GR187)))</f>
        <v/>
      </c>
      <c r="GW187">
        <f>IF(OR(GR$3="",GR$3&gt;TODAY()),"",IF(AND(GU187="",GV187=""),"",N(GV187)-N(GU187)))</f>
        <v/>
      </c>
      <c r="HA187">
        <f>IF(OR(GY$3="",GY$3&gt;TODAY()),"",IF(AND(GY187="",GZ187=""),"",N(GZ187)-N(GY187)))</f>
        <v/>
      </c>
      <c r="HD187">
        <f>IF(OR(GY$3="",GY$3&gt;TODAY()),"",IF(AND(HB187="",HC187=""),"",N(HC187)-N(HB187)))</f>
        <v/>
      </c>
      <c r="HH187">
        <f>IF(OR(HF$3="",HF$3&gt;TODAY()),"",IF(AND(HF187="",HG187=""),"",N(HG187)-N(HF187)))</f>
        <v/>
      </c>
      <c r="HK187">
        <f>IF(OR(HF$3="",HF$3&gt;TODAY()),"",IF(AND(HI187="",HJ187=""),"",N(HJ187)-N(HI187)))</f>
        <v/>
      </c>
      <c r="HO187">
        <f>IF(OR(HM$3="",HM$3&gt;TODAY()),"",IF(AND(HM187="",HN187=""),"",N(HN187)-N(HM187)))</f>
        <v/>
      </c>
      <c r="HR187">
        <f>IF(OR(HM$3="",HM$3&gt;TODAY()),"",IF(AND(HP187="",HQ187=""),"",N(HQ187)-N(HP187)))</f>
        <v/>
      </c>
      <c r="HV187">
        <f>IF(OR(HT$3="",HT$3&gt;TODAY()),"",IF(AND(HT187="",HU187=""),"",N(HU187)-N(HT187)))</f>
        <v/>
      </c>
      <c r="HY187">
        <f>IF(OR(HT$3="",HT$3&gt;TODAY()),"",IF(AND(HW187="",HX187=""),"",N(HX187)-N(HW187)))</f>
        <v/>
      </c>
      <c r="IC187">
        <f>IF(OR(IA$3="",IA$3&gt;TODAY()),"",IF(AND(IA187="",IB187=""),"",N(IB187)-N(IA187)))</f>
        <v/>
      </c>
      <c r="IF187">
        <f>IF(OR(IA$3="",IA$3&gt;TODAY()),"",IF(AND(ID187="",IE187=""),"",N(IE187)-N(ID187)))</f>
        <v/>
      </c>
      <c r="IJ187">
        <f>IF(OR(IH$3="",IH$3&gt;TODAY()),"",IF(AND(IH187="",II187=""),"",N(II187)-N(IH187)))</f>
        <v/>
      </c>
      <c r="IM187">
        <f>IF(OR(IH$3="",IH$3&gt;TODAY()),"",IF(AND(IK187="",IL187=""),"",N(IL187)-N(IK187)))</f>
        <v/>
      </c>
    </row>
    <row r="188">
      <c r="A188" s="21" t="n"/>
      <c r="B188" s="21" t="n"/>
      <c r="C188" s="21" t="n"/>
      <c r="D188" s="21" t="n"/>
      <c r="E188" s="21" t="n"/>
      <c r="F188" s="21" t="n"/>
      <c r="G188" s="21" t="n"/>
      <c r="H188" s="21" t="n"/>
      <c r="I188" s="22" t="n"/>
      <c r="J188" s="22" t="n"/>
      <c r="K188" s="23" t="n"/>
      <c r="L188" s="22" t="n"/>
      <c r="M188" s="22" t="n"/>
      <c r="N188" s="21" t="n"/>
      <c r="O188" s="23" t="n"/>
      <c r="P188" s="23" t="n"/>
      <c r="Q188" s="23" t="n"/>
      <c r="R188" s="23" t="n"/>
      <c r="S188" s="22" t="n"/>
      <c r="T188" s="23" t="n"/>
      <c r="U188" s="23" t="n"/>
      <c r="V188" s="24">
        <f>IF(J188&lt;&gt;"",J188,IF(I188&lt;&gt;"",I188,""))</f>
        <v/>
      </c>
      <c r="W188" s="25">
        <f>IF($E188="","",N(O188)+SUMIFS($AF188:$IN188,$AF$4:$IN$4,"SEW_ACT"))</f>
        <v/>
      </c>
      <c r="X188" s="25">
        <f>IF($E188="","",N(P188)+SUMIFS($AF188:$IN188,$AF$4:$IN$4,"WASH_ACT"))</f>
        <v/>
      </c>
      <c r="Y188" s="25">
        <f>IF($E188="","",W188-X188-N(T188)-N(U188))</f>
        <v/>
      </c>
      <c r="Z188" s="25">
        <f>IF($E188="","",IF(N(K188)-X188&lt;=0.02*N(K188),0,N(K188)-X188))</f>
        <v/>
      </c>
      <c r="AA188" s="24">
        <f>IF($E188="","",IF(S188&lt;&gt;"",S188,IF(N(O188)&gt;0,IF(L188&lt;&gt;"",L188,99999),IFERROR(1/(1/_xlfn.MINIFS($AF$3:$IN$3,$AF$4:$IN$4,"SEW_ACT",$AF188:$IN188,"&gt;0")),99999))))</f>
        <v/>
      </c>
      <c r="AB188" s="26">
        <f>IF(OR($E188="",Z188=0,V188=""),"",1+COUNTIFS(Z$8:Z$707,"&gt;0",V$8:V$707,"&lt;"&amp;V188)+COUNTIFS(Z$8:Z$707,"&gt;0",V$8:V$707,V188,AA$8:AA$707,"&lt;"&amp;AA188)+COUNTIFS(Z$8:Z$707,"&gt;0",V$8:V$707,V188,AA$8:AA$707,AA188,E$8:E$707,"&lt;"&amp;$E188))</f>
        <v/>
      </c>
      <c r="AC188" s="24">
        <f>IF(OR($E188="",Z188=0),"",IFERROR(TODAY()+ROUNDUP(Z188/(SUMIFS($AF188:$IN188,$AF$4:$IN$4,"WASH_ACT")/COUNTIFS($AF$4:$IN$4,"WASH_ACT",$AF188:$IN188,"&gt;0")),0),"no output yet"))</f>
        <v/>
      </c>
      <c r="AD188" s="26">
        <f>IF($E188="","",IFERROR(ROUND(MAX(0,SUMIFS($AF188:$IN188,$AF$4:$IN$4,"SEW_PLAN",$AF$3:$IN$3,"&lt;="&amp;TODAY())-SUMIFS($AF188:$IN188,$AF$4:$IN$4,"SEW_ACT",$AF$3:$IN$3,"&lt;="&amp;TODAY())+N(Q188))/(SUMIFS($AF188:$IN188,$AF$4:$IN$4,"SEW_PLAN")/COUNTIFS($AF$4:$IN$4,"SEW_PLAN",$AF188:$IN188,"&gt;0")),1),0))</f>
        <v/>
      </c>
      <c r="AE188" s="26">
        <f>IF($E188="","",IF(AND(Z188&gt;0,OR(AND(M188&lt;&gt;"",TODAY()&gt;M188),AND(V188&lt;&gt;"",V188-TODAY()&lt;=7))),"Yes","No"))</f>
        <v/>
      </c>
      <c r="AH188">
        <f>IF(OR(AF$3="",AF$3&gt;TODAY()),"",IF(AND(AF188="",AG188=""),"",N(AG188)-N(AF188)))</f>
        <v/>
      </c>
      <c r="AK188">
        <f>IF(OR(AF$3="",AF$3&gt;TODAY()),"",IF(AND(AI188="",AJ188=""),"",N(AJ188)-N(AI188)))</f>
        <v/>
      </c>
      <c r="AO188">
        <f>IF(OR(AM$3="",AM$3&gt;TODAY()),"",IF(AND(AM188="",AN188=""),"",N(AN188)-N(AM188)))</f>
        <v/>
      </c>
      <c r="AR188">
        <f>IF(OR(AM$3="",AM$3&gt;TODAY()),"",IF(AND(AP188="",AQ188=""),"",N(AQ188)-N(AP188)))</f>
        <v/>
      </c>
      <c r="AV188">
        <f>IF(OR(AT$3="",AT$3&gt;TODAY()),"",IF(AND(AT188="",AU188=""),"",N(AU188)-N(AT188)))</f>
        <v/>
      </c>
      <c r="AY188">
        <f>IF(OR(AT$3="",AT$3&gt;TODAY()),"",IF(AND(AW188="",AX188=""),"",N(AX188)-N(AW188)))</f>
        <v/>
      </c>
      <c r="BC188">
        <f>IF(OR(BA$3="",BA$3&gt;TODAY()),"",IF(AND(BA188="",BB188=""),"",N(BB188)-N(BA188)))</f>
        <v/>
      </c>
      <c r="BF188">
        <f>IF(OR(BA$3="",BA$3&gt;TODAY()),"",IF(AND(BD188="",BE188=""),"",N(BE188)-N(BD188)))</f>
        <v/>
      </c>
      <c r="BJ188">
        <f>IF(OR(BH$3="",BH$3&gt;TODAY()),"",IF(AND(BH188="",BI188=""),"",N(BI188)-N(BH188)))</f>
        <v/>
      </c>
      <c r="BM188">
        <f>IF(OR(BH$3="",BH$3&gt;TODAY()),"",IF(AND(BK188="",BL188=""),"",N(BL188)-N(BK188)))</f>
        <v/>
      </c>
      <c r="BQ188">
        <f>IF(OR(BO$3="",BO$3&gt;TODAY()),"",IF(AND(BO188="",BP188=""),"",N(BP188)-N(BO188)))</f>
        <v/>
      </c>
      <c r="BT188">
        <f>IF(OR(BO$3="",BO$3&gt;TODAY()),"",IF(AND(BR188="",BS188=""),"",N(BS188)-N(BR188)))</f>
        <v/>
      </c>
      <c r="BX188">
        <f>IF(OR(BV$3="",BV$3&gt;TODAY()),"",IF(AND(BV188="",BW188=""),"",N(BW188)-N(BV188)))</f>
        <v/>
      </c>
      <c r="CA188">
        <f>IF(OR(BV$3="",BV$3&gt;TODAY()),"",IF(AND(BY188="",BZ188=""),"",N(BZ188)-N(BY188)))</f>
        <v/>
      </c>
      <c r="CE188">
        <f>IF(OR(CC$3="",CC$3&gt;TODAY()),"",IF(AND(CC188="",CD188=""),"",N(CD188)-N(CC188)))</f>
        <v/>
      </c>
      <c r="CH188">
        <f>IF(OR(CC$3="",CC$3&gt;TODAY()),"",IF(AND(CF188="",CG188=""),"",N(CG188)-N(CF188)))</f>
        <v/>
      </c>
      <c r="CL188">
        <f>IF(OR(CJ$3="",CJ$3&gt;TODAY()),"",IF(AND(CJ188="",CK188=""),"",N(CK188)-N(CJ188)))</f>
        <v/>
      </c>
      <c r="CO188">
        <f>IF(OR(CJ$3="",CJ$3&gt;TODAY()),"",IF(AND(CM188="",CN188=""),"",N(CN188)-N(CM188)))</f>
        <v/>
      </c>
      <c r="CS188">
        <f>IF(OR(CQ$3="",CQ$3&gt;TODAY()),"",IF(AND(CQ188="",CR188=""),"",N(CR188)-N(CQ188)))</f>
        <v/>
      </c>
      <c r="CV188">
        <f>IF(OR(CQ$3="",CQ$3&gt;TODAY()),"",IF(AND(CT188="",CU188=""),"",N(CU188)-N(CT188)))</f>
        <v/>
      </c>
      <c r="CZ188">
        <f>IF(OR(CX$3="",CX$3&gt;TODAY()),"",IF(AND(CX188="",CY188=""),"",N(CY188)-N(CX188)))</f>
        <v/>
      </c>
      <c r="DC188">
        <f>IF(OR(CX$3="",CX$3&gt;TODAY()),"",IF(AND(DA188="",DB188=""),"",N(DB188)-N(DA188)))</f>
        <v/>
      </c>
      <c r="DG188">
        <f>IF(OR(DE$3="",DE$3&gt;TODAY()),"",IF(AND(DE188="",DF188=""),"",N(DF188)-N(DE188)))</f>
        <v/>
      </c>
      <c r="DJ188">
        <f>IF(OR(DE$3="",DE$3&gt;TODAY()),"",IF(AND(DH188="",DI188=""),"",N(DI188)-N(DH188)))</f>
        <v/>
      </c>
      <c r="DN188">
        <f>IF(OR(DL$3="",DL$3&gt;TODAY()),"",IF(AND(DL188="",DM188=""),"",N(DM188)-N(DL188)))</f>
        <v/>
      </c>
      <c r="DQ188">
        <f>IF(OR(DL$3="",DL$3&gt;TODAY()),"",IF(AND(DO188="",DP188=""),"",N(DP188)-N(DO188)))</f>
        <v/>
      </c>
      <c r="DU188">
        <f>IF(OR(DS$3="",DS$3&gt;TODAY()),"",IF(AND(DS188="",DT188=""),"",N(DT188)-N(DS188)))</f>
        <v/>
      </c>
      <c r="DX188">
        <f>IF(OR(DS$3="",DS$3&gt;TODAY()),"",IF(AND(DV188="",DW188=""),"",N(DW188)-N(DV188)))</f>
        <v/>
      </c>
      <c r="EB188">
        <f>IF(OR(DZ$3="",DZ$3&gt;TODAY()),"",IF(AND(DZ188="",EA188=""),"",N(EA188)-N(DZ188)))</f>
        <v/>
      </c>
      <c r="EE188">
        <f>IF(OR(DZ$3="",DZ$3&gt;TODAY()),"",IF(AND(EC188="",ED188=""),"",N(ED188)-N(EC188)))</f>
        <v/>
      </c>
      <c r="EI188">
        <f>IF(OR(EG$3="",EG$3&gt;TODAY()),"",IF(AND(EG188="",EH188=""),"",N(EH188)-N(EG188)))</f>
        <v/>
      </c>
      <c r="EL188">
        <f>IF(OR(EG$3="",EG$3&gt;TODAY()),"",IF(AND(EJ188="",EK188=""),"",N(EK188)-N(EJ188)))</f>
        <v/>
      </c>
      <c r="EP188">
        <f>IF(OR(EN$3="",EN$3&gt;TODAY()),"",IF(AND(EN188="",EO188=""),"",N(EO188)-N(EN188)))</f>
        <v/>
      </c>
      <c r="ES188">
        <f>IF(OR(EN$3="",EN$3&gt;TODAY()),"",IF(AND(EQ188="",ER188=""),"",N(ER188)-N(EQ188)))</f>
        <v/>
      </c>
      <c r="EW188">
        <f>IF(OR(EU$3="",EU$3&gt;TODAY()),"",IF(AND(EU188="",EV188=""),"",N(EV188)-N(EU188)))</f>
        <v/>
      </c>
      <c r="EZ188">
        <f>IF(OR(EU$3="",EU$3&gt;TODAY()),"",IF(AND(EX188="",EY188=""),"",N(EY188)-N(EX188)))</f>
        <v/>
      </c>
      <c r="FD188">
        <f>IF(OR(FB$3="",FB$3&gt;TODAY()),"",IF(AND(FB188="",FC188=""),"",N(FC188)-N(FB188)))</f>
        <v/>
      </c>
      <c r="FG188">
        <f>IF(OR(FB$3="",FB$3&gt;TODAY()),"",IF(AND(FE188="",FF188=""),"",N(FF188)-N(FE188)))</f>
        <v/>
      </c>
      <c r="FK188">
        <f>IF(OR(FI$3="",FI$3&gt;TODAY()),"",IF(AND(FI188="",FJ188=""),"",N(FJ188)-N(FI188)))</f>
        <v/>
      </c>
      <c r="FN188">
        <f>IF(OR(FI$3="",FI$3&gt;TODAY()),"",IF(AND(FL188="",FM188=""),"",N(FM188)-N(FL188)))</f>
        <v/>
      </c>
      <c r="FR188">
        <f>IF(OR(FP$3="",FP$3&gt;TODAY()),"",IF(AND(FP188="",FQ188=""),"",N(FQ188)-N(FP188)))</f>
        <v/>
      </c>
      <c r="FU188">
        <f>IF(OR(FP$3="",FP$3&gt;TODAY()),"",IF(AND(FS188="",FT188=""),"",N(FT188)-N(FS188)))</f>
        <v/>
      </c>
      <c r="FY188">
        <f>IF(OR(FW$3="",FW$3&gt;TODAY()),"",IF(AND(FW188="",FX188=""),"",N(FX188)-N(FW188)))</f>
        <v/>
      </c>
      <c r="GB188">
        <f>IF(OR(FW$3="",FW$3&gt;TODAY()),"",IF(AND(FZ188="",GA188=""),"",N(GA188)-N(FZ188)))</f>
        <v/>
      </c>
      <c r="GF188">
        <f>IF(OR(GD$3="",GD$3&gt;TODAY()),"",IF(AND(GD188="",GE188=""),"",N(GE188)-N(GD188)))</f>
        <v/>
      </c>
      <c r="GI188">
        <f>IF(OR(GD$3="",GD$3&gt;TODAY()),"",IF(AND(GG188="",GH188=""),"",N(GH188)-N(GG188)))</f>
        <v/>
      </c>
      <c r="GM188">
        <f>IF(OR(GK$3="",GK$3&gt;TODAY()),"",IF(AND(GK188="",GL188=""),"",N(GL188)-N(GK188)))</f>
        <v/>
      </c>
      <c r="GP188">
        <f>IF(OR(GK$3="",GK$3&gt;TODAY()),"",IF(AND(GN188="",GO188=""),"",N(GO188)-N(GN188)))</f>
        <v/>
      </c>
      <c r="GT188">
        <f>IF(OR(GR$3="",GR$3&gt;TODAY()),"",IF(AND(GR188="",GS188=""),"",N(GS188)-N(GR188)))</f>
        <v/>
      </c>
      <c r="GW188">
        <f>IF(OR(GR$3="",GR$3&gt;TODAY()),"",IF(AND(GU188="",GV188=""),"",N(GV188)-N(GU188)))</f>
        <v/>
      </c>
      <c r="HA188">
        <f>IF(OR(GY$3="",GY$3&gt;TODAY()),"",IF(AND(GY188="",GZ188=""),"",N(GZ188)-N(GY188)))</f>
        <v/>
      </c>
      <c r="HD188">
        <f>IF(OR(GY$3="",GY$3&gt;TODAY()),"",IF(AND(HB188="",HC188=""),"",N(HC188)-N(HB188)))</f>
        <v/>
      </c>
      <c r="HH188">
        <f>IF(OR(HF$3="",HF$3&gt;TODAY()),"",IF(AND(HF188="",HG188=""),"",N(HG188)-N(HF188)))</f>
        <v/>
      </c>
      <c r="HK188">
        <f>IF(OR(HF$3="",HF$3&gt;TODAY()),"",IF(AND(HI188="",HJ188=""),"",N(HJ188)-N(HI188)))</f>
        <v/>
      </c>
      <c r="HO188">
        <f>IF(OR(HM$3="",HM$3&gt;TODAY()),"",IF(AND(HM188="",HN188=""),"",N(HN188)-N(HM188)))</f>
        <v/>
      </c>
      <c r="HR188">
        <f>IF(OR(HM$3="",HM$3&gt;TODAY()),"",IF(AND(HP188="",HQ188=""),"",N(HQ188)-N(HP188)))</f>
        <v/>
      </c>
      <c r="HV188">
        <f>IF(OR(HT$3="",HT$3&gt;TODAY()),"",IF(AND(HT188="",HU188=""),"",N(HU188)-N(HT188)))</f>
        <v/>
      </c>
      <c r="HY188">
        <f>IF(OR(HT$3="",HT$3&gt;TODAY()),"",IF(AND(HW188="",HX188=""),"",N(HX188)-N(HW188)))</f>
        <v/>
      </c>
      <c r="IC188">
        <f>IF(OR(IA$3="",IA$3&gt;TODAY()),"",IF(AND(IA188="",IB188=""),"",N(IB188)-N(IA188)))</f>
        <v/>
      </c>
      <c r="IF188">
        <f>IF(OR(IA$3="",IA$3&gt;TODAY()),"",IF(AND(ID188="",IE188=""),"",N(IE188)-N(ID188)))</f>
        <v/>
      </c>
      <c r="IJ188">
        <f>IF(OR(IH$3="",IH$3&gt;TODAY()),"",IF(AND(IH188="",II188=""),"",N(II188)-N(IH188)))</f>
        <v/>
      </c>
      <c r="IM188">
        <f>IF(OR(IH$3="",IH$3&gt;TODAY()),"",IF(AND(IK188="",IL188=""),"",N(IL188)-N(IK188)))</f>
        <v/>
      </c>
    </row>
    <row r="189">
      <c r="A189" s="21" t="n"/>
      <c r="B189" s="21" t="n"/>
      <c r="C189" s="21" t="n"/>
      <c r="D189" s="21" t="n"/>
      <c r="E189" s="21" t="n"/>
      <c r="F189" s="21" t="n"/>
      <c r="G189" s="21" t="n"/>
      <c r="H189" s="21" t="n"/>
      <c r="I189" s="22" t="n"/>
      <c r="J189" s="22" t="n"/>
      <c r="K189" s="23" t="n"/>
      <c r="L189" s="22" t="n"/>
      <c r="M189" s="22" t="n"/>
      <c r="N189" s="21" t="n"/>
      <c r="O189" s="23" t="n"/>
      <c r="P189" s="23" t="n"/>
      <c r="Q189" s="23" t="n"/>
      <c r="R189" s="23" t="n"/>
      <c r="S189" s="22" t="n"/>
      <c r="T189" s="23" t="n"/>
      <c r="U189" s="23" t="n"/>
      <c r="V189" s="24">
        <f>IF(J189&lt;&gt;"",J189,IF(I189&lt;&gt;"",I189,""))</f>
        <v/>
      </c>
      <c r="W189" s="25">
        <f>IF($E189="","",N(O189)+SUMIFS($AF189:$IN189,$AF$4:$IN$4,"SEW_ACT"))</f>
        <v/>
      </c>
      <c r="X189" s="25">
        <f>IF($E189="","",N(P189)+SUMIFS($AF189:$IN189,$AF$4:$IN$4,"WASH_ACT"))</f>
        <v/>
      </c>
      <c r="Y189" s="25">
        <f>IF($E189="","",W189-X189-N(T189)-N(U189))</f>
        <v/>
      </c>
      <c r="Z189" s="25">
        <f>IF($E189="","",IF(N(K189)-X189&lt;=0.02*N(K189),0,N(K189)-X189))</f>
        <v/>
      </c>
      <c r="AA189" s="24">
        <f>IF($E189="","",IF(S189&lt;&gt;"",S189,IF(N(O189)&gt;0,IF(L189&lt;&gt;"",L189,99999),IFERROR(1/(1/_xlfn.MINIFS($AF$3:$IN$3,$AF$4:$IN$4,"SEW_ACT",$AF189:$IN189,"&gt;0")),99999))))</f>
        <v/>
      </c>
      <c r="AB189" s="26">
        <f>IF(OR($E189="",Z189=0,V189=""),"",1+COUNTIFS(Z$8:Z$707,"&gt;0",V$8:V$707,"&lt;"&amp;V189)+COUNTIFS(Z$8:Z$707,"&gt;0",V$8:V$707,V189,AA$8:AA$707,"&lt;"&amp;AA189)+COUNTIFS(Z$8:Z$707,"&gt;0",V$8:V$707,V189,AA$8:AA$707,AA189,E$8:E$707,"&lt;"&amp;$E189))</f>
        <v/>
      </c>
      <c r="AC189" s="24">
        <f>IF(OR($E189="",Z189=0),"",IFERROR(TODAY()+ROUNDUP(Z189/(SUMIFS($AF189:$IN189,$AF$4:$IN$4,"WASH_ACT")/COUNTIFS($AF$4:$IN$4,"WASH_ACT",$AF189:$IN189,"&gt;0")),0),"no output yet"))</f>
        <v/>
      </c>
      <c r="AD189" s="26">
        <f>IF($E189="","",IFERROR(ROUND(MAX(0,SUMIFS($AF189:$IN189,$AF$4:$IN$4,"SEW_PLAN",$AF$3:$IN$3,"&lt;="&amp;TODAY())-SUMIFS($AF189:$IN189,$AF$4:$IN$4,"SEW_ACT",$AF$3:$IN$3,"&lt;="&amp;TODAY())+N(Q189))/(SUMIFS($AF189:$IN189,$AF$4:$IN$4,"SEW_PLAN")/COUNTIFS($AF$4:$IN$4,"SEW_PLAN",$AF189:$IN189,"&gt;0")),1),0))</f>
        <v/>
      </c>
      <c r="AE189" s="26">
        <f>IF($E189="","",IF(AND(Z189&gt;0,OR(AND(M189&lt;&gt;"",TODAY()&gt;M189),AND(V189&lt;&gt;"",V189-TODAY()&lt;=7))),"Yes","No"))</f>
        <v/>
      </c>
      <c r="AH189">
        <f>IF(OR(AF$3="",AF$3&gt;TODAY()),"",IF(AND(AF189="",AG189=""),"",N(AG189)-N(AF189)))</f>
        <v/>
      </c>
      <c r="AK189">
        <f>IF(OR(AF$3="",AF$3&gt;TODAY()),"",IF(AND(AI189="",AJ189=""),"",N(AJ189)-N(AI189)))</f>
        <v/>
      </c>
      <c r="AO189">
        <f>IF(OR(AM$3="",AM$3&gt;TODAY()),"",IF(AND(AM189="",AN189=""),"",N(AN189)-N(AM189)))</f>
        <v/>
      </c>
      <c r="AR189">
        <f>IF(OR(AM$3="",AM$3&gt;TODAY()),"",IF(AND(AP189="",AQ189=""),"",N(AQ189)-N(AP189)))</f>
        <v/>
      </c>
      <c r="AV189">
        <f>IF(OR(AT$3="",AT$3&gt;TODAY()),"",IF(AND(AT189="",AU189=""),"",N(AU189)-N(AT189)))</f>
        <v/>
      </c>
      <c r="AY189">
        <f>IF(OR(AT$3="",AT$3&gt;TODAY()),"",IF(AND(AW189="",AX189=""),"",N(AX189)-N(AW189)))</f>
        <v/>
      </c>
      <c r="BC189">
        <f>IF(OR(BA$3="",BA$3&gt;TODAY()),"",IF(AND(BA189="",BB189=""),"",N(BB189)-N(BA189)))</f>
        <v/>
      </c>
      <c r="BF189">
        <f>IF(OR(BA$3="",BA$3&gt;TODAY()),"",IF(AND(BD189="",BE189=""),"",N(BE189)-N(BD189)))</f>
        <v/>
      </c>
      <c r="BJ189">
        <f>IF(OR(BH$3="",BH$3&gt;TODAY()),"",IF(AND(BH189="",BI189=""),"",N(BI189)-N(BH189)))</f>
        <v/>
      </c>
      <c r="BM189">
        <f>IF(OR(BH$3="",BH$3&gt;TODAY()),"",IF(AND(BK189="",BL189=""),"",N(BL189)-N(BK189)))</f>
        <v/>
      </c>
      <c r="BQ189">
        <f>IF(OR(BO$3="",BO$3&gt;TODAY()),"",IF(AND(BO189="",BP189=""),"",N(BP189)-N(BO189)))</f>
        <v/>
      </c>
      <c r="BT189">
        <f>IF(OR(BO$3="",BO$3&gt;TODAY()),"",IF(AND(BR189="",BS189=""),"",N(BS189)-N(BR189)))</f>
        <v/>
      </c>
      <c r="BX189">
        <f>IF(OR(BV$3="",BV$3&gt;TODAY()),"",IF(AND(BV189="",BW189=""),"",N(BW189)-N(BV189)))</f>
        <v/>
      </c>
      <c r="CA189">
        <f>IF(OR(BV$3="",BV$3&gt;TODAY()),"",IF(AND(BY189="",BZ189=""),"",N(BZ189)-N(BY189)))</f>
        <v/>
      </c>
      <c r="CE189">
        <f>IF(OR(CC$3="",CC$3&gt;TODAY()),"",IF(AND(CC189="",CD189=""),"",N(CD189)-N(CC189)))</f>
        <v/>
      </c>
      <c r="CH189">
        <f>IF(OR(CC$3="",CC$3&gt;TODAY()),"",IF(AND(CF189="",CG189=""),"",N(CG189)-N(CF189)))</f>
        <v/>
      </c>
      <c r="CL189">
        <f>IF(OR(CJ$3="",CJ$3&gt;TODAY()),"",IF(AND(CJ189="",CK189=""),"",N(CK189)-N(CJ189)))</f>
        <v/>
      </c>
      <c r="CO189">
        <f>IF(OR(CJ$3="",CJ$3&gt;TODAY()),"",IF(AND(CM189="",CN189=""),"",N(CN189)-N(CM189)))</f>
        <v/>
      </c>
      <c r="CS189">
        <f>IF(OR(CQ$3="",CQ$3&gt;TODAY()),"",IF(AND(CQ189="",CR189=""),"",N(CR189)-N(CQ189)))</f>
        <v/>
      </c>
      <c r="CV189">
        <f>IF(OR(CQ$3="",CQ$3&gt;TODAY()),"",IF(AND(CT189="",CU189=""),"",N(CU189)-N(CT189)))</f>
        <v/>
      </c>
      <c r="CZ189">
        <f>IF(OR(CX$3="",CX$3&gt;TODAY()),"",IF(AND(CX189="",CY189=""),"",N(CY189)-N(CX189)))</f>
        <v/>
      </c>
      <c r="DC189">
        <f>IF(OR(CX$3="",CX$3&gt;TODAY()),"",IF(AND(DA189="",DB189=""),"",N(DB189)-N(DA189)))</f>
        <v/>
      </c>
      <c r="DG189">
        <f>IF(OR(DE$3="",DE$3&gt;TODAY()),"",IF(AND(DE189="",DF189=""),"",N(DF189)-N(DE189)))</f>
        <v/>
      </c>
      <c r="DJ189">
        <f>IF(OR(DE$3="",DE$3&gt;TODAY()),"",IF(AND(DH189="",DI189=""),"",N(DI189)-N(DH189)))</f>
        <v/>
      </c>
      <c r="DN189">
        <f>IF(OR(DL$3="",DL$3&gt;TODAY()),"",IF(AND(DL189="",DM189=""),"",N(DM189)-N(DL189)))</f>
        <v/>
      </c>
      <c r="DQ189">
        <f>IF(OR(DL$3="",DL$3&gt;TODAY()),"",IF(AND(DO189="",DP189=""),"",N(DP189)-N(DO189)))</f>
        <v/>
      </c>
      <c r="DU189">
        <f>IF(OR(DS$3="",DS$3&gt;TODAY()),"",IF(AND(DS189="",DT189=""),"",N(DT189)-N(DS189)))</f>
        <v/>
      </c>
      <c r="DX189">
        <f>IF(OR(DS$3="",DS$3&gt;TODAY()),"",IF(AND(DV189="",DW189=""),"",N(DW189)-N(DV189)))</f>
        <v/>
      </c>
      <c r="EB189">
        <f>IF(OR(DZ$3="",DZ$3&gt;TODAY()),"",IF(AND(DZ189="",EA189=""),"",N(EA189)-N(DZ189)))</f>
        <v/>
      </c>
      <c r="EE189">
        <f>IF(OR(DZ$3="",DZ$3&gt;TODAY()),"",IF(AND(EC189="",ED189=""),"",N(ED189)-N(EC189)))</f>
        <v/>
      </c>
      <c r="EI189">
        <f>IF(OR(EG$3="",EG$3&gt;TODAY()),"",IF(AND(EG189="",EH189=""),"",N(EH189)-N(EG189)))</f>
        <v/>
      </c>
      <c r="EL189">
        <f>IF(OR(EG$3="",EG$3&gt;TODAY()),"",IF(AND(EJ189="",EK189=""),"",N(EK189)-N(EJ189)))</f>
        <v/>
      </c>
      <c r="EP189">
        <f>IF(OR(EN$3="",EN$3&gt;TODAY()),"",IF(AND(EN189="",EO189=""),"",N(EO189)-N(EN189)))</f>
        <v/>
      </c>
      <c r="ES189">
        <f>IF(OR(EN$3="",EN$3&gt;TODAY()),"",IF(AND(EQ189="",ER189=""),"",N(ER189)-N(EQ189)))</f>
        <v/>
      </c>
      <c r="EW189">
        <f>IF(OR(EU$3="",EU$3&gt;TODAY()),"",IF(AND(EU189="",EV189=""),"",N(EV189)-N(EU189)))</f>
        <v/>
      </c>
      <c r="EZ189">
        <f>IF(OR(EU$3="",EU$3&gt;TODAY()),"",IF(AND(EX189="",EY189=""),"",N(EY189)-N(EX189)))</f>
        <v/>
      </c>
      <c r="FD189">
        <f>IF(OR(FB$3="",FB$3&gt;TODAY()),"",IF(AND(FB189="",FC189=""),"",N(FC189)-N(FB189)))</f>
        <v/>
      </c>
      <c r="FG189">
        <f>IF(OR(FB$3="",FB$3&gt;TODAY()),"",IF(AND(FE189="",FF189=""),"",N(FF189)-N(FE189)))</f>
        <v/>
      </c>
      <c r="FK189">
        <f>IF(OR(FI$3="",FI$3&gt;TODAY()),"",IF(AND(FI189="",FJ189=""),"",N(FJ189)-N(FI189)))</f>
        <v/>
      </c>
      <c r="FN189">
        <f>IF(OR(FI$3="",FI$3&gt;TODAY()),"",IF(AND(FL189="",FM189=""),"",N(FM189)-N(FL189)))</f>
        <v/>
      </c>
      <c r="FR189">
        <f>IF(OR(FP$3="",FP$3&gt;TODAY()),"",IF(AND(FP189="",FQ189=""),"",N(FQ189)-N(FP189)))</f>
        <v/>
      </c>
      <c r="FU189">
        <f>IF(OR(FP$3="",FP$3&gt;TODAY()),"",IF(AND(FS189="",FT189=""),"",N(FT189)-N(FS189)))</f>
        <v/>
      </c>
      <c r="FY189">
        <f>IF(OR(FW$3="",FW$3&gt;TODAY()),"",IF(AND(FW189="",FX189=""),"",N(FX189)-N(FW189)))</f>
        <v/>
      </c>
      <c r="GB189">
        <f>IF(OR(FW$3="",FW$3&gt;TODAY()),"",IF(AND(FZ189="",GA189=""),"",N(GA189)-N(FZ189)))</f>
        <v/>
      </c>
      <c r="GF189">
        <f>IF(OR(GD$3="",GD$3&gt;TODAY()),"",IF(AND(GD189="",GE189=""),"",N(GE189)-N(GD189)))</f>
        <v/>
      </c>
      <c r="GI189">
        <f>IF(OR(GD$3="",GD$3&gt;TODAY()),"",IF(AND(GG189="",GH189=""),"",N(GH189)-N(GG189)))</f>
        <v/>
      </c>
      <c r="GM189">
        <f>IF(OR(GK$3="",GK$3&gt;TODAY()),"",IF(AND(GK189="",GL189=""),"",N(GL189)-N(GK189)))</f>
        <v/>
      </c>
      <c r="GP189">
        <f>IF(OR(GK$3="",GK$3&gt;TODAY()),"",IF(AND(GN189="",GO189=""),"",N(GO189)-N(GN189)))</f>
        <v/>
      </c>
      <c r="GT189">
        <f>IF(OR(GR$3="",GR$3&gt;TODAY()),"",IF(AND(GR189="",GS189=""),"",N(GS189)-N(GR189)))</f>
        <v/>
      </c>
      <c r="GW189">
        <f>IF(OR(GR$3="",GR$3&gt;TODAY()),"",IF(AND(GU189="",GV189=""),"",N(GV189)-N(GU189)))</f>
        <v/>
      </c>
      <c r="HA189">
        <f>IF(OR(GY$3="",GY$3&gt;TODAY()),"",IF(AND(GY189="",GZ189=""),"",N(GZ189)-N(GY189)))</f>
        <v/>
      </c>
      <c r="HD189">
        <f>IF(OR(GY$3="",GY$3&gt;TODAY()),"",IF(AND(HB189="",HC189=""),"",N(HC189)-N(HB189)))</f>
        <v/>
      </c>
      <c r="HH189">
        <f>IF(OR(HF$3="",HF$3&gt;TODAY()),"",IF(AND(HF189="",HG189=""),"",N(HG189)-N(HF189)))</f>
        <v/>
      </c>
      <c r="HK189">
        <f>IF(OR(HF$3="",HF$3&gt;TODAY()),"",IF(AND(HI189="",HJ189=""),"",N(HJ189)-N(HI189)))</f>
        <v/>
      </c>
      <c r="HO189">
        <f>IF(OR(HM$3="",HM$3&gt;TODAY()),"",IF(AND(HM189="",HN189=""),"",N(HN189)-N(HM189)))</f>
        <v/>
      </c>
      <c r="HR189">
        <f>IF(OR(HM$3="",HM$3&gt;TODAY()),"",IF(AND(HP189="",HQ189=""),"",N(HQ189)-N(HP189)))</f>
        <v/>
      </c>
      <c r="HV189">
        <f>IF(OR(HT$3="",HT$3&gt;TODAY()),"",IF(AND(HT189="",HU189=""),"",N(HU189)-N(HT189)))</f>
        <v/>
      </c>
      <c r="HY189">
        <f>IF(OR(HT$3="",HT$3&gt;TODAY()),"",IF(AND(HW189="",HX189=""),"",N(HX189)-N(HW189)))</f>
        <v/>
      </c>
      <c r="IC189">
        <f>IF(OR(IA$3="",IA$3&gt;TODAY()),"",IF(AND(IA189="",IB189=""),"",N(IB189)-N(IA189)))</f>
        <v/>
      </c>
      <c r="IF189">
        <f>IF(OR(IA$3="",IA$3&gt;TODAY()),"",IF(AND(ID189="",IE189=""),"",N(IE189)-N(ID189)))</f>
        <v/>
      </c>
      <c r="IJ189">
        <f>IF(OR(IH$3="",IH$3&gt;TODAY()),"",IF(AND(IH189="",II189=""),"",N(II189)-N(IH189)))</f>
        <v/>
      </c>
      <c r="IM189">
        <f>IF(OR(IH$3="",IH$3&gt;TODAY()),"",IF(AND(IK189="",IL189=""),"",N(IL189)-N(IK189)))</f>
        <v/>
      </c>
    </row>
    <row r="190">
      <c r="A190" s="21" t="n"/>
      <c r="B190" s="21" t="n"/>
      <c r="C190" s="21" t="n"/>
      <c r="D190" s="21" t="n"/>
      <c r="E190" s="21" t="n"/>
      <c r="F190" s="21" t="n"/>
      <c r="G190" s="21" t="n"/>
      <c r="H190" s="21" t="n"/>
      <c r="I190" s="22" t="n"/>
      <c r="J190" s="22" t="n"/>
      <c r="K190" s="23" t="n"/>
      <c r="L190" s="22" t="n"/>
      <c r="M190" s="22" t="n"/>
      <c r="N190" s="21" t="n"/>
      <c r="O190" s="23" t="n"/>
      <c r="P190" s="23" t="n"/>
      <c r="Q190" s="23" t="n"/>
      <c r="R190" s="23" t="n"/>
      <c r="S190" s="22" t="n"/>
      <c r="T190" s="23" t="n"/>
      <c r="U190" s="23" t="n"/>
      <c r="V190" s="24">
        <f>IF(J190&lt;&gt;"",J190,IF(I190&lt;&gt;"",I190,""))</f>
        <v/>
      </c>
      <c r="W190" s="25">
        <f>IF($E190="","",N(O190)+SUMIFS($AF190:$IN190,$AF$4:$IN$4,"SEW_ACT"))</f>
        <v/>
      </c>
      <c r="X190" s="25">
        <f>IF($E190="","",N(P190)+SUMIFS($AF190:$IN190,$AF$4:$IN$4,"WASH_ACT"))</f>
        <v/>
      </c>
      <c r="Y190" s="25">
        <f>IF($E190="","",W190-X190-N(T190)-N(U190))</f>
        <v/>
      </c>
      <c r="Z190" s="25">
        <f>IF($E190="","",IF(N(K190)-X190&lt;=0.02*N(K190),0,N(K190)-X190))</f>
        <v/>
      </c>
      <c r="AA190" s="24">
        <f>IF($E190="","",IF(S190&lt;&gt;"",S190,IF(N(O190)&gt;0,IF(L190&lt;&gt;"",L190,99999),IFERROR(1/(1/_xlfn.MINIFS($AF$3:$IN$3,$AF$4:$IN$4,"SEW_ACT",$AF190:$IN190,"&gt;0")),99999))))</f>
        <v/>
      </c>
      <c r="AB190" s="26">
        <f>IF(OR($E190="",Z190=0,V190=""),"",1+COUNTIFS(Z$8:Z$707,"&gt;0",V$8:V$707,"&lt;"&amp;V190)+COUNTIFS(Z$8:Z$707,"&gt;0",V$8:V$707,V190,AA$8:AA$707,"&lt;"&amp;AA190)+COUNTIFS(Z$8:Z$707,"&gt;0",V$8:V$707,V190,AA$8:AA$707,AA190,E$8:E$707,"&lt;"&amp;$E190))</f>
        <v/>
      </c>
      <c r="AC190" s="24">
        <f>IF(OR($E190="",Z190=0),"",IFERROR(TODAY()+ROUNDUP(Z190/(SUMIFS($AF190:$IN190,$AF$4:$IN$4,"WASH_ACT")/COUNTIFS($AF$4:$IN$4,"WASH_ACT",$AF190:$IN190,"&gt;0")),0),"no output yet"))</f>
        <v/>
      </c>
      <c r="AD190" s="26">
        <f>IF($E190="","",IFERROR(ROUND(MAX(0,SUMIFS($AF190:$IN190,$AF$4:$IN$4,"SEW_PLAN",$AF$3:$IN$3,"&lt;="&amp;TODAY())-SUMIFS($AF190:$IN190,$AF$4:$IN$4,"SEW_ACT",$AF$3:$IN$3,"&lt;="&amp;TODAY())+N(Q190))/(SUMIFS($AF190:$IN190,$AF$4:$IN$4,"SEW_PLAN")/COUNTIFS($AF$4:$IN$4,"SEW_PLAN",$AF190:$IN190,"&gt;0")),1),0))</f>
        <v/>
      </c>
      <c r="AE190" s="26">
        <f>IF($E190="","",IF(AND(Z190&gt;0,OR(AND(M190&lt;&gt;"",TODAY()&gt;M190),AND(V190&lt;&gt;"",V190-TODAY()&lt;=7))),"Yes","No"))</f>
        <v/>
      </c>
      <c r="AH190">
        <f>IF(OR(AF$3="",AF$3&gt;TODAY()),"",IF(AND(AF190="",AG190=""),"",N(AG190)-N(AF190)))</f>
        <v/>
      </c>
      <c r="AK190">
        <f>IF(OR(AF$3="",AF$3&gt;TODAY()),"",IF(AND(AI190="",AJ190=""),"",N(AJ190)-N(AI190)))</f>
        <v/>
      </c>
      <c r="AO190">
        <f>IF(OR(AM$3="",AM$3&gt;TODAY()),"",IF(AND(AM190="",AN190=""),"",N(AN190)-N(AM190)))</f>
        <v/>
      </c>
      <c r="AR190">
        <f>IF(OR(AM$3="",AM$3&gt;TODAY()),"",IF(AND(AP190="",AQ190=""),"",N(AQ190)-N(AP190)))</f>
        <v/>
      </c>
      <c r="AV190">
        <f>IF(OR(AT$3="",AT$3&gt;TODAY()),"",IF(AND(AT190="",AU190=""),"",N(AU190)-N(AT190)))</f>
        <v/>
      </c>
      <c r="AY190">
        <f>IF(OR(AT$3="",AT$3&gt;TODAY()),"",IF(AND(AW190="",AX190=""),"",N(AX190)-N(AW190)))</f>
        <v/>
      </c>
      <c r="BC190">
        <f>IF(OR(BA$3="",BA$3&gt;TODAY()),"",IF(AND(BA190="",BB190=""),"",N(BB190)-N(BA190)))</f>
        <v/>
      </c>
      <c r="BF190">
        <f>IF(OR(BA$3="",BA$3&gt;TODAY()),"",IF(AND(BD190="",BE190=""),"",N(BE190)-N(BD190)))</f>
        <v/>
      </c>
      <c r="BJ190">
        <f>IF(OR(BH$3="",BH$3&gt;TODAY()),"",IF(AND(BH190="",BI190=""),"",N(BI190)-N(BH190)))</f>
        <v/>
      </c>
      <c r="BM190">
        <f>IF(OR(BH$3="",BH$3&gt;TODAY()),"",IF(AND(BK190="",BL190=""),"",N(BL190)-N(BK190)))</f>
        <v/>
      </c>
      <c r="BQ190">
        <f>IF(OR(BO$3="",BO$3&gt;TODAY()),"",IF(AND(BO190="",BP190=""),"",N(BP190)-N(BO190)))</f>
        <v/>
      </c>
      <c r="BT190">
        <f>IF(OR(BO$3="",BO$3&gt;TODAY()),"",IF(AND(BR190="",BS190=""),"",N(BS190)-N(BR190)))</f>
        <v/>
      </c>
      <c r="BX190">
        <f>IF(OR(BV$3="",BV$3&gt;TODAY()),"",IF(AND(BV190="",BW190=""),"",N(BW190)-N(BV190)))</f>
        <v/>
      </c>
      <c r="CA190">
        <f>IF(OR(BV$3="",BV$3&gt;TODAY()),"",IF(AND(BY190="",BZ190=""),"",N(BZ190)-N(BY190)))</f>
        <v/>
      </c>
      <c r="CE190">
        <f>IF(OR(CC$3="",CC$3&gt;TODAY()),"",IF(AND(CC190="",CD190=""),"",N(CD190)-N(CC190)))</f>
        <v/>
      </c>
      <c r="CH190">
        <f>IF(OR(CC$3="",CC$3&gt;TODAY()),"",IF(AND(CF190="",CG190=""),"",N(CG190)-N(CF190)))</f>
        <v/>
      </c>
      <c r="CL190">
        <f>IF(OR(CJ$3="",CJ$3&gt;TODAY()),"",IF(AND(CJ190="",CK190=""),"",N(CK190)-N(CJ190)))</f>
        <v/>
      </c>
      <c r="CO190">
        <f>IF(OR(CJ$3="",CJ$3&gt;TODAY()),"",IF(AND(CM190="",CN190=""),"",N(CN190)-N(CM190)))</f>
        <v/>
      </c>
      <c r="CS190">
        <f>IF(OR(CQ$3="",CQ$3&gt;TODAY()),"",IF(AND(CQ190="",CR190=""),"",N(CR190)-N(CQ190)))</f>
        <v/>
      </c>
      <c r="CV190">
        <f>IF(OR(CQ$3="",CQ$3&gt;TODAY()),"",IF(AND(CT190="",CU190=""),"",N(CU190)-N(CT190)))</f>
        <v/>
      </c>
      <c r="CZ190">
        <f>IF(OR(CX$3="",CX$3&gt;TODAY()),"",IF(AND(CX190="",CY190=""),"",N(CY190)-N(CX190)))</f>
        <v/>
      </c>
      <c r="DC190">
        <f>IF(OR(CX$3="",CX$3&gt;TODAY()),"",IF(AND(DA190="",DB190=""),"",N(DB190)-N(DA190)))</f>
        <v/>
      </c>
      <c r="DG190">
        <f>IF(OR(DE$3="",DE$3&gt;TODAY()),"",IF(AND(DE190="",DF190=""),"",N(DF190)-N(DE190)))</f>
        <v/>
      </c>
      <c r="DJ190">
        <f>IF(OR(DE$3="",DE$3&gt;TODAY()),"",IF(AND(DH190="",DI190=""),"",N(DI190)-N(DH190)))</f>
        <v/>
      </c>
      <c r="DN190">
        <f>IF(OR(DL$3="",DL$3&gt;TODAY()),"",IF(AND(DL190="",DM190=""),"",N(DM190)-N(DL190)))</f>
        <v/>
      </c>
      <c r="DQ190">
        <f>IF(OR(DL$3="",DL$3&gt;TODAY()),"",IF(AND(DO190="",DP190=""),"",N(DP190)-N(DO190)))</f>
        <v/>
      </c>
      <c r="DU190">
        <f>IF(OR(DS$3="",DS$3&gt;TODAY()),"",IF(AND(DS190="",DT190=""),"",N(DT190)-N(DS190)))</f>
        <v/>
      </c>
      <c r="DX190">
        <f>IF(OR(DS$3="",DS$3&gt;TODAY()),"",IF(AND(DV190="",DW190=""),"",N(DW190)-N(DV190)))</f>
        <v/>
      </c>
      <c r="EB190">
        <f>IF(OR(DZ$3="",DZ$3&gt;TODAY()),"",IF(AND(DZ190="",EA190=""),"",N(EA190)-N(DZ190)))</f>
        <v/>
      </c>
      <c r="EE190">
        <f>IF(OR(DZ$3="",DZ$3&gt;TODAY()),"",IF(AND(EC190="",ED190=""),"",N(ED190)-N(EC190)))</f>
        <v/>
      </c>
      <c r="EI190">
        <f>IF(OR(EG$3="",EG$3&gt;TODAY()),"",IF(AND(EG190="",EH190=""),"",N(EH190)-N(EG190)))</f>
        <v/>
      </c>
      <c r="EL190">
        <f>IF(OR(EG$3="",EG$3&gt;TODAY()),"",IF(AND(EJ190="",EK190=""),"",N(EK190)-N(EJ190)))</f>
        <v/>
      </c>
      <c r="EP190">
        <f>IF(OR(EN$3="",EN$3&gt;TODAY()),"",IF(AND(EN190="",EO190=""),"",N(EO190)-N(EN190)))</f>
        <v/>
      </c>
      <c r="ES190">
        <f>IF(OR(EN$3="",EN$3&gt;TODAY()),"",IF(AND(EQ190="",ER190=""),"",N(ER190)-N(EQ190)))</f>
        <v/>
      </c>
      <c r="EW190">
        <f>IF(OR(EU$3="",EU$3&gt;TODAY()),"",IF(AND(EU190="",EV190=""),"",N(EV190)-N(EU190)))</f>
        <v/>
      </c>
      <c r="EZ190">
        <f>IF(OR(EU$3="",EU$3&gt;TODAY()),"",IF(AND(EX190="",EY190=""),"",N(EY190)-N(EX190)))</f>
        <v/>
      </c>
      <c r="FD190">
        <f>IF(OR(FB$3="",FB$3&gt;TODAY()),"",IF(AND(FB190="",FC190=""),"",N(FC190)-N(FB190)))</f>
        <v/>
      </c>
      <c r="FG190">
        <f>IF(OR(FB$3="",FB$3&gt;TODAY()),"",IF(AND(FE190="",FF190=""),"",N(FF190)-N(FE190)))</f>
        <v/>
      </c>
      <c r="FK190">
        <f>IF(OR(FI$3="",FI$3&gt;TODAY()),"",IF(AND(FI190="",FJ190=""),"",N(FJ190)-N(FI190)))</f>
        <v/>
      </c>
      <c r="FN190">
        <f>IF(OR(FI$3="",FI$3&gt;TODAY()),"",IF(AND(FL190="",FM190=""),"",N(FM190)-N(FL190)))</f>
        <v/>
      </c>
      <c r="FR190">
        <f>IF(OR(FP$3="",FP$3&gt;TODAY()),"",IF(AND(FP190="",FQ190=""),"",N(FQ190)-N(FP190)))</f>
        <v/>
      </c>
      <c r="FU190">
        <f>IF(OR(FP$3="",FP$3&gt;TODAY()),"",IF(AND(FS190="",FT190=""),"",N(FT190)-N(FS190)))</f>
        <v/>
      </c>
      <c r="FY190">
        <f>IF(OR(FW$3="",FW$3&gt;TODAY()),"",IF(AND(FW190="",FX190=""),"",N(FX190)-N(FW190)))</f>
        <v/>
      </c>
      <c r="GB190">
        <f>IF(OR(FW$3="",FW$3&gt;TODAY()),"",IF(AND(FZ190="",GA190=""),"",N(GA190)-N(FZ190)))</f>
        <v/>
      </c>
      <c r="GF190">
        <f>IF(OR(GD$3="",GD$3&gt;TODAY()),"",IF(AND(GD190="",GE190=""),"",N(GE190)-N(GD190)))</f>
        <v/>
      </c>
      <c r="GI190">
        <f>IF(OR(GD$3="",GD$3&gt;TODAY()),"",IF(AND(GG190="",GH190=""),"",N(GH190)-N(GG190)))</f>
        <v/>
      </c>
      <c r="GM190">
        <f>IF(OR(GK$3="",GK$3&gt;TODAY()),"",IF(AND(GK190="",GL190=""),"",N(GL190)-N(GK190)))</f>
        <v/>
      </c>
      <c r="GP190">
        <f>IF(OR(GK$3="",GK$3&gt;TODAY()),"",IF(AND(GN190="",GO190=""),"",N(GO190)-N(GN190)))</f>
        <v/>
      </c>
      <c r="GT190">
        <f>IF(OR(GR$3="",GR$3&gt;TODAY()),"",IF(AND(GR190="",GS190=""),"",N(GS190)-N(GR190)))</f>
        <v/>
      </c>
      <c r="GW190">
        <f>IF(OR(GR$3="",GR$3&gt;TODAY()),"",IF(AND(GU190="",GV190=""),"",N(GV190)-N(GU190)))</f>
        <v/>
      </c>
      <c r="HA190">
        <f>IF(OR(GY$3="",GY$3&gt;TODAY()),"",IF(AND(GY190="",GZ190=""),"",N(GZ190)-N(GY190)))</f>
        <v/>
      </c>
      <c r="HD190">
        <f>IF(OR(GY$3="",GY$3&gt;TODAY()),"",IF(AND(HB190="",HC190=""),"",N(HC190)-N(HB190)))</f>
        <v/>
      </c>
      <c r="HH190">
        <f>IF(OR(HF$3="",HF$3&gt;TODAY()),"",IF(AND(HF190="",HG190=""),"",N(HG190)-N(HF190)))</f>
        <v/>
      </c>
      <c r="HK190">
        <f>IF(OR(HF$3="",HF$3&gt;TODAY()),"",IF(AND(HI190="",HJ190=""),"",N(HJ190)-N(HI190)))</f>
        <v/>
      </c>
      <c r="HO190">
        <f>IF(OR(HM$3="",HM$3&gt;TODAY()),"",IF(AND(HM190="",HN190=""),"",N(HN190)-N(HM190)))</f>
        <v/>
      </c>
      <c r="HR190">
        <f>IF(OR(HM$3="",HM$3&gt;TODAY()),"",IF(AND(HP190="",HQ190=""),"",N(HQ190)-N(HP190)))</f>
        <v/>
      </c>
      <c r="HV190">
        <f>IF(OR(HT$3="",HT$3&gt;TODAY()),"",IF(AND(HT190="",HU190=""),"",N(HU190)-N(HT190)))</f>
        <v/>
      </c>
      <c r="HY190">
        <f>IF(OR(HT$3="",HT$3&gt;TODAY()),"",IF(AND(HW190="",HX190=""),"",N(HX190)-N(HW190)))</f>
        <v/>
      </c>
      <c r="IC190">
        <f>IF(OR(IA$3="",IA$3&gt;TODAY()),"",IF(AND(IA190="",IB190=""),"",N(IB190)-N(IA190)))</f>
        <v/>
      </c>
      <c r="IF190">
        <f>IF(OR(IA$3="",IA$3&gt;TODAY()),"",IF(AND(ID190="",IE190=""),"",N(IE190)-N(ID190)))</f>
        <v/>
      </c>
      <c r="IJ190">
        <f>IF(OR(IH$3="",IH$3&gt;TODAY()),"",IF(AND(IH190="",II190=""),"",N(II190)-N(IH190)))</f>
        <v/>
      </c>
      <c r="IM190">
        <f>IF(OR(IH$3="",IH$3&gt;TODAY()),"",IF(AND(IK190="",IL190=""),"",N(IL190)-N(IK190)))</f>
        <v/>
      </c>
    </row>
    <row r="191">
      <c r="A191" s="21" t="n"/>
      <c r="B191" s="21" t="n"/>
      <c r="C191" s="21" t="n"/>
      <c r="D191" s="21" t="n"/>
      <c r="E191" s="21" t="n"/>
      <c r="F191" s="21" t="n"/>
      <c r="G191" s="21" t="n"/>
      <c r="H191" s="21" t="n"/>
      <c r="I191" s="22" t="n"/>
      <c r="J191" s="22" t="n"/>
      <c r="K191" s="23" t="n"/>
      <c r="L191" s="22" t="n"/>
      <c r="M191" s="22" t="n"/>
      <c r="N191" s="21" t="n"/>
      <c r="O191" s="23" t="n"/>
      <c r="P191" s="23" t="n"/>
      <c r="Q191" s="23" t="n"/>
      <c r="R191" s="23" t="n"/>
      <c r="S191" s="22" t="n"/>
      <c r="T191" s="23" t="n"/>
      <c r="U191" s="23" t="n"/>
      <c r="V191" s="24">
        <f>IF(J191&lt;&gt;"",J191,IF(I191&lt;&gt;"",I191,""))</f>
        <v/>
      </c>
      <c r="W191" s="25">
        <f>IF($E191="","",N(O191)+SUMIFS($AF191:$IN191,$AF$4:$IN$4,"SEW_ACT"))</f>
        <v/>
      </c>
      <c r="X191" s="25">
        <f>IF($E191="","",N(P191)+SUMIFS($AF191:$IN191,$AF$4:$IN$4,"WASH_ACT"))</f>
        <v/>
      </c>
      <c r="Y191" s="25">
        <f>IF($E191="","",W191-X191-N(T191)-N(U191))</f>
        <v/>
      </c>
      <c r="Z191" s="25">
        <f>IF($E191="","",IF(N(K191)-X191&lt;=0.02*N(K191),0,N(K191)-X191))</f>
        <v/>
      </c>
      <c r="AA191" s="24">
        <f>IF($E191="","",IF(S191&lt;&gt;"",S191,IF(N(O191)&gt;0,IF(L191&lt;&gt;"",L191,99999),IFERROR(1/(1/_xlfn.MINIFS($AF$3:$IN$3,$AF$4:$IN$4,"SEW_ACT",$AF191:$IN191,"&gt;0")),99999))))</f>
        <v/>
      </c>
      <c r="AB191" s="26">
        <f>IF(OR($E191="",Z191=0,V191=""),"",1+COUNTIFS(Z$8:Z$707,"&gt;0",V$8:V$707,"&lt;"&amp;V191)+COUNTIFS(Z$8:Z$707,"&gt;0",V$8:V$707,V191,AA$8:AA$707,"&lt;"&amp;AA191)+COUNTIFS(Z$8:Z$707,"&gt;0",V$8:V$707,V191,AA$8:AA$707,AA191,E$8:E$707,"&lt;"&amp;$E191))</f>
        <v/>
      </c>
      <c r="AC191" s="24">
        <f>IF(OR($E191="",Z191=0),"",IFERROR(TODAY()+ROUNDUP(Z191/(SUMIFS($AF191:$IN191,$AF$4:$IN$4,"WASH_ACT")/COUNTIFS($AF$4:$IN$4,"WASH_ACT",$AF191:$IN191,"&gt;0")),0),"no output yet"))</f>
        <v/>
      </c>
      <c r="AD191" s="26">
        <f>IF($E191="","",IFERROR(ROUND(MAX(0,SUMIFS($AF191:$IN191,$AF$4:$IN$4,"SEW_PLAN",$AF$3:$IN$3,"&lt;="&amp;TODAY())-SUMIFS($AF191:$IN191,$AF$4:$IN$4,"SEW_ACT",$AF$3:$IN$3,"&lt;="&amp;TODAY())+N(Q191))/(SUMIFS($AF191:$IN191,$AF$4:$IN$4,"SEW_PLAN")/COUNTIFS($AF$4:$IN$4,"SEW_PLAN",$AF191:$IN191,"&gt;0")),1),0))</f>
        <v/>
      </c>
      <c r="AE191" s="26">
        <f>IF($E191="","",IF(AND(Z191&gt;0,OR(AND(M191&lt;&gt;"",TODAY()&gt;M191),AND(V191&lt;&gt;"",V191-TODAY()&lt;=7))),"Yes","No"))</f>
        <v/>
      </c>
      <c r="AH191">
        <f>IF(OR(AF$3="",AF$3&gt;TODAY()),"",IF(AND(AF191="",AG191=""),"",N(AG191)-N(AF191)))</f>
        <v/>
      </c>
      <c r="AK191">
        <f>IF(OR(AF$3="",AF$3&gt;TODAY()),"",IF(AND(AI191="",AJ191=""),"",N(AJ191)-N(AI191)))</f>
        <v/>
      </c>
      <c r="AO191">
        <f>IF(OR(AM$3="",AM$3&gt;TODAY()),"",IF(AND(AM191="",AN191=""),"",N(AN191)-N(AM191)))</f>
        <v/>
      </c>
      <c r="AR191">
        <f>IF(OR(AM$3="",AM$3&gt;TODAY()),"",IF(AND(AP191="",AQ191=""),"",N(AQ191)-N(AP191)))</f>
        <v/>
      </c>
      <c r="AV191">
        <f>IF(OR(AT$3="",AT$3&gt;TODAY()),"",IF(AND(AT191="",AU191=""),"",N(AU191)-N(AT191)))</f>
        <v/>
      </c>
      <c r="AY191">
        <f>IF(OR(AT$3="",AT$3&gt;TODAY()),"",IF(AND(AW191="",AX191=""),"",N(AX191)-N(AW191)))</f>
        <v/>
      </c>
      <c r="BC191">
        <f>IF(OR(BA$3="",BA$3&gt;TODAY()),"",IF(AND(BA191="",BB191=""),"",N(BB191)-N(BA191)))</f>
        <v/>
      </c>
      <c r="BF191">
        <f>IF(OR(BA$3="",BA$3&gt;TODAY()),"",IF(AND(BD191="",BE191=""),"",N(BE191)-N(BD191)))</f>
        <v/>
      </c>
      <c r="BJ191">
        <f>IF(OR(BH$3="",BH$3&gt;TODAY()),"",IF(AND(BH191="",BI191=""),"",N(BI191)-N(BH191)))</f>
        <v/>
      </c>
      <c r="BM191">
        <f>IF(OR(BH$3="",BH$3&gt;TODAY()),"",IF(AND(BK191="",BL191=""),"",N(BL191)-N(BK191)))</f>
        <v/>
      </c>
      <c r="BQ191">
        <f>IF(OR(BO$3="",BO$3&gt;TODAY()),"",IF(AND(BO191="",BP191=""),"",N(BP191)-N(BO191)))</f>
        <v/>
      </c>
      <c r="BT191">
        <f>IF(OR(BO$3="",BO$3&gt;TODAY()),"",IF(AND(BR191="",BS191=""),"",N(BS191)-N(BR191)))</f>
        <v/>
      </c>
      <c r="BX191">
        <f>IF(OR(BV$3="",BV$3&gt;TODAY()),"",IF(AND(BV191="",BW191=""),"",N(BW191)-N(BV191)))</f>
        <v/>
      </c>
      <c r="CA191">
        <f>IF(OR(BV$3="",BV$3&gt;TODAY()),"",IF(AND(BY191="",BZ191=""),"",N(BZ191)-N(BY191)))</f>
        <v/>
      </c>
      <c r="CE191">
        <f>IF(OR(CC$3="",CC$3&gt;TODAY()),"",IF(AND(CC191="",CD191=""),"",N(CD191)-N(CC191)))</f>
        <v/>
      </c>
      <c r="CH191">
        <f>IF(OR(CC$3="",CC$3&gt;TODAY()),"",IF(AND(CF191="",CG191=""),"",N(CG191)-N(CF191)))</f>
        <v/>
      </c>
      <c r="CL191">
        <f>IF(OR(CJ$3="",CJ$3&gt;TODAY()),"",IF(AND(CJ191="",CK191=""),"",N(CK191)-N(CJ191)))</f>
        <v/>
      </c>
      <c r="CO191">
        <f>IF(OR(CJ$3="",CJ$3&gt;TODAY()),"",IF(AND(CM191="",CN191=""),"",N(CN191)-N(CM191)))</f>
        <v/>
      </c>
      <c r="CS191">
        <f>IF(OR(CQ$3="",CQ$3&gt;TODAY()),"",IF(AND(CQ191="",CR191=""),"",N(CR191)-N(CQ191)))</f>
        <v/>
      </c>
      <c r="CV191">
        <f>IF(OR(CQ$3="",CQ$3&gt;TODAY()),"",IF(AND(CT191="",CU191=""),"",N(CU191)-N(CT191)))</f>
        <v/>
      </c>
      <c r="CZ191">
        <f>IF(OR(CX$3="",CX$3&gt;TODAY()),"",IF(AND(CX191="",CY191=""),"",N(CY191)-N(CX191)))</f>
        <v/>
      </c>
      <c r="DC191">
        <f>IF(OR(CX$3="",CX$3&gt;TODAY()),"",IF(AND(DA191="",DB191=""),"",N(DB191)-N(DA191)))</f>
        <v/>
      </c>
      <c r="DG191">
        <f>IF(OR(DE$3="",DE$3&gt;TODAY()),"",IF(AND(DE191="",DF191=""),"",N(DF191)-N(DE191)))</f>
        <v/>
      </c>
      <c r="DJ191">
        <f>IF(OR(DE$3="",DE$3&gt;TODAY()),"",IF(AND(DH191="",DI191=""),"",N(DI191)-N(DH191)))</f>
        <v/>
      </c>
      <c r="DN191">
        <f>IF(OR(DL$3="",DL$3&gt;TODAY()),"",IF(AND(DL191="",DM191=""),"",N(DM191)-N(DL191)))</f>
        <v/>
      </c>
      <c r="DQ191">
        <f>IF(OR(DL$3="",DL$3&gt;TODAY()),"",IF(AND(DO191="",DP191=""),"",N(DP191)-N(DO191)))</f>
        <v/>
      </c>
      <c r="DU191">
        <f>IF(OR(DS$3="",DS$3&gt;TODAY()),"",IF(AND(DS191="",DT191=""),"",N(DT191)-N(DS191)))</f>
        <v/>
      </c>
      <c r="DX191">
        <f>IF(OR(DS$3="",DS$3&gt;TODAY()),"",IF(AND(DV191="",DW191=""),"",N(DW191)-N(DV191)))</f>
        <v/>
      </c>
      <c r="EB191">
        <f>IF(OR(DZ$3="",DZ$3&gt;TODAY()),"",IF(AND(DZ191="",EA191=""),"",N(EA191)-N(DZ191)))</f>
        <v/>
      </c>
      <c r="EE191">
        <f>IF(OR(DZ$3="",DZ$3&gt;TODAY()),"",IF(AND(EC191="",ED191=""),"",N(ED191)-N(EC191)))</f>
        <v/>
      </c>
      <c r="EI191">
        <f>IF(OR(EG$3="",EG$3&gt;TODAY()),"",IF(AND(EG191="",EH191=""),"",N(EH191)-N(EG191)))</f>
        <v/>
      </c>
      <c r="EL191">
        <f>IF(OR(EG$3="",EG$3&gt;TODAY()),"",IF(AND(EJ191="",EK191=""),"",N(EK191)-N(EJ191)))</f>
        <v/>
      </c>
      <c r="EP191">
        <f>IF(OR(EN$3="",EN$3&gt;TODAY()),"",IF(AND(EN191="",EO191=""),"",N(EO191)-N(EN191)))</f>
        <v/>
      </c>
      <c r="ES191">
        <f>IF(OR(EN$3="",EN$3&gt;TODAY()),"",IF(AND(EQ191="",ER191=""),"",N(ER191)-N(EQ191)))</f>
        <v/>
      </c>
      <c r="EW191">
        <f>IF(OR(EU$3="",EU$3&gt;TODAY()),"",IF(AND(EU191="",EV191=""),"",N(EV191)-N(EU191)))</f>
        <v/>
      </c>
      <c r="EZ191">
        <f>IF(OR(EU$3="",EU$3&gt;TODAY()),"",IF(AND(EX191="",EY191=""),"",N(EY191)-N(EX191)))</f>
        <v/>
      </c>
      <c r="FD191">
        <f>IF(OR(FB$3="",FB$3&gt;TODAY()),"",IF(AND(FB191="",FC191=""),"",N(FC191)-N(FB191)))</f>
        <v/>
      </c>
      <c r="FG191">
        <f>IF(OR(FB$3="",FB$3&gt;TODAY()),"",IF(AND(FE191="",FF191=""),"",N(FF191)-N(FE191)))</f>
        <v/>
      </c>
      <c r="FK191">
        <f>IF(OR(FI$3="",FI$3&gt;TODAY()),"",IF(AND(FI191="",FJ191=""),"",N(FJ191)-N(FI191)))</f>
        <v/>
      </c>
      <c r="FN191">
        <f>IF(OR(FI$3="",FI$3&gt;TODAY()),"",IF(AND(FL191="",FM191=""),"",N(FM191)-N(FL191)))</f>
        <v/>
      </c>
      <c r="FR191">
        <f>IF(OR(FP$3="",FP$3&gt;TODAY()),"",IF(AND(FP191="",FQ191=""),"",N(FQ191)-N(FP191)))</f>
        <v/>
      </c>
      <c r="FU191">
        <f>IF(OR(FP$3="",FP$3&gt;TODAY()),"",IF(AND(FS191="",FT191=""),"",N(FT191)-N(FS191)))</f>
        <v/>
      </c>
      <c r="FY191">
        <f>IF(OR(FW$3="",FW$3&gt;TODAY()),"",IF(AND(FW191="",FX191=""),"",N(FX191)-N(FW191)))</f>
        <v/>
      </c>
      <c r="GB191">
        <f>IF(OR(FW$3="",FW$3&gt;TODAY()),"",IF(AND(FZ191="",GA191=""),"",N(GA191)-N(FZ191)))</f>
        <v/>
      </c>
      <c r="GF191">
        <f>IF(OR(GD$3="",GD$3&gt;TODAY()),"",IF(AND(GD191="",GE191=""),"",N(GE191)-N(GD191)))</f>
        <v/>
      </c>
      <c r="GI191">
        <f>IF(OR(GD$3="",GD$3&gt;TODAY()),"",IF(AND(GG191="",GH191=""),"",N(GH191)-N(GG191)))</f>
        <v/>
      </c>
      <c r="GM191">
        <f>IF(OR(GK$3="",GK$3&gt;TODAY()),"",IF(AND(GK191="",GL191=""),"",N(GL191)-N(GK191)))</f>
        <v/>
      </c>
      <c r="GP191">
        <f>IF(OR(GK$3="",GK$3&gt;TODAY()),"",IF(AND(GN191="",GO191=""),"",N(GO191)-N(GN191)))</f>
        <v/>
      </c>
      <c r="GT191">
        <f>IF(OR(GR$3="",GR$3&gt;TODAY()),"",IF(AND(GR191="",GS191=""),"",N(GS191)-N(GR191)))</f>
        <v/>
      </c>
      <c r="GW191">
        <f>IF(OR(GR$3="",GR$3&gt;TODAY()),"",IF(AND(GU191="",GV191=""),"",N(GV191)-N(GU191)))</f>
        <v/>
      </c>
      <c r="HA191">
        <f>IF(OR(GY$3="",GY$3&gt;TODAY()),"",IF(AND(GY191="",GZ191=""),"",N(GZ191)-N(GY191)))</f>
        <v/>
      </c>
      <c r="HD191">
        <f>IF(OR(GY$3="",GY$3&gt;TODAY()),"",IF(AND(HB191="",HC191=""),"",N(HC191)-N(HB191)))</f>
        <v/>
      </c>
      <c r="HH191">
        <f>IF(OR(HF$3="",HF$3&gt;TODAY()),"",IF(AND(HF191="",HG191=""),"",N(HG191)-N(HF191)))</f>
        <v/>
      </c>
      <c r="HK191">
        <f>IF(OR(HF$3="",HF$3&gt;TODAY()),"",IF(AND(HI191="",HJ191=""),"",N(HJ191)-N(HI191)))</f>
        <v/>
      </c>
      <c r="HO191">
        <f>IF(OR(HM$3="",HM$3&gt;TODAY()),"",IF(AND(HM191="",HN191=""),"",N(HN191)-N(HM191)))</f>
        <v/>
      </c>
      <c r="HR191">
        <f>IF(OR(HM$3="",HM$3&gt;TODAY()),"",IF(AND(HP191="",HQ191=""),"",N(HQ191)-N(HP191)))</f>
        <v/>
      </c>
      <c r="HV191">
        <f>IF(OR(HT$3="",HT$3&gt;TODAY()),"",IF(AND(HT191="",HU191=""),"",N(HU191)-N(HT191)))</f>
        <v/>
      </c>
      <c r="HY191">
        <f>IF(OR(HT$3="",HT$3&gt;TODAY()),"",IF(AND(HW191="",HX191=""),"",N(HX191)-N(HW191)))</f>
        <v/>
      </c>
      <c r="IC191">
        <f>IF(OR(IA$3="",IA$3&gt;TODAY()),"",IF(AND(IA191="",IB191=""),"",N(IB191)-N(IA191)))</f>
        <v/>
      </c>
      <c r="IF191">
        <f>IF(OR(IA$3="",IA$3&gt;TODAY()),"",IF(AND(ID191="",IE191=""),"",N(IE191)-N(ID191)))</f>
        <v/>
      </c>
      <c r="IJ191">
        <f>IF(OR(IH$3="",IH$3&gt;TODAY()),"",IF(AND(IH191="",II191=""),"",N(II191)-N(IH191)))</f>
        <v/>
      </c>
      <c r="IM191">
        <f>IF(OR(IH$3="",IH$3&gt;TODAY()),"",IF(AND(IK191="",IL191=""),"",N(IL191)-N(IK191)))</f>
        <v/>
      </c>
    </row>
    <row r="192">
      <c r="A192" s="21" t="n"/>
      <c r="B192" s="21" t="n"/>
      <c r="C192" s="21" t="n"/>
      <c r="D192" s="21" t="n"/>
      <c r="E192" s="21" t="n"/>
      <c r="F192" s="21" t="n"/>
      <c r="G192" s="21" t="n"/>
      <c r="H192" s="21" t="n"/>
      <c r="I192" s="22" t="n"/>
      <c r="J192" s="22" t="n"/>
      <c r="K192" s="23" t="n"/>
      <c r="L192" s="22" t="n"/>
      <c r="M192" s="22" t="n"/>
      <c r="N192" s="21" t="n"/>
      <c r="O192" s="23" t="n"/>
      <c r="P192" s="23" t="n"/>
      <c r="Q192" s="23" t="n"/>
      <c r="R192" s="23" t="n"/>
      <c r="S192" s="22" t="n"/>
      <c r="T192" s="23" t="n"/>
      <c r="U192" s="23" t="n"/>
      <c r="V192" s="24">
        <f>IF(J192&lt;&gt;"",J192,IF(I192&lt;&gt;"",I192,""))</f>
        <v/>
      </c>
      <c r="W192" s="25">
        <f>IF($E192="","",N(O192)+SUMIFS($AF192:$IN192,$AF$4:$IN$4,"SEW_ACT"))</f>
        <v/>
      </c>
      <c r="X192" s="25">
        <f>IF($E192="","",N(P192)+SUMIFS($AF192:$IN192,$AF$4:$IN$4,"WASH_ACT"))</f>
        <v/>
      </c>
      <c r="Y192" s="25">
        <f>IF($E192="","",W192-X192-N(T192)-N(U192))</f>
        <v/>
      </c>
      <c r="Z192" s="25">
        <f>IF($E192="","",IF(N(K192)-X192&lt;=0.02*N(K192),0,N(K192)-X192))</f>
        <v/>
      </c>
      <c r="AA192" s="24">
        <f>IF($E192="","",IF(S192&lt;&gt;"",S192,IF(N(O192)&gt;0,IF(L192&lt;&gt;"",L192,99999),IFERROR(1/(1/_xlfn.MINIFS($AF$3:$IN$3,$AF$4:$IN$4,"SEW_ACT",$AF192:$IN192,"&gt;0")),99999))))</f>
        <v/>
      </c>
      <c r="AB192" s="26">
        <f>IF(OR($E192="",Z192=0,V192=""),"",1+COUNTIFS(Z$8:Z$707,"&gt;0",V$8:V$707,"&lt;"&amp;V192)+COUNTIFS(Z$8:Z$707,"&gt;0",V$8:V$707,V192,AA$8:AA$707,"&lt;"&amp;AA192)+COUNTIFS(Z$8:Z$707,"&gt;0",V$8:V$707,V192,AA$8:AA$707,AA192,E$8:E$707,"&lt;"&amp;$E192))</f>
        <v/>
      </c>
      <c r="AC192" s="24">
        <f>IF(OR($E192="",Z192=0),"",IFERROR(TODAY()+ROUNDUP(Z192/(SUMIFS($AF192:$IN192,$AF$4:$IN$4,"WASH_ACT")/COUNTIFS($AF$4:$IN$4,"WASH_ACT",$AF192:$IN192,"&gt;0")),0),"no output yet"))</f>
        <v/>
      </c>
      <c r="AD192" s="26">
        <f>IF($E192="","",IFERROR(ROUND(MAX(0,SUMIFS($AF192:$IN192,$AF$4:$IN$4,"SEW_PLAN",$AF$3:$IN$3,"&lt;="&amp;TODAY())-SUMIFS($AF192:$IN192,$AF$4:$IN$4,"SEW_ACT",$AF$3:$IN$3,"&lt;="&amp;TODAY())+N(Q192))/(SUMIFS($AF192:$IN192,$AF$4:$IN$4,"SEW_PLAN")/COUNTIFS($AF$4:$IN$4,"SEW_PLAN",$AF192:$IN192,"&gt;0")),1),0))</f>
        <v/>
      </c>
      <c r="AE192" s="26">
        <f>IF($E192="","",IF(AND(Z192&gt;0,OR(AND(M192&lt;&gt;"",TODAY()&gt;M192),AND(V192&lt;&gt;"",V192-TODAY()&lt;=7))),"Yes","No"))</f>
        <v/>
      </c>
      <c r="AH192">
        <f>IF(OR(AF$3="",AF$3&gt;TODAY()),"",IF(AND(AF192="",AG192=""),"",N(AG192)-N(AF192)))</f>
        <v/>
      </c>
      <c r="AK192">
        <f>IF(OR(AF$3="",AF$3&gt;TODAY()),"",IF(AND(AI192="",AJ192=""),"",N(AJ192)-N(AI192)))</f>
        <v/>
      </c>
      <c r="AO192">
        <f>IF(OR(AM$3="",AM$3&gt;TODAY()),"",IF(AND(AM192="",AN192=""),"",N(AN192)-N(AM192)))</f>
        <v/>
      </c>
      <c r="AR192">
        <f>IF(OR(AM$3="",AM$3&gt;TODAY()),"",IF(AND(AP192="",AQ192=""),"",N(AQ192)-N(AP192)))</f>
        <v/>
      </c>
      <c r="AV192">
        <f>IF(OR(AT$3="",AT$3&gt;TODAY()),"",IF(AND(AT192="",AU192=""),"",N(AU192)-N(AT192)))</f>
        <v/>
      </c>
      <c r="AY192">
        <f>IF(OR(AT$3="",AT$3&gt;TODAY()),"",IF(AND(AW192="",AX192=""),"",N(AX192)-N(AW192)))</f>
        <v/>
      </c>
      <c r="BC192">
        <f>IF(OR(BA$3="",BA$3&gt;TODAY()),"",IF(AND(BA192="",BB192=""),"",N(BB192)-N(BA192)))</f>
        <v/>
      </c>
      <c r="BF192">
        <f>IF(OR(BA$3="",BA$3&gt;TODAY()),"",IF(AND(BD192="",BE192=""),"",N(BE192)-N(BD192)))</f>
        <v/>
      </c>
      <c r="BJ192">
        <f>IF(OR(BH$3="",BH$3&gt;TODAY()),"",IF(AND(BH192="",BI192=""),"",N(BI192)-N(BH192)))</f>
        <v/>
      </c>
      <c r="BM192">
        <f>IF(OR(BH$3="",BH$3&gt;TODAY()),"",IF(AND(BK192="",BL192=""),"",N(BL192)-N(BK192)))</f>
        <v/>
      </c>
      <c r="BQ192">
        <f>IF(OR(BO$3="",BO$3&gt;TODAY()),"",IF(AND(BO192="",BP192=""),"",N(BP192)-N(BO192)))</f>
        <v/>
      </c>
      <c r="BT192">
        <f>IF(OR(BO$3="",BO$3&gt;TODAY()),"",IF(AND(BR192="",BS192=""),"",N(BS192)-N(BR192)))</f>
        <v/>
      </c>
      <c r="BX192">
        <f>IF(OR(BV$3="",BV$3&gt;TODAY()),"",IF(AND(BV192="",BW192=""),"",N(BW192)-N(BV192)))</f>
        <v/>
      </c>
      <c r="CA192">
        <f>IF(OR(BV$3="",BV$3&gt;TODAY()),"",IF(AND(BY192="",BZ192=""),"",N(BZ192)-N(BY192)))</f>
        <v/>
      </c>
      <c r="CE192">
        <f>IF(OR(CC$3="",CC$3&gt;TODAY()),"",IF(AND(CC192="",CD192=""),"",N(CD192)-N(CC192)))</f>
        <v/>
      </c>
      <c r="CH192">
        <f>IF(OR(CC$3="",CC$3&gt;TODAY()),"",IF(AND(CF192="",CG192=""),"",N(CG192)-N(CF192)))</f>
        <v/>
      </c>
      <c r="CL192">
        <f>IF(OR(CJ$3="",CJ$3&gt;TODAY()),"",IF(AND(CJ192="",CK192=""),"",N(CK192)-N(CJ192)))</f>
        <v/>
      </c>
      <c r="CO192">
        <f>IF(OR(CJ$3="",CJ$3&gt;TODAY()),"",IF(AND(CM192="",CN192=""),"",N(CN192)-N(CM192)))</f>
        <v/>
      </c>
      <c r="CS192">
        <f>IF(OR(CQ$3="",CQ$3&gt;TODAY()),"",IF(AND(CQ192="",CR192=""),"",N(CR192)-N(CQ192)))</f>
        <v/>
      </c>
      <c r="CV192">
        <f>IF(OR(CQ$3="",CQ$3&gt;TODAY()),"",IF(AND(CT192="",CU192=""),"",N(CU192)-N(CT192)))</f>
        <v/>
      </c>
      <c r="CZ192">
        <f>IF(OR(CX$3="",CX$3&gt;TODAY()),"",IF(AND(CX192="",CY192=""),"",N(CY192)-N(CX192)))</f>
        <v/>
      </c>
      <c r="DC192">
        <f>IF(OR(CX$3="",CX$3&gt;TODAY()),"",IF(AND(DA192="",DB192=""),"",N(DB192)-N(DA192)))</f>
        <v/>
      </c>
      <c r="DG192">
        <f>IF(OR(DE$3="",DE$3&gt;TODAY()),"",IF(AND(DE192="",DF192=""),"",N(DF192)-N(DE192)))</f>
        <v/>
      </c>
      <c r="DJ192">
        <f>IF(OR(DE$3="",DE$3&gt;TODAY()),"",IF(AND(DH192="",DI192=""),"",N(DI192)-N(DH192)))</f>
        <v/>
      </c>
      <c r="DN192">
        <f>IF(OR(DL$3="",DL$3&gt;TODAY()),"",IF(AND(DL192="",DM192=""),"",N(DM192)-N(DL192)))</f>
        <v/>
      </c>
      <c r="DQ192">
        <f>IF(OR(DL$3="",DL$3&gt;TODAY()),"",IF(AND(DO192="",DP192=""),"",N(DP192)-N(DO192)))</f>
        <v/>
      </c>
      <c r="DU192">
        <f>IF(OR(DS$3="",DS$3&gt;TODAY()),"",IF(AND(DS192="",DT192=""),"",N(DT192)-N(DS192)))</f>
        <v/>
      </c>
      <c r="DX192">
        <f>IF(OR(DS$3="",DS$3&gt;TODAY()),"",IF(AND(DV192="",DW192=""),"",N(DW192)-N(DV192)))</f>
        <v/>
      </c>
      <c r="EB192">
        <f>IF(OR(DZ$3="",DZ$3&gt;TODAY()),"",IF(AND(DZ192="",EA192=""),"",N(EA192)-N(DZ192)))</f>
        <v/>
      </c>
      <c r="EE192">
        <f>IF(OR(DZ$3="",DZ$3&gt;TODAY()),"",IF(AND(EC192="",ED192=""),"",N(ED192)-N(EC192)))</f>
        <v/>
      </c>
      <c r="EI192">
        <f>IF(OR(EG$3="",EG$3&gt;TODAY()),"",IF(AND(EG192="",EH192=""),"",N(EH192)-N(EG192)))</f>
        <v/>
      </c>
      <c r="EL192">
        <f>IF(OR(EG$3="",EG$3&gt;TODAY()),"",IF(AND(EJ192="",EK192=""),"",N(EK192)-N(EJ192)))</f>
        <v/>
      </c>
      <c r="EP192">
        <f>IF(OR(EN$3="",EN$3&gt;TODAY()),"",IF(AND(EN192="",EO192=""),"",N(EO192)-N(EN192)))</f>
        <v/>
      </c>
      <c r="ES192">
        <f>IF(OR(EN$3="",EN$3&gt;TODAY()),"",IF(AND(EQ192="",ER192=""),"",N(ER192)-N(EQ192)))</f>
        <v/>
      </c>
      <c r="EW192">
        <f>IF(OR(EU$3="",EU$3&gt;TODAY()),"",IF(AND(EU192="",EV192=""),"",N(EV192)-N(EU192)))</f>
        <v/>
      </c>
      <c r="EZ192">
        <f>IF(OR(EU$3="",EU$3&gt;TODAY()),"",IF(AND(EX192="",EY192=""),"",N(EY192)-N(EX192)))</f>
        <v/>
      </c>
      <c r="FD192">
        <f>IF(OR(FB$3="",FB$3&gt;TODAY()),"",IF(AND(FB192="",FC192=""),"",N(FC192)-N(FB192)))</f>
        <v/>
      </c>
      <c r="FG192">
        <f>IF(OR(FB$3="",FB$3&gt;TODAY()),"",IF(AND(FE192="",FF192=""),"",N(FF192)-N(FE192)))</f>
        <v/>
      </c>
      <c r="FK192">
        <f>IF(OR(FI$3="",FI$3&gt;TODAY()),"",IF(AND(FI192="",FJ192=""),"",N(FJ192)-N(FI192)))</f>
        <v/>
      </c>
      <c r="FN192">
        <f>IF(OR(FI$3="",FI$3&gt;TODAY()),"",IF(AND(FL192="",FM192=""),"",N(FM192)-N(FL192)))</f>
        <v/>
      </c>
      <c r="FR192">
        <f>IF(OR(FP$3="",FP$3&gt;TODAY()),"",IF(AND(FP192="",FQ192=""),"",N(FQ192)-N(FP192)))</f>
        <v/>
      </c>
      <c r="FU192">
        <f>IF(OR(FP$3="",FP$3&gt;TODAY()),"",IF(AND(FS192="",FT192=""),"",N(FT192)-N(FS192)))</f>
        <v/>
      </c>
      <c r="FY192">
        <f>IF(OR(FW$3="",FW$3&gt;TODAY()),"",IF(AND(FW192="",FX192=""),"",N(FX192)-N(FW192)))</f>
        <v/>
      </c>
      <c r="GB192">
        <f>IF(OR(FW$3="",FW$3&gt;TODAY()),"",IF(AND(FZ192="",GA192=""),"",N(GA192)-N(FZ192)))</f>
        <v/>
      </c>
      <c r="GF192">
        <f>IF(OR(GD$3="",GD$3&gt;TODAY()),"",IF(AND(GD192="",GE192=""),"",N(GE192)-N(GD192)))</f>
        <v/>
      </c>
      <c r="GI192">
        <f>IF(OR(GD$3="",GD$3&gt;TODAY()),"",IF(AND(GG192="",GH192=""),"",N(GH192)-N(GG192)))</f>
        <v/>
      </c>
      <c r="GM192">
        <f>IF(OR(GK$3="",GK$3&gt;TODAY()),"",IF(AND(GK192="",GL192=""),"",N(GL192)-N(GK192)))</f>
        <v/>
      </c>
      <c r="GP192">
        <f>IF(OR(GK$3="",GK$3&gt;TODAY()),"",IF(AND(GN192="",GO192=""),"",N(GO192)-N(GN192)))</f>
        <v/>
      </c>
      <c r="GT192">
        <f>IF(OR(GR$3="",GR$3&gt;TODAY()),"",IF(AND(GR192="",GS192=""),"",N(GS192)-N(GR192)))</f>
        <v/>
      </c>
      <c r="GW192">
        <f>IF(OR(GR$3="",GR$3&gt;TODAY()),"",IF(AND(GU192="",GV192=""),"",N(GV192)-N(GU192)))</f>
        <v/>
      </c>
      <c r="HA192">
        <f>IF(OR(GY$3="",GY$3&gt;TODAY()),"",IF(AND(GY192="",GZ192=""),"",N(GZ192)-N(GY192)))</f>
        <v/>
      </c>
      <c r="HD192">
        <f>IF(OR(GY$3="",GY$3&gt;TODAY()),"",IF(AND(HB192="",HC192=""),"",N(HC192)-N(HB192)))</f>
        <v/>
      </c>
      <c r="HH192">
        <f>IF(OR(HF$3="",HF$3&gt;TODAY()),"",IF(AND(HF192="",HG192=""),"",N(HG192)-N(HF192)))</f>
        <v/>
      </c>
      <c r="HK192">
        <f>IF(OR(HF$3="",HF$3&gt;TODAY()),"",IF(AND(HI192="",HJ192=""),"",N(HJ192)-N(HI192)))</f>
        <v/>
      </c>
      <c r="HO192">
        <f>IF(OR(HM$3="",HM$3&gt;TODAY()),"",IF(AND(HM192="",HN192=""),"",N(HN192)-N(HM192)))</f>
        <v/>
      </c>
      <c r="HR192">
        <f>IF(OR(HM$3="",HM$3&gt;TODAY()),"",IF(AND(HP192="",HQ192=""),"",N(HQ192)-N(HP192)))</f>
        <v/>
      </c>
      <c r="HV192">
        <f>IF(OR(HT$3="",HT$3&gt;TODAY()),"",IF(AND(HT192="",HU192=""),"",N(HU192)-N(HT192)))</f>
        <v/>
      </c>
      <c r="HY192">
        <f>IF(OR(HT$3="",HT$3&gt;TODAY()),"",IF(AND(HW192="",HX192=""),"",N(HX192)-N(HW192)))</f>
        <v/>
      </c>
      <c r="IC192">
        <f>IF(OR(IA$3="",IA$3&gt;TODAY()),"",IF(AND(IA192="",IB192=""),"",N(IB192)-N(IA192)))</f>
        <v/>
      </c>
      <c r="IF192">
        <f>IF(OR(IA$3="",IA$3&gt;TODAY()),"",IF(AND(ID192="",IE192=""),"",N(IE192)-N(ID192)))</f>
        <v/>
      </c>
      <c r="IJ192">
        <f>IF(OR(IH$3="",IH$3&gt;TODAY()),"",IF(AND(IH192="",II192=""),"",N(II192)-N(IH192)))</f>
        <v/>
      </c>
      <c r="IM192">
        <f>IF(OR(IH$3="",IH$3&gt;TODAY()),"",IF(AND(IK192="",IL192=""),"",N(IL192)-N(IK192)))</f>
        <v/>
      </c>
    </row>
    <row r="193">
      <c r="A193" s="21" t="n"/>
      <c r="B193" s="21" t="n"/>
      <c r="C193" s="21" t="n"/>
      <c r="D193" s="21" t="n"/>
      <c r="E193" s="21" t="n"/>
      <c r="F193" s="21" t="n"/>
      <c r="G193" s="21" t="n"/>
      <c r="H193" s="21" t="n"/>
      <c r="I193" s="22" t="n"/>
      <c r="J193" s="22" t="n"/>
      <c r="K193" s="23" t="n"/>
      <c r="L193" s="22" t="n"/>
      <c r="M193" s="22" t="n"/>
      <c r="N193" s="21" t="n"/>
      <c r="O193" s="23" t="n"/>
      <c r="P193" s="23" t="n"/>
      <c r="Q193" s="23" t="n"/>
      <c r="R193" s="23" t="n"/>
      <c r="S193" s="22" t="n"/>
      <c r="T193" s="23" t="n"/>
      <c r="U193" s="23" t="n"/>
      <c r="V193" s="24">
        <f>IF(J193&lt;&gt;"",J193,IF(I193&lt;&gt;"",I193,""))</f>
        <v/>
      </c>
      <c r="W193" s="25">
        <f>IF($E193="","",N(O193)+SUMIFS($AF193:$IN193,$AF$4:$IN$4,"SEW_ACT"))</f>
        <v/>
      </c>
      <c r="X193" s="25">
        <f>IF($E193="","",N(P193)+SUMIFS($AF193:$IN193,$AF$4:$IN$4,"WASH_ACT"))</f>
        <v/>
      </c>
      <c r="Y193" s="25">
        <f>IF($E193="","",W193-X193-N(T193)-N(U193))</f>
        <v/>
      </c>
      <c r="Z193" s="25">
        <f>IF($E193="","",IF(N(K193)-X193&lt;=0.02*N(K193),0,N(K193)-X193))</f>
        <v/>
      </c>
      <c r="AA193" s="24">
        <f>IF($E193="","",IF(S193&lt;&gt;"",S193,IF(N(O193)&gt;0,IF(L193&lt;&gt;"",L193,99999),IFERROR(1/(1/_xlfn.MINIFS($AF$3:$IN$3,$AF$4:$IN$4,"SEW_ACT",$AF193:$IN193,"&gt;0")),99999))))</f>
        <v/>
      </c>
      <c r="AB193" s="26">
        <f>IF(OR($E193="",Z193=0,V193=""),"",1+COUNTIFS(Z$8:Z$707,"&gt;0",V$8:V$707,"&lt;"&amp;V193)+COUNTIFS(Z$8:Z$707,"&gt;0",V$8:V$707,V193,AA$8:AA$707,"&lt;"&amp;AA193)+COUNTIFS(Z$8:Z$707,"&gt;0",V$8:V$707,V193,AA$8:AA$707,AA193,E$8:E$707,"&lt;"&amp;$E193))</f>
        <v/>
      </c>
      <c r="AC193" s="24">
        <f>IF(OR($E193="",Z193=0),"",IFERROR(TODAY()+ROUNDUP(Z193/(SUMIFS($AF193:$IN193,$AF$4:$IN$4,"WASH_ACT")/COUNTIFS($AF$4:$IN$4,"WASH_ACT",$AF193:$IN193,"&gt;0")),0),"no output yet"))</f>
        <v/>
      </c>
      <c r="AD193" s="26">
        <f>IF($E193="","",IFERROR(ROUND(MAX(0,SUMIFS($AF193:$IN193,$AF$4:$IN$4,"SEW_PLAN",$AF$3:$IN$3,"&lt;="&amp;TODAY())-SUMIFS($AF193:$IN193,$AF$4:$IN$4,"SEW_ACT",$AF$3:$IN$3,"&lt;="&amp;TODAY())+N(Q193))/(SUMIFS($AF193:$IN193,$AF$4:$IN$4,"SEW_PLAN")/COUNTIFS($AF$4:$IN$4,"SEW_PLAN",$AF193:$IN193,"&gt;0")),1),0))</f>
        <v/>
      </c>
      <c r="AE193" s="26">
        <f>IF($E193="","",IF(AND(Z193&gt;0,OR(AND(M193&lt;&gt;"",TODAY()&gt;M193),AND(V193&lt;&gt;"",V193-TODAY()&lt;=7))),"Yes","No"))</f>
        <v/>
      </c>
      <c r="AH193">
        <f>IF(OR(AF$3="",AF$3&gt;TODAY()),"",IF(AND(AF193="",AG193=""),"",N(AG193)-N(AF193)))</f>
        <v/>
      </c>
      <c r="AK193">
        <f>IF(OR(AF$3="",AF$3&gt;TODAY()),"",IF(AND(AI193="",AJ193=""),"",N(AJ193)-N(AI193)))</f>
        <v/>
      </c>
      <c r="AO193">
        <f>IF(OR(AM$3="",AM$3&gt;TODAY()),"",IF(AND(AM193="",AN193=""),"",N(AN193)-N(AM193)))</f>
        <v/>
      </c>
      <c r="AR193">
        <f>IF(OR(AM$3="",AM$3&gt;TODAY()),"",IF(AND(AP193="",AQ193=""),"",N(AQ193)-N(AP193)))</f>
        <v/>
      </c>
      <c r="AV193">
        <f>IF(OR(AT$3="",AT$3&gt;TODAY()),"",IF(AND(AT193="",AU193=""),"",N(AU193)-N(AT193)))</f>
        <v/>
      </c>
      <c r="AY193">
        <f>IF(OR(AT$3="",AT$3&gt;TODAY()),"",IF(AND(AW193="",AX193=""),"",N(AX193)-N(AW193)))</f>
        <v/>
      </c>
      <c r="BC193">
        <f>IF(OR(BA$3="",BA$3&gt;TODAY()),"",IF(AND(BA193="",BB193=""),"",N(BB193)-N(BA193)))</f>
        <v/>
      </c>
      <c r="BF193">
        <f>IF(OR(BA$3="",BA$3&gt;TODAY()),"",IF(AND(BD193="",BE193=""),"",N(BE193)-N(BD193)))</f>
        <v/>
      </c>
      <c r="BJ193">
        <f>IF(OR(BH$3="",BH$3&gt;TODAY()),"",IF(AND(BH193="",BI193=""),"",N(BI193)-N(BH193)))</f>
        <v/>
      </c>
      <c r="BM193">
        <f>IF(OR(BH$3="",BH$3&gt;TODAY()),"",IF(AND(BK193="",BL193=""),"",N(BL193)-N(BK193)))</f>
        <v/>
      </c>
      <c r="BQ193">
        <f>IF(OR(BO$3="",BO$3&gt;TODAY()),"",IF(AND(BO193="",BP193=""),"",N(BP193)-N(BO193)))</f>
        <v/>
      </c>
      <c r="BT193">
        <f>IF(OR(BO$3="",BO$3&gt;TODAY()),"",IF(AND(BR193="",BS193=""),"",N(BS193)-N(BR193)))</f>
        <v/>
      </c>
      <c r="BX193">
        <f>IF(OR(BV$3="",BV$3&gt;TODAY()),"",IF(AND(BV193="",BW193=""),"",N(BW193)-N(BV193)))</f>
        <v/>
      </c>
      <c r="CA193">
        <f>IF(OR(BV$3="",BV$3&gt;TODAY()),"",IF(AND(BY193="",BZ193=""),"",N(BZ193)-N(BY193)))</f>
        <v/>
      </c>
      <c r="CE193">
        <f>IF(OR(CC$3="",CC$3&gt;TODAY()),"",IF(AND(CC193="",CD193=""),"",N(CD193)-N(CC193)))</f>
        <v/>
      </c>
      <c r="CH193">
        <f>IF(OR(CC$3="",CC$3&gt;TODAY()),"",IF(AND(CF193="",CG193=""),"",N(CG193)-N(CF193)))</f>
        <v/>
      </c>
      <c r="CL193">
        <f>IF(OR(CJ$3="",CJ$3&gt;TODAY()),"",IF(AND(CJ193="",CK193=""),"",N(CK193)-N(CJ193)))</f>
        <v/>
      </c>
      <c r="CO193">
        <f>IF(OR(CJ$3="",CJ$3&gt;TODAY()),"",IF(AND(CM193="",CN193=""),"",N(CN193)-N(CM193)))</f>
        <v/>
      </c>
      <c r="CS193">
        <f>IF(OR(CQ$3="",CQ$3&gt;TODAY()),"",IF(AND(CQ193="",CR193=""),"",N(CR193)-N(CQ193)))</f>
        <v/>
      </c>
      <c r="CV193">
        <f>IF(OR(CQ$3="",CQ$3&gt;TODAY()),"",IF(AND(CT193="",CU193=""),"",N(CU193)-N(CT193)))</f>
        <v/>
      </c>
      <c r="CZ193">
        <f>IF(OR(CX$3="",CX$3&gt;TODAY()),"",IF(AND(CX193="",CY193=""),"",N(CY193)-N(CX193)))</f>
        <v/>
      </c>
      <c r="DC193">
        <f>IF(OR(CX$3="",CX$3&gt;TODAY()),"",IF(AND(DA193="",DB193=""),"",N(DB193)-N(DA193)))</f>
        <v/>
      </c>
      <c r="DG193">
        <f>IF(OR(DE$3="",DE$3&gt;TODAY()),"",IF(AND(DE193="",DF193=""),"",N(DF193)-N(DE193)))</f>
        <v/>
      </c>
      <c r="DJ193">
        <f>IF(OR(DE$3="",DE$3&gt;TODAY()),"",IF(AND(DH193="",DI193=""),"",N(DI193)-N(DH193)))</f>
        <v/>
      </c>
      <c r="DN193">
        <f>IF(OR(DL$3="",DL$3&gt;TODAY()),"",IF(AND(DL193="",DM193=""),"",N(DM193)-N(DL193)))</f>
        <v/>
      </c>
      <c r="DQ193">
        <f>IF(OR(DL$3="",DL$3&gt;TODAY()),"",IF(AND(DO193="",DP193=""),"",N(DP193)-N(DO193)))</f>
        <v/>
      </c>
      <c r="DU193">
        <f>IF(OR(DS$3="",DS$3&gt;TODAY()),"",IF(AND(DS193="",DT193=""),"",N(DT193)-N(DS193)))</f>
        <v/>
      </c>
      <c r="DX193">
        <f>IF(OR(DS$3="",DS$3&gt;TODAY()),"",IF(AND(DV193="",DW193=""),"",N(DW193)-N(DV193)))</f>
        <v/>
      </c>
      <c r="EB193">
        <f>IF(OR(DZ$3="",DZ$3&gt;TODAY()),"",IF(AND(DZ193="",EA193=""),"",N(EA193)-N(DZ193)))</f>
        <v/>
      </c>
      <c r="EE193">
        <f>IF(OR(DZ$3="",DZ$3&gt;TODAY()),"",IF(AND(EC193="",ED193=""),"",N(ED193)-N(EC193)))</f>
        <v/>
      </c>
      <c r="EI193">
        <f>IF(OR(EG$3="",EG$3&gt;TODAY()),"",IF(AND(EG193="",EH193=""),"",N(EH193)-N(EG193)))</f>
        <v/>
      </c>
      <c r="EL193">
        <f>IF(OR(EG$3="",EG$3&gt;TODAY()),"",IF(AND(EJ193="",EK193=""),"",N(EK193)-N(EJ193)))</f>
        <v/>
      </c>
      <c r="EP193">
        <f>IF(OR(EN$3="",EN$3&gt;TODAY()),"",IF(AND(EN193="",EO193=""),"",N(EO193)-N(EN193)))</f>
        <v/>
      </c>
      <c r="ES193">
        <f>IF(OR(EN$3="",EN$3&gt;TODAY()),"",IF(AND(EQ193="",ER193=""),"",N(ER193)-N(EQ193)))</f>
        <v/>
      </c>
      <c r="EW193">
        <f>IF(OR(EU$3="",EU$3&gt;TODAY()),"",IF(AND(EU193="",EV193=""),"",N(EV193)-N(EU193)))</f>
        <v/>
      </c>
      <c r="EZ193">
        <f>IF(OR(EU$3="",EU$3&gt;TODAY()),"",IF(AND(EX193="",EY193=""),"",N(EY193)-N(EX193)))</f>
        <v/>
      </c>
      <c r="FD193">
        <f>IF(OR(FB$3="",FB$3&gt;TODAY()),"",IF(AND(FB193="",FC193=""),"",N(FC193)-N(FB193)))</f>
        <v/>
      </c>
      <c r="FG193">
        <f>IF(OR(FB$3="",FB$3&gt;TODAY()),"",IF(AND(FE193="",FF193=""),"",N(FF193)-N(FE193)))</f>
        <v/>
      </c>
      <c r="FK193">
        <f>IF(OR(FI$3="",FI$3&gt;TODAY()),"",IF(AND(FI193="",FJ193=""),"",N(FJ193)-N(FI193)))</f>
        <v/>
      </c>
      <c r="FN193">
        <f>IF(OR(FI$3="",FI$3&gt;TODAY()),"",IF(AND(FL193="",FM193=""),"",N(FM193)-N(FL193)))</f>
        <v/>
      </c>
      <c r="FR193">
        <f>IF(OR(FP$3="",FP$3&gt;TODAY()),"",IF(AND(FP193="",FQ193=""),"",N(FQ193)-N(FP193)))</f>
        <v/>
      </c>
      <c r="FU193">
        <f>IF(OR(FP$3="",FP$3&gt;TODAY()),"",IF(AND(FS193="",FT193=""),"",N(FT193)-N(FS193)))</f>
        <v/>
      </c>
      <c r="FY193">
        <f>IF(OR(FW$3="",FW$3&gt;TODAY()),"",IF(AND(FW193="",FX193=""),"",N(FX193)-N(FW193)))</f>
        <v/>
      </c>
      <c r="GB193">
        <f>IF(OR(FW$3="",FW$3&gt;TODAY()),"",IF(AND(FZ193="",GA193=""),"",N(GA193)-N(FZ193)))</f>
        <v/>
      </c>
      <c r="GF193">
        <f>IF(OR(GD$3="",GD$3&gt;TODAY()),"",IF(AND(GD193="",GE193=""),"",N(GE193)-N(GD193)))</f>
        <v/>
      </c>
      <c r="GI193">
        <f>IF(OR(GD$3="",GD$3&gt;TODAY()),"",IF(AND(GG193="",GH193=""),"",N(GH193)-N(GG193)))</f>
        <v/>
      </c>
      <c r="GM193">
        <f>IF(OR(GK$3="",GK$3&gt;TODAY()),"",IF(AND(GK193="",GL193=""),"",N(GL193)-N(GK193)))</f>
        <v/>
      </c>
      <c r="GP193">
        <f>IF(OR(GK$3="",GK$3&gt;TODAY()),"",IF(AND(GN193="",GO193=""),"",N(GO193)-N(GN193)))</f>
        <v/>
      </c>
      <c r="GT193">
        <f>IF(OR(GR$3="",GR$3&gt;TODAY()),"",IF(AND(GR193="",GS193=""),"",N(GS193)-N(GR193)))</f>
        <v/>
      </c>
      <c r="GW193">
        <f>IF(OR(GR$3="",GR$3&gt;TODAY()),"",IF(AND(GU193="",GV193=""),"",N(GV193)-N(GU193)))</f>
        <v/>
      </c>
      <c r="HA193">
        <f>IF(OR(GY$3="",GY$3&gt;TODAY()),"",IF(AND(GY193="",GZ193=""),"",N(GZ193)-N(GY193)))</f>
        <v/>
      </c>
      <c r="HD193">
        <f>IF(OR(GY$3="",GY$3&gt;TODAY()),"",IF(AND(HB193="",HC193=""),"",N(HC193)-N(HB193)))</f>
        <v/>
      </c>
      <c r="HH193">
        <f>IF(OR(HF$3="",HF$3&gt;TODAY()),"",IF(AND(HF193="",HG193=""),"",N(HG193)-N(HF193)))</f>
        <v/>
      </c>
      <c r="HK193">
        <f>IF(OR(HF$3="",HF$3&gt;TODAY()),"",IF(AND(HI193="",HJ193=""),"",N(HJ193)-N(HI193)))</f>
        <v/>
      </c>
      <c r="HO193">
        <f>IF(OR(HM$3="",HM$3&gt;TODAY()),"",IF(AND(HM193="",HN193=""),"",N(HN193)-N(HM193)))</f>
        <v/>
      </c>
      <c r="HR193">
        <f>IF(OR(HM$3="",HM$3&gt;TODAY()),"",IF(AND(HP193="",HQ193=""),"",N(HQ193)-N(HP193)))</f>
        <v/>
      </c>
      <c r="HV193">
        <f>IF(OR(HT$3="",HT$3&gt;TODAY()),"",IF(AND(HT193="",HU193=""),"",N(HU193)-N(HT193)))</f>
        <v/>
      </c>
      <c r="HY193">
        <f>IF(OR(HT$3="",HT$3&gt;TODAY()),"",IF(AND(HW193="",HX193=""),"",N(HX193)-N(HW193)))</f>
        <v/>
      </c>
      <c r="IC193">
        <f>IF(OR(IA$3="",IA$3&gt;TODAY()),"",IF(AND(IA193="",IB193=""),"",N(IB193)-N(IA193)))</f>
        <v/>
      </c>
      <c r="IF193">
        <f>IF(OR(IA$3="",IA$3&gt;TODAY()),"",IF(AND(ID193="",IE193=""),"",N(IE193)-N(ID193)))</f>
        <v/>
      </c>
      <c r="IJ193">
        <f>IF(OR(IH$3="",IH$3&gt;TODAY()),"",IF(AND(IH193="",II193=""),"",N(II193)-N(IH193)))</f>
        <v/>
      </c>
      <c r="IM193">
        <f>IF(OR(IH$3="",IH$3&gt;TODAY()),"",IF(AND(IK193="",IL193=""),"",N(IL193)-N(IK193)))</f>
        <v/>
      </c>
    </row>
    <row r="194">
      <c r="A194" s="21" t="n"/>
      <c r="B194" s="21" t="n"/>
      <c r="C194" s="21" t="n"/>
      <c r="D194" s="21" t="n"/>
      <c r="E194" s="21" t="n"/>
      <c r="F194" s="21" t="n"/>
      <c r="G194" s="21" t="n"/>
      <c r="H194" s="21" t="n"/>
      <c r="I194" s="22" t="n"/>
      <c r="J194" s="22" t="n"/>
      <c r="K194" s="23" t="n"/>
      <c r="L194" s="22" t="n"/>
      <c r="M194" s="22" t="n"/>
      <c r="N194" s="21" t="n"/>
      <c r="O194" s="23" t="n"/>
      <c r="P194" s="23" t="n"/>
      <c r="Q194" s="23" t="n"/>
      <c r="R194" s="23" t="n"/>
      <c r="S194" s="22" t="n"/>
      <c r="T194" s="23" t="n"/>
      <c r="U194" s="23" t="n"/>
      <c r="V194" s="24">
        <f>IF(J194&lt;&gt;"",J194,IF(I194&lt;&gt;"",I194,""))</f>
        <v/>
      </c>
      <c r="W194" s="25">
        <f>IF($E194="","",N(O194)+SUMIFS($AF194:$IN194,$AF$4:$IN$4,"SEW_ACT"))</f>
        <v/>
      </c>
      <c r="X194" s="25">
        <f>IF($E194="","",N(P194)+SUMIFS($AF194:$IN194,$AF$4:$IN$4,"WASH_ACT"))</f>
        <v/>
      </c>
      <c r="Y194" s="25">
        <f>IF($E194="","",W194-X194-N(T194)-N(U194))</f>
        <v/>
      </c>
      <c r="Z194" s="25">
        <f>IF($E194="","",IF(N(K194)-X194&lt;=0.02*N(K194),0,N(K194)-X194))</f>
        <v/>
      </c>
      <c r="AA194" s="24">
        <f>IF($E194="","",IF(S194&lt;&gt;"",S194,IF(N(O194)&gt;0,IF(L194&lt;&gt;"",L194,99999),IFERROR(1/(1/_xlfn.MINIFS($AF$3:$IN$3,$AF$4:$IN$4,"SEW_ACT",$AF194:$IN194,"&gt;0")),99999))))</f>
        <v/>
      </c>
      <c r="AB194" s="26">
        <f>IF(OR($E194="",Z194=0,V194=""),"",1+COUNTIFS(Z$8:Z$707,"&gt;0",V$8:V$707,"&lt;"&amp;V194)+COUNTIFS(Z$8:Z$707,"&gt;0",V$8:V$707,V194,AA$8:AA$707,"&lt;"&amp;AA194)+COUNTIFS(Z$8:Z$707,"&gt;0",V$8:V$707,V194,AA$8:AA$707,AA194,E$8:E$707,"&lt;"&amp;$E194))</f>
        <v/>
      </c>
      <c r="AC194" s="24">
        <f>IF(OR($E194="",Z194=0),"",IFERROR(TODAY()+ROUNDUP(Z194/(SUMIFS($AF194:$IN194,$AF$4:$IN$4,"WASH_ACT")/COUNTIFS($AF$4:$IN$4,"WASH_ACT",$AF194:$IN194,"&gt;0")),0),"no output yet"))</f>
        <v/>
      </c>
      <c r="AD194" s="26">
        <f>IF($E194="","",IFERROR(ROUND(MAX(0,SUMIFS($AF194:$IN194,$AF$4:$IN$4,"SEW_PLAN",$AF$3:$IN$3,"&lt;="&amp;TODAY())-SUMIFS($AF194:$IN194,$AF$4:$IN$4,"SEW_ACT",$AF$3:$IN$3,"&lt;="&amp;TODAY())+N(Q194))/(SUMIFS($AF194:$IN194,$AF$4:$IN$4,"SEW_PLAN")/COUNTIFS($AF$4:$IN$4,"SEW_PLAN",$AF194:$IN194,"&gt;0")),1),0))</f>
        <v/>
      </c>
      <c r="AE194" s="26">
        <f>IF($E194="","",IF(AND(Z194&gt;0,OR(AND(M194&lt;&gt;"",TODAY()&gt;M194),AND(V194&lt;&gt;"",V194-TODAY()&lt;=7))),"Yes","No"))</f>
        <v/>
      </c>
      <c r="AH194">
        <f>IF(OR(AF$3="",AF$3&gt;TODAY()),"",IF(AND(AF194="",AG194=""),"",N(AG194)-N(AF194)))</f>
        <v/>
      </c>
      <c r="AK194">
        <f>IF(OR(AF$3="",AF$3&gt;TODAY()),"",IF(AND(AI194="",AJ194=""),"",N(AJ194)-N(AI194)))</f>
        <v/>
      </c>
      <c r="AO194">
        <f>IF(OR(AM$3="",AM$3&gt;TODAY()),"",IF(AND(AM194="",AN194=""),"",N(AN194)-N(AM194)))</f>
        <v/>
      </c>
      <c r="AR194">
        <f>IF(OR(AM$3="",AM$3&gt;TODAY()),"",IF(AND(AP194="",AQ194=""),"",N(AQ194)-N(AP194)))</f>
        <v/>
      </c>
      <c r="AV194">
        <f>IF(OR(AT$3="",AT$3&gt;TODAY()),"",IF(AND(AT194="",AU194=""),"",N(AU194)-N(AT194)))</f>
        <v/>
      </c>
      <c r="AY194">
        <f>IF(OR(AT$3="",AT$3&gt;TODAY()),"",IF(AND(AW194="",AX194=""),"",N(AX194)-N(AW194)))</f>
        <v/>
      </c>
      <c r="BC194">
        <f>IF(OR(BA$3="",BA$3&gt;TODAY()),"",IF(AND(BA194="",BB194=""),"",N(BB194)-N(BA194)))</f>
        <v/>
      </c>
      <c r="BF194">
        <f>IF(OR(BA$3="",BA$3&gt;TODAY()),"",IF(AND(BD194="",BE194=""),"",N(BE194)-N(BD194)))</f>
        <v/>
      </c>
      <c r="BJ194">
        <f>IF(OR(BH$3="",BH$3&gt;TODAY()),"",IF(AND(BH194="",BI194=""),"",N(BI194)-N(BH194)))</f>
        <v/>
      </c>
      <c r="BM194">
        <f>IF(OR(BH$3="",BH$3&gt;TODAY()),"",IF(AND(BK194="",BL194=""),"",N(BL194)-N(BK194)))</f>
        <v/>
      </c>
      <c r="BQ194">
        <f>IF(OR(BO$3="",BO$3&gt;TODAY()),"",IF(AND(BO194="",BP194=""),"",N(BP194)-N(BO194)))</f>
        <v/>
      </c>
      <c r="BT194">
        <f>IF(OR(BO$3="",BO$3&gt;TODAY()),"",IF(AND(BR194="",BS194=""),"",N(BS194)-N(BR194)))</f>
        <v/>
      </c>
      <c r="BX194">
        <f>IF(OR(BV$3="",BV$3&gt;TODAY()),"",IF(AND(BV194="",BW194=""),"",N(BW194)-N(BV194)))</f>
        <v/>
      </c>
      <c r="CA194">
        <f>IF(OR(BV$3="",BV$3&gt;TODAY()),"",IF(AND(BY194="",BZ194=""),"",N(BZ194)-N(BY194)))</f>
        <v/>
      </c>
      <c r="CE194">
        <f>IF(OR(CC$3="",CC$3&gt;TODAY()),"",IF(AND(CC194="",CD194=""),"",N(CD194)-N(CC194)))</f>
        <v/>
      </c>
      <c r="CH194">
        <f>IF(OR(CC$3="",CC$3&gt;TODAY()),"",IF(AND(CF194="",CG194=""),"",N(CG194)-N(CF194)))</f>
        <v/>
      </c>
      <c r="CL194">
        <f>IF(OR(CJ$3="",CJ$3&gt;TODAY()),"",IF(AND(CJ194="",CK194=""),"",N(CK194)-N(CJ194)))</f>
        <v/>
      </c>
      <c r="CO194">
        <f>IF(OR(CJ$3="",CJ$3&gt;TODAY()),"",IF(AND(CM194="",CN194=""),"",N(CN194)-N(CM194)))</f>
        <v/>
      </c>
      <c r="CS194">
        <f>IF(OR(CQ$3="",CQ$3&gt;TODAY()),"",IF(AND(CQ194="",CR194=""),"",N(CR194)-N(CQ194)))</f>
        <v/>
      </c>
      <c r="CV194">
        <f>IF(OR(CQ$3="",CQ$3&gt;TODAY()),"",IF(AND(CT194="",CU194=""),"",N(CU194)-N(CT194)))</f>
        <v/>
      </c>
      <c r="CZ194">
        <f>IF(OR(CX$3="",CX$3&gt;TODAY()),"",IF(AND(CX194="",CY194=""),"",N(CY194)-N(CX194)))</f>
        <v/>
      </c>
      <c r="DC194">
        <f>IF(OR(CX$3="",CX$3&gt;TODAY()),"",IF(AND(DA194="",DB194=""),"",N(DB194)-N(DA194)))</f>
        <v/>
      </c>
      <c r="DG194">
        <f>IF(OR(DE$3="",DE$3&gt;TODAY()),"",IF(AND(DE194="",DF194=""),"",N(DF194)-N(DE194)))</f>
        <v/>
      </c>
      <c r="DJ194">
        <f>IF(OR(DE$3="",DE$3&gt;TODAY()),"",IF(AND(DH194="",DI194=""),"",N(DI194)-N(DH194)))</f>
        <v/>
      </c>
      <c r="DN194">
        <f>IF(OR(DL$3="",DL$3&gt;TODAY()),"",IF(AND(DL194="",DM194=""),"",N(DM194)-N(DL194)))</f>
        <v/>
      </c>
      <c r="DQ194">
        <f>IF(OR(DL$3="",DL$3&gt;TODAY()),"",IF(AND(DO194="",DP194=""),"",N(DP194)-N(DO194)))</f>
        <v/>
      </c>
      <c r="DU194">
        <f>IF(OR(DS$3="",DS$3&gt;TODAY()),"",IF(AND(DS194="",DT194=""),"",N(DT194)-N(DS194)))</f>
        <v/>
      </c>
      <c r="DX194">
        <f>IF(OR(DS$3="",DS$3&gt;TODAY()),"",IF(AND(DV194="",DW194=""),"",N(DW194)-N(DV194)))</f>
        <v/>
      </c>
      <c r="EB194">
        <f>IF(OR(DZ$3="",DZ$3&gt;TODAY()),"",IF(AND(DZ194="",EA194=""),"",N(EA194)-N(DZ194)))</f>
        <v/>
      </c>
      <c r="EE194">
        <f>IF(OR(DZ$3="",DZ$3&gt;TODAY()),"",IF(AND(EC194="",ED194=""),"",N(ED194)-N(EC194)))</f>
        <v/>
      </c>
      <c r="EI194">
        <f>IF(OR(EG$3="",EG$3&gt;TODAY()),"",IF(AND(EG194="",EH194=""),"",N(EH194)-N(EG194)))</f>
        <v/>
      </c>
      <c r="EL194">
        <f>IF(OR(EG$3="",EG$3&gt;TODAY()),"",IF(AND(EJ194="",EK194=""),"",N(EK194)-N(EJ194)))</f>
        <v/>
      </c>
      <c r="EP194">
        <f>IF(OR(EN$3="",EN$3&gt;TODAY()),"",IF(AND(EN194="",EO194=""),"",N(EO194)-N(EN194)))</f>
        <v/>
      </c>
      <c r="ES194">
        <f>IF(OR(EN$3="",EN$3&gt;TODAY()),"",IF(AND(EQ194="",ER194=""),"",N(ER194)-N(EQ194)))</f>
        <v/>
      </c>
      <c r="EW194">
        <f>IF(OR(EU$3="",EU$3&gt;TODAY()),"",IF(AND(EU194="",EV194=""),"",N(EV194)-N(EU194)))</f>
        <v/>
      </c>
      <c r="EZ194">
        <f>IF(OR(EU$3="",EU$3&gt;TODAY()),"",IF(AND(EX194="",EY194=""),"",N(EY194)-N(EX194)))</f>
        <v/>
      </c>
      <c r="FD194">
        <f>IF(OR(FB$3="",FB$3&gt;TODAY()),"",IF(AND(FB194="",FC194=""),"",N(FC194)-N(FB194)))</f>
        <v/>
      </c>
      <c r="FG194">
        <f>IF(OR(FB$3="",FB$3&gt;TODAY()),"",IF(AND(FE194="",FF194=""),"",N(FF194)-N(FE194)))</f>
        <v/>
      </c>
      <c r="FK194">
        <f>IF(OR(FI$3="",FI$3&gt;TODAY()),"",IF(AND(FI194="",FJ194=""),"",N(FJ194)-N(FI194)))</f>
        <v/>
      </c>
      <c r="FN194">
        <f>IF(OR(FI$3="",FI$3&gt;TODAY()),"",IF(AND(FL194="",FM194=""),"",N(FM194)-N(FL194)))</f>
        <v/>
      </c>
      <c r="FR194">
        <f>IF(OR(FP$3="",FP$3&gt;TODAY()),"",IF(AND(FP194="",FQ194=""),"",N(FQ194)-N(FP194)))</f>
        <v/>
      </c>
      <c r="FU194">
        <f>IF(OR(FP$3="",FP$3&gt;TODAY()),"",IF(AND(FS194="",FT194=""),"",N(FT194)-N(FS194)))</f>
        <v/>
      </c>
      <c r="FY194">
        <f>IF(OR(FW$3="",FW$3&gt;TODAY()),"",IF(AND(FW194="",FX194=""),"",N(FX194)-N(FW194)))</f>
        <v/>
      </c>
      <c r="GB194">
        <f>IF(OR(FW$3="",FW$3&gt;TODAY()),"",IF(AND(FZ194="",GA194=""),"",N(GA194)-N(FZ194)))</f>
        <v/>
      </c>
      <c r="GF194">
        <f>IF(OR(GD$3="",GD$3&gt;TODAY()),"",IF(AND(GD194="",GE194=""),"",N(GE194)-N(GD194)))</f>
        <v/>
      </c>
      <c r="GI194">
        <f>IF(OR(GD$3="",GD$3&gt;TODAY()),"",IF(AND(GG194="",GH194=""),"",N(GH194)-N(GG194)))</f>
        <v/>
      </c>
      <c r="GM194">
        <f>IF(OR(GK$3="",GK$3&gt;TODAY()),"",IF(AND(GK194="",GL194=""),"",N(GL194)-N(GK194)))</f>
        <v/>
      </c>
      <c r="GP194">
        <f>IF(OR(GK$3="",GK$3&gt;TODAY()),"",IF(AND(GN194="",GO194=""),"",N(GO194)-N(GN194)))</f>
        <v/>
      </c>
      <c r="GT194">
        <f>IF(OR(GR$3="",GR$3&gt;TODAY()),"",IF(AND(GR194="",GS194=""),"",N(GS194)-N(GR194)))</f>
        <v/>
      </c>
      <c r="GW194">
        <f>IF(OR(GR$3="",GR$3&gt;TODAY()),"",IF(AND(GU194="",GV194=""),"",N(GV194)-N(GU194)))</f>
        <v/>
      </c>
      <c r="HA194">
        <f>IF(OR(GY$3="",GY$3&gt;TODAY()),"",IF(AND(GY194="",GZ194=""),"",N(GZ194)-N(GY194)))</f>
        <v/>
      </c>
      <c r="HD194">
        <f>IF(OR(GY$3="",GY$3&gt;TODAY()),"",IF(AND(HB194="",HC194=""),"",N(HC194)-N(HB194)))</f>
        <v/>
      </c>
      <c r="HH194">
        <f>IF(OR(HF$3="",HF$3&gt;TODAY()),"",IF(AND(HF194="",HG194=""),"",N(HG194)-N(HF194)))</f>
        <v/>
      </c>
      <c r="HK194">
        <f>IF(OR(HF$3="",HF$3&gt;TODAY()),"",IF(AND(HI194="",HJ194=""),"",N(HJ194)-N(HI194)))</f>
        <v/>
      </c>
      <c r="HO194">
        <f>IF(OR(HM$3="",HM$3&gt;TODAY()),"",IF(AND(HM194="",HN194=""),"",N(HN194)-N(HM194)))</f>
        <v/>
      </c>
      <c r="HR194">
        <f>IF(OR(HM$3="",HM$3&gt;TODAY()),"",IF(AND(HP194="",HQ194=""),"",N(HQ194)-N(HP194)))</f>
        <v/>
      </c>
      <c r="HV194">
        <f>IF(OR(HT$3="",HT$3&gt;TODAY()),"",IF(AND(HT194="",HU194=""),"",N(HU194)-N(HT194)))</f>
        <v/>
      </c>
      <c r="HY194">
        <f>IF(OR(HT$3="",HT$3&gt;TODAY()),"",IF(AND(HW194="",HX194=""),"",N(HX194)-N(HW194)))</f>
        <v/>
      </c>
      <c r="IC194">
        <f>IF(OR(IA$3="",IA$3&gt;TODAY()),"",IF(AND(IA194="",IB194=""),"",N(IB194)-N(IA194)))</f>
        <v/>
      </c>
      <c r="IF194">
        <f>IF(OR(IA$3="",IA$3&gt;TODAY()),"",IF(AND(ID194="",IE194=""),"",N(IE194)-N(ID194)))</f>
        <v/>
      </c>
      <c r="IJ194">
        <f>IF(OR(IH$3="",IH$3&gt;TODAY()),"",IF(AND(IH194="",II194=""),"",N(II194)-N(IH194)))</f>
        <v/>
      </c>
      <c r="IM194">
        <f>IF(OR(IH$3="",IH$3&gt;TODAY()),"",IF(AND(IK194="",IL194=""),"",N(IL194)-N(IK194)))</f>
        <v/>
      </c>
    </row>
    <row r="195">
      <c r="A195" s="21" t="n"/>
      <c r="B195" s="21" t="n"/>
      <c r="C195" s="21" t="n"/>
      <c r="D195" s="21" t="n"/>
      <c r="E195" s="21" t="n"/>
      <c r="F195" s="21" t="n"/>
      <c r="G195" s="21" t="n"/>
      <c r="H195" s="21" t="n"/>
      <c r="I195" s="22" t="n"/>
      <c r="J195" s="22" t="n"/>
      <c r="K195" s="23" t="n"/>
      <c r="L195" s="22" t="n"/>
      <c r="M195" s="22" t="n"/>
      <c r="N195" s="21" t="n"/>
      <c r="O195" s="23" t="n"/>
      <c r="P195" s="23" t="n"/>
      <c r="Q195" s="23" t="n"/>
      <c r="R195" s="23" t="n"/>
      <c r="S195" s="22" t="n"/>
      <c r="T195" s="23" t="n"/>
      <c r="U195" s="23" t="n"/>
      <c r="V195" s="24">
        <f>IF(J195&lt;&gt;"",J195,IF(I195&lt;&gt;"",I195,""))</f>
        <v/>
      </c>
      <c r="W195" s="25">
        <f>IF($E195="","",N(O195)+SUMIFS($AF195:$IN195,$AF$4:$IN$4,"SEW_ACT"))</f>
        <v/>
      </c>
      <c r="X195" s="25">
        <f>IF($E195="","",N(P195)+SUMIFS($AF195:$IN195,$AF$4:$IN$4,"WASH_ACT"))</f>
        <v/>
      </c>
      <c r="Y195" s="25">
        <f>IF($E195="","",W195-X195-N(T195)-N(U195))</f>
        <v/>
      </c>
      <c r="Z195" s="25">
        <f>IF($E195="","",IF(N(K195)-X195&lt;=0.02*N(K195),0,N(K195)-X195))</f>
        <v/>
      </c>
      <c r="AA195" s="24">
        <f>IF($E195="","",IF(S195&lt;&gt;"",S195,IF(N(O195)&gt;0,IF(L195&lt;&gt;"",L195,99999),IFERROR(1/(1/_xlfn.MINIFS($AF$3:$IN$3,$AF$4:$IN$4,"SEW_ACT",$AF195:$IN195,"&gt;0")),99999))))</f>
        <v/>
      </c>
      <c r="AB195" s="26">
        <f>IF(OR($E195="",Z195=0,V195=""),"",1+COUNTIFS(Z$8:Z$707,"&gt;0",V$8:V$707,"&lt;"&amp;V195)+COUNTIFS(Z$8:Z$707,"&gt;0",V$8:V$707,V195,AA$8:AA$707,"&lt;"&amp;AA195)+COUNTIFS(Z$8:Z$707,"&gt;0",V$8:V$707,V195,AA$8:AA$707,AA195,E$8:E$707,"&lt;"&amp;$E195))</f>
        <v/>
      </c>
      <c r="AC195" s="24">
        <f>IF(OR($E195="",Z195=0),"",IFERROR(TODAY()+ROUNDUP(Z195/(SUMIFS($AF195:$IN195,$AF$4:$IN$4,"WASH_ACT")/COUNTIFS($AF$4:$IN$4,"WASH_ACT",$AF195:$IN195,"&gt;0")),0),"no output yet"))</f>
        <v/>
      </c>
      <c r="AD195" s="26">
        <f>IF($E195="","",IFERROR(ROUND(MAX(0,SUMIFS($AF195:$IN195,$AF$4:$IN$4,"SEW_PLAN",$AF$3:$IN$3,"&lt;="&amp;TODAY())-SUMIFS($AF195:$IN195,$AF$4:$IN$4,"SEW_ACT",$AF$3:$IN$3,"&lt;="&amp;TODAY())+N(Q195))/(SUMIFS($AF195:$IN195,$AF$4:$IN$4,"SEW_PLAN")/COUNTIFS($AF$4:$IN$4,"SEW_PLAN",$AF195:$IN195,"&gt;0")),1),0))</f>
        <v/>
      </c>
      <c r="AE195" s="26">
        <f>IF($E195="","",IF(AND(Z195&gt;0,OR(AND(M195&lt;&gt;"",TODAY()&gt;M195),AND(V195&lt;&gt;"",V195-TODAY()&lt;=7))),"Yes","No"))</f>
        <v/>
      </c>
      <c r="AH195">
        <f>IF(OR(AF$3="",AF$3&gt;TODAY()),"",IF(AND(AF195="",AG195=""),"",N(AG195)-N(AF195)))</f>
        <v/>
      </c>
      <c r="AK195">
        <f>IF(OR(AF$3="",AF$3&gt;TODAY()),"",IF(AND(AI195="",AJ195=""),"",N(AJ195)-N(AI195)))</f>
        <v/>
      </c>
      <c r="AO195">
        <f>IF(OR(AM$3="",AM$3&gt;TODAY()),"",IF(AND(AM195="",AN195=""),"",N(AN195)-N(AM195)))</f>
        <v/>
      </c>
      <c r="AR195">
        <f>IF(OR(AM$3="",AM$3&gt;TODAY()),"",IF(AND(AP195="",AQ195=""),"",N(AQ195)-N(AP195)))</f>
        <v/>
      </c>
      <c r="AV195">
        <f>IF(OR(AT$3="",AT$3&gt;TODAY()),"",IF(AND(AT195="",AU195=""),"",N(AU195)-N(AT195)))</f>
        <v/>
      </c>
      <c r="AY195">
        <f>IF(OR(AT$3="",AT$3&gt;TODAY()),"",IF(AND(AW195="",AX195=""),"",N(AX195)-N(AW195)))</f>
        <v/>
      </c>
      <c r="BC195">
        <f>IF(OR(BA$3="",BA$3&gt;TODAY()),"",IF(AND(BA195="",BB195=""),"",N(BB195)-N(BA195)))</f>
        <v/>
      </c>
      <c r="BF195">
        <f>IF(OR(BA$3="",BA$3&gt;TODAY()),"",IF(AND(BD195="",BE195=""),"",N(BE195)-N(BD195)))</f>
        <v/>
      </c>
      <c r="BJ195">
        <f>IF(OR(BH$3="",BH$3&gt;TODAY()),"",IF(AND(BH195="",BI195=""),"",N(BI195)-N(BH195)))</f>
        <v/>
      </c>
      <c r="BM195">
        <f>IF(OR(BH$3="",BH$3&gt;TODAY()),"",IF(AND(BK195="",BL195=""),"",N(BL195)-N(BK195)))</f>
        <v/>
      </c>
      <c r="BQ195">
        <f>IF(OR(BO$3="",BO$3&gt;TODAY()),"",IF(AND(BO195="",BP195=""),"",N(BP195)-N(BO195)))</f>
        <v/>
      </c>
      <c r="BT195">
        <f>IF(OR(BO$3="",BO$3&gt;TODAY()),"",IF(AND(BR195="",BS195=""),"",N(BS195)-N(BR195)))</f>
        <v/>
      </c>
      <c r="BX195">
        <f>IF(OR(BV$3="",BV$3&gt;TODAY()),"",IF(AND(BV195="",BW195=""),"",N(BW195)-N(BV195)))</f>
        <v/>
      </c>
      <c r="CA195">
        <f>IF(OR(BV$3="",BV$3&gt;TODAY()),"",IF(AND(BY195="",BZ195=""),"",N(BZ195)-N(BY195)))</f>
        <v/>
      </c>
      <c r="CE195">
        <f>IF(OR(CC$3="",CC$3&gt;TODAY()),"",IF(AND(CC195="",CD195=""),"",N(CD195)-N(CC195)))</f>
        <v/>
      </c>
      <c r="CH195">
        <f>IF(OR(CC$3="",CC$3&gt;TODAY()),"",IF(AND(CF195="",CG195=""),"",N(CG195)-N(CF195)))</f>
        <v/>
      </c>
      <c r="CL195">
        <f>IF(OR(CJ$3="",CJ$3&gt;TODAY()),"",IF(AND(CJ195="",CK195=""),"",N(CK195)-N(CJ195)))</f>
        <v/>
      </c>
      <c r="CO195">
        <f>IF(OR(CJ$3="",CJ$3&gt;TODAY()),"",IF(AND(CM195="",CN195=""),"",N(CN195)-N(CM195)))</f>
        <v/>
      </c>
      <c r="CS195">
        <f>IF(OR(CQ$3="",CQ$3&gt;TODAY()),"",IF(AND(CQ195="",CR195=""),"",N(CR195)-N(CQ195)))</f>
        <v/>
      </c>
      <c r="CV195">
        <f>IF(OR(CQ$3="",CQ$3&gt;TODAY()),"",IF(AND(CT195="",CU195=""),"",N(CU195)-N(CT195)))</f>
        <v/>
      </c>
      <c r="CZ195">
        <f>IF(OR(CX$3="",CX$3&gt;TODAY()),"",IF(AND(CX195="",CY195=""),"",N(CY195)-N(CX195)))</f>
        <v/>
      </c>
      <c r="DC195">
        <f>IF(OR(CX$3="",CX$3&gt;TODAY()),"",IF(AND(DA195="",DB195=""),"",N(DB195)-N(DA195)))</f>
        <v/>
      </c>
      <c r="DG195">
        <f>IF(OR(DE$3="",DE$3&gt;TODAY()),"",IF(AND(DE195="",DF195=""),"",N(DF195)-N(DE195)))</f>
        <v/>
      </c>
      <c r="DJ195">
        <f>IF(OR(DE$3="",DE$3&gt;TODAY()),"",IF(AND(DH195="",DI195=""),"",N(DI195)-N(DH195)))</f>
        <v/>
      </c>
      <c r="DN195">
        <f>IF(OR(DL$3="",DL$3&gt;TODAY()),"",IF(AND(DL195="",DM195=""),"",N(DM195)-N(DL195)))</f>
        <v/>
      </c>
      <c r="DQ195">
        <f>IF(OR(DL$3="",DL$3&gt;TODAY()),"",IF(AND(DO195="",DP195=""),"",N(DP195)-N(DO195)))</f>
        <v/>
      </c>
      <c r="DU195">
        <f>IF(OR(DS$3="",DS$3&gt;TODAY()),"",IF(AND(DS195="",DT195=""),"",N(DT195)-N(DS195)))</f>
        <v/>
      </c>
      <c r="DX195">
        <f>IF(OR(DS$3="",DS$3&gt;TODAY()),"",IF(AND(DV195="",DW195=""),"",N(DW195)-N(DV195)))</f>
        <v/>
      </c>
      <c r="EB195">
        <f>IF(OR(DZ$3="",DZ$3&gt;TODAY()),"",IF(AND(DZ195="",EA195=""),"",N(EA195)-N(DZ195)))</f>
        <v/>
      </c>
      <c r="EE195">
        <f>IF(OR(DZ$3="",DZ$3&gt;TODAY()),"",IF(AND(EC195="",ED195=""),"",N(ED195)-N(EC195)))</f>
        <v/>
      </c>
      <c r="EI195">
        <f>IF(OR(EG$3="",EG$3&gt;TODAY()),"",IF(AND(EG195="",EH195=""),"",N(EH195)-N(EG195)))</f>
        <v/>
      </c>
      <c r="EL195">
        <f>IF(OR(EG$3="",EG$3&gt;TODAY()),"",IF(AND(EJ195="",EK195=""),"",N(EK195)-N(EJ195)))</f>
        <v/>
      </c>
      <c r="EP195">
        <f>IF(OR(EN$3="",EN$3&gt;TODAY()),"",IF(AND(EN195="",EO195=""),"",N(EO195)-N(EN195)))</f>
        <v/>
      </c>
      <c r="ES195">
        <f>IF(OR(EN$3="",EN$3&gt;TODAY()),"",IF(AND(EQ195="",ER195=""),"",N(ER195)-N(EQ195)))</f>
        <v/>
      </c>
      <c r="EW195">
        <f>IF(OR(EU$3="",EU$3&gt;TODAY()),"",IF(AND(EU195="",EV195=""),"",N(EV195)-N(EU195)))</f>
        <v/>
      </c>
      <c r="EZ195">
        <f>IF(OR(EU$3="",EU$3&gt;TODAY()),"",IF(AND(EX195="",EY195=""),"",N(EY195)-N(EX195)))</f>
        <v/>
      </c>
      <c r="FD195">
        <f>IF(OR(FB$3="",FB$3&gt;TODAY()),"",IF(AND(FB195="",FC195=""),"",N(FC195)-N(FB195)))</f>
        <v/>
      </c>
      <c r="FG195">
        <f>IF(OR(FB$3="",FB$3&gt;TODAY()),"",IF(AND(FE195="",FF195=""),"",N(FF195)-N(FE195)))</f>
        <v/>
      </c>
      <c r="FK195">
        <f>IF(OR(FI$3="",FI$3&gt;TODAY()),"",IF(AND(FI195="",FJ195=""),"",N(FJ195)-N(FI195)))</f>
        <v/>
      </c>
      <c r="FN195">
        <f>IF(OR(FI$3="",FI$3&gt;TODAY()),"",IF(AND(FL195="",FM195=""),"",N(FM195)-N(FL195)))</f>
        <v/>
      </c>
      <c r="FR195">
        <f>IF(OR(FP$3="",FP$3&gt;TODAY()),"",IF(AND(FP195="",FQ195=""),"",N(FQ195)-N(FP195)))</f>
        <v/>
      </c>
      <c r="FU195">
        <f>IF(OR(FP$3="",FP$3&gt;TODAY()),"",IF(AND(FS195="",FT195=""),"",N(FT195)-N(FS195)))</f>
        <v/>
      </c>
      <c r="FY195">
        <f>IF(OR(FW$3="",FW$3&gt;TODAY()),"",IF(AND(FW195="",FX195=""),"",N(FX195)-N(FW195)))</f>
        <v/>
      </c>
      <c r="GB195">
        <f>IF(OR(FW$3="",FW$3&gt;TODAY()),"",IF(AND(FZ195="",GA195=""),"",N(GA195)-N(FZ195)))</f>
        <v/>
      </c>
      <c r="GF195">
        <f>IF(OR(GD$3="",GD$3&gt;TODAY()),"",IF(AND(GD195="",GE195=""),"",N(GE195)-N(GD195)))</f>
        <v/>
      </c>
      <c r="GI195">
        <f>IF(OR(GD$3="",GD$3&gt;TODAY()),"",IF(AND(GG195="",GH195=""),"",N(GH195)-N(GG195)))</f>
        <v/>
      </c>
      <c r="GM195">
        <f>IF(OR(GK$3="",GK$3&gt;TODAY()),"",IF(AND(GK195="",GL195=""),"",N(GL195)-N(GK195)))</f>
        <v/>
      </c>
      <c r="GP195">
        <f>IF(OR(GK$3="",GK$3&gt;TODAY()),"",IF(AND(GN195="",GO195=""),"",N(GO195)-N(GN195)))</f>
        <v/>
      </c>
      <c r="GT195">
        <f>IF(OR(GR$3="",GR$3&gt;TODAY()),"",IF(AND(GR195="",GS195=""),"",N(GS195)-N(GR195)))</f>
        <v/>
      </c>
      <c r="GW195">
        <f>IF(OR(GR$3="",GR$3&gt;TODAY()),"",IF(AND(GU195="",GV195=""),"",N(GV195)-N(GU195)))</f>
        <v/>
      </c>
      <c r="HA195">
        <f>IF(OR(GY$3="",GY$3&gt;TODAY()),"",IF(AND(GY195="",GZ195=""),"",N(GZ195)-N(GY195)))</f>
        <v/>
      </c>
      <c r="HD195">
        <f>IF(OR(GY$3="",GY$3&gt;TODAY()),"",IF(AND(HB195="",HC195=""),"",N(HC195)-N(HB195)))</f>
        <v/>
      </c>
      <c r="HH195">
        <f>IF(OR(HF$3="",HF$3&gt;TODAY()),"",IF(AND(HF195="",HG195=""),"",N(HG195)-N(HF195)))</f>
        <v/>
      </c>
      <c r="HK195">
        <f>IF(OR(HF$3="",HF$3&gt;TODAY()),"",IF(AND(HI195="",HJ195=""),"",N(HJ195)-N(HI195)))</f>
        <v/>
      </c>
      <c r="HO195">
        <f>IF(OR(HM$3="",HM$3&gt;TODAY()),"",IF(AND(HM195="",HN195=""),"",N(HN195)-N(HM195)))</f>
        <v/>
      </c>
      <c r="HR195">
        <f>IF(OR(HM$3="",HM$3&gt;TODAY()),"",IF(AND(HP195="",HQ195=""),"",N(HQ195)-N(HP195)))</f>
        <v/>
      </c>
      <c r="HV195">
        <f>IF(OR(HT$3="",HT$3&gt;TODAY()),"",IF(AND(HT195="",HU195=""),"",N(HU195)-N(HT195)))</f>
        <v/>
      </c>
      <c r="HY195">
        <f>IF(OR(HT$3="",HT$3&gt;TODAY()),"",IF(AND(HW195="",HX195=""),"",N(HX195)-N(HW195)))</f>
        <v/>
      </c>
      <c r="IC195">
        <f>IF(OR(IA$3="",IA$3&gt;TODAY()),"",IF(AND(IA195="",IB195=""),"",N(IB195)-N(IA195)))</f>
        <v/>
      </c>
      <c r="IF195">
        <f>IF(OR(IA$3="",IA$3&gt;TODAY()),"",IF(AND(ID195="",IE195=""),"",N(IE195)-N(ID195)))</f>
        <v/>
      </c>
      <c r="IJ195">
        <f>IF(OR(IH$3="",IH$3&gt;TODAY()),"",IF(AND(IH195="",II195=""),"",N(II195)-N(IH195)))</f>
        <v/>
      </c>
      <c r="IM195">
        <f>IF(OR(IH$3="",IH$3&gt;TODAY()),"",IF(AND(IK195="",IL195=""),"",N(IL195)-N(IK195)))</f>
        <v/>
      </c>
    </row>
    <row r="196">
      <c r="A196" s="21" t="n"/>
      <c r="B196" s="21" t="n"/>
      <c r="C196" s="21" t="n"/>
      <c r="D196" s="21" t="n"/>
      <c r="E196" s="21" t="n"/>
      <c r="F196" s="21" t="n"/>
      <c r="G196" s="21" t="n"/>
      <c r="H196" s="21" t="n"/>
      <c r="I196" s="22" t="n"/>
      <c r="J196" s="22" t="n"/>
      <c r="K196" s="23" t="n"/>
      <c r="L196" s="22" t="n"/>
      <c r="M196" s="22" t="n"/>
      <c r="N196" s="21" t="n"/>
      <c r="O196" s="23" t="n"/>
      <c r="P196" s="23" t="n"/>
      <c r="Q196" s="23" t="n"/>
      <c r="R196" s="23" t="n"/>
      <c r="S196" s="22" t="n"/>
      <c r="T196" s="23" t="n"/>
      <c r="U196" s="23" t="n"/>
      <c r="V196" s="24">
        <f>IF(J196&lt;&gt;"",J196,IF(I196&lt;&gt;"",I196,""))</f>
        <v/>
      </c>
      <c r="W196" s="25">
        <f>IF($E196="","",N(O196)+SUMIFS($AF196:$IN196,$AF$4:$IN$4,"SEW_ACT"))</f>
        <v/>
      </c>
      <c r="X196" s="25">
        <f>IF($E196="","",N(P196)+SUMIFS($AF196:$IN196,$AF$4:$IN$4,"WASH_ACT"))</f>
        <v/>
      </c>
      <c r="Y196" s="25">
        <f>IF($E196="","",W196-X196-N(T196)-N(U196))</f>
        <v/>
      </c>
      <c r="Z196" s="25">
        <f>IF($E196="","",IF(N(K196)-X196&lt;=0.02*N(K196),0,N(K196)-X196))</f>
        <v/>
      </c>
      <c r="AA196" s="24">
        <f>IF($E196="","",IF(S196&lt;&gt;"",S196,IF(N(O196)&gt;0,IF(L196&lt;&gt;"",L196,99999),IFERROR(1/(1/_xlfn.MINIFS($AF$3:$IN$3,$AF$4:$IN$4,"SEW_ACT",$AF196:$IN196,"&gt;0")),99999))))</f>
        <v/>
      </c>
      <c r="AB196" s="26">
        <f>IF(OR($E196="",Z196=0,V196=""),"",1+COUNTIFS(Z$8:Z$707,"&gt;0",V$8:V$707,"&lt;"&amp;V196)+COUNTIFS(Z$8:Z$707,"&gt;0",V$8:V$707,V196,AA$8:AA$707,"&lt;"&amp;AA196)+COUNTIFS(Z$8:Z$707,"&gt;0",V$8:V$707,V196,AA$8:AA$707,AA196,E$8:E$707,"&lt;"&amp;$E196))</f>
        <v/>
      </c>
      <c r="AC196" s="24">
        <f>IF(OR($E196="",Z196=0),"",IFERROR(TODAY()+ROUNDUP(Z196/(SUMIFS($AF196:$IN196,$AF$4:$IN$4,"WASH_ACT")/COUNTIFS($AF$4:$IN$4,"WASH_ACT",$AF196:$IN196,"&gt;0")),0),"no output yet"))</f>
        <v/>
      </c>
      <c r="AD196" s="26">
        <f>IF($E196="","",IFERROR(ROUND(MAX(0,SUMIFS($AF196:$IN196,$AF$4:$IN$4,"SEW_PLAN",$AF$3:$IN$3,"&lt;="&amp;TODAY())-SUMIFS($AF196:$IN196,$AF$4:$IN$4,"SEW_ACT",$AF$3:$IN$3,"&lt;="&amp;TODAY())+N(Q196))/(SUMIFS($AF196:$IN196,$AF$4:$IN$4,"SEW_PLAN")/COUNTIFS($AF$4:$IN$4,"SEW_PLAN",$AF196:$IN196,"&gt;0")),1),0))</f>
        <v/>
      </c>
      <c r="AE196" s="26">
        <f>IF($E196="","",IF(AND(Z196&gt;0,OR(AND(M196&lt;&gt;"",TODAY()&gt;M196),AND(V196&lt;&gt;"",V196-TODAY()&lt;=7))),"Yes","No"))</f>
        <v/>
      </c>
      <c r="AH196">
        <f>IF(OR(AF$3="",AF$3&gt;TODAY()),"",IF(AND(AF196="",AG196=""),"",N(AG196)-N(AF196)))</f>
        <v/>
      </c>
      <c r="AK196">
        <f>IF(OR(AF$3="",AF$3&gt;TODAY()),"",IF(AND(AI196="",AJ196=""),"",N(AJ196)-N(AI196)))</f>
        <v/>
      </c>
      <c r="AO196">
        <f>IF(OR(AM$3="",AM$3&gt;TODAY()),"",IF(AND(AM196="",AN196=""),"",N(AN196)-N(AM196)))</f>
        <v/>
      </c>
      <c r="AR196">
        <f>IF(OR(AM$3="",AM$3&gt;TODAY()),"",IF(AND(AP196="",AQ196=""),"",N(AQ196)-N(AP196)))</f>
        <v/>
      </c>
      <c r="AV196">
        <f>IF(OR(AT$3="",AT$3&gt;TODAY()),"",IF(AND(AT196="",AU196=""),"",N(AU196)-N(AT196)))</f>
        <v/>
      </c>
      <c r="AY196">
        <f>IF(OR(AT$3="",AT$3&gt;TODAY()),"",IF(AND(AW196="",AX196=""),"",N(AX196)-N(AW196)))</f>
        <v/>
      </c>
      <c r="BC196">
        <f>IF(OR(BA$3="",BA$3&gt;TODAY()),"",IF(AND(BA196="",BB196=""),"",N(BB196)-N(BA196)))</f>
        <v/>
      </c>
      <c r="BF196">
        <f>IF(OR(BA$3="",BA$3&gt;TODAY()),"",IF(AND(BD196="",BE196=""),"",N(BE196)-N(BD196)))</f>
        <v/>
      </c>
      <c r="BJ196">
        <f>IF(OR(BH$3="",BH$3&gt;TODAY()),"",IF(AND(BH196="",BI196=""),"",N(BI196)-N(BH196)))</f>
        <v/>
      </c>
      <c r="BM196">
        <f>IF(OR(BH$3="",BH$3&gt;TODAY()),"",IF(AND(BK196="",BL196=""),"",N(BL196)-N(BK196)))</f>
        <v/>
      </c>
      <c r="BQ196">
        <f>IF(OR(BO$3="",BO$3&gt;TODAY()),"",IF(AND(BO196="",BP196=""),"",N(BP196)-N(BO196)))</f>
        <v/>
      </c>
      <c r="BT196">
        <f>IF(OR(BO$3="",BO$3&gt;TODAY()),"",IF(AND(BR196="",BS196=""),"",N(BS196)-N(BR196)))</f>
        <v/>
      </c>
      <c r="BX196">
        <f>IF(OR(BV$3="",BV$3&gt;TODAY()),"",IF(AND(BV196="",BW196=""),"",N(BW196)-N(BV196)))</f>
        <v/>
      </c>
      <c r="CA196">
        <f>IF(OR(BV$3="",BV$3&gt;TODAY()),"",IF(AND(BY196="",BZ196=""),"",N(BZ196)-N(BY196)))</f>
        <v/>
      </c>
      <c r="CE196">
        <f>IF(OR(CC$3="",CC$3&gt;TODAY()),"",IF(AND(CC196="",CD196=""),"",N(CD196)-N(CC196)))</f>
        <v/>
      </c>
      <c r="CH196">
        <f>IF(OR(CC$3="",CC$3&gt;TODAY()),"",IF(AND(CF196="",CG196=""),"",N(CG196)-N(CF196)))</f>
        <v/>
      </c>
      <c r="CL196">
        <f>IF(OR(CJ$3="",CJ$3&gt;TODAY()),"",IF(AND(CJ196="",CK196=""),"",N(CK196)-N(CJ196)))</f>
        <v/>
      </c>
      <c r="CO196">
        <f>IF(OR(CJ$3="",CJ$3&gt;TODAY()),"",IF(AND(CM196="",CN196=""),"",N(CN196)-N(CM196)))</f>
        <v/>
      </c>
      <c r="CS196">
        <f>IF(OR(CQ$3="",CQ$3&gt;TODAY()),"",IF(AND(CQ196="",CR196=""),"",N(CR196)-N(CQ196)))</f>
        <v/>
      </c>
      <c r="CV196">
        <f>IF(OR(CQ$3="",CQ$3&gt;TODAY()),"",IF(AND(CT196="",CU196=""),"",N(CU196)-N(CT196)))</f>
        <v/>
      </c>
      <c r="CZ196">
        <f>IF(OR(CX$3="",CX$3&gt;TODAY()),"",IF(AND(CX196="",CY196=""),"",N(CY196)-N(CX196)))</f>
        <v/>
      </c>
      <c r="DC196">
        <f>IF(OR(CX$3="",CX$3&gt;TODAY()),"",IF(AND(DA196="",DB196=""),"",N(DB196)-N(DA196)))</f>
        <v/>
      </c>
      <c r="DG196">
        <f>IF(OR(DE$3="",DE$3&gt;TODAY()),"",IF(AND(DE196="",DF196=""),"",N(DF196)-N(DE196)))</f>
        <v/>
      </c>
      <c r="DJ196">
        <f>IF(OR(DE$3="",DE$3&gt;TODAY()),"",IF(AND(DH196="",DI196=""),"",N(DI196)-N(DH196)))</f>
        <v/>
      </c>
      <c r="DN196">
        <f>IF(OR(DL$3="",DL$3&gt;TODAY()),"",IF(AND(DL196="",DM196=""),"",N(DM196)-N(DL196)))</f>
        <v/>
      </c>
      <c r="DQ196">
        <f>IF(OR(DL$3="",DL$3&gt;TODAY()),"",IF(AND(DO196="",DP196=""),"",N(DP196)-N(DO196)))</f>
        <v/>
      </c>
      <c r="DU196">
        <f>IF(OR(DS$3="",DS$3&gt;TODAY()),"",IF(AND(DS196="",DT196=""),"",N(DT196)-N(DS196)))</f>
        <v/>
      </c>
      <c r="DX196">
        <f>IF(OR(DS$3="",DS$3&gt;TODAY()),"",IF(AND(DV196="",DW196=""),"",N(DW196)-N(DV196)))</f>
        <v/>
      </c>
      <c r="EB196">
        <f>IF(OR(DZ$3="",DZ$3&gt;TODAY()),"",IF(AND(DZ196="",EA196=""),"",N(EA196)-N(DZ196)))</f>
        <v/>
      </c>
      <c r="EE196">
        <f>IF(OR(DZ$3="",DZ$3&gt;TODAY()),"",IF(AND(EC196="",ED196=""),"",N(ED196)-N(EC196)))</f>
        <v/>
      </c>
      <c r="EI196">
        <f>IF(OR(EG$3="",EG$3&gt;TODAY()),"",IF(AND(EG196="",EH196=""),"",N(EH196)-N(EG196)))</f>
        <v/>
      </c>
      <c r="EL196">
        <f>IF(OR(EG$3="",EG$3&gt;TODAY()),"",IF(AND(EJ196="",EK196=""),"",N(EK196)-N(EJ196)))</f>
        <v/>
      </c>
      <c r="EP196">
        <f>IF(OR(EN$3="",EN$3&gt;TODAY()),"",IF(AND(EN196="",EO196=""),"",N(EO196)-N(EN196)))</f>
        <v/>
      </c>
      <c r="ES196">
        <f>IF(OR(EN$3="",EN$3&gt;TODAY()),"",IF(AND(EQ196="",ER196=""),"",N(ER196)-N(EQ196)))</f>
        <v/>
      </c>
      <c r="EW196">
        <f>IF(OR(EU$3="",EU$3&gt;TODAY()),"",IF(AND(EU196="",EV196=""),"",N(EV196)-N(EU196)))</f>
        <v/>
      </c>
      <c r="EZ196">
        <f>IF(OR(EU$3="",EU$3&gt;TODAY()),"",IF(AND(EX196="",EY196=""),"",N(EY196)-N(EX196)))</f>
        <v/>
      </c>
      <c r="FD196">
        <f>IF(OR(FB$3="",FB$3&gt;TODAY()),"",IF(AND(FB196="",FC196=""),"",N(FC196)-N(FB196)))</f>
        <v/>
      </c>
      <c r="FG196">
        <f>IF(OR(FB$3="",FB$3&gt;TODAY()),"",IF(AND(FE196="",FF196=""),"",N(FF196)-N(FE196)))</f>
        <v/>
      </c>
      <c r="FK196">
        <f>IF(OR(FI$3="",FI$3&gt;TODAY()),"",IF(AND(FI196="",FJ196=""),"",N(FJ196)-N(FI196)))</f>
        <v/>
      </c>
      <c r="FN196">
        <f>IF(OR(FI$3="",FI$3&gt;TODAY()),"",IF(AND(FL196="",FM196=""),"",N(FM196)-N(FL196)))</f>
        <v/>
      </c>
      <c r="FR196">
        <f>IF(OR(FP$3="",FP$3&gt;TODAY()),"",IF(AND(FP196="",FQ196=""),"",N(FQ196)-N(FP196)))</f>
        <v/>
      </c>
      <c r="FU196">
        <f>IF(OR(FP$3="",FP$3&gt;TODAY()),"",IF(AND(FS196="",FT196=""),"",N(FT196)-N(FS196)))</f>
        <v/>
      </c>
      <c r="FY196">
        <f>IF(OR(FW$3="",FW$3&gt;TODAY()),"",IF(AND(FW196="",FX196=""),"",N(FX196)-N(FW196)))</f>
        <v/>
      </c>
      <c r="GB196">
        <f>IF(OR(FW$3="",FW$3&gt;TODAY()),"",IF(AND(FZ196="",GA196=""),"",N(GA196)-N(FZ196)))</f>
        <v/>
      </c>
      <c r="GF196">
        <f>IF(OR(GD$3="",GD$3&gt;TODAY()),"",IF(AND(GD196="",GE196=""),"",N(GE196)-N(GD196)))</f>
        <v/>
      </c>
      <c r="GI196">
        <f>IF(OR(GD$3="",GD$3&gt;TODAY()),"",IF(AND(GG196="",GH196=""),"",N(GH196)-N(GG196)))</f>
        <v/>
      </c>
      <c r="GM196">
        <f>IF(OR(GK$3="",GK$3&gt;TODAY()),"",IF(AND(GK196="",GL196=""),"",N(GL196)-N(GK196)))</f>
        <v/>
      </c>
      <c r="GP196">
        <f>IF(OR(GK$3="",GK$3&gt;TODAY()),"",IF(AND(GN196="",GO196=""),"",N(GO196)-N(GN196)))</f>
        <v/>
      </c>
      <c r="GT196">
        <f>IF(OR(GR$3="",GR$3&gt;TODAY()),"",IF(AND(GR196="",GS196=""),"",N(GS196)-N(GR196)))</f>
        <v/>
      </c>
      <c r="GW196">
        <f>IF(OR(GR$3="",GR$3&gt;TODAY()),"",IF(AND(GU196="",GV196=""),"",N(GV196)-N(GU196)))</f>
        <v/>
      </c>
      <c r="HA196">
        <f>IF(OR(GY$3="",GY$3&gt;TODAY()),"",IF(AND(GY196="",GZ196=""),"",N(GZ196)-N(GY196)))</f>
        <v/>
      </c>
      <c r="HD196">
        <f>IF(OR(GY$3="",GY$3&gt;TODAY()),"",IF(AND(HB196="",HC196=""),"",N(HC196)-N(HB196)))</f>
        <v/>
      </c>
      <c r="HH196">
        <f>IF(OR(HF$3="",HF$3&gt;TODAY()),"",IF(AND(HF196="",HG196=""),"",N(HG196)-N(HF196)))</f>
        <v/>
      </c>
      <c r="HK196">
        <f>IF(OR(HF$3="",HF$3&gt;TODAY()),"",IF(AND(HI196="",HJ196=""),"",N(HJ196)-N(HI196)))</f>
        <v/>
      </c>
      <c r="HO196">
        <f>IF(OR(HM$3="",HM$3&gt;TODAY()),"",IF(AND(HM196="",HN196=""),"",N(HN196)-N(HM196)))</f>
        <v/>
      </c>
      <c r="HR196">
        <f>IF(OR(HM$3="",HM$3&gt;TODAY()),"",IF(AND(HP196="",HQ196=""),"",N(HQ196)-N(HP196)))</f>
        <v/>
      </c>
      <c r="HV196">
        <f>IF(OR(HT$3="",HT$3&gt;TODAY()),"",IF(AND(HT196="",HU196=""),"",N(HU196)-N(HT196)))</f>
        <v/>
      </c>
      <c r="HY196">
        <f>IF(OR(HT$3="",HT$3&gt;TODAY()),"",IF(AND(HW196="",HX196=""),"",N(HX196)-N(HW196)))</f>
        <v/>
      </c>
      <c r="IC196">
        <f>IF(OR(IA$3="",IA$3&gt;TODAY()),"",IF(AND(IA196="",IB196=""),"",N(IB196)-N(IA196)))</f>
        <v/>
      </c>
      <c r="IF196">
        <f>IF(OR(IA$3="",IA$3&gt;TODAY()),"",IF(AND(ID196="",IE196=""),"",N(IE196)-N(ID196)))</f>
        <v/>
      </c>
      <c r="IJ196">
        <f>IF(OR(IH$3="",IH$3&gt;TODAY()),"",IF(AND(IH196="",II196=""),"",N(II196)-N(IH196)))</f>
        <v/>
      </c>
      <c r="IM196">
        <f>IF(OR(IH$3="",IH$3&gt;TODAY()),"",IF(AND(IK196="",IL196=""),"",N(IL196)-N(IK196)))</f>
        <v/>
      </c>
    </row>
    <row r="197">
      <c r="A197" s="21" t="n"/>
      <c r="B197" s="21" t="n"/>
      <c r="C197" s="21" t="n"/>
      <c r="D197" s="21" t="n"/>
      <c r="E197" s="21" t="n"/>
      <c r="F197" s="21" t="n"/>
      <c r="G197" s="21" t="n"/>
      <c r="H197" s="21" t="n"/>
      <c r="I197" s="22" t="n"/>
      <c r="J197" s="22" t="n"/>
      <c r="K197" s="23" t="n"/>
      <c r="L197" s="22" t="n"/>
      <c r="M197" s="22" t="n"/>
      <c r="N197" s="21" t="n"/>
      <c r="O197" s="23" t="n"/>
      <c r="P197" s="23" t="n"/>
      <c r="Q197" s="23" t="n"/>
      <c r="R197" s="23" t="n"/>
      <c r="S197" s="22" t="n"/>
      <c r="T197" s="23" t="n"/>
      <c r="U197" s="23" t="n"/>
      <c r="V197" s="24">
        <f>IF(J197&lt;&gt;"",J197,IF(I197&lt;&gt;"",I197,""))</f>
        <v/>
      </c>
      <c r="W197" s="25">
        <f>IF($E197="","",N(O197)+SUMIFS($AF197:$IN197,$AF$4:$IN$4,"SEW_ACT"))</f>
        <v/>
      </c>
      <c r="X197" s="25">
        <f>IF($E197="","",N(P197)+SUMIFS($AF197:$IN197,$AF$4:$IN$4,"WASH_ACT"))</f>
        <v/>
      </c>
      <c r="Y197" s="25">
        <f>IF($E197="","",W197-X197-N(T197)-N(U197))</f>
        <v/>
      </c>
      <c r="Z197" s="25">
        <f>IF($E197="","",IF(N(K197)-X197&lt;=0.02*N(K197),0,N(K197)-X197))</f>
        <v/>
      </c>
      <c r="AA197" s="24">
        <f>IF($E197="","",IF(S197&lt;&gt;"",S197,IF(N(O197)&gt;0,IF(L197&lt;&gt;"",L197,99999),IFERROR(1/(1/_xlfn.MINIFS($AF$3:$IN$3,$AF$4:$IN$4,"SEW_ACT",$AF197:$IN197,"&gt;0")),99999))))</f>
        <v/>
      </c>
      <c r="AB197" s="26">
        <f>IF(OR($E197="",Z197=0,V197=""),"",1+COUNTIFS(Z$8:Z$707,"&gt;0",V$8:V$707,"&lt;"&amp;V197)+COUNTIFS(Z$8:Z$707,"&gt;0",V$8:V$707,V197,AA$8:AA$707,"&lt;"&amp;AA197)+COUNTIFS(Z$8:Z$707,"&gt;0",V$8:V$707,V197,AA$8:AA$707,AA197,E$8:E$707,"&lt;"&amp;$E197))</f>
        <v/>
      </c>
      <c r="AC197" s="24">
        <f>IF(OR($E197="",Z197=0),"",IFERROR(TODAY()+ROUNDUP(Z197/(SUMIFS($AF197:$IN197,$AF$4:$IN$4,"WASH_ACT")/COUNTIFS($AF$4:$IN$4,"WASH_ACT",$AF197:$IN197,"&gt;0")),0),"no output yet"))</f>
        <v/>
      </c>
      <c r="AD197" s="26">
        <f>IF($E197="","",IFERROR(ROUND(MAX(0,SUMIFS($AF197:$IN197,$AF$4:$IN$4,"SEW_PLAN",$AF$3:$IN$3,"&lt;="&amp;TODAY())-SUMIFS($AF197:$IN197,$AF$4:$IN$4,"SEW_ACT",$AF$3:$IN$3,"&lt;="&amp;TODAY())+N(Q197))/(SUMIFS($AF197:$IN197,$AF$4:$IN$4,"SEW_PLAN")/COUNTIFS($AF$4:$IN$4,"SEW_PLAN",$AF197:$IN197,"&gt;0")),1),0))</f>
        <v/>
      </c>
      <c r="AE197" s="26">
        <f>IF($E197="","",IF(AND(Z197&gt;0,OR(AND(M197&lt;&gt;"",TODAY()&gt;M197),AND(V197&lt;&gt;"",V197-TODAY()&lt;=7))),"Yes","No"))</f>
        <v/>
      </c>
      <c r="AH197">
        <f>IF(OR(AF$3="",AF$3&gt;TODAY()),"",IF(AND(AF197="",AG197=""),"",N(AG197)-N(AF197)))</f>
        <v/>
      </c>
      <c r="AK197">
        <f>IF(OR(AF$3="",AF$3&gt;TODAY()),"",IF(AND(AI197="",AJ197=""),"",N(AJ197)-N(AI197)))</f>
        <v/>
      </c>
      <c r="AO197">
        <f>IF(OR(AM$3="",AM$3&gt;TODAY()),"",IF(AND(AM197="",AN197=""),"",N(AN197)-N(AM197)))</f>
        <v/>
      </c>
      <c r="AR197">
        <f>IF(OR(AM$3="",AM$3&gt;TODAY()),"",IF(AND(AP197="",AQ197=""),"",N(AQ197)-N(AP197)))</f>
        <v/>
      </c>
      <c r="AV197">
        <f>IF(OR(AT$3="",AT$3&gt;TODAY()),"",IF(AND(AT197="",AU197=""),"",N(AU197)-N(AT197)))</f>
        <v/>
      </c>
      <c r="AY197">
        <f>IF(OR(AT$3="",AT$3&gt;TODAY()),"",IF(AND(AW197="",AX197=""),"",N(AX197)-N(AW197)))</f>
        <v/>
      </c>
      <c r="BC197">
        <f>IF(OR(BA$3="",BA$3&gt;TODAY()),"",IF(AND(BA197="",BB197=""),"",N(BB197)-N(BA197)))</f>
        <v/>
      </c>
      <c r="BF197">
        <f>IF(OR(BA$3="",BA$3&gt;TODAY()),"",IF(AND(BD197="",BE197=""),"",N(BE197)-N(BD197)))</f>
        <v/>
      </c>
      <c r="BJ197">
        <f>IF(OR(BH$3="",BH$3&gt;TODAY()),"",IF(AND(BH197="",BI197=""),"",N(BI197)-N(BH197)))</f>
        <v/>
      </c>
      <c r="BM197">
        <f>IF(OR(BH$3="",BH$3&gt;TODAY()),"",IF(AND(BK197="",BL197=""),"",N(BL197)-N(BK197)))</f>
        <v/>
      </c>
      <c r="BQ197">
        <f>IF(OR(BO$3="",BO$3&gt;TODAY()),"",IF(AND(BO197="",BP197=""),"",N(BP197)-N(BO197)))</f>
        <v/>
      </c>
      <c r="BT197">
        <f>IF(OR(BO$3="",BO$3&gt;TODAY()),"",IF(AND(BR197="",BS197=""),"",N(BS197)-N(BR197)))</f>
        <v/>
      </c>
      <c r="BX197">
        <f>IF(OR(BV$3="",BV$3&gt;TODAY()),"",IF(AND(BV197="",BW197=""),"",N(BW197)-N(BV197)))</f>
        <v/>
      </c>
      <c r="CA197">
        <f>IF(OR(BV$3="",BV$3&gt;TODAY()),"",IF(AND(BY197="",BZ197=""),"",N(BZ197)-N(BY197)))</f>
        <v/>
      </c>
      <c r="CE197">
        <f>IF(OR(CC$3="",CC$3&gt;TODAY()),"",IF(AND(CC197="",CD197=""),"",N(CD197)-N(CC197)))</f>
        <v/>
      </c>
      <c r="CH197">
        <f>IF(OR(CC$3="",CC$3&gt;TODAY()),"",IF(AND(CF197="",CG197=""),"",N(CG197)-N(CF197)))</f>
        <v/>
      </c>
      <c r="CL197">
        <f>IF(OR(CJ$3="",CJ$3&gt;TODAY()),"",IF(AND(CJ197="",CK197=""),"",N(CK197)-N(CJ197)))</f>
        <v/>
      </c>
      <c r="CO197">
        <f>IF(OR(CJ$3="",CJ$3&gt;TODAY()),"",IF(AND(CM197="",CN197=""),"",N(CN197)-N(CM197)))</f>
        <v/>
      </c>
      <c r="CS197">
        <f>IF(OR(CQ$3="",CQ$3&gt;TODAY()),"",IF(AND(CQ197="",CR197=""),"",N(CR197)-N(CQ197)))</f>
        <v/>
      </c>
      <c r="CV197">
        <f>IF(OR(CQ$3="",CQ$3&gt;TODAY()),"",IF(AND(CT197="",CU197=""),"",N(CU197)-N(CT197)))</f>
        <v/>
      </c>
      <c r="CZ197">
        <f>IF(OR(CX$3="",CX$3&gt;TODAY()),"",IF(AND(CX197="",CY197=""),"",N(CY197)-N(CX197)))</f>
        <v/>
      </c>
      <c r="DC197">
        <f>IF(OR(CX$3="",CX$3&gt;TODAY()),"",IF(AND(DA197="",DB197=""),"",N(DB197)-N(DA197)))</f>
        <v/>
      </c>
      <c r="DG197">
        <f>IF(OR(DE$3="",DE$3&gt;TODAY()),"",IF(AND(DE197="",DF197=""),"",N(DF197)-N(DE197)))</f>
        <v/>
      </c>
      <c r="DJ197">
        <f>IF(OR(DE$3="",DE$3&gt;TODAY()),"",IF(AND(DH197="",DI197=""),"",N(DI197)-N(DH197)))</f>
        <v/>
      </c>
      <c r="DN197">
        <f>IF(OR(DL$3="",DL$3&gt;TODAY()),"",IF(AND(DL197="",DM197=""),"",N(DM197)-N(DL197)))</f>
        <v/>
      </c>
      <c r="DQ197">
        <f>IF(OR(DL$3="",DL$3&gt;TODAY()),"",IF(AND(DO197="",DP197=""),"",N(DP197)-N(DO197)))</f>
        <v/>
      </c>
      <c r="DU197">
        <f>IF(OR(DS$3="",DS$3&gt;TODAY()),"",IF(AND(DS197="",DT197=""),"",N(DT197)-N(DS197)))</f>
        <v/>
      </c>
      <c r="DX197">
        <f>IF(OR(DS$3="",DS$3&gt;TODAY()),"",IF(AND(DV197="",DW197=""),"",N(DW197)-N(DV197)))</f>
        <v/>
      </c>
      <c r="EB197">
        <f>IF(OR(DZ$3="",DZ$3&gt;TODAY()),"",IF(AND(DZ197="",EA197=""),"",N(EA197)-N(DZ197)))</f>
        <v/>
      </c>
      <c r="EE197">
        <f>IF(OR(DZ$3="",DZ$3&gt;TODAY()),"",IF(AND(EC197="",ED197=""),"",N(ED197)-N(EC197)))</f>
        <v/>
      </c>
      <c r="EI197">
        <f>IF(OR(EG$3="",EG$3&gt;TODAY()),"",IF(AND(EG197="",EH197=""),"",N(EH197)-N(EG197)))</f>
        <v/>
      </c>
      <c r="EL197">
        <f>IF(OR(EG$3="",EG$3&gt;TODAY()),"",IF(AND(EJ197="",EK197=""),"",N(EK197)-N(EJ197)))</f>
        <v/>
      </c>
      <c r="EP197">
        <f>IF(OR(EN$3="",EN$3&gt;TODAY()),"",IF(AND(EN197="",EO197=""),"",N(EO197)-N(EN197)))</f>
        <v/>
      </c>
      <c r="ES197">
        <f>IF(OR(EN$3="",EN$3&gt;TODAY()),"",IF(AND(EQ197="",ER197=""),"",N(ER197)-N(EQ197)))</f>
        <v/>
      </c>
      <c r="EW197">
        <f>IF(OR(EU$3="",EU$3&gt;TODAY()),"",IF(AND(EU197="",EV197=""),"",N(EV197)-N(EU197)))</f>
        <v/>
      </c>
      <c r="EZ197">
        <f>IF(OR(EU$3="",EU$3&gt;TODAY()),"",IF(AND(EX197="",EY197=""),"",N(EY197)-N(EX197)))</f>
        <v/>
      </c>
      <c r="FD197">
        <f>IF(OR(FB$3="",FB$3&gt;TODAY()),"",IF(AND(FB197="",FC197=""),"",N(FC197)-N(FB197)))</f>
        <v/>
      </c>
      <c r="FG197">
        <f>IF(OR(FB$3="",FB$3&gt;TODAY()),"",IF(AND(FE197="",FF197=""),"",N(FF197)-N(FE197)))</f>
        <v/>
      </c>
      <c r="FK197">
        <f>IF(OR(FI$3="",FI$3&gt;TODAY()),"",IF(AND(FI197="",FJ197=""),"",N(FJ197)-N(FI197)))</f>
        <v/>
      </c>
      <c r="FN197">
        <f>IF(OR(FI$3="",FI$3&gt;TODAY()),"",IF(AND(FL197="",FM197=""),"",N(FM197)-N(FL197)))</f>
        <v/>
      </c>
      <c r="FR197">
        <f>IF(OR(FP$3="",FP$3&gt;TODAY()),"",IF(AND(FP197="",FQ197=""),"",N(FQ197)-N(FP197)))</f>
        <v/>
      </c>
      <c r="FU197">
        <f>IF(OR(FP$3="",FP$3&gt;TODAY()),"",IF(AND(FS197="",FT197=""),"",N(FT197)-N(FS197)))</f>
        <v/>
      </c>
      <c r="FY197">
        <f>IF(OR(FW$3="",FW$3&gt;TODAY()),"",IF(AND(FW197="",FX197=""),"",N(FX197)-N(FW197)))</f>
        <v/>
      </c>
      <c r="GB197">
        <f>IF(OR(FW$3="",FW$3&gt;TODAY()),"",IF(AND(FZ197="",GA197=""),"",N(GA197)-N(FZ197)))</f>
        <v/>
      </c>
      <c r="GF197">
        <f>IF(OR(GD$3="",GD$3&gt;TODAY()),"",IF(AND(GD197="",GE197=""),"",N(GE197)-N(GD197)))</f>
        <v/>
      </c>
      <c r="GI197">
        <f>IF(OR(GD$3="",GD$3&gt;TODAY()),"",IF(AND(GG197="",GH197=""),"",N(GH197)-N(GG197)))</f>
        <v/>
      </c>
      <c r="GM197">
        <f>IF(OR(GK$3="",GK$3&gt;TODAY()),"",IF(AND(GK197="",GL197=""),"",N(GL197)-N(GK197)))</f>
        <v/>
      </c>
      <c r="GP197">
        <f>IF(OR(GK$3="",GK$3&gt;TODAY()),"",IF(AND(GN197="",GO197=""),"",N(GO197)-N(GN197)))</f>
        <v/>
      </c>
      <c r="GT197">
        <f>IF(OR(GR$3="",GR$3&gt;TODAY()),"",IF(AND(GR197="",GS197=""),"",N(GS197)-N(GR197)))</f>
        <v/>
      </c>
      <c r="GW197">
        <f>IF(OR(GR$3="",GR$3&gt;TODAY()),"",IF(AND(GU197="",GV197=""),"",N(GV197)-N(GU197)))</f>
        <v/>
      </c>
      <c r="HA197">
        <f>IF(OR(GY$3="",GY$3&gt;TODAY()),"",IF(AND(GY197="",GZ197=""),"",N(GZ197)-N(GY197)))</f>
        <v/>
      </c>
      <c r="HD197">
        <f>IF(OR(GY$3="",GY$3&gt;TODAY()),"",IF(AND(HB197="",HC197=""),"",N(HC197)-N(HB197)))</f>
        <v/>
      </c>
      <c r="HH197">
        <f>IF(OR(HF$3="",HF$3&gt;TODAY()),"",IF(AND(HF197="",HG197=""),"",N(HG197)-N(HF197)))</f>
        <v/>
      </c>
      <c r="HK197">
        <f>IF(OR(HF$3="",HF$3&gt;TODAY()),"",IF(AND(HI197="",HJ197=""),"",N(HJ197)-N(HI197)))</f>
        <v/>
      </c>
      <c r="HO197">
        <f>IF(OR(HM$3="",HM$3&gt;TODAY()),"",IF(AND(HM197="",HN197=""),"",N(HN197)-N(HM197)))</f>
        <v/>
      </c>
      <c r="HR197">
        <f>IF(OR(HM$3="",HM$3&gt;TODAY()),"",IF(AND(HP197="",HQ197=""),"",N(HQ197)-N(HP197)))</f>
        <v/>
      </c>
      <c r="HV197">
        <f>IF(OR(HT$3="",HT$3&gt;TODAY()),"",IF(AND(HT197="",HU197=""),"",N(HU197)-N(HT197)))</f>
        <v/>
      </c>
      <c r="HY197">
        <f>IF(OR(HT$3="",HT$3&gt;TODAY()),"",IF(AND(HW197="",HX197=""),"",N(HX197)-N(HW197)))</f>
        <v/>
      </c>
      <c r="IC197">
        <f>IF(OR(IA$3="",IA$3&gt;TODAY()),"",IF(AND(IA197="",IB197=""),"",N(IB197)-N(IA197)))</f>
        <v/>
      </c>
      <c r="IF197">
        <f>IF(OR(IA$3="",IA$3&gt;TODAY()),"",IF(AND(ID197="",IE197=""),"",N(IE197)-N(ID197)))</f>
        <v/>
      </c>
      <c r="IJ197">
        <f>IF(OR(IH$3="",IH$3&gt;TODAY()),"",IF(AND(IH197="",II197=""),"",N(II197)-N(IH197)))</f>
        <v/>
      </c>
      <c r="IM197">
        <f>IF(OR(IH$3="",IH$3&gt;TODAY()),"",IF(AND(IK197="",IL197=""),"",N(IL197)-N(IK197)))</f>
        <v/>
      </c>
    </row>
    <row r="198">
      <c r="A198" s="21" t="n"/>
      <c r="B198" s="21" t="n"/>
      <c r="C198" s="21" t="n"/>
      <c r="D198" s="21" t="n"/>
      <c r="E198" s="21" t="n"/>
      <c r="F198" s="21" t="n"/>
      <c r="G198" s="21" t="n"/>
      <c r="H198" s="21" t="n"/>
      <c r="I198" s="22" t="n"/>
      <c r="J198" s="22" t="n"/>
      <c r="K198" s="23" t="n"/>
      <c r="L198" s="22" t="n"/>
      <c r="M198" s="22" t="n"/>
      <c r="N198" s="21" t="n"/>
      <c r="O198" s="23" t="n"/>
      <c r="P198" s="23" t="n"/>
      <c r="Q198" s="23" t="n"/>
      <c r="R198" s="23" t="n"/>
      <c r="S198" s="22" t="n"/>
      <c r="T198" s="23" t="n"/>
      <c r="U198" s="23" t="n"/>
      <c r="V198" s="24">
        <f>IF(J198&lt;&gt;"",J198,IF(I198&lt;&gt;"",I198,""))</f>
        <v/>
      </c>
      <c r="W198" s="25">
        <f>IF($E198="","",N(O198)+SUMIFS($AF198:$IN198,$AF$4:$IN$4,"SEW_ACT"))</f>
        <v/>
      </c>
      <c r="X198" s="25">
        <f>IF($E198="","",N(P198)+SUMIFS($AF198:$IN198,$AF$4:$IN$4,"WASH_ACT"))</f>
        <v/>
      </c>
      <c r="Y198" s="25">
        <f>IF($E198="","",W198-X198-N(T198)-N(U198))</f>
        <v/>
      </c>
      <c r="Z198" s="25">
        <f>IF($E198="","",IF(N(K198)-X198&lt;=0.02*N(K198),0,N(K198)-X198))</f>
        <v/>
      </c>
      <c r="AA198" s="24">
        <f>IF($E198="","",IF(S198&lt;&gt;"",S198,IF(N(O198)&gt;0,IF(L198&lt;&gt;"",L198,99999),IFERROR(1/(1/_xlfn.MINIFS($AF$3:$IN$3,$AF$4:$IN$4,"SEW_ACT",$AF198:$IN198,"&gt;0")),99999))))</f>
        <v/>
      </c>
      <c r="AB198" s="26">
        <f>IF(OR($E198="",Z198=0,V198=""),"",1+COUNTIFS(Z$8:Z$707,"&gt;0",V$8:V$707,"&lt;"&amp;V198)+COUNTIFS(Z$8:Z$707,"&gt;0",V$8:V$707,V198,AA$8:AA$707,"&lt;"&amp;AA198)+COUNTIFS(Z$8:Z$707,"&gt;0",V$8:V$707,V198,AA$8:AA$707,AA198,E$8:E$707,"&lt;"&amp;$E198))</f>
        <v/>
      </c>
      <c r="AC198" s="24">
        <f>IF(OR($E198="",Z198=0),"",IFERROR(TODAY()+ROUNDUP(Z198/(SUMIFS($AF198:$IN198,$AF$4:$IN$4,"WASH_ACT")/COUNTIFS($AF$4:$IN$4,"WASH_ACT",$AF198:$IN198,"&gt;0")),0),"no output yet"))</f>
        <v/>
      </c>
      <c r="AD198" s="26">
        <f>IF($E198="","",IFERROR(ROUND(MAX(0,SUMIFS($AF198:$IN198,$AF$4:$IN$4,"SEW_PLAN",$AF$3:$IN$3,"&lt;="&amp;TODAY())-SUMIFS($AF198:$IN198,$AF$4:$IN$4,"SEW_ACT",$AF$3:$IN$3,"&lt;="&amp;TODAY())+N(Q198))/(SUMIFS($AF198:$IN198,$AF$4:$IN$4,"SEW_PLAN")/COUNTIFS($AF$4:$IN$4,"SEW_PLAN",$AF198:$IN198,"&gt;0")),1),0))</f>
        <v/>
      </c>
      <c r="AE198" s="26">
        <f>IF($E198="","",IF(AND(Z198&gt;0,OR(AND(M198&lt;&gt;"",TODAY()&gt;M198),AND(V198&lt;&gt;"",V198-TODAY()&lt;=7))),"Yes","No"))</f>
        <v/>
      </c>
      <c r="AH198">
        <f>IF(OR(AF$3="",AF$3&gt;TODAY()),"",IF(AND(AF198="",AG198=""),"",N(AG198)-N(AF198)))</f>
        <v/>
      </c>
      <c r="AK198">
        <f>IF(OR(AF$3="",AF$3&gt;TODAY()),"",IF(AND(AI198="",AJ198=""),"",N(AJ198)-N(AI198)))</f>
        <v/>
      </c>
      <c r="AO198">
        <f>IF(OR(AM$3="",AM$3&gt;TODAY()),"",IF(AND(AM198="",AN198=""),"",N(AN198)-N(AM198)))</f>
        <v/>
      </c>
      <c r="AR198">
        <f>IF(OR(AM$3="",AM$3&gt;TODAY()),"",IF(AND(AP198="",AQ198=""),"",N(AQ198)-N(AP198)))</f>
        <v/>
      </c>
      <c r="AV198">
        <f>IF(OR(AT$3="",AT$3&gt;TODAY()),"",IF(AND(AT198="",AU198=""),"",N(AU198)-N(AT198)))</f>
        <v/>
      </c>
      <c r="AY198">
        <f>IF(OR(AT$3="",AT$3&gt;TODAY()),"",IF(AND(AW198="",AX198=""),"",N(AX198)-N(AW198)))</f>
        <v/>
      </c>
      <c r="BC198">
        <f>IF(OR(BA$3="",BA$3&gt;TODAY()),"",IF(AND(BA198="",BB198=""),"",N(BB198)-N(BA198)))</f>
        <v/>
      </c>
      <c r="BF198">
        <f>IF(OR(BA$3="",BA$3&gt;TODAY()),"",IF(AND(BD198="",BE198=""),"",N(BE198)-N(BD198)))</f>
        <v/>
      </c>
      <c r="BJ198">
        <f>IF(OR(BH$3="",BH$3&gt;TODAY()),"",IF(AND(BH198="",BI198=""),"",N(BI198)-N(BH198)))</f>
        <v/>
      </c>
      <c r="BM198">
        <f>IF(OR(BH$3="",BH$3&gt;TODAY()),"",IF(AND(BK198="",BL198=""),"",N(BL198)-N(BK198)))</f>
        <v/>
      </c>
      <c r="BQ198">
        <f>IF(OR(BO$3="",BO$3&gt;TODAY()),"",IF(AND(BO198="",BP198=""),"",N(BP198)-N(BO198)))</f>
        <v/>
      </c>
      <c r="BT198">
        <f>IF(OR(BO$3="",BO$3&gt;TODAY()),"",IF(AND(BR198="",BS198=""),"",N(BS198)-N(BR198)))</f>
        <v/>
      </c>
      <c r="BX198">
        <f>IF(OR(BV$3="",BV$3&gt;TODAY()),"",IF(AND(BV198="",BW198=""),"",N(BW198)-N(BV198)))</f>
        <v/>
      </c>
      <c r="CA198">
        <f>IF(OR(BV$3="",BV$3&gt;TODAY()),"",IF(AND(BY198="",BZ198=""),"",N(BZ198)-N(BY198)))</f>
        <v/>
      </c>
      <c r="CE198">
        <f>IF(OR(CC$3="",CC$3&gt;TODAY()),"",IF(AND(CC198="",CD198=""),"",N(CD198)-N(CC198)))</f>
        <v/>
      </c>
      <c r="CH198">
        <f>IF(OR(CC$3="",CC$3&gt;TODAY()),"",IF(AND(CF198="",CG198=""),"",N(CG198)-N(CF198)))</f>
        <v/>
      </c>
      <c r="CL198">
        <f>IF(OR(CJ$3="",CJ$3&gt;TODAY()),"",IF(AND(CJ198="",CK198=""),"",N(CK198)-N(CJ198)))</f>
        <v/>
      </c>
      <c r="CO198">
        <f>IF(OR(CJ$3="",CJ$3&gt;TODAY()),"",IF(AND(CM198="",CN198=""),"",N(CN198)-N(CM198)))</f>
        <v/>
      </c>
      <c r="CS198">
        <f>IF(OR(CQ$3="",CQ$3&gt;TODAY()),"",IF(AND(CQ198="",CR198=""),"",N(CR198)-N(CQ198)))</f>
        <v/>
      </c>
      <c r="CV198">
        <f>IF(OR(CQ$3="",CQ$3&gt;TODAY()),"",IF(AND(CT198="",CU198=""),"",N(CU198)-N(CT198)))</f>
        <v/>
      </c>
      <c r="CZ198">
        <f>IF(OR(CX$3="",CX$3&gt;TODAY()),"",IF(AND(CX198="",CY198=""),"",N(CY198)-N(CX198)))</f>
        <v/>
      </c>
      <c r="DC198">
        <f>IF(OR(CX$3="",CX$3&gt;TODAY()),"",IF(AND(DA198="",DB198=""),"",N(DB198)-N(DA198)))</f>
        <v/>
      </c>
      <c r="DG198">
        <f>IF(OR(DE$3="",DE$3&gt;TODAY()),"",IF(AND(DE198="",DF198=""),"",N(DF198)-N(DE198)))</f>
        <v/>
      </c>
      <c r="DJ198">
        <f>IF(OR(DE$3="",DE$3&gt;TODAY()),"",IF(AND(DH198="",DI198=""),"",N(DI198)-N(DH198)))</f>
        <v/>
      </c>
      <c r="DN198">
        <f>IF(OR(DL$3="",DL$3&gt;TODAY()),"",IF(AND(DL198="",DM198=""),"",N(DM198)-N(DL198)))</f>
        <v/>
      </c>
      <c r="DQ198">
        <f>IF(OR(DL$3="",DL$3&gt;TODAY()),"",IF(AND(DO198="",DP198=""),"",N(DP198)-N(DO198)))</f>
        <v/>
      </c>
      <c r="DU198">
        <f>IF(OR(DS$3="",DS$3&gt;TODAY()),"",IF(AND(DS198="",DT198=""),"",N(DT198)-N(DS198)))</f>
        <v/>
      </c>
      <c r="DX198">
        <f>IF(OR(DS$3="",DS$3&gt;TODAY()),"",IF(AND(DV198="",DW198=""),"",N(DW198)-N(DV198)))</f>
        <v/>
      </c>
      <c r="EB198">
        <f>IF(OR(DZ$3="",DZ$3&gt;TODAY()),"",IF(AND(DZ198="",EA198=""),"",N(EA198)-N(DZ198)))</f>
        <v/>
      </c>
      <c r="EE198">
        <f>IF(OR(DZ$3="",DZ$3&gt;TODAY()),"",IF(AND(EC198="",ED198=""),"",N(ED198)-N(EC198)))</f>
        <v/>
      </c>
      <c r="EI198">
        <f>IF(OR(EG$3="",EG$3&gt;TODAY()),"",IF(AND(EG198="",EH198=""),"",N(EH198)-N(EG198)))</f>
        <v/>
      </c>
      <c r="EL198">
        <f>IF(OR(EG$3="",EG$3&gt;TODAY()),"",IF(AND(EJ198="",EK198=""),"",N(EK198)-N(EJ198)))</f>
        <v/>
      </c>
      <c r="EP198">
        <f>IF(OR(EN$3="",EN$3&gt;TODAY()),"",IF(AND(EN198="",EO198=""),"",N(EO198)-N(EN198)))</f>
        <v/>
      </c>
      <c r="ES198">
        <f>IF(OR(EN$3="",EN$3&gt;TODAY()),"",IF(AND(EQ198="",ER198=""),"",N(ER198)-N(EQ198)))</f>
        <v/>
      </c>
      <c r="EW198">
        <f>IF(OR(EU$3="",EU$3&gt;TODAY()),"",IF(AND(EU198="",EV198=""),"",N(EV198)-N(EU198)))</f>
        <v/>
      </c>
      <c r="EZ198">
        <f>IF(OR(EU$3="",EU$3&gt;TODAY()),"",IF(AND(EX198="",EY198=""),"",N(EY198)-N(EX198)))</f>
        <v/>
      </c>
      <c r="FD198">
        <f>IF(OR(FB$3="",FB$3&gt;TODAY()),"",IF(AND(FB198="",FC198=""),"",N(FC198)-N(FB198)))</f>
        <v/>
      </c>
      <c r="FG198">
        <f>IF(OR(FB$3="",FB$3&gt;TODAY()),"",IF(AND(FE198="",FF198=""),"",N(FF198)-N(FE198)))</f>
        <v/>
      </c>
      <c r="FK198">
        <f>IF(OR(FI$3="",FI$3&gt;TODAY()),"",IF(AND(FI198="",FJ198=""),"",N(FJ198)-N(FI198)))</f>
        <v/>
      </c>
      <c r="FN198">
        <f>IF(OR(FI$3="",FI$3&gt;TODAY()),"",IF(AND(FL198="",FM198=""),"",N(FM198)-N(FL198)))</f>
        <v/>
      </c>
      <c r="FR198">
        <f>IF(OR(FP$3="",FP$3&gt;TODAY()),"",IF(AND(FP198="",FQ198=""),"",N(FQ198)-N(FP198)))</f>
        <v/>
      </c>
      <c r="FU198">
        <f>IF(OR(FP$3="",FP$3&gt;TODAY()),"",IF(AND(FS198="",FT198=""),"",N(FT198)-N(FS198)))</f>
        <v/>
      </c>
      <c r="FY198">
        <f>IF(OR(FW$3="",FW$3&gt;TODAY()),"",IF(AND(FW198="",FX198=""),"",N(FX198)-N(FW198)))</f>
        <v/>
      </c>
      <c r="GB198">
        <f>IF(OR(FW$3="",FW$3&gt;TODAY()),"",IF(AND(FZ198="",GA198=""),"",N(GA198)-N(FZ198)))</f>
        <v/>
      </c>
      <c r="GF198">
        <f>IF(OR(GD$3="",GD$3&gt;TODAY()),"",IF(AND(GD198="",GE198=""),"",N(GE198)-N(GD198)))</f>
        <v/>
      </c>
      <c r="GI198">
        <f>IF(OR(GD$3="",GD$3&gt;TODAY()),"",IF(AND(GG198="",GH198=""),"",N(GH198)-N(GG198)))</f>
        <v/>
      </c>
      <c r="GM198">
        <f>IF(OR(GK$3="",GK$3&gt;TODAY()),"",IF(AND(GK198="",GL198=""),"",N(GL198)-N(GK198)))</f>
        <v/>
      </c>
      <c r="GP198">
        <f>IF(OR(GK$3="",GK$3&gt;TODAY()),"",IF(AND(GN198="",GO198=""),"",N(GO198)-N(GN198)))</f>
        <v/>
      </c>
      <c r="GT198">
        <f>IF(OR(GR$3="",GR$3&gt;TODAY()),"",IF(AND(GR198="",GS198=""),"",N(GS198)-N(GR198)))</f>
        <v/>
      </c>
      <c r="GW198">
        <f>IF(OR(GR$3="",GR$3&gt;TODAY()),"",IF(AND(GU198="",GV198=""),"",N(GV198)-N(GU198)))</f>
        <v/>
      </c>
      <c r="HA198">
        <f>IF(OR(GY$3="",GY$3&gt;TODAY()),"",IF(AND(GY198="",GZ198=""),"",N(GZ198)-N(GY198)))</f>
        <v/>
      </c>
      <c r="HD198">
        <f>IF(OR(GY$3="",GY$3&gt;TODAY()),"",IF(AND(HB198="",HC198=""),"",N(HC198)-N(HB198)))</f>
        <v/>
      </c>
      <c r="HH198">
        <f>IF(OR(HF$3="",HF$3&gt;TODAY()),"",IF(AND(HF198="",HG198=""),"",N(HG198)-N(HF198)))</f>
        <v/>
      </c>
      <c r="HK198">
        <f>IF(OR(HF$3="",HF$3&gt;TODAY()),"",IF(AND(HI198="",HJ198=""),"",N(HJ198)-N(HI198)))</f>
        <v/>
      </c>
      <c r="HO198">
        <f>IF(OR(HM$3="",HM$3&gt;TODAY()),"",IF(AND(HM198="",HN198=""),"",N(HN198)-N(HM198)))</f>
        <v/>
      </c>
      <c r="HR198">
        <f>IF(OR(HM$3="",HM$3&gt;TODAY()),"",IF(AND(HP198="",HQ198=""),"",N(HQ198)-N(HP198)))</f>
        <v/>
      </c>
      <c r="HV198">
        <f>IF(OR(HT$3="",HT$3&gt;TODAY()),"",IF(AND(HT198="",HU198=""),"",N(HU198)-N(HT198)))</f>
        <v/>
      </c>
      <c r="HY198">
        <f>IF(OR(HT$3="",HT$3&gt;TODAY()),"",IF(AND(HW198="",HX198=""),"",N(HX198)-N(HW198)))</f>
        <v/>
      </c>
      <c r="IC198">
        <f>IF(OR(IA$3="",IA$3&gt;TODAY()),"",IF(AND(IA198="",IB198=""),"",N(IB198)-N(IA198)))</f>
        <v/>
      </c>
      <c r="IF198">
        <f>IF(OR(IA$3="",IA$3&gt;TODAY()),"",IF(AND(ID198="",IE198=""),"",N(IE198)-N(ID198)))</f>
        <v/>
      </c>
      <c r="IJ198">
        <f>IF(OR(IH$3="",IH$3&gt;TODAY()),"",IF(AND(IH198="",II198=""),"",N(II198)-N(IH198)))</f>
        <v/>
      </c>
      <c r="IM198">
        <f>IF(OR(IH$3="",IH$3&gt;TODAY()),"",IF(AND(IK198="",IL198=""),"",N(IL198)-N(IK198)))</f>
        <v/>
      </c>
    </row>
    <row r="199">
      <c r="A199" s="21" t="n"/>
      <c r="B199" s="21" t="n"/>
      <c r="C199" s="21" t="n"/>
      <c r="D199" s="21" t="n"/>
      <c r="E199" s="21" t="n"/>
      <c r="F199" s="21" t="n"/>
      <c r="G199" s="21" t="n"/>
      <c r="H199" s="21" t="n"/>
      <c r="I199" s="22" t="n"/>
      <c r="J199" s="22" t="n"/>
      <c r="K199" s="23" t="n"/>
      <c r="L199" s="22" t="n"/>
      <c r="M199" s="22" t="n"/>
      <c r="N199" s="21" t="n"/>
      <c r="O199" s="23" t="n"/>
      <c r="P199" s="23" t="n"/>
      <c r="Q199" s="23" t="n"/>
      <c r="R199" s="23" t="n"/>
      <c r="S199" s="22" t="n"/>
      <c r="T199" s="23" t="n"/>
      <c r="U199" s="23" t="n"/>
      <c r="V199" s="24">
        <f>IF(J199&lt;&gt;"",J199,IF(I199&lt;&gt;"",I199,""))</f>
        <v/>
      </c>
      <c r="W199" s="25">
        <f>IF($E199="","",N(O199)+SUMIFS($AF199:$IN199,$AF$4:$IN$4,"SEW_ACT"))</f>
        <v/>
      </c>
      <c r="X199" s="25">
        <f>IF($E199="","",N(P199)+SUMIFS($AF199:$IN199,$AF$4:$IN$4,"WASH_ACT"))</f>
        <v/>
      </c>
      <c r="Y199" s="25">
        <f>IF($E199="","",W199-X199-N(T199)-N(U199))</f>
        <v/>
      </c>
      <c r="Z199" s="25">
        <f>IF($E199="","",IF(N(K199)-X199&lt;=0.02*N(K199),0,N(K199)-X199))</f>
        <v/>
      </c>
      <c r="AA199" s="24">
        <f>IF($E199="","",IF(S199&lt;&gt;"",S199,IF(N(O199)&gt;0,IF(L199&lt;&gt;"",L199,99999),IFERROR(1/(1/_xlfn.MINIFS($AF$3:$IN$3,$AF$4:$IN$4,"SEW_ACT",$AF199:$IN199,"&gt;0")),99999))))</f>
        <v/>
      </c>
      <c r="AB199" s="26">
        <f>IF(OR($E199="",Z199=0,V199=""),"",1+COUNTIFS(Z$8:Z$707,"&gt;0",V$8:V$707,"&lt;"&amp;V199)+COUNTIFS(Z$8:Z$707,"&gt;0",V$8:V$707,V199,AA$8:AA$707,"&lt;"&amp;AA199)+COUNTIFS(Z$8:Z$707,"&gt;0",V$8:V$707,V199,AA$8:AA$707,AA199,E$8:E$707,"&lt;"&amp;$E199))</f>
        <v/>
      </c>
      <c r="AC199" s="24">
        <f>IF(OR($E199="",Z199=0),"",IFERROR(TODAY()+ROUNDUP(Z199/(SUMIFS($AF199:$IN199,$AF$4:$IN$4,"WASH_ACT")/COUNTIFS($AF$4:$IN$4,"WASH_ACT",$AF199:$IN199,"&gt;0")),0),"no output yet"))</f>
        <v/>
      </c>
      <c r="AD199" s="26">
        <f>IF($E199="","",IFERROR(ROUND(MAX(0,SUMIFS($AF199:$IN199,$AF$4:$IN$4,"SEW_PLAN",$AF$3:$IN$3,"&lt;="&amp;TODAY())-SUMIFS($AF199:$IN199,$AF$4:$IN$4,"SEW_ACT",$AF$3:$IN$3,"&lt;="&amp;TODAY())+N(Q199))/(SUMIFS($AF199:$IN199,$AF$4:$IN$4,"SEW_PLAN")/COUNTIFS($AF$4:$IN$4,"SEW_PLAN",$AF199:$IN199,"&gt;0")),1),0))</f>
        <v/>
      </c>
      <c r="AE199" s="26">
        <f>IF($E199="","",IF(AND(Z199&gt;0,OR(AND(M199&lt;&gt;"",TODAY()&gt;M199),AND(V199&lt;&gt;"",V199-TODAY()&lt;=7))),"Yes","No"))</f>
        <v/>
      </c>
      <c r="AH199">
        <f>IF(OR(AF$3="",AF$3&gt;TODAY()),"",IF(AND(AF199="",AG199=""),"",N(AG199)-N(AF199)))</f>
        <v/>
      </c>
      <c r="AK199">
        <f>IF(OR(AF$3="",AF$3&gt;TODAY()),"",IF(AND(AI199="",AJ199=""),"",N(AJ199)-N(AI199)))</f>
        <v/>
      </c>
      <c r="AO199">
        <f>IF(OR(AM$3="",AM$3&gt;TODAY()),"",IF(AND(AM199="",AN199=""),"",N(AN199)-N(AM199)))</f>
        <v/>
      </c>
      <c r="AR199">
        <f>IF(OR(AM$3="",AM$3&gt;TODAY()),"",IF(AND(AP199="",AQ199=""),"",N(AQ199)-N(AP199)))</f>
        <v/>
      </c>
      <c r="AV199">
        <f>IF(OR(AT$3="",AT$3&gt;TODAY()),"",IF(AND(AT199="",AU199=""),"",N(AU199)-N(AT199)))</f>
        <v/>
      </c>
      <c r="AY199">
        <f>IF(OR(AT$3="",AT$3&gt;TODAY()),"",IF(AND(AW199="",AX199=""),"",N(AX199)-N(AW199)))</f>
        <v/>
      </c>
      <c r="BC199">
        <f>IF(OR(BA$3="",BA$3&gt;TODAY()),"",IF(AND(BA199="",BB199=""),"",N(BB199)-N(BA199)))</f>
        <v/>
      </c>
      <c r="BF199">
        <f>IF(OR(BA$3="",BA$3&gt;TODAY()),"",IF(AND(BD199="",BE199=""),"",N(BE199)-N(BD199)))</f>
        <v/>
      </c>
      <c r="BJ199">
        <f>IF(OR(BH$3="",BH$3&gt;TODAY()),"",IF(AND(BH199="",BI199=""),"",N(BI199)-N(BH199)))</f>
        <v/>
      </c>
      <c r="BM199">
        <f>IF(OR(BH$3="",BH$3&gt;TODAY()),"",IF(AND(BK199="",BL199=""),"",N(BL199)-N(BK199)))</f>
        <v/>
      </c>
      <c r="BQ199">
        <f>IF(OR(BO$3="",BO$3&gt;TODAY()),"",IF(AND(BO199="",BP199=""),"",N(BP199)-N(BO199)))</f>
        <v/>
      </c>
      <c r="BT199">
        <f>IF(OR(BO$3="",BO$3&gt;TODAY()),"",IF(AND(BR199="",BS199=""),"",N(BS199)-N(BR199)))</f>
        <v/>
      </c>
      <c r="BX199">
        <f>IF(OR(BV$3="",BV$3&gt;TODAY()),"",IF(AND(BV199="",BW199=""),"",N(BW199)-N(BV199)))</f>
        <v/>
      </c>
      <c r="CA199">
        <f>IF(OR(BV$3="",BV$3&gt;TODAY()),"",IF(AND(BY199="",BZ199=""),"",N(BZ199)-N(BY199)))</f>
        <v/>
      </c>
      <c r="CE199">
        <f>IF(OR(CC$3="",CC$3&gt;TODAY()),"",IF(AND(CC199="",CD199=""),"",N(CD199)-N(CC199)))</f>
        <v/>
      </c>
      <c r="CH199">
        <f>IF(OR(CC$3="",CC$3&gt;TODAY()),"",IF(AND(CF199="",CG199=""),"",N(CG199)-N(CF199)))</f>
        <v/>
      </c>
      <c r="CL199">
        <f>IF(OR(CJ$3="",CJ$3&gt;TODAY()),"",IF(AND(CJ199="",CK199=""),"",N(CK199)-N(CJ199)))</f>
        <v/>
      </c>
      <c r="CO199">
        <f>IF(OR(CJ$3="",CJ$3&gt;TODAY()),"",IF(AND(CM199="",CN199=""),"",N(CN199)-N(CM199)))</f>
        <v/>
      </c>
      <c r="CS199">
        <f>IF(OR(CQ$3="",CQ$3&gt;TODAY()),"",IF(AND(CQ199="",CR199=""),"",N(CR199)-N(CQ199)))</f>
        <v/>
      </c>
      <c r="CV199">
        <f>IF(OR(CQ$3="",CQ$3&gt;TODAY()),"",IF(AND(CT199="",CU199=""),"",N(CU199)-N(CT199)))</f>
        <v/>
      </c>
      <c r="CZ199">
        <f>IF(OR(CX$3="",CX$3&gt;TODAY()),"",IF(AND(CX199="",CY199=""),"",N(CY199)-N(CX199)))</f>
        <v/>
      </c>
      <c r="DC199">
        <f>IF(OR(CX$3="",CX$3&gt;TODAY()),"",IF(AND(DA199="",DB199=""),"",N(DB199)-N(DA199)))</f>
        <v/>
      </c>
      <c r="DG199">
        <f>IF(OR(DE$3="",DE$3&gt;TODAY()),"",IF(AND(DE199="",DF199=""),"",N(DF199)-N(DE199)))</f>
        <v/>
      </c>
      <c r="DJ199">
        <f>IF(OR(DE$3="",DE$3&gt;TODAY()),"",IF(AND(DH199="",DI199=""),"",N(DI199)-N(DH199)))</f>
        <v/>
      </c>
      <c r="DN199">
        <f>IF(OR(DL$3="",DL$3&gt;TODAY()),"",IF(AND(DL199="",DM199=""),"",N(DM199)-N(DL199)))</f>
        <v/>
      </c>
      <c r="DQ199">
        <f>IF(OR(DL$3="",DL$3&gt;TODAY()),"",IF(AND(DO199="",DP199=""),"",N(DP199)-N(DO199)))</f>
        <v/>
      </c>
      <c r="DU199">
        <f>IF(OR(DS$3="",DS$3&gt;TODAY()),"",IF(AND(DS199="",DT199=""),"",N(DT199)-N(DS199)))</f>
        <v/>
      </c>
      <c r="DX199">
        <f>IF(OR(DS$3="",DS$3&gt;TODAY()),"",IF(AND(DV199="",DW199=""),"",N(DW199)-N(DV199)))</f>
        <v/>
      </c>
      <c r="EB199">
        <f>IF(OR(DZ$3="",DZ$3&gt;TODAY()),"",IF(AND(DZ199="",EA199=""),"",N(EA199)-N(DZ199)))</f>
        <v/>
      </c>
      <c r="EE199">
        <f>IF(OR(DZ$3="",DZ$3&gt;TODAY()),"",IF(AND(EC199="",ED199=""),"",N(ED199)-N(EC199)))</f>
        <v/>
      </c>
      <c r="EI199">
        <f>IF(OR(EG$3="",EG$3&gt;TODAY()),"",IF(AND(EG199="",EH199=""),"",N(EH199)-N(EG199)))</f>
        <v/>
      </c>
      <c r="EL199">
        <f>IF(OR(EG$3="",EG$3&gt;TODAY()),"",IF(AND(EJ199="",EK199=""),"",N(EK199)-N(EJ199)))</f>
        <v/>
      </c>
      <c r="EP199">
        <f>IF(OR(EN$3="",EN$3&gt;TODAY()),"",IF(AND(EN199="",EO199=""),"",N(EO199)-N(EN199)))</f>
        <v/>
      </c>
      <c r="ES199">
        <f>IF(OR(EN$3="",EN$3&gt;TODAY()),"",IF(AND(EQ199="",ER199=""),"",N(ER199)-N(EQ199)))</f>
        <v/>
      </c>
      <c r="EW199">
        <f>IF(OR(EU$3="",EU$3&gt;TODAY()),"",IF(AND(EU199="",EV199=""),"",N(EV199)-N(EU199)))</f>
        <v/>
      </c>
      <c r="EZ199">
        <f>IF(OR(EU$3="",EU$3&gt;TODAY()),"",IF(AND(EX199="",EY199=""),"",N(EY199)-N(EX199)))</f>
        <v/>
      </c>
      <c r="FD199">
        <f>IF(OR(FB$3="",FB$3&gt;TODAY()),"",IF(AND(FB199="",FC199=""),"",N(FC199)-N(FB199)))</f>
        <v/>
      </c>
      <c r="FG199">
        <f>IF(OR(FB$3="",FB$3&gt;TODAY()),"",IF(AND(FE199="",FF199=""),"",N(FF199)-N(FE199)))</f>
        <v/>
      </c>
      <c r="FK199">
        <f>IF(OR(FI$3="",FI$3&gt;TODAY()),"",IF(AND(FI199="",FJ199=""),"",N(FJ199)-N(FI199)))</f>
        <v/>
      </c>
      <c r="FN199">
        <f>IF(OR(FI$3="",FI$3&gt;TODAY()),"",IF(AND(FL199="",FM199=""),"",N(FM199)-N(FL199)))</f>
        <v/>
      </c>
      <c r="FR199">
        <f>IF(OR(FP$3="",FP$3&gt;TODAY()),"",IF(AND(FP199="",FQ199=""),"",N(FQ199)-N(FP199)))</f>
        <v/>
      </c>
      <c r="FU199">
        <f>IF(OR(FP$3="",FP$3&gt;TODAY()),"",IF(AND(FS199="",FT199=""),"",N(FT199)-N(FS199)))</f>
        <v/>
      </c>
      <c r="FY199">
        <f>IF(OR(FW$3="",FW$3&gt;TODAY()),"",IF(AND(FW199="",FX199=""),"",N(FX199)-N(FW199)))</f>
        <v/>
      </c>
      <c r="GB199">
        <f>IF(OR(FW$3="",FW$3&gt;TODAY()),"",IF(AND(FZ199="",GA199=""),"",N(GA199)-N(FZ199)))</f>
        <v/>
      </c>
      <c r="GF199">
        <f>IF(OR(GD$3="",GD$3&gt;TODAY()),"",IF(AND(GD199="",GE199=""),"",N(GE199)-N(GD199)))</f>
        <v/>
      </c>
      <c r="GI199">
        <f>IF(OR(GD$3="",GD$3&gt;TODAY()),"",IF(AND(GG199="",GH199=""),"",N(GH199)-N(GG199)))</f>
        <v/>
      </c>
      <c r="GM199">
        <f>IF(OR(GK$3="",GK$3&gt;TODAY()),"",IF(AND(GK199="",GL199=""),"",N(GL199)-N(GK199)))</f>
        <v/>
      </c>
      <c r="GP199">
        <f>IF(OR(GK$3="",GK$3&gt;TODAY()),"",IF(AND(GN199="",GO199=""),"",N(GO199)-N(GN199)))</f>
        <v/>
      </c>
      <c r="GT199">
        <f>IF(OR(GR$3="",GR$3&gt;TODAY()),"",IF(AND(GR199="",GS199=""),"",N(GS199)-N(GR199)))</f>
        <v/>
      </c>
      <c r="GW199">
        <f>IF(OR(GR$3="",GR$3&gt;TODAY()),"",IF(AND(GU199="",GV199=""),"",N(GV199)-N(GU199)))</f>
        <v/>
      </c>
      <c r="HA199">
        <f>IF(OR(GY$3="",GY$3&gt;TODAY()),"",IF(AND(GY199="",GZ199=""),"",N(GZ199)-N(GY199)))</f>
        <v/>
      </c>
      <c r="HD199">
        <f>IF(OR(GY$3="",GY$3&gt;TODAY()),"",IF(AND(HB199="",HC199=""),"",N(HC199)-N(HB199)))</f>
        <v/>
      </c>
      <c r="HH199">
        <f>IF(OR(HF$3="",HF$3&gt;TODAY()),"",IF(AND(HF199="",HG199=""),"",N(HG199)-N(HF199)))</f>
        <v/>
      </c>
      <c r="HK199">
        <f>IF(OR(HF$3="",HF$3&gt;TODAY()),"",IF(AND(HI199="",HJ199=""),"",N(HJ199)-N(HI199)))</f>
        <v/>
      </c>
      <c r="HO199">
        <f>IF(OR(HM$3="",HM$3&gt;TODAY()),"",IF(AND(HM199="",HN199=""),"",N(HN199)-N(HM199)))</f>
        <v/>
      </c>
      <c r="HR199">
        <f>IF(OR(HM$3="",HM$3&gt;TODAY()),"",IF(AND(HP199="",HQ199=""),"",N(HQ199)-N(HP199)))</f>
        <v/>
      </c>
      <c r="HV199">
        <f>IF(OR(HT$3="",HT$3&gt;TODAY()),"",IF(AND(HT199="",HU199=""),"",N(HU199)-N(HT199)))</f>
        <v/>
      </c>
      <c r="HY199">
        <f>IF(OR(HT$3="",HT$3&gt;TODAY()),"",IF(AND(HW199="",HX199=""),"",N(HX199)-N(HW199)))</f>
        <v/>
      </c>
      <c r="IC199">
        <f>IF(OR(IA$3="",IA$3&gt;TODAY()),"",IF(AND(IA199="",IB199=""),"",N(IB199)-N(IA199)))</f>
        <v/>
      </c>
      <c r="IF199">
        <f>IF(OR(IA$3="",IA$3&gt;TODAY()),"",IF(AND(ID199="",IE199=""),"",N(IE199)-N(ID199)))</f>
        <v/>
      </c>
      <c r="IJ199">
        <f>IF(OR(IH$3="",IH$3&gt;TODAY()),"",IF(AND(IH199="",II199=""),"",N(II199)-N(IH199)))</f>
        <v/>
      </c>
      <c r="IM199">
        <f>IF(OR(IH$3="",IH$3&gt;TODAY()),"",IF(AND(IK199="",IL199=""),"",N(IL199)-N(IK199)))</f>
        <v/>
      </c>
    </row>
    <row r="200">
      <c r="A200" s="21" t="n"/>
      <c r="B200" s="21" t="n"/>
      <c r="C200" s="21" t="n"/>
      <c r="D200" s="21" t="n"/>
      <c r="E200" s="21" t="n"/>
      <c r="F200" s="21" t="n"/>
      <c r="G200" s="21" t="n"/>
      <c r="H200" s="21" t="n"/>
      <c r="I200" s="22" t="n"/>
      <c r="J200" s="22" t="n"/>
      <c r="K200" s="23" t="n"/>
      <c r="L200" s="22" t="n"/>
      <c r="M200" s="22" t="n"/>
      <c r="N200" s="21" t="n"/>
      <c r="O200" s="23" t="n"/>
      <c r="P200" s="23" t="n"/>
      <c r="Q200" s="23" t="n"/>
      <c r="R200" s="23" t="n"/>
      <c r="S200" s="22" t="n"/>
      <c r="T200" s="23" t="n"/>
      <c r="U200" s="23" t="n"/>
      <c r="V200" s="24">
        <f>IF(J200&lt;&gt;"",J200,IF(I200&lt;&gt;"",I200,""))</f>
        <v/>
      </c>
      <c r="W200" s="25">
        <f>IF($E200="","",N(O200)+SUMIFS($AF200:$IN200,$AF$4:$IN$4,"SEW_ACT"))</f>
        <v/>
      </c>
      <c r="X200" s="25">
        <f>IF($E200="","",N(P200)+SUMIFS($AF200:$IN200,$AF$4:$IN$4,"WASH_ACT"))</f>
        <v/>
      </c>
      <c r="Y200" s="25">
        <f>IF($E200="","",W200-X200-N(T200)-N(U200))</f>
        <v/>
      </c>
      <c r="Z200" s="25">
        <f>IF($E200="","",IF(N(K200)-X200&lt;=0.02*N(K200),0,N(K200)-X200))</f>
        <v/>
      </c>
      <c r="AA200" s="24">
        <f>IF($E200="","",IF(S200&lt;&gt;"",S200,IF(N(O200)&gt;0,IF(L200&lt;&gt;"",L200,99999),IFERROR(1/(1/_xlfn.MINIFS($AF$3:$IN$3,$AF$4:$IN$4,"SEW_ACT",$AF200:$IN200,"&gt;0")),99999))))</f>
        <v/>
      </c>
      <c r="AB200" s="26">
        <f>IF(OR($E200="",Z200=0,V200=""),"",1+COUNTIFS(Z$8:Z$707,"&gt;0",V$8:V$707,"&lt;"&amp;V200)+COUNTIFS(Z$8:Z$707,"&gt;0",V$8:V$707,V200,AA$8:AA$707,"&lt;"&amp;AA200)+COUNTIFS(Z$8:Z$707,"&gt;0",V$8:V$707,V200,AA$8:AA$707,AA200,E$8:E$707,"&lt;"&amp;$E200))</f>
        <v/>
      </c>
      <c r="AC200" s="24">
        <f>IF(OR($E200="",Z200=0),"",IFERROR(TODAY()+ROUNDUP(Z200/(SUMIFS($AF200:$IN200,$AF$4:$IN$4,"WASH_ACT")/COUNTIFS($AF$4:$IN$4,"WASH_ACT",$AF200:$IN200,"&gt;0")),0),"no output yet"))</f>
        <v/>
      </c>
      <c r="AD200" s="26">
        <f>IF($E200="","",IFERROR(ROUND(MAX(0,SUMIFS($AF200:$IN200,$AF$4:$IN$4,"SEW_PLAN",$AF$3:$IN$3,"&lt;="&amp;TODAY())-SUMIFS($AF200:$IN200,$AF$4:$IN$4,"SEW_ACT",$AF$3:$IN$3,"&lt;="&amp;TODAY())+N(Q200))/(SUMIFS($AF200:$IN200,$AF$4:$IN$4,"SEW_PLAN")/COUNTIFS($AF$4:$IN$4,"SEW_PLAN",$AF200:$IN200,"&gt;0")),1),0))</f>
        <v/>
      </c>
      <c r="AE200" s="26">
        <f>IF($E200="","",IF(AND(Z200&gt;0,OR(AND(M200&lt;&gt;"",TODAY()&gt;M200),AND(V200&lt;&gt;"",V200-TODAY()&lt;=7))),"Yes","No"))</f>
        <v/>
      </c>
      <c r="AH200">
        <f>IF(OR(AF$3="",AF$3&gt;TODAY()),"",IF(AND(AF200="",AG200=""),"",N(AG200)-N(AF200)))</f>
        <v/>
      </c>
      <c r="AK200">
        <f>IF(OR(AF$3="",AF$3&gt;TODAY()),"",IF(AND(AI200="",AJ200=""),"",N(AJ200)-N(AI200)))</f>
        <v/>
      </c>
      <c r="AO200">
        <f>IF(OR(AM$3="",AM$3&gt;TODAY()),"",IF(AND(AM200="",AN200=""),"",N(AN200)-N(AM200)))</f>
        <v/>
      </c>
      <c r="AR200">
        <f>IF(OR(AM$3="",AM$3&gt;TODAY()),"",IF(AND(AP200="",AQ200=""),"",N(AQ200)-N(AP200)))</f>
        <v/>
      </c>
      <c r="AV200">
        <f>IF(OR(AT$3="",AT$3&gt;TODAY()),"",IF(AND(AT200="",AU200=""),"",N(AU200)-N(AT200)))</f>
        <v/>
      </c>
      <c r="AY200">
        <f>IF(OR(AT$3="",AT$3&gt;TODAY()),"",IF(AND(AW200="",AX200=""),"",N(AX200)-N(AW200)))</f>
        <v/>
      </c>
      <c r="BC200">
        <f>IF(OR(BA$3="",BA$3&gt;TODAY()),"",IF(AND(BA200="",BB200=""),"",N(BB200)-N(BA200)))</f>
        <v/>
      </c>
      <c r="BF200">
        <f>IF(OR(BA$3="",BA$3&gt;TODAY()),"",IF(AND(BD200="",BE200=""),"",N(BE200)-N(BD200)))</f>
        <v/>
      </c>
      <c r="BJ200">
        <f>IF(OR(BH$3="",BH$3&gt;TODAY()),"",IF(AND(BH200="",BI200=""),"",N(BI200)-N(BH200)))</f>
        <v/>
      </c>
      <c r="BM200">
        <f>IF(OR(BH$3="",BH$3&gt;TODAY()),"",IF(AND(BK200="",BL200=""),"",N(BL200)-N(BK200)))</f>
        <v/>
      </c>
      <c r="BQ200">
        <f>IF(OR(BO$3="",BO$3&gt;TODAY()),"",IF(AND(BO200="",BP200=""),"",N(BP200)-N(BO200)))</f>
        <v/>
      </c>
      <c r="BT200">
        <f>IF(OR(BO$3="",BO$3&gt;TODAY()),"",IF(AND(BR200="",BS200=""),"",N(BS200)-N(BR200)))</f>
        <v/>
      </c>
      <c r="BX200">
        <f>IF(OR(BV$3="",BV$3&gt;TODAY()),"",IF(AND(BV200="",BW200=""),"",N(BW200)-N(BV200)))</f>
        <v/>
      </c>
      <c r="CA200">
        <f>IF(OR(BV$3="",BV$3&gt;TODAY()),"",IF(AND(BY200="",BZ200=""),"",N(BZ200)-N(BY200)))</f>
        <v/>
      </c>
      <c r="CE200">
        <f>IF(OR(CC$3="",CC$3&gt;TODAY()),"",IF(AND(CC200="",CD200=""),"",N(CD200)-N(CC200)))</f>
        <v/>
      </c>
      <c r="CH200">
        <f>IF(OR(CC$3="",CC$3&gt;TODAY()),"",IF(AND(CF200="",CG200=""),"",N(CG200)-N(CF200)))</f>
        <v/>
      </c>
      <c r="CL200">
        <f>IF(OR(CJ$3="",CJ$3&gt;TODAY()),"",IF(AND(CJ200="",CK200=""),"",N(CK200)-N(CJ200)))</f>
        <v/>
      </c>
      <c r="CO200">
        <f>IF(OR(CJ$3="",CJ$3&gt;TODAY()),"",IF(AND(CM200="",CN200=""),"",N(CN200)-N(CM200)))</f>
        <v/>
      </c>
      <c r="CS200">
        <f>IF(OR(CQ$3="",CQ$3&gt;TODAY()),"",IF(AND(CQ200="",CR200=""),"",N(CR200)-N(CQ200)))</f>
        <v/>
      </c>
      <c r="CV200">
        <f>IF(OR(CQ$3="",CQ$3&gt;TODAY()),"",IF(AND(CT200="",CU200=""),"",N(CU200)-N(CT200)))</f>
        <v/>
      </c>
      <c r="CZ200">
        <f>IF(OR(CX$3="",CX$3&gt;TODAY()),"",IF(AND(CX200="",CY200=""),"",N(CY200)-N(CX200)))</f>
        <v/>
      </c>
      <c r="DC200">
        <f>IF(OR(CX$3="",CX$3&gt;TODAY()),"",IF(AND(DA200="",DB200=""),"",N(DB200)-N(DA200)))</f>
        <v/>
      </c>
      <c r="DG200">
        <f>IF(OR(DE$3="",DE$3&gt;TODAY()),"",IF(AND(DE200="",DF200=""),"",N(DF200)-N(DE200)))</f>
        <v/>
      </c>
      <c r="DJ200">
        <f>IF(OR(DE$3="",DE$3&gt;TODAY()),"",IF(AND(DH200="",DI200=""),"",N(DI200)-N(DH200)))</f>
        <v/>
      </c>
      <c r="DN200">
        <f>IF(OR(DL$3="",DL$3&gt;TODAY()),"",IF(AND(DL200="",DM200=""),"",N(DM200)-N(DL200)))</f>
        <v/>
      </c>
      <c r="DQ200">
        <f>IF(OR(DL$3="",DL$3&gt;TODAY()),"",IF(AND(DO200="",DP200=""),"",N(DP200)-N(DO200)))</f>
        <v/>
      </c>
      <c r="DU200">
        <f>IF(OR(DS$3="",DS$3&gt;TODAY()),"",IF(AND(DS200="",DT200=""),"",N(DT200)-N(DS200)))</f>
        <v/>
      </c>
      <c r="DX200">
        <f>IF(OR(DS$3="",DS$3&gt;TODAY()),"",IF(AND(DV200="",DW200=""),"",N(DW200)-N(DV200)))</f>
        <v/>
      </c>
      <c r="EB200">
        <f>IF(OR(DZ$3="",DZ$3&gt;TODAY()),"",IF(AND(DZ200="",EA200=""),"",N(EA200)-N(DZ200)))</f>
        <v/>
      </c>
      <c r="EE200">
        <f>IF(OR(DZ$3="",DZ$3&gt;TODAY()),"",IF(AND(EC200="",ED200=""),"",N(ED200)-N(EC200)))</f>
        <v/>
      </c>
      <c r="EI200">
        <f>IF(OR(EG$3="",EG$3&gt;TODAY()),"",IF(AND(EG200="",EH200=""),"",N(EH200)-N(EG200)))</f>
        <v/>
      </c>
      <c r="EL200">
        <f>IF(OR(EG$3="",EG$3&gt;TODAY()),"",IF(AND(EJ200="",EK200=""),"",N(EK200)-N(EJ200)))</f>
        <v/>
      </c>
      <c r="EP200">
        <f>IF(OR(EN$3="",EN$3&gt;TODAY()),"",IF(AND(EN200="",EO200=""),"",N(EO200)-N(EN200)))</f>
        <v/>
      </c>
      <c r="ES200">
        <f>IF(OR(EN$3="",EN$3&gt;TODAY()),"",IF(AND(EQ200="",ER200=""),"",N(ER200)-N(EQ200)))</f>
        <v/>
      </c>
      <c r="EW200">
        <f>IF(OR(EU$3="",EU$3&gt;TODAY()),"",IF(AND(EU200="",EV200=""),"",N(EV200)-N(EU200)))</f>
        <v/>
      </c>
      <c r="EZ200">
        <f>IF(OR(EU$3="",EU$3&gt;TODAY()),"",IF(AND(EX200="",EY200=""),"",N(EY200)-N(EX200)))</f>
        <v/>
      </c>
      <c r="FD200">
        <f>IF(OR(FB$3="",FB$3&gt;TODAY()),"",IF(AND(FB200="",FC200=""),"",N(FC200)-N(FB200)))</f>
        <v/>
      </c>
      <c r="FG200">
        <f>IF(OR(FB$3="",FB$3&gt;TODAY()),"",IF(AND(FE200="",FF200=""),"",N(FF200)-N(FE200)))</f>
        <v/>
      </c>
      <c r="FK200">
        <f>IF(OR(FI$3="",FI$3&gt;TODAY()),"",IF(AND(FI200="",FJ200=""),"",N(FJ200)-N(FI200)))</f>
        <v/>
      </c>
      <c r="FN200">
        <f>IF(OR(FI$3="",FI$3&gt;TODAY()),"",IF(AND(FL200="",FM200=""),"",N(FM200)-N(FL200)))</f>
        <v/>
      </c>
      <c r="FR200">
        <f>IF(OR(FP$3="",FP$3&gt;TODAY()),"",IF(AND(FP200="",FQ200=""),"",N(FQ200)-N(FP200)))</f>
        <v/>
      </c>
      <c r="FU200">
        <f>IF(OR(FP$3="",FP$3&gt;TODAY()),"",IF(AND(FS200="",FT200=""),"",N(FT200)-N(FS200)))</f>
        <v/>
      </c>
      <c r="FY200">
        <f>IF(OR(FW$3="",FW$3&gt;TODAY()),"",IF(AND(FW200="",FX200=""),"",N(FX200)-N(FW200)))</f>
        <v/>
      </c>
      <c r="GB200">
        <f>IF(OR(FW$3="",FW$3&gt;TODAY()),"",IF(AND(FZ200="",GA200=""),"",N(GA200)-N(FZ200)))</f>
        <v/>
      </c>
      <c r="GF200">
        <f>IF(OR(GD$3="",GD$3&gt;TODAY()),"",IF(AND(GD200="",GE200=""),"",N(GE200)-N(GD200)))</f>
        <v/>
      </c>
      <c r="GI200">
        <f>IF(OR(GD$3="",GD$3&gt;TODAY()),"",IF(AND(GG200="",GH200=""),"",N(GH200)-N(GG200)))</f>
        <v/>
      </c>
      <c r="GM200">
        <f>IF(OR(GK$3="",GK$3&gt;TODAY()),"",IF(AND(GK200="",GL200=""),"",N(GL200)-N(GK200)))</f>
        <v/>
      </c>
      <c r="GP200">
        <f>IF(OR(GK$3="",GK$3&gt;TODAY()),"",IF(AND(GN200="",GO200=""),"",N(GO200)-N(GN200)))</f>
        <v/>
      </c>
      <c r="GT200">
        <f>IF(OR(GR$3="",GR$3&gt;TODAY()),"",IF(AND(GR200="",GS200=""),"",N(GS200)-N(GR200)))</f>
        <v/>
      </c>
      <c r="GW200">
        <f>IF(OR(GR$3="",GR$3&gt;TODAY()),"",IF(AND(GU200="",GV200=""),"",N(GV200)-N(GU200)))</f>
        <v/>
      </c>
      <c r="HA200">
        <f>IF(OR(GY$3="",GY$3&gt;TODAY()),"",IF(AND(GY200="",GZ200=""),"",N(GZ200)-N(GY200)))</f>
        <v/>
      </c>
      <c r="HD200">
        <f>IF(OR(GY$3="",GY$3&gt;TODAY()),"",IF(AND(HB200="",HC200=""),"",N(HC200)-N(HB200)))</f>
        <v/>
      </c>
      <c r="HH200">
        <f>IF(OR(HF$3="",HF$3&gt;TODAY()),"",IF(AND(HF200="",HG200=""),"",N(HG200)-N(HF200)))</f>
        <v/>
      </c>
      <c r="HK200">
        <f>IF(OR(HF$3="",HF$3&gt;TODAY()),"",IF(AND(HI200="",HJ200=""),"",N(HJ200)-N(HI200)))</f>
        <v/>
      </c>
      <c r="HO200">
        <f>IF(OR(HM$3="",HM$3&gt;TODAY()),"",IF(AND(HM200="",HN200=""),"",N(HN200)-N(HM200)))</f>
        <v/>
      </c>
      <c r="HR200">
        <f>IF(OR(HM$3="",HM$3&gt;TODAY()),"",IF(AND(HP200="",HQ200=""),"",N(HQ200)-N(HP200)))</f>
        <v/>
      </c>
      <c r="HV200">
        <f>IF(OR(HT$3="",HT$3&gt;TODAY()),"",IF(AND(HT200="",HU200=""),"",N(HU200)-N(HT200)))</f>
        <v/>
      </c>
      <c r="HY200">
        <f>IF(OR(HT$3="",HT$3&gt;TODAY()),"",IF(AND(HW200="",HX200=""),"",N(HX200)-N(HW200)))</f>
        <v/>
      </c>
      <c r="IC200">
        <f>IF(OR(IA$3="",IA$3&gt;TODAY()),"",IF(AND(IA200="",IB200=""),"",N(IB200)-N(IA200)))</f>
        <v/>
      </c>
      <c r="IF200">
        <f>IF(OR(IA$3="",IA$3&gt;TODAY()),"",IF(AND(ID200="",IE200=""),"",N(IE200)-N(ID200)))</f>
        <v/>
      </c>
      <c r="IJ200">
        <f>IF(OR(IH$3="",IH$3&gt;TODAY()),"",IF(AND(IH200="",II200=""),"",N(II200)-N(IH200)))</f>
        <v/>
      </c>
      <c r="IM200">
        <f>IF(OR(IH$3="",IH$3&gt;TODAY()),"",IF(AND(IK200="",IL200=""),"",N(IL200)-N(IK200)))</f>
        <v/>
      </c>
    </row>
    <row r="201">
      <c r="A201" s="21" t="n"/>
      <c r="B201" s="21" t="n"/>
      <c r="C201" s="21" t="n"/>
      <c r="D201" s="21" t="n"/>
      <c r="E201" s="21" t="n"/>
      <c r="F201" s="21" t="n"/>
      <c r="G201" s="21" t="n"/>
      <c r="H201" s="21" t="n"/>
      <c r="I201" s="22" t="n"/>
      <c r="J201" s="22" t="n"/>
      <c r="K201" s="23" t="n"/>
      <c r="L201" s="22" t="n"/>
      <c r="M201" s="22" t="n"/>
      <c r="N201" s="21" t="n"/>
      <c r="O201" s="23" t="n"/>
      <c r="P201" s="23" t="n"/>
      <c r="Q201" s="23" t="n"/>
      <c r="R201" s="23" t="n"/>
      <c r="S201" s="22" t="n"/>
      <c r="T201" s="23" t="n"/>
      <c r="U201" s="23" t="n"/>
      <c r="V201" s="24">
        <f>IF(J201&lt;&gt;"",J201,IF(I201&lt;&gt;"",I201,""))</f>
        <v/>
      </c>
      <c r="W201" s="25">
        <f>IF($E201="","",N(O201)+SUMIFS($AF201:$IN201,$AF$4:$IN$4,"SEW_ACT"))</f>
        <v/>
      </c>
      <c r="X201" s="25">
        <f>IF($E201="","",N(P201)+SUMIFS($AF201:$IN201,$AF$4:$IN$4,"WASH_ACT"))</f>
        <v/>
      </c>
      <c r="Y201" s="25">
        <f>IF($E201="","",W201-X201-N(T201)-N(U201))</f>
        <v/>
      </c>
      <c r="Z201" s="25">
        <f>IF($E201="","",IF(N(K201)-X201&lt;=0.02*N(K201),0,N(K201)-X201))</f>
        <v/>
      </c>
      <c r="AA201" s="24">
        <f>IF($E201="","",IF(S201&lt;&gt;"",S201,IF(N(O201)&gt;0,IF(L201&lt;&gt;"",L201,99999),IFERROR(1/(1/_xlfn.MINIFS($AF$3:$IN$3,$AF$4:$IN$4,"SEW_ACT",$AF201:$IN201,"&gt;0")),99999))))</f>
        <v/>
      </c>
      <c r="AB201" s="26">
        <f>IF(OR($E201="",Z201=0,V201=""),"",1+COUNTIFS(Z$8:Z$707,"&gt;0",V$8:V$707,"&lt;"&amp;V201)+COUNTIFS(Z$8:Z$707,"&gt;0",V$8:V$707,V201,AA$8:AA$707,"&lt;"&amp;AA201)+COUNTIFS(Z$8:Z$707,"&gt;0",V$8:V$707,V201,AA$8:AA$707,AA201,E$8:E$707,"&lt;"&amp;$E201))</f>
        <v/>
      </c>
      <c r="AC201" s="24">
        <f>IF(OR($E201="",Z201=0),"",IFERROR(TODAY()+ROUNDUP(Z201/(SUMIFS($AF201:$IN201,$AF$4:$IN$4,"WASH_ACT")/COUNTIFS($AF$4:$IN$4,"WASH_ACT",$AF201:$IN201,"&gt;0")),0),"no output yet"))</f>
        <v/>
      </c>
      <c r="AD201" s="26">
        <f>IF($E201="","",IFERROR(ROUND(MAX(0,SUMIFS($AF201:$IN201,$AF$4:$IN$4,"SEW_PLAN",$AF$3:$IN$3,"&lt;="&amp;TODAY())-SUMIFS($AF201:$IN201,$AF$4:$IN$4,"SEW_ACT",$AF$3:$IN$3,"&lt;="&amp;TODAY())+N(Q201))/(SUMIFS($AF201:$IN201,$AF$4:$IN$4,"SEW_PLAN")/COUNTIFS($AF$4:$IN$4,"SEW_PLAN",$AF201:$IN201,"&gt;0")),1),0))</f>
        <v/>
      </c>
      <c r="AE201" s="26">
        <f>IF($E201="","",IF(AND(Z201&gt;0,OR(AND(M201&lt;&gt;"",TODAY()&gt;M201),AND(V201&lt;&gt;"",V201-TODAY()&lt;=7))),"Yes","No"))</f>
        <v/>
      </c>
      <c r="AH201">
        <f>IF(OR(AF$3="",AF$3&gt;TODAY()),"",IF(AND(AF201="",AG201=""),"",N(AG201)-N(AF201)))</f>
        <v/>
      </c>
      <c r="AK201">
        <f>IF(OR(AF$3="",AF$3&gt;TODAY()),"",IF(AND(AI201="",AJ201=""),"",N(AJ201)-N(AI201)))</f>
        <v/>
      </c>
      <c r="AO201">
        <f>IF(OR(AM$3="",AM$3&gt;TODAY()),"",IF(AND(AM201="",AN201=""),"",N(AN201)-N(AM201)))</f>
        <v/>
      </c>
      <c r="AR201">
        <f>IF(OR(AM$3="",AM$3&gt;TODAY()),"",IF(AND(AP201="",AQ201=""),"",N(AQ201)-N(AP201)))</f>
        <v/>
      </c>
      <c r="AV201">
        <f>IF(OR(AT$3="",AT$3&gt;TODAY()),"",IF(AND(AT201="",AU201=""),"",N(AU201)-N(AT201)))</f>
        <v/>
      </c>
      <c r="AY201">
        <f>IF(OR(AT$3="",AT$3&gt;TODAY()),"",IF(AND(AW201="",AX201=""),"",N(AX201)-N(AW201)))</f>
        <v/>
      </c>
      <c r="BC201">
        <f>IF(OR(BA$3="",BA$3&gt;TODAY()),"",IF(AND(BA201="",BB201=""),"",N(BB201)-N(BA201)))</f>
        <v/>
      </c>
      <c r="BF201">
        <f>IF(OR(BA$3="",BA$3&gt;TODAY()),"",IF(AND(BD201="",BE201=""),"",N(BE201)-N(BD201)))</f>
        <v/>
      </c>
      <c r="BJ201">
        <f>IF(OR(BH$3="",BH$3&gt;TODAY()),"",IF(AND(BH201="",BI201=""),"",N(BI201)-N(BH201)))</f>
        <v/>
      </c>
      <c r="BM201">
        <f>IF(OR(BH$3="",BH$3&gt;TODAY()),"",IF(AND(BK201="",BL201=""),"",N(BL201)-N(BK201)))</f>
        <v/>
      </c>
      <c r="BQ201">
        <f>IF(OR(BO$3="",BO$3&gt;TODAY()),"",IF(AND(BO201="",BP201=""),"",N(BP201)-N(BO201)))</f>
        <v/>
      </c>
      <c r="BT201">
        <f>IF(OR(BO$3="",BO$3&gt;TODAY()),"",IF(AND(BR201="",BS201=""),"",N(BS201)-N(BR201)))</f>
        <v/>
      </c>
      <c r="BX201">
        <f>IF(OR(BV$3="",BV$3&gt;TODAY()),"",IF(AND(BV201="",BW201=""),"",N(BW201)-N(BV201)))</f>
        <v/>
      </c>
      <c r="CA201">
        <f>IF(OR(BV$3="",BV$3&gt;TODAY()),"",IF(AND(BY201="",BZ201=""),"",N(BZ201)-N(BY201)))</f>
        <v/>
      </c>
      <c r="CE201">
        <f>IF(OR(CC$3="",CC$3&gt;TODAY()),"",IF(AND(CC201="",CD201=""),"",N(CD201)-N(CC201)))</f>
        <v/>
      </c>
      <c r="CH201">
        <f>IF(OR(CC$3="",CC$3&gt;TODAY()),"",IF(AND(CF201="",CG201=""),"",N(CG201)-N(CF201)))</f>
        <v/>
      </c>
      <c r="CL201">
        <f>IF(OR(CJ$3="",CJ$3&gt;TODAY()),"",IF(AND(CJ201="",CK201=""),"",N(CK201)-N(CJ201)))</f>
        <v/>
      </c>
      <c r="CO201">
        <f>IF(OR(CJ$3="",CJ$3&gt;TODAY()),"",IF(AND(CM201="",CN201=""),"",N(CN201)-N(CM201)))</f>
        <v/>
      </c>
      <c r="CS201">
        <f>IF(OR(CQ$3="",CQ$3&gt;TODAY()),"",IF(AND(CQ201="",CR201=""),"",N(CR201)-N(CQ201)))</f>
        <v/>
      </c>
      <c r="CV201">
        <f>IF(OR(CQ$3="",CQ$3&gt;TODAY()),"",IF(AND(CT201="",CU201=""),"",N(CU201)-N(CT201)))</f>
        <v/>
      </c>
      <c r="CZ201">
        <f>IF(OR(CX$3="",CX$3&gt;TODAY()),"",IF(AND(CX201="",CY201=""),"",N(CY201)-N(CX201)))</f>
        <v/>
      </c>
      <c r="DC201">
        <f>IF(OR(CX$3="",CX$3&gt;TODAY()),"",IF(AND(DA201="",DB201=""),"",N(DB201)-N(DA201)))</f>
        <v/>
      </c>
      <c r="DG201">
        <f>IF(OR(DE$3="",DE$3&gt;TODAY()),"",IF(AND(DE201="",DF201=""),"",N(DF201)-N(DE201)))</f>
        <v/>
      </c>
      <c r="DJ201">
        <f>IF(OR(DE$3="",DE$3&gt;TODAY()),"",IF(AND(DH201="",DI201=""),"",N(DI201)-N(DH201)))</f>
        <v/>
      </c>
      <c r="DN201">
        <f>IF(OR(DL$3="",DL$3&gt;TODAY()),"",IF(AND(DL201="",DM201=""),"",N(DM201)-N(DL201)))</f>
        <v/>
      </c>
      <c r="DQ201">
        <f>IF(OR(DL$3="",DL$3&gt;TODAY()),"",IF(AND(DO201="",DP201=""),"",N(DP201)-N(DO201)))</f>
        <v/>
      </c>
      <c r="DU201">
        <f>IF(OR(DS$3="",DS$3&gt;TODAY()),"",IF(AND(DS201="",DT201=""),"",N(DT201)-N(DS201)))</f>
        <v/>
      </c>
      <c r="DX201">
        <f>IF(OR(DS$3="",DS$3&gt;TODAY()),"",IF(AND(DV201="",DW201=""),"",N(DW201)-N(DV201)))</f>
        <v/>
      </c>
      <c r="EB201">
        <f>IF(OR(DZ$3="",DZ$3&gt;TODAY()),"",IF(AND(DZ201="",EA201=""),"",N(EA201)-N(DZ201)))</f>
        <v/>
      </c>
      <c r="EE201">
        <f>IF(OR(DZ$3="",DZ$3&gt;TODAY()),"",IF(AND(EC201="",ED201=""),"",N(ED201)-N(EC201)))</f>
        <v/>
      </c>
      <c r="EI201">
        <f>IF(OR(EG$3="",EG$3&gt;TODAY()),"",IF(AND(EG201="",EH201=""),"",N(EH201)-N(EG201)))</f>
        <v/>
      </c>
      <c r="EL201">
        <f>IF(OR(EG$3="",EG$3&gt;TODAY()),"",IF(AND(EJ201="",EK201=""),"",N(EK201)-N(EJ201)))</f>
        <v/>
      </c>
      <c r="EP201">
        <f>IF(OR(EN$3="",EN$3&gt;TODAY()),"",IF(AND(EN201="",EO201=""),"",N(EO201)-N(EN201)))</f>
        <v/>
      </c>
      <c r="ES201">
        <f>IF(OR(EN$3="",EN$3&gt;TODAY()),"",IF(AND(EQ201="",ER201=""),"",N(ER201)-N(EQ201)))</f>
        <v/>
      </c>
      <c r="EW201">
        <f>IF(OR(EU$3="",EU$3&gt;TODAY()),"",IF(AND(EU201="",EV201=""),"",N(EV201)-N(EU201)))</f>
        <v/>
      </c>
      <c r="EZ201">
        <f>IF(OR(EU$3="",EU$3&gt;TODAY()),"",IF(AND(EX201="",EY201=""),"",N(EY201)-N(EX201)))</f>
        <v/>
      </c>
      <c r="FD201">
        <f>IF(OR(FB$3="",FB$3&gt;TODAY()),"",IF(AND(FB201="",FC201=""),"",N(FC201)-N(FB201)))</f>
        <v/>
      </c>
      <c r="FG201">
        <f>IF(OR(FB$3="",FB$3&gt;TODAY()),"",IF(AND(FE201="",FF201=""),"",N(FF201)-N(FE201)))</f>
        <v/>
      </c>
      <c r="FK201">
        <f>IF(OR(FI$3="",FI$3&gt;TODAY()),"",IF(AND(FI201="",FJ201=""),"",N(FJ201)-N(FI201)))</f>
        <v/>
      </c>
      <c r="FN201">
        <f>IF(OR(FI$3="",FI$3&gt;TODAY()),"",IF(AND(FL201="",FM201=""),"",N(FM201)-N(FL201)))</f>
        <v/>
      </c>
      <c r="FR201">
        <f>IF(OR(FP$3="",FP$3&gt;TODAY()),"",IF(AND(FP201="",FQ201=""),"",N(FQ201)-N(FP201)))</f>
        <v/>
      </c>
      <c r="FU201">
        <f>IF(OR(FP$3="",FP$3&gt;TODAY()),"",IF(AND(FS201="",FT201=""),"",N(FT201)-N(FS201)))</f>
        <v/>
      </c>
      <c r="FY201">
        <f>IF(OR(FW$3="",FW$3&gt;TODAY()),"",IF(AND(FW201="",FX201=""),"",N(FX201)-N(FW201)))</f>
        <v/>
      </c>
      <c r="GB201">
        <f>IF(OR(FW$3="",FW$3&gt;TODAY()),"",IF(AND(FZ201="",GA201=""),"",N(GA201)-N(FZ201)))</f>
        <v/>
      </c>
      <c r="GF201">
        <f>IF(OR(GD$3="",GD$3&gt;TODAY()),"",IF(AND(GD201="",GE201=""),"",N(GE201)-N(GD201)))</f>
        <v/>
      </c>
      <c r="GI201">
        <f>IF(OR(GD$3="",GD$3&gt;TODAY()),"",IF(AND(GG201="",GH201=""),"",N(GH201)-N(GG201)))</f>
        <v/>
      </c>
      <c r="GM201">
        <f>IF(OR(GK$3="",GK$3&gt;TODAY()),"",IF(AND(GK201="",GL201=""),"",N(GL201)-N(GK201)))</f>
        <v/>
      </c>
      <c r="GP201">
        <f>IF(OR(GK$3="",GK$3&gt;TODAY()),"",IF(AND(GN201="",GO201=""),"",N(GO201)-N(GN201)))</f>
        <v/>
      </c>
      <c r="GT201">
        <f>IF(OR(GR$3="",GR$3&gt;TODAY()),"",IF(AND(GR201="",GS201=""),"",N(GS201)-N(GR201)))</f>
        <v/>
      </c>
      <c r="GW201">
        <f>IF(OR(GR$3="",GR$3&gt;TODAY()),"",IF(AND(GU201="",GV201=""),"",N(GV201)-N(GU201)))</f>
        <v/>
      </c>
      <c r="HA201">
        <f>IF(OR(GY$3="",GY$3&gt;TODAY()),"",IF(AND(GY201="",GZ201=""),"",N(GZ201)-N(GY201)))</f>
        <v/>
      </c>
      <c r="HD201">
        <f>IF(OR(GY$3="",GY$3&gt;TODAY()),"",IF(AND(HB201="",HC201=""),"",N(HC201)-N(HB201)))</f>
        <v/>
      </c>
      <c r="HH201">
        <f>IF(OR(HF$3="",HF$3&gt;TODAY()),"",IF(AND(HF201="",HG201=""),"",N(HG201)-N(HF201)))</f>
        <v/>
      </c>
      <c r="HK201">
        <f>IF(OR(HF$3="",HF$3&gt;TODAY()),"",IF(AND(HI201="",HJ201=""),"",N(HJ201)-N(HI201)))</f>
        <v/>
      </c>
      <c r="HO201">
        <f>IF(OR(HM$3="",HM$3&gt;TODAY()),"",IF(AND(HM201="",HN201=""),"",N(HN201)-N(HM201)))</f>
        <v/>
      </c>
      <c r="HR201">
        <f>IF(OR(HM$3="",HM$3&gt;TODAY()),"",IF(AND(HP201="",HQ201=""),"",N(HQ201)-N(HP201)))</f>
        <v/>
      </c>
      <c r="HV201">
        <f>IF(OR(HT$3="",HT$3&gt;TODAY()),"",IF(AND(HT201="",HU201=""),"",N(HU201)-N(HT201)))</f>
        <v/>
      </c>
      <c r="HY201">
        <f>IF(OR(HT$3="",HT$3&gt;TODAY()),"",IF(AND(HW201="",HX201=""),"",N(HX201)-N(HW201)))</f>
        <v/>
      </c>
      <c r="IC201">
        <f>IF(OR(IA$3="",IA$3&gt;TODAY()),"",IF(AND(IA201="",IB201=""),"",N(IB201)-N(IA201)))</f>
        <v/>
      </c>
      <c r="IF201">
        <f>IF(OR(IA$3="",IA$3&gt;TODAY()),"",IF(AND(ID201="",IE201=""),"",N(IE201)-N(ID201)))</f>
        <v/>
      </c>
      <c r="IJ201">
        <f>IF(OR(IH$3="",IH$3&gt;TODAY()),"",IF(AND(IH201="",II201=""),"",N(II201)-N(IH201)))</f>
        <v/>
      </c>
      <c r="IM201">
        <f>IF(OR(IH$3="",IH$3&gt;TODAY()),"",IF(AND(IK201="",IL201=""),"",N(IL201)-N(IK201)))</f>
        <v/>
      </c>
    </row>
    <row r="202">
      <c r="A202" s="21" t="n"/>
      <c r="B202" s="21" t="n"/>
      <c r="C202" s="21" t="n"/>
      <c r="D202" s="21" t="n"/>
      <c r="E202" s="21" t="n"/>
      <c r="F202" s="21" t="n"/>
      <c r="G202" s="21" t="n"/>
      <c r="H202" s="21" t="n"/>
      <c r="I202" s="22" t="n"/>
      <c r="J202" s="22" t="n"/>
      <c r="K202" s="23" t="n"/>
      <c r="L202" s="22" t="n"/>
      <c r="M202" s="22" t="n"/>
      <c r="N202" s="21" t="n"/>
      <c r="O202" s="23" t="n"/>
      <c r="P202" s="23" t="n"/>
      <c r="Q202" s="23" t="n"/>
      <c r="R202" s="23" t="n"/>
      <c r="S202" s="22" t="n"/>
      <c r="T202" s="23" t="n"/>
      <c r="U202" s="23" t="n"/>
      <c r="V202" s="24">
        <f>IF(J202&lt;&gt;"",J202,IF(I202&lt;&gt;"",I202,""))</f>
        <v/>
      </c>
      <c r="W202" s="25">
        <f>IF($E202="","",N(O202)+SUMIFS($AF202:$IN202,$AF$4:$IN$4,"SEW_ACT"))</f>
        <v/>
      </c>
      <c r="X202" s="25">
        <f>IF($E202="","",N(P202)+SUMIFS($AF202:$IN202,$AF$4:$IN$4,"WASH_ACT"))</f>
        <v/>
      </c>
      <c r="Y202" s="25">
        <f>IF($E202="","",W202-X202-N(T202)-N(U202))</f>
        <v/>
      </c>
      <c r="Z202" s="25">
        <f>IF($E202="","",IF(N(K202)-X202&lt;=0.02*N(K202),0,N(K202)-X202))</f>
        <v/>
      </c>
      <c r="AA202" s="24">
        <f>IF($E202="","",IF(S202&lt;&gt;"",S202,IF(N(O202)&gt;0,IF(L202&lt;&gt;"",L202,99999),IFERROR(1/(1/_xlfn.MINIFS($AF$3:$IN$3,$AF$4:$IN$4,"SEW_ACT",$AF202:$IN202,"&gt;0")),99999))))</f>
        <v/>
      </c>
      <c r="AB202" s="26">
        <f>IF(OR($E202="",Z202=0,V202=""),"",1+COUNTIFS(Z$8:Z$707,"&gt;0",V$8:V$707,"&lt;"&amp;V202)+COUNTIFS(Z$8:Z$707,"&gt;0",V$8:V$707,V202,AA$8:AA$707,"&lt;"&amp;AA202)+COUNTIFS(Z$8:Z$707,"&gt;0",V$8:V$707,V202,AA$8:AA$707,AA202,E$8:E$707,"&lt;"&amp;$E202))</f>
        <v/>
      </c>
      <c r="AC202" s="24">
        <f>IF(OR($E202="",Z202=0),"",IFERROR(TODAY()+ROUNDUP(Z202/(SUMIFS($AF202:$IN202,$AF$4:$IN$4,"WASH_ACT")/COUNTIFS($AF$4:$IN$4,"WASH_ACT",$AF202:$IN202,"&gt;0")),0),"no output yet"))</f>
        <v/>
      </c>
      <c r="AD202" s="26">
        <f>IF($E202="","",IFERROR(ROUND(MAX(0,SUMIFS($AF202:$IN202,$AF$4:$IN$4,"SEW_PLAN",$AF$3:$IN$3,"&lt;="&amp;TODAY())-SUMIFS($AF202:$IN202,$AF$4:$IN$4,"SEW_ACT",$AF$3:$IN$3,"&lt;="&amp;TODAY())+N(Q202))/(SUMIFS($AF202:$IN202,$AF$4:$IN$4,"SEW_PLAN")/COUNTIFS($AF$4:$IN$4,"SEW_PLAN",$AF202:$IN202,"&gt;0")),1),0))</f>
        <v/>
      </c>
      <c r="AE202" s="26">
        <f>IF($E202="","",IF(AND(Z202&gt;0,OR(AND(M202&lt;&gt;"",TODAY()&gt;M202),AND(V202&lt;&gt;"",V202-TODAY()&lt;=7))),"Yes","No"))</f>
        <v/>
      </c>
      <c r="AH202">
        <f>IF(OR(AF$3="",AF$3&gt;TODAY()),"",IF(AND(AF202="",AG202=""),"",N(AG202)-N(AF202)))</f>
        <v/>
      </c>
      <c r="AK202">
        <f>IF(OR(AF$3="",AF$3&gt;TODAY()),"",IF(AND(AI202="",AJ202=""),"",N(AJ202)-N(AI202)))</f>
        <v/>
      </c>
      <c r="AO202">
        <f>IF(OR(AM$3="",AM$3&gt;TODAY()),"",IF(AND(AM202="",AN202=""),"",N(AN202)-N(AM202)))</f>
        <v/>
      </c>
      <c r="AR202">
        <f>IF(OR(AM$3="",AM$3&gt;TODAY()),"",IF(AND(AP202="",AQ202=""),"",N(AQ202)-N(AP202)))</f>
        <v/>
      </c>
      <c r="AV202">
        <f>IF(OR(AT$3="",AT$3&gt;TODAY()),"",IF(AND(AT202="",AU202=""),"",N(AU202)-N(AT202)))</f>
        <v/>
      </c>
      <c r="AY202">
        <f>IF(OR(AT$3="",AT$3&gt;TODAY()),"",IF(AND(AW202="",AX202=""),"",N(AX202)-N(AW202)))</f>
        <v/>
      </c>
      <c r="BC202">
        <f>IF(OR(BA$3="",BA$3&gt;TODAY()),"",IF(AND(BA202="",BB202=""),"",N(BB202)-N(BA202)))</f>
        <v/>
      </c>
      <c r="BF202">
        <f>IF(OR(BA$3="",BA$3&gt;TODAY()),"",IF(AND(BD202="",BE202=""),"",N(BE202)-N(BD202)))</f>
        <v/>
      </c>
      <c r="BJ202">
        <f>IF(OR(BH$3="",BH$3&gt;TODAY()),"",IF(AND(BH202="",BI202=""),"",N(BI202)-N(BH202)))</f>
        <v/>
      </c>
      <c r="BM202">
        <f>IF(OR(BH$3="",BH$3&gt;TODAY()),"",IF(AND(BK202="",BL202=""),"",N(BL202)-N(BK202)))</f>
        <v/>
      </c>
      <c r="BQ202">
        <f>IF(OR(BO$3="",BO$3&gt;TODAY()),"",IF(AND(BO202="",BP202=""),"",N(BP202)-N(BO202)))</f>
        <v/>
      </c>
      <c r="BT202">
        <f>IF(OR(BO$3="",BO$3&gt;TODAY()),"",IF(AND(BR202="",BS202=""),"",N(BS202)-N(BR202)))</f>
        <v/>
      </c>
      <c r="BX202">
        <f>IF(OR(BV$3="",BV$3&gt;TODAY()),"",IF(AND(BV202="",BW202=""),"",N(BW202)-N(BV202)))</f>
        <v/>
      </c>
      <c r="CA202">
        <f>IF(OR(BV$3="",BV$3&gt;TODAY()),"",IF(AND(BY202="",BZ202=""),"",N(BZ202)-N(BY202)))</f>
        <v/>
      </c>
      <c r="CE202">
        <f>IF(OR(CC$3="",CC$3&gt;TODAY()),"",IF(AND(CC202="",CD202=""),"",N(CD202)-N(CC202)))</f>
        <v/>
      </c>
      <c r="CH202">
        <f>IF(OR(CC$3="",CC$3&gt;TODAY()),"",IF(AND(CF202="",CG202=""),"",N(CG202)-N(CF202)))</f>
        <v/>
      </c>
      <c r="CL202">
        <f>IF(OR(CJ$3="",CJ$3&gt;TODAY()),"",IF(AND(CJ202="",CK202=""),"",N(CK202)-N(CJ202)))</f>
        <v/>
      </c>
      <c r="CO202">
        <f>IF(OR(CJ$3="",CJ$3&gt;TODAY()),"",IF(AND(CM202="",CN202=""),"",N(CN202)-N(CM202)))</f>
        <v/>
      </c>
      <c r="CS202">
        <f>IF(OR(CQ$3="",CQ$3&gt;TODAY()),"",IF(AND(CQ202="",CR202=""),"",N(CR202)-N(CQ202)))</f>
        <v/>
      </c>
      <c r="CV202">
        <f>IF(OR(CQ$3="",CQ$3&gt;TODAY()),"",IF(AND(CT202="",CU202=""),"",N(CU202)-N(CT202)))</f>
        <v/>
      </c>
      <c r="CZ202">
        <f>IF(OR(CX$3="",CX$3&gt;TODAY()),"",IF(AND(CX202="",CY202=""),"",N(CY202)-N(CX202)))</f>
        <v/>
      </c>
      <c r="DC202">
        <f>IF(OR(CX$3="",CX$3&gt;TODAY()),"",IF(AND(DA202="",DB202=""),"",N(DB202)-N(DA202)))</f>
        <v/>
      </c>
      <c r="DG202">
        <f>IF(OR(DE$3="",DE$3&gt;TODAY()),"",IF(AND(DE202="",DF202=""),"",N(DF202)-N(DE202)))</f>
        <v/>
      </c>
      <c r="DJ202">
        <f>IF(OR(DE$3="",DE$3&gt;TODAY()),"",IF(AND(DH202="",DI202=""),"",N(DI202)-N(DH202)))</f>
        <v/>
      </c>
      <c r="DN202">
        <f>IF(OR(DL$3="",DL$3&gt;TODAY()),"",IF(AND(DL202="",DM202=""),"",N(DM202)-N(DL202)))</f>
        <v/>
      </c>
      <c r="DQ202">
        <f>IF(OR(DL$3="",DL$3&gt;TODAY()),"",IF(AND(DO202="",DP202=""),"",N(DP202)-N(DO202)))</f>
        <v/>
      </c>
      <c r="DU202">
        <f>IF(OR(DS$3="",DS$3&gt;TODAY()),"",IF(AND(DS202="",DT202=""),"",N(DT202)-N(DS202)))</f>
        <v/>
      </c>
      <c r="DX202">
        <f>IF(OR(DS$3="",DS$3&gt;TODAY()),"",IF(AND(DV202="",DW202=""),"",N(DW202)-N(DV202)))</f>
        <v/>
      </c>
      <c r="EB202">
        <f>IF(OR(DZ$3="",DZ$3&gt;TODAY()),"",IF(AND(DZ202="",EA202=""),"",N(EA202)-N(DZ202)))</f>
        <v/>
      </c>
      <c r="EE202">
        <f>IF(OR(DZ$3="",DZ$3&gt;TODAY()),"",IF(AND(EC202="",ED202=""),"",N(ED202)-N(EC202)))</f>
        <v/>
      </c>
      <c r="EI202">
        <f>IF(OR(EG$3="",EG$3&gt;TODAY()),"",IF(AND(EG202="",EH202=""),"",N(EH202)-N(EG202)))</f>
        <v/>
      </c>
      <c r="EL202">
        <f>IF(OR(EG$3="",EG$3&gt;TODAY()),"",IF(AND(EJ202="",EK202=""),"",N(EK202)-N(EJ202)))</f>
        <v/>
      </c>
      <c r="EP202">
        <f>IF(OR(EN$3="",EN$3&gt;TODAY()),"",IF(AND(EN202="",EO202=""),"",N(EO202)-N(EN202)))</f>
        <v/>
      </c>
      <c r="ES202">
        <f>IF(OR(EN$3="",EN$3&gt;TODAY()),"",IF(AND(EQ202="",ER202=""),"",N(ER202)-N(EQ202)))</f>
        <v/>
      </c>
      <c r="EW202">
        <f>IF(OR(EU$3="",EU$3&gt;TODAY()),"",IF(AND(EU202="",EV202=""),"",N(EV202)-N(EU202)))</f>
        <v/>
      </c>
      <c r="EZ202">
        <f>IF(OR(EU$3="",EU$3&gt;TODAY()),"",IF(AND(EX202="",EY202=""),"",N(EY202)-N(EX202)))</f>
        <v/>
      </c>
      <c r="FD202">
        <f>IF(OR(FB$3="",FB$3&gt;TODAY()),"",IF(AND(FB202="",FC202=""),"",N(FC202)-N(FB202)))</f>
        <v/>
      </c>
      <c r="FG202">
        <f>IF(OR(FB$3="",FB$3&gt;TODAY()),"",IF(AND(FE202="",FF202=""),"",N(FF202)-N(FE202)))</f>
        <v/>
      </c>
      <c r="FK202">
        <f>IF(OR(FI$3="",FI$3&gt;TODAY()),"",IF(AND(FI202="",FJ202=""),"",N(FJ202)-N(FI202)))</f>
        <v/>
      </c>
      <c r="FN202">
        <f>IF(OR(FI$3="",FI$3&gt;TODAY()),"",IF(AND(FL202="",FM202=""),"",N(FM202)-N(FL202)))</f>
        <v/>
      </c>
      <c r="FR202">
        <f>IF(OR(FP$3="",FP$3&gt;TODAY()),"",IF(AND(FP202="",FQ202=""),"",N(FQ202)-N(FP202)))</f>
        <v/>
      </c>
      <c r="FU202">
        <f>IF(OR(FP$3="",FP$3&gt;TODAY()),"",IF(AND(FS202="",FT202=""),"",N(FT202)-N(FS202)))</f>
        <v/>
      </c>
      <c r="FY202">
        <f>IF(OR(FW$3="",FW$3&gt;TODAY()),"",IF(AND(FW202="",FX202=""),"",N(FX202)-N(FW202)))</f>
        <v/>
      </c>
      <c r="GB202">
        <f>IF(OR(FW$3="",FW$3&gt;TODAY()),"",IF(AND(FZ202="",GA202=""),"",N(GA202)-N(FZ202)))</f>
        <v/>
      </c>
      <c r="GF202">
        <f>IF(OR(GD$3="",GD$3&gt;TODAY()),"",IF(AND(GD202="",GE202=""),"",N(GE202)-N(GD202)))</f>
        <v/>
      </c>
      <c r="GI202">
        <f>IF(OR(GD$3="",GD$3&gt;TODAY()),"",IF(AND(GG202="",GH202=""),"",N(GH202)-N(GG202)))</f>
        <v/>
      </c>
      <c r="GM202">
        <f>IF(OR(GK$3="",GK$3&gt;TODAY()),"",IF(AND(GK202="",GL202=""),"",N(GL202)-N(GK202)))</f>
        <v/>
      </c>
      <c r="GP202">
        <f>IF(OR(GK$3="",GK$3&gt;TODAY()),"",IF(AND(GN202="",GO202=""),"",N(GO202)-N(GN202)))</f>
        <v/>
      </c>
      <c r="GT202">
        <f>IF(OR(GR$3="",GR$3&gt;TODAY()),"",IF(AND(GR202="",GS202=""),"",N(GS202)-N(GR202)))</f>
        <v/>
      </c>
      <c r="GW202">
        <f>IF(OR(GR$3="",GR$3&gt;TODAY()),"",IF(AND(GU202="",GV202=""),"",N(GV202)-N(GU202)))</f>
        <v/>
      </c>
      <c r="HA202">
        <f>IF(OR(GY$3="",GY$3&gt;TODAY()),"",IF(AND(GY202="",GZ202=""),"",N(GZ202)-N(GY202)))</f>
        <v/>
      </c>
      <c r="HD202">
        <f>IF(OR(GY$3="",GY$3&gt;TODAY()),"",IF(AND(HB202="",HC202=""),"",N(HC202)-N(HB202)))</f>
        <v/>
      </c>
      <c r="HH202">
        <f>IF(OR(HF$3="",HF$3&gt;TODAY()),"",IF(AND(HF202="",HG202=""),"",N(HG202)-N(HF202)))</f>
        <v/>
      </c>
      <c r="HK202">
        <f>IF(OR(HF$3="",HF$3&gt;TODAY()),"",IF(AND(HI202="",HJ202=""),"",N(HJ202)-N(HI202)))</f>
        <v/>
      </c>
      <c r="HO202">
        <f>IF(OR(HM$3="",HM$3&gt;TODAY()),"",IF(AND(HM202="",HN202=""),"",N(HN202)-N(HM202)))</f>
        <v/>
      </c>
      <c r="HR202">
        <f>IF(OR(HM$3="",HM$3&gt;TODAY()),"",IF(AND(HP202="",HQ202=""),"",N(HQ202)-N(HP202)))</f>
        <v/>
      </c>
      <c r="HV202">
        <f>IF(OR(HT$3="",HT$3&gt;TODAY()),"",IF(AND(HT202="",HU202=""),"",N(HU202)-N(HT202)))</f>
        <v/>
      </c>
      <c r="HY202">
        <f>IF(OR(HT$3="",HT$3&gt;TODAY()),"",IF(AND(HW202="",HX202=""),"",N(HX202)-N(HW202)))</f>
        <v/>
      </c>
      <c r="IC202">
        <f>IF(OR(IA$3="",IA$3&gt;TODAY()),"",IF(AND(IA202="",IB202=""),"",N(IB202)-N(IA202)))</f>
        <v/>
      </c>
      <c r="IF202">
        <f>IF(OR(IA$3="",IA$3&gt;TODAY()),"",IF(AND(ID202="",IE202=""),"",N(IE202)-N(ID202)))</f>
        <v/>
      </c>
      <c r="IJ202">
        <f>IF(OR(IH$3="",IH$3&gt;TODAY()),"",IF(AND(IH202="",II202=""),"",N(II202)-N(IH202)))</f>
        <v/>
      </c>
      <c r="IM202">
        <f>IF(OR(IH$3="",IH$3&gt;TODAY()),"",IF(AND(IK202="",IL202=""),"",N(IL202)-N(IK202)))</f>
        <v/>
      </c>
    </row>
    <row r="203">
      <c r="A203" s="21" t="n"/>
      <c r="B203" s="21" t="n"/>
      <c r="C203" s="21" t="n"/>
      <c r="D203" s="21" t="n"/>
      <c r="E203" s="21" t="n"/>
      <c r="F203" s="21" t="n"/>
      <c r="G203" s="21" t="n"/>
      <c r="H203" s="21" t="n"/>
      <c r="I203" s="22" t="n"/>
      <c r="J203" s="22" t="n"/>
      <c r="K203" s="23" t="n"/>
      <c r="L203" s="22" t="n"/>
      <c r="M203" s="22" t="n"/>
      <c r="N203" s="21" t="n"/>
      <c r="O203" s="23" t="n"/>
      <c r="P203" s="23" t="n"/>
      <c r="Q203" s="23" t="n"/>
      <c r="R203" s="23" t="n"/>
      <c r="S203" s="22" t="n"/>
      <c r="T203" s="23" t="n"/>
      <c r="U203" s="23" t="n"/>
      <c r="V203" s="24">
        <f>IF(J203&lt;&gt;"",J203,IF(I203&lt;&gt;"",I203,""))</f>
        <v/>
      </c>
      <c r="W203" s="25">
        <f>IF($E203="","",N(O203)+SUMIFS($AF203:$IN203,$AF$4:$IN$4,"SEW_ACT"))</f>
        <v/>
      </c>
      <c r="X203" s="25">
        <f>IF($E203="","",N(P203)+SUMIFS($AF203:$IN203,$AF$4:$IN$4,"WASH_ACT"))</f>
        <v/>
      </c>
      <c r="Y203" s="25">
        <f>IF($E203="","",W203-X203-N(T203)-N(U203))</f>
        <v/>
      </c>
      <c r="Z203" s="25">
        <f>IF($E203="","",IF(N(K203)-X203&lt;=0.02*N(K203),0,N(K203)-X203))</f>
        <v/>
      </c>
      <c r="AA203" s="24">
        <f>IF($E203="","",IF(S203&lt;&gt;"",S203,IF(N(O203)&gt;0,IF(L203&lt;&gt;"",L203,99999),IFERROR(1/(1/_xlfn.MINIFS($AF$3:$IN$3,$AF$4:$IN$4,"SEW_ACT",$AF203:$IN203,"&gt;0")),99999))))</f>
        <v/>
      </c>
      <c r="AB203" s="26">
        <f>IF(OR($E203="",Z203=0,V203=""),"",1+COUNTIFS(Z$8:Z$707,"&gt;0",V$8:V$707,"&lt;"&amp;V203)+COUNTIFS(Z$8:Z$707,"&gt;0",V$8:V$707,V203,AA$8:AA$707,"&lt;"&amp;AA203)+COUNTIFS(Z$8:Z$707,"&gt;0",V$8:V$707,V203,AA$8:AA$707,AA203,E$8:E$707,"&lt;"&amp;$E203))</f>
        <v/>
      </c>
      <c r="AC203" s="24">
        <f>IF(OR($E203="",Z203=0),"",IFERROR(TODAY()+ROUNDUP(Z203/(SUMIFS($AF203:$IN203,$AF$4:$IN$4,"WASH_ACT")/COUNTIFS($AF$4:$IN$4,"WASH_ACT",$AF203:$IN203,"&gt;0")),0),"no output yet"))</f>
        <v/>
      </c>
      <c r="AD203" s="26">
        <f>IF($E203="","",IFERROR(ROUND(MAX(0,SUMIFS($AF203:$IN203,$AF$4:$IN$4,"SEW_PLAN",$AF$3:$IN$3,"&lt;="&amp;TODAY())-SUMIFS($AF203:$IN203,$AF$4:$IN$4,"SEW_ACT",$AF$3:$IN$3,"&lt;="&amp;TODAY())+N(Q203))/(SUMIFS($AF203:$IN203,$AF$4:$IN$4,"SEW_PLAN")/COUNTIFS($AF$4:$IN$4,"SEW_PLAN",$AF203:$IN203,"&gt;0")),1),0))</f>
        <v/>
      </c>
      <c r="AE203" s="26">
        <f>IF($E203="","",IF(AND(Z203&gt;0,OR(AND(M203&lt;&gt;"",TODAY()&gt;M203),AND(V203&lt;&gt;"",V203-TODAY()&lt;=7))),"Yes","No"))</f>
        <v/>
      </c>
      <c r="AH203">
        <f>IF(OR(AF$3="",AF$3&gt;TODAY()),"",IF(AND(AF203="",AG203=""),"",N(AG203)-N(AF203)))</f>
        <v/>
      </c>
      <c r="AK203">
        <f>IF(OR(AF$3="",AF$3&gt;TODAY()),"",IF(AND(AI203="",AJ203=""),"",N(AJ203)-N(AI203)))</f>
        <v/>
      </c>
      <c r="AO203">
        <f>IF(OR(AM$3="",AM$3&gt;TODAY()),"",IF(AND(AM203="",AN203=""),"",N(AN203)-N(AM203)))</f>
        <v/>
      </c>
      <c r="AR203">
        <f>IF(OR(AM$3="",AM$3&gt;TODAY()),"",IF(AND(AP203="",AQ203=""),"",N(AQ203)-N(AP203)))</f>
        <v/>
      </c>
      <c r="AV203">
        <f>IF(OR(AT$3="",AT$3&gt;TODAY()),"",IF(AND(AT203="",AU203=""),"",N(AU203)-N(AT203)))</f>
        <v/>
      </c>
      <c r="AY203">
        <f>IF(OR(AT$3="",AT$3&gt;TODAY()),"",IF(AND(AW203="",AX203=""),"",N(AX203)-N(AW203)))</f>
        <v/>
      </c>
      <c r="BC203">
        <f>IF(OR(BA$3="",BA$3&gt;TODAY()),"",IF(AND(BA203="",BB203=""),"",N(BB203)-N(BA203)))</f>
        <v/>
      </c>
      <c r="BF203">
        <f>IF(OR(BA$3="",BA$3&gt;TODAY()),"",IF(AND(BD203="",BE203=""),"",N(BE203)-N(BD203)))</f>
        <v/>
      </c>
      <c r="BJ203">
        <f>IF(OR(BH$3="",BH$3&gt;TODAY()),"",IF(AND(BH203="",BI203=""),"",N(BI203)-N(BH203)))</f>
        <v/>
      </c>
      <c r="BM203">
        <f>IF(OR(BH$3="",BH$3&gt;TODAY()),"",IF(AND(BK203="",BL203=""),"",N(BL203)-N(BK203)))</f>
        <v/>
      </c>
      <c r="BQ203">
        <f>IF(OR(BO$3="",BO$3&gt;TODAY()),"",IF(AND(BO203="",BP203=""),"",N(BP203)-N(BO203)))</f>
        <v/>
      </c>
      <c r="BT203">
        <f>IF(OR(BO$3="",BO$3&gt;TODAY()),"",IF(AND(BR203="",BS203=""),"",N(BS203)-N(BR203)))</f>
        <v/>
      </c>
      <c r="BX203">
        <f>IF(OR(BV$3="",BV$3&gt;TODAY()),"",IF(AND(BV203="",BW203=""),"",N(BW203)-N(BV203)))</f>
        <v/>
      </c>
      <c r="CA203">
        <f>IF(OR(BV$3="",BV$3&gt;TODAY()),"",IF(AND(BY203="",BZ203=""),"",N(BZ203)-N(BY203)))</f>
        <v/>
      </c>
      <c r="CE203">
        <f>IF(OR(CC$3="",CC$3&gt;TODAY()),"",IF(AND(CC203="",CD203=""),"",N(CD203)-N(CC203)))</f>
        <v/>
      </c>
      <c r="CH203">
        <f>IF(OR(CC$3="",CC$3&gt;TODAY()),"",IF(AND(CF203="",CG203=""),"",N(CG203)-N(CF203)))</f>
        <v/>
      </c>
      <c r="CL203">
        <f>IF(OR(CJ$3="",CJ$3&gt;TODAY()),"",IF(AND(CJ203="",CK203=""),"",N(CK203)-N(CJ203)))</f>
        <v/>
      </c>
      <c r="CO203">
        <f>IF(OR(CJ$3="",CJ$3&gt;TODAY()),"",IF(AND(CM203="",CN203=""),"",N(CN203)-N(CM203)))</f>
        <v/>
      </c>
      <c r="CS203">
        <f>IF(OR(CQ$3="",CQ$3&gt;TODAY()),"",IF(AND(CQ203="",CR203=""),"",N(CR203)-N(CQ203)))</f>
        <v/>
      </c>
      <c r="CV203">
        <f>IF(OR(CQ$3="",CQ$3&gt;TODAY()),"",IF(AND(CT203="",CU203=""),"",N(CU203)-N(CT203)))</f>
        <v/>
      </c>
      <c r="CZ203">
        <f>IF(OR(CX$3="",CX$3&gt;TODAY()),"",IF(AND(CX203="",CY203=""),"",N(CY203)-N(CX203)))</f>
        <v/>
      </c>
      <c r="DC203">
        <f>IF(OR(CX$3="",CX$3&gt;TODAY()),"",IF(AND(DA203="",DB203=""),"",N(DB203)-N(DA203)))</f>
        <v/>
      </c>
      <c r="DG203">
        <f>IF(OR(DE$3="",DE$3&gt;TODAY()),"",IF(AND(DE203="",DF203=""),"",N(DF203)-N(DE203)))</f>
        <v/>
      </c>
      <c r="DJ203">
        <f>IF(OR(DE$3="",DE$3&gt;TODAY()),"",IF(AND(DH203="",DI203=""),"",N(DI203)-N(DH203)))</f>
        <v/>
      </c>
      <c r="DN203">
        <f>IF(OR(DL$3="",DL$3&gt;TODAY()),"",IF(AND(DL203="",DM203=""),"",N(DM203)-N(DL203)))</f>
        <v/>
      </c>
      <c r="DQ203">
        <f>IF(OR(DL$3="",DL$3&gt;TODAY()),"",IF(AND(DO203="",DP203=""),"",N(DP203)-N(DO203)))</f>
        <v/>
      </c>
      <c r="DU203">
        <f>IF(OR(DS$3="",DS$3&gt;TODAY()),"",IF(AND(DS203="",DT203=""),"",N(DT203)-N(DS203)))</f>
        <v/>
      </c>
      <c r="DX203">
        <f>IF(OR(DS$3="",DS$3&gt;TODAY()),"",IF(AND(DV203="",DW203=""),"",N(DW203)-N(DV203)))</f>
        <v/>
      </c>
      <c r="EB203">
        <f>IF(OR(DZ$3="",DZ$3&gt;TODAY()),"",IF(AND(DZ203="",EA203=""),"",N(EA203)-N(DZ203)))</f>
        <v/>
      </c>
      <c r="EE203">
        <f>IF(OR(DZ$3="",DZ$3&gt;TODAY()),"",IF(AND(EC203="",ED203=""),"",N(ED203)-N(EC203)))</f>
        <v/>
      </c>
      <c r="EI203">
        <f>IF(OR(EG$3="",EG$3&gt;TODAY()),"",IF(AND(EG203="",EH203=""),"",N(EH203)-N(EG203)))</f>
        <v/>
      </c>
      <c r="EL203">
        <f>IF(OR(EG$3="",EG$3&gt;TODAY()),"",IF(AND(EJ203="",EK203=""),"",N(EK203)-N(EJ203)))</f>
        <v/>
      </c>
      <c r="EP203">
        <f>IF(OR(EN$3="",EN$3&gt;TODAY()),"",IF(AND(EN203="",EO203=""),"",N(EO203)-N(EN203)))</f>
        <v/>
      </c>
      <c r="ES203">
        <f>IF(OR(EN$3="",EN$3&gt;TODAY()),"",IF(AND(EQ203="",ER203=""),"",N(ER203)-N(EQ203)))</f>
        <v/>
      </c>
      <c r="EW203">
        <f>IF(OR(EU$3="",EU$3&gt;TODAY()),"",IF(AND(EU203="",EV203=""),"",N(EV203)-N(EU203)))</f>
        <v/>
      </c>
      <c r="EZ203">
        <f>IF(OR(EU$3="",EU$3&gt;TODAY()),"",IF(AND(EX203="",EY203=""),"",N(EY203)-N(EX203)))</f>
        <v/>
      </c>
      <c r="FD203">
        <f>IF(OR(FB$3="",FB$3&gt;TODAY()),"",IF(AND(FB203="",FC203=""),"",N(FC203)-N(FB203)))</f>
        <v/>
      </c>
      <c r="FG203">
        <f>IF(OR(FB$3="",FB$3&gt;TODAY()),"",IF(AND(FE203="",FF203=""),"",N(FF203)-N(FE203)))</f>
        <v/>
      </c>
      <c r="FK203">
        <f>IF(OR(FI$3="",FI$3&gt;TODAY()),"",IF(AND(FI203="",FJ203=""),"",N(FJ203)-N(FI203)))</f>
        <v/>
      </c>
      <c r="FN203">
        <f>IF(OR(FI$3="",FI$3&gt;TODAY()),"",IF(AND(FL203="",FM203=""),"",N(FM203)-N(FL203)))</f>
        <v/>
      </c>
      <c r="FR203">
        <f>IF(OR(FP$3="",FP$3&gt;TODAY()),"",IF(AND(FP203="",FQ203=""),"",N(FQ203)-N(FP203)))</f>
        <v/>
      </c>
      <c r="FU203">
        <f>IF(OR(FP$3="",FP$3&gt;TODAY()),"",IF(AND(FS203="",FT203=""),"",N(FT203)-N(FS203)))</f>
        <v/>
      </c>
      <c r="FY203">
        <f>IF(OR(FW$3="",FW$3&gt;TODAY()),"",IF(AND(FW203="",FX203=""),"",N(FX203)-N(FW203)))</f>
        <v/>
      </c>
      <c r="GB203">
        <f>IF(OR(FW$3="",FW$3&gt;TODAY()),"",IF(AND(FZ203="",GA203=""),"",N(GA203)-N(FZ203)))</f>
        <v/>
      </c>
      <c r="GF203">
        <f>IF(OR(GD$3="",GD$3&gt;TODAY()),"",IF(AND(GD203="",GE203=""),"",N(GE203)-N(GD203)))</f>
        <v/>
      </c>
      <c r="GI203">
        <f>IF(OR(GD$3="",GD$3&gt;TODAY()),"",IF(AND(GG203="",GH203=""),"",N(GH203)-N(GG203)))</f>
        <v/>
      </c>
      <c r="GM203">
        <f>IF(OR(GK$3="",GK$3&gt;TODAY()),"",IF(AND(GK203="",GL203=""),"",N(GL203)-N(GK203)))</f>
        <v/>
      </c>
      <c r="GP203">
        <f>IF(OR(GK$3="",GK$3&gt;TODAY()),"",IF(AND(GN203="",GO203=""),"",N(GO203)-N(GN203)))</f>
        <v/>
      </c>
      <c r="GT203">
        <f>IF(OR(GR$3="",GR$3&gt;TODAY()),"",IF(AND(GR203="",GS203=""),"",N(GS203)-N(GR203)))</f>
        <v/>
      </c>
      <c r="GW203">
        <f>IF(OR(GR$3="",GR$3&gt;TODAY()),"",IF(AND(GU203="",GV203=""),"",N(GV203)-N(GU203)))</f>
        <v/>
      </c>
      <c r="HA203">
        <f>IF(OR(GY$3="",GY$3&gt;TODAY()),"",IF(AND(GY203="",GZ203=""),"",N(GZ203)-N(GY203)))</f>
        <v/>
      </c>
      <c r="HD203">
        <f>IF(OR(GY$3="",GY$3&gt;TODAY()),"",IF(AND(HB203="",HC203=""),"",N(HC203)-N(HB203)))</f>
        <v/>
      </c>
      <c r="HH203">
        <f>IF(OR(HF$3="",HF$3&gt;TODAY()),"",IF(AND(HF203="",HG203=""),"",N(HG203)-N(HF203)))</f>
        <v/>
      </c>
      <c r="HK203">
        <f>IF(OR(HF$3="",HF$3&gt;TODAY()),"",IF(AND(HI203="",HJ203=""),"",N(HJ203)-N(HI203)))</f>
        <v/>
      </c>
      <c r="HO203">
        <f>IF(OR(HM$3="",HM$3&gt;TODAY()),"",IF(AND(HM203="",HN203=""),"",N(HN203)-N(HM203)))</f>
        <v/>
      </c>
      <c r="HR203">
        <f>IF(OR(HM$3="",HM$3&gt;TODAY()),"",IF(AND(HP203="",HQ203=""),"",N(HQ203)-N(HP203)))</f>
        <v/>
      </c>
      <c r="HV203">
        <f>IF(OR(HT$3="",HT$3&gt;TODAY()),"",IF(AND(HT203="",HU203=""),"",N(HU203)-N(HT203)))</f>
        <v/>
      </c>
      <c r="HY203">
        <f>IF(OR(HT$3="",HT$3&gt;TODAY()),"",IF(AND(HW203="",HX203=""),"",N(HX203)-N(HW203)))</f>
        <v/>
      </c>
      <c r="IC203">
        <f>IF(OR(IA$3="",IA$3&gt;TODAY()),"",IF(AND(IA203="",IB203=""),"",N(IB203)-N(IA203)))</f>
        <v/>
      </c>
      <c r="IF203">
        <f>IF(OR(IA$3="",IA$3&gt;TODAY()),"",IF(AND(ID203="",IE203=""),"",N(IE203)-N(ID203)))</f>
        <v/>
      </c>
      <c r="IJ203">
        <f>IF(OR(IH$3="",IH$3&gt;TODAY()),"",IF(AND(IH203="",II203=""),"",N(II203)-N(IH203)))</f>
        <v/>
      </c>
      <c r="IM203">
        <f>IF(OR(IH$3="",IH$3&gt;TODAY()),"",IF(AND(IK203="",IL203=""),"",N(IL203)-N(IK203)))</f>
        <v/>
      </c>
    </row>
    <row r="204">
      <c r="A204" s="21" t="n"/>
      <c r="B204" s="21" t="n"/>
      <c r="C204" s="21" t="n"/>
      <c r="D204" s="21" t="n"/>
      <c r="E204" s="21" t="n"/>
      <c r="F204" s="21" t="n"/>
      <c r="G204" s="21" t="n"/>
      <c r="H204" s="21" t="n"/>
      <c r="I204" s="22" t="n"/>
      <c r="J204" s="22" t="n"/>
      <c r="K204" s="23" t="n"/>
      <c r="L204" s="22" t="n"/>
      <c r="M204" s="22" t="n"/>
      <c r="N204" s="21" t="n"/>
      <c r="O204" s="23" t="n"/>
      <c r="P204" s="23" t="n"/>
      <c r="Q204" s="23" t="n"/>
      <c r="R204" s="23" t="n"/>
      <c r="S204" s="22" t="n"/>
      <c r="T204" s="23" t="n"/>
      <c r="U204" s="23" t="n"/>
      <c r="V204" s="24">
        <f>IF(J204&lt;&gt;"",J204,IF(I204&lt;&gt;"",I204,""))</f>
        <v/>
      </c>
      <c r="W204" s="25">
        <f>IF($E204="","",N(O204)+SUMIFS($AF204:$IN204,$AF$4:$IN$4,"SEW_ACT"))</f>
        <v/>
      </c>
      <c r="X204" s="25">
        <f>IF($E204="","",N(P204)+SUMIFS($AF204:$IN204,$AF$4:$IN$4,"WASH_ACT"))</f>
        <v/>
      </c>
      <c r="Y204" s="25">
        <f>IF($E204="","",W204-X204-N(T204)-N(U204))</f>
        <v/>
      </c>
      <c r="Z204" s="25">
        <f>IF($E204="","",IF(N(K204)-X204&lt;=0.02*N(K204),0,N(K204)-X204))</f>
        <v/>
      </c>
      <c r="AA204" s="24">
        <f>IF($E204="","",IF(S204&lt;&gt;"",S204,IF(N(O204)&gt;0,IF(L204&lt;&gt;"",L204,99999),IFERROR(1/(1/_xlfn.MINIFS($AF$3:$IN$3,$AF$4:$IN$4,"SEW_ACT",$AF204:$IN204,"&gt;0")),99999))))</f>
        <v/>
      </c>
      <c r="AB204" s="26">
        <f>IF(OR($E204="",Z204=0,V204=""),"",1+COUNTIFS(Z$8:Z$707,"&gt;0",V$8:V$707,"&lt;"&amp;V204)+COUNTIFS(Z$8:Z$707,"&gt;0",V$8:V$707,V204,AA$8:AA$707,"&lt;"&amp;AA204)+COUNTIFS(Z$8:Z$707,"&gt;0",V$8:V$707,V204,AA$8:AA$707,AA204,E$8:E$707,"&lt;"&amp;$E204))</f>
        <v/>
      </c>
      <c r="AC204" s="24">
        <f>IF(OR($E204="",Z204=0),"",IFERROR(TODAY()+ROUNDUP(Z204/(SUMIFS($AF204:$IN204,$AF$4:$IN$4,"WASH_ACT")/COUNTIFS($AF$4:$IN$4,"WASH_ACT",$AF204:$IN204,"&gt;0")),0),"no output yet"))</f>
        <v/>
      </c>
      <c r="AD204" s="26">
        <f>IF($E204="","",IFERROR(ROUND(MAX(0,SUMIFS($AF204:$IN204,$AF$4:$IN$4,"SEW_PLAN",$AF$3:$IN$3,"&lt;="&amp;TODAY())-SUMIFS($AF204:$IN204,$AF$4:$IN$4,"SEW_ACT",$AF$3:$IN$3,"&lt;="&amp;TODAY())+N(Q204))/(SUMIFS($AF204:$IN204,$AF$4:$IN$4,"SEW_PLAN")/COUNTIFS($AF$4:$IN$4,"SEW_PLAN",$AF204:$IN204,"&gt;0")),1),0))</f>
        <v/>
      </c>
      <c r="AE204" s="26">
        <f>IF($E204="","",IF(AND(Z204&gt;0,OR(AND(M204&lt;&gt;"",TODAY()&gt;M204),AND(V204&lt;&gt;"",V204-TODAY()&lt;=7))),"Yes","No"))</f>
        <v/>
      </c>
      <c r="AH204">
        <f>IF(OR(AF$3="",AF$3&gt;TODAY()),"",IF(AND(AF204="",AG204=""),"",N(AG204)-N(AF204)))</f>
        <v/>
      </c>
      <c r="AK204">
        <f>IF(OR(AF$3="",AF$3&gt;TODAY()),"",IF(AND(AI204="",AJ204=""),"",N(AJ204)-N(AI204)))</f>
        <v/>
      </c>
      <c r="AO204">
        <f>IF(OR(AM$3="",AM$3&gt;TODAY()),"",IF(AND(AM204="",AN204=""),"",N(AN204)-N(AM204)))</f>
        <v/>
      </c>
      <c r="AR204">
        <f>IF(OR(AM$3="",AM$3&gt;TODAY()),"",IF(AND(AP204="",AQ204=""),"",N(AQ204)-N(AP204)))</f>
        <v/>
      </c>
      <c r="AV204">
        <f>IF(OR(AT$3="",AT$3&gt;TODAY()),"",IF(AND(AT204="",AU204=""),"",N(AU204)-N(AT204)))</f>
        <v/>
      </c>
      <c r="AY204">
        <f>IF(OR(AT$3="",AT$3&gt;TODAY()),"",IF(AND(AW204="",AX204=""),"",N(AX204)-N(AW204)))</f>
        <v/>
      </c>
      <c r="BC204">
        <f>IF(OR(BA$3="",BA$3&gt;TODAY()),"",IF(AND(BA204="",BB204=""),"",N(BB204)-N(BA204)))</f>
        <v/>
      </c>
      <c r="BF204">
        <f>IF(OR(BA$3="",BA$3&gt;TODAY()),"",IF(AND(BD204="",BE204=""),"",N(BE204)-N(BD204)))</f>
        <v/>
      </c>
      <c r="BJ204">
        <f>IF(OR(BH$3="",BH$3&gt;TODAY()),"",IF(AND(BH204="",BI204=""),"",N(BI204)-N(BH204)))</f>
        <v/>
      </c>
      <c r="BM204">
        <f>IF(OR(BH$3="",BH$3&gt;TODAY()),"",IF(AND(BK204="",BL204=""),"",N(BL204)-N(BK204)))</f>
        <v/>
      </c>
      <c r="BQ204">
        <f>IF(OR(BO$3="",BO$3&gt;TODAY()),"",IF(AND(BO204="",BP204=""),"",N(BP204)-N(BO204)))</f>
        <v/>
      </c>
      <c r="BT204">
        <f>IF(OR(BO$3="",BO$3&gt;TODAY()),"",IF(AND(BR204="",BS204=""),"",N(BS204)-N(BR204)))</f>
        <v/>
      </c>
      <c r="BX204">
        <f>IF(OR(BV$3="",BV$3&gt;TODAY()),"",IF(AND(BV204="",BW204=""),"",N(BW204)-N(BV204)))</f>
        <v/>
      </c>
      <c r="CA204">
        <f>IF(OR(BV$3="",BV$3&gt;TODAY()),"",IF(AND(BY204="",BZ204=""),"",N(BZ204)-N(BY204)))</f>
        <v/>
      </c>
      <c r="CE204">
        <f>IF(OR(CC$3="",CC$3&gt;TODAY()),"",IF(AND(CC204="",CD204=""),"",N(CD204)-N(CC204)))</f>
        <v/>
      </c>
      <c r="CH204">
        <f>IF(OR(CC$3="",CC$3&gt;TODAY()),"",IF(AND(CF204="",CG204=""),"",N(CG204)-N(CF204)))</f>
        <v/>
      </c>
      <c r="CL204">
        <f>IF(OR(CJ$3="",CJ$3&gt;TODAY()),"",IF(AND(CJ204="",CK204=""),"",N(CK204)-N(CJ204)))</f>
        <v/>
      </c>
      <c r="CO204">
        <f>IF(OR(CJ$3="",CJ$3&gt;TODAY()),"",IF(AND(CM204="",CN204=""),"",N(CN204)-N(CM204)))</f>
        <v/>
      </c>
      <c r="CS204">
        <f>IF(OR(CQ$3="",CQ$3&gt;TODAY()),"",IF(AND(CQ204="",CR204=""),"",N(CR204)-N(CQ204)))</f>
        <v/>
      </c>
      <c r="CV204">
        <f>IF(OR(CQ$3="",CQ$3&gt;TODAY()),"",IF(AND(CT204="",CU204=""),"",N(CU204)-N(CT204)))</f>
        <v/>
      </c>
      <c r="CZ204">
        <f>IF(OR(CX$3="",CX$3&gt;TODAY()),"",IF(AND(CX204="",CY204=""),"",N(CY204)-N(CX204)))</f>
        <v/>
      </c>
      <c r="DC204">
        <f>IF(OR(CX$3="",CX$3&gt;TODAY()),"",IF(AND(DA204="",DB204=""),"",N(DB204)-N(DA204)))</f>
        <v/>
      </c>
      <c r="DG204">
        <f>IF(OR(DE$3="",DE$3&gt;TODAY()),"",IF(AND(DE204="",DF204=""),"",N(DF204)-N(DE204)))</f>
        <v/>
      </c>
      <c r="DJ204">
        <f>IF(OR(DE$3="",DE$3&gt;TODAY()),"",IF(AND(DH204="",DI204=""),"",N(DI204)-N(DH204)))</f>
        <v/>
      </c>
      <c r="DN204">
        <f>IF(OR(DL$3="",DL$3&gt;TODAY()),"",IF(AND(DL204="",DM204=""),"",N(DM204)-N(DL204)))</f>
        <v/>
      </c>
      <c r="DQ204">
        <f>IF(OR(DL$3="",DL$3&gt;TODAY()),"",IF(AND(DO204="",DP204=""),"",N(DP204)-N(DO204)))</f>
        <v/>
      </c>
      <c r="DU204">
        <f>IF(OR(DS$3="",DS$3&gt;TODAY()),"",IF(AND(DS204="",DT204=""),"",N(DT204)-N(DS204)))</f>
        <v/>
      </c>
      <c r="DX204">
        <f>IF(OR(DS$3="",DS$3&gt;TODAY()),"",IF(AND(DV204="",DW204=""),"",N(DW204)-N(DV204)))</f>
        <v/>
      </c>
      <c r="EB204">
        <f>IF(OR(DZ$3="",DZ$3&gt;TODAY()),"",IF(AND(DZ204="",EA204=""),"",N(EA204)-N(DZ204)))</f>
        <v/>
      </c>
      <c r="EE204">
        <f>IF(OR(DZ$3="",DZ$3&gt;TODAY()),"",IF(AND(EC204="",ED204=""),"",N(ED204)-N(EC204)))</f>
        <v/>
      </c>
      <c r="EI204">
        <f>IF(OR(EG$3="",EG$3&gt;TODAY()),"",IF(AND(EG204="",EH204=""),"",N(EH204)-N(EG204)))</f>
        <v/>
      </c>
      <c r="EL204">
        <f>IF(OR(EG$3="",EG$3&gt;TODAY()),"",IF(AND(EJ204="",EK204=""),"",N(EK204)-N(EJ204)))</f>
        <v/>
      </c>
      <c r="EP204">
        <f>IF(OR(EN$3="",EN$3&gt;TODAY()),"",IF(AND(EN204="",EO204=""),"",N(EO204)-N(EN204)))</f>
        <v/>
      </c>
      <c r="ES204">
        <f>IF(OR(EN$3="",EN$3&gt;TODAY()),"",IF(AND(EQ204="",ER204=""),"",N(ER204)-N(EQ204)))</f>
        <v/>
      </c>
      <c r="EW204">
        <f>IF(OR(EU$3="",EU$3&gt;TODAY()),"",IF(AND(EU204="",EV204=""),"",N(EV204)-N(EU204)))</f>
        <v/>
      </c>
      <c r="EZ204">
        <f>IF(OR(EU$3="",EU$3&gt;TODAY()),"",IF(AND(EX204="",EY204=""),"",N(EY204)-N(EX204)))</f>
        <v/>
      </c>
      <c r="FD204">
        <f>IF(OR(FB$3="",FB$3&gt;TODAY()),"",IF(AND(FB204="",FC204=""),"",N(FC204)-N(FB204)))</f>
        <v/>
      </c>
      <c r="FG204">
        <f>IF(OR(FB$3="",FB$3&gt;TODAY()),"",IF(AND(FE204="",FF204=""),"",N(FF204)-N(FE204)))</f>
        <v/>
      </c>
      <c r="FK204">
        <f>IF(OR(FI$3="",FI$3&gt;TODAY()),"",IF(AND(FI204="",FJ204=""),"",N(FJ204)-N(FI204)))</f>
        <v/>
      </c>
      <c r="FN204">
        <f>IF(OR(FI$3="",FI$3&gt;TODAY()),"",IF(AND(FL204="",FM204=""),"",N(FM204)-N(FL204)))</f>
        <v/>
      </c>
      <c r="FR204">
        <f>IF(OR(FP$3="",FP$3&gt;TODAY()),"",IF(AND(FP204="",FQ204=""),"",N(FQ204)-N(FP204)))</f>
        <v/>
      </c>
      <c r="FU204">
        <f>IF(OR(FP$3="",FP$3&gt;TODAY()),"",IF(AND(FS204="",FT204=""),"",N(FT204)-N(FS204)))</f>
        <v/>
      </c>
      <c r="FY204">
        <f>IF(OR(FW$3="",FW$3&gt;TODAY()),"",IF(AND(FW204="",FX204=""),"",N(FX204)-N(FW204)))</f>
        <v/>
      </c>
      <c r="GB204">
        <f>IF(OR(FW$3="",FW$3&gt;TODAY()),"",IF(AND(FZ204="",GA204=""),"",N(GA204)-N(FZ204)))</f>
        <v/>
      </c>
      <c r="GF204">
        <f>IF(OR(GD$3="",GD$3&gt;TODAY()),"",IF(AND(GD204="",GE204=""),"",N(GE204)-N(GD204)))</f>
        <v/>
      </c>
      <c r="GI204">
        <f>IF(OR(GD$3="",GD$3&gt;TODAY()),"",IF(AND(GG204="",GH204=""),"",N(GH204)-N(GG204)))</f>
        <v/>
      </c>
      <c r="GM204">
        <f>IF(OR(GK$3="",GK$3&gt;TODAY()),"",IF(AND(GK204="",GL204=""),"",N(GL204)-N(GK204)))</f>
        <v/>
      </c>
      <c r="GP204">
        <f>IF(OR(GK$3="",GK$3&gt;TODAY()),"",IF(AND(GN204="",GO204=""),"",N(GO204)-N(GN204)))</f>
        <v/>
      </c>
      <c r="GT204">
        <f>IF(OR(GR$3="",GR$3&gt;TODAY()),"",IF(AND(GR204="",GS204=""),"",N(GS204)-N(GR204)))</f>
        <v/>
      </c>
      <c r="GW204">
        <f>IF(OR(GR$3="",GR$3&gt;TODAY()),"",IF(AND(GU204="",GV204=""),"",N(GV204)-N(GU204)))</f>
        <v/>
      </c>
      <c r="HA204">
        <f>IF(OR(GY$3="",GY$3&gt;TODAY()),"",IF(AND(GY204="",GZ204=""),"",N(GZ204)-N(GY204)))</f>
        <v/>
      </c>
      <c r="HD204">
        <f>IF(OR(GY$3="",GY$3&gt;TODAY()),"",IF(AND(HB204="",HC204=""),"",N(HC204)-N(HB204)))</f>
        <v/>
      </c>
      <c r="HH204">
        <f>IF(OR(HF$3="",HF$3&gt;TODAY()),"",IF(AND(HF204="",HG204=""),"",N(HG204)-N(HF204)))</f>
        <v/>
      </c>
      <c r="HK204">
        <f>IF(OR(HF$3="",HF$3&gt;TODAY()),"",IF(AND(HI204="",HJ204=""),"",N(HJ204)-N(HI204)))</f>
        <v/>
      </c>
      <c r="HO204">
        <f>IF(OR(HM$3="",HM$3&gt;TODAY()),"",IF(AND(HM204="",HN204=""),"",N(HN204)-N(HM204)))</f>
        <v/>
      </c>
      <c r="HR204">
        <f>IF(OR(HM$3="",HM$3&gt;TODAY()),"",IF(AND(HP204="",HQ204=""),"",N(HQ204)-N(HP204)))</f>
        <v/>
      </c>
      <c r="HV204">
        <f>IF(OR(HT$3="",HT$3&gt;TODAY()),"",IF(AND(HT204="",HU204=""),"",N(HU204)-N(HT204)))</f>
        <v/>
      </c>
      <c r="HY204">
        <f>IF(OR(HT$3="",HT$3&gt;TODAY()),"",IF(AND(HW204="",HX204=""),"",N(HX204)-N(HW204)))</f>
        <v/>
      </c>
      <c r="IC204">
        <f>IF(OR(IA$3="",IA$3&gt;TODAY()),"",IF(AND(IA204="",IB204=""),"",N(IB204)-N(IA204)))</f>
        <v/>
      </c>
      <c r="IF204">
        <f>IF(OR(IA$3="",IA$3&gt;TODAY()),"",IF(AND(ID204="",IE204=""),"",N(IE204)-N(ID204)))</f>
        <v/>
      </c>
      <c r="IJ204">
        <f>IF(OR(IH$3="",IH$3&gt;TODAY()),"",IF(AND(IH204="",II204=""),"",N(II204)-N(IH204)))</f>
        <v/>
      </c>
      <c r="IM204">
        <f>IF(OR(IH$3="",IH$3&gt;TODAY()),"",IF(AND(IK204="",IL204=""),"",N(IL204)-N(IK204)))</f>
        <v/>
      </c>
    </row>
    <row r="205">
      <c r="A205" s="21" t="n"/>
      <c r="B205" s="21" t="n"/>
      <c r="C205" s="21" t="n"/>
      <c r="D205" s="21" t="n"/>
      <c r="E205" s="21" t="n"/>
      <c r="F205" s="21" t="n"/>
      <c r="G205" s="21" t="n"/>
      <c r="H205" s="21" t="n"/>
      <c r="I205" s="22" t="n"/>
      <c r="J205" s="22" t="n"/>
      <c r="K205" s="23" t="n"/>
      <c r="L205" s="22" t="n"/>
      <c r="M205" s="22" t="n"/>
      <c r="N205" s="21" t="n"/>
      <c r="O205" s="23" t="n"/>
      <c r="P205" s="23" t="n"/>
      <c r="Q205" s="23" t="n"/>
      <c r="R205" s="23" t="n"/>
      <c r="S205" s="22" t="n"/>
      <c r="T205" s="23" t="n"/>
      <c r="U205" s="23" t="n"/>
      <c r="V205" s="24">
        <f>IF(J205&lt;&gt;"",J205,IF(I205&lt;&gt;"",I205,""))</f>
        <v/>
      </c>
      <c r="W205" s="25">
        <f>IF($E205="","",N(O205)+SUMIFS($AF205:$IN205,$AF$4:$IN$4,"SEW_ACT"))</f>
        <v/>
      </c>
      <c r="X205" s="25">
        <f>IF($E205="","",N(P205)+SUMIFS($AF205:$IN205,$AF$4:$IN$4,"WASH_ACT"))</f>
        <v/>
      </c>
      <c r="Y205" s="25">
        <f>IF($E205="","",W205-X205-N(T205)-N(U205))</f>
        <v/>
      </c>
      <c r="Z205" s="25">
        <f>IF($E205="","",IF(N(K205)-X205&lt;=0.02*N(K205),0,N(K205)-X205))</f>
        <v/>
      </c>
      <c r="AA205" s="24">
        <f>IF($E205="","",IF(S205&lt;&gt;"",S205,IF(N(O205)&gt;0,IF(L205&lt;&gt;"",L205,99999),IFERROR(1/(1/_xlfn.MINIFS($AF$3:$IN$3,$AF$4:$IN$4,"SEW_ACT",$AF205:$IN205,"&gt;0")),99999))))</f>
        <v/>
      </c>
      <c r="AB205" s="26">
        <f>IF(OR($E205="",Z205=0,V205=""),"",1+COUNTIFS(Z$8:Z$707,"&gt;0",V$8:V$707,"&lt;"&amp;V205)+COUNTIFS(Z$8:Z$707,"&gt;0",V$8:V$707,V205,AA$8:AA$707,"&lt;"&amp;AA205)+COUNTIFS(Z$8:Z$707,"&gt;0",V$8:V$707,V205,AA$8:AA$707,AA205,E$8:E$707,"&lt;"&amp;$E205))</f>
        <v/>
      </c>
      <c r="AC205" s="24">
        <f>IF(OR($E205="",Z205=0),"",IFERROR(TODAY()+ROUNDUP(Z205/(SUMIFS($AF205:$IN205,$AF$4:$IN$4,"WASH_ACT")/COUNTIFS($AF$4:$IN$4,"WASH_ACT",$AF205:$IN205,"&gt;0")),0),"no output yet"))</f>
        <v/>
      </c>
      <c r="AD205" s="26">
        <f>IF($E205="","",IFERROR(ROUND(MAX(0,SUMIFS($AF205:$IN205,$AF$4:$IN$4,"SEW_PLAN",$AF$3:$IN$3,"&lt;="&amp;TODAY())-SUMIFS($AF205:$IN205,$AF$4:$IN$4,"SEW_ACT",$AF$3:$IN$3,"&lt;="&amp;TODAY())+N(Q205))/(SUMIFS($AF205:$IN205,$AF$4:$IN$4,"SEW_PLAN")/COUNTIFS($AF$4:$IN$4,"SEW_PLAN",$AF205:$IN205,"&gt;0")),1),0))</f>
        <v/>
      </c>
      <c r="AE205" s="26">
        <f>IF($E205="","",IF(AND(Z205&gt;0,OR(AND(M205&lt;&gt;"",TODAY()&gt;M205),AND(V205&lt;&gt;"",V205-TODAY()&lt;=7))),"Yes","No"))</f>
        <v/>
      </c>
      <c r="AH205">
        <f>IF(OR(AF$3="",AF$3&gt;TODAY()),"",IF(AND(AF205="",AG205=""),"",N(AG205)-N(AF205)))</f>
        <v/>
      </c>
      <c r="AK205">
        <f>IF(OR(AF$3="",AF$3&gt;TODAY()),"",IF(AND(AI205="",AJ205=""),"",N(AJ205)-N(AI205)))</f>
        <v/>
      </c>
      <c r="AO205">
        <f>IF(OR(AM$3="",AM$3&gt;TODAY()),"",IF(AND(AM205="",AN205=""),"",N(AN205)-N(AM205)))</f>
        <v/>
      </c>
      <c r="AR205">
        <f>IF(OR(AM$3="",AM$3&gt;TODAY()),"",IF(AND(AP205="",AQ205=""),"",N(AQ205)-N(AP205)))</f>
        <v/>
      </c>
      <c r="AV205">
        <f>IF(OR(AT$3="",AT$3&gt;TODAY()),"",IF(AND(AT205="",AU205=""),"",N(AU205)-N(AT205)))</f>
        <v/>
      </c>
      <c r="AY205">
        <f>IF(OR(AT$3="",AT$3&gt;TODAY()),"",IF(AND(AW205="",AX205=""),"",N(AX205)-N(AW205)))</f>
        <v/>
      </c>
      <c r="BC205">
        <f>IF(OR(BA$3="",BA$3&gt;TODAY()),"",IF(AND(BA205="",BB205=""),"",N(BB205)-N(BA205)))</f>
        <v/>
      </c>
      <c r="BF205">
        <f>IF(OR(BA$3="",BA$3&gt;TODAY()),"",IF(AND(BD205="",BE205=""),"",N(BE205)-N(BD205)))</f>
        <v/>
      </c>
      <c r="BJ205">
        <f>IF(OR(BH$3="",BH$3&gt;TODAY()),"",IF(AND(BH205="",BI205=""),"",N(BI205)-N(BH205)))</f>
        <v/>
      </c>
      <c r="BM205">
        <f>IF(OR(BH$3="",BH$3&gt;TODAY()),"",IF(AND(BK205="",BL205=""),"",N(BL205)-N(BK205)))</f>
        <v/>
      </c>
      <c r="BQ205">
        <f>IF(OR(BO$3="",BO$3&gt;TODAY()),"",IF(AND(BO205="",BP205=""),"",N(BP205)-N(BO205)))</f>
        <v/>
      </c>
      <c r="BT205">
        <f>IF(OR(BO$3="",BO$3&gt;TODAY()),"",IF(AND(BR205="",BS205=""),"",N(BS205)-N(BR205)))</f>
        <v/>
      </c>
      <c r="BX205">
        <f>IF(OR(BV$3="",BV$3&gt;TODAY()),"",IF(AND(BV205="",BW205=""),"",N(BW205)-N(BV205)))</f>
        <v/>
      </c>
      <c r="CA205">
        <f>IF(OR(BV$3="",BV$3&gt;TODAY()),"",IF(AND(BY205="",BZ205=""),"",N(BZ205)-N(BY205)))</f>
        <v/>
      </c>
      <c r="CE205">
        <f>IF(OR(CC$3="",CC$3&gt;TODAY()),"",IF(AND(CC205="",CD205=""),"",N(CD205)-N(CC205)))</f>
        <v/>
      </c>
      <c r="CH205">
        <f>IF(OR(CC$3="",CC$3&gt;TODAY()),"",IF(AND(CF205="",CG205=""),"",N(CG205)-N(CF205)))</f>
        <v/>
      </c>
      <c r="CL205">
        <f>IF(OR(CJ$3="",CJ$3&gt;TODAY()),"",IF(AND(CJ205="",CK205=""),"",N(CK205)-N(CJ205)))</f>
        <v/>
      </c>
      <c r="CO205">
        <f>IF(OR(CJ$3="",CJ$3&gt;TODAY()),"",IF(AND(CM205="",CN205=""),"",N(CN205)-N(CM205)))</f>
        <v/>
      </c>
      <c r="CS205">
        <f>IF(OR(CQ$3="",CQ$3&gt;TODAY()),"",IF(AND(CQ205="",CR205=""),"",N(CR205)-N(CQ205)))</f>
        <v/>
      </c>
      <c r="CV205">
        <f>IF(OR(CQ$3="",CQ$3&gt;TODAY()),"",IF(AND(CT205="",CU205=""),"",N(CU205)-N(CT205)))</f>
        <v/>
      </c>
      <c r="CZ205">
        <f>IF(OR(CX$3="",CX$3&gt;TODAY()),"",IF(AND(CX205="",CY205=""),"",N(CY205)-N(CX205)))</f>
        <v/>
      </c>
      <c r="DC205">
        <f>IF(OR(CX$3="",CX$3&gt;TODAY()),"",IF(AND(DA205="",DB205=""),"",N(DB205)-N(DA205)))</f>
        <v/>
      </c>
      <c r="DG205">
        <f>IF(OR(DE$3="",DE$3&gt;TODAY()),"",IF(AND(DE205="",DF205=""),"",N(DF205)-N(DE205)))</f>
        <v/>
      </c>
      <c r="DJ205">
        <f>IF(OR(DE$3="",DE$3&gt;TODAY()),"",IF(AND(DH205="",DI205=""),"",N(DI205)-N(DH205)))</f>
        <v/>
      </c>
      <c r="DN205">
        <f>IF(OR(DL$3="",DL$3&gt;TODAY()),"",IF(AND(DL205="",DM205=""),"",N(DM205)-N(DL205)))</f>
        <v/>
      </c>
      <c r="DQ205">
        <f>IF(OR(DL$3="",DL$3&gt;TODAY()),"",IF(AND(DO205="",DP205=""),"",N(DP205)-N(DO205)))</f>
        <v/>
      </c>
      <c r="DU205">
        <f>IF(OR(DS$3="",DS$3&gt;TODAY()),"",IF(AND(DS205="",DT205=""),"",N(DT205)-N(DS205)))</f>
        <v/>
      </c>
      <c r="DX205">
        <f>IF(OR(DS$3="",DS$3&gt;TODAY()),"",IF(AND(DV205="",DW205=""),"",N(DW205)-N(DV205)))</f>
        <v/>
      </c>
      <c r="EB205">
        <f>IF(OR(DZ$3="",DZ$3&gt;TODAY()),"",IF(AND(DZ205="",EA205=""),"",N(EA205)-N(DZ205)))</f>
        <v/>
      </c>
      <c r="EE205">
        <f>IF(OR(DZ$3="",DZ$3&gt;TODAY()),"",IF(AND(EC205="",ED205=""),"",N(ED205)-N(EC205)))</f>
        <v/>
      </c>
      <c r="EI205">
        <f>IF(OR(EG$3="",EG$3&gt;TODAY()),"",IF(AND(EG205="",EH205=""),"",N(EH205)-N(EG205)))</f>
        <v/>
      </c>
      <c r="EL205">
        <f>IF(OR(EG$3="",EG$3&gt;TODAY()),"",IF(AND(EJ205="",EK205=""),"",N(EK205)-N(EJ205)))</f>
        <v/>
      </c>
      <c r="EP205">
        <f>IF(OR(EN$3="",EN$3&gt;TODAY()),"",IF(AND(EN205="",EO205=""),"",N(EO205)-N(EN205)))</f>
        <v/>
      </c>
      <c r="ES205">
        <f>IF(OR(EN$3="",EN$3&gt;TODAY()),"",IF(AND(EQ205="",ER205=""),"",N(ER205)-N(EQ205)))</f>
        <v/>
      </c>
      <c r="EW205">
        <f>IF(OR(EU$3="",EU$3&gt;TODAY()),"",IF(AND(EU205="",EV205=""),"",N(EV205)-N(EU205)))</f>
        <v/>
      </c>
      <c r="EZ205">
        <f>IF(OR(EU$3="",EU$3&gt;TODAY()),"",IF(AND(EX205="",EY205=""),"",N(EY205)-N(EX205)))</f>
        <v/>
      </c>
      <c r="FD205">
        <f>IF(OR(FB$3="",FB$3&gt;TODAY()),"",IF(AND(FB205="",FC205=""),"",N(FC205)-N(FB205)))</f>
        <v/>
      </c>
      <c r="FG205">
        <f>IF(OR(FB$3="",FB$3&gt;TODAY()),"",IF(AND(FE205="",FF205=""),"",N(FF205)-N(FE205)))</f>
        <v/>
      </c>
      <c r="FK205">
        <f>IF(OR(FI$3="",FI$3&gt;TODAY()),"",IF(AND(FI205="",FJ205=""),"",N(FJ205)-N(FI205)))</f>
        <v/>
      </c>
      <c r="FN205">
        <f>IF(OR(FI$3="",FI$3&gt;TODAY()),"",IF(AND(FL205="",FM205=""),"",N(FM205)-N(FL205)))</f>
        <v/>
      </c>
      <c r="FR205">
        <f>IF(OR(FP$3="",FP$3&gt;TODAY()),"",IF(AND(FP205="",FQ205=""),"",N(FQ205)-N(FP205)))</f>
        <v/>
      </c>
      <c r="FU205">
        <f>IF(OR(FP$3="",FP$3&gt;TODAY()),"",IF(AND(FS205="",FT205=""),"",N(FT205)-N(FS205)))</f>
        <v/>
      </c>
      <c r="FY205">
        <f>IF(OR(FW$3="",FW$3&gt;TODAY()),"",IF(AND(FW205="",FX205=""),"",N(FX205)-N(FW205)))</f>
        <v/>
      </c>
      <c r="GB205">
        <f>IF(OR(FW$3="",FW$3&gt;TODAY()),"",IF(AND(FZ205="",GA205=""),"",N(GA205)-N(FZ205)))</f>
        <v/>
      </c>
      <c r="GF205">
        <f>IF(OR(GD$3="",GD$3&gt;TODAY()),"",IF(AND(GD205="",GE205=""),"",N(GE205)-N(GD205)))</f>
        <v/>
      </c>
      <c r="GI205">
        <f>IF(OR(GD$3="",GD$3&gt;TODAY()),"",IF(AND(GG205="",GH205=""),"",N(GH205)-N(GG205)))</f>
        <v/>
      </c>
      <c r="GM205">
        <f>IF(OR(GK$3="",GK$3&gt;TODAY()),"",IF(AND(GK205="",GL205=""),"",N(GL205)-N(GK205)))</f>
        <v/>
      </c>
      <c r="GP205">
        <f>IF(OR(GK$3="",GK$3&gt;TODAY()),"",IF(AND(GN205="",GO205=""),"",N(GO205)-N(GN205)))</f>
        <v/>
      </c>
      <c r="GT205">
        <f>IF(OR(GR$3="",GR$3&gt;TODAY()),"",IF(AND(GR205="",GS205=""),"",N(GS205)-N(GR205)))</f>
        <v/>
      </c>
      <c r="GW205">
        <f>IF(OR(GR$3="",GR$3&gt;TODAY()),"",IF(AND(GU205="",GV205=""),"",N(GV205)-N(GU205)))</f>
        <v/>
      </c>
      <c r="HA205">
        <f>IF(OR(GY$3="",GY$3&gt;TODAY()),"",IF(AND(GY205="",GZ205=""),"",N(GZ205)-N(GY205)))</f>
        <v/>
      </c>
      <c r="HD205">
        <f>IF(OR(GY$3="",GY$3&gt;TODAY()),"",IF(AND(HB205="",HC205=""),"",N(HC205)-N(HB205)))</f>
        <v/>
      </c>
      <c r="HH205">
        <f>IF(OR(HF$3="",HF$3&gt;TODAY()),"",IF(AND(HF205="",HG205=""),"",N(HG205)-N(HF205)))</f>
        <v/>
      </c>
      <c r="HK205">
        <f>IF(OR(HF$3="",HF$3&gt;TODAY()),"",IF(AND(HI205="",HJ205=""),"",N(HJ205)-N(HI205)))</f>
        <v/>
      </c>
      <c r="HO205">
        <f>IF(OR(HM$3="",HM$3&gt;TODAY()),"",IF(AND(HM205="",HN205=""),"",N(HN205)-N(HM205)))</f>
        <v/>
      </c>
      <c r="HR205">
        <f>IF(OR(HM$3="",HM$3&gt;TODAY()),"",IF(AND(HP205="",HQ205=""),"",N(HQ205)-N(HP205)))</f>
        <v/>
      </c>
      <c r="HV205">
        <f>IF(OR(HT$3="",HT$3&gt;TODAY()),"",IF(AND(HT205="",HU205=""),"",N(HU205)-N(HT205)))</f>
        <v/>
      </c>
      <c r="HY205">
        <f>IF(OR(HT$3="",HT$3&gt;TODAY()),"",IF(AND(HW205="",HX205=""),"",N(HX205)-N(HW205)))</f>
        <v/>
      </c>
      <c r="IC205">
        <f>IF(OR(IA$3="",IA$3&gt;TODAY()),"",IF(AND(IA205="",IB205=""),"",N(IB205)-N(IA205)))</f>
        <v/>
      </c>
      <c r="IF205">
        <f>IF(OR(IA$3="",IA$3&gt;TODAY()),"",IF(AND(ID205="",IE205=""),"",N(IE205)-N(ID205)))</f>
        <v/>
      </c>
      <c r="IJ205">
        <f>IF(OR(IH$3="",IH$3&gt;TODAY()),"",IF(AND(IH205="",II205=""),"",N(II205)-N(IH205)))</f>
        <v/>
      </c>
      <c r="IM205">
        <f>IF(OR(IH$3="",IH$3&gt;TODAY()),"",IF(AND(IK205="",IL205=""),"",N(IL205)-N(IK205)))</f>
        <v/>
      </c>
    </row>
    <row r="206">
      <c r="A206" s="21" t="n"/>
      <c r="B206" s="21" t="n"/>
      <c r="C206" s="21" t="n"/>
      <c r="D206" s="21" t="n"/>
      <c r="E206" s="21" t="n"/>
      <c r="F206" s="21" t="n"/>
      <c r="G206" s="21" t="n"/>
      <c r="H206" s="21" t="n"/>
      <c r="I206" s="22" t="n"/>
      <c r="J206" s="22" t="n"/>
      <c r="K206" s="23" t="n"/>
      <c r="L206" s="22" t="n"/>
      <c r="M206" s="22" t="n"/>
      <c r="N206" s="21" t="n"/>
      <c r="O206" s="23" t="n"/>
      <c r="P206" s="23" t="n"/>
      <c r="Q206" s="23" t="n"/>
      <c r="R206" s="23" t="n"/>
      <c r="S206" s="22" t="n"/>
      <c r="T206" s="23" t="n"/>
      <c r="U206" s="23" t="n"/>
      <c r="V206" s="24">
        <f>IF(J206&lt;&gt;"",J206,IF(I206&lt;&gt;"",I206,""))</f>
        <v/>
      </c>
      <c r="W206" s="25">
        <f>IF($E206="","",N(O206)+SUMIFS($AF206:$IN206,$AF$4:$IN$4,"SEW_ACT"))</f>
        <v/>
      </c>
      <c r="X206" s="25">
        <f>IF($E206="","",N(P206)+SUMIFS($AF206:$IN206,$AF$4:$IN$4,"WASH_ACT"))</f>
        <v/>
      </c>
      <c r="Y206" s="25">
        <f>IF($E206="","",W206-X206-N(T206)-N(U206))</f>
        <v/>
      </c>
      <c r="Z206" s="25">
        <f>IF($E206="","",IF(N(K206)-X206&lt;=0.02*N(K206),0,N(K206)-X206))</f>
        <v/>
      </c>
      <c r="AA206" s="24">
        <f>IF($E206="","",IF(S206&lt;&gt;"",S206,IF(N(O206)&gt;0,IF(L206&lt;&gt;"",L206,99999),IFERROR(1/(1/_xlfn.MINIFS($AF$3:$IN$3,$AF$4:$IN$4,"SEW_ACT",$AF206:$IN206,"&gt;0")),99999))))</f>
        <v/>
      </c>
      <c r="AB206" s="26">
        <f>IF(OR($E206="",Z206=0,V206=""),"",1+COUNTIFS(Z$8:Z$707,"&gt;0",V$8:V$707,"&lt;"&amp;V206)+COUNTIFS(Z$8:Z$707,"&gt;0",V$8:V$707,V206,AA$8:AA$707,"&lt;"&amp;AA206)+COUNTIFS(Z$8:Z$707,"&gt;0",V$8:V$707,V206,AA$8:AA$707,AA206,E$8:E$707,"&lt;"&amp;$E206))</f>
        <v/>
      </c>
      <c r="AC206" s="24">
        <f>IF(OR($E206="",Z206=0),"",IFERROR(TODAY()+ROUNDUP(Z206/(SUMIFS($AF206:$IN206,$AF$4:$IN$4,"WASH_ACT")/COUNTIFS($AF$4:$IN$4,"WASH_ACT",$AF206:$IN206,"&gt;0")),0),"no output yet"))</f>
        <v/>
      </c>
      <c r="AD206" s="26">
        <f>IF($E206="","",IFERROR(ROUND(MAX(0,SUMIFS($AF206:$IN206,$AF$4:$IN$4,"SEW_PLAN",$AF$3:$IN$3,"&lt;="&amp;TODAY())-SUMIFS($AF206:$IN206,$AF$4:$IN$4,"SEW_ACT",$AF$3:$IN$3,"&lt;="&amp;TODAY())+N(Q206))/(SUMIFS($AF206:$IN206,$AF$4:$IN$4,"SEW_PLAN")/COUNTIFS($AF$4:$IN$4,"SEW_PLAN",$AF206:$IN206,"&gt;0")),1),0))</f>
        <v/>
      </c>
      <c r="AE206" s="26">
        <f>IF($E206="","",IF(AND(Z206&gt;0,OR(AND(M206&lt;&gt;"",TODAY()&gt;M206),AND(V206&lt;&gt;"",V206-TODAY()&lt;=7))),"Yes","No"))</f>
        <v/>
      </c>
      <c r="AH206">
        <f>IF(OR(AF$3="",AF$3&gt;TODAY()),"",IF(AND(AF206="",AG206=""),"",N(AG206)-N(AF206)))</f>
        <v/>
      </c>
      <c r="AK206">
        <f>IF(OR(AF$3="",AF$3&gt;TODAY()),"",IF(AND(AI206="",AJ206=""),"",N(AJ206)-N(AI206)))</f>
        <v/>
      </c>
      <c r="AO206">
        <f>IF(OR(AM$3="",AM$3&gt;TODAY()),"",IF(AND(AM206="",AN206=""),"",N(AN206)-N(AM206)))</f>
        <v/>
      </c>
      <c r="AR206">
        <f>IF(OR(AM$3="",AM$3&gt;TODAY()),"",IF(AND(AP206="",AQ206=""),"",N(AQ206)-N(AP206)))</f>
        <v/>
      </c>
      <c r="AV206">
        <f>IF(OR(AT$3="",AT$3&gt;TODAY()),"",IF(AND(AT206="",AU206=""),"",N(AU206)-N(AT206)))</f>
        <v/>
      </c>
      <c r="AY206">
        <f>IF(OR(AT$3="",AT$3&gt;TODAY()),"",IF(AND(AW206="",AX206=""),"",N(AX206)-N(AW206)))</f>
        <v/>
      </c>
      <c r="BC206">
        <f>IF(OR(BA$3="",BA$3&gt;TODAY()),"",IF(AND(BA206="",BB206=""),"",N(BB206)-N(BA206)))</f>
        <v/>
      </c>
      <c r="BF206">
        <f>IF(OR(BA$3="",BA$3&gt;TODAY()),"",IF(AND(BD206="",BE206=""),"",N(BE206)-N(BD206)))</f>
        <v/>
      </c>
      <c r="BJ206">
        <f>IF(OR(BH$3="",BH$3&gt;TODAY()),"",IF(AND(BH206="",BI206=""),"",N(BI206)-N(BH206)))</f>
        <v/>
      </c>
      <c r="BM206">
        <f>IF(OR(BH$3="",BH$3&gt;TODAY()),"",IF(AND(BK206="",BL206=""),"",N(BL206)-N(BK206)))</f>
        <v/>
      </c>
      <c r="BQ206">
        <f>IF(OR(BO$3="",BO$3&gt;TODAY()),"",IF(AND(BO206="",BP206=""),"",N(BP206)-N(BO206)))</f>
        <v/>
      </c>
      <c r="BT206">
        <f>IF(OR(BO$3="",BO$3&gt;TODAY()),"",IF(AND(BR206="",BS206=""),"",N(BS206)-N(BR206)))</f>
        <v/>
      </c>
      <c r="BX206">
        <f>IF(OR(BV$3="",BV$3&gt;TODAY()),"",IF(AND(BV206="",BW206=""),"",N(BW206)-N(BV206)))</f>
        <v/>
      </c>
      <c r="CA206">
        <f>IF(OR(BV$3="",BV$3&gt;TODAY()),"",IF(AND(BY206="",BZ206=""),"",N(BZ206)-N(BY206)))</f>
        <v/>
      </c>
      <c r="CE206">
        <f>IF(OR(CC$3="",CC$3&gt;TODAY()),"",IF(AND(CC206="",CD206=""),"",N(CD206)-N(CC206)))</f>
        <v/>
      </c>
      <c r="CH206">
        <f>IF(OR(CC$3="",CC$3&gt;TODAY()),"",IF(AND(CF206="",CG206=""),"",N(CG206)-N(CF206)))</f>
        <v/>
      </c>
      <c r="CL206">
        <f>IF(OR(CJ$3="",CJ$3&gt;TODAY()),"",IF(AND(CJ206="",CK206=""),"",N(CK206)-N(CJ206)))</f>
        <v/>
      </c>
      <c r="CO206">
        <f>IF(OR(CJ$3="",CJ$3&gt;TODAY()),"",IF(AND(CM206="",CN206=""),"",N(CN206)-N(CM206)))</f>
        <v/>
      </c>
      <c r="CS206">
        <f>IF(OR(CQ$3="",CQ$3&gt;TODAY()),"",IF(AND(CQ206="",CR206=""),"",N(CR206)-N(CQ206)))</f>
        <v/>
      </c>
      <c r="CV206">
        <f>IF(OR(CQ$3="",CQ$3&gt;TODAY()),"",IF(AND(CT206="",CU206=""),"",N(CU206)-N(CT206)))</f>
        <v/>
      </c>
      <c r="CZ206">
        <f>IF(OR(CX$3="",CX$3&gt;TODAY()),"",IF(AND(CX206="",CY206=""),"",N(CY206)-N(CX206)))</f>
        <v/>
      </c>
      <c r="DC206">
        <f>IF(OR(CX$3="",CX$3&gt;TODAY()),"",IF(AND(DA206="",DB206=""),"",N(DB206)-N(DA206)))</f>
        <v/>
      </c>
      <c r="DG206">
        <f>IF(OR(DE$3="",DE$3&gt;TODAY()),"",IF(AND(DE206="",DF206=""),"",N(DF206)-N(DE206)))</f>
        <v/>
      </c>
      <c r="DJ206">
        <f>IF(OR(DE$3="",DE$3&gt;TODAY()),"",IF(AND(DH206="",DI206=""),"",N(DI206)-N(DH206)))</f>
        <v/>
      </c>
      <c r="DN206">
        <f>IF(OR(DL$3="",DL$3&gt;TODAY()),"",IF(AND(DL206="",DM206=""),"",N(DM206)-N(DL206)))</f>
        <v/>
      </c>
      <c r="DQ206">
        <f>IF(OR(DL$3="",DL$3&gt;TODAY()),"",IF(AND(DO206="",DP206=""),"",N(DP206)-N(DO206)))</f>
        <v/>
      </c>
      <c r="DU206">
        <f>IF(OR(DS$3="",DS$3&gt;TODAY()),"",IF(AND(DS206="",DT206=""),"",N(DT206)-N(DS206)))</f>
        <v/>
      </c>
      <c r="DX206">
        <f>IF(OR(DS$3="",DS$3&gt;TODAY()),"",IF(AND(DV206="",DW206=""),"",N(DW206)-N(DV206)))</f>
        <v/>
      </c>
      <c r="EB206">
        <f>IF(OR(DZ$3="",DZ$3&gt;TODAY()),"",IF(AND(DZ206="",EA206=""),"",N(EA206)-N(DZ206)))</f>
        <v/>
      </c>
      <c r="EE206">
        <f>IF(OR(DZ$3="",DZ$3&gt;TODAY()),"",IF(AND(EC206="",ED206=""),"",N(ED206)-N(EC206)))</f>
        <v/>
      </c>
      <c r="EI206">
        <f>IF(OR(EG$3="",EG$3&gt;TODAY()),"",IF(AND(EG206="",EH206=""),"",N(EH206)-N(EG206)))</f>
        <v/>
      </c>
      <c r="EL206">
        <f>IF(OR(EG$3="",EG$3&gt;TODAY()),"",IF(AND(EJ206="",EK206=""),"",N(EK206)-N(EJ206)))</f>
        <v/>
      </c>
      <c r="EP206">
        <f>IF(OR(EN$3="",EN$3&gt;TODAY()),"",IF(AND(EN206="",EO206=""),"",N(EO206)-N(EN206)))</f>
        <v/>
      </c>
      <c r="ES206">
        <f>IF(OR(EN$3="",EN$3&gt;TODAY()),"",IF(AND(EQ206="",ER206=""),"",N(ER206)-N(EQ206)))</f>
        <v/>
      </c>
      <c r="EW206">
        <f>IF(OR(EU$3="",EU$3&gt;TODAY()),"",IF(AND(EU206="",EV206=""),"",N(EV206)-N(EU206)))</f>
        <v/>
      </c>
      <c r="EZ206">
        <f>IF(OR(EU$3="",EU$3&gt;TODAY()),"",IF(AND(EX206="",EY206=""),"",N(EY206)-N(EX206)))</f>
        <v/>
      </c>
      <c r="FD206">
        <f>IF(OR(FB$3="",FB$3&gt;TODAY()),"",IF(AND(FB206="",FC206=""),"",N(FC206)-N(FB206)))</f>
        <v/>
      </c>
      <c r="FG206">
        <f>IF(OR(FB$3="",FB$3&gt;TODAY()),"",IF(AND(FE206="",FF206=""),"",N(FF206)-N(FE206)))</f>
        <v/>
      </c>
      <c r="FK206">
        <f>IF(OR(FI$3="",FI$3&gt;TODAY()),"",IF(AND(FI206="",FJ206=""),"",N(FJ206)-N(FI206)))</f>
        <v/>
      </c>
      <c r="FN206">
        <f>IF(OR(FI$3="",FI$3&gt;TODAY()),"",IF(AND(FL206="",FM206=""),"",N(FM206)-N(FL206)))</f>
        <v/>
      </c>
      <c r="FR206">
        <f>IF(OR(FP$3="",FP$3&gt;TODAY()),"",IF(AND(FP206="",FQ206=""),"",N(FQ206)-N(FP206)))</f>
        <v/>
      </c>
      <c r="FU206">
        <f>IF(OR(FP$3="",FP$3&gt;TODAY()),"",IF(AND(FS206="",FT206=""),"",N(FT206)-N(FS206)))</f>
        <v/>
      </c>
      <c r="FY206">
        <f>IF(OR(FW$3="",FW$3&gt;TODAY()),"",IF(AND(FW206="",FX206=""),"",N(FX206)-N(FW206)))</f>
        <v/>
      </c>
      <c r="GB206">
        <f>IF(OR(FW$3="",FW$3&gt;TODAY()),"",IF(AND(FZ206="",GA206=""),"",N(GA206)-N(FZ206)))</f>
        <v/>
      </c>
      <c r="GF206">
        <f>IF(OR(GD$3="",GD$3&gt;TODAY()),"",IF(AND(GD206="",GE206=""),"",N(GE206)-N(GD206)))</f>
        <v/>
      </c>
      <c r="GI206">
        <f>IF(OR(GD$3="",GD$3&gt;TODAY()),"",IF(AND(GG206="",GH206=""),"",N(GH206)-N(GG206)))</f>
        <v/>
      </c>
      <c r="GM206">
        <f>IF(OR(GK$3="",GK$3&gt;TODAY()),"",IF(AND(GK206="",GL206=""),"",N(GL206)-N(GK206)))</f>
        <v/>
      </c>
      <c r="GP206">
        <f>IF(OR(GK$3="",GK$3&gt;TODAY()),"",IF(AND(GN206="",GO206=""),"",N(GO206)-N(GN206)))</f>
        <v/>
      </c>
      <c r="GT206">
        <f>IF(OR(GR$3="",GR$3&gt;TODAY()),"",IF(AND(GR206="",GS206=""),"",N(GS206)-N(GR206)))</f>
        <v/>
      </c>
      <c r="GW206">
        <f>IF(OR(GR$3="",GR$3&gt;TODAY()),"",IF(AND(GU206="",GV206=""),"",N(GV206)-N(GU206)))</f>
        <v/>
      </c>
      <c r="HA206">
        <f>IF(OR(GY$3="",GY$3&gt;TODAY()),"",IF(AND(GY206="",GZ206=""),"",N(GZ206)-N(GY206)))</f>
        <v/>
      </c>
      <c r="HD206">
        <f>IF(OR(GY$3="",GY$3&gt;TODAY()),"",IF(AND(HB206="",HC206=""),"",N(HC206)-N(HB206)))</f>
        <v/>
      </c>
      <c r="HH206">
        <f>IF(OR(HF$3="",HF$3&gt;TODAY()),"",IF(AND(HF206="",HG206=""),"",N(HG206)-N(HF206)))</f>
        <v/>
      </c>
      <c r="HK206">
        <f>IF(OR(HF$3="",HF$3&gt;TODAY()),"",IF(AND(HI206="",HJ206=""),"",N(HJ206)-N(HI206)))</f>
        <v/>
      </c>
      <c r="HO206">
        <f>IF(OR(HM$3="",HM$3&gt;TODAY()),"",IF(AND(HM206="",HN206=""),"",N(HN206)-N(HM206)))</f>
        <v/>
      </c>
      <c r="HR206">
        <f>IF(OR(HM$3="",HM$3&gt;TODAY()),"",IF(AND(HP206="",HQ206=""),"",N(HQ206)-N(HP206)))</f>
        <v/>
      </c>
      <c r="HV206">
        <f>IF(OR(HT$3="",HT$3&gt;TODAY()),"",IF(AND(HT206="",HU206=""),"",N(HU206)-N(HT206)))</f>
        <v/>
      </c>
      <c r="HY206">
        <f>IF(OR(HT$3="",HT$3&gt;TODAY()),"",IF(AND(HW206="",HX206=""),"",N(HX206)-N(HW206)))</f>
        <v/>
      </c>
      <c r="IC206">
        <f>IF(OR(IA$3="",IA$3&gt;TODAY()),"",IF(AND(IA206="",IB206=""),"",N(IB206)-N(IA206)))</f>
        <v/>
      </c>
      <c r="IF206">
        <f>IF(OR(IA$3="",IA$3&gt;TODAY()),"",IF(AND(ID206="",IE206=""),"",N(IE206)-N(ID206)))</f>
        <v/>
      </c>
      <c r="IJ206">
        <f>IF(OR(IH$3="",IH$3&gt;TODAY()),"",IF(AND(IH206="",II206=""),"",N(II206)-N(IH206)))</f>
        <v/>
      </c>
      <c r="IM206">
        <f>IF(OR(IH$3="",IH$3&gt;TODAY()),"",IF(AND(IK206="",IL206=""),"",N(IL206)-N(IK206)))</f>
        <v/>
      </c>
    </row>
    <row r="207">
      <c r="A207" s="21" t="n"/>
      <c r="B207" s="21" t="n"/>
      <c r="C207" s="21" t="n"/>
      <c r="D207" s="21" t="n"/>
      <c r="E207" s="21" t="n"/>
      <c r="F207" s="21" t="n"/>
      <c r="G207" s="21" t="n"/>
      <c r="H207" s="21" t="n"/>
      <c r="I207" s="22" t="n"/>
      <c r="J207" s="22" t="n"/>
      <c r="K207" s="23" t="n"/>
      <c r="L207" s="22" t="n"/>
      <c r="M207" s="22" t="n"/>
      <c r="N207" s="21" t="n"/>
      <c r="O207" s="23" t="n"/>
      <c r="P207" s="23" t="n"/>
      <c r="Q207" s="23" t="n"/>
      <c r="R207" s="23" t="n"/>
      <c r="S207" s="22" t="n"/>
      <c r="T207" s="23" t="n"/>
      <c r="U207" s="23" t="n"/>
      <c r="V207" s="24">
        <f>IF(J207&lt;&gt;"",J207,IF(I207&lt;&gt;"",I207,""))</f>
        <v/>
      </c>
      <c r="W207" s="25">
        <f>IF($E207="","",N(O207)+SUMIFS($AF207:$IN207,$AF$4:$IN$4,"SEW_ACT"))</f>
        <v/>
      </c>
      <c r="X207" s="25">
        <f>IF($E207="","",N(P207)+SUMIFS($AF207:$IN207,$AF$4:$IN$4,"WASH_ACT"))</f>
        <v/>
      </c>
      <c r="Y207" s="25">
        <f>IF($E207="","",W207-X207-N(T207)-N(U207))</f>
        <v/>
      </c>
      <c r="Z207" s="25">
        <f>IF($E207="","",IF(N(K207)-X207&lt;=0.02*N(K207),0,N(K207)-X207))</f>
        <v/>
      </c>
      <c r="AA207" s="24">
        <f>IF($E207="","",IF(S207&lt;&gt;"",S207,IF(N(O207)&gt;0,IF(L207&lt;&gt;"",L207,99999),IFERROR(1/(1/_xlfn.MINIFS($AF$3:$IN$3,$AF$4:$IN$4,"SEW_ACT",$AF207:$IN207,"&gt;0")),99999))))</f>
        <v/>
      </c>
      <c r="AB207" s="26">
        <f>IF(OR($E207="",Z207=0,V207=""),"",1+COUNTIFS(Z$8:Z$707,"&gt;0",V$8:V$707,"&lt;"&amp;V207)+COUNTIFS(Z$8:Z$707,"&gt;0",V$8:V$707,V207,AA$8:AA$707,"&lt;"&amp;AA207)+COUNTIFS(Z$8:Z$707,"&gt;0",V$8:V$707,V207,AA$8:AA$707,AA207,E$8:E$707,"&lt;"&amp;$E207))</f>
        <v/>
      </c>
      <c r="AC207" s="24">
        <f>IF(OR($E207="",Z207=0),"",IFERROR(TODAY()+ROUNDUP(Z207/(SUMIFS($AF207:$IN207,$AF$4:$IN$4,"WASH_ACT")/COUNTIFS($AF$4:$IN$4,"WASH_ACT",$AF207:$IN207,"&gt;0")),0),"no output yet"))</f>
        <v/>
      </c>
      <c r="AD207" s="26">
        <f>IF($E207="","",IFERROR(ROUND(MAX(0,SUMIFS($AF207:$IN207,$AF$4:$IN$4,"SEW_PLAN",$AF$3:$IN$3,"&lt;="&amp;TODAY())-SUMIFS($AF207:$IN207,$AF$4:$IN$4,"SEW_ACT",$AF$3:$IN$3,"&lt;="&amp;TODAY())+N(Q207))/(SUMIFS($AF207:$IN207,$AF$4:$IN$4,"SEW_PLAN")/COUNTIFS($AF$4:$IN$4,"SEW_PLAN",$AF207:$IN207,"&gt;0")),1),0))</f>
        <v/>
      </c>
      <c r="AE207" s="26">
        <f>IF($E207="","",IF(AND(Z207&gt;0,OR(AND(M207&lt;&gt;"",TODAY()&gt;M207),AND(V207&lt;&gt;"",V207-TODAY()&lt;=7))),"Yes","No"))</f>
        <v/>
      </c>
      <c r="AH207">
        <f>IF(OR(AF$3="",AF$3&gt;TODAY()),"",IF(AND(AF207="",AG207=""),"",N(AG207)-N(AF207)))</f>
        <v/>
      </c>
      <c r="AK207">
        <f>IF(OR(AF$3="",AF$3&gt;TODAY()),"",IF(AND(AI207="",AJ207=""),"",N(AJ207)-N(AI207)))</f>
        <v/>
      </c>
      <c r="AO207">
        <f>IF(OR(AM$3="",AM$3&gt;TODAY()),"",IF(AND(AM207="",AN207=""),"",N(AN207)-N(AM207)))</f>
        <v/>
      </c>
      <c r="AR207">
        <f>IF(OR(AM$3="",AM$3&gt;TODAY()),"",IF(AND(AP207="",AQ207=""),"",N(AQ207)-N(AP207)))</f>
        <v/>
      </c>
      <c r="AV207">
        <f>IF(OR(AT$3="",AT$3&gt;TODAY()),"",IF(AND(AT207="",AU207=""),"",N(AU207)-N(AT207)))</f>
        <v/>
      </c>
      <c r="AY207">
        <f>IF(OR(AT$3="",AT$3&gt;TODAY()),"",IF(AND(AW207="",AX207=""),"",N(AX207)-N(AW207)))</f>
        <v/>
      </c>
      <c r="BC207">
        <f>IF(OR(BA$3="",BA$3&gt;TODAY()),"",IF(AND(BA207="",BB207=""),"",N(BB207)-N(BA207)))</f>
        <v/>
      </c>
      <c r="BF207">
        <f>IF(OR(BA$3="",BA$3&gt;TODAY()),"",IF(AND(BD207="",BE207=""),"",N(BE207)-N(BD207)))</f>
        <v/>
      </c>
      <c r="BJ207">
        <f>IF(OR(BH$3="",BH$3&gt;TODAY()),"",IF(AND(BH207="",BI207=""),"",N(BI207)-N(BH207)))</f>
        <v/>
      </c>
      <c r="BM207">
        <f>IF(OR(BH$3="",BH$3&gt;TODAY()),"",IF(AND(BK207="",BL207=""),"",N(BL207)-N(BK207)))</f>
        <v/>
      </c>
      <c r="BQ207">
        <f>IF(OR(BO$3="",BO$3&gt;TODAY()),"",IF(AND(BO207="",BP207=""),"",N(BP207)-N(BO207)))</f>
        <v/>
      </c>
      <c r="BT207">
        <f>IF(OR(BO$3="",BO$3&gt;TODAY()),"",IF(AND(BR207="",BS207=""),"",N(BS207)-N(BR207)))</f>
        <v/>
      </c>
      <c r="BX207">
        <f>IF(OR(BV$3="",BV$3&gt;TODAY()),"",IF(AND(BV207="",BW207=""),"",N(BW207)-N(BV207)))</f>
        <v/>
      </c>
      <c r="CA207">
        <f>IF(OR(BV$3="",BV$3&gt;TODAY()),"",IF(AND(BY207="",BZ207=""),"",N(BZ207)-N(BY207)))</f>
        <v/>
      </c>
      <c r="CE207">
        <f>IF(OR(CC$3="",CC$3&gt;TODAY()),"",IF(AND(CC207="",CD207=""),"",N(CD207)-N(CC207)))</f>
        <v/>
      </c>
      <c r="CH207">
        <f>IF(OR(CC$3="",CC$3&gt;TODAY()),"",IF(AND(CF207="",CG207=""),"",N(CG207)-N(CF207)))</f>
        <v/>
      </c>
      <c r="CL207">
        <f>IF(OR(CJ$3="",CJ$3&gt;TODAY()),"",IF(AND(CJ207="",CK207=""),"",N(CK207)-N(CJ207)))</f>
        <v/>
      </c>
      <c r="CO207">
        <f>IF(OR(CJ$3="",CJ$3&gt;TODAY()),"",IF(AND(CM207="",CN207=""),"",N(CN207)-N(CM207)))</f>
        <v/>
      </c>
      <c r="CS207">
        <f>IF(OR(CQ$3="",CQ$3&gt;TODAY()),"",IF(AND(CQ207="",CR207=""),"",N(CR207)-N(CQ207)))</f>
        <v/>
      </c>
      <c r="CV207">
        <f>IF(OR(CQ$3="",CQ$3&gt;TODAY()),"",IF(AND(CT207="",CU207=""),"",N(CU207)-N(CT207)))</f>
        <v/>
      </c>
      <c r="CZ207">
        <f>IF(OR(CX$3="",CX$3&gt;TODAY()),"",IF(AND(CX207="",CY207=""),"",N(CY207)-N(CX207)))</f>
        <v/>
      </c>
      <c r="DC207">
        <f>IF(OR(CX$3="",CX$3&gt;TODAY()),"",IF(AND(DA207="",DB207=""),"",N(DB207)-N(DA207)))</f>
        <v/>
      </c>
      <c r="DG207">
        <f>IF(OR(DE$3="",DE$3&gt;TODAY()),"",IF(AND(DE207="",DF207=""),"",N(DF207)-N(DE207)))</f>
        <v/>
      </c>
      <c r="DJ207">
        <f>IF(OR(DE$3="",DE$3&gt;TODAY()),"",IF(AND(DH207="",DI207=""),"",N(DI207)-N(DH207)))</f>
        <v/>
      </c>
      <c r="DN207">
        <f>IF(OR(DL$3="",DL$3&gt;TODAY()),"",IF(AND(DL207="",DM207=""),"",N(DM207)-N(DL207)))</f>
        <v/>
      </c>
      <c r="DQ207">
        <f>IF(OR(DL$3="",DL$3&gt;TODAY()),"",IF(AND(DO207="",DP207=""),"",N(DP207)-N(DO207)))</f>
        <v/>
      </c>
      <c r="DU207">
        <f>IF(OR(DS$3="",DS$3&gt;TODAY()),"",IF(AND(DS207="",DT207=""),"",N(DT207)-N(DS207)))</f>
        <v/>
      </c>
      <c r="DX207">
        <f>IF(OR(DS$3="",DS$3&gt;TODAY()),"",IF(AND(DV207="",DW207=""),"",N(DW207)-N(DV207)))</f>
        <v/>
      </c>
      <c r="EB207">
        <f>IF(OR(DZ$3="",DZ$3&gt;TODAY()),"",IF(AND(DZ207="",EA207=""),"",N(EA207)-N(DZ207)))</f>
        <v/>
      </c>
      <c r="EE207">
        <f>IF(OR(DZ$3="",DZ$3&gt;TODAY()),"",IF(AND(EC207="",ED207=""),"",N(ED207)-N(EC207)))</f>
        <v/>
      </c>
      <c r="EI207">
        <f>IF(OR(EG$3="",EG$3&gt;TODAY()),"",IF(AND(EG207="",EH207=""),"",N(EH207)-N(EG207)))</f>
        <v/>
      </c>
      <c r="EL207">
        <f>IF(OR(EG$3="",EG$3&gt;TODAY()),"",IF(AND(EJ207="",EK207=""),"",N(EK207)-N(EJ207)))</f>
        <v/>
      </c>
      <c r="EP207">
        <f>IF(OR(EN$3="",EN$3&gt;TODAY()),"",IF(AND(EN207="",EO207=""),"",N(EO207)-N(EN207)))</f>
        <v/>
      </c>
      <c r="ES207">
        <f>IF(OR(EN$3="",EN$3&gt;TODAY()),"",IF(AND(EQ207="",ER207=""),"",N(ER207)-N(EQ207)))</f>
        <v/>
      </c>
      <c r="EW207">
        <f>IF(OR(EU$3="",EU$3&gt;TODAY()),"",IF(AND(EU207="",EV207=""),"",N(EV207)-N(EU207)))</f>
        <v/>
      </c>
      <c r="EZ207">
        <f>IF(OR(EU$3="",EU$3&gt;TODAY()),"",IF(AND(EX207="",EY207=""),"",N(EY207)-N(EX207)))</f>
        <v/>
      </c>
      <c r="FD207">
        <f>IF(OR(FB$3="",FB$3&gt;TODAY()),"",IF(AND(FB207="",FC207=""),"",N(FC207)-N(FB207)))</f>
        <v/>
      </c>
      <c r="FG207">
        <f>IF(OR(FB$3="",FB$3&gt;TODAY()),"",IF(AND(FE207="",FF207=""),"",N(FF207)-N(FE207)))</f>
        <v/>
      </c>
      <c r="FK207">
        <f>IF(OR(FI$3="",FI$3&gt;TODAY()),"",IF(AND(FI207="",FJ207=""),"",N(FJ207)-N(FI207)))</f>
        <v/>
      </c>
      <c r="FN207">
        <f>IF(OR(FI$3="",FI$3&gt;TODAY()),"",IF(AND(FL207="",FM207=""),"",N(FM207)-N(FL207)))</f>
        <v/>
      </c>
      <c r="FR207">
        <f>IF(OR(FP$3="",FP$3&gt;TODAY()),"",IF(AND(FP207="",FQ207=""),"",N(FQ207)-N(FP207)))</f>
        <v/>
      </c>
      <c r="FU207">
        <f>IF(OR(FP$3="",FP$3&gt;TODAY()),"",IF(AND(FS207="",FT207=""),"",N(FT207)-N(FS207)))</f>
        <v/>
      </c>
      <c r="FY207">
        <f>IF(OR(FW$3="",FW$3&gt;TODAY()),"",IF(AND(FW207="",FX207=""),"",N(FX207)-N(FW207)))</f>
        <v/>
      </c>
      <c r="GB207">
        <f>IF(OR(FW$3="",FW$3&gt;TODAY()),"",IF(AND(FZ207="",GA207=""),"",N(GA207)-N(FZ207)))</f>
        <v/>
      </c>
      <c r="GF207">
        <f>IF(OR(GD$3="",GD$3&gt;TODAY()),"",IF(AND(GD207="",GE207=""),"",N(GE207)-N(GD207)))</f>
        <v/>
      </c>
      <c r="GI207">
        <f>IF(OR(GD$3="",GD$3&gt;TODAY()),"",IF(AND(GG207="",GH207=""),"",N(GH207)-N(GG207)))</f>
        <v/>
      </c>
      <c r="GM207">
        <f>IF(OR(GK$3="",GK$3&gt;TODAY()),"",IF(AND(GK207="",GL207=""),"",N(GL207)-N(GK207)))</f>
        <v/>
      </c>
      <c r="GP207">
        <f>IF(OR(GK$3="",GK$3&gt;TODAY()),"",IF(AND(GN207="",GO207=""),"",N(GO207)-N(GN207)))</f>
        <v/>
      </c>
      <c r="GT207">
        <f>IF(OR(GR$3="",GR$3&gt;TODAY()),"",IF(AND(GR207="",GS207=""),"",N(GS207)-N(GR207)))</f>
        <v/>
      </c>
      <c r="GW207">
        <f>IF(OR(GR$3="",GR$3&gt;TODAY()),"",IF(AND(GU207="",GV207=""),"",N(GV207)-N(GU207)))</f>
        <v/>
      </c>
      <c r="HA207">
        <f>IF(OR(GY$3="",GY$3&gt;TODAY()),"",IF(AND(GY207="",GZ207=""),"",N(GZ207)-N(GY207)))</f>
        <v/>
      </c>
      <c r="HD207">
        <f>IF(OR(GY$3="",GY$3&gt;TODAY()),"",IF(AND(HB207="",HC207=""),"",N(HC207)-N(HB207)))</f>
        <v/>
      </c>
      <c r="HH207">
        <f>IF(OR(HF$3="",HF$3&gt;TODAY()),"",IF(AND(HF207="",HG207=""),"",N(HG207)-N(HF207)))</f>
        <v/>
      </c>
      <c r="HK207">
        <f>IF(OR(HF$3="",HF$3&gt;TODAY()),"",IF(AND(HI207="",HJ207=""),"",N(HJ207)-N(HI207)))</f>
        <v/>
      </c>
      <c r="HO207">
        <f>IF(OR(HM$3="",HM$3&gt;TODAY()),"",IF(AND(HM207="",HN207=""),"",N(HN207)-N(HM207)))</f>
        <v/>
      </c>
      <c r="HR207">
        <f>IF(OR(HM$3="",HM$3&gt;TODAY()),"",IF(AND(HP207="",HQ207=""),"",N(HQ207)-N(HP207)))</f>
        <v/>
      </c>
      <c r="HV207">
        <f>IF(OR(HT$3="",HT$3&gt;TODAY()),"",IF(AND(HT207="",HU207=""),"",N(HU207)-N(HT207)))</f>
        <v/>
      </c>
      <c r="HY207">
        <f>IF(OR(HT$3="",HT$3&gt;TODAY()),"",IF(AND(HW207="",HX207=""),"",N(HX207)-N(HW207)))</f>
        <v/>
      </c>
      <c r="IC207">
        <f>IF(OR(IA$3="",IA$3&gt;TODAY()),"",IF(AND(IA207="",IB207=""),"",N(IB207)-N(IA207)))</f>
        <v/>
      </c>
      <c r="IF207">
        <f>IF(OR(IA$3="",IA$3&gt;TODAY()),"",IF(AND(ID207="",IE207=""),"",N(IE207)-N(ID207)))</f>
        <v/>
      </c>
      <c r="IJ207">
        <f>IF(OR(IH$3="",IH$3&gt;TODAY()),"",IF(AND(IH207="",II207=""),"",N(II207)-N(IH207)))</f>
        <v/>
      </c>
      <c r="IM207">
        <f>IF(OR(IH$3="",IH$3&gt;TODAY()),"",IF(AND(IK207="",IL207=""),"",N(IL207)-N(IK207)))</f>
        <v/>
      </c>
    </row>
    <row r="208">
      <c r="A208" s="21" t="n"/>
      <c r="B208" s="21" t="n"/>
      <c r="C208" s="21" t="n"/>
      <c r="D208" s="21" t="n"/>
      <c r="E208" s="21" t="n"/>
      <c r="F208" s="21" t="n"/>
      <c r="G208" s="21" t="n"/>
      <c r="H208" s="21" t="n"/>
      <c r="I208" s="22" t="n"/>
      <c r="J208" s="22" t="n"/>
      <c r="K208" s="23" t="n"/>
      <c r="L208" s="22" t="n"/>
      <c r="M208" s="22" t="n"/>
      <c r="N208" s="21" t="n"/>
      <c r="O208" s="23" t="n"/>
      <c r="P208" s="23" t="n"/>
      <c r="Q208" s="23" t="n"/>
      <c r="R208" s="23" t="n"/>
      <c r="S208" s="22" t="n"/>
      <c r="T208" s="23" t="n"/>
      <c r="U208" s="23" t="n"/>
      <c r="V208" s="24">
        <f>IF(J208&lt;&gt;"",J208,IF(I208&lt;&gt;"",I208,""))</f>
        <v/>
      </c>
      <c r="W208" s="25">
        <f>IF($E208="","",N(O208)+SUMIFS($AF208:$IN208,$AF$4:$IN$4,"SEW_ACT"))</f>
        <v/>
      </c>
      <c r="X208" s="25">
        <f>IF($E208="","",N(P208)+SUMIFS($AF208:$IN208,$AF$4:$IN$4,"WASH_ACT"))</f>
        <v/>
      </c>
      <c r="Y208" s="25">
        <f>IF($E208="","",W208-X208-N(T208)-N(U208))</f>
        <v/>
      </c>
      <c r="Z208" s="25">
        <f>IF($E208="","",IF(N(K208)-X208&lt;=0.02*N(K208),0,N(K208)-X208))</f>
        <v/>
      </c>
      <c r="AA208" s="24">
        <f>IF($E208="","",IF(S208&lt;&gt;"",S208,IF(N(O208)&gt;0,IF(L208&lt;&gt;"",L208,99999),IFERROR(1/(1/_xlfn.MINIFS($AF$3:$IN$3,$AF$4:$IN$4,"SEW_ACT",$AF208:$IN208,"&gt;0")),99999))))</f>
        <v/>
      </c>
      <c r="AB208" s="26">
        <f>IF(OR($E208="",Z208=0,V208=""),"",1+COUNTIFS(Z$8:Z$707,"&gt;0",V$8:V$707,"&lt;"&amp;V208)+COUNTIFS(Z$8:Z$707,"&gt;0",V$8:V$707,V208,AA$8:AA$707,"&lt;"&amp;AA208)+COUNTIFS(Z$8:Z$707,"&gt;0",V$8:V$707,V208,AA$8:AA$707,AA208,E$8:E$707,"&lt;"&amp;$E208))</f>
        <v/>
      </c>
      <c r="AC208" s="24">
        <f>IF(OR($E208="",Z208=0),"",IFERROR(TODAY()+ROUNDUP(Z208/(SUMIFS($AF208:$IN208,$AF$4:$IN$4,"WASH_ACT")/COUNTIFS($AF$4:$IN$4,"WASH_ACT",$AF208:$IN208,"&gt;0")),0),"no output yet"))</f>
        <v/>
      </c>
      <c r="AD208" s="26">
        <f>IF($E208="","",IFERROR(ROUND(MAX(0,SUMIFS($AF208:$IN208,$AF$4:$IN$4,"SEW_PLAN",$AF$3:$IN$3,"&lt;="&amp;TODAY())-SUMIFS($AF208:$IN208,$AF$4:$IN$4,"SEW_ACT",$AF$3:$IN$3,"&lt;="&amp;TODAY())+N(Q208))/(SUMIFS($AF208:$IN208,$AF$4:$IN$4,"SEW_PLAN")/COUNTIFS($AF$4:$IN$4,"SEW_PLAN",$AF208:$IN208,"&gt;0")),1),0))</f>
        <v/>
      </c>
      <c r="AE208" s="26">
        <f>IF($E208="","",IF(AND(Z208&gt;0,OR(AND(M208&lt;&gt;"",TODAY()&gt;M208),AND(V208&lt;&gt;"",V208-TODAY()&lt;=7))),"Yes","No"))</f>
        <v/>
      </c>
      <c r="AH208">
        <f>IF(OR(AF$3="",AF$3&gt;TODAY()),"",IF(AND(AF208="",AG208=""),"",N(AG208)-N(AF208)))</f>
        <v/>
      </c>
      <c r="AK208">
        <f>IF(OR(AF$3="",AF$3&gt;TODAY()),"",IF(AND(AI208="",AJ208=""),"",N(AJ208)-N(AI208)))</f>
        <v/>
      </c>
      <c r="AO208">
        <f>IF(OR(AM$3="",AM$3&gt;TODAY()),"",IF(AND(AM208="",AN208=""),"",N(AN208)-N(AM208)))</f>
        <v/>
      </c>
      <c r="AR208">
        <f>IF(OR(AM$3="",AM$3&gt;TODAY()),"",IF(AND(AP208="",AQ208=""),"",N(AQ208)-N(AP208)))</f>
        <v/>
      </c>
      <c r="AV208">
        <f>IF(OR(AT$3="",AT$3&gt;TODAY()),"",IF(AND(AT208="",AU208=""),"",N(AU208)-N(AT208)))</f>
        <v/>
      </c>
      <c r="AY208">
        <f>IF(OR(AT$3="",AT$3&gt;TODAY()),"",IF(AND(AW208="",AX208=""),"",N(AX208)-N(AW208)))</f>
        <v/>
      </c>
      <c r="BC208">
        <f>IF(OR(BA$3="",BA$3&gt;TODAY()),"",IF(AND(BA208="",BB208=""),"",N(BB208)-N(BA208)))</f>
        <v/>
      </c>
      <c r="BF208">
        <f>IF(OR(BA$3="",BA$3&gt;TODAY()),"",IF(AND(BD208="",BE208=""),"",N(BE208)-N(BD208)))</f>
        <v/>
      </c>
      <c r="BJ208">
        <f>IF(OR(BH$3="",BH$3&gt;TODAY()),"",IF(AND(BH208="",BI208=""),"",N(BI208)-N(BH208)))</f>
        <v/>
      </c>
      <c r="BM208">
        <f>IF(OR(BH$3="",BH$3&gt;TODAY()),"",IF(AND(BK208="",BL208=""),"",N(BL208)-N(BK208)))</f>
        <v/>
      </c>
      <c r="BQ208">
        <f>IF(OR(BO$3="",BO$3&gt;TODAY()),"",IF(AND(BO208="",BP208=""),"",N(BP208)-N(BO208)))</f>
        <v/>
      </c>
      <c r="BT208">
        <f>IF(OR(BO$3="",BO$3&gt;TODAY()),"",IF(AND(BR208="",BS208=""),"",N(BS208)-N(BR208)))</f>
        <v/>
      </c>
      <c r="BX208">
        <f>IF(OR(BV$3="",BV$3&gt;TODAY()),"",IF(AND(BV208="",BW208=""),"",N(BW208)-N(BV208)))</f>
        <v/>
      </c>
      <c r="CA208">
        <f>IF(OR(BV$3="",BV$3&gt;TODAY()),"",IF(AND(BY208="",BZ208=""),"",N(BZ208)-N(BY208)))</f>
        <v/>
      </c>
      <c r="CE208">
        <f>IF(OR(CC$3="",CC$3&gt;TODAY()),"",IF(AND(CC208="",CD208=""),"",N(CD208)-N(CC208)))</f>
        <v/>
      </c>
      <c r="CH208">
        <f>IF(OR(CC$3="",CC$3&gt;TODAY()),"",IF(AND(CF208="",CG208=""),"",N(CG208)-N(CF208)))</f>
        <v/>
      </c>
      <c r="CL208">
        <f>IF(OR(CJ$3="",CJ$3&gt;TODAY()),"",IF(AND(CJ208="",CK208=""),"",N(CK208)-N(CJ208)))</f>
        <v/>
      </c>
      <c r="CO208">
        <f>IF(OR(CJ$3="",CJ$3&gt;TODAY()),"",IF(AND(CM208="",CN208=""),"",N(CN208)-N(CM208)))</f>
        <v/>
      </c>
      <c r="CS208">
        <f>IF(OR(CQ$3="",CQ$3&gt;TODAY()),"",IF(AND(CQ208="",CR208=""),"",N(CR208)-N(CQ208)))</f>
        <v/>
      </c>
      <c r="CV208">
        <f>IF(OR(CQ$3="",CQ$3&gt;TODAY()),"",IF(AND(CT208="",CU208=""),"",N(CU208)-N(CT208)))</f>
        <v/>
      </c>
      <c r="CZ208">
        <f>IF(OR(CX$3="",CX$3&gt;TODAY()),"",IF(AND(CX208="",CY208=""),"",N(CY208)-N(CX208)))</f>
        <v/>
      </c>
      <c r="DC208">
        <f>IF(OR(CX$3="",CX$3&gt;TODAY()),"",IF(AND(DA208="",DB208=""),"",N(DB208)-N(DA208)))</f>
        <v/>
      </c>
      <c r="DG208">
        <f>IF(OR(DE$3="",DE$3&gt;TODAY()),"",IF(AND(DE208="",DF208=""),"",N(DF208)-N(DE208)))</f>
        <v/>
      </c>
      <c r="DJ208">
        <f>IF(OR(DE$3="",DE$3&gt;TODAY()),"",IF(AND(DH208="",DI208=""),"",N(DI208)-N(DH208)))</f>
        <v/>
      </c>
      <c r="DN208">
        <f>IF(OR(DL$3="",DL$3&gt;TODAY()),"",IF(AND(DL208="",DM208=""),"",N(DM208)-N(DL208)))</f>
        <v/>
      </c>
      <c r="DQ208">
        <f>IF(OR(DL$3="",DL$3&gt;TODAY()),"",IF(AND(DO208="",DP208=""),"",N(DP208)-N(DO208)))</f>
        <v/>
      </c>
      <c r="DU208">
        <f>IF(OR(DS$3="",DS$3&gt;TODAY()),"",IF(AND(DS208="",DT208=""),"",N(DT208)-N(DS208)))</f>
        <v/>
      </c>
      <c r="DX208">
        <f>IF(OR(DS$3="",DS$3&gt;TODAY()),"",IF(AND(DV208="",DW208=""),"",N(DW208)-N(DV208)))</f>
        <v/>
      </c>
      <c r="EB208">
        <f>IF(OR(DZ$3="",DZ$3&gt;TODAY()),"",IF(AND(DZ208="",EA208=""),"",N(EA208)-N(DZ208)))</f>
        <v/>
      </c>
      <c r="EE208">
        <f>IF(OR(DZ$3="",DZ$3&gt;TODAY()),"",IF(AND(EC208="",ED208=""),"",N(ED208)-N(EC208)))</f>
        <v/>
      </c>
      <c r="EI208">
        <f>IF(OR(EG$3="",EG$3&gt;TODAY()),"",IF(AND(EG208="",EH208=""),"",N(EH208)-N(EG208)))</f>
        <v/>
      </c>
      <c r="EL208">
        <f>IF(OR(EG$3="",EG$3&gt;TODAY()),"",IF(AND(EJ208="",EK208=""),"",N(EK208)-N(EJ208)))</f>
        <v/>
      </c>
      <c r="EP208">
        <f>IF(OR(EN$3="",EN$3&gt;TODAY()),"",IF(AND(EN208="",EO208=""),"",N(EO208)-N(EN208)))</f>
        <v/>
      </c>
      <c r="ES208">
        <f>IF(OR(EN$3="",EN$3&gt;TODAY()),"",IF(AND(EQ208="",ER208=""),"",N(ER208)-N(EQ208)))</f>
        <v/>
      </c>
      <c r="EW208">
        <f>IF(OR(EU$3="",EU$3&gt;TODAY()),"",IF(AND(EU208="",EV208=""),"",N(EV208)-N(EU208)))</f>
        <v/>
      </c>
      <c r="EZ208">
        <f>IF(OR(EU$3="",EU$3&gt;TODAY()),"",IF(AND(EX208="",EY208=""),"",N(EY208)-N(EX208)))</f>
        <v/>
      </c>
      <c r="FD208">
        <f>IF(OR(FB$3="",FB$3&gt;TODAY()),"",IF(AND(FB208="",FC208=""),"",N(FC208)-N(FB208)))</f>
        <v/>
      </c>
      <c r="FG208">
        <f>IF(OR(FB$3="",FB$3&gt;TODAY()),"",IF(AND(FE208="",FF208=""),"",N(FF208)-N(FE208)))</f>
        <v/>
      </c>
      <c r="FK208">
        <f>IF(OR(FI$3="",FI$3&gt;TODAY()),"",IF(AND(FI208="",FJ208=""),"",N(FJ208)-N(FI208)))</f>
        <v/>
      </c>
      <c r="FN208">
        <f>IF(OR(FI$3="",FI$3&gt;TODAY()),"",IF(AND(FL208="",FM208=""),"",N(FM208)-N(FL208)))</f>
        <v/>
      </c>
      <c r="FR208">
        <f>IF(OR(FP$3="",FP$3&gt;TODAY()),"",IF(AND(FP208="",FQ208=""),"",N(FQ208)-N(FP208)))</f>
        <v/>
      </c>
      <c r="FU208">
        <f>IF(OR(FP$3="",FP$3&gt;TODAY()),"",IF(AND(FS208="",FT208=""),"",N(FT208)-N(FS208)))</f>
        <v/>
      </c>
      <c r="FY208">
        <f>IF(OR(FW$3="",FW$3&gt;TODAY()),"",IF(AND(FW208="",FX208=""),"",N(FX208)-N(FW208)))</f>
        <v/>
      </c>
      <c r="GB208">
        <f>IF(OR(FW$3="",FW$3&gt;TODAY()),"",IF(AND(FZ208="",GA208=""),"",N(GA208)-N(FZ208)))</f>
        <v/>
      </c>
      <c r="GF208">
        <f>IF(OR(GD$3="",GD$3&gt;TODAY()),"",IF(AND(GD208="",GE208=""),"",N(GE208)-N(GD208)))</f>
        <v/>
      </c>
      <c r="GI208">
        <f>IF(OR(GD$3="",GD$3&gt;TODAY()),"",IF(AND(GG208="",GH208=""),"",N(GH208)-N(GG208)))</f>
        <v/>
      </c>
      <c r="GM208">
        <f>IF(OR(GK$3="",GK$3&gt;TODAY()),"",IF(AND(GK208="",GL208=""),"",N(GL208)-N(GK208)))</f>
        <v/>
      </c>
      <c r="GP208">
        <f>IF(OR(GK$3="",GK$3&gt;TODAY()),"",IF(AND(GN208="",GO208=""),"",N(GO208)-N(GN208)))</f>
        <v/>
      </c>
      <c r="GT208">
        <f>IF(OR(GR$3="",GR$3&gt;TODAY()),"",IF(AND(GR208="",GS208=""),"",N(GS208)-N(GR208)))</f>
        <v/>
      </c>
      <c r="GW208">
        <f>IF(OR(GR$3="",GR$3&gt;TODAY()),"",IF(AND(GU208="",GV208=""),"",N(GV208)-N(GU208)))</f>
        <v/>
      </c>
      <c r="HA208">
        <f>IF(OR(GY$3="",GY$3&gt;TODAY()),"",IF(AND(GY208="",GZ208=""),"",N(GZ208)-N(GY208)))</f>
        <v/>
      </c>
      <c r="HD208">
        <f>IF(OR(GY$3="",GY$3&gt;TODAY()),"",IF(AND(HB208="",HC208=""),"",N(HC208)-N(HB208)))</f>
        <v/>
      </c>
      <c r="HH208">
        <f>IF(OR(HF$3="",HF$3&gt;TODAY()),"",IF(AND(HF208="",HG208=""),"",N(HG208)-N(HF208)))</f>
        <v/>
      </c>
      <c r="HK208">
        <f>IF(OR(HF$3="",HF$3&gt;TODAY()),"",IF(AND(HI208="",HJ208=""),"",N(HJ208)-N(HI208)))</f>
        <v/>
      </c>
      <c r="HO208">
        <f>IF(OR(HM$3="",HM$3&gt;TODAY()),"",IF(AND(HM208="",HN208=""),"",N(HN208)-N(HM208)))</f>
        <v/>
      </c>
      <c r="HR208">
        <f>IF(OR(HM$3="",HM$3&gt;TODAY()),"",IF(AND(HP208="",HQ208=""),"",N(HQ208)-N(HP208)))</f>
        <v/>
      </c>
      <c r="HV208">
        <f>IF(OR(HT$3="",HT$3&gt;TODAY()),"",IF(AND(HT208="",HU208=""),"",N(HU208)-N(HT208)))</f>
        <v/>
      </c>
      <c r="HY208">
        <f>IF(OR(HT$3="",HT$3&gt;TODAY()),"",IF(AND(HW208="",HX208=""),"",N(HX208)-N(HW208)))</f>
        <v/>
      </c>
      <c r="IC208">
        <f>IF(OR(IA$3="",IA$3&gt;TODAY()),"",IF(AND(IA208="",IB208=""),"",N(IB208)-N(IA208)))</f>
        <v/>
      </c>
      <c r="IF208">
        <f>IF(OR(IA$3="",IA$3&gt;TODAY()),"",IF(AND(ID208="",IE208=""),"",N(IE208)-N(ID208)))</f>
        <v/>
      </c>
      <c r="IJ208">
        <f>IF(OR(IH$3="",IH$3&gt;TODAY()),"",IF(AND(IH208="",II208=""),"",N(II208)-N(IH208)))</f>
        <v/>
      </c>
      <c r="IM208">
        <f>IF(OR(IH$3="",IH$3&gt;TODAY()),"",IF(AND(IK208="",IL208=""),"",N(IL208)-N(IK208)))</f>
        <v/>
      </c>
    </row>
    <row r="209">
      <c r="A209" s="21" t="n"/>
      <c r="B209" s="21" t="n"/>
      <c r="C209" s="21" t="n"/>
      <c r="D209" s="21" t="n"/>
      <c r="E209" s="21" t="n"/>
      <c r="F209" s="21" t="n"/>
      <c r="G209" s="21" t="n"/>
      <c r="H209" s="21" t="n"/>
      <c r="I209" s="22" t="n"/>
      <c r="J209" s="22" t="n"/>
      <c r="K209" s="23" t="n"/>
      <c r="L209" s="22" t="n"/>
      <c r="M209" s="22" t="n"/>
      <c r="N209" s="21" t="n"/>
      <c r="O209" s="23" t="n"/>
      <c r="P209" s="23" t="n"/>
      <c r="Q209" s="23" t="n"/>
      <c r="R209" s="23" t="n"/>
      <c r="S209" s="22" t="n"/>
      <c r="T209" s="23" t="n"/>
      <c r="U209" s="23" t="n"/>
      <c r="V209" s="24">
        <f>IF(J209&lt;&gt;"",J209,IF(I209&lt;&gt;"",I209,""))</f>
        <v/>
      </c>
      <c r="W209" s="25">
        <f>IF($E209="","",N(O209)+SUMIFS($AF209:$IN209,$AF$4:$IN$4,"SEW_ACT"))</f>
        <v/>
      </c>
      <c r="X209" s="25">
        <f>IF($E209="","",N(P209)+SUMIFS($AF209:$IN209,$AF$4:$IN$4,"WASH_ACT"))</f>
        <v/>
      </c>
      <c r="Y209" s="25">
        <f>IF($E209="","",W209-X209-N(T209)-N(U209))</f>
        <v/>
      </c>
      <c r="Z209" s="25">
        <f>IF($E209="","",IF(N(K209)-X209&lt;=0.02*N(K209),0,N(K209)-X209))</f>
        <v/>
      </c>
      <c r="AA209" s="24">
        <f>IF($E209="","",IF(S209&lt;&gt;"",S209,IF(N(O209)&gt;0,IF(L209&lt;&gt;"",L209,99999),IFERROR(1/(1/_xlfn.MINIFS($AF$3:$IN$3,$AF$4:$IN$4,"SEW_ACT",$AF209:$IN209,"&gt;0")),99999))))</f>
        <v/>
      </c>
      <c r="AB209" s="26">
        <f>IF(OR($E209="",Z209=0,V209=""),"",1+COUNTIFS(Z$8:Z$707,"&gt;0",V$8:V$707,"&lt;"&amp;V209)+COUNTIFS(Z$8:Z$707,"&gt;0",V$8:V$707,V209,AA$8:AA$707,"&lt;"&amp;AA209)+COUNTIFS(Z$8:Z$707,"&gt;0",V$8:V$707,V209,AA$8:AA$707,AA209,E$8:E$707,"&lt;"&amp;$E209))</f>
        <v/>
      </c>
      <c r="AC209" s="24">
        <f>IF(OR($E209="",Z209=0),"",IFERROR(TODAY()+ROUNDUP(Z209/(SUMIFS($AF209:$IN209,$AF$4:$IN$4,"WASH_ACT")/COUNTIFS($AF$4:$IN$4,"WASH_ACT",$AF209:$IN209,"&gt;0")),0),"no output yet"))</f>
        <v/>
      </c>
      <c r="AD209" s="26">
        <f>IF($E209="","",IFERROR(ROUND(MAX(0,SUMIFS($AF209:$IN209,$AF$4:$IN$4,"SEW_PLAN",$AF$3:$IN$3,"&lt;="&amp;TODAY())-SUMIFS($AF209:$IN209,$AF$4:$IN$4,"SEW_ACT",$AF$3:$IN$3,"&lt;="&amp;TODAY())+N(Q209))/(SUMIFS($AF209:$IN209,$AF$4:$IN$4,"SEW_PLAN")/COUNTIFS($AF$4:$IN$4,"SEW_PLAN",$AF209:$IN209,"&gt;0")),1),0))</f>
        <v/>
      </c>
      <c r="AE209" s="26">
        <f>IF($E209="","",IF(AND(Z209&gt;0,OR(AND(M209&lt;&gt;"",TODAY()&gt;M209),AND(V209&lt;&gt;"",V209-TODAY()&lt;=7))),"Yes","No"))</f>
        <v/>
      </c>
      <c r="AH209">
        <f>IF(OR(AF$3="",AF$3&gt;TODAY()),"",IF(AND(AF209="",AG209=""),"",N(AG209)-N(AF209)))</f>
        <v/>
      </c>
      <c r="AK209">
        <f>IF(OR(AF$3="",AF$3&gt;TODAY()),"",IF(AND(AI209="",AJ209=""),"",N(AJ209)-N(AI209)))</f>
        <v/>
      </c>
      <c r="AO209">
        <f>IF(OR(AM$3="",AM$3&gt;TODAY()),"",IF(AND(AM209="",AN209=""),"",N(AN209)-N(AM209)))</f>
        <v/>
      </c>
      <c r="AR209">
        <f>IF(OR(AM$3="",AM$3&gt;TODAY()),"",IF(AND(AP209="",AQ209=""),"",N(AQ209)-N(AP209)))</f>
        <v/>
      </c>
      <c r="AV209">
        <f>IF(OR(AT$3="",AT$3&gt;TODAY()),"",IF(AND(AT209="",AU209=""),"",N(AU209)-N(AT209)))</f>
        <v/>
      </c>
      <c r="AY209">
        <f>IF(OR(AT$3="",AT$3&gt;TODAY()),"",IF(AND(AW209="",AX209=""),"",N(AX209)-N(AW209)))</f>
        <v/>
      </c>
      <c r="BC209">
        <f>IF(OR(BA$3="",BA$3&gt;TODAY()),"",IF(AND(BA209="",BB209=""),"",N(BB209)-N(BA209)))</f>
        <v/>
      </c>
      <c r="BF209">
        <f>IF(OR(BA$3="",BA$3&gt;TODAY()),"",IF(AND(BD209="",BE209=""),"",N(BE209)-N(BD209)))</f>
        <v/>
      </c>
      <c r="BJ209">
        <f>IF(OR(BH$3="",BH$3&gt;TODAY()),"",IF(AND(BH209="",BI209=""),"",N(BI209)-N(BH209)))</f>
        <v/>
      </c>
      <c r="BM209">
        <f>IF(OR(BH$3="",BH$3&gt;TODAY()),"",IF(AND(BK209="",BL209=""),"",N(BL209)-N(BK209)))</f>
        <v/>
      </c>
      <c r="BQ209">
        <f>IF(OR(BO$3="",BO$3&gt;TODAY()),"",IF(AND(BO209="",BP209=""),"",N(BP209)-N(BO209)))</f>
        <v/>
      </c>
      <c r="BT209">
        <f>IF(OR(BO$3="",BO$3&gt;TODAY()),"",IF(AND(BR209="",BS209=""),"",N(BS209)-N(BR209)))</f>
        <v/>
      </c>
      <c r="BX209">
        <f>IF(OR(BV$3="",BV$3&gt;TODAY()),"",IF(AND(BV209="",BW209=""),"",N(BW209)-N(BV209)))</f>
        <v/>
      </c>
      <c r="CA209">
        <f>IF(OR(BV$3="",BV$3&gt;TODAY()),"",IF(AND(BY209="",BZ209=""),"",N(BZ209)-N(BY209)))</f>
        <v/>
      </c>
      <c r="CE209">
        <f>IF(OR(CC$3="",CC$3&gt;TODAY()),"",IF(AND(CC209="",CD209=""),"",N(CD209)-N(CC209)))</f>
        <v/>
      </c>
      <c r="CH209">
        <f>IF(OR(CC$3="",CC$3&gt;TODAY()),"",IF(AND(CF209="",CG209=""),"",N(CG209)-N(CF209)))</f>
        <v/>
      </c>
      <c r="CL209">
        <f>IF(OR(CJ$3="",CJ$3&gt;TODAY()),"",IF(AND(CJ209="",CK209=""),"",N(CK209)-N(CJ209)))</f>
        <v/>
      </c>
      <c r="CO209">
        <f>IF(OR(CJ$3="",CJ$3&gt;TODAY()),"",IF(AND(CM209="",CN209=""),"",N(CN209)-N(CM209)))</f>
        <v/>
      </c>
      <c r="CS209">
        <f>IF(OR(CQ$3="",CQ$3&gt;TODAY()),"",IF(AND(CQ209="",CR209=""),"",N(CR209)-N(CQ209)))</f>
        <v/>
      </c>
      <c r="CV209">
        <f>IF(OR(CQ$3="",CQ$3&gt;TODAY()),"",IF(AND(CT209="",CU209=""),"",N(CU209)-N(CT209)))</f>
        <v/>
      </c>
      <c r="CZ209">
        <f>IF(OR(CX$3="",CX$3&gt;TODAY()),"",IF(AND(CX209="",CY209=""),"",N(CY209)-N(CX209)))</f>
        <v/>
      </c>
      <c r="DC209">
        <f>IF(OR(CX$3="",CX$3&gt;TODAY()),"",IF(AND(DA209="",DB209=""),"",N(DB209)-N(DA209)))</f>
        <v/>
      </c>
      <c r="DG209">
        <f>IF(OR(DE$3="",DE$3&gt;TODAY()),"",IF(AND(DE209="",DF209=""),"",N(DF209)-N(DE209)))</f>
        <v/>
      </c>
      <c r="DJ209">
        <f>IF(OR(DE$3="",DE$3&gt;TODAY()),"",IF(AND(DH209="",DI209=""),"",N(DI209)-N(DH209)))</f>
        <v/>
      </c>
      <c r="DN209">
        <f>IF(OR(DL$3="",DL$3&gt;TODAY()),"",IF(AND(DL209="",DM209=""),"",N(DM209)-N(DL209)))</f>
        <v/>
      </c>
      <c r="DQ209">
        <f>IF(OR(DL$3="",DL$3&gt;TODAY()),"",IF(AND(DO209="",DP209=""),"",N(DP209)-N(DO209)))</f>
        <v/>
      </c>
      <c r="DU209">
        <f>IF(OR(DS$3="",DS$3&gt;TODAY()),"",IF(AND(DS209="",DT209=""),"",N(DT209)-N(DS209)))</f>
        <v/>
      </c>
      <c r="DX209">
        <f>IF(OR(DS$3="",DS$3&gt;TODAY()),"",IF(AND(DV209="",DW209=""),"",N(DW209)-N(DV209)))</f>
        <v/>
      </c>
      <c r="EB209">
        <f>IF(OR(DZ$3="",DZ$3&gt;TODAY()),"",IF(AND(DZ209="",EA209=""),"",N(EA209)-N(DZ209)))</f>
        <v/>
      </c>
      <c r="EE209">
        <f>IF(OR(DZ$3="",DZ$3&gt;TODAY()),"",IF(AND(EC209="",ED209=""),"",N(ED209)-N(EC209)))</f>
        <v/>
      </c>
      <c r="EI209">
        <f>IF(OR(EG$3="",EG$3&gt;TODAY()),"",IF(AND(EG209="",EH209=""),"",N(EH209)-N(EG209)))</f>
        <v/>
      </c>
      <c r="EL209">
        <f>IF(OR(EG$3="",EG$3&gt;TODAY()),"",IF(AND(EJ209="",EK209=""),"",N(EK209)-N(EJ209)))</f>
        <v/>
      </c>
      <c r="EP209">
        <f>IF(OR(EN$3="",EN$3&gt;TODAY()),"",IF(AND(EN209="",EO209=""),"",N(EO209)-N(EN209)))</f>
        <v/>
      </c>
      <c r="ES209">
        <f>IF(OR(EN$3="",EN$3&gt;TODAY()),"",IF(AND(EQ209="",ER209=""),"",N(ER209)-N(EQ209)))</f>
        <v/>
      </c>
      <c r="EW209">
        <f>IF(OR(EU$3="",EU$3&gt;TODAY()),"",IF(AND(EU209="",EV209=""),"",N(EV209)-N(EU209)))</f>
        <v/>
      </c>
      <c r="EZ209">
        <f>IF(OR(EU$3="",EU$3&gt;TODAY()),"",IF(AND(EX209="",EY209=""),"",N(EY209)-N(EX209)))</f>
        <v/>
      </c>
      <c r="FD209">
        <f>IF(OR(FB$3="",FB$3&gt;TODAY()),"",IF(AND(FB209="",FC209=""),"",N(FC209)-N(FB209)))</f>
        <v/>
      </c>
      <c r="FG209">
        <f>IF(OR(FB$3="",FB$3&gt;TODAY()),"",IF(AND(FE209="",FF209=""),"",N(FF209)-N(FE209)))</f>
        <v/>
      </c>
      <c r="FK209">
        <f>IF(OR(FI$3="",FI$3&gt;TODAY()),"",IF(AND(FI209="",FJ209=""),"",N(FJ209)-N(FI209)))</f>
        <v/>
      </c>
      <c r="FN209">
        <f>IF(OR(FI$3="",FI$3&gt;TODAY()),"",IF(AND(FL209="",FM209=""),"",N(FM209)-N(FL209)))</f>
        <v/>
      </c>
      <c r="FR209">
        <f>IF(OR(FP$3="",FP$3&gt;TODAY()),"",IF(AND(FP209="",FQ209=""),"",N(FQ209)-N(FP209)))</f>
        <v/>
      </c>
      <c r="FU209">
        <f>IF(OR(FP$3="",FP$3&gt;TODAY()),"",IF(AND(FS209="",FT209=""),"",N(FT209)-N(FS209)))</f>
        <v/>
      </c>
      <c r="FY209">
        <f>IF(OR(FW$3="",FW$3&gt;TODAY()),"",IF(AND(FW209="",FX209=""),"",N(FX209)-N(FW209)))</f>
        <v/>
      </c>
      <c r="GB209">
        <f>IF(OR(FW$3="",FW$3&gt;TODAY()),"",IF(AND(FZ209="",GA209=""),"",N(GA209)-N(FZ209)))</f>
        <v/>
      </c>
      <c r="GF209">
        <f>IF(OR(GD$3="",GD$3&gt;TODAY()),"",IF(AND(GD209="",GE209=""),"",N(GE209)-N(GD209)))</f>
        <v/>
      </c>
      <c r="GI209">
        <f>IF(OR(GD$3="",GD$3&gt;TODAY()),"",IF(AND(GG209="",GH209=""),"",N(GH209)-N(GG209)))</f>
        <v/>
      </c>
      <c r="GM209">
        <f>IF(OR(GK$3="",GK$3&gt;TODAY()),"",IF(AND(GK209="",GL209=""),"",N(GL209)-N(GK209)))</f>
        <v/>
      </c>
      <c r="GP209">
        <f>IF(OR(GK$3="",GK$3&gt;TODAY()),"",IF(AND(GN209="",GO209=""),"",N(GO209)-N(GN209)))</f>
        <v/>
      </c>
      <c r="GT209">
        <f>IF(OR(GR$3="",GR$3&gt;TODAY()),"",IF(AND(GR209="",GS209=""),"",N(GS209)-N(GR209)))</f>
        <v/>
      </c>
      <c r="GW209">
        <f>IF(OR(GR$3="",GR$3&gt;TODAY()),"",IF(AND(GU209="",GV209=""),"",N(GV209)-N(GU209)))</f>
        <v/>
      </c>
      <c r="HA209">
        <f>IF(OR(GY$3="",GY$3&gt;TODAY()),"",IF(AND(GY209="",GZ209=""),"",N(GZ209)-N(GY209)))</f>
        <v/>
      </c>
      <c r="HD209">
        <f>IF(OR(GY$3="",GY$3&gt;TODAY()),"",IF(AND(HB209="",HC209=""),"",N(HC209)-N(HB209)))</f>
        <v/>
      </c>
      <c r="HH209">
        <f>IF(OR(HF$3="",HF$3&gt;TODAY()),"",IF(AND(HF209="",HG209=""),"",N(HG209)-N(HF209)))</f>
        <v/>
      </c>
      <c r="HK209">
        <f>IF(OR(HF$3="",HF$3&gt;TODAY()),"",IF(AND(HI209="",HJ209=""),"",N(HJ209)-N(HI209)))</f>
        <v/>
      </c>
      <c r="HO209">
        <f>IF(OR(HM$3="",HM$3&gt;TODAY()),"",IF(AND(HM209="",HN209=""),"",N(HN209)-N(HM209)))</f>
        <v/>
      </c>
      <c r="HR209">
        <f>IF(OR(HM$3="",HM$3&gt;TODAY()),"",IF(AND(HP209="",HQ209=""),"",N(HQ209)-N(HP209)))</f>
        <v/>
      </c>
      <c r="HV209">
        <f>IF(OR(HT$3="",HT$3&gt;TODAY()),"",IF(AND(HT209="",HU209=""),"",N(HU209)-N(HT209)))</f>
        <v/>
      </c>
      <c r="HY209">
        <f>IF(OR(HT$3="",HT$3&gt;TODAY()),"",IF(AND(HW209="",HX209=""),"",N(HX209)-N(HW209)))</f>
        <v/>
      </c>
      <c r="IC209">
        <f>IF(OR(IA$3="",IA$3&gt;TODAY()),"",IF(AND(IA209="",IB209=""),"",N(IB209)-N(IA209)))</f>
        <v/>
      </c>
      <c r="IF209">
        <f>IF(OR(IA$3="",IA$3&gt;TODAY()),"",IF(AND(ID209="",IE209=""),"",N(IE209)-N(ID209)))</f>
        <v/>
      </c>
      <c r="IJ209">
        <f>IF(OR(IH$3="",IH$3&gt;TODAY()),"",IF(AND(IH209="",II209=""),"",N(II209)-N(IH209)))</f>
        <v/>
      </c>
      <c r="IM209">
        <f>IF(OR(IH$3="",IH$3&gt;TODAY()),"",IF(AND(IK209="",IL209=""),"",N(IL209)-N(IK209)))</f>
        <v/>
      </c>
    </row>
    <row r="210">
      <c r="A210" s="21" t="n"/>
      <c r="B210" s="21" t="n"/>
      <c r="C210" s="21" t="n"/>
      <c r="D210" s="21" t="n"/>
      <c r="E210" s="21" t="n"/>
      <c r="F210" s="21" t="n"/>
      <c r="G210" s="21" t="n"/>
      <c r="H210" s="21" t="n"/>
      <c r="I210" s="22" t="n"/>
      <c r="J210" s="22" t="n"/>
      <c r="K210" s="23" t="n"/>
      <c r="L210" s="22" t="n"/>
      <c r="M210" s="22" t="n"/>
      <c r="N210" s="21" t="n"/>
      <c r="O210" s="23" t="n"/>
      <c r="P210" s="23" t="n"/>
      <c r="Q210" s="23" t="n"/>
      <c r="R210" s="23" t="n"/>
      <c r="S210" s="22" t="n"/>
      <c r="T210" s="23" t="n"/>
      <c r="U210" s="23" t="n"/>
      <c r="V210" s="24">
        <f>IF(J210&lt;&gt;"",J210,IF(I210&lt;&gt;"",I210,""))</f>
        <v/>
      </c>
      <c r="W210" s="25">
        <f>IF($E210="","",N(O210)+SUMIFS($AF210:$IN210,$AF$4:$IN$4,"SEW_ACT"))</f>
        <v/>
      </c>
      <c r="X210" s="25">
        <f>IF($E210="","",N(P210)+SUMIFS($AF210:$IN210,$AF$4:$IN$4,"WASH_ACT"))</f>
        <v/>
      </c>
      <c r="Y210" s="25">
        <f>IF($E210="","",W210-X210-N(T210)-N(U210))</f>
        <v/>
      </c>
      <c r="Z210" s="25">
        <f>IF($E210="","",IF(N(K210)-X210&lt;=0.02*N(K210),0,N(K210)-X210))</f>
        <v/>
      </c>
      <c r="AA210" s="24">
        <f>IF($E210="","",IF(S210&lt;&gt;"",S210,IF(N(O210)&gt;0,IF(L210&lt;&gt;"",L210,99999),IFERROR(1/(1/_xlfn.MINIFS($AF$3:$IN$3,$AF$4:$IN$4,"SEW_ACT",$AF210:$IN210,"&gt;0")),99999))))</f>
        <v/>
      </c>
      <c r="AB210" s="26">
        <f>IF(OR($E210="",Z210=0,V210=""),"",1+COUNTIFS(Z$8:Z$707,"&gt;0",V$8:V$707,"&lt;"&amp;V210)+COUNTIFS(Z$8:Z$707,"&gt;0",V$8:V$707,V210,AA$8:AA$707,"&lt;"&amp;AA210)+COUNTIFS(Z$8:Z$707,"&gt;0",V$8:V$707,V210,AA$8:AA$707,AA210,E$8:E$707,"&lt;"&amp;$E210))</f>
        <v/>
      </c>
      <c r="AC210" s="24">
        <f>IF(OR($E210="",Z210=0),"",IFERROR(TODAY()+ROUNDUP(Z210/(SUMIFS($AF210:$IN210,$AF$4:$IN$4,"WASH_ACT")/COUNTIFS($AF$4:$IN$4,"WASH_ACT",$AF210:$IN210,"&gt;0")),0),"no output yet"))</f>
        <v/>
      </c>
      <c r="AD210" s="26">
        <f>IF($E210="","",IFERROR(ROUND(MAX(0,SUMIFS($AF210:$IN210,$AF$4:$IN$4,"SEW_PLAN",$AF$3:$IN$3,"&lt;="&amp;TODAY())-SUMIFS($AF210:$IN210,$AF$4:$IN$4,"SEW_ACT",$AF$3:$IN$3,"&lt;="&amp;TODAY())+N(Q210))/(SUMIFS($AF210:$IN210,$AF$4:$IN$4,"SEW_PLAN")/COUNTIFS($AF$4:$IN$4,"SEW_PLAN",$AF210:$IN210,"&gt;0")),1),0))</f>
        <v/>
      </c>
      <c r="AE210" s="26">
        <f>IF($E210="","",IF(AND(Z210&gt;0,OR(AND(M210&lt;&gt;"",TODAY()&gt;M210),AND(V210&lt;&gt;"",V210-TODAY()&lt;=7))),"Yes","No"))</f>
        <v/>
      </c>
      <c r="AH210">
        <f>IF(OR(AF$3="",AF$3&gt;TODAY()),"",IF(AND(AF210="",AG210=""),"",N(AG210)-N(AF210)))</f>
        <v/>
      </c>
      <c r="AK210">
        <f>IF(OR(AF$3="",AF$3&gt;TODAY()),"",IF(AND(AI210="",AJ210=""),"",N(AJ210)-N(AI210)))</f>
        <v/>
      </c>
      <c r="AO210">
        <f>IF(OR(AM$3="",AM$3&gt;TODAY()),"",IF(AND(AM210="",AN210=""),"",N(AN210)-N(AM210)))</f>
        <v/>
      </c>
      <c r="AR210">
        <f>IF(OR(AM$3="",AM$3&gt;TODAY()),"",IF(AND(AP210="",AQ210=""),"",N(AQ210)-N(AP210)))</f>
        <v/>
      </c>
      <c r="AV210">
        <f>IF(OR(AT$3="",AT$3&gt;TODAY()),"",IF(AND(AT210="",AU210=""),"",N(AU210)-N(AT210)))</f>
        <v/>
      </c>
      <c r="AY210">
        <f>IF(OR(AT$3="",AT$3&gt;TODAY()),"",IF(AND(AW210="",AX210=""),"",N(AX210)-N(AW210)))</f>
        <v/>
      </c>
      <c r="BC210">
        <f>IF(OR(BA$3="",BA$3&gt;TODAY()),"",IF(AND(BA210="",BB210=""),"",N(BB210)-N(BA210)))</f>
        <v/>
      </c>
      <c r="BF210">
        <f>IF(OR(BA$3="",BA$3&gt;TODAY()),"",IF(AND(BD210="",BE210=""),"",N(BE210)-N(BD210)))</f>
        <v/>
      </c>
      <c r="BJ210">
        <f>IF(OR(BH$3="",BH$3&gt;TODAY()),"",IF(AND(BH210="",BI210=""),"",N(BI210)-N(BH210)))</f>
        <v/>
      </c>
      <c r="BM210">
        <f>IF(OR(BH$3="",BH$3&gt;TODAY()),"",IF(AND(BK210="",BL210=""),"",N(BL210)-N(BK210)))</f>
        <v/>
      </c>
      <c r="BQ210">
        <f>IF(OR(BO$3="",BO$3&gt;TODAY()),"",IF(AND(BO210="",BP210=""),"",N(BP210)-N(BO210)))</f>
        <v/>
      </c>
      <c r="BT210">
        <f>IF(OR(BO$3="",BO$3&gt;TODAY()),"",IF(AND(BR210="",BS210=""),"",N(BS210)-N(BR210)))</f>
        <v/>
      </c>
      <c r="BX210">
        <f>IF(OR(BV$3="",BV$3&gt;TODAY()),"",IF(AND(BV210="",BW210=""),"",N(BW210)-N(BV210)))</f>
        <v/>
      </c>
      <c r="CA210">
        <f>IF(OR(BV$3="",BV$3&gt;TODAY()),"",IF(AND(BY210="",BZ210=""),"",N(BZ210)-N(BY210)))</f>
        <v/>
      </c>
      <c r="CE210">
        <f>IF(OR(CC$3="",CC$3&gt;TODAY()),"",IF(AND(CC210="",CD210=""),"",N(CD210)-N(CC210)))</f>
        <v/>
      </c>
      <c r="CH210">
        <f>IF(OR(CC$3="",CC$3&gt;TODAY()),"",IF(AND(CF210="",CG210=""),"",N(CG210)-N(CF210)))</f>
        <v/>
      </c>
      <c r="CL210">
        <f>IF(OR(CJ$3="",CJ$3&gt;TODAY()),"",IF(AND(CJ210="",CK210=""),"",N(CK210)-N(CJ210)))</f>
        <v/>
      </c>
      <c r="CO210">
        <f>IF(OR(CJ$3="",CJ$3&gt;TODAY()),"",IF(AND(CM210="",CN210=""),"",N(CN210)-N(CM210)))</f>
        <v/>
      </c>
      <c r="CS210">
        <f>IF(OR(CQ$3="",CQ$3&gt;TODAY()),"",IF(AND(CQ210="",CR210=""),"",N(CR210)-N(CQ210)))</f>
        <v/>
      </c>
      <c r="CV210">
        <f>IF(OR(CQ$3="",CQ$3&gt;TODAY()),"",IF(AND(CT210="",CU210=""),"",N(CU210)-N(CT210)))</f>
        <v/>
      </c>
      <c r="CZ210">
        <f>IF(OR(CX$3="",CX$3&gt;TODAY()),"",IF(AND(CX210="",CY210=""),"",N(CY210)-N(CX210)))</f>
        <v/>
      </c>
      <c r="DC210">
        <f>IF(OR(CX$3="",CX$3&gt;TODAY()),"",IF(AND(DA210="",DB210=""),"",N(DB210)-N(DA210)))</f>
        <v/>
      </c>
      <c r="DG210">
        <f>IF(OR(DE$3="",DE$3&gt;TODAY()),"",IF(AND(DE210="",DF210=""),"",N(DF210)-N(DE210)))</f>
        <v/>
      </c>
      <c r="DJ210">
        <f>IF(OR(DE$3="",DE$3&gt;TODAY()),"",IF(AND(DH210="",DI210=""),"",N(DI210)-N(DH210)))</f>
        <v/>
      </c>
      <c r="DN210">
        <f>IF(OR(DL$3="",DL$3&gt;TODAY()),"",IF(AND(DL210="",DM210=""),"",N(DM210)-N(DL210)))</f>
        <v/>
      </c>
      <c r="DQ210">
        <f>IF(OR(DL$3="",DL$3&gt;TODAY()),"",IF(AND(DO210="",DP210=""),"",N(DP210)-N(DO210)))</f>
        <v/>
      </c>
      <c r="DU210">
        <f>IF(OR(DS$3="",DS$3&gt;TODAY()),"",IF(AND(DS210="",DT210=""),"",N(DT210)-N(DS210)))</f>
        <v/>
      </c>
      <c r="DX210">
        <f>IF(OR(DS$3="",DS$3&gt;TODAY()),"",IF(AND(DV210="",DW210=""),"",N(DW210)-N(DV210)))</f>
        <v/>
      </c>
      <c r="EB210">
        <f>IF(OR(DZ$3="",DZ$3&gt;TODAY()),"",IF(AND(DZ210="",EA210=""),"",N(EA210)-N(DZ210)))</f>
        <v/>
      </c>
      <c r="EE210">
        <f>IF(OR(DZ$3="",DZ$3&gt;TODAY()),"",IF(AND(EC210="",ED210=""),"",N(ED210)-N(EC210)))</f>
        <v/>
      </c>
      <c r="EI210">
        <f>IF(OR(EG$3="",EG$3&gt;TODAY()),"",IF(AND(EG210="",EH210=""),"",N(EH210)-N(EG210)))</f>
        <v/>
      </c>
      <c r="EL210">
        <f>IF(OR(EG$3="",EG$3&gt;TODAY()),"",IF(AND(EJ210="",EK210=""),"",N(EK210)-N(EJ210)))</f>
        <v/>
      </c>
      <c r="EP210">
        <f>IF(OR(EN$3="",EN$3&gt;TODAY()),"",IF(AND(EN210="",EO210=""),"",N(EO210)-N(EN210)))</f>
        <v/>
      </c>
      <c r="ES210">
        <f>IF(OR(EN$3="",EN$3&gt;TODAY()),"",IF(AND(EQ210="",ER210=""),"",N(ER210)-N(EQ210)))</f>
        <v/>
      </c>
      <c r="EW210">
        <f>IF(OR(EU$3="",EU$3&gt;TODAY()),"",IF(AND(EU210="",EV210=""),"",N(EV210)-N(EU210)))</f>
        <v/>
      </c>
      <c r="EZ210">
        <f>IF(OR(EU$3="",EU$3&gt;TODAY()),"",IF(AND(EX210="",EY210=""),"",N(EY210)-N(EX210)))</f>
        <v/>
      </c>
      <c r="FD210">
        <f>IF(OR(FB$3="",FB$3&gt;TODAY()),"",IF(AND(FB210="",FC210=""),"",N(FC210)-N(FB210)))</f>
        <v/>
      </c>
      <c r="FG210">
        <f>IF(OR(FB$3="",FB$3&gt;TODAY()),"",IF(AND(FE210="",FF210=""),"",N(FF210)-N(FE210)))</f>
        <v/>
      </c>
      <c r="FK210">
        <f>IF(OR(FI$3="",FI$3&gt;TODAY()),"",IF(AND(FI210="",FJ210=""),"",N(FJ210)-N(FI210)))</f>
        <v/>
      </c>
      <c r="FN210">
        <f>IF(OR(FI$3="",FI$3&gt;TODAY()),"",IF(AND(FL210="",FM210=""),"",N(FM210)-N(FL210)))</f>
        <v/>
      </c>
      <c r="FR210">
        <f>IF(OR(FP$3="",FP$3&gt;TODAY()),"",IF(AND(FP210="",FQ210=""),"",N(FQ210)-N(FP210)))</f>
        <v/>
      </c>
      <c r="FU210">
        <f>IF(OR(FP$3="",FP$3&gt;TODAY()),"",IF(AND(FS210="",FT210=""),"",N(FT210)-N(FS210)))</f>
        <v/>
      </c>
      <c r="FY210">
        <f>IF(OR(FW$3="",FW$3&gt;TODAY()),"",IF(AND(FW210="",FX210=""),"",N(FX210)-N(FW210)))</f>
        <v/>
      </c>
      <c r="GB210">
        <f>IF(OR(FW$3="",FW$3&gt;TODAY()),"",IF(AND(FZ210="",GA210=""),"",N(GA210)-N(FZ210)))</f>
        <v/>
      </c>
      <c r="GF210">
        <f>IF(OR(GD$3="",GD$3&gt;TODAY()),"",IF(AND(GD210="",GE210=""),"",N(GE210)-N(GD210)))</f>
        <v/>
      </c>
      <c r="GI210">
        <f>IF(OR(GD$3="",GD$3&gt;TODAY()),"",IF(AND(GG210="",GH210=""),"",N(GH210)-N(GG210)))</f>
        <v/>
      </c>
      <c r="GM210">
        <f>IF(OR(GK$3="",GK$3&gt;TODAY()),"",IF(AND(GK210="",GL210=""),"",N(GL210)-N(GK210)))</f>
        <v/>
      </c>
      <c r="GP210">
        <f>IF(OR(GK$3="",GK$3&gt;TODAY()),"",IF(AND(GN210="",GO210=""),"",N(GO210)-N(GN210)))</f>
        <v/>
      </c>
      <c r="GT210">
        <f>IF(OR(GR$3="",GR$3&gt;TODAY()),"",IF(AND(GR210="",GS210=""),"",N(GS210)-N(GR210)))</f>
        <v/>
      </c>
      <c r="GW210">
        <f>IF(OR(GR$3="",GR$3&gt;TODAY()),"",IF(AND(GU210="",GV210=""),"",N(GV210)-N(GU210)))</f>
        <v/>
      </c>
      <c r="HA210">
        <f>IF(OR(GY$3="",GY$3&gt;TODAY()),"",IF(AND(GY210="",GZ210=""),"",N(GZ210)-N(GY210)))</f>
        <v/>
      </c>
      <c r="HD210">
        <f>IF(OR(GY$3="",GY$3&gt;TODAY()),"",IF(AND(HB210="",HC210=""),"",N(HC210)-N(HB210)))</f>
        <v/>
      </c>
      <c r="HH210">
        <f>IF(OR(HF$3="",HF$3&gt;TODAY()),"",IF(AND(HF210="",HG210=""),"",N(HG210)-N(HF210)))</f>
        <v/>
      </c>
      <c r="HK210">
        <f>IF(OR(HF$3="",HF$3&gt;TODAY()),"",IF(AND(HI210="",HJ210=""),"",N(HJ210)-N(HI210)))</f>
        <v/>
      </c>
      <c r="HO210">
        <f>IF(OR(HM$3="",HM$3&gt;TODAY()),"",IF(AND(HM210="",HN210=""),"",N(HN210)-N(HM210)))</f>
        <v/>
      </c>
      <c r="HR210">
        <f>IF(OR(HM$3="",HM$3&gt;TODAY()),"",IF(AND(HP210="",HQ210=""),"",N(HQ210)-N(HP210)))</f>
        <v/>
      </c>
      <c r="HV210">
        <f>IF(OR(HT$3="",HT$3&gt;TODAY()),"",IF(AND(HT210="",HU210=""),"",N(HU210)-N(HT210)))</f>
        <v/>
      </c>
      <c r="HY210">
        <f>IF(OR(HT$3="",HT$3&gt;TODAY()),"",IF(AND(HW210="",HX210=""),"",N(HX210)-N(HW210)))</f>
        <v/>
      </c>
      <c r="IC210">
        <f>IF(OR(IA$3="",IA$3&gt;TODAY()),"",IF(AND(IA210="",IB210=""),"",N(IB210)-N(IA210)))</f>
        <v/>
      </c>
      <c r="IF210">
        <f>IF(OR(IA$3="",IA$3&gt;TODAY()),"",IF(AND(ID210="",IE210=""),"",N(IE210)-N(ID210)))</f>
        <v/>
      </c>
      <c r="IJ210">
        <f>IF(OR(IH$3="",IH$3&gt;TODAY()),"",IF(AND(IH210="",II210=""),"",N(II210)-N(IH210)))</f>
        <v/>
      </c>
      <c r="IM210">
        <f>IF(OR(IH$3="",IH$3&gt;TODAY()),"",IF(AND(IK210="",IL210=""),"",N(IL210)-N(IK210)))</f>
        <v/>
      </c>
    </row>
    <row r="211">
      <c r="A211" s="21" t="n"/>
      <c r="B211" s="21" t="n"/>
      <c r="C211" s="21" t="n"/>
      <c r="D211" s="21" t="n"/>
      <c r="E211" s="21" t="n"/>
      <c r="F211" s="21" t="n"/>
      <c r="G211" s="21" t="n"/>
      <c r="H211" s="21" t="n"/>
      <c r="I211" s="22" t="n"/>
      <c r="J211" s="22" t="n"/>
      <c r="K211" s="23" t="n"/>
      <c r="L211" s="22" t="n"/>
      <c r="M211" s="22" t="n"/>
      <c r="N211" s="21" t="n"/>
      <c r="O211" s="23" t="n"/>
      <c r="P211" s="23" t="n"/>
      <c r="Q211" s="23" t="n"/>
      <c r="R211" s="23" t="n"/>
      <c r="S211" s="22" t="n"/>
      <c r="T211" s="23" t="n"/>
      <c r="U211" s="23" t="n"/>
      <c r="V211" s="24">
        <f>IF(J211&lt;&gt;"",J211,IF(I211&lt;&gt;"",I211,""))</f>
        <v/>
      </c>
      <c r="W211" s="25">
        <f>IF($E211="","",N(O211)+SUMIFS($AF211:$IN211,$AF$4:$IN$4,"SEW_ACT"))</f>
        <v/>
      </c>
      <c r="X211" s="25">
        <f>IF($E211="","",N(P211)+SUMIFS($AF211:$IN211,$AF$4:$IN$4,"WASH_ACT"))</f>
        <v/>
      </c>
      <c r="Y211" s="25">
        <f>IF($E211="","",W211-X211-N(T211)-N(U211))</f>
        <v/>
      </c>
      <c r="Z211" s="25">
        <f>IF($E211="","",IF(N(K211)-X211&lt;=0.02*N(K211),0,N(K211)-X211))</f>
        <v/>
      </c>
      <c r="AA211" s="24">
        <f>IF($E211="","",IF(S211&lt;&gt;"",S211,IF(N(O211)&gt;0,IF(L211&lt;&gt;"",L211,99999),IFERROR(1/(1/_xlfn.MINIFS($AF$3:$IN$3,$AF$4:$IN$4,"SEW_ACT",$AF211:$IN211,"&gt;0")),99999))))</f>
        <v/>
      </c>
      <c r="AB211" s="26">
        <f>IF(OR($E211="",Z211=0,V211=""),"",1+COUNTIFS(Z$8:Z$707,"&gt;0",V$8:V$707,"&lt;"&amp;V211)+COUNTIFS(Z$8:Z$707,"&gt;0",V$8:V$707,V211,AA$8:AA$707,"&lt;"&amp;AA211)+COUNTIFS(Z$8:Z$707,"&gt;0",V$8:V$707,V211,AA$8:AA$707,AA211,E$8:E$707,"&lt;"&amp;$E211))</f>
        <v/>
      </c>
      <c r="AC211" s="24">
        <f>IF(OR($E211="",Z211=0),"",IFERROR(TODAY()+ROUNDUP(Z211/(SUMIFS($AF211:$IN211,$AF$4:$IN$4,"WASH_ACT")/COUNTIFS($AF$4:$IN$4,"WASH_ACT",$AF211:$IN211,"&gt;0")),0),"no output yet"))</f>
        <v/>
      </c>
      <c r="AD211" s="26">
        <f>IF($E211="","",IFERROR(ROUND(MAX(0,SUMIFS($AF211:$IN211,$AF$4:$IN$4,"SEW_PLAN",$AF$3:$IN$3,"&lt;="&amp;TODAY())-SUMIFS($AF211:$IN211,$AF$4:$IN$4,"SEW_ACT",$AF$3:$IN$3,"&lt;="&amp;TODAY())+N(Q211))/(SUMIFS($AF211:$IN211,$AF$4:$IN$4,"SEW_PLAN")/COUNTIFS($AF$4:$IN$4,"SEW_PLAN",$AF211:$IN211,"&gt;0")),1),0))</f>
        <v/>
      </c>
      <c r="AE211" s="26">
        <f>IF($E211="","",IF(AND(Z211&gt;0,OR(AND(M211&lt;&gt;"",TODAY()&gt;M211),AND(V211&lt;&gt;"",V211-TODAY()&lt;=7))),"Yes","No"))</f>
        <v/>
      </c>
      <c r="AH211">
        <f>IF(OR(AF$3="",AF$3&gt;TODAY()),"",IF(AND(AF211="",AG211=""),"",N(AG211)-N(AF211)))</f>
        <v/>
      </c>
      <c r="AK211">
        <f>IF(OR(AF$3="",AF$3&gt;TODAY()),"",IF(AND(AI211="",AJ211=""),"",N(AJ211)-N(AI211)))</f>
        <v/>
      </c>
      <c r="AO211">
        <f>IF(OR(AM$3="",AM$3&gt;TODAY()),"",IF(AND(AM211="",AN211=""),"",N(AN211)-N(AM211)))</f>
        <v/>
      </c>
      <c r="AR211">
        <f>IF(OR(AM$3="",AM$3&gt;TODAY()),"",IF(AND(AP211="",AQ211=""),"",N(AQ211)-N(AP211)))</f>
        <v/>
      </c>
      <c r="AV211">
        <f>IF(OR(AT$3="",AT$3&gt;TODAY()),"",IF(AND(AT211="",AU211=""),"",N(AU211)-N(AT211)))</f>
        <v/>
      </c>
      <c r="AY211">
        <f>IF(OR(AT$3="",AT$3&gt;TODAY()),"",IF(AND(AW211="",AX211=""),"",N(AX211)-N(AW211)))</f>
        <v/>
      </c>
      <c r="BC211">
        <f>IF(OR(BA$3="",BA$3&gt;TODAY()),"",IF(AND(BA211="",BB211=""),"",N(BB211)-N(BA211)))</f>
        <v/>
      </c>
      <c r="BF211">
        <f>IF(OR(BA$3="",BA$3&gt;TODAY()),"",IF(AND(BD211="",BE211=""),"",N(BE211)-N(BD211)))</f>
        <v/>
      </c>
      <c r="BJ211">
        <f>IF(OR(BH$3="",BH$3&gt;TODAY()),"",IF(AND(BH211="",BI211=""),"",N(BI211)-N(BH211)))</f>
        <v/>
      </c>
      <c r="BM211">
        <f>IF(OR(BH$3="",BH$3&gt;TODAY()),"",IF(AND(BK211="",BL211=""),"",N(BL211)-N(BK211)))</f>
        <v/>
      </c>
      <c r="BQ211">
        <f>IF(OR(BO$3="",BO$3&gt;TODAY()),"",IF(AND(BO211="",BP211=""),"",N(BP211)-N(BO211)))</f>
        <v/>
      </c>
      <c r="BT211">
        <f>IF(OR(BO$3="",BO$3&gt;TODAY()),"",IF(AND(BR211="",BS211=""),"",N(BS211)-N(BR211)))</f>
        <v/>
      </c>
      <c r="BX211">
        <f>IF(OR(BV$3="",BV$3&gt;TODAY()),"",IF(AND(BV211="",BW211=""),"",N(BW211)-N(BV211)))</f>
        <v/>
      </c>
      <c r="CA211">
        <f>IF(OR(BV$3="",BV$3&gt;TODAY()),"",IF(AND(BY211="",BZ211=""),"",N(BZ211)-N(BY211)))</f>
        <v/>
      </c>
      <c r="CE211">
        <f>IF(OR(CC$3="",CC$3&gt;TODAY()),"",IF(AND(CC211="",CD211=""),"",N(CD211)-N(CC211)))</f>
        <v/>
      </c>
      <c r="CH211">
        <f>IF(OR(CC$3="",CC$3&gt;TODAY()),"",IF(AND(CF211="",CG211=""),"",N(CG211)-N(CF211)))</f>
        <v/>
      </c>
      <c r="CL211">
        <f>IF(OR(CJ$3="",CJ$3&gt;TODAY()),"",IF(AND(CJ211="",CK211=""),"",N(CK211)-N(CJ211)))</f>
        <v/>
      </c>
      <c r="CO211">
        <f>IF(OR(CJ$3="",CJ$3&gt;TODAY()),"",IF(AND(CM211="",CN211=""),"",N(CN211)-N(CM211)))</f>
        <v/>
      </c>
      <c r="CS211">
        <f>IF(OR(CQ$3="",CQ$3&gt;TODAY()),"",IF(AND(CQ211="",CR211=""),"",N(CR211)-N(CQ211)))</f>
        <v/>
      </c>
      <c r="CV211">
        <f>IF(OR(CQ$3="",CQ$3&gt;TODAY()),"",IF(AND(CT211="",CU211=""),"",N(CU211)-N(CT211)))</f>
        <v/>
      </c>
      <c r="CZ211">
        <f>IF(OR(CX$3="",CX$3&gt;TODAY()),"",IF(AND(CX211="",CY211=""),"",N(CY211)-N(CX211)))</f>
        <v/>
      </c>
      <c r="DC211">
        <f>IF(OR(CX$3="",CX$3&gt;TODAY()),"",IF(AND(DA211="",DB211=""),"",N(DB211)-N(DA211)))</f>
        <v/>
      </c>
      <c r="DG211">
        <f>IF(OR(DE$3="",DE$3&gt;TODAY()),"",IF(AND(DE211="",DF211=""),"",N(DF211)-N(DE211)))</f>
        <v/>
      </c>
      <c r="DJ211">
        <f>IF(OR(DE$3="",DE$3&gt;TODAY()),"",IF(AND(DH211="",DI211=""),"",N(DI211)-N(DH211)))</f>
        <v/>
      </c>
      <c r="DN211">
        <f>IF(OR(DL$3="",DL$3&gt;TODAY()),"",IF(AND(DL211="",DM211=""),"",N(DM211)-N(DL211)))</f>
        <v/>
      </c>
      <c r="DQ211">
        <f>IF(OR(DL$3="",DL$3&gt;TODAY()),"",IF(AND(DO211="",DP211=""),"",N(DP211)-N(DO211)))</f>
        <v/>
      </c>
      <c r="DU211">
        <f>IF(OR(DS$3="",DS$3&gt;TODAY()),"",IF(AND(DS211="",DT211=""),"",N(DT211)-N(DS211)))</f>
        <v/>
      </c>
      <c r="DX211">
        <f>IF(OR(DS$3="",DS$3&gt;TODAY()),"",IF(AND(DV211="",DW211=""),"",N(DW211)-N(DV211)))</f>
        <v/>
      </c>
      <c r="EB211">
        <f>IF(OR(DZ$3="",DZ$3&gt;TODAY()),"",IF(AND(DZ211="",EA211=""),"",N(EA211)-N(DZ211)))</f>
        <v/>
      </c>
      <c r="EE211">
        <f>IF(OR(DZ$3="",DZ$3&gt;TODAY()),"",IF(AND(EC211="",ED211=""),"",N(ED211)-N(EC211)))</f>
        <v/>
      </c>
      <c r="EI211">
        <f>IF(OR(EG$3="",EG$3&gt;TODAY()),"",IF(AND(EG211="",EH211=""),"",N(EH211)-N(EG211)))</f>
        <v/>
      </c>
      <c r="EL211">
        <f>IF(OR(EG$3="",EG$3&gt;TODAY()),"",IF(AND(EJ211="",EK211=""),"",N(EK211)-N(EJ211)))</f>
        <v/>
      </c>
      <c r="EP211">
        <f>IF(OR(EN$3="",EN$3&gt;TODAY()),"",IF(AND(EN211="",EO211=""),"",N(EO211)-N(EN211)))</f>
        <v/>
      </c>
      <c r="ES211">
        <f>IF(OR(EN$3="",EN$3&gt;TODAY()),"",IF(AND(EQ211="",ER211=""),"",N(ER211)-N(EQ211)))</f>
        <v/>
      </c>
      <c r="EW211">
        <f>IF(OR(EU$3="",EU$3&gt;TODAY()),"",IF(AND(EU211="",EV211=""),"",N(EV211)-N(EU211)))</f>
        <v/>
      </c>
      <c r="EZ211">
        <f>IF(OR(EU$3="",EU$3&gt;TODAY()),"",IF(AND(EX211="",EY211=""),"",N(EY211)-N(EX211)))</f>
        <v/>
      </c>
      <c r="FD211">
        <f>IF(OR(FB$3="",FB$3&gt;TODAY()),"",IF(AND(FB211="",FC211=""),"",N(FC211)-N(FB211)))</f>
        <v/>
      </c>
      <c r="FG211">
        <f>IF(OR(FB$3="",FB$3&gt;TODAY()),"",IF(AND(FE211="",FF211=""),"",N(FF211)-N(FE211)))</f>
        <v/>
      </c>
      <c r="FK211">
        <f>IF(OR(FI$3="",FI$3&gt;TODAY()),"",IF(AND(FI211="",FJ211=""),"",N(FJ211)-N(FI211)))</f>
        <v/>
      </c>
      <c r="FN211">
        <f>IF(OR(FI$3="",FI$3&gt;TODAY()),"",IF(AND(FL211="",FM211=""),"",N(FM211)-N(FL211)))</f>
        <v/>
      </c>
      <c r="FR211">
        <f>IF(OR(FP$3="",FP$3&gt;TODAY()),"",IF(AND(FP211="",FQ211=""),"",N(FQ211)-N(FP211)))</f>
        <v/>
      </c>
      <c r="FU211">
        <f>IF(OR(FP$3="",FP$3&gt;TODAY()),"",IF(AND(FS211="",FT211=""),"",N(FT211)-N(FS211)))</f>
        <v/>
      </c>
      <c r="FY211">
        <f>IF(OR(FW$3="",FW$3&gt;TODAY()),"",IF(AND(FW211="",FX211=""),"",N(FX211)-N(FW211)))</f>
        <v/>
      </c>
      <c r="GB211">
        <f>IF(OR(FW$3="",FW$3&gt;TODAY()),"",IF(AND(FZ211="",GA211=""),"",N(GA211)-N(FZ211)))</f>
        <v/>
      </c>
      <c r="GF211">
        <f>IF(OR(GD$3="",GD$3&gt;TODAY()),"",IF(AND(GD211="",GE211=""),"",N(GE211)-N(GD211)))</f>
        <v/>
      </c>
      <c r="GI211">
        <f>IF(OR(GD$3="",GD$3&gt;TODAY()),"",IF(AND(GG211="",GH211=""),"",N(GH211)-N(GG211)))</f>
        <v/>
      </c>
      <c r="GM211">
        <f>IF(OR(GK$3="",GK$3&gt;TODAY()),"",IF(AND(GK211="",GL211=""),"",N(GL211)-N(GK211)))</f>
        <v/>
      </c>
      <c r="GP211">
        <f>IF(OR(GK$3="",GK$3&gt;TODAY()),"",IF(AND(GN211="",GO211=""),"",N(GO211)-N(GN211)))</f>
        <v/>
      </c>
      <c r="GT211">
        <f>IF(OR(GR$3="",GR$3&gt;TODAY()),"",IF(AND(GR211="",GS211=""),"",N(GS211)-N(GR211)))</f>
        <v/>
      </c>
      <c r="GW211">
        <f>IF(OR(GR$3="",GR$3&gt;TODAY()),"",IF(AND(GU211="",GV211=""),"",N(GV211)-N(GU211)))</f>
        <v/>
      </c>
      <c r="HA211">
        <f>IF(OR(GY$3="",GY$3&gt;TODAY()),"",IF(AND(GY211="",GZ211=""),"",N(GZ211)-N(GY211)))</f>
        <v/>
      </c>
      <c r="HD211">
        <f>IF(OR(GY$3="",GY$3&gt;TODAY()),"",IF(AND(HB211="",HC211=""),"",N(HC211)-N(HB211)))</f>
        <v/>
      </c>
      <c r="HH211">
        <f>IF(OR(HF$3="",HF$3&gt;TODAY()),"",IF(AND(HF211="",HG211=""),"",N(HG211)-N(HF211)))</f>
        <v/>
      </c>
      <c r="HK211">
        <f>IF(OR(HF$3="",HF$3&gt;TODAY()),"",IF(AND(HI211="",HJ211=""),"",N(HJ211)-N(HI211)))</f>
        <v/>
      </c>
      <c r="HO211">
        <f>IF(OR(HM$3="",HM$3&gt;TODAY()),"",IF(AND(HM211="",HN211=""),"",N(HN211)-N(HM211)))</f>
        <v/>
      </c>
      <c r="HR211">
        <f>IF(OR(HM$3="",HM$3&gt;TODAY()),"",IF(AND(HP211="",HQ211=""),"",N(HQ211)-N(HP211)))</f>
        <v/>
      </c>
      <c r="HV211">
        <f>IF(OR(HT$3="",HT$3&gt;TODAY()),"",IF(AND(HT211="",HU211=""),"",N(HU211)-N(HT211)))</f>
        <v/>
      </c>
      <c r="HY211">
        <f>IF(OR(HT$3="",HT$3&gt;TODAY()),"",IF(AND(HW211="",HX211=""),"",N(HX211)-N(HW211)))</f>
        <v/>
      </c>
      <c r="IC211">
        <f>IF(OR(IA$3="",IA$3&gt;TODAY()),"",IF(AND(IA211="",IB211=""),"",N(IB211)-N(IA211)))</f>
        <v/>
      </c>
      <c r="IF211">
        <f>IF(OR(IA$3="",IA$3&gt;TODAY()),"",IF(AND(ID211="",IE211=""),"",N(IE211)-N(ID211)))</f>
        <v/>
      </c>
      <c r="IJ211">
        <f>IF(OR(IH$3="",IH$3&gt;TODAY()),"",IF(AND(IH211="",II211=""),"",N(II211)-N(IH211)))</f>
        <v/>
      </c>
      <c r="IM211">
        <f>IF(OR(IH$3="",IH$3&gt;TODAY()),"",IF(AND(IK211="",IL211=""),"",N(IL211)-N(IK211)))</f>
        <v/>
      </c>
    </row>
    <row r="212">
      <c r="A212" s="21" t="n"/>
      <c r="B212" s="21" t="n"/>
      <c r="C212" s="21" t="n"/>
      <c r="D212" s="21" t="n"/>
      <c r="E212" s="21" t="n"/>
      <c r="F212" s="21" t="n"/>
      <c r="G212" s="21" t="n"/>
      <c r="H212" s="21" t="n"/>
      <c r="I212" s="22" t="n"/>
      <c r="J212" s="22" t="n"/>
      <c r="K212" s="23" t="n"/>
      <c r="L212" s="22" t="n"/>
      <c r="M212" s="22" t="n"/>
      <c r="N212" s="21" t="n"/>
      <c r="O212" s="23" t="n"/>
      <c r="P212" s="23" t="n"/>
      <c r="Q212" s="23" t="n"/>
      <c r="R212" s="23" t="n"/>
      <c r="S212" s="22" t="n"/>
      <c r="T212" s="23" t="n"/>
      <c r="U212" s="23" t="n"/>
      <c r="V212" s="24">
        <f>IF(J212&lt;&gt;"",J212,IF(I212&lt;&gt;"",I212,""))</f>
        <v/>
      </c>
      <c r="W212" s="25">
        <f>IF($E212="","",N(O212)+SUMIFS($AF212:$IN212,$AF$4:$IN$4,"SEW_ACT"))</f>
        <v/>
      </c>
      <c r="X212" s="25">
        <f>IF($E212="","",N(P212)+SUMIFS($AF212:$IN212,$AF$4:$IN$4,"WASH_ACT"))</f>
        <v/>
      </c>
      <c r="Y212" s="25">
        <f>IF($E212="","",W212-X212-N(T212)-N(U212))</f>
        <v/>
      </c>
      <c r="Z212" s="25">
        <f>IF($E212="","",IF(N(K212)-X212&lt;=0.02*N(K212),0,N(K212)-X212))</f>
        <v/>
      </c>
      <c r="AA212" s="24">
        <f>IF($E212="","",IF(S212&lt;&gt;"",S212,IF(N(O212)&gt;0,IF(L212&lt;&gt;"",L212,99999),IFERROR(1/(1/_xlfn.MINIFS($AF$3:$IN$3,$AF$4:$IN$4,"SEW_ACT",$AF212:$IN212,"&gt;0")),99999))))</f>
        <v/>
      </c>
      <c r="AB212" s="26">
        <f>IF(OR($E212="",Z212=0,V212=""),"",1+COUNTIFS(Z$8:Z$707,"&gt;0",V$8:V$707,"&lt;"&amp;V212)+COUNTIFS(Z$8:Z$707,"&gt;0",V$8:V$707,V212,AA$8:AA$707,"&lt;"&amp;AA212)+COUNTIFS(Z$8:Z$707,"&gt;0",V$8:V$707,V212,AA$8:AA$707,AA212,E$8:E$707,"&lt;"&amp;$E212))</f>
        <v/>
      </c>
      <c r="AC212" s="24">
        <f>IF(OR($E212="",Z212=0),"",IFERROR(TODAY()+ROUNDUP(Z212/(SUMIFS($AF212:$IN212,$AF$4:$IN$4,"WASH_ACT")/COUNTIFS($AF$4:$IN$4,"WASH_ACT",$AF212:$IN212,"&gt;0")),0),"no output yet"))</f>
        <v/>
      </c>
      <c r="AD212" s="26">
        <f>IF($E212="","",IFERROR(ROUND(MAX(0,SUMIFS($AF212:$IN212,$AF$4:$IN$4,"SEW_PLAN",$AF$3:$IN$3,"&lt;="&amp;TODAY())-SUMIFS($AF212:$IN212,$AF$4:$IN$4,"SEW_ACT",$AF$3:$IN$3,"&lt;="&amp;TODAY())+N(Q212))/(SUMIFS($AF212:$IN212,$AF$4:$IN$4,"SEW_PLAN")/COUNTIFS($AF$4:$IN$4,"SEW_PLAN",$AF212:$IN212,"&gt;0")),1),0))</f>
        <v/>
      </c>
      <c r="AE212" s="26">
        <f>IF($E212="","",IF(AND(Z212&gt;0,OR(AND(M212&lt;&gt;"",TODAY()&gt;M212),AND(V212&lt;&gt;"",V212-TODAY()&lt;=7))),"Yes","No"))</f>
        <v/>
      </c>
      <c r="AH212">
        <f>IF(OR(AF$3="",AF$3&gt;TODAY()),"",IF(AND(AF212="",AG212=""),"",N(AG212)-N(AF212)))</f>
        <v/>
      </c>
      <c r="AK212">
        <f>IF(OR(AF$3="",AF$3&gt;TODAY()),"",IF(AND(AI212="",AJ212=""),"",N(AJ212)-N(AI212)))</f>
        <v/>
      </c>
      <c r="AO212">
        <f>IF(OR(AM$3="",AM$3&gt;TODAY()),"",IF(AND(AM212="",AN212=""),"",N(AN212)-N(AM212)))</f>
        <v/>
      </c>
      <c r="AR212">
        <f>IF(OR(AM$3="",AM$3&gt;TODAY()),"",IF(AND(AP212="",AQ212=""),"",N(AQ212)-N(AP212)))</f>
        <v/>
      </c>
      <c r="AV212">
        <f>IF(OR(AT$3="",AT$3&gt;TODAY()),"",IF(AND(AT212="",AU212=""),"",N(AU212)-N(AT212)))</f>
        <v/>
      </c>
      <c r="AY212">
        <f>IF(OR(AT$3="",AT$3&gt;TODAY()),"",IF(AND(AW212="",AX212=""),"",N(AX212)-N(AW212)))</f>
        <v/>
      </c>
      <c r="BC212">
        <f>IF(OR(BA$3="",BA$3&gt;TODAY()),"",IF(AND(BA212="",BB212=""),"",N(BB212)-N(BA212)))</f>
        <v/>
      </c>
      <c r="BF212">
        <f>IF(OR(BA$3="",BA$3&gt;TODAY()),"",IF(AND(BD212="",BE212=""),"",N(BE212)-N(BD212)))</f>
        <v/>
      </c>
      <c r="BJ212">
        <f>IF(OR(BH$3="",BH$3&gt;TODAY()),"",IF(AND(BH212="",BI212=""),"",N(BI212)-N(BH212)))</f>
        <v/>
      </c>
      <c r="BM212">
        <f>IF(OR(BH$3="",BH$3&gt;TODAY()),"",IF(AND(BK212="",BL212=""),"",N(BL212)-N(BK212)))</f>
        <v/>
      </c>
      <c r="BQ212">
        <f>IF(OR(BO$3="",BO$3&gt;TODAY()),"",IF(AND(BO212="",BP212=""),"",N(BP212)-N(BO212)))</f>
        <v/>
      </c>
      <c r="BT212">
        <f>IF(OR(BO$3="",BO$3&gt;TODAY()),"",IF(AND(BR212="",BS212=""),"",N(BS212)-N(BR212)))</f>
        <v/>
      </c>
      <c r="BX212">
        <f>IF(OR(BV$3="",BV$3&gt;TODAY()),"",IF(AND(BV212="",BW212=""),"",N(BW212)-N(BV212)))</f>
        <v/>
      </c>
      <c r="CA212">
        <f>IF(OR(BV$3="",BV$3&gt;TODAY()),"",IF(AND(BY212="",BZ212=""),"",N(BZ212)-N(BY212)))</f>
        <v/>
      </c>
      <c r="CE212">
        <f>IF(OR(CC$3="",CC$3&gt;TODAY()),"",IF(AND(CC212="",CD212=""),"",N(CD212)-N(CC212)))</f>
        <v/>
      </c>
      <c r="CH212">
        <f>IF(OR(CC$3="",CC$3&gt;TODAY()),"",IF(AND(CF212="",CG212=""),"",N(CG212)-N(CF212)))</f>
        <v/>
      </c>
      <c r="CL212">
        <f>IF(OR(CJ$3="",CJ$3&gt;TODAY()),"",IF(AND(CJ212="",CK212=""),"",N(CK212)-N(CJ212)))</f>
        <v/>
      </c>
      <c r="CO212">
        <f>IF(OR(CJ$3="",CJ$3&gt;TODAY()),"",IF(AND(CM212="",CN212=""),"",N(CN212)-N(CM212)))</f>
        <v/>
      </c>
      <c r="CS212">
        <f>IF(OR(CQ$3="",CQ$3&gt;TODAY()),"",IF(AND(CQ212="",CR212=""),"",N(CR212)-N(CQ212)))</f>
        <v/>
      </c>
      <c r="CV212">
        <f>IF(OR(CQ$3="",CQ$3&gt;TODAY()),"",IF(AND(CT212="",CU212=""),"",N(CU212)-N(CT212)))</f>
        <v/>
      </c>
      <c r="CZ212">
        <f>IF(OR(CX$3="",CX$3&gt;TODAY()),"",IF(AND(CX212="",CY212=""),"",N(CY212)-N(CX212)))</f>
        <v/>
      </c>
      <c r="DC212">
        <f>IF(OR(CX$3="",CX$3&gt;TODAY()),"",IF(AND(DA212="",DB212=""),"",N(DB212)-N(DA212)))</f>
        <v/>
      </c>
      <c r="DG212">
        <f>IF(OR(DE$3="",DE$3&gt;TODAY()),"",IF(AND(DE212="",DF212=""),"",N(DF212)-N(DE212)))</f>
        <v/>
      </c>
      <c r="DJ212">
        <f>IF(OR(DE$3="",DE$3&gt;TODAY()),"",IF(AND(DH212="",DI212=""),"",N(DI212)-N(DH212)))</f>
        <v/>
      </c>
      <c r="DN212">
        <f>IF(OR(DL$3="",DL$3&gt;TODAY()),"",IF(AND(DL212="",DM212=""),"",N(DM212)-N(DL212)))</f>
        <v/>
      </c>
      <c r="DQ212">
        <f>IF(OR(DL$3="",DL$3&gt;TODAY()),"",IF(AND(DO212="",DP212=""),"",N(DP212)-N(DO212)))</f>
        <v/>
      </c>
      <c r="DU212">
        <f>IF(OR(DS$3="",DS$3&gt;TODAY()),"",IF(AND(DS212="",DT212=""),"",N(DT212)-N(DS212)))</f>
        <v/>
      </c>
      <c r="DX212">
        <f>IF(OR(DS$3="",DS$3&gt;TODAY()),"",IF(AND(DV212="",DW212=""),"",N(DW212)-N(DV212)))</f>
        <v/>
      </c>
      <c r="EB212">
        <f>IF(OR(DZ$3="",DZ$3&gt;TODAY()),"",IF(AND(DZ212="",EA212=""),"",N(EA212)-N(DZ212)))</f>
        <v/>
      </c>
      <c r="EE212">
        <f>IF(OR(DZ$3="",DZ$3&gt;TODAY()),"",IF(AND(EC212="",ED212=""),"",N(ED212)-N(EC212)))</f>
        <v/>
      </c>
      <c r="EI212">
        <f>IF(OR(EG$3="",EG$3&gt;TODAY()),"",IF(AND(EG212="",EH212=""),"",N(EH212)-N(EG212)))</f>
        <v/>
      </c>
      <c r="EL212">
        <f>IF(OR(EG$3="",EG$3&gt;TODAY()),"",IF(AND(EJ212="",EK212=""),"",N(EK212)-N(EJ212)))</f>
        <v/>
      </c>
      <c r="EP212">
        <f>IF(OR(EN$3="",EN$3&gt;TODAY()),"",IF(AND(EN212="",EO212=""),"",N(EO212)-N(EN212)))</f>
        <v/>
      </c>
      <c r="ES212">
        <f>IF(OR(EN$3="",EN$3&gt;TODAY()),"",IF(AND(EQ212="",ER212=""),"",N(ER212)-N(EQ212)))</f>
        <v/>
      </c>
      <c r="EW212">
        <f>IF(OR(EU$3="",EU$3&gt;TODAY()),"",IF(AND(EU212="",EV212=""),"",N(EV212)-N(EU212)))</f>
        <v/>
      </c>
      <c r="EZ212">
        <f>IF(OR(EU$3="",EU$3&gt;TODAY()),"",IF(AND(EX212="",EY212=""),"",N(EY212)-N(EX212)))</f>
        <v/>
      </c>
      <c r="FD212">
        <f>IF(OR(FB$3="",FB$3&gt;TODAY()),"",IF(AND(FB212="",FC212=""),"",N(FC212)-N(FB212)))</f>
        <v/>
      </c>
      <c r="FG212">
        <f>IF(OR(FB$3="",FB$3&gt;TODAY()),"",IF(AND(FE212="",FF212=""),"",N(FF212)-N(FE212)))</f>
        <v/>
      </c>
      <c r="FK212">
        <f>IF(OR(FI$3="",FI$3&gt;TODAY()),"",IF(AND(FI212="",FJ212=""),"",N(FJ212)-N(FI212)))</f>
        <v/>
      </c>
      <c r="FN212">
        <f>IF(OR(FI$3="",FI$3&gt;TODAY()),"",IF(AND(FL212="",FM212=""),"",N(FM212)-N(FL212)))</f>
        <v/>
      </c>
      <c r="FR212">
        <f>IF(OR(FP$3="",FP$3&gt;TODAY()),"",IF(AND(FP212="",FQ212=""),"",N(FQ212)-N(FP212)))</f>
        <v/>
      </c>
      <c r="FU212">
        <f>IF(OR(FP$3="",FP$3&gt;TODAY()),"",IF(AND(FS212="",FT212=""),"",N(FT212)-N(FS212)))</f>
        <v/>
      </c>
      <c r="FY212">
        <f>IF(OR(FW$3="",FW$3&gt;TODAY()),"",IF(AND(FW212="",FX212=""),"",N(FX212)-N(FW212)))</f>
        <v/>
      </c>
      <c r="GB212">
        <f>IF(OR(FW$3="",FW$3&gt;TODAY()),"",IF(AND(FZ212="",GA212=""),"",N(GA212)-N(FZ212)))</f>
        <v/>
      </c>
      <c r="GF212">
        <f>IF(OR(GD$3="",GD$3&gt;TODAY()),"",IF(AND(GD212="",GE212=""),"",N(GE212)-N(GD212)))</f>
        <v/>
      </c>
      <c r="GI212">
        <f>IF(OR(GD$3="",GD$3&gt;TODAY()),"",IF(AND(GG212="",GH212=""),"",N(GH212)-N(GG212)))</f>
        <v/>
      </c>
      <c r="GM212">
        <f>IF(OR(GK$3="",GK$3&gt;TODAY()),"",IF(AND(GK212="",GL212=""),"",N(GL212)-N(GK212)))</f>
        <v/>
      </c>
      <c r="GP212">
        <f>IF(OR(GK$3="",GK$3&gt;TODAY()),"",IF(AND(GN212="",GO212=""),"",N(GO212)-N(GN212)))</f>
        <v/>
      </c>
      <c r="GT212">
        <f>IF(OR(GR$3="",GR$3&gt;TODAY()),"",IF(AND(GR212="",GS212=""),"",N(GS212)-N(GR212)))</f>
        <v/>
      </c>
      <c r="GW212">
        <f>IF(OR(GR$3="",GR$3&gt;TODAY()),"",IF(AND(GU212="",GV212=""),"",N(GV212)-N(GU212)))</f>
        <v/>
      </c>
      <c r="HA212">
        <f>IF(OR(GY$3="",GY$3&gt;TODAY()),"",IF(AND(GY212="",GZ212=""),"",N(GZ212)-N(GY212)))</f>
        <v/>
      </c>
      <c r="HD212">
        <f>IF(OR(GY$3="",GY$3&gt;TODAY()),"",IF(AND(HB212="",HC212=""),"",N(HC212)-N(HB212)))</f>
        <v/>
      </c>
      <c r="HH212">
        <f>IF(OR(HF$3="",HF$3&gt;TODAY()),"",IF(AND(HF212="",HG212=""),"",N(HG212)-N(HF212)))</f>
        <v/>
      </c>
      <c r="HK212">
        <f>IF(OR(HF$3="",HF$3&gt;TODAY()),"",IF(AND(HI212="",HJ212=""),"",N(HJ212)-N(HI212)))</f>
        <v/>
      </c>
      <c r="HO212">
        <f>IF(OR(HM$3="",HM$3&gt;TODAY()),"",IF(AND(HM212="",HN212=""),"",N(HN212)-N(HM212)))</f>
        <v/>
      </c>
      <c r="HR212">
        <f>IF(OR(HM$3="",HM$3&gt;TODAY()),"",IF(AND(HP212="",HQ212=""),"",N(HQ212)-N(HP212)))</f>
        <v/>
      </c>
      <c r="HV212">
        <f>IF(OR(HT$3="",HT$3&gt;TODAY()),"",IF(AND(HT212="",HU212=""),"",N(HU212)-N(HT212)))</f>
        <v/>
      </c>
      <c r="HY212">
        <f>IF(OR(HT$3="",HT$3&gt;TODAY()),"",IF(AND(HW212="",HX212=""),"",N(HX212)-N(HW212)))</f>
        <v/>
      </c>
      <c r="IC212">
        <f>IF(OR(IA$3="",IA$3&gt;TODAY()),"",IF(AND(IA212="",IB212=""),"",N(IB212)-N(IA212)))</f>
        <v/>
      </c>
      <c r="IF212">
        <f>IF(OR(IA$3="",IA$3&gt;TODAY()),"",IF(AND(ID212="",IE212=""),"",N(IE212)-N(ID212)))</f>
        <v/>
      </c>
      <c r="IJ212">
        <f>IF(OR(IH$3="",IH$3&gt;TODAY()),"",IF(AND(IH212="",II212=""),"",N(II212)-N(IH212)))</f>
        <v/>
      </c>
      <c r="IM212">
        <f>IF(OR(IH$3="",IH$3&gt;TODAY()),"",IF(AND(IK212="",IL212=""),"",N(IL212)-N(IK212)))</f>
        <v/>
      </c>
    </row>
    <row r="213">
      <c r="A213" s="21" t="n"/>
      <c r="B213" s="21" t="n"/>
      <c r="C213" s="21" t="n"/>
      <c r="D213" s="21" t="n"/>
      <c r="E213" s="21" t="n"/>
      <c r="F213" s="21" t="n"/>
      <c r="G213" s="21" t="n"/>
      <c r="H213" s="21" t="n"/>
      <c r="I213" s="22" t="n"/>
      <c r="J213" s="22" t="n"/>
      <c r="K213" s="23" t="n"/>
      <c r="L213" s="22" t="n"/>
      <c r="M213" s="22" t="n"/>
      <c r="N213" s="21" t="n"/>
      <c r="O213" s="23" t="n"/>
      <c r="P213" s="23" t="n"/>
      <c r="Q213" s="23" t="n"/>
      <c r="R213" s="23" t="n"/>
      <c r="S213" s="22" t="n"/>
      <c r="T213" s="23" t="n"/>
      <c r="U213" s="23" t="n"/>
      <c r="V213" s="24">
        <f>IF(J213&lt;&gt;"",J213,IF(I213&lt;&gt;"",I213,""))</f>
        <v/>
      </c>
      <c r="W213" s="25">
        <f>IF($E213="","",N(O213)+SUMIFS($AF213:$IN213,$AF$4:$IN$4,"SEW_ACT"))</f>
        <v/>
      </c>
      <c r="X213" s="25">
        <f>IF($E213="","",N(P213)+SUMIFS($AF213:$IN213,$AF$4:$IN$4,"WASH_ACT"))</f>
        <v/>
      </c>
      <c r="Y213" s="25">
        <f>IF($E213="","",W213-X213-N(T213)-N(U213))</f>
        <v/>
      </c>
      <c r="Z213" s="25">
        <f>IF($E213="","",IF(N(K213)-X213&lt;=0.02*N(K213),0,N(K213)-X213))</f>
        <v/>
      </c>
      <c r="AA213" s="24">
        <f>IF($E213="","",IF(S213&lt;&gt;"",S213,IF(N(O213)&gt;0,IF(L213&lt;&gt;"",L213,99999),IFERROR(1/(1/_xlfn.MINIFS($AF$3:$IN$3,$AF$4:$IN$4,"SEW_ACT",$AF213:$IN213,"&gt;0")),99999))))</f>
        <v/>
      </c>
      <c r="AB213" s="26">
        <f>IF(OR($E213="",Z213=0,V213=""),"",1+COUNTIFS(Z$8:Z$707,"&gt;0",V$8:V$707,"&lt;"&amp;V213)+COUNTIFS(Z$8:Z$707,"&gt;0",V$8:V$707,V213,AA$8:AA$707,"&lt;"&amp;AA213)+COUNTIFS(Z$8:Z$707,"&gt;0",V$8:V$707,V213,AA$8:AA$707,AA213,E$8:E$707,"&lt;"&amp;$E213))</f>
        <v/>
      </c>
      <c r="AC213" s="24">
        <f>IF(OR($E213="",Z213=0),"",IFERROR(TODAY()+ROUNDUP(Z213/(SUMIFS($AF213:$IN213,$AF$4:$IN$4,"WASH_ACT")/COUNTIFS($AF$4:$IN$4,"WASH_ACT",$AF213:$IN213,"&gt;0")),0),"no output yet"))</f>
        <v/>
      </c>
      <c r="AD213" s="26">
        <f>IF($E213="","",IFERROR(ROUND(MAX(0,SUMIFS($AF213:$IN213,$AF$4:$IN$4,"SEW_PLAN",$AF$3:$IN$3,"&lt;="&amp;TODAY())-SUMIFS($AF213:$IN213,$AF$4:$IN$4,"SEW_ACT",$AF$3:$IN$3,"&lt;="&amp;TODAY())+N(Q213))/(SUMIFS($AF213:$IN213,$AF$4:$IN$4,"SEW_PLAN")/COUNTIFS($AF$4:$IN$4,"SEW_PLAN",$AF213:$IN213,"&gt;0")),1),0))</f>
        <v/>
      </c>
      <c r="AE213" s="26">
        <f>IF($E213="","",IF(AND(Z213&gt;0,OR(AND(M213&lt;&gt;"",TODAY()&gt;M213),AND(V213&lt;&gt;"",V213-TODAY()&lt;=7))),"Yes","No"))</f>
        <v/>
      </c>
      <c r="AH213">
        <f>IF(OR(AF$3="",AF$3&gt;TODAY()),"",IF(AND(AF213="",AG213=""),"",N(AG213)-N(AF213)))</f>
        <v/>
      </c>
      <c r="AK213">
        <f>IF(OR(AF$3="",AF$3&gt;TODAY()),"",IF(AND(AI213="",AJ213=""),"",N(AJ213)-N(AI213)))</f>
        <v/>
      </c>
      <c r="AO213">
        <f>IF(OR(AM$3="",AM$3&gt;TODAY()),"",IF(AND(AM213="",AN213=""),"",N(AN213)-N(AM213)))</f>
        <v/>
      </c>
      <c r="AR213">
        <f>IF(OR(AM$3="",AM$3&gt;TODAY()),"",IF(AND(AP213="",AQ213=""),"",N(AQ213)-N(AP213)))</f>
        <v/>
      </c>
      <c r="AV213">
        <f>IF(OR(AT$3="",AT$3&gt;TODAY()),"",IF(AND(AT213="",AU213=""),"",N(AU213)-N(AT213)))</f>
        <v/>
      </c>
      <c r="AY213">
        <f>IF(OR(AT$3="",AT$3&gt;TODAY()),"",IF(AND(AW213="",AX213=""),"",N(AX213)-N(AW213)))</f>
        <v/>
      </c>
      <c r="BC213">
        <f>IF(OR(BA$3="",BA$3&gt;TODAY()),"",IF(AND(BA213="",BB213=""),"",N(BB213)-N(BA213)))</f>
        <v/>
      </c>
      <c r="BF213">
        <f>IF(OR(BA$3="",BA$3&gt;TODAY()),"",IF(AND(BD213="",BE213=""),"",N(BE213)-N(BD213)))</f>
        <v/>
      </c>
      <c r="BJ213">
        <f>IF(OR(BH$3="",BH$3&gt;TODAY()),"",IF(AND(BH213="",BI213=""),"",N(BI213)-N(BH213)))</f>
        <v/>
      </c>
      <c r="BM213">
        <f>IF(OR(BH$3="",BH$3&gt;TODAY()),"",IF(AND(BK213="",BL213=""),"",N(BL213)-N(BK213)))</f>
        <v/>
      </c>
      <c r="BQ213">
        <f>IF(OR(BO$3="",BO$3&gt;TODAY()),"",IF(AND(BO213="",BP213=""),"",N(BP213)-N(BO213)))</f>
        <v/>
      </c>
      <c r="BT213">
        <f>IF(OR(BO$3="",BO$3&gt;TODAY()),"",IF(AND(BR213="",BS213=""),"",N(BS213)-N(BR213)))</f>
        <v/>
      </c>
      <c r="BX213">
        <f>IF(OR(BV$3="",BV$3&gt;TODAY()),"",IF(AND(BV213="",BW213=""),"",N(BW213)-N(BV213)))</f>
        <v/>
      </c>
      <c r="CA213">
        <f>IF(OR(BV$3="",BV$3&gt;TODAY()),"",IF(AND(BY213="",BZ213=""),"",N(BZ213)-N(BY213)))</f>
        <v/>
      </c>
      <c r="CE213">
        <f>IF(OR(CC$3="",CC$3&gt;TODAY()),"",IF(AND(CC213="",CD213=""),"",N(CD213)-N(CC213)))</f>
        <v/>
      </c>
      <c r="CH213">
        <f>IF(OR(CC$3="",CC$3&gt;TODAY()),"",IF(AND(CF213="",CG213=""),"",N(CG213)-N(CF213)))</f>
        <v/>
      </c>
      <c r="CL213">
        <f>IF(OR(CJ$3="",CJ$3&gt;TODAY()),"",IF(AND(CJ213="",CK213=""),"",N(CK213)-N(CJ213)))</f>
        <v/>
      </c>
      <c r="CO213">
        <f>IF(OR(CJ$3="",CJ$3&gt;TODAY()),"",IF(AND(CM213="",CN213=""),"",N(CN213)-N(CM213)))</f>
        <v/>
      </c>
      <c r="CS213">
        <f>IF(OR(CQ$3="",CQ$3&gt;TODAY()),"",IF(AND(CQ213="",CR213=""),"",N(CR213)-N(CQ213)))</f>
        <v/>
      </c>
      <c r="CV213">
        <f>IF(OR(CQ$3="",CQ$3&gt;TODAY()),"",IF(AND(CT213="",CU213=""),"",N(CU213)-N(CT213)))</f>
        <v/>
      </c>
      <c r="CZ213">
        <f>IF(OR(CX$3="",CX$3&gt;TODAY()),"",IF(AND(CX213="",CY213=""),"",N(CY213)-N(CX213)))</f>
        <v/>
      </c>
      <c r="DC213">
        <f>IF(OR(CX$3="",CX$3&gt;TODAY()),"",IF(AND(DA213="",DB213=""),"",N(DB213)-N(DA213)))</f>
        <v/>
      </c>
      <c r="DG213">
        <f>IF(OR(DE$3="",DE$3&gt;TODAY()),"",IF(AND(DE213="",DF213=""),"",N(DF213)-N(DE213)))</f>
        <v/>
      </c>
      <c r="DJ213">
        <f>IF(OR(DE$3="",DE$3&gt;TODAY()),"",IF(AND(DH213="",DI213=""),"",N(DI213)-N(DH213)))</f>
        <v/>
      </c>
      <c r="DN213">
        <f>IF(OR(DL$3="",DL$3&gt;TODAY()),"",IF(AND(DL213="",DM213=""),"",N(DM213)-N(DL213)))</f>
        <v/>
      </c>
      <c r="DQ213">
        <f>IF(OR(DL$3="",DL$3&gt;TODAY()),"",IF(AND(DO213="",DP213=""),"",N(DP213)-N(DO213)))</f>
        <v/>
      </c>
      <c r="DU213">
        <f>IF(OR(DS$3="",DS$3&gt;TODAY()),"",IF(AND(DS213="",DT213=""),"",N(DT213)-N(DS213)))</f>
        <v/>
      </c>
      <c r="DX213">
        <f>IF(OR(DS$3="",DS$3&gt;TODAY()),"",IF(AND(DV213="",DW213=""),"",N(DW213)-N(DV213)))</f>
        <v/>
      </c>
      <c r="EB213">
        <f>IF(OR(DZ$3="",DZ$3&gt;TODAY()),"",IF(AND(DZ213="",EA213=""),"",N(EA213)-N(DZ213)))</f>
        <v/>
      </c>
      <c r="EE213">
        <f>IF(OR(DZ$3="",DZ$3&gt;TODAY()),"",IF(AND(EC213="",ED213=""),"",N(ED213)-N(EC213)))</f>
        <v/>
      </c>
      <c r="EI213">
        <f>IF(OR(EG$3="",EG$3&gt;TODAY()),"",IF(AND(EG213="",EH213=""),"",N(EH213)-N(EG213)))</f>
        <v/>
      </c>
      <c r="EL213">
        <f>IF(OR(EG$3="",EG$3&gt;TODAY()),"",IF(AND(EJ213="",EK213=""),"",N(EK213)-N(EJ213)))</f>
        <v/>
      </c>
      <c r="EP213">
        <f>IF(OR(EN$3="",EN$3&gt;TODAY()),"",IF(AND(EN213="",EO213=""),"",N(EO213)-N(EN213)))</f>
        <v/>
      </c>
      <c r="ES213">
        <f>IF(OR(EN$3="",EN$3&gt;TODAY()),"",IF(AND(EQ213="",ER213=""),"",N(ER213)-N(EQ213)))</f>
        <v/>
      </c>
      <c r="EW213">
        <f>IF(OR(EU$3="",EU$3&gt;TODAY()),"",IF(AND(EU213="",EV213=""),"",N(EV213)-N(EU213)))</f>
        <v/>
      </c>
      <c r="EZ213">
        <f>IF(OR(EU$3="",EU$3&gt;TODAY()),"",IF(AND(EX213="",EY213=""),"",N(EY213)-N(EX213)))</f>
        <v/>
      </c>
      <c r="FD213">
        <f>IF(OR(FB$3="",FB$3&gt;TODAY()),"",IF(AND(FB213="",FC213=""),"",N(FC213)-N(FB213)))</f>
        <v/>
      </c>
      <c r="FG213">
        <f>IF(OR(FB$3="",FB$3&gt;TODAY()),"",IF(AND(FE213="",FF213=""),"",N(FF213)-N(FE213)))</f>
        <v/>
      </c>
      <c r="FK213">
        <f>IF(OR(FI$3="",FI$3&gt;TODAY()),"",IF(AND(FI213="",FJ213=""),"",N(FJ213)-N(FI213)))</f>
        <v/>
      </c>
      <c r="FN213">
        <f>IF(OR(FI$3="",FI$3&gt;TODAY()),"",IF(AND(FL213="",FM213=""),"",N(FM213)-N(FL213)))</f>
        <v/>
      </c>
      <c r="FR213">
        <f>IF(OR(FP$3="",FP$3&gt;TODAY()),"",IF(AND(FP213="",FQ213=""),"",N(FQ213)-N(FP213)))</f>
        <v/>
      </c>
      <c r="FU213">
        <f>IF(OR(FP$3="",FP$3&gt;TODAY()),"",IF(AND(FS213="",FT213=""),"",N(FT213)-N(FS213)))</f>
        <v/>
      </c>
      <c r="FY213">
        <f>IF(OR(FW$3="",FW$3&gt;TODAY()),"",IF(AND(FW213="",FX213=""),"",N(FX213)-N(FW213)))</f>
        <v/>
      </c>
      <c r="GB213">
        <f>IF(OR(FW$3="",FW$3&gt;TODAY()),"",IF(AND(FZ213="",GA213=""),"",N(GA213)-N(FZ213)))</f>
        <v/>
      </c>
      <c r="GF213">
        <f>IF(OR(GD$3="",GD$3&gt;TODAY()),"",IF(AND(GD213="",GE213=""),"",N(GE213)-N(GD213)))</f>
        <v/>
      </c>
      <c r="GI213">
        <f>IF(OR(GD$3="",GD$3&gt;TODAY()),"",IF(AND(GG213="",GH213=""),"",N(GH213)-N(GG213)))</f>
        <v/>
      </c>
      <c r="GM213">
        <f>IF(OR(GK$3="",GK$3&gt;TODAY()),"",IF(AND(GK213="",GL213=""),"",N(GL213)-N(GK213)))</f>
        <v/>
      </c>
      <c r="GP213">
        <f>IF(OR(GK$3="",GK$3&gt;TODAY()),"",IF(AND(GN213="",GO213=""),"",N(GO213)-N(GN213)))</f>
        <v/>
      </c>
      <c r="GT213">
        <f>IF(OR(GR$3="",GR$3&gt;TODAY()),"",IF(AND(GR213="",GS213=""),"",N(GS213)-N(GR213)))</f>
        <v/>
      </c>
      <c r="GW213">
        <f>IF(OR(GR$3="",GR$3&gt;TODAY()),"",IF(AND(GU213="",GV213=""),"",N(GV213)-N(GU213)))</f>
        <v/>
      </c>
      <c r="HA213">
        <f>IF(OR(GY$3="",GY$3&gt;TODAY()),"",IF(AND(GY213="",GZ213=""),"",N(GZ213)-N(GY213)))</f>
        <v/>
      </c>
      <c r="HD213">
        <f>IF(OR(GY$3="",GY$3&gt;TODAY()),"",IF(AND(HB213="",HC213=""),"",N(HC213)-N(HB213)))</f>
        <v/>
      </c>
      <c r="HH213">
        <f>IF(OR(HF$3="",HF$3&gt;TODAY()),"",IF(AND(HF213="",HG213=""),"",N(HG213)-N(HF213)))</f>
        <v/>
      </c>
      <c r="HK213">
        <f>IF(OR(HF$3="",HF$3&gt;TODAY()),"",IF(AND(HI213="",HJ213=""),"",N(HJ213)-N(HI213)))</f>
        <v/>
      </c>
      <c r="HO213">
        <f>IF(OR(HM$3="",HM$3&gt;TODAY()),"",IF(AND(HM213="",HN213=""),"",N(HN213)-N(HM213)))</f>
        <v/>
      </c>
      <c r="HR213">
        <f>IF(OR(HM$3="",HM$3&gt;TODAY()),"",IF(AND(HP213="",HQ213=""),"",N(HQ213)-N(HP213)))</f>
        <v/>
      </c>
      <c r="HV213">
        <f>IF(OR(HT$3="",HT$3&gt;TODAY()),"",IF(AND(HT213="",HU213=""),"",N(HU213)-N(HT213)))</f>
        <v/>
      </c>
      <c r="HY213">
        <f>IF(OR(HT$3="",HT$3&gt;TODAY()),"",IF(AND(HW213="",HX213=""),"",N(HX213)-N(HW213)))</f>
        <v/>
      </c>
      <c r="IC213">
        <f>IF(OR(IA$3="",IA$3&gt;TODAY()),"",IF(AND(IA213="",IB213=""),"",N(IB213)-N(IA213)))</f>
        <v/>
      </c>
      <c r="IF213">
        <f>IF(OR(IA$3="",IA$3&gt;TODAY()),"",IF(AND(ID213="",IE213=""),"",N(IE213)-N(ID213)))</f>
        <v/>
      </c>
      <c r="IJ213">
        <f>IF(OR(IH$3="",IH$3&gt;TODAY()),"",IF(AND(IH213="",II213=""),"",N(II213)-N(IH213)))</f>
        <v/>
      </c>
      <c r="IM213">
        <f>IF(OR(IH$3="",IH$3&gt;TODAY()),"",IF(AND(IK213="",IL213=""),"",N(IL213)-N(IK213)))</f>
        <v/>
      </c>
    </row>
    <row r="214">
      <c r="A214" s="21" t="n"/>
      <c r="B214" s="21" t="n"/>
      <c r="C214" s="21" t="n"/>
      <c r="D214" s="21" t="n"/>
      <c r="E214" s="21" t="n"/>
      <c r="F214" s="21" t="n"/>
      <c r="G214" s="21" t="n"/>
      <c r="H214" s="21" t="n"/>
      <c r="I214" s="22" t="n"/>
      <c r="J214" s="22" t="n"/>
      <c r="K214" s="23" t="n"/>
      <c r="L214" s="22" t="n"/>
      <c r="M214" s="22" t="n"/>
      <c r="N214" s="21" t="n"/>
      <c r="O214" s="23" t="n"/>
      <c r="P214" s="23" t="n"/>
      <c r="Q214" s="23" t="n"/>
      <c r="R214" s="23" t="n"/>
      <c r="S214" s="22" t="n"/>
      <c r="T214" s="23" t="n"/>
      <c r="U214" s="23" t="n"/>
      <c r="V214" s="24">
        <f>IF(J214&lt;&gt;"",J214,IF(I214&lt;&gt;"",I214,""))</f>
        <v/>
      </c>
      <c r="W214" s="25">
        <f>IF($E214="","",N(O214)+SUMIFS($AF214:$IN214,$AF$4:$IN$4,"SEW_ACT"))</f>
        <v/>
      </c>
      <c r="X214" s="25">
        <f>IF($E214="","",N(P214)+SUMIFS($AF214:$IN214,$AF$4:$IN$4,"WASH_ACT"))</f>
        <v/>
      </c>
      <c r="Y214" s="25">
        <f>IF($E214="","",W214-X214-N(T214)-N(U214))</f>
        <v/>
      </c>
      <c r="Z214" s="25">
        <f>IF($E214="","",IF(N(K214)-X214&lt;=0.02*N(K214),0,N(K214)-X214))</f>
        <v/>
      </c>
      <c r="AA214" s="24">
        <f>IF($E214="","",IF(S214&lt;&gt;"",S214,IF(N(O214)&gt;0,IF(L214&lt;&gt;"",L214,99999),IFERROR(1/(1/_xlfn.MINIFS($AF$3:$IN$3,$AF$4:$IN$4,"SEW_ACT",$AF214:$IN214,"&gt;0")),99999))))</f>
        <v/>
      </c>
      <c r="AB214" s="26">
        <f>IF(OR($E214="",Z214=0,V214=""),"",1+COUNTIFS(Z$8:Z$707,"&gt;0",V$8:V$707,"&lt;"&amp;V214)+COUNTIFS(Z$8:Z$707,"&gt;0",V$8:V$707,V214,AA$8:AA$707,"&lt;"&amp;AA214)+COUNTIFS(Z$8:Z$707,"&gt;0",V$8:V$707,V214,AA$8:AA$707,AA214,E$8:E$707,"&lt;"&amp;$E214))</f>
        <v/>
      </c>
      <c r="AC214" s="24">
        <f>IF(OR($E214="",Z214=0),"",IFERROR(TODAY()+ROUNDUP(Z214/(SUMIFS($AF214:$IN214,$AF$4:$IN$4,"WASH_ACT")/COUNTIFS($AF$4:$IN$4,"WASH_ACT",$AF214:$IN214,"&gt;0")),0),"no output yet"))</f>
        <v/>
      </c>
      <c r="AD214" s="26">
        <f>IF($E214="","",IFERROR(ROUND(MAX(0,SUMIFS($AF214:$IN214,$AF$4:$IN$4,"SEW_PLAN",$AF$3:$IN$3,"&lt;="&amp;TODAY())-SUMIFS($AF214:$IN214,$AF$4:$IN$4,"SEW_ACT",$AF$3:$IN$3,"&lt;="&amp;TODAY())+N(Q214))/(SUMIFS($AF214:$IN214,$AF$4:$IN$4,"SEW_PLAN")/COUNTIFS($AF$4:$IN$4,"SEW_PLAN",$AF214:$IN214,"&gt;0")),1),0))</f>
        <v/>
      </c>
      <c r="AE214" s="26">
        <f>IF($E214="","",IF(AND(Z214&gt;0,OR(AND(M214&lt;&gt;"",TODAY()&gt;M214),AND(V214&lt;&gt;"",V214-TODAY()&lt;=7))),"Yes","No"))</f>
        <v/>
      </c>
      <c r="AH214">
        <f>IF(OR(AF$3="",AF$3&gt;TODAY()),"",IF(AND(AF214="",AG214=""),"",N(AG214)-N(AF214)))</f>
        <v/>
      </c>
      <c r="AK214">
        <f>IF(OR(AF$3="",AF$3&gt;TODAY()),"",IF(AND(AI214="",AJ214=""),"",N(AJ214)-N(AI214)))</f>
        <v/>
      </c>
      <c r="AO214">
        <f>IF(OR(AM$3="",AM$3&gt;TODAY()),"",IF(AND(AM214="",AN214=""),"",N(AN214)-N(AM214)))</f>
        <v/>
      </c>
      <c r="AR214">
        <f>IF(OR(AM$3="",AM$3&gt;TODAY()),"",IF(AND(AP214="",AQ214=""),"",N(AQ214)-N(AP214)))</f>
        <v/>
      </c>
      <c r="AV214">
        <f>IF(OR(AT$3="",AT$3&gt;TODAY()),"",IF(AND(AT214="",AU214=""),"",N(AU214)-N(AT214)))</f>
        <v/>
      </c>
      <c r="AY214">
        <f>IF(OR(AT$3="",AT$3&gt;TODAY()),"",IF(AND(AW214="",AX214=""),"",N(AX214)-N(AW214)))</f>
        <v/>
      </c>
      <c r="BC214">
        <f>IF(OR(BA$3="",BA$3&gt;TODAY()),"",IF(AND(BA214="",BB214=""),"",N(BB214)-N(BA214)))</f>
        <v/>
      </c>
      <c r="BF214">
        <f>IF(OR(BA$3="",BA$3&gt;TODAY()),"",IF(AND(BD214="",BE214=""),"",N(BE214)-N(BD214)))</f>
        <v/>
      </c>
      <c r="BJ214">
        <f>IF(OR(BH$3="",BH$3&gt;TODAY()),"",IF(AND(BH214="",BI214=""),"",N(BI214)-N(BH214)))</f>
        <v/>
      </c>
      <c r="BM214">
        <f>IF(OR(BH$3="",BH$3&gt;TODAY()),"",IF(AND(BK214="",BL214=""),"",N(BL214)-N(BK214)))</f>
        <v/>
      </c>
      <c r="BQ214">
        <f>IF(OR(BO$3="",BO$3&gt;TODAY()),"",IF(AND(BO214="",BP214=""),"",N(BP214)-N(BO214)))</f>
        <v/>
      </c>
      <c r="BT214">
        <f>IF(OR(BO$3="",BO$3&gt;TODAY()),"",IF(AND(BR214="",BS214=""),"",N(BS214)-N(BR214)))</f>
        <v/>
      </c>
      <c r="BX214">
        <f>IF(OR(BV$3="",BV$3&gt;TODAY()),"",IF(AND(BV214="",BW214=""),"",N(BW214)-N(BV214)))</f>
        <v/>
      </c>
      <c r="CA214">
        <f>IF(OR(BV$3="",BV$3&gt;TODAY()),"",IF(AND(BY214="",BZ214=""),"",N(BZ214)-N(BY214)))</f>
        <v/>
      </c>
      <c r="CE214">
        <f>IF(OR(CC$3="",CC$3&gt;TODAY()),"",IF(AND(CC214="",CD214=""),"",N(CD214)-N(CC214)))</f>
        <v/>
      </c>
      <c r="CH214">
        <f>IF(OR(CC$3="",CC$3&gt;TODAY()),"",IF(AND(CF214="",CG214=""),"",N(CG214)-N(CF214)))</f>
        <v/>
      </c>
      <c r="CL214">
        <f>IF(OR(CJ$3="",CJ$3&gt;TODAY()),"",IF(AND(CJ214="",CK214=""),"",N(CK214)-N(CJ214)))</f>
        <v/>
      </c>
      <c r="CO214">
        <f>IF(OR(CJ$3="",CJ$3&gt;TODAY()),"",IF(AND(CM214="",CN214=""),"",N(CN214)-N(CM214)))</f>
        <v/>
      </c>
      <c r="CS214">
        <f>IF(OR(CQ$3="",CQ$3&gt;TODAY()),"",IF(AND(CQ214="",CR214=""),"",N(CR214)-N(CQ214)))</f>
        <v/>
      </c>
      <c r="CV214">
        <f>IF(OR(CQ$3="",CQ$3&gt;TODAY()),"",IF(AND(CT214="",CU214=""),"",N(CU214)-N(CT214)))</f>
        <v/>
      </c>
      <c r="CZ214">
        <f>IF(OR(CX$3="",CX$3&gt;TODAY()),"",IF(AND(CX214="",CY214=""),"",N(CY214)-N(CX214)))</f>
        <v/>
      </c>
      <c r="DC214">
        <f>IF(OR(CX$3="",CX$3&gt;TODAY()),"",IF(AND(DA214="",DB214=""),"",N(DB214)-N(DA214)))</f>
        <v/>
      </c>
      <c r="DG214">
        <f>IF(OR(DE$3="",DE$3&gt;TODAY()),"",IF(AND(DE214="",DF214=""),"",N(DF214)-N(DE214)))</f>
        <v/>
      </c>
      <c r="DJ214">
        <f>IF(OR(DE$3="",DE$3&gt;TODAY()),"",IF(AND(DH214="",DI214=""),"",N(DI214)-N(DH214)))</f>
        <v/>
      </c>
      <c r="DN214">
        <f>IF(OR(DL$3="",DL$3&gt;TODAY()),"",IF(AND(DL214="",DM214=""),"",N(DM214)-N(DL214)))</f>
        <v/>
      </c>
      <c r="DQ214">
        <f>IF(OR(DL$3="",DL$3&gt;TODAY()),"",IF(AND(DO214="",DP214=""),"",N(DP214)-N(DO214)))</f>
        <v/>
      </c>
      <c r="DU214">
        <f>IF(OR(DS$3="",DS$3&gt;TODAY()),"",IF(AND(DS214="",DT214=""),"",N(DT214)-N(DS214)))</f>
        <v/>
      </c>
      <c r="DX214">
        <f>IF(OR(DS$3="",DS$3&gt;TODAY()),"",IF(AND(DV214="",DW214=""),"",N(DW214)-N(DV214)))</f>
        <v/>
      </c>
      <c r="EB214">
        <f>IF(OR(DZ$3="",DZ$3&gt;TODAY()),"",IF(AND(DZ214="",EA214=""),"",N(EA214)-N(DZ214)))</f>
        <v/>
      </c>
      <c r="EE214">
        <f>IF(OR(DZ$3="",DZ$3&gt;TODAY()),"",IF(AND(EC214="",ED214=""),"",N(ED214)-N(EC214)))</f>
        <v/>
      </c>
      <c r="EI214">
        <f>IF(OR(EG$3="",EG$3&gt;TODAY()),"",IF(AND(EG214="",EH214=""),"",N(EH214)-N(EG214)))</f>
        <v/>
      </c>
      <c r="EL214">
        <f>IF(OR(EG$3="",EG$3&gt;TODAY()),"",IF(AND(EJ214="",EK214=""),"",N(EK214)-N(EJ214)))</f>
        <v/>
      </c>
      <c r="EP214">
        <f>IF(OR(EN$3="",EN$3&gt;TODAY()),"",IF(AND(EN214="",EO214=""),"",N(EO214)-N(EN214)))</f>
        <v/>
      </c>
      <c r="ES214">
        <f>IF(OR(EN$3="",EN$3&gt;TODAY()),"",IF(AND(EQ214="",ER214=""),"",N(ER214)-N(EQ214)))</f>
        <v/>
      </c>
      <c r="EW214">
        <f>IF(OR(EU$3="",EU$3&gt;TODAY()),"",IF(AND(EU214="",EV214=""),"",N(EV214)-N(EU214)))</f>
        <v/>
      </c>
      <c r="EZ214">
        <f>IF(OR(EU$3="",EU$3&gt;TODAY()),"",IF(AND(EX214="",EY214=""),"",N(EY214)-N(EX214)))</f>
        <v/>
      </c>
      <c r="FD214">
        <f>IF(OR(FB$3="",FB$3&gt;TODAY()),"",IF(AND(FB214="",FC214=""),"",N(FC214)-N(FB214)))</f>
        <v/>
      </c>
      <c r="FG214">
        <f>IF(OR(FB$3="",FB$3&gt;TODAY()),"",IF(AND(FE214="",FF214=""),"",N(FF214)-N(FE214)))</f>
        <v/>
      </c>
      <c r="FK214">
        <f>IF(OR(FI$3="",FI$3&gt;TODAY()),"",IF(AND(FI214="",FJ214=""),"",N(FJ214)-N(FI214)))</f>
        <v/>
      </c>
      <c r="FN214">
        <f>IF(OR(FI$3="",FI$3&gt;TODAY()),"",IF(AND(FL214="",FM214=""),"",N(FM214)-N(FL214)))</f>
        <v/>
      </c>
      <c r="FR214">
        <f>IF(OR(FP$3="",FP$3&gt;TODAY()),"",IF(AND(FP214="",FQ214=""),"",N(FQ214)-N(FP214)))</f>
        <v/>
      </c>
      <c r="FU214">
        <f>IF(OR(FP$3="",FP$3&gt;TODAY()),"",IF(AND(FS214="",FT214=""),"",N(FT214)-N(FS214)))</f>
        <v/>
      </c>
      <c r="FY214">
        <f>IF(OR(FW$3="",FW$3&gt;TODAY()),"",IF(AND(FW214="",FX214=""),"",N(FX214)-N(FW214)))</f>
        <v/>
      </c>
      <c r="GB214">
        <f>IF(OR(FW$3="",FW$3&gt;TODAY()),"",IF(AND(FZ214="",GA214=""),"",N(GA214)-N(FZ214)))</f>
        <v/>
      </c>
      <c r="GF214">
        <f>IF(OR(GD$3="",GD$3&gt;TODAY()),"",IF(AND(GD214="",GE214=""),"",N(GE214)-N(GD214)))</f>
        <v/>
      </c>
      <c r="GI214">
        <f>IF(OR(GD$3="",GD$3&gt;TODAY()),"",IF(AND(GG214="",GH214=""),"",N(GH214)-N(GG214)))</f>
        <v/>
      </c>
      <c r="GM214">
        <f>IF(OR(GK$3="",GK$3&gt;TODAY()),"",IF(AND(GK214="",GL214=""),"",N(GL214)-N(GK214)))</f>
        <v/>
      </c>
      <c r="GP214">
        <f>IF(OR(GK$3="",GK$3&gt;TODAY()),"",IF(AND(GN214="",GO214=""),"",N(GO214)-N(GN214)))</f>
        <v/>
      </c>
      <c r="GT214">
        <f>IF(OR(GR$3="",GR$3&gt;TODAY()),"",IF(AND(GR214="",GS214=""),"",N(GS214)-N(GR214)))</f>
        <v/>
      </c>
      <c r="GW214">
        <f>IF(OR(GR$3="",GR$3&gt;TODAY()),"",IF(AND(GU214="",GV214=""),"",N(GV214)-N(GU214)))</f>
        <v/>
      </c>
      <c r="HA214">
        <f>IF(OR(GY$3="",GY$3&gt;TODAY()),"",IF(AND(GY214="",GZ214=""),"",N(GZ214)-N(GY214)))</f>
        <v/>
      </c>
      <c r="HD214">
        <f>IF(OR(GY$3="",GY$3&gt;TODAY()),"",IF(AND(HB214="",HC214=""),"",N(HC214)-N(HB214)))</f>
        <v/>
      </c>
      <c r="HH214">
        <f>IF(OR(HF$3="",HF$3&gt;TODAY()),"",IF(AND(HF214="",HG214=""),"",N(HG214)-N(HF214)))</f>
        <v/>
      </c>
      <c r="HK214">
        <f>IF(OR(HF$3="",HF$3&gt;TODAY()),"",IF(AND(HI214="",HJ214=""),"",N(HJ214)-N(HI214)))</f>
        <v/>
      </c>
      <c r="HO214">
        <f>IF(OR(HM$3="",HM$3&gt;TODAY()),"",IF(AND(HM214="",HN214=""),"",N(HN214)-N(HM214)))</f>
        <v/>
      </c>
      <c r="HR214">
        <f>IF(OR(HM$3="",HM$3&gt;TODAY()),"",IF(AND(HP214="",HQ214=""),"",N(HQ214)-N(HP214)))</f>
        <v/>
      </c>
      <c r="HV214">
        <f>IF(OR(HT$3="",HT$3&gt;TODAY()),"",IF(AND(HT214="",HU214=""),"",N(HU214)-N(HT214)))</f>
        <v/>
      </c>
      <c r="HY214">
        <f>IF(OR(HT$3="",HT$3&gt;TODAY()),"",IF(AND(HW214="",HX214=""),"",N(HX214)-N(HW214)))</f>
        <v/>
      </c>
      <c r="IC214">
        <f>IF(OR(IA$3="",IA$3&gt;TODAY()),"",IF(AND(IA214="",IB214=""),"",N(IB214)-N(IA214)))</f>
        <v/>
      </c>
      <c r="IF214">
        <f>IF(OR(IA$3="",IA$3&gt;TODAY()),"",IF(AND(ID214="",IE214=""),"",N(IE214)-N(ID214)))</f>
        <v/>
      </c>
      <c r="IJ214">
        <f>IF(OR(IH$3="",IH$3&gt;TODAY()),"",IF(AND(IH214="",II214=""),"",N(II214)-N(IH214)))</f>
        <v/>
      </c>
      <c r="IM214">
        <f>IF(OR(IH$3="",IH$3&gt;TODAY()),"",IF(AND(IK214="",IL214=""),"",N(IL214)-N(IK214)))</f>
        <v/>
      </c>
    </row>
    <row r="215">
      <c r="A215" s="21" t="n"/>
      <c r="B215" s="21" t="n"/>
      <c r="C215" s="21" t="n"/>
      <c r="D215" s="21" t="n"/>
      <c r="E215" s="21" t="n"/>
      <c r="F215" s="21" t="n"/>
      <c r="G215" s="21" t="n"/>
      <c r="H215" s="21" t="n"/>
      <c r="I215" s="22" t="n"/>
      <c r="J215" s="22" t="n"/>
      <c r="K215" s="23" t="n"/>
      <c r="L215" s="22" t="n"/>
      <c r="M215" s="22" t="n"/>
      <c r="N215" s="21" t="n"/>
      <c r="O215" s="23" t="n"/>
      <c r="P215" s="23" t="n"/>
      <c r="Q215" s="23" t="n"/>
      <c r="R215" s="23" t="n"/>
      <c r="S215" s="22" t="n"/>
      <c r="T215" s="23" t="n"/>
      <c r="U215" s="23" t="n"/>
      <c r="V215" s="24">
        <f>IF(J215&lt;&gt;"",J215,IF(I215&lt;&gt;"",I215,""))</f>
        <v/>
      </c>
      <c r="W215" s="25">
        <f>IF($E215="","",N(O215)+SUMIFS($AF215:$IN215,$AF$4:$IN$4,"SEW_ACT"))</f>
        <v/>
      </c>
      <c r="X215" s="25">
        <f>IF($E215="","",N(P215)+SUMIFS($AF215:$IN215,$AF$4:$IN$4,"WASH_ACT"))</f>
        <v/>
      </c>
      <c r="Y215" s="25">
        <f>IF($E215="","",W215-X215-N(T215)-N(U215))</f>
        <v/>
      </c>
      <c r="Z215" s="25">
        <f>IF($E215="","",IF(N(K215)-X215&lt;=0.02*N(K215),0,N(K215)-X215))</f>
        <v/>
      </c>
      <c r="AA215" s="24">
        <f>IF($E215="","",IF(S215&lt;&gt;"",S215,IF(N(O215)&gt;0,IF(L215&lt;&gt;"",L215,99999),IFERROR(1/(1/_xlfn.MINIFS($AF$3:$IN$3,$AF$4:$IN$4,"SEW_ACT",$AF215:$IN215,"&gt;0")),99999))))</f>
        <v/>
      </c>
      <c r="AB215" s="26">
        <f>IF(OR($E215="",Z215=0,V215=""),"",1+COUNTIFS(Z$8:Z$707,"&gt;0",V$8:V$707,"&lt;"&amp;V215)+COUNTIFS(Z$8:Z$707,"&gt;0",V$8:V$707,V215,AA$8:AA$707,"&lt;"&amp;AA215)+COUNTIFS(Z$8:Z$707,"&gt;0",V$8:V$707,V215,AA$8:AA$707,AA215,E$8:E$707,"&lt;"&amp;$E215))</f>
        <v/>
      </c>
      <c r="AC215" s="24">
        <f>IF(OR($E215="",Z215=0),"",IFERROR(TODAY()+ROUNDUP(Z215/(SUMIFS($AF215:$IN215,$AF$4:$IN$4,"WASH_ACT")/COUNTIFS($AF$4:$IN$4,"WASH_ACT",$AF215:$IN215,"&gt;0")),0),"no output yet"))</f>
        <v/>
      </c>
      <c r="AD215" s="26">
        <f>IF($E215="","",IFERROR(ROUND(MAX(0,SUMIFS($AF215:$IN215,$AF$4:$IN$4,"SEW_PLAN",$AF$3:$IN$3,"&lt;="&amp;TODAY())-SUMIFS($AF215:$IN215,$AF$4:$IN$4,"SEW_ACT",$AF$3:$IN$3,"&lt;="&amp;TODAY())+N(Q215))/(SUMIFS($AF215:$IN215,$AF$4:$IN$4,"SEW_PLAN")/COUNTIFS($AF$4:$IN$4,"SEW_PLAN",$AF215:$IN215,"&gt;0")),1),0))</f>
        <v/>
      </c>
      <c r="AE215" s="26">
        <f>IF($E215="","",IF(AND(Z215&gt;0,OR(AND(M215&lt;&gt;"",TODAY()&gt;M215),AND(V215&lt;&gt;"",V215-TODAY()&lt;=7))),"Yes","No"))</f>
        <v/>
      </c>
      <c r="AH215">
        <f>IF(OR(AF$3="",AF$3&gt;TODAY()),"",IF(AND(AF215="",AG215=""),"",N(AG215)-N(AF215)))</f>
        <v/>
      </c>
      <c r="AK215">
        <f>IF(OR(AF$3="",AF$3&gt;TODAY()),"",IF(AND(AI215="",AJ215=""),"",N(AJ215)-N(AI215)))</f>
        <v/>
      </c>
      <c r="AO215">
        <f>IF(OR(AM$3="",AM$3&gt;TODAY()),"",IF(AND(AM215="",AN215=""),"",N(AN215)-N(AM215)))</f>
        <v/>
      </c>
      <c r="AR215">
        <f>IF(OR(AM$3="",AM$3&gt;TODAY()),"",IF(AND(AP215="",AQ215=""),"",N(AQ215)-N(AP215)))</f>
        <v/>
      </c>
      <c r="AV215">
        <f>IF(OR(AT$3="",AT$3&gt;TODAY()),"",IF(AND(AT215="",AU215=""),"",N(AU215)-N(AT215)))</f>
        <v/>
      </c>
      <c r="AY215">
        <f>IF(OR(AT$3="",AT$3&gt;TODAY()),"",IF(AND(AW215="",AX215=""),"",N(AX215)-N(AW215)))</f>
        <v/>
      </c>
      <c r="BC215">
        <f>IF(OR(BA$3="",BA$3&gt;TODAY()),"",IF(AND(BA215="",BB215=""),"",N(BB215)-N(BA215)))</f>
        <v/>
      </c>
      <c r="BF215">
        <f>IF(OR(BA$3="",BA$3&gt;TODAY()),"",IF(AND(BD215="",BE215=""),"",N(BE215)-N(BD215)))</f>
        <v/>
      </c>
      <c r="BJ215">
        <f>IF(OR(BH$3="",BH$3&gt;TODAY()),"",IF(AND(BH215="",BI215=""),"",N(BI215)-N(BH215)))</f>
        <v/>
      </c>
      <c r="BM215">
        <f>IF(OR(BH$3="",BH$3&gt;TODAY()),"",IF(AND(BK215="",BL215=""),"",N(BL215)-N(BK215)))</f>
        <v/>
      </c>
      <c r="BQ215">
        <f>IF(OR(BO$3="",BO$3&gt;TODAY()),"",IF(AND(BO215="",BP215=""),"",N(BP215)-N(BO215)))</f>
        <v/>
      </c>
      <c r="BT215">
        <f>IF(OR(BO$3="",BO$3&gt;TODAY()),"",IF(AND(BR215="",BS215=""),"",N(BS215)-N(BR215)))</f>
        <v/>
      </c>
      <c r="BX215">
        <f>IF(OR(BV$3="",BV$3&gt;TODAY()),"",IF(AND(BV215="",BW215=""),"",N(BW215)-N(BV215)))</f>
        <v/>
      </c>
      <c r="CA215">
        <f>IF(OR(BV$3="",BV$3&gt;TODAY()),"",IF(AND(BY215="",BZ215=""),"",N(BZ215)-N(BY215)))</f>
        <v/>
      </c>
      <c r="CE215">
        <f>IF(OR(CC$3="",CC$3&gt;TODAY()),"",IF(AND(CC215="",CD215=""),"",N(CD215)-N(CC215)))</f>
        <v/>
      </c>
      <c r="CH215">
        <f>IF(OR(CC$3="",CC$3&gt;TODAY()),"",IF(AND(CF215="",CG215=""),"",N(CG215)-N(CF215)))</f>
        <v/>
      </c>
      <c r="CL215">
        <f>IF(OR(CJ$3="",CJ$3&gt;TODAY()),"",IF(AND(CJ215="",CK215=""),"",N(CK215)-N(CJ215)))</f>
        <v/>
      </c>
      <c r="CO215">
        <f>IF(OR(CJ$3="",CJ$3&gt;TODAY()),"",IF(AND(CM215="",CN215=""),"",N(CN215)-N(CM215)))</f>
        <v/>
      </c>
      <c r="CS215">
        <f>IF(OR(CQ$3="",CQ$3&gt;TODAY()),"",IF(AND(CQ215="",CR215=""),"",N(CR215)-N(CQ215)))</f>
        <v/>
      </c>
      <c r="CV215">
        <f>IF(OR(CQ$3="",CQ$3&gt;TODAY()),"",IF(AND(CT215="",CU215=""),"",N(CU215)-N(CT215)))</f>
        <v/>
      </c>
      <c r="CZ215">
        <f>IF(OR(CX$3="",CX$3&gt;TODAY()),"",IF(AND(CX215="",CY215=""),"",N(CY215)-N(CX215)))</f>
        <v/>
      </c>
      <c r="DC215">
        <f>IF(OR(CX$3="",CX$3&gt;TODAY()),"",IF(AND(DA215="",DB215=""),"",N(DB215)-N(DA215)))</f>
        <v/>
      </c>
      <c r="DG215">
        <f>IF(OR(DE$3="",DE$3&gt;TODAY()),"",IF(AND(DE215="",DF215=""),"",N(DF215)-N(DE215)))</f>
        <v/>
      </c>
      <c r="DJ215">
        <f>IF(OR(DE$3="",DE$3&gt;TODAY()),"",IF(AND(DH215="",DI215=""),"",N(DI215)-N(DH215)))</f>
        <v/>
      </c>
      <c r="DN215">
        <f>IF(OR(DL$3="",DL$3&gt;TODAY()),"",IF(AND(DL215="",DM215=""),"",N(DM215)-N(DL215)))</f>
        <v/>
      </c>
      <c r="DQ215">
        <f>IF(OR(DL$3="",DL$3&gt;TODAY()),"",IF(AND(DO215="",DP215=""),"",N(DP215)-N(DO215)))</f>
        <v/>
      </c>
      <c r="DU215">
        <f>IF(OR(DS$3="",DS$3&gt;TODAY()),"",IF(AND(DS215="",DT215=""),"",N(DT215)-N(DS215)))</f>
        <v/>
      </c>
      <c r="DX215">
        <f>IF(OR(DS$3="",DS$3&gt;TODAY()),"",IF(AND(DV215="",DW215=""),"",N(DW215)-N(DV215)))</f>
        <v/>
      </c>
      <c r="EB215">
        <f>IF(OR(DZ$3="",DZ$3&gt;TODAY()),"",IF(AND(DZ215="",EA215=""),"",N(EA215)-N(DZ215)))</f>
        <v/>
      </c>
      <c r="EE215">
        <f>IF(OR(DZ$3="",DZ$3&gt;TODAY()),"",IF(AND(EC215="",ED215=""),"",N(ED215)-N(EC215)))</f>
        <v/>
      </c>
      <c r="EI215">
        <f>IF(OR(EG$3="",EG$3&gt;TODAY()),"",IF(AND(EG215="",EH215=""),"",N(EH215)-N(EG215)))</f>
        <v/>
      </c>
      <c r="EL215">
        <f>IF(OR(EG$3="",EG$3&gt;TODAY()),"",IF(AND(EJ215="",EK215=""),"",N(EK215)-N(EJ215)))</f>
        <v/>
      </c>
      <c r="EP215">
        <f>IF(OR(EN$3="",EN$3&gt;TODAY()),"",IF(AND(EN215="",EO215=""),"",N(EO215)-N(EN215)))</f>
        <v/>
      </c>
      <c r="ES215">
        <f>IF(OR(EN$3="",EN$3&gt;TODAY()),"",IF(AND(EQ215="",ER215=""),"",N(ER215)-N(EQ215)))</f>
        <v/>
      </c>
      <c r="EW215">
        <f>IF(OR(EU$3="",EU$3&gt;TODAY()),"",IF(AND(EU215="",EV215=""),"",N(EV215)-N(EU215)))</f>
        <v/>
      </c>
      <c r="EZ215">
        <f>IF(OR(EU$3="",EU$3&gt;TODAY()),"",IF(AND(EX215="",EY215=""),"",N(EY215)-N(EX215)))</f>
        <v/>
      </c>
      <c r="FD215">
        <f>IF(OR(FB$3="",FB$3&gt;TODAY()),"",IF(AND(FB215="",FC215=""),"",N(FC215)-N(FB215)))</f>
        <v/>
      </c>
      <c r="FG215">
        <f>IF(OR(FB$3="",FB$3&gt;TODAY()),"",IF(AND(FE215="",FF215=""),"",N(FF215)-N(FE215)))</f>
        <v/>
      </c>
      <c r="FK215">
        <f>IF(OR(FI$3="",FI$3&gt;TODAY()),"",IF(AND(FI215="",FJ215=""),"",N(FJ215)-N(FI215)))</f>
        <v/>
      </c>
      <c r="FN215">
        <f>IF(OR(FI$3="",FI$3&gt;TODAY()),"",IF(AND(FL215="",FM215=""),"",N(FM215)-N(FL215)))</f>
        <v/>
      </c>
      <c r="FR215">
        <f>IF(OR(FP$3="",FP$3&gt;TODAY()),"",IF(AND(FP215="",FQ215=""),"",N(FQ215)-N(FP215)))</f>
        <v/>
      </c>
      <c r="FU215">
        <f>IF(OR(FP$3="",FP$3&gt;TODAY()),"",IF(AND(FS215="",FT215=""),"",N(FT215)-N(FS215)))</f>
        <v/>
      </c>
      <c r="FY215">
        <f>IF(OR(FW$3="",FW$3&gt;TODAY()),"",IF(AND(FW215="",FX215=""),"",N(FX215)-N(FW215)))</f>
        <v/>
      </c>
      <c r="GB215">
        <f>IF(OR(FW$3="",FW$3&gt;TODAY()),"",IF(AND(FZ215="",GA215=""),"",N(GA215)-N(FZ215)))</f>
        <v/>
      </c>
      <c r="GF215">
        <f>IF(OR(GD$3="",GD$3&gt;TODAY()),"",IF(AND(GD215="",GE215=""),"",N(GE215)-N(GD215)))</f>
        <v/>
      </c>
      <c r="GI215">
        <f>IF(OR(GD$3="",GD$3&gt;TODAY()),"",IF(AND(GG215="",GH215=""),"",N(GH215)-N(GG215)))</f>
        <v/>
      </c>
      <c r="GM215">
        <f>IF(OR(GK$3="",GK$3&gt;TODAY()),"",IF(AND(GK215="",GL215=""),"",N(GL215)-N(GK215)))</f>
        <v/>
      </c>
      <c r="GP215">
        <f>IF(OR(GK$3="",GK$3&gt;TODAY()),"",IF(AND(GN215="",GO215=""),"",N(GO215)-N(GN215)))</f>
        <v/>
      </c>
      <c r="GT215">
        <f>IF(OR(GR$3="",GR$3&gt;TODAY()),"",IF(AND(GR215="",GS215=""),"",N(GS215)-N(GR215)))</f>
        <v/>
      </c>
      <c r="GW215">
        <f>IF(OR(GR$3="",GR$3&gt;TODAY()),"",IF(AND(GU215="",GV215=""),"",N(GV215)-N(GU215)))</f>
        <v/>
      </c>
      <c r="HA215">
        <f>IF(OR(GY$3="",GY$3&gt;TODAY()),"",IF(AND(GY215="",GZ215=""),"",N(GZ215)-N(GY215)))</f>
        <v/>
      </c>
      <c r="HD215">
        <f>IF(OR(GY$3="",GY$3&gt;TODAY()),"",IF(AND(HB215="",HC215=""),"",N(HC215)-N(HB215)))</f>
        <v/>
      </c>
      <c r="HH215">
        <f>IF(OR(HF$3="",HF$3&gt;TODAY()),"",IF(AND(HF215="",HG215=""),"",N(HG215)-N(HF215)))</f>
        <v/>
      </c>
      <c r="HK215">
        <f>IF(OR(HF$3="",HF$3&gt;TODAY()),"",IF(AND(HI215="",HJ215=""),"",N(HJ215)-N(HI215)))</f>
        <v/>
      </c>
      <c r="HO215">
        <f>IF(OR(HM$3="",HM$3&gt;TODAY()),"",IF(AND(HM215="",HN215=""),"",N(HN215)-N(HM215)))</f>
        <v/>
      </c>
      <c r="HR215">
        <f>IF(OR(HM$3="",HM$3&gt;TODAY()),"",IF(AND(HP215="",HQ215=""),"",N(HQ215)-N(HP215)))</f>
        <v/>
      </c>
      <c r="HV215">
        <f>IF(OR(HT$3="",HT$3&gt;TODAY()),"",IF(AND(HT215="",HU215=""),"",N(HU215)-N(HT215)))</f>
        <v/>
      </c>
      <c r="HY215">
        <f>IF(OR(HT$3="",HT$3&gt;TODAY()),"",IF(AND(HW215="",HX215=""),"",N(HX215)-N(HW215)))</f>
        <v/>
      </c>
      <c r="IC215">
        <f>IF(OR(IA$3="",IA$3&gt;TODAY()),"",IF(AND(IA215="",IB215=""),"",N(IB215)-N(IA215)))</f>
        <v/>
      </c>
      <c r="IF215">
        <f>IF(OR(IA$3="",IA$3&gt;TODAY()),"",IF(AND(ID215="",IE215=""),"",N(IE215)-N(ID215)))</f>
        <v/>
      </c>
      <c r="IJ215">
        <f>IF(OR(IH$3="",IH$3&gt;TODAY()),"",IF(AND(IH215="",II215=""),"",N(II215)-N(IH215)))</f>
        <v/>
      </c>
      <c r="IM215">
        <f>IF(OR(IH$3="",IH$3&gt;TODAY()),"",IF(AND(IK215="",IL215=""),"",N(IL215)-N(IK215)))</f>
        <v/>
      </c>
    </row>
    <row r="216">
      <c r="A216" s="21" t="n"/>
      <c r="B216" s="21" t="n"/>
      <c r="C216" s="21" t="n"/>
      <c r="D216" s="21" t="n"/>
      <c r="E216" s="21" t="n"/>
      <c r="F216" s="21" t="n"/>
      <c r="G216" s="21" t="n"/>
      <c r="H216" s="21" t="n"/>
      <c r="I216" s="22" t="n"/>
      <c r="J216" s="22" t="n"/>
      <c r="K216" s="23" t="n"/>
      <c r="L216" s="22" t="n"/>
      <c r="M216" s="22" t="n"/>
      <c r="N216" s="21" t="n"/>
      <c r="O216" s="23" t="n"/>
      <c r="P216" s="23" t="n"/>
      <c r="Q216" s="23" t="n"/>
      <c r="R216" s="23" t="n"/>
      <c r="S216" s="22" t="n"/>
      <c r="T216" s="23" t="n"/>
      <c r="U216" s="23" t="n"/>
      <c r="V216" s="24">
        <f>IF(J216&lt;&gt;"",J216,IF(I216&lt;&gt;"",I216,""))</f>
        <v/>
      </c>
      <c r="W216" s="25">
        <f>IF($E216="","",N(O216)+SUMIFS($AF216:$IN216,$AF$4:$IN$4,"SEW_ACT"))</f>
        <v/>
      </c>
      <c r="X216" s="25">
        <f>IF($E216="","",N(P216)+SUMIFS($AF216:$IN216,$AF$4:$IN$4,"WASH_ACT"))</f>
        <v/>
      </c>
      <c r="Y216" s="25">
        <f>IF($E216="","",W216-X216-N(T216)-N(U216))</f>
        <v/>
      </c>
      <c r="Z216" s="25">
        <f>IF($E216="","",IF(N(K216)-X216&lt;=0.02*N(K216),0,N(K216)-X216))</f>
        <v/>
      </c>
      <c r="AA216" s="24">
        <f>IF($E216="","",IF(S216&lt;&gt;"",S216,IF(N(O216)&gt;0,IF(L216&lt;&gt;"",L216,99999),IFERROR(1/(1/_xlfn.MINIFS($AF$3:$IN$3,$AF$4:$IN$4,"SEW_ACT",$AF216:$IN216,"&gt;0")),99999))))</f>
        <v/>
      </c>
      <c r="AB216" s="26">
        <f>IF(OR($E216="",Z216=0,V216=""),"",1+COUNTIFS(Z$8:Z$707,"&gt;0",V$8:V$707,"&lt;"&amp;V216)+COUNTIFS(Z$8:Z$707,"&gt;0",V$8:V$707,V216,AA$8:AA$707,"&lt;"&amp;AA216)+COUNTIFS(Z$8:Z$707,"&gt;0",V$8:V$707,V216,AA$8:AA$707,AA216,E$8:E$707,"&lt;"&amp;$E216))</f>
        <v/>
      </c>
      <c r="AC216" s="24">
        <f>IF(OR($E216="",Z216=0),"",IFERROR(TODAY()+ROUNDUP(Z216/(SUMIFS($AF216:$IN216,$AF$4:$IN$4,"WASH_ACT")/COUNTIFS($AF$4:$IN$4,"WASH_ACT",$AF216:$IN216,"&gt;0")),0),"no output yet"))</f>
        <v/>
      </c>
      <c r="AD216" s="26">
        <f>IF($E216="","",IFERROR(ROUND(MAX(0,SUMIFS($AF216:$IN216,$AF$4:$IN$4,"SEW_PLAN",$AF$3:$IN$3,"&lt;="&amp;TODAY())-SUMIFS($AF216:$IN216,$AF$4:$IN$4,"SEW_ACT",$AF$3:$IN$3,"&lt;="&amp;TODAY())+N(Q216))/(SUMIFS($AF216:$IN216,$AF$4:$IN$4,"SEW_PLAN")/COUNTIFS($AF$4:$IN$4,"SEW_PLAN",$AF216:$IN216,"&gt;0")),1),0))</f>
        <v/>
      </c>
      <c r="AE216" s="26">
        <f>IF($E216="","",IF(AND(Z216&gt;0,OR(AND(M216&lt;&gt;"",TODAY()&gt;M216),AND(V216&lt;&gt;"",V216-TODAY()&lt;=7))),"Yes","No"))</f>
        <v/>
      </c>
      <c r="AH216">
        <f>IF(OR(AF$3="",AF$3&gt;TODAY()),"",IF(AND(AF216="",AG216=""),"",N(AG216)-N(AF216)))</f>
        <v/>
      </c>
      <c r="AK216">
        <f>IF(OR(AF$3="",AF$3&gt;TODAY()),"",IF(AND(AI216="",AJ216=""),"",N(AJ216)-N(AI216)))</f>
        <v/>
      </c>
      <c r="AO216">
        <f>IF(OR(AM$3="",AM$3&gt;TODAY()),"",IF(AND(AM216="",AN216=""),"",N(AN216)-N(AM216)))</f>
        <v/>
      </c>
      <c r="AR216">
        <f>IF(OR(AM$3="",AM$3&gt;TODAY()),"",IF(AND(AP216="",AQ216=""),"",N(AQ216)-N(AP216)))</f>
        <v/>
      </c>
      <c r="AV216">
        <f>IF(OR(AT$3="",AT$3&gt;TODAY()),"",IF(AND(AT216="",AU216=""),"",N(AU216)-N(AT216)))</f>
        <v/>
      </c>
      <c r="AY216">
        <f>IF(OR(AT$3="",AT$3&gt;TODAY()),"",IF(AND(AW216="",AX216=""),"",N(AX216)-N(AW216)))</f>
        <v/>
      </c>
      <c r="BC216">
        <f>IF(OR(BA$3="",BA$3&gt;TODAY()),"",IF(AND(BA216="",BB216=""),"",N(BB216)-N(BA216)))</f>
        <v/>
      </c>
      <c r="BF216">
        <f>IF(OR(BA$3="",BA$3&gt;TODAY()),"",IF(AND(BD216="",BE216=""),"",N(BE216)-N(BD216)))</f>
        <v/>
      </c>
      <c r="BJ216">
        <f>IF(OR(BH$3="",BH$3&gt;TODAY()),"",IF(AND(BH216="",BI216=""),"",N(BI216)-N(BH216)))</f>
        <v/>
      </c>
      <c r="BM216">
        <f>IF(OR(BH$3="",BH$3&gt;TODAY()),"",IF(AND(BK216="",BL216=""),"",N(BL216)-N(BK216)))</f>
        <v/>
      </c>
      <c r="BQ216">
        <f>IF(OR(BO$3="",BO$3&gt;TODAY()),"",IF(AND(BO216="",BP216=""),"",N(BP216)-N(BO216)))</f>
        <v/>
      </c>
      <c r="BT216">
        <f>IF(OR(BO$3="",BO$3&gt;TODAY()),"",IF(AND(BR216="",BS216=""),"",N(BS216)-N(BR216)))</f>
        <v/>
      </c>
      <c r="BX216">
        <f>IF(OR(BV$3="",BV$3&gt;TODAY()),"",IF(AND(BV216="",BW216=""),"",N(BW216)-N(BV216)))</f>
        <v/>
      </c>
      <c r="CA216">
        <f>IF(OR(BV$3="",BV$3&gt;TODAY()),"",IF(AND(BY216="",BZ216=""),"",N(BZ216)-N(BY216)))</f>
        <v/>
      </c>
      <c r="CE216">
        <f>IF(OR(CC$3="",CC$3&gt;TODAY()),"",IF(AND(CC216="",CD216=""),"",N(CD216)-N(CC216)))</f>
        <v/>
      </c>
      <c r="CH216">
        <f>IF(OR(CC$3="",CC$3&gt;TODAY()),"",IF(AND(CF216="",CG216=""),"",N(CG216)-N(CF216)))</f>
        <v/>
      </c>
      <c r="CL216">
        <f>IF(OR(CJ$3="",CJ$3&gt;TODAY()),"",IF(AND(CJ216="",CK216=""),"",N(CK216)-N(CJ216)))</f>
        <v/>
      </c>
      <c r="CO216">
        <f>IF(OR(CJ$3="",CJ$3&gt;TODAY()),"",IF(AND(CM216="",CN216=""),"",N(CN216)-N(CM216)))</f>
        <v/>
      </c>
      <c r="CS216">
        <f>IF(OR(CQ$3="",CQ$3&gt;TODAY()),"",IF(AND(CQ216="",CR216=""),"",N(CR216)-N(CQ216)))</f>
        <v/>
      </c>
      <c r="CV216">
        <f>IF(OR(CQ$3="",CQ$3&gt;TODAY()),"",IF(AND(CT216="",CU216=""),"",N(CU216)-N(CT216)))</f>
        <v/>
      </c>
      <c r="CZ216">
        <f>IF(OR(CX$3="",CX$3&gt;TODAY()),"",IF(AND(CX216="",CY216=""),"",N(CY216)-N(CX216)))</f>
        <v/>
      </c>
      <c r="DC216">
        <f>IF(OR(CX$3="",CX$3&gt;TODAY()),"",IF(AND(DA216="",DB216=""),"",N(DB216)-N(DA216)))</f>
        <v/>
      </c>
      <c r="DG216">
        <f>IF(OR(DE$3="",DE$3&gt;TODAY()),"",IF(AND(DE216="",DF216=""),"",N(DF216)-N(DE216)))</f>
        <v/>
      </c>
      <c r="DJ216">
        <f>IF(OR(DE$3="",DE$3&gt;TODAY()),"",IF(AND(DH216="",DI216=""),"",N(DI216)-N(DH216)))</f>
        <v/>
      </c>
      <c r="DN216">
        <f>IF(OR(DL$3="",DL$3&gt;TODAY()),"",IF(AND(DL216="",DM216=""),"",N(DM216)-N(DL216)))</f>
        <v/>
      </c>
      <c r="DQ216">
        <f>IF(OR(DL$3="",DL$3&gt;TODAY()),"",IF(AND(DO216="",DP216=""),"",N(DP216)-N(DO216)))</f>
        <v/>
      </c>
      <c r="DU216">
        <f>IF(OR(DS$3="",DS$3&gt;TODAY()),"",IF(AND(DS216="",DT216=""),"",N(DT216)-N(DS216)))</f>
        <v/>
      </c>
      <c r="DX216">
        <f>IF(OR(DS$3="",DS$3&gt;TODAY()),"",IF(AND(DV216="",DW216=""),"",N(DW216)-N(DV216)))</f>
        <v/>
      </c>
      <c r="EB216">
        <f>IF(OR(DZ$3="",DZ$3&gt;TODAY()),"",IF(AND(DZ216="",EA216=""),"",N(EA216)-N(DZ216)))</f>
        <v/>
      </c>
      <c r="EE216">
        <f>IF(OR(DZ$3="",DZ$3&gt;TODAY()),"",IF(AND(EC216="",ED216=""),"",N(ED216)-N(EC216)))</f>
        <v/>
      </c>
      <c r="EI216">
        <f>IF(OR(EG$3="",EG$3&gt;TODAY()),"",IF(AND(EG216="",EH216=""),"",N(EH216)-N(EG216)))</f>
        <v/>
      </c>
      <c r="EL216">
        <f>IF(OR(EG$3="",EG$3&gt;TODAY()),"",IF(AND(EJ216="",EK216=""),"",N(EK216)-N(EJ216)))</f>
        <v/>
      </c>
      <c r="EP216">
        <f>IF(OR(EN$3="",EN$3&gt;TODAY()),"",IF(AND(EN216="",EO216=""),"",N(EO216)-N(EN216)))</f>
        <v/>
      </c>
      <c r="ES216">
        <f>IF(OR(EN$3="",EN$3&gt;TODAY()),"",IF(AND(EQ216="",ER216=""),"",N(ER216)-N(EQ216)))</f>
        <v/>
      </c>
      <c r="EW216">
        <f>IF(OR(EU$3="",EU$3&gt;TODAY()),"",IF(AND(EU216="",EV216=""),"",N(EV216)-N(EU216)))</f>
        <v/>
      </c>
      <c r="EZ216">
        <f>IF(OR(EU$3="",EU$3&gt;TODAY()),"",IF(AND(EX216="",EY216=""),"",N(EY216)-N(EX216)))</f>
        <v/>
      </c>
      <c r="FD216">
        <f>IF(OR(FB$3="",FB$3&gt;TODAY()),"",IF(AND(FB216="",FC216=""),"",N(FC216)-N(FB216)))</f>
        <v/>
      </c>
      <c r="FG216">
        <f>IF(OR(FB$3="",FB$3&gt;TODAY()),"",IF(AND(FE216="",FF216=""),"",N(FF216)-N(FE216)))</f>
        <v/>
      </c>
      <c r="FK216">
        <f>IF(OR(FI$3="",FI$3&gt;TODAY()),"",IF(AND(FI216="",FJ216=""),"",N(FJ216)-N(FI216)))</f>
        <v/>
      </c>
      <c r="FN216">
        <f>IF(OR(FI$3="",FI$3&gt;TODAY()),"",IF(AND(FL216="",FM216=""),"",N(FM216)-N(FL216)))</f>
        <v/>
      </c>
      <c r="FR216">
        <f>IF(OR(FP$3="",FP$3&gt;TODAY()),"",IF(AND(FP216="",FQ216=""),"",N(FQ216)-N(FP216)))</f>
        <v/>
      </c>
      <c r="FU216">
        <f>IF(OR(FP$3="",FP$3&gt;TODAY()),"",IF(AND(FS216="",FT216=""),"",N(FT216)-N(FS216)))</f>
        <v/>
      </c>
      <c r="FY216">
        <f>IF(OR(FW$3="",FW$3&gt;TODAY()),"",IF(AND(FW216="",FX216=""),"",N(FX216)-N(FW216)))</f>
        <v/>
      </c>
      <c r="GB216">
        <f>IF(OR(FW$3="",FW$3&gt;TODAY()),"",IF(AND(FZ216="",GA216=""),"",N(GA216)-N(FZ216)))</f>
        <v/>
      </c>
      <c r="GF216">
        <f>IF(OR(GD$3="",GD$3&gt;TODAY()),"",IF(AND(GD216="",GE216=""),"",N(GE216)-N(GD216)))</f>
        <v/>
      </c>
      <c r="GI216">
        <f>IF(OR(GD$3="",GD$3&gt;TODAY()),"",IF(AND(GG216="",GH216=""),"",N(GH216)-N(GG216)))</f>
        <v/>
      </c>
      <c r="GM216">
        <f>IF(OR(GK$3="",GK$3&gt;TODAY()),"",IF(AND(GK216="",GL216=""),"",N(GL216)-N(GK216)))</f>
        <v/>
      </c>
      <c r="GP216">
        <f>IF(OR(GK$3="",GK$3&gt;TODAY()),"",IF(AND(GN216="",GO216=""),"",N(GO216)-N(GN216)))</f>
        <v/>
      </c>
      <c r="GT216">
        <f>IF(OR(GR$3="",GR$3&gt;TODAY()),"",IF(AND(GR216="",GS216=""),"",N(GS216)-N(GR216)))</f>
        <v/>
      </c>
      <c r="GW216">
        <f>IF(OR(GR$3="",GR$3&gt;TODAY()),"",IF(AND(GU216="",GV216=""),"",N(GV216)-N(GU216)))</f>
        <v/>
      </c>
      <c r="HA216">
        <f>IF(OR(GY$3="",GY$3&gt;TODAY()),"",IF(AND(GY216="",GZ216=""),"",N(GZ216)-N(GY216)))</f>
        <v/>
      </c>
      <c r="HD216">
        <f>IF(OR(GY$3="",GY$3&gt;TODAY()),"",IF(AND(HB216="",HC216=""),"",N(HC216)-N(HB216)))</f>
        <v/>
      </c>
      <c r="HH216">
        <f>IF(OR(HF$3="",HF$3&gt;TODAY()),"",IF(AND(HF216="",HG216=""),"",N(HG216)-N(HF216)))</f>
        <v/>
      </c>
      <c r="HK216">
        <f>IF(OR(HF$3="",HF$3&gt;TODAY()),"",IF(AND(HI216="",HJ216=""),"",N(HJ216)-N(HI216)))</f>
        <v/>
      </c>
      <c r="HO216">
        <f>IF(OR(HM$3="",HM$3&gt;TODAY()),"",IF(AND(HM216="",HN216=""),"",N(HN216)-N(HM216)))</f>
        <v/>
      </c>
      <c r="HR216">
        <f>IF(OR(HM$3="",HM$3&gt;TODAY()),"",IF(AND(HP216="",HQ216=""),"",N(HQ216)-N(HP216)))</f>
        <v/>
      </c>
      <c r="HV216">
        <f>IF(OR(HT$3="",HT$3&gt;TODAY()),"",IF(AND(HT216="",HU216=""),"",N(HU216)-N(HT216)))</f>
        <v/>
      </c>
      <c r="HY216">
        <f>IF(OR(HT$3="",HT$3&gt;TODAY()),"",IF(AND(HW216="",HX216=""),"",N(HX216)-N(HW216)))</f>
        <v/>
      </c>
      <c r="IC216">
        <f>IF(OR(IA$3="",IA$3&gt;TODAY()),"",IF(AND(IA216="",IB216=""),"",N(IB216)-N(IA216)))</f>
        <v/>
      </c>
      <c r="IF216">
        <f>IF(OR(IA$3="",IA$3&gt;TODAY()),"",IF(AND(ID216="",IE216=""),"",N(IE216)-N(ID216)))</f>
        <v/>
      </c>
      <c r="IJ216">
        <f>IF(OR(IH$3="",IH$3&gt;TODAY()),"",IF(AND(IH216="",II216=""),"",N(II216)-N(IH216)))</f>
        <v/>
      </c>
      <c r="IM216">
        <f>IF(OR(IH$3="",IH$3&gt;TODAY()),"",IF(AND(IK216="",IL216=""),"",N(IL216)-N(IK216)))</f>
        <v/>
      </c>
    </row>
    <row r="217">
      <c r="A217" s="21" t="n"/>
      <c r="B217" s="21" t="n"/>
      <c r="C217" s="21" t="n"/>
      <c r="D217" s="21" t="n"/>
      <c r="E217" s="21" t="n"/>
      <c r="F217" s="21" t="n"/>
      <c r="G217" s="21" t="n"/>
      <c r="H217" s="21" t="n"/>
      <c r="I217" s="22" t="n"/>
      <c r="J217" s="22" t="n"/>
      <c r="K217" s="23" t="n"/>
      <c r="L217" s="22" t="n"/>
      <c r="M217" s="22" t="n"/>
      <c r="N217" s="21" t="n"/>
      <c r="O217" s="23" t="n"/>
      <c r="P217" s="23" t="n"/>
      <c r="Q217" s="23" t="n"/>
      <c r="R217" s="23" t="n"/>
      <c r="S217" s="22" t="n"/>
      <c r="T217" s="23" t="n"/>
      <c r="U217" s="23" t="n"/>
      <c r="V217" s="24">
        <f>IF(J217&lt;&gt;"",J217,IF(I217&lt;&gt;"",I217,""))</f>
        <v/>
      </c>
      <c r="W217" s="25">
        <f>IF($E217="","",N(O217)+SUMIFS($AF217:$IN217,$AF$4:$IN$4,"SEW_ACT"))</f>
        <v/>
      </c>
      <c r="X217" s="25">
        <f>IF($E217="","",N(P217)+SUMIFS($AF217:$IN217,$AF$4:$IN$4,"WASH_ACT"))</f>
        <v/>
      </c>
      <c r="Y217" s="25">
        <f>IF($E217="","",W217-X217-N(T217)-N(U217))</f>
        <v/>
      </c>
      <c r="Z217" s="25">
        <f>IF($E217="","",IF(N(K217)-X217&lt;=0.02*N(K217),0,N(K217)-X217))</f>
        <v/>
      </c>
      <c r="AA217" s="24">
        <f>IF($E217="","",IF(S217&lt;&gt;"",S217,IF(N(O217)&gt;0,IF(L217&lt;&gt;"",L217,99999),IFERROR(1/(1/_xlfn.MINIFS($AF$3:$IN$3,$AF$4:$IN$4,"SEW_ACT",$AF217:$IN217,"&gt;0")),99999))))</f>
        <v/>
      </c>
      <c r="AB217" s="26">
        <f>IF(OR($E217="",Z217=0,V217=""),"",1+COUNTIFS(Z$8:Z$707,"&gt;0",V$8:V$707,"&lt;"&amp;V217)+COUNTIFS(Z$8:Z$707,"&gt;0",V$8:V$707,V217,AA$8:AA$707,"&lt;"&amp;AA217)+COUNTIFS(Z$8:Z$707,"&gt;0",V$8:V$707,V217,AA$8:AA$707,AA217,E$8:E$707,"&lt;"&amp;$E217))</f>
        <v/>
      </c>
      <c r="AC217" s="24">
        <f>IF(OR($E217="",Z217=0),"",IFERROR(TODAY()+ROUNDUP(Z217/(SUMIFS($AF217:$IN217,$AF$4:$IN$4,"WASH_ACT")/COUNTIFS($AF$4:$IN$4,"WASH_ACT",$AF217:$IN217,"&gt;0")),0),"no output yet"))</f>
        <v/>
      </c>
      <c r="AD217" s="26">
        <f>IF($E217="","",IFERROR(ROUND(MAX(0,SUMIFS($AF217:$IN217,$AF$4:$IN$4,"SEW_PLAN",$AF$3:$IN$3,"&lt;="&amp;TODAY())-SUMIFS($AF217:$IN217,$AF$4:$IN$4,"SEW_ACT",$AF$3:$IN$3,"&lt;="&amp;TODAY())+N(Q217))/(SUMIFS($AF217:$IN217,$AF$4:$IN$4,"SEW_PLAN")/COUNTIFS($AF$4:$IN$4,"SEW_PLAN",$AF217:$IN217,"&gt;0")),1),0))</f>
        <v/>
      </c>
      <c r="AE217" s="26">
        <f>IF($E217="","",IF(AND(Z217&gt;0,OR(AND(M217&lt;&gt;"",TODAY()&gt;M217),AND(V217&lt;&gt;"",V217-TODAY()&lt;=7))),"Yes","No"))</f>
        <v/>
      </c>
      <c r="AH217">
        <f>IF(OR(AF$3="",AF$3&gt;TODAY()),"",IF(AND(AF217="",AG217=""),"",N(AG217)-N(AF217)))</f>
        <v/>
      </c>
      <c r="AK217">
        <f>IF(OR(AF$3="",AF$3&gt;TODAY()),"",IF(AND(AI217="",AJ217=""),"",N(AJ217)-N(AI217)))</f>
        <v/>
      </c>
      <c r="AO217">
        <f>IF(OR(AM$3="",AM$3&gt;TODAY()),"",IF(AND(AM217="",AN217=""),"",N(AN217)-N(AM217)))</f>
        <v/>
      </c>
      <c r="AR217">
        <f>IF(OR(AM$3="",AM$3&gt;TODAY()),"",IF(AND(AP217="",AQ217=""),"",N(AQ217)-N(AP217)))</f>
        <v/>
      </c>
      <c r="AV217">
        <f>IF(OR(AT$3="",AT$3&gt;TODAY()),"",IF(AND(AT217="",AU217=""),"",N(AU217)-N(AT217)))</f>
        <v/>
      </c>
      <c r="AY217">
        <f>IF(OR(AT$3="",AT$3&gt;TODAY()),"",IF(AND(AW217="",AX217=""),"",N(AX217)-N(AW217)))</f>
        <v/>
      </c>
      <c r="BC217">
        <f>IF(OR(BA$3="",BA$3&gt;TODAY()),"",IF(AND(BA217="",BB217=""),"",N(BB217)-N(BA217)))</f>
        <v/>
      </c>
      <c r="BF217">
        <f>IF(OR(BA$3="",BA$3&gt;TODAY()),"",IF(AND(BD217="",BE217=""),"",N(BE217)-N(BD217)))</f>
        <v/>
      </c>
      <c r="BJ217">
        <f>IF(OR(BH$3="",BH$3&gt;TODAY()),"",IF(AND(BH217="",BI217=""),"",N(BI217)-N(BH217)))</f>
        <v/>
      </c>
      <c r="BM217">
        <f>IF(OR(BH$3="",BH$3&gt;TODAY()),"",IF(AND(BK217="",BL217=""),"",N(BL217)-N(BK217)))</f>
        <v/>
      </c>
      <c r="BQ217">
        <f>IF(OR(BO$3="",BO$3&gt;TODAY()),"",IF(AND(BO217="",BP217=""),"",N(BP217)-N(BO217)))</f>
        <v/>
      </c>
      <c r="BT217">
        <f>IF(OR(BO$3="",BO$3&gt;TODAY()),"",IF(AND(BR217="",BS217=""),"",N(BS217)-N(BR217)))</f>
        <v/>
      </c>
      <c r="BX217">
        <f>IF(OR(BV$3="",BV$3&gt;TODAY()),"",IF(AND(BV217="",BW217=""),"",N(BW217)-N(BV217)))</f>
        <v/>
      </c>
      <c r="CA217">
        <f>IF(OR(BV$3="",BV$3&gt;TODAY()),"",IF(AND(BY217="",BZ217=""),"",N(BZ217)-N(BY217)))</f>
        <v/>
      </c>
      <c r="CE217">
        <f>IF(OR(CC$3="",CC$3&gt;TODAY()),"",IF(AND(CC217="",CD217=""),"",N(CD217)-N(CC217)))</f>
        <v/>
      </c>
      <c r="CH217">
        <f>IF(OR(CC$3="",CC$3&gt;TODAY()),"",IF(AND(CF217="",CG217=""),"",N(CG217)-N(CF217)))</f>
        <v/>
      </c>
      <c r="CL217">
        <f>IF(OR(CJ$3="",CJ$3&gt;TODAY()),"",IF(AND(CJ217="",CK217=""),"",N(CK217)-N(CJ217)))</f>
        <v/>
      </c>
      <c r="CO217">
        <f>IF(OR(CJ$3="",CJ$3&gt;TODAY()),"",IF(AND(CM217="",CN217=""),"",N(CN217)-N(CM217)))</f>
        <v/>
      </c>
      <c r="CS217">
        <f>IF(OR(CQ$3="",CQ$3&gt;TODAY()),"",IF(AND(CQ217="",CR217=""),"",N(CR217)-N(CQ217)))</f>
        <v/>
      </c>
      <c r="CV217">
        <f>IF(OR(CQ$3="",CQ$3&gt;TODAY()),"",IF(AND(CT217="",CU217=""),"",N(CU217)-N(CT217)))</f>
        <v/>
      </c>
      <c r="CZ217">
        <f>IF(OR(CX$3="",CX$3&gt;TODAY()),"",IF(AND(CX217="",CY217=""),"",N(CY217)-N(CX217)))</f>
        <v/>
      </c>
      <c r="DC217">
        <f>IF(OR(CX$3="",CX$3&gt;TODAY()),"",IF(AND(DA217="",DB217=""),"",N(DB217)-N(DA217)))</f>
        <v/>
      </c>
      <c r="DG217">
        <f>IF(OR(DE$3="",DE$3&gt;TODAY()),"",IF(AND(DE217="",DF217=""),"",N(DF217)-N(DE217)))</f>
        <v/>
      </c>
      <c r="DJ217">
        <f>IF(OR(DE$3="",DE$3&gt;TODAY()),"",IF(AND(DH217="",DI217=""),"",N(DI217)-N(DH217)))</f>
        <v/>
      </c>
      <c r="DN217">
        <f>IF(OR(DL$3="",DL$3&gt;TODAY()),"",IF(AND(DL217="",DM217=""),"",N(DM217)-N(DL217)))</f>
        <v/>
      </c>
      <c r="DQ217">
        <f>IF(OR(DL$3="",DL$3&gt;TODAY()),"",IF(AND(DO217="",DP217=""),"",N(DP217)-N(DO217)))</f>
        <v/>
      </c>
      <c r="DU217">
        <f>IF(OR(DS$3="",DS$3&gt;TODAY()),"",IF(AND(DS217="",DT217=""),"",N(DT217)-N(DS217)))</f>
        <v/>
      </c>
      <c r="DX217">
        <f>IF(OR(DS$3="",DS$3&gt;TODAY()),"",IF(AND(DV217="",DW217=""),"",N(DW217)-N(DV217)))</f>
        <v/>
      </c>
      <c r="EB217">
        <f>IF(OR(DZ$3="",DZ$3&gt;TODAY()),"",IF(AND(DZ217="",EA217=""),"",N(EA217)-N(DZ217)))</f>
        <v/>
      </c>
      <c r="EE217">
        <f>IF(OR(DZ$3="",DZ$3&gt;TODAY()),"",IF(AND(EC217="",ED217=""),"",N(ED217)-N(EC217)))</f>
        <v/>
      </c>
      <c r="EI217">
        <f>IF(OR(EG$3="",EG$3&gt;TODAY()),"",IF(AND(EG217="",EH217=""),"",N(EH217)-N(EG217)))</f>
        <v/>
      </c>
      <c r="EL217">
        <f>IF(OR(EG$3="",EG$3&gt;TODAY()),"",IF(AND(EJ217="",EK217=""),"",N(EK217)-N(EJ217)))</f>
        <v/>
      </c>
      <c r="EP217">
        <f>IF(OR(EN$3="",EN$3&gt;TODAY()),"",IF(AND(EN217="",EO217=""),"",N(EO217)-N(EN217)))</f>
        <v/>
      </c>
      <c r="ES217">
        <f>IF(OR(EN$3="",EN$3&gt;TODAY()),"",IF(AND(EQ217="",ER217=""),"",N(ER217)-N(EQ217)))</f>
        <v/>
      </c>
      <c r="EW217">
        <f>IF(OR(EU$3="",EU$3&gt;TODAY()),"",IF(AND(EU217="",EV217=""),"",N(EV217)-N(EU217)))</f>
        <v/>
      </c>
      <c r="EZ217">
        <f>IF(OR(EU$3="",EU$3&gt;TODAY()),"",IF(AND(EX217="",EY217=""),"",N(EY217)-N(EX217)))</f>
        <v/>
      </c>
      <c r="FD217">
        <f>IF(OR(FB$3="",FB$3&gt;TODAY()),"",IF(AND(FB217="",FC217=""),"",N(FC217)-N(FB217)))</f>
        <v/>
      </c>
      <c r="FG217">
        <f>IF(OR(FB$3="",FB$3&gt;TODAY()),"",IF(AND(FE217="",FF217=""),"",N(FF217)-N(FE217)))</f>
        <v/>
      </c>
      <c r="FK217">
        <f>IF(OR(FI$3="",FI$3&gt;TODAY()),"",IF(AND(FI217="",FJ217=""),"",N(FJ217)-N(FI217)))</f>
        <v/>
      </c>
      <c r="FN217">
        <f>IF(OR(FI$3="",FI$3&gt;TODAY()),"",IF(AND(FL217="",FM217=""),"",N(FM217)-N(FL217)))</f>
        <v/>
      </c>
      <c r="FR217">
        <f>IF(OR(FP$3="",FP$3&gt;TODAY()),"",IF(AND(FP217="",FQ217=""),"",N(FQ217)-N(FP217)))</f>
        <v/>
      </c>
      <c r="FU217">
        <f>IF(OR(FP$3="",FP$3&gt;TODAY()),"",IF(AND(FS217="",FT217=""),"",N(FT217)-N(FS217)))</f>
        <v/>
      </c>
      <c r="FY217">
        <f>IF(OR(FW$3="",FW$3&gt;TODAY()),"",IF(AND(FW217="",FX217=""),"",N(FX217)-N(FW217)))</f>
        <v/>
      </c>
      <c r="GB217">
        <f>IF(OR(FW$3="",FW$3&gt;TODAY()),"",IF(AND(FZ217="",GA217=""),"",N(GA217)-N(FZ217)))</f>
        <v/>
      </c>
      <c r="GF217">
        <f>IF(OR(GD$3="",GD$3&gt;TODAY()),"",IF(AND(GD217="",GE217=""),"",N(GE217)-N(GD217)))</f>
        <v/>
      </c>
      <c r="GI217">
        <f>IF(OR(GD$3="",GD$3&gt;TODAY()),"",IF(AND(GG217="",GH217=""),"",N(GH217)-N(GG217)))</f>
        <v/>
      </c>
      <c r="GM217">
        <f>IF(OR(GK$3="",GK$3&gt;TODAY()),"",IF(AND(GK217="",GL217=""),"",N(GL217)-N(GK217)))</f>
        <v/>
      </c>
      <c r="GP217">
        <f>IF(OR(GK$3="",GK$3&gt;TODAY()),"",IF(AND(GN217="",GO217=""),"",N(GO217)-N(GN217)))</f>
        <v/>
      </c>
      <c r="GT217">
        <f>IF(OR(GR$3="",GR$3&gt;TODAY()),"",IF(AND(GR217="",GS217=""),"",N(GS217)-N(GR217)))</f>
        <v/>
      </c>
      <c r="GW217">
        <f>IF(OR(GR$3="",GR$3&gt;TODAY()),"",IF(AND(GU217="",GV217=""),"",N(GV217)-N(GU217)))</f>
        <v/>
      </c>
      <c r="HA217">
        <f>IF(OR(GY$3="",GY$3&gt;TODAY()),"",IF(AND(GY217="",GZ217=""),"",N(GZ217)-N(GY217)))</f>
        <v/>
      </c>
      <c r="HD217">
        <f>IF(OR(GY$3="",GY$3&gt;TODAY()),"",IF(AND(HB217="",HC217=""),"",N(HC217)-N(HB217)))</f>
        <v/>
      </c>
      <c r="HH217">
        <f>IF(OR(HF$3="",HF$3&gt;TODAY()),"",IF(AND(HF217="",HG217=""),"",N(HG217)-N(HF217)))</f>
        <v/>
      </c>
      <c r="HK217">
        <f>IF(OR(HF$3="",HF$3&gt;TODAY()),"",IF(AND(HI217="",HJ217=""),"",N(HJ217)-N(HI217)))</f>
        <v/>
      </c>
      <c r="HO217">
        <f>IF(OR(HM$3="",HM$3&gt;TODAY()),"",IF(AND(HM217="",HN217=""),"",N(HN217)-N(HM217)))</f>
        <v/>
      </c>
      <c r="HR217">
        <f>IF(OR(HM$3="",HM$3&gt;TODAY()),"",IF(AND(HP217="",HQ217=""),"",N(HQ217)-N(HP217)))</f>
        <v/>
      </c>
      <c r="HV217">
        <f>IF(OR(HT$3="",HT$3&gt;TODAY()),"",IF(AND(HT217="",HU217=""),"",N(HU217)-N(HT217)))</f>
        <v/>
      </c>
      <c r="HY217">
        <f>IF(OR(HT$3="",HT$3&gt;TODAY()),"",IF(AND(HW217="",HX217=""),"",N(HX217)-N(HW217)))</f>
        <v/>
      </c>
      <c r="IC217">
        <f>IF(OR(IA$3="",IA$3&gt;TODAY()),"",IF(AND(IA217="",IB217=""),"",N(IB217)-N(IA217)))</f>
        <v/>
      </c>
      <c r="IF217">
        <f>IF(OR(IA$3="",IA$3&gt;TODAY()),"",IF(AND(ID217="",IE217=""),"",N(IE217)-N(ID217)))</f>
        <v/>
      </c>
      <c r="IJ217">
        <f>IF(OR(IH$3="",IH$3&gt;TODAY()),"",IF(AND(IH217="",II217=""),"",N(II217)-N(IH217)))</f>
        <v/>
      </c>
      <c r="IM217">
        <f>IF(OR(IH$3="",IH$3&gt;TODAY()),"",IF(AND(IK217="",IL217=""),"",N(IL217)-N(IK217)))</f>
        <v/>
      </c>
    </row>
    <row r="218">
      <c r="A218" s="21" t="n"/>
      <c r="B218" s="21" t="n"/>
      <c r="C218" s="21" t="n"/>
      <c r="D218" s="21" t="n"/>
      <c r="E218" s="21" t="n"/>
      <c r="F218" s="21" t="n"/>
      <c r="G218" s="21" t="n"/>
      <c r="H218" s="21" t="n"/>
      <c r="I218" s="22" t="n"/>
      <c r="J218" s="22" t="n"/>
      <c r="K218" s="23" t="n"/>
      <c r="L218" s="22" t="n"/>
      <c r="M218" s="22" t="n"/>
      <c r="N218" s="21" t="n"/>
      <c r="O218" s="23" t="n"/>
      <c r="P218" s="23" t="n"/>
      <c r="Q218" s="23" t="n"/>
      <c r="R218" s="23" t="n"/>
      <c r="S218" s="22" t="n"/>
      <c r="T218" s="23" t="n"/>
      <c r="U218" s="23" t="n"/>
      <c r="V218" s="24">
        <f>IF(J218&lt;&gt;"",J218,IF(I218&lt;&gt;"",I218,""))</f>
        <v/>
      </c>
      <c r="W218" s="25">
        <f>IF($E218="","",N(O218)+SUMIFS($AF218:$IN218,$AF$4:$IN$4,"SEW_ACT"))</f>
        <v/>
      </c>
      <c r="X218" s="25">
        <f>IF($E218="","",N(P218)+SUMIFS($AF218:$IN218,$AF$4:$IN$4,"WASH_ACT"))</f>
        <v/>
      </c>
      <c r="Y218" s="25">
        <f>IF($E218="","",W218-X218-N(T218)-N(U218))</f>
        <v/>
      </c>
      <c r="Z218" s="25">
        <f>IF($E218="","",IF(N(K218)-X218&lt;=0.02*N(K218),0,N(K218)-X218))</f>
        <v/>
      </c>
      <c r="AA218" s="24">
        <f>IF($E218="","",IF(S218&lt;&gt;"",S218,IF(N(O218)&gt;0,IF(L218&lt;&gt;"",L218,99999),IFERROR(1/(1/_xlfn.MINIFS($AF$3:$IN$3,$AF$4:$IN$4,"SEW_ACT",$AF218:$IN218,"&gt;0")),99999))))</f>
        <v/>
      </c>
      <c r="AB218" s="26">
        <f>IF(OR($E218="",Z218=0,V218=""),"",1+COUNTIFS(Z$8:Z$707,"&gt;0",V$8:V$707,"&lt;"&amp;V218)+COUNTIFS(Z$8:Z$707,"&gt;0",V$8:V$707,V218,AA$8:AA$707,"&lt;"&amp;AA218)+COUNTIFS(Z$8:Z$707,"&gt;0",V$8:V$707,V218,AA$8:AA$707,AA218,E$8:E$707,"&lt;"&amp;$E218))</f>
        <v/>
      </c>
      <c r="AC218" s="24">
        <f>IF(OR($E218="",Z218=0),"",IFERROR(TODAY()+ROUNDUP(Z218/(SUMIFS($AF218:$IN218,$AF$4:$IN$4,"WASH_ACT")/COUNTIFS($AF$4:$IN$4,"WASH_ACT",$AF218:$IN218,"&gt;0")),0),"no output yet"))</f>
        <v/>
      </c>
      <c r="AD218" s="26">
        <f>IF($E218="","",IFERROR(ROUND(MAX(0,SUMIFS($AF218:$IN218,$AF$4:$IN$4,"SEW_PLAN",$AF$3:$IN$3,"&lt;="&amp;TODAY())-SUMIFS($AF218:$IN218,$AF$4:$IN$4,"SEW_ACT",$AF$3:$IN$3,"&lt;="&amp;TODAY())+N(Q218))/(SUMIFS($AF218:$IN218,$AF$4:$IN$4,"SEW_PLAN")/COUNTIFS($AF$4:$IN$4,"SEW_PLAN",$AF218:$IN218,"&gt;0")),1),0))</f>
        <v/>
      </c>
      <c r="AE218" s="26">
        <f>IF($E218="","",IF(AND(Z218&gt;0,OR(AND(M218&lt;&gt;"",TODAY()&gt;M218),AND(V218&lt;&gt;"",V218-TODAY()&lt;=7))),"Yes","No"))</f>
        <v/>
      </c>
      <c r="AH218">
        <f>IF(OR(AF$3="",AF$3&gt;TODAY()),"",IF(AND(AF218="",AG218=""),"",N(AG218)-N(AF218)))</f>
        <v/>
      </c>
      <c r="AK218">
        <f>IF(OR(AF$3="",AF$3&gt;TODAY()),"",IF(AND(AI218="",AJ218=""),"",N(AJ218)-N(AI218)))</f>
        <v/>
      </c>
      <c r="AO218">
        <f>IF(OR(AM$3="",AM$3&gt;TODAY()),"",IF(AND(AM218="",AN218=""),"",N(AN218)-N(AM218)))</f>
        <v/>
      </c>
      <c r="AR218">
        <f>IF(OR(AM$3="",AM$3&gt;TODAY()),"",IF(AND(AP218="",AQ218=""),"",N(AQ218)-N(AP218)))</f>
        <v/>
      </c>
      <c r="AV218">
        <f>IF(OR(AT$3="",AT$3&gt;TODAY()),"",IF(AND(AT218="",AU218=""),"",N(AU218)-N(AT218)))</f>
        <v/>
      </c>
      <c r="AY218">
        <f>IF(OR(AT$3="",AT$3&gt;TODAY()),"",IF(AND(AW218="",AX218=""),"",N(AX218)-N(AW218)))</f>
        <v/>
      </c>
      <c r="BC218">
        <f>IF(OR(BA$3="",BA$3&gt;TODAY()),"",IF(AND(BA218="",BB218=""),"",N(BB218)-N(BA218)))</f>
        <v/>
      </c>
      <c r="BF218">
        <f>IF(OR(BA$3="",BA$3&gt;TODAY()),"",IF(AND(BD218="",BE218=""),"",N(BE218)-N(BD218)))</f>
        <v/>
      </c>
      <c r="BJ218">
        <f>IF(OR(BH$3="",BH$3&gt;TODAY()),"",IF(AND(BH218="",BI218=""),"",N(BI218)-N(BH218)))</f>
        <v/>
      </c>
      <c r="BM218">
        <f>IF(OR(BH$3="",BH$3&gt;TODAY()),"",IF(AND(BK218="",BL218=""),"",N(BL218)-N(BK218)))</f>
        <v/>
      </c>
      <c r="BQ218">
        <f>IF(OR(BO$3="",BO$3&gt;TODAY()),"",IF(AND(BO218="",BP218=""),"",N(BP218)-N(BO218)))</f>
        <v/>
      </c>
      <c r="BT218">
        <f>IF(OR(BO$3="",BO$3&gt;TODAY()),"",IF(AND(BR218="",BS218=""),"",N(BS218)-N(BR218)))</f>
        <v/>
      </c>
      <c r="BX218">
        <f>IF(OR(BV$3="",BV$3&gt;TODAY()),"",IF(AND(BV218="",BW218=""),"",N(BW218)-N(BV218)))</f>
        <v/>
      </c>
      <c r="CA218">
        <f>IF(OR(BV$3="",BV$3&gt;TODAY()),"",IF(AND(BY218="",BZ218=""),"",N(BZ218)-N(BY218)))</f>
        <v/>
      </c>
      <c r="CE218">
        <f>IF(OR(CC$3="",CC$3&gt;TODAY()),"",IF(AND(CC218="",CD218=""),"",N(CD218)-N(CC218)))</f>
        <v/>
      </c>
      <c r="CH218">
        <f>IF(OR(CC$3="",CC$3&gt;TODAY()),"",IF(AND(CF218="",CG218=""),"",N(CG218)-N(CF218)))</f>
        <v/>
      </c>
      <c r="CL218">
        <f>IF(OR(CJ$3="",CJ$3&gt;TODAY()),"",IF(AND(CJ218="",CK218=""),"",N(CK218)-N(CJ218)))</f>
        <v/>
      </c>
      <c r="CO218">
        <f>IF(OR(CJ$3="",CJ$3&gt;TODAY()),"",IF(AND(CM218="",CN218=""),"",N(CN218)-N(CM218)))</f>
        <v/>
      </c>
      <c r="CS218">
        <f>IF(OR(CQ$3="",CQ$3&gt;TODAY()),"",IF(AND(CQ218="",CR218=""),"",N(CR218)-N(CQ218)))</f>
        <v/>
      </c>
      <c r="CV218">
        <f>IF(OR(CQ$3="",CQ$3&gt;TODAY()),"",IF(AND(CT218="",CU218=""),"",N(CU218)-N(CT218)))</f>
        <v/>
      </c>
      <c r="CZ218">
        <f>IF(OR(CX$3="",CX$3&gt;TODAY()),"",IF(AND(CX218="",CY218=""),"",N(CY218)-N(CX218)))</f>
        <v/>
      </c>
      <c r="DC218">
        <f>IF(OR(CX$3="",CX$3&gt;TODAY()),"",IF(AND(DA218="",DB218=""),"",N(DB218)-N(DA218)))</f>
        <v/>
      </c>
      <c r="DG218">
        <f>IF(OR(DE$3="",DE$3&gt;TODAY()),"",IF(AND(DE218="",DF218=""),"",N(DF218)-N(DE218)))</f>
        <v/>
      </c>
      <c r="DJ218">
        <f>IF(OR(DE$3="",DE$3&gt;TODAY()),"",IF(AND(DH218="",DI218=""),"",N(DI218)-N(DH218)))</f>
        <v/>
      </c>
      <c r="DN218">
        <f>IF(OR(DL$3="",DL$3&gt;TODAY()),"",IF(AND(DL218="",DM218=""),"",N(DM218)-N(DL218)))</f>
        <v/>
      </c>
      <c r="DQ218">
        <f>IF(OR(DL$3="",DL$3&gt;TODAY()),"",IF(AND(DO218="",DP218=""),"",N(DP218)-N(DO218)))</f>
        <v/>
      </c>
      <c r="DU218">
        <f>IF(OR(DS$3="",DS$3&gt;TODAY()),"",IF(AND(DS218="",DT218=""),"",N(DT218)-N(DS218)))</f>
        <v/>
      </c>
      <c r="DX218">
        <f>IF(OR(DS$3="",DS$3&gt;TODAY()),"",IF(AND(DV218="",DW218=""),"",N(DW218)-N(DV218)))</f>
        <v/>
      </c>
      <c r="EB218">
        <f>IF(OR(DZ$3="",DZ$3&gt;TODAY()),"",IF(AND(DZ218="",EA218=""),"",N(EA218)-N(DZ218)))</f>
        <v/>
      </c>
      <c r="EE218">
        <f>IF(OR(DZ$3="",DZ$3&gt;TODAY()),"",IF(AND(EC218="",ED218=""),"",N(ED218)-N(EC218)))</f>
        <v/>
      </c>
      <c r="EI218">
        <f>IF(OR(EG$3="",EG$3&gt;TODAY()),"",IF(AND(EG218="",EH218=""),"",N(EH218)-N(EG218)))</f>
        <v/>
      </c>
      <c r="EL218">
        <f>IF(OR(EG$3="",EG$3&gt;TODAY()),"",IF(AND(EJ218="",EK218=""),"",N(EK218)-N(EJ218)))</f>
        <v/>
      </c>
      <c r="EP218">
        <f>IF(OR(EN$3="",EN$3&gt;TODAY()),"",IF(AND(EN218="",EO218=""),"",N(EO218)-N(EN218)))</f>
        <v/>
      </c>
      <c r="ES218">
        <f>IF(OR(EN$3="",EN$3&gt;TODAY()),"",IF(AND(EQ218="",ER218=""),"",N(ER218)-N(EQ218)))</f>
        <v/>
      </c>
      <c r="EW218">
        <f>IF(OR(EU$3="",EU$3&gt;TODAY()),"",IF(AND(EU218="",EV218=""),"",N(EV218)-N(EU218)))</f>
        <v/>
      </c>
      <c r="EZ218">
        <f>IF(OR(EU$3="",EU$3&gt;TODAY()),"",IF(AND(EX218="",EY218=""),"",N(EY218)-N(EX218)))</f>
        <v/>
      </c>
      <c r="FD218">
        <f>IF(OR(FB$3="",FB$3&gt;TODAY()),"",IF(AND(FB218="",FC218=""),"",N(FC218)-N(FB218)))</f>
        <v/>
      </c>
      <c r="FG218">
        <f>IF(OR(FB$3="",FB$3&gt;TODAY()),"",IF(AND(FE218="",FF218=""),"",N(FF218)-N(FE218)))</f>
        <v/>
      </c>
      <c r="FK218">
        <f>IF(OR(FI$3="",FI$3&gt;TODAY()),"",IF(AND(FI218="",FJ218=""),"",N(FJ218)-N(FI218)))</f>
        <v/>
      </c>
      <c r="FN218">
        <f>IF(OR(FI$3="",FI$3&gt;TODAY()),"",IF(AND(FL218="",FM218=""),"",N(FM218)-N(FL218)))</f>
        <v/>
      </c>
      <c r="FR218">
        <f>IF(OR(FP$3="",FP$3&gt;TODAY()),"",IF(AND(FP218="",FQ218=""),"",N(FQ218)-N(FP218)))</f>
        <v/>
      </c>
      <c r="FU218">
        <f>IF(OR(FP$3="",FP$3&gt;TODAY()),"",IF(AND(FS218="",FT218=""),"",N(FT218)-N(FS218)))</f>
        <v/>
      </c>
      <c r="FY218">
        <f>IF(OR(FW$3="",FW$3&gt;TODAY()),"",IF(AND(FW218="",FX218=""),"",N(FX218)-N(FW218)))</f>
        <v/>
      </c>
      <c r="GB218">
        <f>IF(OR(FW$3="",FW$3&gt;TODAY()),"",IF(AND(FZ218="",GA218=""),"",N(GA218)-N(FZ218)))</f>
        <v/>
      </c>
      <c r="GF218">
        <f>IF(OR(GD$3="",GD$3&gt;TODAY()),"",IF(AND(GD218="",GE218=""),"",N(GE218)-N(GD218)))</f>
        <v/>
      </c>
      <c r="GI218">
        <f>IF(OR(GD$3="",GD$3&gt;TODAY()),"",IF(AND(GG218="",GH218=""),"",N(GH218)-N(GG218)))</f>
        <v/>
      </c>
      <c r="GM218">
        <f>IF(OR(GK$3="",GK$3&gt;TODAY()),"",IF(AND(GK218="",GL218=""),"",N(GL218)-N(GK218)))</f>
        <v/>
      </c>
      <c r="GP218">
        <f>IF(OR(GK$3="",GK$3&gt;TODAY()),"",IF(AND(GN218="",GO218=""),"",N(GO218)-N(GN218)))</f>
        <v/>
      </c>
      <c r="GT218">
        <f>IF(OR(GR$3="",GR$3&gt;TODAY()),"",IF(AND(GR218="",GS218=""),"",N(GS218)-N(GR218)))</f>
        <v/>
      </c>
      <c r="GW218">
        <f>IF(OR(GR$3="",GR$3&gt;TODAY()),"",IF(AND(GU218="",GV218=""),"",N(GV218)-N(GU218)))</f>
        <v/>
      </c>
      <c r="HA218">
        <f>IF(OR(GY$3="",GY$3&gt;TODAY()),"",IF(AND(GY218="",GZ218=""),"",N(GZ218)-N(GY218)))</f>
        <v/>
      </c>
      <c r="HD218">
        <f>IF(OR(GY$3="",GY$3&gt;TODAY()),"",IF(AND(HB218="",HC218=""),"",N(HC218)-N(HB218)))</f>
        <v/>
      </c>
      <c r="HH218">
        <f>IF(OR(HF$3="",HF$3&gt;TODAY()),"",IF(AND(HF218="",HG218=""),"",N(HG218)-N(HF218)))</f>
        <v/>
      </c>
      <c r="HK218">
        <f>IF(OR(HF$3="",HF$3&gt;TODAY()),"",IF(AND(HI218="",HJ218=""),"",N(HJ218)-N(HI218)))</f>
        <v/>
      </c>
      <c r="HO218">
        <f>IF(OR(HM$3="",HM$3&gt;TODAY()),"",IF(AND(HM218="",HN218=""),"",N(HN218)-N(HM218)))</f>
        <v/>
      </c>
      <c r="HR218">
        <f>IF(OR(HM$3="",HM$3&gt;TODAY()),"",IF(AND(HP218="",HQ218=""),"",N(HQ218)-N(HP218)))</f>
        <v/>
      </c>
      <c r="HV218">
        <f>IF(OR(HT$3="",HT$3&gt;TODAY()),"",IF(AND(HT218="",HU218=""),"",N(HU218)-N(HT218)))</f>
        <v/>
      </c>
      <c r="HY218">
        <f>IF(OR(HT$3="",HT$3&gt;TODAY()),"",IF(AND(HW218="",HX218=""),"",N(HX218)-N(HW218)))</f>
        <v/>
      </c>
      <c r="IC218">
        <f>IF(OR(IA$3="",IA$3&gt;TODAY()),"",IF(AND(IA218="",IB218=""),"",N(IB218)-N(IA218)))</f>
        <v/>
      </c>
      <c r="IF218">
        <f>IF(OR(IA$3="",IA$3&gt;TODAY()),"",IF(AND(ID218="",IE218=""),"",N(IE218)-N(ID218)))</f>
        <v/>
      </c>
      <c r="IJ218">
        <f>IF(OR(IH$3="",IH$3&gt;TODAY()),"",IF(AND(IH218="",II218=""),"",N(II218)-N(IH218)))</f>
        <v/>
      </c>
      <c r="IM218">
        <f>IF(OR(IH$3="",IH$3&gt;TODAY()),"",IF(AND(IK218="",IL218=""),"",N(IL218)-N(IK218)))</f>
        <v/>
      </c>
    </row>
    <row r="219">
      <c r="A219" s="21" t="n"/>
      <c r="B219" s="21" t="n"/>
      <c r="C219" s="21" t="n"/>
      <c r="D219" s="21" t="n"/>
      <c r="E219" s="21" t="n"/>
      <c r="F219" s="21" t="n"/>
      <c r="G219" s="21" t="n"/>
      <c r="H219" s="21" t="n"/>
      <c r="I219" s="22" t="n"/>
      <c r="J219" s="22" t="n"/>
      <c r="K219" s="23" t="n"/>
      <c r="L219" s="22" t="n"/>
      <c r="M219" s="22" t="n"/>
      <c r="N219" s="21" t="n"/>
      <c r="O219" s="23" t="n"/>
      <c r="P219" s="23" t="n"/>
      <c r="Q219" s="23" t="n"/>
      <c r="R219" s="23" t="n"/>
      <c r="S219" s="22" t="n"/>
      <c r="T219" s="23" t="n"/>
      <c r="U219" s="23" t="n"/>
      <c r="V219" s="24">
        <f>IF(J219&lt;&gt;"",J219,IF(I219&lt;&gt;"",I219,""))</f>
        <v/>
      </c>
      <c r="W219" s="25">
        <f>IF($E219="","",N(O219)+SUMIFS($AF219:$IN219,$AF$4:$IN$4,"SEW_ACT"))</f>
        <v/>
      </c>
      <c r="X219" s="25">
        <f>IF($E219="","",N(P219)+SUMIFS($AF219:$IN219,$AF$4:$IN$4,"WASH_ACT"))</f>
        <v/>
      </c>
      <c r="Y219" s="25">
        <f>IF($E219="","",W219-X219-N(T219)-N(U219))</f>
        <v/>
      </c>
      <c r="Z219" s="25">
        <f>IF($E219="","",IF(N(K219)-X219&lt;=0.02*N(K219),0,N(K219)-X219))</f>
        <v/>
      </c>
      <c r="AA219" s="24">
        <f>IF($E219="","",IF(S219&lt;&gt;"",S219,IF(N(O219)&gt;0,IF(L219&lt;&gt;"",L219,99999),IFERROR(1/(1/_xlfn.MINIFS($AF$3:$IN$3,$AF$4:$IN$4,"SEW_ACT",$AF219:$IN219,"&gt;0")),99999))))</f>
        <v/>
      </c>
      <c r="AB219" s="26">
        <f>IF(OR($E219="",Z219=0,V219=""),"",1+COUNTIFS(Z$8:Z$707,"&gt;0",V$8:V$707,"&lt;"&amp;V219)+COUNTIFS(Z$8:Z$707,"&gt;0",V$8:V$707,V219,AA$8:AA$707,"&lt;"&amp;AA219)+COUNTIFS(Z$8:Z$707,"&gt;0",V$8:V$707,V219,AA$8:AA$707,AA219,E$8:E$707,"&lt;"&amp;$E219))</f>
        <v/>
      </c>
      <c r="AC219" s="24">
        <f>IF(OR($E219="",Z219=0),"",IFERROR(TODAY()+ROUNDUP(Z219/(SUMIFS($AF219:$IN219,$AF$4:$IN$4,"WASH_ACT")/COUNTIFS($AF$4:$IN$4,"WASH_ACT",$AF219:$IN219,"&gt;0")),0),"no output yet"))</f>
        <v/>
      </c>
      <c r="AD219" s="26">
        <f>IF($E219="","",IFERROR(ROUND(MAX(0,SUMIFS($AF219:$IN219,$AF$4:$IN$4,"SEW_PLAN",$AF$3:$IN$3,"&lt;="&amp;TODAY())-SUMIFS($AF219:$IN219,$AF$4:$IN$4,"SEW_ACT",$AF$3:$IN$3,"&lt;="&amp;TODAY())+N(Q219))/(SUMIFS($AF219:$IN219,$AF$4:$IN$4,"SEW_PLAN")/COUNTIFS($AF$4:$IN$4,"SEW_PLAN",$AF219:$IN219,"&gt;0")),1),0))</f>
        <v/>
      </c>
      <c r="AE219" s="26">
        <f>IF($E219="","",IF(AND(Z219&gt;0,OR(AND(M219&lt;&gt;"",TODAY()&gt;M219),AND(V219&lt;&gt;"",V219-TODAY()&lt;=7))),"Yes","No"))</f>
        <v/>
      </c>
      <c r="AH219">
        <f>IF(OR(AF$3="",AF$3&gt;TODAY()),"",IF(AND(AF219="",AG219=""),"",N(AG219)-N(AF219)))</f>
        <v/>
      </c>
      <c r="AK219">
        <f>IF(OR(AF$3="",AF$3&gt;TODAY()),"",IF(AND(AI219="",AJ219=""),"",N(AJ219)-N(AI219)))</f>
        <v/>
      </c>
      <c r="AO219">
        <f>IF(OR(AM$3="",AM$3&gt;TODAY()),"",IF(AND(AM219="",AN219=""),"",N(AN219)-N(AM219)))</f>
        <v/>
      </c>
      <c r="AR219">
        <f>IF(OR(AM$3="",AM$3&gt;TODAY()),"",IF(AND(AP219="",AQ219=""),"",N(AQ219)-N(AP219)))</f>
        <v/>
      </c>
      <c r="AV219">
        <f>IF(OR(AT$3="",AT$3&gt;TODAY()),"",IF(AND(AT219="",AU219=""),"",N(AU219)-N(AT219)))</f>
        <v/>
      </c>
      <c r="AY219">
        <f>IF(OR(AT$3="",AT$3&gt;TODAY()),"",IF(AND(AW219="",AX219=""),"",N(AX219)-N(AW219)))</f>
        <v/>
      </c>
      <c r="BC219">
        <f>IF(OR(BA$3="",BA$3&gt;TODAY()),"",IF(AND(BA219="",BB219=""),"",N(BB219)-N(BA219)))</f>
        <v/>
      </c>
      <c r="BF219">
        <f>IF(OR(BA$3="",BA$3&gt;TODAY()),"",IF(AND(BD219="",BE219=""),"",N(BE219)-N(BD219)))</f>
        <v/>
      </c>
      <c r="BJ219">
        <f>IF(OR(BH$3="",BH$3&gt;TODAY()),"",IF(AND(BH219="",BI219=""),"",N(BI219)-N(BH219)))</f>
        <v/>
      </c>
      <c r="BM219">
        <f>IF(OR(BH$3="",BH$3&gt;TODAY()),"",IF(AND(BK219="",BL219=""),"",N(BL219)-N(BK219)))</f>
        <v/>
      </c>
      <c r="BQ219">
        <f>IF(OR(BO$3="",BO$3&gt;TODAY()),"",IF(AND(BO219="",BP219=""),"",N(BP219)-N(BO219)))</f>
        <v/>
      </c>
      <c r="BT219">
        <f>IF(OR(BO$3="",BO$3&gt;TODAY()),"",IF(AND(BR219="",BS219=""),"",N(BS219)-N(BR219)))</f>
        <v/>
      </c>
      <c r="BX219">
        <f>IF(OR(BV$3="",BV$3&gt;TODAY()),"",IF(AND(BV219="",BW219=""),"",N(BW219)-N(BV219)))</f>
        <v/>
      </c>
      <c r="CA219">
        <f>IF(OR(BV$3="",BV$3&gt;TODAY()),"",IF(AND(BY219="",BZ219=""),"",N(BZ219)-N(BY219)))</f>
        <v/>
      </c>
      <c r="CE219">
        <f>IF(OR(CC$3="",CC$3&gt;TODAY()),"",IF(AND(CC219="",CD219=""),"",N(CD219)-N(CC219)))</f>
        <v/>
      </c>
      <c r="CH219">
        <f>IF(OR(CC$3="",CC$3&gt;TODAY()),"",IF(AND(CF219="",CG219=""),"",N(CG219)-N(CF219)))</f>
        <v/>
      </c>
      <c r="CL219">
        <f>IF(OR(CJ$3="",CJ$3&gt;TODAY()),"",IF(AND(CJ219="",CK219=""),"",N(CK219)-N(CJ219)))</f>
        <v/>
      </c>
      <c r="CO219">
        <f>IF(OR(CJ$3="",CJ$3&gt;TODAY()),"",IF(AND(CM219="",CN219=""),"",N(CN219)-N(CM219)))</f>
        <v/>
      </c>
      <c r="CS219">
        <f>IF(OR(CQ$3="",CQ$3&gt;TODAY()),"",IF(AND(CQ219="",CR219=""),"",N(CR219)-N(CQ219)))</f>
        <v/>
      </c>
      <c r="CV219">
        <f>IF(OR(CQ$3="",CQ$3&gt;TODAY()),"",IF(AND(CT219="",CU219=""),"",N(CU219)-N(CT219)))</f>
        <v/>
      </c>
      <c r="CZ219">
        <f>IF(OR(CX$3="",CX$3&gt;TODAY()),"",IF(AND(CX219="",CY219=""),"",N(CY219)-N(CX219)))</f>
        <v/>
      </c>
      <c r="DC219">
        <f>IF(OR(CX$3="",CX$3&gt;TODAY()),"",IF(AND(DA219="",DB219=""),"",N(DB219)-N(DA219)))</f>
        <v/>
      </c>
      <c r="DG219">
        <f>IF(OR(DE$3="",DE$3&gt;TODAY()),"",IF(AND(DE219="",DF219=""),"",N(DF219)-N(DE219)))</f>
        <v/>
      </c>
      <c r="DJ219">
        <f>IF(OR(DE$3="",DE$3&gt;TODAY()),"",IF(AND(DH219="",DI219=""),"",N(DI219)-N(DH219)))</f>
        <v/>
      </c>
      <c r="DN219">
        <f>IF(OR(DL$3="",DL$3&gt;TODAY()),"",IF(AND(DL219="",DM219=""),"",N(DM219)-N(DL219)))</f>
        <v/>
      </c>
      <c r="DQ219">
        <f>IF(OR(DL$3="",DL$3&gt;TODAY()),"",IF(AND(DO219="",DP219=""),"",N(DP219)-N(DO219)))</f>
        <v/>
      </c>
      <c r="DU219">
        <f>IF(OR(DS$3="",DS$3&gt;TODAY()),"",IF(AND(DS219="",DT219=""),"",N(DT219)-N(DS219)))</f>
        <v/>
      </c>
      <c r="DX219">
        <f>IF(OR(DS$3="",DS$3&gt;TODAY()),"",IF(AND(DV219="",DW219=""),"",N(DW219)-N(DV219)))</f>
        <v/>
      </c>
      <c r="EB219">
        <f>IF(OR(DZ$3="",DZ$3&gt;TODAY()),"",IF(AND(DZ219="",EA219=""),"",N(EA219)-N(DZ219)))</f>
        <v/>
      </c>
      <c r="EE219">
        <f>IF(OR(DZ$3="",DZ$3&gt;TODAY()),"",IF(AND(EC219="",ED219=""),"",N(ED219)-N(EC219)))</f>
        <v/>
      </c>
      <c r="EI219">
        <f>IF(OR(EG$3="",EG$3&gt;TODAY()),"",IF(AND(EG219="",EH219=""),"",N(EH219)-N(EG219)))</f>
        <v/>
      </c>
      <c r="EL219">
        <f>IF(OR(EG$3="",EG$3&gt;TODAY()),"",IF(AND(EJ219="",EK219=""),"",N(EK219)-N(EJ219)))</f>
        <v/>
      </c>
      <c r="EP219">
        <f>IF(OR(EN$3="",EN$3&gt;TODAY()),"",IF(AND(EN219="",EO219=""),"",N(EO219)-N(EN219)))</f>
        <v/>
      </c>
      <c r="ES219">
        <f>IF(OR(EN$3="",EN$3&gt;TODAY()),"",IF(AND(EQ219="",ER219=""),"",N(ER219)-N(EQ219)))</f>
        <v/>
      </c>
      <c r="EW219">
        <f>IF(OR(EU$3="",EU$3&gt;TODAY()),"",IF(AND(EU219="",EV219=""),"",N(EV219)-N(EU219)))</f>
        <v/>
      </c>
      <c r="EZ219">
        <f>IF(OR(EU$3="",EU$3&gt;TODAY()),"",IF(AND(EX219="",EY219=""),"",N(EY219)-N(EX219)))</f>
        <v/>
      </c>
      <c r="FD219">
        <f>IF(OR(FB$3="",FB$3&gt;TODAY()),"",IF(AND(FB219="",FC219=""),"",N(FC219)-N(FB219)))</f>
        <v/>
      </c>
      <c r="FG219">
        <f>IF(OR(FB$3="",FB$3&gt;TODAY()),"",IF(AND(FE219="",FF219=""),"",N(FF219)-N(FE219)))</f>
        <v/>
      </c>
      <c r="FK219">
        <f>IF(OR(FI$3="",FI$3&gt;TODAY()),"",IF(AND(FI219="",FJ219=""),"",N(FJ219)-N(FI219)))</f>
        <v/>
      </c>
      <c r="FN219">
        <f>IF(OR(FI$3="",FI$3&gt;TODAY()),"",IF(AND(FL219="",FM219=""),"",N(FM219)-N(FL219)))</f>
        <v/>
      </c>
      <c r="FR219">
        <f>IF(OR(FP$3="",FP$3&gt;TODAY()),"",IF(AND(FP219="",FQ219=""),"",N(FQ219)-N(FP219)))</f>
        <v/>
      </c>
      <c r="FU219">
        <f>IF(OR(FP$3="",FP$3&gt;TODAY()),"",IF(AND(FS219="",FT219=""),"",N(FT219)-N(FS219)))</f>
        <v/>
      </c>
      <c r="FY219">
        <f>IF(OR(FW$3="",FW$3&gt;TODAY()),"",IF(AND(FW219="",FX219=""),"",N(FX219)-N(FW219)))</f>
        <v/>
      </c>
      <c r="GB219">
        <f>IF(OR(FW$3="",FW$3&gt;TODAY()),"",IF(AND(FZ219="",GA219=""),"",N(GA219)-N(FZ219)))</f>
        <v/>
      </c>
      <c r="GF219">
        <f>IF(OR(GD$3="",GD$3&gt;TODAY()),"",IF(AND(GD219="",GE219=""),"",N(GE219)-N(GD219)))</f>
        <v/>
      </c>
      <c r="GI219">
        <f>IF(OR(GD$3="",GD$3&gt;TODAY()),"",IF(AND(GG219="",GH219=""),"",N(GH219)-N(GG219)))</f>
        <v/>
      </c>
      <c r="GM219">
        <f>IF(OR(GK$3="",GK$3&gt;TODAY()),"",IF(AND(GK219="",GL219=""),"",N(GL219)-N(GK219)))</f>
        <v/>
      </c>
      <c r="GP219">
        <f>IF(OR(GK$3="",GK$3&gt;TODAY()),"",IF(AND(GN219="",GO219=""),"",N(GO219)-N(GN219)))</f>
        <v/>
      </c>
      <c r="GT219">
        <f>IF(OR(GR$3="",GR$3&gt;TODAY()),"",IF(AND(GR219="",GS219=""),"",N(GS219)-N(GR219)))</f>
        <v/>
      </c>
      <c r="GW219">
        <f>IF(OR(GR$3="",GR$3&gt;TODAY()),"",IF(AND(GU219="",GV219=""),"",N(GV219)-N(GU219)))</f>
        <v/>
      </c>
      <c r="HA219">
        <f>IF(OR(GY$3="",GY$3&gt;TODAY()),"",IF(AND(GY219="",GZ219=""),"",N(GZ219)-N(GY219)))</f>
        <v/>
      </c>
      <c r="HD219">
        <f>IF(OR(GY$3="",GY$3&gt;TODAY()),"",IF(AND(HB219="",HC219=""),"",N(HC219)-N(HB219)))</f>
        <v/>
      </c>
      <c r="HH219">
        <f>IF(OR(HF$3="",HF$3&gt;TODAY()),"",IF(AND(HF219="",HG219=""),"",N(HG219)-N(HF219)))</f>
        <v/>
      </c>
      <c r="HK219">
        <f>IF(OR(HF$3="",HF$3&gt;TODAY()),"",IF(AND(HI219="",HJ219=""),"",N(HJ219)-N(HI219)))</f>
        <v/>
      </c>
      <c r="HO219">
        <f>IF(OR(HM$3="",HM$3&gt;TODAY()),"",IF(AND(HM219="",HN219=""),"",N(HN219)-N(HM219)))</f>
        <v/>
      </c>
      <c r="HR219">
        <f>IF(OR(HM$3="",HM$3&gt;TODAY()),"",IF(AND(HP219="",HQ219=""),"",N(HQ219)-N(HP219)))</f>
        <v/>
      </c>
      <c r="HV219">
        <f>IF(OR(HT$3="",HT$3&gt;TODAY()),"",IF(AND(HT219="",HU219=""),"",N(HU219)-N(HT219)))</f>
        <v/>
      </c>
      <c r="HY219">
        <f>IF(OR(HT$3="",HT$3&gt;TODAY()),"",IF(AND(HW219="",HX219=""),"",N(HX219)-N(HW219)))</f>
        <v/>
      </c>
      <c r="IC219">
        <f>IF(OR(IA$3="",IA$3&gt;TODAY()),"",IF(AND(IA219="",IB219=""),"",N(IB219)-N(IA219)))</f>
        <v/>
      </c>
      <c r="IF219">
        <f>IF(OR(IA$3="",IA$3&gt;TODAY()),"",IF(AND(ID219="",IE219=""),"",N(IE219)-N(ID219)))</f>
        <v/>
      </c>
      <c r="IJ219">
        <f>IF(OR(IH$3="",IH$3&gt;TODAY()),"",IF(AND(IH219="",II219=""),"",N(II219)-N(IH219)))</f>
        <v/>
      </c>
      <c r="IM219">
        <f>IF(OR(IH$3="",IH$3&gt;TODAY()),"",IF(AND(IK219="",IL219=""),"",N(IL219)-N(IK219)))</f>
        <v/>
      </c>
    </row>
    <row r="220">
      <c r="A220" s="21" t="n"/>
      <c r="B220" s="21" t="n"/>
      <c r="C220" s="21" t="n"/>
      <c r="D220" s="21" t="n"/>
      <c r="E220" s="21" t="n"/>
      <c r="F220" s="21" t="n"/>
      <c r="G220" s="21" t="n"/>
      <c r="H220" s="21" t="n"/>
      <c r="I220" s="22" t="n"/>
      <c r="J220" s="22" t="n"/>
      <c r="K220" s="23" t="n"/>
      <c r="L220" s="22" t="n"/>
      <c r="M220" s="22" t="n"/>
      <c r="N220" s="21" t="n"/>
      <c r="O220" s="23" t="n"/>
      <c r="P220" s="23" t="n"/>
      <c r="Q220" s="23" t="n"/>
      <c r="R220" s="23" t="n"/>
      <c r="S220" s="22" t="n"/>
      <c r="T220" s="23" t="n"/>
      <c r="U220" s="23" t="n"/>
      <c r="V220" s="24">
        <f>IF(J220&lt;&gt;"",J220,IF(I220&lt;&gt;"",I220,""))</f>
        <v/>
      </c>
      <c r="W220" s="25">
        <f>IF($E220="","",N(O220)+SUMIFS($AF220:$IN220,$AF$4:$IN$4,"SEW_ACT"))</f>
        <v/>
      </c>
      <c r="X220" s="25">
        <f>IF($E220="","",N(P220)+SUMIFS($AF220:$IN220,$AF$4:$IN$4,"WASH_ACT"))</f>
        <v/>
      </c>
      <c r="Y220" s="25">
        <f>IF($E220="","",W220-X220-N(T220)-N(U220))</f>
        <v/>
      </c>
      <c r="Z220" s="25">
        <f>IF($E220="","",IF(N(K220)-X220&lt;=0.02*N(K220),0,N(K220)-X220))</f>
        <v/>
      </c>
      <c r="AA220" s="24">
        <f>IF($E220="","",IF(S220&lt;&gt;"",S220,IF(N(O220)&gt;0,IF(L220&lt;&gt;"",L220,99999),IFERROR(1/(1/_xlfn.MINIFS($AF$3:$IN$3,$AF$4:$IN$4,"SEW_ACT",$AF220:$IN220,"&gt;0")),99999))))</f>
        <v/>
      </c>
      <c r="AB220" s="26">
        <f>IF(OR($E220="",Z220=0,V220=""),"",1+COUNTIFS(Z$8:Z$707,"&gt;0",V$8:V$707,"&lt;"&amp;V220)+COUNTIFS(Z$8:Z$707,"&gt;0",V$8:V$707,V220,AA$8:AA$707,"&lt;"&amp;AA220)+COUNTIFS(Z$8:Z$707,"&gt;0",V$8:V$707,V220,AA$8:AA$707,AA220,E$8:E$707,"&lt;"&amp;$E220))</f>
        <v/>
      </c>
      <c r="AC220" s="24">
        <f>IF(OR($E220="",Z220=0),"",IFERROR(TODAY()+ROUNDUP(Z220/(SUMIFS($AF220:$IN220,$AF$4:$IN$4,"WASH_ACT")/COUNTIFS($AF$4:$IN$4,"WASH_ACT",$AF220:$IN220,"&gt;0")),0),"no output yet"))</f>
        <v/>
      </c>
      <c r="AD220" s="26">
        <f>IF($E220="","",IFERROR(ROUND(MAX(0,SUMIFS($AF220:$IN220,$AF$4:$IN$4,"SEW_PLAN",$AF$3:$IN$3,"&lt;="&amp;TODAY())-SUMIFS($AF220:$IN220,$AF$4:$IN$4,"SEW_ACT",$AF$3:$IN$3,"&lt;="&amp;TODAY())+N(Q220))/(SUMIFS($AF220:$IN220,$AF$4:$IN$4,"SEW_PLAN")/COUNTIFS($AF$4:$IN$4,"SEW_PLAN",$AF220:$IN220,"&gt;0")),1),0))</f>
        <v/>
      </c>
      <c r="AE220" s="26">
        <f>IF($E220="","",IF(AND(Z220&gt;0,OR(AND(M220&lt;&gt;"",TODAY()&gt;M220),AND(V220&lt;&gt;"",V220-TODAY()&lt;=7))),"Yes","No"))</f>
        <v/>
      </c>
      <c r="AH220">
        <f>IF(OR(AF$3="",AF$3&gt;TODAY()),"",IF(AND(AF220="",AG220=""),"",N(AG220)-N(AF220)))</f>
        <v/>
      </c>
      <c r="AK220">
        <f>IF(OR(AF$3="",AF$3&gt;TODAY()),"",IF(AND(AI220="",AJ220=""),"",N(AJ220)-N(AI220)))</f>
        <v/>
      </c>
      <c r="AO220">
        <f>IF(OR(AM$3="",AM$3&gt;TODAY()),"",IF(AND(AM220="",AN220=""),"",N(AN220)-N(AM220)))</f>
        <v/>
      </c>
      <c r="AR220">
        <f>IF(OR(AM$3="",AM$3&gt;TODAY()),"",IF(AND(AP220="",AQ220=""),"",N(AQ220)-N(AP220)))</f>
        <v/>
      </c>
      <c r="AV220">
        <f>IF(OR(AT$3="",AT$3&gt;TODAY()),"",IF(AND(AT220="",AU220=""),"",N(AU220)-N(AT220)))</f>
        <v/>
      </c>
      <c r="AY220">
        <f>IF(OR(AT$3="",AT$3&gt;TODAY()),"",IF(AND(AW220="",AX220=""),"",N(AX220)-N(AW220)))</f>
        <v/>
      </c>
      <c r="BC220">
        <f>IF(OR(BA$3="",BA$3&gt;TODAY()),"",IF(AND(BA220="",BB220=""),"",N(BB220)-N(BA220)))</f>
        <v/>
      </c>
      <c r="BF220">
        <f>IF(OR(BA$3="",BA$3&gt;TODAY()),"",IF(AND(BD220="",BE220=""),"",N(BE220)-N(BD220)))</f>
        <v/>
      </c>
      <c r="BJ220">
        <f>IF(OR(BH$3="",BH$3&gt;TODAY()),"",IF(AND(BH220="",BI220=""),"",N(BI220)-N(BH220)))</f>
        <v/>
      </c>
      <c r="BM220">
        <f>IF(OR(BH$3="",BH$3&gt;TODAY()),"",IF(AND(BK220="",BL220=""),"",N(BL220)-N(BK220)))</f>
        <v/>
      </c>
      <c r="BQ220">
        <f>IF(OR(BO$3="",BO$3&gt;TODAY()),"",IF(AND(BO220="",BP220=""),"",N(BP220)-N(BO220)))</f>
        <v/>
      </c>
      <c r="BT220">
        <f>IF(OR(BO$3="",BO$3&gt;TODAY()),"",IF(AND(BR220="",BS220=""),"",N(BS220)-N(BR220)))</f>
        <v/>
      </c>
      <c r="BX220">
        <f>IF(OR(BV$3="",BV$3&gt;TODAY()),"",IF(AND(BV220="",BW220=""),"",N(BW220)-N(BV220)))</f>
        <v/>
      </c>
      <c r="CA220">
        <f>IF(OR(BV$3="",BV$3&gt;TODAY()),"",IF(AND(BY220="",BZ220=""),"",N(BZ220)-N(BY220)))</f>
        <v/>
      </c>
      <c r="CE220">
        <f>IF(OR(CC$3="",CC$3&gt;TODAY()),"",IF(AND(CC220="",CD220=""),"",N(CD220)-N(CC220)))</f>
        <v/>
      </c>
      <c r="CH220">
        <f>IF(OR(CC$3="",CC$3&gt;TODAY()),"",IF(AND(CF220="",CG220=""),"",N(CG220)-N(CF220)))</f>
        <v/>
      </c>
      <c r="CL220">
        <f>IF(OR(CJ$3="",CJ$3&gt;TODAY()),"",IF(AND(CJ220="",CK220=""),"",N(CK220)-N(CJ220)))</f>
        <v/>
      </c>
      <c r="CO220">
        <f>IF(OR(CJ$3="",CJ$3&gt;TODAY()),"",IF(AND(CM220="",CN220=""),"",N(CN220)-N(CM220)))</f>
        <v/>
      </c>
      <c r="CS220">
        <f>IF(OR(CQ$3="",CQ$3&gt;TODAY()),"",IF(AND(CQ220="",CR220=""),"",N(CR220)-N(CQ220)))</f>
        <v/>
      </c>
      <c r="CV220">
        <f>IF(OR(CQ$3="",CQ$3&gt;TODAY()),"",IF(AND(CT220="",CU220=""),"",N(CU220)-N(CT220)))</f>
        <v/>
      </c>
      <c r="CZ220">
        <f>IF(OR(CX$3="",CX$3&gt;TODAY()),"",IF(AND(CX220="",CY220=""),"",N(CY220)-N(CX220)))</f>
        <v/>
      </c>
      <c r="DC220">
        <f>IF(OR(CX$3="",CX$3&gt;TODAY()),"",IF(AND(DA220="",DB220=""),"",N(DB220)-N(DA220)))</f>
        <v/>
      </c>
      <c r="DG220">
        <f>IF(OR(DE$3="",DE$3&gt;TODAY()),"",IF(AND(DE220="",DF220=""),"",N(DF220)-N(DE220)))</f>
        <v/>
      </c>
      <c r="DJ220">
        <f>IF(OR(DE$3="",DE$3&gt;TODAY()),"",IF(AND(DH220="",DI220=""),"",N(DI220)-N(DH220)))</f>
        <v/>
      </c>
      <c r="DN220">
        <f>IF(OR(DL$3="",DL$3&gt;TODAY()),"",IF(AND(DL220="",DM220=""),"",N(DM220)-N(DL220)))</f>
        <v/>
      </c>
      <c r="DQ220">
        <f>IF(OR(DL$3="",DL$3&gt;TODAY()),"",IF(AND(DO220="",DP220=""),"",N(DP220)-N(DO220)))</f>
        <v/>
      </c>
      <c r="DU220">
        <f>IF(OR(DS$3="",DS$3&gt;TODAY()),"",IF(AND(DS220="",DT220=""),"",N(DT220)-N(DS220)))</f>
        <v/>
      </c>
      <c r="DX220">
        <f>IF(OR(DS$3="",DS$3&gt;TODAY()),"",IF(AND(DV220="",DW220=""),"",N(DW220)-N(DV220)))</f>
        <v/>
      </c>
      <c r="EB220">
        <f>IF(OR(DZ$3="",DZ$3&gt;TODAY()),"",IF(AND(DZ220="",EA220=""),"",N(EA220)-N(DZ220)))</f>
        <v/>
      </c>
      <c r="EE220">
        <f>IF(OR(DZ$3="",DZ$3&gt;TODAY()),"",IF(AND(EC220="",ED220=""),"",N(ED220)-N(EC220)))</f>
        <v/>
      </c>
      <c r="EI220">
        <f>IF(OR(EG$3="",EG$3&gt;TODAY()),"",IF(AND(EG220="",EH220=""),"",N(EH220)-N(EG220)))</f>
        <v/>
      </c>
      <c r="EL220">
        <f>IF(OR(EG$3="",EG$3&gt;TODAY()),"",IF(AND(EJ220="",EK220=""),"",N(EK220)-N(EJ220)))</f>
        <v/>
      </c>
      <c r="EP220">
        <f>IF(OR(EN$3="",EN$3&gt;TODAY()),"",IF(AND(EN220="",EO220=""),"",N(EO220)-N(EN220)))</f>
        <v/>
      </c>
      <c r="ES220">
        <f>IF(OR(EN$3="",EN$3&gt;TODAY()),"",IF(AND(EQ220="",ER220=""),"",N(ER220)-N(EQ220)))</f>
        <v/>
      </c>
      <c r="EW220">
        <f>IF(OR(EU$3="",EU$3&gt;TODAY()),"",IF(AND(EU220="",EV220=""),"",N(EV220)-N(EU220)))</f>
        <v/>
      </c>
      <c r="EZ220">
        <f>IF(OR(EU$3="",EU$3&gt;TODAY()),"",IF(AND(EX220="",EY220=""),"",N(EY220)-N(EX220)))</f>
        <v/>
      </c>
      <c r="FD220">
        <f>IF(OR(FB$3="",FB$3&gt;TODAY()),"",IF(AND(FB220="",FC220=""),"",N(FC220)-N(FB220)))</f>
        <v/>
      </c>
      <c r="FG220">
        <f>IF(OR(FB$3="",FB$3&gt;TODAY()),"",IF(AND(FE220="",FF220=""),"",N(FF220)-N(FE220)))</f>
        <v/>
      </c>
      <c r="FK220">
        <f>IF(OR(FI$3="",FI$3&gt;TODAY()),"",IF(AND(FI220="",FJ220=""),"",N(FJ220)-N(FI220)))</f>
        <v/>
      </c>
      <c r="FN220">
        <f>IF(OR(FI$3="",FI$3&gt;TODAY()),"",IF(AND(FL220="",FM220=""),"",N(FM220)-N(FL220)))</f>
        <v/>
      </c>
      <c r="FR220">
        <f>IF(OR(FP$3="",FP$3&gt;TODAY()),"",IF(AND(FP220="",FQ220=""),"",N(FQ220)-N(FP220)))</f>
        <v/>
      </c>
      <c r="FU220">
        <f>IF(OR(FP$3="",FP$3&gt;TODAY()),"",IF(AND(FS220="",FT220=""),"",N(FT220)-N(FS220)))</f>
        <v/>
      </c>
      <c r="FY220">
        <f>IF(OR(FW$3="",FW$3&gt;TODAY()),"",IF(AND(FW220="",FX220=""),"",N(FX220)-N(FW220)))</f>
        <v/>
      </c>
      <c r="GB220">
        <f>IF(OR(FW$3="",FW$3&gt;TODAY()),"",IF(AND(FZ220="",GA220=""),"",N(GA220)-N(FZ220)))</f>
        <v/>
      </c>
      <c r="GF220">
        <f>IF(OR(GD$3="",GD$3&gt;TODAY()),"",IF(AND(GD220="",GE220=""),"",N(GE220)-N(GD220)))</f>
        <v/>
      </c>
      <c r="GI220">
        <f>IF(OR(GD$3="",GD$3&gt;TODAY()),"",IF(AND(GG220="",GH220=""),"",N(GH220)-N(GG220)))</f>
        <v/>
      </c>
      <c r="GM220">
        <f>IF(OR(GK$3="",GK$3&gt;TODAY()),"",IF(AND(GK220="",GL220=""),"",N(GL220)-N(GK220)))</f>
        <v/>
      </c>
      <c r="GP220">
        <f>IF(OR(GK$3="",GK$3&gt;TODAY()),"",IF(AND(GN220="",GO220=""),"",N(GO220)-N(GN220)))</f>
        <v/>
      </c>
      <c r="GT220">
        <f>IF(OR(GR$3="",GR$3&gt;TODAY()),"",IF(AND(GR220="",GS220=""),"",N(GS220)-N(GR220)))</f>
        <v/>
      </c>
      <c r="GW220">
        <f>IF(OR(GR$3="",GR$3&gt;TODAY()),"",IF(AND(GU220="",GV220=""),"",N(GV220)-N(GU220)))</f>
        <v/>
      </c>
      <c r="HA220">
        <f>IF(OR(GY$3="",GY$3&gt;TODAY()),"",IF(AND(GY220="",GZ220=""),"",N(GZ220)-N(GY220)))</f>
        <v/>
      </c>
      <c r="HD220">
        <f>IF(OR(GY$3="",GY$3&gt;TODAY()),"",IF(AND(HB220="",HC220=""),"",N(HC220)-N(HB220)))</f>
        <v/>
      </c>
      <c r="HH220">
        <f>IF(OR(HF$3="",HF$3&gt;TODAY()),"",IF(AND(HF220="",HG220=""),"",N(HG220)-N(HF220)))</f>
        <v/>
      </c>
      <c r="HK220">
        <f>IF(OR(HF$3="",HF$3&gt;TODAY()),"",IF(AND(HI220="",HJ220=""),"",N(HJ220)-N(HI220)))</f>
        <v/>
      </c>
      <c r="HO220">
        <f>IF(OR(HM$3="",HM$3&gt;TODAY()),"",IF(AND(HM220="",HN220=""),"",N(HN220)-N(HM220)))</f>
        <v/>
      </c>
      <c r="HR220">
        <f>IF(OR(HM$3="",HM$3&gt;TODAY()),"",IF(AND(HP220="",HQ220=""),"",N(HQ220)-N(HP220)))</f>
        <v/>
      </c>
      <c r="HV220">
        <f>IF(OR(HT$3="",HT$3&gt;TODAY()),"",IF(AND(HT220="",HU220=""),"",N(HU220)-N(HT220)))</f>
        <v/>
      </c>
      <c r="HY220">
        <f>IF(OR(HT$3="",HT$3&gt;TODAY()),"",IF(AND(HW220="",HX220=""),"",N(HX220)-N(HW220)))</f>
        <v/>
      </c>
      <c r="IC220">
        <f>IF(OR(IA$3="",IA$3&gt;TODAY()),"",IF(AND(IA220="",IB220=""),"",N(IB220)-N(IA220)))</f>
        <v/>
      </c>
      <c r="IF220">
        <f>IF(OR(IA$3="",IA$3&gt;TODAY()),"",IF(AND(ID220="",IE220=""),"",N(IE220)-N(ID220)))</f>
        <v/>
      </c>
      <c r="IJ220">
        <f>IF(OR(IH$3="",IH$3&gt;TODAY()),"",IF(AND(IH220="",II220=""),"",N(II220)-N(IH220)))</f>
        <v/>
      </c>
      <c r="IM220">
        <f>IF(OR(IH$3="",IH$3&gt;TODAY()),"",IF(AND(IK220="",IL220=""),"",N(IL220)-N(IK220)))</f>
        <v/>
      </c>
    </row>
    <row r="221">
      <c r="A221" s="21" t="n"/>
      <c r="B221" s="21" t="n"/>
      <c r="C221" s="21" t="n"/>
      <c r="D221" s="21" t="n"/>
      <c r="E221" s="21" t="n"/>
      <c r="F221" s="21" t="n"/>
      <c r="G221" s="21" t="n"/>
      <c r="H221" s="21" t="n"/>
      <c r="I221" s="22" t="n"/>
      <c r="J221" s="22" t="n"/>
      <c r="K221" s="23" t="n"/>
      <c r="L221" s="22" t="n"/>
      <c r="M221" s="22" t="n"/>
      <c r="N221" s="21" t="n"/>
      <c r="O221" s="23" t="n"/>
      <c r="P221" s="23" t="n"/>
      <c r="Q221" s="23" t="n"/>
      <c r="R221" s="23" t="n"/>
      <c r="S221" s="22" t="n"/>
      <c r="T221" s="23" t="n"/>
      <c r="U221" s="23" t="n"/>
      <c r="V221" s="24">
        <f>IF(J221&lt;&gt;"",J221,IF(I221&lt;&gt;"",I221,""))</f>
        <v/>
      </c>
      <c r="W221" s="25">
        <f>IF($E221="","",N(O221)+SUMIFS($AF221:$IN221,$AF$4:$IN$4,"SEW_ACT"))</f>
        <v/>
      </c>
      <c r="X221" s="25">
        <f>IF($E221="","",N(P221)+SUMIFS($AF221:$IN221,$AF$4:$IN$4,"WASH_ACT"))</f>
        <v/>
      </c>
      <c r="Y221" s="25">
        <f>IF($E221="","",W221-X221-N(T221)-N(U221))</f>
        <v/>
      </c>
      <c r="Z221" s="25">
        <f>IF($E221="","",IF(N(K221)-X221&lt;=0.02*N(K221),0,N(K221)-X221))</f>
        <v/>
      </c>
      <c r="AA221" s="24">
        <f>IF($E221="","",IF(S221&lt;&gt;"",S221,IF(N(O221)&gt;0,IF(L221&lt;&gt;"",L221,99999),IFERROR(1/(1/_xlfn.MINIFS($AF$3:$IN$3,$AF$4:$IN$4,"SEW_ACT",$AF221:$IN221,"&gt;0")),99999))))</f>
        <v/>
      </c>
      <c r="AB221" s="26">
        <f>IF(OR($E221="",Z221=0,V221=""),"",1+COUNTIFS(Z$8:Z$707,"&gt;0",V$8:V$707,"&lt;"&amp;V221)+COUNTIFS(Z$8:Z$707,"&gt;0",V$8:V$707,V221,AA$8:AA$707,"&lt;"&amp;AA221)+COUNTIFS(Z$8:Z$707,"&gt;0",V$8:V$707,V221,AA$8:AA$707,AA221,E$8:E$707,"&lt;"&amp;$E221))</f>
        <v/>
      </c>
      <c r="AC221" s="24">
        <f>IF(OR($E221="",Z221=0),"",IFERROR(TODAY()+ROUNDUP(Z221/(SUMIFS($AF221:$IN221,$AF$4:$IN$4,"WASH_ACT")/COUNTIFS($AF$4:$IN$4,"WASH_ACT",$AF221:$IN221,"&gt;0")),0),"no output yet"))</f>
        <v/>
      </c>
      <c r="AD221" s="26">
        <f>IF($E221="","",IFERROR(ROUND(MAX(0,SUMIFS($AF221:$IN221,$AF$4:$IN$4,"SEW_PLAN",$AF$3:$IN$3,"&lt;="&amp;TODAY())-SUMIFS($AF221:$IN221,$AF$4:$IN$4,"SEW_ACT",$AF$3:$IN$3,"&lt;="&amp;TODAY())+N(Q221))/(SUMIFS($AF221:$IN221,$AF$4:$IN$4,"SEW_PLAN")/COUNTIFS($AF$4:$IN$4,"SEW_PLAN",$AF221:$IN221,"&gt;0")),1),0))</f>
        <v/>
      </c>
      <c r="AE221" s="26">
        <f>IF($E221="","",IF(AND(Z221&gt;0,OR(AND(M221&lt;&gt;"",TODAY()&gt;M221),AND(V221&lt;&gt;"",V221-TODAY()&lt;=7))),"Yes","No"))</f>
        <v/>
      </c>
      <c r="AH221">
        <f>IF(OR(AF$3="",AF$3&gt;TODAY()),"",IF(AND(AF221="",AG221=""),"",N(AG221)-N(AF221)))</f>
        <v/>
      </c>
      <c r="AK221">
        <f>IF(OR(AF$3="",AF$3&gt;TODAY()),"",IF(AND(AI221="",AJ221=""),"",N(AJ221)-N(AI221)))</f>
        <v/>
      </c>
      <c r="AO221">
        <f>IF(OR(AM$3="",AM$3&gt;TODAY()),"",IF(AND(AM221="",AN221=""),"",N(AN221)-N(AM221)))</f>
        <v/>
      </c>
      <c r="AR221">
        <f>IF(OR(AM$3="",AM$3&gt;TODAY()),"",IF(AND(AP221="",AQ221=""),"",N(AQ221)-N(AP221)))</f>
        <v/>
      </c>
      <c r="AV221">
        <f>IF(OR(AT$3="",AT$3&gt;TODAY()),"",IF(AND(AT221="",AU221=""),"",N(AU221)-N(AT221)))</f>
        <v/>
      </c>
      <c r="AY221">
        <f>IF(OR(AT$3="",AT$3&gt;TODAY()),"",IF(AND(AW221="",AX221=""),"",N(AX221)-N(AW221)))</f>
        <v/>
      </c>
      <c r="BC221">
        <f>IF(OR(BA$3="",BA$3&gt;TODAY()),"",IF(AND(BA221="",BB221=""),"",N(BB221)-N(BA221)))</f>
        <v/>
      </c>
      <c r="BF221">
        <f>IF(OR(BA$3="",BA$3&gt;TODAY()),"",IF(AND(BD221="",BE221=""),"",N(BE221)-N(BD221)))</f>
        <v/>
      </c>
      <c r="BJ221">
        <f>IF(OR(BH$3="",BH$3&gt;TODAY()),"",IF(AND(BH221="",BI221=""),"",N(BI221)-N(BH221)))</f>
        <v/>
      </c>
      <c r="BM221">
        <f>IF(OR(BH$3="",BH$3&gt;TODAY()),"",IF(AND(BK221="",BL221=""),"",N(BL221)-N(BK221)))</f>
        <v/>
      </c>
      <c r="BQ221">
        <f>IF(OR(BO$3="",BO$3&gt;TODAY()),"",IF(AND(BO221="",BP221=""),"",N(BP221)-N(BO221)))</f>
        <v/>
      </c>
      <c r="BT221">
        <f>IF(OR(BO$3="",BO$3&gt;TODAY()),"",IF(AND(BR221="",BS221=""),"",N(BS221)-N(BR221)))</f>
        <v/>
      </c>
      <c r="BX221">
        <f>IF(OR(BV$3="",BV$3&gt;TODAY()),"",IF(AND(BV221="",BW221=""),"",N(BW221)-N(BV221)))</f>
        <v/>
      </c>
      <c r="CA221">
        <f>IF(OR(BV$3="",BV$3&gt;TODAY()),"",IF(AND(BY221="",BZ221=""),"",N(BZ221)-N(BY221)))</f>
        <v/>
      </c>
      <c r="CE221">
        <f>IF(OR(CC$3="",CC$3&gt;TODAY()),"",IF(AND(CC221="",CD221=""),"",N(CD221)-N(CC221)))</f>
        <v/>
      </c>
      <c r="CH221">
        <f>IF(OR(CC$3="",CC$3&gt;TODAY()),"",IF(AND(CF221="",CG221=""),"",N(CG221)-N(CF221)))</f>
        <v/>
      </c>
      <c r="CL221">
        <f>IF(OR(CJ$3="",CJ$3&gt;TODAY()),"",IF(AND(CJ221="",CK221=""),"",N(CK221)-N(CJ221)))</f>
        <v/>
      </c>
      <c r="CO221">
        <f>IF(OR(CJ$3="",CJ$3&gt;TODAY()),"",IF(AND(CM221="",CN221=""),"",N(CN221)-N(CM221)))</f>
        <v/>
      </c>
      <c r="CS221">
        <f>IF(OR(CQ$3="",CQ$3&gt;TODAY()),"",IF(AND(CQ221="",CR221=""),"",N(CR221)-N(CQ221)))</f>
        <v/>
      </c>
      <c r="CV221">
        <f>IF(OR(CQ$3="",CQ$3&gt;TODAY()),"",IF(AND(CT221="",CU221=""),"",N(CU221)-N(CT221)))</f>
        <v/>
      </c>
      <c r="CZ221">
        <f>IF(OR(CX$3="",CX$3&gt;TODAY()),"",IF(AND(CX221="",CY221=""),"",N(CY221)-N(CX221)))</f>
        <v/>
      </c>
      <c r="DC221">
        <f>IF(OR(CX$3="",CX$3&gt;TODAY()),"",IF(AND(DA221="",DB221=""),"",N(DB221)-N(DA221)))</f>
        <v/>
      </c>
      <c r="DG221">
        <f>IF(OR(DE$3="",DE$3&gt;TODAY()),"",IF(AND(DE221="",DF221=""),"",N(DF221)-N(DE221)))</f>
        <v/>
      </c>
      <c r="DJ221">
        <f>IF(OR(DE$3="",DE$3&gt;TODAY()),"",IF(AND(DH221="",DI221=""),"",N(DI221)-N(DH221)))</f>
        <v/>
      </c>
      <c r="DN221">
        <f>IF(OR(DL$3="",DL$3&gt;TODAY()),"",IF(AND(DL221="",DM221=""),"",N(DM221)-N(DL221)))</f>
        <v/>
      </c>
      <c r="DQ221">
        <f>IF(OR(DL$3="",DL$3&gt;TODAY()),"",IF(AND(DO221="",DP221=""),"",N(DP221)-N(DO221)))</f>
        <v/>
      </c>
      <c r="DU221">
        <f>IF(OR(DS$3="",DS$3&gt;TODAY()),"",IF(AND(DS221="",DT221=""),"",N(DT221)-N(DS221)))</f>
        <v/>
      </c>
      <c r="DX221">
        <f>IF(OR(DS$3="",DS$3&gt;TODAY()),"",IF(AND(DV221="",DW221=""),"",N(DW221)-N(DV221)))</f>
        <v/>
      </c>
      <c r="EB221">
        <f>IF(OR(DZ$3="",DZ$3&gt;TODAY()),"",IF(AND(DZ221="",EA221=""),"",N(EA221)-N(DZ221)))</f>
        <v/>
      </c>
      <c r="EE221">
        <f>IF(OR(DZ$3="",DZ$3&gt;TODAY()),"",IF(AND(EC221="",ED221=""),"",N(ED221)-N(EC221)))</f>
        <v/>
      </c>
      <c r="EI221">
        <f>IF(OR(EG$3="",EG$3&gt;TODAY()),"",IF(AND(EG221="",EH221=""),"",N(EH221)-N(EG221)))</f>
        <v/>
      </c>
      <c r="EL221">
        <f>IF(OR(EG$3="",EG$3&gt;TODAY()),"",IF(AND(EJ221="",EK221=""),"",N(EK221)-N(EJ221)))</f>
        <v/>
      </c>
      <c r="EP221">
        <f>IF(OR(EN$3="",EN$3&gt;TODAY()),"",IF(AND(EN221="",EO221=""),"",N(EO221)-N(EN221)))</f>
        <v/>
      </c>
      <c r="ES221">
        <f>IF(OR(EN$3="",EN$3&gt;TODAY()),"",IF(AND(EQ221="",ER221=""),"",N(ER221)-N(EQ221)))</f>
        <v/>
      </c>
      <c r="EW221">
        <f>IF(OR(EU$3="",EU$3&gt;TODAY()),"",IF(AND(EU221="",EV221=""),"",N(EV221)-N(EU221)))</f>
        <v/>
      </c>
      <c r="EZ221">
        <f>IF(OR(EU$3="",EU$3&gt;TODAY()),"",IF(AND(EX221="",EY221=""),"",N(EY221)-N(EX221)))</f>
        <v/>
      </c>
      <c r="FD221">
        <f>IF(OR(FB$3="",FB$3&gt;TODAY()),"",IF(AND(FB221="",FC221=""),"",N(FC221)-N(FB221)))</f>
        <v/>
      </c>
      <c r="FG221">
        <f>IF(OR(FB$3="",FB$3&gt;TODAY()),"",IF(AND(FE221="",FF221=""),"",N(FF221)-N(FE221)))</f>
        <v/>
      </c>
      <c r="FK221">
        <f>IF(OR(FI$3="",FI$3&gt;TODAY()),"",IF(AND(FI221="",FJ221=""),"",N(FJ221)-N(FI221)))</f>
        <v/>
      </c>
      <c r="FN221">
        <f>IF(OR(FI$3="",FI$3&gt;TODAY()),"",IF(AND(FL221="",FM221=""),"",N(FM221)-N(FL221)))</f>
        <v/>
      </c>
      <c r="FR221">
        <f>IF(OR(FP$3="",FP$3&gt;TODAY()),"",IF(AND(FP221="",FQ221=""),"",N(FQ221)-N(FP221)))</f>
        <v/>
      </c>
      <c r="FU221">
        <f>IF(OR(FP$3="",FP$3&gt;TODAY()),"",IF(AND(FS221="",FT221=""),"",N(FT221)-N(FS221)))</f>
        <v/>
      </c>
      <c r="FY221">
        <f>IF(OR(FW$3="",FW$3&gt;TODAY()),"",IF(AND(FW221="",FX221=""),"",N(FX221)-N(FW221)))</f>
        <v/>
      </c>
      <c r="GB221">
        <f>IF(OR(FW$3="",FW$3&gt;TODAY()),"",IF(AND(FZ221="",GA221=""),"",N(GA221)-N(FZ221)))</f>
        <v/>
      </c>
      <c r="GF221">
        <f>IF(OR(GD$3="",GD$3&gt;TODAY()),"",IF(AND(GD221="",GE221=""),"",N(GE221)-N(GD221)))</f>
        <v/>
      </c>
      <c r="GI221">
        <f>IF(OR(GD$3="",GD$3&gt;TODAY()),"",IF(AND(GG221="",GH221=""),"",N(GH221)-N(GG221)))</f>
        <v/>
      </c>
      <c r="GM221">
        <f>IF(OR(GK$3="",GK$3&gt;TODAY()),"",IF(AND(GK221="",GL221=""),"",N(GL221)-N(GK221)))</f>
        <v/>
      </c>
      <c r="GP221">
        <f>IF(OR(GK$3="",GK$3&gt;TODAY()),"",IF(AND(GN221="",GO221=""),"",N(GO221)-N(GN221)))</f>
        <v/>
      </c>
      <c r="GT221">
        <f>IF(OR(GR$3="",GR$3&gt;TODAY()),"",IF(AND(GR221="",GS221=""),"",N(GS221)-N(GR221)))</f>
        <v/>
      </c>
      <c r="GW221">
        <f>IF(OR(GR$3="",GR$3&gt;TODAY()),"",IF(AND(GU221="",GV221=""),"",N(GV221)-N(GU221)))</f>
        <v/>
      </c>
      <c r="HA221">
        <f>IF(OR(GY$3="",GY$3&gt;TODAY()),"",IF(AND(GY221="",GZ221=""),"",N(GZ221)-N(GY221)))</f>
        <v/>
      </c>
      <c r="HD221">
        <f>IF(OR(GY$3="",GY$3&gt;TODAY()),"",IF(AND(HB221="",HC221=""),"",N(HC221)-N(HB221)))</f>
        <v/>
      </c>
      <c r="HH221">
        <f>IF(OR(HF$3="",HF$3&gt;TODAY()),"",IF(AND(HF221="",HG221=""),"",N(HG221)-N(HF221)))</f>
        <v/>
      </c>
      <c r="HK221">
        <f>IF(OR(HF$3="",HF$3&gt;TODAY()),"",IF(AND(HI221="",HJ221=""),"",N(HJ221)-N(HI221)))</f>
        <v/>
      </c>
      <c r="HO221">
        <f>IF(OR(HM$3="",HM$3&gt;TODAY()),"",IF(AND(HM221="",HN221=""),"",N(HN221)-N(HM221)))</f>
        <v/>
      </c>
      <c r="HR221">
        <f>IF(OR(HM$3="",HM$3&gt;TODAY()),"",IF(AND(HP221="",HQ221=""),"",N(HQ221)-N(HP221)))</f>
        <v/>
      </c>
      <c r="HV221">
        <f>IF(OR(HT$3="",HT$3&gt;TODAY()),"",IF(AND(HT221="",HU221=""),"",N(HU221)-N(HT221)))</f>
        <v/>
      </c>
      <c r="HY221">
        <f>IF(OR(HT$3="",HT$3&gt;TODAY()),"",IF(AND(HW221="",HX221=""),"",N(HX221)-N(HW221)))</f>
        <v/>
      </c>
      <c r="IC221">
        <f>IF(OR(IA$3="",IA$3&gt;TODAY()),"",IF(AND(IA221="",IB221=""),"",N(IB221)-N(IA221)))</f>
        <v/>
      </c>
      <c r="IF221">
        <f>IF(OR(IA$3="",IA$3&gt;TODAY()),"",IF(AND(ID221="",IE221=""),"",N(IE221)-N(ID221)))</f>
        <v/>
      </c>
      <c r="IJ221">
        <f>IF(OR(IH$3="",IH$3&gt;TODAY()),"",IF(AND(IH221="",II221=""),"",N(II221)-N(IH221)))</f>
        <v/>
      </c>
      <c r="IM221">
        <f>IF(OR(IH$3="",IH$3&gt;TODAY()),"",IF(AND(IK221="",IL221=""),"",N(IL221)-N(IK221)))</f>
        <v/>
      </c>
    </row>
    <row r="222">
      <c r="A222" s="21" t="n"/>
      <c r="B222" s="21" t="n"/>
      <c r="C222" s="21" t="n"/>
      <c r="D222" s="21" t="n"/>
      <c r="E222" s="21" t="n"/>
      <c r="F222" s="21" t="n"/>
      <c r="G222" s="21" t="n"/>
      <c r="H222" s="21" t="n"/>
      <c r="I222" s="22" t="n"/>
      <c r="J222" s="22" t="n"/>
      <c r="K222" s="23" t="n"/>
      <c r="L222" s="22" t="n"/>
      <c r="M222" s="22" t="n"/>
      <c r="N222" s="21" t="n"/>
      <c r="O222" s="23" t="n"/>
      <c r="P222" s="23" t="n"/>
      <c r="Q222" s="23" t="n"/>
      <c r="R222" s="23" t="n"/>
      <c r="S222" s="22" t="n"/>
      <c r="T222" s="23" t="n"/>
      <c r="U222" s="23" t="n"/>
      <c r="V222" s="24">
        <f>IF(J222&lt;&gt;"",J222,IF(I222&lt;&gt;"",I222,""))</f>
        <v/>
      </c>
      <c r="W222" s="25">
        <f>IF($E222="","",N(O222)+SUMIFS($AF222:$IN222,$AF$4:$IN$4,"SEW_ACT"))</f>
        <v/>
      </c>
      <c r="X222" s="25">
        <f>IF($E222="","",N(P222)+SUMIFS($AF222:$IN222,$AF$4:$IN$4,"WASH_ACT"))</f>
        <v/>
      </c>
      <c r="Y222" s="25">
        <f>IF($E222="","",W222-X222-N(T222)-N(U222))</f>
        <v/>
      </c>
      <c r="Z222" s="25">
        <f>IF($E222="","",IF(N(K222)-X222&lt;=0.02*N(K222),0,N(K222)-X222))</f>
        <v/>
      </c>
      <c r="AA222" s="24">
        <f>IF($E222="","",IF(S222&lt;&gt;"",S222,IF(N(O222)&gt;0,IF(L222&lt;&gt;"",L222,99999),IFERROR(1/(1/_xlfn.MINIFS($AF$3:$IN$3,$AF$4:$IN$4,"SEW_ACT",$AF222:$IN222,"&gt;0")),99999))))</f>
        <v/>
      </c>
      <c r="AB222" s="26">
        <f>IF(OR($E222="",Z222=0,V222=""),"",1+COUNTIFS(Z$8:Z$707,"&gt;0",V$8:V$707,"&lt;"&amp;V222)+COUNTIFS(Z$8:Z$707,"&gt;0",V$8:V$707,V222,AA$8:AA$707,"&lt;"&amp;AA222)+COUNTIFS(Z$8:Z$707,"&gt;0",V$8:V$707,V222,AA$8:AA$707,AA222,E$8:E$707,"&lt;"&amp;$E222))</f>
        <v/>
      </c>
      <c r="AC222" s="24">
        <f>IF(OR($E222="",Z222=0),"",IFERROR(TODAY()+ROUNDUP(Z222/(SUMIFS($AF222:$IN222,$AF$4:$IN$4,"WASH_ACT")/COUNTIFS($AF$4:$IN$4,"WASH_ACT",$AF222:$IN222,"&gt;0")),0),"no output yet"))</f>
        <v/>
      </c>
      <c r="AD222" s="26">
        <f>IF($E222="","",IFERROR(ROUND(MAX(0,SUMIFS($AF222:$IN222,$AF$4:$IN$4,"SEW_PLAN",$AF$3:$IN$3,"&lt;="&amp;TODAY())-SUMIFS($AF222:$IN222,$AF$4:$IN$4,"SEW_ACT",$AF$3:$IN$3,"&lt;="&amp;TODAY())+N(Q222))/(SUMIFS($AF222:$IN222,$AF$4:$IN$4,"SEW_PLAN")/COUNTIFS($AF$4:$IN$4,"SEW_PLAN",$AF222:$IN222,"&gt;0")),1),0))</f>
        <v/>
      </c>
      <c r="AE222" s="26">
        <f>IF($E222="","",IF(AND(Z222&gt;0,OR(AND(M222&lt;&gt;"",TODAY()&gt;M222),AND(V222&lt;&gt;"",V222-TODAY()&lt;=7))),"Yes","No"))</f>
        <v/>
      </c>
      <c r="AH222">
        <f>IF(OR(AF$3="",AF$3&gt;TODAY()),"",IF(AND(AF222="",AG222=""),"",N(AG222)-N(AF222)))</f>
        <v/>
      </c>
      <c r="AK222">
        <f>IF(OR(AF$3="",AF$3&gt;TODAY()),"",IF(AND(AI222="",AJ222=""),"",N(AJ222)-N(AI222)))</f>
        <v/>
      </c>
      <c r="AO222">
        <f>IF(OR(AM$3="",AM$3&gt;TODAY()),"",IF(AND(AM222="",AN222=""),"",N(AN222)-N(AM222)))</f>
        <v/>
      </c>
      <c r="AR222">
        <f>IF(OR(AM$3="",AM$3&gt;TODAY()),"",IF(AND(AP222="",AQ222=""),"",N(AQ222)-N(AP222)))</f>
        <v/>
      </c>
      <c r="AV222">
        <f>IF(OR(AT$3="",AT$3&gt;TODAY()),"",IF(AND(AT222="",AU222=""),"",N(AU222)-N(AT222)))</f>
        <v/>
      </c>
      <c r="AY222">
        <f>IF(OR(AT$3="",AT$3&gt;TODAY()),"",IF(AND(AW222="",AX222=""),"",N(AX222)-N(AW222)))</f>
        <v/>
      </c>
      <c r="BC222">
        <f>IF(OR(BA$3="",BA$3&gt;TODAY()),"",IF(AND(BA222="",BB222=""),"",N(BB222)-N(BA222)))</f>
        <v/>
      </c>
      <c r="BF222">
        <f>IF(OR(BA$3="",BA$3&gt;TODAY()),"",IF(AND(BD222="",BE222=""),"",N(BE222)-N(BD222)))</f>
        <v/>
      </c>
      <c r="BJ222">
        <f>IF(OR(BH$3="",BH$3&gt;TODAY()),"",IF(AND(BH222="",BI222=""),"",N(BI222)-N(BH222)))</f>
        <v/>
      </c>
      <c r="BM222">
        <f>IF(OR(BH$3="",BH$3&gt;TODAY()),"",IF(AND(BK222="",BL222=""),"",N(BL222)-N(BK222)))</f>
        <v/>
      </c>
      <c r="BQ222">
        <f>IF(OR(BO$3="",BO$3&gt;TODAY()),"",IF(AND(BO222="",BP222=""),"",N(BP222)-N(BO222)))</f>
        <v/>
      </c>
      <c r="BT222">
        <f>IF(OR(BO$3="",BO$3&gt;TODAY()),"",IF(AND(BR222="",BS222=""),"",N(BS222)-N(BR222)))</f>
        <v/>
      </c>
      <c r="BX222">
        <f>IF(OR(BV$3="",BV$3&gt;TODAY()),"",IF(AND(BV222="",BW222=""),"",N(BW222)-N(BV222)))</f>
        <v/>
      </c>
      <c r="CA222">
        <f>IF(OR(BV$3="",BV$3&gt;TODAY()),"",IF(AND(BY222="",BZ222=""),"",N(BZ222)-N(BY222)))</f>
        <v/>
      </c>
      <c r="CE222">
        <f>IF(OR(CC$3="",CC$3&gt;TODAY()),"",IF(AND(CC222="",CD222=""),"",N(CD222)-N(CC222)))</f>
        <v/>
      </c>
      <c r="CH222">
        <f>IF(OR(CC$3="",CC$3&gt;TODAY()),"",IF(AND(CF222="",CG222=""),"",N(CG222)-N(CF222)))</f>
        <v/>
      </c>
      <c r="CL222">
        <f>IF(OR(CJ$3="",CJ$3&gt;TODAY()),"",IF(AND(CJ222="",CK222=""),"",N(CK222)-N(CJ222)))</f>
        <v/>
      </c>
      <c r="CO222">
        <f>IF(OR(CJ$3="",CJ$3&gt;TODAY()),"",IF(AND(CM222="",CN222=""),"",N(CN222)-N(CM222)))</f>
        <v/>
      </c>
      <c r="CS222">
        <f>IF(OR(CQ$3="",CQ$3&gt;TODAY()),"",IF(AND(CQ222="",CR222=""),"",N(CR222)-N(CQ222)))</f>
        <v/>
      </c>
      <c r="CV222">
        <f>IF(OR(CQ$3="",CQ$3&gt;TODAY()),"",IF(AND(CT222="",CU222=""),"",N(CU222)-N(CT222)))</f>
        <v/>
      </c>
      <c r="CZ222">
        <f>IF(OR(CX$3="",CX$3&gt;TODAY()),"",IF(AND(CX222="",CY222=""),"",N(CY222)-N(CX222)))</f>
        <v/>
      </c>
      <c r="DC222">
        <f>IF(OR(CX$3="",CX$3&gt;TODAY()),"",IF(AND(DA222="",DB222=""),"",N(DB222)-N(DA222)))</f>
        <v/>
      </c>
      <c r="DG222">
        <f>IF(OR(DE$3="",DE$3&gt;TODAY()),"",IF(AND(DE222="",DF222=""),"",N(DF222)-N(DE222)))</f>
        <v/>
      </c>
      <c r="DJ222">
        <f>IF(OR(DE$3="",DE$3&gt;TODAY()),"",IF(AND(DH222="",DI222=""),"",N(DI222)-N(DH222)))</f>
        <v/>
      </c>
      <c r="DN222">
        <f>IF(OR(DL$3="",DL$3&gt;TODAY()),"",IF(AND(DL222="",DM222=""),"",N(DM222)-N(DL222)))</f>
        <v/>
      </c>
      <c r="DQ222">
        <f>IF(OR(DL$3="",DL$3&gt;TODAY()),"",IF(AND(DO222="",DP222=""),"",N(DP222)-N(DO222)))</f>
        <v/>
      </c>
      <c r="DU222">
        <f>IF(OR(DS$3="",DS$3&gt;TODAY()),"",IF(AND(DS222="",DT222=""),"",N(DT222)-N(DS222)))</f>
        <v/>
      </c>
      <c r="DX222">
        <f>IF(OR(DS$3="",DS$3&gt;TODAY()),"",IF(AND(DV222="",DW222=""),"",N(DW222)-N(DV222)))</f>
        <v/>
      </c>
      <c r="EB222">
        <f>IF(OR(DZ$3="",DZ$3&gt;TODAY()),"",IF(AND(DZ222="",EA222=""),"",N(EA222)-N(DZ222)))</f>
        <v/>
      </c>
      <c r="EE222">
        <f>IF(OR(DZ$3="",DZ$3&gt;TODAY()),"",IF(AND(EC222="",ED222=""),"",N(ED222)-N(EC222)))</f>
        <v/>
      </c>
      <c r="EI222">
        <f>IF(OR(EG$3="",EG$3&gt;TODAY()),"",IF(AND(EG222="",EH222=""),"",N(EH222)-N(EG222)))</f>
        <v/>
      </c>
      <c r="EL222">
        <f>IF(OR(EG$3="",EG$3&gt;TODAY()),"",IF(AND(EJ222="",EK222=""),"",N(EK222)-N(EJ222)))</f>
        <v/>
      </c>
      <c r="EP222">
        <f>IF(OR(EN$3="",EN$3&gt;TODAY()),"",IF(AND(EN222="",EO222=""),"",N(EO222)-N(EN222)))</f>
        <v/>
      </c>
      <c r="ES222">
        <f>IF(OR(EN$3="",EN$3&gt;TODAY()),"",IF(AND(EQ222="",ER222=""),"",N(ER222)-N(EQ222)))</f>
        <v/>
      </c>
      <c r="EW222">
        <f>IF(OR(EU$3="",EU$3&gt;TODAY()),"",IF(AND(EU222="",EV222=""),"",N(EV222)-N(EU222)))</f>
        <v/>
      </c>
      <c r="EZ222">
        <f>IF(OR(EU$3="",EU$3&gt;TODAY()),"",IF(AND(EX222="",EY222=""),"",N(EY222)-N(EX222)))</f>
        <v/>
      </c>
      <c r="FD222">
        <f>IF(OR(FB$3="",FB$3&gt;TODAY()),"",IF(AND(FB222="",FC222=""),"",N(FC222)-N(FB222)))</f>
        <v/>
      </c>
      <c r="FG222">
        <f>IF(OR(FB$3="",FB$3&gt;TODAY()),"",IF(AND(FE222="",FF222=""),"",N(FF222)-N(FE222)))</f>
        <v/>
      </c>
      <c r="FK222">
        <f>IF(OR(FI$3="",FI$3&gt;TODAY()),"",IF(AND(FI222="",FJ222=""),"",N(FJ222)-N(FI222)))</f>
        <v/>
      </c>
      <c r="FN222">
        <f>IF(OR(FI$3="",FI$3&gt;TODAY()),"",IF(AND(FL222="",FM222=""),"",N(FM222)-N(FL222)))</f>
        <v/>
      </c>
      <c r="FR222">
        <f>IF(OR(FP$3="",FP$3&gt;TODAY()),"",IF(AND(FP222="",FQ222=""),"",N(FQ222)-N(FP222)))</f>
        <v/>
      </c>
      <c r="FU222">
        <f>IF(OR(FP$3="",FP$3&gt;TODAY()),"",IF(AND(FS222="",FT222=""),"",N(FT222)-N(FS222)))</f>
        <v/>
      </c>
      <c r="FY222">
        <f>IF(OR(FW$3="",FW$3&gt;TODAY()),"",IF(AND(FW222="",FX222=""),"",N(FX222)-N(FW222)))</f>
        <v/>
      </c>
      <c r="GB222">
        <f>IF(OR(FW$3="",FW$3&gt;TODAY()),"",IF(AND(FZ222="",GA222=""),"",N(GA222)-N(FZ222)))</f>
        <v/>
      </c>
      <c r="GF222">
        <f>IF(OR(GD$3="",GD$3&gt;TODAY()),"",IF(AND(GD222="",GE222=""),"",N(GE222)-N(GD222)))</f>
        <v/>
      </c>
      <c r="GI222">
        <f>IF(OR(GD$3="",GD$3&gt;TODAY()),"",IF(AND(GG222="",GH222=""),"",N(GH222)-N(GG222)))</f>
        <v/>
      </c>
      <c r="GM222">
        <f>IF(OR(GK$3="",GK$3&gt;TODAY()),"",IF(AND(GK222="",GL222=""),"",N(GL222)-N(GK222)))</f>
        <v/>
      </c>
      <c r="GP222">
        <f>IF(OR(GK$3="",GK$3&gt;TODAY()),"",IF(AND(GN222="",GO222=""),"",N(GO222)-N(GN222)))</f>
        <v/>
      </c>
      <c r="GT222">
        <f>IF(OR(GR$3="",GR$3&gt;TODAY()),"",IF(AND(GR222="",GS222=""),"",N(GS222)-N(GR222)))</f>
        <v/>
      </c>
      <c r="GW222">
        <f>IF(OR(GR$3="",GR$3&gt;TODAY()),"",IF(AND(GU222="",GV222=""),"",N(GV222)-N(GU222)))</f>
        <v/>
      </c>
      <c r="HA222">
        <f>IF(OR(GY$3="",GY$3&gt;TODAY()),"",IF(AND(GY222="",GZ222=""),"",N(GZ222)-N(GY222)))</f>
        <v/>
      </c>
      <c r="HD222">
        <f>IF(OR(GY$3="",GY$3&gt;TODAY()),"",IF(AND(HB222="",HC222=""),"",N(HC222)-N(HB222)))</f>
        <v/>
      </c>
      <c r="HH222">
        <f>IF(OR(HF$3="",HF$3&gt;TODAY()),"",IF(AND(HF222="",HG222=""),"",N(HG222)-N(HF222)))</f>
        <v/>
      </c>
      <c r="HK222">
        <f>IF(OR(HF$3="",HF$3&gt;TODAY()),"",IF(AND(HI222="",HJ222=""),"",N(HJ222)-N(HI222)))</f>
        <v/>
      </c>
      <c r="HO222">
        <f>IF(OR(HM$3="",HM$3&gt;TODAY()),"",IF(AND(HM222="",HN222=""),"",N(HN222)-N(HM222)))</f>
        <v/>
      </c>
      <c r="HR222">
        <f>IF(OR(HM$3="",HM$3&gt;TODAY()),"",IF(AND(HP222="",HQ222=""),"",N(HQ222)-N(HP222)))</f>
        <v/>
      </c>
      <c r="HV222">
        <f>IF(OR(HT$3="",HT$3&gt;TODAY()),"",IF(AND(HT222="",HU222=""),"",N(HU222)-N(HT222)))</f>
        <v/>
      </c>
      <c r="HY222">
        <f>IF(OR(HT$3="",HT$3&gt;TODAY()),"",IF(AND(HW222="",HX222=""),"",N(HX222)-N(HW222)))</f>
        <v/>
      </c>
      <c r="IC222">
        <f>IF(OR(IA$3="",IA$3&gt;TODAY()),"",IF(AND(IA222="",IB222=""),"",N(IB222)-N(IA222)))</f>
        <v/>
      </c>
      <c r="IF222">
        <f>IF(OR(IA$3="",IA$3&gt;TODAY()),"",IF(AND(ID222="",IE222=""),"",N(IE222)-N(ID222)))</f>
        <v/>
      </c>
      <c r="IJ222">
        <f>IF(OR(IH$3="",IH$3&gt;TODAY()),"",IF(AND(IH222="",II222=""),"",N(II222)-N(IH222)))</f>
        <v/>
      </c>
      <c r="IM222">
        <f>IF(OR(IH$3="",IH$3&gt;TODAY()),"",IF(AND(IK222="",IL222=""),"",N(IL222)-N(IK222)))</f>
        <v/>
      </c>
    </row>
    <row r="223">
      <c r="A223" s="21" t="n"/>
      <c r="B223" s="21" t="n"/>
      <c r="C223" s="21" t="n"/>
      <c r="D223" s="21" t="n"/>
      <c r="E223" s="21" t="n"/>
      <c r="F223" s="21" t="n"/>
      <c r="G223" s="21" t="n"/>
      <c r="H223" s="21" t="n"/>
      <c r="I223" s="22" t="n"/>
      <c r="J223" s="22" t="n"/>
      <c r="K223" s="23" t="n"/>
      <c r="L223" s="22" t="n"/>
      <c r="M223" s="22" t="n"/>
      <c r="N223" s="21" t="n"/>
      <c r="O223" s="23" t="n"/>
      <c r="P223" s="23" t="n"/>
      <c r="Q223" s="23" t="n"/>
      <c r="R223" s="23" t="n"/>
      <c r="S223" s="22" t="n"/>
      <c r="T223" s="23" t="n"/>
      <c r="U223" s="23" t="n"/>
      <c r="V223" s="24">
        <f>IF(J223&lt;&gt;"",J223,IF(I223&lt;&gt;"",I223,""))</f>
        <v/>
      </c>
      <c r="W223" s="25">
        <f>IF($E223="","",N(O223)+SUMIFS($AF223:$IN223,$AF$4:$IN$4,"SEW_ACT"))</f>
        <v/>
      </c>
      <c r="X223" s="25">
        <f>IF($E223="","",N(P223)+SUMIFS($AF223:$IN223,$AF$4:$IN$4,"WASH_ACT"))</f>
        <v/>
      </c>
      <c r="Y223" s="25">
        <f>IF($E223="","",W223-X223-N(T223)-N(U223))</f>
        <v/>
      </c>
      <c r="Z223" s="25">
        <f>IF($E223="","",IF(N(K223)-X223&lt;=0.02*N(K223),0,N(K223)-X223))</f>
        <v/>
      </c>
      <c r="AA223" s="24">
        <f>IF($E223="","",IF(S223&lt;&gt;"",S223,IF(N(O223)&gt;0,IF(L223&lt;&gt;"",L223,99999),IFERROR(1/(1/_xlfn.MINIFS($AF$3:$IN$3,$AF$4:$IN$4,"SEW_ACT",$AF223:$IN223,"&gt;0")),99999))))</f>
        <v/>
      </c>
      <c r="AB223" s="26">
        <f>IF(OR($E223="",Z223=0,V223=""),"",1+COUNTIFS(Z$8:Z$707,"&gt;0",V$8:V$707,"&lt;"&amp;V223)+COUNTIFS(Z$8:Z$707,"&gt;0",V$8:V$707,V223,AA$8:AA$707,"&lt;"&amp;AA223)+COUNTIFS(Z$8:Z$707,"&gt;0",V$8:V$707,V223,AA$8:AA$707,AA223,E$8:E$707,"&lt;"&amp;$E223))</f>
        <v/>
      </c>
      <c r="AC223" s="24">
        <f>IF(OR($E223="",Z223=0),"",IFERROR(TODAY()+ROUNDUP(Z223/(SUMIFS($AF223:$IN223,$AF$4:$IN$4,"WASH_ACT")/COUNTIFS($AF$4:$IN$4,"WASH_ACT",$AF223:$IN223,"&gt;0")),0),"no output yet"))</f>
        <v/>
      </c>
      <c r="AD223" s="26">
        <f>IF($E223="","",IFERROR(ROUND(MAX(0,SUMIFS($AF223:$IN223,$AF$4:$IN$4,"SEW_PLAN",$AF$3:$IN$3,"&lt;="&amp;TODAY())-SUMIFS($AF223:$IN223,$AF$4:$IN$4,"SEW_ACT",$AF$3:$IN$3,"&lt;="&amp;TODAY())+N(Q223))/(SUMIFS($AF223:$IN223,$AF$4:$IN$4,"SEW_PLAN")/COUNTIFS($AF$4:$IN$4,"SEW_PLAN",$AF223:$IN223,"&gt;0")),1),0))</f>
        <v/>
      </c>
      <c r="AE223" s="26">
        <f>IF($E223="","",IF(AND(Z223&gt;0,OR(AND(M223&lt;&gt;"",TODAY()&gt;M223),AND(V223&lt;&gt;"",V223-TODAY()&lt;=7))),"Yes","No"))</f>
        <v/>
      </c>
      <c r="AH223">
        <f>IF(OR(AF$3="",AF$3&gt;TODAY()),"",IF(AND(AF223="",AG223=""),"",N(AG223)-N(AF223)))</f>
        <v/>
      </c>
      <c r="AK223">
        <f>IF(OR(AF$3="",AF$3&gt;TODAY()),"",IF(AND(AI223="",AJ223=""),"",N(AJ223)-N(AI223)))</f>
        <v/>
      </c>
      <c r="AO223">
        <f>IF(OR(AM$3="",AM$3&gt;TODAY()),"",IF(AND(AM223="",AN223=""),"",N(AN223)-N(AM223)))</f>
        <v/>
      </c>
      <c r="AR223">
        <f>IF(OR(AM$3="",AM$3&gt;TODAY()),"",IF(AND(AP223="",AQ223=""),"",N(AQ223)-N(AP223)))</f>
        <v/>
      </c>
      <c r="AV223">
        <f>IF(OR(AT$3="",AT$3&gt;TODAY()),"",IF(AND(AT223="",AU223=""),"",N(AU223)-N(AT223)))</f>
        <v/>
      </c>
      <c r="AY223">
        <f>IF(OR(AT$3="",AT$3&gt;TODAY()),"",IF(AND(AW223="",AX223=""),"",N(AX223)-N(AW223)))</f>
        <v/>
      </c>
      <c r="BC223">
        <f>IF(OR(BA$3="",BA$3&gt;TODAY()),"",IF(AND(BA223="",BB223=""),"",N(BB223)-N(BA223)))</f>
        <v/>
      </c>
      <c r="BF223">
        <f>IF(OR(BA$3="",BA$3&gt;TODAY()),"",IF(AND(BD223="",BE223=""),"",N(BE223)-N(BD223)))</f>
        <v/>
      </c>
      <c r="BJ223">
        <f>IF(OR(BH$3="",BH$3&gt;TODAY()),"",IF(AND(BH223="",BI223=""),"",N(BI223)-N(BH223)))</f>
        <v/>
      </c>
      <c r="BM223">
        <f>IF(OR(BH$3="",BH$3&gt;TODAY()),"",IF(AND(BK223="",BL223=""),"",N(BL223)-N(BK223)))</f>
        <v/>
      </c>
      <c r="BQ223">
        <f>IF(OR(BO$3="",BO$3&gt;TODAY()),"",IF(AND(BO223="",BP223=""),"",N(BP223)-N(BO223)))</f>
        <v/>
      </c>
      <c r="BT223">
        <f>IF(OR(BO$3="",BO$3&gt;TODAY()),"",IF(AND(BR223="",BS223=""),"",N(BS223)-N(BR223)))</f>
        <v/>
      </c>
      <c r="BX223">
        <f>IF(OR(BV$3="",BV$3&gt;TODAY()),"",IF(AND(BV223="",BW223=""),"",N(BW223)-N(BV223)))</f>
        <v/>
      </c>
      <c r="CA223">
        <f>IF(OR(BV$3="",BV$3&gt;TODAY()),"",IF(AND(BY223="",BZ223=""),"",N(BZ223)-N(BY223)))</f>
        <v/>
      </c>
      <c r="CE223">
        <f>IF(OR(CC$3="",CC$3&gt;TODAY()),"",IF(AND(CC223="",CD223=""),"",N(CD223)-N(CC223)))</f>
        <v/>
      </c>
      <c r="CH223">
        <f>IF(OR(CC$3="",CC$3&gt;TODAY()),"",IF(AND(CF223="",CG223=""),"",N(CG223)-N(CF223)))</f>
        <v/>
      </c>
      <c r="CL223">
        <f>IF(OR(CJ$3="",CJ$3&gt;TODAY()),"",IF(AND(CJ223="",CK223=""),"",N(CK223)-N(CJ223)))</f>
        <v/>
      </c>
      <c r="CO223">
        <f>IF(OR(CJ$3="",CJ$3&gt;TODAY()),"",IF(AND(CM223="",CN223=""),"",N(CN223)-N(CM223)))</f>
        <v/>
      </c>
      <c r="CS223">
        <f>IF(OR(CQ$3="",CQ$3&gt;TODAY()),"",IF(AND(CQ223="",CR223=""),"",N(CR223)-N(CQ223)))</f>
        <v/>
      </c>
      <c r="CV223">
        <f>IF(OR(CQ$3="",CQ$3&gt;TODAY()),"",IF(AND(CT223="",CU223=""),"",N(CU223)-N(CT223)))</f>
        <v/>
      </c>
      <c r="CZ223">
        <f>IF(OR(CX$3="",CX$3&gt;TODAY()),"",IF(AND(CX223="",CY223=""),"",N(CY223)-N(CX223)))</f>
        <v/>
      </c>
      <c r="DC223">
        <f>IF(OR(CX$3="",CX$3&gt;TODAY()),"",IF(AND(DA223="",DB223=""),"",N(DB223)-N(DA223)))</f>
        <v/>
      </c>
      <c r="DG223">
        <f>IF(OR(DE$3="",DE$3&gt;TODAY()),"",IF(AND(DE223="",DF223=""),"",N(DF223)-N(DE223)))</f>
        <v/>
      </c>
      <c r="DJ223">
        <f>IF(OR(DE$3="",DE$3&gt;TODAY()),"",IF(AND(DH223="",DI223=""),"",N(DI223)-N(DH223)))</f>
        <v/>
      </c>
      <c r="DN223">
        <f>IF(OR(DL$3="",DL$3&gt;TODAY()),"",IF(AND(DL223="",DM223=""),"",N(DM223)-N(DL223)))</f>
        <v/>
      </c>
      <c r="DQ223">
        <f>IF(OR(DL$3="",DL$3&gt;TODAY()),"",IF(AND(DO223="",DP223=""),"",N(DP223)-N(DO223)))</f>
        <v/>
      </c>
      <c r="DU223">
        <f>IF(OR(DS$3="",DS$3&gt;TODAY()),"",IF(AND(DS223="",DT223=""),"",N(DT223)-N(DS223)))</f>
        <v/>
      </c>
      <c r="DX223">
        <f>IF(OR(DS$3="",DS$3&gt;TODAY()),"",IF(AND(DV223="",DW223=""),"",N(DW223)-N(DV223)))</f>
        <v/>
      </c>
      <c r="EB223">
        <f>IF(OR(DZ$3="",DZ$3&gt;TODAY()),"",IF(AND(DZ223="",EA223=""),"",N(EA223)-N(DZ223)))</f>
        <v/>
      </c>
      <c r="EE223">
        <f>IF(OR(DZ$3="",DZ$3&gt;TODAY()),"",IF(AND(EC223="",ED223=""),"",N(ED223)-N(EC223)))</f>
        <v/>
      </c>
      <c r="EI223">
        <f>IF(OR(EG$3="",EG$3&gt;TODAY()),"",IF(AND(EG223="",EH223=""),"",N(EH223)-N(EG223)))</f>
        <v/>
      </c>
      <c r="EL223">
        <f>IF(OR(EG$3="",EG$3&gt;TODAY()),"",IF(AND(EJ223="",EK223=""),"",N(EK223)-N(EJ223)))</f>
        <v/>
      </c>
      <c r="EP223">
        <f>IF(OR(EN$3="",EN$3&gt;TODAY()),"",IF(AND(EN223="",EO223=""),"",N(EO223)-N(EN223)))</f>
        <v/>
      </c>
      <c r="ES223">
        <f>IF(OR(EN$3="",EN$3&gt;TODAY()),"",IF(AND(EQ223="",ER223=""),"",N(ER223)-N(EQ223)))</f>
        <v/>
      </c>
      <c r="EW223">
        <f>IF(OR(EU$3="",EU$3&gt;TODAY()),"",IF(AND(EU223="",EV223=""),"",N(EV223)-N(EU223)))</f>
        <v/>
      </c>
      <c r="EZ223">
        <f>IF(OR(EU$3="",EU$3&gt;TODAY()),"",IF(AND(EX223="",EY223=""),"",N(EY223)-N(EX223)))</f>
        <v/>
      </c>
      <c r="FD223">
        <f>IF(OR(FB$3="",FB$3&gt;TODAY()),"",IF(AND(FB223="",FC223=""),"",N(FC223)-N(FB223)))</f>
        <v/>
      </c>
      <c r="FG223">
        <f>IF(OR(FB$3="",FB$3&gt;TODAY()),"",IF(AND(FE223="",FF223=""),"",N(FF223)-N(FE223)))</f>
        <v/>
      </c>
      <c r="FK223">
        <f>IF(OR(FI$3="",FI$3&gt;TODAY()),"",IF(AND(FI223="",FJ223=""),"",N(FJ223)-N(FI223)))</f>
        <v/>
      </c>
      <c r="FN223">
        <f>IF(OR(FI$3="",FI$3&gt;TODAY()),"",IF(AND(FL223="",FM223=""),"",N(FM223)-N(FL223)))</f>
        <v/>
      </c>
      <c r="FR223">
        <f>IF(OR(FP$3="",FP$3&gt;TODAY()),"",IF(AND(FP223="",FQ223=""),"",N(FQ223)-N(FP223)))</f>
        <v/>
      </c>
      <c r="FU223">
        <f>IF(OR(FP$3="",FP$3&gt;TODAY()),"",IF(AND(FS223="",FT223=""),"",N(FT223)-N(FS223)))</f>
        <v/>
      </c>
      <c r="FY223">
        <f>IF(OR(FW$3="",FW$3&gt;TODAY()),"",IF(AND(FW223="",FX223=""),"",N(FX223)-N(FW223)))</f>
        <v/>
      </c>
      <c r="GB223">
        <f>IF(OR(FW$3="",FW$3&gt;TODAY()),"",IF(AND(FZ223="",GA223=""),"",N(GA223)-N(FZ223)))</f>
        <v/>
      </c>
      <c r="GF223">
        <f>IF(OR(GD$3="",GD$3&gt;TODAY()),"",IF(AND(GD223="",GE223=""),"",N(GE223)-N(GD223)))</f>
        <v/>
      </c>
      <c r="GI223">
        <f>IF(OR(GD$3="",GD$3&gt;TODAY()),"",IF(AND(GG223="",GH223=""),"",N(GH223)-N(GG223)))</f>
        <v/>
      </c>
      <c r="GM223">
        <f>IF(OR(GK$3="",GK$3&gt;TODAY()),"",IF(AND(GK223="",GL223=""),"",N(GL223)-N(GK223)))</f>
        <v/>
      </c>
      <c r="GP223">
        <f>IF(OR(GK$3="",GK$3&gt;TODAY()),"",IF(AND(GN223="",GO223=""),"",N(GO223)-N(GN223)))</f>
        <v/>
      </c>
      <c r="GT223">
        <f>IF(OR(GR$3="",GR$3&gt;TODAY()),"",IF(AND(GR223="",GS223=""),"",N(GS223)-N(GR223)))</f>
        <v/>
      </c>
      <c r="GW223">
        <f>IF(OR(GR$3="",GR$3&gt;TODAY()),"",IF(AND(GU223="",GV223=""),"",N(GV223)-N(GU223)))</f>
        <v/>
      </c>
      <c r="HA223">
        <f>IF(OR(GY$3="",GY$3&gt;TODAY()),"",IF(AND(GY223="",GZ223=""),"",N(GZ223)-N(GY223)))</f>
        <v/>
      </c>
      <c r="HD223">
        <f>IF(OR(GY$3="",GY$3&gt;TODAY()),"",IF(AND(HB223="",HC223=""),"",N(HC223)-N(HB223)))</f>
        <v/>
      </c>
      <c r="HH223">
        <f>IF(OR(HF$3="",HF$3&gt;TODAY()),"",IF(AND(HF223="",HG223=""),"",N(HG223)-N(HF223)))</f>
        <v/>
      </c>
      <c r="HK223">
        <f>IF(OR(HF$3="",HF$3&gt;TODAY()),"",IF(AND(HI223="",HJ223=""),"",N(HJ223)-N(HI223)))</f>
        <v/>
      </c>
      <c r="HO223">
        <f>IF(OR(HM$3="",HM$3&gt;TODAY()),"",IF(AND(HM223="",HN223=""),"",N(HN223)-N(HM223)))</f>
        <v/>
      </c>
      <c r="HR223">
        <f>IF(OR(HM$3="",HM$3&gt;TODAY()),"",IF(AND(HP223="",HQ223=""),"",N(HQ223)-N(HP223)))</f>
        <v/>
      </c>
      <c r="HV223">
        <f>IF(OR(HT$3="",HT$3&gt;TODAY()),"",IF(AND(HT223="",HU223=""),"",N(HU223)-N(HT223)))</f>
        <v/>
      </c>
      <c r="HY223">
        <f>IF(OR(HT$3="",HT$3&gt;TODAY()),"",IF(AND(HW223="",HX223=""),"",N(HX223)-N(HW223)))</f>
        <v/>
      </c>
      <c r="IC223">
        <f>IF(OR(IA$3="",IA$3&gt;TODAY()),"",IF(AND(IA223="",IB223=""),"",N(IB223)-N(IA223)))</f>
        <v/>
      </c>
      <c r="IF223">
        <f>IF(OR(IA$3="",IA$3&gt;TODAY()),"",IF(AND(ID223="",IE223=""),"",N(IE223)-N(ID223)))</f>
        <v/>
      </c>
      <c r="IJ223">
        <f>IF(OR(IH$3="",IH$3&gt;TODAY()),"",IF(AND(IH223="",II223=""),"",N(II223)-N(IH223)))</f>
        <v/>
      </c>
      <c r="IM223">
        <f>IF(OR(IH$3="",IH$3&gt;TODAY()),"",IF(AND(IK223="",IL223=""),"",N(IL223)-N(IK223)))</f>
        <v/>
      </c>
    </row>
    <row r="224">
      <c r="A224" s="21" t="n"/>
      <c r="B224" s="21" t="n"/>
      <c r="C224" s="21" t="n"/>
      <c r="D224" s="21" t="n"/>
      <c r="E224" s="21" t="n"/>
      <c r="F224" s="21" t="n"/>
      <c r="G224" s="21" t="n"/>
      <c r="H224" s="21" t="n"/>
      <c r="I224" s="22" t="n"/>
      <c r="J224" s="22" t="n"/>
      <c r="K224" s="23" t="n"/>
      <c r="L224" s="22" t="n"/>
      <c r="M224" s="22" t="n"/>
      <c r="N224" s="21" t="n"/>
      <c r="O224" s="23" t="n"/>
      <c r="P224" s="23" t="n"/>
      <c r="Q224" s="23" t="n"/>
      <c r="R224" s="23" t="n"/>
      <c r="S224" s="22" t="n"/>
      <c r="T224" s="23" t="n"/>
      <c r="U224" s="23" t="n"/>
      <c r="V224" s="24">
        <f>IF(J224&lt;&gt;"",J224,IF(I224&lt;&gt;"",I224,""))</f>
        <v/>
      </c>
      <c r="W224" s="25">
        <f>IF($E224="","",N(O224)+SUMIFS($AF224:$IN224,$AF$4:$IN$4,"SEW_ACT"))</f>
        <v/>
      </c>
      <c r="X224" s="25">
        <f>IF($E224="","",N(P224)+SUMIFS($AF224:$IN224,$AF$4:$IN$4,"WASH_ACT"))</f>
        <v/>
      </c>
      <c r="Y224" s="25">
        <f>IF($E224="","",W224-X224-N(T224)-N(U224))</f>
        <v/>
      </c>
      <c r="Z224" s="25">
        <f>IF($E224="","",IF(N(K224)-X224&lt;=0.02*N(K224),0,N(K224)-X224))</f>
        <v/>
      </c>
      <c r="AA224" s="24">
        <f>IF($E224="","",IF(S224&lt;&gt;"",S224,IF(N(O224)&gt;0,IF(L224&lt;&gt;"",L224,99999),IFERROR(1/(1/_xlfn.MINIFS($AF$3:$IN$3,$AF$4:$IN$4,"SEW_ACT",$AF224:$IN224,"&gt;0")),99999))))</f>
        <v/>
      </c>
      <c r="AB224" s="26">
        <f>IF(OR($E224="",Z224=0,V224=""),"",1+COUNTIFS(Z$8:Z$707,"&gt;0",V$8:V$707,"&lt;"&amp;V224)+COUNTIFS(Z$8:Z$707,"&gt;0",V$8:V$707,V224,AA$8:AA$707,"&lt;"&amp;AA224)+COUNTIFS(Z$8:Z$707,"&gt;0",V$8:V$707,V224,AA$8:AA$707,AA224,E$8:E$707,"&lt;"&amp;$E224))</f>
        <v/>
      </c>
      <c r="AC224" s="24">
        <f>IF(OR($E224="",Z224=0),"",IFERROR(TODAY()+ROUNDUP(Z224/(SUMIFS($AF224:$IN224,$AF$4:$IN$4,"WASH_ACT")/COUNTIFS($AF$4:$IN$4,"WASH_ACT",$AF224:$IN224,"&gt;0")),0),"no output yet"))</f>
        <v/>
      </c>
      <c r="AD224" s="26">
        <f>IF($E224="","",IFERROR(ROUND(MAX(0,SUMIFS($AF224:$IN224,$AF$4:$IN$4,"SEW_PLAN",$AF$3:$IN$3,"&lt;="&amp;TODAY())-SUMIFS($AF224:$IN224,$AF$4:$IN$4,"SEW_ACT",$AF$3:$IN$3,"&lt;="&amp;TODAY())+N(Q224))/(SUMIFS($AF224:$IN224,$AF$4:$IN$4,"SEW_PLAN")/COUNTIFS($AF$4:$IN$4,"SEW_PLAN",$AF224:$IN224,"&gt;0")),1),0))</f>
        <v/>
      </c>
      <c r="AE224" s="26">
        <f>IF($E224="","",IF(AND(Z224&gt;0,OR(AND(M224&lt;&gt;"",TODAY()&gt;M224),AND(V224&lt;&gt;"",V224-TODAY()&lt;=7))),"Yes","No"))</f>
        <v/>
      </c>
      <c r="AH224">
        <f>IF(OR(AF$3="",AF$3&gt;TODAY()),"",IF(AND(AF224="",AG224=""),"",N(AG224)-N(AF224)))</f>
        <v/>
      </c>
      <c r="AK224">
        <f>IF(OR(AF$3="",AF$3&gt;TODAY()),"",IF(AND(AI224="",AJ224=""),"",N(AJ224)-N(AI224)))</f>
        <v/>
      </c>
      <c r="AO224">
        <f>IF(OR(AM$3="",AM$3&gt;TODAY()),"",IF(AND(AM224="",AN224=""),"",N(AN224)-N(AM224)))</f>
        <v/>
      </c>
      <c r="AR224">
        <f>IF(OR(AM$3="",AM$3&gt;TODAY()),"",IF(AND(AP224="",AQ224=""),"",N(AQ224)-N(AP224)))</f>
        <v/>
      </c>
      <c r="AV224">
        <f>IF(OR(AT$3="",AT$3&gt;TODAY()),"",IF(AND(AT224="",AU224=""),"",N(AU224)-N(AT224)))</f>
        <v/>
      </c>
      <c r="AY224">
        <f>IF(OR(AT$3="",AT$3&gt;TODAY()),"",IF(AND(AW224="",AX224=""),"",N(AX224)-N(AW224)))</f>
        <v/>
      </c>
      <c r="BC224">
        <f>IF(OR(BA$3="",BA$3&gt;TODAY()),"",IF(AND(BA224="",BB224=""),"",N(BB224)-N(BA224)))</f>
        <v/>
      </c>
      <c r="BF224">
        <f>IF(OR(BA$3="",BA$3&gt;TODAY()),"",IF(AND(BD224="",BE224=""),"",N(BE224)-N(BD224)))</f>
        <v/>
      </c>
      <c r="BJ224">
        <f>IF(OR(BH$3="",BH$3&gt;TODAY()),"",IF(AND(BH224="",BI224=""),"",N(BI224)-N(BH224)))</f>
        <v/>
      </c>
      <c r="BM224">
        <f>IF(OR(BH$3="",BH$3&gt;TODAY()),"",IF(AND(BK224="",BL224=""),"",N(BL224)-N(BK224)))</f>
        <v/>
      </c>
      <c r="BQ224">
        <f>IF(OR(BO$3="",BO$3&gt;TODAY()),"",IF(AND(BO224="",BP224=""),"",N(BP224)-N(BO224)))</f>
        <v/>
      </c>
      <c r="BT224">
        <f>IF(OR(BO$3="",BO$3&gt;TODAY()),"",IF(AND(BR224="",BS224=""),"",N(BS224)-N(BR224)))</f>
        <v/>
      </c>
      <c r="BX224">
        <f>IF(OR(BV$3="",BV$3&gt;TODAY()),"",IF(AND(BV224="",BW224=""),"",N(BW224)-N(BV224)))</f>
        <v/>
      </c>
      <c r="CA224">
        <f>IF(OR(BV$3="",BV$3&gt;TODAY()),"",IF(AND(BY224="",BZ224=""),"",N(BZ224)-N(BY224)))</f>
        <v/>
      </c>
      <c r="CE224">
        <f>IF(OR(CC$3="",CC$3&gt;TODAY()),"",IF(AND(CC224="",CD224=""),"",N(CD224)-N(CC224)))</f>
        <v/>
      </c>
      <c r="CH224">
        <f>IF(OR(CC$3="",CC$3&gt;TODAY()),"",IF(AND(CF224="",CG224=""),"",N(CG224)-N(CF224)))</f>
        <v/>
      </c>
      <c r="CL224">
        <f>IF(OR(CJ$3="",CJ$3&gt;TODAY()),"",IF(AND(CJ224="",CK224=""),"",N(CK224)-N(CJ224)))</f>
        <v/>
      </c>
      <c r="CO224">
        <f>IF(OR(CJ$3="",CJ$3&gt;TODAY()),"",IF(AND(CM224="",CN224=""),"",N(CN224)-N(CM224)))</f>
        <v/>
      </c>
      <c r="CS224">
        <f>IF(OR(CQ$3="",CQ$3&gt;TODAY()),"",IF(AND(CQ224="",CR224=""),"",N(CR224)-N(CQ224)))</f>
        <v/>
      </c>
      <c r="CV224">
        <f>IF(OR(CQ$3="",CQ$3&gt;TODAY()),"",IF(AND(CT224="",CU224=""),"",N(CU224)-N(CT224)))</f>
        <v/>
      </c>
      <c r="CZ224">
        <f>IF(OR(CX$3="",CX$3&gt;TODAY()),"",IF(AND(CX224="",CY224=""),"",N(CY224)-N(CX224)))</f>
        <v/>
      </c>
      <c r="DC224">
        <f>IF(OR(CX$3="",CX$3&gt;TODAY()),"",IF(AND(DA224="",DB224=""),"",N(DB224)-N(DA224)))</f>
        <v/>
      </c>
      <c r="DG224">
        <f>IF(OR(DE$3="",DE$3&gt;TODAY()),"",IF(AND(DE224="",DF224=""),"",N(DF224)-N(DE224)))</f>
        <v/>
      </c>
      <c r="DJ224">
        <f>IF(OR(DE$3="",DE$3&gt;TODAY()),"",IF(AND(DH224="",DI224=""),"",N(DI224)-N(DH224)))</f>
        <v/>
      </c>
      <c r="DN224">
        <f>IF(OR(DL$3="",DL$3&gt;TODAY()),"",IF(AND(DL224="",DM224=""),"",N(DM224)-N(DL224)))</f>
        <v/>
      </c>
      <c r="DQ224">
        <f>IF(OR(DL$3="",DL$3&gt;TODAY()),"",IF(AND(DO224="",DP224=""),"",N(DP224)-N(DO224)))</f>
        <v/>
      </c>
      <c r="DU224">
        <f>IF(OR(DS$3="",DS$3&gt;TODAY()),"",IF(AND(DS224="",DT224=""),"",N(DT224)-N(DS224)))</f>
        <v/>
      </c>
      <c r="DX224">
        <f>IF(OR(DS$3="",DS$3&gt;TODAY()),"",IF(AND(DV224="",DW224=""),"",N(DW224)-N(DV224)))</f>
        <v/>
      </c>
      <c r="EB224">
        <f>IF(OR(DZ$3="",DZ$3&gt;TODAY()),"",IF(AND(DZ224="",EA224=""),"",N(EA224)-N(DZ224)))</f>
        <v/>
      </c>
      <c r="EE224">
        <f>IF(OR(DZ$3="",DZ$3&gt;TODAY()),"",IF(AND(EC224="",ED224=""),"",N(ED224)-N(EC224)))</f>
        <v/>
      </c>
      <c r="EI224">
        <f>IF(OR(EG$3="",EG$3&gt;TODAY()),"",IF(AND(EG224="",EH224=""),"",N(EH224)-N(EG224)))</f>
        <v/>
      </c>
      <c r="EL224">
        <f>IF(OR(EG$3="",EG$3&gt;TODAY()),"",IF(AND(EJ224="",EK224=""),"",N(EK224)-N(EJ224)))</f>
        <v/>
      </c>
      <c r="EP224">
        <f>IF(OR(EN$3="",EN$3&gt;TODAY()),"",IF(AND(EN224="",EO224=""),"",N(EO224)-N(EN224)))</f>
        <v/>
      </c>
      <c r="ES224">
        <f>IF(OR(EN$3="",EN$3&gt;TODAY()),"",IF(AND(EQ224="",ER224=""),"",N(ER224)-N(EQ224)))</f>
        <v/>
      </c>
      <c r="EW224">
        <f>IF(OR(EU$3="",EU$3&gt;TODAY()),"",IF(AND(EU224="",EV224=""),"",N(EV224)-N(EU224)))</f>
        <v/>
      </c>
      <c r="EZ224">
        <f>IF(OR(EU$3="",EU$3&gt;TODAY()),"",IF(AND(EX224="",EY224=""),"",N(EY224)-N(EX224)))</f>
        <v/>
      </c>
      <c r="FD224">
        <f>IF(OR(FB$3="",FB$3&gt;TODAY()),"",IF(AND(FB224="",FC224=""),"",N(FC224)-N(FB224)))</f>
        <v/>
      </c>
      <c r="FG224">
        <f>IF(OR(FB$3="",FB$3&gt;TODAY()),"",IF(AND(FE224="",FF224=""),"",N(FF224)-N(FE224)))</f>
        <v/>
      </c>
      <c r="FK224">
        <f>IF(OR(FI$3="",FI$3&gt;TODAY()),"",IF(AND(FI224="",FJ224=""),"",N(FJ224)-N(FI224)))</f>
        <v/>
      </c>
      <c r="FN224">
        <f>IF(OR(FI$3="",FI$3&gt;TODAY()),"",IF(AND(FL224="",FM224=""),"",N(FM224)-N(FL224)))</f>
        <v/>
      </c>
      <c r="FR224">
        <f>IF(OR(FP$3="",FP$3&gt;TODAY()),"",IF(AND(FP224="",FQ224=""),"",N(FQ224)-N(FP224)))</f>
        <v/>
      </c>
      <c r="FU224">
        <f>IF(OR(FP$3="",FP$3&gt;TODAY()),"",IF(AND(FS224="",FT224=""),"",N(FT224)-N(FS224)))</f>
        <v/>
      </c>
      <c r="FY224">
        <f>IF(OR(FW$3="",FW$3&gt;TODAY()),"",IF(AND(FW224="",FX224=""),"",N(FX224)-N(FW224)))</f>
        <v/>
      </c>
      <c r="GB224">
        <f>IF(OR(FW$3="",FW$3&gt;TODAY()),"",IF(AND(FZ224="",GA224=""),"",N(GA224)-N(FZ224)))</f>
        <v/>
      </c>
      <c r="GF224">
        <f>IF(OR(GD$3="",GD$3&gt;TODAY()),"",IF(AND(GD224="",GE224=""),"",N(GE224)-N(GD224)))</f>
        <v/>
      </c>
      <c r="GI224">
        <f>IF(OR(GD$3="",GD$3&gt;TODAY()),"",IF(AND(GG224="",GH224=""),"",N(GH224)-N(GG224)))</f>
        <v/>
      </c>
      <c r="GM224">
        <f>IF(OR(GK$3="",GK$3&gt;TODAY()),"",IF(AND(GK224="",GL224=""),"",N(GL224)-N(GK224)))</f>
        <v/>
      </c>
      <c r="GP224">
        <f>IF(OR(GK$3="",GK$3&gt;TODAY()),"",IF(AND(GN224="",GO224=""),"",N(GO224)-N(GN224)))</f>
        <v/>
      </c>
      <c r="GT224">
        <f>IF(OR(GR$3="",GR$3&gt;TODAY()),"",IF(AND(GR224="",GS224=""),"",N(GS224)-N(GR224)))</f>
        <v/>
      </c>
      <c r="GW224">
        <f>IF(OR(GR$3="",GR$3&gt;TODAY()),"",IF(AND(GU224="",GV224=""),"",N(GV224)-N(GU224)))</f>
        <v/>
      </c>
      <c r="HA224">
        <f>IF(OR(GY$3="",GY$3&gt;TODAY()),"",IF(AND(GY224="",GZ224=""),"",N(GZ224)-N(GY224)))</f>
        <v/>
      </c>
      <c r="HD224">
        <f>IF(OR(GY$3="",GY$3&gt;TODAY()),"",IF(AND(HB224="",HC224=""),"",N(HC224)-N(HB224)))</f>
        <v/>
      </c>
      <c r="HH224">
        <f>IF(OR(HF$3="",HF$3&gt;TODAY()),"",IF(AND(HF224="",HG224=""),"",N(HG224)-N(HF224)))</f>
        <v/>
      </c>
      <c r="HK224">
        <f>IF(OR(HF$3="",HF$3&gt;TODAY()),"",IF(AND(HI224="",HJ224=""),"",N(HJ224)-N(HI224)))</f>
        <v/>
      </c>
      <c r="HO224">
        <f>IF(OR(HM$3="",HM$3&gt;TODAY()),"",IF(AND(HM224="",HN224=""),"",N(HN224)-N(HM224)))</f>
        <v/>
      </c>
      <c r="HR224">
        <f>IF(OR(HM$3="",HM$3&gt;TODAY()),"",IF(AND(HP224="",HQ224=""),"",N(HQ224)-N(HP224)))</f>
        <v/>
      </c>
      <c r="HV224">
        <f>IF(OR(HT$3="",HT$3&gt;TODAY()),"",IF(AND(HT224="",HU224=""),"",N(HU224)-N(HT224)))</f>
        <v/>
      </c>
      <c r="HY224">
        <f>IF(OR(HT$3="",HT$3&gt;TODAY()),"",IF(AND(HW224="",HX224=""),"",N(HX224)-N(HW224)))</f>
        <v/>
      </c>
      <c r="IC224">
        <f>IF(OR(IA$3="",IA$3&gt;TODAY()),"",IF(AND(IA224="",IB224=""),"",N(IB224)-N(IA224)))</f>
        <v/>
      </c>
      <c r="IF224">
        <f>IF(OR(IA$3="",IA$3&gt;TODAY()),"",IF(AND(ID224="",IE224=""),"",N(IE224)-N(ID224)))</f>
        <v/>
      </c>
      <c r="IJ224">
        <f>IF(OR(IH$3="",IH$3&gt;TODAY()),"",IF(AND(IH224="",II224=""),"",N(II224)-N(IH224)))</f>
        <v/>
      </c>
      <c r="IM224">
        <f>IF(OR(IH$3="",IH$3&gt;TODAY()),"",IF(AND(IK224="",IL224=""),"",N(IL224)-N(IK224)))</f>
        <v/>
      </c>
    </row>
    <row r="225">
      <c r="A225" s="21" t="n"/>
      <c r="B225" s="21" t="n"/>
      <c r="C225" s="21" t="n"/>
      <c r="D225" s="21" t="n"/>
      <c r="E225" s="21" t="n"/>
      <c r="F225" s="21" t="n"/>
      <c r="G225" s="21" t="n"/>
      <c r="H225" s="21" t="n"/>
      <c r="I225" s="22" t="n"/>
      <c r="J225" s="22" t="n"/>
      <c r="K225" s="23" t="n"/>
      <c r="L225" s="22" t="n"/>
      <c r="M225" s="22" t="n"/>
      <c r="N225" s="21" t="n"/>
      <c r="O225" s="23" t="n"/>
      <c r="P225" s="23" t="n"/>
      <c r="Q225" s="23" t="n"/>
      <c r="R225" s="23" t="n"/>
      <c r="S225" s="22" t="n"/>
      <c r="T225" s="23" t="n"/>
      <c r="U225" s="23" t="n"/>
      <c r="V225" s="24">
        <f>IF(J225&lt;&gt;"",J225,IF(I225&lt;&gt;"",I225,""))</f>
        <v/>
      </c>
      <c r="W225" s="25">
        <f>IF($E225="","",N(O225)+SUMIFS($AF225:$IN225,$AF$4:$IN$4,"SEW_ACT"))</f>
        <v/>
      </c>
      <c r="X225" s="25">
        <f>IF($E225="","",N(P225)+SUMIFS($AF225:$IN225,$AF$4:$IN$4,"WASH_ACT"))</f>
        <v/>
      </c>
      <c r="Y225" s="25">
        <f>IF($E225="","",W225-X225-N(T225)-N(U225))</f>
        <v/>
      </c>
      <c r="Z225" s="25">
        <f>IF($E225="","",IF(N(K225)-X225&lt;=0.02*N(K225),0,N(K225)-X225))</f>
        <v/>
      </c>
      <c r="AA225" s="24">
        <f>IF($E225="","",IF(S225&lt;&gt;"",S225,IF(N(O225)&gt;0,IF(L225&lt;&gt;"",L225,99999),IFERROR(1/(1/_xlfn.MINIFS($AF$3:$IN$3,$AF$4:$IN$4,"SEW_ACT",$AF225:$IN225,"&gt;0")),99999))))</f>
        <v/>
      </c>
      <c r="AB225" s="26">
        <f>IF(OR($E225="",Z225=0,V225=""),"",1+COUNTIFS(Z$8:Z$707,"&gt;0",V$8:V$707,"&lt;"&amp;V225)+COUNTIFS(Z$8:Z$707,"&gt;0",V$8:V$707,V225,AA$8:AA$707,"&lt;"&amp;AA225)+COUNTIFS(Z$8:Z$707,"&gt;0",V$8:V$707,V225,AA$8:AA$707,AA225,E$8:E$707,"&lt;"&amp;$E225))</f>
        <v/>
      </c>
      <c r="AC225" s="24">
        <f>IF(OR($E225="",Z225=0),"",IFERROR(TODAY()+ROUNDUP(Z225/(SUMIFS($AF225:$IN225,$AF$4:$IN$4,"WASH_ACT")/COUNTIFS($AF$4:$IN$4,"WASH_ACT",$AF225:$IN225,"&gt;0")),0),"no output yet"))</f>
        <v/>
      </c>
      <c r="AD225" s="26">
        <f>IF($E225="","",IFERROR(ROUND(MAX(0,SUMIFS($AF225:$IN225,$AF$4:$IN$4,"SEW_PLAN",$AF$3:$IN$3,"&lt;="&amp;TODAY())-SUMIFS($AF225:$IN225,$AF$4:$IN$4,"SEW_ACT",$AF$3:$IN$3,"&lt;="&amp;TODAY())+N(Q225))/(SUMIFS($AF225:$IN225,$AF$4:$IN$4,"SEW_PLAN")/COUNTIFS($AF$4:$IN$4,"SEW_PLAN",$AF225:$IN225,"&gt;0")),1),0))</f>
        <v/>
      </c>
      <c r="AE225" s="26">
        <f>IF($E225="","",IF(AND(Z225&gt;0,OR(AND(M225&lt;&gt;"",TODAY()&gt;M225),AND(V225&lt;&gt;"",V225-TODAY()&lt;=7))),"Yes","No"))</f>
        <v/>
      </c>
      <c r="AH225">
        <f>IF(OR(AF$3="",AF$3&gt;TODAY()),"",IF(AND(AF225="",AG225=""),"",N(AG225)-N(AF225)))</f>
        <v/>
      </c>
      <c r="AK225">
        <f>IF(OR(AF$3="",AF$3&gt;TODAY()),"",IF(AND(AI225="",AJ225=""),"",N(AJ225)-N(AI225)))</f>
        <v/>
      </c>
      <c r="AO225">
        <f>IF(OR(AM$3="",AM$3&gt;TODAY()),"",IF(AND(AM225="",AN225=""),"",N(AN225)-N(AM225)))</f>
        <v/>
      </c>
      <c r="AR225">
        <f>IF(OR(AM$3="",AM$3&gt;TODAY()),"",IF(AND(AP225="",AQ225=""),"",N(AQ225)-N(AP225)))</f>
        <v/>
      </c>
      <c r="AV225">
        <f>IF(OR(AT$3="",AT$3&gt;TODAY()),"",IF(AND(AT225="",AU225=""),"",N(AU225)-N(AT225)))</f>
        <v/>
      </c>
      <c r="AY225">
        <f>IF(OR(AT$3="",AT$3&gt;TODAY()),"",IF(AND(AW225="",AX225=""),"",N(AX225)-N(AW225)))</f>
        <v/>
      </c>
      <c r="BC225">
        <f>IF(OR(BA$3="",BA$3&gt;TODAY()),"",IF(AND(BA225="",BB225=""),"",N(BB225)-N(BA225)))</f>
        <v/>
      </c>
      <c r="BF225">
        <f>IF(OR(BA$3="",BA$3&gt;TODAY()),"",IF(AND(BD225="",BE225=""),"",N(BE225)-N(BD225)))</f>
        <v/>
      </c>
      <c r="BJ225">
        <f>IF(OR(BH$3="",BH$3&gt;TODAY()),"",IF(AND(BH225="",BI225=""),"",N(BI225)-N(BH225)))</f>
        <v/>
      </c>
      <c r="BM225">
        <f>IF(OR(BH$3="",BH$3&gt;TODAY()),"",IF(AND(BK225="",BL225=""),"",N(BL225)-N(BK225)))</f>
        <v/>
      </c>
      <c r="BQ225">
        <f>IF(OR(BO$3="",BO$3&gt;TODAY()),"",IF(AND(BO225="",BP225=""),"",N(BP225)-N(BO225)))</f>
        <v/>
      </c>
      <c r="BT225">
        <f>IF(OR(BO$3="",BO$3&gt;TODAY()),"",IF(AND(BR225="",BS225=""),"",N(BS225)-N(BR225)))</f>
        <v/>
      </c>
      <c r="BX225">
        <f>IF(OR(BV$3="",BV$3&gt;TODAY()),"",IF(AND(BV225="",BW225=""),"",N(BW225)-N(BV225)))</f>
        <v/>
      </c>
      <c r="CA225">
        <f>IF(OR(BV$3="",BV$3&gt;TODAY()),"",IF(AND(BY225="",BZ225=""),"",N(BZ225)-N(BY225)))</f>
        <v/>
      </c>
      <c r="CE225">
        <f>IF(OR(CC$3="",CC$3&gt;TODAY()),"",IF(AND(CC225="",CD225=""),"",N(CD225)-N(CC225)))</f>
        <v/>
      </c>
      <c r="CH225">
        <f>IF(OR(CC$3="",CC$3&gt;TODAY()),"",IF(AND(CF225="",CG225=""),"",N(CG225)-N(CF225)))</f>
        <v/>
      </c>
      <c r="CL225">
        <f>IF(OR(CJ$3="",CJ$3&gt;TODAY()),"",IF(AND(CJ225="",CK225=""),"",N(CK225)-N(CJ225)))</f>
        <v/>
      </c>
      <c r="CO225">
        <f>IF(OR(CJ$3="",CJ$3&gt;TODAY()),"",IF(AND(CM225="",CN225=""),"",N(CN225)-N(CM225)))</f>
        <v/>
      </c>
      <c r="CS225">
        <f>IF(OR(CQ$3="",CQ$3&gt;TODAY()),"",IF(AND(CQ225="",CR225=""),"",N(CR225)-N(CQ225)))</f>
        <v/>
      </c>
      <c r="CV225">
        <f>IF(OR(CQ$3="",CQ$3&gt;TODAY()),"",IF(AND(CT225="",CU225=""),"",N(CU225)-N(CT225)))</f>
        <v/>
      </c>
      <c r="CZ225">
        <f>IF(OR(CX$3="",CX$3&gt;TODAY()),"",IF(AND(CX225="",CY225=""),"",N(CY225)-N(CX225)))</f>
        <v/>
      </c>
      <c r="DC225">
        <f>IF(OR(CX$3="",CX$3&gt;TODAY()),"",IF(AND(DA225="",DB225=""),"",N(DB225)-N(DA225)))</f>
        <v/>
      </c>
      <c r="DG225">
        <f>IF(OR(DE$3="",DE$3&gt;TODAY()),"",IF(AND(DE225="",DF225=""),"",N(DF225)-N(DE225)))</f>
        <v/>
      </c>
      <c r="DJ225">
        <f>IF(OR(DE$3="",DE$3&gt;TODAY()),"",IF(AND(DH225="",DI225=""),"",N(DI225)-N(DH225)))</f>
        <v/>
      </c>
      <c r="DN225">
        <f>IF(OR(DL$3="",DL$3&gt;TODAY()),"",IF(AND(DL225="",DM225=""),"",N(DM225)-N(DL225)))</f>
        <v/>
      </c>
      <c r="DQ225">
        <f>IF(OR(DL$3="",DL$3&gt;TODAY()),"",IF(AND(DO225="",DP225=""),"",N(DP225)-N(DO225)))</f>
        <v/>
      </c>
      <c r="DU225">
        <f>IF(OR(DS$3="",DS$3&gt;TODAY()),"",IF(AND(DS225="",DT225=""),"",N(DT225)-N(DS225)))</f>
        <v/>
      </c>
      <c r="DX225">
        <f>IF(OR(DS$3="",DS$3&gt;TODAY()),"",IF(AND(DV225="",DW225=""),"",N(DW225)-N(DV225)))</f>
        <v/>
      </c>
      <c r="EB225">
        <f>IF(OR(DZ$3="",DZ$3&gt;TODAY()),"",IF(AND(DZ225="",EA225=""),"",N(EA225)-N(DZ225)))</f>
        <v/>
      </c>
      <c r="EE225">
        <f>IF(OR(DZ$3="",DZ$3&gt;TODAY()),"",IF(AND(EC225="",ED225=""),"",N(ED225)-N(EC225)))</f>
        <v/>
      </c>
      <c r="EI225">
        <f>IF(OR(EG$3="",EG$3&gt;TODAY()),"",IF(AND(EG225="",EH225=""),"",N(EH225)-N(EG225)))</f>
        <v/>
      </c>
      <c r="EL225">
        <f>IF(OR(EG$3="",EG$3&gt;TODAY()),"",IF(AND(EJ225="",EK225=""),"",N(EK225)-N(EJ225)))</f>
        <v/>
      </c>
      <c r="EP225">
        <f>IF(OR(EN$3="",EN$3&gt;TODAY()),"",IF(AND(EN225="",EO225=""),"",N(EO225)-N(EN225)))</f>
        <v/>
      </c>
      <c r="ES225">
        <f>IF(OR(EN$3="",EN$3&gt;TODAY()),"",IF(AND(EQ225="",ER225=""),"",N(ER225)-N(EQ225)))</f>
        <v/>
      </c>
      <c r="EW225">
        <f>IF(OR(EU$3="",EU$3&gt;TODAY()),"",IF(AND(EU225="",EV225=""),"",N(EV225)-N(EU225)))</f>
        <v/>
      </c>
      <c r="EZ225">
        <f>IF(OR(EU$3="",EU$3&gt;TODAY()),"",IF(AND(EX225="",EY225=""),"",N(EY225)-N(EX225)))</f>
        <v/>
      </c>
      <c r="FD225">
        <f>IF(OR(FB$3="",FB$3&gt;TODAY()),"",IF(AND(FB225="",FC225=""),"",N(FC225)-N(FB225)))</f>
        <v/>
      </c>
      <c r="FG225">
        <f>IF(OR(FB$3="",FB$3&gt;TODAY()),"",IF(AND(FE225="",FF225=""),"",N(FF225)-N(FE225)))</f>
        <v/>
      </c>
      <c r="FK225">
        <f>IF(OR(FI$3="",FI$3&gt;TODAY()),"",IF(AND(FI225="",FJ225=""),"",N(FJ225)-N(FI225)))</f>
        <v/>
      </c>
      <c r="FN225">
        <f>IF(OR(FI$3="",FI$3&gt;TODAY()),"",IF(AND(FL225="",FM225=""),"",N(FM225)-N(FL225)))</f>
        <v/>
      </c>
      <c r="FR225">
        <f>IF(OR(FP$3="",FP$3&gt;TODAY()),"",IF(AND(FP225="",FQ225=""),"",N(FQ225)-N(FP225)))</f>
        <v/>
      </c>
      <c r="FU225">
        <f>IF(OR(FP$3="",FP$3&gt;TODAY()),"",IF(AND(FS225="",FT225=""),"",N(FT225)-N(FS225)))</f>
        <v/>
      </c>
      <c r="FY225">
        <f>IF(OR(FW$3="",FW$3&gt;TODAY()),"",IF(AND(FW225="",FX225=""),"",N(FX225)-N(FW225)))</f>
        <v/>
      </c>
      <c r="GB225">
        <f>IF(OR(FW$3="",FW$3&gt;TODAY()),"",IF(AND(FZ225="",GA225=""),"",N(GA225)-N(FZ225)))</f>
        <v/>
      </c>
      <c r="GF225">
        <f>IF(OR(GD$3="",GD$3&gt;TODAY()),"",IF(AND(GD225="",GE225=""),"",N(GE225)-N(GD225)))</f>
        <v/>
      </c>
      <c r="GI225">
        <f>IF(OR(GD$3="",GD$3&gt;TODAY()),"",IF(AND(GG225="",GH225=""),"",N(GH225)-N(GG225)))</f>
        <v/>
      </c>
      <c r="GM225">
        <f>IF(OR(GK$3="",GK$3&gt;TODAY()),"",IF(AND(GK225="",GL225=""),"",N(GL225)-N(GK225)))</f>
        <v/>
      </c>
      <c r="GP225">
        <f>IF(OR(GK$3="",GK$3&gt;TODAY()),"",IF(AND(GN225="",GO225=""),"",N(GO225)-N(GN225)))</f>
        <v/>
      </c>
      <c r="GT225">
        <f>IF(OR(GR$3="",GR$3&gt;TODAY()),"",IF(AND(GR225="",GS225=""),"",N(GS225)-N(GR225)))</f>
        <v/>
      </c>
      <c r="GW225">
        <f>IF(OR(GR$3="",GR$3&gt;TODAY()),"",IF(AND(GU225="",GV225=""),"",N(GV225)-N(GU225)))</f>
        <v/>
      </c>
      <c r="HA225">
        <f>IF(OR(GY$3="",GY$3&gt;TODAY()),"",IF(AND(GY225="",GZ225=""),"",N(GZ225)-N(GY225)))</f>
        <v/>
      </c>
      <c r="HD225">
        <f>IF(OR(GY$3="",GY$3&gt;TODAY()),"",IF(AND(HB225="",HC225=""),"",N(HC225)-N(HB225)))</f>
        <v/>
      </c>
      <c r="HH225">
        <f>IF(OR(HF$3="",HF$3&gt;TODAY()),"",IF(AND(HF225="",HG225=""),"",N(HG225)-N(HF225)))</f>
        <v/>
      </c>
      <c r="HK225">
        <f>IF(OR(HF$3="",HF$3&gt;TODAY()),"",IF(AND(HI225="",HJ225=""),"",N(HJ225)-N(HI225)))</f>
        <v/>
      </c>
      <c r="HO225">
        <f>IF(OR(HM$3="",HM$3&gt;TODAY()),"",IF(AND(HM225="",HN225=""),"",N(HN225)-N(HM225)))</f>
        <v/>
      </c>
      <c r="HR225">
        <f>IF(OR(HM$3="",HM$3&gt;TODAY()),"",IF(AND(HP225="",HQ225=""),"",N(HQ225)-N(HP225)))</f>
        <v/>
      </c>
      <c r="HV225">
        <f>IF(OR(HT$3="",HT$3&gt;TODAY()),"",IF(AND(HT225="",HU225=""),"",N(HU225)-N(HT225)))</f>
        <v/>
      </c>
      <c r="HY225">
        <f>IF(OR(HT$3="",HT$3&gt;TODAY()),"",IF(AND(HW225="",HX225=""),"",N(HX225)-N(HW225)))</f>
        <v/>
      </c>
      <c r="IC225">
        <f>IF(OR(IA$3="",IA$3&gt;TODAY()),"",IF(AND(IA225="",IB225=""),"",N(IB225)-N(IA225)))</f>
        <v/>
      </c>
      <c r="IF225">
        <f>IF(OR(IA$3="",IA$3&gt;TODAY()),"",IF(AND(ID225="",IE225=""),"",N(IE225)-N(ID225)))</f>
        <v/>
      </c>
      <c r="IJ225">
        <f>IF(OR(IH$3="",IH$3&gt;TODAY()),"",IF(AND(IH225="",II225=""),"",N(II225)-N(IH225)))</f>
        <v/>
      </c>
      <c r="IM225">
        <f>IF(OR(IH$3="",IH$3&gt;TODAY()),"",IF(AND(IK225="",IL225=""),"",N(IL225)-N(IK225)))</f>
        <v/>
      </c>
    </row>
    <row r="226">
      <c r="A226" s="21" t="n"/>
      <c r="B226" s="21" t="n"/>
      <c r="C226" s="21" t="n"/>
      <c r="D226" s="21" t="n"/>
      <c r="E226" s="21" t="n"/>
      <c r="F226" s="21" t="n"/>
      <c r="G226" s="21" t="n"/>
      <c r="H226" s="21" t="n"/>
      <c r="I226" s="22" t="n"/>
      <c r="J226" s="22" t="n"/>
      <c r="K226" s="23" t="n"/>
      <c r="L226" s="22" t="n"/>
      <c r="M226" s="22" t="n"/>
      <c r="N226" s="21" t="n"/>
      <c r="O226" s="23" t="n"/>
      <c r="P226" s="23" t="n"/>
      <c r="Q226" s="23" t="n"/>
      <c r="R226" s="23" t="n"/>
      <c r="S226" s="22" t="n"/>
      <c r="T226" s="23" t="n"/>
      <c r="U226" s="23" t="n"/>
      <c r="V226" s="24">
        <f>IF(J226&lt;&gt;"",J226,IF(I226&lt;&gt;"",I226,""))</f>
        <v/>
      </c>
      <c r="W226" s="25">
        <f>IF($E226="","",N(O226)+SUMIFS($AF226:$IN226,$AF$4:$IN$4,"SEW_ACT"))</f>
        <v/>
      </c>
      <c r="X226" s="25">
        <f>IF($E226="","",N(P226)+SUMIFS($AF226:$IN226,$AF$4:$IN$4,"WASH_ACT"))</f>
        <v/>
      </c>
      <c r="Y226" s="25">
        <f>IF($E226="","",W226-X226-N(T226)-N(U226))</f>
        <v/>
      </c>
      <c r="Z226" s="25">
        <f>IF($E226="","",IF(N(K226)-X226&lt;=0.02*N(K226),0,N(K226)-X226))</f>
        <v/>
      </c>
      <c r="AA226" s="24">
        <f>IF($E226="","",IF(S226&lt;&gt;"",S226,IF(N(O226)&gt;0,IF(L226&lt;&gt;"",L226,99999),IFERROR(1/(1/_xlfn.MINIFS($AF$3:$IN$3,$AF$4:$IN$4,"SEW_ACT",$AF226:$IN226,"&gt;0")),99999))))</f>
        <v/>
      </c>
      <c r="AB226" s="26">
        <f>IF(OR($E226="",Z226=0,V226=""),"",1+COUNTIFS(Z$8:Z$707,"&gt;0",V$8:V$707,"&lt;"&amp;V226)+COUNTIFS(Z$8:Z$707,"&gt;0",V$8:V$707,V226,AA$8:AA$707,"&lt;"&amp;AA226)+COUNTIFS(Z$8:Z$707,"&gt;0",V$8:V$707,V226,AA$8:AA$707,AA226,E$8:E$707,"&lt;"&amp;$E226))</f>
        <v/>
      </c>
      <c r="AC226" s="24">
        <f>IF(OR($E226="",Z226=0),"",IFERROR(TODAY()+ROUNDUP(Z226/(SUMIFS($AF226:$IN226,$AF$4:$IN$4,"WASH_ACT")/COUNTIFS($AF$4:$IN$4,"WASH_ACT",$AF226:$IN226,"&gt;0")),0),"no output yet"))</f>
        <v/>
      </c>
      <c r="AD226" s="26">
        <f>IF($E226="","",IFERROR(ROUND(MAX(0,SUMIFS($AF226:$IN226,$AF$4:$IN$4,"SEW_PLAN",$AF$3:$IN$3,"&lt;="&amp;TODAY())-SUMIFS($AF226:$IN226,$AF$4:$IN$4,"SEW_ACT",$AF$3:$IN$3,"&lt;="&amp;TODAY())+N(Q226))/(SUMIFS($AF226:$IN226,$AF$4:$IN$4,"SEW_PLAN")/COUNTIFS($AF$4:$IN$4,"SEW_PLAN",$AF226:$IN226,"&gt;0")),1),0))</f>
        <v/>
      </c>
      <c r="AE226" s="26">
        <f>IF($E226="","",IF(AND(Z226&gt;0,OR(AND(M226&lt;&gt;"",TODAY()&gt;M226),AND(V226&lt;&gt;"",V226-TODAY()&lt;=7))),"Yes","No"))</f>
        <v/>
      </c>
      <c r="AH226">
        <f>IF(OR(AF$3="",AF$3&gt;TODAY()),"",IF(AND(AF226="",AG226=""),"",N(AG226)-N(AF226)))</f>
        <v/>
      </c>
      <c r="AK226">
        <f>IF(OR(AF$3="",AF$3&gt;TODAY()),"",IF(AND(AI226="",AJ226=""),"",N(AJ226)-N(AI226)))</f>
        <v/>
      </c>
      <c r="AO226">
        <f>IF(OR(AM$3="",AM$3&gt;TODAY()),"",IF(AND(AM226="",AN226=""),"",N(AN226)-N(AM226)))</f>
        <v/>
      </c>
      <c r="AR226">
        <f>IF(OR(AM$3="",AM$3&gt;TODAY()),"",IF(AND(AP226="",AQ226=""),"",N(AQ226)-N(AP226)))</f>
        <v/>
      </c>
      <c r="AV226">
        <f>IF(OR(AT$3="",AT$3&gt;TODAY()),"",IF(AND(AT226="",AU226=""),"",N(AU226)-N(AT226)))</f>
        <v/>
      </c>
      <c r="AY226">
        <f>IF(OR(AT$3="",AT$3&gt;TODAY()),"",IF(AND(AW226="",AX226=""),"",N(AX226)-N(AW226)))</f>
        <v/>
      </c>
      <c r="BC226">
        <f>IF(OR(BA$3="",BA$3&gt;TODAY()),"",IF(AND(BA226="",BB226=""),"",N(BB226)-N(BA226)))</f>
        <v/>
      </c>
      <c r="BF226">
        <f>IF(OR(BA$3="",BA$3&gt;TODAY()),"",IF(AND(BD226="",BE226=""),"",N(BE226)-N(BD226)))</f>
        <v/>
      </c>
      <c r="BJ226">
        <f>IF(OR(BH$3="",BH$3&gt;TODAY()),"",IF(AND(BH226="",BI226=""),"",N(BI226)-N(BH226)))</f>
        <v/>
      </c>
      <c r="BM226">
        <f>IF(OR(BH$3="",BH$3&gt;TODAY()),"",IF(AND(BK226="",BL226=""),"",N(BL226)-N(BK226)))</f>
        <v/>
      </c>
      <c r="BQ226">
        <f>IF(OR(BO$3="",BO$3&gt;TODAY()),"",IF(AND(BO226="",BP226=""),"",N(BP226)-N(BO226)))</f>
        <v/>
      </c>
      <c r="BT226">
        <f>IF(OR(BO$3="",BO$3&gt;TODAY()),"",IF(AND(BR226="",BS226=""),"",N(BS226)-N(BR226)))</f>
        <v/>
      </c>
      <c r="BX226">
        <f>IF(OR(BV$3="",BV$3&gt;TODAY()),"",IF(AND(BV226="",BW226=""),"",N(BW226)-N(BV226)))</f>
        <v/>
      </c>
      <c r="CA226">
        <f>IF(OR(BV$3="",BV$3&gt;TODAY()),"",IF(AND(BY226="",BZ226=""),"",N(BZ226)-N(BY226)))</f>
        <v/>
      </c>
      <c r="CE226">
        <f>IF(OR(CC$3="",CC$3&gt;TODAY()),"",IF(AND(CC226="",CD226=""),"",N(CD226)-N(CC226)))</f>
        <v/>
      </c>
      <c r="CH226">
        <f>IF(OR(CC$3="",CC$3&gt;TODAY()),"",IF(AND(CF226="",CG226=""),"",N(CG226)-N(CF226)))</f>
        <v/>
      </c>
      <c r="CL226">
        <f>IF(OR(CJ$3="",CJ$3&gt;TODAY()),"",IF(AND(CJ226="",CK226=""),"",N(CK226)-N(CJ226)))</f>
        <v/>
      </c>
      <c r="CO226">
        <f>IF(OR(CJ$3="",CJ$3&gt;TODAY()),"",IF(AND(CM226="",CN226=""),"",N(CN226)-N(CM226)))</f>
        <v/>
      </c>
      <c r="CS226">
        <f>IF(OR(CQ$3="",CQ$3&gt;TODAY()),"",IF(AND(CQ226="",CR226=""),"",N(CR226)-N(CQ226)))</f>
        <v/>
      </c>
      <c r="CV226">
        <f>IF(OR(CQ$3="",CQ$3&gt;TODAY()),"",IF(AND(CT226="",CU226=""),"",N(CU226)-N(CT226)))</f>
        <v/>
      </c>
      <c r="CZ226">
        <f>IF(OR(CX$3="",CX$3&gt;TODAY()),"",IF(AND(CX226="",CY226=""),"",N(CY226)-N(CX226)))</f>
        <v/>
      </c>
      <c r="DC226">
        <f>IF(OR(CX$3="",CX$3&gt;TODAY()),"",IF(AND(DA226="",DB226=""),"",N(DB226)-N(DA226)))</f>
        <v/>
      </c>
      <c r="DG226">
        <f>IF(OR(DE$3="",DE$3&gt;TODAY()),"",IF(AND(DE226="",DF226=""),"",N(DF226)-N(DE226)))</f>
        <v/>
      </c>
      <c r="DJ226">
        <f>IF(OR(DE$3="",DE$3&gt;TODAY()),"",IF(AND(DH226="",DI226=""),"",N(DI226)-N(DH226)))</f>
        <v/>
      </c>
      <c r="DN226">
        <f>IF(OR(DL$3="",DL$3&gt;TODAY()),"",IF(AND(DL226="",DM226=""),"",N(DM226)-N(DL226)))</f>
        <v/>
      </c>
      <c r="DQ226">
        <f>IF(OR(DL$3="",DL$3&gt;TODAY()),"",IF(AND(DO226="",DP226=""),"",N(DP226)-N(DO226)))</f>
        <v/>
      </c>
      <c r="DU226">
        <f>IF(OR(DS$3="",DS$3&gt;TODAY()),"",IF(AND(DS226="",DT226=""),"",N(DT226)-N(DS226)))</f>
        <v/>
      </c>
      <c r="DX226">
        <f>IF(OR(DS$3="",DS$3&gt;TODAY()),"",IF(AND(DV226="",DW226=""),"",N(DW226)-N(DV226)))</f>
        <v/>
      </c>
      <c r="EB226">
        <f>IF(OR(DZ$3="",DZ$3&gt;TODAY()),"",IF(AND(DZ226="",EA226=""),"",N(EA226)-N(DZ226)))</f>
        <v/>
      </c>
      <c r="EE226">
        <f>IF(OR(DZ$3="",DZ$3&gt;TODAY()),"",IF(AND(EC226="",ED226=""),"",N(ED226)-N(EC226)))</f>
        <v/>
      </c>
      <c r="EI226">
        <f>IF(OR(EG$3="",EG$3&gt;TODAY()),"",IF(AND(EG226="",EH226=""),"",N(EH226)-N(EG226)))</f>
        <v/>
      </c>
      <c r="EL226">
        <f>IF(OR(EG$3="",EG$3&gt;TODAY()),"",IF(AND(EJ226="",EK226=""),"",N(EK226)-N(EJ226)))</f>
        <v/>
      </c>
      <c r="EP226">
        <f>IF(OR(EN$3="",EN$3&gt;TODAY()),"",IF(AND(EN226="",EO226=""),"",N(EO226)-N(EN226)))</f>
        <v/>
      </c>
      <c r="ES226">
        <f>IF(OR(EN$3="",EN$3&gt;TODAY()),"",IF(AND(EQ226="",ER226=""),"",N(ER226)-N(EQ226)))</f>
        <v/>
      </c>
      <c r="EW226">
        <f>IF(OR(EU$3="",EU$3&gt;TODAY()),"",IF(AND(EU226="",EV226=""),"",N(EV226)-N(EU226)))</f>
        <v/>
      </c>
      <c r="EZ226">
        <f>IF(OR(EU$3="",EU$3&gt;TODAY()),"",IF(AND(EX226="",EY226=""),"",N(EY226)-N(EX226)))</f>
        <v/>
      </c>
      <c r="FD226">
        <f>IF(OR(FB$3="",FB$3&gt;TODAY()),"",IF(AND(FB226="",FC226=""),"",N(FC226)-N(FB226)))</f>
        <v/>
      </c>
      <c r="FG226">
        <f>IF(OR(FB$3="",FB$3&gt;TODAY()),"",IF(AND(FE226="",FF226=""),"",N(FF226)-N(FE226)))</f>
        <v/>
      </c>
      <c r="FK226">
        <f>IF(OR(FI$3="",FI$3&gt;TODAY()),"",IF(AND(FI226="",FJ226=""),"",N(FJ226)-N(FI226)))</f>
        <v/>
      </c>
      <c r="FN226">
        <f>IF(OR(FI$3="",FI$3&gt;TODAY()),"",IF(AND(FL226="",FM226=""),"",N(FM226)-N(FL226)))</f>
        <v/>
      </c>
      <c r="FR226">
        <f>IF(OR(FP$3="",FP$3&gt;TODAY()),"",IF(AND(FP226="",FQ226=""),"",N(FQ226)-N(FP226)))</f>
        <v/>
      </c>
      <c r="FU226">
        <f>IF(OR(FP$3="",FP$3&gt;TODAY()),"",IF(AND(FS226="",FT226=""),"",N(FT226)-N(FS226)))</f>
        <v/>
      </c>
      <c r="FY226">
        <f>IF(OR(FW$3="",FW$3&gt;TODAY()),"",IF(AND(FW226="",FX226=""),"",N(FX226)-N(FW226)))</f>
        <v/>
      </c>
      <c r="GB226">
        <f>IF(OR(FW$3="",FW$3&gt;TODAY()),"",IF(AND(FZ226="",GA226=""),"",N(GA226)-N(FZ226)))</f>
        <v/>
      </c>
      <c r="GF226">
        <f>IF(OR(GD$3="",GD$3&gt;TODAY()),"",IF(AND(GD226="",GE226=""),"",N(GE226)-N(GD226)))</f>
        <v/>
      </c>
      <c r="GI226">
        <f>IF(OR(GD$3="",GD$3&gt;TODAY()),"",IF(AND(GG226="",GH226=""),"",N(GH226)-N(GG226)))</f>
        <v/>
      </c>
      <c r="GM226">
        <f>IF(OR(GK$3="",GK$3&gt;TODAY()),"",IF(AND(GK226="",GL226=""),"",N(GL226)-N(GK226)))</f>
        <v/>
      </c>
      <c r="GP226">
        <f>IF(OR(GK$3="",GK$3&gt;TODAY()),"",IF(AND(GN226="",GO226=""),"",N(GO226)-N(GN226)))</f>
        <v/>
      </c>
      <c r="GT226">
        <f>IF(OR(GR$3="",GR$3&gt;TODAY()),"",IF(AND(GR226="",GS226=""),"",N(GS226)-N(GR226)))</f>
        <v/>
      </c>
      <c r="GW226">
        <f>IF(OR(GR$3="",GR$3&gt;TODAY()),"",IF(AND(GU226="",GV226=""),"",N(GV226)-N(GU226)))</f>
        <v/>
      </c>
      <c r="HA226">
        <f>IF(OR(GY$3="",GY$3&gt;TODAY()),"",IF(AND(GY226="",GZ226=""),"",N(GZ226)-N(GY226)))</f>
        <v/>
      </c>
      <c r="HD226">
        <f>IF(OR(GY$3="",GY$3&gt;TODAY()),"",IF(AND(HB226="",HC226=""),"",N(HC226)-N(HB226)))</f>
        <v/>
      </c>
      <c r="HH226">
        <f>IF(OR(HF$3="",HF$3&gt;TODAY()),"",IF(AND(HF226="",HG226=""),"",N(HG226)-N(HF226)))</f>
        <v/>
      </c>
      <c r="HK226">
        <f>IF(OR(HF$3="",HF$3&gt;TODAY()),"",IF(AND(HI226="",HJ226=""),"",N(HJ226)-N(HI226)))</f>
        <v/>
      </c>
      <c r="HO226">
        <f>IF(OR(HM$3="",HM$3&gt;TODAY()),"",IF(AND(HM226="",HN226=""),"",N(HN226)-N(HM226)))</f>
        <v/>
      </c>
      <c r="HR226">
        <f>IF(OR(HM$3="",HM$3&gt;TODAY()),"",IF(AND(HP226="",HQ226=""),"",N(HQ226)-N(HP226)))</f>
        <v/>
      </c>
      <c r="HV226">
        <f>IF(OR(HT$3="",HT$3&gt;TODAY()),"",IF(AND(HT226="",HU226=""),"",N(HU226)-N(HT226)))</f>
        <v/>
      </c>
      <c r="HY226">
        <f>IF(OR(HT$3="",HT$3&gt;TODAY()),"",IF(AND(HW226="",HX226=""),"",N(HX226)-N(HW226)))</f>
        <v/>
      </c>
      <c r="IC226">
        <f>IF(OR(IA$3="",IA$3&gt;TODAY()),"",IF(AND(IA226="",IB226=""),"",N(IB226)-N(IA226)))</f>
        <v/>
      </c>
      <c r="IF226">
        <f>IF(OR(IA$3="",IA$3&gt;TODAY()),"",IF(AND(ID226="",IE226=""),"",N(IE226)-N(ID226)))</f>
        <v/>
      </c>
      <c r="IJ226">
        <f>IF(OR(IH$3="",IH$3&gt;TODAY()),"",IF(AND(IH226="",II226=""),"",N(II226)-N(IH226)))</f>
        <v/>
      </c>
      <c r="IM226">
        <f>IF(OR(IH$3="",IH$3&gt;TODAY()),"",IF(AND(IK226="",IL226=""),"",N(IL226)-N(IK226)))</f>
        <v/>
      </c>
    </row>
    <row r="227">
      <c r="A227" s="21" t="n"/>
      <c r="B227" s="21" t="n"/>
      <c r="C227" s="21" t="n"/>
      <c r="D227" s="21" t="n"/>
      <c r="E227" s="21" t="n"/>
      <c r="F227" s="21" t="n"/>
      <c r="G227" s="21" t="n"/>
      <c r="H227" s="21" t="n"/>
      <c r="I227" s="22" t="n"/>
      <c r="J227" s="22" t="n"/>
      <c r="K227" s="23" t="n"/>
      <c r="L227" s="22" t="n"/>
      <c r="M227" s="22" t="n"/>
      <c r="N227" s="21" t="n"/>
      <c r="O227" s="23" t="n"/>
      <c r="P227" s="23" t="n"/>
      <c r="Q227" s="23" t="n"/>
      <c r="R227" s="23" t="n"/>
      <c r="S227" s="22" t="n"/>
      <c r="T227" s="23" t="n"/>
      <c r="U227" s="23" t="n"/>
      <c r="V227" s="24">
        <f>IF(J227&lt;&gt;"",J227,IF(I227&lt;&gt;"",I227,""))</f>
        <v/>
      </c>
      <c r="W227" s="25">
        <f>IF($E227="","",N(O227)+SUMIFS($AF227:$IN227,$AF$4:$IN$4,"SEW_ACT"))</f>
        <v/>
      </c>
      <c r="X227" s="25">
        <f>IF($E227="","",N(P227)+SUMIFS($AF227:$IN227,$AF$4:$IN$4,"WASH_ACT"))</f>
        <v/>
      </c>
      <c r="Y227" s="25">
        <f>IF($E227="","",W227-X227-N(T227)-N(U227))</f>
        <v/>
      </c>
      <c r="Z227" s="25">
        <f>IF($E227="","",IF(N(K227)-X227&lt;=0.02*N(K227),0,N(K227)-X227))</f>
        <v/>
      </c>
      <c r="AA227" s="24">
        <f>IF($E227="","",IF(S227&lt;&gt;"",S227,IF(N(O227)&gt;0,IF(L227&lt;&gt;"",L227,99999),IFERROR(1/(1/_xlfn.MINIFS($AF$3:$IN$3,$AF$4:$IN$4,"SEW_ACT",$AF227:$IN227,"&gt;0")),99999))))</f>
        <v/>
      </c>
      <c r="AB227" s="26">
        <f>IF(OR($E227="",Z227=0,V227=""),"",1+COUNTIFS(Z$8:Z$707,"&gt;0",V$8:V$707,"&lt;"&amp;V227)+COUNTIFS(Z$8:Z$707,"&gt;0",V$8:V$707,V227,AA$8:AA$707,"&lt;"&amp;AA227)+COUNTIFS(Z$8:Z$707,"&gt;0",V$8:V$707,V227,AA$8:AA$707,AA227,E$8:E$707,"&lt;"&amp;$E227))</f>
        <v/>
      </c>
      <c r="AC227" s="24">
        <f>IF(OR($E227="",Z227=0),"",IFERROR(TODAY()+ROUNDUP(Z227/(SUMIFS($AF227:$IN227,$AF$4:$IN$4,"WASH_ACT")/COUNTIFS($AF$4:$IN$4,"WASH_ACT",$AF227:$IN227,"&gt;0")),0),"no output yet"))</f>
        <v/>
      </c>
      <c r="AD227" s="26">
        <f>IF($E227="","",IFERROR(ROUND(MAX(0,SUMIFS($AF227:$IN227,$AF$4:$IN$4,"SEW_PLAN",$AF$3:$IN$3,"&lt;="&amp;TODAY())-SUMIFS($AF227:$IN227,$AF$4:$IN$4,"SEW_ACT",$AF$3:$IN$3,"&lt;="&amp;TODAY())+N(Q227))/(SUMIFS($AF227:$IN227,$AF$4:$IN$4,"SEW_PLAN")/COUNTIFS($AF$4:$IN$4,"SEW_PLAN",$AF227:$IN227,"&gt;0")),1),0))</f>
        <v/>
      </c>
      <c r="AE227" s="26">
        <f>IF($E227="","",IF(AND(Z227&gt;0,OR(AND(M227&lt;&gt;"",TODAY()&gt;M227),AND(V227&lt;&gt;"",V227-TODAY()&lt;=7))),"Yes","No"))</f>
        <v/>
      </c>
      <c r="AH227">
        <f>IF(OR(AF$3="",AF$3&gt;TODAY()),"",IF(AND(AF227="",AG227=""),"",N(AG227)-N(AF227)))</f>
        <v/>
      </c>
      <c r="AK227">
        <f>IF(OR(AF$3="",AF$3&gt;TODAY()),"",IF(AND(AI227="",AJ227=""),"",N(AJ227)-N(AI227)))</f>
        <v/>
      </c>
      <c r="AO227">
        <f>IF(OR(AM$3="",AM$3&gt;TODAY()),"",IF(AND(AM227="",AN227=""),"",N(AN227)-N(AM227)))</f>
        <v/>
      </c>
      <c r="AR227">
        <f>IF(OR(AM$3="",AM$3&gt;TODAY()),"",IF(AND(AP227="",AQ227=""),"",N(AQ227)-N(AP227)))</f>
        <v/>
      </c>
      <c r="AV227">
        <f>IF(OR(AT$3="",AT$3&gt;TODAY()),"",IF(AND(AT227="",AU227=""),"",N(AU227)-N(AT227)))</f>
        <v/>
      </c>
      <c r="AY227">
        <f>IF(OR(AT$3="",AT$3&gt;TODAY()),"",IF(AND(AW227="",AX227=""),"",N(AX227)-N(AW227)))</f>
        <v/>
      </c>
      <c r="BC227">
        <f>IF(OR(BA$3="",BA$3&gt;TODAY()),"",IF(AND(BA227="",BB227=""),"",N(BB227)-N(BA227)))</f>
        <v/>
      </c>
      <c r="BF227">
        <f>IF(OR(BA$3="",BA$3&gt;TODAY()),"",IF(AND(BD227="",BE227=""),"",N(BE227)-N(BD227)))</f>
        <v/>
      </c>
      <c r="BJ227">
        <f>IF(OR(BH$3="",BH$3&gt;TODAY()),"",IF(AND(BH227="",BI227=""),"",N(BI227)-N(BH227)))</f>
        <v/>
      </c>
      <c r="BM227">
        <f>IF(OR(BH$3="",BH$3&gt;TODAY()),"",IF(AND(BK227="",BL227=""),"",N(BL227)-N(BK227)))</f>
        <v/>
      </c>
      <c r="BQ227">
        <f>IF(OR(BO$3="",BO$3&gt;TODAY()),"",IF(AND(BO227="",BP227=""),"",N(BP227)-N(BO227)))</f>
        <v/>
      </c>
      <c r="BT227">
        <f>IF(OR(BO$3="",BO$3&gt;TODAY()),"",IF(AND(BR227="",BS227=""),"",N(BS227)-N(BR227)))</f>
        <v/>
      </c>
      <c r="BX227">
        <f>IF(OR(BV$3="",BV$3&gt;TODAY()),"",IF(AND(BV227="",BW227=""),"",N(BW227)-N(BV227)))</f>
        <v/>
      </c>
      <c r="CA227">
        <f>IF(OR(BV$3="",BV$3&gt;TODAY()),"",IF(AND(BY227="",BZ227=""),"",N(BZ227)-N(BY227)))</f>
        <v/>
      </c>
      <c r="CE227">
        <f>IF(OR(CC$3="",CC$3&gt;TODAY()),"",IF(AND(CC227="",CD227=""),"",N(CD227)-N(CC227)))</f>
        <v/>
      </c>
      <c r="CH227">
        <f>IF(OR(CC$3="",CC$3&gt;TODAY()),"",IF(AND(CF227="",CG227=""),"",N(CG227)-N(CF227)))</f>
        <v/>
      </c>
      <c r="CL227">
        <f>IF(OR(CJ$3="",CJ$3&gt;TODAY()),"",IF(AND(CJ227="",CK227=""),"",N(CK227)-N(CJ227)))</f>
        <v/>
      </c>
      <c r="CO227">
        <f>IF(OR(CJ$3="",CJ$3&gt;TODAY()),"",IF(AND(CM227="",CN227=""),"",N(CN227)-N(CM227)))</f>
        <v/>
      </c>
      <c r="CS227">
        <f>IF(OR(CQ$3="",CQ$3&gt;TODAY()),"",IF(AND(CQ227="",CR227=""),"",N(CR227)-N(CQ227)))</f>
        <v/>
      </c>
      <c r="CV227">
        <f>IF(OR(CQ$3="",CQ$3&gt;TODAY()),"",IF(AND(CT227="",CU227=""),"",N(CU227)-N(CT227)))</f>
        <v/>
      </c>
      <c r="CZ227">
        <f>IF(OR(CX$3="",CX$3&gt;TODAY()),"",IF(AND(CX227="",CY227=""),"",N(CY227)-N(CX227)))</f>
        <v/>
      </c>
      <c r="DC227">
        <f>IF(OR(CX$3="",CX$3&gt;TODAY()),"",IF(AND(DA227="",DB227=""),"",N(DB227)-N(DA227)))</f>
        <v/>
      </c>
      <c r="DG227">
        <f>IF(OR(DE$3="",DE$3&gt;TODAY()),"",IF(AND(DE227="",DF227=""),"",N(DF227)-N(DE227)))</f>
        <v/>
      </c>
      <c r="DJ227">
        <f>IF(OR(DE$3="",DE$3&gt;TODAY()),"",IF(AND(DH227="",DI227=""),"",N(DI227)-N(DH227)))</f>
        <v/>
      </c>
      <c r="DN227">
        <f>IF(OR(DL$3="",DL$3&gt;TODAY()),"",IF(AND(DL227="",DM227=""),"",N(DM227)-N(DL227)))</f>
        <v/>
      </c>
      <c r="DQ227">
        <f>IF(OR(DL$3="",DL$3&gt;TODAY()),"",IF(AND(DO227="",DP227=""),"",N(DP227)-N(DO227)))</f>
        <v/>
      </c>
      <c r="DU227">
        <f>IF(OR(DS$3="",DS$3&gt;TODAY()),"",IF(AND(DS227="",DT227=""),"",N(DT227)-N(DS227)))</f>
        <v/>
      </c>
      <c r="DX227">
        <f>IF(OR(DS$3="",DS$3&gt;TODAY()),"",IF(AND(DV227="",DW227=""),"",N(DW227)-N(DV227)))</f>
        <v/>
      </c>
      <c r="EB227">
        <f>IF(OR(DZ$3="",DZ$3&gt;TODAY()),"",IF(AND(DZ227="",EA227=""),"",N(EA227)-N(DZ227)))</f>
        <v/>
      </c>
      <c r="EE227">
        <f>IF(OR(DZ$3="",DZ$3&gt;TODAY()),"",IF(AND(EC227="",ED227=""),"",N(ED227)-N(EC227)))</f>
        <v/>
      </c>
      <c r="EI227">
        <f>IF(OR(EG$3="",EG$3&gt;TODAY()),"",IF(AND(EG227="",EH227=""),"",N(EH227)-N(EG227)))</f>
        <v/>
      </c>
      <c r="EL227">
        <f>IF(OR(EG$3="",EG$3&gt;TODAY()),"",IF(AND(EJ227="",EK227=""),"",N(EK227)-N(EJ227)))</f>
        <v/>
      </c>
      <c r="EP227">
        <f>IF(OR(EN$3="",EN$3&gt;TODAY()),"",IF(AND(EN227="",EO227=""),"",N(EO227)-N(EN227)))</f>
        <v/>
      </c>
      <c r="ES227">
        <f>IF(OR(EN$3="",EN$3&gt;TODAY()),"",IF(AND(EQ227="",ER227=""),"",N(ER227)-N(EQ227)))</f>
        <v/>
      </c>
      <c r="EW227">
        <f>IF(OR(EU$3="",EU$3&gt;TODAY()),"",IF(AND(EU227="",EV227=""),"",N(EV227)-N(EU227)))</f>
        <v/>
      </c>
      <c r="EZ227">
        <f>IF(OR(EU$3="",EU$3&gt;TODAY()),"",IF(AND(EX227="",EY227=""),"",N(EY227)-N(EX227)))</f>
        <v/>
      </c>
      <c r="FD227">
        <f>IF(OR(FB$3="",FB$3&gt;TODAY()),"",IF(AND(FB227="",FC227=""),"",N(FC227)-N(FB227)))</f>
        <v/>
      </c>
      <c r="FG227">
        <f>IF(OR(FB$3="",FB$3&gt;TODAY()),"",IF(AND(FE227="",FF227=""),"",N(FF227)-N(FE227)))</f>
        <v/>
      </c>
      <c r="FK227">
        <f>IF(OR(FI$3="",FI$3&gt;TODAY()),"",IF(AND(FI227="",FJ227=""),"",N(FJ227)-N(FI227)))</f>
        <v/>
      </c>
      <c r="FN227">
        <f>IF(OR(FI$3="",FI$3&gt;TODAY()),"",IF(AND(FL227="",FM227=""),"",N(FM227)-N(FL227)))</f>
        <v/>
      </c>
      <c r="FR227">
        <f>IF(OR(FP$3="",FP$3&gt;TODAY()),"",IF(AND(FP227="",FQ227=""),"",N(FQ227)-N(FP227)))</f>
        <v/>
      </c>
      <c r="FU227">
        <f>IF(OR(FP$3="",FP$3&gt;TODAY()),"",IF(AND(FS227="",FT227=""),"",N(FT227)-N(FS227)))</f>
        <v/>
      </c>
      <c r="FY227">
        <f>IF(OR(FW$3="",FW$3&gt;TODAY()),"",IF(AND(FW227="",FX227=""),"",N(FX227)-N(FW227)))</f>
        <v/>
      </c>
      <c r="GB227">
        <f>IF(OR(FW$3="",FW$3&gt;TODAY()),"",IF(AND(FZ227="",GA227=""),"",N(GA227)-N(FZ227)))</f>
        <v/>
      </c>
      <c r="GF227">
        <f>IF(OR(GD$3="",GD$3&gt;TODAY()),"",IF(AND(GD227="",GE227=""),"",N(GE227)-N(GD227)))</f>
        <v/>
      </c>
      <c r="GI227">
        <f>IF(OR(GD$3="",GD$3&gt;TODAY()),"",IF(AND(GG227="",GH227=""),"",N(GH227)-N(GG227)))</f>
        <v/>
      </c>
      <c r="GM227">
        <f>IF(OR(GK$3="",GK$3&gt;TODAY()),"",IF(AND(GK227="",GL227=""),"",N(GL227)-N(GK227)))</f>
        <v/>
      </c>
      <c r="GP227">
        <f>IF(OR(GK$3="",GK$3&gt;TODAY()),"",IF(AND(GN227="",GO227=""),"",N(GO227)-N(GN227)))</f>
        <v/>
      </c>
      <c r="GT227">
        <f>IF(OR(GR$3="",GR$3&gt;TODAY()),"",IF(AND(GR227="",GS227=""),"",N(GS227)-N(GR227)))</f>
        <v/>
      </c>
      <c r="GW227">
        <f>IF(OR(GR$3="",GR$3&gt;TODAY()),"",IF(AND(GU227="",GV227=""),"",N(GV227)-N(GU227)))</f>
        <v/>
      </c>
      <c r="HA227">
        <f>IF(OR(GY$3="",GY$3&gt;TODAY()),"",IF(AND(GY227="",GZ227=""),"",N(GZ227)-N(GY227)))</f>
        <v/>
      </c>
      <c r="HD227">
        <f>IF(OR(GY$3="",GY$3&gt;TODAY()),"",IF(AND(HB227="",HC227=""),"",N(HC227)-N(HB227)))</f>
        <v/>
      </c>
      <c r="HH227">
        <f>IF(OR(HF$3="",HF$3&gt;TODAY()),"",IF(AND(HF227="",HG227=""),"",N(HG227)-N(HF227)))</f>
        <v/>
      </c>
      <c r="HK227">
        <f>IF(OR(HF$3="",HF$3&gt;TODAY()),"",IF(AND(HI227="",HJ227=""),"",N(HJ227)-N(HI227)))</f>
        <v/>
      </c>
      <c r="HO227">
        <f>IF(OR(HM$3="",HM$3&gt;TODAY()),"",IF(AND(HM227="",HN227=""),"",N(HN227)-N(HM227)))</f>
        <v/>
      </c>
      <c r="HR227">
        <f>IF(OR(HM$3="",HM$3&gt;TODAY()),"",IF(AND(HP227="",HQ227=""),"",N(HQ227)-N(HP227)))</f>
        <v/>
      </c>
      <c r="HV227">
        <f>IF(OR(HT$3="",HT$3&gt;TODAY()),"",IF(AND(HT227="",HU227=""),"",N(HU227)-N(HT227)))</f>
        <v/>
      </c>
      <c r="HY227">
        <f>IF(OR(HT$3="",HT$3&gt;TODAY()),"",IF(AND(HW227="",HX227=""),"",N(HX227)-N(HW227)))</f>
        <v/>
      </c>
      <c r="IC227">
        <f>IF(OR(IA$3="",IA$3&gt;TODAY()),"",IF(AND(IA227="",IB227=""),"",N(IB227)-N(IA227)))</f>
        <v/>
      </c>
      <c r="IF227">
        <f>IF(OR(IA$3="",IA$3&gt;TODAY()),"",IF(AND(ID227="",IE227=""),"",N(IE227)-N(ID227)))</f>
        <v/>
      </c>
      <c r="IJ227">
        <f>IF(OR(IH$3="",IH$3&gt;TODAY()),"",IF(AND(IH227="",II227=""),"",N(II227)-N(IH227)))</f>
        <v/>
      </c>
      <c r="IM227">
        <f>IF(OR(IH$3="",IH$3&gt;TODAY()),"",IF(AND(IK227="",IL227=""),"",N(IL227)-N(IK227)))</f>
        <v/>
      </c>
    </row>
    <row r="228">
      <c r="A228" s="21" t="n"/>
      <c r="B228" s="21" t="n"/>
      <c r="C228" s="21" t="n"/>
      <c r="D228" s="21" t="n"/>
      <c r="E228" s="21" t="n"/>
      <c r="F228" s="21" t="n"/>
      <c r="G228" s="21" t="n"/>
      <c r="H228" s="21" t="n"/>
      <c r="I228" s="22" t="n"/>
      <c r="J228" s="22" t="n"/>
      <c r="K228" s="23" t="n"/>
      <c r="L228" s="22" t="n"/>
      <c r="M228" s="22" t="n"/>
      <c r="N228" s="21" t="n"/>
      <c r="O228" s="23" t="n"/>
      <c r="P228" s="23" t="n"/>
      <c r="Q228" s="23" t="n"/>
      <c r="R228" s="23" t="n"/>
      <c r="S228" s="22" t="n"/>
      <c r="T228" s="23" t="n"/>
      <c r="U228" s="23" t="n"/>
      <c r="V228" s="24">
        <f>IF(J228&lt;&gt;"",J228,IF(I228&lt;&gt;"",I228,""))</f>
        <v/>
      </c>
      <c r="W228" s="25">
        <f>IF($E228="","",N(O228)+SUMIFS($AF228:$IN228,$AF$4:$IN$4,"SEW_ACT"))</f>
        <v/>
      </c>
      <c r="X228" s="25">
        <f>IF($E228="","",N(P228)+SUMIFS($AF228:$IN228,$AF$4:$IN$4,"WASH_ACT"))</f>
        <v/>
      </c>
      <c r="Y228" s="25">
        <f>IF($E228="","",W228-X228-N(T228)-N(U228))</f>
        <v/>
      </c>
      <c r="Z228" s="25">
        <f>IF($E228="","",IF(N(K228)-X228&lt;=0.02*N(K228),0,N(K228)-X228))</f>
        <v/>
      </c>
      <c r="AA228" s="24">
        <f>IF($E228="","",IF(S228&lt;&gt;"",S228,IF(N(O228)&gt;0,IF(L228&lt;&gt;"",L228,99999),IFERROR(1/(1/_xlfn.MINIFS($AF$3:$IN$3,$AF$4:$IN$4,"SEW_ACT",$AF228:$IN228,"&gt;0")),99999))))</f>
        <v/>
      </c>
      <c r="AB228" s="26">
        <f>IF(OR($E228="",Z228=0,V228=""),"",1+COUNTIFS(Z$8:Z$707,"&gt;0",V$8:V$707,"&lt;"&amp;V228)+COUNTIFS(Z$8:Z$707,"&gt;0",V$8:V$707,V228,AA$8:AA$707,"&lt;"&amp;AA228)+COUNTIFS(Z$8:Z$707,"&gt;0",V$8:V$707,V228,AA$8:AA$707,AA228,E$8:E$707,"&lt;"&amp;$E228))</f>
        <v/>
      </c>
      <c r="AC228" s="24">
        <f>IF(OR($E228="",Z228=0),"",IFERROR(TODAY()+ROUNDUP(Z228/(SUMIFS($AF228:$IN228,$AF$4:$IN$4,"WASH_ACT")/COUNTIFS($AF$4:$IN$4,"WASH_ACT",$AF228:$IN228,"&gt;0")),0),"no output yet"))</f>
        <v/>
      </c>
      <c r="AD228" s="26">
        <f>IF($E228="","",IFERROR(ROUND(MAX(0,SUMIFS($AF228:$IN228,$AF$4:$IN$4,"SEW_PLAN",$AF$3:$IN$3,"&lt;="&amp;TODAY())-SUMIFS($AF228:$IN228,$AF$4:$IN$4,"SEW_ACT",$AF$3:$IN$3,"&lt;="&amp;TODAY())+N(Q228))/(SUMIFS($AF228:$IN228,$AF$4:$IN$4,"SEW_PLAN")/COUNTIFS($AF$4:$IN$4,"SEW_PLAN",$AF228:$IN228,"&gt;0")),1),0))</f>
        <v/>
      </c>
      <c r="AE228" s="26">
        <f>IF($E228="","",IF(AND(Z228&gt;0,OR(AND(M228&lt;&gt;"",TODAY()&gt;M228),AND(V228&lt;&gt;"",V228-TODAY()&lt;=7))),"Yes","No"))</f>
        <v/>
      </c>
      <c r="AH228">
        <f>IF(OR(AF$3="",AF$3&gt;TODAY()),"",IF(AND(AF228="",AG228=""),"",N(AG228)-N(AF228)))</f>
        <v/>
      </c>
      <c r="AK228">
        <f>IF(OR(AF$3="",AF$3&gt;TODAY()),"",IF(AND(AI228="",AJ228=""),"",N(AJ228)-N(AI228)))</f>
        <v/>
      </c>
      <c r="AO228">
        <f>IF(OR(AM$3="",AM$3&gt;TODAY()),"",IF(AND(AM228="",AN228=""),"",N(AN228)-N(AM228)))</f>
        <v/>
      </c>
      <c r="AR228">
        <f>IF(OR(AM$3="",AM$3&gt;TODAY()),"",IF(AND(AP228="",AQ228=""),"",N(AQ228)-N(AP228)))</f>
        <v/>
      </c>
      <c r="AV228">
        <f>IF(OR(AT$3="",AT$3&gt;TODAY()),"",IF(AND(AT228="",AU228=""),"",N(AU228)-N(AT228)))</f>
        <v/>
      </c>
      <c r="AY228">
        <f>IF(OR(AT$3="",AT$3&gt;TODAY()),"",IF(AND(AW228="",AX228=""),"",N(AX228)-N(AW228)))</f>
        <v/>
      </c>
      <c r="BC228">
        <f>IF(OR(BA$3="",BA$3&gt;TODAY()),"",IF(AND(BA228="",BB228=""),"",N(BB228)-N(BA228)))</f>
        <v/>
      </c>
      <c r="BF228">
        <f>IF(OR(BA$3="",BA$3&gt;TODAY()),"",IF(AND(BD228="",BE228=""),"",N(BE228)-N(BD228)))</f>
        <v/>
      </c>
      <c r="BJ228">
        <f>IF(OR(BH$3="",BH$3&gt;TODAY()),"",IF(AND(BH228="",BI228=""),"",N(BI228)-N(BH228)))</f>
        <v/>
      </c>
      <c r="BM228">
        <f>IF(OR(BH$3="",BH$3&gt;TODAY()),"",IF(AND(BK228="",BL228=""),"",N(BL228)-N(BK228)))</f>
        <v/>
      </c>
      <c r="BQ228">
        <f>IF(OR(BO$3="",BO$3&gt;TODAY()),"",IF(AND(BO228="",BP228=""),"",N(BP228)-N(BO228)))</f>
        <v/>
      </c>
      <c r="BT228">
        <f>IF(OR(BO$3="",BO$3&gt;TODAY()),"",IF(AND(BR228="",BS228=""),"",N(BS228)-N(BR228)))</f>
        <v/>
      </c>
      <c r="BX228">
        <f>IF(OR(BV$3="",BV$3&gt;TODAY()),"",IF(AND(BV228="",BW228=""),"",N(BW228)-N(BV228)))</f>
        <v/>
      </c>
      <c r="CA228">
        <f>IF(OR(BV$3="",BV$3&gt;TODAY()),"",IF(AND(BY228="",BZ228=""),"",N(BZ228)-N(BY228)))</f>
        <v/>
      </c>
      <c r="CE228">
        <f>IF(OR(CC$3="",CC$3&gt;TODAY()),"",IF(AND(CC228="",CD228=""),"",N(CD228)-N(CC228)))</f>
        <v/>
      </c>
      <c r="CH228">
        <f>IF(OR(CC$3="",CC$3&gt;TODAY()),"",IF(AND(CF228="",CG228=""),"",N(CG228)-N(CF228)))</f>
        <v/>
      </c>
      <c r="CL228">
        <f>IF(OR(CJ$3="",CJ$3&gt;TODAY()),"",IF(AND(CJ228="",CK228=""),"",N(CK228)-N(CJ228)))</f>
        <v/>
      </c>
      <c r="CO228">
        <f>IF(OR(CJ$3="",CJ$3&gt;TODAY()),"",IF(AND(CM228="",CN228=""),"",N(CN228)-N(CM228)))</f>
        <v/>
      </c>
      <c r="CS228">
        <f>IF(OR(CQ$3="",CQ$3&gt;TODAY()),"",IF(AND(CQ228="",CR228=""),"",N(CR228)-N(CQ228)))</f>
        <v/>
      </c>
      <c r="CV228">
        <f>IF(OR(CQ$3="",CQ$3&gt;TODAY()),"",IF(AND(CT228="",CU228=""),"",N(CU228)-N(CT228)))</f>
        <v/>
      </c>
      <c r="CZ228">
        <f>IF(OR(CX$3="",CX$3&gt;TODAY()),"",IF(AND(CX228="",CY228=""),"",N(CY228)-N(CX228)))</f>
        <v/>
      </c>
      <c r="DC228">
        <f>IF(OR(CX$3="",CX$3&gt;TODAY()),"",IF(AND(DA228="",DB228=""),"",N(DB228)-N(DA228)))</f>
        <v/>
      </c>
      <c r="DG228">
        <f>IF(OR(DE$3="",DE$3&gt;TODAY()),"",IF(AND(DE228="",DF228=""),"",N(DF228)-N(DE228)))</f>
        <v/>
      </c>
      <c r="DJ228">
        <f>IF(OR(DE$3="",DE$3&gt;TODAY()),"",IF(AND(DH228="",DI228=""),"",N(DI228)-N(DH228)))</f>
        <v/>
      </c>
      <c r="DN228">
        <f>IF(OR(DL$3="",DL$3&gt;TODAY()),"",IF(AND(DL228="",DM228=""),"",N(DM228)-N(DL228)))</f>
        <v/>
      </c>
      <c r="DQ228">
        <f>IF(OR(DL$3="",DL$3&gt;TODAY()),"",IF(AND(DO228="",DP228=""),"",N(DP228)-N(DO228)))</f>
        <v/>
      </c>
      <c r="DU228">
        <f>IF(OR(DS$3="",DS$3&gt;TODAY()),"",IF(AND(DS228="",DT228=""),"",N(DT228)-N(DS228)))</f>
        <v/>
      </c>
      <c r="DX228">
        <f>IF(OR(DS$3="",DS$3&gt;TODAY()),"",IF(AND(DV228="",DW228=""),"",N(DW228)-N(DV228)))</f>
        <v/>
      </c>
      <c r="EB228">
        <f>IF(OR(DZ$3="",DZ$3&gt;TODAY()),"",IF(AND(DZ228="",EA228=""),"",N(EA228)-N(DZ228)))</f>
        <v/>
      </c>
      <c r="EE228">
        <f>IF(OR(DZ$3="",DZ$3&gt;TODAY()),"",IF(AND(EC228="",ED228=""),"",N(ED228)-N(EC228)))</f>
        <v/>
      </c>
      <c r="EI228">
        <f>IF(OR(EG$3="",EG$3&gt;TODAY()),"",IF(AND(EG228="",EH228=""),"",N(EH228)-N(EG228)))</f>
        <v/>
      </c>
      <c r="EL228">
        <f>IF(OR(EG$3="",EG$3&gt;TODAY()),"",IF(AND(EJ228="",EK228=""),"",N(EK228)-N(EJ228)))</f>
        <v/>
      </c>
      <c r="EP228">
        <f>IF(OR(EN$3="",EN$3&gt;TODAY()),"",IF(AND(EN228="",EO228=""),"",N(EO228)-N(EN228)))</f>
        <v/>
      </c>
      <c r="ES228">
        <f>IF(OR(EN$3="",EN$3&gt;TODAY()),"",IF(AND(EQ228="",ER228=""),"",N(ER228)-N(EQ228)))</f>
        <v/>
      </c>
      <c r="EW228">
        <f>IF(OR(EU$3="",EU$3&gt;TODAY()),"",IF(AND(EU228="",EV228=""),"",N(EV228)-N(EU228)))</f>
        <v/>
      </c>
      <c r="EZ228">
        <f>IF(OR(EU$3="",EU$3&gt;TODAY()),"",IF(AND(EX228="",EY228=""),"",N(EY228)-N(EX228)))</f>
        <v/>
      </c>
      <c r="FD228">
        <f>IF(OR(FB$3="",FB$3&gt;TODAY()),"",IF(AND(FB228="",FC228=""),"",N(FC228)-N(FB228)))</f>
        <v/>
      </c>
      <c r="FG228">
        <f>IF(OR(FB$3="",FB$3&gt;TODAY()),"",IF(AND(FE228="",FF228=""),"",N(FF228)-N(FE228)))</f>
        <v/>
      </c>
      <c r="FK228">
        <f>IF(OR(FI$3="",FI$3&gt;TODAY()),"",IF(AND(FI228="",FJ228=""),"",N(FJ228)-N(FI228)))</f>
        <v/>
      </c>
      <c r="FN228">
        <f>IF(OR(FI$3="",FI$3&gt;TODAY()),"",IF(AND(FL228="",FM228=""),"",N(FM228)-N(FL228)))</f>
        <v/>
      </c>
      <c r="FR228">
        <f>IF(OR(FP$3="",FP$3&gt;TODAY()),"",IF(AND(FP228="",FQ228=""),"",N(FQ228)-N(FP228)))</f>
        <v/>
      </c>
      <c r="FU228">
        <f>IF(OR(FP$3="",FP$3&gt;TODAY()),"",IF(AND(FS228="",FT228=""),"",N(FT228)-N(FS228)))</f>
        <v/>
      </c>
      <c r="FY228">
        <f>IF(OR(FW$3="",FW$3&gt;TODAY()),"",IF(AND(FW228="",FX228=""),"",N(FX228)-N(FW228)))</f>
        <v/>
      </c>
      <c r="GB228">
        <f>IF(OR(FW$3="",FW$3&gt;TODAY()),"",IF(AND(FZ228="",GA228=""),"",N(GA228)-N(FZ228)))</f>
        <v/>
      </c>
      <c r="GF228">
        <f>IF(OR(GD$3="",GD$3&gt;TODAY()),"",IF(AND(GD228="",GE228=""),"",N(GE228)-N(GD228)))</f>
        <v/>
      </c>
      <c r="GI228">
        <f>IF(OR(GD$3="",GD$3&gt;TODAY()),"",IF(AND(GG228="",GH228=""),"",N(GH228)-N(GG228)))</f>
        <v/>
      </c>
      <c r="GM228">
        <f>IF(OR(GK$3="",GK$3&gt;TODAY()),"",IF(AND(GK228="",GL228=""),"",N(GL228)-N(GK228)))</f>
        <v/>
      </c>
      <c r="GP228">
        <f>IF(OR(GK$3="",GK$3&gt;TODAY()),"",IF(AND(GN228="",GO228=""),"",N(GO228)-N(GN228)))</f>
        <v/>
      </c>
      <c r="GT228">
        <f>IF(OR(GR$3="",GR$3&gt;TODAY()),"",IF(AND(GR228="",GS228=""),"",N(GS228)-N(GR228)))</f>
        <v/>
      </c>
      <c r="GW228">
        <f>IF(OR(GR$3="",GR$3&gt;TODAY()),"",IF(AND(GU228="",GV228=""),"",N(GV228)-N(GU228)))</f>
        <v/>
      </c>
      <c r="HA228">
        <f>IF(OR(GY$3="",GY$3&gt;TODAY()),"",IF(AND(GY228="",GZ228=""),"",N(GZ228)-N(GY228)))</f>
        <v/>
      </c>
      <c r="HD228">
        <f>IF(OR(GY$3="",GY$3&gt;TODAY()),"",IF(AND(HB228="",HC228=""),"",N(HC228)-N(HB228)))</f>
        <v/>
      </c>
      <c r="HH228">
        <f>IF(OR(HF$3="",HF$3&gt;TODAY()),"",IF(AND(HF228="",HG228=""),"",N(HG228)-N(HF228)))</f>
        <v/>
      </c>
      <c r="HK228">
        <f>IF(OR(HF$3="",HF$3&gt;TODAY()),"",IF(AND(HI228="",HJ228=""),"",N(HJ228)-N(HI228)))</f>
        <v/>
      </c>
      <c r="HO228">
        <f>IF(OR(HM$3="",HM$3&gt;TODAY()),"",IF(AND(HM228="",HN228=""),"",N(HN228)-N(HM228)))</f>
        <v/>
      </c>
      <c r="HR228">
        <f>IF(OR(HM$3="",HM$3&gt;TODAY()),"",IF(AND(HP228="",HQ228=""),"",N(HQ228)-N(HP228)))</f>
        <v/>
      </c>
      <c r="HV228">
        <f>IF(OR(HT$3="",HT$3&gt;TODAY()),"",IF(AND(HT228="",HU228=""),"",N(HU228)-N(HT228)))</f>
        <v/>
      </c>
      <c r="HY228">
        <f>IF(OR(HT$3="",HT$3&gt;TODAY()),"",IF(AND(HW228="",HX228=""),"",N(HX228)-N(HW228)))</f>
        <v/>
      </c>
      <c r="IC228">
        <f>IF(OR(IA$3="",IA$3&gt;TODAY()),"",IF(AND(IA228="",IB228=""),"",N(IB228)-N(IA228)))</f>
        <v/>
      </c>
      <c r="IF228">
        <f>IF(OR(IA$3="",IA$3&gt;TODAY()),"",IF(AND(ID228="",IE228=""),"",N(IE228)-N(ID228)))</f>
        <v/>
      </c>
      <c r="IJ228">
        <f>IF(OR(IH$3="",IH$3&gt;TODAY()),"",IF(AND(IH228="",II228=""),"",N(II228)-N(IH228)))</f>
        <v/>
      </c>
      <c r="IM228">
        <f>IF(OR(IH$3="",IH$3&gt;TODAY()),"",IF(AND(IK228="",IL228=""),"",N(IL228)-N(IK228)))</f>
        <v/>
      </c>
    </row>
    <row r="229">
      <c r="A229" s="21" t="n"/>
      <c r="B229" s="21" t="n"/>
      <c r="C229" s="21" t="n"/>
      <c r="D229" s="21" t="n"/>
      <c r="E229" s="21" t="n"/>
      <c r="F229" s="21" t="n"/>
      <c r="G229" s="21" t="n"/>
      <c r="H229" s="21" t="n"/>
      <c r="I229" s="22" t="n"/>
      <c r="J229" s="22" t="n"/>
      <c r="K229" s="23" t="n"/>
      <c r="L229" s="22" t="n"/>
      <c r="M229" s="22" t="n"/>
      <c r="N229" s="21" t="n"/>
      <c r="O229" s="23" t="n"/>
      <c r="P229" s="23" t="n"/>
      <c r="Q229" s="23" t="n"/>
      <c r="R229" s="23" t="n"/>
      <c r="S229" s="22" t="n"/>
      <c r="T229" s="23" t="n"/>
      <c r="U229" s="23" t="n"/>
      <c r="V229" s="24">
        <f>IF(J229&lt;&gt;"",J229,IF(I229&lt;&gt;"",I229,""))</f>
        <v/>
      </c>
      <c r="W229" s="25">
        <f>IF($E229="","",N(O229)+SUMIFS($AF229:$IN229,$AF$4:$IN$4,"SEW_ACT"))</f>
        <v/>
      </c>
      <c r="X229" s="25">
        <f>IF($E229="","",N(P229)+SUMIFS($AF229:$IN229,$AF$4:$IN$4,"WASH_ACT"))</f>
        <v/>
      </c>
      <c r="Y229" s="25">
        <f>IF($E229="","",W229-X229-N(T229)-N(U229))</f>
        <v/>
      </c>
      <c r="Z229" s="25">
        <f>IF($E229="","",IF(N(K229)-X229&lt;=0.02*N(K229),0,N(K229)-X229))</f>
        <v/>
      </c>
      <c r="AA229" s="24">
        <f>IF($E229="","",IF(S229&lt;&gt;"",S229,IF(N(O229)&gt;0,IF(L229&lt;&gt;"",L229,99999),IFERROR(1/(1/_xlfn.MINIFS($AF$3:$IN$3,$AF$4:$IN$4,"SEW_ACT",$AF229:$IN229,"&gt;0")),99999))))</f>
        <v/>
      </c>
      <c r="AB229" s="26">
        <f>IF(OR($E229="",Z229=0,V229=""),"",1+COUNTIFS(Z$8:Z$707,"&gt;0",V$8:V$707,"&lt;"&amp;V229)+COUNTIFS(Z$8:Z$707,"&gt;0",V$8:V$707,V229,AA$8:AA$707,"&lt;"&amp;AA229)+COUNTIFS(Z$8:Z$707,"&gt;0",V$8:V$707,V229,AA$8:AA$707,AA229,E$8:E$707,"&lt;"&amp;$E229))</f>
        <v/>
      </c>
      <c r="AC229" s="24">
        <f>IF(OR($E229="",Z229=0),"",IFERROR(TODAY()+ROUNDUP(Z229/(SUMIFS($AF229:$IN229,$AF$4:$IN$4,"WASH_ACT")/COUNTIFS($AF$4:$IN$4,"WASH_ACT",$AF229:$IN229,"&gt;0")),0),"no output yet"))</f>
        <v/>
      </c>
      <c r="AD229" s="26">
        <f>IF($E229="","",IFERROR(ROUND(MAX(0,SUMIFS($AF229:$IN229,$AF$4:$IN$4,"SEW_PLAN",$AF$3:$IN$3,"&lt;="&amp;TODAY())-SUMIFS($AF229:$IN229,$AF$4:$IN$4,"SEW_ACT",$AF$3:$IN$3,"&lt;="&amp;TODAY())+N(Q229))/(SUMIFS($AF229:$IN229,$AF$4:$IN$4,"SEW_PLAN")/COUNTIFS($AF$4:$IN$4,"SEW_PLAN",$AF229:$IN229,"&gt;0")),1),0))</f>
        <v/>
      </c>
      <c r="AE229" s="26">
        <f>IF($E229="","",IF(AND(Z229&gt;0,OR(AND(M229&lt;&gt;"",TODAY()&gt;M229),AND(V229&lt;&gt;"",V229-TODAY()&lt;=7))),"Yes","No"))</f>
        <v/>
      </c>
      <c r="AH229">
        <f>IF(OR(AF$3="",AF$3&gt;TODAY()),"",IF(AND(AF229="",AG229=""),"",N(AG229)-N(AF229)))</f>
        <v/>
      </c>
      <c r="AK229">
        <f>IF(OR(AF$3="",AF$3&gt;TODAY()),"",IF(AND(AI229="",AJ229=""),"",N(AJ229)-N(AI229)))</f>
        <v/>
      </c>
      <c r="AO229">
        <f>IF(OR(AM$3="",AM$3&gt;TODAY()),"",IF(AND(AM229="",AN229=""),"",N(AN229)-N(AM229)))</f>
        <v/>
      </c>
      <c r="AR229">
        <f>IF(OR(AM$3="",AM$3&gt;TODAY()),"",IF(AND(AP229="",AQ229=""),"",N(AQ229)-N(AP229)))</f>
        <v/>
      </c>
      <c r="AV229">
        <f>IF(OR(AT$3="",AT$3&gt;TODAY()),"",IF(AND(AT229="",AU229=""),"",N(AU229)-N(AT229)))</f>
        <v/>
      </c>
      <c r="AY229">
        <f>IF(OR(AT$3="",AT$3&gt;TODAY()),"",IF(AND(AW229="",AX229=""),"",N(AX229)-N(AW229)))</f>
        <v/>
      </c>
      <c r="BC229">
        <f>IF(OR(BA$3="",BA$3&gt;TODAY()),"",IF(AND(BA229="",BB229=""),"",N(BB229)-N(BA229)))</f>
        <v/>
      </c>
      <c r="BF229">
        <f>IF(OR(BA$3="",BA$3&gt;TODAY()),"",IF(AND(BD229="",BE229=""),"",N(BE229)-N(BD229)))</f>
        <v/>
      </c>
      <c r="BJ229">
        <f>IF(OR(BH$3="",BH$3&gt;TODAY()),"",IF(AND(BH229="",BI229=""),"",N(BI229)-N(BH229)))</f>
        <v/>
      </c>
      <c r="BM229">
        <f>IF(OR(BH$3="",BH$3&gt;TODAY()),"",IF(AND(BK229="",BL229=""),"",N(BL229)-N(BK229)))</f>
        <v/>
      </c>
      <c r="BQ229">
        <f>IF(OR(BO$3="",BO$3&gt;TODAY()),"",IF(AND(BO229="",BP229=""),"",N(BP229)-N(BO229)))</f>
        <v/>
      </c>
      <c r="BT229">
        <f>IF(OR(BO$3="",BO$3&gt;TODAY()),"",IF(AND(BR229="",BS229=""),"",N(BS229)-N(BR229)))</f>
        <v/>
      </c>
      <c r="BX229">
        <f>IF(OR(BV$3="",BV$3&gt;TODAY()),"",IF(AND(BV229="",BW229=""),"",N(BW229)-N(BV229)))</f>
        <v/>
      </c>
      <c r="CA229">
        <f>IF(OR(BV$3="",BV$3&gt;TODAY()),"",IF(AND(BY229="",BZ229=""),"",N(BZ229)-N(BY229)))</f>
        <v/>
      </c>
      <c r="CE229">
        <f>IF(OR(CC$3="",CC$3&gt;TODAY()),"",IF(AND(CC229="",CD229=""),"",N(CD229)-N(CC229)))</f>
        <v/>
      </c>
      <c r="CH229">
        <f>IF(OR(CC$3="",CC$3&gt;TODAY()),"",IF(AND(CF229="",CG229=""),"",N(CG229)-N(CF229)))</f>
        <v/>
      </c>
      <c r="CL229">
        <f>IF(OR(CJ$3="",CJ$3&gt;TODAY()),"",IF(AND(CJ229="",CK229=""),"",N(CK229)-N(CJ229)))</f>
        <v/>
      </c>
      <c r="CO229">
        <f>IF(OR(CJ$3="",CJ$3&gt;TODAY()),"",IF(AND(CM229="",CN229=""),"",N(CN229)-N(CM229)))</f>
        <v/>
      </c>
      <c r="CS229">
        <f>IF(OR(CQ$3="",CQ$3&gt;TODAY()),"",IF(AND(CQ229="",CR229=""),"",N(CR229)-N(CQ229)))</f>
        <v/>
      </c>
      <c r="CV229">
        <f>IF(OR(CQ$3="",CQ$3&gt;TODAY()),"",IF(AND(CT229="",CU229=""),"",N(CU229)-N(CT229)))</f>
        <v/>
      </c>
      <c r="CZ229">
        <f>IF(OR(CX$3="",CX$3&gt;TODAY()),"",IF(AND(CX229="",CY229=""),"",N(CY229)-N(CX229)))</f>
        <v/>
      </c>
      <c r="DC229">
        <f>IF(OR(CX$3="",CX$3&gt;TODAY()),"",IF(AND(DA229="",DB229=""),"",N(DB229)-N(DA229)))</f>
        <v/>
      </c>
      <c r="DG229">
        <f>IF(OR(DE$3="",DE$3&gt;TODAY()),"",IF(AND(DE229="",DF229=""),"",N(DF229)-N(DE229)))</f>
        <v/>
      </c>
      <c r="DJ229">
        <f>IF(OR(DE$3="",DE$3&gt;TODAY()),"",IF(AND(DH229="",DI229=""),"",N(DI229)-N(DH229)))</f>
        <v/>
      </c>
      <c r="DN229">
        <f>IF(OR(DL$3="",DL$3&gt;TODAY()),"",IF(AND(DL229="",DM229=""),"",N(DM229)-N(DL229)))</f>
        <v/>
      </c>
      <c r="DQ229">
        <f>IF(OR(DL$3="",DL$3&gt;TODAY()),"",IF(AND(DO229="",DP229=""),"",N(DP229)-N(DO229)))</f>
        <v/>
      </c>
      <c r="DU229">
        <f>IF(OR(DS$3="",DS$3&gt;TODAY()),"",IF(AND(DS229="",DT229=""),"",N(DT229)-N(DS229)))</f>
        <v/>
      </c>
      <c r="DX229">
        <f>IF(OR(DS$3="",DS$3&gt;TODAY()),"",IF(AND(DV229="",DW229=""),"",N(DW229)-N(DV229)))</f>
        <v/>
      </c>
      <c r="EB229">
        <f>IF(OR(DZ$3="",DZ$3&gt;TODAY()),"",IF(AND(DZ229="",EA229=""),"",N(EA229)-N(DZ229)))</f>
        <v/>
      </c>
      <c r="EE229">
        <f>IF(OR(DZ$3="",DZ$3&gt;TODAY()),"",IF(AND(EC229="",ED229=""),"",N(ED229)-N(EC229)))</f>
        <v/>
      </c>
      <c r="EI229">
        <f>IF(OR(EG$3="",EG$3&gt;TODAY()),"",IF(AND(EG229="",EH229=""),"",N(EH229)-N(EG229)))</f>
        <v/>
      </c>
      <c r="EL229">
        <f>IF(OR(EG$3="",EG$3&gt;TODAY()),"",IF(AND(EJ229="",EK229=""),"",N(EK229)-N(EJ229)))</f>
        <v/>
      </c>
      <c r="EP229">
        <f>IF(OR(EN$3="",EN$3&gt;TODAY()),"",IF(AND(EN229="",EO229=""),"",N(EO229)-N(EN229)))</f>
        <v/>
      </c>
      <c r="ES229">
        <f>IF(OR(EN$3="",EN$3&gt;TODAY()),"",IF(AND(EQ229="",ER229=""),"",N(ER229)-N(EQ229)))</f>
        <v/>
      </c>
      <c r="EW229">
        <f>IF(OR(EU$3="",EU$3&gt;TODAY()),"",IF(AND(EU229="",EV229=""),"",N(EV229)-N(EU229)))</f>
        <v/>
      </c>
      <c r="EZ229">
        <f>IF(OR(EU$3="",EU$3&gt;TODAY()),"",IF(AND(EX229="",EY229=""),"",N(EY229)-N(EX229)))</f>
        <v/>
      </c>
      <c r="FD229">
        <f>IF(OR(FB$3="",FB$3&gt;TODAY()),"",IF(AND(FB229="",FC229=""),"",N(FC229)-N(FB229)))</f>
        <v/>
      </c>
      <c r="FG229">
        <f>IF(OR(FB$3="",FB$3&gt;TODAY()),"",IF(AND(FE229="",FF229=""),"",N(FF229)-N(FE229)))</f>
        <v/>
      </c>
      <c r="FK229">
        <f>IF(OR(FI$3="",FI$3&gt;TODAY()),"",IF(AND(FI229="",FJ229=""),"",N(FJ229)-N(FI229)))</f>
        <v/>
      </c>
      <c r="FN229">
        <f>IF(OR(FI$3="",FI$3&gt;TODAY()),"",IF(AND(FL229="",FM229=""),"",N(FM229)-N(FL229)))</f>
        <v/>
      </c>
      <c r="FR229">
        <f>IF(OR(FP$3="",FP$3&gt;TODAY()),"",IF(AND(FP229="",FQ229=""),"",N(FQ229)-N(FP229)))</f>
        <v/>
      </c>
      <c r="FU229">
        <f>IF(OR(FP$3="",FP$3&gt;TODAY()),"",IF(AND(FS229="",FT229=""),"",N(FT229)-N(FS229)))</f>
        <v/>
      </c>
      <c r="FY229">
        <f>IF(OR(FW$3="",FW$3&gt;TODAY()),"",IF(AND(FW229="",FX229=""),"",N(FX229)-N(FW229)))</f>
        <v/>
      </c>
      <c r="GB229">
        <f>IF(OR(FW$3="",FW$3&gt;TODAY()),"",IF(AND(FZ229="",GA229=""),"",N(GA229)-N(FZ229)))</f>
        <v/>
      </c>
      <c r="GF229">
        <f>IF(OR(GD$3="",GD$3&gt;TODAY()),"",IF(AND(GD229="",GE229=""),"",N(GE229)-N(GD229)))</f>
        <v/>
      </c>
      <c r="GI229">
        <f>IF(OR(GD$3="",GD$3&gt;TODAY()),"",IF(AND(GG229="",GH229=""),"",N(GH229)-N(GG229)))</f>
        <v/>
      </c>
      <c r="GM229">
        <f>IF(OR(GK$3="",GK$3&gt;TODAY()),"",IF(AND(GK229="",GL229=""),"",N(GL229)-N(GK229)))</f>
        <v/>
      </c>
      <c r="GP229">
        <f>IF(OR(GK$3="",GK$3&gt;TODAY()),"",IF(AND(GN229="",GO229=""),"",N(GO229)-N(GN229)))</f>
        <v/>
      </c>
      <c r="GT229">
        <f>IF(OR(GR$3="",GR$3&gt;TODAY()),"",IF(AND(GR229="",GS229=""),"",N(GS229)-N(GR229)))</f>
        <v/>
      </c>
      <c r="GW229">
        <f>IF(OR(GR$3="",GR$3&gt;TODAY()),"",IF(AND(GU229="",GV229=""),"",N(GV229)-N(GU229)))</f>
        <v/>
      </c>
      <c r="HA229">
        <f>IF(OR(GY$3="",GY$3&gt;TODAY()),"",IF(AND(GY229="",GZ229=""),"",N(GZ229)-N(GY229)))</f>
        <v/>
      </c>
      <c r="HD229">
        <f>IF(OR(GY$3="",GY$3&gt;TODAY()),"",IF(AND(HB229="",HC229=""),"",N(HC229)-N(HB229)))</f>
        <v/>
      </c>
      <c r="HH229">
        <f>IF(OR(HF$3="",HF$3&gt;TODAY()),"",IF(AND(HF229="",HG229=""),"",N(HG229)-N(HF229)))</f>
        <v/>
      </c>
      <c r="HK229">
        <f>IF(OR(HF$3="",HF$3&gt;TODAY()),"",IF(AND(HI229="",HJ229=""),"",N(HJ229)-N(HI229)))</f>
        <v/>
      </c>
      <c r="HO229">
        <f>IF(OR(HM$3="",HM$3&gt;TODAY()),"",IF(AND(HM229="",HN229=""),"",N(HN229)-N(HM229)))</f>
        <v/>
      </c>
      <c r="HR229">
        <f>IF(OR(HM$3="",HM$3&gt;TODAY()),"",IF(AND(HP229="",HQ229=""),"",N(HQ229)-N(HP229)))</f>
        <v/>
      </c>
      <c r="HV229">
        <f>IF(OR(HT$3="",HT$3&gt;TODAY()),"",IF(AND(HT229="",HU229=""),"",N(HU229)-N(HT229)))</f>
        <v/>
      </c>
      <c r="HY229">
        <f>IF(OR(HT$3="",HT$3&gt;TODAY()),"",IF(AND(HW229="",HX229=""),"",N(HX229)-N(HW229)))</f>
        <v/>
      </c>
      <c r="IC229">
        <f>IF(OR(IA$3="",IA$3&gt;TODAY()),"",IF(AND(IA229="",IB229=""),"",N(IB229)-N(IA229)))</f>
        <v/>
      </c>
      <c r="IF229">
        <f>IF(OR(IA$3="",IA$3&gt;TODAY()),"",IF(AND(ID229="",IE229=""),"",N(IE229)-N(ID229)))</f>
        <v/>
      </c>
      <c r="IJ229">
        <f>IF(OR(IH$3="",IH$3&gt;TODAY()),"",IF(AND(IH229="",II229=""),"",N(II229)-N(IH229)))</f>
        <v/>
      </c>
      <c r="IM229">
        <f>IF(OR(IH$3="",IH$3&gt;TODAY()),"",IF(AND(IK229="",IL229=""),"",N(IL229)-N(IK229)))</f>
        <v/>
      </c>
    </row>
    <row r="230">
      <c r="A230" s="21" t="n"/>
      <c r="B230" s="21" t="n"/>
      <c r="C230" s="21" t="n"/>
      <c r="D230" s="21" t="n"/>
      <c r="E230" s="21" t="n"/>
      <c r="F230" s="21" t="n"/>
      <c r="G230" s="21" t="n"/>
      <c r="H230" s="21" t="n"/>
      <c r="I230" s="22" t="n"/>
      <c r="J230" s="22" t="n"/>
      <c r="K230" s="23" t="n"/>
      <c r="L230" s="22" t="n"/>
      <c r="M230" s="22" t="n"/>
      <c r="N230" s="21" t="n"/>
      <c r="O230" s="23" t="n"/>
      <c r="P230" s="23" t="n"/>
      <c r="Q230" s="23" t="n"/>
      <c r="R230" s="23" t="n"/>
      <c r="S230" s="22" t="n"/>
      <c r="T230" s="23" t="n"/>
      <c r="U230" s="23" t="n"/>
      <c r="V230" s="24">
        <f>IF(J230&lt;&gt;"",J230,IF(I230&lt;&gt;"",I230,""))</f>
        <v/>
      </c>
      <c r="W230" s="25">
        <f>IF($E230="","",N(O230)+SUMIFS($AF230:$IN230,$AF$4:$IN$4,"SEW_ACT"))</f>
        <v/>
      </c>
      <c r="X230" s="25">
        <f>IF($E230="","",N(P230)+SUMIFS($AF230:$IN230,$AF$4:$IN$4,"WASH_ACT"))</f>
        <v/>
      </c>
      <c r="Y230" s="25">
        <f>IF($E230="","",W230-X230-N(T230)-N(U230))</f>
        <v/>
      </c>
      <c r="Z230" s="25">
        <f>IF($E230="","",IF(N(K230)-X230&lt;=0.02*N(K230),0,N(K230)-X230))</f>
        <v/>
      </c>
      <c r="AA230" s="24">
        <f>IF($E230="","",IF(S230&lt;&gt;"",S230,IF(N(O230)&gt;0,IF(L230&lt;&gt;"",L230,99999),IFERROR(1/(1/_xlfn.MINIFS($AF$3:$IN$3,$AF$4:$IN$4,"SEW_ACT",$AF230:$IN230,"&gt;0")),99999))))</f>
        <v/>
      </c>
      <c r="AB230" s="26">
        <f>IF(OR($E230="",Z230=0,V230=""),"",1+COUNTIFS(Z$8:Z$707,"&gt;0",V$8:V$707,"&lt;"&amp;V230)+COUNTIFS(Z$8:Z$707,"&gt;0",V$8:V$707,V230,AA$8:AA$707,"&lt;"&amp;AA230)+COUNTIFS(Z$8:Z$707,"&gt;0",V$8:V$707,V230,AA$8:AA$707,AA230,E$8:E$707,"&lt;"&amp;$E230))</f>
        <v/>
      </c>
      <c r="AC230" s="24">
        <f>IF(OR($E230="",Z230=0),"",IFERROR(TODAY()+ROUNDUP(Z230/(SUMIFS($AF230:$IN230,$AF$4:$IN$4,"WASH_ACT")/COUNTIFS($AF$4:$IN$4,"WASH_ACT",$AF230:$IN230,"&gt;0")),0),"no output yet"))</f>
        <v/>
      </c>
      <c r="AD230" s="26">
        <f>IF($E230="","",IFERROR(ROUND(MAX(0,SUMIFS($AF230:$IN230,$AF$4:$IN$4,"SEW_PLAN",$AF$3:$IN$3,"&lt;="&amp;TODAY())-SUMIFS($AF230:$IN230,$AF$4:$IN$4,"SEW_ACT",$AF$3:$IN$3,"&lt;="&amp;TODAY())+N(Q230))/(SUMIFS($AF230:$IN230,$AF$4:$IN$4,"SEW_PLAN")/COUNTIFS($AF$4:$IN$4,"SEW_PLAN",$AF230:$IN230,"&gt;0")),1),0))</f>
        <v/>
      </c>
      <c r="AE230" s="26">
        <f>IF($E230="","",IF(AND(Z230&gt;0,OR(AND(M230&lt;&gt;"",TODAY()&gt;M230),AND(V230&lt;&gt;"",V230-TODAY()&lt;=7))),"Yes","No"))</f>
        <v/>
      </c>
      <c r="AH230">
        <f>IF(OR(AF$3="",AF$3&gt;TODAY()),"",IF(AND(AF230="",AG230=""),"",N(AG230)-N(AF230)))</f>
        <v/>
      </c>
      <c r="AK230">
        <f>IF(OR(AF$3="",AF$3&gt;TODAY()),"",IF(AND(AI230="",AJ230=""),"",N(AJ230)-N(AI230)))</f>
        <v/>
      </c>
      <c r="AO230">
        <f>IF(OR(AM$3="",AM$3&gt;TODAY()),"",IF(AND(AM230="",AN230=""),"",N(AN230)-N(AM230)))</f>
        <v/>
      </c>
      <c r="AR230">
        <f>IF(OR(AM$3="",AM$3&gt;TODAY()),"",IF(AND(AP230="",AQ230=""),"",N(AQ230)-N(AP230)))</f>
        <v/>
      </c>
      <c r="AV230">
        <f>IF(OR(AT$3="",AT$3&gt;TODAY()),"",IF(AND(AT230="",AU230=""),"",N(AU230)-N(AT230)))</f>
        <v/>
      </c>
      <c r="AY230">
        <f>IF(OR(AT$3="",AT$3&gt;TODAY()),"",IF(AND(AW230="",AX230=""),"",N(AX230)-N(AW230)))</f>
        <v/>
      </c>
      <c r="BC230">
        <f>IF(OR(BA$3="",BA$3&gt;TODAY()),"",IF(AND(BA230="",BB230=""),"",N(BB230)-N(BA230)))</f>
        <v/>
      </c>
      <c r="BF230">
        <f>IF(OR(BA$3="",BA$3&gt;TODAY()),"",IF(AND(BD230="",BE230=""),"",N(BE230)-N(BD230)))</f>
        <v/>
      </c>
      <c r="BJ230">
        <f>IF(OR(BH$3="",BH$3&gt;TODAY()),"",IF(AND(BH230="",BI230=""),"",N(BI230)-N(BH230)))</f>
        <v/>
      </c>
      <c r="BM230">
        <f>IF(OR(BH$3="",BH$3&gt;TODAY()),"",IF(AND(BK230="",BL230=""),"",N(BL230)-N(BK230)))</f>
        <v/>
      </c>
      <c r="BQ230">
        <f>IF(OR(BO$3="",BO$3&gt;TODAY()),"",IF(AND(BO230="",BP230=""),"",N(BP230)-N(BO230)))</f>
        <v/>
      </c>
      <c r="BT230">
        <f>IF(OR(BO$3="",BO$3&gt;TODAY()),"",IF(AND(BR230="",BS230=""),"",N(BS230)-N(BR230)))</f>
        <v/>
      </c>
      <c r="BX230">
        <f>IF(OR(BV$3="",BV$3&gt;TODAY()),"",IF(AND(BV230="",BW230=""),"",N(BW230)-N(BV230)))</f>
        <v/>
      </c>
      <c r="CA230">
        <f>IF(OR(BV$3="",BV$3&gt;TODAY()),"",IF(AND(BY230="",BZ230=""),"",N(BZ230)-N(BY230)))</f>
        <v/>
      </c>
      <c r="CE230">
        <f>IF(OR(CC$3="",CC$3&gt;TODAY()),"",IF(AND(CC230="",CD230=""),"",N(CD230)-N(CC230)))</f>
        <v/>
      </c>
      <c r="CH230">
        <f>IF(OR(CC$3="",CC$3&gt;TODAY()),"",IF(AND(CF230="",CG230=""),"",N(CG230)-N(CF230)))</f>
        <v/>
      </c>
      <c r="CL230">
        <f>IF(OR(CJ$3="",CJ$3&gt;TODAY()),"",IF(AND(CJ230="",CK230=""),"",N(CK230)-N(CJ230)))</f>
        <v/>
      </c>
      <c r="CO230">
        <f>IF(OR(CJ$3="",CJ$3&gt;TODAY()),"",IF(AND(CM230="",CN230=""),"",N(CN230)-N(CM230)))</f>
        <v/>
      </c>
      <c r="CS230">
        <f>IF(OR(CQ$3="",CQ$3&gt;TODAY()),"",IF(AND(CQ230="",CR230=""),"",N(CR230)-N(CQ230)))</f>
        <v/>
      </c>
      <c r="CV230">
        <f>IF(OR(CQ$3="",CQ$3&gt;TODAY()),"",IF(AND(CT230="",CU230=""),"",N(CU230)-N(CT230)))</f>
        <v/>
      </c>
      <c r="CZ230">
        <f>IF(OR(CX$3="",CX$3&gt;TODAY()),"",IF(AND(CX230="",CY230=""),"",N(CY230)-N(CX230)))</f>
        <v/>
      </c>
      <c r="DC230">
        <f>IF(OR(CX$3="",CX$3&gt;TODAY()),"",IF(AND(DA230="",DB230=""),"",N(DB230)-N(DA230)))</f>
        <v/>
      </c>
      <c r="DG230">
        <f>IF(OR(DE$3="",DE$3&gt;TODAY()),"",IF(AND(DE230="",DF230=""),"",N(DF230)-N(DE230)))</f>
        <v/>
      </c>
      <c r="DJ230">
        <f>IF(OR(DE$3="",DE$3&gt;TODAY()),"",IF(AND(DH230="",DI230=""),"",N(DI230)-N(DH230)))</f>
        <v/>
      </c>
      <c r="DN230">
        <f>IF(OR(DL$3="",DL$3&gt;TODAY()),"",IF(AND(DL230="",DM230=""),"",N(DM230)-N(DL230)))</f>
        <v/>
      </c>
      <c r="DQ230">
        <f>IF(OR(DL$3="",DL$3&gt;TODAY()),"",IF(AND(DO230="",DP230=""),"",N(DP230)-N(DO230)))</f>
        <v/>
      </c>
      <c r="DU230">
        <f>IF(OR(DS$3="",DS$3&gt;TODAY()),"",IF(AND(DS230="",DT230=""),"",N(DT230)-N(DS230)))</f>
        <v/>
      </c>
      <c r="DX230">
        <f>IF(OR(DS$3="",DS$3&gt;TODAY()),"",IF(AND(DV230="",DW230=""),"",N(DW230)-N(DV230)))</f>
        <v/>
      </c>
      <c r="EB230">
        <f>IF(OR(DZ$3="",DZ$3&gt;TODAY()),"",IF(AND(DZ230="",EA230=""),"",N(EA230)-N(DZ230)))</f>
        <v/>
      </c>
      <c r="EE230">
        <f>IF(OR(DZ$3="",DZ$3&gt;TODAY()),"",IF(AND(EC230="",ED230=""),"",N(ED230)-N(EC230)))</f>
        <v/>
      </c>
      <c r="EI230">
        <f>IF(OR(EG$3="",EG$3&gt;TODAY()),"",IF(AND(EG230="",EH230=""),"",N(EH230)-N(EG230)))</f>
        <v/>
      </c>
      <c r="EL230">
        <f>IF(OR(EG$3="",EG$3&gt;TODAY()),"",IF(AND(EJ230="",EK230=""),"",N(EK230)-N(EJ230)))</f>
        <v/>
      </c>
      <c r="EP230">
        <f>IF(OR(EN$3="",EN$3&gt;TODAY()),"",IF(AND(EN230="",EO230=""),"",N(EO230)-N(EN230)))</f>
        <v/>
      </c>
      <c r="ES230">
        <f>IF(OR(EN$3="",EN$3&gt;TODAY()),"",IF(AND(EQ230="",ER230=""),"",N(ER230)-N(EQ230)))</f>
        <v/>
      </c>
      <c r="EW230">
        <f>IF(OR(EU$3="",EU$3&gt;TODAY()),"",IF(AND(EU230="",EV230=""),"",N(EV230)-N(EU230)))</f>
        <v/>
      </c>
      <c r="EZ230">
        <f>IF(OR(EU$3="",EU$3&gt;TODAY()),"",IF(AND(EX230="",EY230=""),"",N(EY230)-N(EX230)))</f>
        <v/>
      </c>
      <c r="FD230">
        <f>IF(OR(FB$3="",FB$3&gt;TODAY()),"",IF(AND(FB230="",FC230=""),"",N(FC230)-N(FB230)))</f>
        <v/>
      </c>
      <c r="FG230">
        <f>IF(OR(FB$3="",FB$3&gt;TODAY()),"",IF(AND(FE230="",FF230=""),"",N(FF230)-N(FE230)))</f>
        <v/>
      </c>
      <c r="FK230">
        <f>IF(OR(FI$3="",FI$3&gt;TODAY()),"",IF(AND(FI230="",FJ230=""),"",N(FJ230)-N(FI230)))</f>
        <v/>
      </c>
      <c r="FN230">
        <f>IF(OR(FI$3="",FI$3&gt;TODAY()),"",IF(AND(FL230="",FM230=""),"",N(FM230)-N(FL230)))</f>
        <v/>
      </c>
      <c r="FR230">
        <f>IF(OR(FP$3="",FP$3&gt;TODAY()),"",IF(AND(FP230="",FQ230=""),"",N(FQ230)-N(FP230)))</f>
        <v/>
      </c>
      <c r="FU230">
        <f>IF(OR(FP$3="",FP$3&gt;TODAY()),"",IF(AND(FS230="",FT230=""),"",N(FT230)-N(FS230)))</f>
        <v/>
      </c>
      <c r="FY230">
        <f>IF(OR(FW$3="",FW$3&gt;TODAY()),"",IF(AND(FW230="",FX230=""),"",N(FX230)-N(FW230)))</f>
        <v/>
      </c>
      <c r="GB230">
        <f>IF(OR(FW$3="",FW$3&gt;TODAY()),"",IF(AND(FZ230="",GA230=""),"",N(GA230)-N(FZ230)))</f>
        <v/>
      </c>
      <c r="GF230">
        <f>IF(OR(GD$3="",GD$3&gt;TODAY()),"",IF(AND(GD230="",GE230=""),"",N(GE230)-N(GD230)))</f>
        <v/>
      </c>
      <c r="GI230">
        <f>IF(OR(GD$3="",GD$3&gt;TODAY()),"",IF(AND(GG230="",GH230=""),"",N(GH230)-N(GG230)))</f>
        <v/>
      </c>
      <c r="GM230">
        <f>IF(OR(GK$3="",GK$3&gt;TODAY()),"",IF(AND(GK230="",GL230=""),"",N(GL230)-N(GK230)))</f>
        <v/>
      </c>
      <c r="GP230">
        <f>IF(OR(GK$3="",GK$3&gt;TODAY()),"",IF(AND(GN230="",GO230=""),"",N(GO230)-N(GN230)))</f>
        <v/>
      </c>
      <c r="GT230">
        <f>IF(OR(GR$3="",GR$3&gt;TODAY()),"",IF(AND(GR230="",GS230=""),"",N(GS230)-N(GR230)))</f>
        <v/>
      </c>
      <c r="GW230">
        <f>IF(OR(GR$3="",GR$3&gt;TODAY()),"",IF(AND(GU230="",GV230=""),"",N(GV230)-N(GU230)))</f>
        <v/>
      </c>
      <c r="HA230">
        <f>IF(OR(GY$3="",GY$3&gt;TODAY()),"",IF(AND(GY230="",GZ230=""),"",N(GZ230)-N(GY230)))</f>
        <v/>
      </c>
      <c r="HD230">
        <f>IF(OR(GY$3="",GY$3&gt;TODAY()),"",IF(AND(HB230="",HC230=""),"",N(HC230)-N(HB230)))</f>
        <v/>
      </c>
      <c r="HH230">
        <f>IF(OR(HF$3="",HF$3&gt;TODAY()),"",IF(AND(HF230="",HG230=""),"",N(HG230)-N(HF230)))</f>
        <v/>
      </c>
      <c r="HK230">
        <f>IF(OR(HF$3="",HF$3&gt;TODAY()),"",IF(AND(HI230="",HJ230=""),"",N(HJ230)-N(HI230)))</f>
        <v/>
      </c>
      <c r="HO230">
        <f>IF(OR(HM$3="",HM$3&gt;TODAY()),"",IF(AND(HM230="",HN230=""),"",N(HN230)-N(HM230)))</f>
        <v/>
      </c>
      <c r="HR230">
        <f>IF(OR(HM$3="",HM$3&gt;TODAY()),"",IF(AND(HP230="",HQ230=""),"",N(HQ230)-N(HP230)))</f>
        <v/>
      </c>
      <c r="HV230">
        <f>IF(OR(HT$3="",HT$3&gt;TODAY()),"",IF(AND(HT230="",HU230=""),"",N(HU230)-N(HT230)))</f>
        <v/>
      </c>
      <c r="HY230">
        <f>IF(OR(HT$3="",HT$3&gt;TODAY()),"",IF(AND(HW230="",HX230=""),"",N(HX230)-N(HW230)))</f>
        <v/>
      </c>
      <c r="IC230">
        <f>IF(OR(IA$3="",IA$3&gt;TODAY()),"",IF(AND(IA230="",IB230=""),"",N(IB230)-N(IA230)))</f>
        <v/>
      </c>
      <c r="IF230">
        <f>IF(OR(IA$3="",IA$3&gt;TODAY()),"",IF(AND(ID230="",IE230=""),"",N(IE230)-N(ID230)))</f>
        <v/>
      </c>
      <c r="IJ230">
        <f>IF(OR(IH$3="",IH$3&gt;TODAY()),"",IF(AND(IH230="",II230=""),"",N(II230)-N(IH230)))</f>
        <v/>
      </c>
      <c r="IM230">
        <f>IF(OR(IH$3="",IH$3&gt;TODAY()),"",IF(AND(IK230="",IL230=""),"",N(IL230)-N(IK230)))</f>
        <v/>
      </c>
    </row>
    <row r="231">
      <c r="A231" s="21" t="n"/>
      <c r="B231" s="21" t="n"/>
      <c r="C231" s="21" t="n"/>
      <c r="D231" s="21" t="n"/>
      <c r="E231" s="21" t="n"/>
      <c r="F231" s="21" t="n"/>
      <c r="G231" s="21" t="n"/>
      <c r="H231" s="21" t="n"/>
      <c r="I231" s="22" t="n"/>
      <c r="J231" s="22" t="n"/>
      <c r="K231" s="23" t="n"/>
      <c r="L231" s="22" t="n"/>
      <c r="M231" s="22" t="n"/>
      <c r="N231" s="21" t="n"/>
      <c r="O231" s="23" t="n"/>
      <c r="P231" s="23" t="n"/>
      <c r="Q231" s="23" t="n"/>
      <c r="R231" s="23" t="n"/>
      <c r="S231" s="22" t="n"/>
      <c r="T231" s="23" t="n"/>
      <c r="U231" s="23" t="n"/>
      <c r="V231" s="24">
        <f>IF(J231&lt;&gt;"",J231,IF(I231&lt;&gt;"",I231,""))</f>
        <v/>
      </c>
      <c r="W231" s="25">
        <f>IF($E231="","",N(O231)+SUMIFS($AF231:$IN231,$AF$4:$IN$4,"SEW_ACT"))</f>
        <v/>
      </c>
      <c r="X231" s="25">
        <f>IF($E231="","",N(P231)+SUMIFS($AF231:$IN231,$AF$4:$IN$4,"WASH_ACT"))</f>
        <v/>
      </c>
      <c r="Y231" s="25">
        <f>IF($E231="","",W231-X231-N(T231)-N(U231))</f>
        <v/>
      </c>
      <c r="Z231" s="25">
        <f>IF($E231="","",IF(N(K231)-X231&lt;=0.02*N(K231),0,N(K231)-X231))</f>
        <v/>
      </c>
      <c r="AA231" s="24">
        <f>IF($E231="","",IF(S231&lt;&gt;"",S231,IF(N(O231)&gt;0,IF(L231&lt;&gt;"",L231,99999),IFERROR(1/(1/_xlfn.MINIFS($AF$3:$IN$3,$AF$4:$IN$4,"SEW_ACT",$AF231:$IN231,"&gt;0")),99999))))</f>
        <v/>
      </c>
      <c r="AB231" s="26">
        <f>IF(OR($E231="",Z231=0,V231=""),"",1+COUNTIFS(Z$8:Z$707,"&gt;0",V$8:V$707,"&lt;"&amp;V231)+COUNTIFS(Z$8:Z$707,"&gt;0",V$8:V$707,V231,AA$8:AA$707,"&lt;"&amp;AA231)+COUNTIFS(Z$8:Z$707,"&gt;0",V$8:V$707,V231,AA$8:AA$707,AA231,E$8:E$707,"&lt;"&amp;$E231))</f>
        <v/>
      </c>
      <c r="AC231" s="24">
        <f>IF(OR($E231="",Z231=0),"",IFERROR(TODAY()+ROUNDUP(Z231/(SUMIFS($AF231:$IN231,$AF$4:$IN$4,"WASH_ACT")/COUNTIFS($AF$4:$IN$4,"WASH_ACT",$AF231:$IN231,"&gt;0")),0),"no output yet"))</f>
        <v/>
      </c>
      <c r="AD231" s="26">
        <f>IF($E231="","",IFERROR(ROUND(MAX(0,SUMIFS($AF231:$IN231,$AF$4:$IN$4,"SEW_PLAN",$AF$3:$IN$3,"&lt;="&amp;TODAY())-SUMIFS($AF231:$IN231,$AF$4:$IN$4,"SEW_ACT",$AF$3:$IN$3,"&lt;="&amp;TODAY())+N(Q231))/(SUMIFS($AF231:$IN231,$AF$4:$IN$4,"SEW_PLAN")/COUNTIFS($AF$4:$IN$4,"SEW_PLAN",$AF231:$IN231,"&gt;0")),1),0))</f>
        <v/>
      </c>
      <c r="AE231" s="26">
        <f>IF($E231="","",IF(AND(Z231&gt;0,OR(AND(M231&lt;&gt;"",TODAY()&gt;M231),AND(V231&lt;&gt;"",V231-TODAY()&lt;=7))),"Yes","No"))</f>
        <v/>
      </c>
      <c r="AH231">
        <f>IF(OR(AF$3="",AF$3&gt;TODAY()),"",IF(AND(AF231="",AG231=""),"",N(AG231)-N(AF231)))</f>
        <v/>
      </c>
      <c r="AK231">
        <f>IF(OR(AF$3="",AF$3&gt;TODAY()),"",IF(AND(AI231="",AJ231=""),"",N(AJ231)-N(AI231)))</f>
        <v/>
      </c>
      <c r="AO231">
        <f>IF(OR(AM$3="",AM$3&gt;TODAY()),"",IF(AND(AM231="",AN231=""),"",N(AN231)-N(AM231)))</f>
        <v/>
      </c>
      <c r="AR231">
        <f>IF(OR(AM$3="",AM$3&gt;TODAY()),"",IF(AND(AP231="",AQ231=""),"",N(AQ231)-N(AP231)))</f>
        <v/>
      </c>
      <c r="AV231">
        <f>IF(OR(AT$3="",AT$3&gt;TODAY()),"",IF(AND(AT231="",AU231=""),"",N(AU231)-N(AT231)))</f>
        <v/>
      </c>
      <c r="AY231">
        <f>IF(OR(AT$3="",AT$3&gt;TODAY()),"",IF(AND(AW231="",AX231=""),"",N(AX231)-N(AW231)))</f>
        <v/>
      </c>
      <c r="BC231">
        <f>IF(OR(BA$3="",BA$3&gt;TODAY()),"",IF(AND(BA231="",BB231=""),"",N(BB231)-N(BA231)))</f>
        <v/>
      </c>
      <c r="BF231">
        <f>IF(OR(BA$3="",BA$3&gt;TODAY()),"",IF(AND(BD231="",BE231=""),"",N(BE231)-N(BD231)))</f>
        <v/>
      </c>
      <c r="BJ231">
        <f>IF(OR(BH$3="",BH$3&gt;TODAY()),"",IF(AND(BH231="",BI231=""),"",N(BI231)-N(BH231)))</f>
        <v/>
      </c>
      <c r="BM231">
        <f>IF(OR(BH$3="",BH$3&gt;TODAY()),"",IF(AND(BK231="",BL231=""),"",N(BL231)-N(BK231)))</f>
        <v/>
      </c>
      <c r="BQ231">
        <f>IF(OR(BO$3="",BO$3&gt;TODAY()),"",IF(AND(BO231="",BP231=""),"",N(BP231)-N(BO231)))</f>
        <v/>
      </c>
      <c r="BT231">
        <f>IF(OR(BO$3="",BO$3&gt;TODAY()),"",IF(AND(BR231="",BS231=""),"",N(BS231)-N(BR231)))</f>
        <v/>
      </c>
      <c r="BX231">
        <f>IF(OR(BV$3="",BV$3&gt;TODAY()),"",IF(AND(BV231="",BW231=""),"",N(BW231)-N(BV231)))</f>
        <v/>
      </c>
      <c r="CA231">
        <f>IF(OR(BV$3="",BV$3&gt;TODAY()),"",IF(AND(BY231="",BZ231=""),"",N(BZ231)-N(BY231)))</f>
        <v/>
      </c>
      <c r="CE231">
        <f>IF(OR(CC$3="",CC$3&gt;TODAY()),"",IF(AND(CC231="",CD231=""),"",N(CD231)-N(CC231)))</f>
        <v/>
      </c>
      <c r="CH231">
        <f>IF(OR(CC$3="",CC$3&gt;TODAY()),"",IF(AND(CF231="",CG231=""),"",N(CG231)-N(CF231)))</f>
        <v/>
      </c>
      <c r="CL231">
        <f>IF(OR(CJ$3="",CJ$3&gt;TODAY()),"",IF(AND(CJ231="",CK231=""),"",N(CK231)-N(CJ231)))</f>
        <v/>
      </c>
      <c r="CO231">
        <f>IF(OR(CJ$3="",CJ$3&gt;TODAY()),"",IF(AND(CM231="",CN231=""),"",N(CN231)-N(CM231)))</f>
        <v/>
      </c>
      <c r="CS231">
        <f>IF(OR(CQ$3="",CQ$3&gt;TODAY()),"",IF(AND(CQ231="",CR231=""),"",N(CR231)-N(CQ231)))</f>
        <v/>
      </c>
      <c r="CV231">
        <f>IF(OR(CQ$3="",CQ$3&gt;TODAY()),"",IF(AND(CT231="",CU231=""),"",N(CU231)-N(CT231)))</f>
        <v/>
      </c>
      <c r="CZ231">
        <f>IF(OR(CX$3="",CX$3&gt;TODAY()),"",IF(AND(CX231="",CY231=""),"",N(CY231)-N(CX231)))</f>
        <v/>
      </c>
      <c r="DC231">
        <f>IF(OR(CX$3="",CX$3&gt;TODAY()),"",IF(AND(DA231="",DB231=""),"",N(DB231)-N(DA231)))</f>
        <v/>
      </c>
      <c r="DG231">
        <f>IF(OR(DE$3="",DE$3&gt;TODAY()),"",IF(AND(DE231="",DF231=""),"",N(DF231)-N(DE231)))</f>
        <v/>
      </c>
      <c r="DJ231">
        <f>IF(OR(DE$3="",DE$3&gt;TODAY()),"",IF(AND(DH231="",DI231=""),"",N(DI231)-N(DH231)))</f>
        <v/>
      </c>
      <c r="DN231">
        <f>IF(OR(DL$3="",DL$3&gt;TODAY()),"",IF(AND(DL231="",DM231=""),"",N(DM231)-N(DL231)))</f>
        <v/>
      </c>
      <c r="DQ231">
        <f>IF(OR(DL$3="",DL$3&gt;TODAY()),"",IF(AND(DO231="",DP231=""),"",N(DP231)-N(DO231)))</f>
        <v/>
      </c>
      <c r="DU231">
        <f>IF(OR(DS$3="",DS$3&gt;TODAY()),"",IF(AND(DS231="",DT231=""),"",N(DT231)-N(DS231)))</f>
        <v/>
      </c>
      <c r="DX231">
        <f>IF(OR(DS$3="",DS$3&gt;TODAY()),"",IF(AND(DV231="",DW231=""),"",N(DW231)-N(DV231)))</f>
        <v/>
      </c>
      <c r="EB231">
        <f>IF(OR(DZ$3="",DZ$3&gt;TODAY()),"",IF(AND(DZ231="",EA231=""),"",N(EA231)-N(DZ231)))</f>
        <v/>
      </c>
      <c r="EE231">
        <f>IF(OR(DZ$3="",DZ$3&gt;TODAY()),"",IF(AND(EC231="",ED231=""),"",N(ED231)-N(EC231)))</f>
        <v/>
      </c>
      <c r="EI231">
        <f>IF(OR(EG$3="",EG$3&gt;TODAY()),"",IF(AND(EG231="",EH231=""),"",N(EH231)-N(EG231)))</f>
        <v/>
      </c>
      <c r="EL231">
        <f>IF(OR(EG$3="",EG$3&gt;TODAY()),"",IF(AND(EJ231="",EK231=""),"",N(EK231)-N(EJ231)))</f>
        <v/>
      </c>
      <c r="EP231">
        <f>IF(OR(EN$3="",EN$3&gt;TODAY()),"",IF(AND(EN231="",EO231=""),"",N(EO231)-N(EN231)))</f>
        <v/>
      </c>
      <c r="ES231">
        <f>IF(OR(EN$3="",EN$3&gt;TODAY()),"",IF(AND(EQ231="",ER231=""),"",N(ER231)-N(EQ231)))</f>
        <v/>
      </c>
      <c r="EW231">
        <f>IF(OR(EU$3="",EU$3&gt;TODAY()),"",IF(AND(EU231="",EV231=""),"",N(EV231)-N(EU231)))</f>
        <v/>
      </c>
      <c r="EZ231">
        <f>IF(OR(EU$3="",EU$3&gt;TODAY()),"",IF(AND(EX231="",EY231=""),"",N(EY231)-N(EX231)))</f>
        <v/>
      </c>
      <c r="FD231">
        <f>IF(OR(FB$3="",FB$3&gt;TODAY()),"",IF(AND(FB231="",FC231=""),"",N(FC231)-N(FB231)))</f>
        <v/>
      </c>
      <c r="FG231">
        <f>IF(OR(FB$3="",FB$3&gt;TODAY()),"",IF(AND(FE231="",FF231=""),"",N(FF231)-N(FE231)))</f>
        <v/>
      </c>
      <c r="FK231">
        <f>IF(OR(FI$3="",FI$3&gt;TODAY()),"",IF(AND(FI231="",FJ231=""),"",N(FJ231)-N(FI231)))</f>
        <v/>
      </c>
      <c r="FN231">
        <f>IF(OR(FI$3="",FI$3&gt;TODAY()),"",IF(AND(FL231="",FM231=""),"",N(FM231)-N(FL231)))</f>
        <v/>
      </c>
      <c r="FR231">
        <f>IF(OR(FP$3="",FP$3&gt;TODAY()),"",IF(AND(FP231="",FQ231=""),"",N(FQ231)-N(FP231)))</f>
        <v/>
      </c>
      <c r="FU231">
        <f>IF(OR(FP$3="",FP$3&gt;TODAY()),"",IF(AND(FS231="",FT231=""),"",N(FT231)-N(FS231)))</f>
        <v/>
      </c>
      <c r="FY231">
        <f>IF(OR(FW$3="",FW$3&gt;TODAY()),"",IF(AND(FW231="",FX231=""),"",N(FX231)-N(FW231)))</f>
        <v/>
      </c>
      <c r="GB231">
        <f>IF(OR(FW$3="",FW$3&gt;TODAY()),"",IF(AND(FZ231="",GA231=""),"",N(GA231)-N(FZ231)))</f>
        <v/>
      </c>
      <c r="GF231">
        <f>IF(OR(GD$3="",GD$3&gt;TODAY()),"",IF(AND(GD231="",GE231=""),"",N(GE231)-N(GD231)))</f>
        <v/>
      </c>
      <c r="GI231">
        <f>IF(OR(GD$3="",GD$3&gt;TODAY()),"",IF(AND(GG231="",GH231=""),"",N(GH231)-N(GG231)))</f>
        <v/>
      </c>
      <c r="GM231">
        <f>IF(OR(GK$3="",GK$3&gt;TODAY()),"",IF(AND(GK231="",GL231=""),"",N(GL231)-N(GK231)))</f>
        <v/>
      </c>
      <c r="GP231">
        <f>IF(OR(GK$3="",GK$3&gt;TODAY()),"",IF(AND(GN231="",GO231=""),"",N(GO231)-N(GN231)))</f>
        <v/>
      </c>
      <c r="GT231">
        <f>IF(OR(GR$3="",GR$3&gt;TODAY()),"",IF(AND(GR231="",GS231=""),"",N(GS231)-N(GR231)))</f>
        <v/>
      </c>
      <c r="GW231">
        <f>IF(OR(GR$3="",GR$3&gt;TODAY()),"",IF(AND(GU231="",GV231=""),"",N(GV231)-N(GU231)))</f>
        <v/>
      </c>
      <c r="HA231">
        <f>IF(OR(GY$3="",GY$3&gt;TODAY()),"",IF(AND(GY231="",GZ231=""),"",N(GZ231)-N(GY231)))</f>
        <v/>
      </c>
      <c r="HD231">
        <f>IF(OR(GY$3="",GY$3&gt;TODAY()),"",IF(AND(HB231="",HC231=""),"",N(HC231)-N(HB231)))</f>
        <v/>
      </c>
      <c r="HH231">
        <f>IF(OR(HF$3="",HF$3&gt;TODAY()),"",IF(AND(HF231="",HG231=""),"",N(HG231)-N(HF231)))</f>
        <v/>
      </c>
      <c r="HK231">
        <f>IF(OR(HF$3="",HF$3&gt;TODAY()),"",IF(AND(HI231="",HJ231=""),"",N(HJ231)-N(HI231)))</f>
        <v/>
      </c>
      <c r="HO231">
        <f>IF(OR(HM$3="",HM$3&gt;TODAY()),"",IF(AND(HM231="",HN231=""),"",N(HN231)-N(HM231)))</f>
        <v/>
      </c>
      <c r="HR231">
        <f>IF(OR(HM$3="",HM$3&gt;TODAY()),"",IF(AND(HP231="",HQ231=""),"",N(HQ231)-N(HP231)))</f>
        <v/>
      </c>
      <c r="HV231">
        <f>IF(OR(HT$3="",HT$3&gt;TODAY()),"",IF(AND(HT231="",HU231=""),"",N(HU231)-N(HT231)))</f>
        <v/>
      </c>
      <c r="HY231">
        <f>IF(OR(HT$3="",HT$3&gt;TODAY()),"",IF(AND(HW231="",HX231=""),"",N(HX231)-N(HW231)))</f>
        <v/>
      </c>
      <c r="IC231">
        <f>IF(OR(IA$3="",IA$3&gt;TODAY()),"",IF(AND(IA231="",IB231=""),"",N(IB231)-N(IA231)))</f>
        <v/>
      </c>
      <c r="IF231">
        <f>IF(OR(IA$3="",IA$3&gt;TODAY()),"",IF(AND(ID231="",IE231=""),"",N(IE231)-N(ID231)))</f>
        <v/>
      </c>
      <c r="IJ231">
        <f>IF(OR(IH$3="",IH$3&gt;TODAY()),"",IF(AND(IH231="",II231=""),"",N(II231)-N(IH231)))</f>
        <v/>
      </c>
      <c r="IM231">
        <f>IF(OR(IH$3="",IH$3&gt;TODAY()),"",IF(AND(IK231="",IL231=""),"",N(IL231)-N(IK231)))</f>
        <v/>
      </c>
    </row>
    <row r="232">
      <c r="A232" s="21" t="n"/>
      <c r="B232" s="21" t="n"/>
      <c r="C232" s="21" t="n"/>
      <c r="D232" s="21" t="n"/>
      <c r="E232" s="21" t="n"/>
      <c r="F232" s="21" t="n"/>
      <c r="G232" s="21" t="n"/>
      <c r="H232" s="21" t="n"/>
      <c r="I232" s="22" t="n"/>
      <c r="J232" s="22" t="n"/>
      <c r="K232" s="23" t="n"/>
      <c r="L232" s="22" t="n"/>
      <c r="M232" s="22" t="n"/>
      <c r="N232" s="21" t="n"/>
      <c r="O232" s="23" t="n"/>
      <c r="P232" s="23" t="n"/>
      <c r="Q232" s="23" t="n"/>
      <c r="R232" s="23" t="n"/>
      <c r="S232" s="22" t="n"/>
      <c r="T232" s="23" t="n"/>
      <c r="U232" s="23" t="n"/>
      <c r="V232" s="24">
        <f>IF(J232&lt;&gt;"",J232,IF(I232&lt;&gt;"",I232,""))</f>
        <v/>
      </c>
      <c r="W232" s="25">
        <f>IF($E232="","",N(O232)+SUMIFS($AF232:$IN232,$AF$4:$IN$4,"SEW_ACT"))</f>
        <v/>
      </c>
      <c r="X232" s="25">
        <f>IF($E232="","",N(P232)+SUMIFS($AF232:$IN232,$AF$4:$IN$4,"WASH_ACT"))</f>
        <v/>
      </c>
      <c r="Y232" s="25">
        <f>IF($E232="","",W232-X232-N(T232)-N(U232))</f>
        <v/>
      </c>
      <c r="Z232" s="25">
        <f>IF($E232="","",IF(N(K232)-X232&lt;=0.02*N(K232),0,N(K232)-X232))</f>
        <v/>
      </c>
      <c r="AA232" s="24">
        <f>IF($E232="","",IF(S232&lt;&gt;"",S232,IF(N(O232)&gt;0,IF(L232&lt;&gt;"",L232,99999),IFERROR(1/(1/_xlfn.MINIFS($AF$3:$IN$3,$AF$4:$IN$4,"SEW_ACT",$AF232:$IN232,"&gt;0")),99999))))</f>
        <v/>
      </c>
      <c r="AB232" s="26">
        <f>IF(OR($E232="",Z232=0,V232=""),"",1+COUNTIFS(Z$8:Z$707,"&gt;0",V$8:V$707,"&lt;"&amp;V232)+COUNTIFS(Z$8:Z$707,"&gt;0",V$8:V$707,V232,AA$8:AA$707,"&lt;"&amp;AA232)+COUNTIFS(Z$8:Z$707,"&gt;0",V$8:V$707,V232,AA$8:AA$707,AA232,E$8:E$707,"&lt;"&amp;$E232))</f>
        <v/>
      </c>
      <c r="AC232" s="24">
        <f>IF(OR($E232="",Z232=0),"",IFERROR(TODAY()+ROUNDUP(Z232/(SUMIFS($AF232:$IN232,$AF$4:$IN$4,"WASH_ACT")/COUNTIFS($AF$4:$IN$4,"WASH_ACT",$AF232:$IN232,"&gt;0")),0),"no output yet"))</f>
        <v/>
      </c>
      <c r="AD232" s="26">
        <f>IF($E232="","",IFERROR(ROUND(MAX(0,SUMIFS($AF232:$IN232,$AF$4:$IN$4,"SEW_PLAN",$AF$3:$IN$3,"&lt;="&amp;TODAY())-SUMIFS($AF232:$IN232,$AF$4:$IN$4,"SEW_ACT",$AF$3:$IN$3,"&lt;="&amp;TODAY())+N(Q232))/(SUMIFS($AF232:$IN232,$AF$4:$IN$4,"SEW_PLAN")/COUNTIFS($AF$4:$IN$4,"SEW_PLAN",$AF232:$IN232,"&gt;0")),1),0))</f>
        <v/>
      </c>
      <c r="AE232" s="26">
        <f>IF($E232="","",IF(AND(Z232&gt;0,OR(AND(M232&lt;&gt;"",TODAY()&gt;M232),AND(V232&lt;&gt;"",V232-TODAY()&lt;=7))),"Yes","No"))</f>
        <v/>
      </c>
      <c r="AH232">
        <f>IF(OR(AF$3="",AF$3&gt;TODAY()),"",IF(AND(AF232="",AG232=""),"",N(AG232)-N(AF232)))</f>
        <v/>
      </c>
      <c r="AK232">
        <f>IF(OR(AF$3="",AF$3&gt;TODAY()),"",IF(AND(AI232="",AJ232=""),"",N(AJ232)-N(AI232)))</f>
        <v/>
      </c>
      <c r="AO232">
        <f>IF(OR(AM$3="",AM$3&gt;TODAY()),"",IF(AND(AM232="",AN232=""),"",N(AN232)-N(AM232)))</f>
        <v/>
      </c>
      <c r="AR232">
        <f>IF(OR(AM$3="",AM$3&gt;TODAY()),"",IF(AND(AP232="",AQ232=""),"",N(AQ232)-N(AP232)))</f>
        <v/>
      </c>
      <c r="AV232">
        <f>IF(OR(AT$3="",AT$3&gt;TODAY()),"",IF(AND(AT232="",AU232=""),"",N(AU232)-N(AT232)))</f>
        <v/>
      </c>
      <c r="AY232">
        <f>IF(OR(AT$3="",AT$3&gt;TODAY()),"",IF(AND(AW232="",AX232=""),"",N(AX232)-N(AW232)))</f>
        <v/>
      </c>
      <c r="BC232">
        <f>IF(OR(BA$3="",BA$3&gt;TODAY()),"",IF(AND(BA232="",BB232=""),"",N(BB232)-N(BA232)))</f>
        <v/>
      </c>
      <c r="BF232">
        <f>IF(OR(BA$3="",BA$3&gt;TODAY()),"",IF(AND(BD232="",BE232=""),"",N(BE232)-N(BD232)))</f>
        <v/>
      </c>
      <c r="BJ232">
        <f>IF(OR(BH$3="",BH$3&gt;TODAY()),"",IF(AND(BH232="",BI232=""),"",N(BI232)-N(BH232)))</f>
        <v/>
      </c>
      <c r="BM232">
        <f>IF(OR(BH$3="",BH$3&gt;TODAY()),"",IF(AND(BK232="",BL232=""),"",N(BL232)-N(BK232)))</f>
        <v/>
      </c>
      <c r="BQ232">
        <f>IF(OR(BO$3="",BO$3&gt;TODAY()),"",IF(AND(BO232="",BP232=""),"",N(BP232)-N(BO232)))</f>
        <v/>
      </c>
      <c r="BT232">
        <f>IF(OR(BO$3="",BO$3&gt;TODAY()),"",IF(AND(BR232="",BS232=""),"",N(BS232)-N(BR232)))</f>
        <v/>
      </c>
      <c r="BX232">
        <f>IF(OR(BV$3="",BV$3&gt;TODAY()),"",IF(AND(BV232="",BW232=""),"",N(BW232)-N(BV232)))</f>
        <v/>
      </c>
      <c r="CA232">
        <f>IF(OR(BV$3="",BV$3&gt;TODAY()),"",IF(AND(BY232="",BZ232=""),"",N(BZ232)-N(BY232)))</f>
        <v/>
      </c>
      <c r="CE232">
        <f>IF(OR(CC$3="",CC$3&gt;TODAY()),"",IF(AND(CC232="",CD232=""),"",N(CD232)-N(CC232)))</f>
        <v/>
      </c>
      <c r="CH232">
        <f>IF(OR(CC$3="",CC$3&gt;TODAY()),"",IF(AND(CF232="",CG232=""),"",N(CG232)-N(CF232)))</f>
        <v/>
      </c>
      <c r="CL232">
        <f>IF(OR(CJ$3="",CJ$3&gt;TODAY()),"",IF(AND(CJ232="",CK232=""),"",N(CK232)-N(CJ232)))</f>
        <v/>
      </c>
      <c r="CO232">
        <f>IF(OR(CJ$3="",CJ$3&gt;TODAY()),"",IF(AND(CM232="",CN232=""),"",N(CN232)-N(CM232)))</f>
        <v/>
      </c>
      <c r="CS232">
        <f>IF(OR(CQ$3="",CQ$3&gt;TODAY()),"",IF(AND(CQ232="",CR232=""),"",N(CR232)-N(CQ232)))</f>
        <v/>
      </c>
      <c r="CV232">
        <f>IF(OR(CQ$3="",CQ$3&gt;TODAY()),"",IF(AND(CT232="",CU232=""),"",N(CU232)-N(CT232)))</f>
        <v/>
      </c>
      <c r="CZ232">
        <f>IF(OR(CX$3="",CX$3&gt;TODAY()),"",IF(AND(CX232="",CY232=""),"",N(CY232)-N(CX232)))</f>
        <v/>
      </c>
      <c r="DC232">
        <f>IF(OR(CX$3="",CX$3&gt;TODAY()),"",IF(AND(DA232="",DB232=""),"",N(DB232)-N(DA232)))</f>
        <v/>
      </c>
      <c r="DG232">
        <f>IF(OR(DE$3="",DE$3&gt;TODAY()),"",IF(AND(DE232="",DF232=""),"",N(DF232)-N(DE232)))</f>
        <v/>
      </c>
      <c r="DJ232">
        <f>IF(OR(DE$3="",DE$3&gt;TODAY()),"",IF(AND(DH232="",DI232=""),"",N(DI232)-N(DH232)))</f>
        <v/>
      </c>
      <c r="DN232">
        <f>IF(OR(DL$3="",DL$3&gt;TODAY()),"",IF(AND(DL232="",DM232=""),"",N(DM232)-N(DL232)))</f>
        <v/>
      </c>
      <c r="DQ232">
        <f>IF(OR(DL$3="",DL$3&gt;TODAY()),"",IF(AND(DO232="",DP232=""),"",N(DP232)-N(DO232)))</f>
        <v/>
      </c>
      <c r="DU232">
        <f>IF(OR(DS$3="",DS$3&gt;TODAY()),"",IF(AND(DS232="",DT232=""),"",N(DT232)-N(DS232)))</f>
        <v/>
      </c>
      <c r="DX232">
        <f>IF(OR(DS$3="",DS$3&gt;TODAY()),"",IF(AND(DV232="",DW232=""),"",N(DW232)-N(DV232)))</f>
        <v/>
      </c>
      <c r="EB232">
        <f>IF(OR(DZ$3="",DZ$3&gt;TODAY()),"",IF(AND(DZ232="",EA232=""),"",N(EA232)-N(DZ232)))</f>
        <v/>
      </c>
      <c r="EE232">
        <f>IF(OR(DZ$3="",DZ$3&gt;TODAY()),"",IF(AND(EC232="",ED232=""),"",N(ED232)-N(EC232)))</f>
        <v/>
      </c>
      <c r="EI232">
        <f>IF(OR(EG$3="",EG$3&gt;TODAY()),"",IF(AND(EG232="",EH232=""),"",N(EH232)-N(EG232)))</f>
        <v/>
      </c>
      <c r="EL232">
        <f>IF(OR(EG$3="",EG$3&gt;TODAY()),"",IF(AND(EJ232="",EK232=""),"",N(EK232)-N(EJ232)))</f>
        <v/>
      </c>
      <c r="EP232">
        <f>IF(OR(EN$3="",EN$3&gt;TODAY()),"",IF(AND(EN232="",EO232=""),"",N(EO232)-N(EN232)))</f>
        <v/>
      </c>
      <c r="ES232">
        <f>IF(OR(EN$3="",EN$3&gt;TODAY()),"",IF(AND(EQ232="",ER232=""),"",N(ER232)-N(EQ232)))</f>
        <v/>
      </c>
      <c r="EW232">
        <f>IF(OR(EU$3="",EU$3&gt;TODAY()),"",IF(AND(EU232="",EV232=""),"",N(EV232)-N(EU232)))</f>
        <v/>
      </c>
      <c r="EZ232">
        <f>IF(OR(EU$3="",EU$3&gt;TODAY()),"",IF(AND(EX232="",EY232=""),"",N(EY232)-N(EX232)))</f>
        <v/>
      </c>
      <c r="FD232">
        <f>IF(OR(FB$3="",FB$3&gt;TODAY()),"",IF(AND(FB232="",FC232=""),"",N(FC232)-N(FB232)))</f>
        <v/>
      </c>
      <c r="FG232">
        <f>IF(OR(FB$3="",FB$3&gt;TODAY()),"",IF(AND(FE232="",FF232=""),"",N(FF232)-N(FE232)))</f>
        <v/>
      </c>
      <c r="FK232">
        <f>IF(OR(FI$3="",FI$3&gt;TODAY()),"",IF(AND(FI232="",FJ232=""),"",N(FJ232)-N(FI232)))</f>
        <v/>
      </c>
      <c r="FN232">
        <f>IF(OR(FI$3="",FI$3&gt;TODAY()),"",IF(AND(FL232="",FM232=""),"",N(FM232)-N(FL232)))</f>
        <v/>
      </c>
      <c r="FR232">
        <f>IF(OR(FP$3="",FP$3&gt;TODAY()),"",IF(AND(FP232="",FQ232=""),"",N(FQ232)-N(FP232)))</f>
        <v/>
      </c>
      <c r="FU232">
        <f>IF(OR(FP$3="",FP$3&gt;TODAY()),"",IF(AND(FS232="",FT232=""),"",N(FT232)-N(FS232)))</f>
        <v/>
      </c>
      <c r="FY232">
        <f>IF(OR(FW$3="",FW$3&gt;TODAY()),"",IF(AND(FW232="",FX232=""),"",N(FX232)-N(FW232)))</f>
        <v/>
      </c>
      <c r="GB232">
        <f>IF(OR(FW$3="",FW$3&gt;TODAY()),"",IF(AND(FZ232="",GA232=""),"",N(GA232)-N(FZ232)))</f>
        <v/>
      </c>
      <c r="GF232">
        <f>IF(OR(GD$3="",GD$3&gt;TODAY()),"",IF(AND(GD232="",GE232=""),"",N(GE232)-N(GD232)))</f>
        <v/>
      </c>
      <c r="GI232">
        <f>IF(OR(GD$3="",GD$3&gt;TODAY()),"",IF(AND(GG232="",GH232=""),"",N(GH232)-N(GG232)))</f>
        <v/>
      </c>
      <c r="GM232">
        <f>IF(OR(GK$3="",GK$3&gt;TODAY()),"",IF(AND(GK232="",GL232=""),"",N(GL232)-N(GK232)))</f>
        <v/>
      </c>
      <c r="GP232">
        <f>IF(OR(GK$3="",GK$3&gt;TODAY()),"",IF(AND(GN232="",GO232=""),"",N(GO232)-N(GN232)))</f>
        <v/>
      </c>
      <c r="GT232">
        <f>IF(OR(GR$3="",GR$3&gt;TODAY()),"",IF(AND(GR232="",GS232=""),"",N(GS232)-N(GR232)))</f>
        <v/>
      </c>
      <c r="GW232">
        <f>IF(OR(GR$3="",GR$3&gt;TODAY()),"",IF(AND(GU232="",GV232=""),"",N(GV232)-N(GU232)))</f>
        <v/>
      </c>
      <c r="HA232">
        <f>IF(OR(GY$3="",GY$3&gt;TODAY()),"",IF(AND(GY232="",GZ232=""),"",N(GZ232)-N(GY232)))</f>
        <v/>
      </c>
      <c r="HD232">
        <f>IF(OR(GY$3="",GY$3&gt;TODAY()),"",IF(AND(HB232="",HC232=""),"",N(HC232)-N(HB232)))</f>
        <v/>
      </c>
      <c r="HH232">
        <f>IF(OR(HF$3="",HF$3&gt;TODAY()),"",IF(AND(HF232="",HG232=""),"",N(HG232)-N(HF232)))</f>
        <v/>
      </c>
      <c r="HK232">
        <f>IF(OR(HF$3="",HF$3&gt;TODAY()),"",IF(AND(HI232="",HJ232=""),"",N(HJ232)-N(HI232)))</f>
        <v/>
      </c>
      <c r="HO232">
        <f>IF(OR(HM$3="",HM$3&gt;TODAY()),"",IF(AND(HM232="",HN232=""),"",N(HN232)-N(HM232)))</f>
        <v/>
      </c>
      <c r="HR232">
        <f>IF(OR(HM$3="",HM$3&gt;TODAY()),"",IF(AND(HP232="",HQ232=""),"",N(HQ232)-N(HP232)))</f>
        <v/>
      </c>
      <c r="HV232">
        <f>IF(OR(HT$3="",HT$3&gt;TODAY()),"",IF(AND(HT232="",HU232=""),"",N(HU232)-N(HT232)))</f>
        <v/>
      </c>
      <c r="HY232">
        <f>IF(OR(HT$3="",HT$3&gt;TODAY()),"",IF(AND(HW232="",HX232=""),"",N(HX232)-N(HW232)))</f>
        <v/>
      </c>
      <c r="IC232">
        <f>IF(OR(IA$3="",IA$3&gt;TODAY()),"",IF(AND(IA232="",IB232=""),"",N(IB232)-N(IA232)))</f>
        <v/>
      </c>
      <c r="IF232">
        <f>IF(OR(IA$3="",IA$3&gt;TODAY()),"",IF(AND(ID232="",IE232=""),"",N(IE232)-N(ID232)))</f>
        <v/>
      </c>
      <c r="IJ232">
        <f>IF(OR(IH$3="",IH$3&gt;TODAY()),"",IF(AND(IH232="",II232=""),"",N(II232)-N(IH232)))</f>
        <v/>
      </c>
      <c r="IM232">
        <f>IF(OR(IH$3="",IH$3&gt;TODAY()),"",IF(AND(IK232="",IL232=""),"",N(IL232)-N(IK232)))</f>
        <v/>
      </c>
    </row>
    <row r="233">
      <c r="A233" s="21" t="n"/>
      <c r="B233" s="21" t="n"/>
      <c r="C233" s="21" t="n"/>
      <c r="D233" s="21" t="n"/>
      <c r="E233" s="21" t="n"/>
      <c r="F233" s="21" t="n"/>
      <c r="G233" s="21" t="n"/>
      <c r="H233" s="21" t="n"/>
      <c r="I233" s="22" t="n"/>
      <c r="J233" s="22" t="n"/>
      <c r="K233" s="23" t="n"/>
      <c r="L233" s="22" t="n"/>
      <c r="M233" s="22" t="n"/>
      <c r="N233" s="21" t="n"/>
      <c r="O233" s="23" t="n"/>
      <c r="P233" s="23" t="n"/>
      <c r="Q233" s="23" t="n"/>
      <c r="R233" s="23" t="n"/>
      <c r="S233" s="22" t="n"/>
      <c r="T233" s="23" t="n"/>
      <c r="U233" s="23" t="n"/>
      <c r="V233" s="24">
        <f>IF(J233&lt;&gt;"",J233,IF(I233&lt;&gt;"",I233,""))</f>
        <v/>
      </c>
      <c r="W233" s="25">
        <f>IF($E233="","",N(O233)+SUMIFS($AF233:$IN233,$AF$4:$IN$4,"SEW_ACT"))</f>
        <v/>
      </c>
      <c r="X233" s="25">
        <f>IF($E233="","",N(P233)+SUMIFS($AF233:$IN233,$AF$4:$IN$4,"WASH_ACT"))</f>
        <v/>
      </c>
      <c r="Y233" s="25">
        <f>IF($E233="","",W233-X233-N(T233)-N(U233))</f>
        <v/>
      </c>
      <c r="Z233" s="25">
        <f>IF($E233="","",IF(N(K233)-X233&lt;=0.02*N(K233),0,N(K233)-X233))</f>
        <v/>
      </c>
      <c r="AA233" s="24">
        <f>IF($E233="","",IF(S233&lt;&gt;"",S233,IF(N(O233)&gt;0,IF(L233&lt;&gt;"",L233,99999),IFERROR(1/(1/_xlfn.MINIFS($AF$3:$IN$3,$AF$4:$IN$4,"SEW_ACT",$AF233:$IN233,"&gt;0")),99999))))</f>
        <v/>
      </c>
      <c r="AB233" s="26">
        <f>IF(OR($E233="",Z233=0,V233=""),"",1+COUNTIFS(Z$8:Z$707,"&gt;0",V$8:V$707,"&lt;"&amp;V233)+COUNTIFS(Z$8:Z$707,"&gt;0",V$8:V$707,V233,AA$8:AA$707,"&lt;"&amp;AA233)+COUNTIFS(Z$8:Z$707,"&gt;0",V$8:V$707,V233,AA$8:AA$707,AA233,E$8:E$707,"&lt;"&amp;$E233))</f>
        <v/>
      </c>
      <c r="AC233" s="24">
        <f>IF(OR($E233="",Z233=0),"",IFERROR(TODAY()+ROUNDUP(Z233/(SUMIFS($AF233:$IN233,$AF$4:$IN$4,"WASH_ACT")/COUNTIFS($AF$4:$IN$4,"WASH_ACT",$AF233:$IN233,"&gt;0")),0),"no output yet"))</f>
        <v/>
      </c>
      <c r="AD233" s="26">
        <f>IF($E233="","",IFERROR(ROUND(MAX(0,SUMIFS($AF233:$IN233,$AF$4:$IN$4,"SEW_PLAN",$AF$3:$IN$3,"&lt;="&amp;TODAY())-SUMIFS($AF233:$IN233,$AF$4:$IN$4,"SEW_ACT",$AF$3:$IN$3,"&lt;="&amp;TODAY())+N(Q233))/(SUMIFS($AF233:$IN233,$AF$4:$IN$4,"SEW_PLAN")/COUNTIFS($AF$4:$IN$4,"SEW_PLAN",$AF233:$IN233,"&gt;0")),1),0))</f>
        <v/>
      </c>
      <c r="AE233" s="26">
        <f>IF($E233="","",IF(AND(Z233&gt;0,OR(AND(M233&lt;&gt;"",TODAY()&gt;M233),AND(V233&lt;&gt;"",V233-TODAY()&lt;=7))),"Yes","No"))</f>
        <v/>
      </c>
      <c r="AH233">
        <f>IF(OR(AF$3="",AF$3&gt;TODAY()),"",IF(AND(AF233="",AG233=""),"",N(AG233)-N(AF233)))</f>
        <v/>
      </c>
      <c r="AK233">
        <f>IF(OR(AF$3="",AF$3&gt;TODAY()),"",IF(AND(AI233="",AJ233=""),"",N(AJ233)-N(AI233)))</f>
        <v/>
      </c>
      <c r="AO233">
        <f>IF(OR(AM$3="",AM$3&gt;TODAY()),"",IF(AND(AM233="",AN233=""),"",N(AN233)-N(AM233)))</f>
        <v/>
      </c>
      <c r="AR233">
        <f>IF(OR(AM$3="",AM$3&gt;TODAY()),"",IF(AND(AP233="",AQ233=""),"",N(AQ233)-N(AP233)))</f>
        <v/>
      </c>
      <c r="AV233">
        <f>IF(OR(AT$3="",AT$3&gt;TODAY()),"",IF(AND(AT233="",AU233=""),"",N(AU233)-N(AT233)))</f>
        <v/>
      </c>
      <c r="AY233">
        <f>IF(OR(AT$3="",AT$3&gt;TODAY()),"",IF(AND(AW233="",AX233=""),"",N(AX233)-N(AW233)))</f>
        <v/>
      </c>
      <c r="BC233">
        <f>IF(OR(BA$3="",BA$3&gt;TODAY()),"",IF(AND(BA233="",BB233=""),"",N(BB233)-N(BA233)))</f>
        <v/>
      </c>
      <c r="BF233">
        <f>IF(OR(BA$3="",BA$3&gt;TODAY()),"",IF(AND(BD233="",BE233=""),"",N(BE233)-N(BD233)))</f>
        <v/>
      </c>
      <c r="BJ233">
        <f>IF(OR(BH$3="",BH$3&gt;TODAY()),"",IF(AND(BH233="",BI233=""),"",N(BI233)-N(BH233)))</f>
        <v/>
      </c>
      <c r="BM233">
        <f>IF(OR(BH$3="",BH$3&gt;TODAY()),"",IF(AND(BK233="",BL233=""),"",N(BL233)-N(BK233)))</f>
        <v/>
      </c>
      <c r="BQ233">
        <f>IF(OR(BO$3="",BO$3&gt;TODAY()),"",IF(AND(BO233="",BP233=""),"",N(BP233)-N(BO233)))</f>
        <v/>
      </c>
      <c r="BT233">
        <f>IF(OR(BO$3="",BO$3&gt;TODAY()),"",IF(AND(BR233="",BS233=""),"",N(BS233)-N(BR233)))</f>
        <v/>
      </c>
      <c r="BX233">
        <f>IF(OR(BV$3="",BV$3&gt;TODAY()),"",IF(AND(BV233="",BW233=""),"",N(BW233)-N(BV233)))</f>
        <v/>
      </c>
      <c r="CA233">
        <f>IF(OR(BV$3="",BV$3&gt;TODAY()),"",IF(AND(BY233="",BZ233=""),"",N(BZ233)-N(BY233)))</f>
        <v/>
      </c>
      <c r="CE233">
        <f>IF(OR(CC$3="",CC$3&gt;TODAY()),"",IF(AND(CC233="",CD233=""),"",N(CD233)-N(CC233)))</f>
        <v/>
      </c>
      <c r="CH233">
        <f>IF(OR(CC$3="",CC$3&gt;TODAY()),"",IF(AND(CF233="",CG233=""),"",N(CG233)-N(CF233)))</f>
        <v/>
      </c>
      <c r="CL233">
        <f>IF(OR(CJ$3="",CJ$3&gt;TODAY()),"",IF(AND(CJ233="",CK233=""),"",N(CK233)-N(CJ233)))</f>
        <v/>
      </c>
      <c r="CO233">
        <f>IF(OR(CJ$3="",CJ$3&gt;TODAY()),"",IF(AND(CM233="",CN233=""),"",N(CN233)-N(CM233)))</f>
        <v/>
      </c>
      <c r="CS233">
        <f>IF(OR(CQ$3="",CQ$3&gt;TODAY()),"",IF(AND(CQ233="",CR233=""),"",N(CR233)-N(CQ233)))</f>
        <v/>
      </c>
      <c r="CV233">
        <f>IF(OR(CQ$3="",CQ$3&gt;TODAY()),"",IF(AND(CT233="",CU233=""),"",N(CU233)-N(CT233)))</f>
        <v/>
      </c>
      <c r="CZ233">
        <f>IF(OR(CX$3="",CX$3&gt;TODAY()),"",IF(AND(CX233="",CY233=""),"",N(CY233)-N(CX233)))</f>
        <v/>
      </c>
      <c r="DC233">
        <f>IF(OR(CX$3="",CX$3&gt;TODAY()),"",IF(AND(DA233="",DB233=""),"",N(DB233)-N(DA233)))</f>
        <v/>
      </c>
      <c r="DG233">
        <f>IF(OR(DE$3="",DE$3&gt;TODAY()),"",IF(AND(DE233="",DF233=""),"",N(DF233)-N(DE233)))</f>
        <v/>
      </c>
      <c r="DJ233">
        <f>IF(OR(DE$3="",DE$3&gt;TODAY()),"",IF(AND(DH233="",DI233=""),"",N(DI233)-N(DH233)))</f>
        <v/>
      </c>
      <c r="DN233">
        <f>IF(OR(DL$3="",DL$3&gt;TODAY()),"",IF(AND(DL233="",DM233=""),"",N(DM233)-N(DL233)))</f>
        <v/>
      </c>
      <c r="DQ233">
        <f>IF(OR(DL$3="",DL$3&gt;TODAY()),"",IF(AND(DO233="",DP233=""),"",N(DP233)-N(DO233)))</f>
        <v/>
      </c>
      <c r="DU233">
        <f>IF(OR(DS$3="",DS$3&gt;TODAY()),"",IF(AND(DS233="",DT233=""),"",N(DT233)-N(DS233)))</f>
        <v/>
      </c>
      <c r="DX233">
        <f>IF(OR(DS$3="",DS$3&gt;TODAY()),"",IF(AND(DV233="",DW233=""),"",N(DW233)-N(DV233)))</f>
        <v/>
      </c>
      <c r="EB233">
        <f>IF(OR(DZ$3="",DZ$3&gt;TODAY()),"",IF(AND(DZ233="",EA233=""),"",N(EA233)-N(DZ233)))</f>
        <v/>
      </c>
      <c r="EE233">
        <f>IF(OR(DZ$3="",DZ$3&gt;TODAY()),"",IF(AND(EC233="",ED233=""),"",N(ED233)-N(EC233)))</f>
        <v/>
      </c>
      <c r="EI233">
        <f>IF(OR(EG$3="",EG$3&gt;TODAY()),"",IF(AND(EG233="",EH233=""),"",N(EH233)-N(EG233)))</f>
        <v/>
      </c>
      <c r="EL233">
        <f>IF(OR(EG$3="",EG$3&gt;TODAY()),"",IF(AND(EJ233="",EK233=""),"",N(EK233)-N(EJ233)))</f>
        <v/>
      </c>
      <c r="EP233">
        <f>IF(OR(EN$3="",EN$3&gt;TODAY()),"",IF(AND(EN233="",EO233=""),"",N(EO233)-N(EN233)))</f>
        <v/>
      </c>
      <c r="ES233">
        <f>IF(OR(EN$3="",EN$3&gt;TODAY()),"",IF(AND(EQ233="",ER233=""),"",N(ER233)-N(EQ233)))</f>
        <v/>
      </c>
      <c r="EW233">
        <f>IF(OR(EU$3="",EU$3&gt;TODAY()),"",IF(AND(EU233="",EV233=""),"",N(EV233)-N(EU233)))</f>
        <v/>
      </c>
      <c r="EZ233">
        <f>IF(OR(EU$3="",EU$3&gt;TODAY()),"",IF(AND(EX233="",EY233=""),"",N(EY233)-N(EX233)))</f>
        <v/>
      </c>
      <c r="FD233">
        <f>IF(OR(FB$3="",FB$3&gt;TODAY()),"",IF(AND(FB233="",FC233=""),"",N(FC233)-N(FB233)))</f>
        <v/>
      </c>
      <c r="FG233">
        <f>IF(OR(FB$3="",FB$3&gt;TODAY()),"",IF(AND(FE233="",FF233=""),"",N(FF233)-N(FE233)))</f>
        <v/>
      </c>
      <c r="FK233">
        <f>IF(OR(FI$3="",FI$3&gt;TODAY()),"",IF(AND(FI233="",FJ233=""),"",N(FJ233)-N(FI233)))</f>
        <v/>
      </c>
      <c r="FN233">
        <f>IF(OR(FI$3="",FI$3&gt;TODAY()),"",IF(AND(FL233="",FM233=""),"",N(FM233)-N(FL233)))</f>
        <v/>
      </c>
      <c r="FR233">
        <f>IF(OR(FP$3="",FP$3&gt;TODAY()),"",IF(AND(FP233="",FQ233=""),"",N(FQ233)-N(FP233)))</f>
        <v/>
      </c>
      <c r="FU233">
        <f>IF(OR(FP$3="",FP$3&gt;TODAY()),"",IF(AND(FS233="",FT233=""),"",N(FT233)-N(FS233)))</f>
        <v/>
      </c>
      <c r="FY233">
        <f>IF(OR(FW$3="",FW$3&gt;TODAY()),"",IF(AND(FW233="",FX233=""),"",N(FX233)-N(FW233)))</f>
        <v/>
      </c>
      <c r="GB233">
        <f>IF(OR(FW$3="",FW$3&gt;TODAY()),"",IF(AND(FZ233="",GA233=""),"",N(GA233)-N(FZ233)))</f>
        <v/>
      </c>
      <c r="GF233">
        <f>IF(OR(GD$3="",GD$3&gt;TODAY()),"",IF(AND(GD233="",GE233=""),"",N(GE233)-N(GD233)))</f>
        <v/>
      </c>
      <c r="GI233">
        <f>IF(OR(GD$3="",GD$3&gt;TODAY()),"",IF(AND(GG233="",GH233=""),"",N(GH233)-N(GG233)))</f>
        <v/>
      </c>
      <c r="GM233">
        <f>IF(OR(GK$3="",GK$3&gt;TODAY()),"",IF(AND(GK233="",GL233=""),"",N(GL233)-N(GK233)))</f>
        <v/>
      </c>
      <c r="GP233">
        <f>IF(OR(GK$3="",GK$3&gt;TODAY()),"",IF(AND(GN233="",GO233=""),"",N(GO233)-N(GN233)))</f>
        <v/>
      </c>
      <c r="GT233">
        <f>IF(OR(GR$3="",GR$3&gt;TODAY()),"",IF(AND(GR233="",GS233=""),"",N(GS233)-N(GR233)))</f>
        <v/>
      </c>
      <c r="GW233">
        <f>IF(OR(GR$3="",GR$3&gt;TODAY()),"",IF(AND(GU233="",GV233=""),"",N(GV233)-N(GU233)))</f>
        <v/>
      </c>
      <c r="HA233">
        <f>IF(OR(GY$3="",GY$3&gt;TODAY()),"",IF(AND(GY233="",GZ233=""),"",N(GZ233)-N(GY233)))</f>
        <v/>
      </c>
      <c r="HD233">
        <f>IF(OR(GY$3="",GY$3&gt;TODAY()),"",IF(AND(HB233="",HC233=""),"",N(HC233)-N(HB233)))</f>
        <v/>
      </c>
      <c r="HH233">
        <f>IF(OR(HF$3="",HF$3&gt;TODAY()),"",IF(AND(HF233="",HG233=""),"",N(HG233)-N(HF233)))</f>
        <v/>
      </c>
      <c r="HK233">
        <f>IF(OR(HF$3="",HF$3&gt;TODAY()),"",IF(AND(HI233="",HJ233=""),"",N(HJ233)-N(HI233)))</f>
        <v/>
      </c>
      <c r="HO233">
        <f>IF(OR(HM$3="",HM$3&gt;TODAY()),"",IF(AND(HM233="",HN233=""),"",N(HN233)-N(HM233)))</f>
        <v/>
      </c>
      <c r="HR233">
        <f>IF(OR(HM$3="",HM$3&gt;TODAY()),"",IF(AND(HP233="",HQ233=""),"",N(HQ233)-N(HP233)))</f>
        <v/>
      </c>
      <c r="HV233">
        <f>IF(OR(HT$3="",HT$3&gt;TODAY()),"",IF(AND(HT233="",HU233=""),"",N(HU233)-N(HT233)))</f>
        <v/>
      </c>
      <c r="HY233">
        <f>IF(OR(HT$3="",HT$3&gt;TODAY()),"",IF(AND(HW233="",HX233=""),"",N(HX233)-N(HW233)))</f>
        <v/>
      </c>
      <c r="IC233">
        <f>IF(OR(IA$3="",IA$3&gt;TODAY()),"",IF(AND(IA233="",IB233=""),"",N(IB233)-N(IA233)))</f>
        <v/>
      </c>
      <c r="IF233">
        <f>IF(OR(IA$3="",IA$3&gt;TODAY()),"",IF(AND(ID233="",IE233=""),"",N(IE233)-N(ID233)))</f>
        <v/>
      </c>
      <c r="IJ233">
        <f>IF(OR(IH$3="",IH$3&gt;TODAY()),"",IF(AND(IH233="",II233=""),"",N(II233)-N(IH233)))</f>
        <v/>
      </c>
      <c r="IM233">
        <f>IF(OR(IH$3="",IH$3&gt;TODAY()),"",IF(AND(IK233="",IL233=""),"",N(IL233)-N(IK233)))</f>
        <v/>
      </c>
    </row>
    <row r="234">
      <c r="A234" s="21" t="n"/>
      <c r="B234" s="21" t="n"/>
      <c r="C234" s="21" t="n"/>
      <c r="D234" s="21" t="n"/>
      <c r="E234" s="21" t="n"/>
      <c r="F234" s="21" t="n"/>
      <c r="G234" s="21" t="n"/>
      <c r="H234" s="21" t="n"/>
      <c r="I234" s="22" t="n"/>
      <c r="J234" s="22" t="n"/>
      <c r="K234" s="23" t="n"/>
      <c r="L234" s="22" t="n"/>
      <c r="M234" s="22" t="n"/>
      <c r="N234" s="21" t="n"/>
      <c r="O234" s="23" t="n"/>
      <c r="P234" s="23" t="n"/>
      <c r="Q234" s="23" t="n"/>
      <c r="R234" s="23" t="n"/>
      <c r="S234" s="22" t="n"/>
      <c r="T234" s="23" t="n"/>
      <c r="U234" s="23" t="n"/>
      <c r="V234" s="24">
        <f>IF(J234&lt;&gt;"",J234,IF(I234&lt;&gt;"",I234,""))</f>
        <v/>
      </c>
      <c r="W234" s="25">
        <f>IF($E234="","",N(O234)+SUMIFS($AF234:$IN234,$AF$4:$IN$4,"SEW_ACT"))</f>
        <v/>
      </c>
      <c r="X234" s="25">
        <f>IF($E234="","",N(P234)+SUMIFS($AF234:$IN234,$AF$4:$IN$4,"WASH_ACT"))</f>
        <v/>
      </c>
      <c r="Y234" s="25">
        <f>IF($E234="","",W234-X234-N(T234)-N(U234))</f>
        <v/>
      </c>
      <c r="Z234" s="25">
        <f>IF($E234="","",IF(N(K234)-X234&lt;=0.02*N(K234),0,N(K234)-X234))</f>
        <v/>
      </c>
      <c r="AA234" s="24">
        <f>IF($E234="","",IF(S234&lt;&gt;"",S234,IF(N(O234)&gt;0,IF(L234&lt;&gt;"",L234,99999),IFERROR(1/(1/_xlfn.MINIFS($AF$3:$IN$3,$AF$4:$IN$4,"SEW_ACT",$AF234:$IN234,"&gt;0")),99999))))</f>
        <v/>
      </c>
      <c r="AB234" s="26">
        <f>IF(OR($E234="",Z234=0,V234=""),"",1+COUNTIFS(Z$8:Z$707,"&gt;0",V$8:V$707,"&lt;"&amp;V234)+COUNTIFS(Z$8:Z$707,"&gt;0",V$8:V$707,V234,AA$8:AA$707,"&lt;"&amp;AA234)+COUNTIFS(Z$8:Z$707,"&gt;0",V$8:V$707,V234,AA$8:AA$707,AA234,E$8:E$707,"&lt;"&amp;$E234))</f>
        <v/>
      </c>
      <c r="AC234" s="24">
        <f>IF(OR($E234="",Z234=0),"",IFERROR(TODAY()+ROUNDUP(Z234/(SUMIFS($AF234:$IN234,$AF$4:$IN$4,"WASH_ACT")/COUNTIFS($AF$4:$IN$4,"WASH_ACT",$AF234:$IN234,"&gt;0")),0),"no output yet"))</f>
        <v/>
      </c>
      <c r="AD234" s="26">
        <f>IF($E234="","",IFERROR(ROUND(MAX(0,SUMIFS($AF234:$IN234,$AF$4:$IN$4,"SEW_PLAN",$AF$3:$IN$3,"&lt;="&amp;TODAY())-SUMIFS($AF234:$IN234,$AF$4:$IN$4,"SEW_ACT",$AF$3:$IN$3,"&lt;="&amp;TODAY())+N(Q234))/(SUMIFS($AF234:$IN234,$AF$4:$IN$4,"SEW_PLAN")/COUNTIFS($AF$4:$IN$4,"SEW_PLAN",$AF234:$IN234,"&gt;0")),1),0))</f>
        <v/>
      </c>
      <c r="AE234" s="26">
        <f>IF($E234="","",IF(AND(Z234&gt;0,OR(AND(M234&lt;&gt;"",TODAY()&gt;M234),AND(V234&lt;&gt;"",V234-TODAY()&lt;=7))),"Yes","No"))</f>
        <v/>
      </c>
      <c r="AH234">
        <f>IF(OR(AF$3="",AF$3&gt;TODAY()),"",IF(AND(AF234="",AG234=""),"",N(AG234)-N(AF234)))</f>
        <v/>
      </c>
      <c r="AK234">
        <f>IF(OR(AF$3="",AF$3&gt;TODAY()),"",IF(AND(AI234="",AJ234=""),"",N(AJ234)-N(AI234)))</f>
        <v/>
      </c>
      <c r="AO234">
        <f>IF(OR(AM$3="",AM$3&gt;TODAY()),"",IF(AND(AM234="",AN234=""),"",N(AN234)-N(AM234)))</f>
        <v/>
      </c>
      <c r="AR234">
        <f>IF(OR(AM$3="",AM$3&gt;TODAY()),"",IF(AND(AP234="",AQ234=""),"",N(AQ234)-N(AP234)))</f>
        <v/>
      </c>
      <c r="AV234">
        <f>IF(OR(AT$3="",AT$3&gt;TODAY()),"",IF(AND(AT234="",AU234=""),"",N(AU234)-N(AT234)))</f>
        <v/>
      </c>
      <c r="AY234">
        <f>IF(OR(AT$3="",AT$3&gt;TODAY()),"",IF(AND(AW234="",AX234=""),"",N(AX234)-N(AW234)))</f>
        <v/>
      </c>
      <c r="BC234">
        <f>IF(OR(BA$3="",BA$3&gt;TODAY()),"",IF(AND(BA234="",BB234=""),"",N(BB234)-N(BA234)))</f>
        <v/>
      </c>
      <c r="BF234">
        <f>IF(OR(BA$3="",BA$3&gt;TODAY()),"",IF(AND(BD234="",BE234=""),"",N(BE234)-N(BD234)))</f>
        <v/>
      </c>
      <c r="BJ234">
        <f>IF(OR(BH$3="",BH$3&gt;TODAY()),"",IF(AND(BH234="",BI234=""),"",N(BI234)-N(BH234)))</f>
        <v/>
      </c>
      <c r="BM234">
        <f>IF(OR(BH$3="",BH$3&gt;TODAY()),"",IF(AND(BK234="",BL234=""),"",N(BL234)-N(BK234)))</f>
        <v/>
      </c>
      <c r="BQ234">
        <f>IF(OR(BO$3="",BO$3&gt;TODAY()),"",IF(AND(BO234="",BP234=""),"",N(BP234)-N(BO234)))</f>
        <v/>
      </c>
      <c r="BT234">
        <f>IF(OR(BO$3="",BO$3&gt;TODAY()),"",IF(AND(BR234="",BS234=""),"",N(BS234)-N(BR234)))</f>
        <v/>
      </c>
      <c r="BX234">
        <f>IF(OR(BV$3="",BV$3&gt;TODAY()),"",IF(AND(BV234="",BW234=""),"",N(BW234)-N(BV234)))</f>
        <v/>
      </c>
      <c r="CA234">
        <f>IF(OR(BV$3="",BV$3&gt;TODAY()),"",IF(AND(BY234="",BZ234=""),"",N(BZ234)-N(BY234)))</f>
        <v/>
      </c>
      <c r="CE234">
        <f>IF(OR(CC$3="",CC$3&gt;TODAY()),"",IF(AND(CC234="",CD234=""),"",N(CD234)-N(CC234)))</f>
        <v/>
      </c>
      <c r="CH234">
        <f>IF(OR(CC$3="",CC$3&gt;TODAY()),"",IF(AND(CF234="",CG234=""),"",N(CG234)-N(CF234)))</f>
        <v/>
      </c>
      <c r="CL234">
        <f>IF(OR(CJ$3="",CJ$3&gt;TODAY()),"",IF(AND(CJ234="",CK234=""),"",N(CK234)-N(CJ234)))</f>
        <v/>
      </c>
      <c r="CO234">
        <f>IF(OR(CJ$3="",CJ$3&gt;TODAY()),"",IF(AND(CM234="",CN234=""),"",N(CN234)-N(CM234)))</f>
        <v/>
      </c>
      <c r="CS234">
        <f>IF(OR(CQ$3="",CQ$3&gt;TODAY()),"",IF(AND(CQ234="",CR234=""),"",N(CR234)-N(CQ234)))</f>
        <v/>
      </c>
      <c r="CV234">
        <f>IF(OR(CQ$3="",CQ$3&gt;TODAY()),"",IF(AND(CT234="",CU234=""),"",N(CU234)-N(CT234)))</f>
        <v/>
      </c>
      <c r="CZ234">
        <f>IF(OR(CX$3="",CX$3&gt;TODAY()),"",IF(AND(CX234="",CY234=""),"",N(CY234)-N(CX234)))</f>
        <v/>
      </c>
      <c r="DC234">
        <f>IF(OR(CX$3="",CX$3&gt;TODAY()),"",IF(AND(DA234="",DB234=""),"",N(DB234)-N(DA234)))</f>
        <v/>
      </c>
      <c r="DG234">
        <f>IF(OR(DE$3="",DE$3&gt;TODAY()),"",IF(AND(DE234="",DF234=""),"",N(DF234)-N(DE234)))</f>
        <v/>
      </c>
      <c r="DJ234">
        <f>IF(OR(DE$3="",DE$3&gt;TODAY()),"",IF(AND(DH234="",DI234=""),"",N(DI234)-N(DH234)))</f>
        <v/>
      </c>
      <c r="DN234">
        <f>IF(OR(DL$3="",DL$3&gt;TODAY()),"",IF(AND(DL234="",DM234=""),"",N(DM234)-N(DL234)))</f>
        <v/>
      </c>
      <c r="DQ234">
        <f>IF(OR(DL$3="",DL$3&gt;TODAY()),"",IF(AND(DO234="",DP234=""),"",N(DP234)-N(DO234)))</f>
        <v/>
      </c>
      <c r="DU234">
        <f>IF(OR(DS$3="",DS$3&gt;TODAY()),"",IF(AND(DS234="",DT234=""),"",N(DT234)-N(DS234)))</f>
        <v/>
      </c>
      <c r="DX234">
        <f>IF(OR(DS$3="",DS$3&gt;TODAY()),"",IF(AND(DV234="",DW234=""),"",N(DW234)-N(DV234)))</f>
        <v/>
      </c>
      <c r="EB234">
        <f>IF(OR(DZ$3="",DZ$3&gt;TODAY()),"",IF(AND(DZ234="",EA234=""),"",N(EA234)-N(DZ234)))</f>
        <v/>
      </c>
      <c r="EE234">
        <f>IF(OR(DZ$3="",DZ$3&gt;TODAY()),"",IF(AND(EC234="",ED234=""),"",N(ED234)-N(EC234)))</f>
        <v/>
      </c>
      <c r="EI234">
        <f>IF(OR(EG$3="",EG$3&gt;TODAY()),"",IF(AND(EG234="",EH234=""),"",N(EH234)-N(EG234)))</f>
        <v/>
      </c>
      <c r="EL234">
        <f>IF(OR(EG$3="",EG$3&gt;TODAY()),"",IF(AND(EJ234="",EK234=""),"",N(EK234)-N(EJ234)))</f>
        <v/>
      </c>
      <c r="EP234">
        <f>IF(OR(EN$3="",EN$3&gt;TODAY()),"",IF(AND(EN234="",EO234=""),"",N(EO234)-N(EN234)))</f>
        <v/>
      </c>
      <c r="ES234">
        <f>IF(OR(EN$3="",EN$3&gt;TODAY()),"",IF(AND(EQ234="",ER234=""),"",N(ER234)-N(EQ234)))</f>
        <v/>
      </c>
      <c r="EW234">
        <f>IF(OR(EU$3="",EU$3&gt;TODAY()),"",IF(AND(EU234="",EV234=""),"",N(EV234)-N(EU234)))</f>
        <v/>
      </c>
      <c r="EZ234">
        <f>IF(OR(EU$3="",EU$3&gt;TODAY()),"",IF(AND(EX234="",EY234=""),"",N(EY234)-N(EX234)))</f>
        <v/>
      </c>
      <c r="FD234">
        <f>IF(OR(FB$3="",FB$3&gt;TODAY()),"",IF(AND(FB234="",FC234=""),"",N(FC234)-N(FB234)))</f>
        <v/>
      </c>
      <c r="FG234">
        <f>IF(OR(FB$3="",FB$3&gt;TODAY()),"",IF(AND(FE234="",FF234=""),"",N(FF234)-N(FE234)))</f>
        <v/>
      </c>
      <c r="FK234">
        <f>IF(OR(FI$3="",FI$3&gt;TODAY()),"",IF(AND(FI234="",FJ234=""),"",N(FJ234)-N(FI234)))</f>
        <v/>
      </c>
      <c r="FN234">
        <f>IF(OR(FI$3="",FI$3&gt;TODAY()),"",IF(AND(FL234="",FM234=""),"",N(FM234)-N(FL234)))</f>
        <v/>
      </c>
      <c r="FR234">
        <f>IF(OR(FP$3="",FP$3&gt;TODAY()),"",IF(AND(FP234="",FQ234=""),"",N(FQ234)-N(FP234)))</f>
        <v/>
      </c>
      <c r="FU234">
        <f>IF(OR(FP$3="",FP$3&gt;TODAY()),"",IF(AND(FS234="",FT234=""),"",N(FT234)-N(FS234)))</f>
        <v/>
      </c>
      <c r="FY234">
        <f>IF(OR(FW$3="",FW$3&gt;TODAY()),"",IF(AND(FW234="",FX234=""),"",N(FX234)-N(FW234)))</f>
        <v/>
      </c>
      <c r="GB234">
        <f>IF(OR(FW$3="",FW$3&gt;TODAY()),"",IF(AND(FZ234="",GA234=""),"",N(GA234)-N(FZ234)))</f>
        <v/>
      </c>
      <c r="GF234">
        <f>IF(OR(GD$3="",GD$3&gt;TODAY()),"",IF(AND(GD234="",GE234=""),"",N(GE234)-N(GD234)))</f>
        <v/>
      </c>
      <c r="GI234">
        <f>IF(OR(GD$3="",GD$3&gt;TODAY()),"",IF(AND(GG234="",GH234=""),"",N(GH234)-N(GG234)))</f>
        <v/>
      </c>
      <c r="GM234">
        <f>IF(OR(GK$3="",GK$3&gt;TODAY()),"",IF(AND(GK234="",GL234=""),"",N(GL234)-N(GK234)))</f>
        <v/>
      </c>
      <c r="GP234">
        <f>IF(OR(GK$3="",GK$3&gt;TODAY()),"",IF(AND(GN234="",GO234=""),"",N(GO234)-N(GN234)))</f>
        <v/>
      </c>
      <c r="GT234">
        <f>IF(OR(GR$3="",GR$3&gt;TODAY()),"",IF(AND(GR234="",GS234=""),"",N(GS234)-N(GR234)))</f>
        <v/>
      </c>
      <c r="GW234">
        <f>IF(OR(GR$3="",GR$3&gt;TODAY()),"",IF(AND(GU234="",GV234=""),"",N(GV234)-N(GU234)))</f>
        <v/>
      </c>
      <c r="HA234">
        <f>IF(OR(GY$3="",GY$3&gt;TODAY()),"",IF(AND(GY234="",GZ234=""),"",N(GZ234)-N(GY234)))</f>
        <v/>
      </c>
      <c r="HD234">
        <f>IF(OR(GY$3="",GY$3&gt;TODAY()),"",IF(AND(HB234="",HC234=""),"",N(HC234)-N(HB234)))</f>
        <v/>
      </c>
      <c r="HH234">
        <f>IF(OR(HF$3="",HF$3&gt;TODAY()),"",IF(AND(HF234="",HG234=""),"",N(HG234)-N(HF234)))</f>
        <v/>
      </c>
      <c r="HK234">
        <f>IF(OR(HF$3="",HF$3&gt;TODAY()),"",IF(AND(HI234="",HJ234=""),"",N(HJ234)-N(HI234)))</f>
        <v/>
      </c>
      <c r="HO234">
        <f>IF(OR(HM$3="",HM$3&gt;TODAY()),"",IF(AND(HM234="",HN234=""),"",N(HN234)-N(HM234)))</f>
        <v/>
      </c>
      <c r="HR234">
        <f>IF(OR(HM$3="",HM$3&gt;TODAY()),"",IF(AND(HP234="",HQ234=""),"",N(HQ234)-N(HP234)))</f>
        <v/>
      </c>
      <c r="HV234">
        <f>IF(OR(HT$3="",HT$3&gt;TODAY()),"",IF(AND(HT234="",HU234=""),"",N(HU234)-N(HT234)))</f>
        <v/>
      </c>
      <c r="HY234">
        <f>IF(OR(HT$3="",HT$3&gt;TODAY()),"",IF(AND(HW234="",HX234=""),"",N(HX234)-N(HW234)))</f>
        <v/>
      </c>
      <c r="IC234">
        <f>IF(OR(IA$3="",IA$3&gt;TODAY()),"",IF(AND(IA234="",IB234=""),"",N(IB234)-N(IA234)))</f>
        <v/>
      </c>
      <c r="IF234">
        <f>IF(OR(IA$3="",IA$3&gt;TODAY()),"",IF(AND(ID234="",IE234=""),"",N(IE234)-N(ID234)))</f>
        <v/>
      </c>
      <c r="IJ234">
        <f>IF(OR(IH$3="",IH$3&gt;TODAY()),"",IF(AND(IH234="",II234=""),"",N(II234)-N(IH234)))</f>
        <v/>
      </c>
      <c r="IM234">
        <f>IF(OR(IH$3="",IH$3&gt;TODAY()),"",IF(AND(IK234="",IL234=""),"",N(IL234)-N(IK234)))</f>
        <v/>
      </c>
    </row>
    <row r="235">
      <c r="A235" s="21" t="n"/>
      <c r="B235" s="21" t="n"/>
      <c r="C235" s="21" t="n"/>
      <c r="D235" s="21" t="n"/>
      <c r="E235" s="21" t="n"/>
      <c r="F235" s="21" t="n"/>
      <c r="G235" s="21" t="n"/>
      <c r="H235" s="21" t="n"/>
      <c r="I235" s="22" t="n"/>
      <c r="J235" s="22" t="n"/>
      <c r="K235" s="23" t="n"/>
      <c r="L235" s="22" t="n"/>
      <c r="M235" s="22" t="n"/>
      <c r="N235" s="21" t="n"/>
      <c r="O235" s="23" t="n"/>
      <c r="P235" s="23" t="n"/>
      <c r="Q235" s="23" t="n"/>
      <c r="R235" s="23" t="n"/>
      <c r="S235" s="22" t="n"/>
      <c r="T235" s="23" t="n"/>
      <c r="U235" s="23" t="n"/>
      <c r="V235" s="24">
        <f>IF(J235&lt;&gt;"",J235,IF(I235&lt;&gt;"",I235,""))</f>
        <v/>
      </c>
      <c r="W235" s="25">
        <f>IF($E235="","",N(O235)+SUMIFS($AF235:$IN235,$AF$4:$IN$4,"SEW_ACT"))</f>
        <v/>
      </c>
      <c r="X235" s="25">
        <f>IF($E235="","",N(P235)+SUMIFS($AF235:$IN235,$AF$4:$IN$4,"WASH_ACT"))</f>
        <v/>
      </c>
      <c r="Y235" s="25">
        <f>IF($E235="","",W235-X235-N(T235)-N(U235))</f>
        <v/>
      </c>
      <c r="Z235" s="25">
        <f>IF($E235="","",IF(N(K235)-X235&lt;=0.02*N(K235),0,N(K235)-X235))</f>
        <v/>
      </c>
      <c r="AA235" s="24">
        <f>IF($E235="","",IF(S235&lt;&gt;"",S235,IF(N(O235)&gt;0,IF(L235&lt;&gt;"",L235,99999),IFERROR(1/(1/_xlfn.MINIFS($AF$3:$IN$3,$AF$4:$IN$4,"SEW_ACT",$AF235:$IN235,"&gt;0")),99999))))</f>
        <v/>
      </c>
      <c r="AB235" s="26">
        <f>IF(OR($E235="",Z235=0,V235=""),"",1+COUNTIFS(Z$8:Z$707,"&gt;0",V$8:V$707,"&lt;"&amp;V235)+COUNTIFS(Z$8:Z$707,"&gt;0",V$8:V$707,V235,AA$8:AA$707,"&lt;"&amp;AA235)+COUNTIFS(Z$8:Z$707,"&gt;0",V$8:V$707,V235,AA$8:AA$707,AA235,E$8:E$707,"&lt;"&amp;$E235))</f>
        <v/>
      </c>
      <c r="AC235" s="24">
        <f>IF(OR($E235="",Z235=0),"",IFERROR(TODAY()+ROUNDUP(Z235/(SUMIFS($AF235:$IN235,$AF$4:$IN$4,"WASH_ACT")/COUNTIFS($AF$4:$IN$4,"WASH_ACT",$AF235:$IN235,"&gt;0")),0),"no output yet"))</f>
        <v/>
      </c>
      <c r="AD235" s="26">
        <f>IF($E235="","",IFERROR(ROUND(MAX(0,SUMIFS($AF235:$IN235,$AF$4:$IN$4,"SEW_PLAN",$AF$3:$IN$3,"&lt;="&amp;TODAY())-SUMIFS($AF235:$IN235,$AF$4:$IN$4,"SEW_ACT",$AF$3:$IN$3,"&lt;="&amp;TODAY())+N(Q235))/(SUMIFS($AF235:$IN235,$AF$4:$IN$4,"SEW_PLAN")/COUNTIFS($AF$4:$IN$4,"SEW_PLAN",$AF235:$IN235,"&gt;0")),1),0))</f>
        <v/>
      </c>
      <c r="AE235" s="26">
        <f>IF($E235="","",IF(AND(Z235&gt;0,OR(AND(M235&lt;&gt;"",TODAY()&gt;M235),AND(V235&lt;&gt;"",V235-TODAY()&lt;=7))),"Yes","No"))</f>
        <v/>
      </c>
      <c r="AH235">
        <f>IF(OR(AF$3="",AF$3&gt;TODAY()),"",IF(AND(AF235="",AG235=""),"",N(AG235)-N(AF235)))</f>
        <v/>
      </c>
      <c r="AK235">
        <f>IF(OR(AF$3="",AF$3&gt;TODAY()),"",IF(AND(AI235="",AJ235=""),"",N(AJ235)-N(AI235)))</f>
        <v/>
      </c>
      <c r="AO235">
        <f>IF(OR(AM$3="",AM$3&gt;TODAY()),"",IF(AND(AM235="",AN235=""),"",N(AN235)-N(AM235)))</f>
        <v/>
      </c>
      <c r="AR235">
        <f>IF(OR(AM$3="",AM$3&gt;TODAY()),"",IF(AND(AP235="",AQ235=""),"",N(AQ235)-N(AP235)))</f>
        <v/>
      </c>
      <c r="AV235">
        <f>IF(OR(AT$3="",AT$3&gt;TODAY()),"",IF(AND(AT235="",AU235=""),"",N(AU235)-N(AT235)))</f>
        <v/>
      </c>
      <c r="AY235">
        <f>IF(OR(AT$3="",AT$3&gt;TODAY()),"",IF(AND(AW235="",AX235=""),"",N(AX235)-N(AW235)))</f>
        <v/>
      </c>
      <c r="BC235">
        <f>IF(OR(BA$3="",BA$3&gt;TODAY()),"",IF(AND(BA235="",BB235=""),"",N(BB235)-N(BA235)))</f>
        <v/>
      </c>
      <c r="BF235">
        <f>IF(OR(BA$3="",BA$3&gt;TODAY()),"",IF(AND(BD235="",BE235=""),"",N(BE235)-N(BD235)))</f>
        <v/>
      </c>
      <c r="BJ235">
        <f>IF(OR(BH$3="",BH$3&gt;TODAY()),"",IF(AND(BH235="",BI235=""),"",N(BI235)-N(BH235)))</f>
        <v/>
      </c>
      <c r="BM235">
        <f>IF(OR(BH$3="",BH$3&gt;TODAY()),"",IF(AND(BK235="",BL235=""),"",N(BL235)-N(BK235)))</f>
        <v/>
      </c>
      <c r="BQ235">
        <f>IF(OR(BO$3="",BO$3&gt;TODAY()),"",IF(AND(BO235="",BP235=""),"",N(BP235)-N(BO235)))</f>
        <v/>
      </c>
      <c r="BT235">
        <f>IF(OR(BO$3="",BO$3&gt;TODAY()),"",IF(AND(BR235="",BS235=""),"",N(BS235)-N(BR235)))</f>
        <v/>
      </c>
      <c r="BX235">
        <f>IF(OR(BV$3="",BV$3&gt;TODAY()),"",IF(AND(BV235="",BW235=""),"",N(BW235)-N(BV235)))</f>
        <v/>
      </c>
      <c r="CA235">
        <f>IF(OR(BV$3="",BV$3&gt;TODAY()),"",IF(AND(BY235="",BZ235=""),"",N(BZ235)-N(BY235)))</f>
        <v/>
      </c>
      <c r="CE235">
        <f>IF(OR(CC$3="",CC$3&gt;TODAY()),"",IF(AND(CC235="",CD235=""),"",N(CD235)-N(CC235)))</f>
        <v/>
      </c>
      <c r="CH235">
        <f>IF(OR(CC$3="",CC$3&gt;TODAY()),"",IF(AND(CF235="",CG235=""),"",N(CG235)-N(CF235)))</f>
        <v/>
      </c>
      <c r="CL235">
        <f>IF(OR(CJ$3="",CJ$3&gt;TODAY()),"",IF(AND(CJ235="",CK235=""),"",N(CK235)-N(CJ235)))</f>
        <v/>
      </c>
      <c r="CO235">
        <f>IF(OR(CJ$3="",CJ$3&gt;TODAY()),"",IF(AND(CM235="",CN235=""),"",N(CN235)-N(CM235)))</f>
        <v/>
      </c>
      <c r="CS235">
        <f>IF(OR(CQ$3="",CQ$3&gt;TODAY()),"",IF(AND(CQ235="",CR235=""),"",N(CR235)-N(CQ235)))</f>
        <v/>
      </c>
      <c r="CV235">
        <f>IF(OR(CQ$3="",CQ$3&gt;TODAY()),"",IF(AND(CT235="",CU235=""),"",N(CU235)-N(CT235)))</f>
        <v/>
      </c>
      <c r="CZ235">
        <f>IF(OR(CX$3="",CX$3&gt;TODAY()),"",IF(AND(CX235="",CY235=""),"",N(CY235)-N(CX235)))</f>
        <v/>
      </c>
      <c r="DC235">
        <f>IF(OR(CX$3="",CX$3&gt;TODAY()),"",IF(AND(DA235="",DB235=""),"",N(DB235)-N(DA235)))</f>
        <v/>
      </c>
      <c r="DG235">
        <f>IF(OR(DE$3="",DE$3&gt;TODAY()),"",IF(AND(DE235="",DF235=""),"",N(DF235)-N(DE235)))</f>
        <v/>
      </c>
      <c r="DJ235">
        <f>IF(OR(DE$3="",DE$3&gt;TODAY()),"",IF(AND(DH235="",DI235=""),"",N(DI235)-N(DH235)))</f>
        <v/>
      </c>
      <c r="DN235">
        <f>IF(OR(DL$3="",DL$3&gt;TODAY()),"",IF(AND(DL235="",DM235=""),"",N(DM235)-N(DL235)))</f>
        <v/>
      </c>
      <c r="DQ235">
        <f>IF(OR(DL$3="",DL$3&gt;TODAY()),"",IF(AND(DO235="",DP235=""),"",N(DP235)-N(DO235)))</f>
        <v/>
      </c>
      <c r="DU235">
        <f>IF(OR(DS$3="",DS$3&gt;TODAY()),"",IF(AND(DS235="",DT235=""),"",N(DT235)-N(DS235)))</f>
        <v/>
      </c>
      <c r="DX235">
        <f>IF(OR(DS$3="",DS$3&gt;TODAY()),"",IF(AND(DV235="",DW235=""),"",N(DW235)-N(DV235)))</f>
        <v/>
      </c>
      <c r="EB235">
        <f>IF(OR(DZ$3="",DZ$3&gt;TODAY()),"",IF(AND(DZ235="",EA235=""),"",N(EA235)-N(DZ235)))</f>
        <v/>
      </c>
      <c r="EE235">
        <f>IF(OR(DZ$3="",DZ$3&gt;TODAY()),"",IF(AND(EC235="",ED235=""),"",N(ED235)-N(EC235)))</f>
        <v/>
      </c>
      <c r="EI235">
        <f>IF(OR(EG$3="",EG$3&gt;TODAY()),"",IF(AND(EG235="",EH235=""),"",N(EH235)-N(EG235)))</f>
        <v/>
      </c>
      <c r="EL235">
        <f>IF(OR(EG$3="",EG$3&gt;TODAY()),"",IF(AND(EJ235="",EK235=""),"",N(EK235)-N(EJ235)))</f>
        <v/>
      </c>
      <c r="EP235">
        <f>IF(OR(EN$3="",EN$3&gt;TODAY()),"",IF(AND(EN235="",EO235=""),"",N(EO235)-N(EN235)))</f>
        <v/>
      </c>
      <c r="ES235">
        <f>IF(OR(EN$3="",EN$3&gt;TODAY()),"",IF(AND(EQ235="",ER235=""),"",N(ER235)-N(EQ235)))</f>
        <v/>
      </c>
      <c r="EW235">
        <f>IF(OR(EU$3="",EU$3&gt;TODAY()),"",IF(AND(EU235="",EV235=""),"",N(EV235)-N(EU235)))</f>
        <v/>
      </c>
      <c r="EZ235">
        <f>IF(OR(EU$3="",EU$3&gt;TODAY()),"",IF(AND(EX235="",EY235=""),"",N(EY235)-N(EX235)))</f>
        <v/>
      </c>
      <c r="FD235">
        <f>IF(OR(FB$3="",FB$3&gt;TODAY()),"",IF(AND(FB235="",FC235=""),"",N(FC235)-N(FB235)))</f>
        <v/>
      </c>
      <c r="FG235">
        <f>IF(OR(FB$3="",FB$3&gt;TODAY()),"",IF(AND(FE235="",FF235=""),"",N(FF235)-N(FE235)))</f>
        <v/>
      </c>
      <c r="FK235">
        <f>IF(OR(FI$3="",FI$3&gt;TODAY()),"",IF(AND(FI235="",FJ235=""),"",N(FJ235)-N(FI235)))</f>
        <v/>
      </c>
      <c r="FN235">
        <f>IF(OR(FI$3="",FI$3&gt;TODAY()),"",IF(AND(FL235="",FM235=""),"",N(FM235)-N(FL235)))</f>
        <v/>
      </c>
      <c r="FR235">
        <f>IF(OR(FP$3="",FP$3&gt;TODAY()),"",IF(AND(FP235="",FQ235=""),"",N(FQ235)-N(FP235)))</f>
        <v/>
      </c>
      <c r="FU235">
        <f>IF(OR(FP$3="",FP$3&gt;TODAY()),"",IF(AND(FS235="",FT235=""),"",N(FT235)-N(FS235)))</f>
        <v/>
      </c>
      <c r="FY235">
        <f>IF(OR(FW$3="",FW$3&gt;TODAY()),"",IF(AND(FW235="",FX235=""),"",N(FX235)-N(FW235)))</f>
        <v/>
      </c>
      <c r="GB235">
        <f>IF(OR(FW$3="",FW$3&gt;TODAY()),"",IF(AND(FZ235="",GA235=""),"",N(GA235)-N(FZ235)))</f>
        <v/>
      </c>
      <c r="GF235">
        <f>IF(OR(GD$3="",GD$3&gt;TODAY()),"",IF(AND(GD235="",GE235=""),"",N(GE235)-N(GD235)))</f>
        <v/>
      </c>
      <c r="GI235">
        <f>IF(OR(GD$3="",GD$3&gt;TODAY()),"",IF(AND(GG235="",GH235=""),"",N(GH235)-N(GG235)))</f>
        <v/>
      </c>
      <c r="GM235">
        <f>IF(OR(GK$3="",GK$3&gt;TODAY()),"",IF(AND(GK235="",GL235=""),"",N(GL235)-N(GK235)))</f>
        <v/>
      </c>
      <c r="GP235">
        <f>IF(OR(GK$3="",GK$3&gt;TODAY()),"",IF(AND(GN235="",GO235=""),"",N(GO235)-N(GN235)))</f>
        <v/>
      </c>
      <c r="GT235">
        <f>IF(OR(GR$3="",GR$3&gt;TODAY()),"",IF(AND(GR235="",GS235=""),"",N(GS235)-N(GR235)))</f>
        <v/>
      </c>
      <c r="GW235">
        <f>IF(OR(GR$3="",GR$3&gt;TODAY()),"",IF(AND(GU235="",GV235=""),"",N(GV235)-N(GU235)))</f>
        <v/>
      </c>
      <c r="HA235">
        <f>IF(OR(GY$3="",GY$3&gt;TODAY()),"",IF(AND(GY235="",GZ235=""),"",N(GZ235)-N(GY235)))</f>
        <v/>
      </c>
      <c r="HD235">
        <f>IF(OR(GY$3="",GY$3&gt;TODAY()),"",IF(AND(HB235="",HC235=""),"",N(HC235)-N(HB235)))</f>
        <v/>
      </c>
      <c r="HH235">
        <f>IF(OR(HF$3="",HF$3&gt;TODAY()),"",IF(AND(HF235="",HG235=""),"",N(HG235)-N(HF235)))</f>
        <v/>
      </c>
      <c r="HK235">
        <f>IF(OR(HF$3="",HF$3&gt;TODAY()),"",IF(AND(HI235="",HJ235=""),"",N(HJ235)-N(HI235)))</f>
        <v/>
      </c>
      <c r="HO235">
        <f>IF(OR(HM$3="",HM$3&gt;TODAY()),"",IF(AND(HM235="",HN235=""),"",N(HN235)-N(HM235)))</f>
        <v/>
      </c>
      <c r="HR235">
        <f>IF(OR(HM$3="",HM$3&gt;TODAY()),"",IF(AND(HP235="",HQ235=""),"",N(HQ235)-N(HP235)))</f>
        <v/>
      </c>
      <c r="HV235">
        <f>IF(OR(HT$3="",HT$3&gt;TODAY()),"",IF(AND(HT235="",HU235=""),"",N(HU235)-N(HT235)))</f>
        <v/>
      </c>
      <c r="HY235">
        <f>IF(OR(HT$3="",HT$3&gt;TODAY()),"",IF(AND(HW235="",HX235=""),"",N(HX235)-N(HW235)))</f>
        <v/>
      </c>
      <c r="IC235">
        <f>IF(OR(IA$3="",IA$3&gt;TODAY()),"",IF(AND(IA235="",IB235=""),"",N(IB235)-N(IA235)))</f>
        <v/>
      </c>
      <c r="IF235">
        <f>IF(OR(IA$3="",IA$3&gt;TODAY()),"",IF(AND(ID235="",IE235=""),"",N(IE235)-N(ID235)))</f>
        <v/>
      </c>
      <c r="IJ235">
        <f>IF(OR(IH$3="",IH$3&gt;TODAY()),"",IF(AND(IH235="",II235=""),"",N(II235)-N(IH235)))</f>
        <v/>
      </c>
      <c r="IM235">
        <f>IF(OR(IH$3="",IH$3&gt;TODAY()),"",IF(AND(IK235="",IL235=""),"",N(IL235)-N(IK235)))</f>
        <v/>
      </c>
    </row>
    <row r="236">
      <c r="A236" s="21" t="n"/>
      <c r="B236" s="21" t="n"/>
      <c r="C236" s="21" t="n"/>
      <c r="D236" s="21" t="n"/>
      <c r="E236" s="21" t="n"/>
      <c r="F236" s="21" t="n"/>
      <c r="G236" s="21" t="n"/>
      <c r="H236" s="21" t="n"/>
      <c r="I236" s="22" t="n"/>
      <c r="J236" s="22" t="n"/>
      <c r="K236" s="23" t="n"/>
      <c r="L236" s="22" t="n"/>
      <c r="M236" s="22" t="n"/>
      <c r="N236" s="21" t="n"/>
      <c r="O236" s="23" t="n"/>
      <c r="P236" s="23" t="n"/>
      <c r="Q236" s="23" t="n"/>
      <c r="R236" s="23" t="n"/>
      <c r="S236" s="22" t="n"/>
      <c r="T236" s="23" t="n"/>
      <c r="U236" s="23" t="n"/>
      <c r="V236" s="24">
        <f>IF(J236&lt;&gt;"",J236,IF(I236&lt;&gt;"",I236,""))</f>
        <v/>
      </c>
      <c r="W236" s="25">
        <f>IF($E236="","",N(O236)+SUMIFS($AF236:$IN236,$AF$4:$IN$4,"SEW_ACT"))</f>
        <v/>
      </c>
      <c r="X236" s="25">
        <f>IF($E236="","",N(P236)+SUMIFS($AF236:$IN236,$AF$4:$IN$4,"WASH_ACT"))</f>
        <v/>
      </c>
      <c r="Y236" s="25">
        <f>IF($E236="","",W236-X236-N(T236)-N(U236))</f>
        <v/>
      </c>
      <c r="Z236" s="25">
        <f>IF($E236="","",IF(N(K236)-X236&lt;=0.02*N(K236),0,N(K236)-X236))</f>
        <v/>
      </c>
      <c r="AA236" s="24">
        <f>IF($E236="","",IF(S236&lt;&gt;"",S236,IF(N(O236)&gt;0,IF(L236&lt;&gt;"",L236,99999),IFERROR(1/(1/_xlfn.MINIFS($AF$3:$IN$3,$AF$4:$IN$4,"SEW_ACT",$AF236:$IN236,"&gt;0")),99999))))</f>
        <v/>
      </c>
      <c r="AB236" s="26">
        <f>IF(OR($E236="",Z236=0,V236=""),"",1+COUNTIFS(Z$8:Z$707,"&gt;0",V$8:V$707,"&lt;"&amp;V236)+COUNTIFS(Z$8:Z$707,"&gt;0",V$8:V$707,V236,AA$8:AA$707,"&lt;"&amp;AA236)+COUNTIFS(Z$8:Z$707,"&gt;0",V$8:V$707,V236,AA$8:AA$707,AA236,E$8:E$707,"&lt;"&amp;$E236))</f>
        <v/>
      </c>
      <c r="AC236" s="24">
        <f>IF(OR($E236="",Z236=0),"",IFERROR(TODAY()+ROUNDUP(Z236/(SUMIFS($AF236:$IN236,$AF$4:$IN$4,"WASH_ACT")/COUNTIFS($AF$4:$IN$4,"WASH_ACT",$AF236:$IN236,"&gt;0")),0),"no output yet"))</f>
        <v/>
      </c>
      <c r="AD236" s="26">
        <f>IF($E236="","",IFERROR(ROUND(MAX(0,SUMIFS($AF236:$IN236,$AF$4:$IN$4,"SEW_PLAN",$AF$3:$IN$3,"&lt;="&amp;TODAY())-SUMIFS($AF236:$IN236,$AF$4:$IN$4,"SEW_ACT",$AF$3:$IN$3,"&lt;="&amp;TODAY())+N(Q236))/(SUMIFS($AF236:$IN236,$AF$4:$IN$4,"SEW_PLAN")/COUNTIFS($AF$4:$IN$4,"SEW_PLAN",$AF236:$IN236,"&gt;0")),1),0))</f>
        <v/>
      </c>
      <c r="AE236" s="26">
        <f>IF($E236="","",IF(AND(Z236&gt;0,OR(AND(M236&lt;&gt;"",TODAY()&gt;M236),AND(V236&lt;&gt;"",V236-TODAY()&lt;=7))),"Yes","No"))</f>
        <v/>
      </c>
      <c r="AH236">
        <f>IF(OR(AF$3="",AF$3&gt;TODAY()),"",IF(AND(AF236="",AG236=""),"",N(AG236)-N(AF236)))</f>
        <v/>
      </c>
      <c r="AK236">
        <f>IF(OR(AF$3="",AF$3&gt;TODAY()),"",IF(AND(AI236="",AJ236=""),"",N(AJ236)-N(AI236)))</f>
        <v/>
      </c>
      <c r="AO236">
        <f>IF(OR(AM$3="",AM$3&gt;TODAY()),"",IF(AND(AM236="",AN236=""),"",N(AN236)-N(AM236)))</f>
        <v/>
      </c>
      <c r="AR236">
        <f>IF(OR(AM$3="",AM$3&gt;TODAY()),"",IF(AND(AP236="",AQ236=""),"",N(AQ236)-N(AP236)))</f>
        <v/>
      </c>
      <c r="AV236">
        <f>IF(OR(AT$3="",AT$3&gt;TODAY()),"",IF(AND(AT236="",AU236=""),"",N(AU236)-N(AT236)))</f>
        <v/>
      </c>
      <c r="AY236">
        <f>IF(OR(AT$3="",AT$3&gt;TODAY()),"",IF(AND(AW236="",AX236=""),"",N(AX236)-N(AW236)))</f>
        <v/>
      </c>
      <c r="BC236">
        <f>IF(OR(BA$3="",BA$3&gt;TODAY()),"",IF(AND(BA236="",BB236=""),"",N(BB236)-N(BA236)))</f>
        <v/>
      </c>
      <c r="BF236">
        <f>IF(OR(BA$3="",BA$3&gt;TODAY()),"",IF(AND(BD236="",BE236=""),"",N(BE236)-N(BD236)))</f>
        <v/>
      </c>
      <c r="BJ236">
        <f>IF(OR(BH$3="",BH$3&gt;TODAY()),"",IF(AND(BH236="",BI236=""),"",N(BI236)-N(BH236)))</f>
        <v/>
      </c>
      <c r="BM236">
        <f>IF(OR(BH$3="",BH$3&gt;TODAY()),"",IF(AND(BK236="",BL236=""),"",N(BL236)-N(BK236)))</f>
        <v/>
      </c>
      <c r="BQ236">
        <f>IF(OR(BO$3="",BO$3&gt;TODAY()),"",IF(AND(BO236="",BP236=""),"",N(BP236)-N(BO236)))</f>
        <v/>
      </c>
      <c r="BT236">
        <f>IF(OR(BO$3="",BO$3&gt;TODAY()),"",IF(AND(BR236="",BS236=""),"",N(BS236)-N(BR236)))</f>
        <v/>
      </c>
      <c r="BX236">
        <f>IF(OR(BV$3="",BV$3&gt;TODAY()),"",IF(AND(BV236="",BW236=""),"",N(BW236)-N(BV236)))</f>
        <v/>
      </c>
      <c r="CA236">
        <f>IF(OR(BV$3="",BV$3&gt;TODAY()),"",IF(AND(BY236="",BZ236=""),"",N(BZ236)-N(BY236)))</f>
        <v/>
      </c>
      <c r="CE236">
        <f>IF(OR(CC$3="",CC$3&gt;TODAY()),"",IF(AND(CC236="",CD236=""),"",N(CD236)-N(CC236)))</f>
        <v/>
      </c>
      <c r="CH236">
        <f>IF(OR(CC$3="",CC$3&gt;TODAY()),"",IF(AND(CF236="",CG236=""),"",N(CG236)-N(CF236)))</f>
        <v/>
      </c>
      <c r="CL236">
        <f>IF(OR(CJ$3="",CJ$3&gt;TODAY()),"",IF(AND(CJ236="",CK236=""),"",N(CK236)-N(CJ236)))</f>
        <v/>
      </c>
      <c r="CO236">
        <f>IF(OR(CJ$3="",CJ$3&gt;TODAY()),"",IF(AND(CM236="",CN236=""),"",N(CN236)-N(CM236)))</f>
        <v/>
      </c>
      <c r="CS236">
        <f>IF(OR(CQ$3="",CQ$3&gt;TODAY()),"",IF(AND(CQ236="",CR236=""),"",N(CR236)-N(CQ236)))</f>
        <v/>
      </c>
      <c r="CV236">
        <f>IF(OR(CQ$3="",CQ$3&gt;TODAY()),"",IF(AND(CT236="",CU236=""),"",N(CU236)-N(CT236)))</f>
        <v/>
      </c>
      <c r="CZ236">
        <f>IF(OR(CX$3="",CX$3&gt;TODAY()),"",IF(AND(CX236="",CY236=""),"",N(CY236)-N(CX236)))</f>
        <v/>
      </c>
      <c r="DC236">
        <f>IF(OR(CX$3="",CX$3&gt;TODAY()),"",IF(AND(DA236="",DB236=""),"",N(DB236)-N(DA236)))</f>
        <v/>
      </c>
      <c r="DG236">
        <f>IF(OR(DE$3="",DE$3&gt;TODAY()),"",IF(AND(DE236="",DF236=""),"",N(DF236)-N(DE236)))</f>
        <v/>
      </c>
      <c r="DJ236">
        <f>IF(OR(DE$3="",DE$3&gt;TODAY()),"",IF(AND(DH236="",DI236=""),"",N(DI236)-N(DH236)))</f>
        <v/>
      </c>
      <c r="DN236">
        <f>IF(OR(DL$3="",DL$3&gt;TODAY()),"",IF(AND(DL236="",DM236=""),"",N(DM236)-N(DL236)))</f>
        <v/>
      </c>
      <c r="DQ236">
        <f>IF(OR(DL$3="",DL$3&gt;TODAY()),"",IF(AND(DO236="",DP236=""),"",N(DP236)-N(DO236)))</f>
        <v/>
      </c>
      <c r="DU236">
        <f>IF(OR(DS$3="",DS$3&gt;TODAY()),"",IF(AND(DS236="",DT236=""),"",N(DT236)-N(DS236)))</f>
        <v/>
      </c>
      <c r="DX236">
        <f>IF(OR(DS$3="",DS$3&gt;TODAY()),"",IF(AND(DV236="",DW236=""),"",N(DW236)-N(DV236)))</f>
        <v/>
      </c>
      <c r="EB236">
        <f>IF(OR(DZ$3="",DZ$3&gt;TODAY()),"",IF(AND(DZ236="",EA236=""),"",N(EA236)-N(DZ236)))</f>
        <v/>
      </c>
      <c r="EE236">
        <f>IF(OR(DZ$3="",DZ$3&gt;TODAY()),"",IF(AND(EC236="",ED236=""),"",N(ED236)-N(EC236)))</f>
        <v/>
      </c>
      <c r="EI236">
        <f>IF(OR(EG$3="",EG$3&gt;TODAY()),"",IF(AND(EG236="",EH236=""),"",N(EH236)-N(EG236)))</f>
        <v/>
      </c>
      <c r="EL236">
        <f>IF(OR(EG$3="",EG$3&gt;TODAY()),"",IF(AND(EJ236="",EK236=""),"",N(EK236)-N(EJ236)))</f>
        <v/>
      </c>
      <c r="EP236">
        <f>IF(OR(EN$3="",EN$3&gt;TODAY()),"",IF(AND(EN236="",EO236=""),"",N(EO236)-N(EN236)))</f>
        <v/>
      </c>
      <c r="ES236">
        <f>IF(OR(EN$3="",EN$3&gt;TODAY()),"",IF(AND(EQ236="",ER236=""),"",N(ER236)-N(EQ236)))</f>
        <v/>
      </c>
      <c r="EW236">
        <f>IF(OR(EU$3="",EU$3&gt;TODAY()),"",IF(AND(EU236="",EV236=""),"",N(EV236)-N(EU236)))</f>
        <v/>
      </c>
      <c r="EZ236">
        <f>IF(OR(EU$3="",EU$3&gt;TODAY()),"",IF(AND(EX236="",EY236=""),"",N(EY236)-N(EX236)))</f>
        <v/>
      </c>
      <c r="FD236">
        <f>IF(OR(FB$3="",FB$3&gt;TODAY()),"",IF(AND(FB236="",FC236=""),"",N(FC236)-N(FB236)))</f>
        <v/>
      </c>
      <c r="FG236">
        <f>IF(OR(FB$3="",FB$3&gt;TODAY()),"",IF(AND(FE236="",FF236=""),"",N(FF236)-N(FE236)))</f>
        <v/>
      </c>
      <c r="FK236">
        <f>IF(OR(FI$3="",FI$3&gt;TODAY()),"",IF(AND(FI236="",FJ236=""),"",N(FJ236)-N(FI236)))</f>
        <v/>
      </c>
      <c r="FN236">
        <f>IF(OR(FI$3="",FI$3&gt;TODAY()),"",IF(AND(FL236="",FM236=""),"",N(FM236)-N(FL236)))</f>
        <v/>
      </c>
      <c r="FR236">
        <f>IF(OR(FP$3="",FP$3&gt;TODAY()),"",IF(AND(FP236="",FQ236=""),"",N(FQ236)-N(FP236)))</f>
        <v/>
      </c>
      <c r="FU236">
        <f>IF(OR(FP$3="",FP$3&gt;TODAY()),"",IF(AND(FS236="",FT236=""),"",N(FT236)-N(FS236)))</f>
        <v/>
      </c>
      <c r="FY236">
        <f>IF(OR(FW$3="",FW$3&gt;TODAY()),"",IF(AND(FW236="",FX236=""),"",N(FX236)-N(FW236)))</f>
        <v/>
      </c>
      <c r="GB236">
        <f>IF(OR(FW$3="",FW$3&gt;TODAY()),"",IF(AND(FZ236="",GA236=""),"",N(GA236)-N(FZ236)))</f>
        <v/>
      </c>
      <c r="GF236">
        <f>IF(OR(GD$3="",GD$3&gt;TODAY()),"",IF(AND(GD236="",GE236=""),"",N(GE236)-N(GD236)))</f>
        <v/>
      </c>
      <c r="GI236">
        <f>IF(OR(GD$3="",GD$3&gt;TODAY()),"",IF(AND(GG236="",GH236=""),"",N(GH236)-N(GG236)))</f>
        <v/>
      </c>
      <c r="GM236">
        <f>IF(OR(GK$3="",GK$3&gt;TODAY()),"",IF(AND(GK236="",GL236=""),"",N(GL236)-N(GK236)))</f>
        <v/>
      </c>
      <c r="GP236">
        <f>IF(OR(GK$3="",GK$3&gt;TODAY()),"",IF(AND(GN236="",GO236=""),"",N(GO236)-N(GN236)))</f>
        <v/>
      </c>
      <c r="GT236">
        <f>IF(OR(GR$3="",GR$3&gt;TODAY()),"",IF(AND(GR236="",GS236=""),"",N(GS236)-N(GR236)))</f>
        <v/>
      </c>
      <c r="GW236">
        <f>IF(OR(GR$3="",GR$3&gt;TODAY()),"",IF(AND(GU236="",GV236=""),"",N(GV236)-N(GU236)))</f>
        <v/>
      </c>
      <c r="HA236">
        <f>IF(OR(GY$3="",GY$3&gt;TODAY()),"",IF(AND(GY236="",GZ236=""),"",N(GZ236)-N(GY236)))</f>
        <v/>
      </c>
      <c r="HD236">
        <f>IF(OR(GY$3="",GY$3&gt;TODAY()),"",IF(AND(HB236="",HC236=""),"",N(HC236)-N(HB236)))</f>
        <v/>
      </c>
      <c r="HH236">
        <f>IF(OR(HF$3="",HF$3&gt;TODAY()),"",IF(AND(HF236="",HG236=""),"",N(HG236)-N(HF236)))</f>
        <v/>
      </c>
      <c r="HK236">
        <f>IF(OR(HF$3="",HF$3&gt;TODAY()),"",IF(AND(HI236="",HJ236=""),"",N(HJ236)-N(HI236)))</f>
        <v/>
      </c>
      <c r="HO236">
        <f>IF(OR(HM$3="",HM$3&gt;TODAY()),"",IF(AND(HM236="",HN236=""),"",N(HN236)-N(HM236)))</f>
        <v/>
      </c>
      <c r="HR236">
        <f>IF(OR(HM$3="",HM$3&gt;TODAY()),"",IF(AND(HP236="",HQ236=""),"",N(HQ236)-N(HP236)))</f>
        <v/>
      </c>
      <c r="HV236">
        <f>IF(OR(HT$3="",HT$3&gt;TODAY()),"",IF(AND(HT236="",HU236=""),"",N(HU236)-N(HT236)))</f>
        <v/>
      </c>
      <c r="HY236">
        <f>IF(OR(HT$3="",HT$3&gt;TODAY()),"",IF(AND(HW236="",HX236=""),"",N(HX236)-N(HW236)))</f>
        <v/>
      </c>
      <c r="IC236">
        <f>IF(OR(IA$3="",IA$3&gt;TODAY()),"",IF(AND(IA236="",IB236=""),"",N(IB236)-N(IA236)))</f>
        <v/>
      </c>
      <c r="IF236">
        <f>IF(OR(IA$3="",IA$3&gt;TODAY()),"",IF(AND(ID236="",IE236=""),"",N(IE236)-N(ID236)))</f>
        <v/>
      </c>
      <c r="IJ236">
        <f>IF(OR(IH$3="",IH$3&gt;TODAY()),"",IF(AND(IH236="",II236=""),"",N(II236)-N(IH236)))</f>
        <v/>
      </c>
      <c r="IM236">
        <f>IF(OR(IH$3="",IH$3&gt;TODAY()),"",IF(AND(IK236="",IL236=""),"",N(IL236)-N(IK236)))</f>
        <v/>
      </c>
    </row>
    <row r="237">
      <c r="A237" s="21" t="n"/>
      <c r="B237" s="21" t="n"/>
      <c r="C237" s="21" t="n"/>
      <c r="D237" s="21" t="n"/>
      <c r="E237" s="21" t="n"/>
      <c r="F237" s="21" t="n"/>
      <c r="G237" s="21" t="n"/>
      <c r="H237" s="21" t="n"/>
      <c r="I237" s="22" t="n"/>
      <c r="J237" s="22" t="n"/>
      <c r="K237" s="23" t="n"/>
      <c r="L237" s="22" t="n"/>
      <c r="M237" s="22" t="n"/>
      <c r="N237" s="21" t="n"/>
      <c r="O237" s="23" t="n"/>
      <c r="P237" s="23" t="n"/>
      <c r="Q237" s="23" t="n"/>
      <c r="R237" s="23" t="n"/>
      <c r="S237" s="22" t="n"/>
      <c r="T237" s="23" t="n"/>
      <c r="U237" s="23" t="n"/>
      <c r="V237" s="24">
        <f>IF(J237&lt;&gt;"",J237,IF(I237&lt;&gt;"",I237,""))</f>
        <v/>
      </c>
      <c r="W237" s="25">
        <f>IF($E237="","",N(O237)+SUMIFS($AF237:$IN237,$AF$4:$IN$4,"SEW_ACT"))</f>
        <v/>
      </c>
      <c r="X237" s="25">
        <f>IF($E237="","",N(P237)+SUMIFS($AF237:$IN237,$AF$4:$IN$4,"WASH_ACT"))</f>
        <v/>
      </c>
      <c r="Y237" s="25">
        <f>IF($E237="","",W237-X237-N(T237)-N(U237))</f>
        <v/>
      </c>
      <c r="Z237" s="25">
        <f>IF($E237="","",IF(N(K237)-X237&lt;=0.02*N(K237),0,N(K237)-X237))</f>
        <v/>
      </c>
      <c r="AA237" s="24">
        <f>IF($E237="","",IF(S237&lt;&gt;"",S237,IF(N(O237)&gt;0,IF(L237&lt;&gt;"",L237,99999),IFERROR(1/(1/_xlfn.MINIFS($AF$3:$IN$3,$AF$4:$IN$4,"SEW_ACT",$AF237:$IN237,"&gt;0")),99999))))</f>
        <v/>
      </c>
      <c r="AB237" s="26">
        <f>IF(OR($E237="",Z237=0,V237=""),"",1+COUNTIFS(Z$8:Z$707,"&gt;0",V$8:V$707,"&lt;"&amp;V237)+COUNTIFS(Z$8:Z$707,"&gt;0",V$8:V$707,V237,AA$8:AA$707,"&lt;"&amp;AA237)+COUNTIFS(Z$8:Z$707,"&gt;0",V$8:V$707,V237,AA$8:AA$707,AA237,E$8:E$707,"&lt;"&amp;$E237))</f>
        <v/>
      </c>
      <c r="AC237" s="24">
        <f>IF(OR($E237="",Z237=0),"",IFERROR(TODAY()+ROUNDUP(Z237/(SUMIFS($AF237:$IN237,$AF$4:$IN$4,"WASH_ACT")/COUNTIFS($AF$4:$IN$4,"WASH_ACT",$AF237:$IN237,"&gt;0")),0),"no output yet"))</f>
        <v/>
      </c>
      <c r="AD237" s="26">
        <f>IF($E237="","",IFERROR(ROUND(MAX(0,SUMIFS($AF237:$IN237,$AF$4:$IN$4,"SEW_PLAN",$AF$3:$IN$3,"&lt;="&amp;TODAY())-SUMIFS($AF237:$IN237,$AF$4:$IN$4,"SEW_ACT",$AF$3:$IN$3,"&lt;="&amp;TODAY())+N(Q237))/(SUMIFS($AF237:$IN237,$AF$4:$IN$4,"SEW_PLAN")/COUNTIFS($AF$4:$IN$4,"SEW_PLAN",$AF237:$IN237,"&gt;0")),1),0))</f>
        <v/>
      </c>
      <c r="AE237" s="26">
        <f>IF($E237="","",IF(AND(Z237&gt;0,OR(AND(M237&lt;&gt;"",TODAY()&gt;M237),AND(V237&lt;&gt;"",V237-TODAY()&lt;=7))),"Yes","No"))</f>
        <v/>
      </c>
      <c r="AH237">
        <f>IF(OR(AF$3="",AF$3&gt;TODAY()),"",IF(AND(AF237="",AG237=""),"",N(AG237)-N(AF237)))</f>
        <v/>
      </c>
      <c r="AK237">
        <f>IF(OR(AF$3="",AF$3&gt;TODAY()),"",IF(AND(AI237="",AJ237=""),"",N(AJ237)-N(AI237)))</f>
        <v/>
      </c>
      <c r="AO237">
        <f>IF(OR(AM$3="",AM$3&gt;TODAY()),"",IF(AND(AM237="",AN237=""),"",N(AN237)-N(AM237)))</f>
        <v/>
      </c>
      <c r="AR237">
        <f>IF(OR(AM$3="",AM$3&gt;TODAY()),"",IF(AND(AP237="",AQ237=""),"",N(AQ237)-N(AP237)))</f>
        <v/>
      </c>
      <c r="AV237">
        <f>IF(OR(AT$3="",AT$3&gt;TODAY()),"",IF(AND(AT237="",AU237=""),"",N(AU237)-N(AT237)))</f>
        <v/>
      </c>
      <c r="AY237">
        <f>IF(OR(AT$3="",AT$3&gt;TODAY()),"",IF(AND(AW237="",AX237=""),"",N(AX237)-N(AW237)))</f>
        <v/>
      </c>
      <c r="BC237">
        <f>IF(OR(BA$3="",BA$3&gt;TODAY()),"",IF(AND(BA237="",BB237=""),"",N(BB237)-N(BA237)))</f>
        <v/>
      </c>
      <c r="BF237">
        <f>IF(OR(BA$3="",BA$3&gt;TODAY()),"",IF(AND(BD237="",BE237=""),"",N(BE237)-N(BD237)))</f>
        <v/>
      </c>
      <c r="BJ237">
        <f>IF(OR(BH$3="",BH$3&gt;TODAY()),"",IF(AND(BH237="",BI237=""),"",N(BI237)-N(BH237)))</f>
        <v/>
      </c>
      <c r="BM237">
        <f>IF(OR(BH$3="",BH$3&gt;TODAY()),"",IF(AND(BK237="",BL237=""),"",N(BL237)-N(BK237)))</f>
        <v/>
      </c>
      <c r="BQ237">
        <f>IF(OR(BO$3="",BO$3&gt;TODAY()),"",IF(AND(BO237="",BP237=""),"",N(BP237)-N(BO237)))</f>
        <v/>
      </c>
      <c r="BT237">
        <f>IF(OR(BO$3="",BO$3&gt;TODAY()),"",IF(AND(BR237="",BS237=""),"",N(BS237)-N(BR237)))</f>
        <v/>
      </c>
      <c r="BX237">
        <f>IF(OR(BV$3="",BV$3&gt;TODAY()),"",IF(AND(BV237="",BW237=""),"",N(BW237)-N(BV237)))</f>
        <v/>
      </c>
      <c r="CA237">
        <f>IF(OR(BV$3="",BV$3&gt;TODAY()),"",IF(AND(BY237="",BZ237=""),"",N(BZ237)-N(BY237)))</f>
        <v/>
      </c>
      <c r="CE237">
        <f>IF(OR(CC$3="",CC$3&gt;TODAY()),"",IF(AND(CC237="",CD237=""),"",N(CD237)-N(CC237)))</f>
        <v/>
      </c>
      <c r="CH237">
        <f>IF(OR(CC$3="",CC$3&gt;TODAY()),"",IF(AND(CF237="",CG237=""),"",N(CG237)-N(CF237)))</f>
        <v/>
      </c>
      <c r="CL237">
        <f>IF(OR(CJ$3="",CJ$3&gt;TODAY()),"",IF(AND(CJ237="",CK237=""),"",N(CK237)-N(CJ237)))</f>
        <v/>
      </c>
      <c r="CO237">
        <f>IF(OR(CJ$3="",CJ$3&gt;TODAY()),"",IF(AND(CM237="",CN237=""),"",N(CN237)-N(CM237)))</f>
        <v/>
      </c>
      <c r="CS237">
        <f>IF(OR(CQ$3="",CQ$3&gt;TODAY()),"",IF(AND(CQ237="",CR237=""),"",N(CR237)-N(CQ237)))</f>
        <v/>
      </c>
      <c r="CV237">
        <f>IF(OR(CQ$3="",CQ$3&gt;TODAY()),"",IF(AND(CT237="",CU237=""),"",N(CU237)-N(CT237)))</f>
        <v/>
      </c>
      <c r="CZ237">
        <f>IF(OR(CX$3="",CX$3&gt;TODAY()),"",IF(AND(CX237="",CY237=""),"",N(CY237)-N(CX237)))</f>
        <v/>
      </c>
      <c r="DC237">
        <f>IF(OR(CX$3="",CX$3&gt;TODAY()),"",IF(AND(DA237="",DB237=""),"",N(DB237)-N(DA237)))</f>
        <v/>
      </c>
      <c r="DG237">
        <f>IF(OR(DE$3="",DE$3&gt;TODAY()),"",IF(AND(DE237="",DF237=""),"",N(DF237)-N(DE237)))</f>
        <v/>
      </c>
      <c r="DJ237">
        <f>IF(OR(DE$3="",DE$3&gt;TODAY()),"",IF(AND(DH237="",DI237=""),"",N(DI237)-N(DH237)))</f>
        <v/>
      </c>
      <c r="DN237">
        <f>IF(OR(DL$3="",DL$3&gt;TODAY()),"",IF(AND(DL237="",DM237=""),"",N(DM237)-N(DL237)))</f>
        <v/>
      </c>
      <c r="DQ237">
        <f>IF(OR(DL$3="",DL$3&gt;TODAY()),"",IF(AND(DO237="",DP237=""),"",N(DP237)-N(DO237)))</f>
        <v/>
      </c>
      <c r="DU237">
        <f>IF(OR(DS$3="",DS$3&gt;TODAY()),"",IF(AND(DS237="",DT237=""),"",N(DT237)-N(DS237)))</f>
        <v/>
      </c>
      <c r="DX237">
        <f>IF(OR(DS$3="",DS$3&gt;TODAY()),"",IF(AND(DV237="",DW237=""),"",N(DW237)-N(DV237)))</f>
        <v/>
      </c>
      <c r="EB237">
        <f>IF(OR(DZ$3="",DZ$3&gt;TODAY()),"",IF(AND(DZ237="",EA237=""),"",N(EA237)-N(DZ237)))</f>
        <v/>
      </c>
      <c r="EE237">
        <f>IF(OR(DZ$3="",DZ$3&gt;TODAY()),"",IF(AND(EC237="",ED237=""),"",N(ED237)-N(EC237)))</f>
        <v/>
      </c>
      <c r="EI237">
        <f>IF(OR(EG$3="",EG$3&gt;TODAY()),"",IF(AND(EG237="",EH237=""),"",N(EH237)-N(EG237)))</f>
        <v/>
      </c>
      <c r="EL237">
        <f>IF(OR(EG$3="",EG$3&gt;TODAY()),"",IF(AND(EJ237="",EK237=""),"",N(EK237)-N(EJ237)))</f>
        <v/>
      </c>
      <c r="EP237">
        <f>IF(OR(EN$3="",EN$3&gt;TODAY()),"",IF(AND(EN237="",EO237=""),"",N(EO237)-N(EN237)))</f>
        <v/>
      </c>
      <c r="ES237">
        <f>IF(OR(EN$3="",EN$3&gt;TODAY()),"",IF(AND(EQ237="",ER237=""),"",N(ER237)-N(EQ237)))</f>
        <v/>
      </c>
      <c r="EW237">
        <f>IF(OR(EU$3="",EU$3&gt;TODAY()),"",IF(AND(EU237="",EV237=""),"",N(EV237)-N(EU237)))</f>
        <v/>
      </c>
      <c r="EZ237">
        <f>IF(OR(EU$3="",EU$3&gt;TODAY()),"",IF(AND(EX237="",EY237=""),"",N(EY237)-N(EX237)))</f>
        <v/>
      </c>
      <c r="FD237">
        <f>IF(OR(FB$3="",FB$3&gt;TODAY()),"",IF(AND(FB237="",FC237=""),"",N(FC237)-N(FB237)))</f>
        <v/>
      </c>
      <c r="FG237">
        <f>IF(OR(FB$3="",FB$3&gt;TODAY()),"",IF(AND(FE237="",FF237=""),"",N(FF237)-N(FE237)))</f>
        <v/>
      </c>
      <c r="FK237">
        <f>IF(OR(FI$3="",FI$3&gt;TODAY()),"",IF(AND(FI237="",FJ237=""),"",N(FJ237)-N(FI237)))</f>
        <v/>
      </c>
      <c r="FN237">
        <f>IF(OR(FI$3="",FI$3&gt;TODAY()),"",IF(AND(FL237="",FM237=""),"",N(FM237)-N(FL237)))</f>
        <v/>
      </c>
      <c r="FR237">
        <f>IF(OR(FP$3="",FP$3&gt;TODAY()),"",IF(AND(FP237="",FQ237=""),"",N(FQ237)-N(FP237)))</f>
        <v/>
      </c>
      <c r="FU237">
        <f>IF(OR(FP$3="",FP$3&gt;TODAY()),"",IF(AND(FS237="",FT237=""),"",N(FT237)-N(FS237)))</f>
        <v/>
      </c>
      <c r="FY237">
        <f>IF(OR(FW$3="",FW$3&gt;TODAY()),"",IF(AND(FW237="",FX237=""),"",N(FX237)-N(FW237)))</f>
        <v/>
      </c>
      <c r="GB237">
        <f>IF(OR(FW$3="",FW$3&gt;TODAY()),"",IF(AND(FZ237="",GA237=""),"",N(GA237)-N(FZ237)))</f>
        <v/>
      </c>
      <c r="GF237">
        <f>IF(OR(GD$3="",GD$3&gt;TODAY()),"",IF(AND(GD237="",GE237=""),"",N(GE237)-N(GD237)))</f>
        <v/>
      </c>
      <c r="GI237">
        <f>IF(OR(GD$3="",GD$3&gt;TODAY()),"",IF(AND(GG237="",GH237=""),"",N(GH237)-N(GG237)))</f>
        <v/>
      </c>
      <c r="GM237">
        <f>IF(OR(GK$3="",GK$3&gt;TODAY()),"",IF(AND(GK237="",GL237=""),"",N(GL237)-N(GK237)))</f>
        <v/>
      </c>
      <c r="GP237">
        <f>IF(OR(GK$3="",GK$3&gt;TODAY()),"",IF(AND(GN237="",GO237=""),"",N(GO237)-N(GN237)))</f>
        <v/>
      </c>
      <c r="GT237">
        <f>IF(OR(GR$3="",GR$3&gt;TODAY()),"",IF(AND(GR237="",GS237=""),"",N(GS237)-N(GR237)))</f>
        <v/>
      </c>
      <c r="GW237">
        <f>IF(OR(GR$3="",GR$3&gt;TODAY()),"",IF(AND(GU237="",GV237=""),"",N(GV237)-N(GU237)))</f>
        <v/>
      </c>
      <c r="HA237">
        <f>IF(OR(GY$3="",GY$3&gt;TODAY()),"",IF(AND(GY237="",GZ237=""),"",N(GZ237)-N(GY237)))</f>
        <v/>
      </c>
      <c r="HD237">
        <f>IF(OR(GY$3="",GY$3&gt;TODAY()),"",IF(AND(HB237="",HC237=""),"",N(HC237)-N(HB237)))</f>
        <v/>
      </c>
      <c r="HH237">
        <f>IF(OR(HF$3="",HF$3&gt;TODAY()),"",IF(AND(HF237="",HG237=""),"",N(HG237)-N(HF237)))</f>
        <v/>
      </c>
      <c r="HK237">
        <f>IF(OR(HF$3="",HF$3&gt;TODAY()),"",IF(AND(HI237="",HJ237=""),"",N(HJ237)-N(HI237)))</f>
        <v/>
      </c>
      <c r="HO237">
        <f>IF(OR(HM$3="",HM$3&gt;TODAY()),"",IF(AND(HM237="",HN237=""),"",N(HN237)-N(HM237)))</f>
        <v/>
      </c>
      <c r="HR237">
        <f>IF(OR(HM$3="",HM$3&gt;TODAY()),"",IF(AND(HP237="",HQ237=""),"",N(HQ237)-N(HP237)))</f>
        <v/>
      </c>
      <c r="HV237">
        <f>IF(OR(HT$3="",HT$3&gt;TODAY()),"",IF(AND(HT237="",HU237=""),"",N(HU237)-N(HT237)))</f>
        <v/>
      </c>
      <c r="HY237">
        <f>IF(OR(HT$3="",HT$3&gt;TODAY()),"",IF(AND(HW237="",HX237=""),"",N(HX237)-N(HW237)))</f>
        <v/>
      </c>
      <c r="IC237">
        <f>IF(OR(IA$3="",IA$3&gt;TODAY()),"",IF(AND(IA237="",IB237=""),"",N(IB237)-N(IA237)))</f>
        <v/>
      </c>
      <c r="IF237">
        <f>IF(OR(IA$3="",IA$3&gt;TODAY()),"",IF(AND(ID237="",IE237=""),"",N(IE237)-N(ID237)))</f>
        <v/>
      </c>
      <c r="IJ237">
        <f>IF(OR(IH$3="",IH$3&gt;TODAY()),"",IF(AND(IH237="",II237=""),"",N(II237)-N(IH237)))</f>
        <v/>
      </c>
      <c r="IM237">
        <f>IF(OR(IH$3="",IH$3&gt;TODAY()),"",IF(AND(IK237="",IL237=""),"",N(IL237)-N(IK237)))</f>
        <v/>
      </c>
    </row>
    <row r="238">
      <c r="A238" s="21" t="n"/>
      <c r="B238" s="21" t="n"/>
      <c r="C238" s="21" t="n"/>
      <c r="D238" s="21" t="n"/>
      <c r="E238" s="21" t="n"/>
      <c r="F238" s="21" t="n"/>
      <c r="G238" s="21" t="n"/>
      <c r="H238" s="21" t="n"/>
      <c r="I238" s="22" t="n"/>
      <c r="J238" s="22" t="n"/>
      <c r="K238" s="23" t="n"/>
      <c r="L238" s="22" t="n"/>
      <c r="M238" s="22" t="n"/>
      <c r="N238" s="21" t="n"/>
      <c r="O238" s="23" t="n"/>
      <c r="P238" s="23" t="n"/>
      <c r="Q238" s="23" t="n"/>
      <c r="R238" s="23" t="n"/>
      <c r="S238" s="22" t="n"/>
      <c r="T238" s="23" t="n"/>
      <c r="U238" s="23" t="n"/>
      <c r="V238" s="24">
        <f>IF(J238&lt;&gt;"",J238,IF(I238&lt;&gt;"",I238,""))</f>
        <v/>
      </c>
      <c r="W238" s="25">
        <f>IF($E238="","",N(O238)+SUMIFS($AF238:$IN238,$AF$4:$IN$4,"SEW_ACT"))</f>
        <v/>
      </c>
      <c r="X238" s="25">
        <f>IF($E238="","",N(P238)+SUMIFS($AF238:$IN238,$AF$4:$IN$4,"WASH_ACT"))</f>
        <v/>
      </c>
      <c r="Y238" s="25">
        <f>IF($E238="","",W238-X238-N(T238)-N(U238))</f>
        <v/>
      </c>
      <c r="Z238" s="25">
        <f>IF($E238="","",IF(N(K238)-X238&lt;=0.02*N(K238),0,N(K238)-X238))</f>
        <v/>
      </c>
      <c r="AA238" s="24">
        <f>IF($E238="","",IF(S238&lt;&gt;"",S238,IF(N(O238)&gt;0,IF(L238&lt;&gt;"",L238,99999),IFERROR(1/(1/_xlfn.MINIFS($AF$3:$IN$3,$AF$4:$IN$4,"SEW_ACT",$AF238:$IN238,"&gt;0")),99999))))</f>
        <v/>
      </c>
      <c r="AB238" s="26">
        <f>IF(OR($E238="",Z238=0,V238=""),"",1+COUNTIFS(Z$8:Z$707,"&gt;0",V$8:V$707,"&lt;"&amp;V238)+COUNTIFS(Z$8:Z$707,"&gt;0",V$8:V$707,V238,AA$8:AA$707,"&lt;"&amp;AA238)+COUNTIFS(Z$8:Z$707,"&gt;0",V$8:V$707,V238,AA$8:AA$707,AA238,E$8:E$707,"&lt;"&amp;$E238))</f>
        <v/>
      </c>
      <c r="AC238" s="24">
        <f>IF(OR($E238="",Z238=0),"",IFERROR(TODAY()+ROUNDUP(Z238/(SUMIFS($AF238:$IN238,$AF$4:$IN$4,"WASH_ACT")/COUNTIFS($AF$4:$IN$4,"WASH_ACT",$AF238:$IN238,"&gt;0")),0),"no output yet"))</f>
        <v/>
      </c>
      <c r="AD238" s="26">
        <f>IF($E238="","",IFERROR(ROUND(MAX(0,SUMIFS($AF238:$IN238,$AF$4:$IN$4,"SEW_PLAN",$AF$3:$IN$3,"&lt;="&amp;TODAY())-SUMIFS($AF238:$IN238,$AF$4:$IN$4,"SEW_ACT",$AF$3:$IN$3,"&lt;="&amp;TODAY())+N(Q238))/(SUMIFS($AF238:$IN238,$AF$4:$IN$4,"SEW_PLAN")/COUNTIFS($AF$4:$IN$4,"SEW_PLAN",$AF238:$IN238,"&gt;0")),1),0))</f>
        <v/>
      </c>
      <c r="AE238" s="26">
        <f>IF($E238="","",IF(AND(Z238&gt;0,OR(AND(M238&lt;&gt;"",TODAY()&gt;M238),AND(V238&lt;&gt;"",V238-TODAY()&lt;=7))),"Yes","No"))</f>
        <v/>
      </c>
      <c r="AH238">
        <f>IF(OR(AF$3="",AF$3&gt;TODAY()),"",IF(AND(AF238="",AG238=""),"",N(AG238)-N(AF238)))</f>
        <v/>
      </c>
      <c r="AK238">
        <f>IF(OR(AF$3="",AF$3&gt;TODAY()),"",IF(AND(AI238="",AJ238=""),"",N(AJ238)-N(AI238)))</f>
        <v/>
      </c>
      <c r="AO238">
        <f>IF(OR(AM$3="",AM$3&gt;TODAY()),"",IF(AND(AM238="",AN238=""),"",N(AN238)-N(AM238)))</f>
        <v/>
      </c>
      <c r="AR238">
        <f>IF(OR(AM$3="",AM$3&gt;TODAY()),"",IF(AND(AP238="",AQ238=""),"",N(AQ238)-N(AP238)))</f>
        <v/>
      </c>
      <c r="AV238">
        <f>IF(OR(AT$3="",AT$3&gt;TODAY()),"",IF(AND(AT238="",AU238=""),"",N(AU238)-N(AT238)))</f>
        <v/>
      </c>
      <c r="AY238">
        <f>IF(OR(AT$3="",AT$3&gt;TODAY()),"",IF(AND(AW238="",AX238=""),"",N(AX238)-N(AW238)))</f>
        <v/>
      </c>
      <c r="BC238">
        <f>IF(OR(BA$3="",BA$3&gt;TODAY()),"",IF(AND(BA238="",BB238=""),"",N(BB238)-N(BA238)))</f>
        <v/>
      </c>
      <c r="BF238">
        <f>IF(OR(BA$3="",BA$3&gt;TODAY()),"",IF(AND(BD238="",BE238=""),"",N(BE238)-N(BD238)))</f>
        <v/>
      </c>
      <c r="BJ238">
        <f>IF(OR(BH$3="",BH$3&gt;TODAY()),"",IF(AND(BH238="",BI238=""),"",N(BI238)-N(BH238)))</f>
        <v/>
      </c>
      <c r="BM238">
        <f>IF(OR(BH$3="",BH$3&gt;TODAY()),"",IF(AND(BK238="",BL238=""),"",N(BL238)-N(BK238)))</f>
        <v/>
      </c>
      <c r="BQ238">
        <f>IF(OR(BO$3="",BO$3&gt;TODAY()),"",IF(AND(BO238="",BP238=""),"",N(BP238)-N(BO238)))</f>
        <v/>
      </c>
      <c r="BT238">
        <f>IF(OR(BO$3="",BO$3&gt;TODAY()),"",IF(AND(BR238="",BS238=""),"",N(BS238)-N(BR238)))</f>
        <v/>
      </c>
      <c r="BX238">
        <f>IF(OR(BV$3="",BV$3&gt;TODAY()),"",IF(AND(BV238="",BW238=""),"",N(BW238)-N(BV238)))</f>
        <v/>
      </c>
      <c r="CA238">
        <f>IF(OR(BV$3="",BV$3&gt;TODAY()),"",IF(AND(BY238="",BZ238=""),"",N(BZ238)-N(BY238)))</f>
        <v/>
      </c>
      <c r="CE238">
        <f>IF(OR(CC$3="",CC$3&gt;TODAY()),"",IF(AND(CC238="",CD238=""),"",N(CD238)-N(CC238)))</f>
        <v/>
      </c>
      <c r="CH238">
        <f>IF(OR(CC$3="",CC$3&gt;TODAY()),"",IF(AND(CF238="",CG238=""),"",N(CG238)-N(CF238)))</f>
        <v/>
      </c>
      <c r="CL238">
        <f>IF(OR(CJ$3="",CJ$3&gt;TODAY()),"",IF(AND(CJ238="",CK238=""),"",N(CK238)-N(CJ238)))</f>
        <v/>
      </c>
      <c r="CO238">
        <f>IF(OR(CJ$3="",CJ$3&gt;TODAY()),"",IF(AND(CM238="",CN238=""),"",N(CN238)-N(CM238)))</f>
        <v/>
      </c>
      <c r="CS238">
        <f>IF(OR(CQ$3="",CQ$3&gt;TODAY()),"",IF(AND(CQ238="",CR238=""),"",N(CR238)-N(CQ238)))</f>
        <v/>
      </c>
      <c r="CV238">
        <f>IF(OR(CQ$3="",CQ$3&gt;TODAY()),"",IF(AND(CT238="",CU238=""),"",N(CU238)-N(CT238)))</f>
        <v/>
      </c>
      <c r="CZ238">
        <f>IF(OR(CX$3="",CX$3&gt;TODAY()),"",IF(AND(CX238="",CY238=""),"",N(CY238)-N(CX238)))</f>
        <v/>
      </c>
      <c r="DC238">
        <f>IF(OR(CX$3="",CX$3&gt;TODAY()),"",IF(AND(DA238="",DB238=""),"",N(DB238)-N(DA238)))</f>
        <v/>
      </c>
      <c r="DG238">
        <f>IF(OR(DE$3="",DE$3&gt;TODAY()),"",IF(AND(DE238="",DF238=""),"",N(DF238)-N(DE238)))</f>
        <v/>
      </c>
      <c r="DJ238">
        <f>IF(OR(DE$3="",DE$3&gt;TODAY()),"",IF(AND(DH238="",DI238=""),"",N(DI238)-N(DH238)))</f>
        <v/>
      </c>
      <c r="DN238">
        <f>IF(OR(DL$3="",DL$3&gt;TODAY()),"",IF(AND(DL238="",DM238=""),"",N(DM238)-N(DL238)))</f>
        <v/>
      </c>
      <c r="DQ238">
        <f>IF(OR(DL$3="",DL$3&gt;TODAY()),"",IF(AND(DO238="",DP238=""),"",N(DP238)-N(DO238)))</f>
        <v/>
      </c>
      <c r="DU238">
        <f>IF(OR(DS$3="",DS$3&gt;TODAY()),"",IF(AND(DS238="",DT238=""),"",N(DT238)-N(DS238)))</f>
        <v/>
      </c>
      <c r="DX238">
        <f>IF(OR(DS$3="",DS$3&gt;TODAY()),"",IF(AND(DV238="",DW238=""),"",N(DW238)-N(DV238)))</f>
        <v/>
      </c>
      <c r="EB238">
        <f>IF(OR(DZ$3="",DZ$3&gt;TODAY()),"",IF(AND(DZ238="",EA238=""),"",N(EA238)-N(DZ238)))</f>
        <v/>
      </c>
      <c r="EE238">
        <f>IF(OR(DZ$3="",DZ$3&gt;TODAY()),"",IF(AND(EC238="",ED238=""),"",N(ED238)-N(EC238)))</f>
        <v/>
      </c>
      <c r="EI238">
        <f>IF(OR(EG$3="",EG$3&gt;TODAY()),"",IF(AND(EG238="",EH238=""),"",N(EH238)-N(EG238)))</f>
        <v/>
      </c>
      <c r="EL238">
        <f>IF(OR(EG$3="",EG$3&gt;TODAY()),"",IF(AND(EJ238="",EK238=""),"",N(EK238)-N(EJ238)))</f>
        <v/>
      </c>
      <c r="EP238">
        <f>IF(OR(EN$3="",EN$3&gt;TODAY()),"",IF(AND(EN238="",EO238=""),"",N(EO238)-N(EN238)))</f>
        <v/>
      </c>
      <c r="ES238">
        <f>IF(OR(EN$3="",EN$3&gt;TODAY()),"",IF(AND(EQ238="",ER238=""),"",N(ER238)-N(EQ238)))</f>
        <v/>
      </c>
      <c r="EW238">
        <f>IF(OR(EU$3="",EU$3&gt;TODAY()),"",IF(AND(EU238="",EV238=""),"",N(EV238)-N(EU238)))</f>
        <v/>
      </c>
      <c r="EZ238">
        <f>IF(OR(EU$3="",EU$3&gt;TODAY()),"",IF(AND(EX238="",EY238=""),"",N(EY238)-N(EX238)))</f>
        <v/>
      </c>
      <c r="FD238">
        <f>IF(OR(FB$3="",FB$3&gt;TODAY()),"",IF(AND(FB238="",FC238=""),"",N(FC238)-N(FB238)))</f>
        <v/>
      </c>
      <c r="FG238">
        <f>IF(OR(FB$3="",FB$3&gt;TODAY()),"",IF(AND(FE238="",FF238=""),"",N(FF238)-N(FE238)))</f>
        <v/>
      </c>
      <c r="FK238">
        <f>IF(OR(FI$3="",FI$3&gt;TODAY()),"",IF(AND(FI238="",FJ238=""),"",N(FJ238)-N(FI238)))</f>
        <v/>
      </c>
      <c r="FN238">
        <f>IF(OR(FI$3="",FI$3&gt;TODAY()),"",IF(AND(FL238="",FM238=""),"",N(FM238)-N(FL238)))</f>
        <v/>
      </c>
      <c r="FR238">
        <f>IF(OR(FP$3="",FP$3&gt;TODAY()),"",IF(AND(FP238="",FQ238=""),"",N(FQ238)-N(FP238)))</f>
        <v/>
      </c>
      <c r="FU238">
        <f>IF(OR(FP$3="",FP$3&gt;TODAY()),"",IF(AND(FS238="",FT238=""),"",N(FT238)-N(FS238)))</f>
        <v/>
      </c>
      <c r="FY238">
        <f>IF(OR(FW$3="",FW$3&gt;TODAY()),"",IF(AND(FW238="",FX238=""),"",N(FX238)-N(FW238)))</f>
        <v/>
      </c>
      <c r="GB238">
        <f>IF(OR(FW$3="",FW$3&gt;TODAY()),"",IF(AND(FZ238="",GA238=""),"",N(GA238)-N(FZ238)))</f>
        <v/>
      </c>
      <c r="GF238">
        <f>IF(OR(GD$3="",GD$3&gt;TODAY()),"",IF(AND(GD238="",GE238=""),"",N(GE238)-N(GD238)))</f>
        <v/>
      </c>
      <c r="GI238">
        <f>IF(OR(GD$3="",GD$3&gt;TODAY()),"",IF(AND(GG238="",GH238=""),"",N(GH238)-N(GG238)))</f>
        <v/>
      </c>
      <c r="GM238">
        <f>IF(OR(GK$3="",GK$3&gt;TODAY()),"",IF(AND(GK238="",GL238=""),"",N(GL238)-N(GK238)))</f>
        <v/>
      </c>
      <c r="GP238">
        <f>IF(OR(GK$3="",GK$3&gt;TODAY()),"",IF(AND(GN238="",GO238=""),"",N(GO238)-N(GN238)))</f>
        <v/>
      </c>
      <c r="GT238">
        <f>IF(OR(GR$3="",GR$3&gt;TODAY()),"",IF(AND(GR238="",GS238=""),"",N(GS238)-N(GR238)))</f>
        <v/>
      </c>
      <c r="GW238">
        <f>IF(OR(GR$3="",GR$3&gt;TODAY()),"",IF(AND(GU238="",GV238=""),"",N(GV238)-N(GU238)))</f>
        <v/>
      </c>
      <c r="HA238">
        <f>IF(OR(GY$3="",GY$3&gt;TODAY()),"",IF(AND(GY238="",GZ238=""),"",N(GZ238)-N(GY238)))</f>
        <v/>
      </c>
      <c r="HD238">
        <f>IF(OR(GY$3="",GY$3&gt;TODAY()),"",IF(AND(HB238="",HC238=""),"",N(HC238)-N(HB238)))</f>
        <v/>
      </c>
      <c r="HH238">
        <f>IF(OR(HF$3="",HF$3&gt;TODAY()),"",IF(AND(HF238="",HG238=""),"",N(HG238)-N(HF238)))</f>
        <v/>
      </c>
      <c r="HK238">
        <f>IF(OR(HF$3="",HF$3&gt;TODAY()),"",IF(AND(HI238="",HJ238=""),"",N(HJ238)-N(HI238)))</f>
        <v/>
      </c>
      <c r="HO238">
        <f>IF(OR(HM$3="",HM$3&gt;TODAY()),"",IF(AND(HM238="",HN238=""),"",N(HN238)-N(HM238)))</f>
        <v/>
      </c>
      <c r="HR238">
        <f>IF(OR(HM$3="",HM$3&gt;TODAY()),"",IF(AND(HP238="",HQ238=""),"",N(HQ238)-N(HP238)))</f>
        <v/>
      </c>
      <c r="HV238">
        <f>IF(OR(HT$3="",HT$3&gt;TODAY()),"",IF(AND(HT238="",HU238=""),"",N(HU238)-N(HT238)))</f>
        <v/>
      </c>
      <c r="HY238">
        <f>IF(OR(HT$3="",HT$3&gt;TODAY()),"",IF(AND(HW238="",HX238=""),"",N(HX238)-N(HW238)))</f>
        <v/>
      </c>
      <c r="IC238">
        <f>IF(OR(IA$3="",IA$3&gt;TODAY()),"",IF(AND(IA238="",IB238=""),"",N(IB238)-N(IA238)))</f>
        <v/>
      </c>
      <c r="IF238">
        <f>IF(OR(IA$3="",IA$3&gt;TODAY()),"",IF(AND(ID238="",IE238=""),"",N(IE238)-N(ID238)))</f>
        <v/>
      </c>
      <c r="IJ238">
        <f>IF(OR(IH$3="",IH$3&gt;TODAY()),"",IF(AND(IH238="",II238=""),"",N(II238)-N(IH238)))</f>
        <v/>
      </c>
      <c r="IM238">
        <f>IF(OR(IH$3="",IH$3&gt;TODAY()),"",IF(AND(IK238="",IL238=""),"",N(IL238)-N(IK238)))</f>
        <v/>
      </c>
    </row>
    <row r="239">
      <c r="A239" s="21" t="n"/>
      <c r="B239" s="21" t="n"/>
      <c r="C239" s="21" t="n"/>
      <c r="D239" s="21" t="n"/>
      <c r="E239" s="21" t="n"/>
      <c r="F239" s="21" t="n"/>
      <c r="G239" s="21" t="n"/>
      <c r="H239" s="21" t="n"/>
      <c r="I239" s="22" t="n"/>
      <c r="J239" s="22" t="n"/>
      <c r="K239" s="23" t="n"/>
      <c r="L239" s="22" t="n"/>
      <c r="M239" s="22" t="n"/>
      <c r="N239" s="21" t="n"/>
      <c r="O239" s="23" t="n"/>
      <c r="P239" s="23" t="n"/>
      <c r="Q239" s="23" t="n"/>
      <c r="R239" s="23" t="n"/>
      <c r="S239" s="22" t="n"/>
      <c r="T239" s="23" t="n"/>
      <c r="U239" s="23" t="n"/>
      <c r="V239" s="24">
        <f>IF(J239&lt;&gt;"",J239,IF(I239&lt;&gt;"",I239,""))</f>
        <v/>
      </c>
      <c r="W239" s="25">
        <f>IF($E239="","",N(O239)+SUMIFS($AF239:$IN239,$AF$4:$IN$4,"SEW_ACT"))</f>
        <v/>
      </c>
      <c r="X239" s="25">
        <f>IF($E239="","",N(P239)+SUMIFS($AF239:$IN239,$AF$4:$IN$4,"WASH_ACT"))</f>
        <v/>
      </c>
      <c r="Y239" s="25">
        <f>IF($E239="","",W239-X239-N(T239)-N(U239))</f>
        <v/>
      </c>
      <c r="Z239" s="25">
        <f>IF($E239="","",IF(N(K239)-X239&lt;=0.02*N(K239),0,N(K239)-X239))</f>
        <v/>
      </c>
      <c r="AA239" s="24">
        <f>IF($E239="","",IF(S239&lt;&gt;"",S239,IF(N(O239)&gt;0,IF(L239&lt;&gt;"",L239,99999),IFERROR(1/(1/_xlfn.MINIFS($AF$3:$IN$3,$AF$4:$IN$4,"SEW_ACT",$AF239:$IN239,"&gt;0")),99999))))</f>
        <v/>
      </c>
      <c r="AB239" s="26">
        <f>IF(OR($E239="",Z239=0,V239=""),"",1+COUNTIFS(Z$8:Z$707,"&gt;0",V$8:V$707,"&lt;"&amp;V239)+COUNTIFS(Z$8:Z$707,"&gt;0",V$8:V$707,V239,AA$8:AA$707,"&lt;"&amp;AA239)+COUNTIFS(Z$8:Z$707,"&gt;0",V$8:V$707,V239,AA$8:AA$707,AA239,E$8:E$707,"&lt;"&amp;$E239))</f>
        <v/>
      </c>
      <c r="AC239" s="24">
        <f>IF(OR($E239="",Z239=0),"",IFERROR(TODAY()+ROUNDUP(Z239/(SUMIFS($AF239:$IN239,$AF$4:$IN$4,"WASH_ACT")/COUNTIFS($AF$4:$IN$4,"WASH_ACT",$AF239:$IN239,"&gt;0")),0),"no output yet"))</f>
        <v/>
      </c>
      <c r="AD239" s="26">
        <f>IF($E239="","",IFERROR(ROUND(MAX(0,SUMIFS($AF239:$IN239,$AF$4:$IN$4,"SEW_PLAN",$AF$3:$IN$3,"&lt;="&amp;TODAY())-SUMIFS($AF239:$IN239,$AF$4:$IN$4,"SEW_ACT",$AF$3:$IN$3,"&lt;="&amp;TODAY())+N(Q239))/(SUMIFS($AF239:$IN239,$AF$4:$IN$4,"SEW_PLAN")/COUNTIFS($AF$4:$IN$4,"SEW_PLAN",$AF239:$IN239,"&gt;0")),1),0))</f>
        <v/>
      </c>
      <c r="AE239" s="26">
        <f>IF($E239="","",IF(AND(Z239&gt;0,OR(AND(M239&lt;&gt;"",TODAY()&gt;M239),AND(V239&lt;&gt;"",V239-TODAY()&lt;=7))),"Yes","No"))</f>
        <v/>
      </c>
      <c r="AH239">
        <f>IF(OR(AF$3="",AF$3&gt;TODAY()),"",IF(AND(AF239="",AG239=""),"",N(AG239)-N(AF239)))</f>
        <v/>
      </c>
      <c r="AK239">
        <f>IF(OR(AF$3="",AF$3&gt;TODAY()),"",IF(AND(AI239="",AJ239=""),"",N(AJ239)-N(AI239)))</f>
        <v/>
      </c>
      <c r="AO239">
        <f>IF(OR(AM$3="",AM$3&gt;TODAY()),"",IF(AND(AM239="",AN239=""),"",N(AN239)-N(AM239)))</f>
        <v/>
      </c>
      <c r="AR239">
        <f>IF(OR(AM$3="",AM$3&gt;TODAY()),"",IF(AND(AP239="",AQ239=""),"",N(AQ239)-N(AP239)))</f>
        <v/>
      </c>
      <c r="AV239">
        <f>IF(OR(AT$3="",AT$3&gt;TODAY()),"",IF(AND(AT239="",AU239=""),"",N(AU239)-N(AT239)))</f>
        <v/>
      </c>
      <c r="AY239">
        <f>IF(OR(AT$3="",AT$3&gt;TODAY()),"",IF(AND(AW239="",AX239=""),"",N(AX239)-N(AW239)))</f>
        <v/>
      </c>
      <c r="BC239">
        <f>IF(OR(BA$3="",BA$3&gt;TODAY()),"",IF(AND(BA239="",BB239=""),"",N(BB239)-N(BA239)))</f>
        <v/>
      </c>
      <c r="BF239">
        <f>IF(OR(BA$3="",BA$3&gt;TODAY()),"",IF(AND(BD239="",BE239=""),"",N(BE239)-N(BD239)))</f>
        <v/>
      </c>
      <c r="BJ239">
        <f>IF(OR(BH$3="",BH$3&gt;TODAY()),"",IF(AND(BH239="",BI239=""),"",N(BI239)-N(BH239)))</f>
        <v/>
      </c>
      <c r="BM239">
        <f>IF(OR(BH$3="",BH$3&gt;TODAY()),"",IF(AND(BK239="",BL239=""),"",N(BL239)-N(BK239)))</f>
        <v/>
      </c>
      <c r="BQ239">
        <f>IF(OR(BO$3="",BO$3&gt;TODAY()),"",IF(AND(BO239="",BP239=""),"",N(BP239)-N(BO239)))</f>
        <v/>
      </c>
      <c r="BT239">
        <f>IF(OR(BO$3="",BO$3&gt;TODAY()),"",IF(AND(BR239="",BS239=""),"",N(BS239)-N(BR239)))</f>
        <v/>
      </c>
      <c r="BX239">
        <f>IF(OR(BV$3="",BV$3&gt;TODAY()),"",IF(AND(BV239="",BW239=""),"",N(BW239)-N(BV239)))</f>
        <v/>
      </c>
      <c r="CA239">
        <f>IF(OR(BV$3="",BV$3&gt;TODAY()),"",IF(AND(BY239="",BZ239=""),"",N(BZ239)-N(BY239)))</f>
        <v/>
      </c>
      <c r="CE239">
        <f>IF(OR(CC$3="",CC$3&gt;TODAY()),"",IF(AND(CC239="",CD239=""),"",N(CD239)-N(CC239)))</f>
        <v/>
      </c>
      <c r="CH239">
        <f>IF(OR(CC$3="",CC$3&gt;TODAY()),"",IF(AND(CF239="",CG239=""),"",N(CG239)-N(CF239)))</f>
        <v/>
      </c>
      <c r="CL239">
        <f>IF(OR(CJ$3="",CJ$3&gt;TODAY()),"",IF(AND(CJ239="",CK239=""),"",N(CK239)-N(CJ239)))</f>
        <v/>
      </c>
      <c r="CO239">
        <f>IF(OR(CJ$3="",CJ$3&gt;TODAY()),"",IF(AND(CM239="",CN239=""),"",N(CN239)-N(CM239)))</f>
        <v/>
      </c>
      <c r="CS239">
        <f>IF(OR(CQ$3="",CQ$3&gt;TODAY()),"",IF(AND(CQ239="",CR239=""),"",N(CR239)-N(CQ239)))</f>
        <v/>
      </c>
      <c r="CV239">
        <f>IF(OR(CQ$3="",CQ$3&gt;TODAY()),"",IF(AND(CT239="",CU239=""),"",N(CU239)-N(CT239)))</f>
        <v/>
      </c>
      <c r="CZ239">
        <f>IF(OR(CX$3="",CX$3&gt;TODAY()),"",IF(AND(CX239="",CY239=""),"",N(CY239)-N(CX239)))</f>
        <v/>
      </c>
      <c r="DC239">
        <f>IF(OR(CX$3="",CX$3&gt;TODAY()),"",IF(AND(DA239="",DB239=""),"",N(DB239)-N(DA239)))</f>
        <v/>
      </c>
      <c r="DG239">
        <f>IF(OR(DE$3="",DE$3&gt;TODAY()),"",IF(AND(DE239="",DF239=""),"",N(DF239)-N(DE239)))</f>
        <v/>
      </c>
      <c r="DJ239">
        <f>IF(OR(DE$3="",DE$3&gt;TODAY()),"",IF(AND(DH239="",DI239=""),"",N(DI239)-N(DH239)))</f>
        <v/>
      </c>
      <c r="DN239">
        <f>IF(OR(DL$3="",DL$3&gt;TODAY()),"",IF(AND(DL239="",DM239=""),"",N(DM239)-N(DL239)))</f>
        <v/>
      </c>
      <c r="DQ239">
        <f>IF(OR(DL$3="",DL$3&gt;TODAY()),"",IF(AND(DO239="",DP239=""),"",N(DP239)-N(DO239)))</f>
        <v/>
      </c>
      <c r="DU239">
        <f>IF(OR(DS$3="",DS$3&gt;TODAY()),"",IF(AND(DS239="",DT239=""),"",N(DT239)-N(DS239)))</f>
        <v/>
      </c>
      <c r="DX239">
        <f>IF(OR(DS$3="",DS$3&gt;TODAY()),"",IF(AND(DV239="",DW239=""),"",N(DW239)-N(DV239)))</f>
        <v/>
      </c>
      <c r="EB239">
        <f>IF(OR(DZ$3="",DZ$3&gt;TODAY()),"",IF(AND(DZ239="",EA239=""),"",N(EA239)-N(DZ239)))</f>
        <v/>
      </c>
      <c r="EE239">
        <f>IF(OR(DZ$3="",DZ$3&gt;TODAY()),"",IF(AND(EC239="",ED239=""),"",N(ED239)-N(EC239)))</f>
        <v/>
      </c>
      <c r="EI239">
        <f>IF(OR(EG$3="",EG$3&gt;TODAY()),"",IF(AND(EG239="",EH239=""),"",N(EH239)-N(EG239)))</f>
        <v/>
      </c>
      <c r="EL239">
        <f>IF(OR(EG$3="",EG$3&gt;TODAY()),"",IF(AND(EJ239="",EK239=""),"",N(EK239)-N(EJ239)))</f>
        <v/>
      </c>
      <c r="EP239">
        <f>IF(OR(EN$3="",EN$3&gt;TODAY()),"",IF(AND(EN239="",EO239=""),"",N(EO239)-N(EN239)))</f>
        <v/>
      </c>
      <c r="ES239">
        <f>IF(OR(EN$3="",EN$3&gt;TODAY()),"",IF(AND(EQ239="",ER239=""),"",N(ER239)-N(EQ239)))</f>
        <v/>
      </c>
      <c r="EW239">
        <f>IF(OR(EU$3="",EU$3&gt;TODAY()),"",IF(AND(EU239="",EV239=""),"",N(EV239)-N(EU239)))</f>
        <v/>
      </c>
      <c r="EZ239">
        <f>IF(OR(EU$3="",EU$3&gt;TODAY()),"",IF(AND(EX239="",EY239=""),"",N(EY239)-N(EX239)))</f>
        <v/>
      </c>
      <c r="FD239">
        <f>IF(OR(FB$3="",FB$3&gt;TODAY()),"",IF(AND(FB239="",FC239=""),"",N(FC239)-N(FB239)))</f>
        <v/>
      </c>
      <c r="FG239">
        <f>IF(OR(FB$3="",FB$3&gt;TODAY()),"",IF(AND(FE239="",FF239=""),"",N(FF239)-N(FE239)))</f>
        <v/>
      </c>
      <c r="FK239">
        <f>IF(OR(FI$3="",FI$3&gt;TODAY()),"",IF(AND(FI239="",FJ239=""),"",N(FJ239)-N(FI239)))</f>
        <v/>
      </c>
      <c r="FN239">
        <f>IF(OR(FI$3="",FI$3&gt;TODAY()),"",IF(AND(FL239="",FM239=""),"",N(FM239)-N(FL239)))</f>
        <v/>
      </c>
      <c r="FR239">
        <f>IF(OR(FP$3="",FP$3&gt;TODAY()),"",IF(AND(FP239="",FQ239=""),"",N(FQ239)-N(FP239)))</f>
        <v/>
      </c>
      <c r="FU239">
        <f>IF(OR(FP$3="",FP$3&gt;TODAY()),"",IF(AND(FS239="",FT239=""),"",N(FT239)-N(FS239)))</f>
        <v/>
      </c>
      <c r="FY239">
        <f>IF(OR(FW$3="",FW$3&gt;TODAY()),"",IF(AND(FW239="",FX239=""),"",N(FX239)-N(FW239)))</f>
        <v/>
      </c>
      <c r="GB239">
        <f>IF(OR(FW$3="",FW$3&gt;TODAY()),"",IF(AND(FZ239="",GA239=""),"",N(GA239)-N(FZ239)))</f>
        <v/>
      </c>
      <c r="GF239">
        <f>IF(OR(GD$3="",GD$3&gt;TODAY()),"",IF(AND(GD239="",GE239=""),"",N(GE239)-N(GD239)))</f>
        <v/>
      </c>
      <c r="GI239">
        <f>IF(OR(GD$3="",GD$3&gt;TODAY()),"",IF(AND(GG239="",GH239=""),"",N(GH239)-N(GG239)))</f>
        <v/>
      </c>
      <c r="GM239">
        <f>IF(OR(GK$3="",GK$3&gt;TODAY()),"",IF(AND(GK239="",GL239=""),"",N(GL239)-N(GK239)))</f>
        <v/>
      </c>
      <c r="GP239">
        <f>IF(OR(GK$3="",GK$3&gt;TODAY()),"",IF(AND(GN239="",GO239=""),"",N(GO239)-N(GN239)))</f>
        <v/>
      </c>
      <c r="GT239">
        <f>IF(OR(GR$3="",GR$3&gt;TODAY()),"",IF(AND(GR239="",GS239=""),"",N(GS239)-N(GR239)))</f>
        <v/>
      </c>
      <c r="GW239">
        <f>IF(OR(GR$3="",GR$3&gt;TODAY()),"",IF(AND(GU239="",GV239=""),"",N(GV239)-N(GU239)))</f>
        <v/>
      </c>
      <c r="HA239">
        <f>IF(OR(GY$3="",GY$3&gt;TODAY()),"",IF(AND(GY239="",GZ239=""),"",N(GZ239)-N(GY239)))</f>
        <v/>
      </c>
      <c r="HD239">
        <f>IF(OR(GY$3="",GY$3&gt;TODAY()),"",IF(AND(HB239="",HC239=""),"",N(HC239)-N(HB239)))</f>
        <v/>
      </c>
      <c r="HH239">
        <f>IF(OR(HF$3="",HF$3&gt;TODAY()),"",IF(AND(HF239="",HG239=""),"",N(HG239)-N(HF239)))</f>
        <v/>
      </c>
      <c r="HK239">
        <f>IF(OR(HF$3="",HF$3&gt;TODAY()),"",IF(AND(HI239="",HJ239=""),"",N(HJ239)-N(HI239)))</f>
        <v/>
      </c>
      <c r="HO239">
        <f>IF(OR(HM$3="",HM$3&gt;TODAY()),"",IF(AND(HM239="",HN239=""),"",N(HN239)-N(HM239)))</f>
        <v/>
      </c>
      <c r="HR239">
        <f>IF(OR(HM$3="",HM$3&gt;TODAY()),"",IF(AND(HP239="",HQ239=""),"",N(HQ239)-N(HP239)))</f>
        <v/>
      </c>
      <c r="HV239">
        <f>IF(OR(HT$3="",HT$3&gt;TODAY()),"",IF(AND(HT239="",HU239=""),"",N(HU239)-N(HT239)))</f>
        <v/>
      </c>
      <c r="HY239">
        <f>IF(OR(HT$3="",HT$3&gt;TODAY()),"",IF(AND(HW239="",HX239=""),"",N(HX239)-N(HW239)))</f>
        <v/>
      </c>
      <c r="IC239">
        <f>IF(OR(IA$3="",IA$3&gt;TODAY()),"",IF(AND(IA239="",IB239=""),"",N(IB239)-N(IA239)))</f>
        <v/>
      </c>
      <c r="IF239">
        <f>IF(OR(IA$3="",IA$3&gt;TODAY()),"",IF(AND(ID239="",IE239=""),"",N(IE239)-N(ID239)))</f>
        <v/>
      </c>
      <c r="IJ239">
        <f>IF(OR(IH$3="",IH$3&gt;TODAY()),"",IF(AND(IH239="",II239=""),"",N(II239)-N(IH239)))</f>
        <v/>
      </c>
      <c r="IM239">
        <f>IF(OR(IH$3="",IH$3&gt;TODAY()),"",IF(AND(IK239="",IL239=""),"",N(IL239)-N(IK239)))</f>
        <v/>
      </c>
    </row>
    <row r="240">
      <c r="A240" s="21" t="n"/>
      <c r="B240" s="21" t="n"/>
      <c r="C240" s="21" t="n"/>
      <c r="D240" s="21" t="n"/>
      <c r="E240" s="21" t="n"/>
      <c r="F240" s="21" t="n"/>
      <c r="G240" s="21" t="n"/>
      <c r="H240" s="21" t="n"/>
      <c r="I240" s="22" t="n"/>
      <c r="J240" s="22" t="n"/>
      <c r="K240" s="23" t="n"/>
      <c r="L240" s="22" t="n"/>
      <c r="M240" s="22" t="n"/>
      <c r="N240" s="21" t="n"/>
      <c r="O240" s="23" t="n"/>
      <c r="P240" s="23" t="n"/>
      <c r="Q240" s="23" t="n"/>
      <c r="R240" s="23" t="n"/>
      <c r="S240" s="22" t="n"/>
      <c r="T240" s="23" t="n"/>
      <c r="U240" s="23" t="n"/>
      <c r="V240" s="24">
        <f>IF(J240&lt;&gt;"",J240,IF(I240&lt;&gt;"",I240,""))</f>
        <v/>
      </c>
      <c r="W240" s="25">
        <f>IF($E240="","",N(O240)+SUMIFS($AF240:$IN240,$AF$4:$IN$4,"SEW_ACT"))</f>
        <v/>
      </c>
      <c r="X240" s="25">
        <f>IF($E240="","",N(P240)+SUMIFS($AF240:$IN240,$AF$4:$IN$4,"WASH_ACT"))</f>
        <v/>
      </c>
      <c r="Y240" s="25">
        <f>IF($E240="","",W240-X240-N(T240)-N(U240))</f>
        <v/>
      </c>
      <c r="Z240" s="25">
        <f>IF($E240="","",IF(N(K240)-X240&lt;=0.02*N(K240),0,N(K240)-X240))</f>
        <v/>
      </c>
      <c r="AA240" s="24">
        <f>IF($E240="","",IF(S240&lt;&gt;"",S240,IF(N(O240)&gt;0,IF(L240&lt;&gt;"",L240,99999),IFERROR(1/(1/_xlfn.MINIFS($AF$3:$IN$3,$AF$4:$IN$4,"SEW_ACT",$AF240:$IN240,"&gt;0")),99999))))</f>
        <v/>
      </c>
      <c r="AB240" s="26">
        <f>IF(OR($E240="",Z240=0,V240=""),"",1+COUNTIFS(Z$8:Z$707,"&gt;0",V$8:V$707,"&lt;"&amp;V240)+COUNTIFS(Z$8:Z$707,"&gt;0",V$8:V$707,V240,AA$8:AA$707,"&lt;"&amp;AA240)+COUNTIFS(Z$8:Z$707,"&gt;0",V$8:V$707,V240,AA$8:AA$707,AA240,E$8:E$707,"&lt;"&amp;$E240))</f>
        <v/>
      </c>
      <c r="AC240" s="24">
        <f>IF(OR($E240="",Z240=0),"",IFERROR(TODAY()+ROUNDUP(Z240/(SUMIFS($AF240:$IN240,$AF$4:$IN$4,"WASH_ACT")/COUNTIFS($AF$4:$IN$4,"WASH_ACT",$AF240:$IN240,"&gt;0")),0),"no output yet"))</f>
        <v/>
      </c>
      <c r="AD240" s="26">
        <f>IF($E240="","",IFERROR(ROUND(MAX(0,SUMIFS($AF240:$IN240,$AF$4:$IN$4,"SEW_PLAN",$AF$3:$IN$3,"&lt;="&amp;TODAY())-SUMIFS($AF240:$IN240,$AF$4:$IN$4,"SEW_ACT",$AF$3:$IN$3,"&lt;="&amp;TODAY())+N(Q240))/(SUMIFS($AF240:$IN240,$AF$4:$IN$4,"SEW_PLAN")/COUNTIFS($AF$4:$IN$4,"SEW_PLAN",$AF240:$IN240,"&gt;0")),1),0))</f>
        <v/>
      </c>
      <c r="AE240" s="26">
        <f>IF($E240="","",IF(AND(Z240&gt;0,OR(AND(M240&lt;&gt;"",TODAY()&gt;M240),AND(V240&lt;&gt;"",V240-TODAY()&lt;=7))),"Yes","No"))</f>
        <v/>
      </c>
      <c r="AH240">
        <f>IF(OR(AF$3="",AF$3&gt;TODAY()),"",IF(AND(AF240="",AG240=""),"",N(AG240)-N(AF240)))</f>
        <v/>
      </c>
      <c r="AK240">
        <f>IF(OR(AF$3="",AF$3&gt;TODAY()),"",IF(AND(AI240="",AJ240=""),"",N(AJ240)-N(AI240)))</f>
        <v/>
      </c>
      <c r="AO240">
        <f>IF(OR(AM$3="",AM$3&gt;TODAY()),"",IF(AND(AM240="",AN240=""),"",N(AN240)-N(AM240)))</f>
        <v/>
      </c>
      <c r="AR240">
        <f>IF(OR(AM$3="",AM$3&gt;TODAY()),"",IF(AND(AP240="",AQ240=""),"",N(AQ240)-N(AP240)))</f>
        <v/>
      </c>
      <c r="AV240">
        <f>IF(OR(AT$3="",AT$3&gt;TODAY()),"",IF(AND(AT240="",AU240=""),"",N(AU240)-N(AT240)))</f>
        <v/>
      </c>
      <c r="AY240">
        <f>IF(OR(AT$3="",AT$3&gt;TODAY()),"",IF(AND(AW240="",AX240=""),"",N(AX240)-N(AW240)))</f>
        <v/>
      </c>
      <c r="BC240">
        <f>IF(OR(BA$3="",BA$3&gt;TODAY()),"",IF(AND(BA240="",BB240=""),"",N(BB240)-N(BA240)))</f>
        <v/>
      </c>
      <c r="BF240">
        <f>IF(OR(BA$3="",BA$3&gt;TODAY()),"",IF(AND(BD240="",BE240=""),"",N(BE240)-N(BD240)))</f>
        <v/>
      </c>
      <c r="BJ240">
        <f>IF(OR(BH$3="",BH$3&gt;TODAY()),"",IF(AND(BH240="",BI240=""),"",N(BI240)-N(BH240)))</f>
        <v/>
      </c>
      <c r="BM240">
        <f>IF(OR(BH$3="",BH$3&gt;TODAY()),"",IF(AND(BK240="",BL240=""),"",N(BL240)-N(BK240)))</f>
        <v/>
      </c>
      <c r="BQ240">
        <f>IF(OR(BO$3="",BO$3&gt;TODAY()),"",IF(AND(BO240="",BP240=""),"",N(BP240)-N(BO240)))</f>
        <v/>
      </c>
      <c r="BT240">
        <f>IF(OR(BO$3="",BO$3&gt;TODAY()),"",IF(AND(BR240="",BS240=""),"",N(BS240)-N(BR240)))</f>
        <v/>
      </c>
      <c r="BX240">
        <f>IF(OR(BV$3="",BV$3&gt;TODAY()),"",IF(AND(BV240="",BW240=""),"",N(BW240)-N(BV240)))</f>
        <v/>
      </c>
      <c r="CA240">
        <f>IF(OR(BV$3="",BV$3&gt;TODAY()),"",IF(AND(BY240="",BZ240=""),"",N(BZ240)-N(BY240)))</f>
        <v/>
      </c>
      <c r="CE240">
        <f>IF(OR(CC$3="",CC$3&gt;TODAY()),"",IF(AND(CC240="",CD240=""),"",N(CD240)-N(CC240)))</f>
        <v/>
      </c>
      <c r="CH240">
        <f>IF(OR(CC$3="",CC$3&gt;TODAY()),"",IF(AND(CF240="",CG240=""),"",N(CG240)-N(CF240)))</f>
        <v/>
      </c>
      <c r="CL240">
        <f>IF(OR(CJ$3="",CJ$3&gt;TODAY()),"",IF(AND(CJ240="",CK240=""),"",N(CK240)-N(CJ240)))</f>
        <v/>
      </c>
      <c r="CO240">
        <f>IF(OR(CJ$3="",CJ$3&gt;TODAY()),"",IF(AND(CM240="",CN240=""),"",N(CN240)-N(CM240)))</f>
        <v/>
      </c>
      <c r="CS240">
        <f>IF(OR(CQ$3="",CQ$3&gt;TODAY()),"",IF(AND(CQ240="",CR240=""),"",N(CR240)-N(CQ240)))</f>
        <v/>
      </c>
      <c r="CV240">
        <f>IF(OR(CQ$3="",CQ$3&gt;TODAY()),"",IF(AND(CT240="",CU240=""),"",N(CU240)-N(CT240)))</f>
        <v/>
      </c>
      <c r="CZ240">
        <f>IF(OR(CX$3="",CX$3&gt;TODAY()),"",IF(AND(CX240="",CY240=""),"",N(CY240)-N(CX240)))</f>
        <v/>
      </c>
      <c r="DC240">
        <f>IF(OR(CX$3="",CX$3&gt;TODAY()),"",IF(AND(DA240="",DB240=""),"",N(DB240)-N(DA240)))</f>
        <v/>
      </c>
      <c r="DG240">
        <f>IF(OR(DE$3="",DE$3&gt;TODAY()),"",IF(AND(DE240="",DF240=""),"",N(DF240)-N(DE240)))</f>
        <v/>
      </c>
      <c r="DJ240">
        <f>IF(OR(DE$3="",DE$3&gt;TODAY()),"",IF(AND(DH240="",DI240=""),"",N(DI240)-N(DH240)))</f>
        <v/>
      </c>
      <c r="DN240">
        <f>IF(OR(DL$3="",DL$3&gt;TODAY()),"",IF(AND(DL240="",DM240=""),"",N(DM240)-N(DL240)))</f>
        <v/>
      </c>
      <c r="DQ240">
        <f>IF(OR(DL$3="",DL$3&gt;TODAY()),"",IF(AND(DO240="",DP240=""),"",N(DP240)-N(DO240)))</f>
        <v/>
      </c>
      <c r="DU240">
        <f>IF(OR(DS$3="",DS$3&gt;TODAY()),"",IF(AND(DS240="",DT240=""),"",N(DT240)-N(DS240)))</f>
        <v/>
      </c>
      <c r="DX240">
        <f>IF(OR(DS$3="",DS$3&gt;TODAY()),"",IF(AND(DV240="",DW240=""),"",N(DW240)-N(DV240)))</f>
        <v/>
      </c>
      <c r="EB240">
        <f>IF(OR(DZ$3="",DZ$3&gt;TODAY()),"",IF(AND(DZ240="",EA240=""),"",N(EA240)-N(DZ240)))</f>
        <v/>
      </c>
      <c r="EE240">
        <f>IF(OR(DZ$3="",DZ$3&gt;TODAY()),"",IF(AND(EC240="",ED240=""),"",N(ED240)-N(EC240)))</f>
        <v/>
      </c>
      <c r="EI240">
        <f>IF(OR(EG$3="",EG$3&gt;TODAY()),"",IF(AND(EG240="",EH240=""),"",N(EH240)-N(EG240)))</f>
        <v/>
      </c>
      <c r="EL240">
        <f>IF(OR(EG$3="",EG$3&gt;TODAY()),"",IF(AND(EJ240="",EK240=""),"",N(EK240)-N(EJ240)))</f>
        <v/>
      </c>
      <c r="EP240">
        <f>IF(OR(EN$3="",EN$3&gt;TODAY()),"",IF(AND(EN240="",EO240=""),"",N(EO240)-N(EN240)))</f>
        <v/>
      </c>
      <c r="ES240">
        <f>IF(OR(EN$3="",EN$3&gt;TODAY()),"",IF(AND(EQ240="",ER240=""),"",N(ER240)-N(EQ240)))</f>
        <v/>
      </c>
      <c r="EW240">
        <f>IF(OR(EU$3="",EU$3&gt;TODAY()),"",IF(AND(EU240="",EV240=""),"",N(EV240)-N(EU240)))</f>
        <v/>
      </c>
      <c r="EZ240">
        <f>IF(OR(EU$3="",EU$3&gt;TODAY()),"",IF(AND(EX240="",EY240=""),"",N(EY240)-N(EX240)))</f>
        <v/>
      </c>
      <c r="FD240">
        <f>IF(OR(FB$3="",FB$3&gt;TODAY()),"",IF(AND(FB240="",FC240=""),"",N(FC240)-N(FB240)))</f>
        <v/>
      </c>
      <c r="FG240">
        <f>IF(OR(FB$3="",FB$3&gt;TODAY()),"",IF(AND(FE240="",FF240=""),"",N(FF240)-N(FE240)))</f>
        <v/>
      </c>
      <c r="FK240">
        <f>IF(OR(FI$3="",FI$3&gt;TODAY()),"",IF(AND(FI240="",FJ240=""),"",N(FJ240)-N(FI240)))</f>
        <v/>
      </c>
      <c r="FN240">
        <f>IF(OR(FI$3="",FI$3&gt;TODAY()),"",IF(AND(FL240="",FM240=""),"",N(FM240)-N(FL240)))</f>
        <v/>
      </c>
      <c r="FR240">
        <f>IF(OR(FP$3="",FP$3&gt;TODAY()),"",IF(AND(FP240="",FQ240=""),"",N(FQ240)-N(FP240)))</f>
        <v/>
      </c>
      <c r="FU240">
        <f>IF(OR(FP$3="",FP$3&gt;TODAY()),"",IF(AND(FS240="",FT240=""),"",N(FT240)-N(FS240)))</f>
        <v/>
      </c>
      <c r="FY240">
        <f>IF(OR(FW$3="",FW$3&gt;TODAY()),"",IF(AND(FW240="",FX240=""),"",N(FX240)-N(FW240)))</f>
        <v/>
      </c>
      <c r="GB240">
        <f>IF(OR(FW$3="",FW$3&gt;TODAY()),"",IF(AND(FZ240="",GA240=""),"",N(GA240)-N(FZ240)))</f>
        <v/>
      </c>
      <c r="GF240">
        <f>IF(OR(GD$3="",GD$3&gt;TODAY()),"",IF(AND(GD240="",GE240=""),"",N(GE240)-N(GD240)))</f>
        <v/>
      </c>
      <c r="GI240">
        <f>IF(OR(GD$3="",GD$3&gt;TODAY()),"",IF(AND(GG240="",GH240=""),"",N(GH240)-N(GG240)))</f>
        <v/>
      </c>
      <c r="GM240">
        <f>IF(OR(GK$3="",GK$3&gt;TODAY()),"",IF(AND(GK240="",GL240=""),"",N(GL240)-N(GK240)))</f>
        <v/>
      </c>
      <c r="GP240">
        <f>IF(OR(GK$3="",GK$3&gt;TODAY()),"",IF(AND(GN240="",GO240=""),"",N(GO240)-N(GN240)))</f>
        <v/>
      </c>
      <c r="GT240">
        <f>IF(OR(GR$3="",GR$3&gt;TODAY()),"",IF(AND(GR240="",GS240=""),"",N(GS240)-N(GR240)))</f>
        <v/>
      </c>
      <c r="GW240">
        <f>IF(OR(GR$3="",GR$3&gt;TODAY()),"",IF(AND(GU240="",GV240=""),"",N(GV240)-N(GU240)))</f>
        <v/>
      </c>
      <c r="HA240">
        <f>IF(OR(GY$3="",GY$3&gt;TODAY()),"",IF(AND(GY240="",GZ240=""),"",N(GZ240)-N(GY240)))</f>
        <v/>
      </c>
      <c r="HD240">
        <f>IF(OR(GY$3="",GY$3&gt;TODAY()),"",IF(AND(HB240="",HC240=""),"",N(HC240)-N(HB240)))</f>
        <v/>
      </c>
      <c r="HH240">
        <f>IF(OR(HF$3="",HF$3&gt;TODAY()),"",IF(AND(HF240="",HG240=""),"",N(HG240)-N(HF240)))</f>
        <v/>
      </c>
      <c r="HK240">
        <f>IF(OR(HF$3="",HF$3&gt;TODAY()),"",IF(AND(HI240="",HJ240=""),"",N(HJ240)-N(HI240)))</f>
        <v/>
      </c>
      <c r="HO240">
        <f>IF(OR(HM$3="",HM$3&gt;TODAY()),"",IF(AND(HM240="",HN240=""),"",N(HN240)-N(HM240)))</f>
        <v/>
      </c>
      <c r="HR240">
        <f>IF(OR(HM$3="",HM$3&gt;TODAY()),"",IF(AND(HP240="",HQ240=""),"",N(HQ240)-N(HP240)))</f>
        <v/>
      </c>
      <c r="HV240">
        <f>IF(OR(HT$3="",HT$3&gt;TODAY()),"",IF(AND(HT240="",HU240=""),"",N(HU240)-N(HT240)))</f>
        <v/>
      </c>
      <c r="HY240">
        <f>IF(OR(HT$3="",HT$3&gt;TODAY()),"",IF(AND(HW240="",HX240=""),"",N(HX240)-N(HW240)))</f>
        <v/>
      </c>
      <c r="IC240">
        <f>IF(OR(IA$3="",IA$3&gt;TODAY()),"",IF(AND(IA240="",IB240=""),"",N(IB240)-N(IA240)))</f>
        <v/>
      </c>
      <c r="IF240">
        <f>IF(OR(IA$3="",IA$3&gt;TODAY()),"",IF(AND(ID240="",IE240=""),"",N(IE240)-N(ID240)))</f>
        <v/>
      </c>
      <c r="IJ240">
        <f>IF(OR(IH$3="",IH$3&gt;TODAY()),"",IF(AND(IH240="",II240=""),"",N(II240)-N(IH240)))</f>
        <v/>
      </c>
      <c r="IM240">
        <f>IF(OR(IH$3="",IH$3&gt;TODAY()),"",IF(AND(IK240="",IL240=""),"",N(IL240)-N(IK240)))</f>
        <v/>
      </c>
    </row>
    <row r="241">
      <c r="A241" s="21" t="n"/>
      <c r="B241" s="21" t="n"/>
      <c r="C241" s="21" t="n"/>
      <c r="D241" s="21" t="n"/>
      <c r="E241" s="21" t="n"/>
      <c r="F241" s="21" t="n"/>
      <c r="G241" s="21" t="n"/>
      <c r="H241" s="21" t="n"/>
      <c r="I241" s="22" t="n"/>
      <c r="J241" s="22" t="n"/>
      <c r="K241" s="23" t="n"/>
      <c r="L241" s="22" t="n"/>
      <c r="M241" s="22" t="n"/>
      <c r="N241" s="21" t="n"/>
      <c r="O241" s="23" t="n"/>
      <c r="P241" s="23" t="n"/>
      <c r="Q241" s="23" t="n"/>
      <c r="R241" s="23" t="n"/>
      <c r="S241" s="22" t="n"/>
      <c r="T241" s="23" t="n"/>
      <c r="U241" s="23" t="n"/>
      <c r="V241" s="24">
        <f>IF(J241&lt;&gt;"",J241,IF(I241&lt;&gt;"",I241,""))</f>
        <v/>
      </c>
      <c r="W241" s="25">
        <f>IF($E241="","",N(O241)+SUMIFS($AF241:$IN241,$AF$4:$IN$4,"SEW_ACT"))</f>
        <v/>
      </c>
      <c r="X241" s="25">
        <f>IF($E241="","",N(P241)+SUMIFS($AF241:$IN241,$AF$4:$IN$4,"WASH_ACT"))</f>
        <v/>
      </c>
      <c r="Y241" s="25">
        <f>IF($E241="","",W241-X241-N(T241)-N(U241))</f>
        <v/>
      </c>
      <c r="Z241" s="25">
        <f>IF($E241="","",IF(N(K241)-X241&lt;=0.02*N(K241),0,N(K241)-X241))</f>
        <v/>
      </c>
      <c r="AA241" s="24">
        <f>IF($E241="","",IF(S241&lt;&gt;"",S241,IF(N(O241)&gt;0,IF(L241&lt;&gt;"",L241,99999),IFERROR(1/(1/_xlfn.MINIFS($AF$3:$IN$3,$AF$4:$IN$4,"SEW_ACT",$AF241:$IN241,"&gt;0")),99999))))</f>
        <v/>
      </c>
      <c r="AB241" s="26">
        <f>IF(OR($E241="",Z241=0,V241=""),"",1+COUNTIFS(Z$8:Z$707,"&gt;0",V$8:V$707,"&lt;"&amp;V241)+COUNTIFS(Z$8:Z$707,"&gt;0",V$8:V$707,V241,AA$8:AA$707,"&lt;"&amp;AA241)+COUNTIFS(Z$8:Z$707,"&gt;0",V$8:V$707,V241,AA$8:AA$707,AA241,E$8:E$707,"&lt;"&amp;$E241))</f>
        <v/>
      </c>
      <c r="AC241" s="24">
        <f>IF(OR($E241="",Z241=0),"",IFERROR(TODAY()+ROUNDUP(Z241/(SUMIFS($AF241:$IN241,$AF$4:$IN$4,"WASH_ACT")/COUNTIFS($AF$4:$IN$4,"WASH_ACT",$AF241:$IN241,"&gt;0")),0),"no output yet"))</f>
        <v/>
      </c>
      <c r="AD241" s="26">
        <f>IF($E241="","",IFERROR(ROUND(MAX(0,SUMIFS($AF241:$IN241,$AF$4:$IN$4,"SEW_PLAN",$AF$3:$IN$3,"&lt;="&amp;TODAY())-SUMIFS($AF241:$IN241,$AF$4:$IN$4,"SEW_ACT",$AF$3:$IN$3,"&lt;="&amp;TODAY())+N(Q241))/(SUMIFS($AF241:$IN241,$AF$4:$IN$4,"SEW_PLAN")/COUNTIFS($AF$4:$IN$4,"SEW_PLAN",$AF241:$IN241,"&gt;0")),1),0))</f>
        <v/>
      </c>
      <c r="AE241" s="26">
        <f>IF($E241="","",IF(AND(Z241&gt;0,OR(AND(M241&lt;&gt;"",TODAY()&gt;M241),AND(V241&lt;&gt;"",V241-TODAY()&lt;=7))),"Yes","No"))</f>
        <v/>
      </c>
      <c r="AH241">
        <f>IF(OR(AF$3="",AF$3&gt;TODAY()),"",IF(AND(AF241="",AG241=""),"",N(AG241)-N(AF241)))</f>
        <v/>
      </c>
      <c r="AK241">
        <f>IF(OR(AF$3="",AF$3&gt;TODAY()),"",IF(AND(AI241="",AJ241=""),"",N(AJ241)-N(AI241)))</f>
        <v/>
      </c>
      <c r="AO241">
        <f>IF(OR(AM$3="",AM$3&gt;TODAY()),"",IF(AND(AM241="",AN241=""),"",N(AN241)-N(AM241)))</f>
        <v/>
      </c>
      <c r="AR241">
        <f>IF(OR(AM$3="",AM$3&gt;TODAY()),"",IF(AND(AP241="",AQ241=""),"",N(AQ241)-N(AP241)))</f>
        <v/>
      </c>
      <c r="AV241">
        <f>IF(OR(AT$3="",AT$3&gt;TODAY()),"",IF(AND(AT241="",AU241=""),"",N(AU241)-N(AT241)))</f>
        <v/>
      </c>
      <c r="AY241">
        <f>IF(OR(AT$3="",AT$3&gt;TODAY()),"",IF(AND(AW241="",AX241=""),"",N(AX241)-N(AW241)))</f>
        <v/>
      </c>
      <c r="BC241">
        <f>IF(OR(BA$3="",BA$3&gt;TODAY()),"",IF(AND(BA241="",BB241=""),"",N(BB241)-N(BA241)))</f>
        <v/>
      </c>
      <c r="BF241">
        <f>IF(OR(BA$3="",BA$3&gt;TODAY()),"",IF(AND(BD241="",BE241=""),"",N(BE241)-N(BD241)))</f>
        <v/>
      </c>
      <c r="BJ241">
        <f>IF(OR(BH$3="",BH$3&gt;TODAY()),"",IF(AND(BH241="",BI241=""),"",N(BI241)-N(BH241)))</f>
        <v/>
      </c>
      <c r="BM241">
        <f>IF(OR(BH$3="",BH$3&gt;TODAY()),"",IF(AND(BK241="",BL241=""),"",N(BL241)-N(BK241)))</f>
        <v/>
      </c>
      <c r="BQ241">
        <f>IF(OR(BO$3="",BO$3&gt;TODAY()),"",IF(AND(BO241="",BP241=""),"",N(BP241)-N(BO241)))</f>
        <v/>
      </c>
      <c r="BT241">
        <f>IF(OR(BO$3="",BO$3&gt;TODAY()),"",IF(AND(BR241="",BS241=""),"",N(BS241)-N(BR241)))</f>
        <v/>
      </c>
      <c r="BX241">
        <f>IF(OR(BV$3="",BV$3&gt;TODAY()),"",IF(AND(BV241="",BW241=""),"",N(BW241)-N(BV241)))</f>
        <v/>
      </c>
      <c r="CA241">
        <f>IF(OR(BV$3="",BV$3&gt;TODAY()),"",IF(AND(BY241="",BZ241=""),"",N(BZ241)-N(BY241)))</f>
        <v/>
      </c>
      <c r="CE241">
        <f>IF(OR(CC$3="",CC$3&gt;TODAY()),"",IF(AND(CC241="",CD241=""),"",N(CD241)-N(CC241)))</f>
        <v/>
      </c>
      <c r="CH241">
        <f>IF(OR(CC$3="",CC$3&gt;TODAY()),"",IF(AND(CF241="",CG241=""),"",N(CG241)-N(CF241)))</f>
        <v/>
      </c>
      <c r="CL241">
        <f>IF(OR(CJ$3="",CJ$3&gt;TODAY()),"",IF(AND(CJ241="",CK241=""),"",N(CK241)-N(CJ241)))</f>
        <v/>
      </c>
      <c r="CO241">
        <f>IF(OR(CJ$3="",CJ$3&gt;TODAY()),"",IF(AND(CM241="",CN241=""),"",N(CN241)-N(CM241)))</f>
        <v/>
      </c>
      <c r="CS241">
        <f>IF(OR(CQ$3="",CQ$3&gt;TODAY()),"",IF(AND(CQ241="",CR241=""),"",N(CR241)-N(CQ241)))</f>
        <v/>
      </c>
      <c r="CV241">
        <f>IF(OR(CQ$3="",CQ$3&gt;TODAY()),"",IF(AND(CT241="",CU241=""),"",N(CU241)-N(CT241)))</f>
        <v/>
      </c>
      <c r="CZ241">
        <f>IF(OR(CX$3="",CX$3&gt;TODAY()),"",IF(AND(CX241="",CY241=""),"",N(CY241)-N(CX241)))</f>
        <v/>
      </c>
      <c r="DC241">
        <f>IF(OR(CX$3="",CX$3&gt;TODAY()),"",IF(AND(DA241="",DB241=""),"",N(DB241)-N(DA241)))</f>
        <v/>
      </c>
      <c r="DG241">
        <f>IF(OR(DE$3="",DE$3&gt;TODAY()),"",IF(AND(DE241="",DF241=""),"",N(DF241)-N(DE241)))</f>
        <v/>
      </c>
      <c r="DJ241">
        <f>IF(OR(DE$3="",DE$3&gt;TODAY()),"",IF(AND(DH241="",DI241=""),"",N(DI241)-N(DH241)))</f>
        <v/>
      </c>
      <c r="DN241">
        <f>IF(OR(DL$3="",DL$3&gt;TODAY()),"",IF(AND(DL241="",DM241=""),"",N(DM241)-N(DL241)))</f>
        <v/>
      </c>
      <c r="DQ241">
        <f>IF(OR(DL$3="",DL$3&gt;TODAY()),"",IF(AND(DO241="",DP241=""),"",N(DP241)-N(DO241)))</f>
        <v/>
      </c>
      <c r="DU241">
        <f>IF(OR(DS$3="",DS$3&gt;TODAY()),"",IF(AND(DS241="",DT241=""),"",N(DT241)-N(DS241)))</f>
        <v/>
      </c>
      <c r="DX241">
        <f>IF(OR(DS$3="",DS$3&gt;TODAY()),"",IF(AND(DV241="",DW241=""),"",N(DW241)-N(DV241)))</f>
        <v/>
      </c>
      <c r="EB241">
        <f>IF(OR(DZ$3="",DZ$3&gt;TODAY()),"",IF(AND(DZ241="",EA241=""),"",N(EA241)-N(DZ241)))</f>
        <v/>
      </c>
      <c r="EE241">
        <f>IF(OR(DZ$3="",DZ$3&gt;TODAY()),"",IF(AND(EC241="",ED241=""),"",N(ED241)-N(EC241)))</f>
        <v/>
      </c>
      <c r="EI241">
        <f>IF(OR(EG$3="",EG$3&gt;TODAY()),"",IF(AND(EG241="",EH241=""),"",N(EH241)-N(EG241)))</f>
        <v/>
      </c>
      <c r="EL241">
        <f>IF(OR(EG$3="",EG$3&gt;TODAY()),"",IF(AND(EJ241="",EK241=""),"",N(EK241)-N(EJ241)))</f>
        <v/>
      </c>
      <c r="EP241">
        <f>IF(OR(EN$3="",EN$3&gt;TODAY()),"",IF(AND(EN241="",EO241=""),"",N(EO241)-N(EN241)))</f>
        <v/>
      </c>
      <c r="ES241">
        <f>IF(OR(EN$3="",EN$3&gt;TODAY()),"",IF(AND(EQ241="",ER241=""),"",N(ER241)-N(EQ241)))</f>
        <v/>
      </c>
      <c r="EW241">
        <f>IF(OR(EU$3="",EU$3&gt;TODAY()),"",IF(AND(EU241="",EV241=""),"",N(EV241)-N(EU241)))</f>
        <v/>
      </c>
      <c r="EZ241">
        <f>IF(OR(EU$3="",EU$3&gt;TODAY()),"",IF(AND(EX241="",EY241=""),"",N(EY241)-N(EX241)))</f>
        <v/>
      </c>
      <c r="FD241">
        <f>IF(OR(FB$3="",FB$3&gt;TODAY()),"",IF(AND(FB241="",FC241=""),"",N(FC241)-N(FB241)))</f>
        <v/>
      </c>
      <c r="FG241">
        <f>IF(OR(FB$3="",FB$3&gt;TODAY()),"",IF(AND(FE241="",FF241=""),"",N(FF241)-N(FE241)))</f>
        <v/>
      </c>
      <c r="FK241">
        <f>IF(OR(FI$3="",FI$3&gt;TODAY()),"",IF(AND(FI241="",FJ241=""),"",N(FJ241)-N(FI241)))</f>
        <v/>
      </c>
      <c r="FN241">
        <f>IF(OR(FI$3="",FI$3&gt;TODAY()),"",IF(AND(FL241="",FM241=""),"",N(FM241)-N(FL241)))</f>
        <v/>
      </c>
      <c r="FR241">
        <f>IF(OR(FP$3="",FP$3&gt;TODAY()),"",IF(AND(FP241="",FQ241=""),"",N(FQ241)-N(FP241)))</f>
        <v/>
      </c>
      <c r="FU241">
        <f>IF(OR(FP$3="",FP$3&gt;TODAY()),"",IF(AND(FS241="",FT241=""),"",N(FT241)-N(FS241)))</f>
        <v/>
      </c>
      <c r="FY241">
        <f>IF(OR(FW$3="",FW$3&gt;TODAY()),"",IF(AND(FW241="",FX241=""),"",N(FX241)-N(FW241)))</f>
        <v/>
      </c>
      <c r="GB241">
        <f>IF(OR(FW$3="",FW$3&gt;TODAY()),"",IF(AND(FZ241="",GA241=""),"",N(GA241)-N(FZ241)))</f>
        <v/>
      </c>
      <c r="GF241">
        <f>IF(OR(GD$3="",GD$3&gt;TODAY()),"",IF(AND(GD241="",GE241=""),"",N(GE241)-N(GD241)))</f>
        <v/>
      </c>
      <c r="GI241">
        <f>IF(OR(GD$3="",GD$3&gt;TODAY()),"",IF(AND(GG241="",GH241=""),"",N(GH241)-N(GG241)))</f>
        <v/>
      </c>
      <c r="GM241">
        <f>IF(OR(GK$3="",GK$3&gt;TODAY()),"",IF(AND(GK241="",GL241=""),"",N(GL241)-N(GK241)))</f>
        <v/>
      </c>
      <c r="GP241">
        <f>IF(OR(GK$3="",GK$3&gt;TODAY()),"",IF(AND(GN241="",GO241=""),"",N(GO241)-N(GN241)))</f>
        <v/>
      </c>
      <c r="GT241">
        <f>IF(OR(GR$3="",GR$3&gt;TODAY()),"",IF(AND(GR241="",GS241=""),"",N(GS241)-N(GR241)))</f>
        <v/>
      </c>
      <c r="GW241">
        <f>IF(OR(GR$3="",GR$3&gt;TODAY()),"",IF(AND(GU241="",GV241=""),"",N(GV241)-N(GU241)))</f>
        <v/>
      </c>
      <c r="HA241">
        <f>IF(OR(GY$3="",GY$3&gt;TODAY()),"",IF(AND(GY241="",GZ241=""),"",N(GZ241)-N(GY241)))</f>
        <v/>
      </c>
      <c r="HD241">
        <f>IF(OR(GY$3="",GY$3&gt;TODAY()),"",IF(AND(HB241="",HC241=""),"",N(HC241)-N(HB241)))</f>
        <v/>
      </c>
      <c r="HH241">
        <f>IF(OR(HF$3="",HF$3&gt;TODAY()),"",IF(AND(HF241="",HG241=""),"",N(HG241)-N(HF241)))</f>
        <v/>
      </c>
      <c r="HK241">
        <f>IF(OR(HF$3="",HF$3&gt;TODAY()),"",IF(AND(HI241="",HJ241=""),"",N(HJ241)-N(HI241)))</f>
        <v/>
      </c>
      <c r="HO241">
        <f>IF(OR(HM$3="",HM$3&gt;TODAY()),"",IF(AND(HM241="",HN241=""),"",N(HN241)-N(HM241)))</f>
        <v/>
      </c>
      <c r="HR241">
        <f>IF(OR(HM$3="",HM$3&gt;TODAY()),"",IF(AND(HP241="",HQ241=""),"",N(HQ241)-N(HP241)))</f>
        <v/>
      </c>
      <c r="HV241">
        <f>IF(OR(HT$3="",HT$3&gt;TODAY()),"",IF(AND(HT241="",HU241=""),"",N(HU241)-N(HT241)))</f>
        <v/>
      </c>
      <c r="HY241">
        <f>IF(OR(HT$3="",HT$3&gt;TODAY()),"",IF(AND(HW241="",HX241=""),"",N(HX241)-N(HW241)))</f>
        <v/>
      </c>
      <c r="IC241">
        <f>IF(OR(IA$3="",IA$3&gt;TODAY()),"",IF(AND(IA241="",IB241=""),"",N(IB241)-N(IA241)))</f>
        <v/>
      </c>
      <c r="IF241">
        <f>IF(OR(IA$3="",IA$3&gt;TODAY()),"",IF(AND(ID241="",IE241=""),"",N(IE241)-N(ID241)))</f>
        <v/>
      </c>
      <c r="IJ241">
        <f>IF(OR(IH$3="",IH$3&gt;TODAY()),"",IF(AND(IH241="",II241=""),"",N(II241)-N(IH241)))</f>
        <v/>
      </c>
      <c r="IM241">
        <f>IF(OR(IH$3="",IH$3&gt;TODAY()),"",IF(AND(IK241="",IL241=""),"",N(IL241)-N(IK241)))</f>
        <v/>
      </c>
    </row>
    <row r="242">
      <c r="A242" s="21" t="n"/>
      <c r="B242" s="21" t="n"/>
      <c r="C242" s="21" t="n"/>
      <c r="D242" s="21" t="n"/>
      <c r="E242" s="21" t="n"/>
      <c r="F242" s="21" t="n"/>
      <c r="G242" s="21" t="n"/>
      <c r="H242" s="21" t="n"/>
      <c r="I242" s="22" t="n"/>
      <c r="J242" s="22" t="n"/>
      <c r="K242" s="23" t="n"/>
      <c r="L242" s="22" t="n"/>
      <c r="M242" s="22" t="n"/>
      <c r="N242" s="21" t="n"/>
      <c r="O242" s="23" t="n"/>
      <c r="P242" s="23" t="n"/>
      <c r="Q242" s="23" t="n"/>
      <c r="R242" s="23" t="n"/>
      <c r="S242" s="22" t="n"/>
      <c r="T242" s="23" t="n"/>
      <c r="U242" s="23" t="n"/>
      <c r="V242" s="24">
        <f>IF(J242&lt;&gt;"",J242,IF(I242&lt;&gt;"",I242,""))</f>
        <v/>
      </c>
      <c r="W242" s="25">
        <f>IF($E242="","",N(O242)+SUMIFS($AF242:$IN242,$AF$4:$IN$4,"SEW_ACT"))</f>
        <v/>
      </c>
      <c r="X242" s="25">
        <f>IF($E242="","",N(P242)+SUMIFS($AF242:$IN242,$AF$4:$IN$4,"WASH_ACT"))</f>
        <v/>
      </c>
      <c r="Y242" s="25">
        <f>IF($E242="","",W242-X242-N(T242)-N(U242))</f>
        <v/>
      </c>
      <c r="Z242" s="25">
        <f>IF($E242="","",IF(N(K242)-X242&lt;=0.02*N(K242),0,N(K242)-X242))</f>
        <v/>
      </c>
      <c r="AA242" s="24">
        <f>IF($E242="","",IF(S242&lt;&gt;"",S242,IF(N(O242)&gt;0,IF(L242&lt;&gt;"",L242,99999),IFERROR(1/(1/_xlfn.MINIFS($AF$3:$IN$3,$AF$4:$IN$4,"SEW_ACT",$AF242:$IN242,"&gt;0")),99999))))</f>
        <v/>
      </c>
      <c r="AB242" s="26">
        <f>IF(OR($E242="",Z242=0,V242=""),"",1+COUNTIFS(Z$8:Z$707,"&gt;0",V$8:V$707,"&lt;"&amp;V242)+COUNTIFS(Z$8:Z$707,"&gt;0",V$8:V$707,V242,AA$8:AA$707,"&lt;"&amp;AA242)+COUNTIFS(Z$8:Z$707,"&gt;0",V$8:V$707,V242,AA$8:AA$707,AA242,E$8:E$707,"&lt;"&amp;$E242))</f>
        <v/>
      </c>
      <c r="AC242" s="24">
        <f>IF(OR($E242="",Z242=0),"",IFERROR(TODAY()+ROUNDUP(Z242/(SUMIFS($AF242:$IN242,$AF$4:$IN$4,"WASH_ACT")/COUNTIFS($AF$4:$IN$4,"WASH_ACT",$AF242:$IN242,"&gt;0")),0),"no output yet"))</f>
        <v/>
      </c>
      <c r="AD242" s="26">
        <f>IF($E242="","",IFERROR(ROUND(MAX(0,SUMIFS($AF242:$IN242,$AF$4:$IN$4,"SEW_PLAN",$AF$3:$IN$3,"&lt;="&amp;TODAY())-SUMIFS($AF242:$IN242,$AF$4:$IN$4,"SEW_ACT",$AF$3:$IN$3,"&lt;="&amp;TODAY())+N(Q242))/(SUMIFS($AF242:$IN242,$AF$4:$IN$4,"SEW_PLAN")/COUNTIFS($AF$4:$IN$4,"SEW_PLAN",$AF242:$IN242,"&gt;0")),1),0))</f>
        <v/>
      </c>
      <c r="AE242" s="26">
        <f>IF($E242="","",IF(AND(Z242&gt;0,OR(AND(M242&lt;&gt;"",TODAY()&gt;M242),AND(V242&lt;&gt;"",V242-TODAY()&lt;=7))),"Yes","No"))</f>
        <v/>
      </c>
      <c r="AH242">
        <f>IF(OR(AF$3="",AF$3&gt;TODAY()),"",IF(AND(AF242="",AG242=""),"",N(AG242)-N(AF242)))</f>
        <v/>
      </c>
      <c r="AK242">
        <f>IF(OR(AF$3="",AF$3&gt;TODAY()),"",IF(AND(AI242="",AJ242=""),"",N(AJ242)-N(AI242)))</f>
        <v/>
      </c>
      <c r="AO242">
        <f>IF(OR(AM$3="",AM$3&gt;TODAY()),"",IF(AND(AM242="",AN242=""),"",N(AN242)-N(AM242)))</f>
        <v/>
      </c>
      <c r="AR242">
        <f>IF(OR(AM$3="",AM$3&gt;TODAY()),"",IF(AND(AP242="",AQ242=""),"",N(AQ242)-N(AP242)))</f>
        <v/>
      </c>
      <c r="AV242">
        <f>IF(OR(AT$3="",AT$3&gt;TODAY()),"",IF(AND(AT242="",AU242=""),"",N(AU242)-N(AT242)))</f>
        <v/>
      </c>
      <c r="AY242">
        <f>IF(OR(AT$3="",AT$3&gt;TODAY()),"",IF(AND(AW242="",AX242=""),"",N(AX242)-N(AW242)))</f>
        <v/>
      </c>
      <c r="BC242">
        <f>IF(OR(BA$3="",BA$3&gt;TODAY()),"",IF(AND(BA242="",BB242=""),"",N(BB242)-N(BA242)))</f>
        <v/>
      </c>
      <c r="BF242">
        <f>IF(OR(BA$3="",BA$3&gt;TODAY()),"",IF(AND(BD242="",BE242=""),"",N(BE242)-N(BD242)))</f>
        <v/>
      </c>
      <c r="BJ242">
        <f>IF(OR(BH$3="",BH$3&gt;TODAY()),"",IF(AND(BH242="",BI242=""),"",N(BI242)-N(BH242)))</f>
        <v/>
      </c>
      <c r="BM242">
        <f>IF(OR(BH$3="",BH$3&gt;TODAY()),"",IF(AND(BK242="",BL242=""),"",N(BL242)-N(BK242)))</f>
        <v/>
      </c>
      <c r="BQ242">
        <f>IF(OR(BO$3="",BO$3&gt;TODAY()),"",IF(AND(BO242="",BP242=""),"",N(BP242)-N(BO242)))</f>
        <v/>
      </c>
      <c r="BT242">
        <f>IF(OR(BO$3="",BO$3&gt;TODAY()),"",IF(AND(BR242="",BS242=""),"",N(BS242)-N(BR242)))</f>
        <v/>
      </c>
      <c r="BX242">
        <f>IF(OR(BV$3="",BV$3&gt;TODAY()),"",IF(AND(BV242="",BW242=""),"",N(BW242)-N(BV242)))</f>
        <v/>
      </c>
      <c r="CA242">
        <f>IF(OR(BV$3="",BV$3&gt;TODAY()),"",IF(AND(BY242="",BZ242=""),"",N(BZ242)-N(BY242)))</f>
        <v/>
      </c>
      <c r="CE242">
        <f>IF(OR(CC$3="",CC$3&gt;TODAY()),"",IF(AND(CC242="",CD242=""),"",N(CD242)-N(CC242)))</f>
        <v/>
      </c>
      <c r="CH242">
        <f>IF(OR(CC$3="",CC$3&gt;TODAY()),"",IF(AND(CF242="",CG242=""),"",N(CG242)-N(CF242)))</f>
        <v/>
      </c>
      <c r="CL242">
        <f>IF(OR(CJ$3="",CJ$3&gt;TODAY()),"",IF(AND(CJ242="",CK242=""),"",N(CK242)-N(CJ242)))</f>
        <v/>
      </c>
      <c r="CO242">
        <f>IF(OR(CJ$3="",CJ$3&gt;TODAY()),"",IF(AND(CM242="",CN242=""),"",N(CN242)-N(CM242)))</f>
        <v/>
      </c>
      <c r="CS242">
        <f>IF(OR(CQ$3="",CQ$3&gt;TODAY()),"",IF(AND(CQ242="",CR242=""),"",N(CR242)-N(CQ242)))</f>
        <v/>
      </c>
      <c r="CV242">
        <f>IF(OR(CQ$3="",CQ$3&gt;TODAY()),"",IF(AND(CT242="",CU242=""),"",N(CU242)-N(CT242)))</f>
        <v/>
      </c>
      <c r="CZ242">
        <f>IF(OR(CX$3="",CX$3&gt;TODAY()),"",IF(AND(CX242="",CY242=""),"",N(CY242)-N(CX242)))</f>
        <v/>
      </c>
      <c r="DC242">
        <f>IF(OR(CX$3="",CX$3&gt;TODAY()),"",IF(AND(DA242="",DB242=""),"",N(DB242)-N(DA242)))</f>
        <v/>
      </c>
      <c r="DG242">
        <f>IF(OR(DE$3="",DE$3&gt;TODAY()),"",IF(AND(DE242="",DF242=""),"",N(DF242)-N(DE242)))</f>
        <v/>
      </c>
      <c r="DJ242">
        <f>IF(OR(DE$3="",DE$3&gt;TODAY()),"",IF(AND(DH242="",DI242=""),"",N(DI242)-N(DH242)))</f>
        <v/>
      </c>
      <c r="DN242">
        <f>IF(OR(DL$3="",DL$3&gt;TODAY()),"",IF(AND(DL242="",DM242=""),"",N(DM242)-N(DL242)))</f>
        <v/>
      </c>
      <c r="DQ242">
        <f>IF(OR(DL$3="",DL$3&gt;TODAY()),"",IF(AND(DO242="",DP242=""),"",N(DP242)-N(DO242)))</f>
        <v/>
      </c>
      <c r="DU242">
        <f>IF(OR(DS$3="",DS$3&gt;TODAY()),"",IF(AND(DS242="",DT242=""),"",N(DT242)-N(DS242)))</f>
        <v/>
      </c>
      <c r="DX242">
        <f>IF(OR(DS$3="",DS$3&gt;TODAY()),"",IF(AND(DV242="",DW242=""),"",N(DW242)-N(DV242)))</f>
        <v/>
      </c>
      <c r="EB242">
        <f>IF(OR(DZ$3="",DZ$3&gt;TODAY()),"",IF(AND(DZ242="",EA242=""),"",N(EA242)-N(DZ242)))</f>
        <v/>
      </c>
      <c r="EE242">
        <f>IF(OR(DZ$3="",DZ$3&gt;TODAY()),"",IF(AND(EC242="",ED242=""),"",N(ED242)-N(EC242)))</f>
        <v/>
      </c>
      <c r="EI242">
        <f>IF(OR(EG$3="",EG$3&gt;TODAY()),"",IF(AND(EG242="",EH242=""),"",N(EH242)-N(EG242)))</f>
        <v/>
      </c>
      <c r="EL242">
        <f>IF(OR(EG$3="",EG$3&gt;TODAY()),"",IF(AND(EJ242="",EK242=""),"",N(EK242)-N(EJ242)))</f>
        <v/>
      </c>
      <c r="EP242">
        <f>IF(OR(EN$3="",EN$3&gt;TODAY()),"",IF(AND(EN242="",EO242=""),"",N(EO242)-N(EN242)))</f>
        <v/>
      </c>
      <c r="ES242">
        <f>IF(OR(EN$3="",EN$3&gt;TODAY()),"",IF(AND(EQ242="",ER242=""),"",N(ER242)-N(EQ242)))</f>
        <v/>
      </c>
      <c r="EW242">
        <f>IF(OR(EU$3="",EU$3&gt;TODAY()),"",IF(AND(EU242="",EV242=""),"",N(EV242)-N(EU242)))</f>
        <v/>
      </c>
      <c r="EZ242">
        <f>IF(OR(EU$3="",EU$3&gt;TODAY()),"",IF(AND(EX242="",EY242=""),"",N(EY242)-N(EX242)))</f>
        <v/>
      </c>
      <c r="FD242">
        <f>IF(OR(FB$3="",FB$3&gt;TODAY()),"",IF(AND(FB242="",FC242=""),"",N(FC242)-N(FB242)))</f>
        <v/>
      </c>
      <c r="FG242">
        <f>IF(OR(FB$3="",FB$3&gt;TODAY()),"",IF(AND(FE242="",FF242=""),"",N(FF242)-N(FE242)))</f>
        <v/>
      </c>
      <c r="FK242">
        <f>IF(OR(FI$3="",FI$3&gt;TODAY()),"",IF(AND(FI242="",FJ242=""),"",N(FJ242)-N(FI242)))</f>
        <v/>
      </c>
      <c r="FN242">
        <f>IF(OR(FI$3="",FI$3&gt;TODAY()),"",IF(AND(FL242="",FM242=""),"",N(FM242)-N(FL242)))</f>
        <v/>
      </c>
      <c r="FR242">
        <f>IF(OR(FP$3="",FP$3&gt;TODAY()),"",IF(AND(FP242="",FQ242=""),"",N(FQ242)-N(FP242)))</f>
        <v/>
      </c>
      <c r="FU242">
        <f>IF(OR(FP$3="",FP$3&gt;TODAY()),"",IF(AND(FS242="",FT242=""),"",N(FT242)-N(FS242)))</f>
        <v/>
      </c>
      <c r="FY242">
        <f>IF(OR(FW$3="",FW$3&gt;TODAY()),"",IF(AND(FW242="",FX242=""),"",N(FX242)-N(FW242)))</f>
        <v/>
      </c>
      <c r="GB242">
        <f>IF(OR(FW$3="",FW$3&gt;TODAY()),"",IF(AND(FZ242="",GA242=""),"",N(GA242)-N(FZ242)))</f>
        <v/>
      </c>
      <c r="GF242">
        <f>IF(OR(GD$3="",GD$3&gt;TODAY()),"",IF(AND(GD242="",GE242=""),"",N(GE242)-N(GD242)))</f>
        <v/>
      </c>
      <c r="GI242">
        <f>IF(OR(GD$3="",GD$3&gt;TODAY()),"",IF(AND(GG242="",GH242=""),"",N(GH242)-N(GG242)))</f>
        <v/>
      </c>
      <c r="GM242">
        <f>IF(OR(GK$3="",GK$3&gt;TODAY()),"",IF(AND(GK242="",GL242=""),"",N(GL242)-N(GK242)))</f>
        <v/>
      </c>
      <c r="GP242">
        <f>IF(OR(GK$3="",GK$3&gt;TODAY()),"",IF(AND(GN242="",GO242=""),"",N(GO242)-N(GN242)))</f>
        <v/>
      </c>
      <c r="GT242">
        <f>IF(OR(GR$3="",GR$3&gt;TODAY()),"",IF(AND(GR242="",GS242=""),"",N(GS242)-N(GR242)))</f>
        <v/>
      </c>
      <c r="GW242">
        <f>IF(OR(GR$3="",GR$3&gt;TODAY()),"",IF(AND(GU242="",GV242=""),"",N(GV242)-N(GU242)))</f>
        <v/>
      </c>
      <c r="HA242">
        <f>IF(OR(GY$3="",GY$3&gt;TODAY()),"",IF(AND(GY242="",GZ242=""),"",N(GZ242)-N(GY242)))</f>
        <v/>
      </c>
      <c r="HD242">
        <f>IF(OR(GY$3="",GY$3&gt;TODAY()),"",IF(AND(HB242="",HC242=""),"",N(HC242)-N(HB242)))</f>
        <v/>
      </c>
      <c r="HH242">
        <f>IF(OR(HF$3="",HF$3&gt;TODAY()),"",IF(AND(HF242="",HG242=""),"",N(HG242)-N(HF242)))</f>
        <v/>
      </c>
      <c r="HK242">
        <f>IF(OR(HF$3="",HF$3&gt;TODAY()),"",IF(AND(HI242="",HJ242=""),"",N(HJ242)-N(HI242)))</f>
        <v/>
      </c>
      <c r="HO242">
        <f>IF(OR(HM$3="",HM$3&gt;TODAY()),"",IF(AND(HM242="",HN242=""),"",N(HN242)-N(HM242)))</f>
        <v/>
      </c>
      <c r="HR242">
        <f>IF(OR(HM$3="",HM$3&gt;TODAY()),"",IF(AND(HP242="",HQ242=""),"",N(HQ242)-N(HP242)))</f>
        <v/>
      </c>
      <c r="HV242">
        <f>IF(OR(HT$3="",HT$3&gt;TODAY()),"",IF(AND(HT242="",HU242=""),"",N(HU242)-N(HT242)))</f>
        <v/>
      </c>
      <c r="HY242">
        <f>IF(OR(HT$3="",HT$3&gt;TODAY()),"",IF(AND(HW242="",HX242=""),"",N(HX242)-N(HW242)))</f>
        <v/>
      </c>
      <c r="IC242">
        <f>IF(OR(IA$3="",IA$3&gt;TODAY()),"",IF(AND(IA242="",IB242=""),"",N(IB242)-N(IA242)))</f>
        <v/>
      </c>
      <c r="IF242">
        <f>IF(OR(IA$3="",IA$3&gt;TODAY()),"",IF(AND(ID242="",IE242=""),"",N(IE242)-N(ID242)))</f>
        <v/>
      </c>
      <c r="IJ242">
        <f>IF(OR(IH$3="",IH$3&gt;TODAY()),"",IF(AND(IH242="",II242=""),"",N(II242)-N(IH242)))</f>
        <v/>
      </c>
      <c r="IM242">
        <f>IF(OR(IH$3="",IH$3&gt;TODAY()),"",IF(AND(IK242="",IL242=""),"",N(IL242)-N(IK242)))</f>
        <v/>
      </c>
    </row>
    <row r="243">
      <c r="A243" s="21" t="n"/>
      <c r="B243" s="21" t="n"/>
      <c r="C243" s="21" t="n"/>
      <c r="D243" s="21" t="n"/>
      <c r="E243" s="21" t="n"/>
      <c r="F243" s="21" t="n"/>
      <c r="G243" s="21" t="n"/>
      <c r="H243" s="21" t="n"/>
      <c r="I243" s="22" t="n"/>
      <c r="J243" s="22" t="n"/>
      <c r="K243" s="23" t="n"/>
      <c r="L243" s="22" t="n"/>
      <c r="M243" s="22" t="n"/>
      <c r="N243" s="21" t="n"/>
      <c r="O243" s="23" t="n"/>
      <c r="P243" s="23" t="n"/>
      <c r="Q243" s="23" t="n"/>
      <c r="R243" s="23" t="n"/>
      <c r="S243" s="22" t="n"/>
      <c r="T243" s="23" t="n"/>
      <c r="U243" s="23" t="n"/>
      <c r="V243" s="24">
        <f>IF(J243&lt;&gt;"",J243,IF(I243&lt;&gt;"",I243,""))</f>
        <v/>
      </c>
      <c r="W243" s="25">
        <f>IF($E243="","",N(O243)+SUMIFS($AF243:$IN243,$AF$4:$IN$4,"SEW_ACT"))</f>
        <v/>
      </c>
      <c r="X243" s="25">
        <f>IF($E243="","",N(P243)+SUMIFS($AF243:$IN243,$AF$4:$IN$4,"WASH_ACT"))</f>
        <v/>
      </c>
      <c r="Y243" s="25">
        <f>IF($E243="","",W243-X243-N(T243)-N(U243))</f>
        <v/>
      </c>
      <c r="Z243" s="25">
        <f>IF($E243="","",IF(N(K243)-X243&lt;=0.02*N(K243),0,N(K243)-X243))</f>
        <v/>
      </c>
      <c r="AA243" s="24">
        <f>IF($E243="","",IF(S243&lt;&gt;"",S243,IF(N(O243)&gt;0,IF(L243&lt;&gt;"",L243,99999),IFERROR(1/(1/_xlfn.MINIFS($AF$3:$IN$3,$AF$4:$IN$4,"SEW_ACT",$AF243:$IN243,"&gt;0")),99999))))</f>
        <v/>
      </c>
      <c r="AB243" s="26">
        <f>IF(OR($E243="",Z243=0,V243=""),"",1+COUNTIFS(Z$8:Z$707,"&gt;0",V$8:V$707,"&lt;"&amp;V243)+COUNTIFS(Z$8:Z$707,"&gt;0",V$8:V$707,V243,AA$8:AA$707,"&lt;"&amp;AA243)+COUNTIFS(Z$8:Z$707,"&gt;0",V$8:V$707,V243,AA$8:AA$707,AA243,E$8:E$707,"&lt;"&amp;$E243))</f>
        <v/>
      </c>
      <c r="AC243" s="24">
        <f>IF(OR($E243="",Z243=0),"",IFERROR(TODAY()+ROUNDUP(Z243/(SUMIFS($AF243:$IN243,$AF$4:$IN$4,"WASH_ACT")/COUNTIFS($AF$4:$IN$4,"WASH_ACT",$AF243:$IN243,"&gt;0")),0),"no output yet"))</f>
        <v/>
      </c>
      <c r="AD243" s="26">
        <f>IF($E243="","",IFERROR(ROUND(MAX(0,SUMIFS($AF243:$IN243,$AF$4:$IN$4,"SEW_PLAN",$AF$3:$IN$3,"&lt;="&amp;TODAY())-SUMIFS($AF243:$IN243,$AF$4:$IN$4,"SEW_ACT",$AF$3:$IN$3,"&lt;="&amp;TODAY())+N(Q243))/(SUMIFS($AF243:$IN243,$AF$4:$IN$4,"SEW_PLAN")/COUNTIFS($AF$4:$IN$4,"SEW_PLAN",$AF243:$IN243,"&gt;0")),1),0))</f>
        <v/>
      </c>
      <c r="AE243" s="26">
        <f>IF($E243="","",IF(AND(Z243&gt;0,OR(AND(M243&lt;&gt;"",TODAY()&gt;M243),AND(V243&lt;&gt;"",V243-TODAY()&lt;=7))),"Yes","No"))</f>
        <v/>
      </c>
      <c r="AH243">
        <f>IF(OR(AF$3="",AF$3&gt;TODAY()),"",IF(AND(AF243="",AG243=""),"",N(AG243)-N(AF243)))</f>
        <v/>
      </c>
      <c r="AK243">
        <f>IF(OR(AF$3="",AF$3&gt;TODAY()),"",IF(AND(AI243="",AJ243=""),"",N(AJ243)-N(AI243)))</f>
        <v/>
      </c>
      <c r="AO243">
        <f>IF(OR(AM$3="",AM$3&gt;TODAY()),"",IF(AND(AM243="",AN243=""),"",N(AN243)-N(AM243)))</f>
        <v/>
      </c>
      <c r="AR243">
        <f>IF(OR(AM$3="",AM$3&gt;TODAY()),"",IF(AND(AP243="",AQ243=""),"",N(AQ243)-N(AP243)))</f>
        <v/>
      </c>
      <c r="AV243">
        <f>IF(OR(AT$3="",AT$3&gt;TODAY()),"",IF(AND(AT243="",AU243=""),"",N(AU243)-N(AT243)))</f>
        <v/>
      </c>
      <c r="AY243">
        <f>IF(OR(AT$3="",AT$3&gt;TODAY()),"",IF(AND(AW243="",AX243=""),"",N(AX243)-N(AW243)))</f>
        <v/>
      </c>
      <c r="BC243">
        <f>IF(OR(BA$3="",BA$3&gt;TODAY()),"",IF(AND(BA243="",BB243=""),"",N(BB243)-N(BA243)))</f>
        <v/>
      </c>
      <c r="BF243">
        <f>IF(OR(BA$3="",BA$3&gt;TODAY()),"",IF(AND(BD243="",BE243=""),"",N(BE243)-N(BD243)))</f>
        <v/>
      </c>
      <c r="BJ243">
        <f>IF(OR(BH$3="",BH$3&gt;TODAY()),"",IF(AND(BH243="",BI243=""),"",N(BI243)-N(BH243)))</f>
        <v/>
      </c>
      <c r="BM243">
        <f>IF(OR(BH$3="",BH$3&gt;TODAY()),"",IF(AND(BK243="",BL243=""),"",N(BL243)-N(BK243)))</f>
        <v/>
      </c>
      <c r="BQ243">
        <f>IF(OR(BO$3="",BO$3&gt;TODAY()),"",IF(AND(BO243="",BP243=""),"",N(BP243)-N(BO243)))</f>
        <v/>
      </c>
      <c r="BT243">
        <f>IF(OR(BO$3="",BO$3&gt;TODAY()),"",IF(AND(BR243="",BS243=""),"",N(BS243)-N(BR243)))</f>
        <v/>
      </c>
      <c r="BX243">
        <f>IF(OR(BV$3="",BV$3&gt;TODAY()),"",IF(AND(BV243="",BW243=""),"",N(BW243)-N(BV243)))</f>
        <v/>
      </c>
      <c r="CA243">
        <f>IF(OR(BV$3="",BV$3&gt;TODAY()),"",IF(AND(BY243="",BZ243=""),"",N(BZ243)-N(BY243)))</f>
        <v/>
      </c>
      <c r="CE243">
        <f>IF(OR(CC$3="",CC$3&gt;TODAY()),"",IF(AND(CC243="",CD243=""),"",N(CD243)-N(CC243)))</f>
        <v/>
      </c>
      <c r="CH243">
        <f>IF(OR(CC$3="",CC$3&gt;TODAY()),"",IF(AND(CF243="",CG243=""),"",N(CG243)-N(CF243)))</f>
        <v/>
      </c>
      <c r="CL243">
        <f>IF(OR(CJ$3="",CJ$3&gt;TODAY()),"",IF(AND(CJ243="",CK243=""),"",N(CK243)-N(CJ243)))</f>
        <v/>
      </c>
      <c r="CO243">
        <f>IF(OR(CJ$3="",CJ$3&gt;TODAY()),"",IF(AND(CM243="",CN243=""),"",N(CN243)-N(CM243)))</f>
        <v/>
      </c>
      <c r="CS243">
        <f>IF(OR(CQ$3="",CQ$3&gt;TODAY()),"",IF(AND(CQ243="",CR243=""),"",N(CR243)-N(CQ243)))</f>
        <v/>
      </c>
      <c r="CV243">
        <f>IF(OR(CQ$3="",CQ$3&gt;TODAY()),"",IF(AND(CT243="",CU243=""),"",N(CU243)-N(CT243)))</f>
        <v/>
      </c>
      <c r="CZ243">
        <f>IF(OR(CX$3="",CX$3&gt;TODAY()),"",IF(AND(CX243="",CY243=""),"",N(CY243)-N(CX243)))</f>
        <v/>
      </c>
      <c r="DC243">
        <f>IF(OR(CX$3="",CX$3&gt;TODAY()),"",IF(AND(DA243="",DB243=""),"",N(DB243)-N(DA243)))</f>
        <v/>
      </c>
      <c r="DG243">
        <f>IF(OR(DE$3="",DE$3&gt;TODAY()),"",IF(AND(DE243="",DF243=""),"",N(DF243)-N(DE243)))</f>
        <v/>
      </c>
      <c r="DJ243">
        <f>IF(OR(DE$3="",DE$3&gt;TODAY()),"",IF(AND(DH243="",DI243=""),"",N(DI243)-N(DH243)))</f>
        <v/>
      </c>
      <c r="DN243">
        <f>IF(OR(DL$3="",DL$3&gt;TODAY()),"",IF(AND(DL243="",DM243=""),"",N(DM243)-N(DL243)))</f>
        <v/>
      </c>
      <c r="DQ243">
        <f>IF(OR(DL$3="",DL$3&gt;TODAY()),"",IF(AND(DO243="",DP243=""),"",N(DP243)-N(DO243)))</f>
        <v/>
      </c>
      <c r="DU243">
        <f>IF(OR(DS$3="",DS$3&gt;TODAY()),"",IF(AND(DS243="",DT243=""),"",N(DT243)-N(DS243)))</f>
        <v/>
      </c>
      <c r="DX243">
        <f>IF(OR(DS$3="",DS$3&gt;TODAY()),"",IF(AND(DV243="",DW243=""),"",N(DW243)-N(DV243)))</f>
        <v/>
      </c>
      <c r="EB243">
        <f>IF(OR(DZ$3="",DZ$3&gt;TODAY()),"",IF(AND(DZ243="",EA243=""),"",N(EA243)-N(DZ243)))</f>
        <v/>
      </c>
      <c r="EE243">
        <f>IF(OR(DZ$3="",DZ$3&gt;TODAY()),"",IF(AND(EC243="",ED243=""),"",N(ED243)-N(EC243)))</f>
        <v/>
      </c>
      <c r="EI243">
        <f>IF(OR(EG$3="",EG$3&gt;TODAY()),"",IF(AND(EG243="",EH243=""),"",N(EH243)-N(EG243)))</f>
        <v/>
      </c>
      <c r="EL243">
        <f>IF(OR(EG$3="",EG$3&gt;TODAY()),"",IF(AND(EJ243="",EK243=""),"",N(EK243)-N(EJ243)))</f>
        <v/>
      </c>
      <c r="EP243">
        <f>IF(OR(EN$3="",EN$3&gt;TODAY()),"",IF(AND(EN243="",EO243=""),"",N(EO243)-N(EN243)))</f>
        <v/>
      </c>
      <c r="ES243">
        <f>IF(OR(EN$3="",EN$3&gt;TODAY()),"",IF(AND(EQ243="",ER243=""),"",N(ER243)-N(EQ243)))</f>
        <v/>
      </c>
      <c r="EW243">
        <f>IF(OR(EU$3="",EU$3&gt;TODAY()),"",IF(AND(EU243="",EV243=""),"",N(EV243)-N(EU243)))</f>
        <v/>
      </c>
      <c r="EZ243">
        <f>IF(OR(EU$3="",EU$3&gt;TODAY()),"",IF(AND(EX243="",EY243=""),"",N(EY243)-N(EX243)))</f>
        <v/>
      </c>
      <c r="FD243">
        <f>IF(OR(FB$3="",FB$3&gt;TODAY()),"",IF(AND(FB243="",FC243=""),"",N(FC243)-N(FB243)))</f>
        <v/>
      </c>
      <c r="FG243">
        <f>IF(OR(FB$3="",FB$3&gt;TODAY()),"",IF(AND(FE243="",FF243=""),"",N(FF243)-N(FE243)))</f>
        <v/>
      </c>
      <c r="FK243">
        <f>IF(OR(FI$3="",FI$3&gt;TODAY()),"",IF(AND(FI243="",FJ243=""),"",N(FJ243)-N(FI243)))</f>
        <v/>
      </c>
      <c r="FN243">
        <f>IF(OR(FI$3="",FI$3&gt;TODAY()),"",IF(AND(FL243="",FM243=""),"",N(FM243)-N(FL243)))</f>
        <v/>
      </c>
      <c r="FR243">
        <f>IF(OR(FP$3="",FP$3&gt;TODAY()),"",IF(AND(FP243="",FQ243=""),"",N(FQ243)-N(FP243)))</f>
        <v/>
      </c>
      <c r="FU243">
        <f>IF(OR(FP$3="",FP$3&gt;TODAY()),"",IF(AND(FS243="",FT243=""),"",N(FT243)-N(FS243)))</f>
        <v/>
      </c>
      <c r="FY243">
        <f>IF(OR(FW$3="",FW$3&gt;TODAY()),"",IF(AND(FW243="",FX243=""),"",N(FX243)-N(FW243)))</f>
        <v/>
      </c>
      <c r="GB243">
        <f>IF(OR(FW$3="",FW$3&gt;TODAY()),"",IF(AND(FZ243="",GA243=""),"",N(GA243)-N(FZ243)))</f>
        <v/>
      </c>
      <c r="GF243">
        <f>IF(OR(GD$3="",GD$3&gt;TODAY()),"",IF(AND(GD243="",GE243=""),"",N(GE243)-N(GD243)))</f>
        <v/>
      </c>
      <c r="GI243">
        <f>IF(OR(GD$3="",GD$3&gt;TODAY()),"",IF(AND(GG243="",GH243=""),"",N(GH243)-N(GG243)))</f>
        <v/>
      </c>
      <c r="GM243">
        <f>IF(OR(GK$3="",GK$3&gt;TODAY()),"",IF(AND(GK243="",GL243=""),"",N(GL243)-N(GK243)))</f>
        <v/>
      </c>
      <c r="GP243">
        <f>IF(OR(GK$3="",GK$3&gt;TODAY()),"",IF(AND(GN243="",GO243=""),"",N(GO243)-N(GN243)))</f>
        <v/>
      </c>
      <c r="GT243">
        <f>IF(OR(GR$3="",GR$3&gt;TODAY()),"",IF(AND(GR243="",GS243=""),"",N(GS243)-N(GR243)))</f>
        <v/>
      </c>
      <c r="GW243">
        <f>IF(OR(GR$3="",GR$3&gt;TODAY()),"",IF(AND(GU243="",GV243=""),"",N(GV243)-N(GU243)))</f>
        <v/>
      </c>
      <c r="HA243">
        <f>IF(OR(GY$3="",GY$3&gt;TODAY()),"",IF(AND(GY243="",GZ243=""),"",N(GZ243)-N(GY243)))</f>
        <v/>
      </c>
      <c r="HD243">
        <f>IF(OR(GY$3="",GY$3&gt;TODAY()),"",IF(AND(HB243="",HC243=""),"",N(HC243)-N(HB243)))</f>
        <v/>
      </c>
      <c r="HH243">
        <f>IF(OR(HF$3="",HF$3&gt;TODAY()),"",IF(AND(HF243="",HG243=""),"",N(HG243)-N(HF243)))</f>
        <v/>
      </c>
      <c r="HK243">
        <f>IF(OR(HF$3="",HF$3&gt;TODAY()),"",IF(AND(HI243="",HJ243=""),"",N(HJ243)-N(HI243)))</f>
        <v/>
      </c>
      <c r="HO243">
        <f>IF(OR(HM$3="",HM$3&gt;TODAY()),"",IF(AND(HM243="",HN243=""),"",N(HN243)-N(HM243)))</f>
        <v/>
      </c>
      <c r="HR243">
        <f>IF(OR(HM$3="",HM$3&gt;TODAY()),"",IF(AND(HP243="",HQ243=""),"",N(HQ243)-N(HP243)))</f>
        <v/>
      </c>
      <c r="HV243">
        <f>IF(OR(HT$3="",HT$3&gt;TODAY()),"",IF(AND(HT243="",HU243=""),"",N(HU243)-N(HT243)))</f>
        <v/>
      </c>
      <c r="HY243">
        <f>IF(OR(HT$3="",HT$3&gt;TODAY()),"",IF(AND(HW243="",HX243=""),"",N(HX243)-N(HW243)))</f>
        <v/>
      </c>
      <c r="IC243">
        <f>IF(OR(IA$3="",IA$3&gt;TODAY()),"",IF(AND(IA243="",IB243=""),"",N(IB243)-N(IA243)))</f>
        <v/>
      </c>
      <c r="IF243">
        <f>IF(OR(IA$3="",IA$3&gt;TODAY()),"",IF(AND(ID243="",IE243=""),"",N(IE243)-N(ID243)))</f>
        <v/>
      </c>
      <c r="IJ243">
        <f>IF(OR(IH$3="",IH$3&gt;TODAY()),"",IF(AND(IH243="",II243=""),"",N(II243)-N(IH243)))</f>
        <v/>
      </c>
      <c r="IM243">
        <f>IF(OR(IH$3="",IH$3&gt;TODAY()),"",IF(AND(IK243="",IL243=""),"",N(IL243)-N(IK243)))</f>
        <v/>
      </c>
    </row>
    <row r="244">
      <c r="A244" s="21" t="n"/>
      <c r="B244" s="21" t="n"/>
      <c r="C244" s="21" t="n"/>
      <c r="D244" s="21" t="n"/>
      <c r="E244" s="21" t="n"/>
      <c r="F244" s="21" t="n"/>
      <c r="G244" s="21" t="n"/>
      <c r="H244" s="21" t="n"/>
      <c r="I244" s="22" t="n"/>
      <c r="J244" s="22" t="n"/>
      <c r="K244" s="23" t="n"/>
      <c r="L244" s="22" t="n"/>
      <c r="M244" s="22" t="n"/>
      <c r="N244" s="21" t="n"/>
      <c r="O244" s="23" t="n"/>
      <c r="P244" s="23" t="n"/>
      <c r="Q244" s="23" t="n"/>
      <c r="R244" s="23" t="n"/>
      <c r="S244" s="22" t="n"/>
      <c r="T244" s="23" t="n"/>
      <c r="U244" s="23" t="n"/>
      <c r="V244" s="24">
        <f>IF(J244&lt;&gt;"",J244,IF(I244&lt;&gt;"",I244,""))</f>
        <v/>
      </c>
      <c r="W244" s="25">
        <f>IF($E244="","",N(O244)+SUMIFS($AF244:$IN244,$AF$4:$IN$4,"SEW_ACT"))</f>
        <v/>
      </c>
      <c r="X244" s="25">
        <f>IF($E244="","",N(P244)+SUMIFS($AF244:$IN244,$AF$4:$IN$4,"WASH_ACT"))</f>
        <v/>
      </c>
      <c r="Y244" s="25">
        <f>IF($E244="","",W244-X244-N(T244)-N(U244))</f>
        <v/>
      </c>
      <c r="Z244" s="25">
        <f>IF($E244="","",IF(N(K244)-X244&lt;=0.02*N(K244),0,N(K244)-X244))</f>
        <v/>
      </c>
      <c r="AA244" s="24">
        <f>IF($E244="","",IF(S244&lt;&gt;"",S244,IF(N(O244)&gt;0,IF(L244&lt;&gt;"",L244,99999),IFERROR(1/(1/_xlfn.MINIFS($AF$3:$IN$3,$AF$4:$IN$4,"SEW_ACT",$AF244:$IN244,"&gt;0")),99999))))</f>
        <v/>
      </c>
      <c r="AB244" s="26">
        <f>IF(OR($E244="",Z244=0,V244=""),"",1+COUNTIFS(Z$8:Z$707,"&gt;0",V$8:V$707,"&lt;"&amp;V244)+COUNTIFS(Z$8:Z$707,"&gt;0",V$8:V$707,V244,AA$8:AA$707,"&lt;"&amp;AA244)+COUNTIFS(Z$8:Z$707,"&gt;0",V$8:V$707,V244,AA$8:AA$707,AA244,E$8:E$707,"&lt;"&amp;$E244))</f>
        <v/>
      </c>
      <c r="AC244" s="24">
        <f>IF(OR($E244="",Z244=0),"",IFERROR(TODAY()+ROUNDUP(Z244/(SUMIFS($AF244:$IN244,$AF$4:$IN$4,"WASH_ACT")/COUNTIFS($AF$4:$IN$4,"WASH_ACT",$AF244:$IN244,"&gt;0")),0),"no output yet"))</f>
        <v/>
      </c>
      <c r="AD244" s="26">
        <f>IF($E244="","",IFERROR(ROUND(MAX(0,SUMIFS($AF244:$IN244,$AF$4:$IN$4,"SEW_PLAN",$AF$3:$IN$3,"&lt;="&amp;TODAY())-SUMIFS($AF244:$IN244,$AF$4:$IN$4,"SEW_ACT",$AF$3:$IN$3,"&lt;="&amp;TODAY())+N(Q244))/(SUMIFS($AF244:$IN244,$AF$4:$IN$4,"SEW_PLAN")/COUNTIFS($AF$4:$IN$4,"SEW_PLAN",$AF244:$IN244,"&gt;0")),1),0))</f>
        <v/>
      </c>
      <c r="AE244" s="26">
        <f>IF($E244="","",IF(AND(Z244&gt;0,OR(AND(M244&lt;&gt;"",TODAY()&gt;M244),AND(V244&lt;&gt;"",V244-TODAY()&lt;=7))),"Yes","No"))</f>
        <v/>
      </c>
      <c r="AH244">
        <f>IF(OR(AF$3="",AF$3&gt;TODAY()),"",IF(AND(AF244="",AG244=""),"",N(AG244)-N(AF244)))</f>
        <v/>
      </c>
      <c r="AK244">
        <f>IF(OR(AF$3="",AF$3&gt;TODAY()),"",IF(AND(AI244="",AJ244=""),"",N(AJ244)-N(AI244)))</f>
        <v/>
      </c>
      <c r="AO244">
        <f>IF(OR(AM$3="",AM$3&gt;TODAY()),"",IF(AND(AM244="",AN244=""),"",N(AN244)-N(AM244)))</f>
        <v/>
      </c>
      <c r="AR244">
        <f>IF(OR(AM$3="",AM$3&gt;TODAY()),"",IF(AND(AP244="",AQ244=""),"",N(AQ244)-N(AP244)))</f>
        <v/>
      </c>
      <c r="AV244">
        <f>IF(OR(AT$3="",AT$3&gt;TODAY()),"",IF(AND(AT244="",AU244=""),"",N(AU244)-N(AT244)))</f>
        <v/>
      </c>
      <c r="AY244">
        <f>IF(OR(AT$3="",AT$3&gt;TODAY()),"",IF(AND(AW244="",AX244=""),"",N(AX244)-N(AW244)))</f>
        <v/>
      </c>
      <c r="BC244">
        <f>IF(OR(BA$3="",BA$3&gt;TODAY()),"",IF(AND(BA244="",BB244=""),"",N(BB244)-N(BA244)))</f>
        <v/>
      </c>
      <c r="BF244">
        <f>IF(OR(BA$3="",BA$3&gt;TODAY()),"",IF(AND(BD244="",BE244=""),"",N(BE244)-N(BD244)))</f>
        <v/>
      </c>
      <c r="BJ244">
        <f>IF(OR(BH$3="",BH$3&gt;TODAY()),"",IF(AND(BH244="",BI244=""),"",N(BI244)-N(BH244)))</f>
        <v/>
      </c>
      <c r="BM244">
        <f>IF(OR(BH$3="",BH$3&gt;TODAY()),"",IF(AND(BK244="",BL244=""),"",N(BL244)-N(BK244)))</f>
        <v/>
      </c>
      <c r="BQ244">
        <f>IF(OR(BO$3="",BO$3&gt;TODAY()),"",IF(AND(BO244="",BP244=""),"",N(BP244)-N(BO244)))</f>
        <v/>
      </c>
      <c r="BT244">
        <f>IF(OR(BO$3="",BO$3&gt;TODAY()),"",IF(AND(BR244="",BS244=""),"",N(BS244)-N(BR244)))</f>
        <v/>
      </c>
      <c r="BX244">
        <f>IF(OR(BV$3="",BV$3&gt;TODAY()),"",IF(AND(BV244="",BW244=""),"",N(BW244)-N(BV244)))</f>
        <v/>
      </c>
      <c r="CA244">
        <f>IF(OR(BV$3="",BV$3&gt;TODAY()),"",IF(AND(BY244="",BZ244=""),"",N(BZ244)-N(BY244)))</f>
        <v/>
      </c>
      <c r="CE244">
        <f>IF(OR(CC$3="",CC$3&gt;TODAY()),"",IF(AND(CC244="",CD244=""),"",N(CD244)-N(CC244)))</f>
        <v/>
      </c>
      <c r="CH244">
        <f>IF(OR(CC$3="",CC$3&gt;TODAY()),"",IF(AND(CF244="",CG244=""),"",N(CG244)-N(CF244)))</f>
        <v/>
      </c>
      <c r="CL244">
        <f>IF(OR(CJ$3="",CJ$3&gt;TODAY()),"",IF(AND(CJ244="",CK244=""),"",N(CK244)-N(CJ244)))</f>
        <v/>
      </c>
      <c r="CO244">
        <f>IF(OR(CJ$3="",CJ$3&gt;TODAY()),"",IF(AND(CM244="",CN244=""),"",N(CN244)-N(CM244)))</f>
        <v/>
      </c>
      <c r="CS244">
        <f>IF(OR(CQ$3="",CQ$3&gt;TODAY()),"",IF(AND(CQ244="",CR244=""),"",N(CR244)-N(CQ244)))</f>
        <v/>
      </c>
      <c r="CV244">
        <f>IF(OR(CQ$3="",CQ$3&gt;TODAY()),"",IF(AND(CT244="",CU244=""),"",N(CU244)-N(CT244)))</f>
        <v/>
      </c>
      <c r="CZ244">
        <f>IF(OR(CX$3="",CX$3&gt;TODAY()),"",IF(AND(CX244="",CY244=""),"",N(CY244)-N(CX244)))</f>
        <v/>
      </c>
      <c r="DC244">
        <f>IF(OR(CX$3="",CX$3&gt;TODAY()),"",IF(AND(DA244="",DB244=""),"",N(DB244)-N(DA244)))</f>
        <v/>
      </c>
      <c r="DG244">
        <f>IF(OR(DE$3="",DE$3&gt;TODAY()),"",IF(AND(DE244="",DF244=""),"",N(DF244)-N(DE244)))</f>
        <v/>
      </c>
      <c r="DJ244">
        <f>IF(OR(DE$3="",DE$3&gt;TODAY()),"",IF(AND(DH244="",DI244=""),"",N(DI244)-N(DH244)))</f>
        <v/>
      </c>
      <c r="DN244">
        <f>IF(OR(DL$3="",DL$3&gt;TODAY()),"",IF(AND(DL244="",DM244=""),"",N(DM244)-N(DL244)))</f>
        <v/>
      </c>
      <c r="DQ244">
        <f>IF(OR(DL$3="",DL$3&gt;TODAY()),"",IF(AND(DO244="",DP244=""),"",N(DP244)-N(DO244)))</f>
        <v/>
      </c>
      <c r="DU244">
        <f>IF(OR(DS$3="",DS$3&gt;TODAY()),"",IF(AND(DS244="",DT244=""),"",N(DT244)-N(DS244)))</f>
        <v/>
      </c>
      <c r="DX244">
        <f>IF(OR(DS$3="",DS$3&gt;TODAY()),"",IF(AND(DV244="",DW244=""),"",N(DW244)-N(DV244)))</f>
        <v/>
      </c>
      <c r="EB244">
        <f>IF(OR(DZ$3="",DZ$3&gt;TODAY()),"",IF(AND(DZ244="",EA244=""),"",N(EA244)-N(DZ244)))</f>
        <v/>
      </c>
      <c r="EE244">
        <f>IF(OR(DZ$3="",DZ$3&gt;TODAY()),"",IF(AND(EC244="",ED244=""),"",N(ED244)-N(EC244)))</f>
        <v/>
      </c>
      <c r="EI244">
        <f>IF(OR(EG$3="",EG$3&gt;TODAY()),"",IF(AND(EG244="",EH244=""),"",N(EH244)-N(EG244)))</f>
        <v/>
      </c>
      <c r="EL244">
        <f>IF(OR(EG$3="",EG$3&gt;TODAY()),"",IF(AND(EJ244="",EK244=""),"",N(EK244)-N(EJ244)))</f>
        <v/>
      </c>
      <c r="EP244">
        <f>IF(OR(EN$3="",EN$3&gt;TODAY()),"",IF(AND(EN244="",EO244=""),"",N(EO244)-N(EN244)))</f>
        <v/>
      </c>
      <c r="ES244">
        <f>IF(OR(EN$3="",EN$3&gt;TODAY()),"",IF(AND(EQ244="",ER244=""),"",N(ER244)-N(EQ244)))</f>
        <v/>
      </c>
      <c r="EW244">
        <f>IF(OR(EU$3="",EU$3&gt;TODAY()),"",IF(AND(EU244="",EV244=""),"",N(EV244)-N(EU244)))</f>
        <v/>
      </c>
      <c r="EZ244">
        <f>IF(OR(EU$3="",EU$3&gt;TODAY()),"",IF(AND(EX244="",EY244=""),"",N(EY244)-N(EX244)))</f>
        <v/>
      </c>
      <c r="FD244">
        <f>IF(OR(FB$3="",FB$3&gt;TODAY()),"",IF(AND(FB244="",FC244=""),"",N(FC244)-N(FB244)))</f>
        <v/>
      </c>
      <c r="FG244">
        <f>IF(OR(FB$3="",FB$3&gt;TODAY()),"",IF(AND(FE244="",FF244=""),"",N(FF244)-N(FE244)))</f>
        <v/>
      </c>
      <c r="FK244">
        <f>IF(OR(FI$3="",FI$3&gt;TODAY()),"",IF(AND(FI244="",FJ244=""),"",N(FJ244)-N(FI244)))</f>
        <v/>
      </c>
      <c r="FN244">
        <f>IF(OR(FI$3="",FI$3&gt;TODAY()),"",IF(AND(FL244="",FM244=""),"",N(FM244)-N(FL244)))</f>
        <v/>
      </c>
      <c r="FR244">
        <f>IF(OR(FP$3="",FP$3&gt;TODAY()),"",IF(AND(FP244="",FQ244=""),"",N(FQ244)-N(FP244)))</f>
        <v/>
      </c>
      <c r="FU244">
        <f>IF(OR(FP$3="",FP$3&gt;TODAY()),"",IF(AND(FS244="",FT244=""),"",N(FT244)-N(FS244)))</f>
        <v/>
      </c>
      <c r="FY244">
        <f>IF(OR(FW$3="",FW$3&gt;TODAY()),"",IF(AND(FW244="",FX244=""),"",N(FX244)-N(FW244)))</f>
        <v/>
      </c>
      <c r="GB244">
        <f>IF(OR(FW$3="",FW$3&gt;TODAY()),"",IF(AND(FZ244="",GA244=""),"",N(GA244)-N(FZ244)))</f>
        <v/>
      </c>
      <c r="GF244">
        <f>IF(OR(GD$3="",GD$3&gt;TODAY()),"",IF(AND(GD244="",GE244=""),"",N(GE244)-N(GD244)))</f>
        <v/>
      </c>
      <c r="GI244">
        <f>IF(OR(GD$3="",GD$3&gt;TODAY()),"",IF(AND(GG244="",GH244=""),"",N(GH244)-N(GG244)))</f>
        <v/>
      </c>
      <c r="GM244">
        <f>IF(OR(GK$3="",GK$3&gt;TODAY()),"",IF(AND(GK244="",GL244=""),"",N(GL244)-N(GK244)))</f>
        <v/>
      </c>
      <c r="GP244">
        <f>IF(OR(GK$3="",GK$3&gt;TODAY()),"",IF(AND(GN244="",GO244=""),"",N(GO244)-N(GN244)))</f>
        <v/>
      </c>
      <c r="GT244">
        <f>IF(OR(GR$3="",GR$3&gt;TODAY()),"",IF(AND(GR244="",GS244=""),"",N(GS244)-N(GR244)))</f>
        <v/>
      </c>
      <c r="GW244">
        <f>IF(OR(GR$3="",GR$3&gt;TODAY()),"",IF(AND(GU244="",GV244=""),"",N(GV244)-N(GU244)))</f>
        <v/>
      </c>
      <c r="HA244">
        <f>IF(OR(GY$3="",GY$3&gt;TODAY()),"",IF(AND(GY244="",GZ244=""),"",N(GZ244)-N(GY244)))</f>
        <v/>
      </c>
      <c r="HD244">
        <f>IF(OR(GY$3="",GY$3&gt;TODAY()),"",IF(AND(HB244="",HC244=""),"",N(HC244)-N(HB244)))</f>
        <v/>
      </c>
      <c r="HH244">
        <f>IF(OR(HF$3="",HF$3&gt;TODAY()),"",IF(AND(HF244="",HG244=""),"",N(HG244)-N(HF244)))</f>
        <v/>
      </c>
      <c r="HK244">
        <f>IF(OR(HF$3="",HF$3&gt;TODAY()),"",IF(AND(HI244="",HJ244=""),"",N(HJ244)-N(HI244)))</f>
        <v/>
      </c>
      <c r="HO244">
        <f>IF(OR(HM$3="",HM$3&gt;TODAY()),"",IF(AND(HM244="",HN244=""),"",N(HN244)-N(HM244)))</f>
        <v/>
      </c>
      <c r="HR244">
        <f>IF(OR(HM$3="",HM$3&gt;TODAY()),"",IF(AND(HP244="",HQ244=""),"",N(HQ244)-N(HP244)))</f>
        <v/>
      </c>
      <c r="HV244">
        <f>IF(OR(HT$3="",HT$3&gt;TODAY()),"",IF(AND(HT244="",HU244=""),"",N(HU244)-N(HT244)))</f>
        <v/>
      </c>
      <c r="HY244">
        <f>IF(OR(HT$3="",HT$3&gt;TODAY()),"",IF(AND(HW244="",HX244=""),"",N(HX244)-N(HW244)))</f>
        <v/>
      </c>
      <c r="IC244">
        <f>IF(OR(IA$3="",IA$3&gt;TODAY()),"",IF(AND(IA244="",IB244=""),"",N(IB244)-N(IA244)))</f>
        <v/>
      </c>
      <c r="IF244">
        <f>IF(OR(IA$3="",IA$3&gt;TODAY()),"",IF(AND(ID244="",IE244=""),"",N(IE244)-N(ID244)))</f>
        <v/>
      </c>
      <c r="IJ244">
        <f>IF(OR(IH$3="",IH$3&gt;TODAY()),"",IF(AND(IH244="",II244=""),"",N(II244)-N(IH244)))</f>
        <v/>
      </c>
      <c r="IM244">
        <f>IF(OR(IH$3="",IH$3&gt;TODAY()),"",IF(AND(IK244="",IL244=""),"",N(IL244)-N(IK244)))</f>
        <v/>
      </c>
    </row>
    <row r="245">
      <c r="A245" s="21" t="n"/>
      <c r="B245" s="21" t="n"/>
      <c r="C245" s="21" t="n"/>
      <c r="D245" s="21" t="n"/>
      <c r="E245" s="21" t="n"/>
      <c r="F245" s="21" t="n"/>
      <c r="G245" s="21" t="n"/>
      <c r="H245" s="21" t="n"/>
      <c r="I245" s="22" t="n"/>
      <c r="J245" s="22" t="n"/>
      <c r="K245" s="23" t="n"/>
      <c r="L245" s="22" t="n"/>
      <c r="M245" s="22" t="n"/>
      <c r="N245" s="21" t="n"/>
      <c r="O245" s="23" t="n"/>
      <c r="P245" s="23" t="n"/>
      <c r="Q245" s="23" t="n"/>
      <c r="R245" s="23" t="n"/>
      <c r="S245" s="22" t="n"/>
      <c r="T245" s="23" t="n"/>
      <c r="U245" s="23" t="n"/>
      <c r="V245" s="24">
        <f>IF(J245&lt;&gt;"",J245,IF(I245&lt;&gt;"",I245,""))</f>
        <v/>
      </c>
      <c r="W245" s="25">
        <f>IF($E245="","",N(O245)+SUMIFS($AF245:$IN245,$AF$4:$IN$4,"SEW_ACT"))</f>
        <v/>
      </c>
      <c r="X245" s="25">
        <f>IF($E245="","",N(P245)+SUMIFS($AF245:$IN245,$AF$4:$IN$4,"WASH_ACT"))</f>
        <v/>
      </c>
      <c r="Y245" s="25">
        <f>IF($E245="","",W245-X245-N(T245)-N(U245))</f>
        <v/>
      </c>
      <c r="Z245" s="25">
        <f>IF($E245="","",IF(N(K245)-X245&lt;=0.02*N(K245),0,N(K245)-X245))</f>
        <v/>
      </c>
      <c r="AA245" s="24">
        <f>IF($E245="","",IF(S245&lt;&gt;"",S245,IF(N(O245)&gt;0,IF(L245&lt;&gt;"",L245,99999),IFERROR(1/(1/_xlfn.MINIFS($AF$3:$IN$3,$AF$4:$IN$4,"SEW_ACT",$AF245:$IN245,"&gt;0")),99999))))</f>
        <v/>
      </c>
      <c r="AB245" s="26">
        <f>IF(OR($E245="",Z245=0,V245=""),"",1+COUNTIFS(Z$8:Z$707,"&gt;0",V$8:V$707,"&lt;"&amp;V245)+COUNTIFS(Z$8:Z$707,"&gt;0",V$8:V$707,V245,AA$8:AA$707,"&lt;"&amp;AA245)+COUNTIFS(Z$8:Z$707,"&gt;0",V$8:V$707,V245,AA$8:AA$707,AA245,E$8:E$707,"&lt;"&amp;$E245))</f>
        <v/>
      </c>
      <c r="AC245" s="24">
        <f>IF(OR($E245="",Z245=0),"",IFERROR(TODAY()+ROUNDUP(Z245/(SUMIFS($AF245:$IN245,$AF$4:$IN$4,"WASH_ACT")/COUNTIFS($AF$4:$IN$4,"WASH_ACT",$AF245:$IN245,"&gt;0")),0),"no output yet"))</f>
        <v/>
      </c>
      <c r="AD245" s="26">
        <f>IF($E245="","",IFERROR(ROUND(MAX(0,SUMIFS($AF245:$IN245,$AF$4:$IN$4,"SEW_PLAN",$AF$3:$IN$3,"&lt;="&amp;TODAY())-SUMIFS($AF245:$IN245,$AF$4:$IN$4,"SEW_ACT",$AF$3:$IN$3,"&lt;="&amp;TODAY())+N(Q245))/(SUMIFS($AF245:$IN245,$AF$4:$IN$4,"SEW_PLAN")/COUNTIFS($AF$4:$IN$4,"SEW_PLAN",$AF245:$IN245,"&gt;0")),1),0))</f>
        <v/>
      </c>
      <c r="AE245" s="26">
        <f>IF($E245="","",IF(AND(Z245&gt;0,OR(AND(M245&lt;&gt;"",TODAY()&gt;M245),AND(V245&lt;&gt;"",V245-TODAY()&lt;=7))),"Yes","No"))</f>
        <v/>
      </c>
      <c r="AH245">
        <f>IF(OR(AF$3="",AF$3&gt;TODAY()),"",IF(AND(AF245="",AG245=""),"",N(AG245)-N(AF245)))</f>
        <v/>
      </c>
      <c r="AK245">
        <f>IF(OR(AF$3="",AF$3&gt;TODAY()),"",IF(AND(AI245="",AJ245=""),"",N(AJ245)-N(AI245)))</f>
        <v/>
      </c>
      <c r="AO245">
        <f>IF(OR(AM$3="",AM$3&gt;TODAY()),"",IF(AND(AM245="",AN245=""),"",N(AN245)-N(AM245)))</f>
        <v/>
      </c>
      <c r="AR245">
        <f>IF(OR(AM$3="",AM$3&gt;TODAY()),"",IF(AND(AP245="",AQ245=""),"",N(AQ245)-N(AP245)))</f>
        <v/>
      </c>
      <c r="AV245">
        <f>IF(OR(AT$3="",AT$3&gt;TODAY()),"",IF(AND(AT245="",AU245=""),"",N(AU245)-N(AT245)))</f>
        <v/>
      </c>
      <c r="AY245">
        <f>IF(OR(AT$3="",AT$3&gt;TODAY()),"",IF(AND(AW245="",AX245=""),"",N(AX245)-N(AW245)))</f>
        <v/>
      </c>
      <c r="BC245">
        <f>IF(OR(BA$3="",BA$3&gt;TODAY()),"",IF(AND(BA245="",BB245=""),"",N(BB245)-N(BA245)))</f>
        <v/>
      </c>
      <c r="BF245">
        <f>IF(OR(BA$3="",BA$3&gt;TODAY()),"",IF(AND(BD245="",BE245=""),"",N(BE245)-N(BD245)))</f>
        <v/>
      </c>
      <c r="BJ245">
        <f>IF(OR(BH$3="",BH$3&gt;TODAY()),"",IF(AND(BH245="",BI245=""),"",N(BI245)-N(BH245)))</f>
        <v/>
      </c>
      <c r="BM245">
        <f>IF(OR(BH$3="",BH$3&gt;TODAY()),"",IF(AND(BK245="",BL245=""),"",N(BL245)-N(BK245)))</f>
        <v/>
      </c>
      <c r="BQ245">
        <f>IF(OR(BO$3="",BO$3&gt;TODAY()),"",IF(AND(BO245="",BP245=""),"",N(BP245)-N(BO245)))</f>
        <v/>
      </c>
      <c r="BT245">
        <f>IF(OR(BO$3="",BO$3&gt;TODAY()),"",IF(AND(BR245="",BS245=""),"",N(BS245)-N(BR245)))</f>
        <v/>
      </c>
      <c r="BX245">
        <f>IF(OR(BV$3="",BV$3&gt;TODAY()),"",IF(AND(BV245="",BW245=""),"",N(BW245)-N(BV245)))</f>
        <v/>
      </c>
      <c r="CA245">
        <f>IF(OR(BV$3="",BV$3&gt;TODAY()),"",IF(AND(BY245="",BZ245=""),"",N(BZ245)-N(BY245)))</f>
        <v/>
      </c>
      <c r="CE245">
        <f>IF(OR(CC$3="",CC$3&gt;TODAY()),"",IF(AND(CC245="",CD245=""),"",N(CD245)-N(CC245)))</f>
        <v/>
      </c>
      <c r="CH245">
        <f>IF(OR(CC$3="",CC$3&gt;TODAY()),"",IF(AND(CF245="",CG245=""),"",N(CG245)-N(CF245)))</f>
        <v/>
      </c>
      <c r="CL245">
        <f>IF(OR(CJ$3="",CJ$3&gt;TODAY()),"",IF(AND(CJ245="",CK245=""),"",N(CK245)-N(CJ245)))</f>
        <v/>
      </c>
      <c r="CO245">
        <f>IF(OR(CJ$3="",CJ$3&gt;TODAY()),"",IF(AND(CM245="",CN245=""),"",N(CN245)-N(CM245)))</f>
        <v/>
      </c>
      <c r="CS245">
        <f>IF(OR(CQ$3="",CQ$3&gt;TODAY()),"",IF(AND(CQ245="",CR245=""),"",N(CR245)-N(CQ245)))</f>
        <v/>
      </c>
      <c r="CV245">
        <f>IF(OR(CQ$3="",CQ$3&gt;TODAY()),"",IF(AND(CT245="",CU245=""),"",N(CU245)-N(CT245)))</f>
        <v/>
      </c>
      <c r="CZ245">
        <f>IF(OR(CX$3="",CX$3&gt;TODAY()),"",IF(AND(CX245="",CY245=""),"",N(CY245)-N(CX245)))</f>
        <v/>
      </c>
      <c r="DC245">
        <f>IF(OR(CX$3="",CX$3&gt;TODAY()),"",IF(AND(DA245="",DB245=""),"",N(DB245)-N(DA245)))</f>
        <v/>
      </c>
      <c r="DG245">
        <f>IF(OR(DE$3="",DE$3&gt;TODAY()),"",IF(AND(DE245="",DF245=""),"",N(DF245)-N(DE245)))</f>
        <v/>
      </c>
      <c r="DJ245">
        <f>IF(OR(DE$3="",DE$3&gt;TODAY()),"",IF(AND(DH245="",DI245=""),"",N(DI245)-N(DH245)))</f>
        <v/>
      </c>
      <c r="DN245">
        <f>IF(OR(DL$3="",DL$3&gt;TODAY()),"",IF(AND(DL245="",DM245=""),"",N(DM245)-N(DL245)))</f>
        <v/>
      </c>
      <c r="DQ245">
        <f>IF(OR(DL$3="",DL$3&gt;TODAY()),"",IF(AND(DO245="",DP245=""),"",N(DP245)-N(DO245)))</f>
        <v/>
      </c>
      <c r="DU245">
        <f>IF(OR(DS$3="",DS$3&gt;TODAY()),"",IF(AND(DS245="",DT245=""),"",N(DT245)-N(DS245)))</f>
        <v/>
      </c>
      <c r="DX245">
        <f>IF(OR(DS$3="",DS$3&gt;TODAY()),"",IF(AND(DV245="",DW245=""),"",N(DW245)-N(DV245)))</f>
        <v/>
      </c>
      <c r="EB245">
        <f>IF(OR(DZ$3="",DZ$3&gt;TODAY()),"",IF(AND(DZ245="",EA245=""),"",N(EA245)-N(DZ245)))</f>
        <v/>
      </c>
      <c r="EE245">
        <f>IF(OR(DZ$3="",DZ$3&gt;TODAY()),"",IF(AND(EC245="",ED245=""),"",N(ED245)-N(EC245)))</f>
        <v/>
      </c>
      <c r="EI245">
        <f>IF(OR(EG$3="",EG$3&gt;TODAY()),"",IF(AND(EG245="",EH245=""),"",N(EH245)-N(EG245)))</f>
        <v/>
      </c>
      <c r="EL245">
        <f>IF(OR(EG$3="",EG$3&gt;TODAY()),"",IF(AND(EJ245="",EK245=""),"",N(EK245)-N(EJ245)))</f>
        <v/>
      </c>
      <c r="EP245">
        <f>IF(OR(EN$3="",EN$3&gt;TODAY()),"",IF(AND(EN245="",EO245=""),"",N(EO245)-N(EN245)))</f>
        <v/>
      </c>
      <c r="ES245">
        <f>IF(OR(EN$3="",EN$3&gt;TODAY()),"",IF(AND(EQ245="",ER245=""),"",N(ER245)-N(EQ245)))</f>
        <v/>
      </c>
      <c r="EW245">
        <f>IF(OR(EU$3="",EU$3&gt;TODAY()),"",IF(AND(EU245="",EV245=""),"",N(EV245)-N(EU245)))</f>
        <v/>
      </c>
      <c r="EZ245">
        <f>IF(OR(EU$3="",EU$3&gt;TODAY()),"",IF(AND(EX245="",EY245=""),"",N(EY245)-N(EX245)))</f>
        <v/>
      </c>
      <c r="FD245">
        <f>IF(OR(FB$3="",FB$3&gt;TODAY()),"",IF(AND(FB245="",FC245=""),"",N(FC245)-N(FB245)))</f>
        <v/>
      </c>
      <c r="FG245">
        <f>IF(OR(FB$3="",FB$3&gt;TODAY()),"",IF(AND(FE245="",FF245=""),"",N(FF245)-N(FE245)))</f>
        <v/>
      </c>
      <c r="FK245">
        <f>IF(OR(FI$3="",FI$3&gt;TODAY()),"",IF(AND(FI245="",FJ245=""),"",N(FJ245)-N(FI245)))</f>
        <v/>
      </c>
      <c r="FN245">
        <f>IF(OR(FI$3="",FI$3&gt;TODAY()),"",IF(AND(FL245="",FM245=""),"",N(FM245)-N(FL245)))</f>
        <v/>
      </c>
      <c r="FR245">
        <f>IF(OR(FP$3="",FP$3&gt;TODAY()),"",IF(AND(FP245="",FQ245=""),"",N(FQ245)-N(FP245)))</f>
        <v/>
      </c>
      <c r="FU245">
        <f>IF(OR(FP$3="",FP$3&gt;TODAY()),"",IF(AND(FS245="",FT245=""),"",N(FT245)-N(FS245)))</f>
        <v/>
      </c>
      <c r="FY245">
        <f>IF(OR(FW$3="",FW$3&gt;TODAY()),"",IF(AND(FW245="",FX245=""),"",N(FX245)-N(FW245)))</f>
        <v/>
      </c>
      <c r="GB245">
        <f>IF(OR(FW$3="",FW$3&gt;TODAY()),"",IF(AND(FZ245="",GA245=""),"",N(GA245)-N(FZ245)))</f>
        <v/>
      </c>
      <c r="GF245">
        <f>IF(OR(GD$3="",GD$3&gt;TODAY()),"",IF(AND(GD245="",GE245=""),"",N(GE245)-N(GD245)))</f>
        <v/>
      </c>
      <c r="GI245">
        <f>IF(OR(GD$3="",GD$3&gt;TODAY()),"",IF(AND(GG245="",GH245=""),"",N(GH245)-N(GG245)))</f>
        <v/>
      </c>
      <c r="GM245">
        <f>IF(OR(GK$3="",GK$3&gt;TODAY()),"",IF(AND(GK245="",GL245=""),"",N(GL245)-N(GK245)))</f>
        <v/>
      </c>
      <c r="GP245">
        <f>IF(OR(GK$3="",GK$3&gt;TODAY()),"",IF(AND(GN245="",GO245=""),"",N(GO245)-N(GN245)))</f>
        <v/>
      </c>
      <c r="GT245">
        <f>IF(OR(GR$3="",GR$3&gt;TODAY()),"",IF(AND(GR245="",GS245=""),"",N(GS245)-N(GR245)))</f>
        <v/>
      </c>
      <c r="GW245">
        <f>IF(OR(GR$3="",GR$3&gt;TODAY()),"",IF(AND(GU245="",GV245=""),"",N(GV245)-N(GU245)))</f>
        <v/>
      </c>
      <c r="HA245">
        <f>IF(OR(GY$3="",GY$3&gt;TODAY()),"",IF(AND(GY245="",GZ245=""),"",N(GZ245)-N(GY245)))</f>
        <v/>
      </c>
      <c r="HD245">
        <f>IF(OR(GY$3="",GY$3&gt;TODAY()),"",IF(AND(HB245="",HC245=""),"",N(HC245)-N(HB245)))</f>
        <v/>
      </c>
      <c r="HH245">
        <f>IF(OR(HF$3="",HF$3&gt;TODAY()),"",IF(AND(HF245="",HG245=""),"",N(HG245)-N(HF245)))</f>
        <v/>
      </c>
      <c r="HK245">
        <f>IF(OR(HF$3="",HF$3&gt;TODAY()),"",IF(AND(HI245="",HJ245=""),"",N(HJ245)-N(HI245)))</f>
        <v/>
      </c>
      <c r="HO245">
        <f>IF(OR(HM$3="",HM$3&gt;TODAY()),"",IF(AND(HM245="",HN245=""),"",N(HN245)-N(HM245)))</f>
        <v/>
      </c>
      <c r="HR245">
        <f>IF(OR(HM$3="",HM$3&gt;TODAY()),"",IF(AND(HP245="",HQ245=""),"",N(HQ245)-N(HP245)))</f>
        <v/>
      </c>
      <c r="HV245">
        <f>IF(OR(HT$3="",HT$3&gt;TODAY()),"",IF(AND(HT245="",HU245=""),"",N(HU245)-N(HT245)))</f>
        <v/>
      </c>
      <c r="HY245">
        <f>IF(OR(HT$3="",HT$3&gt;TODAY()),"",IF(AND(HW245="",HX245=""),"",N(HX245)-N(HW245)))</f>
        <v/>
      </c>
      <c r="IC245">
        <f>IF(OR(IA$3="",IA$3&gt;TODAY()),"",IF(AND(IA245="",IB245=""),"",N(IB245)-N(IA245)))</f>
        <v/>
      </c>
      <c r="IF245">
        <f>IF(OR(IA$3="",IA$3&gt;TODAY()),"",IF(AND(ID245="",IE245=""),"",N(IE245)-N(ID245)))</f>
        <v/>
      </c>
      <c r="IJ245">
        <f>IF(OR(IH$3="",IH$3&gt;TODAY()),"",IF(AND(IH245="",II245=""),"",N(II245)-N(IH245)))</f>
        <v/>
      </c>
      <c r="IM245">
        <f>IF(OR(IH$3="",IH$3&gt;TODAY()),"",IF(AND(IK245="",IL245=""),"",N(IL245)-N(IK245)))</f>
        <v/>
      </c>
    </row>
    <row r="246">
      <c r="A246" s="21" t="n"/>
      <c r="B246" s="21" t="n"/>
      <c r="C246" s="21" t="n"/>
      <c r="D246" s="21" t="n"/>
      <c r="E246" s="21" t="n"/>
      <c r="F246" s="21" t="n"/>
      <c r="G246" s="21" t="n"/>
      <c r="H246" s="21" t="n"/>
      <c r="I246" s="22" t="n"/>
      <c r="J246" s="22" t="n"/>
      <c r="K246" s="23" t="n"/>
      <c r="L246" s="22" t="n"/>
      <c r="M246" s="22" t="n"/>
      <c r="N246" s="21" t="n"/>
      <c r="O246" s="23" t="n"/>
      <c r="P246" s="23" t="n"/>
      <c r="Q246" s="23" t="n"/>
      <c r="R246" s="23" t="n"/>
      <c r="S246" s="22" t="n"/>
      <c r="T246" s="23" t="n"/>
      <c r="U246" s="23" t="n"/>
      <c r="V246" s="24">
        <f>IF(J246&lt;&gt;"",J246,IF(I246&lt;&gt;"",I246,""))</f>
        <v/>
      </c>
      <c r="W246" s="25">
        <f>IF($E246="","",N(O246)+SUMIFS($AF246:$IN246,$AF$4:$IN$4,"SEW_ACT"))</f>
        <v/>
      </c>
      <c r="X246" s="25">
        <f>IF($E246="","",N(P246)+SUMIFS($AF246:$IN246,$AF$4:$IN$4,"WASH_ACT"))</f>
        <v/>
      </c>
      <c r="Y246" s="25">
        <f>IF($E246="","",W246-X246-N(T246)-N(U246))</f>
        <v/>
      </c>
      <c r="Z246" s="25">
        <f>IF($E246="","",IF(N(K246)-X246&lt;=0.02*N(K246),0,N(K246)-X246))</f>
        <v/>
      </c>
      <c r="AA246" s="24">
        <f>IF($E246="","",IF(S246&lt;&gt;"",S246,IF(N(O246)&gt;0,IF(L246&lt;&gt;"",L246,99999),IFERROR(1/(1/_xlfn.MINIFS($AF$3:$IN$3,$AF$4:$IN$4,"SEW_ACT",$AF246:$IN246,"&gt;0")),99999))))</f>
        <v/>
      </c>
      <c r="AB246" s="26">
        <f>IF(OR($E246="",Z246=0,V246=""),"",1+COUNTIFS(Z$8:Z$707,"&gt;0",V$8:V$707,"&lt;"&amp;V246)+COUNTIFS(Z$8:Z$707,"&gt;0",V$8:V$707,V246,AA$8:AA$707,"&lt;"&amp;AA246)+COUNTIFS(Z$8:Z$707,"&gt;0",V$8:V$707,V246,AA$8:AA$707,AA246,E$8:E$707,"&lt;"&amp;$E246))</f>
        <v/>
      </c>
      <c r="AC246" s="24">
        <f>IF(OR($E246="",Z246=0),"",IFERROR(TODAY()+ROUNDUP(Z246/(SUMIFS($AF246:$IN246,$AF$4:$IN$4,"WASH_ACT")/COUNTIFS($AF$4:$IN$4,"WASH_ACT",$AF246:$IN246,"&gt;0")),0),"no output yet"))</f>
        <v/>
      </c>
      <c r="AD246" s="26">
        <f>IF($E246="","",IFERROR(ROUND(MAX(0,SUMIFS($AF246:$IN246,$AF$4:$IN$4,"SEW_PLAN",$AF$3:$IN$3,"&lt;="&amp;TODAY())-SUMIFS($AF246:$IN246,$AF$4:$IN$4,"SEW_ACT",$AF$3:$IN$3,"&lt;="&amp;TODAY())+N(Q246))/(SUMIFS($AF246:$IN246,$AF$4:$IN$4,"SEW_PLAN")/COUNTIFS($AF$4:$IN$4,"SEW_PLAN",$AF246:$IN246,"&gt;0")),1),0))</f>
        <v/>
      </c>
      <c r="AE246" s="26">
        <f>IF($E246="","",IF(AND(Z246&gt;0,OR(AND(M246&lt;&gt;"",TODAY()&gt;M246),AND(V246&lt;&gt;"",V246-TODAY()&lt;=7))),"Yes","No"))</f>
        <v/>
      </c>
      <c r="AH246">
        <f>IF(OR(AF$3="",AF$3&gt;TODAY()),"",IF(AND(AF246="",AG246=""),"",N(AG246)-N(AF246)))</f>
        <v/>
      </c>
      <c r="AK246">
        <f>IF(OR(AF$3="",AF$3&gt;TODAY()),"",IF(AND(AI246="",AJ246=""),"",N(AJ246)-N(AI246)))</f>
        <v/>
      </c>
      <c r="AO246">
        <f>IF(OR(AM$3="",AM$3&gt;TODAY()),"",IF(AND(AM246="",AN246=""),"",N(AN246)-N(AM246)))</f>
        <v/>
      </c>
      <c r="AR246">
        <f>IF(OR(AM$3="",AM$3&gt;TODAY()),"",IF(AND(AP246="",AQ246=""),"",N(AQ246)-N(AP246)))</f>
        <v/>
      </c>
      <c r="AV246">
        <f>IF(OR(AT$3="",AT$3&gt;TODAY()),"",IF(AND(AT246="",AU246=""),"",N(AU246)-N(AT246)))</f>
        <v/>
      </c>
      <c r="AY246">
        <f>IF(OR(AT$3="",AT$3&gt;TODAY()),"",IF(AND(AW246="",AX246=""),"",N(AX246)-N(AW246)))</f>
        <v/>
      </c>
      <c r="BC246">
        <f>IF(OR(BA$3="",BA$3&gt;TODAY()),"",IF(AND(BA246="",BB246=""),"",N(BB246)-N(BA246)))</f>
        <v/>
      </c>
      <c r="BF246">
        <f>IF(OR(BA$3="",BA$3&gt;TODAY()),"",IF(AND(BD246="",BE246=""),"",N(BE246)-N(BD246)))</f>
        <v/>
      </c>
      <c r="BJ246">
        <f>IF(OR(BH$3="",BH$3&gt;TODAY()),"",IF(AND(BH246="",BI246=""),"",N(BI246)-N(BH246)))</f>
        <v/>
      </c>
      <c r="BM246">
        <f>IF(OR(BH$3="",BH$3&gt;TODAY()),"",IF(AND(BK246="",BL246=""),"",N(BL246)-N(BK246)))</f>
        <v/>
      </c>
      <c r="BQ246">
        <f>IF(OR(BO$3="",BO$3&gt;TODAY()),"",IF(AND(BO246="",BP246=""),"",N(BP246)-N(BO246)))</f>
        <v/>
      </c>
      <c r="BT246">
        <f>IF(OR(BO$3="",BO$3&gt;TODAY()),"",IF(AND(BR246="",BS246=""),"",N(BS246)-N(BR246)))</f>
        <v/>
      </c>
      <c r="BX246">
        <f>IF(OR(BV$3="",BV$3&gt;TODAY()),"",IF(AND(BV246="",BW246=""),"",N(BW246)-N(BV246)))</f>
        <v/>
      </c>
      <c r="CA246">
        <f>IF(OR(BV$3="",BV$3&gt;TODAY()),"",IF(AND(BY246="",BZ246=""),"",N(BZ246)-N(BY246)))</f>
        <v/>
      </c>
      <c r="CE246">
        <f>IF(OR(CC$3="",CC$3&gt;TODAY()),"",IF(AND(CC246="",CD246=""),"",N(CD246)-N(CC246)))</f>
        <v/>
      </c>
      <c r="CH246">
        <f>IF(OR(CC$3="",CC$3&gt;TODAY()),"",IF(AND(CF246="",CG246=""),"",N(CG246)-N(CF246)))</f>
        <v/>
      </c>
      <c r="CL246">
        <f>IF(OR(CJ$3="",CJ$3&gt;TODAY()),"",IF(AND(CJ246="",CK246=""),"",N(CK246)-N(CJ246)))</f>
        <v/>
      </c>
      <c r="CO246">
        <f>IF(OR(CJ$3="",CJ$3&gt;TODAY()),"",IF(AND(CM246="",CN246=""),"",N(CN246)-N(CM246)))</f>
        <v/>
      </c>
      <c r="CS246">
        <f>IF(OR(CQ$3="",CQ$3&gt;TODAY()),"",IF(AND(CQ246="",CR246=""),"",N(CR246)-N(CQ246)))</f>
        <v/>
      </c>
      <c r="CV246">
        <f>IF(OR(CQ$3="",CQ$3&gt;TODAY()),"",IF(AND(CT246="",CU246=""),"",N(CU246)-N(CT246)))</f>
        <v/>
      </c>
      <c r="CZ246">
        <f>IF(OR(CX$3="",CX$3&gt;TODAY()),"",IF(AND(CX246="",CY246=""),"",N(CY246)-N(CX246)))</f>
        <v/>
      </c>
      <c r="DC246">
        <f>IF(OR(CX$3="",CX$3&gt;TODAY()),"",IF(AND(DA246="",DB246=""),"",N(DB246)-N(DA246)))</f>
        <v/>
      </c>
      <c r="DG246">
        <f>IF(OR(DE$3="",DE$3&gt;TODAY()),"",IF(AND(DE246="",DF246=""),"",N(DF246)-N(DE246)))</f>
        <v/>
      </c>
      <c r="DJ246">
        <f>IF(OR(DE$3="",DE$3&gt;TODAY()),"",IF(AND(DH246="",DI246=""),"",N(DI246)-N(DH246)))</f>
        <v/>
      </c>
      <c r="DN246">
        <f>IF(OR(DL$3="",DL$3&gt;TODAY()),"",IF(AND(DL246="",DM246=""),"",N(DM246)-N(DL246)))</f>
        <v/>
      </c>
      <c r="DQ246">
        <f>IF(OR(DL$3="",DL$3&gt;TODAY()),"",IF(AND(DO246="",DP246=""),"",N(DP246)-N(DO246)))</f>
        <v/>
      </c>
      <c r="DU246">
        <f>IF(OR(DS$3="",DS$3&gt;TODAY()),"",IF(AND(DS246="",DT246=""),"",N(DT246)-N(DS246)))</f>
        <v/>
      </c>
      <c r="DX246">
        <f>IF(OR(DS$3="",DS$3&gt;TODAY()),"",IF(AND(DV246="",DW246=""),"",N(DW246)-N(DV246)))</f>
        <v/>
      </c>
      <c r="EB246">
        <f>IF(OR(DZ$3="",DZ$3&gt;TODAY()),"",IF(AND(DZ246="",EA246=""),"",N(EA246)-N(DZ246)))</f>
        <v/>
      </c>
      <c r="EE246">
        <f>IF(OR(DZ$3="",DZ$3&gt;TODAY()),"",IF(AND(EC246="",ED246=""),"",N(ED246)-N(EC246)))</f>
        <v/>
      </c>
      <c r="EI246">
        <f>IF(OR(EG$3="",EG$3&gt;TODAY()),"",IF(AND(EG246="",EH246=""),"",N(EH246)-N(EG246)))</f>
        <v/>
      </c>
      <c r="EL246">
        <f>IF(OR(EG$3="",EG$3&gt;TODAY()),"",IF(AND(EJ246="",EK246=""),"",N(EK246)-N(EJ246)))</f>
        <v/>
      </c>
      <c r="EP246">
        <f>IF(OR(EN$3="",EN$3&gt;TODAY()),"",IF(AND(EN246="",EO246=""),"",N(EO246)-N(EN246)))</f>
        <v/>
      </c>
      <c r="ES246">
        <f>IF(OR(EN$3="",EN$3&gt;TODAY()),"",IF(AND(EQ246="",ER246=""),"",N(ER246)-N(EQ246)))</f>
        <v/>
      </c>
      <c r="EW246">
        <f>IF(OR(EU$3="",EU$3&gt;TODAY()),"",IF(AND(EU246="",EV246=""),"",N(EV246)-N(EU246)))</f>
        <v/>
      </c>
      <c r="EZ246">
        <f>IF(OR(EU$3="",EU$3&gt;TODAY()),"",IF(AND(EX246="",EY246=""),"",N(EY246)-N(EX246)))</f>
        <v/>
      </c>
      <c r="FD246">
        <f>IF(OR(FB$3="",FB$3&gt;TODAY()),"",IF(AND(FB246="",FC246=""),"",N(FC246)-N(FB246)))</f>
        <v/>
      </c>
      <c r="FG246">
        <f>IF(OR(FB$3="",FB$3&gt;TODAY()),"",IF(AND(FE246="",FF246=""),"",N(FF246)-N(FE246)))</f>
        <v/>
      </c>
      <c r="FK246">
        <f>IF(OR(FI$3="",FI$3&gt;TODAY()),"",IF(AND(FI246="",FJ246=""),"",N(FJ246)-N(FI246)))</f>
        <v/>
      </c>
      <c r="FN246">
        <f>IF(OR(FI$3="",FI$3&gt;TODAY()),"",IF(AND(FL246="",FM246=""),"",N(FM246)-N(FL246)))</f>
        <v/>
      </c>
      <c r="FR246">
        <f>IF(OR(FP$3="",FP$3&gt;TODAY()),"",IF(AND(FP246="",FQ246=""),"",N(FQ246)-N(FP246)))</f>
        <v/>
      </c>
      <c r="FU246">
        <f>IF(OR(FP$3="",FP$3&gt;TODAY()),"",IF(AND(FS246="",FT246=""),"",N(FT246)-N(FS246)))</f>
        <v/>
      </c>
      <c r="FY246">
        <f>IF(OR(FW$3="",FW$3&gt;TODAY()),"",IF(AND(FW246="",FX246=""),"",N(FX246)-N(FW246)))</f>
        <v/>
      </c>
      <c r="GB246">
        <f>IF(OR(FW$3="",FW$3&gt;TODAY()),"",IF(AND(FZ246="",GA246=""),"",N(GA246)-N(FZ246)))</f>
        <v/>
      </c>
      <c r="GF246">
        <f>IF(OR(GD$3="",GD$3&gt;TODAY()),"",IF(AND(GD246="",GE246=""),"",N(GE246)-N(GD246)))</f>
        <v/>
      </c>
      <c r="GI246">
        <f>IF(OR(GD$3="",GD$3&gt;TODAY()),"",IF(AND(GG246="",GH246=""),"",N(GH246)-N(GG246)))</f>
        <v/>
      </c>
      <c r="GM246">
        <f>IF(OR(GK$3="",GK$3&gt;TODAY()),"",IF(AND(GK246="",GL246=""),"",N(GL246)-N(GK246)))</f>
        <v/>
      </c>
      <c r="GP246">
        <f>IF(OR(GK$3="",GK$3&gt;TODAY()),"",IF(AND(GN246="",GO246=""),"",N(GO246)-N(GN246)))</f>
        <v/>
      </c>
      <c r="GT246">
        <f>IF(OR(GR$3="",GR$3&gt;TODAY()),"",IF(AND(GR246="",GS246=""),"",N(GS246)-N(GR246)))</f>
        <v/>
      </c>
      <c r="GW246">
        <f>IF(OR(GR$3="",GR$3&gt;TODAY()),"",IF(AND(GU246="",GV246=""),"",N(GV246)-N(GU246)))</f>
        <v/>
      </c>
      <c r="HA246">
        <f>IF(OR(GY$3="",GY$3&gt;TODAY()),"",IF(AND(GY246="",GZ246=""),"",N(GZ246)-N(GY246)))</f>
        <v/>
      </c>
      <c r="HD246">
        <f>IF(OR(GY$3="",GY$3&gt;TODAY()),"",IF(AND(HB246="",HC246=""),"",N(HC246)-N(HB246)))</f>
        <v/>
      </c>
      <c r="HH246">
        <f>IF(OR(HF$3="",HF$3&gt;TODAY()),"",IF(AND(HF246="",HG246=""),"",N(HG246)-N(HF246)))</f>
        <v/>
      </c>
      <c r="HK246">
        <f>IF(OR(HF$3="",HF$3&gt;TODAY()),"",IF(AND(HI246="",HJ246=""),"",N(HJ246)-N(HI246)))</f>
        <v/>
      </c>
      <c r="HO246">
        <f>IF(OR(HM$3="",HM$3&gt;TODAY()),"",IF(AND(HM246="",HN246=""),"",N(HN246)-N(HM246)))</f>
        <v/>
      </c>
      <c r="HR246">
        <f>IF(OR(HM$3="",HM$3&gt;TODAY()),"",IF(AND(HP246="",HQ246=""),"",N(HQ246)-N(HP246)))</f>
        <v/>
      </c>
      <c r="HV246">
        <f>IF(OR(HT$3="",HT$3&gt;TODAY()),"",IF(AND(HT246="",HU246=""),"",N(HU246)-N(HT246)))</f>
        <v/>
      </c>
      <c r="HY246">
        <f>IF(OR(HT$3="",HT$3&gt;TODAY()),"",IF(AND(HW246="",HX246=""),"",N(HX246)-N(HW246)))</f>
        <v/>
      </c>
      <c r="IC246">
        <f>IF(OR(IA$3="",IA$3&gt;TODAY()),"",IF(AND(IA246="",IB246=""),"",N(IB246)-N(IA246)))</f>
        <v/>
      </c>
      <c r="IF246">
        <f>IF(OR(IA$3="",IA$3&gt;TODAY()),"",IF(AND(ID246="",IE246=""),"",N(IE246)-N(ID246)))</f>
        <v/>
      </c>
      <c r="IJ246">
        <f>IF(OR(IH$3="",IH$3&gt;TODAY()),"",IF(AND(IH246="",II246=""),"",N(II246)-N(IH246)))</f>
        <v/>
      </c>
      <c r="IM246">
        <f>IF(OR(IH$3="",IH$3&gt;TODAY()),"",IF(AND(IK246="",IL246=""),"",N(IL246)-N(IK246)))</f>
        <v/>
      </c>
    </row>
    <row r="247">
      <c r="A247" s="21" t="n"/>
      <c r="B247" s="21" t="n"/>
      <c r="C247" s="21" t="n"/>
      <c r="D247" s="21" t="n"/>
      <c r="E247" s="21" t="n"/>
      <c r="F247" s="21" t="n"/>
      <c r="G247" s="21" t="n"/>
      <c r="H247" s="21" t="n"/>
      <c r="I247" s="22" t="n"/>
      <c r="J247" s="22" t="n"/>
      <c r="K247" s="23" t="n"/>
      <c r="L247" s="22" t="n"/>
      <c r="M247" s="22" t="n"/>
      <c r="N247" s="21" t="n"/>
      <c r="O247" s="23" t="n"/>
      <c r="P247" s="23" t="n"/>
      <c r="Q247" s="23" t="n"/>
      <c r="R247" s="23" t="n"/>
      <c r="S247" s="22" t="n"/>
      <c r="T247" s="23" t="n"/>
      <c r="U247" s="23" t="n"/>
      <c r="V247" s="24">
        <f>IF(J247&lt;&gt;"",J247,IF(I247&lt;&gt;"",I247,""))</f>
        <v/>
      </c>
      <c r="W247" s="25">
        <f>IF($E247="","",N(O247)+SUMIFS($AF247:$IN247,$AF$4:$IN$4,"SEW_ACT"))</f>
        <v/>
      </c>
      <c r="X247" s="25">
        <f>IF($E247="","",N(P247)+SUMIFS($AF247:$IN247,$AF$4:$IN$4,"WASH_ACT"))</f>
        <v/>
      </c>
      <c r="Y247" s="25">
        <f>IF($E247="","",W247-X247-N(T247)-N(U247))</f>
        <v/>
      </c>
      <c r="Z247" s="25">
        <f>IF($E247="","",IF(N(K247)-X247&lt;=0.02*N(K247),0,N(K247)-X247))</f>
        <v/>
      </c>
      <c r="AA247" s="24">
        <f>IF($E247="","",IF(S247&lt;&gt;"",S247,IF(N(O247)&gt;0,IF(L247&lt;&gt;"",L247,99999),IFERROR(1/(1/_xlfn.MINIFS($AF$3:$IN$3,$AF$4:$IN$4,"SEW_ACT",$AF247:$IN247,"&gt;0")),99999))))</f>
        <v/>
      </c>
      <c r="AB247" s="26">
        <f>IF(OR($E247="",Z247=0,V247=""),"",1+COUNTIFS(Z$8:Z$707,"&gt;0",V$8:V$707,"&lt;"&amp;V247)+COUNTIFS(Z$8:Z$707,"&gt;0",V$8:V$707,V247,AA$8:AA$707,"&lt;"&amp;AA247)+COUNTIFS(Z$8:Z$707,"&gt;0",V$8:V$707,V247,AA$8:AA$707,AA247,E$8:E$707,"&lt;"&amp;$E247))</f>
        <v/>
      </c>
      <c r="AC247" s="24">
        <f>IF(OR($E247="",Z247=0),"",IFERROR(TODAY()+ROUNDUP(Z247/(SUMIFS($AF247:$IN247,$AF$4:$IN$4,"WASH_ACT")/COUNTIFS($AF$4:$IN$4,"WASH_ACT",$AF247:$IN247,"&gt;0")),0),"no output yet"))</f>
        <v/>
      </c>
      <c r="AD247" s="26">
        <f>IF($E247="","",IFERROR(ROUND(MAX(0,SUMIFS($AF247:$IN247,$AF$4:$IN$4,"SEW_PLAN",$AF$3:$IN$3,"&lt;="&amp;TODAY())-SUMIFS($AF247:$IN247,$AF$4:$IN$4,"SEW_ACT",$AF$3:$IN$3,"&lt;="&amp;TODAY())+N(Q247))/(SUMIFS($AF247:$IN247,$AF$4:$IN$4,"SEW_PLAN")/COUNTIFS($AF$4:$IN$4,"SEW_PLAN",$AF247:$IN247,"&gt;0")),1),0))</f>
        <v/>
      </c>
      <c r="AE247" s="26">
        <f>IF($E247="","",IF(AND(Z247&gt;0,OR(AND(M247&lt;&gt;"",TODAY()&gt;M247),AND(V247&lt;&gt;"",V247-TODAY()&lt;=7))),"Yes","No"))</f>
        <v/>
      </c>
      <c r="AH247">
        <f>IF(OR(AF$3="",AF$3&gt;TODAY()),"",IF(AND(AF247="",AG247=""),"",N(AG247)-N(AF247)))</f>
        <v/>
      </c>
      <c r="AK247">
        <f>IF(OR(AF$3="",AF$3&gt;TODAY()),"",IF(AND(AI247="",AJ247=""),"",N(AJ247)-N(AI247)))</f>
        <v/>
      </c>
      <c r="AO247">
        <f>IF(OR(AM$3="",AM$3&gt;TODAY()),"",IF(AND(AM247="",AN247=""),"",N(AN247)-N(AM247)))</f>
        <v/>
      </c>
      <c r="AR247">
        <f>IF(OR(AM$3="",AM$3&gt;TODAY()),"",IF(AND(AP247="",AQ247=""),"",N(AQ247)-N(AP247)))</f>
        <v/>
      </c>
      <c r="AV247">
        <f>IF(OR(AT$3="",AT$3&gt;TODAY()),"",IF(AND(AT247="",AU247=""),"",N(AU247)-N(AT247)))</f>
        <v/>
      </c>
      <c r="AY247">
        <f>IF(OR(AT$3="",AT$3&gt;TODAY()),"",IF(AND(AW247="",AX247=""),"",N(AX247)-N(AW247)))</f>
        <v/>
      </c>
      <c r="BC247">
        <f>IF(OR(BA$3="",BA$3&gt;TODAY()),"",IF(AND(BA247="",BB247=""),"",N(BB247)-N(BA247)))</f>
        <v/>
      </c>
      <c r="BF247">
        <f>IF(OR(BA$3="",BA$3&gt;TODAY()),"",IF(AND(BD247="",BE247=""),"",N(BE247)-N(BD247)))</f>
        <v/>
      </c>
      <c r="BJ247">
        <f>IF(OR(BH$3="",BH$3&gt;TODAY()),"",IF(AND(BH247="",BI247=""),"",N(BI247)-N(BH247)))</f>
        <v/>
      </c>
      <c r="BM247">
        <f>IF(OR(BH$3="",BH$3&gt;TODAY()),"",IF(AND(BK247="",BL247=""),"",N(BL247)-N(BK247)))</f>
        <v/>
      </c>
      <c r="BQ247">
        <f>IF(OR(BO$3="",BO$3&gt;TODAY()),"",IF(AND(BO247="",BP247=""),"",N(BP247)-N(BO247)))</f>
        <v/>
      </c>
      <c r="BT247">
        <f>IF(OR(BO$3="",BO$3&gt;TODAY()),"",IF(AND(BR247="",BS247=""),"",N(BS247)-N(BR247)))</f>
        <v/>
      </c>
      <c r="BX247">
        <f>IF(OR(BV$3="",BV$3&gt;TODAY()),"",IF(AND(BV247="",BW247=""),"",N(BW247)-N(BV247)))</f>
        <v/>
      </c>
      <c r="CA247">
        <f>IF(OR(BV$3="",BV$3&gt;TODAY()),"",IF(AND(BY247="",BZ247=""),"",N(BZ247)-N(BY247)))</f>
        <v/>
      </c>
      <c r="CE247">
        <f>IF(OR(CC$3="",CC$3&gt;TODAY()),"",IF(AND(CC247="",CD247=""),"",N(CD247)-N(CC247)))</f>
        <v/>
      </c>
      <c r="CH247">
        <f>IF(OR(CC$3="",CC$3&gt;TODAY()),"",IF(AND(CF247="",CG247=""),"",N(CG247)-N(CF247)))</f>
        <v/>
      </c>
      <c r="CL247">
        <f>IF(OR(CJ$3="",CJ$3&gt;TODAY()),"",IF(AND(CJ247="",CK247=""),"",N(CK247)-N(CJ247)))</f>
        <v/>
      </c>
      <c r="CO247">
        <f>IF(OR(CJ$3="",CJ$3&gt;TODAY()),"",IF(AND(CM247="",CN247=""),"",N(CN247)-N(CM247)))</f>
        <v/>
      </c>
      <c r="CS247">
        <f>IF(OR(CQ$3="",CQ$3&gt;TODAY()),"",IF(AND(CQ247="",CR247=""),"",N(CR247)-N(CQ247)))</f>
        <v/>
      </c>
      <c r="CV247">
        <f>IF(OR(CQ$3="",CQ$3&gt;TODAY()),"",IF(AND(CT247="",CU247=""),"",N(CU247)-N(CT247)))</f>
        <v/>
      </c>
      <c r="CZ247">
        <f>IF(OR(CX$3="",CX$3&gt;TODAY()),"",IF(AND(CX247="",CY247=""),"",N(CY247)-N(CX247)))</f>
        <v/>
      </c>
      <c r="DC247">
        <f>IF(OR(CX$3="",CX$3&gt;TODAY()),"",IF(AND(DA247="",DB247=""),"",N(DB247)-N(DA247)))</f>
        <v/>
      </c>
      <c r="DG247">
        <f>IF(OR(DE$3="",DE$3&gt;TODAY()),"",IF(AND(DE247="",DF247=""),"",N(DF247)-N(DE247)))</f>
        <v/>
      </c>
      <c r="DJ247">
        <f>IF(OR(DE$3="",DE$3&gt;TODAY()),"",IF(AND(DH247="",DI247=""),"",N(DI247)-N(DH247)))</f>
        <v/>
      </c>
      <c r="DN247">
        <f>IF(OR(DL$3="",DL$3&gt;TODAY()),"",IF(AND(DL247="",DM247=""),"",N(DM247)-N(DL247)))</f>
        <v/>
      </c>
      <c r="DQ247">
        <f>IF(OR(DL$3="",DL$3&gt;TODAY()),"",IF(AND(DO247="",DP247=""),"",N(DP247)-N(DO247)))</f>
        <v/>
      </c>
      <c r="DU247">
        <f>IF(OR(DS$3="",DS$3&gt;TODAY()),"",IF(AND(DS247="",DT247=""),"",N(DT247)-N(DS247)))</f>
        <v/>
      </c>
      <c r="DX247">
        <f>IF(OR(DS$3="",DS$3&gt;TODAY()),"",IF(AND(DV247="",DW247=""),"",N(DW247)-N(DV247)))</f>
        <v/>
      </c>
      <c r="EB247">
        <f>IF(OR(DZ$3="",DZ$3&gt;TODAY()),"",IF(AND(DZ247="",EA247=""),"",N(EA247)-N(DZ247)))</f>
        <v/>
      </c>
      <c r="EE247">
        <f>IF(OR(DZ$3="",DZ$3&gt;TODAY()),"",IF(AND(EC247="",ED247=""),"",N(ED247)-N(EC247)))</f>
        <v/>
      </c>
      <c r="EI247">
        <f>IF(OR(EG$3="",EG$3&gt;TODAY()),"",IF(AND(EG247="",EH247=""),"",N(EH247)-N(EG247)))</f>
        <v/>
      </c>
      <c r="EL247">
        <f>IF(OR(EG$3="",EG$3&gt;TODAY()),"",IF(AND(EJ247="",EK247=""),"",N(EK247)-N(EJ247)))</f>
        <v/>
      </c>
      <c r="EP247">
        <f>IF(OR(EN$3="",EN$3&gt;TODAY()),"",IF(AND(EN247="",EO247=""),"",N(EO247)-N(EN247)))</f>
        <v/>
      </c>
      <c r="ES247">
        <f>IF(OR(EN$3="",EN$3&gt;TODAY()),"",IF(AND(EQ247="",ER247=""),"",N(ER247)-N(EQ247)))</f>
        <v/>
      </c>
      <c r="EW247">
        <f>IF(OR(EU$3="",EU$3&gt;TODAY()),"",IF(AND(EU247="",EV247=""),"",N(EV247)-N(EU247)))</f>
        <v/>
      </c>
      <c r="EZ247">
        <f>IF(OR(EU$3="",EU$3&gt;TODAY()),"",IF(AND(EX247="",EY247=""),"",N(EY247)-N(EX247)))</f>
        <v/>
      </c>
      <c r="FD247">
        <f>IF(OR(FB$3="",FB$3&gt;TODAY()),"",IF(AND(FB247="",FC247=""),"",N(FC247)-N(FB247)))</f>
        <v/>
      </c>
      <c r="FG247">
        <f>IF(OR(FB$3="",FB$3&gt;TODAY()),"",IF(AND(FE247="",FF247=""),"",N(FF247)-N(FE247)))</f>
        <v/>
      </c>
      <c r="FK247">
        <f>IF(OR(FI$3="",FI$3&gt;TODAY()),"",IF(AND(FI247="",FJ247=""),"",N(FJ247)-N(FI247)))</f>
        <v/>
      </c>
      <c r="FN247">
        <f>IF(OR(FI$3="",FI$3&gt;TODAY()),"",IF(AND(FL247="",FM247=""),"",N(FM247)-N(FL247)))</f>
        <v/>
      </c>
      <c r="FR247">
        <f>IF(OR(FP$3="",FP$3&gt;TODAY()),"",IF(AND(FP247="",FQ247=""),"",N(FQ247)-N(FP247)))</f>
        <v/>
      </c>
      <c r="FU247">
        <f>IF(OR(FP$3="",FP$3&gt;TODAY()),"",IF(AND(FS247="",FT247=""),"",N(FT247)-N(FS247)))</f>
        <v/>
      </c>
      <c r="FY247">
        <f>IF(OR(FW$3="",FW$3&gt;TODAY()),"",IF(AND(FW247="",FX247=""),"",N(FX247)-N(FW247)))</f>
        <v/>
      </c>
      <c r="GB247">
        <f>IF(OR(FW$3="",FW$3&gt;TODAY()),"",IF(AND(FZ247="",GA247=""),"",N(GA247)-N(FZ247)))</f>
        <v/>
      </c>
      <c r="GF247">
        <f>IF(OR(GD$3="",GD$3&gt;TODAY()),"",IF(AND(GD247="",GE247=""),"",N(GE247)-N(GD247)))</f>
        <v/>
      </c>
      <c r="GI247">
        <f>IF(OR(GD$3="",GD$3&gt;TODAY()),"",IF(AND(GG247="",GH247=""),"",N(GH247)-N(GG247)))</f>
        <v/>
      </c>
      <c r="GM247">
        <f>IF(OR(GK$3="",GK$3&gt;TODAY()),"",IF(AND(GK247="",GL247=""),"",N(GL247)-N(GK247)))</f>
        <v/>
      </c>
      <c r="GP247">
        <f>IF(OR(GK$3="",GK$3&gt;TODAY()),"",IF(AND(GN247="",GO247=""),"",N(GO247)-N(GN247)))</f>
        <v/>
      </c>
      <c r="GT247">
        <f>IF(OR(GR$3="",GR$3&gt;TODAY()),"",IF(AND(GR247="",GS247=""),"",N(GS247)-N(GR247)))</f>
        <v/>
      </c>
      <c r="GW247">
        <f>IF(OR(GR$3="",GR$3&gt;TODAY()),"",IF(AND(GU247="",GV247=""),"",N(GV247)-N(GU247)))</f>
        <v/>
      </c>
      <c r="HA247">
        <f>IF(OR(GY$3="",GY$3&gt;TODAY()),"",IF(AND(GY247="",GZ247=""),"",N(GZ247)-N(GY247)))</f>
        <v/>
      </c>
      <c r="HD247">
        <f>IF(OR(GY$3="",GY$3&gt;TODAY()),"",IF(AND(HB247="",HC247=""),"",N(HC247)-N(HB247)))</f>
        <v/>
      </c>
      <c r="HH247">
        <f>IF(OR(HF$3="",HF$3&gt;TODAY()),"",IF(AND(HF247="",HG247=""),"",N(HG247)-N(HF247)))</f>
        <v/>
      </c>
      <c r="HK247">
        <f>IF(OR(HF$3="",HF$3&gt;TODAY()),"",IF(AND(HI247="",HJ247=""),"",N(HJ247)-N(HI247)))</f>
        <v/>
      </c>
      <c r="HO247">
        <f>IF(OR(HM$3="",HM$3&gt;TODAY()),"",IF(AND(HM247="",HN247=""),"",N(HN247)-N(HM247)))</f>
        <v/>
      </c>
      <c r="HR247">
        <f>IF(OR(HM$3="",HM$3&gt;TODAY()),"",IF(AND(HP247="",HQ247=""),"",N(HQ247)-N(HP247)))</f>
        <v/>
      </c>
      <c r="HV247">
        <f>IF(OR(HT$3="",HT$3&gt;TODAY()),"",IF(AND(HT247="",HU247=""),"",N(HU247)-N(HT247)))</f>
        <v/>
      </c>
      <c r="HY247">
        <f>IF(OR(HT$3="",HT$3&gt;TODAY()),"",IF(AND(HW247="",HX247=""),"",N(HX247)-N(HW247)))</f>
        <v/>
      </c>
      <c r="IC247">
        <f>IF(OR(IA$3="",IA$3&gt;TODAY()),"",IF(AND(IA247="",IB247=""),"",N(IB247)-N(IA247)))</f>
        <v/>
      </c>
      <c r="IF247">
        <f>IF(OR(IA$3="",IA$3&gt;TODAY()),"",IF(AND(ID247="",IE247=""),"",N(IE247)-N(ID247)))</f>
        <v/>
      </c>
      <c r="IJ247">
        <f>IF(OR(IH$3="",IH$3&gt;TODAY()),"",IF(AND(IH247="",II247=""),"",N(II247)-N(IH247)))</f>
        <v/>
      </c>
      <c r="IM247">
        <f>IF(OR(IH$3="",IH$3&gt;TODAY()),"",IF(AND(IK247="",IL247=""),"",N(IL247)-N(IK247)))</f>
        <v/>
      </c>
    </row>
    <row r="248">
      <c r="A248" s="21" t="n"/>
      <c r="B248" s="21" t="n"/>
      <c r="C248" s="21" t="n"/>
      <c r="D248" s="21" t="n"/>
      <c r="E248" s="21" t="n"/>
      <c r="F248" s="21" t="n"/>
      <c r="G248" s="21" t="n"/>
      <c r="H248" s="21" t="n"/>
      <c r="I248" s="22" t="n"/>
      <c r="J248" s="22" t="n"/>
      <c r="K248" s="23" t="n"/>
      <c r="L248" s="22" t="n"/>
      <c r="M248" s="22" t="n"/>
      <c r="N248" s="21" t="n"/>
      <c r="O248" s="23" t="n"/>
      <c r="P248" s="23" t="n"/>
      <c r="Q248" s="23" t="n"/>
      <c r="R248" s="23" t="n"/>
      <c r="S248" s="22" t="n"/>
      <c r="T248" s="23" t="n"/>
      <c r="U248" s="23" t="n"/>
      <c r="V248" s="24">
        <f>IF(J248&lt;&gt;"",J248,IF(I248&lt;&gt;"",I248,""))</f>
        <v/>
      </c>
      <c r="W248" s="25">
        <f>IF($E248="","",N(O248)+SUMIFS($AF248:$IN248,$AF$4:$IN$4,"SEW_ACT"))</f>
        <v/>
      </c>
      <c r="X248" s="25">
        <f>IF($E248="","",N(P248)+SUMIFS($AF248:$IN248,$AF$4:$IN$4,"WASH_ACT"))</f>
        <v/>
      </c>
      <c r="Y248" s="25">
        <f>IF($E248="","",W248-X248-N(T248)-N(U248))</f>
        <v/>
      </c>
      <c r="Z248" s="25">
        <f>IF($E248="","",IF(N(K248)-X248&lt;=0.02*N(K248),0,N(K248)-X248))</f>
        <v/>
      </c>
      <c r="AA248" s="24">
        <f>IF($E248="","",IF(S248&lt;&gt;"",S248,IF(N(O248)&gt;0,IF(L248&lt;&gt;"",L248,99999),IFERROR(1/(1/_xlfn.MINIFS($AF$3:$IN$3,$AF$4:$IN$4,"SEW_ACT",$AF248:$IN248,"&gt;0")),99999))))</f>
        <v/>
      </c>
      <c r="AB248" s="26">
        <f>IF(OR($E248="",Z248=0,V248=""),"",1+COUNTIFS(Z$8:Z$707,"&gt;0",V$8:V$707,"&lt;"&amp;V248)+COUNTIFS(Z$8:Z$707,"&gt;0",V$8:V$707,V248,AA$8:AA$707,"&lt;"&amp;AA248)+COUNTIFS(Z$8:Z$707,"&gt;0",V$8:V$707,V248,AA$8:AA$707,AA248,E$8:E$707,"&lt;"&amp;$E248))</f>
        <v/>
      </c>
      <c r="AC248" s="24">
        <f>IF(OR($E248="",Z248=0),"",IFERROR(TODAY()+ROUNDUP(Z248/(SUMIFS($AF248:$IN248,$AF$4:$IN$4,"WASH_ACT")/COUNTIFS($AF$4:$IN$4,"WASH_ACT",$AF248:$IN248,"&gt;0")),0),"no output yet"))</f>
        <v/>
      </c>
      <c r="AD248" s="26">
        <f>IF($E248="","",IFERROR(ROUND(MAX(0,SUMIFS($AF248:$IN248,$AF$4:$IN$4,"SEW_PLAN",$AF$3:$IN$3,"&lt;="&amp;TODAY())-SUMIFS($AF248:$IN248,$AF$4:$IN$4,"SEW_ACT",$AF$3:$IN$3,"&lt;="&amp;TODAY())+N(Q248))/(SUMIFS($AF248:$IN248,$AF$4:$IN$4,"SEW_PLAN")/COUNTIFS($AF$4:$IN$4,"SEW_PLAN",$AF248:$IN248,"&gt;0")),1),0))</f>
        <v/>
      </c>
      <c r="AE248" s="26">
        <f>IF($E248="","",IF(AND(Z248&gt;0,OR(AND(M248&lt;&gt;"",TODAY()&gt;M248),AND(V248&lt;&gt;"",V248-TODAY()&lt;=7))),"Yes","No"))</f>
        <v/>
      </c>
      <c r="AH248">
        <f>IF(OR(AF$3="",AF$3&gt;TODAY()),"",IF(AND(AF248="",AG248=""),"",N(AG248)-N(AF248)))</f>
        <v/>
      </c>
      <c r="AK248">
        <f>IF(OR(AF$3="",AF$3&gt;TODAY()),"",IF(AND(AI248="",AJ248=""),"",N(AJ248)-N(AI248)))</f>
        <v/>
      </c>
      <c r="AO248">
        <f>IF(OR(AM$3="",AM$3&gt;TODAY()),"",IF(AND(AM248="",AN248=""),"",N(AN248)-N(AM248)))</f>
        <v/>
      </c>
      <c r="AR248">
        <f>IF(OR(AM$3="",AM$3&gt;TODAY()),"",IF(AND(AP248="",AQ248=""),"",N(AQ248)-N(AP248)))</f>
        <v/>
      </c>
      <c r="AV248">
        <f>IF(OR(AT$3="",AT$3&gt;TODAY()),"",IF(AND(AT248="",AU248=""),"",N(AU248)-N(AT248)))</f>
        <v/>
      </c>
      <c r="AY248">
        <f>IF(OR(AT$3="",AT$3&gt;TODAY()),"",IF(AND(AW248="",AX248=""),"",N(AX248)-N(AW248)))</f>
        <v/>
      </c>
      <c r="BC248">
        <f>IF(OR(BA$3="",BA$3&gt;TODAY()),"",IF(AND(BA248="",BB248=""),"",N(BB248)-N(BA248)))</f>
        <v/>
      </c>
      <c r="BF248">
        <f>IF(OR(BA$3="",BA$3&gt;TODAY()),"",IF(AND(BD248="",BE248=""),"",N(BE248)-N(BD248)))</f>
        <v/>
      </c>
      <c r="BJ248">
        <f>IF(OR(BH$3="",BH$3&gt;TODAY()),"",IF(AND(BH248="",BI248=""),"",N(BI248)-N(BH248)))</f>
        <v/>
      </c>
      <c r="BM248">
        <f>IF(OR(BH$3="",BH$3&gt;TODAY()),"",IF(AND(BK248="",BL248=""),"",N(BL248)-N(BK248)))</f>
        <v/>
      </c>
      <c r="BQ248">
        <f>IF(OR(BO$3="",BO$3&gt;TODAY()),"",IF(AND(BO248="",BP248=""),"",N(BP248)-N(BO248)))</f>
        <v/>
      </c>
      <c r="BT248">
        <f>IF(OR(BO$3="",BO$3&gt;TODAY()),"",IF(AND(BR248="",BS248=""),"",N(BS248)-N(BR248)))</f>
        <v/>
      </c>
      <c r="BX248">
        <f>IF(OR(BV$3="",BV$3&gt;TODAY()),"",IF(AND(BV248="",BW248=""),"",N(BW248)-N(BV248)))</f>
        <v/>
      </c>
      <c r="CA248">
        <f>IF(OR(BV$3="",BV$3&gt;TODAY()),"",IF(AND(BY248="",BZ248=""),"",N(BZ248)-N(BY248)))</f>
        <v/>
      </c>
      <c r="CE248">
        <f>IF(OR(CC$3="",CC$3&gt;TODAY()),"",IF(AND(CC248="",CD248=""),"",N(CD248)-N(CC248)))</f>
        <v/>
      </c>
      <c r="CH248">
        <f>IF(OR(CC$3="",CC$3&gt;TODAY()),"",IF(AND(CF248="",CG248=""),"",N(CG248)-N(CF248)))</f>
        <v/>
      </c>
      <c r="CL248">
        <f>IF(OR(CJ$3="",CJ$3&gt;TODAY()),"",IF(AND(CJ248="",CK248=""),"",N(CK248)-N(CJ248)))</f>
        <v/>
      </c>
      <c r="CO248">
        <f>IF(OR(CJ$3="",CJ$3&gt;TODAY()),"",IF(AND(CM248="",CN248=""),"",N(CN248)-N(CM248)))</f>
        <v/>
      </c>
      <c r="CS248">
        <f>IF(OR(CQ$3="",CQ$3&gt;TODAY()),"",IF(AND(CQ248="",CR248=""),"",N(CR248)-N(CQ248)))</f>
        <v/>
      </c>
      <c r="CV248">
        <f>IF(OR(CQ$3="",CQ$3&gt;TODAY()),"",IF(AND(CT248="",CU248=""),"",N(CU248)-N(CT248)))</f>
        <v/>
      </c>
      <c r="CZ248">
        <f>IF(OR(CX$3="",CX$3&gt;TODAY()),"",IF(AND(CX248="",CY248=""),"",N(CY248)-N(CX248)))</f>
        <v/>
      </c>
      <c r="DC248">
        <f>IF(OR(CX$3="",CX$3&gt;TODAY()),"",IF(AND(DA248="",DB248=""),"",N(DB248)-N(DA248)))</f>
        <v/>
      </c>
      <c r="DG248">
        <f>IF(OR(DE$3="",DE$3&gt;TODAY()),"",IF(AND(DE248="",DF248=""),"",N(DF248)-N(DE248)))</f>
        <v/>
      </c>
      <c r="DJ248">
        <f>IF(OR(DE$3="",DE$3&gt;TODAY()),"",IF(AND(DH248="",DI248=""),"",N(DI248)-N(DH248)))</f>
        <v/>
      </c>
      <c r="DN248">
        <f>IF(OR(DL$3="",DL$3&gt;TODAY()),"",IF(AND(DL248="",DM248=""),"",N(DM248)-N(DL248)))</f>
        <v/>
      </c>
      <c r="DQ248">
        <f>IF(OR(DL$3="",DL$3&gt;TODAY()),"",IF(AND(DO248="",DP248=""),"",N(DP248)-N(DO248)))</f>
        <v/>
      </c>
      <c r="DU248">
        <f>IF(OR(DS$3="",DS$3&gt;TODAY()),"",IF(AND(DS248="",DT248=""),"",N(DT248)-N(DS248)))</f>
        <v/>
      </c>
      <c r="DX248">
        <f>IF(OR(DS$3="",DS$3&gt;TODAY()),"",IF(AND(DV248="",DW248=""),"",N(DW248)-N(DV248)))</f>
        <v/>
      </c>
      <c r="EB248">
        <f>IF(OR(DZ$3="",DZ$3&gt;TODAY()),"",IF(AND(DZ248="",EA248=""),"",N(EA248)-N(DZ248)))</f>
        <v/>
      </c>
      <c r="EE248">
        <f>IF(OR(DZ$3="",DZ$3&gt;TODAY()),"",IF(AND(EC248="",ED248=""),"",N(ED248)-N(EC248)))</f>
        <v/>
      </c>
      <c r="EI248">
        <f>IF(OR(EG$3="",EG$3&gt;TODAY()),"",IF(AND(EG248="",EH248=""),"",N(EH248)-N(EG248)))</f>
        <v/>
      </c>
      <c r="EL248">
        <f>IF(OR(EG$3="",EG$3&gt;TODAY()),"",IF(AND(EJ248="",EK248=""),"",N(EK248)-N(EJ248)))</f>
        <v/>
      </c>
      <c r="EP248">
        <f>IF(OR(EN$3="",EN$3&gt;TODAY()),"",IF(AND(EN248="",EO248=""),"",N(EO248)-N(EN248)))</f>
        <v/>
      </c>
      <c r="ES248">
        <f>IF(OR(EN$3="",EN$3&gt;TODAY()),"",IF(AND(EQ248="",ER248=""),"",N(ER248)-N(EQ248)))</f>
        <v/>
      </c>
      <c r="EW248">
        <f>IF(OR(EU$3="",EU$3&gt;TODAY()),"",IF(AND(EU248="",EV248=""),"",N(EV248)-N(EU248)))</f>
        <v/>
      </c>
      <c r="EZ248">
        <f>IF(OR(EU$3="",EU$3&gt;TODAY()),"",IF(AND(EX248="",EY248=""),"",N(EY248)-N(EX248)))</f>
        <v/>
      </c>
      <c r="FD248">
        <f>IF(OR(FB$3="",FB$3&gt;TODAY()),"",IF(AND(FB248="",FC248=""),"",N(FC248)-N(FB248)))</f>
        <v/>
      </c>
      <c r="FG248">
        <f>IF(OR(FB$3="",FB$3&gt;TODAY()),"",IF(AND(FE248="",FF248=""),"",N(FF248)-N(FE248)))</f>
        <v/>
      </c>
      <c r="FK248">
        <f>IF(OR(FI$3="",FI$3&gt;TODAY()),"",IF(AND(FI248="",FJ248=""),"",N(FJ248)-N(FI248)))</f>
        <v/>
      </c>
      <c r="FN248">
        <f>IF(OR(FI$3="",FI$3&gt;TODAY()),"",IF(AND(FL248="",FM248=""),"",N(FM248)-N(FL248)))</f>
        <v/>
      </c>
      <c r="FR248">
        <f>IF(OR(FP$3="",FP$3&gt;TODAY()),"",IF(AND(FP248="",FQ248=""),"",N(FQ248)-N(FP248)))</f>
        <v/>
      </c>
      <c r="FU248">
        <f>IF(OR(FP$3="",FP$3&gt;TODAY()),"",IF(AND(FS248="",FT248=""),"",N(FT248)-N(FS248)))</f>
        <v/>
      </c>
      <c r="FY248">
        <f>IF(OR(FW$3="",FW$3&gt;TODAY()),"",IF(AND(FW248="",FX248=""),"",N(FX248)-N(FW248)))</f>
        <v/>
      </c>
      <c r="GB248">
        <f>IF(OR(FW$3="",FW$3&gt;TODAY()),"",IF(AND(FZ248="",GA248=""),"",N(GA248)-N(FZ248)))</f>
        <v/>
      </c>
      <c r="GF248">
        <f>IF(OR(GD$3="",GD$3&gt;TODAY()),"",IF(AND(GD248="",GE248=""),"",N(GE248)-N(GD248)))</f>
        <v/>
      </c>
      <c r="GI248">
        <f>IF(OR(GD$3="",GD$3&gt;TODAY()),"",IF(AND(GG248="",GH248=""),"",N(GH248)-N(GG248)))</f>
        <v/>
      </c>
      <c r="GM248">
        <f>IF(OR(GK$3="",GK$3&gt;TODAY()),"",IF(AND(GK248="",GL248=""),"",N(GL248)-N(GK248)))</f>
        <v/>
      </c>
      <c r="GP248">
        <f>IF(OR(GK$3="",GK$3&gt;TODAY()),"",IF(AND(GN248="",GO248=""),"",N(GO248)-N(GN248)))</f>
        <v/>
      </c>
      <c r="GT248">
        <f>IF(OR(GR$3="",GR$3&gt;TODAY()),"",IF(AND(GR248="",GS248=""),"",N(GS248)-N(GR248)))</f>
        <v/>
      </c>
      <c r="GW248">
        <f>IF(OR(GR$3="",GR$3&gt;TODAY()),"",IF(AND(GU248="",GV248=""),"",N(GV248)-N(GU248)))</f>
        <v/>
      </c>
      <c r="HA248">
        <f>IF(OR(GY$3="",GY$3&gt;TODAY()),"",IF(AND(GY248="",GZ248=""),"",N(GZ248)-N(GY248)))</f>
        <v/>
      </c>
      <c r="HD248">
        <f>IF(OR(GY$3="",GY$3&gt;TODAY()),"",IF(AND(HB248="",HC248=""),"",N(HC248)-N(HB248)))</f>
        <v/>
      </c>
      <c r="HH248">
        <f>IF(OR(HF$3="",HF$3&gt;TODAY()),"",IF(AND(HF248="",HG248=""),"",N(HG248)-N(HF248)))</f>
        <v/>
      </c>
      <c r="HK248">
        <f>IF(OR(HF$3="",HF$3&gt;TODAY()),"",IF(AND(HI248="",HJ248=""),"",N(HJ248)-N(HI248)))</f>
        <v/>
      </c>
      <c r="HO248">
        <f>IF(OR(HM$3="",HM$3&gt;TODAY()),"",IF(AND(HM248="",HN248=""),"",N(HN248)-N(HM248)))</f>
        <v/>
      </c>
      <c r="HR248">
        <f>IF(OR(HM$3="",HM$3&gt;TODAY()),"",IF(AND(HP248="",HQ248=""),"",N(HQ248)-N(HP248)))</f>
        <v/>
      </c>
      <c r="HV248">
        <f>IF(OR(HT$3="",HT$3&gt;TODAY()),"",IF(AND(HT248="",HU248=""),"",N(HU248)-N(HT248)))</f>
        <v/>
      </c>
      <c r="HY248">
        <f>IF(OR(HT$3="",HT$3&gt;TODAY()),"",IF(AND(HW248="",HX248=""),"",N(HX248)-N(HW248)))</f>
        <v/>
      </c>
      <c r="IC248">
        <f>IF(OR(IA$3="",IA$3&gt;TODAY()),"",IF(AND(IA248="",IB248=""),"",N(IB248)-N(IA248)))</f>
        <v/>
      </c>
      <c r="IF248">
        <f>IF(OR(IA$3="",IA$3&gt;TODAY()),"",IF(AND(ID248="",IE248=""),"",N(IE248)-N(ID248)))</f>
        <v/>
      </c>
      <c r="IJ248">
        <f>IF(OR(IH$3="",IH$3&gt;TODAY()),"",IF(AND(IH248="",II248=""),"",N(II248)-N(IH248)))</f>
        <v/>
      </c>
      <c r="IM248">
        <f>IF(OR(IH$3="",IH$3&gt;TODAY()),"",IF(AND(IK248="",IL248=""),"",N(IL248)-N(IK248)))</f>
        <v/>
      </c>
    </row>
    <row r="249">
      <c r="A249" s="21" t="n"/>
      <c r="B249" s="21" t="n"/>
      <c r="C249" s="21" t="n"/>
      <c r="D249" s="21" t="n"/>
      <c r="E249" s="21" t="n"/>
      <c r="F249" s="21" t="n"/>
      <c r="G249" s="21" t="n"/>
      <c r="H249" s="21" t="n"/>
      <c r="I249" s="22" t="n"/>
      <c r="J249" s="22" t="n"/>
      <c r="K249" s="23" t="n"/>
      <c r="L249" s="22" t="n"/>
      <c r="M249" s="22" t="n"/>
      <c r="N249" s="21" t="n"/>
      <c r="O249" s="23" t="n"/>
      <c r="P249" s="23" t="n"/>
      <c r="Q249" s="23" t="n"/>
      <c r="R249" s="23" t="n"/>
      <c r="S249" s="22" t="n"/>
      <c r="T249" s="23" t="n"/>
      <c r="U249" s="23" t="n"/>
      <c r="V249" s="24">
        <f>IF(J249&lt;&gt;"",J249,IF(I249&lt;&gt;"",I249,""))</f>
        <v/>
      </c>
      <c r="W249" s="25">
        <f>IF($E249="","",N(O249)+SUMIFS($AF249:$IN249,$AF$4:$IN$4,"SEW_ACT"))</f>
        <v/>
      </c>
      <c r="X249" s="25">
        <f>IF($E249="","",N(P249)+SUMIFS($AF249:$IN249,$AF$4:$IN$4,"WASH_ACT"))</f>
        <v/>
      </c>
      <c r="Y249" s="25">
        <f>IF($E249="","",W249-X249-N(T249)-N(U249))</f>
        <v/>
      </c>
      <c r="Z249" s="25">
        <f>IF($E249="","",IF(N(K249)-X249&lt;=0.02*N(K249),0,N(K249)-X249))</f>
        <v/>
      </c>
      <c r="AA249" s="24">
        <f>IF($E249="","",IF(S249&lt;&gt;"",S249,IF(N(O249)&gt;0,IF(L249&lt;&gt;"",L249,99999),IFERROR(1/(1/_xlfn.MINIFS($AF$3:$IN$3,$AF$4:$IN$4,"SEW_ACT",$AF249:$IN249,"&gt;0")),99999))))</f>
        <v/>
      </c>
      <c r="AB249" s="26">
        <f>IF(OR($E249="",Z249=0,V249=""),"",1+COUNTIFS(Z$8:Z$707,"&gt;0",V$8:V$707,"&lt;"&amp;V249)+COUNTIFS(Z$8:Z$707,"&gt;0",V$8:V$707,V249,AA$8:AA$707,"&lt;"&amp;AA249)+COUNTIFS(Z$8:Z$707,"&gt;0",V$8:V$707,V249,AA$8:AA$707,AA249,E$8:E$707,"&lt;"&amp;$E249))</f>
        <v/>
      </c>
      <c r="AC249" s="24">
        <f>IF(OR($E249="",Z249=0),"",IFERROR(TODAY()+ROUNDUP(Z249/(SUMIFS($AF249:$IN249,$AF$4:$IN$4,"WASH_ACT")/COUNTIFS($AF$4:$IN$4,"WASH_ACT",$AF249:$IN249,"&gt;0")),0),"no output yet"))</f>
        <v/>
      </c>
      <c r="AD249" s="26">
        <f>IF($E249="","",IFERROR(ROUND(MAX(0,SUMIFS($AF249:$IN249,$AF$4:$IN$4,"SEW_PLAN",$AF$3:$IN$3,"&lt;="&amp;TODAY())-SUMIFS($AF249:$IN249,$AF$4:$IN$4,"SEW_ACT",$AF$3:$IN$3,"&lt;="&amp;TODAY())+N(Q249))/(SUMIFS($AF249:$IN249,$AF$4:$IN$4,"SEW_PLAN")/COUNTIFS($AF$4:$IN$4,"SEW_PLAN",$AF249:$IN249,"&gt;0")),1),0))</f>
        <v/>
      </c>
      <c r="AE249" s="26">
        <f>IF($E249="","",IF(AND(Z249&gt;0,OR(AND(M249&lt;&gt;"",TODAY()&gt;M249),AND(V249&lt;&gt;"",V249-TODAY()&lt;=7))),"Yes","No"))</f>
        <v/>
      </c>
      <c r="AH249">
        <f>IF(OR(AF$3="",AF$3&gt;TODAY()),"",IF(AND(AF249="",AG249=""),"",N(AG249)-N(AF249)))</f>
        <v/>
      </c>
      <c r="AK249">
        <f>IF(OR(AF$3="",AF$3&gt;TODAY()),"",IF(AND(AI249="",AJ249=""),"",N(AJ249)-N(AI249)))</f>
        <v/>
      </c>
      <c r="AO249">
        <f>IF(OR(AM$3="",AM$3&gt;TODAY()),"",IF(AND(AM249="",AN249=""),"",N(AN249)-N(AM249)))</f>
        <v/>
      </c>
      <c r="AR249">
        <f>IF(OR(AM$3="",AM$3&gt;TODAY()),"",IF(AND(AP249="",AQ249=""),"",N(AQ249)-N(AP249)))</f>
        <v/>
      </c>
      <c r="AV249">
        <f>IF(OR(AT$3="",AT$3&gt;TODAY()),"",IF(AND(AT249="",AU249=""),"",N(AU249)-N(AT249)))</f>
        <v/>
      </c>
      <c r="AY249">
        <f>IF(OR(AT$3="",AT$3&gt;TODAY()),"",IF(AND(AW249="",AX249=""),"",N(AX249)-N(AW249)))</f>
        <v/>
      </c>
      <c r="BC249">
        <f>IF(OR(BA$3="",BA$3&gt;TODAY()),"",IF(AND(BA249="",BB249=""),"",N(BB249)-N(BA249)))</f>
        <v/>
      </c>
      <c r="BF249">
        <f>IF(OR(BA$3="",BA$3&gt;TODAY()),"",IF(AND(BD249="",BE249=""),"",N(BE249)-N(BD249)))</f>
        <v/>
      </c>
      <c r="BJ249">
        <f>IF(OR(BH$3="",BH$3&gt;TODAY()),"",IF(AND(BH249="",BI249=""),"",N(BI249)-N(BH249)))</f>
        <v/>
      </c>
      <c r="BM249">
        <f>IF(OR(BH$3="",BH$3&gt;TODAY()),"",IF(AND(BK249="",BL249=""),"",N(BL249)-N(BK249)))</f>
        <v/>
      </c>
      <c r="BQ249">
        <f>IF(OR(BO$3="",BO$3&gt;TODAY()),"",IF(AND(BO249="",BP249=""),"",N(BP249)-N(BO249)))</f>
        <v/>
      </c>
      <c r="BT249">
        <f>IF(OR(BO$3="",BO$3&gt;TODAY()),"",IF(AND(BR249="",BS249=""),"",N(BS249)-N(BR249)))</f>
        <v/>
      </c>
      <c r="BX249">
        <f>IF(OR(BV$3="",BV$3&gt;TODAY()),"",IF(AND(BV249="",BW249=""),"",N(BW249)-N(BV249)))</f>
        <v/>
      </c>
      <c r="CA249">
        <f>IF(OR(BV$3="",BV$3&gt;TODAY()),"",IF(AND(BY249="",BZ249=""),"",N(BZ249)-N(BY249)))</f>
        <v/>
      </c>
      <c r="CE249">
        <f>IF(OR(CC$3="",CC$3&gt;TODAY()),"",IF(AND(CC249="",CD249=""),"",N(CD249)-N(CC249)))</f>
        <v/>
      </c>
      <c r="CH249">
        <f>IF(OR(CC$3="",CC$3&gt;TODAY()),"",IF(AND(CF249="",CG249=""),"",N(CG249)-N(CF249)))</f>
        <v/>
      </c>
      <c r="CL249">
        <f>IF(OR(CJ$3="",CJ$3&gt;TODAY()),"",IF(AND(CJ249="",CK249=""),"",N(CK249)-N(CJ249)))</f>
        <v/>
      </c>
      <c r="CO249">
        <f>IF(OR(CJ$3="",CJ$3&gt;TODAY()),"",IF(AND(CM249="",CN249=""),"",N(CN249)-N(CM249)))</f>
        <v/>
      </c>
      <c r="CS249">
        <f>IF(OR(CQ$3="",CQ$3&gt;TODAY()),"",IF(AND(CQ249="",CR249=""),"",N(CR249)-N(CQ249)))</f>
        <v/>
      </c>
      <c r="CV249">
        <f>IF(OR(CQ$3="",CQ$3&gt;TODAY()),"",IF(AND(CT249="",CU249=""),"",N(CU249)-N(CT249)))</f>
        <v/>
      </c>
      <c r="CZ249">
        <f>IF(OR(CX$3="",CX$3&gt;TODAY()),"",IF(AND(CX249="",CY249=""),"",N(CY249)-N(CX249)))</f>
        <v/>
      </c>
      <c r="DC249">
        <f>IF(OR(CX$3="",CX$3&gt;TODAY()),"",IF(AND(DA249="",DB249=""),"",N(DB249)-N(DA249)))</f>
        <v/>
      </c>
      <c r="DG249">
        <f>IF(OR(DE$3="",DE$3&gt;TODAY()),"",IF(AND(DE249="",DF249=""),"",N(DF249)-N(DE249)))</f>
        <v/>
      </c>
      <c r="DJ249">
        <f>IF(OR(DE$3="",DE$3&gt;TODAY()),"",IF(AND(DH249="",DI249=""),"",N(DI249)-N(DH249)))</f>
        <v/>
      </c>
      <c r="DN249">
        <f>IF(OR(DL$3="",DL$3&gt;TODAY()),"",IF(AND(DL249="",DM249=""),"",N(DM249)-N(DL249)))</f>
        <v/>
      </c>
      <c r="DQ249">
        <f>IF(OR(DL$3="",DL$3&gt;TODAY()),"",IF(AND(DO249="",DP249=""),"",N(DP249)-N(DO249)))</f>
        <v/>
      </c>
      <c r="DU249">
        <f>IF(OR(DS$3="",DS$3&gt;TODAY()),"",IF(AND(DS249="",DT249=""),"",N(DT249)-N(DS249)))</f>
        <v/>
      </c>
      <c r="DX249">
        <f>IF(OR(DS$3="",DS$3&gt;TODAY()),"",IF(AND(DV249="",DW249=""),"",N(DW249)-N(DV249)))</f>
        <v/>
      </c>
      <c r="EB249">
        <f>IF(OR(DZ$3="",DZ$3&gt;TODAY()),"",IF(AND(DZ249="",EA249=""),"",N(EA249)-N(DZ249)))</f>
        <v/>
      </c>
      <c r="EE249">
        <f>IF(OR(DZ$3="",DZ$3&gt;TODAY()),"",IF(AND(EC249="",ED249=""),"",N(ED249)-N(EC249)))</f>
        <v/>
      </c>
      <c r="EI249">
        <f>IF(OR(EG$3="",EG$3&gt;TODAY()),"",IF(AND(EG249="",EH249=""),"",N(EH249)-N(EG249)))</f>
        <v/>
      </c>
      <c r="EL249">
        <f>IF(OR(EG$3="",EG$3&gt;TODAY()),"",IF(AND(EJ249="",EK249=""),"",N(EK249)-N(EJ249)))</f>
        <v/>
      </c>
      <c r="EP249">
        <f>IF(OR(EN$3="",EN$3&gt;TODAY()),"",IF(AND(EN249="",EO249=""),"",N(EO249)-N(EN249)))</f>
        <v/>
      </c>
      <c r="ES249">
        <f>IF(OR(EN$3="",EN$3&gt;TODAY()),"",IF(AND(EQ249="",ER249=""),"",N(ER249)-N(EQ249)))</f>
        <v/>
      </c>
      <c r="EW249">
        <f>IF(OR(EU$3="",EU$3&gt;TODAY()),"",IF(AND(EU249="",EV249=""),"",N(EV249)-N(EU249)))</f>
        <v/>
      </c>
      <c r="EZ249">
        <f>IF(OR(EU$3="",EU$3&gt;TODAY()),"",IF(AND(EX249="",EY249=""),"",N(EY249)-N(EX249)))</f>
        <v/>
      </c>
      <c r="FD249">
        <f>IF(OR(FB$3="",FB$3&gt;TODAY()),"",IF(AND(FB249="",FC249=""),"",N(FC249)-N(FB249)))</f>
        <v/>
      </c>
      <c r="FG249">
        <f>IF(OR(FB$3="",FB$3&gt;TODAY()),"",IF(AND(FE249="",FF249=""),"",N(FF249)-N(FE249)))</f>
        <v/>
      </c>
      <c r="FK249">
        <f>IF(OR(FI$3="",FI$3&gt;TODAY()),"",IF(AND(FI249="",FJ249=""),"",N(FJ249)-N(FI249)))</f>
        <v/>
      </c>
      <c r="FN249">
        <f>IF(OR(FI$3="",FI$3&gt;TODAY()),"",IF(AND(FL249="",FM249=""),"",N(FM249)-N(FL249)))</f>
        <v/>
      </c>
      <c r="FR249">
        <f>IF(OR(FP$3="",FP$3&gt;TODAY()),"",IF(AND(FP249="",FQ249=""),"",N(FQ249)-N(FP249)))</f>
        <v/>
      </c>
      <c r="FU249">
        <f>IF(OR(FP$3="",FP$3&gt;TODAY()),"",IF(AND(FS249="",FT249=""),"",N(FT249)-N(FS249)))</f>
        <v/>
      </c>
      <c r="FY249">
        <f>IF(OR(FW$3="",FW$3&gt;TODAY()),"",IF(AND(FW249="",FX249=""),"",N(FX249)-N(FW249)))</f>
        <v/>
      </c>
      <c r="GB249">
        <f>IF(OR(FW$3="",FW$3&gt;TODAY()),"",IF(AND(FZ249="",GA249=""),"",N(GA249)-N(FZ249)))</f>
        <v/>
      </c>
      <c r="GF249">
        <f>IF(OR(GD$3="",GD$3&gt;TODAY()),"",IF(AND(GD249="",GE249=""),"",N(GE249)-N(GD249)))</f>
        <v/>
      </c>
      <c r="GI249">
        <f>IF(OR(GD$3="",GD$3&gt;TODAY()),"",IF(AND(GG249="",GH249=""),"",N(GH249)-N(GG249)))</f>
        <v/>
      </c>
      <c r="GM249">
        <f>IF(OR(GK$3="",GK$3&gt;TODAY()),"",IF(AND(GK249="",GL249=""),"",N(GL249)-N(GK249)))</f>
        <v/>
      </c>
      <c r="GP249">
        <f>IF(OR(GK$3="",GK$3&gt;TODAY()),"",IF(AND(GN249="",GO249=""),"",N(GO249)-N(GN249)))</f>
        <v/>
      </c>
      <c r="GT249">
        <f>IF(OR(GR$3="",GR$3&gt;TODAY()),"",IF(AND(GR249="",GS249=""),"",N(GS249)-N(GR249)))</f>
        <v/>
      </c>
      <c r="GW249">
        <f>IF(OR(GR$3="",GR$3&gt;TODAY()),"",IF(AND(GU249="",GV249=""),"",N(GV249)-N(GU249)))</f>
        <v/>
      </c>
      <c r="HA249">
        <f>IF(OR(GY$3="",GY$3&gt;TODAY()),"",IF(AND(GY249="",GZ249=""),"",N(GZ249)-N(GY249)))</f>
        <v/>
      </c>
      <c r="HD249">
        <f>IF(OR(GY$3="",GY$3&gt;TODAY()),"",IF(AND(HB249="",HC249=""),"",N(HC249)-N(HB249)))</f>
        <v/>
      </c>
      <c r="HH249">
        <f>IF(OR(HF$3="",HF$3&gt;TODAY()),"",IF(AND(HF249="",HG249=""),"",N(HG249)-N(HF249)))</f>
        <v/>
      </c>
      <c r="HK249">
        <f>IF(OR(HF$3="",HF$3&gt;TODAY()),"",IF(AND(HI249="",HJ249=""),"",N(HJ249)-N(HI249)))</f>
        <v/>
      </c>
      <c r="HO249">
        <f>IF(OR(HM$3="",HM$3&gt;TODAY()),"",IF(AND(HM249="",HN249=""),"",N(HN249)-N(HM249)))</f>
        <v/>
      </c>
      <c r="HR249">
        <f>IF(OR(HM$3="",HM$3&gt;TODAY()),"",IF(AND(HP249="",HQ249=""),"",N(HQ249)-N(HP249)))</f>
        <v/>
      </c>
      <c r="HV249">
        <f>IF(OR(HT$3="",HT$3&gt;TODAY()),"",IF(AND(HT249="",HU249=""),"",N(HU249)-N(HT249)))</f>
        <v/>
      </c>
      <c r="HY249">
        <f>IF(OR(HT$3="",HT$3&gt;TODAY()),"",IF(AND(HW249="",HX249=""),"",N(HX249)-N(HW249)))</f>
        <v/>
      </c>
      <c r="IC249">
        <f>IF(OR(IA$3="",IA$3&gt;TODAY()),"",IF(AND(IA249="",IB249=""),"",N(IB249)-N(IA249)))</f>
        <v/>
      </c>
      <c r="IF249">
        <f>IF(OR(IA$3="",IA$3&gt;TODAY()),"",IF(AND(ID249="",IE249=""),"",N(IE249)-N(ID249)))</f>
        <v/>
      </c>
      <c r="IJ249">
        <f>IF(OR(IH$3="",IH$3&gt;TODAY()),"",IF(AND(IH249="",II249=""),"",N(II249)-N(IH249)))</f>
        <v/>
      </c>
      <c r="IM249">
        <f>IF(OR(IH$3="",IH$3&gt;TODAY()),"",IF(AND(IK249="",IL249=""),"",N(IL249)-N(IK249)))</f>
        <v/>
      </c>
    </row>
    <row r="250">
      <c r="A250" s="21" t="n"/>
      <c r="B250" s="21" t="n"/>
      <c r="C250" s="21" t="n"/>
      <c r="D250" s="21" t="n"/>
      <c r="E250" s="21" t="n"/>
      <c r="F250" s="21" t="n"/>
      <c r="G250" s="21" t="n"/>
      <c r="H250" s="21" t="n"/>
      <c r="I250" s="22" t="n"/>
      <c r="J250" s="22" t="n"/>
      <c r="K250" s="23" t="n"/>
      <c r="L250" s="22" t="n"/>
      <c r="M250" s="22" t="n"/>
      <c r="N250" s="21" t="n"/>
      <c r="O250" s="23" t="n"/>
      <c r="P250" s="23" t="n"/>
      <c r="Q250" s="23" t="n"/>
      <c r="R250" s="23" t="n"/>
      <c r="S250" s="22" t="n"/>
      <c r="T250" s="23" t="n"/>
      <c r="U250" s="23" t="n"/>
      <c r="V250" s="24">
        <f>IF(J250&lt;&gt;"",J250,IF(I250&lt;&gt;"",I250,""))</f>
        <v/>
      </c>
      <c r="W250" s="25">
        <f>IF($E250="","",N(O250)+SUMIFS($AF250:$IN250,$AF$4:$IN$4,"SEW_ACT"))</f>
        <v/>
      </c>
      <c r="X250" s="25">
        <f>IF($E250="","",N(P250)+SUMIFS($AF250:$IN250,$AF$4:$IN$4,"WASH_ACT"))</f>
        <v/>
      </c>
      <c r="Y250" s="25">
        <f>IF($E250="","",W250-X250-N(T250)-N(U250))</f>
        <v/>
      </c>
      <c r="Z250" s="25">
        <f>IF($E250="","",IF(N(K250)-X250&lt;=0.02*N(K250),0,N(K250)-X250))</f>
        <v/>
      </c>
      <c r="AA250" s="24">
        <f>IF($E250="","",IF(S250&lt;&gt;"",S250,IF(N(O250)&gt;0,IF(L250&lt;&gt;"",L250,99999),IFERROR(1/(1/_xlfn.MINIFS($AF$3:$IN$3,$AF$4:$IN$4,"SEW_ACT",$AF250:$IN250,"&gt;0")),99999))))</f>
        <v/>
      </c>
      <c r="AB250" s="26">
        <f>IF(OR($E250="",Z250=0,V250=""),"",1+COUNTIFS(Z$8:Z$707,"&gt;0",V$8:V$707,"&lt;"&amp;V250)+COUNTIFS(Z$8:Z$707,"&gt;0",V$8:V$707,V250,AA$8:AA$707,"&lt;"&amp;AA250)+COUNTIFS(Z$8:Z$707,"&gt;0",V$8:V$707,V250,AA$8:AA$707,AA250,E$8:E$707,"&lt;"&amp;$E250))</f>
        <v/>
      </c>
      <c r="AC250" s="24">
        <f>IF(OR($E250="",Z250=0),"",IFERROR(TODAY()+ROUNDUP(Z250/(SUMIFS($AF250:$IN250,$AF$4:$IN$4,"WASH_ACT")/COUNTIFS($AF$4:$IN$4,"WASH_ACT",$AF250:$IN250,"&gt;0")),0),"no output yet"))</f>
        <v/>
      </c>
      <c r="AD250" s="26">
        <f>IF($E250="","",IFERROR(ROUND(MAX(0,SUMIFS($AF250:$IN250,$AF$4:$IN$4,"SEW_PLAN",$AF$3:$IN$3,"&lt;="&amp;TODAY())-SUMIFS($AF250:$IN250,$AF$4:$IN$4,"SEW_ACT",$AF$3:$IN$3,"&lt;="&amp;TODAY())+N(Q250))/(SUMIFS($AF250:$IN250,$AF$4:$IN$4,"SEW_PLAN")/COUNTIFS($AF$4:$IN$4,"SEW_PLAN",$AF250:$IN250,"&gt;0")),1),0))</f>
        <v/>
      </c>
      <c r="AE250" s="26">
        <f>IF($E250="","",IF(AND(Z250&gt;0,OR(AND(M250&lt;&gt;"",TODAY()&gt;M250),AND(V250&lt;&gt;"",V250-TODAY()&lt;=7))),"Yes","No"))</f>
        <v/>
      </c>
      <c r="AH250">
        <f>IF(OR(AF$3="",AF$3&gt;TODAY()),"",IF(AND(AF250="",AG250=""),"",N(AG250)-N(AF250)))</f>
        <v/>
      </c>
      <c r="AK250">
        <f>IF(OR(AF$3="",AF$3&gt;TODAY()),"",IF(AND(AI250="",AJ250=""),"",N(AJ250)-N(AI250)))</f>
        <v/>
      </c>
      <c r="AO250">
        <f>IF(OR(AM$3="",AM$3&gt;TODAY()),"",IF(AND(AM250="",AN250=""),"",N(AN250)-N(AM250)))</f>
        <v/>
      </c>
      <c r="AR250">
        <f>IF(OR(AM$3="",AM$3&gt;TODAY()),"",IF(AND(AP250="",AQ250=""),"",N(AQ250)-N(AP250)))</f>
        <v/>
      </c>
      <c r="AV250">
        <f>IF(OR(AT$3="",AT$3&gt;TODAY()),"",IF(AND(AT250="",AU250=""),"",N(AU250)-N(AT250)))</f>
        <v/>
      </c>
      <c r="AY250">
        <f>IF(OR(AT$3="",AT$3&gt;TODAY()),"",IF(AND(AW250="",AX250=""),"",N(AX250)-N(AW250)))</f>
        <v/>
      </c>
      <c r="BC250">
        <f>IF(OR(BA$3="",BA$3&gt;TODAY()),"",IF(AND(BA250="",BB250=""),"",N(BB250)-N(BA250)))</f>
        <v/>
      </c>
      <c r="BF250">
        <f>IF(OR(BA$3="",BA$3&gt;TODAY()),"",IF(AND(BD250="",BE250=""),"",N(BE250)-N(BD250)))</f>
        <v/>
      </c>
      <c r="BJ250">
        <f>IF(OR(BH$3="",BH$3&gt;TODAY()),"",IF(AND(BH250="",BI250=""),"",N(BI250)-N(BH250)))</f>
        <v/>
      </c>
      <c r="BM250">
        <f>IF(OR(BH$3="",BH$3&gt;TODAY()),"",IF(AND(BK250="",BL250=""),"",N(BL250)-N(BK250)))</f>
        <v/>
      </c>
      <c r="BQ250">
        <f>IF(OR(BO$3="",BO$3&gt;TODAY()),"",IF(AND(BO250="",BP250=""),"",N(BP250)-N(BO250)))</f>
        <v/>
      </c>
      <c r="BT250">
        <f>IF(OR(BO$3="",BO$3&gt;TODAY()),"",IF(AND(BR250="",BS250=""),"",N(BS250)-N(BR250)))</f>
        <v/>
      </c>
      <c r="BX250">
        <f>IF(OR(BV$3="",BV$3&gt;TODAY()),"",IF(AND(BV250="",BW250=""),"",N(BW250)-N(BV250)))</f>
        <v/>
      </c>
      <c r="CA250">
        <f>IF(OR(BV$3="",BV$3&gt;TODAY()),"",IF(AND(BY250="",BZ250=""),"",N(BZ250)-N(BY250)))</f>
        <v/>
      </c>
      <c r="CE250">
        <f>IF(OR(CC$3="",CC$3&gt;TODAY()),"",IF(AND(CC250="",CD250=""),"",N(CD250)-N(CC250)))</f>
        <v/>
      </c>
      <c r="CH250">
        <f>IF(OR(CC$3="",CC$3&gt;TODAY()),"",IF(AND(CF250="",CG250=""),"",N(CG250)-N(CF250)))</f>
        <v/>
      </c>
      <c r="CL250">
        <f>IF(OR(CJ$3="",CJ$3&gt;TODAY()),"",IF(AND(CJ250="",CK250=""),"",N(CK250)-N(CJ250)))</f>
        <v/>
      </c>
      <c r="CO250">
        <f>IF(OR(CJ$3="",CJ$3&gt;TODAY()),"",IF(AND(CM250="",CN250=""),"",N(CN250)-N(CM250)))</f>
        <v/>
      </c>
      <c r="CS250">
        <f>IF(OR(CQ$3="",CQ$3&gt;TODAY()),"",IF(AND(CQ250="",CR250=""),"",N(CR250)-N(CQ250)))</f>
        <v/>
      </c>
      <c r="CV250">
        <f>IF(OR(CQ$3="",CQ$3&gt;TODAY()),"",IF(AND(CT250="",CU250=""),"",N(CU250)-N(CT250)))</f>
        <v/>
      </c>
      <c r="CZ250">
        <f>IF(OR(CX$3="",CX$3&gt;TODAY()),"",IF(AND(CX250="",CY250=""),"",N(CY250)-N(CX250)))</f>
        <v/>
      </c>
      <c r="DC250">
        <f>IF(OR(CX$3="",CX$3&gt;TODAY()),"",IF(AND(DA250="",DB250=""),"",N(DB250)-N(DA250)))</f>
        <v/>
      </c>
      <c r="DG250">
        <f>IF(OR(DE$3="",DE$3&gt;TODAY()),"",IF(AND(DE250="",DF250=""),"",N(DF250)-N(DE250)))</f>
        <v/>
      </c>
      <c r="DJ250">
        <f>IF(OR(DE$3="",DE$3&gt;TODAY()),"",IF(AND(DH250="",DI250=""),"",N(DI250)-N(DH250)))</f>
        <v/>
      </c>
      <c r="DN250">
        <f>IF(OR(DL$3="",DL$3&gt;TODAY()),"",IF(AND(DL250="",DM250=""),"",N(DM250)-N(DL250)))</f>
        <v/>
      </c>
      <c r="DQ250">
        <f>IF(OR(DL$3="",DL$3&gt;TODAY()),"",IF(AND(DO250="",DP250=""),"",N(DP250)-N(DO250)))</f>
        <v/>
      </c>
      <c r="DU250">
        <f>IF(OR(DS$3="",DS$3&gt;TODAY()),"",IF(AND(DS250="",DT250=""),"",N(DT250)-N(DS250)))</f>
        <v/>
      </c>
      <c r="DX250">
        <f>IF(OR(DS$3="",DS$3&gt;TODAY()),"",IF(AND(DV250="",DW250=""),"",N(DW250)-N(DV250)))</f>
        <v/>
      </c>
      <c r="EB250">
        <f>IF(OR(DZ$3="",DZ$3&gt;TODAY()),"",IF(AND(DZ250="",EA250=""),"",N(EA250)-N(DZ250)))</f>
        <v/>
      </c>
      <c r="EE250">
        <f>IF(OR(DZ$3="",DZ$3&gt;TODAY()),"",IF(AND(EC250="",ED250=""),"",N(ED250)-N(EC250)))</f>
        <v/>
      </c>
      <c r="EI250">
        <f>IF(OR(EG$3="",EG$3&gt;TODAY()),"",IF(AND(EG250="",EH250=""),"",N(EH250)-N(EG250)))</f>
        <v/>
      </c>
      <c r="EL250">
        <f>IF(OR(EG$3="",EG$3&gt;TODAY()),"",IF(AND(EJ250="",EK250=""),"",N(EK250)-N(EJ250)))</f>
        <v/>
      </c>
      <c r="EP250">
        <f>IF(OR(EN$3="",EN$3&gt;TODAY()),"",IF(AND(EN250="",EO250=""),"",N(EO250)-N(EN250)))</f>
        <v/>
      </c>
      <c r="ES250">
        <f>IF(OR(EN$3="",EN$3&gt;TODAY()),"",IF(AND(EQ250="",ER250=""),"",N(ER250)-N(EQ250)))</f>
        <v/>
      </c>
      <c r="EW250">
        <f>IF(OR(EU$3="",EU$3&gt;TODAY()),"",IF(AND(EU250="",EV250=""),"",N(EV250)-N(EU250)))</f>
        <v/>
      </c>
      <c r="EZ250">
        <f>IF(OR(EU$3="",EU$3&gt;TODAY()),"",IF(AND(EX250="",EY250=""),"",N(EY250)-N(EX250)))</f>
        <v/>
      </c>
      <c r="FD250">
        <f>IF(OR(FB$3="",FB$3&gt;TODAY()),"",IF(AND(FB250="",FC250=""),"",N(FC250)-N(FB250)))</f>
        <v/>
      </c>
      <c r="FG250">
        <f>IF(OR(FB$3="",FB$3&gt;TODAY()),"",IF(AND(FE250="",FF250=""),"",N(FF250)-N(FE250)))</f>
        <v/>
      </c>
      <c r="FK250">
        <f>IF(OR(FI$3="",FI$3&gt;TODAY()),"",IF(AND(FI250="",FJ250=""),"",N(FJ250)-N(FI250)))</f>
        <v/>
      </c>
      <c r="FN250">
        <f>IF(OR(FI$3="",FI$3&gt;TODAY()),"",IF(AND(FL250="",FM250=""),"",N(FM250)-N(FL250)))</f>
        <v/>
      </c>
      <c r="FR250">
        <f>IF(OR(FP$3="",FP$3&gt;TODAY()),"",IF(AND(FP250="",FQ250=""),"",N(FQ250)-N(FP250)))</f>
        <v/>
      </c>
      <c r="FU250">
        <f>IF(OR(FP$3="",FP$3&gt;TODAY()),"",IF(AND(FS250="",FT250=""),"",N(FT250)-N(FS250)))</f>
        <v/>
      </c>
      <c r="FY250">
        <f>IF(OR(FW$3="",FW$3&gt;TODAY()),"",IF(AND(FW250="",FX250=""),"",N(FX250)-N(FW250)))</f>
        <v/>
      </c>
      <c r="GB250">
        <f>IF(OR(FW$3="",FW$3&gt;TODAY()),"",IF(AND(FZ250="",GA250=""),"",N(GA250)-N(FZ250)))</f>
        <v/>
      </c>
      <c r="GF250">
        <f>IF(OR(GD$3="",GD$3&gt;TODAY()),"",IF(AND(GD250="",GE250=""),"",N(GE250)-N(GD250)))</f>
        <v/>
      </c>
      <c r="GI250">
        <f>IF(OR(GD$3="",GD$3&gt;TODAY()),"",IF(AND(GG250="",GH250=""),"",N(GH250)-N(GG250)))</f>
        <v/>
      </c>
      <c r="GM250">
        <f>IF(OR(GK$3="",GK$3&gt;TODAY()),"",IF(AND(GK250="",GL250=""),"",N(GL250)-N(GK250)))</f>
        <v/>
      </c>
      <c r="GP250">
        <f>IF(OR(GK$3="",GK$3&gt;TODAY()),"",IF(AND(GN250="",GO250=""),"",N(GO250)-N(GN250)))</f>
        <v/>
      </c>
      <c r="GT250">
        <f>IF(OR(GR$3="",GR$3&gt;TODAY()),"",IF(AND(GR250="",GS250=""),"",N(GS250)-N(GR250)))</f>
        <v/>
      </c>
      <c r="GW250">
        <f>IF(OR(GR$3="",GR$3&gt;TODAY()),"",IF(AND(GU250="",GV250=""),"",N(GV250)-N(GU250)))</f>
        <v/>
      </c>
      <c r="HA250">
        <f>IF(OR(GY$3="",GY$3&gt;TODAY()),"",IF(AND(GY250="",GZ250=""),"",N(GZ250)-N(GY250)))</f>
        <v/>
      </c>
      <c r="HD250">
        <f>IF(OR(GY$3="",GY$3&gt;TODAY()),"",IF(AND(HB250="",HC250=""),"",N(HC250)-N(HB250)))</f>
        <v/>
      </c>
      <c r="HH250">
        <f>IF(OR(HF$3="",HF$3&gt;TODAY()),"",IF(AND(HF250="",HG250=""),"",N(HG250)-N(HF250)))</f>
        <v/>
      </c>
      <c r="HK250">
        <f>IF(OR(HF$3="",HF$3&gt;TODAY()),"",IF(AND(HI250="",HJ250=""),"",N(HJ250)-N(HI250)))</f>
        <v/>
      </c>
      <c r="HO250">
        <f>IF(OR(HM$3="",HM$3&gt;TODAY()),"",IF(AND(HM250="",HN250=""),"",N(HN250)-N(HM250)))</f>
        <v/>
      </c>
      <c r="HR250">
        <f>IF(OR(HM$3="",HM$3&gt;TODAY()),"",IF(AND(HP250="",HQ250=""),"",N(HQ250)-N(HP250)))</f>
        <v/>
      </c>
      <c r="HV250">
        <f>IF(OR(HT$3="",HT$3&gt;TODAY()),"",IF(AND(HT250="",HU250=""),"",N(HU250)-N(HT250)))</f>
        <v/>
      </c>
      <c r="HY250">
        <f>IF(OR(HT$3="",HT$3&gt;TODAY()),"",IF(AND(HW250="",HX250=""),"",N(HX250)-N(HW250)))</f>
        <v/>
      </c>
      <c r="IC250">
        <f>IF(OR(IA$3="",IA$3&gt;TODAY()),"",IF(AND(IA250="",IB250=""),"",N(IB250)-N(IA250)))</f>
        <v/>
      </c>
      <c r="IF250">
        <f>IF(OR(IA$3="",IA$3&gt;TODAY()),"",IF(AND(ID250="",IE250=""),"",N(IE250)-N(ID250)))</f>
        <v/>
      </c>
      <c r="IJ250">
        <f>IF(OR(IH$3="",IH$3&gt;TODAY()),"",IF(AND(IH250="",II250=""),"",N(II250)-N(IH250)))</f>
        <v/>
      </c>
      <c r="IM250">
        <f>IF(OR(IH$3="",IH$3&gt;TODAY()),"",IF(AND(IK250="",IL250=""),"",N(IL250)-N(IK250)))</f>
        <v/>
      </c>
    </row>
    <row r="251">
      <c r="A251" s="21" t="n"/>
      <c r="B251" s="21" t="n"/>
      <c r="C251" s="21" t="n"/>
      <c r="D251" s="21" t="n"/>
      <c r="E251" s="21" t="n"/>
      <c r="F251" s="21" t="n"/>
      <c r="G251" s="21" t="n"/>
      <c r="H251" s="21" t="n"/>
      <c r="I251" s="22" t="n"/>
      <c r="J251" s="22" t="n"/>
      <c r="K251" s="23" t="n"/>
      <c r="L251" s="22" t="n"/>
      <c r="M251" s="22" t="n"/>
      <c r="N251" s="21" t="n"/>
      <c r="O251" s="23" t="n"/>
      <c r="P251" s="23" t="n"/>
      <c r="Q251" s="23" t="n"/>
      <c r="R251" s="23" t="n"/>
      <c r="S251" s="22" t="n"/>
      <c r="T251" s="23" t="n"/>
      <c r="U251" s="23" t="n"/>
      <c r="V251" s="24">
        <f>IF(J251&lt;&gt;"",J251,IF(I251&lt;&gt;"",I251,""))</f>
        <v/>
      </c>
      <c r="W251" s="25">
        <f>IF($E251="","",N(O251)+SUMIFS($AF251:$IN251,$AF$4:$IN$4,"SEW_ACT"))</f>
        <v/>
      </c>
      <c r="X251" s="25">
        <f>IF($E251="","",N(P251)+SUMIFS($AF251:$IN251,$AF$4:$IN$4,"WASH_ACT"))</f>
        <v/>
      </c>
      <c r="Y251" s="25">
        <f>IF($E251="","",W251-X251-N(T251)-N(U251))</f>
        <v/>
      </c>
      <c r="Z251" s="25">
        <f>IF($E251="","",IF(N(K251)-X251&lt;=0.02*N(K251),0,N(K251)-X251))</f>
        <v/>
      </c>
      <c r="AA251" s="24">
        <f>IF($E251="","",IF(S251&lt;&gt;"",S251,IF(N(O251)&gt;0,IF(L251&lt;&gt;"",L251,99999),IFERROR(1/(1/_xlfn.MINIFS($AF$3:$IN$3,$AF$4:$IN$4,"SEW_ACT",$AF251:$IN251,"&gt;0")),99999))))</f>
        <v/>
      </c>
      <c r="AB251" s="26">
        <f>IF(OR($E251="",Z251=0,V251=""),"",1+COUNTIFS(Z$8:Z$707,"&gt;0",V$8:V$707,"&lt;"&amp;V251)+COUNTIFS(Z$8:Z$707,"&gt;0",V$8:V$707,V251,AA$8:AA$707,"&lt;"&amp;AA251)+COUNTIFS(Z$8:Z$707,"&gt;0",V$8:V$707,V251,AA$8:AA$707,AA251,E$8:E$707,"&lt;"&amp;$E251))</f>
        <v/>
      </c>
      <c r="AC251" s="24">
        <f>IF(OR($E251="",Z251=0),"",IFERROR(TODAY()+ROUNDUP(Z251/(SUMIFS($AF251:$IN251,$AF$4:$IN$4,"WASH_ACT")/COUNTIFS($AF$4:$IN$4,"WASH_ACT",$AF251:$IN251,"&gt;0")),0),"no output yet"))</f>
        <v/>
      </c>
      <c r="AD251" s="26">
        <f>IF($E251="","",IFERROR(ROUND(MAX(0,SUMIFS($AF251:$IN251,$AF$4:$IN$4,"SEW_PLAN",$AF$3:$IN$3,"&lt;="&amp;TODAY())-SUMIFS($AF251:$IN251,$AF$4:$IN$4,"SEW_ACT",$AF$3:$IN$3,"&lt;="&amp;TODAY())+N(Q251))/(SUMIFS($AF251:$IN251,$AF$4:$IN$4,"SEW_PLAN")/COUNTIFS($AF$4:$IN$4,"SEW_PLAN",$AF251:$IN251,"&gt;0")),1),0))</f>
        <v/>
      </c>
      <c r="AE251" s="26">
        <f>IF($E251="","",IF(AND(Z251&gt;0,OR(AND(M251&lt;&gt;"",TODAY()&gt;M251),AND(V251&lt;&gt;"",V251-TODAY()&lt;=7))),"Yes","No"))</f>
        <v/>
      </c>
      <c r="AH251">
        <f>IF(OR(AF$3="",AF$3&gt;TODAY()),"",IF(AND(AF251="",AG251=""),"",N(AG251)-N(AF251)))</f>
        <v/>
      </c>
      <c r="AK251">
        <f>IF(OR(AF$3="",AF$3&gt;TODAY()),"",IF(AND(AI251="",AJ251=""),"",N(AJ251)-N(AI251)))</f>
        <v/>
      </c>
      <c r="AO251">
        <f>IF(OR(AM$3="",AM$3&gt;TODAY()),"",IF(AND(AM251="",AN251=""),"",N(AN251)-N(AM251)))</f>
        <v/>
      </c>
      <c r="AR251">
        <f>IF(OR(AM$3="",AM$3&gt;TODAY()),"",IF(AND(AP251="",AQ251=""),"",N(AQ251)-N(AP251)))</f>
        <v/>
      </c>
      <c r="AV251">
        <f>IF(OR(AT$3="",AT$3&gt;TODAY()),"",IF(AND(AT251="",AU251=""),"",N(AU251)-N(AT251)))</f>
        <v/>
      </c>
      <c r="AY251">
        <f>IF(OR(AT$3="",AT$3&gt;TODAY()),"",IF(AND(AW251="",AX251=""),"",N(AX251)-N(AW251)))</f>
        <v/>
      </c>
      <c r="BC251">
        <f>IF(OR(BA$3="",BA$3&gt;TODAY()),"",IF(AND(BA251="",BB251=""),"",N(BB251)-N(BA251)))</f>
        <v/>
      </c>
      <c r="BF251">
        <f>IF(OR(BA$3="",BA$3&gt;TODAY()),"",IF(AND(BD251="",BE251=""),"",N(BE251)-N(BD251)))</f>
        <v/>
      </c>
      <c r="BJ251">
        <f>IF(OR(BH$3="",BH$3&gt;TODAY()),"",IF(AND(BH251="",BI251=""),"",N(BI251)-N(BH251)))</f>
        <v/>
      </c>
      <c r="BM251">
        <f>IF(OR(BH$3="",BH$3&gt;TODAY()),"",IF(AND(BK251="",BL251=""),"",N(BL251)-N(BK251)))</f>
        <v/>
      </c>
      <c r="BQ251">
        <f>IF(OR(BO$3="",BO$3&gt;TODAY()),"",IF(AND(BO251="",BP251=""),"",N(BP251)-N(BO251)))</f>
        <v/>
      </c>
      <c r="BT251">
        <f>IF(OR(BO$3="",BO$3&gt;TODAY()),"",IF(AND(BR251="",BS251=""),"",N(BS251)-N(BR251)))</f>
        <v/>
      </c>
      <c r="BX251">
        <f>IF(OR(BV$3="",BV$3&gt;TODAY()),"",IF(AND(BV251="",BW251=""),"",N(BW251)-N(BV251)))</f>
        <v/>
      </c>
      <c r="CA251">
        <f>IF(OR(BV$3="",BV$3&gt;TODAY()),"",IF(AND(BY251="",BZ251=""),"",N(BZ251)-N(BY251)))</f>
        <v/>
      </c>
      <c r="CE251">
        <f>IF(OR(CC$3="",CC$3&gt;TODAY()),"",IF(AND(CC251="",CD251=""),"",N(CD251)-N(CC251)))</f>
        <v/>
      </c>
      <c r="CH251">
        <f>IF(OR(CC$3="",CC$3&gt;TODAY()),"",IF(AND(CF251="",CG251=""),"",N(CG251)-N(CF251)))</f>
        <v/>
      </c>
      <c r="CL251">
        <f>IF(OR(CJ$3="",CJ$3&gt;TODAY()),"",IF(AND(CJ251="",CK251=""),"",N(CK251)-N(CJ251)))</f>
        <v/>
      </c>
      <c r="CO251">
        <f>IF(OR(CJ$3="",CJ$3&gt;TODAY()),"",IF(AND(CM251="",CN251=""),"",N(CN251)-N(CM251)))</f>
        <v/>
      </c>
      <c r="CS251">
        <f>IF(OR(CQ$3="",CQ$3&gt;TODAY()),"",IF(AND(CQ251="",CR251=""),"",N(CR251)-N(CQ251)))</f>
        <v/>
      </c>
      <c r="CV251">
        <f>IF(OR(CQ$3="",CQ$3&gt;TODAY()),"",IF(AND(CT251="",CU251=""),"",N(CU251)-N(CT251)))</f>
        <v/>
      </c>
      <c r="CZ251">
        <f>IF(OR(CX$3="",CX$3&gt;TODAY()),"",IF(AND(CX251="",CY251=""),"",N(CY251)-N(CX251)))</f>
        <v/>
      </c>
      <c r="DC251">
        <f>IF(OR(CX$3="",CX$3&gt;TODAY()),"",IF(AND(DA251="",DB251=""),"",N(DB251)-N(DA251)))</f>
        <v/>
      </c>
      <c r="DG251">
        <f>IF(OR(DE$3="",DE$3&gt;TODAY()),"",IF(AND(DE251="",DF251=""),"",N(DF251)-N(DE251)))</f>
        <v/>
      </c>
      <c r="DJ251">
        <f>IF(OR(DE$3="",DE$3&gt;TODAY()),"",IF(AND(DH251="",DI251=""),"",N(DI251)-N(DH251)))</f>
        <v/>
      </c>
      <c r="DN251">
        <f>IF(OR(DL$3="",DL$3&gt;TODAY()),"",IF(AND(DL251="",DM251=""),"",N(DM251)-N(DL251)))</f>
        <v/>
      </c>
      <c r="DQ251">
        <f>IF(OR(DL$3="",DL$3&gt;TODAY()),"",IF(AND(DO251="",DP251=""),"",N(DP251)-N(DO251)))</f>
        <v/>
      </c>
      <c r="DU251">
        <f>IF(OR(DS$3="",DS$3&gt;TODAY()),"",IF(AND(DS251="",DT251=""),"",N(DT251)-N(DS251)))</f>
        <v/>
      </c>
      <c r="DX251">
        <f>IF(OR(DS$3="",DS$3&gt;TODAY()),"",IF(AND(DV251="",DW251=""),"",N(DW251)-N(DV251)))</f>
        <v/>
      </c>
      <c r="EB251">
        <f>IF(OR(DZ$3="",DZ$3&gt;TODAY()),"",IF(AND(DZ251="",EA251=""),"",N(EA251)-N(DZ251)))</f>
        <v/>
      </c>
      <c r="EE251">
        <f>IF(OR(DZ$3="",DZ$3&gt;TODAY()),"",IF(AND(EC251="",ED251=""),"",N(ED251)-N(EC251)))</f>
        <v/>
      </c>
      <c r="EI251">
        <f>IF(OR(EG$3="",EG$3&gt;TODAY()),"",IF(AND(EG251="",EH251=""),"",N(EH251)-N(EG251)))</f>
        <v/>
      </c>
      <c r="EL251">
        <f>IF(OR(EG$3="",EG$3&gt;TODAY()),"",IF(AND(EJ251="",EK251=""),"",N(EK251)-N(EJ251)))</f>
        <v/>
      </c>
      <c r="EP251">
        <f>IF(OR(EN$3="",EN$3&gt;TODAY()),"",IF(AND(EN251="",EO251=""),"",N(EO251)-N(EN251)))</f>
        <v/>
      </c>
      <c r="ES251">
        <f>IF(OR(EN$3="",EN$3&gt;TODAY()),"",IF(AND(EQ251="",ER251=""),"",N(ER251)-N(EQ251)))</f>
        <v/>
      </c>
      <c r="EW251">
        <f>IF(OR(EU$3="",EU$3&gt;TODAY()),"",IF(AND(EU251="",EV251=""),"",N(EV251)-N(EU251)))</f>
        <v/>
      </c>
      <c r="EZ251">
        <f>IF(OR(EU$3="",EU$3&gt;TODAY()),"",IF(AND(EX251="",EY251=""),"",N(EY251)-N(EX251)))</f>
        <v/>
      </c>
      <c r="FD251">
        <f>IF(OR(FB$3="",FB$3&gt;TODAY()),"",IF(AND(FB251="",FC251=""),"",N(FC251)-N(FB251)))</f>
        <v/>
      </c>
      <c r="FG251">
        <f>IF(OR(FB$3="",FB$3&gt;TODAY()),"",IF(AND(FE251="",FF251=""),"",N(FF251)-N(FE251)))</f>
        <v/>
      </c>
      <c r="FK251">
        <f>IF(OR(FI$3="",FI$3&gt;TODAY()),"",IF(AND(FI251="",FJ251=""),"",N(FJ251)-N(FI251)))</f>
        <v/>
      </c>
      <c r="FN251">
        <f>IF(OR(FI$3="",FI$3&gt;TODAY()),"",IF(AND(FL251="",FM251=""),"",N(FM251)-N(FL251)))</f>
        <v/>
      </c>
      <c r="FR251">
        <f>IF(OR(FP$3="",FP$3&gt;TODAY()),"",IF(AND(FP251="",FQ251=""),"",N(FQ251)-N(FP251)))</f>
        <v/>
      </c>
      <c r="FU251">
        <f>IF(OR(FP$3="",FP$3&gt;TODAY()),"",IF(AND(FS251="",FT251=""),"",N(FT251)-N(FS251)))</f>
        <v/>
      </c>
      <c r="FY251">
        <f>IF(OR(FW$3="",FW$3&gt;TODAY()),"",IF(AND(FW251="",FX251=""),"",N(FX251)-N(FW251)))</f>
        <v/>
      </c>
      <c r="GB251">
        <f>IF(OR(FW$3="",FW$3&gt;TODAY()),"",IF(AND(FZ251="",GA251=""),"",N(GA251)-N(FZ251)))</f>
        <v/>
      </c>
      <c r="GF251">
        <f>IF(OR(GD$3="",GD$3&gt;TODAY()),"",IF(AND(GD251="",GE251=""),"",N(GE251)-N(GD251)))</f>
        <v/>
      </c>
      <c r="GI251">
        <f>IF(OR(GD$3="",GD$3&gt;TODAY()),"",IF(AND(GG251="",GH251=""),"",N(GH251)-N(GG251)))</f>
        <v/>
      </c>
      <c r="GM251">
        <f>IF(OR(GK$3="",GK$3&gt;TODAY()),"",IF(AND(GK251="",GL251=""),"",N(GL251)-N(GK251)))</f>
        <v/>
      </c>
      <c r="GP251">
        <f>IF(OR(GK$3="",GK$3&gt;TODAY()),"",IF(AND(GN251="",GO251=""),"",N(GO251)-N(GN251)))</f>
        <v/>
      </c>
      <c r="GT251">
        <f>IF(OR(GR$3="",GR$3&gt;TODAY()),"",IF(AND(GR251="",GS251=""),"",N(GS251)-N(GR251)))</f>
        <v/>
      </c>
      <c r="GW251">
        <f>IF(OR(GR$3="",GR$3&gt;TODAY()),"",IF(AND(GU251="",GV251=""),"",N(GV251)-N(GU251)))</f>
        <v/>
      </c>
      <c r="HA251">
        <f>IF(OR(GY$3="",GY$3&gt;TODAY()),"",IF(AND(GY251="",GZ251=""),"",N(GZ251)-N(GY251)))</f>
        <v/>
      </c>
      <c r="HD251">
        <f>IF(OR(GY$3="",GY$3&gt;TODAY()),"",IF(AND(HB251="",HC251=""),"",N(HC251)-N(HB251)))</f>
        <v/>
      </c>
      <c r="HH251">
        <f>IF(OR(HF$3="",HF$3&gt;TODAY()),"",IF(AND(HF251="",HG251=""),"",N(HG251)-N(HF251)))</f>
        <v/>
      </c>
      <c r="HK251">
        <f>IF(OR(HF$3="",HF$3&gt;TODAY()),"",IF(AND(HI251="",HJ251=""),"",N(HJ251)-N(HI251)))</f>
        <v/>
      </c>
      <c r="HO251">
        <f>IF(OR(HM$3="",HM$3&gt;TODAY()),"",IF(AND(HM251="",HN251=""),"",N(HN251)-N(HM251)))</f>
        <v/>
      </c>
      <c r="HR251">
        <f>IF(OR(HM$3="",HM$3&gt;TODAY()),"",IF(AND(HP251="",HQ251=""),"",N(HQ251)-N(HP251)))</f>
        <v/>
      </c>
      <c r="HV251">
        <f>IF(OR(HT$3="",HT$3&gt;TODAY()),"",IF(AND(HT251="",HU251=""),"",N(HU251)-N(HT251)))</f>
        <v/>
      </c>
      <c r="HY251">
        <f>IF(OR(HT$3="",HT$3&gt;TODAY()),"",IF(AND(HW251="",HX251=""),"",N(HX251)-N(HW251)))</f>
        <v/>
      </c>
      <c r="IC251">
        <f>IF(OR(IA$3="",IA$3&gt;TODAY()),"",IF(AND(IA251="",IB251=""),"",N(IB251)-N(IA251)))</f>
        <v/>
      </c>
      <c r="IF251">
        <f>IF(OR(IA$3="",IA$3&gt;TODAY()),"",IF(AND(ID251="",IE251=""),"",N(IE251)-N(ID251)))</f>
        <v/>
      </c>
      <c r="IJ251">
        <f>IF(OR(IH$3="",IH$3&gt;TODAY()),"",IF(AND(IH251="",II251=""),"",N(II251)-N(IH251)))</f>
        <v/>
      </c>
      <c r="IM251">
        <f>IF(OR(IH$3="",IH$3&gt;TODAY()),"",IF(AND(IK251="",IL251=""),"",N(IL251)-N(IK251)))</f>
        <v/>
      </c>
    </row>
    <row r="252">
      <c r="A252" s="21" t="n"/>
      <c r="B252" s="21" t="n"/>
      <c r="C252" s="21" t="n"/>
      <c r="D252" s="21" t="n"/>
      <c r="E252" s="21" t="n"/>
      <c r="F252" s="21" t="n"/>
      <c r="G252" s="21" t="n"/>
      <c r="H252" s="21" t="n"/>
      <c r="I252" s="22" t="n"/>
      <c r="J252" s="22" t="n"/>
      <c r="K252" s="23" t="n"/>
      <c r="L252" s="22" t="n"/>
      <c r="M252" s="22" t="n"/>
      <c r="N252" s="21" t="n"/>
      <c r="O252" s="23" t="n"/>
      <c r="P252" s="23" t="n"/>
      <c r="Q252" s="23" t="n"/>
      <c r="R252" s="23" t="n"/>
      <c r="S252" s="22" t="n"/>
      <c r="T252" s="23" t="n"/>
      <c r="U252" s="23" t="n"/>
      <c r="V252" s="24">
        <f>IF(J252&lt;&gt;"",J252,IF(I252&lt;&gt;"",I252,""))</f>
        <v/>
      </c>
      <c r="W252" s="25">
        <f>IF($E252="","",N(O252)+SUMIFS($AF252:$IN252,$AF$4:$IN$4,"SEW_ACT"))</f>
        <v/>
      </c>
      <c r="X252" s="25">
        <f>IF($E252="","",N(P252)+SUMIFS($AF252:$IN252,$AF$4:$IN$4,"WASH_ACT"))</f>
        <v/>
      </c>
      <c r="Y252" s="25">
        <f>IF($E252="","",W252-X252-N(T252)-N(U252))</f>
        <v/>
      </c>
      <c r="Z252" s="25">
        <f>IF($E252="","",IF(N(K252)-X252&lt;=0.02*N(K252),0,N(K252)-X252))</f>
        <v/>
      </c>
      <c r="AA252" s="24">
        <f>IF($E252="","",IF(S252&lt;&gt;"",S252,IF(N(O252)&gt;0,IF(L252&lt;&gt;"",L252,99999),IFERROR(1/(1/_xlfn.MINIFS($AF$3:$IN$3,$AF$4:$IN$4,"SEW_ACT",$AF252:$IN252,"&gt;0")),99999))))</f>
        <v/>
      </c>
      <c r="AB252" s="26">
        <f>IF(OR($E252="",Z252=0,V252=""),"",1+COUNTIFS(Z$8:Z$707,"&gt;0",V$8:V$707,"&lt;"&amp;V252)+COUNTIFS(Z$8:Z$707,"&gt;0",V$8:V$707,V252,AA$8:AA$707,"&lt;"&amp;AA252)+COUNTIFS(Z$8:Z$707,"&gt;0",V$8:V$707,V252,AA$8:AA$707,AA252,E$8:E$707,"&lt;"&amp;$E252))</f>
        <v/>
      </c>
      <c r="AC252" s="24">
        <f>IF(OR($E252="",Z252=0),"",IFERROR(TODAY()+ROUNDUP(Z252/(SUMIFS($AF252:$IN252,$AF$4:$IN$4,"WASH_ACT")/COUNTIFS($AF$4:$IN$4,"WASH_ACT",$AF252:$IN252,"&gt;0")),0),"no output yet"))</f>
        <v/>
      </c>
      <c r="AD252" s="26">
        <f>IF($E252="","",IFERROR(ROUND(MAX(0,SUMIFS($AF252:$IN252,$AF$4:$IN$4,"SEW_PLAN",$AF$3:$IN$3,"&lt;="&amp;TODAY())-SUMIFS($AF252:$IN252,$AF$4:$IN$4,"SEW_ACT",$AF$3:$IN$3,"&lt;="&amp;TODAY())+N(Q252))/(SUMIFS($AF252:$IN252,$AF$4:$IN$4,"SEW_PLAN")/COUNTIFS($AF$4:$IN$4,"SEW_PLAN",$AF252:$IN252,"&gt;0")),1),0))</f>
        <v/>
      </c>
      <c r="AE252" s="26">
        <f>IF($E252="","",IF(AND(Z252&gt;0,OR(AND(M252&lt;&gt;"",TODAY()&gt;M252),AND(V252&lt;&gt;"",V252-TODAY()&lt;=7))),"Yes","No"))</f>
        <v/>
      </c>
      <c r="AH252">
        <f>IF(OR(AF$3="",AF$3&gt;TODAY()),"",IF(AND(AF252="",AG252=""),"",N(AG252)-N(AF252)))</f>
        <v/>
      </c>
      <c r="AK252">
        <f>IF(OR(AF$3="",AF$3&gt;TODAY()),"",IF(AND(AI252="",AJ252=""),"",N(AJ252)-N(AI252)))</f>
        <v/>
      </c>
      <c r="AO252">
        <f>IF(OR(AM$3="",AM$3&gt;TODAY()),"",IF(AND(AM252="",AN252=""),"",N(AN252)-N(AM252)))</f>
        <v/>
      </c>
      <c r="AR252">
        <f>IF(OR(AM$3="",AM$3&gt;TODAY()),"",IF(AND(AP252="",AQ252=""),"",N(AQ252)-N(AP252)))</f>
        <v/>
      </c>
      <c r="AV252">
        <f>IF(OR(AT$3="",AT$3&gt;TODAY()),"",IF(AND(AT252="",AU252=""),"",N(AU252)-N(AT252)))</f>
        <v/>
      </c>
      <c r="AY252">
        <f>IF(OR(AT$3="",AT$3&gt;TODAY()),"",IF(AND(AW252="",AX252=""),"",N(AX252)-N(AW252)))</f>
        <v/>
      </c>
      <c r="BC252">
        <f>IF(OR(BA$3="",BA$3&gt;TODAY()),"",IF(AND(BA252="",BB252=""),"",N(BB252)-N(BA252)))</f>
        <v/>
      </c>
      <c r="BF252">
        <f>IF(OR(BA$3="",BA$3&gt;TODAY()),"",IF(AND(BD252="",BE252=""),"",N(BE252)-N(BD252)))</f>
        <v/>
      </c>
      <c r="BJ252">
        <f>IF(OR(BH$3="",BH$3&gt;TODAY()),"",IF(AND(BH252="",BI252=""),"",N(BI252)-N(BH252)))</f>
        <v/>
      </c>
      <c r="BM252">
        <f>IF(OR(BH$3="",BH$3&gt;TODAY()),"",IF(AND(BK252="",BL252=""),"",N(BL252)-N(BK252)))</f>
        <v/>
      </c>
      <c r="BQ252">
        <f>IF(OR(BO$3="",BO$3&gt;TODAY()),"",IF(AND(BO252="",BP252=""),"",N(BP252)-N(BO252)))</f>
        <v/>
      </c>
      <c r="BT252">
        <f>IF(OR(BO$3="",BO$3&gt;TODAY()),"",IF(AND(BR252="",BS252=""),"",N(BS252)-N(BR252)))</f>
        <v/>
      </c>
      <c r="BX252">
        <f>IF(OR(BV$3="",BV$3&gt;TODAY()),"",IF(AND(BV252="",BW252=""),"",N(BW252)-N(BV252)))</f>
        <v/>
      </c>
      <c r="CA252">
        <f>IF(OR(BV$3="",BV$3&gt;TODAY()),"",IF(AND(BY252="",BZ252=""),"",N(BZ252)-N(BY252)))</f>
        <v/>
      </c>
      <c r="CE252">
        <f>IF(OR(CC$3="",CC$3&gt;TODAY()),"",IF(AND(CC252="",CD252=""),"",N(CD252)-N(CC252)))</f>
        <v/>
      </c>
      <c r="CH252">
        <f>IF(OR(CC$3="",CC$3&gt;TODAY()),"",IF(AND(CF252="",CG252=""),"",N(CG252)-N(CF252)))</f>
        <v/>
      </c>
      <c r="CL252">
        <f>IF(OR(CJ$3="",CJ$3&gt;TODAY()),"",IF(AND(CJ252="",CK252=""),"",N(CK252)-N(CJ252)))</f>
        <v/>
      </c>
      <c r="CO252">
        <f>IF(OR(CJ$3="",CJ$3&gt;TODAY()),"",IF(AND(CM252="",CN252=""),"",N(CN252)-N(CM252)))</f>
        <v/>
      </c>
      <c r="CS252">
        <f>IF(OR(CQ$3="",CQ$3&gt;TODAY()),"",IF(AND(CQ252="",CR252=""),"",N(CR252)-N(CQ252)))</f>
        <v/>
      </c>
      <c r="CV252">
        <f>IF(OR(CQ$3="",CQ$3&gt;TODAY()),"",IF(AND(CT252="",CU252=""),"",N(CU252)-N(CT252)))</f>
        <v/>
      </c>
      <c r="CZ252">
        <f>IF(OR(CX$3="",CX$3&gt;TODAY()),"",IF(AND(CX252="",CY252=""),"",N(CY252)-N(CX252)))</f>
        <v/>
      </c>
      <c r="DC252">
        <f>IF(OR(CX$3="",CX$3&gt;TODAY()),"",IF(AND(DA252="",DB252=""),"",N(DB252)-N(DA252)))</f>
        <v/>
      </c>
      <c r="DG252">
        <f>IF(OR(DE$3="",DE$3&gt;TODAY()),"",IF(AND(DE252="",DF252=""),"",N(DF252)-N(DE252)))</f>
        <v/>
      </c>
      <c r="DJ252">
        <f>IF(OR(DE$3="",DE$3&gt;TODAY()),"",IF(AND(DH252="",DI252=""),"",N(DI252)-N(DH252)))</f>
        <v/>
      </c>
      <c r="DN252">
        <f>IF(OR(DL$3="",DL$3&gt;TODAY()),"",IF(AND(DL252="",DM252=""),"",N(DM252)-N(DL252)))</f>
        <v/>
      </c>
      <c r="DQ252">
        <f>IF(OR(DL$3="",DL$3&gt;TODAY()),"",IF(AND(DO252="",DP252=""),"",N(DP252)-N(DO252)))</f>
        <v/>
      </c>
      <c r="DU252">
        <f>IF(OR(DS$3="",DS$3&gt;TODAY()),"",IF(AND(DS252="",DT252=""),"",N(DT252)-N(DS252)))</f>
        <v/>
      </c>
      <c r="DX252">
        <f>IF(OR(DS$3="",DS$3&gt;TODAY()),"",IF(AND(DV252="",DW252=""),"",N(DW252)-N(DV252)))</f>
        <v/>
      </c>
      <c r="EB252">
        <f>IF(OR(DZ$3="",DZ$3&gt;TODAY()),"",IF(AND(DZ252="",EA252=""),"",N(EA252)-N(DZ252)))</f>
        <v/>
      </c>
      <c r="EE252">
        <f>IF(OR(DZ$3="",DZ$3&gt;TODAY()),"",IF(AND(EC252="",ED252=""),"",N(ED252)-N(EC252)))</f>
        <v/>
      </c>
      <c r="EI252">
        <f>IF(OR(EG$3="",EG$3&gt;TODAY()),"",IF(AND(EG252="",EH252=""),"",N(EH252)-N(EG252)))</f>
        <v/>
      </c>
      <c r="EL252">
        <f>IF(OR(EG$3="",EG$3&gt;TODAY()),"",IF(AND(EJ252="",EK252=""),"",N(EK252)-N(EJ252)))</f>
        <v/>
      </c>
      <c r="EP252">
        <f>IF(OR(EN$3="",EN$3&gt;TODAY()),"",IF(AND(EN252="",EO252=""),"",N(EO252)-N(EN252)))</f>
        <v/>
      </c>
      <c r="ES252">
        <f>IF(OR(EN$3="",EN$3&gt;TODAY()),"",IF(AND(EQ252="",ER252=""),"",N(ER252)-N(EQ252)))</f>
        <v/>
      </c>
      <c r="EW252">
        <f>IF(OR(EU$3="",EU$3&gt;TODAY()),"",IF(AND(EU252="",EV252=""),"",N(EV252)-N(EU252)))</f>
        <v/>
      </c>
      <c r="EZ252">
        <f>IF(OR(EU$3="",EU$3&gt;TODAY()),"",IF(AND(EX252="",EY252=""),"",N(EY252)-N(EX252)))</f>
        <v/>
      </c>
      <c r="FD252">
        <f>IF(OR(FB$3="",FB$3&gt;TODAY()),"",IF(AND(FB252="",FC252=""),"",N(FC252)-N(FB252)))</f>
        <v/>
      </c>
      <c r="FG252">
        <f>IF(OR(FB$3="",FB$3&gt;TODAY()),"",IF(AND(FE252="",FF252=""),"",N(FF252)-N(FE252)))</f>
        <v/>
      </c>
      <c r="FK252">
        <f>IF(OR(FI$3="",FI$3&gt;TODAY()),"",IF(AND(FI252="",FJ252=""),"",N(FJ252)-N(FI252)))</f>
        <v/>
      </c>
      <c r="FN252">
        <f>IF(OR(FI$3="",FI$3&gt;TODAY()),"",IF(AND(FL252="",FM252=""),"",N(FM252)-N(FL252)))</f>
        <v/>
      </c>
      <c r="FR252">
        <f>IF(OR(FP$3="",FP$3&gt;TODAY()),"",IF(AND(FP252="",FQ252=""),"",N(FQ252)-N(FP252)))</f>
        <v/>
      </c>
      <c r="FU252">
        <f>IF(OR(FP$3="",FP$3&gt;TODAY()),"",IF(AND(FS252="",FT252=""),"",N(FT252)-N(FS252)))</f>
        <v/>
      </c>
      <c r="FY252">
        <f>IF(OR(FW$3="",FW$3&gt;TODAY()),"",IF(AND(FW252="",FX252=""),"",N(FX252)-N(FW252)))</f>
        <v/>
      </c>
      <c r="GB252">
        <f>IF(OR(FW$3="",FW$3&gt;TODAY()),"",IF(AND(FZ252="",GA252=""),"",N(GA252)-N(FZ252)))</f>
        <v/>
      </c>
      <c r="GF252">
        <f>IF(OR(GD$3="",GD$3&gt;TODAY()),"",IF(AND(GD252="",GE252=""),"",N(GE252)-N(GD252)))</f>
        <v/>
      </c>
      <c r="GI252">
        <f>IF(OR(GD$3="",GD$3&gt;TODAY()),"",IF(AND(GG252="",GH252=""),"",N(GH252)-N(GG252)))</f>
        <v/>
      </c>
      <c r="GM252">
        <f>IF(OR(GK$3="",GK$3&gt;TODAY()),"",IF(AND(GK252="",GL252=""),"",N(GL252)-N(GK252)))</f>
        <v/>
      </c>
      <c r="GP252">
        <f>IF(OR(GK$3="",GK$3&gt;TODAY()),"",IF(AND(GN252="",GO252=""),"",N(GO252)-N(GN252)))</f>
        <v/>
      </c>
      <c r="GT252">
        <f>IF(OR(GR$3="",GR$3&gt;TODAY()),"",IF(AND(GR252="",GS252=""),"",N(GS252)-N(GR252)))</f>
        <v/>
      </c>
      <c r="GW252">
        <f>IF(OR(GR$3="",GR$3&gt;TODAY()),"",IF(AND(GU252="",GV252=""),"",N(GV252)-N(GU252)))</f>
        <v/>
      </c>
      <c r="HA252">
        <f>IF(OR(GY$3="",GY$3&gt;TODAY()),"",IF(AND(GY252="",GZ252=""),"",N(GZ252)-N(GY252)))</f>
        <v/>
      </c>
      <c r="HD252">
        <f>IF(OR(GY$3="",GY$3&gt;TODAY()),"",IF(AND(HB252="",HC252=""),"",N(HC252)-N(HB252)))</f>
        <v/>
      </c>
      <c r="HH252">
        <f>IF(OR(HF$3="",HF$3&gt;TODAY()),"",IF(AND(HF252="",HG252=""),"",N(HG252)-N(HF252)))</f>
        <v/>
      </c>
      <c r="HK252">
        <f>IF(OR(HF$3="",HF$3&gt;TODAY()),"",IF(AND(HI252="",HJ252=""),"",N(HJ252)-N(HI252)))</f>
        <v/>
      </c>
      <c r="HO252">
        <f>IF(OR(HM$3="",HM$3&gt;TODAY()),"",IF(AND(HM252="",HN252=""),"",N(HN252)-N(HM252)))</f>
        <v/>
      </c>
      <c r="HR252">
        <f>IF(OR(HM$3="",HM$3&gt;TODAY()),"",IF(AND(HP252="",HQ252=""),"",N(HQ252)-N(HP252)))</f>
        <v/>
      </c>
      <c r="HV252">
        <f>IF(OR(HT$3="",HT$3&gt;TODAY()),"",IF(AND(HT252="",HU252=""),"",N(HU252)-N(HT252)))</f>
        <v/>
      </c>
      <c r="HY252">
        <f>IF(OR(HT$3="",HT$3&gt;TODAY()),"",IF(AND(HW252="",HX252=""),"",N(HX252)-N(HW252)))</f>
        <v/>
      </c>
      <c r="IC252">
        <f>IF(OR(IA$3="",IA$3&gt;TODAY()),"",IF(AND(IA252="",IB252=""),"",N(IB252)-N(IA252)))</f>
        <v/>
      </c>
      <c r="IF252">
        <f>IF(OR(IA$3="",IA$3&gt;TODAY()),"",IF(AND(ID252="",IE252=""),"",N(IE252)-N(ID252)))</f>
        <v/>
      </c>
      <c r="IJ252">
        <f>IF(OR(IH$3="",IH$3&gt;TODAY()),"",IF(AND(IH252="",II252=""),"",N(II252)-N(IH252)))</f>
        <v/>
      </c>
      <c r="IM252">
        <f>IF(OR(IH$3="",IH$3&gt;TODAY()),"",IF(AND(IK252="",IL252=""),"",N(IL252)-N(IK252)))</f>
        <v/>
      </c>
    </row>
    <row r="253">
      <c r="A253" s="21" t="n"/>
      <c r="B253" s="21" t="n"/>
      <c r="C253" s="21" t="n"/>
      <c r="D253" s="21" t="n"/>
      <c r="E253" s="21" t="n"/>
      <c r="F253" s="21" t="n"/>
      <c r="G253" s="21" t="n"/>
      <c r="H253" s="21" t="n"/>
      <c r="I253" s="22" t="n"/>
      <c r="J253" s="22" t="n"/>
      <c r="K253" s="23" t="n"/>
      <c r="L253" s="22" t="n"/>
      <c r="M253" s="22" t="n"/>
      <c r="N253" s="21" t="n"/>
      <c r="O253" s="23" t="n"/>
      <c r="P253" s="23" t="n"/>
      <c r="Q253" s="23" t="n"/>
      <c r="R253" s="23" t="n"/>
      <c r="S253" s="22" t="n"/>
      <c r="T253" s="23" t="n"/>
      <c r="U253" s="23" t="n"/>
      <c r="V253" s="24">
        <f>IF(J253&lt;&gt;"",J253,IF(I253&lt;&gt;"",I253,""))</f>
        <v/>
      </c>
      <c r="W253" s="25">
        <f>IF($E253="","",N(O253)+SUMIFS($AF253:$IN253,$AF$4:$IN$4,"SEW_ACT"))</f>
        <v/>
      </c>
      <c r="X253" s="25">
        <f>IF($E253="","",N(P253)+SUMIFS($AF253:$IN253,$AF$4:$IN$4,"WASH_ACT"))</f>
        <v/>
      </c>
      <c r="Y253" s="25">
        <f>IF($E253="","",W253-X253-N(T253)-N(U253))</f>
        <v/>
      </c>
      <c r="Z253" s="25">
        <f>IF($E253="","",IF(N(K253)-X253&lt;=0.02*N(K253),0,N(K253)-X253))</f>
        <v/>
      </c>
      <c r="AA253" s="24">
        <f>IF($E253="","",IF(S253&lt;&gt;"",S253,IF(N(O253)&gt;0,IF(L253&lt;&gt;"",L253,99999),IFERROR(1/(1/_xlfn.MINIFS($AF$3:$IN$3,$AF$4:$IN$4,"SEW_ACT",$AF253:$IN253,"&gt;0")),99999))))</f>
        <v/>
      </c>
      <c r="AB253" s="26">
        <f>IF(OR($E253="",Z253=0,V253=""),"",1+COUNTIFS(Z$8:Z$707,"&gt;0",V$8:V$707,"&lt;"&amp;V253)+COUNTIFS(Z$8:Z$707,"&gt;0",V$8:V$707,V253,AA$8:AA$707,"&lt;"&amp;AA253)+COUNTIFS(Z$8:Z$707,"&gt;0",V$8:V$707,V253,AA$8:AA$707,AA253,E$8:E$707,"&lt;"&amp;$E253))</f>
        <v/>
      </c>
      <c r="AC253" s="24">
        <f>IF(OR($E253="",Z253=0),"",IFERROR(TODAY()+ROUNDUP(Z253/(SUMIFS($AF253:$IN253,$AF$4:$IN$4,"WASH_ACT")/COUNTIFS($AF$4:$IN$4,"WASH_ACT",$AF253:$IN253,"&gt;0")),0),"no output yet"))</f>
        <v/>
      </c>
      <c r="AD253" s="26">
        <f>IF($E253="","",IFERROR(ROUND(MAX(0,SUMIFS($AF253:$IN253,$AF$4:$IN$4,"SEW_PLAN",$AF$3:$IN$3,"&lt;="&amp;TODAY())-SUMIFS($AF253:$IN253,$AF$4:$IN$4,"SEW_ACT",$AF$3:$IN$3,"&lt;="&amp;TODAY())+N(Q253))/(SUMIFS($AF253:$IN253,$AF$4:$IN$4,"SEW_PLAN")/COUNTIFS($AF$4:$IN$4,"SEW_PLAN",$AF253:$IN253,"&gt;0")),1),0))</f>
        <v/>
      </c>
      <c r="AE253" s="26">
        <f>IF($E253="","",IF(AND(Z253&gt;0,OR(AND(M253&lt;&gt;"",TODAY()&gt;M253),AND(V253&lt;&gt;"",V253-TODAY()&lt;=7))),"Yes","No"))</f>
        <v/>
      </c>
      <c r="AH253">
        <f>IF(OR(AF$3="",AF$3&gt;TODAY()),"",IF(AND(AF253="",AG253=""),"",N(AG253)-N(AF253)))</f>
        <v/>
      </c>
      <c r="AK253">
        <f>IF(OR(AF$3="",AF$3&gt;TODAY()),"",IF(AND(AI253="",AJ253=""),"",N(AJ253)-N(AI253)))</f>
        <v/>
      </c>
      <c r="AO253">
        <f>IF(OR(AM$3="",AM$3&gt;TODAY()),"",IF(AND(AM253="",AN253=""),"",N(AN253)-N(AM253)))</f>
        <v/>
      </c>
      <c r="AR253">
        <f>IF(OR(AM$3="",AM$3&gt;TODAY()),"",IF(AND(AP253="",AQ253=""),"",N(AQ253)-N(AP253)))</f>
        <v/>
      </c>
      <c r="AV253">
        <f>IF(OR(AT$3="",AT$3&gt;TODAY()),"",IF(AND(AT253="",AU253=""),"",N(AU253)-N(AT253)))</f>
        <v/>
      </c>
      <c r="AY253">
        <f>IF(OR(AT$3="",AT$3&gt;TODAY()),"",IF(AND(AW253="",AX253=""),"",N(AX253)-N(AW253)))</f>
        <v/>
      </c>
      <c r="BC253">
        <f>IF(OR(BA$3="",BA$3&gt;TODAY()),"",IF(AND(BA253="",BB253=""),"",N(BB253)-N(BA253)))</f>
        <v/>
      </c>
      <c r="BF253">
        <f>IF(OR(BA$3="",BA$3&gt;TODAY()),"",IF(AND(BD253="",BE253=""),"",N(BE253)-N(BD253)))</f>
        <v/>
      </c>
      <c r="BJ253">
        <f>IF(OR(BH$3="",BH$3&gt;TODAY()),"",IF(AND(BH253="",BI253=""),"",N(BI253)-N(BH253)))</f>
        <v/>
      </c>
      <c r="BM253">
        <f>IF(OR(BH$3="",BH$3&gt;TODAY()),"",IF(AND(BK253="",BL253=""),"",N(BL253)-N(BK253)))</f>
        <v/>
      </c>
      <c r="BQ253">
        <f>IF(OR(BO$3="",BO$3&gt;TODAY()),"",IF(AND(BO253="",BP253=""),"",N(BP253)-N(BO253)))</f>
        <v/>
      </c>
      <c r="BT253">
        <f>IF(OR(BO$3="",BO$3&gt;TODAY()),"",IF(AND(BR253="",BS253=""),"",N(BS253)-N(BR253)))</f>
        <v/>
      </c>
      <c r="BX253">
        <f>IF(OR(BV$3="",BV$3&gt;TODAY()),"",IF(AND(BV253="",BW253=""),"",N(BW253)-N(BV253)))</f>
        <v/>
      </c>
      <c r="CA253">
        <f>IF(OR(BV$3="",BV$3&gt;TODAY()),"",IF(AND(BY253="",BZ253=""),"",N(BZ253)-N(BY253)))</f>
        <v/>
      </c>
      <c r="CE253">
        <f>IF(OR(CC$3="",CC$3&gt;TODAY()),"",IF(AND(CC253="",CD253=""),"",N(CD253)-N(CC253)))</f>
        <v/>
      </c>
      <c r="CH253">
        <f>IF(OR(CC$3="",CC$3&gt;TODAY()),"",IF(AND(CF253="",CG253=""),"",N(CG253)-N(CF253)))</f>
        <v/>
      </c>
      <c r="CL253">
        <f>IF(OR(CJ$3="",CJ$3&gt;TODAY()),"",IF(AND(CJ253="",CK253=""),"",N(CK253)-N(CJ253)))</f>
        <v/>
      </c>
      <c r="CO253">
        <f>IF(OR(CJ$3="",CJ$3&gt;TODAY()),"",IF(AND(CM253="",CN253=""),"",N(CN253)-N(CM253)))</f>
        <v/>
      </c>
      <c r="CS253">
        <f>IF(OR(CQ$3="",CQ$3&gt;TODAY()),"",IF(AND(CQ253="",CR253=""),"",N(CR253)-N(CQ253)))</f>
        <v/>
      </c>
      <c r="CV253">
        <f>IF(OR(CQ$3="",CQ$3&gt;TODAY()),"",IF(AND(CT253="",CU253=""),"",N(CU253)-N(CT253)))</f>
        <v/>
      </c>
      <c r="CZ253">
        <f>IF(OR(CX$3="",CX$3&gt;TODAY()),"",IF(AND(CX253="",CY253=""),"",N(CY253)-N(CX253)))</f>
        <v/>
      </c>
      <c r="DC253">
        <f>IF(OR(CX$3="",CX$3&gt;TODAY()),"",IF(AND(DA253="",DB253=""),"",N(DB253)-N(DA253)))</f>
        <v/>
      </c>
      <c r="DG253">
        <f>IF(OR(DE$3="",DE$3&gt;TODAY()),"",IF(AND(DE253="",DF253=""),"",N(DF253)-N(DE253)))</f>
        <v/>
      </c>
      <c r="DJ253">
        <f>IF(OR(DE$3="",DE$3&gt;TODAY()),"",IF(AND(DH253="",DI253=""),"",N(DI253)-N(DH253)))</f>
        <v/>
      </c>
      <c r="DN253">
        <f>IF(OR(DL$3="",DL$3&gt;TODAY()),"",IF(AND(DL253="",DM253=""),"",N(DM253)-N(DL253)))</f>
        <v/>
      </c>
      <c r="DQ253">
        <f>IF(OR(DL$3="",DL$3&gt;TODAY()),"",IF(AND(DO253="",DP253=""),"",N(DP253)-N(DO253)))</f>
        <v/>
      </c>
      <c r="DU253">
        <f>IF(OR(DS$3="",DS$3&gt;TODAY()),"",IF(AND(DS253="",DT253=""),"",N(DT253)-N(DS253)))</f>
        <v/>
      </c>
      <c r="DX253">
        <f>IF(OR(DS$3="",DS$3&gt;TODAY()),"",IF(AND(DV253="",DW253=""),"",N(DW253)-N(DV253)))</f>
        <v/>
      </c>
      <c r="EB253">
        <f>IF(OR(DZ$3="",DZ$3&gt;TODAY()),"",IF(AND(DZ253="",EA253=""),"",N(EA253)-N(DZ253)))</f>
        <v/>
      </c>
      <c r="EE253">
        <f>IF(OR(DZ$3="",DZ$3&gt;TODAY()),"",IF(AND(EC253="",ED253=""),"",N(ED253)-N(EC253)))</f>
        <v/>
      </c>
      <c r="EI253">
        <f>IF(OR(EG$3="",EG$3&gt;TODAY()),"",IF(AND(EG253="",EH253=""),"",N(EH253)-N(EG253)))</f>
        <v/>
      </c>
      <c r="EL253">
        <f>IF(OR(EG$3="",EG$3&gt;TODAY()),"",IF(AND(EJ253="",EK253=""),"",N(EK253)-N(EJ253)))</f>
        <v/>
      </c>
      <c r="EP253">
        <f>IF(OR(EN$3="",EN$3&gt;TODAY()),"",IF(AND(EN253="",EO253=""),"",N(EO253)-N(EN253)))</f>
        <v/>
      </c>
      <c r="ES253">
        <f>IF(OR(EN$3="",EN$3&gt;TODAY()),"",IF(AND(EQ253="",ER253=""),"",N(ER253)-N(EQ253)))</f>
        <v/>
      </c>
      <c r="EW253">
        <f>IF(OR(EU$3="",EU$3&gt;TODAY()),"",IF(AND(EU253="",EV253=""),"",N(EV253)-N(EU253)))</f>
        <v/>
      </c>
      <c r="EZ253">
        <f>IF(OR(EU$3="",EU$3&gt;TODAY()),"",IF(AND(EX253="",EY253=""),"",N(EY253)-N(EX253)))</f>
        <v/>
      </c>
      <c r="FD253">
        <f>IF(OR(FB$3="",FB$3&gt;TODAY()),"",IF(AND(FB253="",FC253=""),"",N(FC253)-N(FB253)))</f>
        <v/>
      </c>
      <c r="FG253">
        <f>IF(OR(FB$3="",FB$3&gt;TODAY()),"",IF(AND(FE253="",FF253=""),"",N(FF253)-N(FE253)))</f>
        <v/>
      </c>
      <c r="FK253">
        <f>IF(OR(FI$3="",FI$3&gt;TODAY()),"",IF(AND(FI253="",FJ253=""),"",N(FJ253)-N(FI253)))</f>
        <v/>
      </c>
      <c r="FN253">
        <f>IF(OR(FI$3="",FI$3&gt;TODAY()),"",IF(AND(FL253="",FM253=""),"",N(FM253)-N(FL253)))</f>
        <v/>
      </c>
      <c r="FR253">
        <f>IF(OR(FP$3="",FP$3&gt;TODAY()),"",IF(AND(FP253="",FQ253=""),"",N(FQ253)-N(FP253)))</f>
        <v/>
      </c>
      <c r="FU253">
        <f>IF(OR(FP$3="",FP$3&gt;TODAY()),"",IF(AND(FS253="",FT253=""),"",N(FT253)-N(FS253)))</f>
        <v/>
      </c>
      <c r="FY253">
        <f>IF(OR(FW$3="",FW$3&gt;TODAY()),"",IF(AND(FW253="",FX253=""),"",N(FX253)-N(FW253)))</f>
        <v/>
      </c>
      <c r="GB253">
        <f>IF(OR(FW$3="",FW$3&gt;TODAY()),"",IF(AND(FZ253="",GA253=""),"",N(GA253)-N(FZ253)))</f>
        <v/>
      </c>
      <c r="GF253">
        <f>IF(OR(GD$3="",GD$3&gt;TODAY()),"",IF(AND(GD253="",GE253=""),"",N(GE253)-N(GD253)))</f>
        <v/>
      </c>
      <c r="GI253">
        <f>IF(OR(GD$3="",GD$3&gt;TODAY()),"",IF(AND(GG253="",GH253=""),"",N(GH253)-N(GG253)))</f>
        <v/>
      </c>
      <c r="GM253">
        <f>IF(OR(GK$3="",GK$3&gt;TODAY()),"",IF(AND(GK253="",GL253=""),"",N(GL253)-N(GK253)))</f>
        <v/>
      </c>
      <c r="GP253">
        <f>IF(OR(GK$3="",GK$3&gt;TODAY()),"",IF(AND(GN253="",GO253=""),"",N(GO253)-N(GN253)))</f>
        <v/>
      </c>
      <c r="GT253">
        <f>IF(OR(GR$3="",GR$3&gt;TODAY()),"",IF(AND(GR253="",GS253=""),"",N(GS253)-N(GR253)))</f>
        <v/>
      </c>
      <c r="GW253">
        <f>IF(OR(GR$3="",GR$3&gt;TODAY()),"",IF(AND(GU253="",GV253=""),"",N(GV253)-N(GU253)))</f>
        <v/>
      </c>
      <c r="HA253">
        <f>IF(OR(GY$3="",GY$3&gt;TODAY()),"",IF(AND(GY253="",GZ253=""),"",N(GZ253)-N(GY253)))</f>
        <v/>
      </c>
      <c r="HD253">
        <f>IF(OR(GY$3="",GY$3&gt;TODAY()),"",IF(AND(HB253="",HC253=""),"",N(HC253)-N(HB253)))</f>
        <v/>
      </c>
      <c r="HH253">
        <f>IF(OR(HF$3="",HF$3&gt;TODAY()),"",IF(AND(HF253="",HG253=""),"",N(HG253)-N(HF253)))</f>
        <v/>
      </c>
      <c r="HK253">
        <f>IF(OR(HF$3="",HF$3&gt;TODAY()),"",IF(AND(HI253="",HJ253=""),"",N(HJ253)-N(HI253)))</f>
        <v/>
      </c>
      <c r="HO253">
        <f>IF(OR(HM$3="",HM$3&gt;TODAY()),"",IF(AND(HM253="",HN253=""),"",N(HN253)-N(HM253)))</f>
        <v/>
      </c>
      <c r="HR253">
        <f>IF(OR(HM$3="",HM$3&gt;TODAY()),"",IF(AND(HP253="",HQ253=""),"",N(HQ253)-N(HP253)))</f>
        <v/>
      </c>
      <c r="HV253">
        <f>IF(OR(HT$3="",HT$3&gt;TODAY()),"",IF(AND(HT253="",HU253=""),"",N(HU253)-N(HT253)))</f>
        <v/>
      </c>
      <c r="HY253">
        <f>IF(OR(HT$3="",HT$3&gt;TODAY()),"",IF(AND(HW253="",HX253=""),"",N(HX253)-N(HW253)))</f>
        <v/>
      </c>
      <c r="IC253">
        <f>IF(OR(IA$3="",IA$3&gt;TODAY()),"",IF(AND(IA253="",IB253=""),"",N(IB253)-N(IA253)))</f>
        <v/>
      </c>
      <c r="IF253">
        <f>IF(OR(IA$3="",IA$3&gt;TODAY()),"",IF(AND(ID253="",IE253=""),"",N(IE253)-N(ID253)))</f>
        <v/>
      </c>
      <c r="IJ253">
        <f>IF(OR(IH$3="",IH$3&gt;TODAY()),"",IF(AND(IH253="",II253=""),"",N(II253)-N(IH253)))</f>
        <v/>
      </c>
      <c r="IM253">
        <f>IF(OR(IH$3="",IH$3&gt;TODAY()),"",IF(AND(IK253="",IL253=""),"",N(IL253)-N(IK253)))</f>
        <v/>
      </c>
    </row>
    <row r="254">
      <c r="A254" s="21" t="n"/>
      <c r="B254" s="21" t="n"/>
      <c r="C254" s="21" t="n"/>
      <c r="D254" s="21" t="n"/>
      <c r="E254" s="21" t="n"/>
      <c r="F254" s="21" t="n"/>
      <c r="G254" s="21" t="n"/>
      <c r="H254" s="21" t="n"/>
      <c r="I254" s="22" t="n"/>
      <c r="J254" s="22" t="n"/>
      <c r="K254" s="23" t="n"/>
      <c r="L254" s="22" t="n"/>
      <c r="M254" s="22" t="n"/>
      <c r="N254" s="21" t="n"/>
      <c r="O254" s="23" t="n"/>
      <c r="P254" s="23" t="n"/>
      <c r="Q254" s="23" t="n"/>
      <c r="R254" s="23" t="n"/>
      <c r="S254" s="22" t="n"/>
      <c r="T254" s="23" t="n"/>
      <c r="U254" s="23" t="n"/>
      <c r="V254" s="24">
        <f>IF(J254&lt;&gt;"",J254,IF(I254&lt;&gt;"",I254,""))</f>
        <v/>
      </c>
      <c r="W254" s="25">
        <f>IF($E254="","",N(O254)+SUMIFS($AF254:$IN254,$AF$4:$IN$4,"SEW_ACT"))</f>
        <v/>
      </c>
      <c r="X254" s="25">
        <f>IF($E254="","",N(P254)+SUMIFS($AF254:$IN254,$AF$4:$IN$4,"WASH_ACT"))</f>
        <v/>
      </c>
      <c r="Y254" s="25">
        <f>IF($E254="","",W254-X254-N(T254)-N(U254))</f>
        <v/>
      </c>
      <c r="Z254" s="25">
        <f>IF($E254="","",IF(N(K254)-X254&lt;=0.02*N(K254),0,N(K254)-X254))</f>
        <v/>
      </c>
      <c r="AA254" s="24">
        <f>IF($E254="","",IF(S254&lt;&gt;"",S254,IF(N(O254)&gt;0,IF(L254&lt;&gt;"",L254,99999),IFERROR(1/(1/_xlfn.MINIFS($AF$3:$IN$3,$AF$4:$IN$4,"SEW_ACT",$AF254:$IN254,"&gt;0")),99999))))</f>
        <v/>
      </c>
      <c r="AB254" s="26">
        <f>IF(OR($E254="",Z254=0,V254=""),"",1+COUNTIFS(Z$8:Z$707,"&gt;0",V$8:V$707,"&lt;"&amp;V254)+COUNTIFS(Z$8:Z$707,"&gt;0",V$8:V$707,V254,AA$8:AA$707,"&lt;"&amp;AA254)+COUNTIFS(Z$8:Z$707,"&gt;0",V$8:V$707,V254,AA$8:AA$707,AA254,E$8:E$707,"&lt;"&amp;$E254))</f>
        <v/>
      </c>
      <c r="AC254" s="24">
        <f>IF(OR($E254="",Z254=0),"",IFERROR(TODAY()+ROUNDUP(Z254/(SUMIFS($AF254:$IN254,$AF$4:$IN$4,"WASH_ACT")/COUNTIFS($AF$4:$IN$4,"WASH_ACT",$AF254:$IN254,"&gt;0")),0),"no output yet"))</f>
        <v/>
      </c>
      <c r="AD254" s="26">
        <f>IF($E254="","",IFERROR(ROUND(MAX(0,SUMIFS($AF254:$IN254,$AF$4:$IN$4,"SEW_PLAN",$AF$3:$IN$3,"&lt;="&amp;TODAY())-SUMIFS($AF254:$IN254,$AF$4:$IN$4,"SEW_ACT",$AF$3:$IN$3,"&lt;="&amp;TODAY())+N(Q254))/(SUMIFS($AF254:$IN254,$AF$4:$IN$4,"SEW_PLAN")/COUNTIFS($AF$4:$IN$4,"SEW_PLAN",$AF254:$IN254,"&gt;0")),1),0))</f>
        <v/>
      </c>
      <c r="AE254" s="26">
        <f>IF($E254="","",IF(AND(Z254&gt;0,OR(AND(M254&lt;&gt;"",TODAY()&gt;M254),AND(V254&lt;&gt;"",V254-TODAY()&lt;=7))),"Yes","No"))</f>
        <v/>
      </c>
      <c r="AH254">
        <f>IF(OR(AF$3="",AF$3&gt;TODAY()),"",IF(AND(AF254="",AG254=""),"",N(AG254)-N(AF254)))</f>
        <v/>
      </c>
      <c r="AK254">
        <f>IF(OR(AF$3="",AF$3&gt;TODAY()),"",IF(AND(AI254="",AJ254=""),"",N(AJ254)-N(AI254)))</f>
        <v/>
      </c>
      <c r="AO254">
        <f>IF(OR(AM$3="",AM$3&gt;TODAY()),"",IF(AND(AM254="",AN254=""),"",N(AN254)-N(AM254)))</f>
        <v/>
      </c>
      <c r="AR254">
        <f>IF(OR(AM$3="",AM$3&gt;TODAY()),"",IF(AND(AP254="",AQ254=""),"",N(AQ254)-N(AP254)))</f>
        <v/>
      </c>
      <c r="AV254">
        <f>IF(OR(AT$3="",AT$3&gt;TODAY()),"",IF(AND(AT254="",AU254=""),"",N(AU254)-N(AT254)))</f>
        <v/>
      </c>
      <c r="AY254">
        <f>IF(OR(AT$3="",AT$3&gt;TODAY()),"",IF(AND(AW254="",AX254=""),"",N(AX254)-N(AW254)))</f>
        <v/>
      </c>
      <c r="BC254">
        <f>IF(OR(BA$3="",BA$3&gt;TODAY()),"",IF(AND(BA254="",BB254=""),"",N(BB254)-N(BA254)))</f>
        <v/>
      </c>
      <c r="BF254">
        <f>IF(OR(BA$3="",BA$3&gt;TODAY()),"",IF(AND(BD254="",BE254=""),"",N(BE254)-N(BD254)))</f>
        <v/>
      </c>
      <c r="BJ254">
        <f>IF(OR(BH$3="",BH$3&gt;TODAY()),"",IF(AND(BH254="",BI254=""),"",N(BI254)-N(BH254)))</f>
        <v/>
      </c>
      <c r="BM254">
        <f>IF(OR(BH$3="",BH$3&gt;TODAY()),"",IF(AND(BK254="",BL254=""),"",N(BL254)-N(BK254)))</f>
        <v/>
      </c>
      <c r="BQ254">
        <f>IF(OR(BO$3="",BO$3&gt;TODAY()),"",IF(AND(BO254="",BP254=""),"",N(BP254)-N(BO254)))</f>
        <v/>
      </c>
      <c r="BT254">
        <f>IF(OR(BO$3="",BO$3&gt;TODAY()),"",IF(AND(BR254="",BS254=""),"",N(BS254)-N(BR254)))</f>
        <v/>
      </c>
      <c r="BX254">
        <f>IF(OR(BV$3="",BV$3&gt;TODAY()),"",IF(AND(BV254="",BW254=""),"",N(BW254)-N(BV254)))</f>
        <v/>
      </c>
      <c r="CA254">
        <f>IF(OR(BV$3="",BV$3&gt;TODAY()),"",IF(AND(BY254="",BZ254=""),"",N(BZ254)-N(BY254)))</f>
        <v/>
      </c>
      <c r="CE254">
        <f>IF(OR(CC$3="",CC$3&gt;TODAY()),"",IF(AND(CC254="",CD254=""),"",N(CD254)-N(CC254)))</f>
        <v/>
      </c>
      <c r="CH254">
        <f>IF(OR(CC$3="",CC$3&gt;TODAY()),"",IF(AND(CF254="",CG254=""),"",N(CG254)-N(CF254)))</f>
        <v/>
      </c>
      <c r="CL254">
        <f>IF(OR(CJ$3="",CJ$3&gt;TODAY()),"",IF(AND(CJ254="",CK254=""),"",N(CK254)-N(CJ254)))</f>
        <v/>
      </c>
      <c r="CO254">
        <f>IF(OR(CJ$3="",CJ$3&gt;TODAY()),"",IF(AND(CM254="",CN254=""),"",N(CN254)-N(CM254)))</f>
        <v/>
      </c>
      <c r="CS254">
        <f>IF(OR(CQ$3="",CQ$3&gt;TODAY()),"",IF(AND(CQ254="",CR254=""),"",N(CR254)-N(CQ254)))</f>
        <v/>
      </c>
      <c r="CV254">
        <f>IF(OR(CQ$3="",CQ$3&gt;TODAY()),"",IF(AND(CT254="",CU254=""),"",N(CU254)-N(CT254)))</f>
        <v/>
      </c>
      <c r="CZ254">
        <f>IF(OR(CX$3="",CX$3&gt;TODAY()),"",IF(AND(CX254="",CY254=""),"",N(CY254)-N(CX254)))</f>
        <v/>
      </c>
      <c r="DC254">
        <f>IF(OR(CX$3="",CX$3&gt;TODAY()),"",IF(AND(DA254="",DB254=""),"",N(DB254)-N(DA254)))</f>
        <v/>
      </c>
      <c r="DG254">
        <f>IF(OR(DE$3="",DE$3&gt;TODAY()),"",IF(AND(DE254="",DF254=""),"",N(DF254)-N(DE254)))</f>
        <v/>
      </c>
      <c r="DJ254">
        <f>IF(OR(DE$3="",DE$3&gt;TODAY()),"",IF(AND(DH254="",DI254=""),"",N(DI254)-N(DH254)))</f>
        <v/>
      </c>
      <c r="DN254">
        <f>IF(OR(DL$3="",DL$3&gt;TODAY()),"",IF(AND(DL254="",DM254=""),"",N(DM254)-N(DL254)))</f>
        <v/>
      </c>
      <c r="DQ254">
        <f>IF(OR(DL$3="",DL$3&gt;TODAY()),"",IF(AND(DO254="",DP254=""),"",N(DP254)-N(DO254)))</f>
        <v/>
      </c>
      <c r="DU254">
        <f>IF(OR(DS$3="",DS$3&gt;TODAY()),"",IF(AND(DS254="",DT254=""),"",N(DT254)-N(DS254)))</f>
        <v/>
      </c>
      <c r="DX254">
        <f>IF(OR(DS$3="",DS$3&gt;TODAY()),"",IF(AND(DV254="",DW254=""),"",N(DW254)-N(DV254)))</f>
        <v/>
      </c>
      <c r="EB254">
        <f>IF(OR(DZ$3="",DZ$3&gt;TODAY()),"",IF(AND(DZ254="",EA254=""),"",N(EA254)-N(DZ254)))</f>
        <v/>
      </c>
      <c r="EE254">
        <f>IF(OR(DZ$3="",DZ$3&gt;TODAY()),"",IF(AND(EC254="",ED254=""),"",N(ED254)-N(EC254)))</f>
        <v/>
      </c>
      <c r="EI254">
        <f>IF(OR(EG$3="",EG$3&gt;TODAY()),"",IF(AND(EG254="",EH254=""),"",N(EH254)-N(EG254)))</f>
        <v/>
      </c>
      <c r="EL254">
        <f>IF(OR(EG$3="",EG$3&gt;TODAY()),"",IF(AND(EJ254="",EK254=""),"",N(EK254)-N(EJ254)))</f>
        <v/>
      </c>
      <c r="EP254">
        <f>IF(OR(EN$3="",EN$3&gt;TODAY()),"",IF(AND(EN254="",EO254=""),"",N(EO254)-N(EN254)))</f>
        <v/>
      </c>
      <c r="ES254">
        <f>IF(OR(EN$3="",EN$3&gt;TODAY()),"",IF(AND(EQ254="",ER254=""),"",N(ER254)-N(EQ254)))</f>
        <v/>
      </c>
      <c r="EW254">
        <f>IF(OR(EU$3="",EU$3&gt;TODAY()),"",IF(AND(EU254="",EV254=""),"",N(EV254)-N(EU254)))</f>
        <v/>
      </c>
      <c r="EZ254">
        <f>IF(OR(EU$3="",EU$3&gt;TODAY()),"",IF(AND(EX254="",EY254=""),"",N(EY254)-N(EX254)))</f>
        <v/>
      </c>
      <c r="FD254">
        <f>IF(OR(FB$3="",FB$3&gt;TODAY()),"",IF(AND(FB254="",FC254=""),"",N(FC254)-N(FB254)))</f>
        <v/>
      </c>
      <c r="FG254">
        <f>IF(OR(FB$3="",FB$3&gt;TODAY()),"",IF(AND(FE254="",FF254=""),"",N(FF254)-N(FE254)))</f>
        <v/>
      </c>
      <c r="FK254">
        <f>IF(OR(FI$3="",FI$3&gt;TODAY()),"",IF(AND(FI254="",FJ254=""),"",N(FJ254)-N(FI254)))</f>
        <v/>
      </c>
      <c r="FN254">
        <f>IF(OR(FI$3="",FI$3&gt;TODAY()),"",IF(AND(FL254="",FM254=""),"",N(FM254)-N(FL254)))</f>
        <v/>
      </c>
      <c r="FR254">
        <f>IF(OR(FP$3="",FP$3&gt;TODAY()),"",IF(AND(FP254="",FQ254=""),"",N(FQ254)-N(FP254)))</f>
        <v/>
      </c>
      <c r="FU254">
        <f>IF(OR(FP$3="",FP$3&gt;TODAY()),"",IF(AND(FS254="",FT254=""),"",N(FT254)-N(FS254)))</f>
        <v/>
      </c>
      <c r="FY254">
        <f>IF(OR(FW$3="",FW$3&gt;TODAY()),"",IF(AND(FW254="",FX254=""),"",N(FX254)-N(FW254)))</f>
        <v/>
      </c>
      <c r="GB254">
        <f>IF(OR(FW$3="",FW$3&gt;TODAY()),"",IF(AND(FZ254="",GA254=""),"",N(GA254)-N(FZ254)))</f>
        <v/>
      </c>
      <c r="GF254">
        <f>IF(OR(GD$3="",GD$3&gt;TODAY()),"",IF(AND(GD254="",GE254=""),"",N(GE254)-N(GD254)))</f>
        <v/>
      </c>
      <c r="GI254">
        <f>IF(OR(GD$3="",GD$3&gt;TODAY()),"",IF(AND(GG254="",GH254=""),"",N(GH254)-N(GG254)))</f>
        <v/>
      </c>
      <c r="GM254">
        <f>IF(OR(GK$3="",GK$3&gt;TODAY()),"",IF(AND(GK254="",GL254=""),"",N(GL254)-N(GK254)))</f>
        <v/>
      </c>
      <c r="GP254">
        <f>IF(OR(GK$3="",GK$3&gt;TODAY()),"",IF(AND(GN254="",GO254=""),"",N(GO254)-N(GN254)))</f>
        <v/>
      </c>
      <c r="GT254">
        <f>IF(OR(GR$3="",GR$3&gt;TODAY()),"",IF(AND(GR254="",GS254=""),"",N(GS254)-N(GR254)))</f>
        <v/>
      </c>
      <c r="GW254">
        <f>IF(OR(GR$3="",GR$3&gt;TODAY()),"",IF(AND(GU254="",GV254=""),"",N(GV254)-N(GU254)))</f>
        <v/>
      </c>
      <c r="HA254">
        <f>IF(OR(GY$3="",GY$3&gt;TODAY()),"",IF(AND(GY254="",GZ254=""),"",N(GZ254)-N(GY254)))</f>
        <v/>
      </c>
      <c r="HD254">
        <f>IF(OR(GY$3="",GY$3&gt;TODAY()),"",IF(AND(HB254="",HC254=""),"",N(HC254)-N(HB254)))</f>
        <v/>
      </c>
      <c r="HH254">
        <f>IF(OR(HF$3="",HF$3&gt;TODAY()),"",IF(AND(HF254="",HG254=""),"",N(HG254)-N(HF254)))</f>
        <v/>
      </c>
      <c r="HK254">
        <f>IF(OR(HF$3="",HF$3&gt;TODAY()),"",IF(AND(HI254="",HJ254=""),"",N(HJ254)-N(HI254)))</f>
        <v/>
      </c>
      <c r="HO254">
        <f>IF(OR(HM$3="",HM$3&gt;TODAY()),"",IF(AND(HM254="",HN254=""),"",N(HN254)-N(HM254)))</f>
        <v/>
      </c>
      <c r="HR254">
        <f>IF(OR(HM$3="",HM$3&gt;TODAY()),"",IF(AND(HP254="",HQ254=""),"",N(HQ254)-N(HP254)))</f>
        <v/>
      </c>
      <c r="HV254">
        <f>IF(OR(HT$3="",HT$3&gt;TODAY()),"",IF(AND(HT254="",HU254=""),"",N(HU254)-N(HT254)))</f>
        <v/>
      </c>
      <c r="HY254">
        <f>IF(OR(HT$3="",HT$3&gt;TODAY()),"",IF(AND(HW254="",HX254=""),"",N(HX254)-N(HW254)))</f>
        <v/>
      </c>
      <c r="IC254">
        <f>IF(OR(IA$3="",IA$3&gt;TODAY()),"",IF(AND(IA254="",IB254=""),"",N(IB254)-N(IA254)))</f>
        <v/>
      </c>
      <c r="IF254">
        <f>IF(OR(IA$3="",IA$3&gt;TODAY()),"",IF(AND(ID254="",IE254=""),"",N(IE254)-N(ID254)))</f>
        <v/>
      </c>
      <c r="IJ254">
        <f>IF(OR(IH$3="",IH$3&gt;TODAY()),"",IF(AND(IH254="",II254=""),"",N(II254)-N(IH254)))</f>
        <v/>
      </c>
      <c r="IM254">
        <f>IF(OR(IH$3="",IH$3&gt;TODAY()),"",IF(AND(IK254="",IL254=""),"",N(IL254)-N(IK254)))</f>
        <v/>
      </c>
    </row>
    <row r="255">
      <c r="A255" s="21" t="n"/>
      <c r="B255" s="21" t="n"/>
      <c r="C255" s="21" t="n"/>
      <c r="D255" s="21" t="n"/>
      <c r="E255" s="21" t="n"/>
      <c r="F255" s="21" t="n"/>
      <c r="G255" s="21" t="n"/>
      <c r="H255" s="21" t="n"/>
      <c r="I255" s="22" t="n"/>
      <c r="J255" s="22" t="n"/>
      <c r="K255" s="23" t="n"/>
      <c r="L255" s="22" t="n"/>
      <c r="M255" s="22" t="n"/>
      <c r="N255" s="21" t="n"/>
      <c r="O255" s="23" t="n"/>
      <c r="P255" s="23" t="n"/>
      <c r="Q255" s="23" t="n"/>
      <c r="R255" s="23" t="n"/>
      <c r="S255" s="22" t="n"/>
      <c r="T255" s="23" t="n"/>
      <c r="U255" s="23" t="n"/>
      <c r="V255" s="24">
        <f>IF(J255&lt;&gt;"",J255,IF(I255&lt;&gt;"",I255,""))</f>
        <v/>
      </c>
      <c r="W255" s="25">
        <f>IF($E255="","",N(O255)+SUMIFS($AF255:$IN255,$AF$4:$IN$4,"SEW_ACT"))</f>
        <v/>
      </c>
      <c r="X255" s="25">
        <f>IF($E255="","",N(P255)+SUMIFS($AF255:$IN255,$AF$4:$IN$4,"WASH_ACT"))</f>
        <v/>
      </c>
      <c r="Y255" s="25">
        <f>IF($E255="","",W255-X255-N(T255)-N(U255))</f>
        <v/>
      </c>
      <c r="Z255" s="25">
        <f>IF($E255="","",IF(N(K255)-X255&lt;=0.02*N(K255),0,N(K255)-X255))</f>
        <v/>
      </c>
      <c r="AA255" s="24">
        <f>IF($E255="","",IF(S255&lt;&gt;"",S255,IF(N(O255)&gt;0,IF(L255&lt;&gt;"",L255,99999),IFERROR(1/(1/_xlfn.MINIFS($AF$3:$IN$3,$AF$4:$IN$4,"SEW_ACT",$AF255:$IN255,"&gt;0")),99999))))</f>
        <v/>
      </c>
      <c r="AB255" s="26">
        <f>IF(OR($E255="",Z255=0,V255=""),"",1+COUNTIFS(Z$8:Z$707,"&gt;0",V$8:V$707,"&lt;"&amp;V255)+COUNTIFS(Z$8:Z$707,"&gt;0",V$8:V$707,V255,AA$8:AA$707,"&lt;"&amp;AA255)+COUNTIFS(Z$8:Z$707,"&gt;0",V$8:V$707,V255,AA$8:AA$707,AA255,E$8:E$707,"&lt;"&amp;$E255))</f>
        <v/>
      </c>
      <c r="AC255" s="24">
        <f>IF(OR($E255="",Z255=0),"",IFERROR(TODAY()+ROUNDUP(Z255/(SUMIFS($AF255:$IN255,$AF$4:$IN$4,"WASH_ACT")/COUNTIFS($AF$4:$IN$4,"WASH_ACT",$AF255:$IN255,"&gt;0")),0),"no output yet"))</f>
        <v/>
      </c>
      <c r="AD255" s="26">
        <f>IF($E255="","",IFERROR(ROUND(MAX(0,SUMIFS($AF255:$IN255,$AF$4:$IN$4,"SEW_PLAN",$AF$3:$IN$3,"&lt;="&amp;TODAY())-SUMIFS($AF255:$IN255,$AF$4:$IN$4,"SEW_ACT",$AF$3:$IN$3,"&lt;="&amp;TODAY())+N(Q255))/(SUMIFS($AF255:$IN255,$AF$4:$IN$4,"SEW_PLAN")/COUNTIFS($AF$4:$IN$4,"SEW_PLAN",$AF255:$IN255,"&gt;0")),1),0))</f>
        <v/>
      </c>
      <c r="AE255" s="26">
        <f>IF($E255="","",IF(AND(Z255&gt;0,OR(AND(M255&lt;&gt;"",TODAY()&gt;M255),AND(V255&lt;&gt;"",V255-TODAY()&lt;=7))),"Yes","No"))</f>
        <v/>
      </c>
      <c r="AH255">
        <f>IF(OR(AF$3="",AF$3&gt;TODAY()),"",IF(AND(AF255="",AG255=""),"",N(AG255)-N(AF255)))</f>
        <v/>
      </c>
      <c r="AK255">
        <f>IF(OR(AF$3="",AF$3&gt;TODAY()),"",IF(AND(AI255="",AJ255=""),"",N(AJ255)-N(AI255)))</f>
        <v/>
      </c>
      <c r="AO255">
        <f>IF(OR(AM$3="",AM$3&gt;TODAY()),"",IF(AND(AM255="",AN255=""),"",N(AN255)-N(AM255)))</f>
        <v/>
      </c>
      <c r="AR255">
        <f>IF(OR(AM$3="",AM$3&gt;TODAY()),"",IF(AND(AP255="",AQ255=""),"",N(AQ255)-N(AP255)))</f>
        <v/>
      </c>
      <c r="AV255">
        <f>IF(OR(AT$3="",AT$3&gt;TODAY()),"",IF(AND(AT255="",AU255=""),"",N(AU255)-N(AT255)))</f>
        <v/>
      </c>
      <c r="AY255">
        <f>IF(OR(AT$3="",AT$3&gt;TODAY()),"",IF(AND(AW255="",AX255=""),"",N(AX255)-N(AW255)))</f>
        <v/>
      </c>
      <c r="BC255">
        <f>IF(OR(BA$3="",BA$3&gt;TODAY()),"",IF(AND(BA255="",BB255=""),"",N(BB255)-N(BA255)))</f>
        <v/>
      </c>
      <c r="BF255">
        <f>IF(OR(BA$3="",BA$3&gt;TODAY()),"",IF(AND(BD255="",BE255=""),"",N(BE255)-N(BD255)))</f>
        <v/>
      </c>
      <c r="BJ255">
        <f>IF(OR(BH$3="",BH$3&gt;TODAY()),"",IF(AND(BH255="",BI255=""),"",N(BI255)-N(BH255)))</f>
        <v/>
      </c>
      <c r="BM255">
        <f>IF(OR(BH$3="",BH$3&gt;TODAY()),"",IF(AND(BK255="",BL255=""),"",N(BL255)-N(BK255)))</f>
        <v/>
      </c>
      <c r="BQ255">
        <f>IF(OR(BO$3="",BO$3&gt;TODAY()),"",IF(AND(BO255="",BP255=""),"",N(BP255)-N(BO255)))</f>
        <v/>
      </c>
      <c r="BT255">
        <f>IF(OR(BO$3="",BO$3&gt;TODAY()),"",IF(AND(BR255="",BS255=""),"",N(BS255)-N(BR255)))</f>
        <v/>
      </c>
      <c r="BX255">
        <f>IF(OR(BV$3="",BV$3&gt;TODAY()),"",IF(AND(BV255="",BW255=""),"",N(BW255)-N(BV255)))</f>
        <v/>
      </c>
      <c r="CA255">
        <f>IF(OR(BV$3="",BV$3&gt;TODAY()),"",IF(AND(BY255="",BZ255=""),"",N(BZ255)-N(BY255)))</f>
        <v/>
      </c>
      <c r="CE255">
        <f>IF(OR(CC$3="",CC$3&gt;TODAY()),"",IF(AND(CC255="",CD255=""),"",N(CD255)-N(CC255)))</f>
        <v/>
      </c>
      <c r="CH255">
        <f>IF(OR(CC$3="",CC$3&gt;TODAY()),"",IF(AND(CF255="",CG255=""),"",N(CG255)-N(CF255)))</f>
        <v/>
      </c>
      <c r="CL255">
        <f>IF(OR(CJ$3="",CJ$3&gt;TODAY()),"",IF(AND(CJ255="",CK255=""),"",N(CK255)-N(CJ255)))</f>
        <v/>
      </c>
      <c r="CO255">
        <f>IF(OR(CJ$3="",CJ$3&gt;TODAY()),"",IF(AND(CM255="",CN255=""),"",N(CN255)-N(CM255)))</f>
        <v/>
      </c>
      <c r="CS255">
        <f>IF(OR(CQ$3="",CQ$3&gt;TODAY()),"",IF(AND(CQ255="",CR255=""),"",N(CR255)-N(CQ255)))</f>
        <v/>
      </c>
      <c r="CV255">
        <f>IF(OR(CQ$3="",CQ$3&gt;TODAY()),"",IF(AND(CT255="",CU255=""),"",N(CU255)-N(CT255)))</f>
        <v/>
      </c>
      <c r="CZ255">
        <f>IF(OR(CX$3="",CX$3&gt;TODAY()),"",IF(AND(CX255="",CY255=""),"",N(CY255)-N(CX255)))</f>
        <v/>
      </c>
      <c r="DC255">
        <f>IF(OR(CX$3="",CX$3&gt;TODAY()),"",IF(AND(DA255="",DB255=""),"",N(DB255)-N(DA255)))</f>
        <v/>
      </c>
      <c r="DG255">
        <f>IF(OR(DE$3="",DE$3&gt;TODAY()),"",IF(AND(DE255="",DF255=""),"",N(DF255)-N(DE255)))</f>
        <v/>
      </c>
      <c r="DJ255">
        <f>IF(OR(DE$3="",DE$3&gt;TODAY()),"",IF(AND(DH255="",DI255=""),"",N(DI255)-N(DH255)))</f>
        <v/>
      </c>
      <c r="DN255">
        <f>IF(OR(DL$3="",DL$3&gt;TODAY()),"",IF(AND(DL255="",DM255=""),"",N(DM255)-N(DL255)))</f>
        <v/>
      </c>
      <c r="DQ255">
        <f>IF(OR(DL$3="",DL$3&gt;TODAY()),"",IF(AND(DO255="",DP255=""),"",N(DP255)-N(DO255)))</f>
        <v/>
      </c>
      <c r="DU255">
        <f>IF(OR(DS$3="",DS$3&gt;TODAY()),"",IF(AND(DS255="",DT255=""),"",N(DT255)-N(DS255)))</f>
        <v/>
      </c>
      <c r="DX255">
        <f>IF(OR(DS$3="",DS$3&gt;TODAY()),"",IF(AND(DV255="",DW255=""),"",N(DW255)-N(DV255)))</f>
        <v/>
      </c>
      <c r="EB255">
        <f>IF(OR(DZ$3="",DZ$3&gt;TODAY()),"",IF(AND(DZ255="",EA255=""),"",N(EA255)-N(DZ255)))</f>
        <v/>
      </c>
      <c r="EE255">
        <f>IF(OR(DZ$3="",DZ$3&gt;TODAY()),"",IF(AND(EC255="",ED255=""),"",N(ED255)-N(EC255)))</f>
        <v/>
      </c>
      <c r="EI255">
        <f>IF(OR(EG$3="",EG$3&gt;TODAY()),"",IF(AND(EG255="",EH255=""),"",N(EH255)-N(EG255)))</f>
        <v/>
      </c>
      <c r="EL255">
        <f>IF(OR(EG$3="",EG$3&gt;TODAY()),"",IF(AND(EJ255="",EK255=""),"",N(EK255)-N(EJ255)))</f>
        <v/>
      </c>
      <c r="EP255">
        <f>IF(OR(EN$3="",EN$3&gt;TODAY()),"",IF(AND(EN255="",EO255=""),"",N(EO255)-N(EN255)))</f>
        <v/>
      </c>
      <c r="ES255">
        <f>IF(OR(EN$3="",EN$3&gt;TODAY()),"",IF(AND(EQ255="",ER255=""),"",N(ER255)-N(EQ255)))</f>
        <v/>
      </c>
      <c r="EW255">
        <f>IF(OR(EU$3="",EU$3&gt;TODAY()),"",IF(AND(EU255="",EV255=""),"",N(EV255)-N(EU255)))</f>
        <v/>
      </c>
      <c r="EZ255">
        <f>IF(OR(EU$3="",EU$3&gt;TODAY()),"",IF(AND(EX255="",EY255=""),"",N(EY255)-N(EX255)))</f>
        <v/>
      </c>
      <c r="FD255">
        <f>IF(OR(FB$3="",FB$3&gt;TODAY()),"",IF(AND(FB255="",FC255=""),"",N(FC255)-N(FB255)))</f>
        <v/>
      </c>
      <c r="FG255">
        <f>IF(OR(FB$3="",FB$3&gt;TODAY()),"",IF(AND(FE255="",FF255=""),"",N(FF255)-N(FE255)))</f>
        <v/>
      </c>
      <c r="FK255">
        <f>IF(OR(FI$3="",FI$3&gt;TODAY()),"",IF(AND(FI255="",FJ255=""),"",N(FJ255)-N(FI255)))</f>
        <v/>
      </c>
      <c r="FN255">
        <f>IF(OR(FI$3="",FI$3&gt;TODAY()),"",IF(AND(FL255="",FM255=""),"",N(FM255)-N(FL255)))</f>
        <v/>
      </c>
      <c r="FR255">
        <f>IF(OR(FP$3="",FP$3&gt;TODAY()),"",IF(AND(FP255="",FQ255=""),"",N(FQ255)-N(FP255)))</f>
        <v/>
      </c>
      <c r="FU255">
        <f>IF(OR(FP$3="",FP$3&gt;TODAY()),"",IF(AND(FS255="",FT255=""),"",N(FT255)-N(FS255)))</f>
        <v/>
      </c>
      <c r="FY255">
        <f>IF(OR(FW$3="",FW$3&gt;TODAY()),"",IF(AND(FW255="",FX255=""),"",N(FX255)-N(FW255)))</f>
        <v/>
      </c>
      <c r="GB255">
        <f>IF(OR(FW$3="",FW$3&gt;TODAY()),"",IF(AND(FZ255="",GA255=""),"",N(GA255)-N(FZ255)))</f>
        <v/>
      </c>
      <c r="GF255">
        <f>IF(OR(GD$3="",GD$3&gt;TODAY()),"",IF(AND(GD255="",GE255=""),"",N(GE255)-N(GD255)))</f>
        <v/>
      </c>
      <c r="GI255">
        <f>IF(OR(GD$3="",GD$3&gt;TODAY()),"",IF(AND(GG255="",GH255=""),"",N(GH255)-N(GG255)))</f>
        <v/>
      </c>
      <c r="GM255">
        <f>IF(OR(GK$3="",GK$3&gt;TODAY()),"",IF(AND(GK255="",GL255=""),"",N(GL255)-N(GK255)))</f>
        <v/>
      </c>
      <c r="GP255">
        <f>IF(OR(GK$3="",GK$3&gt;TODAY()),"",IF(AND(GN255="",GO255=""),"",N(GO255)-N(GN255)))</f>
        <v/>
      </c>
      <c r="GT255">
        <f>IF(OR(GR$3="",GR$3&gt;TODAY()),"",IF(AND(GR255="",GS255=""),"",N(GS255)-N(GR255)))</f>
        <v/>
      </c>
      <c r="GW255">
        <f>IF(OR(GR$3="",GR$3&gt;TODAY()),"",IF(AND(GU255="",GV255=""),"",N(GV255)-N(GU255)))</f>
        <v/>
      </c>
      <c r="HA255">
        <f>IF(OR(GY$3="",GY$3&gt;TODAY()),"",IF(AND(GY255="",GZ255=""),"",N(GZ255)-N(GY255)))</f>
        <v/>
      </c>
      <c r="HD255">
        <f>IF(OR(GY$3="",GY$3&gt;TODAY()),"",IF(AND(HB255="",HC255=""),"",N(HC255)-N(HB255)))</f>
        <v/>
      </c>
      <c r="HH255">
        <f>IF(OR(HF$3="",HF$3&gt;TODAY()),"",IF(AND(HF255="",HG255=""),"",N(HG255)-N(HF255)))</f>
        <v/>
      </c>
      <c r="HK255">
        <f>IF(OR(HF$3="",HF$3&gt;TODAY()),"",IF(AND(HI255="",HJ255=""),"",N(HJ255)-N(HI255)))</f>
        <v/>
      </c>
      <c r="HO255">
        <f>IF(OR(HM$3="",HM$3&gt;TODAY()),"",IF(AND(HM255="",HN255=""),"",N(HN255)-N(HM255)))</f>
        <v/>
      </c>
      <c r="HR255">
        <f>IF(OR(HM$3="",HM$3&gt;TODAY()),"",IF(AND(HP255="",HQ255=""),"",N(HQ255)-N(HP255)))</f>
        <v/>
      </c>
      <c r="HV255">
        <f>IF(OR(HT$3="",HT$3&gt;TODAY()),"",IF(AND(HT255="",HU255=""),"",N(HU255)-N(HT255)))</f>
        <v/>
      </c>
      <c r="HY255">
        <f>IF(OR(HT$3="",HT$3&gt;TODAY()),"",IF(AND(HW255="",HX255=""),"",N(HX255)-N(HW255)))</f>
        <v/>
      </c>
      <c r="IC255">
        <f>IF(OR(IA$3="",IA$3&gt;TODAY()),"",IF(AND(IA255="",IB255=""),"",N(IB255)-N(IA255)))</f>
        <v/>
      </c>
      <c r="IF255">
        <f>IF(OR(IA$3="",IA$3&gt;TODAY()),"",IF(AND(ID255="",IE255=""),"",N(IE255)-N(ID255)))</f>
        <v/>
      </c>
      <c r="IJ255">
        <f>IF(OR(IH$3="",IH$3&gt;TODAY()),"",IF(AND(IH255="",II255=""),"",N(II255)-N(IH255)))</f>
        <v/>
      </c>
      <c r="IM255">
        <f>IF(OR(IH$3="",IH$3&gt;TODAY()),"",IF(AND(IK255="",IL255=""),"",N(IL255)-N(IK255)))</f>
        <v/>
      </c>
    </row>
    <row r="256">
      <c r="A256" s="21" t="n"/>
      <c r="B256" s="21" t="n"/>
      <c r="C256" s="21" t="n"/>
      <c r="D256" s="21" t="n"/>
      <c r="E256" s="21" t="n"/>
      <c r="F256" s="21" t="n"/>
      <c r="G256" s="21" t="n"/>
      <c r="H256" s="21" t="n"/>
      <c r="I256" s="22" t="n"/>
      <c r="J256" s="22" t="n"/>
      <c r="K256" s="23" t="n"/>
      <c r="L256" s="22" t="n"/>
      <c r="M256" s="22" t="n"/>
      <c r="N256" s="21" t="n"/>
      <c r="O256" s="23" t="n"/>
      <c r="P256" s="23" t="n"/>
      <c r="Q256" s="23" t="n"/>
      <c r="R256" s="23" t="n"/>
      <c r="S256" s="22" t="n"/>
      <c r="T256" s="23" t="n"/>
      <c r="U256" s="23" t="n"/>
      <c r="V256" s="24">
        <f>IF(J256&lt;&gt;"",J256,IF(I256&lt;&gt;"",I256,""))</f>
        <v/>
      </c>
      <c r="W256" s="25">
        <f>IF($E256="","",N(O256)+SUMIFS($AF256:$IN256,$AF$4:$IN$4,"SEW_ACT"))</f>
        <v/>
      </c>
      <c r="X256" s="25">
        <f>IF($E256="","",N(P256)+SUMIFS($AF256:$IN256,$AF$4:$IN$4,"WASH_ACT"))</f>
        <v/>
      </c>
      <c r="Y256" s="25">
        <f>IF($E256="","",W256-X256-N(T256)-N(U256))</f>
        <v/>
      </c>
      <c r="Z256" s="25">
        <f>IF($E256="","",IF(N(K256)-X256&lt;=0.02*N(K256),0,N(K256)-X256))</f>
        <v/>
      </c>
      <c r="AA256" s="24">
        <f>IF($E256="","",IF(S256&lt;&gt;"",S256,IF(N(O256)&gt;0,IF(L256&lt;&gt;"",L256,99999),IFERROR(1/(1/_xlfn.MINIFS($AF$3:$IN$3,$AF$4:$IN$4,"SEW_ACT",$AF256:$IN256,"&gt;0")),99999))))</f>
        <v/>
      </c>
      <c r="AB256" s="26">
        <f>IF(OR($E256="",Z256=0,V256=""),"",1+COUNTIFS(Z$8:Z$707,"&gt;0",V$8:V$707,"&lt;"&amp;V256)+COUNTIFS(Z$8:Z$707,"&gt;0",V$8:V$707,V256,AA$8:AA$707,"&lt;"&amp;AA256)+COUNTIFS(Z$8:Z$707,"&gt;0",V$8:V$707,V256,AA$8:AA$707,AA256,E$8:E$707,"&lt;"&amp;$E256))</f>
        <v/>
      </c>
      <c r="AC256" s="24">
        <f>IF(OR($E256="",Z256=0),"",IFERROR(TODAY()+ROUNDUP(Z256/(SUMIFS($AF256:$IN256,$AF$4:$IN$4,"WASH_ACT")/COUNTIFS($AF$4:$IN$4,"WASH_ACT",$AF256:$IN256,"&gt;0")),0),"no output yet"))</f>
        <v/>
      </c>
      <c r="AD256" s="26">
        <f>IF($E256="","",IFERROR(ROUND(MAX(0,SUMIFS($AF256:$IN256,$AF$4:$IN$4,"SEW_PLAN",$AF$3:$IN$3,"&lt;="&amp;TODAY())-SUMIFS($AF256:$IN256,$AF$4:$IN$4,"SEW_ACT",$AF$3:$IN$3,"&lt;="&amp;TODAY())+N(Q256))/(SUMIFS($AF256:$IN256,$AF$4:$IN$4,"SEW_PLAN")/COUNTIFS($AF$4:$IN$4,"SEW_PLAN",$AF256:$IN256,"&gt;0")),1),0))</f>
        <v/>
      </c>
      <c r="AE256" s="26">
        <f>IF($E256="","",IF(AND(Z256&gt;0,OR(AND(M256&lt;&gt;"",TODAY()&gt;M256),AND(V256&lt;&gt;"",V256-TODAY()&lt;=7))),"Yes","No"))</f>
        <v/>
      </c>
      <c r="AH256">
        <f>IF(OR(AF$3="",AF$3&gt;TODAY()),"",IF(AND(AF256="",AG256=""),"",N(AG256)-N(AF256)))</f>
        <v/>
      </c>
      <c r="AK256">
        <f>IF(OR(AF$3="",AF$3&gt;TODAY()),"",IF(AND(AI256="",AJ256=""),"",N(AJ256)-N(AI256)))</f>
        <v/>
      </c>
      <c r="AO256">
        <f>IF(OR(AM$3="",AM$3&gt;TODAY()),"",IF(AND(AM256="",AN256=""),"",N(AN256)-N(AM256)))</f>
        <v/>
      </c>
      <c r="AR256">
        <f>IF(OR(AM$3="",AM$3&gt;TODAY()),"",IF(AND(AP256="",AQ256=""),"",N(AQ256)-N(AP256)))</f>
        <v/>
      </c>
      <c r="AV256">
        <f>IF(OR(AT$3="",AT$3&gt;TODAY()),"",IF(AND(AT256="",AU256=""),"",N(AU256)-N(AT256)))</f>
        <v/>
      </c>
      <c r="AY256">
        <f>IF(OR(AT$3="",AT$3&gt;TODAY()),"",IF(AND(AW256="",AX256=""),"",N(AX256)-N(AW256)))</f>
        <v/>
      </c>
      <c r="BC256">
        <f>IF(OR(BA$3="",BA$3&gt;TODAY()),"",IF(AND(BA256="",BB256=""),"",N(BB256)-N(BA256)))</f>
        <v/>
      </c>
      <c r="BF256">
        <f>IF(OR(BA$3="",BA$3&gt;TODAY()),"",IF(AND(BD256="",BE256=""),"",N(BE256)-N(BD256)))</f>
        <v/>
      </c>
      <c r="BJ256">
        <f>IF(OR(BH$3="",BH$3&gt;TODAY()),"",IF(AND(BH256="",BI256=""),"",N(BI256)-N(BH256)))</f>
        <v/>
      </c>
      <c r="BM256">
        <f>IF(OR(BH$3="",BH$3&gt;TODAY()),"",IF(AND(BK256="",BL256=""),"",N(BL256)-N(BK256)))</f>
        <v/>
      </c>
      <c r="BQ256">
        <f>IF(OR(BO$3="",BO$3&gt;TODAY()),"",IF(AND(BO256="",BP256=""),"",N(BP256)-N(BO256)))</f>
        <v/>
      </c>
      <c r="BT256">
        <f>IF(OR(BO$3="",BO$3&gt;TODAY()),"",IF(AND(BR256="",BS256=""),"",N(BS256)-N(BR256)))</f>
        <v/>
      </c>
      <c r="BX256">
        <f>IF(OR(BV$3="",BV$3&gt;TODAY()),"",IF(AND(BV256="",BW256=""),"",N(BW256)-N(BV256)))</f>
        <v/>
      </c>
      <c r="CA256">
        <f>IF(OR(BV$3="",BV$3&gt;TODAY()),"",IF(AND(BY256="",BZ256=""),"",N(BZ256)-N(BY256)))</f>
        <v/>
      </c>
      <c r="CE256">
        <f>IF(OR(CC$3="",CC$3&gt;TODAY()),"",IF(AND(CC256="",CD256=""),"",N(CD256)-N(CC256)))</f>
        <v/>
      </c>
      <c r="CH256">
        <f>IF(OR(CC$3="",CC$3&gt;TODAY()),"",IF(AND(CF256="",CG256=""),"",N(CG256)-N(CF256)))</f>
        <v/>
      </c>
      <c r="CL256">
        <f>IF(OR(CJ$3="",CJ$3&gt;TODAY()),"",IF(AND(CJ256="",CK256=""),"",N(CK256)-N(CJ256)))</f>
        <v/>
      </c>
      <c r="CO256">
        <f>IF(OR(CJ$3="",CJ$3&gt;TODAY()),"",IF(AND(CM256="",CN256=""),"",N(CN256)-N(CM256)))</f>
        <v/>
      </c>
      <c r="CS256">
        <f>IF(OR(CQ$3="",CQ$3&gt;TODAY()),"",IF(AND(CQ256="",CR256=""),"",N(CR256)-N(CQ256)))</f>
        <v/>
      </c>
      <c r="CV256">
        <f>IF(OR(CQ$3="",CQ$3&gt;TODAY()),"",IF(AND(CT256="",CU256=""),"",N(CU256)-N(CT256)))</f>
        <v/>
      </c>
      <c r="CZ256">
        <f>IF(OR(CX$3="",CX$3&gt;TODAY()),"",IF(AND(CX256="",CY256=""),"",N(CY256)-N(CX256)))</f>
        <v/>
      </c>
      <c r="DC256">
        <f>IF(OR(CX$3="",CX$3&gt;TODAY()),"",IF(AND(DA256="",DB256=""),"",N(DB256)-N(DA256)))</f>
        <v/>
      </c>
      <c r="DG256">
        <f>IF(OR(DE$3="",DE$3&gt;TODAY()),"",IF(AND(DE256="",DF256=""),"",N(DF256)-N(DE256)))</f>
        <v/>
      </c>
      <c r="DJ256">
        <f>IF(OR(DE$3="",DE$3&gt;TODAY()),"",IF(AND(DH256="",DI256=""),"",N(DI256)-N(DH256)))</f>
        <v/>
      </c>
      <c r="DN256">
        <f>IF(OR(DL$3="",DL$3&gt;TODAY()),"",IF(AND(DL256="",DM256=""),"",N(DM256)-N(DL256)))</f>
        <v/>
      </c>
      <c r="DQ256">
        <f>IF(OR(DL$3="",DL$3&gt;TODAY()),"",IF(AND(DO256="",DP256=""),"",N(DP256)-N(DO256)))</f>
        <v/>
      </c>
      <c r="DU256">
        <f>IF(OR(DS$3="",DS$3&gt;TODAY()),"",IF(AND(DS256="",DT256=""),"",N(DT256)-N(DS256)))</f>
        <v/>
      </c>
      <c r="DX256">
        <f>IF(OR(DS$3="",DS$3&gt;TODAY()),"",IF(AND(DV256="",DW256=""),"",N(DW256)-N(DV256)))</f>
        <v/>
      </c>
      <c r="EB256">
        <f>IF(OR(DZ$3="",DZ$3&gt;TODAY()),"",IF(AND(DZ256="",EA256=""),"",N(EA256)-N(DZ256)))</f>
        <v/>
      </c>
      <c r="EE256">
        <f>IF(OR(DZ$3="",DZ$3&gt;TODAY()),"",IF(AND(EC256="",ED256=""),"",N(ED256)-N(EC256)))</f>
        <v/>
      </c>
      <c r="EI256">
        <f>IF(OR(EG$3="",EG$3&gt;TODAY()),"",IF(AND(EG256="",EH256=""),"",N(EH256)-N(EG256)))</f>
        <v/>
      </c>
      <c r="EL256">
        <f>IF(OR(EG$3="",EG$3&gt;TODAY()),"",IF(AND(EJ256="",EK256=""),"",N(EK256)-N(EJ256)))</f>
        <v/>
      </c>
      <c r="EP256">
        <f>IF(OR(EN$3="",EN$3&gt;TODAY()),"",IF(AND(EN256="",EO256=""),"",N(EO256)-N(EN256)))</f>
        <v/>
      </c>
      <c r="ES256">
        <f>IF(OR(EN$3="",EN$3&gt;TODAY()),"",IF(AND(EQ256="",ER256=""),"",N(ER256)-N(EQ256)))</f>
        <v/>
      </c>
      <c r="EW256">
        <f>IF(OR(EU$3="",EU$3&gt;TODAY()),"",IF(AND(EU256="",EV256=""),"",N(EV256)-N(EU256)))</f>
        <v/>
      </c>
      <c r="EZ256">
        <f>IF(OR(EU$3="",EU$3&gt;TODAY()),"",IF(AND(EX256="",EY256=""),"",N(EY256)-N(EX256)))</f>
        <v/>
      </c>
      <c r="FD256">
        <f>IF(OR(FB$3="",FB$3&gt;TODAY()),"",IF(AND(FB256="",FC256=""),"",N(FC256)-N(FB256)))</f>
        <v/>
      </c>
      <c r="FG256">
        <f>IF(OR(FB$3="",FB$3&gt;TODAY()),"",IF(AND(FE256="",FF256=""),"",N(FF256)-N(FE256)))</f>
        <v/>
      </c>
      <c r="FK256">
        <f>IF(OR(FI$3="",FI$3&gt;TODAY()),"",IF(AND(FI256="",FJ256=""),"",N(FJ256)-N(FI256)))</f>
        <v/>
      </c>
      <c r="FN256">
        <f>IF(OR(FI$3="",FI$3&gt;TODAY()),"",IF(AND(FL256="",FM256=""),"",N(FM256)-N(FL256)))</f>
        <v/>
      </c>
      <c r="FR256">
        <f>IF(OR(FP$3="",FP$3&gt;TODAY()),"",IF(AND(FP256="",FQ256=""),"",N(FQ256)-N(FP256)))</f>
        <v/>
      </c>
      <c r="FU256">
        <f>IF(OR(FP$3="",FP$3&gt;TODAY()),"",IF(AND(FS256="",FT256=""),"",N(FT256)-N(FS256)))</f>
        <v/>
      </c>
      <c r="FY256">
        <f>IF(OR(FW$3="",FW$3&gt;TODAY()),"",IF(AND(FW256="",FX256=""),"",N(FX256)-N(FW256)))</f>
        <v/>
      </c>
      <c r="GB256">
        <f>IF(OR(FW$3="",FW$3&gt;TODAY()),"",IF(AND(FZ256="",GA256=""),"",N(GA256)-N(FZ256)))</f>
        <v/>
      </c>
      <c r="GF256">
        <f>IF(OR(GD$3="",GD$3&gt;TODAY()),"",IF(AND(GD256="",GE256=""),"",N(GE256)-N(GD256)))</f>
        <v/>
      </c>
      <c r="GI256">
        <f>IF(OR(GD$3="",GD$3&gt;TODAY()),"",IF(AND(GG256="",GH256=""),"",N(GH256)-N(GG256)))</f>
        <v/>
      </c>
      <c r="GM256">
        <f>IF(OR(GK$3="",GK$3&gt;TODAY()),"",IF(AND(GK256="",GL256=""),"",N(GL256)-N(GK256)))</f>
        <v/>
      </c>
      <c r="GP256">
        <f>IF(OR(GK$3="",GK$3&gt;TODAY()),"",IF(AND(GN256="",GO256=""),"",N(GO256)-N(GN256)))</f>
        <v/>
      </c>
      <c r="GT256">
        <f>IF(OR(GR$3="",GR$3&gt;TODAY()),"",IF(AND(GR256="",GS256=""),"",N(GS256)-N(GR256)))</f>
        <v/>
      </c>
      <c r="GW256">
        <f>IF(OR(GR$3="",GR$3&gt;TODAY()),"",IF(AND(GU256="",GV256=""),"",N(GV256)-N(GU256)))</f>
        <v/>
      </c>
      <c r="HA256">
        <f>IF(OR(GY$3="",GY$3&gt;TODAY()),"",IF(AND(GY256="",GZ256=""),"",N(GZ256)-N(GY256)))</f>
        <v/>
      </c>
      <c r="HD256">
        <f>IF(OR(GY$3="",GY$3&gt;TODAY()),"",IF(AND(HB256="",HC256=""),"",N(HC256)-N(HB256)))</f>
        <v/>
      </c>
      <c r="HH256">
        <f>IF(OR(HF$3="",HF$3&gt;TODAY()),"",IF(AND(HF256="",HG256=""),"",N(HG256)-N(HF256)))</f>
        <v/>
      </c>
      <c r="HK256">
        <f>IF(OR(HF$3="",HF$3&gt;TODAY()),"",IF(AND(HI256="",HJ256=""),"",N(HJ256)-N(HI256)))</f>
        <v/>
      </c>
      <c r="HO256">
        <f>IF(OR(HM$3="",HM$3&gt;TODAY()),"",IF(AND(HM256="",HN256=""),"",N(HN256)-N(HM256)))</f>
        <v/>
      </c>
      <c r="HR256">
        <f>IF(OR(HM$3="",HM$3&gt;TODAY()),"",IF(AND(HP256="",HQ256=""),"",N(HQ256)-N(HP256)))</f>
        <v/>
      </c>
      <c r="HV256">
        <f>IF(OR(HT$3="",HT$3&gt;TODAY()),"",IF(AND(HT256="",HU256=""),"",N(HU256)-N(HT256)))</f>
        <v/>
      </c>
      <c r="HY256">
        <f>IF(OR(HT$3="",HT$3&gt;TODAY()),"",IF(AND(HW256="",HX256=""),"",N(HX256)-N(HW256)))</f>
        <v/>
      </c>
      <c r="IC256">
        <f>IF(OR(IA$3="",IA$3&gt;TODAY()),"",IF(AND(IA256="",IB256=""),"",N(IB256)-N(IA256)))</f>
        <v/>
      </c>
      <c r="IF256">
        <f>IF(OR(IA$3="",IA$3&gt;TODAY()),"",IF(AND(ID256="",IE256=""),"",N(IE256)-N(ID256)))</f>
        <v/>
      </c>
      <c r="IJ256">
        <f>IF(OR(IH$3="",IH$3&gt;TODAY()),"",IF(AND(IH256="",II256=""),"",N(II256)-N(IH256)))</f>
        <v/>
      </c>
      <c r="IM256">
        <f>IF(OR(IH$3="",IH$3&gt;TODAY()),"",IF(AND(IK256="",IL256=""),"",N(IL256)-N(IK256)))</f>
        <v/>
      </c>
    </row>
    <row r="257">
      <c r="A257" s="21" t="n"/>
      <c r="B257" s="21" t="n"/>
      <c r="C257" s="21" t="n"/>
      <c r="D257" s="21" t="n"/>
      <c r="E257" s="21" t="n"/>
      <c r="F257" s="21" t="n"/>
      <c r="G257" s="21" t="n"/>
      <c r="H257" s="21" t="n"/>
      <c r="I257" s="22" t="n"/>
      <c r="J257" s="22" t="n"/>
      <c r="K257" s="23" t="n"/>
      <c r="L257" s="22" t="n"/>
      <c r="M257" s="22" t="n"/>
      <c r="N257" s="21" t="n"/>
      <c r="O257" s="23" t="n"/>
      <c r="P257" s="23" t="n"/>
      <c r="Q257" s="23" t="n"/>
      <c r="R257" s="23" t="n"/>
      <c r="S257" s="22" t="n"/>
      <c r="T257" s="23" t="n"/>
      <c r="U257" s="23" t="n"/>
      <c r="V257" s="24">
        <f>IF(J257&lt;&gt;"",J257,IF(I257&lt;&gt;"",I257,""))</f>
        <v/>
      </c>
      <c r="W257" s="25">
        <f>IF($E257="","",N(O257)+SUMIFS($AF257:$IN257,$AF$4:$IN$4,"SEW_ACT"))</f>
        <v/>
      </c>
      <c r="X257" s="25">
        <f>IF($E257="","",N(P257)+SUMIFS($AF257:$IN257,$AF$4:$IN$4,"WASH_ACT"))</f>
        <v/>
      </c>
      <c r="Y257" s="25">
        <f>IF($E257="","",W257-X257-N(T257)-N(U257))</f>
        <v/>
      </c>
      <c r="Z257" s="25">
        <f>IF($E257="","",IF(N(K257)-X257&lt;=0.02*N(K257),0,N(K257)-X257))</f>
        <v/>
      </c>
      <c r="AA257" s="24">
        <f>IF($E257="","",IF(S257&lt;&gt;"",S257,IF(N(O257)&gt;0,IF(L257&lt;&gt;"",L257,99999),IFERROR(1/(1/_xlfn.MINIFS($AF$3:$IN$3,$AF$4:$IN$4,"SEW_ACT",$AF257:$IN257,"&gt;0")),99999))))</f>
        <v/>
      </c>
      <c r="AB257" s="26">
        <f>IF(OR($E257="",Z257=0,V257=""),"",1+COUNTIFS(Z$8:Z$707,"&gt;0",V$8:V$707,"&lt;"&amp;V257)+COUNTIFS(Z$8:Z$707,"&gt;0",V$8:V$707,V257,AA$8:AA$707,"&lt;"&amp;AA257)+COUNTIFS(Z$8:Z$707,"&gt;0",V$8:V$707,V257,AA$8:AA$707,AA257,E$8:E$707,"&lt;"&amp;$E257))</f>
        <v/>
      </c>
      <c r="AC257" s="24">
        <f>IF(OR($E257="",Z257=0),"",IFERROR(TODAY()+ROUNDUP(Z257/(SUMIFS($AF257:$IN257,$AF$4:$IN$4,"WASH_ACT")/COUNTIFS($AF$4:$IN$4,"WASH_ACT",$AF257:$IN257,"&gt;0")),0),"no output yet"))</f>
        <v/>
      </c>
      <c r="AD257" s="26">
        <f>IF($E257="","",IFERROR(ROUND(MAX(0,SUMIFS($AF257:$IN257,$AF$4:$IN$4,"SEW_PLAN",$AF$3:$IN$3,"&lt;="&amp;TODAY())-SUMIFS($AF257:$IN257,$AF$4:$IN$4,"SEW_ACT",$AF$3:$IN$3,"&lt;="&amp;TODAY())+N(Q257))/(SUMIFS($AF257:$IN257,$AF$4:$IN$4,"SEW_PLAN")/COUNTIFS($AF$4:$IN$4,"SEW_PLAN",$AF257:$IN257,"&gt;0")),1),0))</f>
        <v/>
      </c>
      <c r="AE257" s="26">
        <f>IF($E257="","",IF(AND(Z257&gt;0,OR(AND(M257&lt;&gt;"",TODAY()&gt;M257),AND(V257&lt;&gt;"",V257-TODAY()&lt;=7))),"Yes","No"))</f>
        <v/>
      </c>
      <c r="AH257">
        <f>IF(OR(AF$3="",AF$3&gt;TODAY()),"",IF(AND(AF257="",AG257=""),"",N(AG257)-N(AF257)))</f>
        <v/>
      </c>
      <c r="AK257">
        <f>IF(OR(AF$3="",AF$3&gt;TODAY()),"",IF(AND(AI257="",AJ257=""),"",N(AJ257)-N(AI257)))</f>
        <v/>
      </c>
      <c r="AO257">
        <f>IF(OR(AM$3="",AM$3&gt;TODAY()),"",IF(AND(AM257="",AN257=""),"",N(AN257)-N(AM257)))</f>
        <v/>
      </c>
      <c r="AR257">
        <f>IF(OR(AM$3="",AM$3&gt;TODAY()),"",IF(AND(AP257="",AQ257=""),"",N(AQ257)-N(AP257)))</f>
        <v/>
      </c>
      <c r="AV257">
        <f>IF(OR(AT$3="",AT$3&gt;TODAY()),"",IF(AND(AT257="",AU257=""),"",N(AU257)-N(AT257)))</f>
        <v/>
      </c>
      <c r="AY257">
        <f>IF(OR(AT$3="",AT$3&gt;TODAY()),"",IF(AND(AW257="",AX257=""),"",N(AX257)-N(AW257)))</f>
        <v/>
      </c>
      <c r="BC257">
        <f>IF(OR(BA$3="",BA$3&gt;TODAY()),"",IF(AND(BA257="",BB257=""),"",N(BB257)-N(BA257)))</f>
        <v/>
      </c>
      <c r="BF257">
        <f>IF(OR(BA$3="",BA$3&gt;TODAY()),"",IF(AND(BD257="",BE257=""),"",N(BE257)-N(BD257)))</f>
        <v/>
      </c>
      <c r="BJ257">
        <f>IF(OR(BH$3="",BH$3&gt;TODAY()),"",IF(AND(BH257="",BI257=""),"",N(BI257)-N(BH257)))</f>
        <v/>
      </c>
      <c r="BM257">
        <f>IF(OR(BH$3="",BH$3&gt;TODAY()),"",IF(AND(BK257="",BL257=""),"",N(BL257)-N(BK257)))</f>
        <v/>
      </c>
      <c r="BQ257">
        <f>IF(OR(BO$3="",BO$3&gt;TODAY()),"",IF(AND(BO257="",BP257=""),"",N(BP257)-N(BO257)))</f>
        <v/>
      </c>
      <c r="BT257">
        <f>IF(OR(BO$3="",BO$3&gt;TODAY()),"",IF(AND(BR257="",BS257=""),"",N(BS257)-N(BR257)))</f>
        <v/>
      </c>
      <c r="BX257">
        <f>IF(OR(BV$3="",BV$3&gt;TODAY()),"",IF(AND(BV257="",BW257=""),"",N(BW257)-N(BV257)))</f>
        <v/>
      </c>
      <c r="CA257">
        <f>IF(OR(BV$3="",BV$3&gt;TODAY()),"",IF(AND(BY257="",BZ257=""),"",N(BZ257)-N(BY257)))</f>
        <v/>
      </c>
      <c r="CE257">
        <f>IF(OR(CC$3="",CC$3&gt;TODAY()),"",IF(AND(CC257="",CD257=""),"",N(CD257)-N(CC257)))</f>
        <v/>
      </c>
      <c r="CH257">
        <f>IF(OR(CC$3="",CC$3&gt;TODAY()),"",IF(AND(CF257="",CG257=""),"",N(CG257)-N(CF257)))</f>
        <v/>
      </c>
      <c r="CL257">
        <f>IF(OR(CJ$3="",CJ$3&gt;TODAY()),"",IF(AND(CJ257="",CK257=""),"",N(CK257)-N(CJ257)))</f>
        <v/>
      </c>
      <c r="CO257">
        <f>IF(OR(CJ$3="",CJ$3&gt;TODAY()),"",IF(AND(CM257="",CN257=""),"",N(CN257)-N(CM257)))</f>
        <v/>
      </c>
      <c r="CS257">
        <f>IF(OR(CQ$3="",CQ$3&gt;TODAY()),"",IF(AND(CQ257="",CR257=""),"",N(CR257)-N(CQ257)))</f>
        <v/>
      </c>
      <c r="CV257">
        <f>IF(OR(CQ$3="",CQ$3&gt;TODAY()),"",IF(AND(CT257="",CU257=""),"",N(CU257)-N(CT257)))</f>
        <v/>
      </c>
      <c r="CZ257">
        <f>IF(OR(CX$3="",CX$3&gt;TODAY()),"",IF(AND(CX257="",CY257=""),"",N(CY257)-N(CX257)))</f>
        <v/>
      </c>
      <c r="DC257">
        <f>IF(OR(CX$3="",CX$3&gt;TODAY()),"",IF(AND(DA257="",DB257=""),"",N(DB257)-N(DA257)))</f>
        <v/>
      </c>
      <c r="DG257">
        <f>IF(OR(DE$3="",DE$3&gt;TODAY()),"",IF(AND(DE257="",DF257=""),"",N(DF257)-N(DE257)))</f>
        <v/>
      </c>
      <c r="DJ257">
        <f>IF(OR(DE$3="",DE$3&gt;TODAY()),"",IF(AND(DH257="",DI257=""),"",N(DI257)-N(DH257)))</f>
        <v/>
      </c>
      <c r="DN257">
        <f>IF(OR(DL$3="",DL$3&gt;TODAY()),"",IF(AND(DL257="",DM257=""),"",N(DM257)-N(DL257)))</f>
        <v/>
      </c>
      <c r="DQ257">
        <f>IF(OR(DL$3="",DL$3&gt;TODAY()),"",IF(AND(DO257="",DP257=""),"",N(DP257)-N(DO257)))</f>
        <v/>
      </c>
      <c r="DU257">
        <f>IF(OR(DS$3="",DS$3&gt;TODAY()),"",IF(AND(DS257="",DT257=""),"",N(DT257)-N(DS257)))</f>
        <v/>
      </c>
      <c r="DX257">
        <f>IF(OR(DS$3="",DS$3&gt;TODAY()),"",IF(AND(DV257="",DW257=""),"",N(DW257)-N(DV257)))</f>
        <v/>
      </c>
      <c r="EB257">
        <f>IF(OR(DZ$3="",DZ$3&gt;TODAY()),"",IF(AND(DZ257="",EA257=""),"",N(EA257)-N(DZ257)))</f>
        <v/>
      </c>
      <c r="EE257">
        <f>IF(OR(DZ$3="",DZ$3&gt;TODAY()),"",IF(AND(EC257="",ED257=""),"",N(ED257)-N(EC257)))</f>
        <v/>
      </c>
      <c r="EI257">
        <f>IF(OR(EG$3="",EG$3&gt;TODAY()),"",IF(AND(EG257="",EH257=""),"",N(EH257)-N(EG257)))</f>
        <v/>
      </c>
      <c r="EL257">
        <f>IF(OR(EG$3="",EG$3&gt;TODAY()),"",IF(AND(EJ257="",EK257=""),"",N(EK257)-N(EJ257)))</f>
        <v/>
      </c>
      <c r="EP257">
        <f>IF(OR(EN$3="",EN$3&gt;TODAY()),"",IF(AND(EN257="",EO257=""),"",N(EO257)-N(EN257)))</f>
        <v/>
      </c>
      <c r="ES257">
        <f>IF(OR(EN$3="",EN$3&gt;TODAY()),"",IF(AND(EQ257="",ER257=""),"",N(ER257)-N(EQ257)))</f>
        <v/>
      </c>
      <c r="EW257">
        <f>IF(OR(EU$3="",EU$3&gt;TODAY()),"",IF(AND(EU257="",EV257=""),"",N(EV257)-N(EU257)))</f>
        <v/>
      </c>
      <c r="EZ257">
        <f>IF(OR(EU$3="",EU$3&gt;TODAY()),"",IF(AND(EX257="",EY257=""),"",N(EY257)-N(EX257)))</f>
        <v/>
      </c>
      <c r="FD257">
        <f>IF(OR(FB$3="",FB$3&gt;TODAY()),"",IF(AND(FB257="",FC257=""),"",N(FC257)-N(FB257)))</f>
        <v/>
      </c>
      <c r="FG257">
        <f>IF(OR(FB$3="",FB$3&gt;TODAY()),"",IF(AND(FE257="",FF257=""),"",N(FF257)-N(FE257)))</f>
        <v/>
      </c>
      <c r="FK257">
        <f>IF(OR(FI$3="",FI$3&gt;TODAY()),"",IF(AND(FI257="",FJ257=""),"",N(FJ257)-N(FI257)))</f>
        <v/>
      </c>
      <c r="FN257">
        <f>IF(OR(FI$3="",FI$3&gt;TODAY()),"",IF(AND(FL257="",FM257=""),"",N(FM257)-N(FL257)))</f>
        <v/>
      </c>
      <c r="FR257">
        <f>IF(OR(FP$3="",FP$3&gt;TODAY()),"",IF(AND(FP257="",FQ257=""),"",N(FQ257)-N(FP257)))</f>
        <v/>
      </c>
      <c r="FU257">
        <f>IF(OR(FP$3="",FP$3&gt;TODAY()),"",IF(AND(FS257="",FT257=""),"",N(FT257)-N(FS257)))</f>
        <v/>
      </c>
      <c r="FY257">
        <f>IF(OR(FW$3="",FW$3&gt;TODAY()),"",IF(AND(FW257="",FX257=""),"",N(FX257)-N(FW257)))</f>
        <v/>
      </c>
      <c r="GB257">
        <f>IF(OR(FW$3="",FW$3&gt;TODAY()),"",IF(AND(FZ257="",GA257=""),"",N(GA257)-N(FZ257)))</f>
        <v/>
      </c>
      <c r="GF257">
        <f>IF(OR(GD$3="",GD$3&gt;TODAY()),"",IF(AND(GD257="",GE257=""),"",N(GE257)-N(GD257)))</f>
        <v/>
      </c>
      <c r="GI257">
        <f>IF(OR(GD$3="",GD$3&gt;TODAY()),"",IF(AND(GG257="",GH257=""),"",N(GH257)-N(GG257)))</f>
        <v/>
      </c>
      <c r="GM257">
        <f>IF(OR(GK$3="",GK$3&gt;TODAY()),"",IF(AND(GK257="",GL257=""),"",N(GL257)-N(GK257)))</f>
        <v/>
      </c>
      <c r="GP257">
        <f>IF(OR(GK$3="",GK$3&gt;TODAY()),"",IF(AND(GN257="",GO257=""),"",N(GO257)-N(GN257)))</f>
        <v/>
      </c>
      <c r="GT257">
        <f>IF(OR(GR$3="",GR$3&gt;TODAY()),"",IF(AND(GR257="",GS257=""),"",N(GS257)-N(GR257)))</f>
        <v/>
      </c>
      <c r="GW257">
        <f>IF(OR(GR$3="",GR$3&gt;TODAY()),"",IF(AND(GU257="",GV257=""),"",N(GV257)-N(GU257)))</f>
        <v/>
      </c>
      <c r="HA257">
        <f>IF(OR(GY$3="",GY$3&gt;TODAY()),"",IF(AND(GY257="",GZ257=""),"",N(GZ257)-N(GY257)))</f>
        <v/>
      </c>
      <c r="HD257">
        <f>IF(OR(GY$3="",GY$3&gt;TODAY()),"",IF(AND(HB257="",HC257=""),"",N(HC257)-N(HB257)))</f>
        <v/>
      </c>
      <c r="HH257">
        <f>IF(OR(HF$3="",HF$3&gt;TODAY()),"",IF(AND(HF257="",HG257=""),"",N(HG257)-N(HF257)))</f>
        <v/>
      </c>
      <c r="HK257">
        <f>IF(OR(HF$3="",HF$3&gt;TODAY()),"",IF(AND(HI257="",HJ257=""),"",N(HJ257)-N(HI257)))</f>
        <v/>
      </c>
      <c r="HO257">
        <f>IF(OR(HM$3="",HM$3&gt;TODAY()),"",IF(AND(HM257="",HN257=""),"",N(HN257)-N(HM257)))</f>
        <v/>
      </c>
      <c r="HR257">
        <f>IF(OR(HM$3="",HM$3&gt;TODAY()),"",IF(AND(HP257="",HQ257=""),"",N(HQ257)-N(HP257)))</f>
        <v/>
      </c>
      <c r="HV257">
        <f>IF(OR(HT$3="",HT$3&gt;TODAY()),"",IF(AND(HT257="",HU257=""),"",N(HU257)-N(HT257)))</f>
        <v/>
      </c>
      <c r="HY257">
        <f>IF(OR(HT$3="",HT$3&gt;TODAY()),"",IF(AND(HW257="",HX257=""),"",N(HX257)-N(HW257)))</f>
        <v/>
      </c>
      <c r="IC257">
        <f>IF(OR(IA$3="",IA$3&gt;TODAY()),"",IF(AND(IA257="",IB257=""),"",N(IB257)-N(IA257)))</f>
        <v/>
      </c>
      <c r="IF257">
        <f>IF(OR(IA$3="",IA$3&gt;TODAY()),"",IF(AND(ID257="",IE257=""),"",N(IE257)-N(ID257)))</f>
        <v/>
      </c>
      <c r="IJ257">
        <f>IF(OR(IH$3="",IH$3&gt;TODAY()),"",IF(AND(IH257="",II257=""),"",N(II257)-N(IH257)))</f>
        <v/>
      </c>
      <c r="IM257">
        <f>IF(OR(IH$3="",IH$3&gt;TODAY()),"",IF(AND(IK257="",IL257=""),"",N(IL257)-N(IK257)))</f>
        <v/>
      </c>
    </row>
    <row r="258">
      <c r="A258" s="21" t="n"/>
      <c r="B258" s="21" t="n"/>
      <c r="C258" s="21" t="n"/>
      <c r="D258" s="21" t="n"/>
      <c r="E258" s="21" t="n"/>
      <c r="F258" s="21" t="n"/>
      <c r="G258" s="21" t="n"/>
      <c r="H258" s="21" t="n"/>
      <c r="I258" s="22" t="n"/>
      <c r="J258" s="22" t="n"/>
      <c r="K258" s="23" t="n"/>
      <c r="L258" s="22" t="n"/>
      <c r="M258" s="22" t="n"/>
      <c r="N258" s="21" t="n"/>
      <c r="O258" s="23" t="n"/>
      <c r="P258" s="23" t="n"/>
      <c r="Q258" s="23" t="n"/>
      <c r="R258" s="23" t="n"/>
      <c r="S258" s="22" t="n"/>
      <c r="T258" s="23" t="n"/>
      <c r="U258" s="23" t="n"/>
      <c r="V258" s="24">
        <f>IF(J258&lt;&gt;"",J258,IF(I258&lt;&gt;"",I258,""))</f>
        <v/>
      </c>
      <c r="W258" s="25">
        <f>IF($E258="","",N(O258)+SUMIFS($AF258:$IN258,$AF$4:$IN$4,"SEW_ACT"))</f>
        <v/>
      </c>
      <c r="X258" s="25">
        <f>IF($E258="","",N(P258)+SUMIFS($AF258:$IN258,$AF$4:$IN$4,"WASH_ACT"))</f>
        <v/>
      </c>
      <c r="Y258" s="25">
        <f>IF($E258="","",W258-X258-N(T258)-N(U258))</f>
        <v/>
      </c>
      <c r="Z258" s="25">
        <f>IF($E258="","",IF(N(K258)-X258&lt;=0.02*N(K258),0,N(K258)-X258))</f>
        <v/>
      </c>
      <c r="AA258" s="24">
        <f>IF($E258="","",IF(S258&lt;&gt;"",S258,IF(N(O258)&gt;0,IF(L258&lt;&gt;"",L258,99999),IFERROR(1/(1/_xlfn.MINIFS($AF$3:$IN$3,$AF$4:$IN$4,"SEW_ACT",$AF258:$IN258,"&gt;0")),99999))))</f>
        <v/>
      </c>
      <c r="AB258" s="26">
        <f>IF(OR($E258="",Z258=0,V258=""),"",1+COUNTIFS(Z$8:Z$707,"&gt;0",V$8:V$707,"&lt;"&amp;V258)+COUNTIFS(Z$8:Z$707,"&gt;0",V$8:V$707,V258,AA$8:AA$707,"&lt;"&amp;AA258)+COUNTIFS(Z$8:Z$707,"&gt;0",V$8:V$707,V258,AA$8:AA$707,AA258,E$8:E$707,"&lt;"&amp;$E258))</f>
        <v/>
      </c>
      <c r="AC258" s="24">
        <f>IF(OR($E258="",Z258=0),"",IFERROR(TODAY()+ROUNDUP(Z258/(SUMIFS($AF258:$IN258,$AF$4:$IN$4,"WASH_ACT")/COUNTIFS($AF$4:$IN$4,"WASH_ACT",$AF258:$IN258,"&gt;0")),0),"no output yet"))</f>
        <v/>
      </c>
      <c r="AD258" s="26">
        <f>IF($E258="","",IFERROR(ROUND(MAX(0,SUMIFS($AF258:$IN258,$AF$4:$IN$4,"SEW_PLAN",$AF$3:$IN$3,"&lt;="&amp;TODAY())-SUMIFS($AF258:$IN258,$AF$4:$IN$4,"SEW_ACT",$AF$3:$IN$3,"&lt;="&amp;TODAY())+N(Q258))/(SUMIFS($AF258:$IN258,$AF$4:$IN$4,"SEW_PLAN")/COUNTIFS($AF$4:$IN$4,"SEW_PLAN",$AF258:$IN258,"&gt;0")),1),0))</f>
        <v/>
      </c>
      <c r="AE258" s="26">
        <f>IF($E258="","",IF(AND(Z258&gt;0,OR(AND(M258&lt;&gt;"",TODAY()&gt;M258),AND(V258&lt;&gt;"",V258-TODAY()&lt;=7))),"Yes","No"))</f>
        <v/>
      </c>
      <c r="AH258">
        <f>IF(OR(AF$3="",AF$3&gt;TODAY()),"",IF(AND(AF258="",AG258=""),"",N(AG258)-N(AF258)))</f>
        <v/>
      </c>
      <c r="AK258">
        <f>IF(OR(AF$3="",AF$3&gt;TODAY()),"",IF(AND(AI258="",AJ258=""),"",N(AJ258)-N(AI258)))</f>
        <v/>
      </c>
      <c r="AO258">
        <f>IF(OR(AM$3="",AM$3&gt;TODAY()),"",IF(AND(AM258="",AN258=""),"",N(AN258)-N(AM258)))</f>
        <v/>
      </c>
      <c r="AR258">
        <f>IF(OR(AM$3="",AM$3&gt;TODAY()),"",IF(AND(AP258="",AQ258=""),"",N(AQ258)-N(AP258)))</f>
        <v/>
      </c>
      <c r="AV258">
        <f>IF(OR(AT$3="",AT$3&gt;TODAY()),"",IF(AND(AT258="",AU258=""),"",N(AU258)-N(AT258)))</f>
        <v/>
      </c>
      <c r="AY258">
        <f>IF(OR(AT$3="",AT$3&gt;TODAY()),"",IF(AND(AW258="",AX258=""),"",N(AX258)-N(AW258)))</f>
        <v/>
      </c>
      <c r="BC258">
        <f>IF(OR(BA$3="",BA$3&gt;TODAY()),"",IF(AND(BA258="",BB258=""),"",N(BB258)-N(BA258)))</f>
        <v/>
      </c>
      <c r="BF258">
        <f>IF(OR(BA$3="",BA$3&gt;TODAY()),"",IF(AND(BD258="",BE258=""),"",N(BE258)-N(BD258)))</f>
        <v/>
      </c>
      <c r="BJ258">
        <f>IF(OR(BH$3="",BH$3&gt;TODAY()),"",IF(AND(BH258="",BI258=""),"",N(BI258)-N(BH258)))</f>
        <v/>
      </c>
      <c r="BM258">
        <f>IF(OR(BH$3="",BH$3&gt;TODAY()),"",IF(AND(BK258="",BL258=""),"",N(BL258)-N(BK258)))</f>
        <v/>
      </c>
      <c r="BQ258">
        <f>IF(OR(BO$3="",BO$3&gt;TODAY()),"",IF(AND(BO258="",BP258=""),"",N(BP258)-N(BO258)))</f>
        <v/>
      </c>
      <c r="BT258">
        <f>IF(OR(BO$3="",BO$3&gt;TODAY()),"",IF(AND(BR258="",BS258=""),"",N(BS258)-N(BR258)))</f>
        <v/>
      </c>
      <c r="BX258">
        <f>IF(OR(BV$3="",BV$3&gt;TODAY()),"",IF(AND(BV258="",BW258=""),"",N(BW258)-N(BV258)))</f>
        <v/>
      </c>
      <c r="CA258">
        <f>IF(OR(BV$3="",BV$3&gt;TODAY()),"",IF(AND(BY258="",BZ258=""),"",N(BZ258)-N(BY258)))</f>
        <v/>
      </c>
      <c r="CE258">
        <f>IF(OR(CC$3="",CC$3&gt;TODAY()),"",IF(AND(CC258="",CD258=""),"",N(CD258)-N(CC258)))</f>
        <v/>
      </c>
      <c r="CH258">
        <f>IF(OR(CC$3="",CC$3&gt;TODAY()),"",IF(AND(CF258="",CG258=""),"",N(CG258)-N(CF258)))</f>
        <v/>
      </c>
      <c r="CL258">
        <f>IF(OR(CJ$3="",CJ$3&gt;TODAY()),"",IF(AND(CJ258="",CK258=""),"",N(CK258)-N(CJ258)))</f>
        <v/>
      </c>
      <c r="CO258">
        <f>IF(OR(CJ$3="",CJ$3&gt;TODAY()),"",IF(AND(CM258="",CN258=""),"",N(CN258)-N(CM258)))</f>
        <v/>
      </c>
      <c r="CS258">
        <f>IF(OR(CQ$3="",CQ$3&gt;TODAY()),"",IF(AND(CQ258="",CR258=""),"",N(CR258)-N(CQ258)))</f>
        <v/>
      </c>
      <c r="CV258">
        <f>IF(OR(CQ$3="",CQ$3&gt;TODAY()),"",IF(AND(CT258="",CU258=""),"",N(CU258)-N(CT258)))</f>
        <v/>
      </c>
      <c r="CZ258">
        <f>IF(OR(CX$3="",CX$3&gt;TODAY()),"",IF(AND(CX258="",CY258=""),"",N(CY258)-N(CX258)))</f>
        <v/>
      </c>
      <c r="DC258">
        <f>IF(OR(CX$3="",CX$3&gt;TODAY()),"",IF(AND(DA258="",DB258=""),"",N(DB258)-N(DA258)))</f>
        <v/>
      </c>
      <c r="DG258">
        <f>IF(OR(DE$3="",DE$3&gt;TODAY()),"",IF(AND(DE258="",DF258=""),"",N(DF258)-N(DE258)))</f>
        <v/>
      </c>
      <c r="DJ258">
        <f>IF(OR(DE$3="",DE$3&gt;TODAY()),"",IF(AND(DH258="",DI258=""),"",N(DI258)-N(DH258)))</f>
        <v/>
      </c>
      <c r="DN258">
        <f>IF(OR(DL$3="",DL$3&gt;TODAY()),"",IF(AND(DL258="",DM258=""),"",N(DM258)-N(DL258)))</f>
        <v/>
      </c>
      <c r="DQ258">
        <f>IF(OR(DL$3="",DL$3&gt;TODAY()),"",IF(AND(DO258="",DP258=""),"",N(DP258)-N(DO258)))</f>
        <v/>
      </c>
      <c r="DU258">
        <f>IF(OR(DS$3="",DS$3&gt;TODAY()),"",IF(AND(DS258="",DT258=""),"",N(DT258)-N(DS258)))</f>
        <v/>
      </c>
      <c r="DX258">
        <f>IF(OR(DS$3="",DS$3&gt;TODAY()),"",IF(AND(DV258="",DW258=""),"",N(DW258)-N(DV258)))</f>
        <v/>
      </c>
      <c r="EB258">
        <f>IF(OR(DZ$3="",DZ$3&gt;TODAY()),"",IF(AND(DZ258="",EA258=""),"",N(EA258)-N(DZ258)))</f>
        <v/>
      </c>
      <c r="EE258">
        <f>IF(OR(DZ$3="",DZ$3&gt;TODAY()),"",IF(AND(EC258="",ED258=""),"",N(ED258)-N(EC258)))</f>
        <v/>
      </c>
      <c r="EI258">
        <f>IF(OR(EG$3="",EG$3&gt;TODAY()),"",IF(AND(EG258="",EH258=""),"",N(EH258)-N(EG258)))</f>
        <v/>
      </c>
      <c r="EL258">
        <f>IF(OR(EG$3="",EG$3&gt;TODAY()),"",IF(AND(EJ258="",EK258=""),"",N(EK258)-N(EJ258)))</f>
        <v/>
      </c>
      <c r="EP258">
        <f>IF(OR(EN$3="",EN$3&gt;TODAY()),"",IF(AND(EN258="",EO258=""),"",N(EO258)-N(EN258)))</f>
        <v/>
      </c>
      <c r="ES258">
        <f>IF(OR(EN$3="",EN$3&gt;TODAY()),"",IF(AND(EQ258="",ER258=""),"",N(ER258)-N(EQ258)))</f>
        <v/>
      </c>
      <c r="EW258">
        <f>IF(OR(EU$3="",EU$3&gt;TODAY()),"",IF(AND(EU258="",EV258=""),"",N(EV258)-N(EU258)))</f>
        <v/>
      </c>
      <c r="EZ258">
        <f>IF(OR(EU$3="",EU$3&gt;TODAY()),"",IF(AND(EX258="",EY258=""),"",N(EY258)-N(EX258)))</f>
        <v/>
      </c>
      <c r="FD258">
        <f>IF(OR(FB$3="",FB$3&gt;TODAY()),"",IF(AND(FB258="",FC258=""),"",N(FC258)-N(FB258)))</f>
        <v/>
      </c>
      <c r="FG258">
        <f>IF(OR(FB$3="",FB$3&gt;TODAY()),"",IF(AND(FE258="",FF258=""),"",N(FF258)-N(FE258)))</f>
        <v/>
      </c>
      <c r="FK258">
        <f>IF(OR(FI$3="",FI$3&gt;TODAY()),"",IF(AND(FI258="",FJ258=""),"",N(FJ258)-N(FI258)))</f>
        <v/>
      </c>
      <c r="FN258">
        <f>IF(OR(FI$3="",FI$3&gt;TODAY()),"",IF(AND(FL258="",FM258=""),"",N(FM258)-N(FL258)))</f>
        <v/>
      </c>
      <c r="FR258">
        <f>IF(OR(FP$3="",FP$3&gt;TODAY()),"",IF(AND(FP258="",FQ258=""),"",N(FQ258)-N(FP258)))</f>
        <v/>
      </c>
      <c r="FU258">
        <f>IF(OR(FP$3="",FP$3&gt;TODAY()),"",IF(AND(FS258="",FT258=""),"",N(FT258)-N(FS258)))</f>
        <v/>
      </c>
      <c r="FY258">
        <f>IF(OR(FW$3="",FW$3&gt;TODAY()),"",IF(AND(FW258="",FX258=""),"",N(FX258)-N(FW258)))</f>
        <v/>
      </c>
      <c r="GB258">
        <f>IF(OR(FW$3="",FW$3&gt;TODAY()),"",IF(AND(FZ258="",GA258=""),"",N(GA258)-N(FZ258)))</f>
        <v/>
      </c>
      <c r="GF258">
        <f>IF(OR(GD$3="",GD$3&gt;TODAY()),"",IF(AND(GD258="",GE258=""),"",N(GE258)-N(GD258)))</f>
        <v/>
      </c>
      <c r="GI258">
        <f>IF(OR(GD$3="",GD$3&gt;TODAY()),"",IF(AND(GG258="",GH258=""),"",N(GH258)-N(GG258)))</f>
        <v/>
      </c>
      <c r="GM258">
        <f>IF(OR(GK$3="",GK$3&gt;TODAY()),"",IF(AND(GK258="",GL258=""),"",N(GL258)-N(GK258)))</f>
        <v/>
      </c>
      <c r="GP258">
        <f>IF(OR(GK$3="",GK$3&gt;TODAY()),"",IF(AND(GN258="",GO258=""),"",N(GO258)-N(GN258)))</f>
        <v/>
      </c>
      <c r="GT258">
        <f>IF(OR(GR$3="",GR$3&gt;TODAY()),"",IF(AND(GR258="",GS258=""),"",N(GS258)-N(GR258)))</f>
        <v/>
      </c>
      <c r="GW258">
        <f>IF(OR(GR$3="",GR$3&gt;TODAY()),"",IF(AND(GU258="",GV258=""),"",N(GV258)-N(GU258)))</f>
        <v/>
      </c>
      <c r="HA258">
        <f>IF(OR(GY$3="",GY$3&gt;TODAY()),"",IF(AND(GY258="",GZ258=""),"",N(GZ258)-N(GY258)))</f>
        <v/>
      </c>
      <c r="HD258">
        <f>IF(OR(GY$3="",GY$3&gt;TODAY()),"",IF(AND(HB258="",HC258=""),"",N(HC258)-N(HB258)))</f>
        <v/>
      </c>
      <c r="HH258">
        <f>IF(OR(HF$3="",HF$3&gt;TODAY()),"",IF(AND(HF258="",HG258=""),"",N(HG258)-N(HF258)))</f>
        <v/>
      </c>
      <c r="HK258">
        <f>IF(OR(HF$3="",HF$3&gt;TODAY()),"",IF(AND(HI258="",HJ258=""),"",N(HJ258)-N(HI258)))</f>
        <v/>
      </c>
      <c r="HO258">
        <f>IF(OR(HM$3="",HM$3&gt;TODAY()),"",IF(AND(HM258="",HN258=""),"",N(HN258)-N(HM258)))</f>
        <v/>
      </c>
      <c r="HR258">
        <f>IF(OR(HM$3="",HM$3&gt;TODAY()),"",IF(AND(HP258="",HQ258=""),"",N(HQ258)-N(HP258)))</f>
        <v/>
      </c>
      <c r="HV258">
        <f>IF(OR(HT$3="",HT$3&gt;TODAY()),"",IF(AND(HT258="",HU258=""),"",N(HU258)-N(HT258)))</f>
        <v/>
      </c>
      <c r="HY258">
        <f>IF(OR(HT$3="",HT$3&gt;TODAY()),"",IF(AND(HW258="",HX258=""),"",N(HX258)-N(HW258)))</f>
        <v/>
      </c>
      <c r="IC258">
        <f>IF(OR(IA$3="",IA$3&gt;TODAY()),"",IF(AND(IA258="",IB258=""),"",N(IB258)-N(IA258)))</f>
        <v/>
      </c>
      <c r="IF258">
        <f>IF(OR(IA$3="",IA$3&gt;TODAY()),"",IF(AND(ID258="",IE258=""),"",N(IE258)-N(ID258)))</f>
        <v/>
      </c>
      <c r="IJ258">
        <f>IF(OR(IH$3="",IH$3&gt;TODAY()),"",IF(AND(IH258="",II258=""),"",N(II258)-N(IH258)))</f>
        <v/>
      </c>
      <c r="IM258">
        <f>IF(OR(IH$3="",IH$3&gt;TODAY()),"",IF(AND(IK258="",IL258=""),"",N(IL258)-N(IK258)))</f>
        <v/>
      </c>
    </row>
    <row r="259">
      <c r="A259" s="21" t="n"/>
      <c r="B259" s="21" t="n"/>
      <c r="C259" s="21" t="n"/>
      <c r="D259" s="21" t="n"/>
      <c r="E259" s="21" t="n"/>
      <c r="F259" s="21" t="n"/>
      <c r="G259" s="21" t="n"/>
      <c r="H259" s="21" t="n"/>
      <c r="I259" s="22" t="n"/>
      <c r="J259" s="22" t="n"/>
      <c r="K259" s="23" t="n"/>
      <c r="L259" s="22" t="n"/>
      <c r="M259" s="22" t="n"/>
      <c r="N259" s="21" t="n"/>
      <c r="O259" s="23" t="n"/>
      <c r="P259" s="23" t="n"/>
      <c r="Q259" s="23" t="n"/>
      <c r="R259" s="23" t="n"/>
      <c r="S259" s="22" t="n"/>
      <c r="T259" s="23" t="n"/>
      <c r="U259" s="23" t="n"/>
      <c r="V259" s="24">
        <f>IF(J259&lt;&gt;"",J259,IF(I259&lt;&gt;"",I259,""))</f>
        <v/>
      </c>
      <c r="W259" s="25">
        <f>IF($E259="","",N(O259)+SUMIFS($AF259:$IN259,$AF$4:$IN$4,"SEW_ACT"))</f>
        <v/>
      </c>
      <c r="X259" s="25">
        <f>IF($E259="","",N(P259)+SUMIFS($AF259:$IN259,$AF$4:$IN$4,"WASH_ACT"))</f>
        <v/>
      </c>
      <c r="Y259" s="25">
        <f>IF($E259="","",W259-X259-N(T259)-N(U259))</f>
        <v/>
      </c>
      <c r="Z259" s="25">
        <f>IF($E259="","",IF(N(K259)-X259&lt;=0.02*N(K259),0,N(K259)-X259))</f>
        <v/>
      </c>
      <c r="AA259" s="24">
        <f>IF($E259="","",IF(S259&lt;&gt;"",S259,IF(N(O259)&gt;0,IF(L259&lt;&gt;"",L259,99999),IFERROR(1/(1/_xlfn.MINIFS($AF$3:$IN$3,$AF$4:$IN$4,"SEW_ACT",$AF259:$IN259,"&gt;0")),99999))))</f>
        <v/>
      </c>
      <c r="AB259" s="26">
        <f>IF(OR($E259="",Z259=0,V259=""),"",1+COUNTIFS(Z$8:Z$707,"&gt;0",V$8:V$707,"&lt;"&amp;V259)+COUNTIFS(Z$8:Z$707,"&gt;0",V$8:V$707,V259,AA$8:AA$707,"&lt;"&amp;AA259)+COUNTIFS(Z$8:Z$707,"&gt;0",V$8:V$707,V259,AA$8:AA$707,AA259,E$8:E$707,"&lt;"&amp;$E259))</f>
        <v/>
      </c>
      <c r="AC259" s="24">
        <f>IF(OR($E259="",Z259=0),"",IFERROR(TODAY()+ROUNDUP(Z259/(SUMIFS($AF259:$IN259,$AF$4:$IN$4,"WASH_ACT")/COUNTIFS($AF$4:$IN$4,"WASH_ACT",$AF259:$IN259,"&gt;0")),0),"no output yet"))</f>
        <v/>
      </c>
      <c r="AD259" s="26">
        <f>IF($E259="","",IFERROR(ROUND(MAX(0,SUMIFS($AF259:$IN259,$AF$4:$IN$4,"SEW_PLAN",$AF$3:$IN$3,"&lt;="&amp;TODAY())-SUMIFS($AF259:$IN259,$AF$4:$IN$4,"SEW_ACT",$AF$3:$IN$3,"&lt;="&amp;TODAY())+N(Q259))/(SUMIFS($AF259:$IN259,$AF$4:$IN$4,"SEW_PLAN")/COUNTIFS($AF$4:$IN$4,"SEW_PLAN",$AF259:$IN259,"&gt;0")),1),0))</f>
        <v/>
      </c>
      <c r="AE259" s="26">
        <f>IF($E259="","",IF(AND(Z259&gt;0,OR(AND(M259&lt;&gt;"",TODAY()&gt;M259),AND(V259&lt;&gt;"",V259-TODAY()&lt;=7))),"Yes","No"))</f>
        <v/>
      </c>
      <c r="AH259">
        <f>IF(OR(AF$3="",AF$3&gt;TODAY()),"",IF(AND(AF259="",AG259=""),"",N(AG259)-N(AF259)))</f>
        <v/>
      </c>
      <c r="AK259">
        <f>IF(OR(AF$3="",AF$3&gt;TODAY()),"",IF(AND(AI259="",AJ259=""),"",N(AJ259)-N(AI259)))</f>
        <v/>
      </c>
      <c r="AO259">
        <f>IF(OR(AM$3="",AM$3&gt;TODAY()),"",IF(AND(AM259="",AN259=""),"",N(AN259)-N(AM259)))</f>
        <v/>
      </c>
      <c r="AR259">
        <f>IF(OR(AM$3="",AM$3&gt;TODAY()),"",IF(AND(AP259="",AQ259=""),"",N(AQ259)-N(AP259)))</f>
        <v/>
      </c>
      <c r="AV259">
        <f>IF(OR(AT$3="",AT$3&gt;TODAY()),"",IF(AND(AT259="",AU259=""),"",N(AU259)-N(AT259)))</f>
        <v/>
      </c>
      <c r="AY259">
        <f>IF(OR(AT$3="",AT$3&gt;TODAY()),"",IF(AND(AW259="",AX259=""),"",N(AX259)-N(AW259)))</f>
        <v/>
      </c>
      <c r="BC259">
        <f>IF(OR(BA$3="",BA$3&gt;TODAY()),"",IF(AND(BA259="",BB259=""),"",N(BB259)-N(BA259)))</f>
        <v/>
      </c>
      <c r="BF259">
        <f>IF(OR(BA$3="",BA$3&gt;TODAY()),"",IF(AND(BD259="",BE259=""),"",N(BE259)-N(BD259)))</f>
        <v/>
      </c>
      <c r="BJ259">
        <f>IF(OR(BH$3="",BH$3&gt;TODAY()),"",IF(AND(BH259="",BI259=""),"",N(BI259)-N(BH259)))</f>
        <v/>
      </c>
      <c r="BM259">
        <f>IF(OR(BH$3="",BH$3&gt;TODAY()),"",IF(AND(BK259="",BL259=""),"",N(BL259)-N(BK259)))</f>
        <v/>
      </c>
      <c r="BQ259">
        <f>IF(OR(BO$3="",BO$3&gt;TODAY()),"",IF(AND(BO259="",BP259=""),"",N(BP259)-N(BO259)))</f>
        <v/>
      </c>
      <c r="BT259">
        <f>IF(OR(BO$3="",BO$3&gt;TODAY()),"",IF(AND(BR259="",BS259=""),"",N(BS259)-N(BR259)))</f>
        <v/>
      </c>
      <c r="BX259">
        <f>IF(OR(BV$3="",BV$3&gt;TODAY()),"",IF(AND(BV259="",BW259=""),"",N(BW259)-N(BV259)))</f>
        <v/>
      </c>
      <c r="CA259">
        <f>IF(OR(BV$3="",BV$3&gt;TODAY()),"",IF(AND(BY259="",BZ259=""),"",N(BZ259)-N(BY259)))</f>
        <v/>
      </c>
      <c r="CE259">
        <f>IF(OR(CC$3="",CC$3&gt;TODAY()),"",IF(AND(CC259="",CD259=""),"",N(CD259)-N(CC259)))</f>
        <v/>
      </c>
      <c r="CH259">
        <f>IF(OR(CC$3="",CC$3&gt;TODAY()),"",IF(AND(CF259="",CG259=""),"",N(CG259)-N(CF259)))</f>
        <v/>
      </c>
      <c r="CL259">
        <f>IF(OR(CJ$3="",CJ$3&gt;TODAY()),"",IF(AND(CJ259="",CK259=""),"",N(CK259)-N(CJ259)))</f>
        <v/>
      </c>
      <c r="CO259">
        <f>IF(OR(CJ$3="",CJ$3&gt;TODAY()),"",IF(AND(CM259="",CN259=""),"",N(CN259)-N(CM259)))</f>
        <v/>
      </c>
      <c r="CS259">
        <f>IF(OR(CQ$3="",CQ$3&gt;TODAY()),"",IF(AND(CQ259="",CR259=""),"",N(CR259)-N(CQ259)))</f>
        <v/>
      </c>
      <c r="CV259">
        <f>IF(OR(CQ$3="",CQ$3&gt;TODAY()),"",IF(AND(CT259="",CU259=""),"",N(CU259)-N(CT259)))</f>
        <v/>
      </c>
      <c r="CZ259">
        <f>IF(OR(CX$3="",CX$3&gt;TODAY()),"",IF(AND(CX259="",CY259=""),"",N(CY259)-N(CX259)))</f>
        <v/>
      </c>
      <c r="DC259">
        <f>IF(OR(CX$3="",CX$3&gt;TODAY()),"",IF(AND(DA259="",DB259=""),"",N(DB259)-N(DA259)))</f>
        <v/>
      </c>
      <c r="DG259">
        <f>IF(OR(DE$3="",DE$3&gt;TODAY()),"",IF(AND(DE259="",DF259=""),"",N(DF259)-N(DE259)))</f>
        <v/>
      </c>
      <c r="DJ259">
        <f>IF(OR(DE$3="",DE$3&gt;TODAY()),"",IF(AND(DH259="",DI259=""),"",N(DI259)-N(DH259)))</f>
        <v/>
      </c>
      <c r="DN259">
        <f>IF(OR(DL$3="",DL$3&gt;TODAY()),"",IF(AND(DL259="",DM259=""),"",N(DM259)-N(DL259)))</f>
        <v/>
      </c>
      <c r="DQ259">
        <f>IF(OR(DL$3="",DL$3&gt;TODAY()),"",IF(AND(DO259="",DP259=""),"",N(DP259)-N(DO259)))</f>
        <v/>
      </c>
      <c r="DU259">
        <f>IF(OR(DS$3="",DS$3&gt;TODAY()),"",IF(AND(DS259="",DT259=""),"",N(DT259)-N(DS259)))</f>
        <v/>
      </c>
      <c r="DX259">
        <f>IF(OR(DS$3="",DS$3&gt;TODAY()),"",IF(AND(DV259="",DW259=""),"",N(DW259)-N(DV259)))</f>
        <v/>
      </c>
      <c r="EB259">
        <f>IF(OR(DZ$3="",DZ$3&gt;TODAY()),"",IF(AND(DZ259="",EA259=""),"",N(EA259)-N(DZ259)))</f>
        <v/>
      </c>
      <c r="EE259">
        <f>IF(OR(DZ$3="",DZ$3&gt;TODAY()),"",IF(AND(EC259="",ED259=""),"",N(ED259)-N(EC259)))</f>
        <v/>
      </c>
      <c r="EI259">
        <f>IF(OR(EG$3="",EG$3&gt;TODAY()),"",IF(AND(EG259="",EH259=""),"",N(EH259)-N(EG259)))</f>
        <v/>
      </c>
      <c r="EL259">
        <f>IF(OR(EG$3="",EG$3&gt;TODAY()),"",IF(AND(EJ259="",EK259=""),"",N(EK259)-N(EJ259)))</f>
        <v/>
      </c>
      <c r="EP259">
        <f>IF(OR(EN$3="",EN$3&gt;TODAY()),"",IF(AND(EN259="",EO259=""),"",N(EO259)-N(EN259)))</f>
        <v/>
      </c>
      <c r="ES259">
        <f>IF(OR(EN$3="",EN$3&gt;TODAY()),"",IF(AND(EQ259="",ER259=""),"",N(ER259)-N(EQ259)))</f>
        <v/>
      </c>
      <c r="EW259">
        <f>IF(OR(EU$3="",EU$3&gt;TODAY()),"",IF(AND(EU259="",EV259=""),"",N(EV259)-N(EU259)))</f>
        <v/>
      </c>
      <c r="EZ259">
        <f>IF(OR(EU$3="",EU$3&gt;TODAY()),"",IF(AND(EX259="",EY259=""),"",N(EY259)-N(EX259)))</f>
        <v/>
      </c>
      <c r="FD259">
        <f>IF(OR(FB$3="",FB$3&gt;TODAY()),"",IF(AND(FB259="",FC259=""),"",N(FC259)-N(FB259)))</f>
        <v/>
      </c>
      <c r="FG259">
        <f>IF(OR(FB$3="",FB$3&gt;TODAY()),"",IF(AND(FE259="",FF259=""),"",N(FF259)-N(FE259)))</f>
        <v/>
      </c>
      <c r="FK259">
        <f>IF(OR(FI$3="",FI$3&gt;TODAY()),"",IF(AND(FI259="",FJ259=""),"",N(FJ259)-N(FI259)))</f>
        <v/>
      </c>
      <c r="FN259">
        <f>IF(OR(FI$3="",FI$3&gt;TODAY()),"",IF(AND(FL259="",FM259=""),"",N(FM259)-N(FL259)))</f>
        <v/>
      </c>
      <c r="FR259">
        <f>IF(OR(FP$3="",FP$3&gt;TODAY()),"",IF(AND(FP259="",FQ259=""),"",N(FQ259)-N(FP259)))</f>
        <v/>
      </c>
      <c r="FU259">
        <f>IF(OR(FP$3="",FP$3&gt;TODAY()),"",IF(AND(FS259="",FT259=""),"",N(FT259)-N(FS259)))</f>
        <v/>
      </c>
      <c r="FY259">
        <f>IF(OR(FW$3="",FW$3&gt;TODAY()),"",IF(AND(FW259="",FX259=""),"",N(FX259)-N(FW259)))</f>
        <v/>
      </c>
      <c r="GB259">
        <f>IF(OR(FW$3="",FW$3&gt;TODAY()),"",IF(AND(FZ259="",GA259=""),"",N(GA259)-N(FZ259)))</f>
        <v/>
      </c>
      <c r="GF259">
        <f>IF(OR(GD$3="",GD$3&gt;TODAY()),"",IF(AND(GD259="",GE259=""),"",N(GE259)-N(GD259)))</f>
        <v/>
      </c>
      <c r="GI259">
        <f>IF(OR(GD$3="",GD$3&gt;TODAY()),"",IF(AND(GG259="",GH259=""),"",N(GH259)-N(GG259)))</f>
        <v/>
      </c>
      <c r="GM259">
        <f>IF(OR(GK$3="",GK$3&gt;TODAY()),"",IF(AND(GK259="",GL259=""),"",N(GL259)-N(GK259)))</f>
        <v/>
      </c>
      <c r="GP259">
        <f>IF(OR(GK$3="",GK$3&gt;TODAY()),"",IF(AND(GN259="",GO259=""),"",N(GO259)-N(GN259)))</f>
        <v/>
      </c>
      <c r="GT259">
        <f>IF(OR(GR$3="",GR$3&gt;TODAY()),"",IF(AND(GR259="",GS259=""),"",N(GS259)-N(GR259)))</f>
        <v/>
      </c>
      <c r="GW259">
        <f>IF(OR(GR$3="",GR$3&gt;TODAY()),"",IF(AND(GU259="",GV259=""),"",N(GV259)-N(GU259)))</f>
        <v/>
      </c>
      <c r="HA259">
        <f>IF(OR(GY$3="",GY$3&gt;TODAY()),"",IF(AND(GY259="",GZ259=""),"",N(GZ259)-N(GY259)))</f>
        <v/>
      </c>
      <c r="HD259">
        <f>IF(OR(GY$3="",GY$3&gt;TODAY()),"",IF(AND(HB259="",HC259=""),"",N(HC259)-N(HB259)))</f>
        <v/>
      </c>
      <c r="HH259">
        <f>IF(OR(HF$3="",HF$3&gt;TODAY()),"",IF(AND(HF259="",HG259=""),"",N(HG259)-N(HF259)))</f>
        <v/>
      </c>
      <c r="HK259">
        <f>IF(OR(HF$3="",HF$3&gt;TODAY()),"",IF(AND(HI259="",HJ259=""),"",N(HJ259)-N(HI259)))</f>
        <v/>
      </c>
      <c r="HO259">
        <f>IF(OR(HM$3="",HM$3&gt;TODAY()),"",IF(AND(HM259="",HN259=""),"",N(HN259)-N(HM259)))</f>
        <v/>
      </c>
      <c r="HR259">
        <f>IF(OR(HM$3="",HM$3&gt;TODAY()),"",IF(AND(HP259="",HQ259=""),"",N(HQ259)-N(HP259)))</f>
        <v/>
      </c>
      <c r="HV259">
        <f>IF(OR(HT$3="",HT$3&gt;TODAY()),"",IF(AND(HT259="",HU259=""),"",N(HU259)-N(HT259)))</f>
        <v/>
      </c>
      <c r="HY259">
        <f>IF(OR(HT$3="",HT$3&gt;TODAY()),"",IF(AND(HW259="",HX259=""),"",N(HX259)-N(HW259)))</f>
        <v/>
      </c>
      <c r="IC259">
        <f>IF(OR(IA$3="",IA$3&gt;TODAY()),"",IF(AND(IA259="",IB259=""),"",N(IB259)-N(IA259)))</f>
        <v/>
      </c>
      <c r="IF259">
        <f>IF(OR(IA$3="",IA$3&gt;TODAY()),"",IF(AND(ID259="",IE259=""),"",N(IE259)-N(ID259)))</f>
        <v/>
      </c>
      <c r="IJ259">
        <f>IF(OR(IH$3="",IH$3&gt;TODAY()),"",IF(AND(IH259="",II259=""),"",N(II259)-N(IH259)))</f>
        <v/>
      </c>
      <c r="IM259">
        <f>IF(OR(IH$3="",IH$3&gt;TODAY()),"",IF(AND(IK259="",IL259=""),"",N(IL259)-N(IK259)))</f>
        <v/>
      </c>
    </row>
    <row r="260">
      <c r="A260" s="21" t="n"/>
      <c r="B260" s="21" t="n"/>
      <c r="C260" s="21" t="n"/>
      <c r="D260" s="21" t="n"/>
      <c r="E260" s="21" t="n"/>
      <c r="F260" s="21" t="n"/>
      <c r="G260" s="21" t="n"/>
      <c r="H260" s="21" t="n"/>
      <c r="I260" s="22" t="n"/>
      <c r="J260" s="22" t="n"/>
      <c r="K260" s="23" t="n"/>
      <c r="L260" s="22" t="n"/>
      <c r="M260" s="22" t="n"/>
      <c r="N260" s="21" t="n"/>
      <c r="O260" s="23" t="n"/>
      <c r="P260" s="23" t="n"/>
      <c r="Q260" s="23" t="n"/>
      <c r="R260" s="23" t="n"/>
      <c r="S260" s="22" t="n"/>
      <c r="T260" s="23" t="n"/>
      <c r="U260" s="23" t="n"/>
      <c r="V260" s="24">
        <f>IF(J260&lt;&gt;"",J260,IF(I260&lt;&gt;"",I260,""))</f>
        <v/>
      </c>
      <c r="W260" s="25">
        <f>IF($E260="","",N(O260)+SUMIFS($AF260:$IN260,$AF$4:$IN$4,"SEW_ACT"))</f>
        <v/>
      </c>
      <c r="X260" s="25">
        <f>IF($E260="","",N(P260)+SUMIFS($AF260:$IN260,$AF$4:$IN$4,"WASH_ACT"))</f>
        <v/>
      </c>
      <c r="Y260" s="25">
        <f>IF($E260="","",W260-X260-N(T260)-N(U260))</f>
        <v/>
      </c>
      <c r="Z260" s="25">
        <f>IF($E260="","",IF(N(K260)-X260&lt;=0.02*N(K260),0,N(K260)-X260))</f>
        <v/>
      </c>
      <c r="AA260" s="24">
        <f>IF($E260="","",IF(S260&lt;&gt;"",S260,IF(N(O260)&gt;0,IF(L260&lt;&gt;"",L260,99999),IFERROR(1/(1/_xlfn.MINIFS($AF$3:$IN$3,$AF$4:$IN$4,"SEW_ACT",$AF260:$IN260,"&gt;0")),99999))))</f>
        <v/>
      </c>
      <c r="AB260" s="26">
        <f>IF(OR($E260="",Z260=0,V260=""),"",1+COUNTIFS(Z$8:Z$707,"&gt;0",V$8:V$707,"&lt;"&amp;V260)+COUNTIFS(Z$8:Z$707,"&gt;0",V$8:V$707,V260,AA$8:AA$707,"&lt;"&amp;AA260)+COUNTIFS(Z$8:Z$707,"&gt;0",V$8:V$707,V260,AA$8:AA$707,AA260,E$8:E$707,"&lt;"&amp;$E260))</f>
        <v/>
      </c>
      <c r="AC260" s="24">
        <f>IF(OR($E260="",Z260=0),"",IFERROR(TODAY()+ROUNDUP(Z260/(SUMIFS($AF260:$IN260,$AF$4:$IN$4,"WASH_ACT")/COUNTIFS($AF$4:$IN$4,"WASH_ACT",$AF260:$IN260,"&gt;0")),0),"no output yet"))</f>
        <v/>
      </c>
      <c r="AD260" s="26">
        <f>IF($E260="","",IFERROR(ROUND(MAX(0,SUMIFS($AF260:$IN260,$AF$4:$IN$4,"SEW_PLAN",$AF$3:$IN$3,"&lt;="&amp;TODAY())-SUMIFS($AF260:$IN260,$AF$4:$IN$4,"SEW_ACT",$AF$3:$IN$3,"&lt;="&amp;TODAY())+N(Q260))/(SUMIFS($AF260:$IN260,$AF$4:$IN$4,"SEW_PLAN")/COUNTIFS($AF$4:$IN$4,"SEW_PLAN",$AF260:$IN260,"&gt;0")),1),0))</f>
        <v/>
      </c>
      <c r="AE260" s="26">
        <f>IF($E260="","",IF(AND(Z260&gt;0,OR(AND(M260&lt;&gt;"",TODAY()&gt;M260),AND(V260&lt;&gt;"",V260-TODAY()&lt;=7))),"Yes","No"))</f>
        <v/>
      </c>
      <c r="AH260">
        <f>IF(OR(AF$3="",AF$3&gt;TODAY()),"",IF(AND(AF260="",AG260=""),"",N(AG260)-N(AF260)))</f>
        <v/>
      </c>
      <c r="AK260">
        <f>IF(OR(AF$3="",AF$3&gt;TODAY()),"",IF(AND(AI260="",AJ260=""),"",N(AJ260)-N(AI260)))</f>
        <v/>
      </c>
      <c r="AO260">
        <f>IF(OR(AM$3="",AM$3&gt;TODAY()),"",IF(AND(AM260="",AN260=""),"",N(AN260)-N(AM260)))</f>
        <v/>
      </c>
      <c r="AR260">
        <f>IF(OR(AM$3="",AM$3&gt;TODAY()),"",IF(AND(AP260="",AQ260=""),"",N(AQ260)-N(AP260)))</f>
        <v/>
      </c>
      <c r="AV260">
        <f>IF(OR(AT$3="",AT$3&gt;TODAY()),"",IF(AND(AT260="",AU260=""),"",N(AU260)-N(AT260)))</f>
        <v/>
      </c>
      <c r="AY260">
        <f>IF(OR(AT$3="",AT$3&gt;TODAY()),"",IF(AND(AW260="",AX260=""),"",N(AX260)-N(AW260)))</f>
        <v/>
      </c>
      <c r="BC260">
        <f>IF(OR(BA$3="",BA$3&gt;TODAY()),"",IF(AND(BA260="",BB260=""),"",N(BB260)-N(BA260)))</f>
        <v/>
      </c>
      <c r="BF260">
        <f>IF(OR(BA$3="",BA$3&gt;TODAY()),"",IF(AND(BD260="",BE260=""),"",N(BE260)-N(BD260)))</f>
        <v/>
      </c>
      <c r="BJ260">
        <f>IF(OR(BH$3="",BH$3&gt;TODAY()),"",IF(AND(BH260="",BI260=""),"",N(BI260)-N(BH260)))</f>
        <v/>
      </c>
      <c r="BM260">
        <f>IF(OR(BH$3="",BH$3&gt;TODAY()),"",IF(AND(BK260="",BL260=""),"",N(BL260)-N(BK260)))</f>
        <v/>
      </c>
      <c r="BQ260">
        <f>IF(OR(BO$3="",BO$3&gt;TODAY()),"",IF(AND(BO260="",BP260=""),"",N(BP260)-N(BO260)))</f>
        <v/>
      </c>
      <c r="BT260">
        <f>IF(OR(BO$3="",BO$3&gt;TODAY()),"",IF(AND(BR260="",BS260=""),"",N(BS260)-N(BR260)))</f>
        <v/>
      </c>
      <c r="BX260">
        <f>IF(OR(BV$3="",BV$3&gt;TODAY()),"",IF(AND(BV260="",BW260=""),"",N(BW260)-N(BV260)))</f>
        <v/>
      </c>
      <c r="CA260">
        <f>IF(OR(BV$3="",BV$3&gt;TODAY()),"",IF(AND(BY260="",BZ260=""),"",N(BZ260)-N(BY260)))</f>
        <v/>
      </c>
      <c r="CE260">
        <f>IF(OR(CC$3="",CC$3&gt;TODAY()),"",IF(AND(CC260="",CD260=""),"",N(CD260)-N(CC260)))</f>
        <v/>
      </c>
      <c r="CH260">
        <f>IF(OR(CC$3="",CC$3&gt;TODAY()),"",IF(AND(CF260="",CG260=""),"",N(CG260)-N(CF260)))</f>
        <v/>
      </c>
      <c r="CL260">
        <f>IF(OR(CJ$3="",CJ$3&gt;TODAY()),"",IF(AND(CJ260="",CK260=""),"",N(CK260)-N(CJ260)))</f>
        <v/>
      </c>
      <c r="CO260">
        <f>IF(OR(CJ$3="",CJ$3&gt;TODAY()),"",IF(AND(CM260="",CN260=""),"",N(CN260)-N(CM260)))</f>
        <v/>
      </c>
      <c r="CS260">
        <f>IF(OR(CQ$3="",CQ$3&gt;TODAY()),"",IF(AND(CQ260="",CR260=""),"",N(CR260)-N(CQ260)))</f>
        <v/>
      </c>
      <c r="CV260">
        <f>IF(OR(CQ$3="",CQ$3&gt;TODAY()),"",IF(AND(CT260="",CU260=""),"",N(CU260)-N(CT260)))</f>
        <v/>
      </c>
      <c r="CZ260">
        <f>IF(OR(CX$3="",CX$3&gt;TODAY()),"",IF(AND(CX260="",CY260=""),"",N(CY260)-N(CX260)))</f>
        <v/>
      </c>
      <c r="DC260">
        <f>IF(OR(CX$3="",CX$3&gt;TODAY()),"",IF(AND(DA260="",DB260=""),"",N(DB260)-N(DA260)))</f>
        <v/>
      </c>
      <c r="DG260">
        <f>IF(OR(DE$3="",DE$3&gt;TODAY()),"",IF(AND(DE260="",DF260=""),"",N(DF260)-N(DE260)))</f>
        <v/>
      </c>
      <c r="DJ260">
        <f>IF(OR(DE$3="",DE$3&gt;TODAY()),"",IF(AND(DH260="",DI260=""),"",N(DI260)-N(DH260)))</f>
        <v/>
      </c>
      <c r="DN260">
        <f>IF(OR(DL$3="",DL$3&gt;TODAY()),"",IF(AND(DL260="",DM260=""),"",N(DM260)-N(DL260)))</f>
        <v/>
      </c>
      <c r="DQ260">
        <f>IF(OR(DL$3="",DL$3&gt;TODAY()),"",IF(AND(DO260="",DP260=""),"",N(DP260)-N(DO260)))</f>
        <v/>
      </c>
      <c r="DU260">
        <f>IF(OR(DS$3="",DS$3&gt;TODAY()),"",IF(AND(DS260="",DT260=""),"",N(DT260)-N(DS260)))</f>
        <v/>
      </c>
      <c r="DX260">
        <f>IF(OR(DS$3="",DS$3&gt;TODAY()),"",IF(AND(DV260="",DW260=""),"",N(DW260)-N(DV260)))</f>
        <v/>
      </c>
      <c r="EB260">
        <f>IF(OR(DZ$3="",DZ$3&gt;TODAY()),"",IF(AND(DZ260="",EA260=""),"",N(EA260)-N(DZ260)))</f>
        <v/>
      </c>
      <c r="EE260">
        <f>IF(OR(DZ$3="",DZ$3&gt;TODAY()),"",IF(AND(EC260="",ED260=""),"",N(ED260)-N(EC260)))</f>
        <v/>
      </c>
      <c r="EI260">
        <f>IF(OR(EG$3="",EG$3&gt;TODAY()),"",IF(AND(EG260="",EH260=""),"",N(EH260)-N(EG260)))</f>
        <v/>
      </c>
      <c r="EL260">
        <f>IF(OR(EG$3="",EG$3&gt;TODAY()),"",IF(AND(EJ260="",EK260=""),"",N(EK260)-N(EJ260)))</f>
        <v/>
      </c>
      <c r="EP260">
        <f>IF(OR(EN$3="",EN$3&gt;TODAY()),"",IF(AND(EN260="",EO260=""),"",N(EO260)-N(EN260)))</f>
        <v/>
      </c>
      <c r="ES260">
        <f>IF(OR(EN$3="",EN$3&gt;TODAY()),"",IF(AND(EQ260="",ER260=""),"",N(ER260)-N(EQ260)))</f>
        <v/>
      </c>
      <c r="EW260">
        <f>IF(OR(EU$3="",EU$3&gt;TODAY()),"",IF(AND(EU260="",EV260=""),"",N(EV260)-N(EU260)))</f>
        <v/>
      </c>
      <c r="EZ260">
        <f>IF(OR(EU$3="",EU$3&gt;TODAY()),"",IF(AND(EX260="",EY260=""),"",N(EY260)-N(EX260)))</f>
        <v/>
      </c>
      <c r="FD260">
        <f>IF(OR(FB$3="",FB$3&gt;TODAY()),"",IF(AND(FB260="",FC260=""),"",N(FC260)-N(FB260)))</f>
        <v/>
      </c>
      <c r="FG260">
        <f>IF(OR(FB$3="",FB$3&gt;TODAY()),"",IF(AND(FE260="",FF260=""),"",N(FF260)-N(FE260)))</f>
        <v/>
      </c>
      <c r="FK260">
        <f>IF(OR(FI$3="",FI$3&gt;TODAY()),"",IF(AND(FI260="",FJ260=""),"",N(FJ260)-N(FI260)))</f>
        <v/>
      </c>
      <c r="FN260">
        <f>IF(OR(FI$3="",FI$3&gt;TODAY()),"",IF(AND(FL260="",FM260=""),"",N(FM260)-N(FL260)))</f>
        <v/>
      </c>
      <c r="FR260">
        <f>IF(OR(FP$3="",FP$3&gt;TODAY()),"",IF(AND(FP260="",FQ260=""),"",N(FQ260)-N(FP260)))</f>
        <v/>
      </c>
      <c r="FU260">
        <f>IF(OR(FP$3="",FP$3&gt;TODAY()),"",IF(AND(FS260="",FT260=""),"",N(FT260)-N(FS260)))</f>
        <v/>
      </c>
      <c r="FY260">
        <f>IF(OR(FW$3="",FW$3&gt;TODAY()),"",IF(AND(FW260="",FX260=""),"",N(FX260)-N(FW260)))</f>
        <v/>
      </c>
      <c r="GB260">
        <f>IF(OR(FW$3="",FW$3&gt;TODAY()),"",IF(AND(FZ260="",GA260=""),"",N(GA260)-N(FZ260)))</f>
        <v/>
      </c>
      <c r="GF260">
        <f>IF(OR(GD$3="",GD$3&gt;TODAY()),"",IF(AND(GD260="",GE260=""),"",N(GE260)-N(GD260)))</f>
        <v/>
      </c>
      <c r="GI260">
        <f>IF(OR(GD$3="",GD$3&gt;TODAY()),"",IF(AND(GG260="",GH260=""),"",N(GH260)-N(GG260)))</f>
        <v/>
      </c>
      <c r="GM260">
        <f>IF(OR(GK$3="",GK$3&gt;TODAY()),"",IF(AND(GK260="",GL260=""),"",N(GL260)-N(GK260)))</f>
        <v/>
      </c>
      <c r="GP260">
        <f>IF(OR(GK$3="",GK$3&gt;TODAY()),"",IF(AND(GN260="",GO260=""),"",N(GO260)-N(GN260)))</f>
        <v/>
      </c>
      <c r="GT260">
        <f>IF(OR(GR$3="",GR$3&gt;TODAY()),"",IF(AND(GR260="",GS260=""),"",N(GS260)-N(GR260)))</f>
        <v/>
      </c>
      <c r="GW260">
        <f>IF(OR(GR$3="",GR$3&gt;TODAY()),"",IF(AND(GU260="",GV260=""),"",N(GV260)-N(GU260)))</f>
        <v/>
      </c>
      <c r="HA260">
        <f>IF(OR(GY$3="",GY$3&gt;TODAY()),"",IF(AND(GY260="",GZ260=""),"",N(GZ260)-N(GY260)))</f>
        <v/>
      </c>
      <c r="HD260">
        <f>IF(OR(GY$3="",GY$3&gt;TODAY()),"",IF(AND(HB260="",HC260=""),"",N(HC260)-N(HB260)))</f>
        <v/>
      </c>
      <c r="HH260">
        <f>IF(OR(HF$3="",HF$3&gt;TODAY()),"",IF(AND(HF260="",HG260=""),"",N(HG260)-N(HF260)))</f>
        <v/>
      </c>
      <c r="HK260">
        <f>IF(OR(HF$3="",HF$3&gt;TODAY()),"",IF(AND(HI260="",HJ260=""),"",N(HJ260)-N(HI260)))</f>
        <v/>
      </c>
      <c r="HO260">
        <f>IF(OR(HM$3="",HM$3&gt;TODAY()),"",IF(AND(HM260="",HN260=""),"",N(HN260)-N(HM260)))</f>
        <v/>
      </c>
      <c r="HR260">
        <f>IF(OR(HM$3="",HM$3&gt;TODAY()),"",IF(AND(HP260="",HQ260=""),"",N(HQ260)-N(HP260)))</f>
        <v/>
      </c>
      <c r="HV260">
        <f>IF(OR(HT$3="",HT$3&gt;TODAY()),"",IF(AND(HT260="",HU260=""),"",N(HU260)-N(HT260)))</f>
        <v/>
      </c>
      <c r="HY260">
        <f>IF(OR(HT$3="",HT$3&gt;TODAY()),"",IF(AND(HW260="",HX260=""),"",N(HX260)-N(HW260)))</f>
        <v/>
      </c>
      <c r="IC260">
        <f>IF(OR(IA$3="",IA$3&gt;TODAY()),"",IF(AND(IA260="",IB260=""),"",N(IB260)-N(IA260)))</f>
        <v/>
      </c>
      <c r="IF260">
        <f>IF(OR(IA$3="",IA$3&gt;TODAY()),"",IF(AND(ID260="",IE260=""),"",N(IE260)-N(ID260)))</f>
        <v/>
      </c>
      <c r="IJ260">
        <f>IF(OR(IH$3="",IH$3&gt;TODAY()),"",IF(AND(IH260="",II260=""),"",N(II260)-N(IH260)))</f>
        <v/>
      </c>
      <c r="IM260">
        <f>IF(OR(IH$3="",IH$3&gt;TODAY()),"",IF(AND(IK260="",IL260=""),"",N(IL260)-N(IK260)))</f>
        <v/>
      </c>
    </row>
    <row r="261">
      <c r="A261" s="21" t="n"/>
      <c r="B261" s="21" t="n"/>
      <c r="C261" s="21" t="n"/>
      <c r="D261" s="21" t="n"/>
      <c r="E261" s="21" t="n"/>
      <c r="F261" s="21" t="n"/>
      <c r="G261" s="21" t="n"/>
      <c r="H261" s="21" t="n"/>
      <c r="I261" s="22" t="n"/>
      <c r="J261" s="22" t="n"/>
      <c r="K261" s="23" t="n"/>
      <c r="L261" s="22" t="n"/>
      <c r="M261" s="22" t="n"/>
      <c r="N261" s="21" t="n"/>
      <c r="O261" s="23" t="n"/>
      <c r="P261" s="23" t="n"/>
      <c r="Q261" s="23" t="n"/>
      <c r="R261" s="23" t="n"/>
      <c r="S261" s="22" t="n"/>
      <c r="T261" s="23" t="n"/>
      <c r="U261" s="23" t="n"/>
      <c r="V261" s="24">
        <f>IF(J261&lt;&gt;"",J261,IF(I261&lt;&gt;"",I261,""))</f>
        <v/>
      </c>
      <c r="W261" s="25">
        <f>IF($E261="","",N(O261)+SUMIFS($AF261:$IN261,$AF$4:$IN$4,"SEW_ACT"))</f>
        <v/>
      </c>
      <c r="X261" s="25">
        <f>IF($E261="","",N(P261)+SUMIFS($AF261:$IN261,$AF$4:$IN$4,"WASH_ACT"))</f>
        <v/>
      </c>
      <c r="Y261" s="25">
        <f>IF($E261="","",W261-X261-N(T261)-N(U261))</f>
        <v/>
      </c>
      <c r="Z261" s="25">
        <f>IF($E261="","",IF(N(K261)-X261&lt;=0.02*N(K261),0,N(K261)-X261))</f>
        <v/>
      </c>
      <c r="AA261" s="24">
        <f>IF($E261="","",IF(S261&lt;&gt;"",S261,IF(N(O261)&gt;0,IF(L261&lt;&gt;"",L261,99999),IFERROR(1/(1/_xlfn.MINIFS($AF$3:$IN$3,$AF$4:$IN$4,"SEW_ACT",$AF261:$IN261,"&gt;0")),99999))))</f>
        <v/>
      </c>
      <c r="AB261" s="26">
        <f>IF(OR($E261="",Z261=0,V261=""),"",1+COUNTIFS(Z$8:Z$707,"&gt;0",V$8:V$707,"&lt;"&amp;V261)+COUNTIFS(Z$8:Z$707,"&gt;0",V$8:V$707,V261,AA$8:AA$707,"&lt;"&amp;AA261)+COUNTIFS(Z$8:Z$707,"&gt;0",V$8:V$707,V261,AA$8:AA$707,AA261,E$8:E$707,"&lt;"&amp;$E261))</f>
        <v/>
      </c>
      <c r="AC261" s="24">
        <f>IF(OR($E261="",Z261=0),"",IFERROR(TODAY()+ROUNDUP(Z261/(SUMIFS($AF261:$IN261,$AF$4:$IN$4,"WASH_ACT")/COUNTIFS($AF$4:$IN$4,"WASH_ACT",$AF261:$IN261,"&gt;0")),0),"no output yet"))</f>
        <v/>
      </c>
      <c r="AD261" s="26">
        <f>IF($E261="","",IFERROR(ROUND(MAX(0,SUMIFS($AF261:$IN261,$AF$4:$IN$4,"SEW_PLAN",$AF$3:$IN$3,"&lt;="&amp;TODAY())-SUMIFS($AF261:$IN261,$AF$4:$IN$4,"SEW_ACT",$AF$3:$IN$3,"&lt;="&amp;TODAY())+N(Q261))/(SUMIFS($AF261:$IN261,$AF$4:$IN$4,"SEW_PLAN")/COUNTIFS($AF$4:$IN$4,"SEW_PLAN",$AF261:$IN261,"&gt;0")),1),0))</f>
        <v/>
      </c>
      <c r="AE261" s="26">
        <f>IF($E261="","",IF(AND(Z261&gt;0,OR(AND(M261&lt;&gt;"",TODAY()&gt;M261),AND(V261&lt;&gt;"",V261-TODAY()&lt;=7))),"Yes","No"))</f>
        <v/>
      </c>
      <c r="AH261">
        <f>IF(OR(AF$3="",AF$3&gt;TODAY()),"",IF(AND(AF261="",AG261=""),"",N(AG261)-N(AF261)))</f>
        <v/>
      </c>
      <c r="AK261">
        <f>IF(OR(AF$3="",AF$3&gt;TODAY()),"",IF(AND(AI261="",AJ261=""),"",N(AJ261)-N(AI261)))</f>
        <v/>
      </c>
      <c r="AO261">
        <f>IF(OR(AM$3="",AM$3&gt;TODAY()),"",IF(AND(AM261="",AN261=""),"",N(AN261)-N(AM261)))</f>
        <v/>
      </c>
      <c r="AR261">
        <f>IF(OR(AM$3="",AM$3&gt;TODAY()),"",IF(AND(AP261="",AQ261=""),"",N(AQ261)-N(AP261)))</f>
        <v/>
      </c>
      <c r="AV261">
        <f>IF(OR(AT$3="",AT$3&gt;TODAY()),"",IF(AND(AT261="",AU261=""),"",N(AU261)-N(AT261)))</f>
        <v/>
      </c>
      <c r="AY261">
        <f>IF(OR(AT$3="",AT$3&gt;TODAY()),"",IF(AND(AW261="",AX261=""),"",N(AX261)-N(AW261)))</f>
        <v/>
      </c>
      <c r="BC261">
        <f>IF(OR(BA$3="",BA$3&gt;TODAY()),"",IF(AND(BA261="",BB261=""),"",N(BB261)-N(BA261)))</f>
        <v/>
      </c>
      <c r="BF261">
        <f>IF(OR(BA$3="",BA$3&gt;TODAY()),"",IF(AND(BD261="",BE261=""),"",N(BE261)-N(BD261)))</f>
        <v/>
      </c>
      <c r="BJ261">
        <f>IF(OR(BH$3="",BH$3&gt;TODAY()),"",IF(AND(BH261="",BI261=""),"",N(BI261)-N(BH261)))</f>
        <v/>
      </c>
      <c r="BM261">
        <f>IF(OR(BH$3="",BH$3&gt;TODAY()),"",IF(AND(BK261="",BL261=""),"",N(BL261)-N(BK261)))</f>
        <v/>
      </c>
      <c r="BQ261">
        <f>IF(OR(BO$3="",BO$3&gt;TODAY()),"",IF(AND(BO261="",BP261=""),"",N(BP261)-N(BO261)))</f>
        <v/>
      </c>
      <c r="BT261">
        <f>IF(OR(BO$3="",BO$3&gt;TODAY()),"",IF(AND(BR261="",BS261=""),"",N(BS261)-N(BR261)))</f>
        <v/>
      </c>
      <c r="BX261">
        <f>IF(OR(BV$3="",BV$3&gt;TODAY()),"",IF(AND(BV261="",BW261=""),"",N(BW261)-N(BV261)))</f>
        <v/>
      </c>
      <c r="CA261">
        <f>IF(OR(BV$3="",BV$3&gt;TODAY()),"",IF(AND(BY261="",BZ261=""),"",N(BZ261)-N(BY261)))</f>
        <v/>
      </c>
      <c r="CE261">
        <f>IF(OR(CC$3="",CC$3&gt;TODAY()),"",IF(AND(CC261="",CD261=""),"",N(CD261)-N(CC261)))</f>
        <v/>
      </c>
      <c r="CH261">
        <f>IF(OR(CC$3="",CC$3&gt;TODAY()),"",IF(AND(CF261="",CG261=""),"",N(CG261)-N(CF261)))</f>
        <v/>
      </c>
      <c r="CL261">
        <f>IF(OR(CJ$3="",CJ$3&gt;TODAY()),"",IF(AND(CJ261="",CK261=""),"",N(CK261)-N(CJ261)))</f>
        <v/>
      </c>
      <c r="CO261">
        <f>IF(OR(CJ$3="",CJ$3&gt;TODAY()),"",IF(AND(CM261="",CN261=""),"",N(CN261)-N(CM261)))</f>
        <v/>
      </c>
      <c r="CS261">
        <f>IF(OR(CQ$3="",CQ$3&gt;TODAY()),"",IF(AND(CQ261="",CR261=""),"",N(CR261)-N(CQ261)))</f>
        <v/>
      </c>
      <c r="CV261">
        <f>IF(OR(CQ$3="",CQ$3&gt;TODAY()),"",IF(AND(CT261="",CU261=""),"",N(CU261)-N(CT261)))</f>
        <v/>
      </c>
      <c r="CZ261">
        <f>IF(OR(CX$3="",CX$3&gt;TODAY()),"",IF(AND(CX261="",CY261=""),"",N(CY261)-N(CX261)))</f>
        <v/>
      </c>
      <c r="DC261">
        <f>IF(OR(CX$3="",CX$3&gt;TODAY()),"",IF(AND(DA261="",DB261=""),"",N(DB261)-N(DA261)))</f>
        <v/>
      </c>
      <c r="DG261">
        <f>IF(OR(DE$3="",DE$3&gt;TODAY()),"",IF(AND(DE261="",DF261=""),"",N(DF261)-N(DE261)))</f>
        <v/>
      </c>
      <c r="DJ261">
        <f>IF(OR(DE$3="",DE$3&gt;TODAY()),"",IF(AND(DH261="",DI261=""),"",N(DI261)-N(DH261)))</f>
        <v/>
      </c>
      <c r="DN261">
        <f>IF(OR(DL$3="",DL$3&gt;TODAY()),"",IF(AND(DL261="",DM261=""),"",N(DM261)-N(DL261)))</f>
        <v/>
      </c>
      <c r="DQ261">
        <f>IF(OR(DL$3="",DL$3&gt;TODAY()),"",IF(AND(DO261="",DP261=""),"",N(DP261)-N(DO261)))</f>
        <v/>
      </c>
      <c r="DU261">
        <f>IF(OR(DS$3="",DS$3&gt;TODAY()),"",IF(AND(DS261="",DT261=""),"",N(DT261)-N(DS261)))</f>
        <v/>
      </c>
      <c r="DX261">
        <f>IF(OR(DS$3="",DS$3&gt;TODAY()),"",IF(AND(DV261="",DW261=""),"",N(DW261)-N(DV261)))</f>
        <v/>
      </c>
      <c r="EB261">
        <f>IF(OR(DZ$3="",DZ$3&gt;TODAY()),"",IF(AND(DZ261="",EA261=""),"",N(EA261)-N(DZ261)))</f>
        <v/>
      </c>
      <c r="EE261">
        <f>IF(OR(DZ$3="",DZ$3&gt;TODAY()),"",IF(AND(EC261="",ED261=""),"",N(ED261)-N(EC261)))</f>
        <v/>
      </c>
      <c r="EI261">
        <f>IF(OR(EG$3="",EG$3&gt;TODAY()),"",IF(AND(EG261="",EH261=""),"",N(EH261)-N(EG261)))</f>
        <v/>
      </c>
      <c r="EL261">
        <f>IF(OR(EG$3="",EG$3&gt;TODAY()),"",IF(AND(EJ261="",EK261=""),"",N(EK261)-N(EJ261)))</f>
        <v/>
      </c>
      <c r="EP261">
        <f>IF(OR(EN$3="",EN$3&gt;TODAY()),"",IF(AND(EN261="",EO261=""),"",N(EO261)-N(EN261)))</f>
        <v/>
      </c>
      <c r="ES261">
        <f>IF(OR(EN$3="",EN$3&gt;TODAY()),"",IF(AND(EQ261="",ER261=""),"",N(ER261)-N(EQ261)))</f>
        <v/>
      </c>
      <c r="EW261">
        <f>IF(OR(EU$3="",EU$3&gt;TODAY()),"",IF(AND(EU261="",EV261=""),"",N(EV261)-N(EU261)))</f>
        <v/>
      </c>
      <c r="EZ261">
        <f>IF(OR(EU$3="",EU$3&gt;TODAY()),"",IF(AND(EX261="",EY261=""),"",N(EY261)-N(EX261)))</f>
        <v/>
      </c>
      <c r="FD261">
        <f>IF(OR(FB$3="",FB$3&gt;TODAY()),"",IF(AND(FB261="",FC261=""),"",N(FC261)-N(FB261)))</f>
        <v/>
      </c>
      <c r="FG261">
        <f>IF(OR(FB$3="",FB$3&gt;TODAY()),"",IF(AND(FE261="",FF261=""),"",N(FF261)-N(FE261)))</f>
        <v/>
      </c>
      <c r="FK261">
        <f>IF(OR(FI$3="",FI$3&gt;TODAY()),"",IF(AND(FI261="",FJ261=""),"",N(FJ261)-N(FI261)))</f>
        <v/>
      </c>
      <c r="FN261">
        <f>IF(OR(FI$3="",FI$3&gt;TODAY()),"",IF(AND(FL261="",FM261=""),"",N(FM261)-N(FL261)))</f>
        <v/>
      </c>
      <c r="FR261">
        <f>IF(OR(FP$3="",FP$3&gt;TODAY()),"",IF(AND(FP261="",FQ261=""),"",N(FQ261)-N(FP261)))</f>
        <v/>
      </c>
      <c r="FU261">
        <f>IF(OR(FP$3="",FP$3&gt;TODAY()),"",IF(AND(FS261="",FT261=""),"",N(FT261)-N(FS261)))</f>
        <v/>
      </c>
      <c r="FY261">
        <f>IF(OR(FW$3="",FW$3&gt;TODAY()),"",IF(AND(FW261="",FX261=""),"",N(FX261)-N(FW261)))</f>
        <v/>
      </c>
      <c r="GB261">
        <f>IF(OR(FW$3="",FW$3&gt;TODAY()),"",IF(AND(FZ261="",GA261=""),"",N(GA261)-N(FZ261)))</f>
        <v/>
      </c>
      <c r="GF261">
        <f>IF(OR(GD$3="",GD$3&gt;TODAY()),"",IF(AND(GD261="",GE261=""),"",N(GE261)-N(GD261)))</f>
        <v/>
      </c>
      <c r="GI261">
        <f>IF(OR(GD$3="",GD$3&gt;TODAY()),"",IF(AND(GG261="",GH261=""),"",N(GH261)-N(GG261)))</f>
        <v/>
      </c>
      <c r="GM261">
        <f>IF(OR(GK$3="",GK$3&gt;TODAY()),"",IF(AND(GK261="",GL261=""),"",N(GL261)-N(GK261)))</f>
        <v/>
      </c>
      <c r="GP261">
        <f>IF(OR(GK$3="",GK$3&gt;TODAY()),"",IF(AND(GN261="",GO261=""),"",N(GO261)-N(GN261)))</f>
        <v/>
      </c>
      <c r="GT261">
        <f>IF(OR(GR$3="",GR$3&gt;TODAY()),"",IF(AND(GR261="",GS261=""),"",N(GS261)-N(GR261)))</f>
        <v/>
      </c>
      <c r="GW261">
        <f>IF(OR(GR$3="",GR$3&gt;TODAY()),"",IF(AND(GU261="",GV261=""),"",N(GV261)-N(GU261)))</f>
        <v/>
      </c>
      <c r="HA261">
        <f>IF(OR(GY$3="",GY$3&gt;TODAY()),"",IF(AND(GY261="",GZ261=""),"",N(GZ261)-N(GY261)))</f>
        <v/>
      </c>
      <c r="HD261">
        <f>IF(OR(GY$3="",GY$3&gt;TODAY()),"",IF(AND(HB261="",HC261=""),"",N(HC261)-N(HB261)))</f>
        <v/>
      </c>
      <c r="HH261">
        <f>IF(OR(HF$3="",HF$3&gt;TODAY()),"",IF(AND(HF261="",HG261=""),"",N(HG261)-N(HF261)))</f>
        <v/>
      </c>
      <c r="HK261">
        <f>IF(OR(HF$3="",HF$3&gt;TODAY()),"",IF(AND(HI261="",HJ261=""),"",N(HJ261)-N(HI261)))</f>
        <v/>
      </c>
      <c r="HO261">
        <f>IF(OR(HM$3="",HM$3&gt;TODAY()),"",IF(AND(HM261="",HN261=""),"",N(HN261)-N(HM261)))</f>
        <v/>
      </c>
      <c r="HR261">
        <f>IF(OR(HM$3="",HM$3&gt;TODAY()),"",IF(AND(HP261="",HQ261=""),"",N(HQ261)-N(HP261)))</f>
        <v/>
      </c>
      <c r="HV261">
        <f>IF(OR(HT$3="",HT$3&gt;TODAY()),"",IF(AND(HT261="",HU261=""),"",N(HU261)-N(HT261)))</f>
        <v/>
      </c>
      <c r="HY261">
        <f>IF(OR(HT$3="",HT$3&gt;TODAY()),"",IF(AND(HW261="",HX261=""),"",N(HX261)-N(HW261)))</f>
        <v/>
      </c>
      <c r="IC261">
        <f>IF(OR(IA$3="",IA$3&gt;TODAY()),"",IF(AND(IA261="",IB261=""),"",N(IB261)-N(IA261)))</f>
        <v/>
      </c>
      <c r="IF261">
        <f>IF(OR(IA$3="",IA$3&gt;TODAY()),"",IF(AND(ID261="",IE261=""),"",N(IE261)-N(ID261)))</f>
        <v/>
      </c>
      <c r="IJ261">
        <f>IF(OR(IH$3="",IH$3&gt;TODAY()),"",IF(AND(IH261="",II261=""),"",N(II261)-N(IH261)))</f>
        <v/>
      </c>
      <c r="IM261">
        <f>IF(OR(IH$3="",IH$3&gt;TODAY()),"",IF(AND(IK261="",IL261=""),"",N(IL261)-N(IK261)))</f>
        <v/>
      </c>
    </row>
    <row r="262">
      <c r="A262" s="21" t="n"/>
      <c r="B262" s="21" t="n"/>
      <c r="C262" s="21" t="n"/>
      <c r="D262" s="21" t="n"/>
      <c r="E262" s="21" t="n"/>
      <c r="F262" s="21" t="n"/>
      <c r="G262" s="21" t="n"/>
      <c r="H262" s="21" t="n"/>
      <c r="I262" s="22" t="n"/>
      <c r="J262" s="22" t="n"/>
      <c r="K262" s="23" t="n"/>
      <c r="L262" s="22" t="n"/>
      <c r="M262" s="22" t="n"/>
      <c r="N262" s="21" t="n"/>
      <c r="O262" s="23" t="n"/>
      <c r="P262" s="23" t="n"/>
      <c r="Q262" s="23" t="n"/>
      <c r="R262" s="23" t="n"/>
      <c r="S262" s="22" t="n"/>
      <c r="T262" s="23" t="n"/>
      <c r="U262" s="23" t="n"/>
      <c r="V262" s="24">
        <f>IF(J262&lt;&gt;"",J262,IF(I262&lt;&gt;"",I262,""))</f>
        <v/>
      </c>
      <c r="W262" s="25">
        <f>IF($E262="","",N(O262)+SUMIFS($AF262:$IN262,$AF$4:$IN$4,"SEW_ACT"))</f>
        <v/>
      </c>
      <c r="X262" s="25">
        <f>IF($E262="","",N(P262)+SUMIFS($AF262:$IN262,$AF$4:$IN$4,"WASH_ACT"))</f>
        <v/>
      </c>
      <c r="Y262" s="25">
        <f>IF($E262="","",W262-X262-N(T262)-N(U262))</f>
        <v/>
      </c>
      <c r="Z262" s="25">
        <f>IF($E262="","",IF(N(K262)-X262&lt;=0.02*N(K262),0,N(K262)-X262))</f>
        <v/>
      </c>
      <c r="AA262" s="24">
        <f>IF($E262="","",IF(S262&lt;&gt;"",S262,IF(N(O262)&gt;0,IF(L262&lt;&gt;"",L262,99999),IFERROR(1/(1/_xlfn.MINIFS($AF$3:$IN$3,$AF$4:$IN$4,"SEW_ACT",$AF262:$IN262,"&gt;0")),99999))))</f>
        <v/>
      </c>
      <c r="AB262" s="26">
        <f>IF(OR($E262="",Z262=0,V262=""),"",1+COUNTIFS(Z$8:Z$707,"&gt;0",V$8:V$707,"&lt;"&amp;V262)+COUNTIFS(Z$8:Z$707,"&gt;0",V$8:V$707,V262,AA$8:AA$707,"&lt;"&amp;AA262)+COUNTIFS(Z$8:Z$707,"&gt;0",V$8:V$707,V262,AA$8:AA$707,AA262,E$8:E$707,"&lt;"&amp;$E262))</f>
        <v/>
      </c>
      <c r="AC262" s="24">
        <f>IF(OR($E262="",Z262=0),"",IFERROR(TODAY()+ROUNDUP(Z262/(SUMIFS($AF262:$IN262,$AF$4:$IN$4,"WASH_ACT")/COUNTIFS($AF$4:$IN$4,"WASH_ACT",$AF262:$IN262,"&gt;0")),0),"no output yet"))</f>
        <v/>
      </c>
      <c r="AD262" s="26">
        <f>IF($E262="","",IFERROR(ROUND(MAX(0,SUMIFS($AF262:$IN262,$AF$4:$IN$4,"SEW_PLAN",$AF$3:$IN$3,"&lt;="&amp;TODAY())-SUMIFS($AF262:$IN262,$AF$4:$IN$4,"SEW_ACT",$AF$3:$IN$3,"&lt;="&amp;TODAY())+N(Q262))/(SUMIFS($AF262:$IN262,$AF$4:$IN$4,"SEW_PLAN")/COUNTIFS($AF$4:$IN$4,"SEW_PLAN",$AF262:$IN262,"&gt;0")),1),0))</f>
        <v/>
      </c>
      <c r="AE262" s="26">
        <f>IF($E262="","",IF(AND(Z262&gt;0,OR(AND(M262&lt;&gt;"",TODAY()&gt;M262),AND(V262&lt;&gt;"",V262-TODAY()&lt;=7))),"Yes","No"))</f>
        <v/>
      </c>
      <c r="AH262">
        <f>IF(OR(AF$3="",AF$3&gt;TODAY()),"",IF(AND(AF262="",AG262=""),"",N(AG262)-N(AF262)))</f>
        <v/>
      </c>
      <c r="AK262">
        <f>IF(OR(AF$3="",AF$3&gt;TODAY()),"",IF(AND(AI262="",AJ262=""),"",N(AJ262)-N(AI262)))</f>
        <v/>
      </c>
      <c r="AO262">
        <f>IF(OR(AM$3="",AM$3&gt;TODAY()),"",IF(AND(AM262="",AN262=""),"",N(AN262)-N(AM262)))</f>
        <v/>
      </c>
      <c r="AR262">
        <f>IF(OR(AM$3="",AM$3&gt;TODAY()),"",IF(AND(AP262="",AQ262=""),"",N(AQ262)-N(AP262)))</f>
        <v/>
      </c>
      <c r="AV262">
        <f>IF(OR(AT$3="",AT$3&gt;TODAY()),"",IF(AND(AT262="",AU262=""),"",N(AU262)-N(AT262)))</f>
        <v/>
      </c>
      <c r="AY262">
        <f>IF(OR(AT$3="",AT$3&gt;TODAY()),"",IF(AND(AW262="",AX262=""),"",N(AX262)-N(AW262)))</f>
        <v/>
      </c>
      <c r="BC262">
        <f>IF(OR(BA$3="",BA$3&gt;TODAY()),"",IF(AND(BA262="",BB262=""),"",N(BB262)-N(BA262)))</f>
        <v/>
      </c>
      <c r="BF262">
        <f>IF(OR(BA$3="",BA$3&gt;TODAY()),"",IF(AND(BD262="",BE262=""),"",N(BE262)-N(BD262)))</f>
        <v/>
      </c>
      <c r="BJ262">
        <f>IF(OR(BH$3="",BH$3&gt;TODAY()),"",IF(AND(BH262="",BI262=""),"",N(BI262)-N(BH262)))</f>
        <v/>
      </c>
      <c r="BM262">
        <f>IF(OR(BH$3="",BH$3&gt;TODAY()),"",IF(AND(BK262="",BL262=""),"",N(BL262)-N(BK262)))</f>
        <v/>
      </c>
      <c r="BQ262">
        <f>IF(OR(BO$3="",BO$3&gt;TODAY()),"",IF(AND(BO262="",BP262=""),"",N(BP262)-N(BO262)))</f>
        <v/>
      </c>
      <c r="BT262">
        <f>IF(OR(BO$3="",BO$3&gt;TODAY()),"",IF(AND(BR262="",BS262=""),"",N(BS262)-N(BR262)))</f>
        <v/>
      </c>
      <c r="BX262">
        <f>IF(OR(BV$3="",BV$3&gt;TODAY()),"",IF(AND(BV262="",BW262=""),"",N(BW262)-N(BV262)))</f>
        <v/>
      </c>
      <c r="CA262">
        <f>IF(OR(BV$3="",BV$3&gt;TODAY()),"",IF(AND(BY262="",BZ262=""),"",N(BZ262)-N(BY262)))</f>
        <v/>
      </c>
      <c r="CE262">
        <f>IF(OR(CC$3="",CC$3&gt;TODAY()),"",IF(AND(CC262="",CD262=""),"",N(CD262)-N(CC262)))</f>
        <v/>
      </c>
      <c r="CH262">
        <f>IF(OR(CC$3="",CC$3&gt;TODAY()),"",IF(AND(CF262="",CG262=""),"",N(CG262)-N(CF262)))</f>
        <v/>
      </c>
      <c r="CL262">
        <f>IF(OR(CJ$3="",CJ$3&gt;TODAY()),"",IF(AND(CJ262="",CK262=""),"",N(CK262)-N(CJ262)))</f>
        <v/>
      </c>
      <c r="CO262">
        <f>IF(OR(CJ$3="",CJ$3&gt;TODAY()),"",IF(AND(CM262="",CN262=""),"",N(CN262)-N(CM262)))</f>
        <v/>
      </c>
      <c r="CS262">
        <f>IF(OR(CQ$3="",CQ$3&gt;TODAY()),"",IF(AND(CQ262="",CR262=""),"",N(CR262)-N(CQ262)))</f>
        <v/>
      </c>
      <c r="CV262">
        <f>IF(OR(CQ$3="",CQ$3&gt;TODAY()),"",IF(AND(CT262="",CU262=""),"",N(CU262)-N(CT262)))</f>
        <v/>
      </c>
      <c r="CZ262">
        <f>IF(OR(CX$3="",CX$3&gt;TODAY()),"",IF(AND(CX262="",CY262=""),"",N(CY262)-N(CX262)))</f>
        <v/>
      </c>
      <c r="DC262">
        <f>IF(OR(CX$3="",CX$3&gt;TODAY()),"",IF(AND(DA262="",DB262=""),"",N(DB262)-N(DA262)))</f>
        <v/>
      </c>
      <c r="DG262">
        <f>IF(OR(DE$3="",DE$3&gt;TODAY()),"",IF(AND(DE262="",DF262=""),"",N(DF262)-N(DE262)))</f>
        <v/>
      </c>
      <c r="DJ262">
        <f>IF(OR(DE$3="",DE$3&gt;TODAY()),"",IF(AND(DH262="",DI262=""),"",N(DI262)-N(DH262)))</f>
        <v/>
      </c>
      <c r="DN262">
        <f>IF(OR(DL$3="",DL$3&gt;TODAY()),"",IF(AND(DL262="",DM262=""),"",N(DM262)-N(DL262)))</f>
        <v/>
      </c>
      <c r="DQ262">
        <f>IF(OR(DL$3="",DL$3&gt;TODAY()),"",IF(AND(DO262="",DP262=""),"",N(DP262)-N(DO262)))</f>
        <v/>
      </c>
      <c r="DU262">
        <f>IF(OR(DS$3="",DS$3&gt;TODAY()),"",IF(AND(DS262="",DT262=""),"",N(DT262)-N(DS262)))</f>
        <v/>
      </c>
      <c r="DX262">
        <f>IF(OR(DS$3="",DS$3&gt;TODAY()),"",IF(AND(DV262="",DW262=""),"",N(DW262)-N(DV262)))</f>
        <v/>
      </c>
      <c r="EB262">
        <f>IF(OR(DZ$3="",DZ$3&gt;TODAY()),"",IF(AND(DZ262="",EA262=""),"",N(EA262)-N(DZ262)))</f>
        <v/>
      </c>
      <c r="EE262">
        <f>IF(OR(DZ$3="",DZ$3&gt;TODAY()),"",IF(AND(EC262="",ED262=""),"",N(ED262)-N(EC262)))</f>
        <v/>
      </c>
      <c r="EI262">
        <f>IF(OR(EG$3="",EG$3&gt;TODAY()),"",IF(AND(EG262="",EH262=""),"",N(EH262)-N(EG262)))</f>
        <v/>
      </c>
      <c r="EL262">
        <f>IF(OR(EG$3="",EG$3&gt;TODAY()),"",IF(AND(EJ262="",EK262=""),"",N(EK262)-N(EJ262)))</f>
        <v/>
      </c>
      <c r="EP262">
        <f>IF(OR(EN$3="",EN$3&gt;TODAY()),"",IF(AND(EN262="",EO262=""),"",N(EO262)-N(EN262)))</f>
        <v/>
      </c>
      <c r="ES262">
        <f>IF(OR(EN$3="",EN$3&gt;TODAY()),"",IF(AND(EQ262="",ER262=""),"",N(ER262)-N(EQ262)))</f>
        <v/>
      </c>
      <c r="EW262">
        <f>IF(OR(EU$3="",EU$3&gt;TODAY()),"",IF(AND(EU262="",EV262=""),"",N(EV262)-N(EU262)))</f>
        <v/>
      </c>
      <c r="EZ262">
        <f>IF(OR(EU$3="",EU$3&gt;TODAY()),"",IF(AND(EX262="",EY262=""),"",N(EY262)-N(EX262)))</f>
        <v/>
      </c>
      <c r="FD262">
        <f>IF(OR(FB$3="",FB$3&gt;TODAY()),"",IF(AND(FB262="",FC262=""),"",N(FC262)-N(FB262)))</f>
        <v/>
      </c>
      <c r="FG262">
        <f>IF(OR(FB$3="",FB$3&gt;TODAY()),"",IF(AND(FE262="",FF262=""),"",N(FF262)-N(FE262)))</f>
        <v/>
      </c>
      <c r="FK262">
        <f>IF(OR(FI$3="",FI$3&gt;TODAY()),"",IF(AND(FI262="",FJ262=""),"",N(FJ262)-N(FI262)))</f>
        <v/>
      </c>
      <c r="FN262">
        <f>IF(OR(FI$3="",FI$3&gt;TODAY()),"",IF(AND(FL262="",FM262=""),"",N(FM262)-N(FL262)))</f>
        <v/>
      </c>
      <c r="FR262">
        <f>IF(OR(FP$3="",FP$3&gt;TODAY()),"",IF(AND(FP262="",FQ262=""),"",N(FQ262)-N(FP262)))</f>
        <v/>
      </c>
      <c r="FU262">
        <f>IF(OR(FP$3="",FP$3&gt;TODAY()),"",IF(AND(FS262="",FT262=""),"",N(FT262)-N(FS262)))</f>
        <v/>
      </c>
      <c r="FY262">
        <f>IF(OR(FW$3="",FW$3&gt;TODAY()),"",IF(AND(FW262="",FX262=""),"",N(FX262)-N(FW262)))</f>
        <v/>
      </c>
      <c r="GB262">
        <f>IF(OR(FW$3="",FW$3&gt;TODAY()),"",IF(AND(FZ262="",GA262=""),"",N(GA262)-N(FZ262)))</f>
        <v/>
      </c>
      <c r="GF262">
        <f>IF(OR(GD$3="",GD$3&gt;TODAY()),"",IF(AND(GD262="",GE262=""),"",N(GE262)-N(GD262)))</f>
        <v/>
      </c>
      <c r="GI262">
        <f>IF(OR(GD$3="",GD$3&gt;TODAY()),"",IF(AND(GG262="",GH262=""),"",N(GH262)-N(GG262)))</f>
        <v/>
      </c>
      <c r="GM262">
        <f>IF(OR(GK$3="",GK$3&gt;TODAY()),"",IF(AND(GK262="",GL262=""),"",N(GL262)-N(GK262)))</f>
        <v/>
      </c>
      <c r="GP262">
        <f>IF(OR(GK$3="",GK$3&gt;TODAY()),"",IF(AND(GN262="",GO262=""),"",N(GO262)-N(GN262)))</f>
        <v/>
      </c>
      <c r="GT262">
        <f>IF(OR(GR$3="",GR$3&gt;TODAY()),"",IF(AND(GR262="",GS262=""),"",N(GS262)-N(GR262)))</f>
        <v/>
      </c>
      <c r="GW262">
        <f>IF(OR(GR$3="",GR$3&gt;TODAY()),"",IF(AND(GU262="",GV262=""),"",N(GV262)-N(GU262)))</f>
        <v/>
      </c>
      <c r="HA262">
        <f>IF(OR(GY$3="",GY$3&gt;TODAY()),"",IF(AND(GY262="",GZ262=""),"",N(GZ262)-N(GY262)))</f>
        <v/>
      </c>
      <c r="HD262">
        <f>IF(OR(GY$3="",GY$3&gt;TODAY()),"",IF(AND(HB262="",HC262=""),"",N(HC262)-N(HB262)))</f>
        <v/>
      </c>
      <c r="HH262">
        <f>IF(OR(HF$3="",HF$3&gt;TODAY()),"",IF(AND(HF262="",HG262=""),"",N(HG262)-N(HF262)))</f>
        <v/>
      </c>
      <c r="HK262">
        <f>IF(OR(HF$3="",HF$3&gt;TODAY()),"",IF(AND(HI262="",HJ262=""),"",N(HJ262)-N(HI262)))</f>
        <v/>
      </c>
      <c r="HO262">
        <f>IF(OR(HM$3="",HM$3&gt;TODAY()),"",IF(AND(HM262="",HN262=""),"",N(HN262)-N(HM262)))</f>
        <v/>
      </c>
      <c r="HR262">
        <f>IF(OR(HM$3="",HM$3&gt;TODAY()),"",IF(AND(HP262="",HQ262=""),"",N(HQ262)-N(HP262)))</f>
        <v/>
      </c>
      <c r="HV262">
        <f>IF(OR(HT$3="",HT$3&gt;TODAY()),"",IF(AND(HT262="",HU262=""),"",N(HU262)-N(HT262)))</f>
        <v/>
      </c>
      <c r="HY262">
        <f>IF(OR(HT$3="",HT$3&gt;TODAY()),"",IF(AND(HW262="",HX262=""),"",N(HX262)-N(HW262)))</f>
        <v/>
      </c>
      <c r="IC262">
        <f>IF(OR(IA$3="",IA$3&gt;TODAY()),"",IF(AND(IA262="",IB262=""),"",N(IB262)-N(IA262)))</f>
        <v/>
      </c>
      <c r="IF262">
        <f>IF(OR(IA$3="",IA$3&gt;TODAY()),"",IF(AND(ID262="",IE262=""),"",N(IE262)-N(ID262)))</f>
        <v/>
      </c>
      <c r="IJ262">
        <f>IF(OR(IH$3="",IH$3&gt;TODAY()),"",IF(AND(IH262="",II262=""),"",N(II262)-N(IH262)))</f>
        <v/>
      </c>
      <c r="IM262">
        <f>IF(OR(IH$3="",IH$3&gt;TODAY()),"",IF(AND(IK262="",IL262=""),"",N(IL262)-N(IK262)))</f>
        <v/>
      </c>
    </row>
    <row r="263">
      <c r="A263" s="21" t="n"/>
      <c r="B263" s="21" t="n"/>
      <c r="C263" s="21" t="n"/>
      <c r="D263" s="21" t="n"/>
      <c r="E263" s="21" t="n"/>
      <c r="F263" s="21" t="n"/>
      <c r="G263" s="21" t="n"/>
      <c r="H263" s="21" t="n"/>
      <c r="I263" s="22" t="n"/>
      <c r="J263" s="22" t="n"/>
      <c r="K263" s="23" t="n"/>
      <c r="L263" s="22" t="n"/>
      <c r="M263" s="22" t="n"/>
      <c r="N263" s="21" t="n"/>
      <c r="O263" s="23" t="n"/>
      <c r="P263" s="23" t="n"/>
      <c r="Q263" s="23" t="n"/>
      <c r="R263" s="23" t="n"/>
      <c r="S263" s="22" t="n"/>
      <c r="T263" s="23" t="n"/>
      <c r="U263" s="23" t="n"/>
      <c r="V263" s="24">
        <f>IF(J263&lt;&gt;"",J263,IF(I263&lt;&gt;"",I263,""))</f>
        <v/>
      </c>
      <c r="W263" s="25">
        <f>IF($E263="","",N(O263)+SUMIFS($AF263:$IN263,$AF$4:$IN$4,"SEW_ACT"))</f>
        <v/>
      </c>
      <c r="X263" s="25">
        <f>IF($E263="","",N(P263)+SUMIFS($AF263:$IN263,$AF$4:$IN$4,"WASH_ACT"))</f>
        <v/>
      </c>
      <c r="Y263" s="25">
        <f>IF($E263="","",W263-X263-N(T263)-N(U263))</f>
        <v/>
      </c>
      <c r="Z263" s="25">
        <f>IF($E263="","",IF(N(K263)-X263&lt;=0.02*N(K263),0,N(K263)-X263))</f>
        <v/>
      </c>
      <c r="AA263" s="24">
        <f>IF($E263="","",IF(S263&lt;&gt;"",S263,IF(N(O263)&gt;0,IF(L263&lt;&gt;"",L263,99999),IFERROR(1/(1/_xlfn.MINIFS($AF$3:$IN$3,$AF$4:$IN$4,"SEW_ACT",$AF263:$IN263,"&gt;0")),99999))))</f>
        <v/>
      </c>
      <c r="AB263" s="26">
        <f>IF(OR($E263="",Z263=0,V263=""),"",1+COUNTIFS(Z$8:Z$707,"&gt;0",V$8:V$707,"&lt;"&amp;V263)+COUNTIFS(Z$8:Z$707,"&gt;0",V$8:V$707,V263,AA$8:AA$707,"&lt;"&amp;AA263)+COUNTIFS(Z$8:Z$707,"&gt;0",V$8:V$707,V263,AA$8:AA$707,AA263,E$8:E$707,"&lt;"&amp;$E263))</f>
        <v/>
      </c>
      <c r="AC263" s="24">
        <f>IF(OR($E263="",Z263=0),"",IFERROR(TODAY()+ROUNDUP(Z263/(SUMIFS($AF263:$IN263,$AF$4:$IN$4,"WASH_ACT")/COUNTIFS($AF$4:$IN$4,"WASH_ACT",$AF263:$IN263,"&gt;0")),0),"no output yet"))</f>
        <v/>
      </c>
      <c r="AD263" s="26">
        <f>IF($E263="","",IFERROR(ROUND(MAX(0,SUMIFS($AF263:$IN263,$AF$4:$IN$4,"SEW_PLAN",$AF$3:$IN$3,"&lt;="&amp;TODAY())-SUMIFS($AF263:$IN263,$AF$4:$IN$4,"SEW_ACT",$AF$3:$IN$3,"&lt;="&amp;TODAY())+N(Q263))/(SUMIFS($AF263:$IN263,$AF$4:$IN$4,"SEW_PLAN")/COUNTIFS($AF$4:$IN$4,"SEW_PLAN",$AF263:$IN263,"&gt;0")),1),0))</f>
        <v/>
      </c>
      <c r="AE263" s="26">
        <f>IF($E263="","",IF(AND(Z263&gt;0,OR(AND(M263&lt;&gt;"",TODAY()&gt;M263),AND(V263&lt;&gt;"",V263-TODAY()&lt;=7))),"Yes","No"))</f>
        <v/>
      </c>
      <c r="AH263">
        <f>IF(OR(AF$3="",AF$3&gt;TODAY()),"",IF(AND(AF263="",AG263=""),"",N(AG263)-N(AF263)))</f>
        <v/>
      </c>
      <c r="AK263">
        <f>IF(OR(AF$3="",AF$3&gt;TODAY()),"",IF(AND(AI263="",AJ263=""),"",N(AJ263)-N(AI263)))</f>
        <v/>
      </c>
      <c r="AO263">
        <f>IF(OR(AM$3="",AM$3&gt;TODAY()),"",IF(AND(AM263="",AN263=""),"",N(AN263)-N(AM263)))</f>
        <v/>
      </c>
      <c r="AR263">
        <f>IF(OR(AM$3="",AM$3&gt;TODAY()),"",IF(AND(AP263="",AQ263=""),"",N(AQ263)-N(AP263)))</f>
        <v/>
      </c>
      <c r="AV263">
        <f>IF(OR(AT$3="",AT$3&gt;TODAY()),"",IF(AND(AT263="",AU263=""),"",N(AU263)-N(AT263)))</f>
        <v/>
      </c>
      <c r="AY263">
        <f>IF(OR(AT$3="",AT$3&gt;TODAY()),"",IF(AND(AW263="",AX263=""),"",N(AX263)-N(AW263)))</f>
        <v/>
      </c>
      <c r="BC263">
        <f>IF(OR(BA$3="",BA$3&gt;TODAY()),"",IF(AND(BA263="",BB263=""),"",N(BB263)-N(BA263)))</f>
        <v/>
      </c>
      <c r="BF263">
        <f>IF(OR(BA$3="",BA$3&gt;TODAY()),"",IF(AND(BD263="",BE263=""),"",N(BE263)-N(BD263)))</f>
        <v/>
      </c>
      <c r="BJ263">
        <f>IF(OR(BH$3="",BH$3&gt;TODAY()),"",IF(AND(BH263="",BI263=""),"",N(BI263)-N(BH263)))</f>
        <v/>
      </c>
      <c r="BM263">
        <f>IF(OR(BH$3="",BH$3&gt;TODAY()),"",IF(AND(BK263="",BL263=""),"",N(BL263)-N(BK263)))</f>
        <v/>
      </c>
      <c r="BQ263">
        <f>IF(OR(BO$3="",BO$3&gt;TODAY()),"",IF(AND(BO263="",BP263=""),"",N(BP263)-N(BO263)))</f>
        <v/>
      </c>
      <c r="BT263">
        <f>IF(OR(BO$3="",BO$3&gt;TODAY()),"",IF(AND(BR263="",BS263=""),"",N(BS263)-N(BR263)))</f>
        <v/>
      </c>
      <c r="BX263">
        <f>IF(OR(BV$3="",BV$3&gt;TODAY()),"",IF(AND(BV263="",BW263=""),"",N(BW263)-N(BV263)))</f>
        <v/>
      </c>
      <c r="CA263">
        <f>IF(OR(BV$3="",BV$3&gt;TODAY()),"",IF(AND(BY263="",BZ263=""),"",N(BZ263)-N(BY263)))</f>
        <v/>
      </c>
      <c r="CE263">
        <f>IF(OR(CC$3="",CC$3&gt;TODAY()),"",IF(AND(CC263="",CD263=""),"",N(CD263)-N(CC263)))</f>
        <v/>
      </c>
      <c r="CH263">
        <f>IF(OR(CC$3="",CC$3&gt;TODAY()),"",IF(AND(CF263="",CG263=""),"",N(CG263)-N(CF263)))</f>
        <v/>
      </c>
      <c r="CL263">
        <f>IF(OR(CJ$3="",CJ$3&gt;TODAY()),"",IF(AND(CJ263="",CK263=""),"",N(CK263)-N(CJ263)))</f>
        <v/>
      </c>
      <c r="CO263">
        <f>IF(OR(CJ$3="",CJ$3&gt;TODAY()),"",IF(AND(CM263="",CN263=""),"",N(CN263)-N(CM263)))</f>
        <v/>
      </c>
      <c r="CS263">
        <f>IF(OR(CQ$3="",CQ$3&gt;TODAY()),"",IF(AND(CQ263="",CR263=""),"",N(CR263)-N(CQ263)))</f>
        <v/>
      </c>
      <c r="CV263">
        <f>IF(OR(CQ$3="",CQ$3&gt;TODAY()),"",IF(AND(CT263="",CU263=""),"",N(CU263)-N(CT263)))</f>
        <v/>
      </c>
      <c r="CZ263">
        <f>IF(OR(CX$3="",CX$3&gt;TODAY()),"",IF(AND(CX263="",CY263=""),"",N(CY263)-N(CX263)))</f>
        <v/>
      </c>
      <c r="DC263">
        <f>IF(OR(CX$3="",CX$3&gt;TODAY()),"",IF(AND(DA263="",DB263=""),"",N(DB263)-N(DA263)))</f>
        <v/>
      </c>
      <c r="DG263">
        <f>IF(OR(DE$3="",DE$3&gt;TODAY()),"",IF(AND(DE263="",DF263=""),"",N(DF263)-N(DE263)))</f>
        <v/>
      </c>
      <c r="DJ263">
        <f>IF(OR(DE$3="",DE$3&gt;TODAY()),"",IF(AND(DH263="",DI263=""),"",N(DI263)-N(DH263)))</f>
        <v/>
      </c>
      <c r="DN263">
        <f>IF(OR(DL$3="",DL$3&gt;TODAY()),"",IF(AND(DL263="",DM263=""),"",N(DM263)-N(DL263)))</f>
        <v/>
      </c>
      <c r="DQ263">
        <f>IF(OR(DL$3="",DL$3&gt;TODAY()),"",IF(AND(DO263="",DP263=""),"",N(DP263)-N(DO263)))</f>
        <v/>
      </c>
      <c r="DU263">
        <f>IF(OR(DS$3="",DS$3&gt;TODAY()),"",IF(AND(DS263="",DT263=""),"",N(DT263)-N(DS263)))</f>
        <v/>
      </c>
      <c r="DX263">
        <f>IF(OR(DS$3="",DS$3&gt;TODAY()),"",IF(AND(DV263="",DW263=""),"",N(DW263)-N(DV263)))</f>
        <v/>
      </c>
      <c r="EB263">
        <f>IF(OR(DZ$3="",DZ$3&gt;TODAY()),"",IF(AND(DZ263="",EA263=""),"",N(EA263)-N(DZ263)))</f>
        <v/>
      </c>
      <c r="EE263">
        <f>IF(OR(DZ$3="",DZ$3&gt;TODAY()),"",IF(AND(EC263="",ED263=""),"",N(ED263)-N(EC263)))</f>
        <v/>
      </c>
      <c r="EI263">
        <f>IF(OR(EG$3="",EG$3&gt;TODAY()),"",IF(AND(EG263="",EH263=""),"",N(EH263)-N(EG263)))</f>
        <v/>
      </c>
      <c r="EL263">
        <f>IF(OR(EG$3="",EG$3&gt;TODAY()),"",IF(AND(EJ263="",EK263=""),"",N(EK263)-N(EJ263)))</f>
        <v/>
      </c>
      <c r="EP263">
        <f>IF(OR(EN$3="",EN$3&gt;TODAY()),"",IF(AND(EN263="",EO263=""),"",N(EO263)-N(EN263)))</f>
        <v/>
      </c>
      <c r="ES263">
        <f>IF(OR(EN$3="",EN$3&gt;TODAY()),"",IF(AND(EQ263="",ER263=""),"",N(ER263)-N(EQ263)))</f>
        <v/>
      </c>
      <c r="EW263">
        <f>IF(OR(EU$3="",EU$3&gt;TODAY()),"",IF(AND(EU263="",EV263=""),"",N(EV263)-N(EU263)))</f>
        <v/>
      </c>
      <c r="EZ263">
        <f>IF(OR(EU$3="",EU$3&gt;TODAY()),"",IF(AND(EX263="",EY263=""),"",N(EY263)-N(EX263)))</f>
        <v/>
      </c>
      <c r="FD263">
        <f>IF(OR(FB$3="",FB$3&gt;TODAY()),"",IF(AND(FB263="",FC263=""),"",N(FC263)-N(FB263)))</f>
        <v/>
      </c>
      <c r="FG263">
        <f>IF(OR(FB$3="",FB$3&gt;TODAY()),"",IF(AND(FE263="",FF263=""),"",N(FF263)-N(FE263)))</f>
        <v/>
      </c>
      <c r="FK263">
        <f>IF(OR(FI$3="",FI$3&gt;TODAY()),"",IF(AND(FI263="",FJ263=""),"",N(FJ263)-N(FI263)))</f>
        <v/>
      </c>
      <c r="FN263">
        <f>IF(OR(FI$3="",FI$3&gt;TODAY()),"",IF(AND(FL263="",FM263=""),"",N(FM263)-N(FL263)))</f>
        <v/>
      </c>
      <c r="FR263">
        <f>IF(OR(FP$3="",FP$3&gt;TODAY()),"",IF(AND(FP263="",FQ263=""),"",N(FQ263)-N(FP263)))</f>
        <v/>
      </c>
      <c r="FU263">
        <f>IF(OR(FP$3="",FP$3&gt;TODAY()),"",IF(AND(FS263="",FT263=""),"",N(FT263)-N(FS263)))</f>
        <v/>
      </c>
      <c r="FY263">
        <f>IF(OR(FW$3="",FW$3&gt;TODAY()),"",IF(AND(FW263="",FX263=""),"",N(FX263)-N(FW263)))</f>
        <v/>
      </c>
      <c r="GB263">
        <f>IF(OR(FW$3="",FW$3&gt;TODAY()),"",IF(AND(FZ263="",GA263=""),"",N(GA263)-N(FZ263)))</f>
        <v/>
      </c>
      <c r="GF263">
        <f>IF(OR(GD$3="",GD$3&gt;TODAY()),"",IF(AND(GD263="",GE263=""),"",N(GE263)-N(GD263)))</f>
        <v/>
      </c>
      <c r="GI263">
        <f>IF(OR(GD$3="",GD$3&gt;TODAY()),"",IF(AND(GG263="",GH263=""),"",N(GH263)-N(GG263)))</f>
        <v/>
      </c>
      <c r="GM263">
        <f>IF(OR(GK$3="",GK$3&gt;TODAY()),"",IF(AND(GK263="",GL263=""),"",N(GL263)-N(GK263)))</f>
        <v/>
      </c>
      <c r="GP263">
        <f>IF(OR(GK$3="",GK$3&gt;TODAY()),"",IF(AND(GN263="",GO263=""),"",N(GO263)-N(GN263)))</f>
        <v/>
      </c>
      <c r="GT263">
        <f>IF(OR(GR$3="",GR$3&gt;TODAY()),"",IF(AND(GR263="",GS263=""),"",N(GS263)-N(GR263)))</f>
        <v/>
      </c>
      <c r="GW263">
        <f>IF(OR(GR$3="",GR$3&gt;TODAY()),"",IF(AND(GU263="",GV263=""),"",N(GV263)-N(GU263)))</f>
        <v/>
      </c>
      <c r="HA263">
        <f>IF(OR(GY$3="",GY$3&gt;TODAY()),"",IF(AND(GY263="",GZ263=""),"",N(GZ263)-N(GY263)))</f>
        <v/>
      </c>
      <c r="HD263">
        <f>IF(OR(GY$3="",GY$3&gt;TODAY()),"",IF(AND(HB263="",HC263=""),"",N(HC263)-N(HB263)))</f>
        <v/>
      </c>
      <c r="HH263">
        <f>IF(OR(HF$3="",HF$3&gt;TODAY()),"",IF(AND(HF263="",HG263=""),"",N(HG263)-N(HF263)))</f>
        <v/>
      </c>
      <c r="HK263">
        <f>IF(OR(HF$3="",HF$3&gt;TODAY()),"",IF(AND(HI263="",HJ263=""),"",N(HJ263)-N(HI263)))</f>
        <v/>
      </c>
      <c r="HO263">
        <f>IF(OR(HM$3="",HM$3&gt;TODAY()),"",IF(AND(HM263="",HN263=""),"",N(HN263)-N(HM263)))</f>
        <v/>
      </c>
      <c r="HR263">
        <f>IF(OR(HM$3="",HM$3&gt;TODAY()),"",IF(AND(HP263="",HQ263=""),"",N(HQ263)-N(HP263)))</f>
        <v/>
      </c>
      <c r="HV263">
        <f>IF(OR(HT$3="",HT$3&gt;TODAY()),"",IF(AND(HT263="",HU263=""),"",N(HU263)-N(HT263)))</f>
        <v/>
      </c>
      <c r="HY263">
        <f>IF(OR(HT$3="",HT$3&gt;TODAY()),"",IF(AND(HW263="",HX263=""),"",N(HX263)-N(HW263)))</f>
        <v/>
      </c>
      <c r="IC263">
        <f>IF(OR(IA$3="",IA$3&gt;TODAY()),"",IF(AND(IA263="",IB263=""),"",N(IB263)-N(IA263)))</f>
        <v/>
      </c>
      <c r="IF263">
        <f>IF(OR(IA$3="",IA$3&gt;TODAY()),"",IF(AND(ID263="",IE263=""),"",N(IE263)-N(ID263)))</f>
        <v/>
      </c>
      <c r="IJ263">
        <f>IF(OR(IH$3="",IH$3&gt;TODAY()),"",IF(AND(IH263="",II263=""),"",N(II263)-N(IH263)))</f>
        <v/>
      </c>
      <c r="IM263">
        <f>IF(OR(IH$3="",IH$3&gt;TODAY()),"",IF(AND(IK263="",IL263=""),"",N(IL263)-N(IK263)))</f>
        <v/>
      </c>
    </row>
    <row r="264">
      <c r="A264" s="21" t="n"/>
      <c r="B264" s="21" t="n"/>
      <c r="C264" s="21" t="n"/>
      <c r="D264" s="21" t="n"/>
      <c r="E264" s="21" t="n"/>
      <c r="F264" s="21" t="n"/>
      <c r="G264" s="21" t="n"/>
      <c r="H264" s="21" t="n"/>
      <c r="I264" s="22" t="n"/>
      <c r="J264" s="22" t="n"/>
      <c r="K264" s="23" t="n"/>
      <c r="L264" s="22" t="n"/>
      <c r="M264" s="22" t="n"/>
      <c r="N264" s="21" t="n"/>
      <c r="O264" s="23" t="n"/>
      <c r="P264" s="23" t="n"/>
      <c r="Q264" s="23" t="n"/>
      <c r="R264" s="23" t="n"/>
      <c r="S264" s="22" t="n"/>
      <c r="T264" s="23" t="n"/>
      <c r="U264" s="23" t="n"/>
      <c r="V264" s="24">
        <f>IF(J264&lt;&gt;"",J264,IF(I264&lt;&gt;"",I264,""))</f>
        <v/>
      </c>
      <c r="W264" s="25">
        <f>IF($E264="","",N(O264)+SUMIFS($AF264:$IN264,$AF$4:$IN$4,"SEW_ACT"))</f>
        <v/>
      </c>
      <c r="X264" s="25">
        <f>IF($E264="","",N(P264)+SUMIFS($AF264:$IN264,$AF$4:$IN$4,"WASH_ACT"))</f>
        <v/>
      </c>
      <c r="Y264" s="25">
        <f>IF($E264="","",W264-X264-N(T264)-N(U264))</f>
        <v/>
      </c>
      <c r="Z264" s="25">
        <f>IF($E264="","",IF(N(K264)-X264&lt;=0.02*N(K264),0,N(K264)-X264))</f>
        <v/>
      </c>
      <c r="AA264" s="24">
        <f>IF($E264="","",IF(S264&lt;&gt;"",S264,IF(N(O264)&gt;0,IF(L264&lt;&gt;"",L264,99999),IFERROR(1/(1/_xlfn.MINIFS($AF$3:$IN$3,$AF$4:$IN$4,"SEW_ACT",$AF264:$IN264,"&gt;0")),99999))))</f>
        <v/>
      </c>
      <c r="AB264" s="26">
        <f>IF(OR($E264="",Z264=0,V264=""),"",1+COUNTIFS(Z$8:Z$707,"&gt;0",V$8:V$707,"&lt;"&amp;V264)+COUNTIFS(Z$8:Z$707,"&gt;0",V$8:V$707,V264,AA$8:AA$707,"&lt;"&amp;AA264)+COUNTIFS(Z$8:Z$707,"&gt;0",V$8:V$707,V264,AA$8:AA$707,AA264,E$8:E$707,"&lt;"&amp;$E264))</f>
        <v/>
      </c>
      <c r="AC264" s="24">
        <f>IF(OR($E264="",Z264=0),"",IFERROR(TODAY()+ROUNDUP(Z264/(SUMIFS($AF264:$IN264,$AF$4:$IN$4,"WASH_ACT")/COUNTIFS($AF$4:$IN$4,"WASH_ACT",$AF264:$IN264,"&gt;0")),0),"no output yet"))</f>
        <v/>
      </c>
      <c r="AD264" s="26">
        <f>IF($E264="","",IFERROR(ROUND(MAX(0,SUMIFS($AF264:$IN264,$AF$4:$IN$4,"SEW_PLAN",$AF$3:$IN$3,"&lt;="&amp;TODAY())-SUMIFS($AF264:$IN264,$AF$4:$IN$4,"SEW_ACT",$AF$3:$IN$3,"&lt;="&amp;TODAY())+N(Q264))/(SUMIFS($AF264:$IN264,$AF$4:$IN$4,"SEW_PLAN")/COUNTIFS($AF$4:$IN$4,"SEW_PLAN",$AF264:$IN264,"&gt;0")),1),0))</f>
        <v/>
      </c>
      <c r="AE264" s="26">
        <f>IF($E264="","",IF(AND(Z264&gt;0,OR(AND(M264&lt;&gt;"",TODAY()&gt;M264),AND(V264&lt;&gt;"",V264-TODAY()&lt;=7))),"Yes","No"))</f>
        <v/>
      </c>
      <c r="AH264">
        <f>IF(OR(AF$3="",AF$3&gt;TODAY()),"",IF(AND(AF264="",AG264=""),"",N(AG264)-N(AF264)))</f>
        <v/>
      </c>
      <c r="AK264">
        <f>IF(OR(AF$3="",AF$3&gt;TODAY()),"",IF(AND(AI264="",AJ264=""),"",N(AJ264)-N(AI264)))</f>
        <v/>
      </c>
      <c r="AO264">
        <f>IF(OR(AM$3="",AM$3&gt;TODAY()),"",IF(AND(AM264="",AN264=""),"",N(AN264)-N(AM264)))</f>
        <v/>
      </c>
      <c r="AR264">
        <f>IF(OR(AM$3="",AM$3&gt;TODAY()),"",IF(AND(AP264="",AQ264=""),"",N(AQ264)-N(AP264)))</f>
        <v/>
      </c>
      <c r="AV264">
        <f>IF(OR(AT$3="",AT$3&gt;TODAY()),"",IF(AND(AT264="",AU264=""),"",N(AU264)-N(AT264)))</f>
        <v/>
      </c>
      <c r="AY264">
        <f>IF(OR(AT$3="",AT$3&gt;TODAY()),"",IF(AND(AW264="",AX264=""),"",N(AX264)-N(AW264)))</f>
        <v/>
      </c>
      <c r="BC264">
        <f>IF(OR(BA$3="",BA$3&gt;TODAY()),"",IF(AND(BA264="",BB264=""),"",N(BB264)-N(BA264)))</f>
        <v/>
      </c>
      <c r="BF264">
        <f>IF(OR(BA$3="",BA$3&gt;TODAY()),"",IF(AND(BD264="",BE264=""),"",N(BE264)-N(BD264)))</f>
        <v/>
      </c>
      <c r="BJ264">
        <f>IF(OR(BH$3="",BH$3&gt;TODAY()),"",IF(AND(BH264="",BI264=""),"",N(BI264)-N(BH264)))</f>
        <v/>
      </c>
      <c r="BM264">
        <f>IF(OR(BH$3="",BH$3&gt;TODAY()),"",IF(AND(BK264="",BL264=""),"",N(BL264)-N(BK264)))</f>
        <v/>
      </c>
      <c r="BQ264">
        <f>IF(OR(BO$3="",BO$3&gt;TODAY()),"",IF(AND(BO264="",BP264=""),"",N(BP264)-N(BO264)))</f>
        <v/>
      </c>
      <c r="BT264">
        <f>IF(OR(BO$3="",BO$3&gt;TODAY()),"",IF(AND(BR264="",BS264=""),"",N(BS264)-N(BR264)))</f>
        <v/>
      </c>
      <c r="BX264">
        <f>IF(OR(BV$3="",BV$3&gt;TODAY()),"",IF(AND(BV264="",BW264=""),"",N(BW264)-N(BV264)))</f>
        <v/>
      </c>
      <c r="CA264">
        <f>IF(OR(BV$3="",BV$3&gt;TODAY()),"",IF(AND(BY264="",BZ264=""),"",N(BZ264)-N(BY264)))</f>
        <v/>
      </c>
      <c r="CE264">
        <f>IF(OR(CC$3="",CC$3&gt;TODAY()),"",IF(AND(CC264="",CD264=""),"",N(CD264)-N(CC264)))</f>
        <v/>
      </c>
      <c r="CH264">
        <f>IF(OR(CC$3="",CC$3&gt;TODAY()),"",IF(AND(CF264="",CG264=""),"",N(CG264)-N(CF264)))</f>
        <v/>
      </c>
      <c r="CL264">
        <f>IF(OR(CJ$3="",CJ$3&gt;TODAY()),"",IF(AND(CJ264="",CK264=""),"",N(CK264)-N(CJ264)))</f>
        <v/>
      </c>
      <c r="CO264">
        <f>IF(OR(CJ$3="",CJ$3&gt;TODAY()),"",IF(AND(CM264="",CN264=""),"",N(CN264)-N(CM264)))</f>
        <v/>
      </c>
      <c r="CS264">
        <f>IF(OR(CQ$3="",CQ$3&gt;TODAY()),"",IF(AND(CQ264="",CR264=""),"",N(CR264)-N(CQ264)))</f>
        <v/>
      </c>
      <c r="CV264">
        <f>IF(OR(CQ$3="",CQ$3&gt;TODAY()),"",IF(AND(CT264="",CU264=""),"",N(CU264)-N(CT264)))</f>
        <v/>
      </c>
      <c r="CZ264">
        <f>IF(OR(CX$3="",CX$3&gt;TODAY()),"",IF(AND(CX264="",CY264=""),"",N(CY264)-N(CX264)))</f>
        <v/>
      </c>
      <c r="DC264">
        <f>IF(OR(CX$3="",CX$3&gt;TODAY()),"",IF(AND(DA264="",DB264=""),"",N(DB264)-N(DA264)))</f>
        <v/>
      </c>
      <c r="DG264">
        <f>IF(OR(DE$3="",DE$3&gt;TODAY()),"",IF(AND(DE264="",DF264=""),"",N(DF264)-N(DE264)))</f>
        <v/>
      </c>
      <c r="DJ264">
        <f>IF(OR(DE$3="",DE$3&gt;TODAY()),"",IF(AND(DH264="",DI264=""),"",N(DI264)-N(DH264)))</f>
        <v/>
      </c>
      <c r="DN264">
        <f>IF(OR(DL$3="",DL$3&gt;TODAY()),"",IF(AND(DL264="",DM264=""),"",N(DM264)-N(DL264)))</f>
        <v/>
      </c>
      <c r="DQ264">
        <f>IF(OR(DL$3="",DL$3&gt;TODAY()),"",IF(AND(DO264="",DP264=""),"",N(DP264)-N(DO264)))</f>
        <v/>
      </c>
      <c r="DU264">
        <f>IF(OR(DS$3="",DS$3&gt;TODAY()),"",IF(AND(DS264="",DT264=""),"",N(DT264)-N(DS264)))</f>
        <v/>
      </c>
      <c r="DX264">
        <f>IF(OR(DS$3="",DS$3&gt;TODAY()),"",IF(AND(DV264="",DW264=""),"",N(DW264)-N(DV264)))</f>
        <v/>
      </c>
      <c r="EB264">
        <f>IF(OR(DZ$3="",DZ$3&gt;TODAY()),"",IF(AND(DZ264="",EA264=""),"",N(EA264)-N(DZ264)))</f>
        <v/>
      </c>
      <c r="EE264">
        <f>IF(OR(DZ$3="",DZ$3&gt;TODAY()),"",IF(AND(EC264="",ED264=""),"",N(ED264)-N(EC264)))</f>
        <v/>
      </c>
      <c r="EI264">
        <f>IF(OR(EG$3="",EG$3&gt;TODAY()),"",IF(AND(EG264="",EH264=""),"",N(EH264)-N(EG264)))</f>
        <v/>
      </c>
      <c r="EL264">
        <f>IF(OR(EG$3="",EG$3&gt;TODAY()),"",IF(AND(EJ264="",EK264=""),"",N(EK264)-N(EJ264)))</f>
        <v/>
      </c>
      <c r="EP264">
        <f>IF(OR(EN$3="",EN$3&gt;TODAY()),"",IF(AND(EN264="",EO264=""),"",N(EO264)-N(EN264)))</f>
        <v/>
      </c>
      <c r="ES264">
        <f>IF(OR(EN$3="",EN$3&gt;TODAY()),"",IF(AND(EQ264="",ER264=""),"",N(ER264)-N(EQ264)))</f>
        <v/>
      </c>
      <c r="EW264">
        <f>IF(OR(EU$3="",EU$3&gt;TODAY()),"",IF(AND(EU264="",EV264=""),"",N(EV264)-N(EU264)))</f>
        <v/>
      </c>
      <c r="EZ264">
        <f>IF(OR(EU$3="",EU$3&gt;TODAY()),"",IF(AND(EX264="",EY264=""),"",N(EY264)-N(EX264)))</f>
        <v/>
      </c>
      <c r="FD264">
        <f>IF(OR(FB$3="",FB$3&gt;TODAY()),"",IF(AND(FB264="",FC264=""),"",N(FC264)-N(FB264)))</f>
        <v/>
      </c>
      <c r="FG264">
        <f>IF(OR(FB$3="",FB$3&gt;TODAY()),"",IF(AND(FE264="",FF264=""),"",N(FF264)-N(FE264)))</f>
        <v/>
      </c>
      <c r="FK264">
        <f>IF(OR(FI$3="",FI$3&gt;TODAY()),"",IF(AND(FI264="",FJ264=""),"",N(FJ264)-N(FI264)))</f>
        <v/>
      </c>
      <c r="FN264">
        <f>IF(OR(FI$3="",FI$3&gt;TODAY()),"",IF(AND(FL264="",FM264=""),"",N(FM264)-N(FL264)))</f>
        <v/>
      </c>
      <c r="FR264">
        <f>IF(OR(FP$3="",FP$3&gt;TODAY()),"",IF(AND(FP264="",FQ264=""),"",N(FQ264)-N(FP264)))</f>
        <v/>
      </c>
      <c r="FU264">
        <f>IF(OR(FP$3="",FP$3&gt;TODAY()),"",IF(AND(FS264="",FT264=""),"",N(FT264)-N(FS264)))</f>
        <v/>
      </c>
      <c r="FY264">
        <f>IF(OR(FW$3="",FW$3&gt;TODAY()),"",IF(AND(FW264="",FX264=""),"",N(FX264)-N(FW264)))</f>
        <v/>
      </c>
      <c r="GB264">
        <f>IF(OR(FW$3="",FW$3&gt;TODAY()),"",IF(AND(FZ264="",GA264=""),"",N(GA264)-N(FZ264)))</f>
        <v/>
      </c>
      <c r="GF264">
        <f>IF(OR(GD$3="",GD$3&gt;TODAY()),"",IF(AND(GD264="",GE264=""),"",N(GE264)-N(GD264)))</f>
        <v/>
      </c>
      <c r="GI264">
        <f>IF(OR(GD$3="",GD$3&gt;TODAY()),"",IF(AND(GG264="",GH264=""),"",N(GH264)-N(GG264)))</f>
        <v/>
      </c>
      <c r="GM264">
        <f>IF(OR(GK$3="",GK$3&gt;TODAY()),"",IF(AND(GK264="",GL264=""),"",N(GL264)-N(GK264)))</f>
        <v/>
      </c>
      <c r="GP264">
        <f>IF(OR(GK$3="",GK$3&gt;TODAY()),"",IF(AND(GN264="",GO264=""),"",N(GO264)-N(GN264)))</f>
        <v/>
      </c>
      <c r="GT264">
        <f>IF(OR(GR$3="",GR$3&gt;TODAY()),"",IF(AND(GR264="",GS264=""),"",N(GS264)-N(GR264)))</f>
        <v/>
      </c>
      <c r="GW264">
        <f>IF(OR(GR$3="",GR$3&gt;TODAY()),"",IF(AND(GU264="",GV264=""),"",N(GV264)-N(GU264)))</f>
        <v/>
      </c>
      <c r="HA264">
        <f>IF(OR(GY$3="",GY$3&gt;TODAY()),"",IF(AND(GY264="",GZ264=""),"",N(GZ264)-N(GY264)))</f>
        <v/>
      </c>
      <c r="HD264">
        <f>IF(OR(GY$3="",GY$3&gt;TODAY()),"",IF(AND(HB264="",HC264=""),"",N(HC264)-N(HB264)))</f>
        <v/>
      </c>
      <c r="HH264">
        <f>IF(OR(HF$3="",HF$3&gt;TODAY()),"",IF(AND(HF264="",HG264=""),"",N(HG264)-N(HF264)))</f>
        <v/>
      </c>
      <c r="HK264">
        <f>IF(OR(HF$3="",HF$3&gt;TODAY()),"",IF(AND(HI264="",HJ264=""),"",N(HJ264)-N(HI264)))</f>
        <v/>
      </c>
      <c r="HO264">
        <f>IF(OR(HM$3="",HM$3&gt;TODAY()),"",IF(AND(HM264="",HN264=""),"",N(HN264)-N(HM264)))</f>
        <v/>
      </c>
      <c r="HR264">
        <f>IF(OR(HM$3="",HM$3&gt;TODAY()),"",IF(AND(HP264="",HQ264=""),"",N(HQ264)-N(HP264)))</f>
        <v/>
      </c>
      <c r="HV264">
        <f>IF(OR(HT$3="",HT$3&gt;TODAY()),"",IF(AND(HT264="",HU264=""),"",N(HU264)-N(HT264)))</f>
        <v/>
      </c>
      <c r="HY264">
        <f>IF(OR(HT$3="",HT$3&gt;TODAY()),"",IF(AND(HW264="",HX264=""),"",N(HX264)-N(HW264)))</f>
        <v/>
      </c>
      <c r="IC264">
        <f>IF(OR(IA$3="",IA$3&gt;TODAY()),"",IF(AND(IA264="",IB264=""),"",N(IB264)-N(IA264)))</f>
        <v/>
      </c>
      <c r="IF264">
        <f>IF(OR(IA$3="",IA$3&gt;TODAY()),"",IF(AND(ID264="",IE264=""),"",N(IE264)-N(ID264)))</f>
        <v/>
      </c>
      <c r="IJ264">
        <f>IF(OR(IH$3="",IH$3&gt;TODAY()),"",IF(AND(IH264="",II264=""),"",N(II264)-N(IH264)))</f>
        <v/>
      </c>
      <c r="IM264">
        <f>IF(OR(IH$3="",IH$3&gt;TODAY()),"",IF(AND(IK264="",IL264=""),"",N(IL264)-N(IK264)))</f>
        <v/>
      </c>
    </row>
    <row r="265">
      <c r="A265" s="21" t="n"/>
      <c r="B265" s="21" t="n"/>
      <c r="C265" s="21" t="n"/>
      <c r="D265" s="21" t="n"/>
      <c r="E265" s="21" t="n"/>
      <c r="F265" s="21" t="n"/>
      <c r="G265" s="21" t="n"/>
      <c r="H265" s="21" t="n"/>
      <c r="I265" s="22" t="n"/>
      <c r="J265" s="22" t="n"/>
      <c r="K265" s="23" t="n"/>
      <c r="L265" s="22" t="n"/>
      <c r="M265" s="22" t="n"/>
      <c r="N265" s="21" t="n"/>
      <c r="O265" s="23" t="n"/>
      <c r="P265" s="23" t="n"/>
      <c r="Q265" s="23" t="n"/>
      <c r="R265" s="23" t="n"/>
      <c r="S265" s="22" t="n"/>
      <c r="T265" s="23" t="n"/>
      <c r="U265" s="23" t="n"/>
      <c r="V265" s="24">
        <f>IF(J265&lt;&gt;"",J265,IF(I265&lt;&gt;"",I265,""))</f>
        <v/>
      </c>
      <c r="W265" s="25">
        <f>IF($E265="","",N(O265)+SUMIFS($AF265:$IN265,$AF$4:$IN$4,"SEW_ACT"))</f>
        <v/>
      </c>
      <c r="X265" s="25">
        <f>IF($E265="","",N(P265)+SUMIFS($AF265:$IN265,$AF$4:$IN$4,"WASH_ACT"))</f>
        <v/>
      </c>
      <c r="Y265" s="25">
        <f>IF($E265="","",W265-X265-N(T265)-N(U265))</f>
        <v/>
      </c>
      <c r="Z265" s="25">
        <f>IF($E265="","",IF(N(K265)-X265&lt;=0.02*N(K265),0,N(K265)-X265))</f>
        <v/>
      </c>
      <c r="AA265" s="24">
        <f>IF($E265="","",IF(S265&lt;&gt;"",S265,IF(N(O265)&gt;0,IF(L265&lt;&gt;"",L265,99999),IFERROR(1/(1/_xlfn.MINIFS($AF$3:$IN$3,$AF$4:$IN$4,"SEW_ACT",$AF265:$IN265,"&gt;0")),99999))))</f>
        <v/>
      </c>
      <c r="AB265" s="26">
        <f>IF(OR($E265="",Z265=0,V265=""),"",1+COUNTIFS(Z$8:Z$707,"&gt;0",V$8:V$707,"&lt;"&amp;V265)+COUNTIFS(Z$8:Z$707,"&gt;0",V$8:V$707,V265,AA$8:AA$707,"&lt;"&amp;AA265)+COUNTIFS(Z$8:Z$707,"&gt;0",V$8:V$707,V265,AA$8:AA$707,AA265,E$8:E$707,"&lt;"&amp;$E265))</f>
        <v/>
      </c>
      <c r="AC265" s="24">
        <f>IF(OR($E265="",Z265=0),"",IFERROR(TODAY()+ROUNDUP(Z265/(SUMIFS($AF265:$IN265,$AF$4:$IN$4,"WASH_ACT")/COUNTIFS($AF$4:$IN$4,"WASH_ACT",$AF265:$IN265,"&gt;0")),0),"no output yet"))</f>
        <v/>
      </c>
      <c r="AD265" s="26">
        <f>IF($E265="","",IFERROR(ROUND(MAX(0,SUMIFS($AF265:$IN265,$AF$4:$IN$4,"SEW_PLAN",$AF$3:$IN$3,"&lt;="&amp;TODAY())-SUMIFS($AF265:$IN265,$AF$4:$IN$4,"SEW_ACT",$AF$3:$IN$3,"&lt;="&amp;TODAY())+N(Q265))/(SUMIFS($AF265:$IN265,$AF$4:$IN$4,"SEW_PLAN")/COUNTIFS($AF$4:$IN$4,"SEW_PLAN",$AF265:$IN265,"&gt;0")),1),0))</f>
        <v/>
      </c>
      <c r="AE265" s="26">
        <f>IF($E265="","",IF(AND(Z265&gt;0,OR(AND(M265&lt;&gt;"",TODAY()&gt;M265),AND(V265&lt;&gt;"",V265-TODAY()&lt;=7))),"Yes","No"))</f>
        <v/>
      </c>
      <c r="AH265">
        <f>IF(OR(AF$3="",AF$3&gt;TODAY()),"",IF(AND(AF265="",AG265=""),"",N(AG265)-N(AF265)))</f>
        <v/>
      </c>
      <c r="AK265">
        <f>IF(OR(AF$3="",AF$3&gt;TODAY()),"",IF(AND(AI265="",AJ265=""),"",N(AJ265)-N(AI265)))</f>
        <v/>
      </c>
      <c r="AO265">
        <f>IF(OR(AM$3="",AM$3&gt;TODAY()),"",IF(AND(AM265="",AN265=""),"",N(AN265)-N(AM265)))</f>
        <v/>
      </c>
      <c r="AR265">
        <f>IF(OR(AM$3="",AM$3&gt;TODAY()),"",IF(AND(AP265="",AQ265=""),"",N(AQ265)-N(AP265)))</f>
        <v/>
      </c>
      <c r="AV265">
        <f>IF(OR(AT$3="",AT$3&gt;TODAY()),"",IF(AND(AT265="",AU265=""),"",N(AU265)-N(AT265)))</f>
        <v/>
      </c>
      <c r="AY265">
        <f>IF(OR(AT$3="",AT$3&gt;TODAY()),"",IF(AND(AW265="",AX265=""),"",N(AX265)-N(AW265)))</f>
        <v/>
      </c>
      <c r="BC265">
        <f>IF(OR(BA$3="",BA$3&gt;TODAY()),"",IF(AND(BA265="",BB265=""),"",N(BB265)-N(BA265)))</f>
        <v/>
      </c>
      <c r="BF265">
        <f>IF(OR(BA$3="",BA$3&gt;TODAY()),"",IF(AND(BD265="",BE265=""),"",N(BE265)-N(BD265)))</f>
        <v/>
      </c>
      <c r="BJ265">
        <f>IF(OR(BH$3="",BH$3&gt;TODAY()),"",IF(AND(BH265="",BI265=""),"",N(BI265)-N(BH265)))</f>
        <v/>
      </c>
      <c r="BM265">
        <f>IF(OR(BH$3="",BH$3&gt;TODAY()),"",IF(AND(BK265="",BL265=""),"",N(BL265)-N(BK265)))</f>
        <v/>
      </c>
      <c r="BQ265">
        <f>IF(OR(BO$3="",BO$3&gt;TODAY()),"",IF(AND(BO265="",BP265=""),"",N(BP265)-N(BO265)))</f>
        <v/>
      </c>
      <c r="BT265">
        <f>IF(OR(BO$3="",BO$3&gt;TODAY()),"",IF(AND(BR265="",BS265=""),"",N(BS265)-N(BR265)))</f>
        <v/>
      </c>
      <c r="BX265">
        <f>IF(OR(BV$3="",BV$3&gt;TODAY()),"",IF(AND(BV265="",BW265=""),"",N(BW265)-N(BV265)))</f>
        <v/>
      </c>
      <c r="CA265">
        <f>IF(OR(BV$3="",BV$3&gt;TODAY()),"",IF(AND(BY265="",BZ265=""),"",N(BZ265)-N(BY265)))</f>
        <v/>
      </c>
      <c r="CE265">
        <f>IF(OR(CC$3="",CC$3&gt;TODAY()),"",IF(AND(CC265="",CD265=""),"",N(CD265)-N(CC265)))</f>
        <v/>
      </c>
      <c r="CH265">
        <f>IF(OR(CC$3="",CC$3&gt;TODAY()),"",IF(AND(CF265="",CG265=""),"",N(CG265)-N(CF265)))</f>
        <v/>
      </c>
      <c r="CL265">
        <f>IF(OR(CJ$3="",CJ$3&gt;TODAY()),"",IF(AND(CJ265="",CK265=""),"",N(CK265)-N(CJ265)))</f>
        <v/>
      </c>
      <c r="CO265">
        <f>IF(OR(CJ$3="",CJ$3&gt;TODAY()),"",IF(AND(CM265="",CN265=""),"",N(CN265)-N(CM265)))</f>
        <v/>
      </c>
      <c r="CS265">
        <f>IF(OR(CQ$3="",CQ$3&gt;TODAY()),"",IF(AND(CQ265="",CR265=""),"",N(CR265)-N(CQ265)))</f>
        <v/>
      </c>
      <c r="CV265">
        <f>IF(OR(CQ$3="",CQ$3&gt;TODAY()),"",IF(AND(CT265="",CU265=""),"",N(CU265)-N(CT265)))</f>
        <v/>
      </c>
      <c r="CZ265">
        <f>IF(OR(CX$3="",CX$3&gt;TODAY()),"",IF(AND(CX265="",CY265=""),"",N(CY265)-N(CX265)))</f>
        <v/>
      </c>
      <c r="DC265">
        <f>IF(OR(CX$3="",CX$3&gt;TODAY()),"",IF(AND(DA265="",DB265=""),"",N(DB265)-N(DA265)))</f>
        <v/>
      </c>
      <c r="DG265">
        <f>IF(OR(DE$3="",DE$3&gt;TODAY()),"",IF(AND(DE265="",DF265=""),"",N(DF265)-N(DE265)))</f>
        <v/>
      </c>
      <c r="DJ265">
        <f>IF(OR(DE$3="",DE$3&gt;TODAY()),"",IF(AND(DH265="",DI265=""),"",N(DI265)-N(DH265)))</f>
        <v/>
      </c>
      <c r="DN265">
        <f>IF(OR(DL$3="",DL$3&gt;TODAY()),"",IF(AND(DL265="",DM265=""),"",N(DM265)-N(DL265)))</f>
        <v/>
      </c>
      <c r="DQ265">
        <f>IF(OR(DL$3="",DL$3&gt;TODAY()),"",IF(AND(DO265="",DP265=""),"",N(DP265)-N(DO265)))</f>
        <v/>
      </c>
      <c r="DU265">
        <f>IF(OR(DS$3="",DS$3&gt;TODAY()),"",IF(AND(DS265="",DT265=""),"",N(DT265)-N(DS265)))</f>
        <v/>
      </c>
      <c r="DX265">
        <f>IF(OR(DS$3="",DS$3&gt;TODAY()),"",IF(AND(DV265="",DW265=""),"",N(DW265)-N(DV265)))</f>
        <v/>
      </c>
      <c r="EB265">
        <f>IF(OR(DZ$3="",DZ$3&gt;TODAY()),"",IF(AND(DZ265="",EA265=""),"",N(EA265)-N(DZ265)))</f>
        <v/>
      </c>
      <c r="EE265">
        <f>IF(OR(DZ$3="",DZ$3&gt;TODAY()),"",IF(AND(EC265="",ED265=""),"",N(ED265)-N(EC265)))</f>
        <v/>
      </c>
      <c r="EI265">
        <f>IF(OR(EG$3="",EG$3&gt;TODAY()),"",IF(AND(EG265="",EH265=""),"",N(EH265)-N(EG265)))</f>
        <v/>
      </c>
      <c r="EL265">
        <f>IF(OR(EG$3="",EG$3&gt;TODAY()),"",IF(AND(EJ265="",EK265=""),"",N(EK265)-N(EJ265)))</f>
        <v/>
      </c>
      <c r="EP265">
        <f>IF(OR(EN$3="",EN$3&gt;TODAY()),"",IF(AND(EN265="",EO265=""),"",N(EO265)-N(EN265)))</f>
        <v/>
      </c>
      <c r="ES265">
        <f>IF(OR(EN$3="",EN$3&gt;TODAY()),"",IF(AND(EQ265="",ER265=""),"",N(ER265)-N(EQ265)))</f>
        <v/>
      </c>
      <c r="EW265">
        <f>IF(OR(EU$3="",EU$3&gt;TODAY()),"",IF(AND(EU265="",EV265=""),"",N(EV265)-N(EU265)))</f>
        <v/>
      </c>
      <c r="EZ265">
        <f>IF(OR(EU$3="",EU$3&gt;TODAY()),"",IF(AND(EX265="",EY265=""),"",N(EY265)-N(EX265)))</f>
        <v/>
      </c>
      <c r="FD265">
        <f>IF(OR(FB$3="",FB$3&gt;TODAY()),"",IF(AND(FB265="",FC265=""),"",N(FC265)-N(FB265)))</f>
        <v/>
      </c>
      <c r="FG265">
        <f>IF(OR(FB$3="",FB$3&gt;TODAY()),"",IF(AND(FE265="",FF265=""),"",N(FF265)-N(FE265)))</f>
        <v/>
      </c>
      <c r="FK265">
        <f>IF(OR(FI$3="",FI$3&gt;TODAY()),"",IF(AND(FI265="",FJ265=""),"",N(FJ265)-N(FI265)))</f>
        <v/>
      </c>
      <c r="FN265">
        <f>IF(OR(FI$3="",FI$3&gt;TODAY()),"",IF(AND(FL265="",FM265=""),"",N(FM265)-N(FL265)))</f>
        <v/>
      </c>
      <c r="FR265">
        <f>IF(OR(FP$3="",FP$3&gt;TODAY()),"",IF(AND(FP265="",FQ265=""),"",N(FQ265)-N(FP265)))</f>
        <v/>
      </c>
      <c r="FU265">
        <f>IF(OR(FP$3="",FP$3&gt;TODAY()),"",IF(AND(FS265="",FT265=""),"",N(FT265)-N(FS265)))</f>
        <v/>
      </c>
      <c r="FY265">
        <f>IF(OR(FW$3="",FW$3&gt;TODAY()),"",IF(AND(FW265="",FX265=""),"",N(FX265)-N(FW265)))</f>
        <v/>
      </c>
      <c r="GB265">
        <f>IF(OR(FW$3="",FW$3&gt;TODAY()),"",IF(AND(FZ265="",GA265=""),"",N(GA265)-N(FZ265)))</f>
        <v/>
      </c>
      <c r="GF265">
        <f>IF(OR(GD$3="",GD$3&gt;TODAY()),"",IF(AND(GD265="",GE265=""),"",N(GE265)-N(GD265)))</f>
        <v/>
      </c>
      <c r="GI265">
        <f>IF(OR(GD$3="",GD$3&gt;TODAY()),"",IF(AND(GG265="",GH265=""),"",N(GH265)-N(GG265)))</f>
        <v/>
      </c>
      <c r="GM265">
        <f>IF(OR(GK$3="",GK$3&gt;TODAY()),"",IF(AND(GK265="",GL265=""),"",N(GL265)-N(GK265)))</f>
        <v/>
      </c>
      <c r="GP265">
        <f>IF(OR(GK$3="",GK$3&gt;TODAY()),"",IF(AND(GN265="",GO265=""),"",N(GO265)-N(GN265)))</f>
        <v/>
      </c>
      <c r="GT265">
        <f>IF(OR(GR$3="",GR$3&gt;TODAY()),"",IF(AND(GR265="",GS265=""),"",N(GS265)-N(GR265)))</f>
        <v/>
      </c>
      <c r="GW265">
        <f>IF(OR(GR$3="",GR$3&gt;TODAY()),"",IF(AND(GU265="",GV265=""),"",N(GV265)-N(GU265)))</f>
        <v/>
      </c>
      <c r="HA265">
        <f>IF(OR(GY$3="",GY$3&gt;TODAY()),"",IF(AND(GY265="",GZ265=""),"",N(GZ265)-N(GY265)))</f>
        <v/>
      </c>
      <c r="HD265">
        <f>IF(OR(GY$3="",GY$3&gt;TODAY()),"",IF(AND(HB265="",HC265=""),"",N(HC265)-N(HB265)))</f>
        <v/>
      </c>
      <c r="HH265">
        <f>IF(OR(HF$3="",HF$3&gt;TODAY()),"",IF(AND(HF265="",HG265=""),"",N(HG265)-N(HF265)))</f>
        <v/>
      </c>
      <c r="HK265">
        <f>IF(OR(HF$3="",HF$3&gt;TODAY()),"",IF(AND(HI265="",HJ265=""),"",N(HJ265)-N(HI265)))</f>
        <v/>
      </c>
      <c r="HO265">
        <f>IF(OR(HM$3="",HM$3&gt;TODAY()),"",IF(AND(HM265="",HN265=""),"",N(HN265)-N(HM265)))</f>
        <v/>
      </c>
      <c r="HR265">
        <f>IF(OR(HM$3="",HM$3&gt;TODAY()),"",IF(AND(HP265="",HQ265=""),"",N(HQ265)-N(HP265)))</f>
        <v/>
      </c>
      <c r="HV265">
        <f>IF(OR(HT$3="",HT$3&gt;TODAY()),"",IF(AND(HT265="",HU265=""),"",N(HU265)-N(HT265)))</f>
        <v/>
      </c>
      <c r="HY265">
        <f>IF(OR(HT$3="",HT$3&gt;TODAY()),"",IF(AND(HW265="",HX265=""),"",N(HX265)-N(HW265)))</f>
        <v/>
      </c>
      <c r="IC265">
        <f>IF(OR(IA$3="",IA$3&gt;TODAY()),"",IF(AND(IA265="",IB265=""),"",N(IB265)-N(IA265)))</f>
        <v/>
      </c>
      <c r="IF265">
        <f>IF(OR(IA$3="",IA$3&gt;TODAY()),"",IF(AND(ID265="",IE265=""),"",N(IE265)-N(ID265)))</f>
        <v/>
      </c>
      <c r="IJ265">
        <f>IF(OR(IH$3="",IH$3&gt;TODAY()),"",IF(AND(IH265="",II265=""),"",N(II265)-N(IH265)))</f>
        <v/>
      </c>
      <c r="IM265">
        <f>IF(OR(IH$3="",IH$3&gt;TODAY()),"",IF(AND(IK265="",IL265=""),"",N(IL265)-N(IK265)))</f>
        <v/>
      </c>
    </row>
    <row r="266">
      <c r="A266" s="21" t="n"/>
      <c r="B266" s="21" t="n"/>
      <c r="C266" s="21" t="n"/>
      <c r="D266" s="21" t="n"/>
      <c r="E266" s="21" t="n"/>
      <c r="F266" s="21" t="n"/>
      <c r="G266" s="21" t="n"/>
      <c r="H266" s="21" t="n"/>
      <c r="I266" s="22" t="n"/>
      <c r="J266" s="22" t="n"/>
      <c r="K266" s="23" t="n"/>
      <c r="L266" s="22" t="n"/>
      <c r="M266" s="22" t="n"/>
      <c r="N266" s="21" t="n"/>
      <c r="O266" s="23" t="n"/>
      <c r="P266" s="23" t="n"/>
      <c r="Q266" s="23" t="n"/>
      <c r="R266" s="23" t="n"/>
      <c r="S266" s="22" t="n"/>
      <c r="T266" s="23" t="n"/>
      <c r="U266" s="23" t="n"/>
      <c r="V266" s="24">
        <f>IF(J266&lt;&gt;"",J266,IF(I266&lt;&gt;"",I266,""))</f>
        <v/>
      </c>
      <c r="W266" s="25">
        <f>IF($E266="","",N(O266)+SUMIFS($AF266:$IN266,$AF$4:$IN$4,"SEW_ACT"))</f>
        <v/>
      </c>
      <c r="X266" s="25">
        <f>IF($E266="","",N(P266)+SUMIFS($AF266:$IN266,$AF$4:$IN$4,"WASH_ACT"))</f>
        <v/>
      </c>
      <c r="Y266" s="25">
        <f>IF($E266="","",W266-X266-N(T266)-N(U266))</f>
        <v/>
      </c>
      <c r="Z266" s="25">
        <f>IF($E266="","",IF(N(K266)-X266&lt;=0.02*N(K266),0,N(K266)-X266))</f>
        <v/>
      </c>
      <c r="AA266" s="24">
        <f>IF($E266="","",IF(S266&lt;&gt;"",S266,IF(N(O266)&gt;0,IF(L266&lt;&gt;"",L266,99999),IFERROR(1/(1/_xlfn.MINIFS($AF$3:$IN$3,$AF$4:$IN$4,"SEW_ACT",$AF266:$IN266,"&gt;0")),99999))))</f>
        <v/>
      </c>
      <c r="AB266" s="26">
        <f>IF(OR($E266="",Z266=0,V266=""),"",1+COUNTIFS(Z$8:Z$707,"&gt;0",V$8:V$707,"&lt;"&amp;V266)+COUNTIFS(Z$8:Z$707,"&gt;0",V$8:V$707,V266,AA$8:AA$707,"&lt;"&amp;AA266)+COUNTIFS(Z$8:Z$707,"&gt;0",V$8:V$707,V266,AA$8:AA$707,AA266,E$8:E$707,"&lt;"&amp;$E266))</f>
        <v/>
      </c>
      <c r="AC266" s="24">
        <f>IF(OR($E266="",Z266=0),"",IFERROR(TODAY()+ROUNDUP(Z266/(SUMIFS($AF266:$IN266,$AF$4:$IN$4,"WASH_ACT")/COUNTIFS($AF$4:$IN$4,"WASH_ACT",$AF266:$IN266,"&gt;0")),0),"no output yet"))</f>
        <v/>
      </c>
      <c r="AD266" s="26">
        <f>IF($E266="","",IFERROR(ROUND(MAX(0,SUMIFS($AF266:$IN266,$AF$4:$IN$4,"SEW_PLAN",$AF$3:$IN$3,"&lt;="&amp;TODAY())-SUMIFS($AF266:$IN266,$AF$4:$IN$4,"SEW_ACT",$AF$3:$IN$3,"&lt;="&amp;TODAY())+N(Q266))/(SUMIFS($AF266:$IN266,$AF$4:$IN$4,"SEW_PLAN")/COUNTIFS($AF$4:$IN$4,"SEW_PLAN",$AF266:$IN266,"&gt;0")),1),0))</f>
        <v/>
      </c>
      <c r="AE266" s="26">
        <f>IF($E266="","",IF(AND(Z266&gt;0,OR(AND(M266&lt;&gt;"",TODAY()&gt;M266),AND(V266&lt;&gt;"",V266-TODAY()&lt;=7))),"Yes","No"))</f>
        <v/>
      </c>
      <c r="AH266">
        <f>IF(OR(AF$3="",AF$3&gt;TODAY()),"",IF(AND(AF266="",AG266=""),"",N(AG266)-N(AF266)))</f>
        <v/>
      </c>
      <c r="AK266">
        <f>IF(OR(AF$3="",AF$3&gt;TODAY()),"",IF(AND(AI266="",AJ266=""),"",N(AJ266)-N(AI266)))</f>
        <v/>
      </c>
      <c r="AO266">
        <f>IF(OR(AM$3="",AM$3&gt;TODAY()),"",IF(AND(AM266="",AN266=""),"",N(AN266)-N(AM266)))</f>
        <v/>
      </c>
      <c r="AR266">
        <f>IF(OR(AM$3="",AM$3&gt;TODAY()),"",IF(AND(AP266="",AQ266=""),"",N(AQ266)-N(AP266)))</f>
        <v/>
      </c>
      <c r="AV266">
        <f>IF(OR(AT$3="",AT$3&gt;TODAY()),"",IF(AND(AT266="",AU266=""),"",N(AU266)-N(AT266)))</f>
        <v/>
      </c>
      <c r="AY266">
        <f>IF(OR(AT$3="",AT$3&gt;TODAY()),"",IF(AND(AW266="",AX266=""),"",N(AX266)-N(AW266)))</f>
        <v/>
      </c>
      <c r="BC266">
        <f>IF(OR(BA$3="",BA$3&gt;TODAY()),"",IF(AND(BA266="",BB266=""),"",N(BB266)-N(BA266)))</f>
        <v/>
      </c>
      <c r="BF266">
        <f>IF(OR(BA$3="",BA$3&gt;TODAY()),"",IF(AND(BD266="",BE266=""),"",N(BE266)-N(BD266)))</f>
        <v/>
      </c>
      <c r="BJ266">
        <f>IF(OR(BH$3="",BH$3&gt;TODAY()),"",IF(AND(BH266="",BI266=""),"",N(BI266)-N(BH266)))</f>
        <v/>
      </c>
      <c r="BM266">
        <f>IF(OR(BH$3="",BH$3&gt;TODAY()),"",IF(AND(BK266="",BL266=""),"",N(BL266)-N(BK266)))</f>
        <v/>
      </c>
      <c r="BQ266">
        <f>IF(OR(BO$3="",BO$3&gt;TODAY()),"",IF(AND(BO266="",BP266=""),"",N(BP266)-N(BO266)))</f>
        <v/>
      </c>
      <c r="BT266">
        <f>IF(OR(BO$3="",BO$3&gt;TODAY()),"",IF(AND(BR266="",BS266=""),"",N(BS266)-N(BR266)))</f>
        <v/>
      </c>
      <c r="BX266">
        <f>IF(OR(BV$3="",BV$3&gt;TODAY()),"",IF(AND(BV266="",BW266=""),"",N(BW266)-N(BV266)))</f>
        <v/>
      </c>
      <c r="CA266">
        <f>IF(OR(BV$3="",BV$3&gt;TODAY()),"",IF(AND(BY266="",BZ266=""),"",N(BZ266)-N(BY266)))</f>
        <v/>
      </c>
      <c r="CE266">
        <f>IF(OR(CC$3="",CC$3&gt;TODAY()),"",IF(AND(CC266="",CD266=""),"",N(CD266)-N(CC266)))</f>
        <v/>
      </c>
      <c r="CH266">
        <f>IF(OR(CC$3="",CC$3&gt;TODAY()),"",IF(AND(CF266="",CG266=""),"",N(CG266)-N(CF266)))</f>
        <v/>
      </c>
      <c r="CL266">
        <f>IF(OR(CJ$3="",CJ$3&gt;TODAY()),"",IF(AND(CJ266="",CK266=""),"",N(CK266)-N(CJ266)))</f>
        <v/>
      </c>
      <c r="CO266">
        <f>IF(OR(CJ$3="",CJ$3&gt;TODAY()),"",IF(AND(CM266="",CN266=""),"",N(CN266)-N(CM266)))</f>
        <v/>
      </c>
      <c r="CS266">
        <f>IF(OR(CQ$3="",CQ$3&gt;TODAY()),"",IF(AND(CQ266="",CR266=""),"",N(CR266)-N(CQ266)))</f>
        <v/>
      </c>
      <c r="CV266">
        <f>IF(OR(CQ$3="",CQ$3&gt;TODAY()),"",IF(AND(CT266="",CU266=""),"",N(CU266)-N(CT266)))</f>
        <v/>
      </c>
      <c r="CZ266">
        <f>IF(OR(CX$3="",CX$3&gt;TODAY()),"",IF(AND(CX266="",CY266=""),"",N(CY266)-N(CX266)))</f>
        <v/>
      </c>
      <c r="DC266">
        <f>IF(OR(CX$3="",CX$3&gt;TODAY()),"",IF(AND(DA266="",DB266=""),"",N(DB266)-N(DA266)))</f>
        <v/>
      </c>
      <c r="DG266">
        <f>IF(OR(DE$3="",DE$3&gt;TODAY()),"",IF(AND(DE266="",DF266=""),"",N(DF266)-N(DE266)))</f>
        <v/>
      </c>
      <c r="DJ266">
        <f>IF(OR(DE$3="",DE$3&gt;TODAY()),"",IF(AND(DH266="",DI266=""),"",N(DI266)-N(DH266)))</f>
        <v/>
      </c>
      <c r="DN266">
        <f>IF(OR(DL$3="",DL$3&gt;TODAY()),"",IF(AND(DL266="",DM266=""),"",N(DM266)-N(DL266)))</f>
        <v/>
      </c>
      <c r="DQ266">
        <f>IF(OR(DL$3="",DL$3&gt;TODAY()),"",IF(AND(DO266="",DP266=""),"",N(DP266)-N(DO266)))</f>
        <v/>
      </c>
      <c r="DU266">
        <f>IF(OR(DS$3="",DS$3&gt;TODAY()),"",IF(AND(DS266="",DT266=""),"",N(DT266)-N(DS266)))</f>
        <v/>
      </c>
      <c r="DX266">
        <f>IF(OR(DS$3="",DS$3&gt;TODAY()),"",IF(AND(DV266="",DW266=""),"",N(DW266)-N(DV266)))</f>
        <v/>
      </c>
      <c r="EB266">
        <f>IF(OR(DZ$3="",DZ$3&gt;TODAY()),"",IF(AND(DZ266="",EA266=""),"",N(EA266)-N(DZ266)))</f>
        <v/>
      </c>
      <c r="EE266">
        <f>IF(OR(DZ$3="",DZ$3&gt;TODAY()),"",IF(AND(EC266="",ED266=""),"",N(ED266)-N(EC266)))</f>
        <v/>
      </c>
      <c r="EI266">
        <f>IF(OR(EG$3="",EG$3&gt;TODAY()),"",IF(AND(EG266="",EH266=""),"",N(EH266)-N(EG266)))</f>
        <v/>
      </c>
      <c r="EL266">
        <f>IF(OR(EG$3="",EG$3&gt;TODAY()),"",IF(AND(EJ266="",EK266=""),"",N(EK266)-N(EJ266)))</f>
        <v/>
      </c>
      <c r="EP266">
        <f>IF(OR(EN$3="",EN$3&gt;TODAY()),"",IF(AND(EN266="",EO266=""),"",N(EO266)-N(EN266)))</f>
        <v/>
      </c>
      <c r="ES266">
        <f>IF(OR(EN$3="",EN$3&gt;TODAY()),"",IF(AND(EQ266="",ER266=""),"",N(ER266)-N(EQ266)))</f>
        <v/>
      </c>
      <c r="EW266">
        <f>IF(OR(EU$3="",EU$3&gt;TODAY()),"",IF(AND(EU266="",EV266=""),"",N(EV266)-N(EU266)))</f>
        <v/>
      </c>
      <c r="EZ266">
        <f>IF(OR(EU$3="",EU$3&gt;TODAY()),"",IF(AND(EX266="",EY266=""),"",N(EY266)-N(EX266)))</f>
        <v/>
      </c>
      <c r="FD266">
        <f>IF(OR(FB$3="",FB$3&gt;TODAY()),"",IF(AND(FB266="",FC266=""),"",N(FC266)-N(FB266)))</f>
        <v/>
      </c>
      <c r="FG266">
        <f>IF(OR(FB$3="",FB$3&gt;TODAY()),"",IF(AND(FE266="",FF266=""),"",N(FF266)-N(FE266)))</f>
        <v/>
      </c>
      <c r="FK266">
        <f>IF(OR(FI$3="",FI$3&gt;TODAY()),"",IF(AND(FI266="",FJ266=""),"",N(FJ266)-N(FI266)))</f>
        <v/>
      </c>
      <c r="FN266">
        <f>IF(OR(FI$3="",FI$3&gt;TODAY()),"",IF(AND(FL266="",FM266=""),"",N(FM266)-N(FL266)))</f>
        <v/>
      </c>
      <c r="FR266">
        <f>IF(OR(FP$3="",FP$3&gt;TODAY()),"",IF(AND(FP266="",FQ266=""),"",N(FQ266)-N(FP266)))</f>
        <v/>
      </c>
      <c r="FU266">
        <f>IF(OR(FP$3="",FP$3&gt;TODAY()),"",IF(AND(FS266="",FT266=""),"",N(FT266)-N(FS266)))</f>
        <v/>
      </c>
      <c r="FY266">
        <f>IF(OR(FW$3="",FW$3&gt;TODAY()),"",IF(AND(FW266="",FX266=""),"",N(FX266)-N(FW266)))</f>
        <v/>
      </c>
      <c r="GB266">
        <f>IF(OR(FW$3="",FW$3&gt;TODAY()),"",IF(AND(FZ266="",GA266=""),"",N(GA266)-N(FZ266)))</f>
        <v/>
      </c>
      <c r="GF266">
        <f>IF(OR(GD$3="",GD$3&gt;TODAY()),"",IF(AND(GD266="",GE266=""),"",N(GE266)-N(GD266)))</f>
        <v/>
      </c>
      <c r="GI266">
        <f>IF(OR(GD$3="",GD$3&gt;TODAY()),"",IF(AND(GG266="",GH266=""),"",N(GH266)-N(GG266)))</f>
        <v/>
      </c>
      <c r="GM266">
        <f>IF(OR(GK$3="",GK$3&gt;TODAY()),"",IF(AND(GK266="",GL266=""),"",N(GL266)-N(GK266)))</f>
        <v/>
      </c>
      <c r="GP266">
        <f>IF(OR(GK$3="",GK$3&gt;TODAY()),"",IF(AND(GN266="",GO266=""),"",N(GO266)-N(GN266)))</f>
        <v/>
      </c>
      <c r="GT266">
        <f>IF(OR(GR$3="",GR$3&gt;TODAY()),"",IF(AND(GR266="",GS266=""),"",N(GS266)-N(GR266)))</f>
        <v/>
      </c>
      <c r="GW266">
        <f>IF(OR(GR$3="",GR$3&gt;TODAY()),"",IF(AND(GU266="",GV266=""),"",N(GV266)-N(GU266)))</f>
        <v/>
      </c>
      <c r="HA266">
        <f>IF(OR(GY$3="",GY$3&gt;TODAY()),"",IF(AND(GY266="",GZ266=""),"",N(GZ266)-N(GY266)))</f>
        <v/>
      </c>
      <c r="HD266">
        <f>IF(OR(GY$3="",GY$3&gt;TODAY()),"",IF(AND(HB266="",HC266=""),"",N(HC266)-N(HB266)))</f>
        <v/>
      </c>
      <c r="HH266">
        <f>IF(OR(HF$3="",HF$3&gt;TODAY()),"",IF(AND(HF266="",HG266=""),"",N(HG266)-N(HF266)))</f>
        <v/>
      </c>
      <c r="HK266">
        <f>IF(OR(HF$3="",HF$3&gt;TODAY()),"",IF(AND(HI266="",HJ266=""),"",N(HJ266)-N(HI266)))</f>
        <v/>
      </c>
      <c r="HO266">
        <f>IF(OR(HM$3="",HM$3&gt;TODAY()),"",IF(AND(HM266="",HN266=""),"",N(HN266)-N(HM266)))</f>
        <v/>
      </c>
      <c r="HR266">
        <f>IF(OR(HM$3="",HM$3&gt;TODAY()),"",IF(AND(HP266="",HQ266=""),"",N(HQ266)-N(HP266)))</f>
        <v/>
      </c>
      <c r="HV266">
        <f>IF(OR(HT$3="",HT$3&gt;TODAY()),"",IF(AND(HT266="",HU266=""),"",N(HU266)-N(HT266)))</f>
        <v/>
      </c>
      <c r="HY266">
        <f>IF(OR(HT$3="",HT$3&gt;TODAY()),"",IF(AND(HW266="",HX266=""),"",N(HX266)-N(HW266)))</f>
        <v/>
      </c>
      <c r="IC266">
        <f>IF(OR(IA$3="",IA$3&gt;TODAY()),"",IF(AND(IA266="",IB266=""),"",N(IB266)-N(IA266)))</f>
        <v/>
      </c>
      <c r="IF266">
        <f>IF(OR(IA$3="",IA$3&gt;TODAY()),"",IF(AND(ID266="",IE266=""),"",N(IE266)-N(ID266)))</f>
        <v/>
      </c>
      <c r="IJ266">
        <f>IF(OR(IH$3="",IH$3&gt;TODAY()),"",IF(AND(IH266="",II266=""),"",N(II266)-N(IH266)))</f>
        <v/>
      </c>
      <c r="IM266">
        <f>IF(OR(IH$3="",IH$3&gt;TODAY()),"",IF(AND(IK266="",IL266=""),"",N(IL266)-N(IK266)))</f>
        <v/>
      </c>
    </row>
    <row r="267">
      <c r="A267" s="21" t="n"/>
      <c r="B267" s="21" t="n"/>
      <c r="C267" s="21" t="n"/>
      <c r="D267" s="21" t="n"/>
      <c r="E267" s="21" t="n"/>
      <c r="F267" s="21" t="n"/>
      <c r="G267" s="21" t="n"/>
      <c r="H267" s="21" t="n"/>
      <c r="I267" s="22" t="n"/>
      <c r="J267" s="22" t="n"/>
      <c r="K267" s="23" t="n"/>
      <c r="L267" s="22" t="n"/>
      <c r="M267" s="22" t="n"/>
      <c r="N267" s="21" t="n"/>
      <c r="O267" s="23" t="n"/>
      <c r="P267" s="23" t="n"/>
      <c r="Q267" s="23" t="n"/>
      <c r="R267" s="23" t="n"/>
      <c r="S267" s="22" t="n"/>
      <c r="T267" s="23" t="n"/>
      <c r="U267" s="23" t="n"/>
      <c r="V267" s="24">
        <f>IF(J267&lt;&gt;"",J267,IF(I267&lt;&gt;"",I267,""))</f>
        <v/>
      </c>
      <c r="W267" s="25">
        <f>IF($E267="","",N(O267)+SUMIFS($AF267:$IN267,$AF$4:$IN$4,"SEW_ACT"))</f>
        <v/>
      </c>
      <c r="X267" s="25">
        <f>IF($E267="","",N(P267)+SUMIFS($AF267:$IN267,$AF$4:$IN$4,"WASH_ACT"))</f>
        <v/>
      </c>
      <c r="Y267" s="25">
        <f>IF($E267="","",W267-X267-N(T267)-N(U267))</f>
        <v/>
      </c>
      <c r="Z267" s="25">
        <f>IF($E267="","",IF(N(K267)-X267&lt;=0.02*N(K267),0,N(K267)-X267))</f>
        <v/>
      </c>
      <c r="AA267" s="24">
        <f>IF($E267="","",IF(S267&lt;&gt;"",S267,IF(N(O267)&gt;0,IF(L267&lt;&gt;"",L267,99999),IFERROR(1/(1/_xlfn.MINIFS($AF$3:$IN$3,$AF$4:$IN$4,"SEW_ACT",$AF267:$IN267,"&gt;0")),99999))))</f>
        <v/>
      </c>
      <c r="AB267" s="26">
        <f>IF(OR($E267="",Z267=0,V267=""),"",1+COUNTIFS(Z$8:Z$707,"&gt;0",V$8:V$707,"&lt;"&amp;V267)+COUNTIFS(Z$8:Z$707,"&gt;0",V$8:V$707,V267,AA$8:AA$707,"&lt;"&amp;AA267)+COUNTIFS(Z$8:Z$707,"&gt;0",V$8:V$707,V267,AA$8:AA$707,AA267,E$8:E$707,"&lt;"&amp;$E267))</f>
        <v/>
      </c>
      <c r="AC267" s="24">
        <f>IF(OR($E267="",Z267=0),"",IFERROR(TODAY()+ROUNDUP(Z267/(SUMIFS($AF267:$IN267,$AF$4:$IN$4,"WASH_ACT")/COUNTIFS($AF$4:$IN$4,"WASH_ACT",$AF267:$IN267,"&gt;0")),0),"no output yet"))</f>
        <v/>
      </c>
      <c r="AD267" s="26">
        <f>IF($E267="","",IFERROR(ROUND(MAX(0,SUMIFS($AF267:$IN267,$AF$4:$IN$4,"SEW_PLAN",$AF$3:$IN$3,"&lt;="&amp;TODAY())-SUMIFS($AF267:$IN267,$AF$4:$IN$4,"SEW_ACT",$AF$3:$IN$3,"&lt;="&amp;TODAY())+N(Q267))/(SUMIFS($AF267:$IN267,$AF$4:$IN$4,"SEW_PLAN")/COUNTIFS($AF$4:$IN$4,"SEW_PLAN",$AF267:$IN267,"&gt;0")),1),0))</f>
        <v/>
      </c>
      <c r="AE267" s="26">
        <f>IF($E267="","",IF(AND(Z267&gt;0,OR(AND(M267&lt;&gt;"",TODAY()&gt;M267),AND(V267&lt;&gt;"",V267-TODAY()&lt;=7))),"Yes","No"))</f>
        <v/>
      </c>
      <c r="AH267">
        <f>IF(OR(AF$3="",AF$3&gt;TODAY()),"",IF(AND(AF267="",AG267=""),"",N(AG267)-N(AF267)))</f>
        <v/>
      </c>
      <c r="AK267">
        <f>IF(OR(AF$3="",AF$3&gt;TODAY()),"",IF(AND(AI267="",AJ267=""),"",N(AJ267)-N(AI267)))</f>
        <v/>
      </c>
      <c r="AO267">
        <f>IF(OR(AM$3="",AM$3&gt;TODAY()),"",IF(AND(AM267="",AN267=""),"",N(AN267)-N(AM267)))</f>
        <v/>
      </c>
      <c r="AR267">
        <f>IF(OR(AM$3="",AM$3&gt;TODAY()),"",IF(AND(AP267="",AQ267=""),"",N(AQ267)-N(AP267)))</f>
        <v/>
      </c>
      <c r="AV267">
        <f>IF(OR(AT$3="",AT$3&gt;TODAY()),"",IF(AND(AT267="",AU267=""),"",N(AU267)-N(AT267)))</f>
        <v/>
      </c>
      <c r="AY267">
        <f>IF(OR(AT$3="",AT$3&gt;TODAY()),"",IF(AND(AW267="",AX267=""),"",N(AX267)-N(AW267)))</f>
        <v/>
      </c>
      <c r="BC267">
        <f>IF(OR(BA$3="",BA$3&gt;TODAY()),"",IF(AND(BA267="",BB267=""),"",N(BB267)-N(BA267)))</f>
        <v/>
      </c>
      <c r="BF267">
        <f>IF(OR(BA$3="",BA$3&gt;TODAY()),"",IF(AND(BD267="",BE267=""),"",N(BE267)-N(BD267)))</f>
        <v/>
      </c>
      <c r="BJ267">
        <f>IF(OR(BH$3="",BH$3&gt;TODAY()),"",IF(AND(BH267="",BI267=""),"",N(BI267)-N(BH267)))</f>
        <v/>
      </c>
      <c r="BM267">
        <f>IF(OR(BH$3="",BH$3&gt;TODAY()),"",IF(AND(BK267="",BL267=""),"",N(BL267)-N(BK267)))</f>
        <v/>
      </c>
      <c r="BQ267">
        <f>IF(OR(BO$3="",BO$3&gt;TODAY()),"",IF(AND(BO267="",BP267=""),"",N(BP267)-N(BO267)))</f>
        <v/>
      </c>
      <c r="BT267">
        <f>IF(OR(BO$3="",BO$3&gt;TODAY()),"",IF(AND(BR267="",BS267=""),"",N(BS267)-N(BR267)))</f>
        <v/>
      </c>
      <c r="BX267">
        <f>IF(OR(BV$3="",BV$3&gt;TODAY()),"",IF(AND(BV267="",BW267=""),"",N(BW267)-N(BV267)))</f>
        <v/>
      </c>
      <c r="CA267">
        <f>IF(OR(BV$3="",BV$3&gt;TODAY()),"",IF(AND(BY267="",BZ267=""),"",N(BZ267)-N(BY267)))</f>
        <v/>
      </c>
      <c r="CE267">
        <f>IF(OR(CC$3="",CC$3&gt;TODAY()),"",IF(AND(CC267="",CD267=""),"",N(CD267)-N(CC267)))</f>
        <v/>
      </c>
      <c r="CH267">
        <f>IF(OR(CC$3="",CC$3&gt;TODAY()),"",IF(AND(CF267="",CG267=""),"",N(CG267)-N(CF267)))</f>
        <v/>
      </c>
      <c r="CL267">
        <f>IF(OR(CJ$3="",CJ$3&gt;TODAY()),"",IF(AND(CJ267="",CK267=""),"",N(CK267)-N(CJ267)))</f>
        <v/>
      </c>
      <c r="CO267">
        <f>IF(OR(CJ$3="",CJ$3&gt;TODAY()),"",IF(AND(CM267="",CN267=""),"",N(CN267)-N(CM267)))</f>
        <v/>
      </c>
      <c r="CS267">
        <f>IF(OR(CQ$3="",CQ$3&gt;TODAY()),"",IF(AND(CQ267="",CR267=""),"",N(CR267)-N(CQ267)))</f>
        <v/>
      </c>
      <c r="CV267">
        <f>IF(OR(CQ$3="",CQ$3&gt;TODAY()),"",IF(AND(CT267="",CU267=""),"",N(CU267)-N(CT267)))</f>
        <v/>
      </c>
      <c r="CZ267">
        <f>IF(OR(CX$3="",CX$3&gt;TODAY()),"",IF(AND(CX267="",CY267=""),"",N(CY267)-N(CX267)))</f>
        <v/>
      </c>
      <c r="DC267">
        <f>IF(OR(CX$3="",CX$3&gt;TODAY()),"",IF(AND(DA267="",DB267=""),"",N(DB267)-N(DA267)))</f>
        <v/>
      </c>
      <c r="DG267">
        <f>IF(OR(DE$3="",DE$3&gt;TODAY()),"",IF(AND(DE267="",DF267=""),"",N(DF267)-N(DE267)))</f>
        <v/>
      </c>
      <c r="DJ267">
        <f>IF(OR(DE$3="",DE$3&gt;TODAY()),"",IF(AND(DH267="",DI267=""),"",N(DI267)-N(DH267)))</f>
        <v/>
      </c>
      <c r="DN267">
        <f>IF(OR(DL$3="",DL$3&gt;TODAY()),"",IF(AND(DL267="",DM267=""),"",N(DM267)-N(DL267)))</f>
        <v/>
      </c>
      <c r="DQ267">
        <f>IF(OR(DL$3="",DL$3&gt;TODAY()),"",IF(AND(DO267="",DP267=""),"",N(DP267)-N(DO267)))</f>
        <v/>
      </c>
      <c r="DU267">
        <f>IF(OR(DS$3="",DS$3&gt;TODAY()),"",IF(AND(DS267="",DT267=""),"",N(DT267)-N(DS267)))</f>
        <v/>
      </c>
      <c r="DX267">
        <f>IF(OR(DS$3="",DS$3&gt;TODAY()),"",IF(AND(DV267="",DW267=""),"",N(DW267)-N(DV267)))</f>
        <v/>
      </c>
      <c r="EB267">
        <f>IF(OR(DZ$3="",DZ$3&gt;TODAY()),"",IF(AND(DZ267="",EA267=""),"",N(EA267)-N(DZ267)))</f>
        <v/>
      </c>
      <c r="EE267">
        <f>IF(OR(DZ$3="",DZ$3&gt;TODAY()),"",IF(AND(EC267="",ED267=""),"",N(ED267)-N(EC267)))</f>
        <v/>
      </c>
      <c r="EI267">
        <f>IF(OR(EG$3="",EG$3&gt;TODAY()),"",IF(AND(EG267="",EH267=""),"",N(EH267)-N(EG267)))</f>
        <v/>
      </c>
      <c r="EL267">
        <f>IF(OR(EG$3="",EG$3&gt;TODAY()),"",IF(AND(EJ267="",EK267=""),"",N(EK267)-N(EJ267)))</f>
        <v/>
      </c>
      <c r="EP267">
        <f>IF(OR(EN$3="",EN$3&gt;TODAY()),"",IF(AND(EN267="",EO267=""),"",N(EO267)-N(EN267)))</f>
        <v/>
      </c>
      <c r="ES267">
        <f>IF(OR(EN$3="",EN$3&gt;TODAY()),"",IF(AND(EQ267="",ER267=""),"",N(ER267)-N(EQ267)))</f>
        <v/>
      </c>
      <c r="EW267">
        <f>IF(OR(EU$3="",EU$3&gt;TODAY()),"",IF(AND(EU267="",EV267=""),"",N(EV267)-N(EU267)))</f>
        <v/>
      </c>
      <c r="EZ267">
        <f>IF(OR(EU$3="",EU$3&gt;TODAY()),"",IF(AND(EX267="",EY267=""),"",N(EY267)-N(EX267)))</f>
        <v/>
      </c>
      <c r="FD267">
        <f>IF(OR(FB$3="",FB$3&gt;TODAY()),"",IF(AND(FB267="",FC267=""),"",N(FC267)-N(FB267)))</f>
        <v/>
      </c>
      <c r="FG267">
        <f>IF(OR(FB$3="",FB$3&gt;TODAY()),"",IF(AND(FE267="",FF267=""),"",N(FF267)-N(FE267)))</f>
        <v/>
      </c>
      <c r="FK267">
        <f>IF(OR(FI$3="",FI$3&gt;TODAY()),"",IF(AND(FI267="",FJ267=""),"",N(FJ267)-N(FI267)))</f>
        <v/>
      </c>
      <c r="FN267">
        <f>IF(OR(FI$3="",FI$3&gt;TODAY()),"",IF(AND(FL267="",FM267=""),"",N(FM267)-N(FL267)))</f>
        <v/>
      </c>
      <c r="FR267">
        <f>IF(OR(FP$3="",FP$3&gt;TODAY()),"",IF(AND(FP267="",FQ267=""),"",N(FQ267)-N(FP267)))</f>
        <v/>
      </c>
      <c r="FU267">
        <f>IF(OR(FP$3="",FP$3&gt;TODAY()),"",IF(AND(FS267="",FT267=""),"",N(FT267)-N(FS267)))</f>
        <v/>
      </c>
      <c r="FY267">
        <f>IF(OR(FW$3="",FW$3&gt;TODAY()),"",IF(AND(FW267="",FX267=""),"",N(FX267)-N(FW267)))</f>
        <v/>
      </c>
      <c r="GB267">
        <f>IF(OR(FW$3="",FW$3&gt;TODAY()),"",IF(AND(FZ267="",GA267=""),"",N(GA267)-N(FZ267)))</f>
        <v/>
      </c>
      <c r="GF267">
        <f>IF(OR(GD$3="",GD$3&gt;TODAY()),"",IF(AND(GD267="",GE267=""),"",N(GE267)-N(GD267)))</f>
        <v/>
      </c>
      <c r="GI267">
        <f>IF(OR(GD$3="",GD$3&gt;TODAY()),"",IF(AND(GG267="",GH267=""),"",N(GH267)-N(GG267)))</f>
        <v/>
      </c>
      <c r="GM267">
        <f>IF(OR(GK$3="",GK$3&gt;TODAY()),"",IF(AND(GK267="",GL267=""),"",N(GL267)-N(GK267)))</f>
        <v/>
      </c>
      <c r="GP267">
        <f>IF(OR(GK$3="",GK$3&gt;TODAY()),"",IF(AND(GN267="",GO267=""),"",N(GO267)-N(GN267)))</f>
        <v/>
      </c>
      <c r="GT267">
        <f>IF(OR(GR$3="",GR$3&gt;TODAY()),"",IF(AND(GR267="",GS267=""),"",N(GS267)-N(GR267)))</f>
        <v/>
      </c>
      <c r="GW267">
        <f>IF(OR(GR$3="",GR$3&gt;TODAY()),"",IF(AND(GU267="",GV267=""),"",N(GV267)-N(GU267)))</f>
        <v/>
      </c>
      <c r="HA267">
        <f>IF(OR(GY$3="",GY$3&gt;TODAY()),"",IF(AND(GY267="",GZ267=""),"",N(GZ267)-N(GY267)))</f>
        <v/>
      </c>
      <c r="HD267">
        <f>IF(OR(GY$3="",GY$3&gt;TODAY()),"",IF(AND(HB267="",HC267=""),"",N(HC267)-N(HB267)))</f>
        <v/>
      </c>
      <c r="HH267">
        <f>IF(OR(HF$3="",HF$3&gt;TODAY()),"",IF(AND(HF267="",HG267=""),"",N(HG267)-N(HF267)))</f>
        <v/>
      </c>
      <c r="HK267">
        <f>IF(OR(HF$3="",HF$3&gt;TODAY()),"",IF(AND(HI267="",HJ267=""),"",N(HJ267)-N(HI267)))</f>
        <v/>
      </c>
      <c r="HO267">
        <f>IF(OR(HM$3="",HM$3&gt;TODAY()),"",IF(AND(HM267="",HN267=""),"",N(HN267)-N(HM267)))</f>
        <v/>
      </c>
      <c r="HR267">
        <f>IF(OR(HM$3="",HM$3&gt;TODAY()),"",IF(AND(HP267="",HQ267=""),"",N(HQ267)-N(HP267)))</f>
        <v/>
      </c>
      <c r="HV267">
        <f>IF(OR(HT$3="",HT$3&gt;TODAY()),"",IF(AND(HT267="",HU267=""),"",N(HU267)-N(HT267)))</f>
        <v/>
      </c>
      <c r="HY267">
        <f>IF(OR(HT$3="",HT$3&gt;TODAY()),"",IF(AND(HW267="",HX267=""),"",N(HX267)-N(HW267)))</f>
        <v/>
      </c>
      <c r="IC267">
        <f>IF(OR(IA$3="",IA$3&gt;TODAY()),"",IF(AND(IA267="",IB267=""),"",N(IB267)-N(IA267)))</f>
        <v/>
      </c>
      <c r="IF267">
        <f>IF(OR(IA$3="",IA$3&gt;TODAY()),"",IF(AND(ID267="",IE267=""),"",N(IE267)-N(ID267)))</f>
        <v/>
      </c>
      <c r="IJ267">
        <f>IF(OR(IH$3="",IH$3&gt;TODAY()),"",IF(AND(IH267="",II267=""),"",N(II267)-N(IH267)))</f>
        <v/>
      </c>
      <c r="IM267">
        <f>IF(OR(IH$3="",IH$3&gt;TODAY()),"",IF(AND(IK267="",IL267=""),"",N(IL267)-N(IK267)))</f>
        <v/>
      </c>
    </row>
    <row r="268">
      <c r="A268" s="21" t="n"/>
      <c r="B268" s="21" t="n"/>
      <c r="C268" s="21" t="n"/>
      <c r="D268" s="21" t="n"/>
      <c r="E268" s="21" t="n"/>
      <c r="F268" s="21" t="n"/>
      <c r="G268" s="21" t="n"/>
      <c r="H268" s="21" t="n"/>
      <c r="I268" s="22" t="n"/>
      <c r="J268" s="22" t="n"/>
      <c r="K268" s="23" t="n"/>
      <c r="L268" s="22" t="n"/>
      <c r="M268" s="22" t="n"/>
      <c r="N268" s="21" t="n"/>
      <c r="O268" s="23" t="n"/>
      <c r="P268" s="23" t="n"/>
      <c r="Q268" s="23" t="n"/>
      <c r="R268" s="23" t="n"/>
      <c r="S268" s="22" t="n"/>
      <c r="T268" s="23" t="n"/>
      <c r="U268" s="23" t="n"/>
      <c r="V268" s="24">
        <f>IF(J268&lt;&gt;"",J268,IF(I268&lt;&gt;"",I268,""))</f>
        <v/>
      </c>
      <c r="W268" s="25">
        <f>IF($E268="","",N(O268)+SUMIFS($AF268:$IN268,$AF$4:$IN$4,"SEW_ACT"))</f>
        <v/>
      </c>
      <c r="X268" s="25">
        <f>IF($E268="","",N(P268)+SUMIFS($AF268:$IN268,$AF$4:$IN$4,"WASH_ACT"))</f>
        <v/>
      </c>
      <c r="Y268" s="25">
        <f>IF($E268="","",W268-X268-N(T268)-N(U268))</f>
        <v/>
      </c>
      <c r="Z268" s="25">
        <f>IF($E268="","",IF(N(K268)-X268&lt;=0.02*N(K268),0,N(K268)-X268))</f>
        <v/>
      </c>
      <c r="AA268" s="24">
        <f>IF($E268="","",IF(S268&lt;&gt;"",S268,IF(N(O268)&gt;0,IF(L268&lt;&gt;"",L268,99999),IFERROR(1/(1/_xlfn.MINIFS($AF$3:$IN$3,$AF$4:$IN$4,"SEW_ACT",$AF268:$IN268,"&gt;0")),99999))))</f>
        <v/>
      </c>
      <c r="AB268" s="26">
        <f>IF(OR($E268="",Z268=0,V268=""),"",1+COUNTIFS(Z$8:Z$707,"&gt;0",V$8:V$707,"&lt;"&amp;V268)+COUNTIFS(Z$8:Z$707,"&gt;0",V$8:V$707,V268,AA$8:AA$707,"&lt;"&amp;AA268)+COUNTIFS(Z$8:Z$707,"&gt;0",V$8:V$707,V268,AA$8:AA$707,AA268,E$8:E$707,"&lt;"&amp;$E268))</f>
        <v/>
      </c>
      <c r="AC268" s="24">
        <f>IF(OR($E268="",Z268=0),"",IFERROR(TODAY()+ROUNDUP(Z268/(SUMIFS($AF268:$IN268,$AF$4:$IN$4,"WASH_ACT")/COUNTIFS($AF$4:$IN$4,"WASH_ACT",$AF268:$IN268,"&gt;0")),0),"no output yet"))</f>
        <v/>
      </c>
      <c r="AD268" s="26">
        <f>IF($E268="","",IFERROR(ROUND(MAX(0,SUMIFS($AF268:$IN268,$AF$4:$IN$4,"SEW_PLAN",$AF$3:$IN$3,"&lt;="&amp;TODAY())-SUMIFS($AF268:$IN268,$AF$4:$IN$4,"SEW_ACT",$AF$3:$IN$3,"&lt;="&amp;TODAY())+N(Q268))/(SUMIFS($AF268:$IN268,$AF$4:$IN$4,"SEW_PLAN")/COUNTIFS($AF$4:$IN$4,"SEW_PLAN",$AF268:$IN268,"&gt;0")),1),0))</f>
        <v/>
      </c>
      <c r="AE268" s="26">
        <f>IF($E268="","",IF(AND(Z268&gt;0,OR(AND(M268&lt;&gt;"",TODAY()&gt;M268),AND(V268&lt;&gt;"",V268-TODAY()&lt;=7))),"Yes","No"))</f>
        <v/>
      </c>
      <c r="AH268">
        <f>IF(OR(AF$3="",AF$3&gt;TODAY()),"",IF(AND(AF268="",AG268=""),"",N(AG268)-N(AF268)))</f>
        <v/>
      </c>
      <c r="AK268">
        <f>IF(OR(AF$3="",AF$3&gt;TODAY()),"",IF(AND(AI268="",AJ268=""),"",N(AJ268)-N(AI268)))</f>
        <v/>
      </c>
      <c r="AO268">
        <f>IF(OR(AM$3="",AM$3&gt;TODAY()),"",IF(AND(AM268="",AN268=""),"",N(AN268)-N(AM268)))</f>
        <v/>
      </c>
      <c r="AR268">
        <f>IF(OR(AM$3="",AM$3&gt;TODAY()),"",IF(AND(AP268="",AQ268=""),"",N(AQ268)-N(AP268)))</f>
        <v/>
      </c>
      <c r="AV268">
        <f>IF(OR(AT$3="",AT$3&gt;TODAY()),"",IF(AND(AT268="",AU268=""),"",N(AU268)-N(AT268)))</f>
        <v/>
      </c>
      <c r="AY268">
        <f>IF(OR(AT$3="",AT$3&gt;TODAY()),"",IF(AND(AW268="",AX268=""),"",N(AX268)-N(AW268)))</f>
        <v/>
      </c>
      <c r="BC268">
        <f>IF(OR(BA$3="",BA$3&gt;TODAY()),"",IF(AND(BA268="",BB268=""),"",N(BB268)-N(BA268)))</f>
        <v/>
      </c>
      <c r="BF268">
        <f>IF(OR(BA$3="",BA$3&gt;TODAY()),"",IF(AND(BD268="",BE268=""),"",N(BE268)-N(BD268)))</f>
        <v/>
      </c>
      <c r="BJ268">
        <f>IF(OR(BH$3="",BH$3&gt;TODAY()),"",IF(AND(BH268="",BI268=""),"",N(BI268)-N(BH268)))</f>
        <v/>
      </c>
      <c r="BM268">
        <f>IF(OR(BH$3="",BH$3&gt;TODAY()),"",IF(AND(BK268="",BL268=""),"",N(BL268)-N(BK268)))</f>
        <v/>
      </c>
      <c r="BQ268">
        <f>IF(OR(BO$3="",BO$3&gt;TODAY()),"",IF(AND(BO268="",BP268=""),"",N(BP268)-N(BO268)))</f>
        <v/>
      </c>
      <c r="BT268">
        <f>IF(OR(BO$3="",BO$3&gt;TODAY()),"",IF(AND(BR268="",BS268=""),"",N(BS268)-N(BR268)))</f>
        <v/>
      </c>
      <c r="BX268">
        <f>IF(OR(BV$3="",BV$3&gt;TODAY()),"",IF(AND(BV268="",BW268=""),"",N(BW268)-N(BV268)))</f>
        <v/>
      </c>
      <c r="CA268">
        <f>IF(OR(BV$3="",BV$3&gt;TODAY()),"",IF(AND(BY268="",BZ268=""),"",N(BZ268)-N(BY268)))</f>
        <v/>
      </c>
      <c r="CE268">
        <f>IF(OR(CC$3="",CC$3&gt;TODAY()),"",IF(AND(CC268="",CD268=""),"",N(CD268)-N(CC268)))</f>
        <v/>
      </c>
      <c r="CH268">
        <f>IF(OR(CC$3="",CC$3&gt;TODAY()),"",IF(AND(CF268="",CG268=""),"",N(CG268)-N(CF268)))</f>
        <v/>
      </c>
      <c r="CL268">
        <f>IF(OR(CJ$3="",CJ$3&gt;TODAY()),"",IF(AND(CJ268="",CK268=""),"",N(CK268)-N(CJ268)))</f>
        <v/>
      </c>
      <c r="CO268">
        <f>IF(OR(CJ$3="",CJ$3&gt;TODAY()),"",IF(AND(CM268="",CN268=""),"",N(CN268)-N(CM268)))</f>
        <v/>
      </c>
      <c r="CS268">
        <f>IF(OR(CQ$3="",CQ$3&gt;TODAY()),"",IF(AND(CQ268="",CR268=""),"",N(CR268)-N(CQ268)))</f>
        <v/>
      </c>
      <c r="CV268">
        <f>IF(OR(CQ$3="",CQ$3&gt;TODAY()),"",IF(AND(CT268="",CU268=""),"",N(CU268)-N(CT268)))</f>
        <v/>
      </c>
      <c r="CZ268">
        <f>IF(OR(CX$3="",CX$3&gt;TODAY()),"",IF(AND(CX268="",CY268=""),"",N(CY268)-N(CX268)))</f>
        <v/>
      </c>
      <c r="DC268">
        <f>IF(OR(CX$3="",CX$3&gt;TODAY()),"",IF(AND(DA268="",DB268=""),"",N(DB268)-N(DA268)))</f>
        <v/>
      </c>
      <c r="DG268">
        <f>IF(OR(DE$3="",DE$3&gt;TODAY()),"",IF(AND(DE268="",DF268=""),"",N(DF268)-N(DE268)))</f>
        <v/>
      </c>
      <c r="DJ268">
        <f>IF(OR(DE$3="",DE$3&gt;TODAY()),"",IF(AND(DH268="",DI268=""),"",N(DI268)-N(DH268)))</f>
        <v/>
      </c>
      <c r="DN268">
        <f>IF(OR(DL$3="",DL$3&gt;TODAY()),"",IF(AND(DL268="",DM268=""),"",N(DM268)-N(DL268)))</f>
        <v/>
      </c>
      <c r="DQ268">
        <f>IF(OR(DL$3="",DL$3&gt;TODAY()),"",IF(AND(DO268="",DP268=""),"",N(DP268)-N(DO268)))</f>
        <v/>
      </c>
      <c r="DU268">
        <f>IF(OR(DS$3="",DS$3&gt;TODAY()),"",IF(AND(DS268="",DT268=""),"",N(DT268)-N(DS268)))</f>
        <v/>
      </c>
      <c r="DX268">
        <f>IF(OR(DS$3="",DS$3&gt;TODAY()),"",IF(AND(DV268="",DW268=""),"",N(DW268)-N(DV268)))</f>
        <v/>
      </c>
      <c r="EB268">
        <f>IF(OR(DZ$3="",DZ$3&gt;TODAY()),"",IF(AND(DZ268="",EA268=""),"",N(EA268)-N(DZ268)))</f>
        <v/>
      </c>
      <c r="EE268">
        <f>IF(OR(DZ$3="",DZ$3&gt;TODAY()),"",IF(AND(EC268="",ED268=""),"",N(ED268)-N(EC268)))</f>
        <v/>
      </c>
      <c r="EI268">
        <f>IF(OR(EG$3="",EG$3&gt;TODAY()),"",IF(AND(EG268="",EH268=""),"",N(EH268)-N(EG268)))</f>
        <v/>
      </c>
      <c r="EL268">
        <f>IF(OR(EG$3="",EG$3&gt;TODAY()),"",IF(AND(EJ268="",EK268=""),"",N(EK268)-N(EJ268)))</f>
        <v/>
      </c>
      <c r="EP268">
        <f>IF(OR(EN$3="",EN$3&gt;TODAY()),"",IF(AND(EN268="",EO268=""),"",N(EO268)-N(EN268)))</f>
        <v/>
      </c>
      <c r="ES268">
        <f>IF(OR(EN$3="",EN$3&gt;TODAY()),"",IF(AND(EQ268="",ER268=""),"",N(ER268)-N(EQ268)))</f>
        <v/>
      </c>
      <c r="EW268">
        <f>IF(OR(EU$3="",EU$3&gt;TODAY()),"",IF(AND(EU268="",EV268=""),"",N(EV268)-N(EU268)))</f>
        <v/>
      </c>
      <c r="EZ268">
        <f>IF(OR(EU$3="",EU$3&gt;TODAY()),"",IF(AND(EX268="",EY268=""),"",N(EY268)-N(EX268)))</f>
        <v/>
      </c>
      <c r="FD268">
        <f>IF(OR(FB$3="",FB$3&gt;TODAY()),"",IF(AND(FB268="",FC268=""),"",N(FC268)-N(FB268)))</f>
        <v/>
      </c>
      <c r="FG268">
        <f>IF(OR(FB$3="",FB$3&gt;TODAY()),"",IF(AND(FE268="",FF268=""),"",N(FF268)-N(FE268)))</f>
        <v/>
      </c>
      <c r="FK268">
        <f>IF(OR(FI$3="",FI$3&gt;TODAY()),"",IF(AND(FI268="",FJ268=""),"",N(FJ268)-N(FI268)))</f>
        <v/>
      </c>
      <c r="FN268">
        <f>IF(OR(FI$3="",FI$3&gt;TODAY()),"",IF(AND(FL268="",FM268=""),"",N(FM268)-N(FL268)))</f>
        <v/>
      </c>
      <c r="FR268">
        <f>IF(OR(FP$3="",FP$3&gt;TODAY()),"",IF(AND(FP268="",FQ268=""),"",N(FQ268)-N(FP268)))</f>
        <v/>
      </c>
      <c r="FU268">
        <f>IF(OR(FP$3="",FP$3&gt;TODAY()),"",IF(AND(FS268="",FT268=""),"",N(FT268)-N(FS268)))</f>
        <v/>
      </c>
      <c r="FY268">
        <f>IF(OR(FW$3="",FW$3&gt;TODAY()),"",IF(AND(FW268="",FX268=""),"",N(FX268)-N(FW268)))</f>
        <v/>
      </c>
      <c r="GB268">
        <f>IF(OR(FW$3="",FW$3&gt;TODAY()),"",IF(AND(FZ268="",GA268=""),"",N(GA268)-N(FZ268)))</f>
        <v/>
      </c>
      <c r="GF268">
        <f>IF(OR(GD$3="",GD$3&gt;TODAY()),"",IF(AND(GD268="",GE268=""),"",N(GE268)-N(GD268)))</f>
        <v/>
      </c>
      <c r="GI268">
        <f>IF(OR(GD$3="",GD$3&gt;TODAY()),"",IF(AND(GG268="",GH268=""),"",N(GH268)-N(GG268)))</f>
        <v/>
      </c>
      <c r="GM268">
        <f>IF(OR(GK$3="",GK$3&gt;TODAY()),"",IF(AND(GK268="",GL268=""),"",N(GL268)-N(GK268)))</f>
        <v/>
      </c>
      <c r="GP268">
        <f>IF(OR(GK$3="",GK$3&gt;TODAY()),"",IF(AND(GN268="",GO268=""),"",N(GO268)-N(GN268)))</f>
        <v/>
      </c>
      <c r="GT268">
        <f>IF(OR(GR$3="",GR$3&gt;TODAY()),"",IF(AND(GR268="",GS268=""),"",N(GS268)-N(GR268)))</f>
        <v/>
      </c>
      <c r="GW268">
        <f>IF(OR(GR$3="",GR$3&gt;TODAY()),"",IF(AND(GU268="",GV268=""),"",N(GV268)-N(GU268)))</f>
        <v/>
      </c>
      <c r="HA268">
        <f>IF(OR(GY$3="",GY$3&gt;TODAY()),"",IF(AND(GY268="",GZ268=""),"",N(GZ268)-N(GY268)))</f>
        <v/>
      </c>
      <c r="HD268">
        <f>IF(OR(GY$3="",GY$3&gt;TODAY()),"",IF(AND(HB268="",HC268=""),"",N(HC268)-N(HB268)))</f>
        <v/>
      </c>
      <c r="HH268">
        <f>IF(OR(HF$3="",HF$3&gt;TODAY()),"",IF(AND(HF268="",HG268=""),"",N(HG268)-N(HF268)))</f>
        <v/>
      </c>
      <c r="HK268">
        <f>IF(OR(HF$3="",HF$3&gt;TODAY()),"",IF(AND(HI268="",HJ268=""),"",N(HJ268)-N(HI268)))</f>
        <v/>
      </c>
      <c r="HO268">
        <f>IF(OR(HM$3="",HM$3&gt;TODAY()),"",IF(AND(HM268="",HN268=""),"",N(HN268)-N(HM268)))</f>
        <v/>
      </c>
      <c r="HR268">
        <f>IF(OR(HM$3="",HM$3&gt;TODAY()),"",IF(AND(HP268="",HQ268=""),"",N(HQ268)-N(HP268)))</f>
        <v/>
      </c>
      <c r="HV268">
        <f>IF(OR(HT$3="",HT$3&gt;TODAY()),"",IF(AND(HT268="",HU268=""),"",N(HU268)-N(HT268)))</f>
        <v/>
      </c>
      <c r="HY268">
        <f>IF(OR(HT$3="",HT$3&gt;TODAY()),"",IF(AND(HW268="",HX268=""),"",N(HX268)-N(HW268)))</f>
        <v/>
      </c>
      <c r="IC268">
        <f>IF(OR(IA$3="",IA$3&gt;TODAY()),"",IF(AND(IA268="",IB268=""),"",N(IB268)-N(IA268)))</f>
        <v/>
      </c>
      <c r="IF268">
        <f>IF(OR(IA$3="",IA$3&gt;TODAY()),"",IF(AND(ID268="",IE268=""),"",N(IE268)-N(ID268)))</f>
        <v/>
      </c>
      <c r="IJ268">
        <f>IF(OR(IH$3="",IH$3&gt;TODAY()),"",IF(AND(IH268="",II268=""),"",N(II268)-N(IH268)))</f>
        <v/>
      </c>
      <c r="IM268">
        <f>IF(OR(IH$3="",IH$3&gt;TODAY()),"",IF(AND(IK268="",IL268=""),"",N(IL268)-N(IK268)))</f>
        <v/>
      </c>
    </row>
    <row r="269">
      <c r="A269" s="21" t="n"/>
      <c r="B269" s="21" t="n"/>
      <c r="C269" s="21" t="n"/>
      <c r="D269" s="21" t="n"/>
      <c r="E269" s="21" t="n"/>
      <c r="F269" s="21" t="n"/>
      <c r="G269" s="21" t="n"/>
      <c r="H269" s="21" t="n"/>
      <c r="I269" s="22" t="n"/>
      <c r="J269" s="22" t="n"/>
      <c r="K269" s="23" t="n"/>
      <c r="L269" s="22" t="n"/>
      <c r="M269" s="22" t="n"/>
      <c r="N269" s="21" t="n"/>
      <c r="O269" s="23" t="n"/>
      <c r="P269" s="23" t="n"/>
      <c r="Q269" s="23" t="n"/>
      <c r="R269" s="23" t="n"/>
      <c r="S269" s="22" t="n"/>
      <c r="T269" s="23" t="n"/>
      <c r="U269" s="23" t="n"/>
      <c r="V269" s="24">
        <f>IF(J269&lt;&gt;"",J269,IF(I269&lt;&gt;"",I269,""))</f>
        <v/>
      </c>
      <c r="W269" s="25">
        <f>IF($E269="","",N(O269)+SUMIFS($AF269:$IN269,$AF$4:$IN$4,"SEW_ACT"))</f>
        <v/>
      </c>
      <c r="X269" s="25">
        <f>IF($E269="","",N(P269)+SUMIFS($AF269:$IN269,$AF$4:$IN$4,"WASH_ACT"))</f>
        <v/>
      </c>
      <c r="Y269" s="25">
        <f>IF($E269="","",W269-X269-N(T269)-N(U269))</f>
        <v/>
      </c>
      <c r="Z269" s="25">
        <f>IF($E269="","",IF(N(K269)-X269&lt;=0.02*N(K269),0,N(K269)-X269))</f>
        <v/>
      </c>
      <c r="AA269" s="24">
        <f>IF($E269="","",IF(S269&lt;&gt;"",S269,IF(N(O269)&gt;0,IF(L269&lt;&gt;"",L269,99999),IFERROR(1/(1/_xlfn.MINIFS($AF$3:$IN$3,$AF$4:$IN$4,"SEW_ACT",$AF269:$IN269,"&gt;0")),99999))))</f>
        <v/>
      </c>
      <c r="AB269" s="26">
        <f>IF(OR($E269="",Z269=0,V269=""),"",1+COUNTIFS(Z$8:Z$707,"&gt;0",V$8:V$707,"&lt;"&amp;V269)+COUNTIFS(Z$8:Z$707,"&gt;0",V$8:V$707,V269,AA$8:AA$707,"&lt;"&amp;AA269)+COUNTIFS(Z$8:Z$707,"&gt;0",V$8:V$707,V269,AA$8:AA$707,AA269,E$8:E$707,"&lt;"&amp;$E269))</f>
        <v/>
      </c>
      <c r="AC269" s="24">
        <f>IF(OR($E269="",Z269=0),"",IFERROR(TODAY()+ROUNDUP(Z269/(SUMIFS($AF269:$IN269,$AF$4:$IN$4,"WASH_ACT")/COUNTIFS($AF$4:$IN$4,"WASH_ACT",$AF269:$IN269,"&gt;0")),0),"no output yet"))</f>
        <v/>
      </c>
      <c r="AD269" s="26">
        <f>IF($E269="","",IFERROR(ROUND(MAX(0,SUMIFS($AF269:$IN269,$AF$4:$IN$4,"SEW_PLAN",$AF$3:$IN$3,"&lt;="&amp;TODAY())-SUMIFS($AF269:$IN269,$AF$4:$IN$4,"SEW_ACT",$AF$3:$IN$3,"&lt;="&amp;TODAY())+N(Q269))/(SUMIFS($AF269:$IN269,$AF$4:$IN$4,"SEW_PLAN")/COUNTIFS($AF$4:$IN$4,"SEW_PLAN",$AF269:$IN269,"&gt;0")),1),0))</f>
        <v/>
      </c>
      <c r="AE269" s="26">
        <f>IF($E269="","",IF(AND(Z269&gt;0,OR(AND(M269&lt;&gt;"",TODAY()&gt;M269),AND(V269&lt;&gt;"",V269-TODAY()&lt;=7))),"Yes","No"))</f>
        <v/>
      </c>
      <c r="AH269">
        <f>IF(OR(AF$3="",AF$3&gt;TODAY()),"",IF(AND(AF269="",AG269=""),"",N(AG269)-N(AF269)))</f>
        <v/>
      </c>
      <c r="AK269">
        <f>IF(OR(AF$3="",AF$3&gt;TODAY()),"",IF(AND(AI269="",AJ269=""),"",N(AJ269)-N(AI269)))</f>
        <v/>
      </c>
      <c r="AO269">
        <f>IF(OR(AM$3="",AM$3&gt;TODAY()),"",IF(AND(AM269="",AN269=""),"",N(AN269)-N(AM269)))</f>
        <v/>
      </c>
      <c r="AR269">
        <f>IF(OR(AM$3="",AM$3&gt;TODAY()),"",IF(AND(AP269="",AQ269=""),"",N(AQ269)-N(AP269)))</f>
        <v/>
      </c>
      <c r="AV269">
        <f>IF(OR(AT$3="",AT$3&gt;TODAY()),"",IF(AND(AT269="",AU269=""),"",N(AU269)-N(AT269)))</f>
        <v/>
      </c>
      <c r="AY269">
        <f>IF(OR(AT$3="",AT$3&gt;TODAY()),"",IF(AND(AW269="",AX269=""),"",N(AX269)-N(AW269)))</f>
        <v/>
      </c>
      <c r="BC269">
        <f>IF(OR(BA$3="",BA$3&gt;TODAY()),"",IF(AND(BA269="",BB269=""),"",N(BB269)-N(BA269)))</f>
        <v/>
      </c>
      <c r="BF269">
        <f>IF(OR(BA$3="",BA$3&gt;TODAY()),"",IF(AND(BD269="",BE269=""),"",N(BE269)-N(BD269)))</f>
        <v/>
      </c>
      <c r="BJ269">
        <f>IF(OR(BH$3="",BH$3&gt;TODAY()),"",IF(AND(BH269="",BI269=""),"",N(BI269)-N(BH269)))</f>
        <v/>
      </c>
      <c r="BM269">
        <f>IF(OR(BH$3="",BH$3&gt;TODAY()),"",IF(AND(BK269="",BL269=""),"",N(BL269)-N(BK269)))</f>
        <v/>
      </c>
      <c r="BQ269">
        <f>IF(OR(BO$3="",BO$3&gt;TODAY()),"",IF(AND(BO269="",BP269=""),"",N(BP269)-N(BO269)))</f>
        <v/>
      </c>
      <c r="BT269">
        <f>IF(OR(BO$3="",BO$3&gt;TODAY()),"",IF(AND(BR269="",BS269=""),"",N(BS269)-N(BR269)))</f>
        <v/>
      </c>
      <c r="BX269">
        <f>IF(OR(BV$3="",BV$3&gt;TODAY()),"",IF(AND(BV269="",BW269=""),"",N(BW269)-N(BV269)))</f>
        <v/>
      </c>
      <c r="CA269">
        <f>IF(OR(BV$3="",BV$3&gt;TODAY()),"",IF(AND(BY269="",BZ269=""),"",N(BZ269)-N(BY269)))</f>
        <v/>
      </c>
      <c r="CE269">
        <f>IF(OR(CC$3="",CC$3&gt;TODAY()),"",IF(AND(CC269="",CD269=""),"",N(CD269)-N(CC269)))</f>
        <v/>
      </c>
      <c r="CH269">
        <f>IF(OR(CC$3="",CC$3&gt;TODAY()),"",IF(AND(CF269="",CG269=""),"",N(CG269)-N(CF269)))</f>
        <v/>
      </c>
      <c r="CL269">
        <f>IF(OR(CJ$3="",CJ$3&gt;TODAY()),"",IF(AND(CJ269="",CK269=""),"",N(CK269)-N(CJ269)))</f>
        <v/>
      </c>
      <c r="CO269">
        <f>IF(OR(CJ$3="",CJ$3&gt;TODAY()),"",IF(AND(CM269="",CN269=""),"",N(CN269)-N(CM269)))</f>
        <v/>
      </c>
      <c r="CS269">
        <f>IF(OR(CQ$3="",CQ$3&gt;TODAY()),"",IF(AND(CQ269="",CR269=""),"",N(CR269)-N(CQ269)))</f>
        <v/>
      </c>
      <c r="CV269">
        <f>IF(OR(CQ$3="",CQ$3&gt;TODAY()),"",IF(AND(CT269="",CU269=""),"",N(CU269)-N(CT269)))</f>
        <v/>
      </c>
      <c r="CZ269">
        <f>IF(OR(CX$3="",CX$3&gt;TODAY()),"",IF(AND(CX269="",CY269=""),"",N(CY269)-N(CX269)))</f>
        <v/>
      </c>
      <c r="DC269">
        <f>IF(OR(CX$3="",CX$3&gt;TODAY()),"",IF(AND(DA269="",DB269=""),"",N(DB269)-N(DA269)))</f>
        <v/>
      </c>
      <c r="DG269">
        <f>IF(OR(DE$3="",DE$3&gt;TODAY()),"",IF(AND(DE269="",DF269=""),"",N(DF269)-N(DE269)))</f>
        <v/>
      </c>
      <c r="DJ269">
        <f>IF(OR(DE$3="",DE$3&gt;TODAY()),"",IF(AND(DH269="",DI269=""),"",N(DI269)-N(DH269)))</f>
        <v/>
      </c>
      <c r="DN269">
        <f>IF(OR(DL$3="",DL$3&gt;TODAY()),"",IF(AND(DL269="",DM269=""),"",N(DM269)-N(DL269)))</f>
        <v/>
      </c>
      <c r="DQ269">
        <f>IF(OR(DL$3="",DL$3&gt;TODAY()),"",IF(AND(DO269="",DP269=""),"",N(DP269)-N(DO269)))</f>
        <v/>
      </c>
      <c r="DU269">
        <f>IF(OR(DS$3="",DS$3&gt;TODAY()),"",IF(AND(DS269="",DT269=""),"",N(DT269)-N(DS269)))</f>
        <v/>
      </c>
      <c r="DX269">
        <f>IF(OR(DS$3="",DS$3&gt;TODAY()),"",IF(AND(DV269="",DW269=""),"",N(DW269)-N(DV269)))</f>
        <v/>
      </c>
      <c r="EB269">
        <f>IF(OR(DZ$3="",DZ$3&gt;TODAY()),"",IF(AND(DZ269="",EA269=""),"",N(EA269)-N(DZ269)))</f>
        <v/>
      </c>
      <c r="EE269">
        <f>IF(OR(DZ$3="",DZ$3&gt;TODAY()),"",IF(AND(EC269="",ED269=""),"",N(ED269)-N(EC269)))</f>
        <v/>
      </c>
      <c r="EI269">
        <f>IF(OR(EG$3="",EG$3&gt;TODAY()),"",IF(AND(EG269="",EH269=""),"",N(EH269)-N(EG269)))</f>
        <v/>
      </c>
      <c r="EL269">
        <f>IF(OR(EG$3="",EG$3&gt;TODAY()),"",IF(AND(EJ269="",EK269=""),"",N(EK269)-N(EJ269)))</f>
        <v/>
      </c>
      <c r="EP269">
        <f>IF(OR(EN$3="",EN$3&gt;TODAY()),"",IF(AND(EN269="",EO269=""),"",N(EO269)-N(EN269)))</f>
        <v/>
      </c>
      <c r="ES269">
        <f>IF(OR(EN$3="",EN$3&gt;TODAY()),"",IF(AND(EQ269="",ER269=""),"",N(ER269)-N(EQ269)))</f>
        <v/>
      </c>
      <c r="EW269">
        <f>IF(OR(EU$3="",EU$3&gt;TODAY()),"",IF(AND(EU269="",EV269=""),"",N(EV269)-N(EU269)))</f>
        <v/>
      </c>
      <c r="EZ269">
        <f>IF(OR(EU$3="",EU$3&gt;TODAY()),"",IF(AND(EX269="",EY269=""),"",N(EY269)-N(EX269)))</f>
        <v/>
      </c>
      <c r="FD269">
        <f>IF(OR(FB$3="",FB$3&gt;TODAY()),"",IF(AND(FB269="",FC269=""),"",N(FC269)-N(FB269)))</f>
        <v/>
      </c>
      <c r="FG269">
        <f>IF(OR(FB$3="",FB$3&gt;TODAY()),"",IF(AND(FE269="",FF269=""),"",N(FF269)-N(FE269)))</f>
        <v/>
      </c>
      <c r="FK269">
        <f>IF(OR(FI$3="",FI$3&gt;TODAY()),"",IF(AND(FI269="",FJ269=""),"",N(FJ269)-N(FI269)))</f>
        <v/>
      </c>
      <c r="FN269">
        <f>IF(OR(FI$3="",FI$3&gt;TODAY()),"",IF(AND(FL269="",FM269=""),"",N(FM269)-N(FL269)))</f>
        <v/>
      </c>
      <c r="FR269">
        <f>IF(OR(FP$3="",FP$3&gt;TODAY()),"",IF(AND(FP269="",FQ269=""),"",N(FQ269)-N(FP269)))</f>
        <v/>
      </c>
      <c r="FU269">
        <f>IF(OR(FP$3="",FP$3&gt;TODAY()),"",IF(AND(FS269="",FT269=""),"",N(FT269)-N(FS269)))</f>
        <v/>
      </c>
      <c r="FY269">
        <f>IF(OR(FW$3="",FW$3&gt;TODAY()),"",IF(AND(FW269="",FX269=""),"",N(FX269)-N(FW269)))</f>
        <v/>
      </c>
      <c r="GB269">
        <f>IF(OR(FW$3="",FW$3&gt;TODAY()),"",IF(AND(FZ269="",GA269=""),"",N(GA269)-N(FZ269)))</f>
        <v/>
      </c>
      <c r="GF269">
        <f>IF(OR(GD$3="",GD$3&gt;TODAY()),"",IF(AND(GD269="",GE269=""),"",N(GE269)-N(GD269)))</f>
        <v/>
      </c>
      <c r="GI269">
        <f>IF(OR(GD$3="",GD$3&gt;TODAY()),"",IF(AND(GG269="",GH269=""),"",N(GH269)-N(GG269)))</f>
        <v/>
      </c>
      <c r="GM269">
        <f>IF(OR(GK$3="",GK$3&gt;TODAY()),"",IF(AND(GK269="",GL269=""),"",N(GL269)-N(GK269)))</f>
        <v/>
      </c>
      <c r="GP269">
        <f>IF(OR(GK$3="",GK$3&gt;TODAY()),"",IF(AND(GN269="",GO269=""),"",N(GO269)-N(GN269)))</f>
        <v/>
      </c>
      <c r="GT269">
        <f>IF(OR(GR$3="",GR$3&gt;TODAY()),"",IF(AND(GR269="",GS269=""),"",N(GS269)-N(GR269)))</f>
        <v/>
      </c>
      <c r="GW269">
        <f>IF(OR(GR$3="",GR$3&gt;TODAY()),"",IF(AND(GU269="",GV269=""),"",N(GV269)-N(GU269)))</f>
        <v/>
      </c>
      <c r="HA269">
        <f>IF(OR(GY$3="",GY$3&gt;TODAY()),"",IF(AND(GY269="",GZ269=""),"",N(GZ269)-N(GY269)))</f>
        <v/>
      </c>
      <c r="HD269">
        <f>IF(OR(GY$3="",GY$3&gt;TODAY()),"",IF(AND(HB269="",HC269=""),"",N(HC269)-N(HB269)))</f>
        <v/>
      </c>
      <c r="HH269">
        <f>IF(OR(HF$3="",HF$3&gt;TODAY()),"",IF(AND(HF269="",HG269=""),"",N(HG269)-N(HF269)))</f>
        <v/>
      </c>
      <c r="HK269">
        <f>IF(OR(HF$3="",HF$3&gt;TODAY()),"",IF(AND(HI269="",HJ269=""),"",N(HJ269)-N(HI269)))</f>
        <v/>
      </c>
      <c r="HO269">
        <f>IF(OR(HM$3="",HM$3&gt;TODAY()),"",IF(AND(HM269="",HN269=""),"",N(HN269)-N(HM269)))</f>
        <v/>
      </c>
      <c r="HR269">
        <f>IF(OR(HM$3="",HM$3&gt;TODAY()),"",IF(AND(HP269="",HQ269=""),"",N(HQ269)-N(HP269)))</f>
        <v/>
      </c>
      <c r="HV269">
        <f>IF(OR(HT$3="",HT$3&gt;TODAY()),"",IF(AND(HT269="",HU269=""),"",N(HU269)-N(HT269)))</f>
        <v/>
      </c>
      <c r="HY269">
        <f>IF(OR(HT$3="",HT$3&gt;TODAY()),"",IF(AND(HW269="",HX269=""),"",N(HX269)-N(HW269)))</f>
        <v/>
      </c>
      <c r="IC269">
        <f>IF(OR(IA$3="",IA$3&gt;TODAY()),"",IF(AND(IA269="",IB269=""),"",N(IB269)-N(IA269)))</f>
        <v/>
      </c>
      <c r="IF269">
        <f>IF(OR(IA$3="",IA$3&gt;TODAY()),"",IF(AND(ID269="",IE269=""),"",N(IE269)-N(ID269)))</f>
        <v/>
      </c>
      <c r="IJ269">
        <f>IF(OR(IH$3="",IH$3&gt;TODAY()),"",IF(AND(IH269="",II269=""),"",N(II269)-N(IH269)))</f>
        <v/>
      </c>
      <c r="IM269">
        <f>IF(OR(IH$3="",IH$3&gt;TODAY()),"",IF(AND(IK269="",IL269=""),"",N(IL269)-N(IK269)))</f>
        <v/>
      </c>
    </row>
    <row r="270">
      <c r="A270" s="21" t="n"/>
      <c r="B270" s="21" t="n"/>
      <c r="C270" s="21" t="n"/>
      <c r="D270" s="21" t="n"/>
      <c r="E270" s="21" t="n"/>
      <c r="F270" s="21" t="n"/>
      <c r="G270" s="21" t="n"/>
      <c r="H270" s="21" t="n"/>
      <c r="I270" s="22" t="n"/>
      <c r="J270" s="22" t="n"/>
      <c r="K270" s="23" t="n"/>
      <c r="L270" s="22" t="n"/>
      <c r="M270" s="22" t="n"/>
      <c r="N270" s="21" t="n"/>
      <c r="O270" s="23" t="n"/>
      <c r="P270" s="23" t="n"/>
      <c r="Q270" s="23" t="n"/>
      <c r="R270" s="23" t="n"/>
      <c r="S270" s="22" t="n"/>
      <c r="T270" s="23" t="n"/>
      <c r="U270" s="23" t="n"/>
      <c r="V270" s="24">
        <f>IF(J270&lt;&gt;"",J270,IF(I270&lt;&gt;"",I270,""))</f>
        <v/>
      </c>
      <c r="W270" s="25">
        <f>IF($E270="","",N(O270)+SUMIFS($AF270:$IN270,$AF$4:$IN$4,"SEW_ACT"))</f>
        <v/>
      </c>
      <c r="X270" s="25">
        <f>IF($E270="","",N(P270)+SUMIFS($AF270:$IN270,$AF$4:$IN$4,"WASH_ACT"))</f>
        <v/>
      </c>
      <c r="Y270" s="25">
        <f>IF($E270="","",W270-X270-N(T270)-N(U270))</f>
        <v/>
      </c>
      <c r="Z270" s="25">
        <f>IF($E270="","",IF(N(K270)-X270&lt;=0.02*N(K270),0,N(K270)-X270))</f>
        <v/>
      </c>
      <c r="AA270" s="24">
        <f>IF($E270="","",IF(S270&lt;&gt;"",S270,IF(N(O270)&gt;0,IF(L270&lt;&gt;"",L270,99999),IFERROR(1/(1/_xlfn.MINIFS($AF$3:$IN$3,$AF$4:$IN$4,"SEW_ACT",$AF270:$IN270,"&gt;0")),99999))))</f>
        <v/>
      </c>
      <c r="AB270" s="26">
        <f>IF(OR($E270="",Z270=0,V270=""),"",1+COUNTIFS(Z$8:Z$707,"&gt;0",V$8:V$707,"&lt;"&amp;V270)+COUNTIFS(Z$8:Z$707,"&gt;0",V$8:V$707,V270,AA$8:AA$707,"&lt;"&amp;AA270)+COUNTIFS(Z$8:Z$707,"&gt;0",V$8:V$707,V270,AA$8:AA$707,AA270,E$8:E$707,"&lt;"&amp;$E270))</f>
        <v/>
      </c>
      <c r="AC270" s="24">
        <f>IF(OR($E270="",Z270=0),"",IFERROR(TODAY()+ROUNDUP(Z270/(SUMIFS($AF270:$IN270,$AF$4:$IN$4,"WASH_ACT")/COUNTIFS($AF$4:$IN$4,"WASH_ACT",$AF270:$IN270,"&gt;0")),0),"no output yet"))</f>
        <v/>
      </c>
      <c r="AD270" s="26">
        <f>IF($E270="","",IFERROR(ROUND(MAX(0,SUMIFS($AF270:$IN270,$AF$4:$IN$4,"SEW_PLAN",$AF$3:$IN$3,"&lt;="&amp;TODAY())-SUMIFS($AF270:$IN270,$AF$4:$IN$4,"SEW_ACT",$AF$3:$IN$3,"&lt;="&amp;TODAY())+N(Q270))/(SUMIFS($AF270:$IN270,$AF$4:$IN$4,"SEW_PLAN")/COUNTIFS($AF$4:$IN$4,"SEW_PLAN",$AF270:$IN270,"&gt;0")),1),0))</f>
        <v/>
      </c>
      <c r="AE270" s="26">
        <f>IF($E270="","",IF(AND(Z270&gt;0,OR(AND(M270&lt;&gt;"",TODAY()&gt;M270),AND(V270&lt;&gt;"",V270-TODAY()&lt;=7))),"Yes","No"))</f>
        <v/>
      </c>
      <c r="AH270">
        <f>IF(OR(AF$3="",AF$3&gt;TODAY()),"",IF(AND(AF270="",AG270=""),"",N(AG270)-N(AF270)))</f>
        <v/>
      </c>
      <c r="AK270">
        <f>IF(OR(AF$3="",AF$3&gt;TODAY()),"",IF(AND(AI270="",AJ270=""),"",N(AJ270)-N(AI270)))</f>
        <v/>
      </c>
      <c r="AO270">
        <f>IF(OR(AM$3="",AM$3&gt;TODAY()),"",IF(AND(AM270="",AN270=""),"",N(AN270)-N(AM270)))</f>
        <v/>
      </c>
      <c r="AR270">
        <f>IF(OR(AM$3="",AM$3&gt;TODAY()),"",IF(AND(AP270="",AQ270=""),"",N(AQ270)-N(AP270)))</f>
        <v/>
      </c>
      <c r="AV270">
        <f>IF(OR(AT$3="",AT$3&gt;TODAY()),"",IF(AND(AT270="",AU270=""),"",N(AU270)-N(AT270)))</f>
        <v/>
      </c>
      <c r="AY270">
        <f>IF(OR(AT$3="",AT$3&gt;TODAY()),"",IF(AND(AW270="",AX270=""),"",N(AX270)-N(AW270)))</f>
        <v/>
      </c>
      <c r="BC270">
        <f>IF(OR(BA$3="",BA$3&gt;TODAY()),"",IF(AND(BA270="",BB270=""),"",N(BB270)-N(BA270)))</f>
        <v/>
      </c>
      <c r="BF270">
        <f>IF(OR(BA$3="",BA$3&gt;TODAY()),"",IF(AND(BD270="",BE270=""),"",N(BE270)-N(BD270)))</f>
        <v/>
      </c>
      <c r="BJ270">
        <f>IF(OR(BH$3="",BH$3&gt;TODAY()),"",IF(AND(BH270="",BI270=""),"",N(BI270)-N(BH270)))</f>
        <v/>
      </c>
      <c r="BM270">
        <f>IF(OR(BH$3="",BH$3&gt;TODAY()),"",IF(AND(BK270="",BL270=""),"",N(BL270)-N(BK270)))</f>
        <v/>
      </c>
      <c r="BQ270">
        <f>IF(OR(BO$3="",BO$3&gt;TODAY()),"",IF(AND(BO270="",BP270=""),"",N(BP270)-N(BO270)))</f>
        <v/>
      </c>
      <c r="BT270">
        <f>IF(OR(BO$3="",BO$3&gt;TODAY()),"",IF(AND(BR270="",BS270=""),"",N(BS270)-N(BR270)))</f>
        <v/>
      </c>
      <c r="BX270">
        <f>IF(OR(BV$3="",BV$3&gt;TODAY()),"",IF(AND(BV270="",BW270=""),"",N(BW270)-N(BV270)))</f>
        <v/>
      </c>
      <c r="CA270">
        <f>IF(OR(BV$3="",BV$3&gt;TODAY()),"",IF(AND(BY270="",BZ270=""),"",N(BZ270)-N(BY270)))</f>
        <v/>
      </c>
      <c r="CE270">
        <f>IF(OR(CC$3="",CC$3&gt;TODAY()),"",IF(AND(CC270="",CD270=""),"",N(CD270)-N(CC270)))</f>
        <v/>
      </c>
      <c r="CH270">
        <f>IF(OR(CC$3="",CC$3&gt;TODAY()),"",IF(AND(CF270="",CG270=""),"",N(CG270)-N(CF270)))</f>
        <v/>
      </c>
      <c r="CL270">
        <f>IF(OR(CJ$3="",CJ$3&gt;TODAY()),"",IF(AND(CJ270="",CK270=""),"",N(CK270)-N(CJ270)))</f>
        <v/>
      </c>
      <c r="CO270">
        <f>IF(OR(CJ$3="",CJ$3&gt;TODAY()),"",IF(AND(CM270="",CN270=""),"",N(CN270)-N(CM270)))</f>
        <v/>
      </c>
      <c r="CS270">
        <f>IF(OR(CQ$3="",CQ$3&gt;TODAY()),"",IF(AND(CQ270="",CR270=""),"",N(CR270)-N(CQ270)))</f>
        <v/>
      </c>
      <c r="CV270">
        <f>IF(OR(CQ$3="",CQ$3&gt;TODAY()),"",IF(AND(CT270="",CU270=""),"",N(CU270)-N(CT270)))</f>
        <v/>
      </c>
      <c r="CZ270">
        <f>IF(OR(CX$3="",CX$3&gt;TODAY()),"",IF(AND(CX270="",CY270=""),"",N(CY270)-N(CX270)))</f>
        <v/>
      </c>
      <c r="DC270">
        <f>IF(OR(CX$3="",CX$3&gt;TODAY()),"",IF(AND(DA270="",DB270=""),"",N(DB270)-N(DA270)))</f>
        <v/>
      </c>
      <c r="DG270">
        <f>IF(OR(DE$3="",DE$3&gt;TODAY()),"",IF(AND(DE270="",DF270=""),"",N(DF270)-N(DE270)))</f>
        <v/>
      </c>
      <c r="DJ270">
        <f>IF(OR(DE$3="",DE$3&gt;TODAY()),"",IF(AND(DH270="",DI270=""),"",N(DI270)-N(DH270)))</f>
        <v/>
      </c>
      <c r="DN270">
        <f>IF(OR(DL$3="",DL$3&gt;TODAY()),"",IF(AND(DL270="",DM270=""),"",N(DM270)-N(DL270)))</f>
        <v/>
      </c>
      <c r="DQ270">
        <f>IF(OR(DL$3="",DL$3&gt;TODAY()),"",IF(AND(DO270="",DP270=""),"",N(DP270)-N(DO270)))</f>
        <v/>
      </c>
      <c r="DU270">
        <f>IF(OR(DS$3="",DS$3&gt;TODAY()),"",IF(AND(DS270="",DT270=""),"",N(DT270)-N(DS270)))</f>
        <v/>
      </c>
      <c r="DX270">
        <f>IF(OR(DS$3="",DS$3&gt;TODAY()),"",IF(AND(DV270="",DW270=""),"",N(DW270)-N(DV270)))</f>
        <v/>
      </c>
      <c r="EB270">
        <f>IF(OR(DZ$3="",DZ$3&gt;TODAY()),"",IF(AND(DZ270="",EA270=""),"",N(EA270)-N(DZ270)))</f>
        <v/>
      </c>
      <c r="EE270">
        <f>IF(OR(DZ$3="",DZ$3&gt;TODAY()),"",IF(AND(EC270="",ED270=""),"",N(ED270)-N(EC270)))</f>
        <v/>
      </c>
      <c r="EI270">
        <f>IF(OR(EG$3="",EG$3&gt;TODAY()),"",IF(AND(EG270="",EH270=""),"",N(EH270)-N(EG270)))</f>
        <v/>
      </c>
      <c r="EL270">
        <f>IF(OR(EG$3="",EG$3&gt;TODAY()),"",IF(AND(EJ270="",EK270=""),"",N(EK270)-N(EJ270)))</f>
        <v/>
      </c>
      <c r="EP270">
        <f>IF(OR(EN$3="",EN$3&gt;TODAY()),"",IF(AND(EN270="",EO270=""),"",N(EO270)-N(EN270)))</f>
        <v/>
      </c>
      <c r="ES270">
        <f>IF(OR(EN$3="",EN$3&gt;TODAY()),"",IF(AND(EQ270="",ER270=""),"",N(ER270)-N(EQ270)))</f>
        <v/>
      </c>
      <c r="EW270">
        <f>IF(OR(EU$3="",EU$3&gt;TODAY()),"",IF(AND(EU270="",EV270=""),"",N(EV270)-N(EU270)))</f>
        <v/>
      </c>
      <c r="EZ270">
        <f>IF(OR(EU$3="",EU$3&gt;TODAY()),"",IF(AND(EX270="",EY270=""),"",N(EY270)-N(EX270)))</f>
        <v/>
      </c>
      <c r="FD270">
        <f>IF(OR(FB$3="",FB$3&gt;TODAY()),"",IF(AND(FB270="",FC270=""),"",N(FC270)-N(FB270)))</f>
        <v/>
      </c>
      <c r="FG270">
        <f>IF(OR(FB$3="",FB$3&gt;TODAY()),"",IF(AND(FE270="",FF270=""),"",N(FF270)-N(FE270)))</f>
        <v/>
      </c>
      <c r="FK270">
        <f>IF(OR(FI$3="",FI$3&gt;TODAY()),"",IF(AND(FI270="",FJ270=""),"",N(FJ270)-N(FI270)))</f>
        <v/>
      </c>
      <c r="FN270">
        <f>IF(OR(FI$3="",FI$3&gt;TODAY()),"",IF(AND(FL270="",FM270=""),"",N(FM270)-N(FL270)))</f>
        <v/>
      </c>
      <c r="FR270">
        <f>IF(OR(FP$3="",FP$3&gt;TODAY()),"",IF(AND(FP270="",FQ270=""),"",N(FQ270)-N(FP270)))</f>
        <v/>
      </c>
      <c r="FU270">
        <f>IF(OR(FP$3="",FP$3&gt;TODAY()),"",IF(AND(FS270="",FT270=""),"",N(FT270)-N(FS270)))</f>
        <v/>
      </c>
      <c r="FY270">
        <f>IF(OR(FW$3="",FW$3&gt;TODAY()),"",IF(AND(FW270="",FX270=""),"",N(FX270)-N(FW270)))</f>
        <v/>
      </c>
      <c r="GB270">
        <f>IF(OR(FW$3="",FW$3&gt;TODAY()),"",IF(AND(FZ270="",GA270=""),"",N(GA270)-N(FZ270)))</f>
        <v/>
      </c>
      <c r="GF270">
        <f>IF(OR(GD$3="",GD$3&gt;TODAY()),"",IF(AND(GD270="",GE270=""),"",N(GE270)-N(GD270)))</f>
        <v/>
      </c>
      <c r="GI270">
        <f>IF(OR(GD$3="",GD$3&gt;TODAY()),"",IF(AND(GG270="",GH270=""),"",N(GH270)-N(GG270)))</f>
        <v/>
      </c>
      <c r="GM270">
        <f>IF(OR(GK$3="",GK$3&gt;TODAY()),"",IF(AND(GK270="",GL270=""),"",N(GL270)-N(GK270)))</f>
        <v/>
      </c>
      <c r="GP270">
        <f>IF(OR(GK$3="",GK$3&gt;TODAY()),"",IF(AND(GN270="",GO270=""),"",N(GO270)-N(GN270)))</f>
        <v/>
      </c>
      <c r="GT270">
        <f>IF(OR(GR$3="",GR$3&gt;TODAY()),"",IF(AND(GR270="",GS270=""),"",N(GS270)-N(GR270)))</f>
        <v/>
      </c>
      <c r="GW270">
        <f>IF(OR(GR$3="",GR$3&gt;TODAY()),"",IF(AND(GU270="",GV270=""),"",N(GV270)-N(GU270)))</f>
        <v/>
      </c>
      <c r="HA270">
        <f>IF(OR(GY$3="",GY$3&gt;TODAY()),"",IF(AND(GY270="",GZ270=""),"",N(GZ270)-N(GY270)))</f>
        <v/>
      </c>
      <c r="HD270">
        <f>IF(OR(GY$3="",GY$3&gt;TODAY()),"",IF(AND(HB270="",HC270=""),"",N(HC270)-N(HB270)))</f>
        <v/>
      </c>
      <c r="HH270">
        <f>IF(OR(HF$3="",HF$3&gt;TODAY()),"",IF(AND(HF270="",HG270=""),"",N(HG270)-N(HF270)))</f>
        <v/>
      </c>
      <c r="HK270">
        <f>IF(OR(HF$3="",HF$3&gt;TODAY()),"",IF(AND(HI270="",HJ270=""),"",N(HJ270)-N(HI270)))</f>
        <v/>
      </c>
      <c r="HO270">
        <f>IF(OR(HM$3="",HM$3&gt;TODAY()),"",IF(AND(HM270="",HN270=""),"",N(HN270)-N(HM270)))</f>
        <v/>
      </c>
      <c r="HR270">
        <f>IF(OR(HM$3="",HM$3&gt;TODAY()),"",IF(AND(HP270="",HQ270=""),"",N(HQ270)-N(HP270)))</f>
        <v/>
      </c>
      <c r="HV270">
        <f>IF(OR(HT$3="",HT$3&gt;TODAY()),"",IF(AND(HT270="",HU270=""),"",N(HU270)-N(HT270)))</f>
        <v/>
      </c>
      <c r="HY270">
        <f>IF(OR(HT$3="",HT$3&gt;TODAY()),"",IF(AND(HW270="",HX270=""),"",N(HX270)-N(HW270)))</f>
        <v/>
      </c>
      <c r="IC270">
        <f>IF(OR(IA$3="",IA$3&gt;TODAY()),"",IF(AND(IA270="",IB270=""),"",N(IB270)-N(IA270)))</f>
        <v/>
      </c>
      <c r="IF270">
        <f>IF(OR(IA$3="",IA$3&gt;TODAY()),"",IF(AND(ID270="",IE270=""),"",N(IE270)-N(ID270)))</f>
        <v/>
      </c>
      <c r="IJ270">
        <f>IF(OR(IH$3="",IH$3&gt;TODAY()),"",IF(AND(IH270="",II270=""),"",N(II270)-N(IH270)))</f>
        <v/>
      </c>
      <c r="IM270">
        <f>IF(OR(IH$3="",IH$3&gt;TODAY()),"",IF(AND(IK270="",IL270=""),"",N(IL270)-N(IK270)))</f>
        <v/>
      </c>
    </row>
    <row r="271">
      <c r="A271" s="21" t="n"/>
      <c r="B271" s="21" t="n"/>
      <c r="C271" s="21" t="n"/>
      <c r="D271" s="21" t="n"/>
      <c r="E271" s="21" t="n"/>
      <c r="F271" s="21" t="n"/>
      <c r="G271" s="21" t="n"/>
      <c r="H271" s="21" t="n"/>
      <c r="I271" s="22" t="n"/>
      <c r="J271" s="22" t="n"/>
      <c r="K271" s="23" t="n"/>
      <c r="L271" s="22" t="n"/>
      <c r="M271" s="22" t="n"/>
      <c r="N271" s="21" t="n"/>
      <c r="O271" s="23" t="n"/>
      <c r="P271" s="23" t="n"/>
      <c r="Q271" s="23" t="n"/>
      <c r="R271" s="23" t="n"/>
      <c r="S271" s="22" t="n"/>
      <c r="T271" s="23" t="n"/>
      <c r="U271" s="23" t="n"/>
      <c r="V271" s="24">
        <f>IF(J271&lt;&gt;"",J271,IF(I271&lt;&gt;"",I271,""))</f>
        <v/>
      </c>
      <c r="W271" s="25">
        <f>IF($E271="","",N(O271)+SUMIFS($AF271:$IN271,$AF$4:$IN$4,"SEW_ACT"))</f>
        <v/>
      </c>
      <c r="X271" s="25">
        <f>IF($E271="","",N(P271)+SUMIFS($AF271:$IN271,$AF$4:$IN$4,"WASH_ACT"))</f>
        <v/>
      </c>
      <c r="Y271" s="25">
        <f>IF($E271="","",W271-X271-N(T271)-N(U271))</f>
        <v/>
      </c>
      <c r="Z271" s="25">
        <f>IF($E271="","",IF(N(K271)-X271&lt;=0.02*N(K271),0,N(K271)-X271))</f>
        <v/>
      </c>
      <c r="AA271" s="24">
        <f>IF($E271="","",IF(S271&lt;&gt;"",S271,IF(N(O271)&gt;0,IF(L271&lt;&gt;"",L271,99999),IFERROR(1/(1/_xlfn.MINIFS($AF$3:$IN$3,$AF$4:$IN$4,"SEW_ACT",$AF271:$IN271,"&gt;0")),99999))))</f>
        <v/>
      </c>
      <c r="AB271" s="26">
        <f>IF(OR($E271="",Z271=0,V271=""),"",1+COUNTIFS(Z$8:Z$707,"&gt;0",V$8:V$707,"&lt;"&amp;V271)+COUNTIFS(Z$8:Z$707,"&gt;0",V$8:V$707,V271,AA$8:AA$707,"&lt;"&amp;AA271)+COUNTIFS(Z$8:Z$707,"&gt;0",V$8:V$707,V271,AA$8:AA$707,AA271,E$8:E$707,"&lt;"&amp;$E271))</f>
        <v/>
      </c>
      <c r="AC271" s="24">
        <f>IF(OR($E271="",Z271=0),"",IFERROR(TODAY()+ROUNDUP(Z271/(SUMIFS($AF271:$IN271,$AF$4:$IN$4,"WASH_ACT")/COUNTIFS($AF$4:$IN$4,"WASH_ACT",$AF271:$IN271,"&gt;0")),0),"no output yet"))</f>
        <v/>
      </c>
      <c r="AD271" s="26">
        <f>IF($E271="","",IFERROR(ROUND(MAX(0,SUMIFS($AF271:$IN271,$AF$4:$IN$4,"SEW_PLAN",$AF$3:$IN$3,"&lt;="&amp;TODAY())-SUMIFS($AF271:$IN271,$AF$4:$IN$4,"SEW_ACT",$AF$3:$IN$3,"&lt;="&amp;TODAY())+N(Q271))/(SUMIFS($AF271:$IN271,$AF$4:$IN$4,"SEW_PLAN")/COUNTIFS($AF$4:$IN$4,"SEW_PLAN",$AF271:$IN271,"&gt;0")),1),0))</f>
        <v/>
      </c>
      <c r="AE271" s="26">
        <f>IF($E271="","",IF(AND(Z271&gt;0,OR(AND(M271&lt;&gt;"",TODAY()&gt;M271),AND(V271&lt;&gt;"",V271-TODAY()&lt;=7))),"Yes","No"))</f>
        <v/>
      </c>
      <c r="AH271">
        <f>IF(OR(AF$3="",AF$3&gt;TODAY()),"",IF(AND(AF271="",AG271=""),"",N(AG271)-N(AF271)))</f>
        <v/>
      </c>
      <c r="AK271">
        <f>IF(OR(AF$3="",AF$3&gt;TODAY()),"",IF(AND(AI271="",AJ271=""),"",N(AJ271)-N(AI271)))</f>
        <v/>
      </c>
      <c r="AO271">
        <f>IF(OR(AM$3="",AM$3&gt;TODAY()),"",IF(AND(AM271="",AN271=""),"",N(AN271)-N(AM271)))</f>
        <v/>
      </c>
      <c r="AR271">
        <f>IF(OR(AM$3="",AM$3&gt;TODAY()),"",IF(AND(AP271="",AQ271=""),"",N(AQ271)-N(AP271)))</f>
        <v/>
      </c>
      <c r="AV271">
        <f>IF(OR(AT$3="",AT$3&gt;TODAY()),"",IF(AND(AT271="",AU271=""),"",N(AU271)-N(AT271)))</f>
        <v/>
      </c>
      <c r="AY271">
        <f>IF(OR(AT$3="",AT$3&gt;TODAY()),"",IF(AND(AW271="",AX271=""),"",N(AX271)-N(AW271)))</f>
        <v/>
      </c>
      <c r="BC271">
        <f>IF(OR(BA$3="",BA$3&gt;TODAY()),"",IF(AND(BA271="",BB271=""),"",N(BB271)-N(BA271)))</f>
        <v/>
      </c>
      <c r="BF271">
        <f>IF(OR(BA$3="",BA$3&gt;TODAY()),"",IF(AND(BD271="",BE271=""),"",N(BE271)-N(BD271)))</f>
        <v/>
      </c>
      <c r="BJ271">
        <f>IF(OR(BH$3="",BH$3&gt;TODAY()),"",IF(AND(BH271="",BI271=""),"",N(BI271)-N(BH271)))</f>
        <v/>
      </c>
      <c r="BM271">
        <f>IF(OR(BH$3="",BH$3&gt;TODAY()),"",IF(AND(BK271="",BL271=""),"",N(BL271)-N(BK271)))</f>
        <v/>
      </c>
      <c r="BQ271">
        <f>IF(OR(BO$3="",BO$3&gt;TODAY()),"",IF(AND(BO271="",BP271=""),"",N(BP271)-N(BO271)))</f>
        <v/>
      </c>
      <c r="BT271">
        <f>IF(OR(BO$3="",BO$3&gt;TODAY()),"",IF(AND(BR271="",BS271=""),"",N(BS271)-N(BR271)))</f>
        <v/>
      </c>
      <c r="BX271">
        <f>IF(OR(BV$3="",BV$3&gt;TODAY()),"",IF(AND(BV271="",BW271=""),"",N(BW271)-N(BV271)))</f>
        <v/>
      </c>
      <c r="CA271">
        <f>IF(OR(BV$3="",BV$3&gt;TODAY()),"",IF(AND(BY271="",BZ271=""),"",N(BZ271)-N(BY271)))</f>
        <v/>
      </c>
      <c r="CE271">
        <f>IF(OR(CC$3="",CC$3&gt;TODAY()),"",IF(AND(CC271="",CD271=""),"",N(CD271)-N(CC271)))</f>
        <v/>
      </c>
      <c r="CH271">
        <f>IF(OR(CC$3="",CC$3&gt;TODAY()),"",IF(AND(CF271="",CG271=""),"",N(CG271)-N(CF271)))</f>
        <v/>
      </c>
      <c r="CL271">
        <f>IF(OR(CJ$3="",CJ$3&gt;TODAY()),"",IF(AND(CJ271="",CK271=""),"",N(CK271)-N(CJ271)))</f>
        <v/>
      </c>
      <c r="CO271">
        <f>IF(OR(CJ$3="",CJ$3&gt;TODAY()),"",IF(AND(CM271="",CN271=""),"",N(CN271)-N(CM271)))</f>
        <v/>
      </c>
      <c r="CS271">
        <f>IF(OR(CQ$3="",CQ$3&gt;TODAY()),"",IF(AND(CQ271="",CR271=""),"",N(CR271)-N(CQ271)))</f>
        <v/>
      </c>
      <c r="CV271">
        <f>IF(OR(CQ$3="",CQ$3&gt;TODAY()),"",IF(AND(CT271="",CU271=""),"",N(CU271)-N(CT271)))</f>
        <v/>
      </c>
      <c r="CZ271">
        <f>IF(OR(CX$3="",CX$3&gt;TODAY()),"",IF(AND(CX271="",CY271=""),"",N(CY271)-N(CX271)))</f>
        <v/>
      </c>
      <c r="DC271">
        <f>IF(OR(CX$3="",CX$3&gt;TODAY()),"",IF(AND(DA271="",DB271=""),"",N(DB271)-N(DA271)))</f>
        <v/>
      </c>
      <c r="DG271">
        <f>IF(OR(DE$3="",DE$3&gt;TODAY()),"",IF(AND(DE271="",DF271=""),"",N(DF271)-N(DE271)))</f>
        <v/>
      </c>
      <c r="DJ271">
        <f>IF(OR(DE$3="",DE$3&gt;TODAY()),"",IF(AND(DH271="",DI271=""),"",N(DI271)-N(DH271)))</f>
        <v/>
      </c>
      <c r="DN271">
        <f>IF(OR(DL$3="",DL$3&gt;TODAY()),"",IF(AND(DL271="",DM271=""),"",N(DM271)-N(DL271)))</f>
        <v/>
      </c>
      <c r="DQ271">
        <f>IF(OR(DL$3="",DL$3&gt;TODAY()),"",IF(AND(DO271="",DP271=""),"",N(DP271)-N(DO271)))</f>
        <v/>
      </c>
      <c r="DU271">
        <f>IF(OR(DS$3="",DS$3&gt;TODAY()),"",IF(AND(DS271="",DT271=""),"",N(DT271)-N(DS271)))</f>
        <v/>
      </c>
      <c r="DX271">
        <f>IF(OR(DS$3="",DS$3&gt;TODAY()),"",IF(AND(DV271="",DW271=""),"",N(DW271)-N(DV271)))</f>
        <v/>
      </c>
      <c r="EB271">
        <f>IF(OR(DZ$3="",DZ$3&gt;TODAY()),"",IF(AND(DZ271="",EA271=""),"",N(EA271)-N(DZ271)))</f>
        <v/>
      </c>
      <c r="EE271">
        <f>IF(OR(DZ$3="",DZ$3&gt;TODAY()),"",IF(AND(EC271="",ED271=""),"",N(ED271)-N(EC271)))</f>
        <v/>
      </c>
      <c r="EI271">
        <f>IF(OR(EG$3="",EG$3&gt;TODAY()),"",IF(AND(EG271="",EH271=""),"",N(EH271)-N(EG271)))</f>
        <v/>
      </c>
      <c r="EL271">
        <f>IF(OR(EG$3="",EG$3&gt;TODAY()),"",IF(AND(EJ271="",EK271=""),"",N(EK271)-N(EJ271)))</f>
        <v/>
      </c>
      <c r="EP271">
        <f>IF(OR(EN$3="",EN$3&gt;TODAY()),"",IF(AND(EN271="",EO271=""),"",N(EO271)-N(EN271)))</f>
        <v/>
      </c>
      <c r="ES271">
        <f>IF(OR(EN$3="",EN$3&gt;TODAY()),"",IF(AND(EQ271="",ER271=""),"",N(ER271)-N(EQ271)))</f>
        <v/>
      </c>
      <c r="EW271">
        <f>IF(OR(EU$3="",EU$3&gt;TODAY()),"",IF(AND(EU271="",EV271=""),"",N(EV271)-N(EU271)))</f>
        <v/>
      </c>
      <c r="EZ271">
        <f>IF(OR(EU$3="",EU$3&gt;TODAY()),"",IF(AND(EX271="",EY271=""),"",N(EY271)-N(EX271)))</f>
        <v/>
      </c>
      <c r="FD271">
        <f>IF(OR(FB$3="",FB$3&gt;TODAY()),"",IF(AND(FB271="",FC271=""),"",N(FC271)-N(FB271)))</f>
        <v/>
      </c>
      <c r="FG271">
        <f>IF(OR(FB$3="",FB$3&gt;TODAY()),"",IF(AND(FE271="",FF271=""),"",N(FF271)-N(FE271)))</f>
        <v/>
      </c>
      <c r="FK271">
        <f>IF(OR(FI$3="",FI$3&gt;TODAY()),"",IF(AND(FI271="",FJ271=""),"",N(FJ271)-N(FI271)))</f>
        <v/>
      </c>
      <c r="FN271">
        <f>IF(OR(FI$3="",FI$3&gt;TODAY()),"",IF(AND(FL271="",FM271=""),"",N(FM271)-N(FL271)))</f>
        <v/>
      </c>
      <c r="FR271">
        <f>IF(OR(FP$3="",FP$3&gt;TODAY()),"",IF(AND(FP271="",FQ271=""),"",N(FQ271)-N(FP271)))</f>
        <v/>
      </c>
      <c r="FU271">
        <f>IF(OR(FP$3="",FP$3&gt;TODAY()),"",IF(AND(FS271="",FT271=""),"",N(FT271)-N(FS271)))</f>
        <v/>
      </c>
      <c r="FY271">
        <f>IF(OR(FW$3="",FW$3&gt;TODAY()),"",IF(AND(FW271="",FX271=""),"",N(FX271)-N(FW271)))</f>
        <v/>
      </c>
      <c r="GB271">
        <f>IF(OR(FW$3="",FW$3&gt;TODAY()),"",IF(AND(FZ271="",GA271=""),"",N(GA271)-N(FZ271)))</f>
        <v/>
      </c>
      <c r="GF271">
        <f>IF(OR(GD$3="",GD$3&gt;TODAY()),"",IF(AND(GD271="",GE271=""),"",N(GE271)-N(GD271)))</f>
        <v/>
      </c>
      <c r="GI271">
        <f>IF(OR(GD$3="",GD$3&gt;TODAY()),"",IF(AND(GG271="",GH271=""),"",N(GH271)-N(GG271)))</f>
        <v/>
      </c>
      <c r="GM271">
        <f>IF(OR(GK$3="",GK$3&gt;TODAY()),"",IF(AND(GK271="",GL271=""),"",N(GL271)-N(GK271)))</f>
        <v/>
      </c>
      <c r="GP271">
        <f>IF(OR(GK$3="",GK$3&gt;TODAY()),"",IF(AND(GN271="",GO271=""),"",N(GO271)-N(GN271)))</f>
        <v/>
      </c>
      <c r="GT271">
        <f>IF(OR(GR$3="",GR$3&gt;TODAY()),"",IF(AND(GR271="",GS271=""),"",N(GS271)-N(GR271)))</f>
        <v/>
      </c>
      <c r="GW271">
        <f>IF(OR(GR$3="",GR$3&gt;TODAY()),"",IF(AND(GU271="",GV271=""),"",N(GV271)-N(GU271)))</f>
        <v/>
      </c>
      <c r="HA271">
        <f>IF(OR(GY$3="",GY$3&gt;TODAY()),"",IF(AND(GY271="",GZ271=""),"",N(GZ271)-N(GY271)))</f>
        <v/>
      </c>
      <c r="HD271">
        <f>IF(OR(GY$3="",GY$3&gt;TODAY()),"",IF(AND(HB271="",HC271=""),"",N(HC271)-N(HB271)))</f>
        <v/>
      </c>
      <c r="HH271">
        <f>IF(OR(HF$3="",HF$3&gt;TODAY()),"",IF(AND(HF271="",HG271=""),"",N(HG271)-N(HF271)))</f>
        <v/>
      </c>
      <c r="HK271">
        <f>IF(OR(HF$3="",HF$3&gt;TODAY()),"",IF(AND(HI271="",HJ271=""),"",N(HJ271)-N(HI271)))</f>
        <v/>
      </c>
      <c r="HO271">
        <f>IF(OR(HM$3="",HM$3&gt;TODAY()),"",IF(AND(HM271="",HN271=""),"",N(HN271)-N(HM271)))</f>
        <v/>
      </c>
      <c r="HR271">
        <f>IF(OR(HM$3="",HM$3&gt;TODAY()),"",IF(AND(HP271="",HQ271=""),"",N(HQ271)-N(HP271)))</f>
        <v/>
      </c>
      <c r="HV271">
        <f>IF(OR(HT$3="",HT$3&gt;TODAY()),"",IF(AND(HT271="",HU271=""),"",N(HU271)-N(HT271)))</f>
        <v/>
      </c>
      <c r="HY271">
        <f>IF(OR(HT$3="",HT$3&gt;TODAY()),"",IF(AND(HW271="",HX271=""),"",N(HX271)-N(HW271)))</f>
        <v/>
      </c>
      <c r="IC271">
        <f>IF(OR(IA$3="",IA$3&gt;TODAY()),"",IF(AND(IA271="",IB271=""),"",N(IB271)-N(IA271)))</f>
        <v/>
      </c>
      <c r="IF271">
        <f>IF(OR(IA$3="",IA$3&gt;TODAY()),"",IF(AND(ID271="",IE271=""),"",N(IE271)-N(ID271)))</f>
        <v/>
      </c>
      <c r="IJ271">
        <f>IF(OR(IH$3="",IH$3&gt;TODAY()),"",IF(AND(IH271="",II271=""),"",N(II271)-N(IH271)))</f>
        <v/>
      </c>
      <c r="IM271">
        <f>IF(OR(IH$3="",IH$3&gt;TODAY()),"",IF(AND(IK271="",IL271=""),"",N(IL271)-N(IK271)))</f>
        <v/>
      </c>
    </row>
    <row r="272">
      <c r="A272" s="21" t="n"/>
      <c r="B272" s="21" t="n"/>
      <c r="C272" s="21" t="n"/>
      <c r="D272" s="21" t="n"/>
      <c r="E272" s="21" t="n"/>
      <c r="F272" s="21" t="n"/>
      <c r="G272" s="21" t="n"/>
      <c r="H272" s="21" t="n"/>
      <c r="I272" s="22" t="n"/>
      <c r="J272" s="22" t="n"/>
      <c r="K272" s="23" t="n"/>
      <c r="L272" s="22" t="n"/>
      <c r="M272" s="22" t="n"/>
      <c r="N272" s="21" t="n"/>
      <c r="O272" s="23" t="n"/>
      <c r="P272" s="23" t="n"/>
      <c r="Q272" s="23" t="n"/>
      <c r="R272" s="23" t="n"/>
      <c r="S272" s="22" t="n"/>
      <c r="T272" s="23" t="n"/>
      <c r="U272" s="23" t="n"/>
      <c r="V272" s="24">
        <f>IF(J272&lt;&gt;"",J272,IF(I272&lt;&gt;"",I272,""))</f>
        <v/>
      </c>
      <c r="W272" s="25">
        <f>IF($E272="","",N(O272)+SUMIFS($AF272:$IN272,$AF$4:$IN$4,"SEW_ACT"))</f>
        <v/>
      </c>
      <c r="X272" s="25">
        <f>IF($E272="","",N(P272)+SUMIFS($AF272:$IN272,$AF$4:$IN$4,"WASH_ACT"))</f>
        <v/>
      </c>
      <c r="Y272" s="25">
        <f>IF($E272="","",W272-X272-N(T272)-N(U272))</f>
        <v/>
      </c>
      <c r="Z272" s="25">
        <f>IF($E272="","",IF(N(K272)-X272&lt;=0.02*N(K272),0,N(K272)-X272))</f>
        <v/>
      </c>
      <c r="AA272" s="24">
        <f>IF($E272="","",IF(S272&lt;&gt;"",S272,IF(N(O272)&gt;0,IF(L272&lt;&gt;"",L272,99999),IFERROR(1/(1/_xlfn.MINIFS($AF$3:$IN$3,$AF$4:$IN$4,"SEW_ACT",$AF272:$IN272,"&gt;0")),99999))))</f>
        <v/>
      </c>
      <c r="AB272" s="26">
        <f>IF(OR($E272="",Z272=0,V272=""),"",1+COUNTIFS(Z$8:Z$707,"&gt;0",V$8:V$707,"&lt;"&amp;V272)+COUNTIFS(Z$8:Z$707,"&gt;0",V$8:V$707,V272,AA$8:AA$707,"&lt;"&amp;AA272)+COUNTIFS(Z$8:Z$707,"&gt;0",V$8:V$707,V272,AA$8:AA$707,AA272,E$8:E$707,"&lt;"&amp;$E272))</f>
        <v/>
      </c>
      <c r="AC272" s="24">
        <f>IF(OR($E272="",Z272=0),"",IFERROR(TODAY()+ROUNDUP(Z272/(SUMIFS($AF272:$IN272,$AF$4:$IN$4,"WASH_ACT")/COUNTIFS($AF$4:$IN$4,"WASH_ACT",$AF272:$IN272,"&gt;0")),0),"no output yet"))</f>
        <v/>
      </c>
      <c r="AD272" s="26">
        <f>IF($E272="","",IFERROR(ROUND(MAX(0,SUMIFS($AF272:$IN272,$AF$4:$IN$4,"SEW_PLAN",$AF$3:$IN$3,"&lt;="&amp;TODAY())-SUMIFS($AF272:$IN272,$AF$4:$IN$4,"SEW_ACT",$AF$3:$IN$3,"&lt;="&amp;TODAY())+N(Q272))/(SUMIFS($AF272:$IN272,$AF$4:$IN$4,"SEW_PLAN")/COUNTIFS($AF$4:$IN$4,"SEW_PLAN",$AF272:$IN272,"&gt;0")),1),0))</f>
        <v/>
      </c>
      <c r="AE272" s="26">
        <f>IF($E272="","",IF(AND(Z272&gt;0,OR(AND(M272&lt;&gt;"",TODAY()&gt;M272),AND(V272&lt;&gt;"",V272-TODAY()&lt;=7))),"Yes","No"))</f>
        <v/>
      </c>
      <c r="AH272">
        <f>IF(OR(AF$3="",AF$3&gt;TODAY()),"",IF(AND(AF272="",AG272=""),"",N(AG272)-N(AF272)))</f>
        <v/>
      </c>
      <c r="AK272">
        <f>IF(OR(AF$3="",AF$3&gt;TODAY()),"",IF(AND(AI272="",AJ272=""),"",N(AJ272)-N(AI272)))</f>
        <v/>
      </c>
      <c r="AO272">
        <f>IF(OR(AM$3="",AM$3&gt;TODAY()),"",IF(AND(AM272="",AN272=""),"",N(AN272)-N(AM272)))</f>
        <v/>
      </c>
      <c r="AR272">
        <f>IF(OR(AM$3="",AM$3&gt;TODAY()),"",IF(AND(AP272="",AQ272=""),"",N(AQ272)-N(AP272)))</f>
        <v/>
      </c>
      <c r="AV272">
        <f>IF(OR(AT$3="",AT$3&gt;TODAY()),"",IF(AND(AT272="",AU272=""),"",N(AU272)-N(AT272)))</f>
        <v/>
      </c>
      <c r="AY272">
        <f>IF(OR(AT$3="",AT$3&gt;TODAY()),"",IF(AND(AW272="",AX272=""),"",N(AX272)-N(AW272)))</f>
        <v/>
      </c>
      <c r="BC272">
        <f>IF(OR(BA$3="",BA$3&gt;TODAY()),"",IF(AND(BA272="",BB272=""),"",N(BB272)-N(BA272)))</f>
        <v/>
      </c>
      <c r="BF272">
        <f>IF(OR(BA$3="",BA$3&gt;TODAY()),"",IF(AND(BD272="",BE272=""),"",N(BE272)-N(BD272)))</f>
        <v/>
      </c>
      <c r="BJ272">
        <f>IF(OR(BH$3="",BH$3&gt;TODAY()),"",IF(AND(BH272="",BI272=""),"",N(BI272)-N(BH272)))</f>
        <v/>
      </c>
      <c r="BM272">
        <f>IF(OR(BH$3="",BH$3&gt;TODAY()),"",IF(AND(BK272="",BL272=""),"",N(BL272)-N(BK272)))</f>
        <v/>
      </c>
      <c r="BQ272">
        <f>IF(OR(BO$3="",BO$3&gt;TODAY()),"",IF(AND(BO272="",BP272=""),"",N(BP272)-N(BO272)))</f>
        <v/>
      </c>
      <c r="BT272">
        <f>IF(OR(BO$3="",BO$3&gt;TODAY()),"",IF(AND(BR272="",BS272=""),"",N(BS272)-N(BR272)))</f>
        <v/>
      </c>
      <c r="BX272">
        <f>IF(OR(BV$3="",BV$3&gt;TODAY()),"",IF(AND(BV272="",BW272=""),"",N(BW272)-N(BV272)))</f>
        <v/>
      </c>
      <c r="CA272">
        <f>IF(OR(BV$3="",BV$3&gt;TODAY()),"",IF(AND(BY272="",BZ272=""),"",N(BZ272)-N(BY272)))</f>
        <v/>
      </c>
      <c r="CE272">
        <f>IF(OR(CC$3="",CC$3&gt;TODAY()),"",IF(AND(CC272="",CD272=""),"",N(CD272)-N(CC272)))</f>
        <v/>
      </c>
      <c r="CH272">
        <f>IF(OR(CC$3="",CC$3&gt;TODAY()),"",IF(AND(CF272="",CG272=""),"",N(CG272)-N(CF272)))</f>
        <v/>
      </c>
      <c r="CL272">
        <f>IF(OR(CJ$3="",CJ$3&gt;TODAY()),"",IF(AND(CJ272="",CK272=""),"",N(CK272)-N(CJ272)))</f>
        <v/>
      </c>
      <c r="CO272">
        <f>IF(OR(CJ$3="",CJ$3&gt;TODAY()),"",IF(AND(CM272="",CN272=""),"",N(CN272)-N(CM272)))</f>
        <v/>
      </c>
      <c r="CS272">
        <f>IF(OR(CQ$3="",CQ$3&gt;TODAY()),"",IF(AND(CQ272="",CR272=""),"",N(CR272)-N(CQ272)))</f>
        <v/>
      </c>
      <c r="CV272">
        <f>IF(OR(CQ$3="",CQ$3&gt;TODAY()),"",IF(AND(CT272="",CU272=""),"",N(CU272)-N(CT272)))</f>
        <v/>
      </c>
      <c r="CZ272">
        <f>IF(OR(CX$3="",CX$3&gt;TODAY()),"",IF(AND(CX272="",CY272=""),"",N(CY272)-N(CX272)))</f>
        <v/>
      </c>
      <c r="DC272">
        <f>IF(OR(CX$3="",CX$3&gt;TODAY()),"",IF(AND(DA272="",DB272=""),"",N(DB272)-N(DA272)))</f>
        <v/>
      </c>
      <c r="DG272">
        <f>IF(OR(DE$3="",DE$3&gt;TODAY()),"",IF(AND(DE272="",DF272=""),"",N(DF272)-N(DE272)))</f>
        <v/>
      </c>
      <c r="DJ272">
        <f>IF(OR(DE$3="",DE$3&gt;TODAY()),"",IF(AND(DH272="",DI272=""),"",N(DI272)-N(DH272)))</f>
        <v/>
      </c>
      <c r="DN272">
        <f>IF(OR(DL$3="",DL$3&gt;TODAY()),"",IF(AND(DL272="",DM272=""),"",N(DM272)-N(DL272)))</f>
        <v/>
      </c>
      <c r="DQ272">
        <f>IF(OR(DL$3="",DL$3&gt;TODAY()),"",IF(AND(DO272="",DP272=""),"",N(DP272)-N(DO272)))</f>
        <v/>
      </c>
      <c r="DU272">
        <f>IF(OR(DS$3="",DS$3&gt;TODAY()),"",IF(AND(DS272="",DT272=""),"",N(DT272)-N(DS272)))</f>
        <v/>
      </c>
      <c r="DX272">
        <f>IF(OR(DS$3="",DS$3&gt;TODAY()),"",IF(AND(DV272="",DW272=""),"",N(DW272)-N(DV272)))</f>
        <v/>
      </c>
      <c r="EB272">
        <f>IF(OR(DZ$3="",DZ$3&gt;TODAY()),"",IF(AND(DZ272="",EA272=""),"",N(EA272)-N(DZ272)))</f>
        <v/>
      </c>
      <c r="EE272">
        <f>IF(OR(DZ$3="",DZ$3&gt;TODAY()),"",IF(AND(EC272="",ED272=""),"",N(ED272)-N(EC272)))</f>
        <v/>
      </c>
      <c r="EI272">
        <f>IF(OR(EG$3="",EG$3&gt;TODAY()),"",IF(AND(EG272="",EH272=""),"",N(EH272)-N(EG272)))</f>
        <v/>
      </c>
      <c r="EL272">
        <f>IF(OR(EG$3="",EG$3&gt;TODAY()),"",IF(AND(EJ272="",EK272=""),"",N(EK272)-N(EJ272)))</f>
        <v/>
      </c>
      <c r="EP272">
        <f>IF(OR(EN$3="",EN$3&gt;TODAY()),"",IF(AND(EN272="",EO272=""),"",N(EO272)-N(EN272)))</f>
        <v/>
      </c>
      <c r="ES272">
        <f>IF(OR(EN$3="",EN$3&gt;TODAY()),"",IF(AND(EQ272="",ER272=""),"",N(ER272)-N(EQ272)))</f>
        <v/>
      </c>
      <c r="EW272">
        <f>IF(OR(EU$3="",EU$3&gt;TODAY()),"",IF(AND(EU272="",EV272=""),"",N(EV272)-N(EU272)))</f>
        <v/>
      </c>
      <c r="EZ272">
        <f>IF(OR(EU$3="",EU$3&gt;TODAY()),"",IF(AND(EX272="",EY272=""),"",N(EY272)-N(EX272)))</f>
        <v/>
      </c>
      <c r="FD272">
        <f>IF(OR(FB$3="",FB$3&gt;TODAY()),"",IF(AND(FB272="",FC272=""),"",N(FC272)-N(FB272)))</f>
        <v/>
      </c>
      <c r="FG272">
        <f>IF(OR(FB$3="",FB$3&gt;TODAY()),"",IF(AND(FE272="",FF272=""),"",N(FF272)-N(FE272)))</f>
        <v/>
      </c>
      <c r="FK272">
        <f>IF(OR(FI$3="",FI$3&gt;TODAY()),"",IF(AND(FI272="",FJ272=""),"",N(FJ272)-N(FI272)))</f>
        <v/>
      </c>
      <c r="FN272">
        <f>IF(OR(FI$3="",FI$3&gt;TODAY()),"",IF(AND(FL272="",FM272=""),"",N(FM272)-N(FL272)))</f>
        <v/>
      </c>
      <c r="FR272">
        <f>IF(OR(FP$3="",FP$3&gt;TODAY()),"",IF(AND(FP272="",FQ272=""),"",N(FQ272)-N(FP272)))</f>
        <v/>
      </c>
      <c r="FU272">
        <f>IF(OR(FP$3="",FP$3&gt;TODAY()),"",IF(AND(FS272="",FT272=""),"",N(FT272)-N(FS272)))</f>
        <v/>
      </c>
      <c r="FY272">
        <f>IF(OR(FW$3="",FW$3&gt;TODAY()),"",IF(AND(FW272="",FX272=""),"",N(FX272)-N(FW272)))</f>
        <v/>
      </c>
      <c r="GB272">
        <f>IF(OR(FW$3="",FW$3&gt;TODAY()),"",IF(AND(FZ272="",GA272=""),"",N(GA272)-N(FZ272)))</f>
        <v/>
      </c>
      <c r="GF272">
        <f>IF(OR(GD$3="",GD$3&gt;TODAY()),"",IF(AND(GD272="",GE272=""),"",N(GE272)-N(GD272)))</f>
        <v/>
      </c>
      <c r="GI272">
        <f>IF(OR(GD$3="",GD$3&gt;TODAY()),"",IF(AND(GG272="",GH272=""),"",N(GH272)-N(GG272)))</f>
        <v/>
      </c>
      <c r="GM272">
        <f>IF(OR(GK$3="",GK$3&gt;TODAY()),"",IF(AND(GK272="",GL272=""),"",N(GL272)-N(GK272)))</f>
        <v/>
      </c>
      <c r="GP272">
        <f>IF(OR(GK$3="",GK$3&gt;TODAY()),"",IF(AND(GN272="",GO272=""),"",N(GO272)-N(GN272)))</f>
        <v/>
      </c>
      <c r="GT272">
        <f>IF(OR(GR$3="",GR$3&gt;TODAY()),"",IF(AND(GR272="",GS272=""),"",N(GS272)-N(GR272)))</f>
        <v/>
      </c>
      <c r="GW272">
        <f>IF(OR(GR$3="",GR$3&gt;TODAY()),"",IF(AND(GU272="",GV272=""),"",N(GV272)-N(GU272)))</f>
        <v/>
      </c>
      <c r="HA272">
        <f>IF(OR(GY$3="",GY$3&gt;TODAY()),"",IF(AND(GY272="",GZ272=""),"",N(GZ272)-N(GY272)))</f>
        <v/>
      </c>
      <c r="HD272">
        <f>IF(OR(GY$3="",GY$3&gt;TODAY()),"",IF(AND(HB272="",HC272=""),"",N(HC272)-N(HB272)))</f>
        <v/>
      </c>
      <c r="HH272">
        <f>IF(OR(HF$3="",HF$3&gt;TODAY()),"",IF(AND(HF272="",HG272=""),"",N(HG272)-N(HF272)))</f>
        <v/>
      </c>
      <c r="HK272">
        <f>IF(OR(HF$3="",HF$3&gt;TODAY()),"",IF(AND(HI272="",HJ272=""),"",N(HJ272)-N(HI272)))</f>
        <v/>
      </c>
      <c r="HO272">
        <f>IF(OR(HM$3="",HM$3&gt;TODAY()),"",IF(AND(HM272="",HN272=""),"",N(HN272)-N(HM272)))</f>
        <v/>
      </c>
      <c r="HR272">
        <f>IF(OR(HM$3="",HM$3&gt;TODAY()),"",IF(AND(HP272="",HQ272=""),"",N(HQ272)-N(HP272)))</f>
        <v/>
      </c>
      <c r="HV272">
        <f>IF(OR(HT$3="",HT$3&gt;TODAY()),"",IF(AND(HT272="",HU272=""),"",N(HU272)-N(HT272)))</f>
        <v/>
      </c>
      <c r="HY272">
        <f>IF(OR(HT$3="",HT$3&gt;TODAY()),"",IF(AND(HW272="",HX272=""),"",N(HX272)-N(HW272)))</f>
        <v/>
      </c>
      <c r="IC272">
        <f>IF(OR(IA$3="",IA$3&gt;TODAY()),"",IF(AND(IA272="",IB272=""),"",N(IB272)-N(IA272)))</f>
        <v/>
      </c>
      <c r="IF272">
        <f>IF(OR(IA$3="",IA$3&gt;TODAY()),"",IF(AND(ID272="",IE272=""),"",N(IE272)-N(ID272)))</f>
        <v/>
      </c>
      <c r="IJ272">
        <f>IF(OR(IH$3="",IH$3&gt;TODAY()),"",IF(AND(IH272="",II272=""),"",N(II272)-N(IH272)))</f>
        <v/>
      </c>
      <c r="IM272">
        <f>IF(OR(IH$3="",IH$3&gt;TODAY()),"",IF(AND(IK272="",IL272=""),"",N(IL272)-N(IK272)))</f>
        <v/>
      </c>
    </row>
    <row r="273">
      <c r="A273" s="21" t="n"/>
      <c r="B273" s="21" t="n"/>
      <c r="C273" s="21" t="n"/>
      <c r="D273" s="21" t="n"/>
      <c r="E273" s="21" t="n"/>
      <c r="F273" s="21" t="n"/>
      <c r="G273" s="21" t="n"/>
      <c r="H273" s="21" t="n"/>
      <c r="I273" s="22" t="n"/>
      <c r="J273" s="22" t="n"/>
      <c r="K273" s="23" t="n"/>
      <c r="L273" s="22" t="n"/>
      <c r="M273" s="22" t="n"/>
      <c r="N273" s="21" t="n"/>
      <c r="O273" s="23" t="n"/>
      <c r="P273" s="23" t="n"/>
      <c r="Q273" s="23" t="n"/>
      <c r="R273" s="23" t="n"/>
      <c r="S273" s="22" t="n"/>
      <c r="T273" s="23" t="n"/>
      <c r="U273" s="23" t="n"/>
      <c r="V273" s="24">
        <f>IF(J273&lt;&gt;"",J273,IF(I273&lt;&gt;"",I273,""))</f>
        <v/>
      </c>
      <c r="W273" s="25">
        <f>IF($E273="","",N(O273)+SUMIFS($AF273:$IN273,$AF$4:$IN$4,"SEW_ACT"))</f>
        <v/>
      </c>
      <c r="X273" s="25">
        <f>IF($E273="","",N(P273)+SUMIFS($AF273:$IN273,$AF$4:$IN$4,"WASH_ACT"))</f>
        <v/>
      </c>
      <c r="Y273" s="25">
        <f>IF($E273="","",W273-X273-N(T273)-N(U273))</f>
        <v/>
      </c>
      <c r="Z273" s="25">
        <f>IF($E273="","",IF(N(K273)-X273&lt;=0.02*N(K273),0,N(K273)-X273))</f>
        <v/>
      </c>
      <c r="AA273" s="24">
        <f>IF($E273="","",IF(S273&lt;&gt;"",S273,IF(N(O273)&gt;0,IF(L273&lt;&gt;"",L273,99999),IFERROR(1/(1/_xlfn.MINIFS($AF$3:$IN$3,$AF$4:$IN$4,"SEW_ACT",$AF273:$IN273,"&gt;0")),99999))))</f>
        <v/>
      </c>
      <c r="AB273" s="26">
        <f>IF(OR($E273="",Z273=0,V273=""),"",1+COUNTIFS(Z$8:Z$707,"&gt;0",V$8:V$707,"&lt;"&amp;V273)+COUNTIFS(Z$8:Z$707,"&gt;0",V$8:V$707,V273,AA$8:AA$707,"&lt;"&amp;AA273)+COUNTIFS(Z$8:Z$707,"&gt;0",V$8:V$707,V273,AA$8:AA$707,AA273,E$8:E$707,"&lt;"&amp;$E273))</f>
        <v/>
      </c>
      <c r="AC273" s="24">
        <f>IF(OR($E273="",Z273=0),"",IFERROR(TODAY()+ROUNDUP(Z273/(SUMIFS($AF273:$IN273,$AF$4:$IN$4,"WASH_ACT")/COUNTIFS($AF$4:$IN$4,"WASH_ACT",$AF273:$IN273,"&gt;0")),0),"no output yet"))</f>
        <v/>
      </c>
      <c r="AD273" s="26">
        <f>IF($E273="","",IFERROR(ROUND(MAX(0,SUMIFS($AF273:$IN273,$AF$4:$IN$4,"SEW_PLAN",$AF$3:$IN$3,"&lt;="&amp;TODAY())-SUMIFS($AF273:$IN273,$AF$4:$IN$4,"SEW_ACT",$AF$3:$IN$3,"&lt;="&amp;TODAY())+N(Q273))/(SUMIFS($AF273:$IN273,$AF$4:$IN$4,"SEW_PLAN")/COUNTIFS($AF$4:$IN$4,"SEW_PLAN",$AF273:$IN273,"&gt;0")),1),0))</f>
        <v/>
      </c>
      <c r="AE273" s="26">
        <f>IF($E273="","",IF(AND(Z273&gt;0,OR(AND(M273&lt;&gt;"",TODAY()&gt;M273),AND(V273&lt;&gt;"",V273-TODAY()&lt;=7))),"Yes","No"))</f>
        <v/>
      </c>
      <c r="AH273">
        <f>IF(OR(AF$3="",AF$3&gt;TODAY()),"",IF(AND(AF273="",AG273=""),"",N(AG273)-N(AF273)))</f>
        <v/>
      </c>
      <c r="AK273">
        <f>IF(OR(AF$3="",AF$3&gt;TODAY()),"",IF(AND(AI273="",AJ273=""),"",N(AJ273)-N(AI273)))</f>
        <v/>
      </c>
      <c r="AO273">
        <f>IF(OR(AM$3="",AM$3&gt;TODAY()),"",IF(AND(AM273="",AN273=""),"",N(AN273)-N(AM273)))</f>
        <v/>
      </c>
      <c r="AR273">
        <f>IF(OR(AM$3="",AM$3&gt;TODAY()),"",IF(AND(AP273="",AQ273=""),"",N(AQ273)-N(AP273)))</f>
        <v/>
      </c>
      <c r="AV273">
        <f>IF(OR(AT$3="",AT$3&gt;TODAY()),"",IF(AND(AT273="",AU273=""),"",N(AU273)-N(AT273)))</f>
        <v/>
      </c>
      <c r="AY273">
        <f>IF(OR(AT$3="",AT$3&gt;TODAY()),"",IF(AND(AW273="",AX273=""),"",N(AX273)-N(AW273)))</f>
        <v/>
      </c>
      <c r="BC273">
        <f>IF(OR(BA$3="",BA$3&gt;TODAY()),"",IF(AND(BA273="",BB273=""),"",N(BB273)-N(BA273)))</f>
        <v/>
      </c>
      <c r="BF273">
        <f>IF(OR(BA$3="",BA$3&gt;TODAY()),"",IF(AND(BD273="",BE273=""),"",N(BE273)-N(BD273)))</f>
        <v/>
      </c>
      <c r="BJ273">
        <f>IF(OR(BH$3="",BH$3&gt;TODAY()),"",IF(AND(BH273="",BI273=""),"",N(BI273)-N(BH273)))</f>
        <v/>
      </c>
      <c r="BM273">
        <f>IF(OR(BH$3="",BH$3&gt;TODAY()),"",IF(AND(BK273="",BL273=""),"",N(BL273)-N(BK273)))</f>
        <v/>
      </c>
      <c r="BQ273">
        <f>IF(OR(BO$3="",BO$3&gt;TODAY()),"",IF(AND(BO273="",BP273=""),"",N(BP273)-N(BO273)))</f>
        <v/>
      </c>
      <c r="BT273">
        <f>IF(OR(BO$3="",BO$3&gt;TODAY()),"",IF(AND(BR273="",BS273=""),"",N(BS273)-N(BR273)))</f>
        <v/>
      </c>
      <c r="BX273">
        <f>IF(OR(BV$3="",BV$3&gt;TODAY()),"",IF(AND(BV273="",BW273=""),"",N(BW273)-N(BV273)))</f>
        <v/>
      </c>
      <c r="CA273">
        <f>IF(OR(BV$3="",BV$3&gt;TODAY()),"",IF(AND(BY273="",BZ273=""),"",N(BZ273)-N(BY273)))</f>
        <v/>
      </c>
      <c r="CE273">
        <f>IF(OR(CC$3="",CC$3&gt;TODAY()),"",IF(AND(CC273="",CD273=""),"",N(CD273)-N(CC273)))</f>
        <v/>
      </c>
      <c r="CH273">
        <f>IF(OR(CC$3="",CC$3&gt;TODAY()),"",IF(AND(CF273="",CG273=""),"",N(CG273)-N(CF273)))</f>
        <v/>
      </c>
      <c r="CL273">
        <f>IF(OR(CJ$3="",CJ$3&gt;TODAY()),"",IF(AND(CJ273="",CK273=""),"",N(CK273)-N(CJ273)))</f>
        <v/>
      </c>
      <c r="CO273">
        <f>IF(OR(CJ$3="",CJ$3&gt;TODAY()),"",IF(AND(CM273="",CN273=""),"",N(CN273)-N(CM273)))</f>
        <v/>
      </c>
      <c r="CS273">
        <f>IF(OR(CQ$3="",CQ$3&gt;TODAY()),"",IF(AND(CQ273="",CR273=""),"",N(CR273)-N(CQ273)))</f>
        <v/>
      </c>
      <c r="CV273">
        <f>IF(OR(CQ$3="",CQ$3&gt;TODAY()),"",IF(AND(CT273="",CU273=""),"",N(CU273)-N(CT273)))</f>
        <v/>
      </c>
      <c r="CZ273">
        <f>IF(OR(CX$3="",CX$3&gt;TODAY()),"",IF(AND(CX273="",CY273=""),"",N(CY273)-N(CX273)))</f>
        <v/>
      </c>
      <c r="DC273">
        <f>IF(OR(CX$3="",CX$3&gt;TODAY()),"",IF(AND(DA273="",DB273=""),"",N(DB273)-N(DA273)))</f>
        <v/>
      </c>
      <c r="DG273">
        <f>IF(OR(DE$3="",DE$3&gt;TODAY()),"",IF(AND(DE273="",DF273=""),"",N(DF273)-N(DE273)))</f>
        <v/>
      </c>
      <c r="DJ273">
        <f>IF(OR(DE$3="",DE$3&gt;TODAY()),"",IF(AND(DH273="",DI273=""),"",N(DI273)-N(DH273)))</f>
        <v/>
      </c>
      <c r="DN273">
        <f>IF(OR(DL$3="",DL$3&gt;TODAY()),"",IF(AND(DL273="",DM273=""),"",N(DM273)-N(DL273)))</f>
        <v/>
      </c>
      <c r="DQ273">
        <f>IF(OR(DL$3="",DL$3&gt;TODAY()),"",IF(AND(DO273="",DP273=""),"",N(DP273)-N(DO273)))</f>
        <v/>
      </c>
      <c r="DU273">
        <f>IF(OR(DS$3="",DS$3&gt;TODAY()),"",IF(AND(DS273="",DT273=""),"",N(DT273)-N(DS273)))</f>
        <v/>
      </c>
      <c r="DX273">
        <f>IF(OR(DS$3="",DS$3&gt;TODAY()),"",IF(AND(DV273="",DW273=""),"",N(DW273)-N(DV273)))</f>
        <v/>
      </c>
      <c r="EB273">
        <f>IF(OR(DZ$3="",DZ$3&gt;TODAY()),"",IF(AND(DZ273="",EA273=""),"",N(EA273)-N(DZ273)))</f>
        <v/>
      </c>
      <c r="EE273">
        <f>IF(OR(DZ$3="",DZ$3&gt;TODAY()),"",IF(AND(EC273="",ED273=""),"",N(ED273)-N(EC273)))</f>
        <v/>
      </c>
      <c r="EI273">
        <f>IF(OR(EG$3="",EG$3&gt;TODAY()),"",IF(AND(EG273="",EH273=""),"",N(EH273)-N(EG273)))</f>
        <v/>
      </c>
      <c r="EL273">
        <f>IF(OR(EG$3="",EG$3&gt;TODAY()),"",IF(AND(EJ273="",EK273=""),"",N(EK273)-N(EJ273)))</f>
        <v/>
      </c>
      <c r="EP273">
        <f>IF(OR(EN$3="",EN$3&gt;TODAY()),"",IF(AND(EN273="",EO273=""),"",N(EO273)-N(EN273)))</f>
        <v/>
      </c>
      <c r="ES273">
        <f>IF(OR(EN$3="",EN$3&gt;TODAY()),"",IF(AND(EQ273="",ER273=""),"",N(ER273)-N(EQ273)))</f>
        <v/>
      </c>
      <c r="EW273">
        <f>IF(OR(EU$3="",EU$3&gt;TODAY()),"",IF(AND(EU273="",EV273=""),"",N(EV273)-N(EU273)))</f>
        <v/>
      </c>
      <c r="EZ273">
        <f>IF(OR(EU$3="",EU$3&gt;TODAY()),"",IF(AND(EX273="",EY273=""),"",N(EY273)-N(EX273)))</f>
        <v/>
      </c>
      <c r="FD273">
        <f>IF(OR(FB$3="",FB$3&gt;TODAY()),"",IF(AND(FB273="",FC273=""),"",N(FC273)-N(FB273)))</f>
        <v/>
      </c>
      <c r="FG273">
        <f>IF(OR(FB$3="",FB$3&gt;TODAY()),"",IF(AND(FE273="",FF273=""),"",N(FF273)-N(FE273)))</f>
        <v/>
      </c>
      <c r="FK273">
        <f>IF(OR(FI$3="",FI$3&gt;TODAY()),"",IF(AND(FI273="",FJ273=""),"",N(FJ273)-N(FI273)))</f>
        <v/>
      </c>
      <c r="FN273">
        <f>IF(OR(FI$3="",FI$3&gt;TODAY()),"",IF(AND(FL273="",FM273=""),"",N(FM273)-N(FL273)))</f>
        <v/>
      </c>
      <c r="FR273">
        <f>IF(OR(FP$3="",FP$3&gt;TODAY()),"",IF(AND(FP273="",FQ273=""),"",N(FQ273)-N(FP273)))</f>
        <v/>
      </c>
      <c r="FU273">
        <f>IF(OR(FP$3="",FP$3&gt;TODAY()),"",IF(AND(FS273="",FT273=""),"",N(FT273)-N(FS273)))</f>
        <v/>
      </c>
      <c r="FY273">
        <f>IF(OR(FW$3="",FW$3&gt;TODAY()),"",IF(AND(FW273="",FX273=""),"",N(FX273)-N(FW273)))</f>
        <v/>
      </c>
      <c r="GB273">
        <f>IF(OR(FW$3="",FW$3&gt;TODAY()),"",IF(AND(FZ273="",GA273=""),"",N(GA273)-N(FZ273)))</f>
        <v/>
      </c>
      <c r="GF273">
        <f>IF(OR(GD$3="",GD$3&gt;TODAY()),"",IF(AND(GD273="",GE273=""),"",N(GE273)-N(GD273)))</f>
        <v/>
      </c>
      <c r="GI273">
        <f>IF(OR(GD$3="",GD$3&gt;TODAY()),"",IF(AND(GG273="",GH273=""),"",N(GH273)-N(GG273)))</f>
        <v/>
      </c>
      <c r="GM273">
        <f>IF(OR(GK$3="",GK$3&gt;TODAY()),"",IF(AND(GK273="",GL273=""),"",N(GL273)-N(GK273)))</f>
        <v/>
      </c>
      <c r="GP273">
        <f>IF(OR(GK$3="",GK$3&gt;TODAY()),"",IF(AND(GN273="",GO273=""),"",N(GO273)-N(GN273)))</f>
        <v/>
      </c>
      <c r="GT273">
        <f>IF(OR(GR$3="",GR$3&gt;TODAY()),"",IF(AND(GR273="",GS273=""),"",N(GS273)-N(GR273)))</f>
        <v/>
      </c>
      <c r="GW273">
        <f>IF(OR(GR$3="",GR$3&gt;TODAY()),"",IF(AND(GU273="",GV273=""),"",N(GV273)-N(GU273)))</f>
        <v/>
      </c>
      <c r="HA273">
        <f>IF(OR(GY$3="",GY$3&gt;TODAY()),"",IF(AND(GY273="",GZ273=""),"",N(GZ273)-N(GY273)))</f>
        <v/>
      </c>
      <c r="HD273">
        <f>IF(OR(GY$3="",GY$3&gt;TODAY()),"",IF(AND(HB273="",HC273=""),"",N(HC273)-N(HB273)))</f>
        <v/>
      </c>
      <c r="HH273">
        <f>IF(OR(HF$3="",HF$3&gt;TODAY()),"",IF(AND(HF273="",HG273=""),"",N(HG273)-N(HF273)))</f>
        <v/>
      </c>
      <c r="HK273">
        <f>IF(OR(HF$3="",HF$3&gt;TODAY()),"",IF(AND(HI273="",HJ273=""),"",N(HJ273)-N(HI273)))</f>
        <v/>
      </c>
      <c r="HO273">
        <f>IF(OR(HM$3="",HM$3&gt;TODAY()),"",IF(AND(HM273="",HN273=""),"",N(HN273)-N(HM273)))</f>
        <v/>
      </c>
      <c r="HR273">
        <f>IF(OR(HM$3="",HM$3&gt;TODAY()),"",IF(AND(HP273="",HQ273=""),"",N(HQ273)-N(HP273)))</f>
        <v/>
      </c>
      <c r="HV273">
        <f>IF(OR(HT$3="",HT$3&gt;TODAY()),"",IF(AND(HT273="",HU273=""),"",N(HU273)-N(HT273)))</f>
        <v/>
      </c>
      <c r="HY273">
        <f>IF(OR(HT$3="",HT$3&gt;TODAY()),"",IF(AND(HW273="",HX273=""),"",N(HX273)-N(HW273)))</f>
        <v/>
      </c>
      <c r="IC273">
        <f>IF(OR(IA$3="",IA$3&gt;TODAY()),"",IF(AND(IA273="",IB273=""),"",N(IB273)-N(IA273)))</f>
        <v/>
      </c>
      <c r="IF273">
        <f>IF(OR(IA$3="",IA$3&gt;TODAY()),"",IF(AND(ID273="",IE273=""),"",N(IE273)-N(ID273)))</f>
        <v/>
      </c>
      <c r="IJ273">
        <f>IF(OR(IH$3="",IH$3&gt;TODAY()),"",IF(AND(IH273="",II273=""),"",N(II273)-N(IH273)))</f>
        <v/>
      </c>
      <c r="IM273">
        <f>IF(OR(IH$3="",IH$3&gt;TODAY()),"",IF(AND(IK273="",IL273=""),"",N(IL273)-N(IK273)))</f>
        <v/>
      </c>
    </row>
    <row r="274">
      <c r="A274" s="21" t="n"/>
      <c r="B274" s="21" t="n"/>
      <c r="C274" s="21" t="n"/>
      <c r="D274" s="21" t="n"/>
      <c r="E274" s="21" t="n"/>
      <c r="F274" s="21" t="n"/>
      <c r="G274" s="21" t="n"/>
      <c r="H274" s="21" t="n"/>
      <c r="I274" s="22" t="n"/>
      <c r="J274" s="22" t="n"/>
      <c r="K274" s="23" t="n"/>
      <c r="L274" s="22" t="n"/>
      <c r="M274" s="22" t="n"/>
      <c r="N274" s="21" t="n"/>
      <c r="O274" s="23" t="n"/>
      <c r="P274" s="23" t="n"/>
      <c r="Q274" s="23" t="n"/>
      <c r="R274" s="23" t="n"/>
      <c r="S274" s="22" t="n"/>
      <c r="T274" s="23" t="n"/>
      <c r="U274" s="23" t="n"/>
      <c r="V274" s="24">
        <f>IF(J274&lt;&gt;"",J274,IF(I274&lt;&gt;"",I274,""))</f>
        <v/>
      </c>
      <c r="W274" s="25">
        <f>IF($E274="","",N(O274)+SUMIFS($AF274:$IN274,$AF$4:$IN$4,"SEW_ACT"))</f>
        <v/>
      </c>
      <c r="X274" s="25">
        <f>IF($E274="","",N(P274)+SUMIFS($AF274:$IN274,$AF$4:$IN$4,"WASH_ACT"))</f>
        <v/>
      </c>
      <c r="Y274" s="25">
        <f>IF($E274="","",W274-X274-N(T274)-N(U274))</f>
        <v/>
      </c>
      <c r="Z274" s="25">
        <f>IF($E274="","",IF(N(K274)-X274&lt;=0.02*N(K274),0,N(K274)-X274))</f>
        <v/>
      </c>
      <c r="AA274" s="24">
        <f>IF($E274="","",IF(S274&lt;&gt;"",S274,IF(N(O274)&gt;0,IF(L274&lt;&gt;"",L274,99999),IFERROR(1/(1/_xlfn.MINIFS($AF$3:$IN$3,$AF$4:$IN$4,"SEW_ACT",$AF274:$IN274,"&gt;0")),99999))))</f>
        <v/>
      </c>
      <c r="AB274" s="26">
        <f>IF(OR($E274="",Z274=0,V274=""),"",1+COUNTIFS(Z$8:Z$707,"&gt;0",V$8:V$707,"&lt;"&amp;V274)+COUNTIFS(Z$8:Z$707,"&gt;0",V$8:V$707,V274,AA$8:AA$707,"&lt;"&amp;AA274)+COUNTIFS(Z$8:Z$707,"&gt;0",V$8:V$707,V274,AA$8:AA$707,AA274,E$8:E$707,"&lt;"&amp;$E274))</f>
        <v/>
      </c>
      <c r="AC274" s="24">
        <f>IF(OR($E274="",Z274=0),"",IFERROR(TODAY()+ROUNDUP(Z274/(SUMIFS($AF274:$IN274,$AF$4:$IN$4,"WASH_ACT")/COUNTIFS($AF$4:$IN$4,"WASH_ACT",$AF274:$IN274,"&gt;0")),0),"no output yet"))</f>
        <v/>
      </c>
      <c r="AD274" s="26">
        <f>IF($E274="","",IFERROR(ROUND(MAX(0,SUMIFS($AF274:$IN274,$AF$4:$IN$4,"SEW_PLAN",$AF$3:$IN$3,"&lt;="&amp;TODAY())-SUMIFS($AF274:$IN274,$AF$4:$IN$4,"SEW_ACT",$AF$3:$IN$3,"&lt;="&amp;TODAY())+N(Q274))/(SUMIFS($AF274:$IN274,$AF$4:$IN$4,"SEW_PLAN")/COUNTIFS($AF$4:$IN$4,"SEW_PLAN",$AF274:$IN274,"&gt;0")),1),0))</f>
        <v/>
      </c>
      <c r="AE274" s="26">
        <f>IF($E274="","",IF(AND(Z274&gt;0,OR(AND(M274&lt;&gt;"",TODAY()&gt;M274),AND(V274&lt;&gt;"",V274-TODAY()&lt;=7))),"Yes","No"))</f>
        <v/>
      </c>
      <c r="AH274">
        <f>IF(OR(AF$3="",AF$3&gt;TODAY()),"",IF(AND(AF274="",AG274=""),"",N(AG274)-N(AF274)))</f>
        <v/>
      </c>
      <c r="AK274">
        <f>IF(OR(AF$3="",AF$3&gt;TODAY()),"",IF(AND(AI274="",AJ274=""),"",N(AJ274)-N(AI274)))</f>
        <v/>
      </c>
      <c r="AO274">
        <f>IF(OR(AM$3="",AM$3&gt;TODAY()),"",IF(AND(AM274="",AN274=""),"",N(AN274)-N(AM274)))</f>
        <v/>
      </c>
      <c r="AR274">
        <f>IF(OR(AM$3="",AM$3&gt;TODAY()),"",IF(AND(AP274="",AQ274=""),"",N(AQ274)-N(AP274)))</f>
        <v/>
      </c>
      <c r="AV274">
        <f>IF(OR(AT$3="",AT$3&gt;TODAY()),"",IF(AND(AT274="",AU274=""),"",N(AU274)-N(AT274)))</f>
        <v/>
      </c>
      <c r="AY274">
        <f>IF(OR(AT$3="",AT$3&gt;TODAY()),"",IF(AND(AW274="",AX274=""),"",N(AX274)-N(AW274)))</f>
        <v/>
      </c>
      <c r="BC274">
        <f>IF(OR(BA$3="",BA$3&gt;TODAY()),"",IF(AND(BA274="",BB274=""),"",N(BB274)-N(BA274)))</f>
        <v/>
      </c>
      <c r="BF274">
        <f>IF(OR(BA$3="",BA$3&gt;TODAY()),"",IF(AND(BD274="",BE274=""),"",N(BE274)-N(BD274)))</f>
        <v/>
      </c>
      <c r="BJ274">
        <f>IF(OR(BH$3="",BH$3&gt;TODAY()),"",IF(AND(BH274="",BI274=""),"",N(BI274)-N(BH274)))</f>
        <v/>
      </c>
      <c r="BM274">
        <f>IF(OR(BH$3="",BH$3&gt;TODAY()),"",IF(AND(BK274="",BL274=""),"",N(BL274)-N(BK274)))</f>
        <v/>
      </c>
      <c r="BQ274">
        <f>IF(OR(BO$3="",BO$3&gt;TODAY()),"",IF(AND(BO274="",BP274=""),"",N(BP274)-N(BO274)))</f>
        <v/>
      </c>
      <c r="BT274">
        <f>IF(OR(BO$3="",BO$3&gt;TODAY()),"",IF(AND(BR274="",BS274=""),"",N(BS274)-N(BR274)))</f>
        <v/>
      </c>
      <c r="BX274">
        <f>IF(OR(BV$3="",BV$3&gt;TODAY()),"",IF(AND(BV274="",BW274=""),"",N(BW274)-N(BV274)))</f>
        <v/>
      </c>
      <c r="CA274">
        <f>IF(OR(BV$3="",BV$3&gt;TODAY()),"",IF(AND(BY274="",BZ274=""),"",N(BZ274)-N(BY274)))</f>
        <v/>
      </c>
      <c r="CE274">
        <f>IF(OR(CC$3="",CC$3&gt;TODAY()),"",IF(AND(CC274="",CD274=""),"",N(CD274)-N(CC274)))</f>
        <v/>
      </c>
      <c r="CH274">
        <f>IF(OR(CC$3="",CC$3&gt;TODAY()),"",IF(AND(CF274="",CG274=""),"",N(CG274)-N(CF274)))</f>
        <v/>
      </c>
      <c r="CL274">
        <f>IF(OR(CJ$3="",CJ$3&gt;TODAY()),"",IF(AND(CJ274="",CK274=""),"",N(CK274)-N(CJ274)))</f>
        <v/>
      </c>
      <c r="CO274">
        <f>IF(OR(CJ$3="",CJ$3&gt;TODAY()),"",IF(AND(CM274="",CN274=""),"",N(CN274)-N(CM274)))</f>
        <v/>
      </c>
      <c r="CS274">
        <f>IF(OR(CQ$3="",CQ$3&gt;TODAY()),"",IF(AND(CQ274="",CR274=""),"",N(CR274)-N(CQ274)))</f>
        <v/>
      </c>
      <c r="CV274">
        <f>IF(OR(CQ$3="",CQ$3&gt;TODAY()),"",IF(AND(CT274="",CU274=""),"",N(CU274)-N(CT274)))</f>
        <v/>
      </c>
      <c r="CZ274">
        <f>IF(OR(CX$3="",CX$3&gt;TODAY()),"",IF(AND(CX274="",CY274=""),"",N(CY274)-N(CX274)))</f>
        <v/>
      </c>
      <c r="DC274">
        <f>IF(OR(CX$3="",CX$3&gt;TODAY()),"",IF(AND(DA274="",DB274=""),"",N(DB274)-N(DA274)))</f>
        <v/>
      </c>
      <c r="DG274">
        <f>IF(OR(DE$3="",DE$3&gt;TODAY()),"",IF(AND(DE274="",DF274=""),"",N(DF274)-N(DE274)))</f>
        <v/>
      </c>
      <c r="DJ274">
        <f>IF(OR(DE$3="",DE$3&gt;TODAY()),"",IF(AND(DH274="",DI274=""),"",N(DI274)-N(DH274)))</f>
        <v/>
      </c>
      <c r="DN274">
        <f>IF(OR(DL$3="",DL$3&gt;TODAY()),"",IF(AND(DL274="",DM274=""),"",N(DM274)-N(DL274)))</f>
        <v/>
      </c>
      <c r="DQ274">
        <f>IF(OR(DL$3="",DL$3&gt;TODAY()),"",IF(AND(DO274="",DP274=""),"",N(DP274)-N(DO274)))</f>
        <v/>
      </c>
      <c r="DU274">
        <f>IF(OR(DS$3="",DS$3&gt;TODAY()),"",IF(AND(DS274="",DT274=""),"",N(DT274)-N(DS274)))</f>
        <v/>
      </c>
      <c r="DX274">
        <f>IF(OR(DS$3="",DS$3&gt;TODAY()),"",IF(AND(DV274="",DW274=""),"",N(DW274)-N(DV274)))</f>
        <v/>
      </c>
      <c r="EB274">
        <f>IF(OR(DZ$3="",DZ$3&gt;TODAY()),"",IF(AND(DZ274="",EA274=""),"",N(EA274)-N(DZ274)))</f>
        <v/>
      </c>
      <c r="EE274">
        <f>IF(OR(DZ$3="",DZ$3&gt;TODAY()),"",IF(AND(EC274="",ED274=""),"",N(ED274)-N(EC274)))</f>
        <v/>
      </c>
      <c r="EI274">
        <f>IF(OR(EG$3="",EG$3&gt;TODAY()),"",IF(AND(EG274="",EH274=""),"",N(EH274)-N(EG274)))</f>
        <v/>
      </c>
      <c r="EL274">
        <f>IF(OR(EG$3="",EG$3&gt;TODAY()),"",IF(AND(EJ274="",EK274=""),"",N(EK274)-N(EJ274)))</f>
        <v/>
      </c>
      <c r="EP274">
        <f>IF(OR(EN$3="",EN$3&gt;TODAY()),"",IF(AND(EN274="",EO274=""),"",N(EO274)-N(EN274)))</f>
        <v/>
      </c>
      <c r="ES274">
        <f>IF(OR(EN$3="",EN$3&gt;TODAY()),"",IF(AND(EQ274="",ER274=""),"",N(ER274)-N(EQ274)))</f>
        <v/>
      </c>
      <c r="EW274">
        <f>IF(OR(EU$3="",EU$3&gt;TODAY()),"",IF(AND(EU274="",EV274=""),"",N(EV274)-N(EU274)))</f>
        <v/>
      </c>
      <c r="EZ274">
        <f>IF(OR(EU$3="",EU$3&gt;TODAY()),"",IF(AND(EX274="",EY274=""),"",N(EY274)-N(EX274)))</f>
        <v/>
      </c>
      <c r="FD274">
        <f>IF(OR(FB$3="",FB$3&gt;TODAY()),"",IF(AND(FB274="",FC274=""),"",N(FC274)-N(FB274)))</f>
        <v/>
      </c>
      <c r="FG274">
        <f>IF(OR(FB$3="",FB$3&gt;TODAY()),"",IF(AND(FE274="",FF274=""),"",N(FF274)-N(FE274)))</f>
        <v/>
      </c>
      <c r="FK274">
        <f>IF(OR(FI$3="",FI$3&gt;TODAY()),"",IF(AND(FI274="",FJ274=""),"",N(FJ274)-N(FI274)))</f>
        <v/>
      </c>
      <c r="FN274">
        <f>IF(OR(FI$3="",FI$3&gt;TODAY()),"",IF(AND(FL274="",FM274=""),"",N(FM274)-N(FL274)))</f>
        <v/>
      </c>
      <c r="FR274">
        <f>IF(OR(FP$3="",FP$3&gt;TODAY()),"",IF(AND(FP274="",FQ274=""),"",N(FQ274)-N(FP274)))</f>
        <v/>
      </c>
      <c r="FU274">
        <f>IF(OR(FP$3="",FP$3&gt;TODAY()),"",IF(AND(FS274="",FT274=""),"",N(FT274)-N(FS274)))</f>
        <v/>
      </c>
      <c r="FY274">
        <f>IF(OR(FW$3="",FW$3&gt;TODAY()),"",IF(AND(FW274="",FX274=""),"",N(FX274)-N(FW274)))</f>
        <v/>
      </c>
      <c r="GB274">
        <f>IF(OR(FW$3="",FW$3&gt;TODAY()),"",IF(AND(FZ274="",GA274=""),"",N(GA274)-N(FZ274)))</f>
        <v/>
      </c>
      <c r="GF274">
        <f>IF(OR(GD$3="",GD$3&gt;TODAY()),"",IF(AND(GD274="",GE274=""),"",N(GE274)-N(GD274)))</f>
        <v/>
      </c>
      <c r="GI274">
        <f>IF(OR(GD$3="",GD$3&gt;TODAY()),"",IF(AND(GG274="",GH274=""),"",N(GH274)-N(GG274)))</f>
        <v/>
      </c>
      <c r="GM274">
        <f>IF(OR(GK$3="",GK$3&gt;TODAY()),"",IF(AND(GK274="",GL274=""),"",N(GL274)-N(GK274)))</f>
        <v/>
      </c>
      <c r="GP274">
        <f>IF(OR(GK$3="",GK$3&gt;TODAY()),"",IF(AND(GN274="",GO274=""),"",N(GO274)-N(GN274)))</f>
        <v/>
      </c>
      <c r="GT274">
        <f>IF(OR(GR$3="",GR$3&gt;TODAY()),"",IF(AND(GR274="",GS274=""),"",N(GS274)-N(GR274)))</f>
        <v/>
      </c>
      <c r="GW274">
        <f>IF(OR(GR$3="",GR$3&gt;TODAY()),"",IF(AND(GU274="",GV274=""),"",N(GV274)-N(GU274)))</f>
        <v/>
      </c>
      <c r="HA274">
        <f>IF(OR(GY$3="",GY$3&gt;TODAY()),"",IF(AND(GY274="",GZ274=""),"",N(GZ274)-N(GY274)))</f>
        <v/>
      </c>
      <c r="HD274">
        <f>IF(OR(GY$3="",GY$3&gt;TODAY()),"",IF(AND(HB274="",HC274=""),"",N(HC274)-N(HB274)))</f>
        <v/>
      </c>
      <c r="HH274">
        <f>IF(OR(HF$3="",HF$3&gt;TODAY()),"",IF(AND(HF274="",HG274=""),"",N(HG274)-N(HF274)))</f>
        <v/>
      </c>
      <c r="HK274">
        <f>IF(OR(HF$3="",HF$3&gt;TODAY()),"",IF(AND(HI274="",HJ274=""),"",N(HJ274)-N(HI274)))</f>
        <v/>
      </c>
      <c r="HO274">
        <f>IF(OR(HM$3="",HM$3&gt;TODAY()),"",IF(AND(HM274="",HN274=""),"",N(HN274)-N(HM274)))</f>
        <v/>
      </c>
      <c r="HR274">
        <f>IF(OR(HM$3="",HM$3&gt;TODAY()),"",IF(AND(HP274="",HQ274=""),"",N(HQ274)-N(HP274)))</f>
        <v/>
      </c>
      <c r="HV274">
        <f>IF(OR(HT$3="",HT$3&gt;TODAY()),"",IF(AND(HT274="",HU274=""),"",N(HU274)-N(HT274)))</f>
        <v/>
      </c>
      <c r="HY274">
        <f>IF(OR(HT$3="",HT$3&gt;TODAY()),"",IF(AND(HW274="",HX274=""),"",N(HX274)-N(HW274)))</f>
        <v/>
      </c>
      <c r="IC274">
        <f>IF(OR(IA$3="",IA$3&gt;TODAY()),"",IF(AND(IA274="",IB274=""),"",N(IB274)-N(IA274)))</f>
        <v/>
      </c>
      <c r="IF274">
        <f>IF(OR(IA$3="",IA$3&gt;TODAY()),"",IF(AND(ID274="",IE274=""),"",N(IE274)-N(ID274)))</f>
        <v/>
      </c>
      <c r="IJ274">
        <f>IF(OR(IH$3="",IH$3&gt;TODAY()),"",IF(AND(IH274="",II274=""),"",N(II274)-N(IH274)))</f>
        <v/>
      </c>
      <c r="IM274">
        <f>IF(OR(IH$3="",IH$3&gt;TODAY()),"",IF(AND(IK274="",IL274=""),"",N(IL274)-N(IK274)))</f>
        <v/>
      </c>
    </row>
    <row r="275">
      <c r="A275" s="21" t="n"/>
      <c r="B275" s="21" t="n"/>
      <c r="C275" s="21" t="n"/>
      <c r="D275" s="21" t="n"/>
      <c r="E275" s="21" t="n"/>
      <c r="F275" s="21" t="n"/>
      <c r="G275" s="21" t="n"/>
      <c r="H275" s="21" t="n"/>
      <c r="I275" s="22" t="n"/>
      <c r="J275" s="22" t="n"/>
      <c r="K275" s="23" t="n"/>
      <c r="L275" s="22" t="n"/>
      <c r="M275" s="22" t="n"/>
      <c r="N275" s="21" t="n"/>
      <c r="O275" s="23" t="n"/>
      <c r="P275" s="23" t="n"/>
      <c r="Q275" s="23" t="n"/>
      <c r="R275" s="23" t="n"/>
      <c r="S275" s="22" t="n"/>
      <c r="T275" s="23" t="n"/>
      <c r="U275" s="23" t="n"/>
      <c r="V275" s="24">
        <f>IF(J275&lt;&gt;"",J275,IF(I275&lt;&gt;"",I275,""))</f>
        <v/>
      </c>
      <c r="W275" s="25">
        <f>IF($E275="","",N(O275)+SUMIFS($AF275:$IN275,$AF$4:$IN$4,"SEW_ACT"))</f>
        <v/>
      </c>
      <c r="X275" s="25">
        <f>IF($E275="","",N(P275)+SUMIFS($AF275:$IN275,$AF$4:$IN$4,"WASH_ACT"))</f>
        <v/>
      </c>
      <c r="Y275" s="25">
        <f>IF($E275="","",W275-X275-N(T275)-N(U275))</f>
        <v/>
      </c>
      <c r="Z275" s="25">
        <f>IF($E275="","",IF(N(K275)-X275&lt;=0.02*N(K275),0,N(K275)-X275))</f>
        <v/>
      </c>
      <c r="AA275" s="24">
        <f>IF($E275="","",IF(S275&lt;&gt;"",S275,IF(N(O275)&gt;0,IF(L275&lt;&gt;"",L275,99999),IFERROR(1/(1/_xlfn.MINIFS($AF$3:$IN$3,$AF$4:$IN$4,"SEW_ACT",$AF275:$IN275,"&gt;0")),99999))))</f>
        <v/>
      </c>
      <c r="AB275" s="26">
        <f>IF(OR($E275="",Z275=0,V275=""),"",1+COUNTIFS(Z$8:Z$707,"&gt;0",V$8:V$707,"&lt;"&amp;V275)+COUNTIFS(Z$8:Z$707,"&gt;0",V$8:V$707,V275,AA$8:AA$707,"&lt;"&amp;AA275)+COUNTIFS(Z$8:Z$707,"&gt;0",V$8:V$707,V275,AA$8:AA$707,AA275,E$8:E$707,"&lt;"&amp;$E275))</f>
        <v/>
      </c>
      <c r="AC275" s="24">
        <f>IF(OR($E275="",Z275=0),"",IFERROR(TODAY()+ROUNDUP(Z275/(SUMIFS($AF275:$IN275,$AF$4:$IN$4,"WASH_ACT")/COUNTIFS($AF$4:$IN$4,"WASH_ACT",$AF275:$IN275,"&gt;0")),0),"no output yet"))</f>
        <v/>
      </c>
      <c r="AD275" s="26">
        <f>IF($E275="","",IFERROR(ROUND(MAX(0,SUMIFS($AF275:$IN275,$AF$4:$IN$4,"SEW_PLAN",$AF$3:$IN$3,"&lt;="&amp;TODAY())-SUMIFS($AF275:$IN275,$AF$4:$IN$4,"SEW_ACT",$AF$3:$IN$3,"&lt;="&amp;TODAY())+N(Q275))/(SUMIFS($AF275:$IN275,$AF$4:$IN$4,"SEW_PLAN")/COUNTIFS($AF$4:$IN$4,"SEW_PLAN",$AF275:$IN275,"&gt;0")),1),0))</f>
        <v/>
      </c>
      <c r="AE275" s="26">
        <f>IF($E275="","",IF(AND(Z275&gt;0,OR(AND(M275&lt;&gt;"",TODAY()&gt;M275),AND(V275&lt;&gt;"",V275-TODAY()&lt;=7))),"Yes","No"))</f>
        <v/>
      </c>
      <c r="AH275">
        <f>IF(OR(AF$3="",AF$3&gt;TODAY()),"",IF(AND(AF275="",AG275=""),"",N(AG275)-N(AF275)))</f>
        <v/>
      </c>
      <c r="AK275">
        <f>IF(OR(AF$3="",AF$3&gt;TODAY()),"",IF(AND(AI275="",AJ275=""),"",N(AJ275)-N(AI275)))</f>
        <v/>
      </c>
      <c r="AO275">
        <f>IF(OR(AM$3="",AM$3&gt;TODAY()),"",IF(AND(AM275="",AN275=""),"",N(AN275)-N(AM275)))</f>
        <v/>
      </c>
      <c r="AR275">
        <f>IF(OR(AM$3="",AM$3&gt;TODAY()),"",IF(AND(AP275="",AQ275=""),"",N(AQ275)-N(AP275)))</f>
        <v/>
      </c>
      <c r="AV275">
        <f>IF(OR(AT$3="",AT$3&gt;TODAY()),"",IF(AND(AT275="",AU275=""),"",N(AU275)-N(AT275)))</f>
        <v/>
      </c>
      <c r="AY275">
        <f>IF(OR(AT$3="",AT$3&gt;TODAY()),"",IF(AND(AW275="",AX275=""),"",N(AX275)-N(AW275)))</f>
        <v/>
      </c>
      <c r="BC275">
        <f>IF(OR(BA$3="",BA$3&gt;TODAY()),"",IF(AND(BA275="",BB275=""),"",N(BB275)-N(BA275)))</f>
        <v/>
      </c>
      <c r="BF275">
        <f>IF(OR(BA$3="",BA$3&gt;TODAY()),"",IF(AND(BD275="",BE275=""),"",N(BE275)-N(BD275)))</f>
        <v/>
      </c>
      <c r="BJ275">
        <f>IF(OR(BH$3="",BH$3&gt;TODAY()),"",IF(AND(BH275="",BI275=""),"",N(BI275)-N(BH275)))</f>
        <v/>
      </c>
      <c r="BM275">
        <f>IF(OR(BH$3="",BH$3&gt;TODAY()),"",IF(AND(BK275="",BL275=""),"",N(BL275)-N(BK275)))</f>
        <v/>
      </c>
      <c r="BQ275">
        <f>IF(OR(BO$3="",BO$3&gt;TODAY()),"",IF(AND(BO275="",BP275=""),"",N(BP275)-N(BO275)))</f>
        <v/>
      </c>
      <c r="BT275">
        <f>IF(OR(BO$3="",BO$3&gt;TODAY()),"",IF(AND(BR275="",BS275=""),"",N(BS275)-N(BR275)))</f>
        <v/>
      </c>
      <c r="BX275">
        <f>IF(OR(BV$3="",BV$3&gt;TODAY()),"",IF(AND(BV275="",BW275=""),"",N(BW275)-N(BV275)))</f>
        <v/>
      </c>
      <c r="CA275">
        <f>IF(OR(BV$3="",BV$3&gt;TODAY()),"",IF(AND(BY275="",BZ275=""),"",N(BZ275)-N(BY275)))</f>
        <v/>
      </c>
      <c r="CE275">
        <f>IF(OR(CC$3="",CC$3&gt;TODAY()),"",IF(AND(CC275="",CD275=""),"",N(CD275)-N(CC275)))</f>
        <v/>
      </c>
      <c r="CH275">
        <f>IF(OR(CC$3="",CC$3&gt;TODAY()),"",IF(AND(CF275="",CG275=""),"",N(CG275)-N(CF275)))</f>
        <v/>
      </c>
      <c r="CL275">
        <f>IF(OR(CJ$3="",CJ$3&gt;TODAY()),"",IF(AND(CJ275="",CK275=""),"",N(CK275)-N(CJ275)))</f>
        <v/>
      </c>
      <c r="CO275">
        <f>IF(OR(CJ$3="",CJ$3&gt;TODAY()),"",IF(AND(CM275="",CN275=""),"",N(CN275)-N(CM275)))</f>
        <v/>
      </c>
      <c r="CS275">
        <f>IF(OR(CQ$3="",CQ$3&gt;TODAY()),"",IF(AND(CQ275="",CR275=""),"",N(CR275)-N(CQ275)))</f>
        <v/>
      </c>
      <c r="CV275">
        <f>IF(OR(CQ$3="",CQ$3&gt;TODAY()),"",IF(AND(CT275="",CU275=""),"",N(CU275)-N(CT275)))</f>
        <v/>
      </c>
      <c r="CZ275">
        <f>IF(OR(CX$3="",CX$3&gt;TODAY()),"",IF(AND(CX275="",CY275=""),"",N(CY275)-N(CX275)))</f>
        <v/>
      </c>
      <c r="DC275">
        <f>IF(OR(CX$3="",CX$3&gt;TODAY()),"",IF(AND(DA275="",DB275=""),"",N(DB275)-N(DA275)))</f>
        <v/>
      </c>
      <c r="DG275">
        <f>IF(OR(DE$3="",DE$3&gt;TODAY()),"",IF(AND(DE275="",DF275=""),"",N(DF275)-N(DE275)))</f>
        <v/>
      </c>
      <c r="DJ275">
        <f>IF(OR(DE$3="",DE$3&gt;TODAY()),"",IF(AND(DH275="",DI275=""),"",N(DI275)-N(DH275)))</f>
        <v/>
      </c>
      <c r="DN275">
        <f>IF(OR(DL$3="",DL$3&gt;TODAY()),"",IF(AND(DL275="",DM275=""),"",N(DM275)-N(DL275)))</f>
        <v/>
      </c>
      <c r="DQ275">
        <f>IF(OR(DL$3="",DL$3&gt;TODAY()),"",IF(AND(DO275="",DP275=""),"",N(DP275)-N(DO275)))</f>
        <v/>
      </c>
      <c r="DU275">
        <f>IF(OR(DS$3="",DS$3&gt;TODAY()),"",IF(AND(DS275="",DT275=""),"",N(DT275)-N(DS275)))</f>
        <v/>
      </c>
      <c r="DX275">
        <f>IF(OR(DS$3="",DS$3&gt;TODAY()),"",IF(AND(DV275="",DW275=""),"",N(DW275)-N(DV275)))</f>
        <v/>
      </c>
      <c r="EB275">
        <f>IF(OR(DZ$3="",DZ$3&gt;TODAY()),"",IF(AND(DZ275="",EA275=""),"",N(EA275)-N(DZ275)))</f>
        <v/>
      </c>
      <c r="EE275">
        <f>IF(OR(DZ$3="",DZ$3&gt;TODAY()),"",IF(AND(EC275="",ED275=""),"",N(ED275)-N(EC275)))</f>
        <v/>
      </c>
      <c r="EI275">
        <f>IF(OR(EG$3="",EG$3&gt;TODAY()),"",IF(AND(EG275="",EH275=""),"",N(EH275)-N(EG275)))</f>
        <v/>
      </c>
      <c r="EL275">
        <f>IF(OR(EG$3="",EG$3&gt;TODAY()),"",IF(AND(EJ275="",EK275=""),"",N(EK275)-N(EJ275)))</f>
        <v/>
      </c>
      <c r="EP275">
        <f>IF(OR(EN$3="",EN$3&gt;TODAY()),"",IF(AND(EN275="",EO275=""),"",N(EO275)-N(EN275)))</f>
        <v/>
      </c>
      <c r="ES275">
        <f>IF(OR(EN$3="",EN$3&gt;TODAY()),"",IF(AND(EQ275="",ER275=""),"",N(ER275)-N(EQ275)))</f>
        <v/>
      </c>
      <c r="EW275">
        <f>IF(OR(EU$3="",EU$3&gt;TODAY()),"",IF(AND(EU275="",EV275=""),"",N(EV275)-N(EU275)))</f>
        <v/>
      </c>
      <c r="EZ275">
        <f>IF(OR(EU$3="",EU$3&gt;TODAY()),"",IF(AND(EX275="",EY275=""),"",N(EY275)-N(EX275)))</f>
        <v/>
      </c>
      <c r="FD275">
        <f>IF(OR(FB$3="",FB$3&gt;TODAY()),"",IF(AND(FB275="",FC275=""),"",N(FC275)-N(FB275)))</f>
        <v/>
      </c>
      <c r="FG275">
        <f>IF(OR(FB$3="",FB$3&gt;TODAY()),"",IF(AND(FE275="",FF275=""),"",N(FF275)-N(FE275)))</f>
        <v/>
      </c>
      <c r="FK275">
        <f>IF(OR(FI$3="",FI$3&gt;TODAY()),"",IF(AND(FI275="",FJ275=""),"",N(FJ275)-N(FI275)))</f>
        <v/>
      </c>
      <c r="FN275">
        <f>IF(OR(FI$3="",FI$3&gt;TODAY()),"",IF(AND(FL275="",FM275=""),"",N(FM275)-N(FL275)))</f>
        <v/>
      </c>
      <c r="FR275">
        <f>IF(OR(FP$3="",FP$3&gt;TODAY()),"",IF(AND(FP275="",FQ275=""),"",N(FQ275)-N(FP275)))</f>
        <v/>
      </c>
      <c r="FU275">
        <f>IF(OR(FP$3="",FP$3&gt;TODAY()),"",IF(AND(FS275="",FT275=""),"",N(FT275)-N(FS275)))</f>
        <v/>
      </c>
      <c r="FY275">
        <f>IF(OR(FW$3="",FW$3&gt;TODAY()),"",IF(AND(FW275="",FX275=""),"",N(FX275)-N(FW275)))</f>
        <v/>
      </c>
      <c r="GB275">
        <f>IF(OR(FW$3="",FW$3&gt;TODAY()),"",IF(AND(FZ275="",GA275=""),"",N(GA275)-N(FZ275)))</f>
        <v/>
      </c>
      <c r="GF275">
        <f>IF(OR(GD$3="",GD$3&gt;TODAY()),"",IF(AND(GD275="",GE275=""),"",N(GE275)-N(GD275)))</f>
        <v/>
      </c>
      <c r="GI275">
        <f>IF(OR(GD$3="",GD$3&gt;TODAY()),"",IF(AND(GG275="",GH275=""),"",N(GH275)-N(GG275)))</f>
        <v/>
      </c>
      <c r="GM275">
        <f>IF(OR(GK$3="",GK$3&gt;TODAY()),"",IF(AND(GK275="",GL275=""),"",N(GL275)-N(GK275)))</f>
        <v/>
      </c>
      <c r="GP275">
        <f>IF(OR(GK$3="",GK$3&gt;TODAY()),"",IF(AND(GN275="",GO275=""),"",N(GO275)-N(GN275)))</f>
        <v/>
      </c>
      <c r="GT275">
        <f>IF(OR(GR$3="",GR$3&gt;TODAY()),"",IF(AND(GR275="",GS275=""),"",N(GS275)-N(GR275)))</f>
        <v/>
      </c>
      <c r="GW275">
        <f>IF(OR(GR$3="",GR$3&gt;TODAY()),"",IF(AND(GU275="",GV275=""),"",N(GV275)-N(GU275)))</f>
        <v/>
      </c>
      <c r="HA275">
        <f>IF(OR(GY$3="",GY$3&gt;TODAY()),"",IF(AND(GY275="",GZ275=""),"",N(GZ275)-N(GY275)))</f>
        <v/>
      </c>
      <c r="HD275">
        <f>IF(OR(GY$3="",GY$3&gt;TODAY()),"",IF(AND(HB275="",HC275=""),"",N(HC275)-N(HB275)))</f>
        <v/>
      </c>
      <c r="HH275">
        <f>IF(OR(HF$3="",HF$3&gt;TODAY()),"",IF(AND(HF275="",HG275=""),"",N(HG275)-N(HF275)))</f>
        <v/>
      </c>
      <c r="HK275">
        <f>IF(OR(HF$3="",HF$3&gt;TODAY()),"",IF(AND(HI275="",HJ275=""),"",N(HJ275)-N(HI275)))</f>
        <v/>
      </c>
      <c r="HO275">
        <f>IF(OR(HM$3="",HM$3&gt;TODAY()),"",IF(AND(HM275="",HN275=""),"",N(HN275)-N(HM275)))</f>
        <v/>
      </c>
      <c r="HR275">
        <f>IF(OR(HM$3="",HM$3&gt;TODAY()),"",IF(AND(HP275="",HQ275=""),"",N(HQ275)-N(HP275)))</f>
        <v/>
      </c>
      <c r="HV275">
        <f>IF(OR(HT$3="",HT$3&gt;TODAY()),"",IF(AND(HT275="",HU275=""),"",N(HU275)-N(HT275)))</f>
        <v/>
      </c>
      <c r="HY275">
        <f>IF(OR(HT$3="",HT$3&gt;TODAY()),"",IF(AND(HW275="",HX275=""),"",N(HX275)-N(HW275)))</f>
        <v/>
      </c>
      <c r="IC275">
        <f>IF(OR(IA$3="",IA$3&gt;TODAY()),"",IF(AND(IA275="",IB275=""),"",N(IB275)-N(IA275)))</f>
        <v/>
      </c>
      <c r="IF275">
        <f>IF(OR(IA$3="",IA$3&gt;TODAY()),"",IF(AND(ID275="",IE275=""),"",N(IE275)-N(ID275)))</f>
        <v/>
      </c>
      <c r="IJ275">
        <f>IF(OR(IH$3="",IH$3&gt;TODAY()),"",IF(AND(IH275="",II275=""),"",N(II275)-N(IH275)))</f>
        <v/>
      </c>
      <c r="IM275">
        <f>IF(OR(IH$3="",IH$3&gt;TODAY()),"",IF(AND(IK275="",IL275=""),"",N(IL275)-N(IK275)))</f>
        <v/>
      </c>
    </row>
    <row r="276">
      <c r="A276" s="21" t="n"/>
      <c r="B276" s="21" t="n"/>
      <c r="C276" s="21" t="n"/>
      <c r="D276" s="21" t="n"/>
      <c r="E276" s="21" t="n"/>
      <c r="F276" s="21" t="n"/>
      <c r="G276" s="21" t="n"/>
      <c r="H276" s="21" t="n"/>
      <c r="I276" s="22" t="n"/>
      <c r="J276" s="22" t="n"/>
      <c r="K276" s="23" t="n"/>
      <c r="L276" s="22" t="n"/>
      <c r="M276" s="22" t="n"/>
      <c r="N276" s="21" t="n"/>
      <c r="O276" s="23" t="n"/>
      <c r="P276" s="23" t="n"/>
      <c r="Q276" s="23" t="n"/>
      <c r="R276" s="23" t="n"/>
      <c r="S276" s="22" t="n"/>
      <c r="T276" s="23" t="n"/>
      <c r="U276" s="23" t="n"/>
      <c r="V276" s="24">
        <f>IF(J276&lt;&gt;"",J276,IF(I276&lt;&gt;"",I276,""))</f>
        <v/>
      </c>
      <c r="W276" s="25">
        <f>IF($E276="","",N(O276)+SUMIFS($AF276:$IN276,$AF$4:$IN$4,"SEW_ACT"))</f>
        <v/>
      </c>
      <c r="X276" s="25">
        <f>IF($E276="","",N(P276)+SUMIFS($AF276:$IN276,$AF$4:$IN$4,"WASH_ACT"))</f>
        <v/>
      </c>
      <c r="Y276" s="25">
        <f>IF($E276="","",W276-X276-N(T276)-N(U276))</f>
        <v/>
      </c>
      <c r="Z276" s="25">
        <f>IF($E276="","",IF(N(K276)-X276&lt;=0.02*N(K276),0,N(K276)-X276))</f>
        <v/>
      </c>
      <c r="AA276" s="24">
        <f>IF($E276="","",IF(S276&lt;&gt;"",S276,IF(N(O276)&gt;0,IF(L276&lt;&gt;"",L276,99999),IFERROR(1/(1/_xlfn.MINIFS($AF$3:$IN$3,$AF$4:$IN$4,"SEW_ACT",$AF276:$IN276,"&gt;0")),99999))))</f>
        <v/>
      </c>
      <c r="AB276" s="26">
        <f>IF(OR($E276="",Z276=0,V276=""),"",1+COUNTIFS(Z$8:Z$707,"&gt;0",V$8:V$707,"&lt;"&amp;V276)+COUNTIFS(Z$8:Z$707,"&gt;0",V$8:V$707,V276,AA$8:AA$707,"&lt;"&amp;AA276)+COUNTIFS(Z$8:Z$707,"&gt;0",V$8:V$707,V276,AA$8:AA$707,AA276,E$8:E$707,"&lt;"&amp;$E276))</f>
        <v/>
      </c>
      <c r="AC276" s="24">
        <f>IF(OR($E276="",Z276=0),"",IFERROR(TODAY()+ROUNDUP(Z276/(SUMIFS($AF276:$IN276,$AF$4:$IN$4,"WASH_ACT")/COUNTIFS($AF$4:$IN$4,"WASH_ACT",$AF276:$IN276,"&gt;0")),0),"no output yet"))</f>
        <v/>
      </c>
      <c r="AD276" s="26">
        <f>IF($E276="","",IFERROR(ROUND(MAX(0,SUMIFS($AF276:$IN276,$AF$4:$IN$4,"SEW_PLAN",$AF$3:$IN$3,"&lt;="&amp;TODAY())-SUMIFS($AF276:$IN276,$AF$4:$IN$4,"SEW_ACT",$AF$3:$IN$3,"&lt;="&amp;TODAY())+N(Q276))/(SUMIFS($AF276:$IN276,$AF$4:$IN$4,"SEW_PLAN")/COUNTIFS($AF$4:$IN$4,"SEW_PLAN",$AF276:$IN276,"&gt;0")),1),0))</f>
        <v/>
      </c>
      <c r="AE276" s="26">
        <f>IF($E276="","",IF(AND(Z276&gt;0,OR(AND(M276&lt;&gt;"",TODAY()&gt;M276),AND(V276&lt;&gt;"",V276-TODAY()&lt;=7))),"Yes","No"))</f>
        <v/>
      </c>
      <c r="AH276">
        <f>IF(OR(AF$3="",AF$3&gt;TODAY()),"",IF(AND(AF276="",AG276=""),"",N(AG276)-N(AF276)))</f>
        <v/>
      </c>
      <c r="AK276">
        <f>IF(OR(AF$3="",AF$3&gt;TODAY()),"",IF(AND(AI276="",AJ276=""),"",N(AJ276)-N(AI276)))</f>
        <v/>
      </c>
      <c r="AO276">
        <f>IF(OR(AM$3="",AM$3&gt;TODAY()),"",IF(AND(AM276="",AN276=""),"",N(AN276)-N(AM276)))</f>
        <v/>
      </c>
      <c r="AR276">
        <f>IF(OR(AM$3="",AM$3&gt;TODAY()),"",IF(AND(AP276="",AQ276=""),"",N(AQ276)-N(AP276)))</f>
        <v/>
      </c>
      <c r="AV276">
        <f>IF(OR(AT$3="",AT$3&gt;TODAY()),"",IF(AND(AT276="",AU276=""),"",N(AU276)-N(AT276)))</f>
        <v/>
      </c>
      <c r="AY276">
        <f>IF(OR(AT$3="",AT$3&gt;TODAY()),"",IF(AND(AW276="",AX276=""),"",N(AX276)-N(AW276)))</f>
        <v/>
      </c>
      <c r="BC276">
        <f>IF(OR(BA$3="",BA$3&gt;TODAY()),"",IF(AND(BA276="",BB276=""),"",N(BB276)-N(BA276)))</f>
        <v/>
      </c>
      <c r="BF276">
        <f>IF(OR(BA$3="",BA$3&gt;TODAY()),"",IF(AND(BD276="",BE276=""),"",N(BE276)-N(BD276)))</f>
        <v/>
      </c>
      <c r="BJ276">
        <f>IF(OR(BH$3="",BH$3&gt;TODAY()),"",IF(AND(BH276="",BI276=""),"",N(BI276)-N(BH276)))</f>
        <v/>
      </c>
      <c r="BM276">
        <f>IF(OR(BH$3="",BH$3&gt;TODAY()),"",IF(AND(BK276="",BL276=""),"",N(BL276)-N(BK276)))</f>
        <v/>
      </c>
      <c r="BQ276">
        <f>IF(OR(BO$3="",BO$3&gt;TODAY()),"",IF(AND(BO276="",BP276=""),"",N(BP276)-N(BO276)))</f>
        <v/>
      </c>
      <c r="BT276">
        <f>IF(OR(BO$3="",BO$3&gt;TODAY()),"",IF(AND(BR276="",BS276=""),"",N(BS276)-N(BR276)))</f>
        <v/>
      </c>
      <c r="BX276">
        <f>IF(OR(BV$3="",BV$3&gt;TODAY()),"",IF(AND(BV276="",BW276=""),"",N(BW276)-N(BV276)))</f>
        <v/>
      </c>
      <c r="CA276">
        <f>IF(OR(BV$3="",BV$3&gt;TODAY()),"",IF(AND(BY276="",BZ276=""),"",N(BZ276)-N(BY276)))</f>
        <v/>
      </c>
      <c r="CE276">
        <f>IF(OR(CC$3="",CC$3&gt;TODAY()),"",IF(AND(CC276="",CD276=""),"",N(CD276)-N(CC276)))</f>
        <v/>
      </c>
      <c r="CH276">
        <f>IF(OR(CC$3="",CC$3&gt;TODAY()),"",IF(AND(CF276="",CG276=""),"",N(CG276)-N(CF276)))</f>
        <v/>
      </c>
      <c r="CL276">
        <f>IF(OR(CJ$3="",CJ$3&gt;TODAY()),"",IF(AND(CJ276="",CK276=""),"",N(CK276)-N(CJ276)))</f>
        <v/>
      </c>
      <c r="CO276">
        <f>IF(OR(CJ$3="",CJ$3&gt;TODAY()),"",IF(AND(CM276="",CN276=""),"",N(CN276)-N(CM276)))</f>
        <v/>
      </c>
      <c r="CS276">
        <f>IF(OR(CQ$3="",CQ$3&gt;TODAY()),"",IF(AND(CQ276="",CR276=""),"",N(CR276)-N(CQ276)))</f>
        <v/>
      </c>
      <c r="CV276">
        <f>IF(OR(CQ$3="",CQ$3&gt;TODAY()),"",IF(AND(CT276="",CU276=""),"",N(CU276)-N(CT276)))</f>
        <v/>
      </c>
      <c r="CZ276">
        <f>IF(OR(CX$3="",CX$3&gt;TODAY()),"",IF(AND(CX276="",CY276=""),"",N(CY276)-N(CX276)))</f>
        <v/>
      </c>
      <c r="DC276">
        <f>IF(OR(CX$3="",CX$3&gt;TODAY()),"",IF(AND(DA276="",DB276=""),"",N(DB276)-N(DA276)))</f>
        <v/>
      </c>
      <c r="DG276">
        <f>IF(OR(DE$3="",DE$3&gt;TODAY()),"",IF(AND(DE276="",DF276=""),"",N(DF276)-N(DE276)))</f>
        <v/>
      </c>
      <c r="DJ276">
        <f>IF(OR(DE$3="",DE$3&gt;TODAY()),"",IF(AND(DH276="",DI276=""),"",N(DI276)-N(DH276)))</f>
        <v/>
      </c>
      <c r="DN276">
        <f>IF(OR(DL$3="",DL$3&gt;TODAY()),"",IF(AND(DL276="",DM276=""),"",N(DM276)-N(DL276)))</f>
        <v/>
      </c>
      <c r="DQ276">
        <f>IF(OR(DL$3="",DL$3&gt;TODAY()),"",IF(AND(DO276="",DP276=""),"",N(DP276)-N(DO276)))</f>
        <v/>
      </c>
      <c r="DU276">
        <f>IF(OR(DS$3="",DS$3&gt;TODAY()),"",IF(AND(DS276="",DT276=""),"",N(DT276)-N(DS276)))</f>
        <v/>
      </c>
      <c r="DX276">
        <f>IF(OR(DS$3="",DS$3&gt;TODAY()),"",IF(AND(DV276="",DW276=""),"",N(DW276)-N(DV276)))</f>
        <v/>
      </c>
      <c r="EB276">
        <f>IF(OR(DZ$3="",DZ$3&gt;TODAY()),"",IF(AND(DZ276="",EA276=""),"",N(EA276)-N(DZ276)))</f>
        <v/>
      </c>
      <c r="EE276">
        <f>IF(OR(DZ$3="",DZ$3&gt;TODAY()),"",IF(AND(EC276="",ED276=""),"",N(ED276)-N(EC276)))</f>
        <v/>
      </c>
      <c r="EI276">
        <f>IF(OR(EG$3="",EG$3&gt;TODAY()),"",IF(AND(EG276="",EH276=""),"",N(EH276)-N(EG276)))</f>
        <v/>
      </c>
      <c r="EL276">
        <f>IF(OR(EG$3="",EG$3&gt;TODAY()),"",IF(AND(EJ276="",EK276=""),"",N(EK276)-N(EJ276)))</f>
        <v/>
      </c>
      <c r="EP276">
        <f>IF(OR(EN$3="",EN$3&gt;TODAY()),"",IF(AND(EN276="",EO276=""),"",N(EO276)-N(EN276)))</f>
        <v/>
      </c>
      <c r="ES276">
        <f>IF(OR(EN$3="",EN$3&gt;TODAY()),"",IF(AND(EQ276="",ER276=""),"",N(ER276)-N(EQ276)))</f>
        <v/>
      </c>
      <c r="EW276">
        <f>IF(OR(EU$3="",EU$3&gt;TODAY()),"",IF(AND(EU276="",EV276=""),"",N(EV276)-N(EU276)))</f>
        <v/>
      </c>
      <c r="EZ276">
        <f>IF(OR(EU$3="",EU$3&gt;TODAY()),"",IF(AND(EX276="",EY276=""),"",N(EY276)-N(EX276)))</f>
        <v/>
      </c>
      <c r="FD276">
        <f>IF(OR(FB$3="",FB$3&gt;TODAY()),"",IF(AND(FB276="",FC276=""),"",N(FC276)-N(FB276)))</f>
        <v/>
      </c>
      <c r="FG276">
        <f>IF(OR(FB$3="",FB$3&gt;TODAY()),"",IF(AND(FE276="",FF276=""),"",N(FF276)-N(FE276)))</f>
        <v/>
      </c>
      <c r="FK276">
        <f>IF(OR(FI$3="",FI$3&gt;TODAY()),"",IF(AND(FI276="",FJ276=""),"",N(FJ276)-N(FI276)))</f>
        <v/>
      </c>
      <c r="FN276">
        <f>IF(OR(FI$3="",FI$3&gt;TODAY()),"",IF(AND(FL276="",FM276=""),"",N(FM276)-N(FL276)))</f>
        <v/>
      </c>
      <c r="FR276">
        <f>IF(OR(FP$3="",FP$3&gt;TODAY()),"",IF(AND(FP276="",FQ276=""),"",N(FQ276)-N(FP276)))</f>
        <v/>
      </c>
      <c r="FU276">
        <f>IF(OR(FP$3="",FP$3&gt;TODAY()),"",IF(AND(FS276="",FT276=""),"",N(FT276)-N(FS276)))</f>
        <v/>
      </c>
      <c r="FY276">
        <f>IF(OR(FW$3="",FW$3&gt;TODAY()),"",IF(AND(FW276="",FX276=""),"",N(FX276)-N(FW276)))</f>
        <v/>
      </c>
      <c r="GB276">
        <f>IF(OR(FW$3="",FW$3&gt;TODAY()),"",IF(AND(FZ276="",GA276=""),"",N(GA276)-N(FZ276)))</f>
        <v/>
      </c>
      <c r="GF276">
        <f>IF(OR(GD$3="",GD$3&gt;TODAY()),"",IF(AND(GD276="",GE276=""),"",N(GE276)-N(GD276)))</f>
        <v/>
      </c>
      <c r="GI276">
        <f>IF(OR(GD$3="",GD$3&gt;TODAY()),"",IF(AND(GG276="",GH276=""),"",N(GH276)-N(GG276)))</f>
        <v/>
      </c>
      <c r="GM276">
        <f>IF(OR(GK$3="",GK$3&gt;TODAY()),"",IF(AND(GK276="",GL276=""),"",N(GL276)-N(GK276)))</f>
        <v/>
      </c>
      <c r="GP276">
        <f>IF(OR(GK$3="",GK$3&gt;TODAY()),"",IF(AND(GN276="",GO276=""),"",N(GO276)-N(GN276)))</f>
        <v/>
      </c>
      <c r="GT276">
        <f>IF(OR(GR$3="",GR$3&gt;TODAY()),"",IF(AND(GR276="",GS276=""),"",N(GS276)-N(GR276)))</f>
        <v/>
      </c>
      <c r="GW276">
        <f>IF(OR(GR$3="",GR$3&gt;TODAY()),"",IF(AND(GU276="",GV276=""),"",N(GV276)-N(GU276)))</f>
        <v/>
      </c>
      <c r="HA276">
        <f>IF(OR(GY$3="",GY$3&gt;TODAY()),"",IF(AND(GY276="",GZ276=""),"",N(GZ276)-N(GY276)))</f>
        <v/>
      </c>
      <c r="HD276">
        <f>IF(OR(GY$3="",GY$3&gt;TODAY()),"",IF(AND(HB276="",HC276=""),"",N(HC276)-N(HB276)))</f>
        <v/>
      </c>
      <c r="HH276">
        <f>IF(OR(HF$3="",HF$3&gt;TODAY()),"",IF(AND(HF276="",HG276=""),"",N(HG276)-N(HF276)))</f>
        <v/>
      </c>
      <c r="HK276">
        <f>IF(OR(HF$3="",HF$3&gt;TODAY()),"",IF(AND(HI276="",HJ276=""),"",N(HJ276)-N(HI276)))</f>
        <v/>
      </c>
      <c r="HO276">
        <f>IF(OR(HM$3="",HM$3&gt;TODAY()),"",IF(AND(HM276="",HN276=""),"",N(HN276)-N(HM276)))</f>
        <v/>
      </c>
      <c r="HR276">
        <f>IF(OR(HM$3="",HM$3&gt;TODAY()),"",IF(AND(HP276="",HQ276=""),"",N(HQ276)-N(HP276)))</f>
        <v/>
      </c>
      <c r="HV276">
        <f>IF(OR(HT$3="",HT$3&gt;TODAY()),"",IF(AND(HT276="",HU276=""),"",N(HU276)-N(HT276)))</f>
        <v/>
      </c>
      <c r="HY276">
        <f>IF(OR(HT$3="",HT$3&gt;TODAY()),"",IF(AND(HW276="",HX276=""),"",N(HX276)-N(HW276)))</f>
        <v/>
      </c>
      <c r="IC276">
        <f>IF(OR(IA$3="",IA$3&gt;TODAY()),"",IF(AND(IA276="",IB276=""),"",N(IB276)-N(IA276)))</f>
        <v/>
      </c>
      <c r="IF276">
        <f>IF(OR(IA$3="",IA$3&gt;TODAY()),"",IF(AND(ID276="",IE276=""),"",N(IE276)-N(ID276)))</f>
        <v/>
      </c>
      <c r="IJ276">
        <f>IF(OR(IH$3="",IH$3&gt;TODAY()),"",IF(AND(IH276="",II276=""),"",N(II276)-N(IH276)))</f>
        <v/>
      </c>
      <c r="IM276">
        <f>IF(OR(IH$3="",IH$3&gt;TODAY()),"",IF(AND(IK276="",IL276=""),"",N(IL276)-N(IK276)))</f>
        <v/>
      </c>
    </row>
    <row r="277">
      <c r="A277" s="21" t="n"/>
      <c r="B277" s="21" t="n"/>
      <c r="C277" s="21" t="n"/>
      <c r="D277" s="21" t="n"/>
      <c r="E277" s="21" t="n"/>
      <c r="F277" s="21" t="n"/>
      <c r="G277" s="21" t="n"/>
      <c r="H277" s="21" t="n"/>
      <c r="I277" s="22" t="n"/>
      <c r="J277" s="22" t="n"/>
      <c r="K277" s="23" t="n"/>
      <c r="L277" s="22" t="n"/>
      <c r="M277" s="22" t="n"/>
      <c r="N277" s="21" t="n"/>
      <c r="O277" s="23" t="n"/>
      <c r="P277" s="23" t="n"/>
      <c r="Q277" s="23" t="n"/>
      <c r="R277" s="23" t="n"/>
      <c r="S277" s="22" t="n"/>
      <c r="T277" s="23" t="n"/>
      <c r="U277" s="23" t="n"/>
      <c r="V277" s="24">
        <f>IF(J277&lt;&gt;"",J277,IF(I277&lt;&gt;"",I277,""))</f>
        <v/>
      </c>
      <c r="W277" s="25">
        <f>IF($E277="","",N(O277)+SUMIFS($AF277:$IN277,$AF$4:$IN$4,"SEW_ACT"))</f>
        <v/>
      </c>
      <c r="X277" s="25">
        <f>IF($E277="","",N(P277)+SUMIFS($AF277:$IN277,$AF$4:$IN$4,"WASH_ACT"))</f>
        <v/>
      </c>
      <c r="Y277" s="25">
        <f>IF($E277="","",W277-X277-N(T277)-N(U277))</f>
        <v/>
      </c>
      <c r="Z277" s="25">
        <f>IF($E277="","",IF(N(K277)-X277&lt;=0.02*N(K277),0,N(K277)-X277))</f>
        <v/>
      </c>
      <c r="AA277" s="24">
        <f>IF($E277="","",IF(S277&lt;&gt;"",S277,IF(N(O277)&gt;0,IF(L277&lt;&gt;"",L277,99999),IFERROR(1/(1/_xlfn.MINIFS($AF$3:$IN$3,$AF$4:$IN$4,"SEW_ACT",$AF277:$IN277,"&gt;0")),99999))))</f>
        <v/>
      </c>
      <c r="AB277" s="26">
        <f>IF(OR($E277="",Z277=0,V277=""),"",1+COUNTIFS(Z$8:Z$707,"&gt;0",V$8:V$707,"&lt;"&amp;V277)+COUNTIFS(Z$8:Z$707,"&gt;0",V$8:V$707,V277,AA$8:AA$707,"&lt;"&amp;AA277)+COUNTIFS(Z$8:Z$707,"&gt;0",V$8:V$707,V277,AA$8:AA$707,AA277,E$8:E$707,"&lt;"&amp;$E277))</f>
        <v/>
      </c>
      <c r="AC277" s="24">
        <f>IF(OR($E277="",Z277=0),"",IFERROR(TODAY()+ROUNDUP(Z277/(SUMIFS($AF277:$IN277,$AF$4:$IN$4,"WASH_ACT")/COUNTIFS($AF$4:$IN$4,"WASH_ACT",$AF277:$IN277,"&gt;0")),0),"no output yet"))</f>
        <v/>
      </c>
      <c r="AD277" s="26">
        <f>IF($E277="","",IFERROR(ROUND(MAX(0,SUMIFS($AF277:$IN277,$AF$4:$IN$4,"SEW_PLAN",$AF$3:$IN$3,"&lt;="&amp;TODAY())-SUMIFS($AF277:$IN277,$AF$4:$IN$4,"SEW_ACT",$AF$3:$IN$3,"&lt;="&amp;TODAY())+N(Q277))/(SUMIFS($AF277:$IN277,$AF$4:$IN$4,"SEW_PLAN")/COUNTIFS($AF$4:$IN$4,"SEW_PLAN",$AF277:$IN277,"&gt;0")),1),0))</f>
        <v/>
      </c>
      <c r="AE277" s="26">
        <f>IF($E277="","",IF(AND(Z277&gt;0,OR(AND(M277&lt;&gt;"",TODAY()&gt;M277),AND(V277&lt;&gt;"",V277-TODAY()&lt;=7))),"Yes","No"))</f>
        <v/>
      </c>
      <c r="AH277">
        <f>IF(OR(AF$3="",AF$3&gt;TODAY()),"",IF(AND(AF277="",AG277=""),"",N(AG277)-N(AF277)))</f>
        <v/>
      </c>
      <c r="AK277">
        <f>IF(OR(AF$3="",AF$3&gt;TODAY()),"",IF(AND(AI277="",AJ277=""),"",N(AJ277)-N(AI277)))</f>
        <v/>
      </c>
      <c r="AO277">
        <f>IF(OR(AM$3="",AM$3&gt;TODAY()),"",IF(AND(AM277="",AN277=""),"",N(AN277)-N(AM277)))</f>
        <v/>
      </c>
      <c r="AR277">
        <f>IF(OR(AM$3="",AM$3&gt;TODAY()),"",IF(AND(AP277="",AQ277=""),"",N(AQ277)-N(AP277)))</f>
        <v/>
      </c>
      <c r="AV277">
        <f>IF(OR(AT$3="",AT$3&gt;TODAY()),"",IF(AND(AT277="",AU277=""),"",N(AU277)-N(AT277)))</f>
        <v/>
      </c>
      <c r="AY277">
        <f>IF(OR(AT$3="",AT$3&gt;TODAY()),"",IF(AND(AW277="",AX277=""),"",N(AX277)-N(AW277)))</f>
        <v/>
      </c>
      <c r="BC277">
        <f>IF(OR(BA$3="",BA$3&gt;TODAY()),"",IF(AND(BA277="",BB277=""),"",N(BB277)-N(BA277)))</f>
        <v/>
      </c>
      <c r="BF277">
        <f>IF(OR(BA$3="",BA$3&gt;TODAY()),"",IF(AND(BD277="",BE277=""),"",N(BE277)-N(BD277)))</f>
        <v/>
      </c>
      <c r="BJ277">
        <f>IF(OR(BH$3="",BH$3&gt;TODAY()),"",IF(AND(BH277="",BI277=""),"",N(BI277)-N(BH277)))</f>
        <v/>
      </c>
      <c r="BM277">
        <f>IF(OR(BH$3="",BH$3&gt;TODAY()),"",IF(AND(BK277="",BL277=""),"",N(BL277)-N(BK277)))</f>
        <v/>
      </c>
      <c r="BQ277">
        <f>IF(OR(BO$3="",BO$3&gt;TODAY()),"",IF(AND(BO277="",BP277=""),"",N(BP277)-N(BO277)))</f>
        <v/>
      </c>
      <c r="BT277">
        <f>IF(OR(BO$3="",BO$3&gt;TODAY()),"",IF(AND(BR277="",BS277=""),"",N(BS277)-N(BR277)))</f>
        <v/>
      </c>
      <c r="BX277">
        <f>IF(OR(BV$3="",BV$3&gt;TODAY()),"",IF(AND(BV277="",BW277=""),"",N(BW277)-N(BV277)))</f>
        <v/>
      </c>
      <c r="CA277">
        <f>IF(OR(BV$3="",BV$3&gt;TODAY()),"",IF(AND(BY277="",BZ277=""),"",N(BZ277)-N(BY277)))</f>
        <v/>
      </c>
      <c r="CE277">
        <f>IF(OR(CC$3="",CC$3&gt;TODAY()),"",IF(AND(CC277="",CD277=""),"",N(CD277)-N(CC277)))</f>
        <v/>
      </c>
      <c r="CH277">
        <f>IF(OR(CC$3="",CC$3&gt;TODAY()),"",IF(AND(CF277="",CG277=""),"",N(CG277)-N(CF277)))</f>
        <v/>
      </c>
      <c r="CL277">
        <f>IF(OR(CJ$3="",CJ$3&gt;TODAY()),"",IF(AND(CJ277="",CK277=""),"",N(CK277)-N(CJ277)))</f>
        <v/>
      </c>
      <c r="CO277">
        <f>IF(OR(CJ$3="",CJ$3&gt;TODAY()),"",IF(AND(CM277="",CN277=""),"",N(CN277)-N(CM277)))</f>
        <v/>
      </c>
      <c r="CS277">
        <f>IF(OR(CQ$3="",CQ$3&gt;TODAY()),"",IF(AND(CQ277="",CR277=""),"",N(CR277)-N(CQ277)))</f>
        <v/>
      </c>
      <c r="CV277">
        <f>IF(OR(CQ$3="",CQ$3&gt;TODAY()),"",IF(AND(CT277="",CU277=""),"",N(CU277)-N(CT277)))</f>
        <v/>
      </c>
      <c r="CZ277">
        <f>IF(OR(CX$3="",CX$3&gt;TODAY()),"",IF(AND(CX277="",CY277=""),"",N(CY277)-N(CX277)))</f>
        <v/>
      </c>
      <c r="DC277">
        <f>IF(OR(CX$3="",CX$3&gt;TODAY()),"",IF(AND(DA277="",DB277=""),"",N(DB277)-N(DA277)))</f>
        <v/>
      </c>
      <c r="DG277">
        <f>IF(OR(DE$3="",DE$3&gt;TODAY()),"",IF(AND(DE277="",DF277=""),"",N(DF277)-N(DE277)))</f>
        <v/>
      </c>
      <c r="DJ277">
        <f>IF(OR(DE$3="",DE$3&gt;TODAY()),"",IF(AND(DH277="",DI277=""),"",N(DI277)-N(DH277)))</f>
        <v/>
      </c>
      <c r="DN277">
        <f>IF(OR(DL$3="",DL$3&gt;TODAY()),"",IF(AND(DL277="",DM277=""),"",N(DM277)-N(DL277)))</f>
        <v/>
      </c>
      <c r="DQ277">
        <f>IF(OR(DL$3="",DL$3&gt;TODAY()),"",IF(AND(DO277="",DP277=""),"",N(DP277)-N(DO277)))</f>
        <v/>
      </c>
      <c r="DU277">
        <f>IF(OR(DS$3="",DS$3&gt;TODAY()),"",IF(AND(DS277="",DT277=""),"",N(DT277)-N(DS277)))</f>
        <v/>
      </c>
      <c r="DX277">
        <f>IF(OR(DS$3="",DS$3&gt;TODAY()),"",IF(AND(DV277="",DW277=""),"",N(DW277)-N(DV277)))</f>
        <v/>
      </c>
      <c r="EB277">
        <f>IF(OR(DZ$3="",DZ$3&gt;TODAY()),"",IF(AND(DZ277="",EA277=""),"",N(EA277)-N(DZ277)))</f>
        <v/>
      </c>
      <c r="EE277">
        <f>IF(OR(DZ$3="",DZ$3&gt;TODAY()),"",IF(AND(EC277="",ED277=""),"",N(ED277)-N(EC277)))</f>
        <v/>
      </c>
      <c r="EI277">
        <f>IF(OR(EG$3="",EG$3&gt;TODAY()),"",IF(AND(EG277="",EH277=""),"",N(EH277)-N(EG277)))</f>
        <v/>
      </c>
      <c r="EL277">
        <f>IF(OR(EG$3="",EG$3&gt;TODAY()),"",IF(AND(EJ277="",EK277=""),"",N(EK277)-N(EJ277)))</f>
        <v/>
      </c>
      <c r="EP277">
        <f>IF(OR(EN$3="",EN$3&gt;TODAY()),"",IF(AND(EN277="",EO277=""),"",N(EO277)-N(EN277)))</f>
        <v/>
      </c>
      <c r="ES277">
        <f>IF(OR(EN$3="",EN$3&gt;TODAY()),"",IF(AND(EQ277="",ER277=""),"",N(ER277)-N(EQ277)))</f>
        <v/>
      </c>
      <c r="EW277">
        <f>IF(OR(EU$3="",EU$3&gt;TODAY()),"",IF(AND(EU277="",EV277=""),"",N(EV277)-N(EU277)))</f>
        <v/>
      </c>
      <c r="EZ277">
        <f>IF(OR(EU$3="",EU$3&gt;TODAY()),"",IF(AND(EX277="",EY277=""),"",N(EY277)-N(EX277)))</f>
        <v/>
      </c>
      <c r="FD277">
        <f>IF(OR(FB$3="",FB$3&gt;TODAY()),"",IF(AND(FB277="",FC277=""),"",N(FC277)-N(FB277)))</f>
        <v/>
      </c>
      <c r="FG277">
        <f>IF(OR(FB$3="",FB$3&gt;TODAY()),"",IF(AND(FE277="",FF277=""),"",N(FF277)-N(FE277)))</f>
        <v/>
      </c>
      <c r="FK277">
        <f>IF(OR(FI$3="",FI$3&gt;TODAY()),"",IF(AND(FI277="",FJ277=""),"",N(FJ277)-N(FI277)))</f>
        <v/>
      </c>
      <c r="FN277">
        <f>IF(OR(FI$3="",FI$3&gt;TODAY()),"",IF(AND(FL277="",FM277=""),"",N(FM277)-N(FL277)))</f>
        <v/>
      </c>
      <c r="FR277">
        <f>IF(OR(FP$3="",FP$3&gt;TODAY()),"",IF(AND(FP277="",FQ277=""),"",N(FQ277)-N(FP277)))</f>
        <v/>
      </c>
      <c r="FU277">
        <f>IF(OR(FP$3="",FP$3&gt;TODAY()),"",IF(AND(FS277="",FT277=""),"",N(FT277)-N(FS277)))</f>
        <v/>
      </c>
      <c r="FY277">
        <f>IF(OR(FW$3="",FW$3&gt;TODAY()),"",IF(AND(FW277="",FX277=""),"",N(FX277)-N(FW277)))</f>
        <v/>
      </c>
      <c r="GB277">
        <f>IF(OR(FW$3="",FW$3&gt;TODAY()),"",IF(AND(FZ277="",GA277=""),"",N(GA277)-N(FZ277)))</f>
        <v/>
      </c>
      <c r="GF277">
        <f>IF(OR(GD$3="",GD$3&gt;TODAY()),"",IF(AND(GD277="",GE277=""),"",N(GE277)-N(GD277)))</f>
        <v/>
      </c>
      <c r="GI277">
        <f>IF(OR(GD$3="",GD$3&gt;TODAY()),"",IF(AND(GG277="",GH277=""),"",N(GH277)-N(GG277)))</f>
        <v/>
      </c>
      <c r="GM277">
        <f>IF(OR(GK$3="",GK$3&gt;TODAY()),"",IF(AND(GK277="",GL277=""),"",N(GL277)-N(GK277)))</f>
        <v/>
      </c>
      <c r="GP277">
        <f>IF(OR(GK$3="",GK$3&gt;TODAY()),"",IF(AND(GN277="",GO277=""),"",N(GO277)-N(GN277)))</f>
        <v/>
      </c>
      <c r="GT277">
        <f>IF(OR(GR$3="",GR$3&gt;TODAY()),"",IF(AND(GR277="",GS277=""),"",N(GS277)-N(GR277)))</f>
        <v/>
      </c>
      <c r="GW277">
        <f>IF(OR(GR$3="",GR$3&gt;TODAY()),"",IF(AND(GU277="",GV277=""),"",N(GV277)-N(GU277)))</f>
        <v/>
      </c>
      <c r="HA277">
        <f>IF(OR(GY$3="",GY$3&gt;TODAY()),"",IF(AND(GY277="",GZ277=""),"",N(GZ277)-N(GY277)))</f>
        <v/>
      </c>
      <c r="HD277">
        <f>IF(OR(GY$3="",GY$3&gt;TODAY()),"",IF(AND(HB277="",HC277=""),"",N(HC277)-N(HB277)))</f>
        <v/>
      </c>
      <c r="HH277">
        <f>IF(OR(HF$3="",HF$3&gt;TODAY()),"",IF(AND(HF277="",HG277=""),"",N(HG277)-N(HF277)))</f>
        <v/>
      </c>
      <c r="HK277">
        <f>IF(OR(HF$3="",HF$3&gt;TODAY()),"",IF(AND(HI277="",HJ277=""),"",N(HJ277)-N(HI277)))</f>
        <v/>
      </c>
      <c r="HO277">
        <f>IF(OR(HM$3="",HM$3&gt;TODAY()),"",IF(AND(HM277="",HN277=""),"",N(HN277)-N(HM277)))</f>
        <v/>
      </c>
      <c r="HR277">
        <f>IF(OR(HM$3="",HM$3&gt;TODAY()),"",IF(AND(HP277="",HQ277=""),"",N(HQ277)-N(HP277)))</f>
        <v/>
      </c>
      <c r="HV277">
        <f>IF(OR(HT$3="",HT$3&gt;TODAY()),"",IF(AND(HT277="",HU277=""),"",N(HU277)-N(HT277)))</f>
        <v/>
      </c>
      <c r="HY277">
        <f>IF(OR(HT$3="",HT$3&gt;TODAY()),"",IF(AND(HW277="",HX277=""),"",N(HX277)-N(HW277)))</f>
        <v/>
      </c>
      <c r="IC277">
        <f>IF(OR(IA$3="",IA$3&gt;TODAY()),"",IF(AND(IA277="",IB277=""),"",N(IB277)-N(IA277)))</f>
        <v/>
      </c>
      <c r="IF277">
        <f>IF(OR(IA$3="",IA$3&gt;TODAY()),"",IF(AND(ID277="",IE277=""),"",N(IE277)-N(ID277)))</f>
        <v/>
      </c>
      <c r="IJ277">
        <f>IF(OR(IH$3="",IH$3&gt;TODAY()),"",IF(AND(IH277="",II277=""),"",N(II277)-N(IH277)))</f>
        <v/>
      </c>
      <c r="IM277">
        <f>IF(OR(IH$3="",IH$3&gt;TODAY()),"",IF(AND(IK277="",IL277=""),"",N(IL277)-N(IK277)))</f>
        <v/>
      </c>
    </row>
    <row r="278">
      <c r="A278" s="21" t="n"/>
      <c r="B278" s="21" t="n"/>
      <c r="C278" s="21" t="n"/>
      <c r="D278" s="21" t="n"/>
      <c r="E278" s="21" t="n"/>
      <c r="F278" s="21" t="n"/>
      <c r="G278" s="21" t="n"/>
      <c r="H278" s="21" t="n"/>
      <c r="I278" s="22" t="n"/>
      <c r="J278" s="22" t="n"/>
      <c r="K278" s="23" t="n"/>
      <c r="L278" s="22" t="n"/>
      <c r="M278" s="22" t="n"/>
      <c r="N278" s="21" t="n"/>
      <c r="O278" s="23" t="n"/>
      <c r="P278" s="23" t="n"/>
      <c r="Q278" s="23" t="n"/>
      <c r="R278" s="23" t="n"/>
      <c r="S278" s="22" t="n"/>
      <c r="T278" s="23" t="n"/>
      <c r="U278" s="23" t="n"/>
      <c r="V278" s="24">
        <f>IF(J278&lt;&gt;"",J278,IF(I278&lt;&gt;"",I278,""))</f>
        <v/>
      </c>
      <c r="W278" s="25">
        <f>IF($E278="","",N(O278)+SUMIFS($AF278:$IN278,$AF$4:$IN$4,"SEW_ACT"))</f>
        <v/>
      </c>
      <c r="X278" s="25">
        <f>IF($E278="","",N(P278)+SUMIFS($AF278:$IN278,$AF$4:$IN$4,"WASH_ACT"))</f>
        <v/>
      </c>
      <c r="Y278" s="25">
        <f>IF($E278="","",W278-X278-N(T278)-N(U278))</f>
        <v/>
      </c>
      <c r="Z278" s="25">
        <f>IF($E278="","",IF(N(K278)-X278&lt;=0.02*N(K278),0,N(K278)-X278))</f>
        <v/>
      </c>
      <c r="AA278" s="24">
        <f>IF($E278="","",IF(S278&lt;&gt;"",S278,IF(N(O278)&gt;0,IF(L278&lt;&gt;"",L278,99999),IFERROR(1/(1/_xlfn.MINIFS($AF$3:$IN$3,$AF$4:$IN$4,"SEW_ACT",$AF278:$IN278,"&gt;0")),99999))))</f>
        <v/>
      </c>
      <c r="AB278" s="26">
        <f>IF(OR($E278="",Z278=0,V278=""),"",1+COUNTIFS(Z$8:Z$707,"&gt;0",V$8:V$707,"&lt;"&amp;V278)+COUNTIFS(Z$8:Z$707,"&gt;0",V$8:V$707,V278,AA$8:AA$707,"&lt;"&amp;AA278)+COUNTIFS(Z$8:Z$707,"&gt;0",V$8:V$707,V278,AA$8:AA$707,AA278,E$8:E$707,"&lt;"&amp;$E278))</f>
        <v/>
      </c>
      <c r="AC278" s="24">
        <f>IF(OR($E278="",Z278=0),"",IFERROR(TODAY()+ROUNDUP(Z278/(SUMIFS($AF278:$IN278,$AF$4:$IN$4,"WASH_ACT")/COUNTIFS($AF$4:$IN$4,"WASH_ACT",$AF278:$IN278,"&gt;0")),0),"no output yet"))</f>
        <v/>
      </c>
      <c r="AD278" s="26">
        <f>IF($E278="","",IFERROR(ROUND(MAX(0,SUMIFS($AF278:$IN278,$AF$4:$IN$4,"SEW_PLAN",$AF$3:$IN$3,"&lt;="&amp;TODAY())-SUMIFS($AF278:$IN278,$AF$4:$IN$4,"SEW_ACT",$AF$3:$IN$3,"&lt;="&amp;TODAY())+N(Q278))/(SUMIFS($AF278:$IN278,$AF$4:$IN$4,"SEW_PLAN")/COUNTIFS($AF$4:$IN$4,"SEW_PLAN",$AF278:$IN278,"&gt;0")),1),0))</f>
        <v/>
      </c>
      <c r="AE278" s="26">
        <f>IF($E278="","",IF(AND(Z278&gt;0,OR(AND(M278&lt;&gt;"",TODAY()&gt;M278),AND(V278&lt;&gt;"",V278-TODAY()&lt;=7))),"Yes","No"))</f>
        <v/>
      </c>
      <c r="AH278">
        <f>IF(OR(AF$3="",AF$3&gt;TODAY()),"",IF(AND(AF278="",AG278=""),"",N(AG278)-N(AF278)))</f>
        <v/>
      </c>
      <c r="AK278">
        <f>IF(OR(AF$3="",AF$3&gt;TODAY()),"",IF(AND(AI278="",AJ278=""),"",N(AJ278)-N(AI278)))</f>
        <v/>
      </c>
      <c r="AO278">
        <f>IF(OR(AM$3="",AM$3&gt;TODAY()),"",IF(AND(AM278="",AN278=""),"",N(AN278)-N(AM278)))</f>
        <v/>
      </c>
      <c r="AR278">
        <f>IF(OR(AM$3="",AM$3&gt;TODAY()),"",IF(AND(AP278="",AQ278=""),"",N(AQ278)-N(AP278)))</f>
        <v/>
      </c>
      <c r="AV278">
        <f>IF(OR(AT$3="",AT$3&gt;TODAY()),"",IF(AND(AT278="",AU278=""),"",N(AU278)-N(AT278)))</f>
        <v/>
      </c>
      <c r="AY278">
        <f>IF(OR(AT$3="",AT$3&gt;TODAY()),"",IF(AND(AW278="",AX278=""),"",N(AX278)-N(AW278)))</f>
        <v/>
      </c>
      <c r="BC278">
        <f>IF(OR(BA$3="",BA$3&gt;TODAY()),"",IF(AND(BA278="",BB278=""),"",N(BB278)-N(BA278)))</f>
        <v/>
      </c>
      <c r="BF278">
        <f>IF(OR(BA$3="",BA$3&gt;TODAY()),"",IF(AND(BD278="",BE278=""),"",N(BE278)-N(BD278)))</f>
        <v/>
      </c>
      <c r="BJ278">
        <f>IF(OR(BH$3="",BH$3&gt;TODAY()),"",IF(AND(BH278="",BI278=""),"",N(BI278)-N(BH278)))</f>
        <v/>
      </c>
      <c r="BM278">
        <f>IF(OR(BH$3="",BH$3&gt;TODAY()),"",IF(AND(BK278="",BL278=""),"",N(BL278)-N(BK278)))</f>
        <v/>
      </c>
      <c r="BQ278">
        <f>IF(OR(BO$3="",BO$3&gt;TODAY()),"",IF(AND(BO278="",BP278=""),"",N(BP278)-N(BO278)))</f>
        <v/>
      </c>
      <c r="BT278">
        <f>IF(OR(BO$3="",BO$3&gt;TODAY()),"",IF(AND(BR278="",BS278=""),"",N(BS278)-N(BR278)))</f>
        <v/>
      </c>
      <c r="BX278">
        <f>IF(OR(BV$3="",BV$3&gt;TODAY()),"",IF(AND(BV278="",BW278=""),"",N(BW278)-N(BV278)))</f>
        <v/>
      </c>
      <c r="CA278">
        <f>IF(OR(BV$3="",BV$3&gt;TODAY()),"",IF(AND(BY278="",BZ278=""),"",N(BZ278)-N(BY278)))</f>
        <v/>
      </c>
      <c r="CE278">
        <f>IF(OR(CC$3="",CC$3&gt;TODAY()),"",IF(AND(CC278="",CD278=""),"",N(CD278)-N(CC278)))</f>
        <v/>
      </c>
      <c r="CH278">
        <f>IF(OR(CC$3="",CC$3&gt;TODAY()),"",IF(AND(CF278="",CG278=""),"",N(CG278)-N(CF278)))</f>
        <v/>
      </c>
      <c r="CL278">
        <f>IF(OR(CJ$3="",CJ$3&gt;TODAY()),"",IF(AND(CJ278="",CK278=""),"",N(CK278)-N(CJ278)))</f>
        <v/>
      </c>
      <c r="CO278">
        <f>IF(OR(CJ$3="",CJ$3&gt;TODAY()),"",IF(AND(CM278="",CN278=""),"",N(CN278)-N(CM278)))</f>
        <v/>
      </c>
      <c r="CS278">
        <f>IF(OR(CQ$3="",CQ$3&gt;TODAY()),"",IF(AND(CQ278="",CR278=""),"",N(CR278)-N(CQ278)))</f>
        <v/>
      </c>
      <c r="CV278">
        <f>IF(OR(CQ$3="",CQ$3&gt;TODAY()),"",IF(AND(CT278="",CU278=""),"",N(CU278)-N(CT278)))</f>
        <v/>
      </c>
      <c r="CZ278">
        <f>IF(OR(CX$3="",CX$3&gt;TODAY()),"",IF(AND(CX278="",CY278=""),"",N(CY278)-N(CX278)))</f>
        <v/>
      </c>
      <c r="DC278">
        <f>IF(OR(CX$3="",CX$3&gt;TODAY()),"",IF(AND(DA278="",DB278=""),"",N(DB278)-N(DA278)))</f>
        <v/>
      </c>
      <c r="DG278">
        <f>IF(OR(DE$3="",DE$3&gt;TODAY()),"",IF(AND(DE278="",DF278=""),"",N(DF278)-N(DE278)))</f>
        <v/>
      </c>
      <c r="DJ278">
        <f>IF(OR(DE$3="",DE$3&gt;TODAY()),"",IF(AND(DH278="",DI278=""),"",N(DI278)-N(DH278)))</f>
        <v/>
      </c>
      <c r="DN278">
        <f>IF(OR(DL$3="",DL$3&gt;TODAY()),"",IF(AND(DL278="",DM278=""),"",N(DM278)-N(DL278)))</f>
        <v/>
      </c>
      <c r="DQ278">
        <f>IF(OR(DL$3="",DL$3&gt;TODAY()),"",IF(AND(DO278="",DP278=""),"",N(DP278)-N(DO278)))</f>
        <v/>
      </c>
      <c r="DU278">
        <f>IF(OR(DS$3="",DS$3&gt;TODAY()),"",IF(AND(DS278="",DT278=""),"",N(DT278)-N(DS278)))</f>
        <v/>
      </c>
      <c r="DX278">
        <f>IF(OR(DS$3="",DS$3&gt;TODAY()),"",IF(AND(DV278="",DW278=""),"",N(DW278)-N(DV278)))</f>
        <v/>
      </c>
      <c r="EB278">
        <f>IF(OR(DZ$3="",DZ$3&gt;TODAY()),"",IF(AND(DZ278="",EA278=""),"",N(EA278)-N(DZ278)))</f>
        <v/>
      </c>
      <c r="EE278">
        <f>IF(OR(DZ$3="",DZ$3&gt;TODAY()),"",IF(AND(EC278="",ED278=""),"",N(ED278)-N(EC278)))</f>
        <v/>
      </c>
      <c r="EI278">
        <f>IF(OR(EG$3="",EG$3&gt;TODAY()),"",IF(AND(EG278="",EH278=""),"",N(EH278)-N(EG278)))</f>
        <v/>
      </c>
      <c r="EL278">
        <f>IF(OR(EG$3="",EG$3&gt;TODAY()),"",IF(AND(EJ278="",EK278=""),"",N(EK278)-N(EJ278)))</f>
        <v/>
      </c>
      <c r="EP278">
        <f>IF(OR(EN$3="",EN$3&gt;TODAY()),"",IF(AND(EN278="",EO278=""),"",N(EO278)-N(EN278)))</f>
        <v/>
      </c>
      <c r="ES278">
        <f>IF(OR(EN$3="",EN$3&gt;TODAY()),"",IF(AND(EQ278="",ER278=""),"",N(ER278)-N(EQ278)))</f>
        <v/>
      </c>
      <c r="EW278">
        <f>IF(OR(EU$3="",EU$3&gt;TODAY()),"",IF(AND(EU278="",EV278=""),"",N(EV278)-N(EU278)))</f>
        <v/>
      </c>
      <c r="EZ278">
        <f>IF(OR(EU$3="",EU$3&gt;TODAY()),"",IF(AND(EX278="",EY278=""),"",N(EY278)-N(EX278)))</f>
        <v/>
      </c>
      <c r="FD278">
        <f>IF(OR(FB$3="",FB$3&gt;TODAY()),"",IF(AND(FB278="",FC278=""),"",N(FC278)-N(FB278)))</f>
        <v/>
      </c>
      <c r="FG278">
        <f>IF(OR(FB$3="",FB$3&gt;TODAY()),"",IF(AND(FE278="",FF278=""),"",N(FF278)-N(FE278)))</f>
        <v/>
      </c>
      <c r="FK278">
        <f>IF(OR(FI$3="",FI$3&gt;TODAY()),"",IF(AND(FI278="",FJ278=""),"",N(FJ278)-N(FI278)))</f>
        <v/>
      </c>
      <c r="FN278">
        <f>IF(OR(FI$3="",FI$3&gt;TODAY()),"",IF(AND(FL278="",FM278=""),"",N(FM278)-N(FL278)))</f>
        <v/>
      </c>
      <c r="FR278">
        <f>IF(OR(FP$3="",FP$3&gt;TODAY()),"",IF(AND(FP278="",FQ278=""),"",N(FQ278)-N(FP278)))</f>
        <v/>
      </c>
      <c r="FU278">
        <f>IF(OR(FP$3="",FP$3&gt;TODAY()),"",IF(AND(FS278="",FT278=""),"",N(FT278)-N(FS278)))</f>
        <v/>
      </c>
      <c r="FY278">
        <f>IF(OR(FW$3="",FW$3&gt;TODAY()),"",IF(AND(FW278="",FX278=""),"",N(FX278)-N(FW278)))</f>
        <v/>
      </c>
      <c r="GB278">
        <f>IF(OR(FW$3="",FW$3&gt;TODAY()),"",IF(AND(FZ278="",GA278=""),"",N(GA278)-N(FZ278)))</f>
        <v/>
      </c>
      <c r="GF278">
        <f>IF(OR(GD$3="",GD$3&gt;TODAY()),"",IF(AND(GD278="",GE278=""),"",N(GE278)-N(GD278)))</f>
        <v/>
      </c>
      <c r="GI278">
        <f>IF(OR(GD$3="",GD$3&gt;TODAY()),"",IF(AND(GG278="",GH278=""),"",N(GH278)-N(GG278)))</f>
        <v/>
      </c>
      <c r="GM278">
        <f>IF(OR(GK$3="",GK$3&gt;TODAY()),"",IF(AND(GK278="",GL278=""),"",N(GL278)-N(GK278)))</f>
        <v/>
      </c>
      <c r="GP278">
        <f>IF(OR(GK$3="",GK$3&gt;TODAY()),"",IF(AND(GN278="",GO278=""),"",N(GO278)-N(GN278)))</f>
        <v/>
      </c>
      <c r="GT278">
        <f>IF(OR(GR$3="",GR$3&gt;TODAY()),"",IF(AND(GR278="",GS278=""),"",N(GS278)-N(GR278)))</f>
        <v/>
      </c>
      <c r="GW278">
        <f>IF(OR(GR$3="",GR$3&gt;TODAY()),"",IF(AND(GU278="",GV278=""),"",N(GV278)-N(GU278)))</f>
        <v/>
      </c>
      <c r="HA278">
        <f>IF(OR(GY$3="",GY$3&gt;TODAY()),"",IF(AND(GY278="",GZ278=""),"",N(GZ278)-N(GY278)))</f>
        <v/>
      </c>
      <c r="HD278">
        <f>IF(OR(GY$3="",GY$3&gt;TODAY()),"",IF(AND(HB278="",HC278=""),"",N(HC278)-N(HB278)))</f>
        <v/>
      </c>
      <c r="HH278">
        <f>IF(OR(HF$3="",HF$3&gt;TODAY()),"",IF(AND(HF278="",HG278=""),"",N(HG278)-N(HF278)))</f>
        <v/>
      </c>
      <c r="HK278">
        <f>IF(OR(HF$3="",HF$3&gt;TODAY()),"",IF(AND(HI278="",HJ278=""),"",N(HJ278)-N(HI278)))</f>
        <v/>
      </c>
      <c r="HO278">
        <f>IF(OR(HM$3="",HM$3&gt;TODAY()),"",IF(AND(HM278="",HN278=""),"",N(HN278)-N(HM278)))</f>
        <v/>
      </c>
      <c r="HR278">
        <f>IF(OR(HM$3="",HM$3&gt;TODAY()),"",IF(AND(HP278="",HQ278=""),"",N(HQ278)-N(HP278)))</f>
        <v/>
      </c>
      <c r="HV278">
        <f>IF(OR(HT$3="",HT$3&gt;TODAY()),"",IF(AND(HT278="",HU278=""),"",N(HU278)-N(HT278)))</f>
        <v/>
      </c>
      <c r="HY278">
        <f>IF(OR(HT$3="",HT$3&gt;TODAY()),"",IF(AND(HW278="",HX278=""),"",N(HX278)-N(HW278)))</f>
        <v/>
      </c>
      <c r="IC278">
        <f>IF(OR(IA$3="",IA$3&gt;TODAY()),"",IF(AND(IA278="",IB278=""),"",N(IB278)-N(IA278)))</f>
        <v/>
      </c>
      <c r="IF278">
        <f>IF(OR(IA$3="",IA$3&gt;TODAY()),"",IF(AND(ID278="",IE278=""),"",N(IE278)-N(ID278)))</f>
        <v/>
      </c>
      <c r="IJ278">
        <f>IF(OR(IH$3="",IH$3&gt;TODAY()),"",IF(AND(IH278="",II278=""),"",N(II278)-N(IH278)))</f>
        <v/>
      </c>
      <c r="IM278">
        <f>IF(OR(IH$3="",IH$3&gt;TODAY()),"",IF(AND(IK278="",IL278=""),"",N(IL278)-N(IK278)))</f>
        <v/>
      </c>
    </row>
    <row r="279">
      <c r="A279" s="21" t="n"/>
      <c r="B279" s="21" t="n"/>
      <c r="C279" s="21" t="n"/>
      <c r="D279" s="21" t="n"/>
      <c r="E279" s="21" t="n"/>
      <c r="F279" s="21" t="n"/>
      <c r="G279" s="21" t="n"/>
      <c r="H279" s="21" t="n"/>
      <c r="I279" s="22" t="n"/>
      <c r="J279" s="22" t="n"/>
      <c r="K279" s="23" t="n"/>
      <c r="L279" s="22" t="n"/>
      <c r="M279" s="22" t="n"/>
      <c r="N279" s="21" t="n"/>
      <c r="O279" s="23" t="n"/>
      <c r="P279" s="23" t="n"/>
      <c r="Q279" s="23" t="n"/>
      <c r="R279" s="23" t="n"/>
      <c r="S279" s="22" t="n"/>
      <c r="T279" s="23" t="n"/>
      <c r="U279" s="23" t="n"/>
      <c r="V279" s="24">
        <f>IF(J279&lt;&gt;"",J279,IF(I279&lt;&gt;"",I279,""))</f>
        <v/>
      </c>
      <c r="W279" s="25">
        <f>IF($E279="","",N(O279)+SUMIFS($AF279:$IN279,$AF$4:$IN$4,"SEW_ACT"))</f>
        <v/>
      </c>
      <c r="X279" s="25">
        <f>IF($E279="","",N(P279)+SUMIFS($AF279:$IN279,$AF$4:$IN$4,"WASH_ACT"))</f>
        <v/>
      </c>
      <c r="Y279" s="25">
        <f>IF($E279="","",W279-X279-N(T279)-N(U279))</f>
        <v/>
      </c>
      <c r="Z279" s="25">
        <f>IF($E279="","",IF(N(K279)-X279&lt;=0.02*N(K279),0,N(K279)-X279))</f>
        <v/>
      </c>
      <c r="AA279" s="24">
        <f>IF($E279="","",IF(S279&lt;&gt;"",S279,IF(N(O279)&gt;0,IF(L279&lt;&gt;"",L279,99999),IFERROR(1/(1/_xlfn.MINIFS($AF$3:$IN$3,$AF$4:$IN$4,"SEW_ACT",$AF279:$IN279,"&gt;0")),99999))))</f>
        <v/>
      </c>
      <c r="AB279" s="26">
        <f>IF(OR($E279="",Z279=0,V279=""),"",1+COUNTIFS(Z$8:Z$707,"&gt;0",V$8:V$707,"&lt;"&amp;V279)+COUNTIFS(Z$8:Z$707,"&gt;0",V$8:V$707,V279,AA$8:AA$707,"&lt;"&amp;AA279)+COUNTIFS(Z$8:Z$707,"&gt;0",V$8:V$707,V279,AA$8:AA$707,AA279,E$8:E$707,"&lt;"&amp;$E279))</f>
        <v/>
      </c>
      <c r="AC279" s="24">
        <f>IF(OR($E279="",Z279=0),"",IFERROR(TODAY()+ROUNDUP(Z279/(SUMIFS($AF279:$IN279,$AF$4:$IN$4,"WASH_ACT")/COUNTIFS($AF$4:$IN$4,"WASH_ACT",$AF279:$IN279,"&gt;0")),0),"no output yet"))</f>
        <v/>
      </c>
      <c r="AD279" s="26">
        <f>IF($E279="","",IFERROR(ROUND(MAX(0,SUMIFS($AF279:$IN279,$AF$4:$IN$4,"SEW_PLAN",$AF$3:$IN$3,"&lt;="&amp;TODAY())-SUMIFS($AF279:$IN279,$AF$4:$IN$4,"SEW_ACT",$AF$3:$IN$3,"&lt;="&amp;TODAY())+N(Q279))/(SUMIFS($AF279:$IN279,$AF$4:$IN$4,"SEW_PLAN")/COUNTIFS($AF$4:$IN$4,"SEW_PLAN",$AF279:$IN279,"&gt;0")),1),0))</f>
        <v/>
      </c>
      <c r="AE279" s="26">
        <f>IF($E279="","",IF(AND(Z279&gt;0,OR(AND(M279&lt;&gt;"",TODAY()&gt;M279),AND(V279&lt;&gt;"",V279-TODAY()&lt;=7))),"Yes","No"))</f>
        <v/>
      </c>
      <c r="AH279">
        <f>IF(OR(AF$3="",AF$3&gt;TODAY()),"",IF(AND(AF279="",AG279=""),"",N(AG279)-N(AF279)))</f>
        <v/>
      </c>
      <c r="AK279">
        <f>IF(OR(AF$3="",AF$3&gt;TODAY()),"",IF(AND(AI279="",AJ279=""),"",N(AJ279)-N(AI279)))</f>
        <v/>
      </c>
      <c r="AO279">
        <f>IF(OR(AM$3="",AM$3&gt;TODAY()),"",IF(AND(AM279="",AN279=""),"",N(AN279)-N(AM279)))</f>
        <v/>
      </c>
      <c r="AR279">
        <f>IF(OR(AM$3="",AM$3&gt;TODAY()),"",IF(AND(AP279="",AQ279=""),"",N(AQ279)-N(AP279)))</f>
        <v/>
      </c>
      <c r="AV279">
        <f>IF(OR(AT$3="",AT$3&gt;TODAY()),"",IF(AND(AT279="",AU279=""),"",N(AU279)-N(AT279)))</f>
        <v/>
      </c>
      <c r="AY279">
        <f>IF(OR(AT$3="",AT$3&gt;TODAY()),"",IF(AND(AW279="",AX279=""),"",N(AX279)-N(AW279)))</f>
        <v/>
      </c>
      <c r="BC279">
        <f>IF(OR(BA$3="",BA$3&gt;TODAY()),"",IF(AND(BA279="",BB279=""),"",N(BB279)-N(BA279)))</f>
        <v/>
      </c>
      <c r="BF279">
        <f>IF(OR(BA$3="",BA$3&gt;TODAY()),"",IF(AND(BD279="",BE279=""),"",N(BE279)-N(BD279)))</f>
        <v/>
      </c>
      <c r="BJ279">
        <f>IF(OR(BH$3="",BH$3&gt;TODAY()),"",IF(AND(BH279="",BI279=""),"",N(BI279)-N(BH279)))</f>
        <v/>
      </c>
      <c r="BM279">
        <f>IF(OR(BH$3="",BH$3&gt;TODAY()),"",IF(AND(BK279="",BL279=""),"",N(BL279)-N(BK279)))</f>
        <v/>
      </c>
      <c r="BQ279">
        <f>IF(OR(BO$3="",BO$3&gt;TODAY()),"",IF(AND(BO279="",BP279=""),"",N(BP279)-N(BO279)))</f>
        <v/>
      </c>
      <c r="BT279">
        <f>IF(OR(BO$3="",BO$3&gt;TODAY()),"",IF(AND(BR279="",BS279=""),"",N(BS279)-N(BR279)))</f>
        <v/>
      </c>
      <c r="BX279">
        <f>IF(OR(BV$3="",BV$3&gt;TODAY()),"",IF(AND(BV279="",BW279=""),"",N(BW279)-N(BV279)))</f>
        <v/>
      </c>
      <c r="CA279">
        <f>IF(OR(BV$3="",BV$3&gt;TODAY()),"",IF(AND(BY279="",BZ279=""),"",N(BZ279)-N(BY279)))</f>
        <v/>
      </c>
      <c r="CE279">
        <f>IF(OR(CC$3="",CC$3&gt;TODAY()),"",IF(AND(CC279="",CD279=""),"",N(CD279)-N(CC279)))</f>
        <v/>
      </c>
      <c r="CH279">
        <f>IF(OR(CC$3="",CC$3&gt;TODAY()),"",IF(AND(CF279="",CG279=""),"",N(CG279)-N(CF279)))</f>
        <v/>
      </c>
      <c r="CL279">
        <f>IF(OR(CJ$3="",CJ$3&gt;TODAY()),"",IF(AND(CJ279="",CK279=""),"",N(CK279)-N(CJ279)))</f>
        <v/>
      </c>
      <c r="CO279">
        <f>IF(OR(CJ$3="",CJ$3&gt;TODAY()),"",IF(AND(CM279="",CN279=""),"",N(CN279)-N(CM279)))</f>
        <v/>
      </c>
      <c r="CS279">
        <f>IF(OR(CQ$3="",CQ$3&gt;TODAY()),"",IF(AND(CQ279="",CR279=""),"",N(CR279)-N(CQ279)))</f>
        <v/>
      </c>
      <c r="CV279">
        <f>IF(OR(CQ$3="",CQ$3&gt;TODAY()),"",IF(AND(CT279="",CU279=""),"",N(CU279)-N(CT279)))</f>
        <v/>
      </c>
      <c r="CZ279">
        <f>IF(OR(CX$3="",CX$3&gt;TODAY()),"",IF(AND(CX279="",CY279=""),"",N(CY279)-N(CX279)))</f>
        <v/>
      </c>
      <c r="DC279">
        <f>IF(OR(CX$3="",CX$3&gt;TODAY()),"",IF(AND(DA279="",DB279=""),"",N(DB279)-N(DA279)))</f>
        <v/>
      </c>
      <c r="DG279">
        <f>IF(OR(DE$3="",DE$3&gt;TODAY()),"",IF(AND(DE279="",DF279=""),"",N(DF279)-N(DE279)))</f>
        <v/>
      </c>
      <c r="DJ279">
        <f>IF(OR(DE$3="",DE$3&gt;TODAY()),"",IF(AND(DH279="",DI279=""),"",N(DI279)-N(DH279)))</f>
        <v/>
      </c>
      <c r="DN279">
        <f>IF(OR(DL$3="",DL$3&gt;TODAY()),"",IF(AND(DL279="",DM279=""),"",N(DM279)-N(DL279)))</f>
        <v/>
      </c>
      <c r="DQ279">
        <f>IF(OR(DL$3="",DL$3&gt;TODAY()),"",IF(AND(DO279="",DP279=""),"",N(DP279)-N(DO279)))</f>
        <v/>
      </c>
      <c r="DU279">
        <f>IF(OR(DS$3="",DS$3&gt;TODAY()),"",IF(AND(DS279="",DT279=""),"",N(DT279)-N(DS279)))</f>
        <v/>
      </c>
      <c r="DX279">
        <f>IF(OR(DS$3="",DS$3&gt;TODAY()),"",IF(AND(DV279="",DW279=""),"",N(DW279)-N(DV279)))</f>
        <v/>
      </c>
      <c r="EB279">
        <f>IF(OR(DZ$3="",DZ$3&gt;TODAY()),"",IF(AND(DZ279="",EA279=""),"",N(EA279)-N(DZ279)))</f>
        <v/>
      </c>
      <c r="EE279">
        <f>IF(OR(DZ$3="",DZ$3&gt;TODAY()),"",IF(AND(EC279="",ED279=""),"",N(ED279)-N(EC279)))</f>
        <v/>
      </c>
      <c r="EI279">
        <f>IF(OR(EG$3="",EG$3&gt;TODAY()),"",IF(AND(EG279="",EH279=""),"",N(EH279)-N(EG279)))</f>
        <v/>
      </c>
      <c r="EL279">
        <f>IF(OR(EG$3="",EG$3&gt;TODAY()),"",IF(AND(EJ279="",EK279=""),"",N(EK279)-N(EJ279)))</f>
        <v/>
      </c>
      <c r="EP279">
        <f>IF(OR(EN$3="",EN$3&gt;TODAY()),"",IF(AND(EN279="",EO279=""),"",N(EO279)-N(EN279)))</f>
        <v/>
      </c>
      <c r="ES279">
        <f>IF(OR(EN$3="",EN$3&gt;TODAY()),"",IF(AND(EQ279="",ER279=""),"",N(ER279)-N(EQ279)))</f>
        <v/>
      </c>
      <c r="EW279">
        <f>IF(OR(EU$3="",EU$3&gt;TODAY()),"",IF(AND(EU279="",EV279=""),"",N(EV279)-N(EU279)))</f>
        <v/>
      </c>
      <c r="EZ279">
        <f>IF(OR(EU$3="",EU$3&gt;TODAY()),"",IF(AND(EX279="",EY279=""),"",N(EY279)-N(EX279)))</f>
        <v/>
      </c>
      <c r="FD279">
        <f>IF(OR(FB$3="",FB$3&gt;TODAY()),"",IF(AND(FB279="",FC279=""),"",N(FC279)-N(FB279)))</f>
        <v/>
      </c>
      <c r="FG279">
        <f>IF(OR(FB$3="",FB$3&gt;TODAY()),"",IF(AND(FE279="",FF279=""),"",N(FF279)-N(FE279)))</f>
        <v/>
      </c>
      <c r="FK279">
        <f>IF(OR(FI$3="",FI$3&gt;TODAY()),"",IF(AND(FI279="",FJ279=""),"",N(FJ279)-N(FI279)))</f>
        <v/>
      </c>
      <c r="FN279">
        <f>IF(OR(FI$3="",FI$3&gt;TODAY()),"",IF(AND(FL279="",FM279=""),"",N(FM279)-N(FL279)))</f>
        <v/>
      </c>
      <c r="FR279">
        <f>IF(OR(FP$3="",FP$3&gt;TODAY()),"",IF(AND(FP279="",FQ279=""),"",N(FQ279)-N(FP279)))</f>
        <v/>
      </c>
      <c r="FU279">
        <f>IF(OR(FP$3="",FP$3&gt;TODAY()),"",IF(AND(FS279="",FT279=""),"",N(FT279)-N(FS279)))</f>
        <v/>
      </c>
      <c r="FY279">
        <f>IF(OR(FW$3="",FW$3&gt;TODAY()),"",IF(AND(FW279="",FX279=""),"",N(FX279)-N(FW279)))</f>
        <v/>
      </c>
      <c r="GB279">
        <f>IF(OR(FW$3="",FW$3&gt;TODAY()),"",IF(AND(FZ279="",GA279=""),"",N(GA279)-N(FZ279)))</f>
        <v/>
      </c>
      <c r="GF279">
        <f>IF(OR(GD$3="",GD$3&gt;TODAY()),"",IF(AND(GD279="",GE279=""),"",N(GE279)-N(GD279)))</f>
        <v/>
      </c>
      <c r="GI279">
        <f>IF(OR(GD$3="",GD$3&gt;TODAY()),"",IF(AND(GG279="",GH279=""),"",N(GH279)-N(GG279)))</f>
        <v/>
      </c>
      <c r="GM279">
        <f>IF(OR(GK$3="",GK$3&gt;TODAY()),"",IF(AND(GK279="",GL279=""),"",N(GL279)-N(GK279)))</f>
        <v/>
      </c>
      <c r="GP279">
        <f>IF(OR(GK$3="",GK$3&gt;TODAY()),"",IF(AND(GN279="",GO279=""),"",N(GO279)-N(GN279)))</f>
        <v/>
      </c>
      <c r="GT279">
        <f>IF(OR(GR$3="",GR$3&gt;TODAY()),"",IF(AND(GR279="",GS279=""),"",N(GS279)-N(GR279)))</f>
        <v/>
      </c>
      <c r="GW279">
        <f>IF(OR(GR$3="",GR$3&gt;TODAY()),"",IF(AND(GU279="",GV279=""),"",N(GV279)-N(GU279)))</f>
        <v/>
      </c>
      <c r="HA279">
        <f>IF(OR(GY$3="",GY$3&gt;TODAY()),"",IF(AND(GY279="",GZ279=""),"",N(GZ279)-N(GY279)))</f>
        <v/>
      </c>
      <c r="HD279">
        <f>IF(OR(GY$3="",GY$3&gt;TODAY()),"",IF(AND(HB279="",HC279=""),"",N(HC279)-N(HB279)))</f>
        <v/>
      </c>
      <c r="HH279">
        <f>IF(OR(HF$3="",HF$3&gt;TODAY()),"",IF(AND(HF279="",HG279=""),"",N(HG279)-N(HF279)))</f>
        <v/>
      </c>
      <c r="HK279">
        <f>IF(OR(HF$3="",HF$3&gt;TODAY()),"",IF(AND(HI279="",HJ279=""),"",N(HJ279)-N(HI279)))</f>
        <v/>
      </c>
      <c r="HO279">
        <f>IF(OR(HM$3="",HM$3&gt;TODAY()),"",IF(AND(HM279="",HN279=""),"",N(HN279)-N(HM279)))</f>
        <v/>
      </c>
      <c r="HR279">
        <f>IF(OR(HM$3="",HM$3&gt;TODAY()),"",IF(AND(HP279="",HQ279=""),"",N(HQ279)-N(HP279)))</f>
        <v/>
      </c>
      <c r="HV279">
        <f>IF(OR(HT$3="",HT$3&gt;TODAY()),"",IF(AND(HT279="",HU279=""),"",N(HU279)-N(HT279)))</f>
        <v/>
      </c>
      <c r="HY279">
        <f>IF(OR(HT$3="",HT$3&gt;TODAY()),"",IF(AND(HW279="",HX279=""),"",N(HX279)-N(HW279)))</f>
        <v/>
      </c>
      <c r="IC279">
        <f>IF(OR(IA$3="",IA$3&gt;TODAY()),"",IF(AND(IA279="",IB279=""),"",N(IB279)-N(IA279)))</f>
        <v/>
      </c>
      <c r="IF279">
        <f>IF(OR(IA$3="",IA$3&gt;TODAY()),"",IF(AND(ID279="",IE279=""),"",N(IE279)-N(ID279)))</f>
        <v/>
      </c>
      <c r="IJ279">
        <f>IF(OR(IH$3="",IH$3&gt;TODAY()),"",IF(AND(IH279="",II279=""),"",N(II279)-N(IH279)))</f>
        <v/>
      </c>
      <c r="IM279">
        <f>IF(OR(IH$3="",IH$3&gt;TODAY()),"",IF(AND(IK279="",IL279=""),"",N(IL279)-N(IK279)))</f>
        <v/>
      </c>
    </row>
    <row r="280">
      <c r="A280" s="21" t="n"/>
      <c r="B280" s="21" t="n"/>
      <c r="C280" s="21" t="n"/>
      <c r="D280" s="21" t="n"/>
      <c r="E280" s="21" t="n"/>
      <c r="F280" s="21" t="n"/>
      <c r="G280" s="21" t="n"/>
      <c r="H280" s="21" t="n"/>
      <c r="I280" s="22" t="n"/>
      <c r="J280" s="22" t="n"/>
      <c r="K280" s="23" t="n"/>
      <c r="L280" s="22" t="n"/>
      <c r="M280" s="22" t="n"/>
      <c r="N280" s="21" t="n"/>
      <c r="O280" s="23" t="n"/>
      <c r="P280" s="23" t="n"/>
      <c r="Q280" s="23" t="n"/>
      <c r="R280" s="23" t="n"/>
      <c r="S280" s="22" t="n"/>
      <c r="T280" s="23" t="n"/>
      <c r="U280" s="23" t="n"/>
      <c r="V280" s="24">
        <f>IF(J280&lt;&gt;"",J280,IF(I280&lt;&gt;"",I280,""))</f>
        <v/>
      </c>
      <c r="W280" s="25">
        <f>IF($E280="","",N(O280)+SUMIFS($AF280:$IN280,$AF$4:$IN$4,"SEW_ACT"))</f>
        <v/>
      </c>
      <c r="X280" s="25">
        <f>IF($E280="","",N(P280)+SUMIFS($AF280:$IN280,$AF$4:$IN$4,"WASH_ACT"))</f>
        <v/>
      </c>
      <c r="Y280" s="25">
        <f>IF($E280="","",W280-X280-N(T280)-N(U280))</f>
        <v/>
      </c>
      <c r="Z280" s="25">
        <f>IF($E280="","",IF(N(K280)-X280&lt;=0.02*N(K280),0,N(K280)-X280))</f>
        <v/>
      </c>
      <c r="AA280" s="24">
        <f>IF($E280="","",IF(S280&lt;&gt;"",S280,IF(N(O280)&gt;0,IF(L280&lt;&gt;"",L280,99999),IFERROR(1/(1/_xlfn.MINIFS($AF$3:$IN$3,$AF$4:$IN$4,"SEW_ACT",$AF280:$IN280,"&gt;0")),99999))))</f>
        <v/>
      </c>
      <c r="AB280" s="26">
        <f>IF(OR($E280="",Z280=0,V280=""),"",1+COUNTIFS(Z$8:Z$707,"&gt;0",V$8:V$707,"&lt;"&amp;V280)+COUNTIFS(Z$8:Z$707,"&gt;0",V$8:V$707,V280,AA$8:AA$707,"&lt;"&amp;AA280)+COUNTIFS(Z$8:Z$707,"&gt;0",V$8:V$707,V280,AA$8:AA$707,AA280,E$8:E$707,"&lt;"&amp;$E280))</f>
        <v/>
      </c>
      <c r="AC280" s="24">
        <f>IF(OR($E280="",Z280=0),"",IFERROR(TODAY()+ROUNDUP(Z280/(SUMIFS($AF280:$IN280,$AF$4:$IN$4,"WASH_ACT")/COUNTIFS($AF$4:$IN$4,"WASH_ACT",$AF280:$IN280,"&gt;0")),0),"no output yet"))</f>
        <v/>
      </c>
      <c r="AD280" s="26">
        <f>IF($E280="","",IFERROR(ROUND(MAX(0,SUMIFS($AF280:$IN280,$AF$4:$IN$4,"SEW_PLAN",$AF$3:$IN$3,"&lt;="&amp;TODAY())-SUMIFS($AF280:$IN280,$AF$4:$IN$4,"SEW_ACT",$AF$3:$IN$3,"&lt;="&amp;TODAY())+N(Q280))/(SUMIFS($AF280:$IN280,$AF$4:$IN$4,"SEW_PLAN")/COUNTIFS($AF$4:$IN$4,"SEW_PLAN",$AF280:$IN280,"&gt;0")),1),0))</f>
        <v/>
      </c>
      <c r="AE280" s="26">
        <f>IF($E280="","",IF(AND(Z280&gt;0,OR(AND(M280&lt;&gt;"",TODAY()&gt;M280),AND(V280&lt;&gt;"",V280-TODAY()&lt;=7))),"Yes","No"))</f>
        <v/>
      </c>
      <c r="AH280">
        <f>IF(OR(AF$3="",AF$3&gt;TODAY()),"",IF(AND(AF280="",AG280=""),"",N(AG280)-N(AF280)))</f>
        <v/>
      </c>
      <c r="AK280">
        <f>IF(OR(AF$3="",AF$3&gt;TODAY()),"",IF(AND(AI280="",AJ280=""),"",N(AJ280)-N(AI280)))</f>
        <v/>
      </c>
      <c r="AO280">
        <f>IF(OR(AM$3="",AM$3&gt;TODAY()),"",IF(AND(AM280="",AN280=""),"",N(AN280)-N(AM280)))</f>
        <v/>
      </c>
      <c r="AR280">
        <f>IF(OR(AM$3="",AM$3&gt;TODAY()),"",IF(AND(AP280="",AQ280=""),"",N(AQ280)-N(AP280)))</f>
        <v/>
      </c>
      <c r="AV280">
        <f>IF(OR(AT$3="",AT$3&gt;TODAY()),"",IF(AND(AT280="",AU280=""),"",N(AU280)-N(AT280)))</f>
        <v/>
      </c>
      <c r="AY280">
        <f>IF(OR(AT$3="",AT$3&gt;TODAY()),"",IF(AND(AW280="",AX280=""),"",N(AX280)-N(AW280)))</f>
        <v/>
      </c>
      <c r="BC280">
        <f>IF(OR(BA$3="",BA$3&gt;TODAY()),"",IF(AND(BA280="",BB280=""),"",N(BB280)-N(BA280)))</f>
        <v/>
      </c>
      <c r="BF280">
        <f>IF(OR(BA$3="",BA$3&gt;TODAY()),"",IF(AND(BD280="",BE280=""),"",N(BE280)-N(BD280)))</f>
        <v/>
      </c>
      <c r="BJ280">
        <f>IF(OR(BH$3="",BH$3&gt;TODAY()),"",IF(AND(BH280="",BI280=""),"",N(BI280)-N(BH280)))</f>
        <v/>
      </c>
      <c r="BM280">
        <f>IF(OR(BH$3="",BH$3&gt;TODAY()),"",IF(AND(BK280="",BL280=""),"",N(BL280)-N(BK280)))</f>
        <v/>
      </c>
      <c r="BQ280">
        <f>IF(OR(BO$3="",BO$3&gt;TODAY()),"",IF(AND(BO280="",BP280=""),"",N(BP280)-N(BO280)))</f>
        <v/>
      </c>
      <c r="BT280">
        <f>IF(OR(BO$3="",BO$3&gt;TODAY()),"",IF(AND(BR280="",BS280=""),"",N(BS280)-N(BR280)))</f>
        <v/>
      </c>
      <c r="BX280">
        <f>IF(OR(BV$3="",BV$3&gt;TODAY()),"",IF(AND(BV280="",BW280=""),"",N(BW280)-N(BV280)))</f>
        <v/>
      </c>
      <c r="CA280">
        <f>IF(OR(BV$3="",BV$3&gt;TODAY()),"",IF(AND(BY280="",BZ280=""),"",N(BZ280)-N(BY280)))</f>
        <v/>
      </c>
      <c r="CE280">
        <f>IF(OR(CC$3="",CC$3&gt;TODAY()),"",IF(AND(CC280="",CD280=""),"",N(CD280)-N(CC280)))</f>
        <v/>
      </c>
      <c r="CH280">
        <f>IF(OR(CC$3="",CC$3&gt;TODAY()),"",IF(AND(CF280="",CG280=""),"",N(CG280)-N(CF280)))</f>
        <v/>
      </c>
      <c r="CL280">
        <f>IF(OR(CJ$3="",CJ$3&gt;TODAY()),"",IF(AND(CJ280="",CK280=""),"",N(CK280)-N(CJ280)))</f>
        <v/>
      </c>
      <c r="CO280">
        <f>IF(OR(CJ$3="",CJ$3&gt;TODAY()),"",IF(AND(CM280="",CN280=""),"",N(CN280)-N(CM280)))</f>
        <v/>
      </c>
      <c r="CS280">
        <f>IF(OR(CQ$3="",CQ$3&gt;TODAY()),"",IF(AND(CQ280="",CR280=""),"",N(CR280)-N(CQ280)))</f>
        <v/>
      </c>
      <c r="CV280">
        <f>IF(OR(CQ$3="",CQ$3&gt;TODAY()),"",IF(AND(CT280="",CU280=""),"",N(CU280)-N(CT280)))</f>
        <v/>
      </c>
      <c r="CZ280">
        <f>IF(OR(CX$3="",CX$3&gt;TODAY()),"",IF(AND(CX280="",CY280=""),"",N(CY280)-N(CX280)))</f>
        <v/>
      </c>
      <c r="DC280">
        <f>IF(OR(CX$3="",CX$3&gt;TODAY()),"",IF(AND(DA280="",DB280=""),"",N(DB280)-N(DA280)))</f>
        <v/>
      </c>
      <c r="DG280">
        <f>IF(OR(DE$3="",DE$3&gt;TODAY()),"",IF(AND(DE280="",DF280=""),"",N(DF280)-N(DE280)))</f>
        <v/>
      </c>
      <c r="DJ280">
        <f>IF(OR(DE$3="",DE$3&gt;TODAY()),"",IF(AND(DH280="",DI280=""),"",N(DI280)-N(DH280)))</f>
        <v/>
      </c>
      <c r="DN280">
        <f>IF(OR(DL$3="",DL$3&gt;TODAY()),"",IF(AND(DL280="",DM280=""),"",N(DM280)-N(DL280)))</f>
        <v/>
      </c>
      <c r="DQ280">
        <f>IF(OR(DL$3="",DL$3&gt;TODAY()),"",IF(AND(DO280="",DP280=""),"",N(DP280)-N(DO280)))</f>
        <v/>
      </c>
      <c r="DU280">
        <f>IF(OR(DS$3="",DS$3&gt;TODAY()),"",IF(AND(DS280="",DT280=""),"",N(DT280)-N(DS280)))</f>
        <v/>
      </c>
      <c r="DX280">
        <f>IF(OR(DS$3="",DS$3&gt;TODAY()),"",IF(AND(DV280="",DW280=""),"",N(DW280)-N(DV280)))</f>
        <v/>
      </c>
      <c r="EB280">
        <f>IF(OR(DZ$3="",DZ$3&gt;TODAY()),"",IF(AND(DZ280="",EA280=""),"",N(EA280)-N(DZ280)))</f>
        <v/>
      </c>
      <c r="EE280">
        <f>IF(OR(DZ$3="",DZ$3&gt;TODAY()),"",IF(AND(EC280="",ED280=""),"",N(ED280)-N(EC280)))</f>
        <v/>
      </c>
      <c r="EI280">
        <f>IF(OR(EG$3="",EG$3&gt;TODAY()),"",IF(AND(EG280="",EH280=""),"",N(EH280)-N(EG280)))</f>
        <v/>
      </c>
      <c r="EL280">
        <f>IF(OR(EG$3="",EG$3&gt;TODAY()),"",IF(AND(EJ280="",EK280=""),"",N(EK280)-N(EJ280)))</f>
        <v/>
      </c>
      <c r="EP280">
        <f>IF(OR(EN$3="",EN$3&gt;TODAY()),"",IF(AND(EN280="",EO280=""),"",N(EO280)-N(EN280)))</f>
        <v/>
      </c>
      <c r="ES280">
        <f>IF(OR(EN$3="",EN$3&gt;TODAY()),"",IF(AND(EQ280="",ER280=""),"",N(ER280)-N(EQ280)))</f>
        <v/>
      </c>
      <c r="EW280">
        <f>IF(OR(EU$3="",EU$3&gt;TODAY()),"",IF(AND(EU280="",EV280=""),"",N(EV280)-N(EU280)))</f>
        <v/>
      </c>
      <c r="EZ280">
        <f>IF(OR(EU$3="",EU$3&gt;TODAY()),"",IF(AND(EX280="",EY280=""),"",N(EY280)-N(EX280)))</f>
        <v/>
      </c>
      <c r="FD280">
        <f>IF(OR(FB$3="",FB$3&gt;TODAY()),"",IF(AND(FB280="",FC280=""),"",N(FC280)-N(FB280)))</f>
        <v/>
      </c>
      <c r="FG280">
        <f>IF(OR(FB$3="",FB$3&gt;TODAY()),"",IF(AND(FE280="",FF280=""),"",N(FF280)-N(FE280)))</f>
        <v/>
      </c>
      <c r="FK280">
        <f>IF(OR(FI$3="",FI$3&gt;TODAY()),"",IF(AND(FI280="",FJ280=""),"",N(FJ280)-N(FI280)))</f>
        <v/>
      </c>
      <c r="FN280">
        <f>IF(OR(FI$3="",FI$3&gt;TODAY()),"",IF(AND(FL280="",FM280=""),"",N(FM280)-N(FL280)))</f>
        <v/>
      </c>
      <c r="FR280">
        <f>IF(OR(FP$3="",FP$3&gt;TODAY()),"",IF(AND(FP280="",FQ280=""),"",N(FQ280)-N(FP280)))</f>
        <v/>
      </c>
      <c r="FU280">
        <f>IF(OR(FP$3="",FP$3&gt;TODAY()),"",IF(AND(FS280="",FT280=""),"",N(FT280)-N(FS280)))</f>
        <v/>
      </c>
      <c r="FY280">
        <f>IF(OR(FW$3="",FW$3&gt;TODAY()),"",IF(AND(FW280="",FX280=""),"",N(FX280)-N(FW280)))</f>
        <v/>
      </c>
      <c r="GB280">
        <f>IF(OR(FW$3="",FW$3&gt;TODAY()),"",IF(AND(FZ280="",GA280=""),"",N(GA280)-N(FZ280)))</f>
        <v/>
      </c>
      <c r="GF280">
        <f>IF(OR(GD$3="",GD$3&gt;TODAY()),"",IF(AND(GD280="",GE280=""),"",N(GE280)-N(GD280)))</f>
        <v/>
      </c>
      <c r="GI280">
        <f>IF(OR(GD$3="",GD$3&gt;TODAY()),"",IF(AND(GG280="",GH280=""),"",N(GH280)-N(GG280)))</f>
        <v/>
      </c>
      <c r="GM280">
        <f>IF(OR(GK$3="",GK$3&gt;TODAY()),"",IF(AND(GK280="",GL280=""),"",N(GL280)-N(GK280)))</f>
        <v/>
      </c>
      <c r="GP280">
        <f>IF(OR(GK$3="",GK$3&gt;TODAY()),"",IF(AND(GN280="",GO280=""),"",N(GO280)-N(GN280)))</f>
        <v/>
      </c>
      <c r="GT280">
        <f>IF(OR(GR$3="",GR$3&gt;TODAY()),"",IF(AND(GR280="",GS280=""),"",N(GS280)-N(GR280)))</f>
        <v/>
      </c>
      <c r="GW280">
        <f>IF(OR(GR$3="",GR$3&gt;TODAY()),"",IF(AND(GU280="",GV280=""),"",N(GV280)-N(GU280)))</f>
        <v/>
      </c>
      <c r="HA280">
        <f>IF(OR(GY$3="",GY$3&gt;TODAY()),"",IF(AND(GY280="",GZ280=""),"",N(GZ280)-N(GY280)))</f>
        <v/>
      </c>
      <c r="HD280">
        <f>IF(OR(GY$3="",GY$3&gt;TODAY()),"",IF(AND(HB280="",HC280=""),"",N(HC280)-N(HB280)))</f>
        <v/>
      </c>
      <c r="HH280">
        <f>IF(OR(HF$3="",HF$3&gt;TODAY()),"",IF(AND(HF280="",HG280=""),"",N(HG280)-N(HF280)))</f>
        <v/>
      </c>
      <c r="HK280">
        <f>IF(OR(HF$3="",HF$3&gt;TODAY()),"",IF(AND(HI280="",HJ280=""),"",N(HJ280)-N(HI280)))</f>
        <v/>
      </c>
      <c r="HO280">
        <f>IF(OR(HM$3="",HM$3&gt;TODAY()),"",IF(AND(HM280="",HN280=""),"",N(HN280)-N(HM280)))</f>
        <v/>
      </c>
      <c r="HR280">
        <f>IF(OR(HM$3="",HM$3&gt;TODAY()),"",IF(AND(HP280="",HQ280=""),"",N(HQ280)-N(HP280)))</f>
        <v/>
      </c>
      <c r="HV280">
        <f>IF(OR(HT$3="",HT$3&gt;TODAY()),"",IF(AND(HT280="",HU280=""),"",N(HU280)-N(HT280)))</f>
        <v/>
      </c>
      <c r="HY280">
        <f>IF(OR(HT$3="",HT$3&gt;TODAY()),"",IF(AND(HW280="",HX280=""),"",N(HX280)-N(HW280)))</f>
        <v/>
      </c>
      <c r="IC280">
        <f>IF(OR(IA$3="",IA$3&gt;TODAY()),"",IF(AND(IA280="",IB280=""),"",N(IB280)-N(IA280)))</f>
        <v/>
      </c>
      <c r="IF280">
        <f>IF(OR(IA$3="",IA$3&gt;TODAY()),"",IF(AND(ID280="",IE280=""),"",N(IE280)-N(ID280)))</f>
        <v/>
      </c>
      <c r="IJ280">
        <f>IF(OR(IH$3="",IH$3&gt;TODAY()),"",IF(AND(IH280="",II280=""),"",N(II280)-N(IH280)))</f>
        <v/>
      </c>
      <c r="IM280">
        <f>IF(OR(IH$3="",IH$3&gt;TODAY()),"",IF(AND(IK280="",IL280=""),"",N(IL280)-N(IK280)))</f>
        <v/>
      </c>
    </row>
    <row r="281">
      <c r="A281" s="21" t="n"/>
      <c r="B281" s="21" t="n"/>
      <c r="C281" s="21" t="n"/>
      <c r="D281" s="21" t="n"/>
      <c r="E281" s="21" t="n"/>
      <c r="F281" s="21" t="n"/>
      <c r="G281" s="21" t="n"/>
      <c r="H281" s="21" t="n"/>
      <c r="I281" s="22" t="n"/>
      <c r="J281" s="22" t="n"/>
      <c r="K281" s="23" t="n"/>
      <c r="L281" s="22" t="n"/>
      <c r="M281" s="22" t="n"/>
      <c r="N281" s="21" t="n"/>
      <c r="O281" s="23" t="n"/>
      <c r="P281" s="23" t="n"/>
      <c r="Q281" s="23" t="n"/>
      <c r="R281" s="23" t="n"/>
      <c r="S281" s="22" t="n"/>
      <c r="T281" s="23" t="n"/>
      <c r="U281" s="23" t="n"/>
      <c r="V281" s="24">
        <f>IF(J281&lt;&gt;"",J281,IF(I281&lt;&gt;"",I281,""))</f>
        <v/>
      </c>
      <c r="W281" s="25">
        <f>IF($E281="","",N(O281)+SUMIFS($AF281:$IN281,$AF$4:$IN$4,"SEW_ACT"))</f>
        <v/>
      </c>
      <c r="X281" s="25">
        <f>IF($E281="","",N(P281)+SUMIFS($AF281:$IN281,$AF$4:$IN$4,"WASH_ACT"))</f>
        <v/>
      </c>
      <c r="Y281" s="25">
        <f>IF($E281="","",W281-X281-N(T281)-N(U281))</f>
        <v/>
      </c>
      <c r="Z281" s="25">
        <f>IF($E281="","",IF(N(K281)-X281&lt;=0.02*N(K281),0,N(K281)-X281))</f>
        <v/>
      </c>
      <c r="AA281" s="24">
        <f>IF($E281="","",IF(S281&lt;&gt;"",S281,IF(N(O281)&gt;0,IF(L281&lt;&gt;"",L281,99999),IFERROR(1/(1/_xlfn.MINIFS($AF$3:$IN$3,$AF$4:$IN$4,"SEW_ACT",$AF281:$IN281,"&gt;0")),99999))))</f>
        <v/>
      </c>
      <c r="AB281" s="26">
        <f>IF(OR($E281="",Z281=0,V281=""),"",1+COUNTIFS(Z$8:Z$707,"&gt;0",V$8:V$707,"&lt;"&amp;V281)+COUNTIFS(Z$8:Z$707,"&gt;0",V$8:V$707,V281,AA$8:AA$707,"&lt;"&amp;AA281)+COUNTIFS(Z$8:Z$707,"&gt;0",V$8:V$707,V281,AA$8:AA$707,AA281,E$8:E$707,"&lt;"&amp;$E281))</f>
        <v/>
      </c>
      <c r="AC281" s="24">
        <f>IF(OR($E281="",Z281=0),"",IFERROR(TODAY()+ROUNDUP(Z281/(SUMIFS($AF281:$IN281,$AF$4:$IN$4,"WASH_ACT")/COUNTIFS($AF$4:$IN$4,"WASH_ACT",$AF281:$IN281,"&gt;0")),0),"no output yet"))</f>
        <v/>
      </c>
      <c r="AD281" s="26">
        <f>IF($E281="","",IFERROR(ROUND(MAX(0,SUMIFS($AF281:$IN281,$AF$4:$IN$4,"SEW_PLAN",$AF$3:$IN$3,"&lt;="&amp;TODAY())-SUMIFS($AF281:$IN281,$AF$4:$IN$4,"SEW_ACT",$AF$3:$IN$3,"&lt;="&amp;TODAY())+N(Q281))/(SUMIFS($AF281:$IN281,$AF$4:$IN$4,"SEW_PLAN")/COUNTIFS($AF$4:$IN$4,"SEW_PLAN",$AF281:$IN281,"&gt;0")),1),0))</f>
        <v/>
      </c>
      <c r="AE281" s="26">
        <f>IF($E281="","",IF(AND(Z281&gt;0,OR(AND(M281&lt;&gt;"",TODAY()&gt;M281),AND(V281&lt;&gt;"",V281-TODAY()&lt;=7))),"Yes","No"))</f>
        <v/>
      </c>
      <c r="AH281">
        <f>IF(OR(AF$3="",AF$3&gt;TODAY()),"",IF(AND(AF281="",AG281=""),"",N(AG281)-N(AF281)))</f>
        <v/>
      </c>
      <c r="AK281">
        <f>IF(OR(AF$3="",AF$3&gt;TODAY()),"",IF(AND(AI281="",AJ281=""),"",N(AJ281)-N(AI281)))</f>
        <v/>
      </c>
      <c r="AO281">
        <f>IF(OR(AM$3="",AM$3&gt;TODAY()),"",IF(AND(AM281="",AN281=""),"",N(AN281)-N(AM281)))</f>
        <v/>
      </c>
      <c r="AR281">
        <f>IF(OR(AM$3="",AM$3&gt;TODAY()),"",IF(AND(AP281="",AQ281=""),"",N(AQ281)-N(AP281)))</f>
        <v/>
      </c>
      <c r="AV281">
        <f>IF(OR(AT$3="",AT$3&gt;TODAY()),"",IF(AND(AT281="",AU281=""),"",N(AU281)-N(AT281)))</f>
        <v/>
      </c>
      <c r="AY281">
        <f>IF(OR(AT$3="",AT$3&gt;TODAY()),"",IF(AND(AW281="",AX281=""),"",N(AX281)-N(AW281)))</f>
        <v/>
      </c>
      <c r="BC281">
        <f>IF(OR(BA$3="",BA$3&gt;TODAY()),"",IF(AND(BA281="",BB281=""),"",N(BB281)-N(BA281)))</f>
        <v/>
      </c>
      <c r="BF281">
        <f>IF(OR(BA$3="",BA$3&gt;TODAY()),"",IF(AND(BD281="",BE281=""),"",N(BE281)-N(BD281)))</f>
        <v/>
      </c>
      <c r="BJ281">
        <f>IF(OR(BH$3="",BH$3&gt;TODAY()),"",IF(AND(BH281="",BI281=""),"",N(BI281)-N(BH281)))</f>
        <v/>
      </c>
      <c r="BM281">
        <f>IF(OR(BH$3="",BH$3&gt;TODAY()),"",IF(AND(BK281="",BL281=""),"",N(BL281)-N(BK281)))</f>
        <v/>
      </c>
      <c r="BQ281">
        <f>IF(OR(BO$3="",BO$3&gt;TODAY()),"",IF(AND(BO281="",BP281=""),"",N(BP281)-N(BO281)))</f>
        <v/>
      </c>
      <c r="BT281">
        <f>IF(OR(BO$3="",BO$3&gt;TODAY()),"",IF(AND(BR281="",BS281=""),"",N(BS281)-N(BR281)))</f>
        <v/>
      </c>
      <c r="BX281">
        <f>IF(OR(BV$3="",BV$3&gt;TODAY()),"",IF(AND(BV281="",BW281=""),"",N(BW281)-N(BV281)))</f>
        <v/>
      </c>
      <c r="CA281">
        <f>IF(OR(BV$3="",BV$3&gt;TODAY()),"",IF(AND(BY281="",BZ281=""),"",N(BZ281)-N(BY281)))</f>
        <v/>
      </c>
      <c r="CE281">
        <f>IF(OR(CC$3="",CC$3&gt;TODAY()),"",IF(AND(CC281="",CD281=""),"",N(CD281)-N(CC281)))</f>
        <v/>
      </c>
      <c r="CH281">
        <f>IF(OR(CC$3="",CC$3&gt;TODAY()),"",IF(AND(CF281="",CG281=""),"",N(CG281)-N(CF281)))</f>
        <v/>
      </c>
      <c r="CL281">
        <f>IF(OR(CJ$3="",CJ$3&gt;TODAY()),"",IF(AND(CJ281="",CK281=""),"",N(CK281)-N(CJ281)))</f>
        <v/>
      </c>
      <c r="CO281">
        <f>IF(OR(CJ$3="",CJ$3&gt;TODAY()),"",IF(AND(CM281="",CN281=""),"",N(CN281)-N(CM281)))</f>
        <v/>
      </c>
      <c r="CS281">
        <f>IF(OR(CQ$3="",CQ$3&gt;TODAY()),"",IF(AND(CQ281="",CR281=""),"",N(CR281)-N(CQ281)))</f>
        <v/>
      </c>
      <c r="CV281">
        <f>IF(OR(CQ$3="",CQ$3&gt;TODAY()),"",IF(AND(CT281="",CU281=""),"",N(CU281)-N(CT281)))</f>
        <v/>
      </c>
      <c r="CZ281">
        <f>IF(OR(CX$3="",CX$3&gt;TODAY()),"",IF(AND(CX281="",CY281=""),"",N(CY281)-N(CX281)))</f>
        <v/>
      </c>
      <c r="DC281">
        <f>IF(OR(CX$3="",CX$3&gt;TODAY()),"",IF(AND(DA281="",DB281=""),"",N(DB281)-N(DA281)))</f>
        <v/>
      </c>
      <c r="DG281">
        <f>IF(OR(DE$3="",DE$3&gt;TODAY()),"",IF(AND(DE281="",DF281=""),"",N(DF281)-N(DE281)))</f>
        <v/>
      </c>
      <c r="DJ281">
        <f>IF(OR(DE$3="",DE$3&gt;TODAY()),"",IF(AND(DH281="",DI281=""),"",N(DI281)-N(DH281)))</f>
        <v/>
      </c>
      <c r="DN281">
        <f>IF(OR(DL$3="",DL$3&gt;TODAY()),"",IF(AND(DL281="",DM281=""),"",N(DM281)-N(DL281)))</f>
        <v/>
      </c>
      <c r="DQ281">
        <f>IF(OR(DL$3="",DL$3&gt;TODAY()),"",IF(AND(DO281="",DP281=""),"",N(DP281)-N(DO281)))</f>
        <v/>
      </c>
      <c r="DU281">
        <f>IF(OR(DS$3="",DS$3&gt;TODAY()),"",IF(AND(DS281="",DT281=""),"",N(DT281)-N(DS281)))</f>
        <v/>
      </c>
      <c r="DX281">
        <f>IF(OR(DS$3="",DS$3&gt;TODAY()),"",IF(AND(DV281="",DW281=""),"",N(DW281)-N(DV281)))</f>
        <v/>
      </c>
      <c r="EB281">
        <f>IF(OR(DZ$3="",DZ$3&gt;TODAY()),"",IF(AND(DZ281="",EA281=""),"",N(EA281)-N(DZ281)))</f>
        <v/>
      </c>
      <c r="EE281">
        <f>IF(OR(DZ$3="",DZ$3&gt;TODAY()),"",IF(AND(EC281="",ED281=""),"",N(ED281)-N(EC281)))</f>
        <v/>
      </c>
      <c r="EI281">
        <f>IF(OR(EG$3="",EG$3&gt;TODAY()),"",IF(AND(EG281="",EH281=""),"",N(EH281)-N(EG281)))</f>
        <v/>
      </c>
      <c r="EL281">
        <f>IF(OR(EG$3="",EG$3&gt;TODAY()),"",IF(AND(EJ281="",EK281=""),"",N(EK281)-N(EJ281)))</f>
        <v/>
      </c>
      <c r="EP281">
        <f>IF(OR(EN$3="",EN$3&gt;TODAY()),"",IF(AND(EN281="",EO281=""),"",N(EO281)-N(EN281)))</f>
        <v/>
      </c>
      <c r="ES281">
        <f>IF(OR(EN$3="",EN$3&gt;TODAY()),"",IF(AND(EQ281="",ER281=""),"",N(ER281)-N(EQ281)))</f>
        <v/>
      </c>
      <c r="EW281">
        <f>IF(OR(EU$3="",EU$3&gt;TODAY()),"",IF(AND(EU281="",EV281=""),"",N(EV281)-N(EU281)))</f>
        <v/>
      </c>
      <c r="EZ281">
        <f>IF(OR(EU$3="",EU$3&gt;TODAY()),"",IF(AND(EX281="",EY281=""),"",N(EY281)-N(EX281)))</f>
        <v/>
      </c>
      <c r="FD281">
        <f>IF(OR(FB$3="",FB$3&gt;TODAY()),"",IF(AND(FB281="",FC281=""),"",N(FC281)-N(FB281)))</f>
        <v/>
      </c>
      <c r="FG281">
        <f>IF(OR(FB$3="",FB$3&gt;TODAY()),"",IF(AND(FE281="",FF281=""),"",N(FF281)-N(FE281)))</f>
        <v/>
      </c>
      <c r="FK281">
        <f>IF(OR(FI$3="",FI$3&gt;TODAY()),"",IF(AND(FI281="",FJ281=""),"",N(FJ281)-N(FI281)))</f>
        <v/>
      </c>
      <c r="FN281">
        <f>IF(OR(FI$3="",FI$3&gt;TODAY()),"",IF(AND(FL281="",FM281=""),"",N(FM281)-N(FL281)))</f>
        <v/>
      </c>
      <c r="FR281">
        <f>IF(OR(FP$3="",FP$3&gt;TODAY()),"",IF(AND(FP281="",FQ281=""),"",N(FQ281)-N(FP281)))</f>
        <v/>
      </c>
      <c r="FU281">
        <f>IF(OR(FP$3="",FP$3&gt;TODAY()),"",IF(AND(FS281="",FT281=""),"",N(FT281)-N(FS281)))</f>
        <v/>
      </c>
      <c r="FY281">
        <f>IF(OR(FW$3="",FW$3&gt;TODAY()),"",IF(AND(FW281="",FX281=""),"",N(FX281)-N(FW281)))</f>
        <v/>
      </c>
      <c r="GB281">
        <f>IF(OR(FW$3="",FW$3&gt;TODAY()),"",IF(AND(FZ281="",GA281=""),"",N(GA281)-N(FZ281)))</f>
        <v/>
      </c>
      <c r="GF281">
        <f>IF(OR(GD$3="",GD$3&gt;TODAY()),"",IF(AND(GD281="",GE281=""),"",N(GE281)-N(GD281)))</f>
        <v/>
      </c>
      <c r="GI281">
        <f>IF(OR(GD$3="",GD$3&gt;TODAY()),"",IF(AND(GG281="",GH281=""),"",N(GH281)-N(GG281)))</f>
        <v/>
      </c>
      <c r="GM281">
        <f>IF(OR(GK$3="",GK$3&gt;TODAY()),"",IF(AND(GK281="",GL281=""),"",N(GL281)-N(GK281)))</f>
        <v/>
      </c>
      <c r="GP281">
        <f>IF(OR(GK$3="",GK$3&gt;TODAY()),"",IF(AND(GN281="",GO281=""),"",N(GO281)-N(GN281)))</f>
        <v/>
      </c>
      <c r="GT281">
        <f>IF(OR(GR$3="",GR$3&gt;TODAY()),"",IF(AND(GR281="",GS281=""),"",N(GS281)-N(GR281)))</f>
        <v/>
      </c>
      <c r="GW281">
        <f>IF(OR(GR$3="",GR$3&gt;TODAY()),"",IF(AND(GU281="",GV281=""),"",N(GV281)-N(GU281)))</f>
        <v/>
      </c>
      <c r="HA281">
        <f>IF(OR(GY$3="",GY$3&gt;TODAY()),"",IF(AND(GY281="",GZ281=""),"",N(GZ281)-N(GY281)))</f>
        <v/>
      </c>
      <c r="HD281">
        <f>IF(OR(GY$3="",GY$3&gt;TODAY()),"",IF(AND(HB281="",HC281=""),"",N(HC281)-N(HB281)))</f>
        <v/>
      </c>
      <c r="HH281">
        <f>IF(OR(HF$3="",HF$3&gt;TODAY()),"",IF(AND(HF281="",HG281=""),"",N(HG281)-N(HF281)))</f>
        <v/>
      </c>
      <c r="HK281">
        <f>IF(OR(HF$3="",HF$3&gt;TODAY()),"",IF(AND(HI281="",HJ281=""),"",N(HJ281)-N(HI281)))</f>
        <v/>
      </c>
      <c r="HO281">
        <f>IF(OR(HM$3="",HM$3&gt;TODAY()),"",IF(AND(HM281="",HN281=""),"",N(HN281)-N(HM281)))</f>
        <v/>
      </c>
      <c r="HR281">
        <f>IF(OR(HM$3="",HM$3&gt;TODAY()),"",IF(AND(HP281="",HQ281=""),"",N(HQ281)-N(HP281)))</f>
        <v/>
      </c>
      <c r="HV281">
        <f>IF(OR(HT$3="",HT$3&gt;TODAY()),"",IF(AND(HT281="",HU281=""),"",N(HU281)-N(HT281)))</f>
        <v/>
      </c>
      <c r="HY281">
        <f>IF(OR(HT$3="",HT$3&gt;TODAY()),"",IF(AND(HW281="",HX281=""),"",N(HX281)-N(HW281)))</f>
        <v/>
      </c>
      <c r="IC281">
        <f>IF(OR(IA$3="",IA$3&gt;TODAY()),"",IF(AND(IA281="",IB281=""),"",N(IB281)-N(IA281)))</f>
        <v/>
      </c>
      <c r="IF281">
        <f>IF(OR(IA$3="",IA$3&gt;TODAY()),"",IF(AND(ID281="",IE281=""),"",N(IE281)-N(ID281)))</f>
        <v/>
      </c>
      <c r="IJ281">
        <f>IF(OR(IH$3="",IH$3&gt;TODAY()),"",IF(AND(IH281="",II281=""),"",N(II281)-N(IH281)))</f>
        <v/>
      </c>
      <c r="IM281">
        <f>IF(OR(IH$3="",IH$3&gt;TODAY()),"",IF(AND(IK281="",IL281=""),"",N(IL281)-N(IK281)))</f>
        <v/>
      </c>
    </row>
    <row r="282">
      <c r="A282" s="21" t="n"/>
      <c r="B282" s="21" t="n"/>
      <c r="C282" s="21" t="n"/>
      <c r="D282" s="21" t="n"/>
      <c r="E282" s="21" t="n"/>
      <c r="F282" s="21" t="n"/>
      <c r="G282" s="21" t="n"/>
      <c r="H282" s="21" t="n"/>
      <c r="I282" s="22" t="n"/>
      <c r="J282" s="22" t="n"/>
      <c r="K282" s="23" t="n"/>
      <c r="L282" s="22" t="n"/>
      <c r="M282" s="22" t="n"/>
      <c r="N282" s="21" t="n"/>
      <c r="O282" s="23" t="n"/>
      <c r="P282" s="23" t="n"/>
      <c r="Q282" s="23" t="n"/>
      <c r="R282" s="23" t="n"/>
      <c r="S282" s="22" t="n"/>
      <c r="T282" s="23" t="n"/>
      <c r="U282" s="23" t="n"/>
      <c r="V282" s="24">
        <f>IF(J282&lt;&gt;"",J282,IF(I282&lt;&gt;"",I282,""))</f>
        <v/>
      </c>
      <c r="W282" s="25">
        <f>IF($E282="","",N(O282)+SUMIFS($AF282:$IN282,$AF$4:$IN$4,"SEW_ACT"))</f>
        <v/>
      </c>
      <c r="X282" s="25">
        <f>IF($E282="","",N(P282)+SUMIFS($AF282:$IN282,$AF$4:$IN$4,"WASH_ACT"))</f>
        <v/>
      </c>
      <c r="Y282" s="25">
        <f>IF($E282="","",W282-X282-N(T282)-N(U282))</f>
        <v/>
      </c>
      <c r="Z282" s="25">
        <f>IF($E282="","",IF(N(K282)-X282&lt;=0.02*N(K282),0,N(K282)-X282))</f>
        <v/>
      </c>
      <c r="AA282" s="24">
        <f>IF($E282="","",IF(S282&lt;&gt;"",S282,IF(N(O282)&gt;0,IF(L282&lt;&gt;"",L282,99999),IFERROR(1/(1/_xlfn.MINIFS($AF$3:$IN$3,$AF$4:$IN$4,"SEW_ACT",$AF282:$IN282,"&gt;0")),99999))))</f>
        <v/>
      </c>
      <c r="AB282" s="26">
        <f>IF(OR($E282="",Z282=0,V282=""),"",1+COUNTIFS(Z$8:Z$707,"&gt;0",V$8:V$707,"&lt;"&amp;V282)+COUNTIFS(Z$8:Z$707,"&gt;0",V$8:V$707,V282,AA$8:AA$707,"&lt;"&amp;AA282)+COUNTIFS(Z$8:Z$707,"&gt;0",V$8:V$707,V282,AA$8:AA$707,AA282,E$8:E$707,"&lt;"&amp;$E282))</f>
        <v/>
      </c>
      <c r="AC282" s="24">
        <f>IF(OR($E282="",Z282=0),"",IFERROR(TODAY()+ROUNDUP(Z282/(SUMIFS($AF282:$IN282,$AF$4:$IN$4,"WASH_ACT")/COUNTIFS($AF$4:$IN$4,"WASH_ACT",$AF282:$IN282,"&gt;0")),0),"no output yet"))</f>
        <v/>
      </c>
      <c r="AD282" s="26">
        <f>IF($E282="","",IFERROR(ROUND(MAX(0,SUMIFS($AF282:$IN282,$AF$4:$IN$4,"SEW_PLAN",$AF$3:$IN$3,"&lt;="&amp;TODAY())-SUMIFS($AF282:$IN282,$AF$4:$IN$4,"SEW_ACT",$AF$3:$IN$3,"&lt;="&amp;TODAY())+N(Q282))/(SUMIFS($AF282:$IN282,$AF$4:$IN$4,"SEW_PLAN")/COUNTIFS($AF$4:$IN$4,"SEW_PLAN",$AF282:$IN282,"&gt;0")),1),0))</f>
        <v/>
      </c>
      <c r="AE282" s="26">
        <f>IF($E282="","",IF(AND(Z282&gt;0,OR(AND(M282&lt;&gt;"",TODAY()&gt;M282),AND(V282&lt;&gt;"",V282-TODAY()&lt;=7))),"Yes","No"))</f>
        <v/>
      </c>
      <c r="AH282">
        <f>IF(OR(AF$3="",AF$3&gt;TODAY()),"",IF(AND(AF282="",AG282=""),"",N(AG282)-N(AF282)))</f>
        <v/>
      </c>
      <c r="AK282">
        <f>IF(OR(AF$3="",AF$3&gt;TODAY()),"",IF(AND(AI282="",AJ282=""),"",N(AJ282)-N(AI282)))</f>
        <v/>
      </c>
      <c r="AO282">
        <f>IF(OR(AM$3="",AM$3&gt;TODAY()),"",IF(AND(AM282="",AN282=""),"",N(AN282)-N(AM282)))</f>
        <v/>
      </c>
      <c r="AR282">
        <f>IF(OR(AM$3="",AM$3&gt;TODAY()),"",IF(AND(AP282="",AQ282=""),"",N(AQ282)-N(AP282)))</f>
        <v/>
      </c>
      <c r="AV282">
        <f>IF(OR(AT$3="",AT$3&gt;TODAY()),"",IF(AND(AT282="",AU282=""),"",N(AU282)-N(AT282)))</f>
        <v/>
      </c>
      <c r="AY282">
        <f>IF(OR(AT$3="",AT$3&gt;TODAY()),"",IF(AND(AW282="",AX282=""),"",N(AX282)-N(AW282)))</f>
        <v/>
      </c>
      <c r="BC282">
        <f>IF(OR(BA$3="",BA$3&gt;TODAY()),"",IF(AND(BA282="",BB282=""),"",N(BB282)-N(BA282)))</f>
        <v/>
      </c>
      <c r="BF282">
        <f>IF(OR(BA$3="",BA$3&gt;TODAY()),"",IF(AND(BD282="",BE282=""),"",N(BE282)-N(BD282)))</f>
        <v/>
      </c>
      <c r="BJ282">
        <f>IF(OR(BH$3="",BH$3&gt;TODAY()),"",IF(AND(BH282="",BI282=""),"",N(BI282)-N(BH282)))</f>
        <v/>
      </c>
      <c r="BM282">
        <f>IF(OR(BH$3="",BH$3&gt;TODAY()),"",IF(AND(BK282="",BL282=""),"",N(BL282)-N(BK282)))</f>
        <v/>
      </c>
      <c r="BQ282">
        <f>IF(OR(BO$3="",BO$3&gt;TODAY()),"",IF(AND(BO282="",BP282=""),"",N(BP282)-N(BO282)))</f>
        <v/>
      </c>
      <c r="BT282">
        <f>IF(OR(BO$3="",BO$3&gt;TODAY()),"",IF(AND(BR282="",BS282=""),"",N(BS282)-N(BR282)))</f>
        <v/>
      </c>
      <c r="BX282">
        <f>IF(OR(BV$3="",BV$3&gt;TODAY()),"",IF(AND(BV282="",BW282=""),"",N(BW282)-N(BV282)))</f>
        <v/>
      </c>
      <c r="CA282">
        <f>IF(OR(BV$3="",BV$3&gt;TODAY()),"",IF(AND(BY282="",BZ282=""),"",N(BZ282)-N(BY282)))</f>
        <v/>
      </c>
      <c r="CE282">
        <f>IF(OR(CC$3="",CC$3&gt;TODAY()),"",IF(AND(CC282="",CD282=""),"",N(CD282)-N(CC282)))</f>
        <v/>
      </c>
      <c r="CH282">
        <f>IF(OR(CC$3="",CC$3&gt;TODAY()),"",IF(AND(CF282="",CG282=""),"",N(CG282)-N(CF282)))</f>
        <v/>
      </c>
      <c r="CL282">
        <f>IF(OR(CJ$3="",CJ$3&gt;TODAY()),"",IF(AND(CJ282="",CK282=""),"",N(CK282)-N(CJ282)))</f>
        <v/>
      </c>
      <c r="CO282">
        <f>IF(OR(CJ$3="",CJ$3&gt;TODAY()),"",IF(AND(CM282="",CN282=""),"",N(CN282)-N(CM282)))</f>
        <v/>
      </c>
      <c r="CS282">
        <f>IF(OR(CQ$3="",CQ$3&gt;TODAY()),"",IF(AND(CQ282="",CR282=""),"",N(CR282)-N(CQ282)))</f>
        <v/>
      </c>
      <c r="CV282">
        <f>IF(OR(CQ$3="",CQ$3&gt;TODAY()),"",IF(AND(CT282="",CU282=""),"",N(CU282)-N(CT282)))</f>
        <v/>
      </c>
      <c r="CZ282">
        <f>IF(OR(CX$3="",CX$3&gt;TODAY()),"",IF(AND(CX282="",CY282=""),"",N(CY282)-N(CX282)))</f>
        <v/>
      </c>
      <c r="DC282">
        <f>IF(OR(CX$3="",CX$3&gt;TODAY()),"",IF(AND(DA282="",DB282=""),"",N(DB282)-N(DA282)))</f>
        <v/>
      </c>
      <c r="DG282">
        <f>IF(OR(DE$3="",DE$3&gt;TODAY()),"",IF(AND(DE282="",DF282=""),"",N(DF282)-N(DE282)))</f>
        <v/>
      </c>
      <c r="DJ282">
        <f>IF(OR(DE$3="",DE$3&gt;TODAY()),"",IF(AND(DH282="",DI282=""),"",N(DI282)-N(DH282)))</f>
        <v/>
      </c>
      <c r="DN282">
        <f>IF(OR(DL$3="",DL$3&gt;TODAY()),"",IF(AND(DL282="",DM282=""),"",N(DM282)-N(DL282)))</f>
        <v/>
      </c>
      <c r="DQ282">
        <f>IF(OR(DL$3="",DL$3&gt;TODAY()),"",IF(AND(DO282="",DP282=""),"",N(DP282)-N(DO282)))</f>
        <v/>
      </c>
      <c r="DU282">
        <f>IF(OR(DS$3="",DS$3&gt;TODAY()),"",IF(AND(DS282="",DT282=""),"",N(DT282)-N(DS282)))</f>
        <v/>
      </c>
      <c r="DX282">
        <f>IF(OR(DS$3="",DS$3&gt;TODAY()),"",IF(AND(DV282="",DW282=""),"",N(DW282)-N(DV282)))</f>
        <v/>
      </c>
      <c r="EB282">
        <f>IF(OR(DZ$3="",DZ$3&gt;TODAY()),"",IF(AND(DZ282="",EA282=""),"",N(EA282)-N(DZ282)))</f>
        <v/>
      </c>
      <c r="EE282">
        <f>IF(OR(DZ$3="",DZ$3&gt;TODAY()),"",IF(AND(EC282="",ED282=""),"",N(ED282)-N(EC282)))</f>
        <v/>
      </c>
      <c r="EI282">
        <f>IF(OR(EG$3="",EG$3&gt;TODAY()),"",IF(AND(EG282="",EH282=""),"",N(EH282)-N(EG282)))</f>
        <v/>
      </c>
      <c r="EL282">
        <f>IF(OR(EG$3="",EG$3&gt;TODAY()),"",IF(AND(EJ282="",EK282=""),"",N(EK282)-N(EJ282)))</f>
        <v/>
      </c>
      <c r="EP282">
        <f>IF(OR(EN$3="",EN$3&gt;TODAY()),"",IF(AND(EN282="",EO282=""),"",N(EO282)-N(EN282)))</f>
        <v/>
      </c>
      <c r="ES282">
        <f>IF(OR(EN$3="",EN$3&gt;TODAY()),"",IF(AND(EQ282="",ER282=""),"",N(ER282)-N(EQ282)))</f>
        <v/>
      </c>
      <c r="EW282">
        <f>IF(OR(EU$3="",EU$3&gt;TODAY()),"",IF(AND(EU282="",EV282=""),"",N(EV282)-N(EU282)))</f>
        <v/>
      </c>
      <c r="EZ282">
        <f>IF(OR(EU$3="",EU$3&gt;TODAY()),"",IF(AND(EX282="",EY282=""),"",N(EY282)-N(EX282)))</f>
        <v/>
      </c>
      <c r="FD282">
        <f>IF(OR(FB$3="",FB$3&gt;TODAY()),"",IF(AND(FB282="",FC282=""),"",N(FC282)-N(FB282)))</f>
        <v/>
      </c>
      <c r="FG282">
        <f>IF(OR(FB$3="",FB$3&gt;TODAY()),"",IF(AND(FE282="",FF282=""),"",N(FF282)-N(FE282)))</f>
        <v/>
      </c>
      <c r="FK282">
        <f>IF(OR(FI$3="",FI$3&gt;TODAY()),"",IF(AND(FI282="",FJ282=""),"",N(FJ282)-N(FI282)))</f>
        <v/>
      </c>
      <c r="FN282">
        <f>IF(OR(FI$3="",FI$3&gt;TODAY()),"",IF(AND(FL282="",FM282=""),"",N(FM282)-N(FL282)))</f>
        <v/>
      </c>
      <c r="FR282">
        <f>IF(OR(FP$3="",FP$3&gt;TODAY()),"",IF(AND(FP282="",FQ282=""),"",N(FQ282)-N(FP282)))</f>
        <v/>
      </c>
      <c r="FU282">
        <f>IF(OR(FP$3="",FP$3&gt;TODAY()),"",IF(AND(FS282="",FT282=""),"",N(FT282)-N(FS282)))</f>
        <v/>
      </c>
      <c r="FY282">
        <f>IF(OR(FW$3="",FW$3&gt;TODAY()),"",IF(AND(FW282="",FX282=""),"",N(FX282)-N(FW282)))</f>
        <v/>
      </c>
      <c r="GB282">
        <f>IF(OR(FW$3="",FW$3&gt;TODAY()),"",IF(AND(FZ282="",GA282=""),"",N(GA282)-N(FZ282)))</f>
        <v/>
      </c>
      <c r="GF282">
        <f>IF(OR(GD$3="",GD$3&gt;TODAY()),"",IF(AND(GD282="",GE282=""),"",N(GE282)-N(GD282)))</f>
        <v/>
      </c>
      <c r="GI282">
        <f>IF(OR(GD$3="",GD$3&gt;TODAY()),"",IF(AND(GG282="",GH282=""),"",N(GH282)-N(GG282)))</f>
        <v/>
      </c>
      <c r="GM282">
        <f>IF(OR(GK$3="",GK$3&gt;TODAY()),"",IF(AND(GK282="",GL282=""),"",N(GL282)-N(GK282)))</f>
        <v/>
      </c>
      <c r="GP282">
        <f>IF(OR(GK$3="",GK$3&gt;TODAY()),"",IF(AND(GN282="",GO282=""),"",N(GO282)-N(GN282)))</f>
        <v/>
      </c>
      <c r="GT282">
        <f>IF(OR(GR$3="",GR$3&gt;TODAY()),"",IF(AND(GR282="",GS282=""),"",N(GS282)-N(GR282)))</f>
        <v/>
      </c>
      <c r="GW282">
        <f>IF(OR(GR$3="",GR$3&gt;TODAY()),"",IF(AND(GU282="",GV282=""),"",N(GV282)-N(GU282)))</f>
        <v/>
      </c>
      <c r="HA282">
        <f>IF(OR(GY$3="",GY$3&gt;TODAY()),"",IF(AND(GY282="",GZ282=""),"",N(GZ282)-N(GY282)))</f>
        <v/>
      </c>
      <c r="HD282">
        <f>IF(OR(GY$3="",GY$3&gt;TODAY()),"",IF(AND(HB282="",HC282=""),"",N(HC282)-N(HB282)))</f>
        <v/>
      </c>
      <c r="HH282">
        <f>IF(OR(HF$3="",HF$3&gt;TODAY()),"",IF(AND(HF282="",HG282=""),"",N(HG282)-N(HF282)))</f>
        <v/>
      </c>
      <c r="HK282">
        <f>IF(OR(HF$3="",HF$3&gt;TODAY()),"",IF(AND(HI282="",HJ282=""),"",N(HJ282)-N(HI282)))</f>
        <v/>
      </c>
      <c r="HO282">
        <f>IF(OR(HM$3="",HM$3&gt;TODAY()),"",IF(AND(HM282="",HN282=""),"",N(HN282)-N(HM282)))</f>
        <v/>
      </c>
      <c r="HR282">
        <f>IF(OR(HM$3="",HM$3&gt;TODAY()),"",IF(AND(HP282="",HQ282=""),"",N(HQ282)-N(HP282)))</f>
        <v/>
      </c>
      <c r="HV282">
        <f>IF(OR(HT$3="",HT$3&gt;TODAY()),"",IF(AND(HT282="",HU282=""),"",N(HU282)-N(HT282)))</f>
        <v/>
      </c>
      <c r="HY282">
        <f>IF(OR(HT$3="",HT$3&gt;TODAY()),"",IF(AND(HW282="",HX282=""),"",N(HX282)-N(HW282)))</f>
        <v/>
      </c>
      <c r="IC282">
        <f>IF(OR(IA$3="",IA$3&gt;TODAY()),"",IF(AND(IA282="",IB282=""),"",N(IB282)-N(IA282)))</f>
        <v/>
      </c>
      <c r="IF282">
        <f>IF(OR(IA$3="",IA$3&gt;TODAY()),"",IF(AND(ID282="",IE282=""),"",N(IE282)-N(ID282)))</f>
        <v/>
      </c>
      <c r="IJ282">
        <f>IF(OR(IH$3="",IH$3&gt;TODAY()),"",IF(AND(IH282="",II282=""),"",N(II282)-N(IH282)))</f>
        <v/>
      </c>
      <c r="IM282">
        <f>IF(OR(IH$3="",IH$3&gt;TODAY()),"",IF(AND(IK282="",IL282=""),"",N(IL282)-N(IK282)))</f>
        <v/>
      </c>
    </row>
    <row r="283">
      <c r="A283" s="21" t="n"/>
      <c r="B283" s="21" t="n"/>
      <c r="C283" s="21" t="n"/>
      <c r="D283" s="21" t="n"/>
      <c r="E283" s="21" t="n"/>
      <c r="F283" s="21" t="n"/>
      <c r="G283" s="21" t="n"/>
      <c r="H283" s="21" t="n"/>
      <c r="I283" s="22" t="n"/>
      <c r="J283" s="22" t="n"/>
      <c r="K283" s="23" t="n"/>
      <c r="L283" s="22" t="n"/>
      <c r="M283" s="22" t="n"/>
      <c r="N283" s="21" t="n"/>
      <c r="O283" s="23" t="n"/>
      <c r="P283" s="23" t="n"/>
      <c r="Q283" s="23" t="n"/>
      <c r="R283" s="23" t="n"/>
      <c r="S283" s="22" t="n"/>
      <c r="T283" s="23" t="n"/>
      <c r="U283" s="23" t="n"/>
      <c r="V283" s="24">
        <f>IF(J283&lt;&gt;"",J283,IF(I283&lt;&gt;"",I283,""))</f>
        <v/>
      </c>
      <c r="W283" s="25">
        <f>IF($E283="","",N(O283)+SUMIFS($AF283:$IN283,$AF$4:$IN$4,"SEW_ACT"))</f>
        <v/>
      </c>
      <c r="X283" s="25">
        <f>IF($E283="","",N(P283)+SUMIFS($AF283:$IN283,$AF$4:$IN$4,"WASH_ACT"))</f>
        <v/>
      </c>
      <c r="Y283" s="25">
        <f>IF($E283="","",W283-X283-N(T283)-N(U283))</f>
        <v/>
      </c>
      <c r="Z283" s="25">
        <f>IF($E283="","",IF(N(K283)-X283&lt;=0.02*N(K283),0,N(K283)-X283))</f>
        <v/>
      </c>
      <c r="AA283" s="24">
        <f>IF($E283="","",IF(S283&lt;&gt;"",S283,IF(N(O283)&gt;0,IF(L283&lt;&gt;"",L283,99999),IFERROR(1/(1/_xlfn.MINIFS($AF$3:$IN$3,$AF$4:$IN$4,"SEW_ACT",$AF283:$IN283,"&gt;0")),99999))))</f>
        <v/>
      </c>
      <c r="AB283" s="26">
        <f>IF(OR($E283="",Z283=0,V283=""),"",1+COUNTIFS(Z$8:Z$707,"&gt;0",V$8:V$707,"&lt;"&amp;V283)+COUNTIFS(Z$8:Z$707,"&gt;0",V$8:V$707,V283,AA$8:AA$707,"&lt;"&amp;AA283)+COUNTIFS(Z$8:Z$707,"&gt;0",V$8:V$707,V283,AA$8:AA$707,AA283,E$8:E$707,"&lt;"&amp;$E283))</f>
        <v/>
      </c>
      <c r="AC283" s="24">
        <f>IF(OR($E283="",Z283=0),"",IFERROR(TODAY()+ROUNDUP(Z283/(SUMIFS($AF283:$IN283,$AF$4:$IN$4,"WASH_ACT")/COUNTIFS($AF$4:$IN$4,"WASH_ACT",$AF283:$IN283,"&gt;0")),0),"no output yet"))</f>
        <v/>
      </c>
      <c r="AD283" s="26">
        <f>IF($E283="","",IFERROR(ROUND(MAX(0,SUMIFS($AF283:$IN283,$AF$4:$IN$4,"SEW_PLAN",$AF$3:$IN$3,"&lt;="&amp;TODAY())-SUMIFS($AF283:$IN283,$AF$4:$IN$4,"SEW_ACT",$AF$3:$IN$3,"&lt;="&amp;TODAY())+N(Q283))/(SUMIFS($AF283:$IN283,$AF$4:$IN$4,"SEW_PLAN")/COUNTIFS($AF$4:$IN$4,"SEW_PLAN",$AF283:$IN283,"&gt;0")),1),0))</f>
        <v/>
      </c>
      <c r="AE283" s="26">
        <f>IF($E283="","",IF(AND(Z283&gt;0,OR(AND(M283&lt;&gt;"",TODAY()&gt;M283),AND(V283&lt;&gt;"",V283-TODAY()&lt;=7))),"Yes","No"))</f>
        <v/>
      </c>
      <c r="AH283">
        <f>IF(OR(AF$3="",AF$3&gt;TODAY()),"",IF(AND(AF283="",AG283=""),"",N(AG283)-N(AF283)))</f>
        <v/>
      </c>
      <c r="AK283">
        <f>IF(OR(AF$3="",AF$3&gt;TODAY()),"",IF(AND(AI283="",AJ283=""),"",N(AJ283)-N(AI283)))</f>
        <v/>
      </c>
      <c r="AO283">
        <f>IF(OR(AM$3="",AM$3&gt;TODAY()),"",IF(AND(AM283="",AN283=""),"",N(AN283)-N(AM283)))</f>
        <v/>
      </c>
      <c r="AR283">
        <f>IF(OR(AM$3="",AM$3&gt;TODAY()),"",IF(AND(AP283="",AQ283=""),"",N(AQ283)-N(AP283)))</f>
        <v/>
      </c>
      <c r="AV283">
        <f>IF(OR(AT$3="",AT$3&gt;TODAY()),"",IF(AND(AT283="",AU283=""),"",N(AU283)-N(AT283)))</f>
        <v/>
      </c>
      <c r="AY283">
        <f>IF(OR(AT$3="",AT$3&gt;TODAY()),"",IF(AND(AW283="",AX283=""),"",N(AX283)-N(AW283)))</f>
        <v/>
      </c>
      <c r="BC283">
        <f>IF(OR(BA$3="",BA$3&gt;TODAY()),"",IF(AND(BA283="",BB283=""),"",N(BB283)-N(BA283)))</f>
        <v/>
      </c>
      <c r="BF283">
        <f>IF(OR(BA$3="",BA$3&gt;TODAY()),"",IF(AND(BD283="",BE283=""),"",N(BE283)-N(BD283)))</f>
        <v/>
      </c>
      <c r="BJ283">
        <f>IF(OR(BH$3="",BH$3&gt;TODAY()),"",IF(AND(BH283="",BI283=""),"",N(BI283)-N(BH283)))</f>
        <v/>
      </c>
      <c r="BM283">
        <f>IF(OR(BH$3="",BH$3&gt;TODAY()),"",IF(AND(BK283="",BL283=""),"",N(BL283)-N(BK283)))</f>
        <v/>
      </c>
      <c r="BQ283">
        <f>IF(OR(BO$3="",BO$3&gt;TODAY()),"",IF(AND(BO283="",BP283=""),"",N(BP283)-N(BO283)))</f>
        <v/>
      </c>
      <c r="BT283">
        <f>IF(OR(BO$3="",BO$3&gt;TODAY()),"",IF(AND(BR283="",BS283=""),"",N(BS283)-N(BR283)))</f>
        <v/>
      </c>
      <c r="BX283">
        <f>IF(OR(BV$3="",BV$3&gt;TODAY()),"",IF(AND(BV283="",BW283=""),"",N(BW283)-N(BV283)))</f>
        <v/>
      </c>
      <c r="CA283">
        <f>IF(OR(BV$3="",BV$3&gt;TODAY()),"",IF(AND(BY283="",BZ283=""),"",N(BZ283)-N(BY283)))</f>
        <v/>
      </c>
      <c r="CE283">
        <f>IF(OR(CC$3="",CC$3&gt;TODAY()),"",IF(AND(CC283="",CD283=""),"",N(CD283)-N(CC283)))</f>
        <v/>
      </c>
      <c r="CH283">
        <f>IF(OR(CC$3="",CC$3&gt;TODAY()),"",IF(AND(CF283="",CG283=""),"",N(CG283)-N(CF283)))</f>
        <v/>
      </c>
      <c r="CL283">
        <f>IF(OR(CJ$3="",CJ$3&gt;TODAY()),"",IF(AND(CJ283="",CK283=""),"",N(CK283)-N(CJ283)))</f>
        <v/>
      </c>
      <c r="CO283">
        <f>IF(OR(CJ$3="",CJ$3&gt;TODAY()),"",IF(AND(CM283="",CN283=""),"",N(CN283)-N(CM283)))</f>
        <v/>
      </c>
      <c r="CS283">
        <f>IF(OR(CQ$3="",CQ$3&gt;TODAY()),"",IF(AND(CQ283="",CR283=""),"",N(CR283)-N(CQ283)))</f>
        <v/>
      </c>
      <c r="CV283">
        <f>IF(OR(CQ$3="",CQ$3&gt;TODAY()),"",IF(AND(CT283="",CU283=""),"",N(CU283)-N(CT283)))</f>
        <v/>
      </c>
      <c r="CZ283">
        <f>IF(OR(CX$3="",CX$3&gt;TODAY()),"",IF(AND(CX283="",CY283=""),"",N(CY283)-N(CX283)))</f>
        <v/>
      </c>
      <c r="DC283">
        <f>IF(OR(CX$3="",CX$3&gt;TODAY()),"",IF(AND(DA283="",DB283=""),"",N(DB283)-N(DA283)))</f>
        <v/>
      </c>
      <c r="DG283">
        <f>IF(OR(DE$3="",DE$3&gt;TODAY()),"",IF(AND(DE283="",DF283=""),"",N(DF283)-N(DE283)))</f>
        <v/>
      </c>
      <c r="DJ283">
        <f>IF(OR(DE$3="",DE$3&gt;TODAY()),"",IF(AND(DH283="",DI283=""),"",N(DI283)-N(DH283)))</f>
        <v/>
      </c>
      <c r="DN283">
        <f>IF(OR(DL$3="",DL$3&gt;TODAY()),"",IF(AND(DL283="",DM283=""),"",N(DM283)-N(DL283)))</f>
        <v/>
      </c>
      <c r="DQ283">
        <f>IF(OR(DL$3="",DL$3&gt;TODAY()),"",IF(AND(DO283="",DP283=""),"",N(DP283)-N(DO283)))</f>
        <v/>
      </c>
      <c r="DU283">
        <f>IF(OR(DS$3="",DS$3&gt;TODAY()),"",IF(AND(DS283="",DT283=""),"",N(DT283)-N(DS283)))</f>
        <v/>
      </c>
      <c r="DX283">
        <f>IF(OR(DS$3="",DS$3&gt;TODAY()),"",IF(AND(DV283="",DW283=""),"",N(DW283)-N(DV283)))</f>
        <v/>
      </c>
      <c r="EB283">
        <f>IF(OR(DZ$3="",DZ$3&gt;TODAY()),"",IF(AND(DZ283="",EA283=""),"",N(EA283)-N(DZ283)))</f>
        <v/>
      </c>
      <c r="EE283">
        <f>IF(OR(DZ$3="",DZ$3&gt;TODAY()),"",IF(AND(EC283="",ED283=""),"",N(ED283)-N(EC283)))</f>
        <v/>
      </c>
      <c r="EI283">
        <f>IF(OR(EG$3="",EG$3&gt;TODAY()),"",IF(AND(EG283="",EH283=""),"",N(EH283)-N(EG283)))</f>
        <v/>
      </c>
      <c r="EL283">
        <f>IF(OR(EG$3="",EG$3&gt;TODAY()),"",IF(AND(EJ283="",EK283=""),"",N(EK283)-N(EJ283)))</f>
        <v/>
      </c>
      <c r="EP283">
        <f>IF(OR(EN$3="",EN$3&gt;TODAY()),"",IF(AND(EN283="",EO283=""),"",N(EO283)-N(EN283)))</f>
        <v/>
      </c>
      <c r="ES283">
        <f>IF(OR(EN$3="",EN$3&gt;TODAY()),"",IF(AND(EQ283="",ER283=""),"",N(ER283)-N(EQ283)))</f>
        <v/>
      </c>
      <c r="EW283">
        <f>IF(OR(EU$3="",EU$3&gt;TODAY()),"",IF(AND(EU283="",EV283=""),"",N(EV283)-N(EU283)))</f>
        <v/>
      </c>
      <c r="EZ283">
        <f>IF(OR(EU$3="",EU$3&gt;TODAY()),"",IF(AND(EX283="",EY283=""),"",N(EY283)-N(EX283)))</f>
        <v/>
      </c>
      <c r="FD283">
        <f>IF(OR(FB$3="",FB$3&gt;TODAY()),"",IF(AND(FB283="",FC283=""),"",N(FC283)-N(FB283)))</f>
        <v/>
      </c>
      <c r="FG283">
        <f>IF(OR(FB$3="",FB$3&gt;TODAY()),"",IF(AND(FE283="",FF283=""),"",N(FF283)-N(FE283)))</f>
        <v/>
      </c>
      <c r="FK283">
        <f>IF(OR(FI$3="",FI$3&gt;TODAY()),"",IF(AND(FI283="",FJ283=""),"",N(FJ283)-N(FI283)))</f>
        <v/>
      </c>
      <c r="FN283">
        <f>IF(OR(FI$3="",FI$3&gt;TODAY()),"",IF(AND(FL283="",FM283=""),"",N(FM283)-N(FL283)))</f>
        <v/>
      </c>
      <c r="FR283">
        <f>IF(OR(FP$3="",FP$3&gt;TODAY()),"",IF(AND(FP283="",FQ283=""),"",N(FQ283)-N(FP283)))</f>
        <v/>
      </c>
      <c r="FU283">
        <f>IF(OR(FP$3="",FP$3&gt;TODAY()),"",IF(AND(FS283="",FT283=""),"",N(FT283)-N(FS283)))</f>
        <v/>
      </c>
      <c r="FY283">
        <f>IF(OR(FW$3="",FW$3&gt;TODAY()),"",IF(AND(FW283="",FX283=""),"",N(FX283)-N(FW283)))</f>
        <v/>
      </c>
      <c r="GB283">
        <f>IF(OR(FW$3="",FW$3&gt;TODAY()),"",IF(AND(FZ283="",GA283=""),"",N(GA283)-N(FZ283)))</f>
        <v/>
      </c>
      <c r="GF283">
        <f>IF(OR(GD$3="",GD$3&gt;TODAY()),"",IF(AND(GD283="",GE283=""),"",N(GE283)-N(GD283)))</f>
        <v/>
      </c>
      <c r="GI283">
        <f>IF(OR(GD$3="",GD$3&gt;TODAY()),"",IF(AND(GG283="",GH283=""),"",N(GH283)-N(GG283)))</f>
        <v/>
      </c>
      <c r="GM283">
        <f>IF(OR(GK$3="",GK$3&gt;TODAY()),"",IF(AND(GK283="",GL283=""),"",N(GL283)-N(GK283)))</f>
        <v/>
      </c>
      <c r="GP283">
        <f>IF(OR(GK$3="",GK$3&gt;TODAY()),"",IF(AND(GN283="",GO283=""),"",N(GO283)-N(GN283)))</f>
        <v/>
      </c>
      <c r="GT283">
        <f>IF(OR(GR$3="",GR$3&gt;TODAY()),"",IF(AND(GR283="",GS283=""),"",N(GS283)-N(GR283)))</f>
        <v/>
      </c>
      <c r="GW283">
        <f>IF(OR(GR$3="",GR$3&gt;TODAY()),"",IF(AND(GU283="",GV283=""),"",N(GV283)-N(GU283)))</f>
        <v/>
      </c>
      <c r="HA283">
        <f>IF(OR(GY$3="",GY$3&gt;TODAY()),"",IF(AND(GY283="",GZ283=""),"",N(GZ283)-N(GY283)))</f>
        <v/>
      </c>
      <c r="HD283">
        <f>IF(OR(GY$3="",GY$3&gt;TODAY()),"",IF(AND(HB283="",HC283=""),"",N(HC283)-N(HB283)))</f>
        <v/>
      </c>
      <c r="HH283">
        <f>IF(OR(HF$3="",HF$3&gt;TODAY()),"",IF(AND(HF283="",HG283=""),"",N(HG283)-N(HF283)))</f>
        <v/>
      </c>
      <c r="HK283">
        <f>IF(OR(HF$3="",HF$3&gt;TODAY()),"",IF(AND(HI283="",HJ283=""),"",N(HJ283)-N(HI283)))</f>
        <v/>
      </c>
      <c r="HO283">
        <f>IF(OR(HM$3="",HM$3&gt;TODAY()),"",IF(AND(HM283="",HN283=""),"",N(HN283)-N(HM283)))</f>
        <v/>
      </c>
      <c r="HR283">
        <f>IF(OR(HM$3="",HM$3&gt;TODAY()),"",IF(AND(HP283="",HQ283=""),"",N(HQ283)-N(HP283)))</f>
        <v/>
      </c>
      <c r="HV283">
        <f>IF(OR(HT$3="",HT$3&gt;TODAY()),"",IF(AND(HT283="",HU283=""),"",N(HU283)-N(HT283)))</f>
        <v/>
      </c>
      <c r="HY283">
        <f>IF(OR(HT$3="",HT$3&gt;TODAY()),"",IF(AND(HW283="",HX283=""),"",N(HX283)-N(HW283)))</f>
        <v/>
      </c>
      <c r="IC283">
        <f>IF(OR(IA$3="",IA$3&gt;TODAY()),"",IF(AND(IA283="",IB283=""),"",N(IB283)-N(IA283)))</f>
        <v/>
      </c>
      <c r="IF283">
        <f>IF(OR(IA$3="",IA$3&gt;TODAY()),"",IF(AND(ID283="",IE283=""),"",N(IE283)-N(ID283)))</f>
        <v/>
      </c>
      <c r="IJ283">
        <f>IF(OR(IH$3="",IH$3&gt;TODAY()),"",IF(AND(IH283="",II283=""),"",N(II283)-N(IH283)))</f>
        <v/>
      </c>
      <c r="IM283">
        <f>IF(OR(IH$3="",IH$3&gt;TODAY()),"",IF(AND(IK283="",IL283=""),"",N(IL283)-N(IK283)))</f>
        <v/>
      </c>
    </row>
    <row r="284">
      <c r="A284" s="21" t="n"/>
      <c r="B284" s="21" t="n"/>
      <c r="C284" s="21" t="n"/>
      <c r="D284" s="21" t="n"/>
      <c r="E284" s="21" t="n"/>
      <c r="F284" s="21" t="n"/>
      <c r="G284" s="21" t="n"/>
      <c r="H284" s="21" t="n"/>
      <c r="I284" s="22" t="n"/>
      <c r="J284" s="22" t="n"/>
      <c r="K284" s="23" t="n"/>
      <c r="L284" s="22" t="n"/>
      <c r="M284" s="22" t="n"/>
      <c r="N284" s="21" t="n"/>
      <c r="O284" s="23" t="n"/>
      <c r="P284" s="23" t="n"/>
      <c r="Q284" s="23" t="n"/>
      <c r="R284" s="23" t="n"/>
      <c r="S284" s="22" t="n"/>
      <c r="T284" s="23" t="n"/>
      <c r="U284" s="23" t="n"/>
      <c r="V284" s="24">
        <f>IF(J284&lt;&gt;"",J284,IF(I284&lt;&gt;"",I284,""))</f>
        <v/>
      </c>
      <c r="W284" s="25">
        <f>IF($E284="","",N(O284)+SUMIFS($AF284:$IN284,$AF$4:$IN$4,"SEW_ACT"))</f>
        <v/>
      </c>
      <c r="X284" s="25">
        <f>IF($E284="","",N(P284)+SUMIFS($AF284:$IN284,$AF$4:$IN$4,"WASH_ACT"))</f>
        <v/>
      </c>
      <c r="Y284" s="25">
        <f>IF($E284="","",W284-X284-N(T284)-N(U284))</f>
        <v/>
      </c>
      <c r="Z284" s="25">
        <f>IF($E284="","",IF(N(K284)-X284&lt;=0.02*N(K284),0,N(K284)-X284))</f>
        <v/>
      </c>
      <c r="AA284" s="24">
        <f>IF($E284="","",IF(S284&lt;&gt;"",S284,IF(N(O284)&gt;0,IF(L284&lt;&gt;"",L284,99999),IFERROR(1/(1/_xlfn.MINIFS($AF$3:$IN$3,$AF$4:$IN$4,"SEW_ACT",$AF284:$IN284,"&gt;0")),99999))))</f>
        <v/>
      </c>
      <c r="AB284" s="26">
        <f>IF(OR($E284="",Z284=0,V284=""),"",1+COUNTIFS(Z$8:Z$707,"&gt;0",V$8:V$707,"&lt;"&amp;V284)+COUNTIFS(Z$8:Z$707,"&gt;0",V$8:V$707,V284,AA$8:AA$707,"&lt;"&amp;AA284)+COUNTIFS(Z$8:Z$707,"&gt;0",V$8:V$707,V284,AA$8:AA$707,AA284,E$8:E$707,"&lt;"&amp;$E284))</f>
        <v/>
      </c>
      <c r="AC284" s="24">
        <f>IF(OR($E284="",Z284=0),"",IFERROR(TODAY()+ROUNDUP(Z284/(SUMIFS($AF284:$IN284,$AF$4:$IN$4,"WASH_ACT")/COUNTIFS($AF$4:$IN$4,"WASH_ACT",$AF284:$IN284,"&gt;0")),0),"no output yet"))</f>
        <v/>
      </c>
      <c r="AD284" s="26">
        <f>IF($E284="","",IFERROR(ROUND(MAX(0,SUMIFS($AF284:$IN284,$AF$4:$IN$4,"SEW_PLAN",$AF$3:$IN$3,"&lt;="&amp;TODAY())-SUMIFS($AF284:$IN284,$AF$4:$IN$4,"SEW_ACT",$AF$3:$IN$3,"&lt;="&amp;TODAY())+N(Q284))/(SUMIFS($AF284:$IN284,$AF$4:$IN$4,"SEW_PLAN")/COUNTIFS($AF$4:$IN$4,"SEW_PLAN",$AF284:$IN284,"&gt;0")),1),0))</f>
        <v/>
      </c>
      <c r="AE284" s="26">
        <f>IF($E284="","",IF(AND(Z284&gt;0,OR(AND(M284&lt;&gt;"",TODAY()&gt;M284),AND(V284&lt;&gt;"",V284-TODAY()&lt;=7))),"Yes","No"))</f>
        <v/>
      </c>
      <c r="AH284">
        <f>IF(OR(AF$3="",AF$3&gt;TODAY()),"",IF(AND(AF284="",AG284=""),"",N(AG284)-N(AF284)))</f>
        <v/>
      </c>
      <c r="AK284">
        <f>IF(OR(AF$3="",AF$3&gt;TODAY()),"",IF(AND(AI284="",AJ284=""),"",N(AJ284)-N(AI284)))</f>
        <v/>
      </c>
      <c r="AO284">
        <f>IF(OR(AM$3="",AM$3&gt;TODAY()),"",IF(AND(AM284="",AN284=""),"",N(AN284)-N(AM284)))</f>
        <v/>
      </c>
      <c r="AR284">
        <f>IF(OR(AM$3="",AM$3&gt;TODAY()),"",IF(AND(AP284="",AQ284=""),"",N(AQ284)-N(AP284)))</f>
        <v/>
      </c>
      <c r="AV284">
        <f>IF(OR(AT$3="",AT$3&gt;TODAY()),"",IF(AND(AT284="",AU284=""),"",N(AU284)-N(AT284)))</f>
        <v/>
      </c>
      <c r="AY284">
        <f>IF(OR(AT$3="",AT$3&gt;TODAY()),"",IF(AND(AW284="",AX284=""),"",N(AX284)-N(AW284)))</f>
        <v/>
      </c>
      <c r="BC284">
        <f>IF(OR(BA$3="",BA$3&gt;TODAY()),"",IF(AND(BA284="",BB284=""),"",N(BB284)-N(BA284)))</f>
        <v/>
      </c>
      <c r="BF284">
        <f>IF(OR(BA$3="",BA$3&gt;TODAY()),"",IF(AND(BD284="",BE284=""),"",N(BE284)-N(BD284)))</f>
        <v/>
      </c>
      <c r="BJ284">
        <f>IF(OR(BH$3="",BH$3&gt;TODAY()),"",IF(AND(BH284="",BI284=""),"",N(BI284)-N(BH284)))</f>
        <v/>
      </c>
      <c r="BM284">
        <f>IF(OR(BH$3="",BH$3&gt;TODAY()),"",IF(AND(BK284="",BL284=""),"",N(BL284)-N(BK284)))</f>
        <v/>
      </c>
      <c r="BQ284">
        <f>IF(OR(BO$3="",BO$3&gt;TODAY()),"",IF(AND(BO284="",BP284=""),"",N(BP284)-N(BO284)))</f>
        <v/>
      </c>
      <c r="BT284">
        <f>IF(OR(BO$3="",BO$3&gt;TODAY()),"",IF(AND(BR284="",BS284=""),"",N(BS284)-N(BR284)))</f>
        <v/>
      </c>
      <c r="BX284">
        <f>IF(OR(BV$3="",BV$3&gt;TODAY()),"",IF(AND(BV284="",BW284=""),"",N(BW284)-N(BV284)))</f>
        <v/>
      </c>
      <c r="CA284">
        <f>IF(OR(BV$3="",BV$3&gt;TODAY()),"",IF(AND(BY284="",BZ284=""),"",N(BZ284)-N(BY284)))</f>
        <v/>
      </c>
      <c r="CE284">
        <f>IF(OR(CC$3="",CC$3&gt;TODAY()),"",IF(AND(CC284="",CD284=""),"",N(CD284)-N(CC284)))</f>
        <v/>
      </c>
      <c r="CH284">
        <f>IF(OR(CC$3="",CC$3&gt;TODAY()),"",IF(AND(CF284="",CG284=""),"",N(CG284)-N(CF284)))</f>
        <v/>
      </c>
      <c r="CL284">
        <f>IF(OR(CJ$3="",CJ$3&gt;TODAY()),"",IF(AND(CJ284="",CK284=""),"",N(CK284)-N(CJ284)))</f>
        <v/>
      </c>
      <c r="CO284">
        <f>IF(OR(CJ$3="",CJ$3&gt;TODAY()),"",IF(AND(CM284="",CN284=""),"",N(CN284)-N(CM284)))</f>
        <v/>
      </c>
      <c r="CS284">
        <f>IF(OR(CQ$3="",CQ$3&gt;TODAY()),"",IF(AND(CQ284="",CR284=""),"",N(CR284)-N(CQ284)))</f>
        <v/>
      </c>
      <c r="CV284">
        <f>IF(OR(CQ$3="",CQ$3&gt;TODAY()),"",IF(AND(CT284="",CU284=""),"",N(CU284)-N(CT284)))</f>
        <v/>
      </c>
      <c r="CZ284">
        <f>IF(OR(CX$3="",CX$3&gt;TODAY()),"",IF(AND(CX284="",CY284=""),"",N(CY284)-N(CX284)))</f>
        <v/>
      </c>
      <c r="DC284">
        <f>IF(OR(CX$3="",CX$3&gt;TODAY()),"",IF(AND(DA284="",DB284=""),"",N(DB284)-N(DA284)))</f>
        <v/>
      </c>
      <c r="DG284">
        <f>IF(OR(DE$3="",DE$3&gt;TODAY()),"",IF(AND(DE284="",DF284=""),"",N(DF284)-N(DE284)))</f>
        <v/>
      </c>
      <c r="DJ284">
        <f>IF(OR(DE$3="",DE$3&gt;TODAY()),"",IF(AND(DH284="",DI284=""),"",N(DI284)-N(DH284)))</f>
        <v/>
      </c>
      <c r="DN284">
        <f>IF(OR(DL$3="",DL$3&gt;TODAY()),"",IF(AND(DL284="",DM284=""),"",N(DM284)-N(DL284)))</f>
        <v/>
      </c>
      <c r="DQ284">
        <f>IF(OR(DL$3="",DL$3&gt;TODAY()),"",IF(AND(DO284="",DP284=""),"",N(DP284)-N(DO284)))</f>
        <v/>
      </c>
      <c r="DU284">
        <f>IF(OR(DS$3="",DS$3&gt;TODAY()),"",IF(AND(DS284="",DT284=""),"",N(DT284)-N(DS284)))</f>
        <v/>
      </c>
      <c r="DX284">
        <f>IF(OR(DS$3="",DS$3&gt;TODAY()),"",IF(AND(DV284="",DW284=""),"",N(DW284)-N(DV284)))</f>
        <v/>
      </c>
      <c r="EB284">
        <f>IF(OR(DZ$3="",DZ$3&gt;TODAY()),"",IF(AND(DZ284="",EA284=""),"",N(EA284)-N(DZ284)))</f>
        <v/>
      </c>
      <c r="EE284">
        <f>IF(OR(DZ$3="",DZ$3&gt;TODAY()),"",IF(AND(EC284="",ED284=""),"",N(ED284)-N(EC284)))</f>
        <v/>
      </c>
      <c r="EI284">
        <f>IF(OR(EG$3="",EG$3&gt;TODAY()),"",IF(AND(EG284="",EH284=""),"",N(EH284)-N(EG284)))</f>
        <v/>
      </c>
      <c r="EL284">
        <f>IF(OR(EG$3="",EG$3&gt;TODAY()),"",IF(AND(EJ284="",EK284=""),"",N(EK284)-N(EJ284)))</f>
        <v/>
      </c>
      <c r="EP284">
        <f>IF(OR(EN$3="",EN$3&gt;TODAY()),"",IF(AND(EN284="",EO284=""),"",N(EO284)-N(EN284)))</f>
        <v/>
      </c>
      <c r="ES284">
        <f>IF(OR(EN$3="",EN$3&gt;TODAY()),"",IF(AND(EQ284="",ER284=""),"",N(ER284)-N(EQ284)))</f>
        <v/>
      </c>
      <c r="EW284">
        <f>IF(OR(EU$3="",EU$3&gt;TODAY()),"",IF(AND(EU284="",EV284=""),"",N(EV284)-N(EU284)))</f>
        <v/>
      </c>
      <c r="EZ284">
        <f>IF(OR(EU$3="",EU$3&gt;TODAY()),"",IF(AND(EX284="",EY284=""),"",N(EY284)-N(EX284)))</f>
        <v/>
      </c>
      <c r="FD284">
        <f>IF(OR(FB$3="",FB$3&gt;TODAY()),"",IF(AND(FB284="",FC284=""),"",N(FC284)-N(FB284)))</f>
        <v/>
      </c>
      <c r="FG284">
        <f>IF(OR(FB$3="",FB$3&gt;TODAY()),"",IF(AND(FE284="",FF284=""),"",N(FF284)-N(FE284)))</f>
        <v/>
      </c>
      <c r="FK284">
        <f>IF(OR(FI$3="",FI$3&gt;TODAY()),"",IF(AND(FI284="",FJ284=""),"",N(FJ284)-N(FI284)))</f>
        <v/>
      </c>
      <c r="FN284">
        <f>IF(OR(FI$3="",FI$3&gt;TODAY()),"",IF(AND(FL284="",FM284=""),"",N(FM284)-N(FL284)))</f>
        <v/>
      </c>
      <c r="FR284">
        <f>IF(OR(FP$3="",FP$3&gt;TODAY()),"",IF(AND(FP284="",FQ284=""),"",N(FQ284)-N(FP284)))</f>
        <v/>
      </c>
      <c r="FU284">
        <f>IF(OR(FP$3="",FP$3&gt;TODAY()),"",IF(AND(FS284="",FT284=""),"",N(FT284)-N(FS284)))</f>
        <v/>
      </c>
      <c r="FY284">
        <f>IF(OR(FW$3="",FW$3&gt;TODAY()),"",IF(AND(FW284="",FX284=""),"",N(FX284)-N(FW284)))</f>
        <v/>
      </c>
      <c r="GB284">
        <f>IF(OR(FW$3="",FW$3&gt;TODAY()),"",IF(AND(FZ284="",GA284=""),"",N(GA284)-N(FZ284)))</f>
        <v/>
      </c>
      <c r="GF284">
        <f>IF(OR(GD$3="",GD$3&gt;TODAY()),"",IF(AND(GD284="",GE284=""),"",N(GE284)-N(GD284)))</f>
        <v/>
      </c>
      <c r="GI284">
        <f>IF(OR(GD$3="",GD$3&gt;TODAY()),"",IF(AND(GG284="",GH284=""),"",N(GH284)-N(GG284)))</f>
        <v/>
      </c>
      <c r="GM284">
        <f>IF(OR(GK$3="",GK$3&gt;TODAY()),"",IF(AND(GK284="",GL284=""),"",N(GL284)-N(GK284)))</f>
        <v/>
      </c>
      <c r="GP284">
        <f>IF(OR(GK$3="",GK$3&gt;TODAY()),"",IF(AND(GN284="",GO284=""),"",N(GO284)-N(GN284)))</f>
        <v/>
      </c>
      <c r="GT284">
        <f>IF(OR(GR$3="",GR$3&gt;TODAY()),"",IF(AND(GR284="",GS284=""),"",N(GS284)-N(GR284)))</f>
        <v/>
      </c>
      <c r="GW284">
        <f>IF(OR(GR$3="",GR$3&gt;TODAY()),"",IF(AND(GU284="",GV284=""),"",N(GV284)-N(GU284)))</f>
        <v/>
      </c>
      <c r="HA284">
        <f>IF(OR(GY$3="",GY$3&gt;TODAY()),"",IF(AND(GY284="",GZ284=""),"",N(GZ284)-N(GY284)))</f>
        <v/>
      </c>
      <c r="HD284">
        <f>IF(OR(GY$3="",GY$3&gt;TODAY()),"",IF(AND(HB284="",HC284=""),"",N(HC284)-N(HB284)))</f>
        <v/>
      </c>
      <c r="HH284">
        <f>IF(OR(HF$3="",HF$3&gt;TODAY()),"",IF(AND(HF284="",HG284=""),"",N(HG284)-N(HF284)))</f>
        <v/>
      </c>
      <c r="HK284">
        <f>IF(OR(HF$3="",HF$3&gt;TODAY()),"",IF(AND(HI284="",HJ284=""),"",N(HJ284)-N(HI284)))</f>
        <v/>
      </c>
      <c r="HO284">
        <f>IF(OR(HM$3="",HM$3&gt;TODAY()),"",IF(AND(HM284="",HN284=""),"",N(HN284)-N(HM284)))</f>
        <v/>
      </c>
      <c r="HR284">
        <f>IF(OR(HM$3="",HM$3&gt;TODAY()),"",IF(AND(HP284="",HQ284=""),"",N(HQ284)-N(HP284)))</f>
        <v/>
      </c>
      <c r="HV284">
        <f>IF(OR(HT$3="",HT$3&gt;TODAY()),"",IF(AND(HT284="",HU284=""),"",N(HU284)-N(HT284)))</f>
        <v/>
      </c>
      <c r="HY284">
        <f>IF(OR(HT$3="",HT$3&gt;TODAY()),"",IF(AND(HW284="",HX284=""),"",N(HX284)-N(HW284)))</f>
        <v/>
      </c>
      <c r="IC284">
        <f>IF(OR(IA$3="",IA$3&gt;TODAY()),"",IF(AND(IA284="",IB284=""),"",N(IB284)-N(IA284)))</f>
        <v/>
      </c>
      <c r="IF284">
        <f>IF(OR(IA$3="",IA$3&gt;TODAY()),"",IF(AND(ID284="",IE284=""),"",N(IE284)-N(ID284)))</f>
        <v/>
      </c>
      <c r="IJ284">
        <f>IF(OR(IH$3="",IH$3&gt;TODAY()),"",IF(AND(IH284="",II284=""),"",N(II284)-N(IH284)))</f>
        <v/>
      </c>
      <c r="IM284">
        <f>IF(OR(IH$3="",IH$3&gt;TODAY()),"",IF(AND(IK284="",IL284=""),"",N(IL284)-N(IK284)))</f>
        <v/>
      </c>
    </row>
    <row r="285">
      <c r="A285" s="21" t="n"/>
      <c r="B285" s="21" t="n"/>
      <c r="C285" s="21" t="n"/>
      <c r="D285" s="21" t="n"/>
      <c r="E285" s="21" t="n"/>
      <c r="F285" s="21" t="n"/>
      <c r="G285" s="21" t="n"/>
      <c r="H285" s="21" t="n"/>
      <c r="I285" s="22" t="n"/>
      <c r="J285" s="22" t="n"/>
      <c r="K285" s="23" t="n"/>
      <c r="L285" s="22" t="n"/>
      <c r="M285" s="22" t="n"/>
      <c r="N285" s="21" t="n"/>
      <c r="O285" s="23" t="n"/>
      <c r="P285" s="23" t="n"/>
      <c r="Q285" s="23" t="n"/>
      <c r="R285" s="23" t="n"/>
      <c r="S285" s="22" t="n"/>
      <c r="T285" s="23" t="n"/>
      <c r="U285" s="23" t="n"/>
      <c r="V285" s="24">
        <f>IF(J285&lt;&gt;"",J285,IF(I285&lt;&gt;"",I285,""))</f>
        <v/>
      </c>
      <c r="W285" s="25">
        <f>IF($E285="","",N(O285)+SUMIFS($AF285:$IN285,$AF$4:$IN$4,"SEW_ACT"))</f>
        <v/>
      </c>
      <c r="X285" s="25">
        <f>IF($E285="","",N(P285)+SUMIFS($AF285:$IN285,$AF$4:$IN$4,"WASH_ACT"))</f>
        <v/>
      </c>
      <c r="Y285" s="25">
        <f>IF($E285="","",W285-X285-N(T285)-N(U285))</f>
        <v/>
      </c>
      <c r="Z285" s="25">
        <f>IF($E285="","",IF(N(K285)-X285&lt;=0.02*N(K285),0,N(K285)-X285))</f>
        <v/>
      </c>
      <c r="AA285" s="24">
        <f>IF($E285="","",IF(S285&lt;&gt;"",S285,IF(N(O285)&gt;0,IF(L285&lt;&gt;"",L285,99999),IFERROR(1/(1/_xlfn.MINIFS($AF$3:$IN$3,$AF$4:$IN$4,"SEW_ACT",$AF285:$IN285,"&gt;0")),99999))))</f>
        <v/>
      </c>
      <c r="AB285" s="26">
        <f>IF(OR($E285="",Z285=0,V285=""),"",1+COUNTIFS(Z$8:Z$707,"&gt;0",V$8:V$707,"&lt;"&amp;V285)+COUNTIFS(Z$8:Z$707,"&gt;0",V$8:V$707,V285,AA$8:AA$707,"&lt;"&amp;AA285)+COUNTIFS(Z$8:Z$707,"&gt;0",V$8:V$707,V285,AA$8:AA$707,AA285,E$8:E$707,"&lt;"&amp;$E285))</f>
        <v/>
      </c>
      <c r="AC285" s="24">
        <f>IF(OR($E285="",Z285=0),"",IFERROR(TODAY()+ROUNDUP(Z285/(SUMIFS($AF285:$IN285,$AF$4:$IN$4,"WASH_ACT")/COUNTIFS($AF$4:$IN$4,"WASH_ACT",$AF285:$IN285,"&gt;0")),0),"no output yet"))</f>
        <v/>
      </c>
      <c r="AD285" s="26">
        <f>IF($E285="","",IFERROR(ROUND(MAX(0,SUMIFS($AF285:$IN285,$AF$4:$IN$4,"SEW_PLAN",$AF$3:$IN$3,"&lt;="&amp;TODAY())-SUMIFS($AF285:$IN285,$AF$4:$IN$4,"SEW_ACT",$AF$3:$IN$3,"&lt;="&amp;TODAY())+N(Q285))/(SUMIFS($AF285:$IN285,$AF$4:$IN$4,"SEW_PLAN")/COUNTIFS($AF$4:$IN$4,"SEW_PLAN",$AF285:$IN285,"&gt;0")),1),0))</f>
        <v/>
      </c>
      <c r="AE285" s="26">
        <f>IF($E285="","",IF(AND(Z285&gt;0,OR(AND(M285&lt;&gt;"",TODAY()&gt;M285),AND(V285&lt;&gt;"",V285-TODAY()&lt;=7))),"Yes","No"))</f>
        <v/>
      </c>
      <c r="AH285">
        <f>IF(OR(AF$3="",AF$3&gt;TODAY()),"",IF(AND(AF285="",AG285=""),"",N(AG285)-N(AF285)))</f>
        <v/>
      </c>
      <c r="AK285">
        <f>IF(OR(AF$3="",AF$3&gt;TODAY()),"",IF(AND(AI285="",AJ285=""),"",N(AJ285)-N(AI285)))</f>
        <v/>
      </c>
      <c r="AO285">
        <f>IF(OR(AM$3="",AM$3&gt;TODAY()),"",IF(AND(AM285="",AN285=""),"",N(AN285)-N(AM285)))</f>
        <v/>
      </c>
      <c r="AR285">
        <f>IF(OR(AM$3="",AM$3&gt;TODAY()),"",IF(AND(AP285="",AQ285=""),"",N(AQ285)-N(AP285)))</f>
        <v/>
      </c>
      <c r="AV285">
        <f>IF(OR(AT$3="",AT$3&gt;TODAY()),"",IF(AND(AT285="",AU285=""),"",N(AU285)-N(AT285)))</f>
        <v/>
      </c>
      <c r="AY285">
        <f>IF(OR(AT$3="",AT$3&gt;TODAY()),"",IF(AND(AW285="",AX285=""),"",N(AX285)-N(AW285)))</f>
        <v/>
      </c>
      <c r="BC285">
        <f>IF(OR(BA$3="",BA$3&gt;TODAY()),"",IF(AND(BA285="",BB285=""),"",N(BB285)-N(BA285)))</f>
        <v/>
      </c>
      <c r="BF285">
        <f>IF(OR(BA$3="",BA$3&gt;TODAY()),"",IF(AND(BD285="",BE285=""),"",N(BE285)-N(BD285)))</f>
        <v/>
      </c>
      <c r="BJ285">
        <f>IF(OR(BH$3="",BH$3&gt;TODAY()),"",IF(AND(BH285="",BI285=""),"",N(BI285)-N(BH285)))</f>
        <v/>
      </c>
      <c r="BM285">
        <f>IF(OR(BH$3="",BH$3&gt;TODAY()),"",IF(AND(BK285="",BL285=""),"",N(BL285)-N(BK285)))</f>
        <v/>
      </c>
      <c r="BQ285">
        <f>IF(OR(BO$3="",BO$3&gt;TODAY()),"",IF(AND(BO285="",BP285=""),"",N(BP285)-N(BO285)))</f>
        <v/>
      </c>
      <c r="BT285">
        <f>IF(OR(BO$3="",BO$3&gt;TODAY()),"",IF(AND(BR285="",BS285=""),"",N(BS285)-N(BR285)))</f>
        <v/>
      </c>
      <c r="BX285">
        <f>IF(OR(BV$3="",BV$3&gt;TODAY()),"",IF(AND(BV285="",BW285=""),"",N(BW285)-N(BV285)))</f>
        <v/>
      </c>
      <c r="CA285">
        <f>IF(OR(BV$3="",BV$3&gt;TODAY()),"",IF(AND(BY285="",BZ285=""),"",N(BZ285)-N(BY285)))</f>
        <v/>
      </c>
      <c r="CE285">
        <f>IF(OR(CC$3="",CC$3&gt;TODAY()),"",IF(AND(CC285="",CD285=""),"",N(CD285)-N(CC285)))</f>
        <v/>
      </c>
      <c r="CH285">
        <f>IF(OR(CC$3="",CC$3&gt;TODAY()),"",IF(AND(CF285="",CG285=""),"",N(CG285)-N(CF285)))</f>
        <v/>
      </c>
      <c r="CL285">
        <f>IF(OR(CJ$3="",CJ$3&gt;TODAY()),"",IF(AND(CJ285="",CK285=""),"",N(CK285)-N(CJ285)))</f>
        <v/>
      </c>
      <c r="CO285">
        <f>IF(OR(CJ$3="",CJ$3&gt;TODAY()),"",IF(AND(CM285="",CN285=""),"",N(CN285)-N(CM285)))</f>
        <v/>
      </c>
      <c r="CS285">
        <f>IF(OR(CQ$3="",CQ$3&gt;TODAY()),"",IF(AND(CQ285="",CR285=""),"",N(CR285)-N(CQ285)))</f>
        <v/>
      </c>
      <c r="CV285">
        <f>IF(OR(CQ$3="",CQ$3&gt;TODAY()),"",IF(AND(CT285="",CU285=""),"",N(CU285)-N(CT285)))</f>
        <v/>
      </c>
      <c r="CZ285">
        <f>IF(OR(CX$3="",CX$3&gt;TODAY()),"",IF(AND(CX285="",CY285=""),"",N(CY285)-N(CX285)))</f>
        <v/>
      </c>
      <c r="DC285">
        <f>IF(OR(CX$3="",CX$3&gt;TODAY()),"",IF(AND(DA285="",DB285=""),"",N(DB285)-N(DA285)))</f>
        <v/>
      </c>
      <c r="DG285">
        <f>IF(OR(DE$3="",DE$3&gt;TODAY()),"",IF(AND(DE285="",DF285=""),"",N(DF285)-N(DE285)))</f>
        <v/>
      </c>
      <c r="DJ285">
        <f>IF(OR(DE$3="",DE$3&gt;TODAY()),"",IF(AND(DH285="",DI285=""),"",N(DI285)-N(DH285)))</f>
        <v/>
      </c>
      <c r="DN285">
        <f>IF(OR(DL$3="",DL$3&gt;TODAY()),"",IF(AND(DL285="",DM285=""),"",N(DM285)-N(DL285)))</f>
        <v/>
      </c>
      <c r="DQ285">
        <f>IF(OR(DL$3="",DL$3&gt;TODAY()),"",IF(AND(DO285="",DP285=""),"",N(DP285)-N(DO285)))</f>
        <v/>
      </c>
      <c r="DU285">
        <f>IF(OR(DS$3="",DS$3&gt;TODAY()),"",IF(AND(DS285="",DT285=""),"",N(DT285)-N(DS285)))</f>
        <v/>
      </c>
      <c r="DX285">
        <f>IF(OR(DS$3="",DS$3&gt;TODAY()),"",IF(AND(DV285="",DW285=""),"",N(DW285)-N(DV285)))</f>
        <v/>
      </c>
      <c r="EB285">
        <f>IF(OR(DZ$3="",DZ$3&gt;TODAY()),"",IF(AND(DZ285="",EA285=""),"",N(EA285)-N(DZ285)))</f>
        <v/>
      </c>
      <c r="EE285">
        <f>IF(OR(DZ$3="",DZ$3&gt;TODAY()),"",IF(AND(EC285="",ED285=""),"",N(ED285)-N(EC285)))</f>
        <v/>
      </c>
      <c r="EI285">
        <f>IF(OR(EG$3="",EG$3&gt;TODAY()),"",IF(AND(EG285="",EH285=""),"",N(EH285)-N(EG285)))</f>
        <v/>
      </c>
      <c r="EL285">
        <f>IF(OR(EG$3="",EG$3&gt;TODAY()),"",IF(AND(EJ285="",EK285=""),"",N(EK285)-N(EJ285)))</f>
        <v/>
      </c>
      <c r="EP285">
        <f>IF(OR(EN$3="",EN$3&gt;TODAY()),"",IF(AND(EN285="",EO285=""),"",N(EO285)-N(EN285)))</f>
        <v/>
      </c>
      <c r="ES285">
        <f>IF(OR(EN$3="",EN$3&gt;TODAY()),"",IF(AND(EQ285="",ER285=""),"",N(ER285)-N(EQ285)))</f>
        <v/>
      </c>
      <c r="EW285">
        <f>IF(OR(EU$3="",EU$3&gt;TODAY()),"",IF(AND(EU285="",EV285=""),"",N(EV285)-N(EU285)))</f>
        <v/>
      </c>
      <c r="EZ285">
        <f>IF(OR(EU$3="",EU$3&gt;TODAY()),"",IF(AND(EX285="",EY285=""),"",N(EY285)-N(EX285)))</f>
        <v/>
      </c>
      <c r="FD285">
        <f>IF(OR(FB$3="",FB$3&gt;TODAY()),"",IF(AND(FB285="",FC285=""),"",N(FC285)-N(FB285)))</f>
        <v/>
      </c>
      <c r="FG285">
        <f>IF(OR(FB$3="",FB$3&gt;TODAY()),"",IF(AND(FE285="",FF285=""),"",N(FF285)-N(FE285)))</f>
        <v/>
      </c>
      <c r="FK285">
        <f>IF(OR(FI$3="",FI$3&gt;TODAY()),"",IF(AND(FI285="",FJ285=""),"",N(FJ285)-N(FI285)))</f>
        <v/>
      </c>
      <c r="FN285">
        <f>IF(OR(FI$3="",FI$3&gt;TODAY()),"",IF(AND(FL285="",FM285=""),"",N(FM285)-N(FL285)))</f>
        <v/>
      </c>
      <c r="FR285">
        <f>IF(OR(FP$3="",FP$3&gt;TODAY()),"",IF(AND(FP285="",FQ285=""),"",N(FQ285)-N(FP285)))</f>
        <v/>
      </c>
      <c r="FU285">
        <f>IF(OR(FP$3="",FP$3&gt;TODAY()),"",IF(AND(FS285="",FT285=""),"",N(FT285)-N(FS285)))</f>
        <v/>
      </c>
      <c r="FY285">
        <f>IF(OR(FW$3="",FW$3&gt;TODAY()),"",IF(AND(FW285="",FX285=""),"",N(FX285)-N(FW285)))</f>
        <v/>
      </c>
      <c r="GB285">
        <f>IF(OR(FW$3="",FW$3&gt;TODAY()),"",IF(AND(FZ285="",GA285=""),"",N(GA285)-N(FZ285)))</f>
        <v/>
      </c>
      <c r="GF285">
        <f>IF(OR(GD$3="",GD$3&gt;TODAY()),"",IF(AND(GD285="",GE285=""),"",N(GE285)-N(GD285)))</f>
        <v/>
      </c>
      <c r="GI285">
        <f>IF(OR(GD$3="",GD$3&gt;TODAY()),"",IF(AND(GG285="",GH285=""),"",N(GH285)-N(GG285)))</f>
        <v/>
      </c>
      <c r="GM285">
        <f>IF(OR(GK$3="",GK$3&gt;TODAY()),"",IF(AND(GK285="",GL285=""),"",N(GL285)-N(GK285)))</f>
        <v/>
      </c>
      <c r="GP285">
        <f>IF(OR(GK$3="",GK$3&gt;TODAY()),"",IF(AND(GN285="",GO285=""),"",N(GO285)-N(GN285)))</f>
        <v/>
      </c>
      <c r="GT285">
        <f>IF(OR(GR$3="",GR$3&gt;TODAY()),"",IF(AND(GR285="",GS285=""),"",N(GS285)-N(GR285)))</f>
        <v/>
      </c>
      <c r="GW285">
        <f>IF(OR(GR$3="",GR$3&gt;TODAY()),"",IF(AND(GU285="",GV285=""),"",N(GV285)-N(GU285)))</f>
        <v/>
      </c>
      <c r="HA285">
        <f>IF(OR(GY$3="",GY$3&gt;TODAY()),"",IF(AND(GY285="",GZ285=""),"",N(GZ285)-N(GY285)))</f>
        <v/>
      </c>
      <c r="HD285">
        <f>IF(OR(GY$3="",GY$3&gt;TODAY()),"",IF(AND(HB285="",HC285=""),"",N(HC285)-N(HB285)))</f>
        <v/>
      </c>
      <c r="HH285">
        <f>IF(OR(HF$3="",HF$3&gt;TODAY()),"",IF(AND(HF285="",HG285=""),"",N(HG285)-N(HF285)))</f>
        <v/>
      </c>
      <c r="HK285">
        <f>IF(OR(HF$3="",HF$3&gt;TODAY()),"",IF(AND(HI285="",HJ285=""),"",N(HJ285)-N(HI285)))</f>
        <v/>
      </c>
      <c r="HO285">
        <f>IF(OR(HM$3="",HM$3&gt;TODAY()),"",IF(AND(HM285="",HN285=""),"",N(HN285)-N(HM285)))</f>
        <v/>
      </c>
      <c r="HR285">
        <f>IF(OR(HM$3="",HM$3&gt;TODAY()),"",IF(AND(HP285="",HQ285=""),"",N(HQ285)-N(HP285)))</f>
        <v/>
      </c>
      <c r="HV285">
        <f>IF(OR(HT$3="",HT$3&gt;TODAY()),"",IF(AND(HT285="",HU285=""),"",N(HU285)-N(HT285)))</f>
        <v/>
      </c>
      <c r="HY285">
        <f>IF(OR(HT$3="",HT$3&gt;TODAY()),"",IF(AND(HW285="",HX285=""),"",N(HX285)-N(HW285)))</f>
        <v/>
      </c>
      <c r="IC285">
        <f>IF(OR(IA$3="",IA$3&gt;TODAY()),"",IF(AND(IA285="",IB285=""),"",N(IB285)-N(IA285)))</f>
        <v/>
      </c>
      <c r="IF285">
        <f>IF(OR(IA$3="",IA$3&gt;TODAY()),"",IF(AND(ID285="",IE285=""),"",N(IE285)-N(ID285)))</f>
        <v/>
      </c>
      <c r="IJ285">
        <f>IF(OR(IH$3="",IH$3&gt;TODAY()),"",IF(AND(IH285="",II285=""),"",N(II285)-N(IH285)))</f>
        <v/>
      </c>
      <c r="IM285">
        <f>IF(OR(IH$3="",IH$3&gt;TODAY()),"",IF(AND(IK285="",IL285=""),"",N(IL285)-N(IK285)))</f>
        <v/>
      </c>
    </row>
    <row r="286">
      <c r="A286" s="21" t="n"/>
      <c r="B286" s="21" t="n"/>
      <c r="C286" s="21" t="n"/>
      <c r="D286" s="21" t="n"/>
      <c r="E286" s="21" t="n"/>
      <c r="F286" s="21" t="n"/>
      <c r="G286" s="21" t="n"/>
      <c r="H286" s="21" t="n"/>
      <c r="I286" s="22" t="n"/>
      <c r="J286" s="22" t="n"/>
      <c r="K286" s="23" t="n"/>
      <c r="L286" s="22" t="n"/>
      <c r="M286" s="22" t="n"/>
      <c r="N286" s="21" t="n"/>
      <c r="O286" s="23" t="n"/>
      <c r="P286" s="23" t="n"/>
      <c r="Q286" s="23" t="n"/>
      <c r="R286" s="23" t="n"/>
      <c r="S286" s="22" t="n"/>
      <c r="T286" s="23" t="n"/>
      <c r="U286" s="23" t="n"/>
      <c r="V286" s="24">
        <f>IF(J286&lt;&gt;"",J286,IF(I286&lt;&gt;"",I286,""))</f>
        <v/>
      </c>
      <c r="W286" s="25">
        <f>IF($E286="","",N(O286)+SUMIFS($AF286:$IN286,$AF$4:$IN$4,"SEW_ACT"))</f>
        <v/>
      </c>
      <c r="X286" s="25">
        <f>IF($E286="","",N(P286)+SUMIFS($AF286:$IN286,$AF$4:$IN$4,"WASH_ACT"))</f>
        <v/>
      </c>
      <c r="Y286" s="25">
        <f>IF($E286="","",W286-X286-N(T286)-N(U286))</f>
        <v/>
      </c>
      <c r="Z286" s="25">
        <f>IF($E286="","",IF(N(K286)-X286&lt;=0.02*N(K286),0,N(K286)-X286))</f>
        <v/>
      </c>
      <c r="AA286" s="24">
        <f>IF($E286="","",IF(S286&lt;&gt;"",S286,IF(N(O286)&gt;0,IF(L286&lt;&gt;"",L286,99999),IFERROR(1/(1/_xlfn.MINIFS($AF$3:$IN$3,$AF$4:$IN$4,"SEW_ACT",$AF286:$IN286,"&gt;0")),99999))))</f>
        <v/>
      </c>
      <c r="AB286" s="26">
        <f>IF(OR($E286="",Z286=0,V286=""),"",1+COUNTIFS(Z$8:Z$707,"&gt;0",V$8:V$707,"&lt;"&amp;V286)+COUNTIFS(Z$8:Z$707,"&gt;0",V$8:V$707,V286,AA$8:AA$707,"&lt;"&amp;AA286)+COUNTIFS(Z$8:Z$707,"&gt;0",V$8:V$707,V286,AA$8:AA$707,AA286,E$8:E$707,"&lt;"&amp;$E286))</f>
        <v/>
      </c>
      <c r="AC286" s="24">
        <f>IF(OR($E286="",Z286=0),"",IFERROR(TODAY()+ROUNDUP(Z286/(SUMIFS($AF286:$IN286,$AF$4:$IN$4,"WASH_ACT")/COUNTIFS($AF$4:$IN$4,"WASH_ACT",$AF286:$IN286,"&gt;0")),0),"no output yet"))</f>
        <v/>
      </c>
      <c r="AD286" s="26">
        <f>IF($E286="","",IFERROR(ROUND(MAX(0,SUMIFS($AF286:$IN286,$AF$4:$IN$4,"SEW_PLAN",$AF$3:$IN$3,"&lt;="&amp;TODAY())-SUMIFS($AF286:$IN286,$AF$4:$IN$4,"SEW_ACT",$AF$3:$IN$3,"&lt;="&amp;TODAY())+N(Q286))/(SUMIFS($AF286:$IN286,$AF$4:$IN$4,"SEW_PLAN")/COUNTIFS($AF$4:$IN$4,"SEW_PLAN",$AF286:$IN286,"&gt;0")),1),0))</f>
        <v/>
      </c>
      <c r="AE286" s="26">
        <f>IF($E286="","",IF(AND(Z286&gt;0,OR(AND(M286&lt;&gt;"",TODAY()&gt;M286),AND(V286&lt;&gt;"",V286-TODAY()&lt;=7))),"Yes","No"))</f>
        <v/>
      </c>
      <c r="AH286">
        <f>IF(OR(AF$3="",AF$3&gt;TODAY()),"",IF(AND(AF286="",AG286=""),"",N(AG286)-N(AF286)))</f>
        <v/>
      </c>
      <c r="AK286">
        <f>IF(OR(AF$3="",AF$3&gt;TODAY()),"",IF(AND(AI286="",AJ286=""),"",N(AJ286)-N(AI286)))</f>
        <v/>
      </c>
      <c r="AO286">
        <f>IF(OR(AM$3="",AM$3&gt;TODAY()),"",IF(AND(AM286="",AN286=""),"",N(AN286)-N(AM286)))</f>
        <v/>
      </c>
      <c r="AR286">
        <f>IF(OR(AM$3="",AM$3&gt;TODAY()),"",IF(AND(AP286="",AQ286=""),"",N(AQ286)-N(AP286)))</f>
        <v/>
      </c>
      <c r="AV286">
        <f>IF(OR(AT$3="",AT$3&gt;TODAY()),"",IF(AND(AT286="",AU286=""),"",N(AU286)-N(AT286)))</f>
        <v/>
      </c>
      <c r="AY286">
        <f>IF(OR(AT$3="",AT$3&gt;TODAY()),"",IF(AND(AW286="",AX286=""),"",N(AX286)-N(AW286)))</f>
        <v/>
      </c>
      <c r="BC286">
        <f>IF(OR(BA$3="",BA$3&gt;TODAY()),"",IF(AND(BA286="",BB286=""),"",N(BB286)-N(BA286)))</f>
        <v/>
      </c>
      <c r="BF286">
        <f>IF(OR(BA$3="",BA$3&gt;TODAY()),"",IF(AND(BD286="",BE286=""),"",N(BE286)-N(BD286)))</f>
        <v/>
      </c>
      <c r="BJ286">
        <f>IF(OR(BH$3="",BH$3&gt;TODAY()),"",IF(AND(BH286="",BI286=""),"",N(BI286)-N(BH286)))</f>
        <v/>
      </c>
      <c r="BM286">
        <f>IF(OR(BH$3="",BH$3&gt;TODAY()),"",IF(AND(BK286="",BL286=""),"",N(BL286)-N(BK286)))</f>
        <v/>
      </c>
      <c r="BQ286">
        <f>IF(OR(BO$3="",BO$3&gt;TODAY()),"",IF(AND(BO286="",BP286=""),"",N(BP286)-N(BO286)))</f>
        <v/>
      </c>
      <c r="BT286">
        <f>IF(OR(BO$3="",BO$3&gt;TODAY()),"",IF(AND(BR286="",BS286=""),"",N(BS286)-N(BR286)))</f>
        <v/>
      </c>
      <c r="BX286">
        <f>IF(OR(BV$3="",BV$3&gt;TODAY()),"",IF(AND(BV286="",BW286=""),"",N(BW286)-N(BV286)))</f>
        <v/>
      </c>
      <c r="CA286">
        <f>IF(OR(BV$3="",BV$3&gt;TODAY()),"",IF(AND(BY286="",BZ286=""),"",N(BZ286)-N(BY286)))</f>
        <v/>
      </c>
      <c r="CE286">
        <f>IF(OR(CC$3="",CC$3&gt;TODAY()),"",IF(AND(CC286="",CD286=""),"",N(CD286)-N(CC286)))</f>
        <v/>
      </c>
      <c r="CH286">
        <f>IF(OR(CC$3="",CC$3&gt;TODAY()),"",IF(AND(CF286="",CG286=""),"",N(CG286)-N(CF286)))</f>
        <v/>
      </c>
      <c r="CL286">
        <f>IF(OR(CJ$3="",CJ$3&gt;TODAY()),"",IF(AND(CJ286="",CK286=""),"",N(CK286)-N(CJ286)))</f>
        <v/>
      </c>
      <c r="CO286">
        <f>IF(OR(CJ$3="",CJ$3&gt;TODAY()),"",IF(AND(CM286="",CN286=""),"",N(CN286)-N(CM286)))</f>
        <v/>
      </c>
      <c r="CS286">
        <f>IF(OR(CQ$3="",CQ$3&gt;TODAY()),"",IF(AND(CQ286="",CR286=""),"",N(CR286)-N(CQ286)))</f>
        <v/>
      </c>
      <c r="CV286">
        <f>IF(OR(CQ$3="",CQ$3&gt;TODAY()),"",IF(AND(CT286="",CU286=""),"",N(CU286)-N(CT286)))</f>
        <v/>
      </c>
      <c r="CZ286">
        <f>IF(OR(CX$3="",CX$3&gt;TODAY()),"",IF(AND(CX286="",CY286=""),"",N(CY286)-N(CX286)))</f>
        <v/>
      </c>
      <c r="DC286">
        <f>IF(OR(CX$3="",CX$3&gt;TODAY()),"",IF(AND(DA286="",DB286=""),"",N(DB286)-N(DA286)))</f>
        <v/>
      </c>
      <c r="DG286">
        <f>IF(OR(DE$3="",DE$3&gt;TODAY()),"",IF(AND(DE286="",DF286=""),"",N(DF286)-N(DE286)))</f>
        <v/>
      </c>
      <c r="DJ286">
        <f>IF(OR(DE$3="",DE$3&gt;TODAY()),"",IF(AND(DH286="",DI286=""),"",N(DI286)-N(DH286)))</f>
        <v/>
      </c>
      <c r="DN286">
        <f>IF(OR(DL$3="",DL$3&gt;TODAY()),"",IF(AND(DL286="",DM286=""),"",N(DM286)-N(DL286)))</f>
        <v/>
      </c>
      <c r="DQ286">
        <f>IF(OR(DL$3="",DL$3&gt;TODAY()),"",IF(AND(DO286="",DP286=""),"",N(DP286)-N(DO286)))</f>
        <v/>
      </c>
      <c r="DU286">
        <f>IF(OR(DS$3="",DS$3&gt;TODAY()),"",IF(AND(DS286="",DT286=""),"",N(DT286)-N(DS286)))</f>
        <v/>
      </c>
      <c r="DX286">
        <f>IF(OR(DS$3="",DS$3&gt;TODAY()),"",IF(AND(DV286="",DW286=""),"",N(DW286)-N(DV286)))</f>
        <v/>
      </c>
      <c r="EB286">
        <f>IF(OR(DZ$3="",DZ$3&gt;TODAY()),"",IF(AND(DZ286="",EA286=""),"",N(EA286)-N(DZ286)))</f>
        <v/>
      </c>
      <c r="EE286">
        <f>IF(OR(DZ$3="",DZ$3&gt;TODAY()),"",IF(AND(EC286="",ED286=""),"",N(ED286)-N(EC286)))</f>
        <v/>
      </c>
      <c r="EI286">
        <f>IF(OR(EG$3="",EG$3&gt;TODAY()),"",IF(AND(EG286="",EH286=""),"",N(EH286)-N(EG286)))</f>
        <v/>
      </c>
      <c r="EL286">
        <f>IF(OR(EG$3="",EG$3&gt;TODAY()),"",IF(AND(EJ286="",EK286=""),"",N(EK286)-N(EJ286)))</f>
        <v/>
      </c>
      <c r="EP286">
        <f>IF(OR(EN$3="",EN$3&gt;TODAY()),"",IF(AND(EN286="",EO286=""),"",N(EO286)-N(EN286)))</f>
        <v/>
      </c>
      <c r="ES286">
        <f>IF(OR(EN$3="",EN$3&gt;TODAY()),"",IF(AND(EQ286="",ER286=""),"",N(ER286)-N(EQ286)))</f>
        <v/>
      </c>
      <c r="EW286">
        <f>IF(OR(EU$3="",EU$3&gt;TODAY()),"",IF(AND(EU286="",EV286=""),"",N(EV286)-N(EU286)))</f>
        <v/>
      </c>
      <c r="EZ286">
        <f>IF(OR(EU$3="",EU$3&gt;TODAY()),"",IF(AND(EX286="",EY286=""),"",N(EY286)-N(EX286)))</f>
        <v/>
      </c>
      <c r="FD286">
        <f>IF(OR(FB$3="",FB$3&gt;TODAY()),"",IF(AND(FB286="",FC286=""),"",N(FC286)-N(FB286)))</f>
        <v/>
      </c>
      <c r="FG286">
        <f>IF(OR(FB$3="",FB$3&gt;TODAY()),"",IF(AND(FE286="",FF286=""),"",N(FF286)-N(FE286)))</f>
        <v/>
      </c>
      <c r="FK286">
        <f>IF(OR(FI$3="",FI$3&gt;TODAY()),"",IF(AND(FI286="",FJ286=""),"",N(FJ286)-N(FI286)))</f>
        <v/>
      </c>
      <c r="FN286">
        <f>IF(OR(FI$3="",FI$3&gt;TODAY()),"",IF(AND(FL286="",FM286=""),"",N(FM286)-N(FL286)))</f>
        <v/>
      </c>
      <c r="FR286">
        <f>IF(OR(FP$3="",FP$3&gt;TODAY()),"",IF(AND(FP286="",FQ286=""),"",N(FQ286)-N(FP286)))</f>
        <v/>
      </c>
      <c r="FU286">
        <f>IF(OR(FP$3="",FP$3&gt;TODAY()),"",IF(AND(FS286="",FT286=""),"",N(FT286)-N(FS286)))</f>
        <v/>
      </c>
      <c r="FY286">
        <f>IF(OR(FW$3="",FW$3&gt;TODAY()),"",IF(AND(FW286="",FX286=""),"",N(FX286)-N(FW286)))</f>
        <v/>
      </c>
      <c r="GB286">
        <f>IF(OR(FW$3="",FW$3&gt;TODAY()),"",IF(AND(FZ286="",GA286=""),"",N(GA286)-N(FZ286)))</f>
        <v/>
      </c>
      <c r="GF286">
        <f>IF(OR(GD$3="",GD$3&gt;TODAY()),"",IF(AND(GD286="",GE286=""),"",N(GE286)-N(GD286)))</f>
        <v/>
      </c>
      <c r="GI286">
        <f>IF(OR(GD$3="",GD$3&gt;TODAY()),"",IF(AND(GG286="",GH286=""),"",N(GH286)-N(GG286)))</f>
        <v/>
      </c>
      <c r="GM286">
        <f>IF(OR(GK$3="",GK$3&gt;TODAY()),"",IF(AND(GK286="",GL286=""),"",N(GL286)-N(GK286)))</f>
        <v/>
      </c>
      <c r="GP286">
        <f>IF(OR(GK$3="",GK$3&gt;TODAY()),"",IF(AND(GN286="",GO286=""),"",N(GO286)-N(GN286)))</f>
        <v/>
      </c>
      <c r="GT286">
        <f>IF(OR(GR$3="",GR$3&gt;TODAY()),"",IF(AND(GR286="",GS286=""),"",N(GS286)-N(GR286)))</f>
        <v/>
      </c>
      <c r="GW286">
        <f>IF(OR(GR$3="",GR$3&gt;TODAY()),"",IF(AND(GU286="",GV286=""),"",N(GV286)-N(GU286)))</f>
        <v/>
      </c>
      <c r="HA286">
        <f>IF(OR(GY$3="",GY$3&gt;TODAY()),"",IF(AND(GY286="",GZ286=""),"",N(GZ286)-N(GY286)))</f>
        <v/>
      </c>
      <c r="HD286">
        <f>IF(OR(GY$3="",GY$3&gt;TODAY()),"",IF(AND(HB286="",HC286=""),"",N(HC286)-N(HB286)))</f>
        <v/>
      </c>
      <c r="HH286">
        <f>IF(OR(HF$3="",HF$3&gt;TODAY()),"",IF(AND(HF286="",HG286=""),"",N(HG286)-N(HF286)))</f>
        <v/>
      </c>
      <c r="HK286">
        <f>IF(OR(HF$3="",HF$3&gt;TODAY()),"",IF(AND(HI286="",HJ286=""),"",N(HJ286)-N(HI286)))</f>
        <v/>
      </c>
      <c r="HO286">
        <f>IF(OR(HM$3="",HM$3&gt;TODAY()),"",IF(AND(HM286="",HN286=""),"",N(HN286)-N(HM286)))</f>
        <v/>
      </c>
      <c r="HR286">
        <f>IF(OR(HM$3="",HM$3&gt;TODAY()),"",IF(AND(HP286="",HQ286=""),"",N(HQ286)-N(HP286)))</f>
        <v/>
      </c>
      <c r="HV286">
        <f>IF(OR(HT$3="",HT$3&gt;TODAY()),"",IF(AND(HT286="",HU286=""),"",N(HU286)-N(HT286)))</f>
        <v/>
      </c>
      <c r="HY286">
        <f>IF(OR(HT$3="",HT$3&gt;TODAY()),"",IF(AND(HW286="",HX286=""),"",N(HX286)-N(HW286)))</f>
        <v/>
      </c>
      <c r="IC286">
        <f>IF(OR(IA$3="",IA$3&gt;TODAY()),"",IF(AND(IA286="",IB286=""),"",N(IB286)-N(IA286)))</f>
        <v/>
      </c>
      <c r="IF286">
        <f>IF(OR(IA$3="",IA$3&gt;TODAY()),"",IF(AND(ID286="",IE286=""),"",N(IE286)-N(ID286)))</f>
        <v/>
      </c>
      <c r="IJ286">
        <f>IF(OR(IH$3="",IH$3&gt;TODAY()),"",IF(AND(IH286="",II286=""),"",N(II286)-N(IH286)))</f>
        <v/>
      </c>
      <c r="IM286">
        <f>IF(OR(IH$3="",IH$3&gt;TODAY()),"",IF(AND(IK286="",IL286=""),"",N(IL286)-N(IK286)))</f>
        <v/>
      </c>
    </row>
    <row r="287">
      <c r="A287" s="21" t="n"/>
      <c r="B287" s="21" t="n"/>
      <c r="C287" s="21" t="n"/>
      <c r="D287" s="21" t="n"/>
      <c r="E287" s="21" t="n"/>
      <c r="F287" s="21" t="n"/>
      <c r="G287" s="21" t="n"/>
      <c r="H287" s="21" t="n"/>
      <c r="I287" s="22" t="n"/>
      <c r="J287" s="22" t="n"/>
      <c r="K287" s="23" t="n"/>
      <c r="L287" s="22" t="n"/>
      <c r="M287" s="22" t="n"/>
      <c r="N287" s="21" t="n"/>
      <c r="O287" s="23" t="n"/>
      <c r="P287" s="23" t="n"/>
      <c r="Q287" s="23" t="n"/>
      <c r="R287" s="23" t="n"/>
      <c r="S287" s="22" t="n"/>
      <c r="T287" s="23" t="n"/>
      <c r="U287" s="23" t="n"/>
      <c r="V287" s="24">
        <f>IF(J287&lt;&gt;"",J287,IF(I287&lt;&gt;"",I287,""))</f>
        <v/>
      </c>
      <c r="W287" s="25">
        <f>IF($E287="","",N(O287)+SUMIFS($AF287:$IN287,$AF$4:$IN$4,"SEW_ACT"))</f>
        <v/>
      </c>
      <c r="X287" s="25">
        <f>IF($E287="","",N(P287)+SUMIFS($AF287:$IN287,$AF$4:$IN$4,"WASH_ACT"))</f>
        <v/>
      </c>
      <c r="Y287" s="25">
        <f>IF($E287="","",W287-X287-N(T287)-N(U287))</f>
        <v/>
      </c>
      <c r="Z287" s="25">
        <f>IF($E287="","",IF(N(K287)-X287&lt;=0.02*N(K287),0,N(K287)-X287))</f>
        <v/>
      </c>
      <c r="AA287" s="24">
        <f>IF($E287="","",IF(S287&lt;&gt;"",S287,IF(N(O287)&gt;0,IF(L287&lt;&gt;"",L287,99999),IFERROR(1/(1/_xlfn.MINIFS($AF$3:$IN$3,$AF$4:$IN$4,"SEW_ACT",$AF287:$IN287,"&gt;0")),99999))))</f>
        <v/>
      </c>
      <c r="AB287" s="26">
        <f>IF(OR($E287="",Z287=0,V287=""),"",1+COUNTIFS(Z$8:Z$707,"&gt;0",V$8:V$707,"&lt;"&amp;V287)+COUNTIFS(Z$8:Z$707,"&gt;0",V$8:V$707,V287,AA$8:AA$707,"&lt;"&amp;AA287)+COUNTIFS(Z$8:Z$707,"&gt;0",V$8:V$707,V287,AA$8:AA$707,AA287,E$8:E$707,"&lt;"&amp;$E287))</f>
        <v/>
      </c>
      <c r="AC287" s="24">
        <f>IF(OR($E287="",Z287=0),"",IFERROR(TODAY()+ROUNDUP(Z287/(SUMIFS($AF287:$IN287,$AF$4:$IN$4,"WASH_ACT")/COUNTIFS($AF$4:$IN$4,"WASH_ACT",$AF287:$IN287,"&gt;0")),0),"no output yet"))</f>
        <v/>
      </c>
      <c r="AD287" s="26">
        <f>IF($E287="","",IFERROR(ROUND(MAX(0,SUMIFS($AF287:$IN287,$AF$4:$IN$4,"SEW_PLAN",$AF$3:$IN$3,"&lt;="&amp;TODAY())-SUMIFS($AF287:$IN287,$AF$4:$IN$4,"SEW_ACT",$AF$3:$IN$3,"&lt;="&amp;TODAY())+N(Q287))/(SUMIFS($AF287:$IN287,$AF$4:$IN$4,"SEW_PLAN")/COUNTIFS($AF$4:$IN$4,"SEW_PLAN",$AF287:$IN287,"&gt;0")),1),0))</f>
        <v/>
      </c>
      <c r="AE287" s="26">
        <f>IF($E287="","",IF(AND(Z287&gt;0,OR(AND(M287&lt;&gt;"",TODAY()&gt;M287),AND(V287&lt;&gt;"",V287-TODAY()&lt;=7))),"Yes","No"))</f>
        <v/>
      </c>
      <c r="AH287">
        <f>IF(OR(AF$3="",AF$3&gt;TODAY()),"",IF(AND(AF287="",AG287=""),"",N(AG287)-N(AF287)))</f>
        <v/>
      </c>
      <c r="AK287">
        <f>IF(OR(AF$3="",AF$3&gt;TODAY()),"",IF(AND(AI287="",AJ287=""),"",N(AJ287)-N(AI287)))</f>
        <v/>
      </c>
      <c r="AO287">
        <f>IF(OR(AM$3="",AM$3&gt;TODAY()),"",IF(AND(AM287="",AN287=""),"",N(AN287)-N(AM287)))</f>
        <v/>
      </c>
      <c r="AR287">
        <f>IF(OR(AM$3="",AM$3&gt;TODAY()),"",IF(AND(AP287="",AQ287=""),"",N(AQ287)-N(AP287)))</f>
        <v/>
      </c>
      <c r="AV287">
        <f>IF(OR(AT$3="",AT$3&gt;TODAY()),"",IF(AND(AT287="",AU287=""),"",N(AU287)-N(AT287)))</f>
        <v/>
      </c>
      <c r="AY287">
        <f>IF(OR(AT$3="",AT$3&gt;TODAY()),"",IF(AND(AW287="",AX287=""),"",N(AX287)-N(AW287)))</f>
        <v/>
      </c>
      <c r="BC287">
        <f>IF(OR(BA$3="",BA$3&gt;TODAY()),"",IF(AND(BA287="",BB287=""),"",N(BB287)-N(BA287)))</f>
        <v/>
      </c>
      <c r="BF287">
        <f>IF(OR(BA$3="",BA$3&gt;TODAY()),"",IF(AND(BD287="",BE287=""),"",N(BE287)-N(BD287)))</f>
        <v/>
      </c>
      <c r="BJ287">
        <f>IF(OR(BH$3="",BH$3&gt;TODAY()),"",IF(AND(BH287="",BI287=""),"",N(BI287)-N(BH287)))</f>
        <v/>
      </c>
      <c r="BM287">
        <f>IF(OR(BH$3="",BH$3&gt;TODAY()),"",IF(AND(BK287="",BL287=""),"",N(BL287)-N(BK287)))</f>
        <v/>
      </c>
      <c r="BQ287">
        <f>IF(OR(BO$3="",BO$3&gt;TODAY()),"",IF(AND(BO287="",BP287=""),"",N(BP287)-N(BO287)))</f>
        <v/>
      </c>
      <c r="BT287">
        <f>IF(OR(BO$3="",BO$3&gt;TODAY()),"",IF(AND(BR287="",BS287=""),"",N(BS287)-N(BR287)))</f>
        <v/>
      </c>
      <c r="BX287">
        <f>IF(OR(BV$3="",BV$3&gt;TODAY()),"",IF(AND(BV287="",BW287=""),"",N(BW287)-N(BV287)))</f>
        <v/>
      </c>
      <c r="CA287">
        <f>IF(OR(BV$3="",BV$3&gt;TODAY()),"",IF(AND(BY287="",BZ287=""),"",N(BZ287)-N(BY287)))</f>
        <v/>
      </c>
      <c r="CE287">
        <f>IF(OR(CC$3="",CC$3&gt;TODAY()),"",IF(AND(CC287="",CD287=""),"",N(CD287)-N(CC287)))</f>
        <v/>
      </c>
      <c r="CH287">
        <f>IF(OR(CC$3="",CC$3&gt;TODAY()),"",IF(AND(CF287="",CG287=""),"",N(CG287)-N(CF287)))</f>
        <v/>
      </c>
      <c r="CL287">
        <f>IF(OR(CJ$3="",CJ$3&gt;TODAY()),"",IF(AND(CJ287="",CK287=""),"",N(CK287)-N(CJ287)))</f>
        <v/>
      </c>
      <c r="CO287">
        <f>IF(OR(CJ$3="",CJ$3&gt;TODAY()),"",IF(AND(CM287="",CN287=""),"",N(CN287)-N(CM287)))</f>
        <v/>
      </c>
      <c r="CS287">
        <f>IF(OR(CQ$3="",CQ$3&gt;TODAY()),"",IF(AND(CQ287="",CR287=""),"",N(CR287)-N(CQ287)))</f>
        <v/>
      </c>
      <c r="CV287">
        <f>IF(OR(CQ$3="",CQ$3&gt;TODAY()),"",IF(AND(CT287="",CU287=""),"",N(CU287)-N(CT287)))</f>
        <v/>
      </c>
      <c r="CZ287">
        <f>IF(OR(CX$3="",CX$3&gt;TODAY()),"",IF(AND(CX287="",CY287=""),"",N(CY287)-N(CX287)))</f>
        <v/>
      </c>
      <c r="DC287">
        <f>IF(OR(CX$3="",CX$3&gt;TODAY()),"",IF(AND(DA287="",DB287=""),"",N(DB287)-N(DA287)))</f>
        <v/>
      </c>
      <c r="DG287">
        <f>IF(OR(DE$3="",DE$3&gt;TODAY()),"",IF(AND(DE287="",DF287=""),"",N(DF287)-N(DE287)))</f>
        <v/>
      </c>
      <c r="DJ287">
        <f>IF(OR(DE$3="",DE$3&gt;TODAY()),"",IF(AND(DH287="",DI287=""),"",N(DI287)-N(DH287)))</f>
        <v/>
      </c>
      <c r="DN287">
        <f>IF(OR(DL$3="",DL$3&gt;TODAY()),"",IF(AND(DL287="",DM287=""),"",N(DM287)-N(DL287)))</f>
        <v/>
      </c>
      <c r="DQ287">
        <f>IF(OR(DL$3="",DL$3&gt;TODAY()),"",IF(AND(DO287="",DP287=""),"",N(DP287)-N(DO287)))</f>
        <v/>
      </c>
      <c r="DU287">
        <f>IF(OR(DS$3="",DS$3&gt;TODAY()),"",IF(AND(DS287="",DT287=""),"",N(DT287)-N(DS287)))</f>
        <v/>
      </c>
      <c r="DX287">
        <f>IF(OR(DS$3="",DS$3&gt;TODAY()),"",IF(AND(DV287="",DW287=""),"",N(DW287)-N(DV287)))</f>
        <v/>
      </c>
      <c r="EB287">
        <f>IF(OR(DZ$3="",DZ$3&gt;TODAY()),"",IF(AND(DZ287="",EA287=""),"",N(EA287)-N(DZ287)))</f>
        <v/>
      </c>
      <c r="EE287">
        <f>IF(OR(DZ$3="",DZ$3&gt;TODAY()),"",IF(AND(EC287="",ED287=""),"",N(ED287)-N(EC287)))</f>
        <v/>
      </c>
      <c r="EI287">
        <f>IF(OR(EG$3="",EG$3&gt;TODAY()),"",IF(AND(EG287="",EH287=""),"",N(EH287)-N(EG287)))</f>
        <v/>
      </c>
      <c r="EL287">
        <f>IF(OR(EG$3="",EG$3&gt;TODAY()),"",IF(AND(EJ287="",EK287=""),"",N(EK287)-N(EJ287)))</f>
        <v/>
      </c>
      <c r="EP287">
        <f>IF(OR(EN$3="",EN$3&gt;TODAY()),"",IF(AND(EN287="",EO287=""),"",N(EO287)-N(EN287)))</f>
        <v/>
      </c>
      <c r="ES287">
        <f>IF(OR(EN$3="",EN$3&gt;TODAY()),"",IF(AND(EQ287="",ER287=""),"",N(ER287)-N(EQ287)))</f>
        <v/>
      </c>
      <c r="EW287">
        <f>IF(OR(EU$3="",EU$3&gt;TODAY()),"",IF(AND(EU287="",EV287=""),"",N(EV287)-N(EU287)))</f>
        <v/>
      </c>
      <c r="EZ287">
        <f>IF(OR(EU$3="",EU$3&gt;TODAY()),"",IF(AND(EX287="",EY287=""),"",N(EY287)-N(EX287)))</f>
        <v/>
      </c>
      <c r="FD287">
        <f>IF(OR(FB$3="",FB$3&gt;TODAY()),"",IF(AND(FB287="",FC287=""),"",N(FC287)-N(FB287)))</f>
        <v/>
      </c>
      <c r="FG287">
        <f>IF(OR(FB$3="",FB$3&gt;TODAY()),"",IF(AND(FE287="",FF287=""),"",N(FF287)-N(FE287)))</f>
        <v/>
      </c>
      <c r="FK287">
        <f>IF(OR(FI$3="",FI$3&gt;TODAY()),"",IF(AND(FI287="",FJ287=""),"",N(FJ287)-N(FI287)))</f>
        <v/>
      </c>
      <c r="FN287">
        <f>IF(OR(FI$3="",FI$3&gt;TODAY()),"",IF(AND(FL287="",FM287=""),"",N(FM287)-N(FL287)))</f>
        <v/>
      </c>
      <c r="FR287">
        <f>IF(OR(FP$3="",FP$3&gt;TODAY()),"",IF(AND(FP287="",FQ287=""),"",N(FQ287)-N(FP287)))</f>
        <v/>
      </c>
      <c r="FU287">
        <f>IF(OR(FP$3="",FP$3&gt;TODAY()),"",IF(AND(FS287="",FT287=""),"",N(FT287)-N(FS287)))</f>
        <v/>
      </c>
      <c r="FY287">
        <f>IF(OR(FW$3="",FW$3&gt;TODAY()),"",IF(AND(FW287="",FX287=""),"",N(FX287)-N(FW287)))</f>
        <v/>
      </c>
      <c r="GB287">
        <f>IF(OR(FW$3="",FW$3&gt;TODAY()),"",IF(AND(FZ287="",GA287=""),"",N(GA287)-N(FZ287)))</f>
        <v/>
      </c>
      <c r="GF287">
        <f>IF(OR(GD$3="",GD$3&gt;TODAY()),"",IF(AND(GD287="",GE287=""),"",N(GE287)-N(GD287)))</f>
        <v/>
      </c>
      <c r="GI287">
        <f>IF(OR(GD$3="",GD$3&gt;TODAY()),"",IF(AND(GG287="",GH287=""),"",N(GH287)-N(GG287)))</f>
        <v/>
      </c>
      <c r="GM287">
        <f>IF(OR(GK$3="",GK$3&gt;TODAY()),"",IF(AND(GK287="",GL287=""),"",N(GL287)-N(GK287)))</f>
        <v/>
      </c>
      <c r="GP287">
        <f>IF(OR(GK$3="",GK$3&gt;TODAY()),"",IF(AND(GN287="",GO287=""),"",N(GO287)-N(GN287)))</f>
        <v/>
      </c>
      <c r="GT287">
        <f>IF(OR(GR$3="",GR$3&gt;TODAY()),"",IF(AND(GR287="",GS287=""),"",N(GS287)-N(GR287)))</f>
        <v/>
      </c>
      <c r="GW287">
        <f>IF(OR(GR$3="",GR$3&gt;TODAY()),"",IF(AND(GU287="",GV287=""),"",N(GV287)-N(GU287)))</f>
        <v/>
      </c>
      <c r="HA287">
        <f>IF(OR(GY$3="",GY$3&gt;TODAY()),"",IF(AND(GY287="",GZ287=""),"",N(GZ287)-N(GY287)))</f>
        <v/>
      </c>
      <c r="HD287">
        <f>IF(OR(GY$3="",GY$3&gt;TODAY()),"",IF(AND(HB287="",HC287=""),"",N(HC287)-N(HB287)))</f>
        <v/>
      </c>
      <c r="HH287">
        <f>IF(OR(HF$3="",HF$3&gt;TODAY()),"",IF(AND(HF287="",HG287=""),"",N(HG287)-N(HF287)))</f>
        <v/>
      </c>
      <c r="HK287">
        <f>IF(OR(HF$3="",HF$3&gt;TODAY()),"",IF(AND(HI287="",HJ287=""),"",N(HJ287)-N(HI287)))</f>
        <v/>
      </c>
      <c r="HO287">
        <f>IF(OR(HM$3="",HM$3&gt;TODAY()),"",IF(AND(HM287="",HN287=""),"",N(HN287)-N(HM287)))</f>
        <v/>
      </c>
      <c r="HR287">
        <f>IF(OR(HM$3="",HM$3&gt;TODAY()),"",IF(AND(HP287="",HQ287=""),"",N(HQ287)-N(HP287)))</f>
        <v/>
      </c>
      <c r="HV287">
        <f>IF(OR(HT$3="",HT$3&gt;TODAY()),"",IF(AND(HT287="",HU287=""),"",N(HU287)-N(HT287)))</f>
        <v/>
      </c>
      <c r="HY287">
        <f>IF(OR(HT$3="",HT$3&gt;TODAY()),"",IF(AND(HW287="",HX287=""),"",N(HX287)-N(HW287)))</f>
        <v/>
      </c>
      <c r="IC287">
        <f>IF(OR(IA$3="",IA$3&gt;TODAY()),"",IF(AND(IA287="",IB287=""),"",N(IB287)-N(IA287)))</f>
        <v/>
      </c>
      <c r="IF287">
        <f>IF(OR(IA$3="",IA$3&gt;TODAY()),"",IF(AND(ID287="",IE287=""),"",N(IE287)-N(ID287)))</f>
        <v/>
      </c>
      <c r="IJ287">
        <f>IF(OR(IH$3="",IH$3&gt;TODAY()),"",IF(AND(IH287="",II287=""),"",N(II287)-N(IH287)))</f>
        <v/>
      </c>
      <c r="IM287">
        <f>IF(OR(IH$3="",IH$3&gt;TODAY()),"",IF(AND(IK287="",IL287=""),"",N(IL287)-N(IK287)))</f>
        <v/>
      </c>
    </row>
    <row r="288">
      <c r="A288" s="21" t="n"/>
      <c r="B288" s="21" t="n"/>
      <c r="C288" s="21" t="n"/>
      <c r="D288" s="21" t="n"/>
      <c r="E288" s="21" t="n"/>
      <c r="F288" s="21" t="n"/>
      <c r="G288" s="21" t="n"/>
      <c r="H288" s="21" t="n"/>
      <c r="I288" s="22" t="n"/>
      <c r="J288" s="22" t="n"/>
      <c r="K288" s="23" t="n"/>
      <c r="L288" s="22" t="n"/>
      <c r="M288" s="22" t="n"/>
      <c r="N288" s="21" t="n"/>
      <c r="O288" s="23" t="n"/>
      <c r="P288" s="23" t="n"/>
      <c r="Q288" s="23" t="n"/>
      <c r="R288" s="23" t="n"/>
      <c r="S288" s="22" t="n"/>
      <c r="T288" s="23" t="n"/>
      <c r="U288" s="23" t="n"/>
      <c r="V288" s="24">
        <f>IF(J288&lt;&gt;"",J288,IF(I288&lt;&gt;"",I288,""))</f>
        <v/>
      </c>
      <c r="W288" s="25">
        <f>IF($E288="","",N(O288)+SUMIFS($AF288:$IN288,$AF$4:$IN$4,"SEW_ACT"))</f>
        <v/>
      </c>
      <c r="X288" s="25">
        <f>IF($E288="","",N(P288)+SUMIFS($AF288:$IN288,$AF$4:$IN$4,"WASH_ACT"))</f>
        <v/>
      </c>
      <c r="Y288" s="25">
        <f>IF($E288="","",W288-X288-N(T288)-N(U288))</f>
        <v/>
      </c>
      <c r="Z288" s="25">
        <f>IF($E288="","",IF(N(K288)-X288&lt;=0.02*N(K288),0,N(K288)-X288))</f>
        <v/>
      </c>
      <c r="AA288" s="24">
        <f>IF($E288="","",IF(S288&lt;&gt;"",S288,IF(N(O288)&gt;0,IF(L288&lt;&gt;"",L288,99999),IFERROR(1/(1/_xlfn.MINIFS($AF$3:$IN$3,$AF$4:$IN$4,"SEW_ACT",$AF288:$IN288,"&gt;0")),99999))))</f>
        <v/>
      </c>
      <c r="AB288" s="26">
        <f>IF(OR($E288="",Z288=0,V288=""),"",1+COUNTIFS(Z$8:Z$707,"&gt;0",V$8:V$707,"&lt;"&amp;V288)+COUNTIFS(Z$8:Z$707,"&gt;0",V$8:V$707,V288,AA$8:AA$707,"&lt;"&amp;AA288)+COUNTIFS(Z$8:Z$707,"&gt;0",V$8:V$707,V288,AA$8:AA$707,AA288,E$8:E$707,"&lt;"&amp;$E288))</f>
        <v/>
      </c>
      <c r="AC288" s="24">
        <f>IF(OR($E288="",Z288=0),"",IFERROR(TODAY()+ROUNDUP(Z288/(SUMIFS($AF288:$IN288,$AF$4:$IN$4,"WASH_ACT")/COUNTIFS($AF$4:$IN$4,"WASH_ACT",$AF288:$IN288,"&gt;0")),0),"no output yet"))</f>
        <v/>
      </c>
      <c r="AD288" s="26">
        <f>IF($E288="","",IFERROR(ROUND(MAX(0,SUMIFS($AF288:$IN288,$AF$4:$IN$4,"SEW_PLAN",$AF$3:$IN$3,"&lt;="&amp;TODAY())-SUMIFS($AF288:$IN288,$AF$4:$IN$4,"SEW_ACT",$AF$3:$IN$3,"&lt;="&amp;TODAY())+N(Q288))/(SUMIFS($AF288:$IN288,$AF$4:$IN$4,"SEW_PLAN")/COUNTIFS($AF$4:$IN$4,"SEW_PLAN",$AF288:$IN288,"&gt;0")),1),0))</f>
        <v/>
      </c>
      <c r="AE288" s="26">
        <f>IF($E288="","",IF(AND(Z288&gt;0,OR(AND(M288&lt;&gt;"",TODAY()&gt;M288),AND(V288&lt;&gt;"",V288-TODAY()&lt;=7))),"Yes","No"))</f>
        <v/>
      </c>
      <c r="AH288">
        <f>IF(OR(AF$3="",AF$3&gt;TODAY()),"",IF(AND(AF288="",AG288=""),"",N(AG288)-N(AF288)))</f>
        <v/>
      </c>
      <c r="AK288">
        <f>IF(OR(AF$3="",AF$3&gt;TODAY()),"",IF(AND(AI288="",AJ288=""),"",N(AJ288)-N(AI288)))</f>
        <v/>
      </c>
      <c r="AO288">
        <f>IF(OR(AM$3="",AM$3&gt;TODAY()),"",IF(AND(AM288="",AN288=""),"",N(AN288)-N(AM288)))</f>
        <v/>
      </c>
      <c r="AR288">
        <f>IF(OR(AM$3="",AM$3&gt;TODAY()),"",IF(AND(AP288="",AQ288=""),"",N(AQ288)-N(AP288)))</f>
        <v/>
      </c>
      <c r="AV288">
        <f>IF(OR(AT$3="",AT$3&gt;TODAY()),"",IF(AND(AT288="",AU288=""),"",N(AU288)-N(AT288)))</f>
        <v/>
      </c>
      <c r="AY288">
        <f>IF(OR(AT$3="",AT$3&gt;TODAY()),"",IF(AND(AW288="",AX288=""),"",N(AX288)-N(AW288)))</f>
        <v/>
      </c>
      <c r="BC288">
        <f>IF(OR(BA$3="",BA$3&gt;TODAY()),"",IF(AND(BA288="",BB288=""),"",N(BB288)-N(BA288)))</f>
        <v/>
      </c>
      <c r="BF288">
        <f>IF(OR(BA$3="",BA$3&gt;TODAY()),"",IF(AND(BD288="",BE288=""),"",N(BE288)-N(BD288)))</f>
        <v/>
      </c>
      <c r="BJ288">
        <f>IF(OR(BH$3="",BH$3&gt;TODAY()),"",IF(AND(BH288="",BI288=""),"",N(BI288)-N(BH288)))</f>
        <v/>
      </c>
      <c r="BM288">
        <f>IF(OR(BH$3="",BH$3&gt;TODAY()),"",IF(AND(BK288="",BL288=""),"",N(BL288)-N(BK288)))</f>
        <v/>
      </c>
      <c r="BQ288">
        <f>IF(OR(BO$3="",BO$3&gt;TODAY()),"",IF(AND(BO288="",BP288=""),"",N(BP288)-N(BO288)))</f>
        <v/>
      </c>
      <c r="BT288">
        <f>IF(OR(BO$3="",BO$3&gt;TODAY()),"",IF(AND(BR288="",BS288=""),"",N(BS288)-N(BR288)))</f>
        <v/>
      </c>
      <c r="BX288">
        <f>IF(OR(BV$3="",BV$3&gt;TODAY()),"",IF(AND(BV288="",BW288=""),"",N(BW288)-N(BV288)))</f>
        <v/>
      </c>
      <c r="CA288">
        <f>IF(OR(BV$3="",BV$3&gt;TODAY()),"",IF(AND(BY288="",BZ288=""),"",N(BZ288)-N(BY288)))</f>
        <v/>
      </c>
      <c r="CE288">
        <f>IF(OR(CC$3="",CC$3&gt;TODAY()),"",IF(AND(CC288="",CD288=""),"",N(CD288)-N(CC288)))</f>
        <v/>
      </c>
      <c r="CH288">
        <f>IF(OR(CC$3="",CC$3&gt;TODAY()),"",IF(AND(CF288="",CG288=""),"",N(CG288)-N(CF288)))</f>
        <v/>
      </c>
      <c r="CL288">
        <f>IF(OR(CJ$3="",CJ$3&gt;TODAY()),"",IF(AND(CJ288="",CK288=""),"",N(CK288)-N(CJ288)))</f>
        <v/>
      </c>
      <c r="CO288">
        <f>IF(OR(CJ$3="",CJ$3&gt;TODAY()),"",IF(AND(CM288="",CN288=""),"",N(CN288)-N(CM288)))</f>
        <v/>
      </c>
      <c r="CS288">
        <f>IF(OR(CQ$3="",CQ$3&gt;TODAY()),"",IF(AND(CQ288="",CR288=""),"",N(CR288)-N(CQ288)))</f>
        <v/>
      </c>
      <c r="CV288">
        <f>IF(OR(CQ$3="",CQ$3&gt;TODAY()),"",IF(AND(CT288="",CU288=""),"",N(CU288)-N(CT288)))</f>
        <v/>
      </c>
      <c r="CZ288">
        <f>IF(OR(CX$3="",CX$3&gt;TODAY()),"",IF(AND(CX288="",CY288=""),"",N(CY288)-N(CX288)))</f>
        <v/>
      </c>
      <c r="DC288">
        <f>IF(OR(CX$3="",CX$3&gt;TODAY()),"",IF(AND(DA288="",DB288=""),"",N(DB288)-N(DA288)))</f>
        <v/>
      </c>
      <c r="DG288">
        <f>IF(OR(DE$3="",DE$3&gt;TODAY()),"",IF(AND(DE288="",DF288=""),"",N(DF288)-N(DE288)))</f>
        <v/>
      </c>
      <c r="DJ288">
        <f>IF(OR(DE$3="",DE$3&gt;TODAY()),"",IF(AND(DH288="",DI288=""),"",N(DI288)-N(DH288)))</f>
        <v/>
      </c>
      <c r="DN288">
        <f>IF(OR(DL$3="",DL$3&gt;TODAY()),"",IF(AND(DL288="",DM288=""),"",N(DM288)-N(DL288)))</f>
        <v/>
      </c>
      <c r="DQ288">
        <f>IF(OR(DL$3="",DL$3&gt;TODAY()),"",IF(AND(DO288="",DP288=""),"",N(DP288)-N(DO288)))</f>
        <v/>
      </c>
      <c r="DU288">
        <f>IF(OR(DS$3="",DS$3&gt;TODAY()),"",IF(AND(DS288="",DT288=""),"",N(DT288)-N(DS288)))</f>
        <v/>
      </c>
      <c r="DX288">
        <f>IF(OR(DS$3="",DS$3&gt;TODAY()),"",IF(AND(DV288="",DW288=""),"",N(DW288)-N(DV288)))</f>
        <v/>
      </c>
      <c r="EB288">
        <f>IF(OR(DZ$3="",DZ$3&gt;TODAY()),"",IF(AND(DZ288="",EA288=""),"",N(EA288)-N(DZ288)))</f>
        <v/>
      </c>
      <c r="EE288">
        <f>IF(OR(DZ$3="",DZ$3&gt;TODAY()),"",IF(AND(EC288="",ED288=""),"",N(ED288)-N(EC288)))</f>
        <v/>
      </c>
      <c r="EI288">
        <f>IF(OR(EG$3="",EG$3&gt;TODAY()),"",IF(AND(EG288="",EH288=""),"",N(EH288)-N(EG288)))</f>
        <v/>
      </c>
      <c r="EL288">
        <f>IF(OR(EG$3="",EG$3&gt;TODAY()),"",IF(AND(EJ288="",EK288=""),"",N(EK288)-N(EJ288)))</f>
        <v/>
      </c>
      <c r="EP288">
        <f>IF(OR(EN$3="",EN$3&gt;TODAY()),"",IF(AND(EN288="",EO288=""),"",N(EO288)-N(EN288)))</f>
        <v/>
      </c>
      <c r="ES288">
        <f>IF(OR(EN$3="",EN$3&gt;TODAY()),"",IF(AND(EQ288="",ER288=""),"",N(ER288)-N(EQ288)))</f>
        <v/>
      </c>
      <c r="EW288">
        <f>IF(OR(EU$3="",EU$3&gt;TODAY()),"",IF(AND(EU288="",EV288=""),"",N(EV288)-N(EU288)))</f>
        <v/>
      </c>
      <c r="EZ288">
        <f>IF(OR(EU$3="",EU$3&gt;TODAY()),"",IF(AND(EX288="",EY288=""),"",N(EY288)-N(EX288)))</f>
        <v/>
      </c>
      <c r="FD288">
        <f>IF(OR(FB$3="",FB$3&gt;TODAY()),"",IF(AND(FB288="",FC288=""),"",N(FC288)-N(FB288)))</f>
        <v/>
      </c>
      <c r="FG288">
        <f>IF(OR(FB$3="",FB$3&gt;TODAY()),"",IF(AND(FE288="",FF288=""),"",N(FF288)-N(FE288)))</f>
        <v/>
      </c>
      <c r="FK288">
        <f>IF(OR(FI$3="",FI$3&gt;TODAY()),"",IF(AND(FI288="",FJ288=""),"",N(FJ288)-N(FI288)))</f>
        <v/>
      </c>
      <c r="FN288">
        <f>IF(OR(FI$3="",FI$3&gt;TODAY()),"",IF(AND(FL288="",FM288=""),"",N(FM288)-N(FL288)))</f>
        <v/>
      </c>
      <c r="FR288">
        <f>IF(OR(FP$3="",FP$3&gt;TODAY()),"",IF(AND(FP288="",FQ288=""),"",N(FQ288)-N(FP288)))</f>
        <v/>
      </c>
      <c r="FU288">
        <f>IF(OR(FP$3="",FP$3&gt;TODAY()),"",IF(AND(FS288="",FT288=""),"",N(FT288)-N(FS288)))</f>
        <v/>
      </c>
      <c r="FY288">
        <f>IF(OR(FW$3="",FW$3&gt;TODAY()),"",IF(AND(FW288="",FX288=""),"",N(FX288)-N(FW288)))</f>
        <v/>
      </c>
      <c r="GB288">
        <f>IF(OR(FW$3="",FW$3&gt;TODAY()),"",IF(AND(FZ288="",GA288=""),"",N(GA288)-N(FZ288)))</f>
        <v/>
      </c>
      <c r="GF288">
        <f>IF(OR(GD$3="",GD$3&gt;TODAY()),"",IF(AND(GD288="",GE288=""),"",N(GE288)-N(GD288)))</f>
        <v/>
      </c>
      <c r="GI288">
        <f>IF(OR(GD$3="",GD$3&gt;TODAY()),"",IF(AND(GG288="",GH288=""),"",N(GH288)-N(GG288)))</f>
        <v/>
      </c>
      <c r="GM288">
        <f>IF(OR(GK$3="",GK$3&gt;TODAY()),"",IF(AND(GK288="",GL288=""),"",N(GL288)-N(GK288)))</f>
        <v/>
      </c>
      <c r="GP288">
        <f>IF(OR(GK$3="",GK$3&gt;TODAY()),"",IF(AND(GN288="",GO288=""),"",N(GO288)-N(GN288)))</f>
        <v/>
      </c>
      <c r="GT288">
        <f>IF(OR(GR$3="",GR$3&gt;TODAY()),"",IF(AND(GR288="",GS288=""),"",N(GS288)-N(GR288)))</f>
        <v/>
      </c>
      <c r="GW288">
        <f>IF(OR(GR$3="",GR$3&gt;TODAY()),"",IF(AND(GU288="",GV288=""),"",N(GV288)-N(GU288)))</f>
        <v/>
      </c>
      <c r="HA288">
        <f>IF(OR(GY$3="",GY$3&gt;TODAY()),"",IF(AND(GY288="",GZ288=""),"",N(GZ288)-N(GY288)))</f>
        <v/>
      </c>
      <c r="HD288">
        <f>IF(OR(GY$3="",GY$3&gt;TODAY()),"",IF(AND(HB288="",HC288=""),"",N(HC288)-N(HB288)))</f>
        <v/>
      </c>
      <c r="HH288">
        <f>IF(OR(HF$3="",HF$3&gt;TODAY()),"",IF(AND(HF288="",HG288=""),"",N(HG288)-N(HF288)))</f>
        <v/>
      </c>
      <c r="HK288">
        <f>IF(OR(HF$3="",HF$3&gt;TODAY()),"",IF(AND(HI288="",HJ288=""),"",N(HJ288)-N(HI288)))</f>
        <v/>
      </c>
      <c r="HO288">
        <f>IF(OR(HM$3="",HM$3&gt;TODAY()),"",IF(AND(HM288="",HN288=""),"",N(HN288)-N(HM288)))</f>
        <v/>
      </c>
      <c r="HR288">
        <f>IF(OR(HM$3="",HM$3&gt;TODAY()),"",IF(AND(HP288="",HQ288=""),"",N(HQ288)-N(HP288)))</f>
        <v/>
      </c>
      <c r="HV288">
        <f>IF(OR(HT$3="",HT$3&gt;TODAY()),"",IF(AND(HT288="",HU288=""),"",N(HU288)-N(HT288)))</f>
        <v/>
      </c>
      <c r="HY288">
        <f>IF(OR(HT$3="",HT$3&gt;TODAY()),"",IF(AND(HW288="",HX288=""),"",N(HX288)-N(HW288)))</f>
        <v/>
      </c>
      <c r="IC288">
        <f>IF(OR(IA$3="",IA$3&gt;TODAY()),"",IF(AND(IA288="",IB288=""),"",N(IB288)-N(IA288)))</f>
        <v/>
      </c>
      <c r="IF288">
        <f>IF(OR(IA$3="",IA$3&gt;TODAY()),"",IF(AND(ID288="",IE288=""),"",N(IE288)-N(ID288)))</f>
        <v/>
      </c>
      <c r="IJ288">
        <f>IF(OR(IH$3="",IH$3&gt;TODAY()),"",IF(AND(IH288="",II288=""),"",N(II288)-N(IH288)))</f>
        <v/>
      </c>
      <c r="IM288">
        <f>IF(OR(IH$3="",IH$3&gt;TODAY()),"",IF(AND(IK288="",IL288=""),"",N(IL288)-N(IK288)))</f>
        <v/>
      </c>
    </row>
    <row r="289">
      <c r="A289" s="21" t="n"/>
      <c r="B289" s="21" t="n"/>
      <c r="C289" s="21" t="n"/>
      <c r="D289" s="21" t="n"/>
      <c r="E289" s="21" t="n"/>
      <c r="F289" s="21" t="n"/>
      <c r="G289" s="21" t="n"/>
      <c r="H289" s="21" t="n"/>
      <c r="I289" s="22" t="n"/>
      <c r="J289" s="22" t="n"/>
      <c r="K289" s="23" t="n"/>
      <c r="L289" s="22" t="n"/>
      <c r="M289" s="22" t="n"/>
      <c r="N289" s="21" t="n"/>
      <c r="O289" s="23" t="n"/>
      <c r="P289" s="23" t="n"/>
      <c r="Q289" s="23" t="n"/>
      <c r="R289" s="23" t="n"/>
      <c r="S289" s="22" t="n"/>
      <c r="T289" s="23" t="n"/>
      <c r="U289" s="23" t="n"/>
      <c r="V289" s="24">
        <f>IF(J289&lt;&gt;"",J289,IF(I289&lt;&gt;"",I289,""))</f>
        <v/>
      </c>
      <c r="W289" s="25">
        <f>IF($E289="","",N(O289)+SUMIFS($AF289:$IN289,$AF$4:$IN$4,"SEW_ACT"))</f>
        <v/>
      </c>
      <c r="X289" s="25">
        <f>IF($E289="","",N(P289)+SUMIFS($AF289:$IN289,$AF$4:$IN$4,"WASH_ACT"))</f>
        <v/>
      </c>
      <c r="Y289" s="25">
        <f>IF($E289="","",W289-X289-N(T289)-N(U289))</f>
        <v/>
      </c>
      <c r="Z289" s="25">
        <f>IF($E289="","",IF(N(K289)-X289&lt;=0.02*N(K289),0,N(K289)-X289))</f>
        <v/>
      </c>
      <c r="AA289" s="24">
        <f>IF($E289="","",IF(S289&lt;&gt;"",S289,IF(N(O289)&gt;0,IF(L289&lt;&gt;"",L289,99999),IFERROR(1/(1/_xlfn.MINIFS($AF$3:$IN$3,$AF$4:$IN$4,"SEW_ACT",$AF289:$IN289,"&gt;0")),99999))))</f>
        <v/>
      </c>
      <c r="AB289" s="26">
        <f>IF(OR($E289="",Z289=0,V289=""),"",1+COUNTIFS(Z$8:Z$707,"&gt;0",V$8:V$707,"&lt;"&amp;V289)+COUNTIFS(Z$8:Z$707,"&gt;0",V$8:V$707,V289,AA$8:AA$707,"&lt;"&amp;AA289)+COUNTIFS(Z$8:Z$707,"&gt;0",V$8:V$707,V289,AA$8:AA$707,AA289,E$8:E$707,"&lt;"&amp;$E289))</f>
        <v/>
      </c>
      <c r="AC289" s="24">
        <f>IF(OR($E289="",Z289=0),"",IFERROR(TODAY()+ROUNDUP(Z289/(SUMIFS($AF289:$IN289,$AF$4:$IN$4,"WASH_ACT")/COUNTIFS($AF$4:$IN$4,"WASH_ACT",$AF289:$IN289,"&gt;0")),0),"no output yet"))</f>
        <v/>
      </c>
      <c r="AD289" s="26">
        <f>IF($E289="","",IFERROR(ROUND(MAX(0,SUMIFS($AF289:$IN289,$AF$4:$IN$4,"SEW_PLAN",$AF$3:$IN$3,"&lt;="&amp;TODAY())-SUMIFS($AF289:$IN289,$AF$4:$IN$4,"SEW_ACT",$AF$3:$IN$3,"&lt;="&amp;TODAY())+N(Q289))/(SUMIFS($AF289:$IN289,$AF$4:$IN$4,"SEW_PLAN")/COUNTIFS($AF$4:$IN$4,"SEW_PLAN",$AF289:$IN289,"&gt;0")),1),0))</f>
        <v/>
      </c>
      <c r="AE289" s="26">
        <f>IF($E289="","",IF(AND(Z289&gt;0,OR(AND(M289&lt;&gt;"",TODAY()&gt;M289),AND(V289&lt;&gt;"",V289-TODAY()&lt;=7))),"Yes","No"))</f>
        <v/>
      </c>
      <c r="AH289">
        <f>IF(OR(AF$3="",AF$3&gt;TODAY()),"",IF(AND(AF289="",AG289=""),"",N(AG289)-N(AF289)))</f>
        <v/>
      </c>
      <c r="AK289">
        <f>IF(OR(AF$3="",AF$3&gt;TODAY()),"",IF(AND(AI289="",AJ289=""),"",N(AJ289)-N(AI289)))</f>
        <v/>
      </c>
      <c r="AO289">
        <f>IF(OR(AM$3="",AM$3&gt;TODAY()),"",IF(AND(AM289="",AN289=""),"",N(AN289)-N(AM289)))</f>
        <v/>
      </c>
      <c r="AR289">
        <f>IF(OR(AM$3="",AM$3&gt;TODAY()),"",IF(AND(AP289="",AQ289=""),"",N(AQ289)-N(AP289)))</f>
        <v/>
      </c>
      <c r="AV289">
        <f>IF(OR(AT$3="",AT$3&gt;TODAY()),"",IF(AND(AT289="",AU289=""),"",N(AU289)-N(AT289)))</f>
        <v/>
      </c>
      <c r="AY289">
        <f>IF(OR(AT$3="",AT$3&gt;TODAY()),"",IF(AND(AW289="",AX289=""),"",N(AX289)-N(AW289)))</f>
        <v/>
      </c>
      <c r="BC289">
        <f>IF(OR(BA$3="",BA$3&gt;TODAY()),"",IF(AND(BA289="",BB289=""),"",N(BB289)-N(BA289)))</f>
        <v/>
      </c>
      <c r="BF289">
        <f>IF(OR(BA$3="",BA$3&gt;TODAY()),"",IF(AND(BD289="",BE289=""),"",N(BE289)-N(BD289)))</f>
        <v/>
      </c>
      <c r="BJ289">
        <f>IF(OR(BH$3="",BH$3&gt;TODAY()),"",IF(AND(BH289="",BI289=""),"",N(BI289)-N(BH289)))</f>
        <v/>
      </c>
      <c r="BM289">
        <f>IF(OR(BH$3="",BH$3&gt;TODAY()),"",IF(AND(BK289="",BL289=""),"",N(BL289)-N(BK289)))</f>
        <v/>
      </c>
      <c r="BQ289">
        <f>IF(OR(BO$3="",BO$3&gt;TODAY()),"",IF(AND(BO289="",BP289=""),"",N(BP289)-N(BO289)))</f>
        <v/>
      </c>
      <c r="BT289">
        <f>IF(OR(BO$3="",BO$3&gt;TODAY()),"",IF(AND(BR289="",BS289=""),"",N(BS289)-N(BR289)))</f>
        <v/>
      </c>
      <c r="BX289">
        <f>IF(OR(BV$3="",BV$3&gt;TODAY()),"",IF(AND(BV289="",BW289=""),"",N(BW289)-N(BV289)))</f>
        <v/>
      </c>
      <c r="CA289">
        <f>IF(OR(BV$3="",BV$3&gt;TODAY()),"",IF(AND(BY289="",BZ289=""),"",N(BZ289)-N(BY289)))</f>
        <v/>
      </c>
      <c r="CE289">
        <f>IF(OR(CC$3="",CC$3&gt;TODAY()),"",IF(AND(CC289="",CD289=""),"",N(CD289)-N(CC289)))</f>
        <v/>
      </c>
      <c r="CH289">
        <f>IF(OR(CC$3="",CC$3&gt;TODAY()),"",IF(AND(CF289="",CG289=""),"",N(CG289)-N(CF289)))</f>
        <v/>
      </c>
      <c r="CL289">
        <f>IF(OR(CJ$3="",CJ$3&gt;TODAY()),"",IF(AND(CJ289="",CK289=""),"",N(CK289)-N(CJ289)))</f>
        <v/>
      </c>
      <c r="CO289">
        <f>IF(OR(CJ$3="",CJ$3&gt;TODAY()),"",IF(AND(CM289="",CN289=""),"",N(CN289)-N(CM289)))</f>
        <v/>
      </c>
      <c r="CS289">
        <f>IF(OR(CQ$3="",CQ$3&gt;TODAY()),"",IF(AND(CQ289="",CR289=""),"",N(CR289)-N(CQ289)))</f>
        <v/>
      </c>
      <c r="CV289">
        <f>IF(OR(CQ$3="",CQ$3&gt;TODAY()),"",IF(AND(CT289="",CU289=""),"",N(CU289)-N(CT289)))</f>
        <v/>
      </c>
      <c r="CZ289">
        <f>IF(OR(CX$3="",CX$3&gt;TODAY()),"",IF(AND(CX289="",CY289=""),"",N(CY289)-N(CX289)))</f>
        <v/>
      </c>
      <c r="DC289">
        <f>IF(OR(CX$3="",CX$3&gt;TODAY()),"",IF(AND(DA289="",DB289=""),"",N(DB289)-N(DA289)))</f>
        <v/>
      </c>
      <c r="DG289">
        <f>IF(OR(DE$3="",DE$3&gt;TODAY()),"",IF(AND(DE289="",DF289=""),"",N(DF289)-N(DE289)))</f>
        <v/>
      </c>
      <c r="DJ289">
        <f>IF(OR(DE$3="",DE$3&gt;TODAY()),"",IF(AND(DH289="",DI289=""),"",N(DI289)-N(DH289)))</f>
        <v/>
      </c>
      <c r="DN289">
        <f>IF(OR(DL$3="",DL$3&gt;TODAY()),"",IF(AND(DL289="",DM289=""),"",N(DM289)-N(DL289)))</f>
        <v/>
      </c>
      <c r="DQ289">
        <f>IF(OR(DL$3="",DL$3&gt;TODAY()),"",IF(AND(DO289="",DP289=""),"",N(DP289)-N(DO289)))</f>
        <v/>
      </c>
      <c r="DU289">
        <f>IF(OR(DS$3="",DS$3&gt;TODAY()),"",IF(AND(DS289="",DT289=""),"",N(DT289)-N(DS289)))</f>
        <v/>
      </c>
      <c r="DX289">
        <f>IF(OR(DS$3="",DS$3&gt;TODAY()),"",IF(AND(DV289="",DW289=""),"",N(DW289)-N(DV289)))</f>
        <v/>
      </c>
      <c r="EB289">
        <f>IF(OR(DZ$3="",DZ$3&gt;TODAY()),"",IF(AND(DZ289="",EA289=""),"",N(EA289)-N(DZ289)))</f>
        <v/>
      </c>
      <c r="EE289">
        <f>IF(OR(DZ$3="",DZ$3&gt;TODAY()),"",IF(AND(EC289="",ED289=""),"",N(ED289)-N(EC289)))</f>
        <v/>
      </c>
      <c r="EI289">
        <f>IF(OR(EG$3="",EG$3&gt;TODAY()),"",IF(AND(EG289="",EH289=""),"",N(EH289)-N(EG289)))</f>
        <v/>
      </c>
      <c r="EL289">
        <f>IF(OR(EG$3="",EG$3&gt;TODAY()),"",IF(AND(EJ289="",EK289=""),"",N(EK289)-N(EJ289)))</f>
        <v/>
      </c>
      <c r="EP289">
        <f>IF(OR(EN$3="",EN$3&gt;TODAY()),"",IF(AND(EN289="",EO289=""),"",N(EO289)-N(EN289)))</f>
        <v/>
      </c>
      <c r="ES289">
        <f>IF(OR(EN$3="",EN$3&gt;TODAY()),"",IF(AND(EQ289="",ER289=""),"",N(ER289)-N(EQ289)))</f>
        <v/>
      </c>
      <c r="EW289">
        <f>IF(OR(EU$3="",EU$3&gt;TODAY()),"",IF(AND(EU289="",EV289=""),"",N(EV289)-N(EU289)))</f>
        <v/>
      </c>
      <c r="EZ289">
        <f>IF(OR(EU$3="",EU$3&gt;TODAY()),"",IF(AND(EX289="",EY289=""),"",N(EY289)-N(EX289)))</f>
        <v/>
      </c>
      <c r="FD289">
        <f>IF(OR(FB$3="",FB$3&gt;TODAY()),"",IF(AND(FB289="",FC289=""),"",N(FC289)-N(FB289)))</f>
        <v/>
      </c>
      <c r="FG289">
        <f>IF(OR(FB$3="",FB$3&gt;TODAY()),"",IF(AND(FE289="",FF289=""),"",N(FF289)-N(FE289)))</f>
        <v/>
      </c>
      <c r="FK289">
        <f>IF(OR(FI$3="",FI$3&gt;TODAY()),"",IF(AND(FI289="",FJ289=""),"",N(FJ289)-N(FI289)))</f>
        <v/>
      </c>
      <c r="FN289">
        <f>IF(OR(FI$3="",FI$3&gt;TODAY()),"",IF(AND(FL289="",FM289=""),"",N(FM289)-N(FL289)))</f>
        <v/>
      </c>
      <c r="FR289">
        <f>IF(OR(FP$3="",FP$3&gt;TODAY()),"",IF(AND(FP289="",FQ289=""),"",N(FQ289)-N(FP289)))</f>
        <v/>
      </c>
      <c r="FU289">
        <f>IF(OR(FP$3="",FP$3&gt;TODAY()),"",IF(AND(FS289="",FT289=""),"",N(FT289)-N(FS289)))</f>
        <v/>
      </c>
      <c r="FY289">
        <f>IF(OR(FW$3="",FW$3&gt;TODAY()),"",IF(AND(FW289="",FX289=""),"",N(FX289)-N(FW289)))</f>
        <v/>
      </c>
      <c r="GB289">
        <f>IF(OR(FW$3="",FW$3&gt;TODAY()),"",IF(AND(FZ289="",GA289=""),"",N(GA289)-N(FZ289)))</f>
        <v/>
      </c>
      <c r="GF289">
        <f>IF(OR(GD$3="",GD$3&gt;TODAY()),"",IF(AND(GD289="",GE289=""),"",N(GE289)-N(GD289)))</f>
        <v/>
      </c>
      <c r="GI289">
        <f>IF(OR(GD$3="",GD$3&gt;TODAY()),"",IF(AND(GG289="",GH289=""),"",N(GH289)-N(GG289)))</f>
        <v/>
      </c>
      <c r="GM289">
        <f>IF(OR(GK$3="",GK$3&gt;TODAY()),"",IF(AND(GK289="",GL289=""),"",N(GL289)-N(GK289)))</f>
        <v/>
      </c>
      <c r="GP289">
        <f>IF(OR(GK$3="",GK$3&gt;TODAY()),"",IF(AND(GN289="",GO289=""),"",N(GO289)-N(GN289)))</f>
        <v/>
      </c>
      <c r="GT289">
        <f>IF(OR(GR$3="",GR$3&gt;TODAY()),"",IF(AND(GR289="",GS289=""),"",N(GS289)-N(GR289)))</f>
        <v/>
      </c>
      <c r="GW289">
        <f>IF(OR(GR$3="",GR$3&gt;TODAY()),"",IF(AND(GU289="",GV289=""),"",N(GV289)-N(GU289)))</f>
        <v/>
      </c>
      <c r="HA289">
        <f>IF(OR(GY$3="",GY$3&gt;TODAY()),"",IF(AND(GY289="",GZ289=""),"",N(GZ289)-N(GY289)))</f>
        <v/>
      </c>
      <c r="HD289">
        <f>IF(OR(GY$3="",GY$3&gt;TODAY()),"",IF(AND(HB289="",HC289=""),"",N(HC289)-N(HB289)))</f>
        <v/>
      </c>
      <c r="HH289">
        <f>IF(OR(HF$3="",HF$3&gt;TODAY()),"",IF(AND(HF289="",HG289=""),"",N(HG289)-N(HF289)))</f>
        <v/>
      </c>
      <c r="HK289">
        <f>IF(OR(HF$3="",HF$3&gt;TODAY()),"",IF(AND(HI289="",HJ289=""),"",N(HJ289)-N(HI289)))</f>
        <v/>
      </c>
      <c r="HO289">
        <f>IF(OR(HM$3="",HM$3&gt;TODAY()),"",IF(AND(HM289="",HN289=""),"",N(HN289)-N(HM289)))</f>
        <v/>
      </c>
      <c r="HR289">
        <f>IF(OR(HM$3="",HM$3&gt;TODAY()),"",IF(AND(HP289="",HQ289=""),"",N(HQ289)-N(HP289)))</f>
        <v/>
      </c>
      <c r="HV289">
        <f>IF(OR(HT$3="",HT$3&gt;TODAY()),"",IF(AND(HT289="",HU289=""),"",N(HU289)-N(HT289)))</f>
        <v/>
      </c>
      <c r="HY289">
        <f>IF(OR(HT$3="",HT$3&gt;TODAY()),"",IF(AND(HW289="",HX289=""),"",N(HX289)-N(HW289)))</f>
        <v/>
      </c>
      <c r="IC289">
        <f>IF(OR(IA$3="",IA$3&gt;TODAY()),"",IF(AND(IA289="",IB289=""),"",N(IB289)-N(IA289)))</f>
        <v/>
      </c>
      <c r="IF289">
        <f>IF(OR(IA$3="",IA$3&gt;TODAY()),"",IF(AND(ID289="",IE289=""),"",N(IE289)-N(ID289)))</f>
        <v/>
      </c>
      <c r="IJ289">
        <f>IF(OR(IH$3="",IH$3&gt;TODAY()),"",IF(AND(IH289="",II289=""),"",N(II289)-N(IH289)))</f>
        <v/>
      </c>
      <c r="IM289">
        <f>IF(OR(IH$3="",IH$3&gt;TODAY()),"",IF(AND(IK289="",IL289=""),"",N(IL289)-N(IK289)))</f>
        <v/>
      </c>
    </row>
    <row r="290">
      <c r="A290" s="21" t="n"/>
      <c r="B290" s="21" t="n"/>
      <c r="C290" s="21" t="n"/>
      <c r="D290" s="21" t="n"/>
      <c r="E290" s="21" t="n"/>
      <c r="F290" s="21" t="n"/>
      <c r="G290" s="21" t="n"/>
      <c r="H290" s="21" t="n"/>
      <c r="I290" s="22" t="n"/>
      <c r="J290" s="22" t="n"/>
      <c r="K290" s="23" t="n"/>
      <c r="L290" s="22" t="n"/>
      <c r="M290" s="22" t="n"/>
      <c r="N290" s="21" t="n"/>
      <c r="O290" s="23" t="n"/>
      <c r="P290" s="23" t="n"/>
      <c r="Q290" s="23" t="n"/>
      <c r="R290" s="23" t="n"/>
      <c r="S290" s="22" t="n"/>
      <c r="T290" s="23" t="n"/>
      <c r="U290" s="23" t="n"/>
      <c r="V290" s="24">
        <f>IF(J290&lt;&gt;"",J290,IF(I290&lt;&gt;"",I290,""))</f>
        <v/>
      </c>
      <c r="W290" s="25">
        <f>IF($E290="","",N(O290)+SUMIFS($AF290:$IN290,$AF$4:$IN$4,"SEW_ACT"))</f>
        <v/>
      </c>
      <c r="X290" s="25">
        <f>IF($E290="","",N(P290)+SUMIFS($AF290:$IN290,$AF$4:$IN$4,"WASH_ACT"))</f>
        <v/>
      </c>
      <c r="Y290" s="25">
        <f>IF($E290="","",W290-X290-N(T290)-N(U290))</f>
        <v/>
      </c>
      <c r="Z290" s="25">
        <f>IF($E290="","",IF(N(K290)-X290&lt;=0.02*N(K290),0,N(K290)-X290))</f>
        <v/>
      </c>
      <c r="AA290" s="24">
        <f>IF($E290="","",IF(S290&lt;&gt;"",S290,IF(N(O290)&gt;0,IF(L290&lt;&gt;"",L290,99999),IFERROR(1/(1/_xlfn.MINIFS($AF$3:$IN$3,$AF$4:$IN$4,"SEW_ACT",$AF290:$IN290,"&gt;0")),99999))))</f>
        <v/>
      </c>
      <c r="AB290" s="26">
        <f>IF(OR($E290="",Z290=0,V290=""),"",1+COUNTIFS(Z$8:Z$707,"&gt;0",V$8:V$707,"&lt;"&amp;V290)+COUNTIFS(Z$8:Z$707,"&gt;0",V$8:V$707,V290,AA$8:AA$707,"&lt;"&amp;AA290)+COUNTIFS(Z$8:Z$707,"&gt;0",V$8:V$707,V290,AA$8:AA$707,AA290,E$8:E$707,"&lt;"&amp;$E290))</f>
        <v/>
      </c>
      <c r="AC290" s="24">
        <f>IF(OR($E290="",Z290=0),"",IFERROR(TODAY()+ROUNDUP(Z290/(SUMIFS($AF290:$IN290,$AF$4:$IN$4,"WASH_ACT")/COUNTIFS($AF$4:$IN$4,"WASH_ACT",$AF290:$IN290,"&gt;0")),0),"no output yet"))</f>
        <v/>
      </c>
      <c r="AD290" s="26">
        <f>IF($E290="","",IFERROR(ROUND(MAX(0,SUMIFS($AF290:$IN290,$AF$4:$IN$4,"SEW_PLAN",$AF$3:$IN$3,"&lt;="&amp;TODAY())-SUMIFS($AF290:$IN290,$AF$4:$IN$4,"SEW_ACT",$AF$3:$IN$3,"&lt;="&amp;TODAY())+N(Q290))/(SUMIFS($AF290:$IN290,$AF$4:$IN$4,"SEW_PLAN")/COUNTIFS($AF$4:$IN$4,"SEW_PLAN",$AF290:$IN290,"&gt;0")),1),0))</f>
        <v/>
      </c>
      <c r="AE290" s="26">
        <f>IF($E290="","",IF(AND(Z290&gt;0,OR(AND(M290&lt;&gt;"",TODAY()&gt;M290),AND(V290&lt;&gt;"",V290-TODAY()&lt;=7))),"Yes","No"))</f>
        <v/>
      </c>
      <c r="AH290">
        <f>IF(OR(AF$3="",AF$3&gt;TODAY()),"",IF(AND(AF290="",AG290=""),"",N(AG290)-N(AF290)))</f>
        <v/>
      </c>
      <c r="AK290">
        <f>IF(OR(AF$3="",AF$3&gt;TODAY()),"",IF(AND(AI290="",AJ290=""),"",N(AJ290)-N(AI290)))</f>
        <v/>
      </c>
      <c r="AO290">
        <f>IF(OR(AM$3="",AM$3&gt;TODAY()),"",IF(AND(AM290="",AN290=""),"",N(AN290)-N(AM290)))</f>
        <v/>
      </c>
      <c r="AR290">
        <f>IF(OR(AM$3="",AM$3&gt;TODAY()),"",IF(AND(AP290="",AQ290=""),"",N(AQ290)-N(AP290)))</f>
        <v/>
      </c>
      <c r="AV290">
        <f>IF(OR(AT$3="",AT$3&gt;TODAY()),"",IF(AND(AT290="",AU290=""),"",N(AU290)-N(AT290)))</f>
        <v/>
      </c>
      <c r="AY290">
        <f>IF(OR(AT$3="",AT$3&gt;TODAY()),"",IF(AND(AW290="",AX290=""),"",N(AX290)-N(AW290)))</f>
        <v/>
      </c>
      <c r="BC290">
        <f>IF(OR(BA$3="",BA$3&gt;TODAY()),"",IF(AND(BA290="",BB290=""),"",N(BB290)-N(BA290)))</f>
        <v/>
      </c>
      <c r="BF290">
        <f>IF(OR(BA$3="",BA$3&gt;TODAY()),"",IF(AND(BD290="",BE290=""),"",N(BE290)-N(BD290)))</f>
        <v/>
      </c>
      <c r="BJ290">
        <f>IF(OR(BH$3="",BH$3&gt;TODAY()),"",IF(AND(BH290="",BI290=""),"",N(BI290)-N(BH290)))</f>
        <v/>
      </c>
      <c r="BM290">
        <f>IF(OR(BH$3="",BH$3&gt;TODAY()),"",IF(AND(BK290="",BL290=""),"",N(BL290)-N(BK290)))</f>
        <v/>
      </c>
      <c r="BQ290">
        <f>IF(OR(BO$3="",BO$3&gt;TODAY()),"",IF(AND(BO290="",BP290=""),"",N(BP290)-N(BO290)))</f>
        <v/>
      </c>
      <c r="BT290">
        <f>IF(OR(BO$3="",BO$3&gt;TODAY()),"",IF(AND(BR290="",BS290=""),"",N(BS290)-N(BR290)))</f>
        <v/>
      </c>
      <c r="BX290">
        <f>IF(OR(BV$3="",BV$3&gt;TODAY()),"",IF(AND(BV290="",BW290=""),"",N(BW290)-N(BV290)))</f>
        <v/>
      </c>
      <c r="CA290">
        <f>IF(OR(BV$3="",BV$3&gt;TODAY()),"",IF(AND(BY290="",BZ290=""),"",N(BZ290)-N(BY290)))</f>
        <v/>
      </c>
      <c r="CE290">
        <f>IF(OR(CC$3="",CC$3&gt;TODAY()),"",IF(AND(CC290="",CD290=""),"",N(CD290)-N(CC290)))</f>
        <v/>
      </c>
      <c r="CH290">
        <f>IF(OR(CC$3="",CC$3&gt;TODAY()),"",IF(AND(CF290="",CG290=""),"",N(CG290)-N(CF290)))</f>
        <v/>
      </c>
      <c r="CL290">
        <f>IF(OR(CJ$3="",CJ$3&gt;TODAY()),"",IF(AND(CJ290="",CK290=""),"",N(CK290)-N(CJ290)))</f>
        <v/>
      </c>
      <c r="CO290">
        <f>IF(OR(CJ$3="",CJ$3&gt;TODAY()),"",IF(AND(CM290="",CN290=""),"",N(CN290)-N(CM290)))</f>
        <v/>
      </c>
      <c r="CS290">
        <f>IF(OR(CQ$3="",CQ$3&gt;TODAY()),"",IF(AND(CQ290="",CR290=""),"",N(CR290)-N(CQ290)))</f>
        <v/>
      </c>
      <c r="CV290">
        <f>IF(OR(CQ$3="",CQ$3&gt;TODAY()),"",IF(AND(CT290="",CU290=""),"",N(CU290)-N(CT290)))</f>
        <v/>
      </c>
      <c r="CZ290">
        <f>IF(OR(CX$3="",CX$3&gt;TODAY()),"",IF(AND(CX290="",CY290=""),"",N(CY290)-N(CX290)))</f>
        <v/>
      </c>
      <c r="DC290">
        <f>IF(OR(CX$3="",CX$3&gt;TODAY()),"",IF(AND(DA290="",DB290=""),"",N(DB290)-N(DA290)))</f>
        <v/>
      </c>
      <c r="DG290">
        <f>IF(OR(DE$3="",DE$3&gt;TODAY()),"",IF(AND(DE290="",DF290=""),"",N(DF290)-N(DE290)))</f>
        <v/>
      </c>
      <c r="DJ290">
        <f>IF(OR(DE$3="",DE$3&gt;TODAY()),"",IF(AND(DH290="",DI290=""),"",N(DI290)-N(DH290)))</f>
        <v/>
      </c>
      <c r="DN290">
        <f>IF(OR(DL$3="",DL$3&gt;TODAY()),"",IF(AND(DL290="",DM290=""),"",N(DM290)-N(DL290)))</f>
        <v/>
      </c>
      <c r="DQ290">
        <f>IF(OR(DL$3="",DL$3&gt;TODAY()),"",IF(AND(DO290="",DP290=""),"",N(DP290)-N(DO290)))</f>
        <v/>
      </c>
      <c r="DU290">
        <f>IF(OR(DS$3="",DS$3&gt;TODAY()),"",IF(AND(DS290="",DT290=""),"",N(DT290)-N(DS290)))</f>
        <v/>
      </c>
      <c r="DX290">
        <f>IF(OR(DS$3="",DS$3&gt;TODAY()),"",IF(AND(DV290="",DW290=""),"",N(DW290)-N(DV290)))</f>
        <v/>
      </c>
      <c r="EB290">
        <f>IF(OR(DZ$3="",DZ$3&gt;TODAY()),"",IF(AND(DZ290="",EA290=""),"",N(EA290)-N(DZ290)))</f>
        <v/>
      </c>
      <c r="EE290">
        <f>IF(OR(DZ$3="",DZ$3&gt;TODAY()),"",IF(AND(EC290="",ED290=""),"",N(ED290)-N(EC290)))</f>
        <v/>
      </c>
      <c r="EI290">
        <f>IF(OR(EG$3="",EG$3&gt;TODAY()),"",IF(AND(EG290="",EH290=""),"",N(EH290)-N(EG290)))</f>
        <v/>
      </c>
      <c r="EL290">
        <f>IF(OR(EG$3="",EG$3&gt;TODAY()),"",IF(AND(EJ290="",EK290=""),"",N(EK290)-N(EJ290)))</f>
        <v/>
      </c>
      <c r="EP290">
        <f>IF(OR(EN$3="",EN$3&gt;TODAY()),"",IF(AND(EN290="",EO290=""),"",N(EO290)-N(EN290)))</f>
        <v/>
      </c>
      <c r="ES290">
        <f>IF(OR(EN$3="",EN$3&gt;TODAY()),"",IF(AND(EQ290="",ER290=""),"",N(ER290)-N(EQ290)))</f>
        <v/>
      </c>
      <c r="EW290">
        <f>IF(OR(EU$3="",EU$3&gt;TODAY()),"",IF(AND(EU290="",EV290=""),"",N(EV290)-N(EU290)))</f>
        <v/>
      </c>
      <c r="EZ290">
        <f>IF(OR(EU$3="",EU$3&gt;TODAY()),"",IF(AND(EX290="",EY290=""),"",N(EY290)-N(EX290)))</f>
        <v/>
      </c>
      <c r="FD290">
        <f>IF(OR(FB$3="",FB$3&gt;TODAY()),"",IF(AND(FB290="",FC290=""),"",N(FC290)-N(FB290)))</f>
        <v/>
      </c>
      <c r="FG290">
        <f>IF(OR(FB$3="",FB$3&gt;TODAY()),"",IF(AND(FE290="",FF290=""),"",N(FF290)-N(FE290)))</f>
        <v/>
      </c>
      <c r="FK290">
        <f>IF(OR(FI$3="",FI$3&gt;TODAY()),"",IF(AND(FI290="",FJ290=""),"",N(FJ290)-N(FI290)))</f>
        <v/>
      </c>
      <c r="FN290">
        <f>IF(OR(FI$3="",FI$3&gt;TODAY()),"",IF(AND(FL290="",FM290=""),"",N(FM290)-N(FL290)))</f>
        <v/>
      </c>
      <c r="FR290">
        <f>IF(OR(FP$3="",FP$3&gt;TODAY()),"",IF(AND(FP290="",FQ290=""),"",N(FQ290)-N(FP290)))</f>
        <v/>
      </c>
      <c r="FU290">
        <f>IF(OR(FP$3="",FP$3&gt;TODAY()),"",IF(AND(FS290="",FT290=""),"",N(FT290)-N(FS290)))</f>
        <v/>
      </c>
      <c r="FY290">
        <f>IF(OR(FW$3="",FW$3&gt;TODAY()),"",IF(AND(FW290="",FX290=""),"",N(FX290)-N(FW290)))</f>
        <v/>
      </c>
      <c r="GB290">
        <f>IF(OR(FW$3="",FW$3&gt;TODAY()),"",IF(AND(FZ290="",GA290=""),"",N(GA290)-N(FZ290)))</f>
        <v/>
      </c>
      <c r="GF290">
        <f>IF(OR(GD$3="",GD$3&gt;TODAY()),"",IF(AND(GD290="",GE290=""),"",N(GE290)-N(GD290)))</f>
        <v/>
      </c>
      <c r="GI290">
        <f>IF(OR(GD$3="",GD$3&gt;TODAY()),"",IF(AND(GG290="",GH290=""),"",N(GH290)-N(GG290)))</f>
        <v/>
      </c>
      <c r="GM290">
        <f>IF(OR(GK$3="",GK$3&gt;TODAY()),"",IF(AND(GK290="",GL290=""),"",N(GL290)-N(GK290)))</f>
        <v/>
      </c>
      <c r="GP290">
        <f>IF(OR(GK$3="",GK$3&gt;TODAY()),"",IF(AND(GN290="",GO290=""),"",N(GO290)-N(GN290)))</f>
        <v/>
      </c>
      <c r="GT290">
        <f>IF(OR(GR$3="",GR$3&gt;TODAY()),"",IF(AND(GR290="",GS290=""),"",N(GS290)-N(GR290)))</f>
        <v/>
      </c>
      <c r="GW290">
        <f>IF(OR(GR$3="",GR$3&gt;TODAY()),"",IF(AND(GU290="",GV290=""),"",N(GV290)-N(GU290)))</f>
        <v/>
      </c>
      <c r="HA290">
        <f>IF(OR(GY$3="",GY$3&gt;TODAY()),"",IF(AND(GY290="",GZ290=""),"",N(GZ290)-N(GY290)))</f>
        <v/>
      </c>
      <c r="HD290">
        <f>IF(OR(GY$3="",GY$3&gt;TODAY()),"",IF(AND(HB290="",HC290=""),"",N(HC290)-N(HB290)))</f>
        <v/>
      </c>
      <c r="HH290">
        <f>IF(OR(HF$3="",HF$3&gt;TODAY()),"",IF(AND(HF290="",HG290=""),"",N(HG290)-N(HF290)))</f>
        <v/>
      </c>
      <c r="HK290">
        <f>IF(OR(HF$3="",HF$3&gt;TODAY()),"",IF(AND(HI290="",HJ290=""),"",N(HJ290)-N(HI290)))</f>
        <v/>
      </c>
      <c r="HO290">
        <f>IF(OR(HM$3="",HM$3&gt;TODAY()),"",IF(AND(HM290="",HN290=""),"",N(HN290)-N(HM290)))</f>
        <v/>
      </c>
      <c r="HR290">
        <f>IF(OR(HM$3="",HM$3&gt;TODAY()),"",IF(AND(HP290="",HQ290=""),"",N(HQ290)-N(HP290)))</f>
        <v/>
      </c>
      <c r="HV290">
        <f>IF(OR(HT$3="",HT$3&gt;TODAY()),"",IF(AND(HT290="",HU290=""),"",N(HU290)-N(HT290)))</f>
        <v/>
      </c>
      <c r="HY290">
        <f>IF(OR(HT$3="",HT$3&gt;TODAY()),"",IF(AND(HW290="",HX290=""),"",N(HX290)-N(HW290)))</f>
        <v/>
      </c>
      <c r="IC290">
        <f>IF(OR(IA$3="",IA$3&gt;TODAY()),"",IF(AND(IA290="",IB290=""),"",N(IB290)-N(IA290)))</f>
        <v/>
      </c>
      <c r="IF290">
        <f>IF(OR(IA$3="",IA$3&gt;TODAY()),"",IF(AND(ID290="",IE290=""),"",N(IE290)-N(ID290)))</f>
        <v/>
      </c>
      <c r="IJ290">
        <f>IF(OR(IH$3="",IH$3&gt;TODAY()),"",IF(AND(IH290="",II290=""),"",N(II290)-N(IH290)))</f>
        <v/>
      </c>
      <c r="IM290">
        <f>IF(OR(IH$3="",IH$3&gt;TODAY()),"",IF(AND(IK290="",IL290=""),"",N(IL290)-N(IK290)))</f>
        <v/>
      </c>
    </row>
    <row r="291">
      <c r="A291" s="21" t="n"/>
      <c r="B291" s="21" t="n"/>
      <c r="C291" s="21" t="n"/>
      <c r="D291" s="21" t="n"/>
      <c r="E291" s="21" t="n"/>
      <c r="F291" s="21" t="n"/>
      <c r="G291" s="21" t="n"/>
      <c r="H291" s="21" t="n"/>
      <c r="I291" s="22" t="n"/>
      <c r="J291" s="22" t="n"/>
      <c r="K291" s="23" t="n"/>
      <c r="L291" s="22" t="n"/>
      <c r="M291" s="22" t="n"/>
      <c r="N291" s="21" t="n"/>
      <c r="O291" s="23" t="n"/>
      <c r="P291" s="23" t="n"/>
      <c r="Q291" s="23" t="n"/>
      <c r="R291" s="23" t="n"/>
      <c r="S291" s="22" t="n"/>
      <c r="T291" s="23" t="n"/>
      <c r="U291" s="23" t="n"/>
      <c r="V291" s="24">
        <f>IF(J291&lt;&gt;"",J291,IF(I291&lt;&gt;"",I291,""))</f>
        <v/>
      </c>
      <c r="W291" s="25">
        <f>IF($E291="","",N(O291)+SUMIFS($AF291:$IN291,$AF$4:$IN$4,"SEW_ACT"))</f>
        <v/>
      </c>
      <c r="X291" s="25">
        <f>IF($E291="","",N(P291)+SUMIFS($AF291:$IN291,$AF$4:$IN$4,"WASH_ACT"))</f>
        <v/>
      </c>
      <c r="Y291" s="25">
        <f>IF($E291="","",W291-X291-N(T291)-N(U291))</f>
        <v/>
      </c>
      <c r="Z291" s="25">
        <f>IF($E291="","",IF(N(K291)-X291&lt;=0.02*N(K291),0,N(K291)-X291))</f>
        <v/>
      </c>
      <c r="AA291" s="24">
        <f>IF($E291="","",IF(S291&lt;&gt;"",S291,IF(N(O291)&gt;0,IF(L291&lt;&gt;"",L291,99999),IFERROR(1/(1/_xlfn.MINIFS($AF$3:$IN$3,$AF$4:$IN$4,"SEW_ACT",$AF291:$IN291,"&gt;0")),99999))))</f>
        <v/>
      </c>
      <c r="AB291" s="26">
        <f>IF(OR($E291="",Z291=0,V291=""),"",1+COUNTIFS(Z$8:Z$707,"&gt;0",V$8:V$707,"&lt;"&amp;V291)+COUNTIFS(Z$8:Z$707,"&gt;0",V$8:V$707,V291,AA$8:AA$707,"&lt;"&amp;AA291)+COUNTIFS(Z$8:Z$707,"&gt;0",V$8:V$707,V291,AA$8:AA$707,AA291,E$8:E$707,"&lt;"&amp;$E291))</f>
        <v/>
      </c>
      <c r="AC291" s="24">
        <f>IF(OR($E291="",Z291=0),"",IFERROR(TODAY()+ROUNDUP(Z291/(SUMIFS($AF291:$IN291,$AF$4:$IN$4,"WASH_ACT")/COUNTIFS($AF$4:$IN$4,"WASH_ACT",$AF291:$IN291,"&gt;0")),0),"no output yet"))</f>
        <v/>
      </c>
      <c r="AD291" s="26">
        <f>IF($E291="","",IFERROR(ROUND(MAX(0,SUMIFS($AF291:$IN291,$AF$4:$IN$4,"SEW_PLAN",$AF$3:$IN$3,"&lt;="&amp;TODAY())-SUMIFS($AF291:$IN291,$AF$4:$IN$4,"SEW_ACT",$AF$3:$IN$3,"&lt;="&amp;TODAY())+N(Q291))/(SUMIFS($AF291:$IN291,$AF$4:$IN$4,"SEW_PLAN")/COUNTIFS($AF$4:$IN$4,"SEW_PLAN",$AF291:$IN291,"&gt;0")),1),0))</f>
        <v/>
      </c>
      <c r="AE291" s="26">
        <f>IF($E291="","",IF(AND(Z291&gt;0,OR(AND(M291&lt;&gt;"",TODAY()&gt;M291),AND(V291&lt;&gt;"",V291-TODAY()&lt;=7))),"Yes","No"))</f>
        <v/>
      </c>
      <c r="AH291">
        <f>IF(OR(AF$3="",AF$3&gt;TODAY()),"",IF(AND(AF291="",AG291=""),"",N(AG291)-N(AF291)))</f>
        <v/>
      </c>
      <c r="AK291">
        <f>IF(OR(AF$3="",AF$3&gt;TODAY()),"",IF(AND(AI291="",AJ291=""),"",N(AJ291)-N(AI291)))</f>
        <v/>
      </c>
      <c r="AO291">
        <f>IF(OR(AM$3="",AM$3&gt;TODAY()),"",IF(AND(AM291="",AN291=""),"",N(AN291)-N(AM291)))</f>
        <v/>
      </c>
      <c r="AR291">
        <f>IF(OR(AM$3="",AM$3&gt;TODAY()),"",IF(AND(AP291="",AQ291=""),"",N(AQ291)-N(AP291)))</f>
        <v/>
      </c>
      <c r="AV291">
        <f>IF(OR(AT$3="",AT$3&gt;TODAY()),"",IF(AND(AT291="",AU291=""),"",N(AU291)-N(AT291)))</f>
        <v/>
      </c>
      <c r="AY291">
        <f>IF(OR(AT$3="",AT$3&gt;TODAY()),"",IF(AND(AW291="",AX291=""),"",N(AX291)-N(AW291)))</f>
        <v/>
      </c>
      <c r="BC291">
        <f>IF(OR(BA$3="",BA$3&gt;TODAY()),"",IF(AND(BA291="",BB291=""),"",N(BB291)-N(BA291)))</f>
        <v/>
      </c>
      <c r="BF291">
        <f>IF(OR(BA$3="",BA$3&gt;TODAY()),"",IF(AND(BD291="",BE291=""),"",N(BE291)-N(BD291)))</f>
        <v/>
      </c>
      <c r="BJ291">
        <f>IF(OR(BH$3="",BH$3&gt;TODAY()),"",IF(AND(BH291="",BI291=""),"",N(BI291)-N(BH291)))</f>
        <v/>
      </c>
      <c r="BM291">
        <f>IF(OR(BH$3="",BH$3&gt;TODAY()),"",IF(AND(BK291="",BL291=""),"",N(BL291)-N(BK291)))</f>
        <v/>
      </c>
      <c r="BQ291">
        <f>IF(OR(BO$3="",BO$3&gt;TODAY()),"",IF(AND(BO291="",BP291=""),"",N(BP291)-N(BO291)))</f>
        <v/>
      </c>
      <c r="BT291">
        <f>IF(OR(BO$3="",BO$3&gt;TODAY()),"",IF(AND(BR291="",BS291=""),"",N(BS291)-N(BR291)))</f>
        <v/>
      </c>
      <c r="BX291">
        <f>IF(OR(BV$3="",BV$3&gt;TODAY()),"",IF(AND(BV291="",BW291=""),"",N(BW291)-N(BV291)))</f>
        <v/>
      </c>
      <c r="CA291">
        <f>IF(OR(BV$3="",BV$3&gt;TODAY()),"",IF(AND(BY291="",BZ291=""),"",N(BZ291)-N(BY291)))</f>
        <v/>
      </c>
      <c r="CE291">
        <f>IF(OR(CC$3="",CC$3&gt;TODAY()),"",IF(AND(CC291="",CD291=""),"",N(CD291)-N(CC291)))</f>
        <v/>
      </c>
      <c r="CH291">
        <f>IF(OR(CC$3="",CC$3&gt;TODAY()),"",IF(AND(CF291="",CG291=""),"",N(CG291)-N(CF291)))</f>
        <v/>
      </c>
      <c r="CL291">
        <f>IF(OR(CJ$3="",CJ$3&gt;TODAY()),"",IF(AND(CJ291="",CK291=""),"",N(CK291)-N(CJ291)))</f>
        <v/>
      </c>
      <c r="CO291">
        <f>IF(OR(CJ$3="",CJ$3&gt;TODAY()),"",IF(AND(CM291="",CN291=""),"",N(CN291)-N(CM291)))</f>
        <v/>
      </c>
      <c r="CS291">
        <f>IF(OR(CQ$3="",CQ$3&gt;TODAY()),"",IF(AND(CQ291="",CR291=""),"",N(CR291)-N(CQ291)))</f>
        <v/>
      </c>
      <c r="CV291">
        <f>IF(OR(CQ$3="",CQ$3&gt;TODAY()),"",IF(AND(CT291="",CU291=""),"",N(CU291)-N(CT291)))</f>
        <v/>
      </c>
      <c r="CZ291">
        <f>IF(OR(CX$3="",CX$3&gt;TODAY()),"",IF(AND(CX291="",CY291=""),"",N(CY291)-N(CX291)))</f>
        <v/>
      </c>
      <c r="DC291">
        <f>IF(OR(CX$3="",CX$3&gt;TODAY()),"",IF(AND(DA291="",DB291=""),"",N(DB291)-N(DA291)))</f>
        <v/>
      </c>
      <c r="DG291">
        <f>IF(OR(DE$3="",DE$3&gt;TODAY()),"",IF(AND(DE291="",DF291=""),"",N(DF291)-N(DE291)))</f>
        <v/>
      </c>
      <c r="DJ291">
        <f>IF(OR(DE$3="",DE$3&gt;TODAY()),"",IF(AND(DH291="",DI291=""),"",N(DI291)-N(DH291)))</f>
        <v/>
      </c>
      <c r="DN291">
        <f>IF(OR(DL$3="",DL$3&gt;TODAY()),"",IF(AND(DL291="",DM291=""),"",N(DM291)-N(DL291)))</f>
        <v/>
      </c>
      <c r="DQ291">
        <f>IF(OR(DL$3="",DL$3&gt;TODAY()),"",IF(AND(DO291="",DP291=""),"",N(DP291)-N(DO291)))</f>
        <v/>
      </c>
      <c r="DU291">
        <f>IF(OR(DS$3="",DS$3&gt;TODAY()),"",IF(AND(DS291="",DT291=""),"",N(DT291)-N(DS291)))</f>
        <v/>
      </c>
      <c r="DX291">
        <f>IF(OR(DS$3="",DS$3&gt;TODAY()),"",IF(AND(DV291="",DW291=""),"",N(DW291)-N(DV291)))</f>
        <v/>
      </c>
      <c r="EB291">
        <f>IF(OR(DZ$3="",DZ$3&gt;TODAY()),"",IF(AND(DZ291="",EA291=""),"",N(EA291)-N(DZ291)))</f>
        <v/>
      </c>
      <c r="EE291">
        <f>IF(OR(DZ$3="",DZ$3&gt;TODAY()),"",IF(AND(EC291="",ED291=""),"",N(ED291)-N(EC291)))</f>
        <v/>
      </c>
      <c r="EI291">
        <f>IF(OR(EG$3="",EG$3&gt;TODAY()),"",IF(AND(EG291="",EH291=""),"",N(EH291)-N(EG291)))</f>
        <v/>
      </c>
      <c r="EL291">
        <f>IF(OR(EG$3="",EG$3&gt;TODAY()),"",IF(AND(EJ291="",EK291=""),"",N(EK291)-N(EJ291)))</f>
        <v/>
      </c>
      <c r="EP291">
        <f>IF(OR(EN$3="",EN$3&gt;TODAY()),"",IF(AND(EN291="",EO291=""),"",N(EO291)-N(EN291)))</f>
        <v/>
      </c>
      <c r="ES291">
        <f>IF(OR(EN$3="",EN$3&gt;TODAY()),"",IF(AND(EQ291="",ER291=""),"",N(ER291)-N(EQ291)))</f>
        <v/>
      </c>
      <c r="EW291">
        <f>IF(OR(EU$3="",EU$3&gt;TODAY()),"",IF(AND(EU291="",EV291=""),"",N(EV291)-N(EU291)))</f>
        <v/>
      </c>
      <c r="EZ291">
        <f>IF(OR(EU$3="",EU$3&gt;TODAY()),"",IF(AND(EX291="",EY291=""),"",N(EY291)-N(EX291)))</f>
        <v/>
      </c>
      <c r="FD291">
        <f>IF(OR(FB$3="",FB$3&gt;TODAY()),"",IF(AND(FB291="",FC291=""),"",N(FC291)-N(FB291)))</f>
        <v/>
      </c>
      <c r="FG291">
        <f>IF(OR(FB$3="",FB$3&gt;TODAY()),"",IF(AND(FE291="",FF291=""),"",N(FF291)-N(FE291)))</f>
        <v/>
      </c>
      <c r="FK291">
        <f>IF(OR(FI$3="",FI$3&gt;TODAY()),"",IF(AND(FI291="",FJ291=""),"",N(FJ291)-N(FI291)))</f>
        <v/>
      </c>
      <c r="FN291">
        <f>IF(OR(FI$3="",FI$3&gt;TODAY()),"",IF(AND(FL291="",FM291=""),"",N(FM291)-N(FL291)))</f>
        <v/>
      </c>
      <c r="FR291">
        <f>IF(OR(FP$3="",FP$3&gt;TODAY()),"",IF(AND(FP291="",FQ291=""),"",N(FQ291)-N(FP291)))</f>
        <v/>
      </c>
      <c r="FU291">
        <f>IF(OR(FP$3="",FP$3&gt;TODAY()),"",IF(AND(FS291="",FT291=""),"",N(FT291)-N(FS291)))</f>
        <v/>
      </c>
      <c r="FY291">
        <f>IF(OR(FW$3="",FW$3&gt;TODAY()),"",IF(AND(FW291="",FX291=""),"",N(FX291)-N(FW291)))</f>
        <v/>
      </c>
      <c r="GB291">
        <f>IF(OR(FW$3="",FW$3&gt;TODAY()),"",IF(AND(FZ291="",GA291=""),"",N(GA291)-N(FZ291)))</f>
        <v/>
      </c>
      <c r="GF291">
        <f>IF(OR(GD$3="",GD$3&gt;TODAY()),"",IF(AND(GD291="",GE291=""),"",N(GE291)-N(GD291)))</f>
        <v/>
      </c>
      <c r="GI291">
        <f>IF(OR(GD$3="",GD$3&gt;TODAY()),"",IF(AND(GG291="",GH291=""),"",N(GH291)-N(GG291)))</f>
        <v/>
      </c>
      <c r="GM291">
        <f>IF(OR(GK$3="",GK$3&gt;TODAY()),"",IF(AND(GK291="",GL291=""),"",N(GL291)-N(GK291)))</f>
        <v/>
      </c>
      <c r="GP291">
        <f>IF(OR(GK$3="",GK$3&gt;TODAY()),"",IF(AND(GN291="",GO291=""),"",N(GO291)-N(GN291)))</f>
        <v/>
      </c>
      <c r="GT291">
        <f>IF(OR(GR$3="",GR$3&gt;TODAY()),"",IF(AND(GR291="",GS291=""),"",N(GS291)-N(GR291)))</f>
        <v/>
      </c>
      <c r="GW291">
        <f>IF(OR(GR$3="",GR$3&gt;TODAY()),"",IF(AND(GU291="",GV291=""),"",N(GV291)-N(GU291)))</f>
        <v/>
      </c>
      <c r="HA291">
        <f>IF(OR(GY$3="",GY$3&gt;TODAY()),"",IF(AND(GY291="",GZ291=""),"",N(GZ291)-N(GY291)))</f>
        <v/>
      </c>
      <c r="HD291">
        <f>IF(OR(GY$3="",GY$3&gt;TODAY()),"",IF(AND(HB291="",HC291=""),"",N(HC291)-N(HB291)))</f>
        <v/>
      </c>
      <c r="HH291">
        <f>IF(OR(HF$3="",HF$3&gt;TODAY()),"",IF(AND(HF291="",HG291=""),"",N(HG291)-N(HF291)))</f>
        <v/>
      </c>
      <c r="HK291">
        <f>IF(OR(HF$3="",HF$3&gt;TODAY()),"",IF(AND(HI291="",HJ291=""),"",N(HJ291)-N(HI291)))</f>
        <v/>
      </c>
      <c r="HO291">
        <f>IF(OR(HM$3="",HM$3&gt;TODAY()),"",IF(AND(HM291="",HN291=""),"",N(HN291)-N(HM291)))</f>
        <v/>
      </c>
      <c r="HR291">
        <f>IF(OR(HM$3="",HM$3&gt;TODAY()),"",IF(AND(HP291="",HQ291=""),"",N(HQ291)-N(HP291)))</f>
        <v/>
      </c>
      <c r="HV291">
        <f>IF(OR(HT$3="",HT$3&gt;TODAY()),"",IF(AND(HT291="",HU291=""),"",N(HU291)-N(HT291)))</f>
        <v/>
      </c>
      <c r="HY291">
        <f>IF(OR(HT$3="",HT$3&gt;TODAY()),"",IF(AND(HW291="",HX291=""),"",N(HX291)-N(HW291)))</f>
        <v/>
      </c>
      <c r="IC291">
        <f>IF(OR(IA$3="",IA$3&gt;TODAY()),"",IF(AND(IA291="",IB291=""),"",N(IB291)-N(IA291)))</f>
        <v/>
      </c>
      <c r="IF291">
        <f>IF(OR(IA$3="",IA$3&gt;TODAY()),"",IF(AND(ID291="",IE291=""),"",N(IE291)-N(ID291)))</f>
        <v/>
      </c>
      <c r="IJ291">
        <f>IF(OR(IH$3="",IH$3&gt;TODAY()),"",IF(AND(IH291="",II291=""),"",N(II291)-N(IH291)))</f>
        <v/>
      </c>
      <c r="IM291">
        <f>IF(OR(IH$3="",IH$3&gt;TODAY()),"",IF(AND(IK291="",IL291=""),"",N(IL291)-N(IK291)))</f>
        <v/>
      </c>
    </row>
    <row r="292">
      <c r="A292" s="21" t="n"/>
      <c r="B292" s="21" t="n"/>
      <c r="C292" s="21" t="n"/>
      <c r="D292" s="21" t="n"/>
      <c r="E292" s="21" t="n"/>
      <c r="F292" s="21" t="n"/>
      <c r="G292" s="21" t="n"/>
      <c r="H292" s="21" t="n"/>
      <c r="I292" s="22" t="n"/>
      <c r="J292" s="22" t="n"/>
      <c r="K292" s="23" t="n"/>
      <c r="L292" s="22" t="n"/>
      <c r="M292" s="22" t="n"/>
      <c r="N292" s="21" t="n"/>
      <c r="O292" s="23" t="n"/>
      <c r="P292" s="23" t="n"/>
      <c r="Q292" s="23" t="n"/>
      <c r="R292" s="23" t="n"/>
      <c r="S292" s="22" t="n"/>
      <c r="T292" s="23" t="n"/>
      <c r="U292" s="23" t="n"/>
      <c r="V292" s="24">
        <f>IF(J292&lt;&gt;"",J292,IF(I292&lt;&gt;"",I292,""))</f>
        <v/>
      </c>
      <c r="W292" s="25">
        <f>IF($E292="","",N(O292)+SUMIFS($AF292:$IN292,$AF$4:$IN$4,"SEW_ACT"))</f>
        <v/>
      </c>
      <c r="X292" s="25">
        <f>IF($E292="","",N(P292)+SUMIFS($AF292:$IN292,$AF$4:$IN$4,"WASH_ACT"))</f>
        <v/>
      </c>
      <c r="Y292" s="25">
        <f>IF($E292="","",W292-X292-N(T292)-N(U292))</f>
        <v/>
      </c>
      <c r="Z292" s="25">
        <f>IF($E292="","",IF(N(K292)-X292&lt;=0.02*N(K292),0,N(K292)-X292))</f>
        <v/>
      </c>
      <c r="AA292" s="24">
        <f>IF($E292="","",IF(S292&lt;&gt;"",S292,IF(N(O292)&gt;0,IF(L292&lt;&gt;"",L292,99999),IFERROR(1/(1/_xlfn.MINIFS($AF$3:$IN$3,$AF$4:$IN$4,"SEW_ACT",$AF292:$IN292,"&gt;0")),99999))))</f>
        <v/>
      </c>
      <c r="AB292" s="26">
        <f>IF(OR($E292="",Z292=0,V292=""),"",1+COUNTIFS(Z$8:Z$707,"&gt;0",V$8:V$707,"&lt;"&amp;V292)+COUNTIFS(Z$8:Z$707,"&gt;0",V$8:V$707,V292,AA$8:AA$707,"&lt;"&amp;AA292)+COUNTIFS(Z$8:Z$707,"&gt;0",V$8:V$707,V292,AA$8:AA$707,AA292,E$8:E$707,"&lt;"&amp;$E292))</f>
        <v/>
      </c>
      <c r="AC292" s="24">
        <f>IF(OR($E292="",Z292=0),"",IFERROR(TODAY()+ROUNDUP(Z292/(SUMIFS($AF292:$IN292,$AF$4:$IN$4,"WASH_ACT")/COUNTIFS($AF$4:$IN$4,"WASH_ACT",$AF292:$IN292,"&gt;0")),0),"no output yet"))</f>
        <v/>
      </c>
      <c r="AD292" s="26">
        <f>IF($E292="","",IFERROR(ROUND(MAX(0,SUMIFS($AF292:$IN292,$AF$4:$IN$4,"SEW_PLAN",$AF$3:$IN$3,"&lt;="&amp;TODAY())-SUMIFS($AF292:$IN292,$AF$4:$IN$4,"SEW_ACT",$AF$3:$IN$3,"&lt;="&amp;TODAY())+N(Q292))/(SUMIFS($AF292:$IN292,$AF$4:$IN$4,"SEW_PLAN")/COUNTIFS($AF$4:$IN$4,"SEW_PLAN",$AF292:$IN292,"&gt;0")),1),0))</f>
        <v/>
      </c>
      <c r="AE292" s="26">
        <f>IF($E292="","",IF(AND(Z292&gt;0,OR(AND(M292&lt;&gt;"",TODAY()&gt;M292),AND(V292&lt;&gt;"",V292-TODAY()&lt;=7))),"Yes","No"))</f>
        <v/>
      </c>
      <c r="AH292">
        <f>IF(OR(AF$3="",AF$3&gt;TODAY()),"",IF(AND(AF292="",AG292=""),"",N(AG292)-N(AF292)))</f>
        <v/>
      </c>
      <c r="AK292">
        <f>IF(OR(AF$3="",AF$3&gt;TODAY()),"",IF(AND(AI292="",AJ292=""),"",N(AJ292)-N(AI292)))</f>
        <v/>
      </c>
      <c r="AO292">
        <f>IF(OR(AM$3="",AM$3&gt;TODAY()),"",IF(AND(AM292="",AN292=""),"",N(AN292)-N(AM292)))</f>
        <v/>
      </c>
      <c r="AR292">
        <f>IF(OR(AM$3="",AM$3&gt;TODAY()),"",IF(AND(AP292="",AQ292=""),"",N(AQ292)-N(AP292)))</f>
        <v/>
      </c>
      <c r="AV292">
        <f>IF(OR(AT$3="",AT$3&gt;TODAY()),"",IF(AND(AT292="",AU292=""),"",N(AU292)-N(AT292)))</f>
        <v/>
      </c>
      <c r="AY292">
        <f>IF(OR(AT$3="",AT$3&gt;TODAY()),"",IF(AND(AW292="",AX292=""),"",N(AX292)-N(AW292)))</f>
        <v/>
      </c>
      <c r="BC292">
        <f>IF(OR(BA$3="",BA$3&gt;TODAY()),"",IF(AND(BA292="",BB292=""),"",N(BB292)-N(BA292)))</f>
        <v/>
      </c>
      <c r="BF292">
        <f>IF(OR(BA$3="",BA$3&gt;TODAY()),"",IF(AND(BD292="",BE292=""),"",N(BE292)-N(BD292)))</f>
        <v/>
      </c>
      <c r="BJ292">
        <f>IF(OR(BH$3="",BH$3&gt;TODAY()),"",IF(AND(BH292="",BI292=""),"",N(BI292)-N(BH292)))</f>
        <v/>
      </c>
      <c r="BM292">
        <f>IF(OR(BH$3="",BH$3&gt;TODAY()),"",IF(AND(BK292="",BL292=""),"",N(BL292)-N(BK292)))</f>
        <v/>
      </c>
      <c r="BQ292">
        <f>IF(OR(BO$3="",BO$3&gt;TODAY()),"",IF(AND(BO292="",BP292=""),"",N(BP292)-N(BO292)))</f>
        <v/>
      </c>
      <c r="BT292">
        <f>IF(OR(BO$3="",BO$3&gt;TODAY()),"",IF(AND(BR292="",BS292=""),"",N(BS292)-N(BR292)))</f>
        <v/>
      </c>
      <c r="BX292">
        <f>IF(OR(BV$3="",BV$3&gt;TODAY()),"",IF(AND(BV292="",BW292=""),"",N(BW292)-N(BV292)))</f>
        <v/>
      </c>
      <c r="CA292">
        <f>IF(OR(BV$3="",BV$3&gt;TODAY()),"",IF(AND(BY292="",BZ292=""),"",N(BZ292)-N(BY292)))</f>
        <v/>
      </c>
      <c r="CE292">
        <f>IF(OR(CC$3="",CC$3&gt;TODAY()),"",IF(AND(CC292="",CD292=""),"",N(CD292)-N(CC292)))</f>
        <v/>
      </c>
      <c r="CH292">
        <f>IF(OR(CC$3="",CC$3&gt;TODAY()),"",IF(AND(CF292="",CG292=""),"",N(CG292)-N(CF292)))</f>
        <v/>
      </c>
      <c r="CL292">
        <f>IF(OR(CJ$3="",CJ$3&gt;TODAY()),"",IF(AND(CJ292="",CK292=""),"",N(CK292)-N(CJ292)))</f>
        <v/>
      </c>
      <c r="CO292">
        <f>IF(OR(CJ$3="",CJ$3&gt;TODAY()),"",IF(AND(CM292="",CN292=""),"",N(CN292)-N(CM292)))</f>
        <v/>
      </c>
      <c r="CS292">
        <f>IF(OR(CQ$3="",CQ$3&gt;TODAY()),"",IF(AND(CQ292="",CR292=""),"",N(CR292)-N(CQ292)))</f>
        <v/>
      </c>
      <c r="CV292">
        <f>IF(OR(CQ$3="",CQ$3&gt;TODAY()),"",IF(AND(CT292="",CU292=""),"",N(CU292)-N(CT292)))</f>
        <v/>
      </c>
      <c r="CZ292">
        <f>IF(OR(CX$3="",CX$3&gt;TODAY()),"",IF(AND(CX292="",CY292=""),"",N(CY292)-N(CX292)))</f>
        <v/>
      </c>
      <c r="DC292">
        <f>IF(OR(CX$3="",CX$3&gt;TODAY()),"",IF(AND(DA292="",DB292=""),"",N(DB292)-N(DA292)))</f>
        <v/>
      </c>
      <c r="DG292">
        <f>IF(OR(DE$3="",DE$3&gt;TODAY()),"",IF(AND(DE292="",DF292=""),"",N(DF292)-N(DE292)))</f>
        <v/>
      </c>
      <c r="DJ292">
        <f>IF(OR(DE$3="",DE$3&gt;TODAY()),"",IF(AND(DH292="",DI292=""),"",N(DI292)-N(DH292)))</f>
        <v/>
      </c>
      <c r="DN292">
        <f>IF(OR(DL$3="",DL$3&gt;TODAY()),"",IF(AND(DL292="",DM292=""),"",N(DM292)-N(DL292)))</f>
        <v/>
      </c>
      <c r="DQ292">
        <f>IF(OR(DL$3="",DL$3&gt;TODAY()),"",IF(AND(DO292="",DP292=""),"",N(DP292)-N(DO292)))</f>
        <v/>
      </c>
      <c r="DU292">
        <f>IF(OR(DS$3="",DS$3&gt;TODAY()),"",IF(AND(DS292="",DT292=""),"",N(DT292)-N(DS292)))</f>
        <v/>
      </c>
      <c r="DX292">
        <f>IF(OR(DS$3="",DS$3&gt;TODAY()),"",IF(AND(DV292="",DW292=""),"",N(DW292)-N(DV292)))</f>
        <v/>
      </c>
      <c r="EB292">
        <f>IF(OR(DZ$3="",DZ$3&gt;TODAY()),"",IF(AND(DZ292="",EA292=""),"",N(EA292)-N(DZ292)))</f>
        <v/>
      </c>
      <c r="EE292">
        <f>IF(OR(DZ$3="",DZ$3&gt;TODAY()),"",IF(AND(EC292="",ED292=""),"",N(ED292)-N(EC292)))</f>
        <v/>
      </c>
      <c r="EI292">
        <f>IF(OR(EG$3="",EG$3&gt;TODAY()),"",IF(AND(EG292="",EH292=""),"",N(EH292)-N(EG292)))</f>
        <v/>
      </c>
      <c r="EL292">
        <f>IF(OR(EG$3="",EG$3&gt;TODAY()),"",IF(AND(EJ292="",EK292=""),"",N(EK292)-N(EJ292)))</f>
        <v/>
      </c>
      <c r="EP292">
        <f>IF(OR(EN$3="",EN$3&gt;TODAY()),"",IF(AND(EN292="",EO292=""),"",N(EO292)-N(EN292)))</f>
        <v/>
      </c>
      <c r="ES292">
        <f>IF(OR(EN$3="",EN$3&gt;TODAY()),"",IF(AND(EQ292="",ER292=""),"",N(ER292)-N(EQ292)))</f>
        <v/>
      </c>
      <c r="EW292">
        <f>IF(OR(EU$3="",EU$3&gt;TODAY()),"",IF(AND(EU292="",EV292=""),"",N(EV292)-N(EU292)))</f>
        <v/>
      </c>
      <c r="EZ292">
        <f>IF(OR(EU$3="",EU$3&gt;TODAY()),"",IF(AND(EX292="",EY292=""),"",N(EY292)-N(EX292)))</f>
        <v/>
      </c>
      <c r="FD292">
        <f>IF(OR(FB$3="",FB$3&gt;TODAY()),"",IF(AND(FB292="",FC292=""),"",N(FC292)-N(FB292)))</f>
        <v/>
      </c>
      <c r="FG292">
        <f>IF(OR(FB$3="",FB$3&gt;TODAY()),"",IF(AND(FE292="",FF292=""),"",N(FF292)-N(FE292)))</f>
        <v/>
      </c>
      <c r="FK292">
        <f>IF(OR(FI$3="",FI$3&gt;TODAY()),"",IF(AND(FI292="",FJ292=""),"",N(FJ292)-N(FI292)))</f>
        <v/>
      </c>
      <c r="FN292">
        <f>IF(OR(FI$3="",FI$3&gt;TODAY()),"",IF(AND(FL292="",FM292=""),"",N(FM292)-N(FL292)))</f>
        <v/>
      </c>
      <c r="FR292">
        <f>IF(OR(FP$3="",FP$3&gt;TODAY()),"",IF(AND(FP292="",FQ292=""),"",N(FQ292)-N(FP292)))</f>
        <v/>
      </c>
      <c r="FU292">
        <f>IF(OR(FP$3="",FP$3&gt;TODAY()),"",IF(AND(FS292="",FT292=""),"",N(FT292)-N(FS292)))</f>
        <v/>
      </c>
      <c r="FY292">
        <f>IF(OR(FW$3="",FW$3&gt;TODAY()),"",IF(AND(FW292="",FX292=""),"",N(FX292)-N(FW292)))</f>
        <v/>
      </c>
      <c r="GB292">
        <f>IF(OR(FW$3="",FW$3&gt;TODAY()),"",IF(AND(FZ292="",GA292=""),"",N(GA292)-N(FZ292)))</f>
        <v/>
      </c>
      <c r="GF292">
        <f>IF(OR(GD$3="",GD$3&gt;TODAY()),"",IF(AND(GD292="",GE292=""),"",N(GE292)-N(GD292)))</f>
        <v/>
      </c>
      <c r="GI292">
        <f>IF(OR(GD$3="",GD$3&gt;TODAY()),"",IF(AND(GG292="",GH292=""),"",N(GH292)-N(GG292)))</f>
        <v/>
      </c>
      <c r="GM292">
        <f>IF(OR(GK$3="",GK$3&gt;TODAY()),"",IF(AND(GK292="",GL292=""),"",N(GL292)-N(GK292)))</f>
        <v/>
      </c>
      <c r="GP292">
        <f>IF(OR(GK$3="",GK$3&gt;TODAY()),"",IF(AND(GN292="",GO292=""),"",N(GO292)-N(GN292)))</f>
        <v/>
      </c>
      <c r="GT292">
        <f>IF(OR(GR$3="",GR$3&gt;TODAY()),"",IF(AND(GR292="",GS292=""),"",N(GS292)-N(GR292)))</f>
        <v/>
      </c>
      <c r="GW292">
        <f>IF(OR(GR$3="",GR$3&gt;TODAY()),"",IF(AND(GU292="",GV292=""),"",N(GV292)-N(GU292)))</f>
        <v/>
      </c>
      <c r="HA292">
        <f>IF(OR(GY$3="",GY$3&gt;TODAY()),"",IF(AND(GY292="",GZ292=""),"",N(GZ292)-N(GY292)))</f>
        <v/>
      </c>
      <c r="HD292">
        <f>IF(OR(GY$3="",GY$3&gt;TODAY()),"",IF(AND(HB292="",HC292=""),"",N(HC292)-N(HB292)))</f>
        <v/>
      </c>
      <c r="HH292">
        <f>IF(OR(HF$3="",HF$3&gt;TODAY()),"",IF(AND(HF292="",HG292=""),"",N(HG292)-N(HF292)))</f>
        <v/>
      </c>
      <c r="HK292">
        <f>IF(OR(HF$3="",HF$3&gt;TODAY()),"",IF(AND(HI292="",HJ292=""),"",N(HJ292)-N(HI292)))</f>
        <v/>
      </c>
      <c r="HO292">
        <f>IF(OR(HM$3="",HM$3&gt;TODAY()),"",IF(AND(HM292="",HN292=""),"",N(HN292)-N(HM292)))</f>
        <v/>
      </c>
      <c r="HR292">
        <f>IF(OR(HM$3="",HM$3&gt;TODAY()),"",IF(AND(HP292="",HQ292=""),"",N(HQ292)-N(HP292)))</f>
        <v/>
      </c>
      <c r="HV292">
        <f>IF(OR(HT$3="",HT$3&gt;TODAY()),"",IF(AND(HT292="",HU292=""),"",N(HU292)-N(HT292)))</f>
        <v/>
      </c>
      <c r="HY292">
        <f>IF(OR(HT$3="",HT$3&gt;TODAY()),"",IF(AND(HW292="",HX292=""),"",N(HX292)-N(HW292)))</f>
        <v/>
      </c>
      <c r="IC292">
        <f>IF(OR(IA$3="",IA$3&gt;TODAY()),"",IF(AND(IA292="",IB292=""),"",N(IB292)-N(IA292)))</f>
        <v/>
      </c>
      <c r="IF292">
        <f>IF(OR(IA$3="",IA$3&gt;TODAY()),"",IF(AND(ID292="",IE292=""),"",N(IE292)-N(ID292)))</f>
        <v/>
      </c>
      <c r="IJ292">
        <f>IF(OR(IH$3="",IH$3&gt;TODAY()),"",IF(AND(IH292="",II292=""),"",N(II292)-N(IH292)))</f>
        <v/>
      </c>
      <c r="IM292">
        <f>IF(OR(IH$3="",IH$3&gt;TODAY()),"",IF(AND(IK292="",IL292=""),"",N(IL292)-N(IK292)))</f>
        <v/>
      </c>
    </row>
    <row r="293">
      <c r="A293" s="21" t="n"/>
      <c r="B293" s="21" t="n"/>
      <c r="C293" s="21" t="n"/>
      <c r="D293" s="21" t="n"/>
      <c r="E293" s="21" t="n"/>
      <c r="F293" s="21" t="n"/>
      <c r="G293" s="21" t="n"/>
      <c r="H293" s="21" t="n"/>
      <c r="I293" s="22" t="n"/>
      <c r="J293" s="22" t="n"/>
      <c r="K293" s="23" t="n"/>
      <c r="L293" s="22" t="n"/>
      <c r="M293" s="22" t="n"/>
      <c r="N293" s="21" t="n"/>
      <c r="O293" s="23" t="n"/>
      <c r="P293" s="23" t="n"/>
      <c r="Q293" s="23" t="n"/>
      <c r="R293" s="23" t="n"/>
      <c r="S293" s="22" t="n"/>
      <c r="T293" s="23" t="n"/>
      <c r="U293" s="23" t="n"/>
      <c r="V293" s="24">
        <f>IF(J293&lt;&gt;"",J293,IF(I293&lt;&gt;"",I293,""))</f>
        <v/>
      </c>
      <c r="W293" s="25">
        <f>IF($E293="","",N(O293)+SUMIFS($AF293:$IN293,$AF$4:$IN$4,"SEW_ACT"))</f>
        <v/>
      </c>
      <c r="X293" s="25">
        <f>IF($E293="","",N(P293)+SUMIFS($AF293:$IN293,$AF$4:$IN$4,"WASH_ACT"))</f>
        <v/>
      </c>
      <c r="Y293" s="25">
        <f>IF($E293="","",W293-X293-N(T293)-N(U293))</f>
        <v/>
      </c>
      <c r="Z293" s="25">
        <f>IF($E293="","",IF(N(K293)-X293&lt;=0.02*N(K293),0,N(K293)-X293))</f>
        <v/>
      </c>
      <c r="AA293" s="24">
        <f>IF($E293="","",IF(S293&lt;&gt;"",S293,IF(N(O293)&gt;0,IF(L293&lt;&gt;"",L293,99999),IFERROR(1/(1/_xlfn.MINIFS($AF$3:$IN$3,$AF$4:$IN$4,"SEW_ACT",$AF293:$IN293,"&gt;0")),99999))))</f>
        <v/>
      </c>
      <c r="AB293" s="26">
        <f>IF(OR($E293="",Z293=0,V293=""),"",1+COUNTIFS(Z$8:Z$707,"&gt;0",V$8:V$707,"&lt;"&amp;V293)+COUNTIFS(Z$8:Z$707,"&gt;0",V$8:V$707,V293,AA$8:AA$707,"&lt;"&amp;AA293)+COUNTIFS(Z$8:Z$707,"&gt;0",V$8:V$707,V293,AA$8:AA$707,AA293,E$8:E$707,"&lt;"&amp;$E293))</f>
        <v/>
      </c>
      <c r="AC293" s="24">
        <f>IF(OR($E293="",Z293=0),"",IFERROR(TODAY()+ROUNDUP(Z293/(SUMIFS($AF293:$IN293,$AF$4:$IN$4,"WASH_ACT")/COUNTIFS($AF$4:$IN$4,"WASH_ACT",$AF293:$IN293,"&gt;0")),0),"no output yet"))</f>
        <v/>
      </c>
      <c r="AD293" s="26">
        <f>IF($E293="","",IFERROR(ROUND(MAX(0,SUMIFS($AF293:$IN293,$AF$4:$IN$4,"SEW_PLAN",$AF$3:$IN$3,"&lt;="&amp;TODAY())-SUMIFS($AF293:$IN293,$AF$4:$IN$4,"SEW_ACT",$AF$3:$IN$3,"&lt;="&amp;TODAY())+N(Q293))/(SUMIFS($AF293:$IN293,$AF$4:$IN$4,"SEW_PLAN")/COUNTIFS($AF$4:$IN$4,"SEW_PLAN",$AF293:$IN293,"&gt;0")),1),0))</f>
        <v/>
      </c>
      <c r="AE293" s="26">
        <f>IF($E293="","",IF(AND(Z293&gt;0,OR(AND(M293&lt;&gt;"",TODAY()&gt;M293),AND(V293&lt;&gt;"",V293-TODAY()&lt;=7))),"Yes","No"))</f>
        <v/>
      </c>
      <c r="AH293">
        <f>IF(OR(AF$3="",AF$3&gt;TODAY()),"",IF(AND(AF293="",AG293=""),"",N(AG293)-N(AF293)))</f>
        <v/>
      </c>
      <c r="AK293">
        <f>IF(OR(AF$3="",AF$3&gt;TODAY()),"",IF(AND(AI293="",AJ293=""),"",N(AJ293)-N(AI293)))</f>
        <v/>
      </c>
      <c r="AO293">
        <f>IF(OR(AM$3="",AM$3&gt;TODAY()),"",IF(AND(AM293="",AN293=""),"",N(AN293)-N(AM293)))</f>
        <v/>
      </c>
      <c r="AR293">
        <f>IF(OR(AM$3="",AM$3&gt;TODAY()),"",IF(AND(AP293="",AQ293=""),"",N(AQ293)-N(AP293)))</f>
        <v/>
      </c>
      <c r="AV293">
        <f>IF(OR(AT$3="",AT$3&gt;TODAY()),"",IF(AND(AT293="",AU293=""),"",N(AU293)-N(AT293)))</f>
        <v/>
      </c>
      <c r="AY293">
        <f>IF(OR(AT$3="",AT$3&gt;TODAY()),"",IF(AND(AW293="",AX293=""),"",N(AX293)-N(AW293)))</f>
        <v/>
      </c>
      <c r="BC293">
        <f>IF(OR(BA$3="",BA$3&gt;TODAY()),"",IF(AND(BA293="",BB293=""),"",N(BB293)-N(BA293)))</f>
        <v/>
      </c>
      <c r="BF293">
        <f>IF(OR(BA$3="",BA$3&gt;TODAY()),"",IF(AND(BD293="",BE293=""),"",N(BE293)-N(BD293)))</f>
        <v/>
      </c>
      <c r="BJ293">
        <f>IF(OR(BH$3="",BH$3&gt;TODAY()),"",IF(AND(BH293="",BI293=""),"",N(BI293)-N(BH293)))</f>
        <v/>
      </c>
      <c r="BM293">
        <f>IF(OR(BH$3="",BH$3&gt;TODAY()),"",IF(AND(BK293="",BL293=""),"",N(BL293)-N(BK293)))</f>
        <v/>
      </c>
      <c r="BQ293">
        <f>IF(OR(BO$3="",BO$3&gt;TODAY()),"",IF(AND(BO293="",BP293=""),"",N(BP293)-N(BO293)))</f>
        <v/>
      </c>
      <c r="BT293">
        <f>IF(OR(BO$3="",BO$3&gt;TODAY()),"",IF(AND(BR293="",BS293=""),"",N(BS293)-N(BR293)))</f>
        <v/>
      </c>
      <c r="BX293">
        <f>IF(OR(BV$3="",BV$3&gt;TODAY()),"",IF(AND(BV293="",BW293=""),"",N(BW293)-N(BV293)))</f>
        <v/>
      </c>
      <c r="CA293">
        <f>IF(OR(BV$3="",BV$3&gt;TODAY()),"",IF(AND(BY293="",BZ293=""),"",N(BZ293)-N(BY293)))</f>
        <v/>
      </c>
      <c r="CE293">
        <f>IF(OR(CC$3="",CC$3&gt;TODAY()),"",IF(AND(CC293="",CD293=""),"",N(CD293)-N(CC293)))</f>
        <v/>
      </c>
      <c r="CH293">
        <f>IF(OR(CC$3="",CC$3&gt;TODAY()),"",IF(AND(CF293="",CG293=""),"",N(CG293)-N(CF293)))</f>
        <v/>
      </c>
      <c r="CL293">
        <f>IF(OR(CJ$3="",CJ$3&gt;TODAY()),"",IF(AND(CJ293="",CK293=""),"",N(CK293)-N(CJ293)))</f>
        <v/>
      </c>
      <c r="CO293">
        <f>IF(OR(CJ$3="",CJ$3&gt;TODAY()),"",IF(AND(CM293="",CN293=""),"",N(CN293)-N(CM293)))</f>
        <v/>
      </c>
      <c r="CS293">
        <f>IF(OR(CQ$3="",CQ$3&gt;TODAY()),"",IF(AND(CQ293="",CR293=""),"",N(CR293)-N(CQ293)))</f>
        <v/>
      </c>
      <c r="CV293">
        <f>IF(OR(CQ$3="",CQ$3&gt;TODAY()),"",IF(AND(CT293="",CU293=""),"",N(CU293)-N(CT293)))</f>
        <v/>
      </c>
      <c r="CZ293">
        <f>IF(OR(CX$3="",CX$3&gt;TODAY()),"",IF(AND(CX293="",CY293=""),"",N(CY293)-N(CX293)))</f>
        <v/>
      </c>
      <c r="DC293">
        <f>IF(OR(CX$3="",CX$3&gt;TODAY()),"",IF(AND(DA293="",DB293=""),"",N(DB293)-N(DA293)))</f>
        <v/>
      </c>
      <c r="DG293">
        <f>IF(OR(DE$3="",DE$3&gt;TODAY()),"",IF(AND(DE293="",DF293=""),"",N(DF293)-N(DE293)))</f>
        <v/>
      </c>
      <c r="DJ293">
        <f>IF(OR(DE$3="",DE$3&gt;TODAY()),"",IF(AND(DH293="",DI293=""),"",N(DI293)-N(DH293)))</f>
        <v/>
      </c>
      <c r="DN293">
        <f>IF(OR(DL$3="",DL$3&gt;TODAY()),"",IF(AND(DL293="",DM293=""),"",N(DM293)-N(DL293)))</f>
        <v/>
      </c>
      <c r="DQ293">
        <f>IF(OR(DL$3="",DL$3&gt;TODAY()),"",IF(AND(DO293="",DP293=""),"",N(DP293)-N(DO293)))</f>
        <v/>
      </c>
      <c r="DU293">
        <f>IF(OR(DS$3="",DS$3&gt;TODAY()),"",IF(AND(DS293="",DT293=""),"",N(DT293)-N(DS293)))</f>
        <v/>
      </c>
      <c r="DX293">
        <f>IF(OR(DS$3="",DS$3&gt;TODAY()),"",IF(AND(DV293="",DW293=""),"",N(DW293)-N(DV293)))</f>
        <v/>
      </c>
      <c r="EB293">
        <f>IF(OR(DZ$3="",DZ$3&gt;TODAY()),"",IF(AND(DZ293="",EA293=""),"",N(EA293)-N(DZ293)))</f>
        <v/>
      </c>
      <c r="EE293">
        <f>IF(OR(DZ$3="",DZ$3&gt;TODAY()),"",IF(AND(EC293="",ED293=""),"",N(ED293)-N(EC293)))</f>
        <v/>
      </c>
      <c r="EI293">
        <f>IF(OR(EG$3="",EG$3&gt;TODAY()),"",IF(AND(EG293="",EH293=""),"",N(EH293)-N(EG293)))</f>
        <v/>
      </c>
      <c r="EL293">
        <f>IF(OR(EG$3="",EG$3&gt;TODAY()),"",IF(AND(EJ293="",EK293=""),"",N(EK293)-N(EJ293)))</f>
        <v/>
      </c>
      <c r="EP293">
        <f>IF(OR(EN$3="",EN$3&gt;TODAY()),"",IF(AND(EN293="",EO293=""),"",N(EO293)-N(EN293)))</f>
        <v/>
      </c>
      <c r="ES293">
        <f>IF(OR(EN$3="",EN$3&gt;TODAY()),"",IF(AND(EQ293="",ER293=""),"",N(ER293)-N(EQ293)))</f>
        <v/>
      </c>
      <c r="EW293">
        <f>IF(OR(EU$3="",EU$3&gt;TODAY()),"",IF(AND(EU293="",EV293=""),"",N(EV293)-N(EU293)))</f>
        <v/>
      </c>
      <c r="EZ293">
        <f>IF(OR(EU$3="",EU$3&gt;TODAY()),"",IF(AND(EX293="",EY293=""),"",N(EY293)-N(EX293)))</f>
        <v/>
      </c>
      <c r="FD293">
        <f>IF(OR(FB$3="",FB$3&gt;TODAY()),"",IF(AND(FB293="",FC293=""),"",N(FC293)-N(FB293)))</f>
        <v/>
      </c>
      <c r="FG293">
        <f>IF(OR(FB$3="",FB$3&gt;TODAY()),"",IF(AND(FE293="",FF293=""),"",N(FF293)-N(FE293)))</f>
        <v/>
      </c>
      <c r="FK293">
        <f>IF(OR(FI$3="",FI$3&gt;TODAY()),"",IF(AND(FI293="",FJ293=""),"",N(FJ293)-N(FI293)))</f>
        <v/>
      </c>
      <c r="FN293">
        <f>IF(OR(FI$3="",FI$3&gt;TODAY()),"",IF(AND(FL293="",FM293=""),"",N(FM293)-N(FL293)))</f>
        <v/>
      </c>
      <c r="FR293">
        <f>IF(OR(FP$3="",FP$3&gt;TODAY()),"",IF(AND(FP293="",FQ293=""),"",N(FQ293)-N(FP293)))</f>
        <v/>
      </c>
      <c r="FU293">
        <f>IF(OR(FP$3="",FP$3&gt;TODAY()),"",IF(AND(FS293="",FT293=""),"",N(FT293)-N(FS293)))</f>
        <v/>
      </c>
      <c r="FY293">
        <f>IF(OR(FW$3="",FW$3&gt;TODAY()),"",IF(AND(FW293="",FX293=""),"",N(FX293)-N(FW293)))</f>
        <v/>
      </c>
      <c r="GB293">
        <f>IF(OR(FW$3="",FW$3&gt;TODAY()),"",IF(AND(FZ293="",GA293=""),"",N(GA293)-N(FZ293)))</f>
        <v/>
      </c>
      <c r="GF293">
        <f>IF(OR(GD$3="",GD$3&gt;TODAY()),"",IF(AND(GD293="",GE293=""),"",N(GE293)-N(GD293)))</f>
        <v/>
      </c>
      <c r="GI293">
        <f>IF(OR(GD$3="",GD$3&gt;TODAY()),"",IF(AND(GG293="",GH293=""),"",N(GH293)-N(GG293)))</f>
        <v/>
      </c>
      <c r="GM293">
        <f>IF(OR(GK$3="",GK$3&gt;TODAY()),"",IF(AND(GK293="",GL293=""),"",N(GL293)-N(GK293)))</f>
        <v/>
      </c>
      <c r="GP293">
        <f>IF(OR(GK$3="",GK$3&gt;TODAY()),"",IF(AND(GN293="",GO293=""),"",N(GO293)-N(GN293)))</f>
        <v/>
      </c>
      <c r="GT293">
        <f>IF(OR(GR$3="",GR$3&gt;TODAY()),"",IF(AND(GR293="",GS293=""),"",N(GS293)-N(GR293)))</f>
        <v/>
      </c>
      <c r="GW293">
        <f>IF(OR(GR$3="",GR$3&gt;TODAY()),"",IF(AND(GU293="",GV293=""),"",N(GV293)-N(GU293)))</f>
        <v/>
      </c>
      <c r="HA293">
        <f>IF(OR(GY$3="",GY$3&gt;TODAY()),"",IF(AND(GY293="",GZ293=""),"",N(GZ293)-N(GY293)))</f>
        <v/>
      </c>
      <c r="HD293">
        <f>IF(OR(GY$3="",GY$3&gt;TODAY()),"",IF(AND(HB293="",HC293=""),"",N(HC293)-N(HB293)))</f>
        <v/>
      </c>
      <c r="HH293">
        <f>IF(OR(HF$3="",HF$3&gt;TODAY()),"",IF(AND(HF293="",HG293=""),"",N(HG293)-N(HF293)))</f>
        <v/>
      </c>
      <c r="HK293">
        <f>IF(OR(HF$3="",HF$3&gt;TODAY()),"",IF(AND(HI293="",HJ293=""),"",N(HJ293)-N(HI293)))</f>
        <v/>
      </c>
      <c r="HO293">
        <f>IF(OR(HM$3="",HM$3&gt;TODAY()),"",IF(AND(HM293="",HN293=""),"",N(HN293)-N(HM293)))</f>
        <v/>
      </c>
      <c r="HR293">
        <f>IF(OR(HM$3="",HM$3&gt;TODAY()),"",IF(AND(HP293="",HQ293=""),"",N(HQ293)-N(HP293)))</f>
        <v/>
      </c>
      <c r="HV293">
        <f>IF(OR(HT$3="",HT$3&gt;TODAY()),"",IF(AND(HT293="",HU293=""),"",N(HU293)-N(HT293)))</f>
        <v/>
      </c>
      <c r="HY293">
        <f>IF(OR(HT$3="",HT$3&gt;TODAY()),"",IF(AND(HW293="",HX293=""),"",N(HX293)-N(HW293)))</f>
        <v/>
      </c>
      <c r="IC293">
        <f>IF(OR(IA$3="",IA$3&gt;TODAY()),"",IF(AND(IA293="",IB293=""),"",N(IB293)-N(IA293)))</f>
        <v/>
      </c>
      <c r="IF293">
        <f>IF(OR(IA$3="",IA$3&gt;TODAY()),"",IF(AND(ID293="",IE293=""),"",N(IE293)-N(ID293)))</f>
        <v/>
      </c>
      <c r="IJ293">
        <f>IF(OR(IH$3="",IH$3&gt;TODAY()),"",IF(AND(IH293="",II293=""),"",N(II293)-N(IH293)))</f>
        <v/>
      </c>
      <c r="IM293">
        <f>IF(OR(IH$3="",IH$3&gt;TODAY()),"",IF(AND(IK293="",IL293=""),"",N(IL293)-N(IK293)))</f>
        <v/>
      </c>
    </row>
    <row r="294">
      <c r="A294" s="21" t="n"/>
      <c r="B294" s="21" t="n"/>
      <c r="C294" s="21" t="n"/>
      <c r="D294" s="21" t="n"/>
      <c r="E294" s="21" t="n"/>
      <c r="F294" s="21" t="n"/>
      <c r="G294" s="21" t="n"/>
      <c r="H294" s="21" t="n"/>
      <c r="I294" s="22" t="n"/>
      <c r="J294" s="22" t="n"/>
      <c r="K294" s="23" t="n"/>
      <c r="L294" s="22" t="n"/>
      <c r="M294" s="22" t="n"/>
      <c r="N294" s="21" t="n"/>
      <c r="O294" s="23" t="n"/>
      <c r="P294" s="23" t="n"/>
      <c r="Q294" s="23" t="n"/>
      <c r="R294" s="23" t="n"/>
      <c r="S294" s="22" t="n"/>
      <c r="T294" s="23" t="n"/>
      <c r="U294" s="23" t="n"/>
      <c r="V294" s="24">
        <f>IF(J294&lt;&gt;"",J294,IF(I294&lt;&gt;"",I294,""))</f>
        <v/>
      </c>
      <c r="W294" s="25">
        <f>IF($E294="","",N(O294)+SUMIFS($AF294:$IN294,$AF$4:$IN$4,"SEW_ACT"))</f>
        <v/>
      </c>
      <c r="X294" s="25">
        <f>IF($E294="","",N(P294)+SUMIFS($AF294:$IN294,$AF$4:$IN$4,"WASH_ACT"))</f>
        <v/>
      </c>
      <c r="Y294" s="25">
        <f>IF($E294="","",W294-X294-N(T294)-N(U294))</f>
        <v/>
      </c>
      <c r="Z294" s="25">
        <f>IF($E294="","",IF(N(K294)-X294&lt;=0.02*N(K294),0,N(K294)-X294))</f>
        <v/>
      </c>
      <c r="AA294" s="24">
        <f>IF($E294="","",IF(S294&lt;&gt;"",S294,IF(N(O294)&gt;0,IF(L294&lt;&gt;"",L294,99999),IFERROR(1/(1/_xlfn.MINIFS($AF$3:$IN$3,$AF$4:$IN$4,"SEW_ACT",$AF294:$IN294,"&gt;0")),99999))))</f>
        <v/>
      </c>
      <c r="AB294" s="26">
        <f>IF(OR($E294="",Z294=0,V294=""),"",1+COUNTIFS(Z$8:Z$707,"&gt;0",V$8:V$707,"&lt;"&amp;V294)+COUNTIFS(Z$8:Z$707,"&gt;0",V$8:V$707,V294,AA$8:AA$707,"&lt;"&amp;AA294)+COUNTIFS(Z$8:Z$707,"&gt;0",V$8:V$707,V294,AA$8:AA$707,AA294,E$8:E$707,"&lt;"&amp;$E294))</f>
        <v/>
      </c>
      <c r="AC294" s="24">
        <f>IF(OR($E294="",Z294=0),"",IFERROR(TODAY()+ROUNDUP(Z294/(SUMIFS($AF294:$IN294,$AF$4:$IN$4,"WASH_ACT")/COUNTIFS($AF$4:$IN$4,"WASH_ACT",$AF294:$IN294,"&gt;0")),0),"no output yet"))</f>
        <v/>
      </c>
      <c r="AD294" s="26">
        <f>IF($E294="","",IFERROR(ROUND(MAX(0,SUMIFS($AF294:$IN294,$AF$4:$IN$4,"SEW_PLAN",$AF$3:$IN$3,"&lt;="&amp;TODAY())-SUMIFS($AF294:$IN294,$AF$4:$IN$4,"SEW_ACT",$AF$3:$IN$3,"&lt;="&amp;TODAY())+N(Q294))/(SUMIFS($AF294:$IN294,$AF$4:$IN$4,"SEW_PLAN")/COUNTIFS($AF$4:$IN$4,"SEW_PLAN",$AF294:$IN294,"&gt;0")),1),0))</f>
        <v/>
      </c>
      <c r="AE294" s="26">
        <f>IF($E294="","",IF(AND(Z294&gt;0,OR(AND(M294&lt;&gt;"",TODAY()&gt;M294),AND(V294&lt;&gt;"",V294-TODAY()&lt;=7))),"Yes","No"))</f>
        <v/>
      </c>
      <c r="AH294">
        <f>IF(OR(AF$3="",AF$3&gt;TODAY()),"",IF(AND(AF294="",AG294=""),"",N(AG294)-N(AF294)))</f>
        <v/>
      </c>
      <c r="AK294">
        <f>IF(OR(AF$3="",AF$3&gt;TODAY()),"",IF(AND(AI294="",AJ294=""),"",N(AJ294)-N(AI294)))</f>
        <v/>
      </c>
      <c r="AO294">
        <f>IF(OR(AM$3="",AM$3&gt;TODAY()),"",IF(AND(AM294="",AN294=""),"",N(AN294)-N(AM294)))</f>
        <v/>
      </c>
      <c r="AR294">
        <f>IF(OR(AM$3="",AM$3&gt;TODAY()),"",IF(AND(AP294="",AQ294=""),"",N(AQ294)-N(AP294)))</f>
        <v/>
      </c>
      <c r="AV294">
        <f>IF(OR(AT$3="",AT$3&gt;TODAY()),"",IF(AND(AT294="",AU294=""),"",N(AU294)-N(AT294)))</f>
        <v/>
      </c>
      <c r="AY294">
        <f>IF(OR(AT$3="",AT$3&gt;TODAY()),"",IF(AND(AW294="",AX294=""),"",N(AX294)-N(AW294)))</f>
        <v/>
      </c>
      <c r="BC294">
        <f>IF(OR(BA$3="",BA$3&gt;TODAY()),"",IF(AND(BA294="",BB294=""),"",N(BB294)-N(BA294)))</f>
        <v/>
      </c>
      <c r="BF294">
        <f>IF(OR(BA$3="",BA$3&gt;TODAY()),"",IF(AND(BD294="",BE294=""),"",N(BE294)-N(BD294)))</f>
        <v/>
      </c>
      <c r="BJ294">
        <f>IF(OR(BH$3="",BH$3&gt;TODAY()),"",IF(AND(BH294="",BI294=""),"",N(BI294)-N(BH294)))</f>
        <v/>
      </c>
      <c r="BM294">
        <f>IF(OR(BH$3="",BH$3&gt;TODAY()),"",IF(AND(BK294="",BL294=""),"",N(BL294)-N(BK294)))</f>
        <v/>
      </c>
      <c r="BQ294">
        <f>IF(OR(BO$3="",BO$3&gt;TODAY()),"",IF(AND(BO294="",BP294=""),"",N(BP294)-N(BO294)))</f>
        <v/>
      </c>
      <c r="BT294">
        <f>IF(OR(BO$3="",BO$3&gt;TODAY()),"",IF(AND(BR294="",BS294=""),"",N(BS294)-N(BR294)))</f>
        <v/>
      </c>
      <c r="BX294">
        <f>IF(OR(BV$3="",BV$3&gt;TODAY()),"",IF(AND(BV294="",BW294=""),"",N(BW294)-N(BV294)))</f>
        <v/>
      </c>
      <c r="CA294">
        <f>IF(OR(BV$3="",BV$3&gt;TODAY()),"",IF(AND(BY294="",BZ294=""),"",N(BZ294)-N(BY294)))</f>
        <v/>
      </c>
      <c r="CE294">
        <f>IF(OR(CC$3="",CC$3&gt;TODAY()),"",IF(AND(CC294="",CD294=""),"",N(CD294)-N(CC294)))</f>
        <v/>
      </c>
      <c r="CH294">
        <f>IF(OR(CC$3="",CC$3&gt;TODAY()),"",IF(AND(CF294="",CG294=""),"",N(CG294)-N(CF294)))</f>
        <v/>
      </c>
      <c r="CL294">
        <f>IF(OR(CJ$3="",CJ$3&gt;TODAY()),"",IF(AND(CJ294="",CK294=""),"",N(CK294)-N(CJ294)))</f>
        <v/>
      </c>
      <c r="CO294">
        <f>IF(OR(CJ$3="",CJ$3&gt;TODAY()),"",IF(AND(CM294="",CN294=""),"",N(CN294)-N(CM294)))</f>
        <v/>
      </c>
      <c r="CS294">
        <f>IF(OR(CQ$3="",CQ$3&gt;TODAY()),"",IF(AND(CQ294="",CR294=""),"",N(CR294)-N(CQ294)))</f>
        <v/>
      </c>
      <c r="CV294">
        <f>IF(OR(CQ$3="",CQ$3&gt;TODAY()),"",IF(AND(CT294="",CU294=""),"",N(CU294)-N(CT294)))</f>
        <v/>
      </c>
      <c r="CZ294">
        <f>IF(OR(CX$3="",CX$3&gt;TODAY()),"",IF(AND(CX294="",CY294=""),"",N(CY294)-N(CX294)))</f>
        <v/>
      </c>
      <c r="DC294">
        <f>IF(OR(CX$3="",CX$3&gt;TODAY()),"",IF(AND(DA294="",DB294=""),"",N(DB294)-N(DA294)))</f>
        <v/>
      </c>
      <c r="DG294">
        <f>IF(OR(DE$3="",DE$3&gt;TODAY()),"",IF(AND(DE294="",DF294=""),"",N(DF294)-N(DE294)))</f>
        <v/>
      </c>
      <c r="DJ294">
        <f>IF(OR(DE$3="",DE$3&gt;TODAY()),"",IF(AND(DH294="",DI294=""),"",N(DI294)-N(DH294)))</f>
        <v/>
      </c>
      <c r="DN294">
        <f>IF(OR(DL$3="",DL$3&gt;TODAY()),"",IF(AND(DL294="",DM294=""),"",N(DM294)-N(DL294)))</f>
        <v/>
      </c>
      <c r="DQ294">
        <f>IF(OR(DL$3="",DL$3&gt;TODAY()),"",IF(AND(DO294="",DP294=""),"",N(DP294)-N(DO294)))</f>
        <v/>
      </c>
      <c r="DU294">
        <f>IF(OR(DS$3="",DS$3&gt;TODAY()),"",IF(AND(DS294="",DT294=""),"",N(DT294)-N(DS294)))</f>
        <v/>
      </c>
      <c r="DX294">
        <f>IF(OR(DS$3="",DS$3&gt;TODAY()),"",IF(AND(DV294="",DW294=""),"",N(DW294)-N(DV294)))</f>
        <v/>
      </c>
      <c r="EB294">
        <f>IF(OR(DZ$3="",DZ$3&gt;TODAY()),"",IF(AND(DZ294="",EA294=""),"",N(EA294)-N(DZ294)))</f>
        <v/>
      </c>
      <c r="EE294">
        <f>IF(OR(DZ$3="",DZ$3&gt;TODAY()),"",IF(AND(EC294="",ED294=""),"",N(ED294)-N(EC294)))</f>
        <v/>
      </c>
      <c r="EI294">
        <f>IF(OR(EG$3="",EG$3&gt;TODAY()),"",IF(AND(EG294="",EH294=""),"",N(EH294)-N(EG294)))</f>
        <v/>
      </c>
      <c r="EL294">
        <f>IF(OR(EG$3="",EG$3&gt;TODAY()),"",IF(AND(EJ294="",EK294=""),"",N(EK294)-N(EJ294)))</f>
        <v/>
      </c>
      <c r="EP294">
        <f>IF(OR(EN$3="",EN$3&gt;TODAY()),"",IF(AND(EN294="",EO294=""),"",N(EO294)-N(EN294)))</f>
        <v/>
      </c>
      <c r="ES294">
        <f>IF(OR(EN$3="",EN$3&gt;TODAY()),"",IF(AND(EQ294="",ER294=""),"",N(ER294)-N(EQ294)))</f>
        <v/>
      </c>
      <c r="EW294">
        <f>IF(OR(EU$3="",EU$3&gt;TODAY()),"",IF(AND(EU294="",EV294=""),"",N(EV294)-N(EU294)))</f>
        <v/>
      </c>
      <c r="EZ294">
        <f>IF(OR(EU$3="",EU$3&gt;TODAY()),"",IF(AND(EX294="",EY294=""),"",N(EY294)-N(EX294)))</f>
        <v/>
      </c>
      <c r="FD294">
        <f>IF(OR(FB$3="",FB$3&gt;TODAY()),"",IF(AND(FB294="",FC294=""),"",N(FC294)-N(FB294)))</f>
        <v/>
      </c>
      <c r="FG294">
        <f>IF(OR(FB$3="",FB$3&gt;TODAY()),"",IF(AND(FE294="",FF294=""),"",N(FF294)-N(FE294)))</f>
        <v/>
      </c>
      <c r="FK294">
        <f>IF(OR(FI$3="",FI$3&gt;TODAY()),"",IF(AND(FI294="",FJ294=""),"",N(FJ294)-N(FI294)))</f>
        <v/>
      </c>
      <c r="FN294">
        <f>IF(OR(FI$3="",FI$3&gt;TODAY()),"",IF(AND(FL294="",FM294=""),"",N(FM294)-N(FL294)))</f>
        <v/>
      </c>
      <c r="FR294">
        <f>IF(OR(FP$3="",FP$3&gt;TODAY()),"",IF(AND(FP294="",FQ294=""),"",N(FQ294)-N(FP294)))</f>
        <v/>
      </c>
      <c r="FU294">
        <f>IF(OR(FP$3="",FP$3&gt;TODAY()),"",IF(AND(FS294="",FT294=""),"",N(FT294)-N(FS294)))</f>
        <v/>
      </c>
      <c r="FY294">
        <f>IF(OR(FW$3="",FW$3&gt;TODAY()),"",IF(AND(FW294="",FX294=""),"",N(FX294)-N(FW294)))</f>
        <v/>
      </c>
      <c r="GB294">
        <f>IF(OR(FW$3="",FW$3&gt;TODAY()),"",IF(AND(FZ294="",GA294=""),"",N(GA294)-N(FZ294)))</f>
        <v/>
      </c>
      <c r="GF294">
        <f>IF(OR(GD$3="",GD$3&gt;TODAY()),"",IF(AND(GD294="",GE294=""),"",N(GE294)-N(GD294)))</f>
        <v/>
      </c>
      <c r="GI294">
        <f>IF(OR(GD$3="",GD$3&gt;TODAY()),"",IF(AND(GG294="",GH294=""),"",N(GH294)-N(GG294)))</f>
        <v/>
      </c>
      <c r="GM294">
        <f>IF(OR(GK$3="",GK$3&gt;TODAY()),"",IF(AND(GK294="",GL294=""),"",N(GL294)-N(GK294)))</f>
        <v/>
      </c>
      <c r="GP294">
        <f>IF(OR(GK$3="",GK$3&gt;TODAY()),"",IF(AND(GN294="",GO294=""),"",N(GO294)-N(GN294)))</f>
        <v/>
      </c>
      <c r="GT294">
        <f>IF(OR(GR$3="",GR$3&gt;TODAY()),"",IF(AND(GR294="",GS294=""),"",N(GS294)-N(GR294)))</f>
        <v/>
      </c>
      <c r="GW294">
        <f>IF(OR(GR$3="",GR$3&gt;TODAY()),"",IF(AND(GU294="",GV294=""),"",N(GV294)-N(GU294)))</f>
        <v/>
      </c>
      <c r="HA294">
        <f>IF(OR(GY$3="",GY$3&gt;TODAY()),"",IF(AND(GY294="",GZ294=""),"",N(GZ294)-N(GY294)))</f>
        <v/>
      </c>
      <c r="HD294">
        <f>IF(OR(GY$3="",GY$3&gt;TODAY()),"",IF(AND(HB294="",HC294=""),"",N(HC294)-N(HB294)))</f>
        <v/>
      </c>
      <c r="HH294">
        <f>IF(OR(HF$3="",HF$3&gt;TODAY()),"",IF(AND(HF294="",HG294=""),"",N(HG294)-N(HF294)))</f>
        <v/>
      </c>
      <c r="HK294">
        <f>IF(OR(HF$3="",HF$3&gt;TODAY()),"",IF(AND(HI294="",HJ294=""),"",N(HJ294)-N(HI294)))</f>
        <v/>
      </c>
      <c r="HO294">
        <f>IF(OR(HM$3="",HM$3&gt;TODAY()),"",IF(AND(HM294="",HN294=""),"",N(HN294)-N(HM294)))</f>
        <v/>
      </c>
      <c r="HR294">
        <f>IF(OR(HM$3="",HM$3&gt;TODAY()),"",IF(AND(HP294="",HQ294=""),"",N(HQ294)-N(HP294)))</f>
        <v/>
      </c>
      <c r="HV294">
        <f>IF(OR(HT$3="",HT$3&gt;TODAY()),"",IF(AND(HT294="",HU294=""),"",N(HU294)-N(HT294)))</f>
        <v/>
      </c>
      <c r="HY294">
        <f>IF(OR(HT$3="",HT$3&gt;TODAY()),"",IF(AND(HW294="",HX294=""),"",N(HX294)-N(HW294)))</f>
        <v/>
      </c>
      <c r="IC294">
        <f>IF(OR(IA$3="",IA$3&gt;TODAY()),"",IF(AND(IA294="",IB294=""),"",N(IB294)-N(IA294)))</f>
        <v/>
      </c>
      <c r="IF294">
        <f>IF(OR(IA$3="",IA$3&gt;TODAY()),"",IF(AND(ID294="",IE294=""),"",N(IE294)-N(ID294)))</f>
        <v/>
      </c>
      <c r="IJ294">
        <f>IF(OR(IH$3="",IH$3&gt;TODAY()),"",IF(AND(IH294="",II294=""),"",N(II294)-N(IH294)))</f>
        <v/>
      </c>
      <c r="IM294">
        <f>IF(OR(IH$3="",IH$3&gt;TODAY()),"",IF(AND(IK294="",IL294=""),"",N(IL294)-N(IK294)))</f>
        <v/>
      </c>
    </row>
    <row r="295">
      <c r="A295" s="21" t="n"/>
      <c r="B295" s="21" t="n"/>
      <c r="C295" s="21" t="n"/>
      <c r="D295" s="21" t="n"/>
      <c r="E295" s="21" t="n"/>
      <c r="F295" s="21" t="n"/>
      <c r="G295" s="21" t="n"/>
      <c r="H295" s="21" t="n"/>
      <c r="I295" s="22" t="n"/>
      <c r="J295" s="22" t="n"/>
      <c r="K295" s="23" t="n"/>
      <c r="L295" s="22" t="n"/>
      <c r="M295" s="22" t="n"/>
      <c r="N295" s="21" t="n"/>
      <c r="O295" s="23" t="n"/>
      <c r="P295" s="23" t="n"/>
      <c r="Q295" s="23" t="n"/>
      <c r="R295" s="23" t="n"/>
      <c r="S295" s="22" t="n"/>
      <c r="T295" s="23" t="n"/>
      <c r="U295" s="23" t="n"/>
      <c r="V295" s="24">
        <f>IF(J295&lt;&gt;"",J295,IF(I295&lt;&gt;"",I295,""))</f>
        <v/>
      </c>
      <c r="W295" s="25">
        <f>IF($E295="","",N(O295)+SUMIFS($AF295:$IN295,$AF$4:$IN$4,"SEW_ACT"))</f>
        <v/>
      </c>
      <c r="X295" s="25">
        <f>IF($E295="","",N(P295)+SUMIFS($AF295:$IN295,$AF$4:$IN$4,"WASH_ACT"))</f>
        <v/>
      </c>
      <c r="Y295" s="25">
        <f>IF($E295="","",W295-X295-N(T295)-N(U295))</f>
        <v/>
      </c>
      <c r="Z295" s="25">
        <f>IF($E295="","",IF(N(K295)-X295&lt;=0.02*N(K295),0,N(K295)-X295))</f>
        <v/>
      </c>
      <c r="AA295" s="24">
        <f>IF($E295="","",IF(S295&lt;&gt;"",S295,IF(N(O295)&gt;0,IF(L295&lt;&gt;"",L295,99999),IFERROR(1/(1/_xlfn.MINIFS($AF$3:$IN$3,$AF$4:$IN$4,"SEW_ACT",$AF295:$IN295,"&gt;0")),99999))))</f>
        <v/>
      </c>
      <c r="AB295" s="26">
        <f>IF(OR($E295="",Z295=0,V295=""),"",1+COUNTIFS(Z$8:Z$707,"&gt;0",V$8:V$707,"&lt;"&amp;V295)+COUNTIFS(Z$8:Z$707,"&gt;0",V$8:V$707,V295,AA$8:AA$707,"&lt;"&amp;AA295)+COUNTIFS(Z$8:Z$707,"&gt;0",V$8:V$707,V295,AA$8:AA$707,AA295,E$8:E$707,"&lt;"&amp;$E295))</f>
        <v/>
      </c>
      <c r="AC295" s="24">
        <f>IF(OR($E295="",Z295=0),"",IFERROR(TODAY()+ROUNDUP(Z295/(SUMIFS($AF295:$IN295,$AF$4:$IN$4,"WASH_ACT")/COUNTIFS($AF$4:$IN$4,"WASH_ACT",$AF295:$IN295,"&gt;0")),0),"no output yet"))</f>
        <v/>
      </c>
      <c r="AD295" s="26">
        <f>IF($E295="","",IFERROR(ROUND(MAX(0,SUMIFS($AF295:$IN295,$AF$4:$IN$4,"SEW_PLAN",$AF$3:$IN$3,"&lt;="&amp;TODAY())-SUMIFS($AF295:$IN295,$AF$4:$IN$4,"SEW_ACT",$AF$3:$IN$3,"&lt;="&amp;TODAY())+N(Q295))/(SUMIFS($AF295:$IN295,$AF$4:$IN$4,"SEW_PLAN")/COUNTIFS($AF$4:$IN$4,"SEW_PLAN",$AF295:$IN295,"&gt;0")),1),0))</f>
        <v/>
      </c>
      <c r="AE295" s="26">
        <f>IF($E295="","",IF(AND(Z295&gt;0,OR(AND(M295&lt;&gt;"",TODAY()&gt;M295),AND(V295&lt;&gt;"",V295-TODAY()&lt;=7))),"Yes","No"))</f>
        <v/>
      </c>
      <c r="AH295">
        <f>IF(OR(AF$3="",AF$3&gt;TODAY()),"",IF(AND(AF295="",AG295=""),"",N(AG295)-N(AF295)))</f>
        <v/>
      </c>
      <c r="AK295">
        <f>IF(OR(AF$3="",AF$3&gt;TODAY()),"",IF(AND(AI295="",AJ295=""),"",N(AJ295)-N(AI295)))</f>
        <v/>
      </c>
      <c r="AO295">
        <f>IF(OR(AM$3="",AM$3&gt;TODAY()),"",IF(AND(AM295="",AN295=""),"",N(AN295)-N(AM295)))</f>
        <v/>
      </c>
      <c r="AR295">
        <f>IF(OR(AM$3="",AM$3&gt;TODAY()),"",IF(AND(AP295="",AQ295=""),"",N(AQ295)-N(AP295)))</f>
        <v/>
      </c>
      <c r="AV295">
        <f>IF(OR(AT$3="",AT$3&gt;TODAY()),"",IF(AND(AT295="",AU295=""),"",N(AU295)-N(AT295)))</f>
        <v/>
      </c>
      <c r="AY295">
        <f>IF(OR(AT$3="",AT$3&gt;TODAY()),"",IF(AND(AW295="",AX295=""),"",N(AX295)-N(AW295)))</f>
        <v/>
      </c>
      <c r="BC295">
        <f>IF(OR(BA$3="",BA$3&gt;TODAY()),"",IF(AND(BA295="",BB295=""),"",N(BB295)-N(BA295)))</f>
        <v/>
      </c>
      <c r="BF295">
        <f>IF(OR(BA$3="",BA$3&gt;TODAY()),"",IF(AND(BD295="",BE295=""),"",N(BE295)-N(BD295)))</f>
        <v/>
      </c>
      <c r="BJ295">
        <f>IF(OR(BH$3="",BH$3&gt;TODAY()),"",IF(AND(BH295="",BI295=""),"",N(BI295)-N(BH295)))</f>
        <v/>
      </c>
      <c r="BM295">
        <f>IF(OR(BH$3="",BH$3&gt;TODAY()),"",IF(AND(BK295="",BL295=""),"",N(BL295)-N(BK295)))</f>
        <v/>
      </c>
      <c r="BQ295">
        <f>IF(OR(BO$3="",BO$3&gt;TODAY()),"",IF(AND(BO295="",BP295=""),"",N(BP295)-N(BO295)))</f>
        <v/>
      </c>
      <c r="BT295">
        <f>IF(OR(BO$3="",BO$3&gt;TODAY()),"",IF(AND(BR295="",BS295=""),"",N(BS295)-N(BR295)))</f>
        <v/>
      </c>
      <c r="BX295">
        <f>IF(OR(BV$3="",BV$3&gt;TODAY()),"",IF(AND(BV295="",BW295=""),"",N(BW295)-N(BV295)))</f>
        <v/>
      </c>
      <c r="CA295">
        <f>IF(OR(BV$3="",BV$3&gt;TODAY()),"",IF(AND(BY295="",BZ295=""),"",N(BZ295)-N(BY295)))</f>
        <v/>
      </c>
      <c r="CE295">
        <f>IF(OR(CC$3="",CC$3&gt;TODAY()),"",IF(AND(CC295="",CD295=""),"",N(CD295)-N(CC295)))</f>
        <v/>
      </c>
      <c r="CH295">
        <f>IF(OR(CC$3="",CC$3&gt;TODAY()),"",IF(AND(CF295="",CG295=""),"",N(CG295)-N(CF295)))</f>
        <v/>
      </c>
      <c r="CL295">
        <f>IF(OR(CJ$3="",CJ$3&gt;TODAY()),"",IF(AND(CJ295="",CK295=""),"",N(CK295)-N(CJ295)))</f>
        <v/>
      </c>
      <c r="CO295">
        <f>IF(OR(CJ$3="",CJ$3&gt;TODAY()),"",IF(AND(CM295="",CN295=""),"",N(CN295)-N(CM295)))</f>
        <v/>
      </c>
      <c r="CS295">
        <f>IF(OR(CQ$3="",CQ$3&gt;TODAY()),"",IF(AND(CQ295="",CR295=""),"",N(CR295)-N(CQ295)))</f>
        <v/>
      </c>
      <c r="CV295">
        <f>IF(OR(CQ$3="",CQ$3&gt;TODAY()),"",IF(AND(CT295="",CU295=""),"",N(CU295)-N(CT295)))</f>
        <v/>
      </c>
      <c r="CZ295">
        <f>IF(OR(CX$3="",CX$3&gt;TODAY()),"",IF(AND(CX295="",CY295=""),"",N(CY295)-N(CX295)))</f>
        <v/>
      </c>
      <c r="DC295">
        <f>IF(OR(CX$3="",CX$3&gt;TODAY()),"",IF(AND(DA295="",DB295=""),"",N(DB295)-N(DA295)))</f>
        <v/>
      </c>
      <c r="DG295">
        <f>IF(OR(DE$3="",DE$3&gt;TODAY()),"",IF(AND(DE295="",DF295=""),"",N(DF295)-N(DE295)))</f>
        <v/>
      </c>
      <c r="DJ295">
        <f>IF(OR(DE$3="",DE$3&gt;TODAY()),"",IF(AND(DH295="",DI295=""),"",N(DI295)-N(DH295)))</f>
        <v/>
      </c>
      <c r="DN295">
        <f>IF(OR(DL$3="",DL$3&gt;TODAY()),"",IF(AND(DL295="",DM295=""),"",N(DM295)-N(DL295)))</f>
        <v/>
      </c>
      <c r="DQ295">
        <f>IF(OR(DL$3="",DL$3&gt;TODAY()),"",IF(AND(DO295="",DP295=""),"",N(DP295)-N(DO295)))</f>
        <v/>
      </c>
      <c r="DU295">
        <f>IF(OR(DS$3="",DS$3&gt;TODAY()),"",IF(AND(DS295="",DT295=""),"",N(DT295)-N(DS295)))</f>
        <v/>
      </c>
      <c r="DX295">
        <f>IF(OR(DS$3="",DS$3&gt;TODAY()),"",IF(AND(DV295="",DW295=""),"",N(DW295)-N(DV295)))</f>
        <v/>
      </c>
      <c r="EB295">
        <f>IF(OR(DZ$3="",DZ$3&gt;TODAY()),"",IF(AND(DZ295="",EA295=""),"",N(EA295)-N(DZ295)))</f>
        <v/>
      </c>
      <c r="EE295">
        <f>IF(OR(DZ$3="",DZ$3&gt;TODAY()),"",IF(AND(EC295="",ED295=""),"",N(ED295)-N(EC295)))</f>
        <v/>
      </c>
      <c r="EI295">
        <f>IF(OR(EG$3="",EG$3&gt;TODAY()),"",IF(AND(EG295="",EH295=""),"",N(EH295)-N(EG295)))</f>
        <v/>
      </c>
      <c r="EL295">
        <f>IF(OR(EG$3="",EG$3&gt;TODAY()),"",IF(AND(EJ295="",EK295=""),"",N(EK295)-N(EJ295)))</f>
        <v/>
      </c>
      <c r="EP295">
        <f>IF(OR(EN$3="",EN$3&gt;TODAY()),"",IF(AND(EN295="",EO295=""),"",N(EO295)-N(EN295)))</f>
        <v/>
      </c>
      <c r="ES295">
        <f>IF(OR(EN$3="",EN$3&gt;TODAY()),"",IF(AND(EQ295="",ER295=""),"",N(ER295)-N(EQ295)))</f>
        <v/>
      </c>
      <c r="EW295">
        <f>IF(OR(EU$3="",EU$3&gt;TODAY()),"",IF(AND(EU295="",EV295=""),"",N(EV295)-N(EU295)))</f>
        <v/>
      </c>
      <c r="EZ295">
        <f>IF(OR(EU$3="",EU$3&gt;TODAY()),"",IF(AND(EX295="",EY295=""),"",N(EY295)-N(EX295)))</f>
        <v/>
      </c>
      <c r="FD295">
        <f>IF(OR(FB$3="",FB$3&gt;TODAY()),"",IF(AND(FB295="",FC295=""),"",N(FC295)-N(FB295)))</f>
        <v/>
      </c>
      <c r="FG295">
        <f>IF(OR(FB$3="",FB$3&gt;TODAY()),"",IF(AND(FE295="",FF295=""),"",N(FF295)-N(FE295)))</f>
        <v/>
      </c>
      <c r="FK295">
        <f>IF(OR(FI$3="",FI$3&gt;TODAY()),"",IF(AND(FI295="",FJ295=""),"",N(FJ295)-N(FI295)))</f>
        <v/>
      </c>
      <c r="FN295">
        <f>IF(OR(FI$3="",FI$3&gt;TODAY()),"",IF(AND(FL295="",FM295=""),"",N(FM295)-N(FL295)))</f>
        <v/>
      </c>
      <c r="FR295">
        <f>IF(OR(FP$3="",FP$3&gt;TODAY()),"",IF(AND(FP295="",FQ295=""),"",N(FQ295)-N(FP295)))</f>
        <v/>
      </c>
      <c r="FU295">
        <f>IF(OR(FP$3="",FP$3&gt;TODAY()),"",IF(AND(FS295="",FT295=""),"",N(FT295)-N(FS295)))</f>
        <v/>
      </c>
      <c r="FY295">
        <f>IF(OR(FW$3="",FW$3&gt;TODAY()),"",IF(AND(FW295="",FX295=""),"",N(FX295)-N(FW295)))</f>
        <v/>
      </c>
      <c r="GB295">
        <f>IF(OR(FW$3="",FW$3&gt;TODAY()),"",IF(AND(FZ295="",GA295=""),"",N(GA295)-N(FZ295)))</f>
        <v/>
      </c>
      <c r="GF295">
        <f>IF(OR(GD$3="",GD$3&gt;TODAY()),"",IF(AND(GD295="",GE295=""),"",N(GE295)-N(GD295)))</f>
        <v/>
      </c>
      <c r="GI295">
        <f>IF(OR(GD$3="",GD$3&gt;TODAY()),"",IF(AND(GG295="",GH295=""),"",N(GH295)-N(GG295)))</f>
        <v/>
      </c>
      <c r="GM295">
        <f>IF(OR(GK$3="",GK$3&gt;TODAY()),"",IF(AND(GK295="",GL295=""),"",N(GL295)-N(GK295)))</f>
        <v/>
      </c>
      <c r="GP295">
        <f>IF(OR(GK$3="",GK$3&gt;TODAY()),"",IF(AND(GN295="",GO295=""),"",N(GO295)-N(GN295)))</f>
        <v/>
      </c>
      <c r="GT295">
        <f>IF(OR(GR$3="",GR$3&gt;TODAY()),"",IF(AND(GR295="",GS295=""),"",N(GS295)-N(GR295)))</f>
        <v/>
      </c>
      <c r="GW295">
        <f>IF(OR(GR$3="",GR$3&gt;TODAY()),"",IF(AND(GU295="",GV295=""),"",N(GV295)-N(GU295)))</f>
        <v/>
      </c>
      <c r="HA295">
        <f>IF(OR(GY$3="",GY$3&gt;TODAY()),"",IF(AND(GY295="",GZ295=""),"",N(GZ295)-N(GY295)))</f>
        <v/>
      </c>
      <c r="HD295">
        <f>IF(OR(GY$3="",GY$3&gt;TODAY()),"",IF(AND(HB295="",HC295=""),"",N(HC295)-N(HB295)))</f>
        <v/>
      </c>
      <c r="HH295">
        <f>IF(OR(HF$3="",HF$3&gt;TODAY()),"",IF(AND(HF295="",HG295=""),"",N(HG295)-N(HF295)))</f>
        <v/>
      </c>
      <c r="HK295">
        <f>IF(OR(HF$3="",HF$3&gt;TODAY()),"",IF(AND(HI295="",HJ295=""),"",N(HJ295)-N(HI295)))</f>
        <v/>
      </c>
      <c r="HO295">
        <f>IF(OR(HM$3="",HM$3&gt;TODAY()),"",IF(AND(HM295="",HN295=""),"",N(HN295)-N(HM295)))</f>
        <v/>
      </c>
      <c r="HR295">
        <f>IF(OR(HM$3="",HM$3&gt;TODAY()),"",IF(AND(HP295="",HQ295=""),"",N(HQ295)-N(HP295)))</f>
        <v/>
      </c>
      <c r="HV295">
        <f>IF(OR(HT$3="",HT$3&gt;TODAY()),"",IF(AND(HT295="",HU295=""),"",N(HU295)-N(HT295)))</f>
        <v/>
      </c>
      <c r="HY295">
        <f>IF(OR(HT$3="",HT$3&gt;TODAY()),"",IF(AND(HW295="",HX295=""),"",N(HX295)-N(HW295)))</f>
        <v/>
      </c>
      <c r="IC295">
        <f>IF(OR(IA$3="",IA$3&gt;TODAY()),"",IF(AND(IA295="",IB295=""),"",N(IB295)-N(IA295)))</f>
        <v/>
      </c>
      <c r="IF295">
        <f>IF(OR(IA$3="",IA$3&gt;TODAY()),"",IF(AND(ID295="",IE295=""),"",N(IE295)-N(ID295)))</f>
        <v/>
      </c>
      <c r="IJ295">
        <f>IF(OR(IH$3="",IH$3&gt;TODAY()),"",IF(AND(IH295="",II295=""),"",N(II295)-N(IH295)))</f>
        <v/>
      </c>
      <c r="IM295">
        <f>IF(OR(IH$3="",IH$3&gt;TODAY()),"",IF(AND(IK295="",IL295=""),"",N(IL295)-N(IK295)))</f>
        <v/>
      </c>
    </row>
    <row r="296">
      <c r="A296" s="21" t="n"/>
      <c r="B296" s="21" t="n"/>
      <c r="C296" s="21" t="n"/>
      <c r="D296" s="21" t="n"/>
      <c r="E296" s="21" t="n"/>
      <c r="F296" s="21" t="n"/>
      <c r="G296" s="21" t="n"/>
      <c r="H296" s="21" t="n"/>
      <c r="I296" s="22" t="n"/>
      <c r="J296" s="22" t="n"/>
      <c r="K296" s="23" t="n"/>
      <c r="L296" s="22" t="n"/>
      <c r="M296" s="22" t="n"/>
      <c r="N296" s="21" t="n"/>
      <c r="O296" s="23" t="n"/>
      <c r="P296" s="23" t="n"/>
      <c r="Q296" s="23" t="n"/>
      <c r="R296" s="23" t="n"/>
      <c r="S296" s="22" t="n"/>
      <c r="T296" s="23" t="n"/>
      <c r="U296" s="23" t="n"/>
      <c r="V296" s="24">
        <f>IF(J296&lt;&gt;"",J296,IF(I296&lt;&gt;"",I296,""))</f>
        <v/>
      </c>
      <c r="W296" s="25">
        <f>IF($E296="","",N(O296)+SUMIFS($AF296:$IN296,$AF$4:$IN$4,"SEW_ACT"))</f>
        <v/>
      </c>
      <c r="X296" s="25">
        <f>IF($E296="","",N(P296)+SUMIFS($AF296:$IN296,$AF$4:$IN$4,"WASH_ACT"))</f>
        <v/>
      </c>
      <c r="Y296" s="25">
        <f>IF($E296="","",W296-X296-N(T296)-N(U296))</f>
        <v/>
      </c>
      <c r="Z296" s="25">
        <f>IF($E296="","",IF(N(K296)-X296&lt;=0.02*N(K296),0,N(K296)-X296))</f>
        <v/>
      </c>
      <c r="AA296" s="24">
        <f>IF($E296="","",IF(S296&lt;&gt;"",S296,IF(N(O296)&gt;0,IF(L296&lt;&gt;"",L296,99999),IFERROR(1/(1/_xlfn.MINIFS($AF$3:$IN$3,$AF$4:$IN$4,"SEW_ACT",$AF296:$IN296,"&gt;0")),99999))))</f>
        <v/>
      </c>
      <c r="AB296" s="26">
        <f>IF(OR($E296="",Z296=0,V296=""),"",1+COUNTIFS(Z$8:Z$707,"&gt;0",V$8:V$707,"&lt;"&amp;V296)+COUNTIFS(Z$8:Z$707,"&gt;0",V$8:V$707,V296,AA$8:AA$707,"&lt;"&amp;AA296)+COUNTIFS(Z$8:Z$707,"&gt;0",V$8:V$707,V296,AA$8:AA$707,AA296,E$8:E$707,"&lt;"&amp;$E296))</f>
        <v/>
      </c>
      <c r="AC296" s="24">
        <f>IF(OR($E296="",Z296=0),"",IFERROR(TODAY()+ROUNDUP(Z296/(SUMIFS($AF296:$IN296,$AF$4:$IN$4,"WASH_ACT")/COUNTIFS($AF$4:$IN$4,"WASH_ACT",$AF296:$IN296,"&gt;0")),0),"no output yet"))</f>
        <v/>
      </c>
      <c r="AD296" s="26">
        <f>IF($E296="","",IFERROR(ROUND(MAX(0,SUMIFS($AF296:$IN296,$AF$4:$IN$4,"SEW_PLAN",$AF$3:$IN$3,"&lt;="&amp;TODAY())-SUMIFS($AF296:$IN296,$AF$4:$IN$4,"SEW_ACT",$AF$3:$IN$3,"&lt;="&amp;TODAY())+N(Q296))/(SUMIFS($AF296:$IN296,$AF$4:$IN$4,"SEW_PLAN")/COUNTIFS($AF$4:$IN$4,"SEW_PLAN",$AF296:$IN296,"&gt;0")),1),0))</f>
        <v/>
      </c>
      <c r="AE296" s="26">
        <f>IF($E296="","",IF(AND(Z296&gt;0,OR(AND(M296&lt;&gt;"",TODAY()&gt;M296),AND(V296&lt;&gt;"",V296-TODAY()&lt;=7))),"Yes","No"))</f>
        <v/>
      </c>
      <c r="AH296">
        <f>IF(OR(AF$3="",AF$3&gt;TODAY()),"",IF(AND(AF296="",AG296=""),"",N(AG296)-N(AF296)))</f>
        <v/>
      </c>
      <c r="AK296">
        <f>IF(OR(AF$3="",AF$3&gt;TODAY()),"",IF(AND(AI296="",AJ296=""),"",N(AJ296)-N(AI296)))</f>
        <v/>
      </c>
      <c r="AO296">
        <f>IF(OR(AM$3="",AM$3&gt;TODAY()),"",IF(AND(AM296="",AN296=""),"",N(AN296)-N(AM296)))</f>
        <v/>
      </c>
      <c r="AR296">
        <f>IF(OR(AM$3="",AM$3&gt;TODAY()),"",IF(AND(AP296="",AQ296=""),"",N(AQ296)-N(AP296)))</f>
        <v/>
      </c>
      <c r="AV296">
        <f>IF(OR(AT$3="",AT$3&gt;TODAY()),"",IF(AND(AT296="",AU296=""),"",N(AU296)-N(AT296)))</f>
        <v/>
      </c>
      <c r="AY296">
        <f>IF(OR(AT$3="",AT$3&gt;TODAY()),"",IF(AND(AW296="",AX296=""),"",N(AX296)-N(AW296)))</f>
        <v/>
      </c>
      <c r="BC296">
        <f>IF(OR(BA$3="",BA$3&gt;TODAY()),"",IF(AND(BA296="",BB296=""),"",N(BB296)-N(BA296)))</f>
        <v/>
      </c>
      <c r="BF296">
        <f>IF(OR(BA$3="",BA$3&gt;TODAY()),"",IF(AND(BD296="",BE296=""),"",N(BE296)-N(BD296)))</f>
        <v/>
      </c>
      <c r="BJ296">
        <f>IF(OR(BH$3="",BH$3&gt;TODAY()),"",IF(AND(BH296="",BI296=""),"",N(BI296)-N(BH296)))</f>
        <v/>
      </c>
      <c r="BM296">
        <f>IF(OR(BH$3="",BH$3&gt;TODAY()),"",IF(AND(BK296="",BL296=""),"",N(BL296)-N(BK296)))</f>
        <v/>
      </c>
      <c r="BQ296">
        <f>IF(OR(BO$3="",BO$3&gt;TODAY()),"",IF(AND(BO296="",BP296=""),"",N(BP296)-N(BO296)))</f>
        <v/>
      </c>
      <c r="BT296">
        <f>IF(OR(BO$3="",BO$3&gt;TODAY()),"",IF(AND(BR296="",BS296=""),"",N(BS296)-N(BR296)))</f>
        <v/>
      </c>
      <c r="BX296">
        <f>IF(OR(BV$3="",BV$3&gt;TODAY()),"",IF(AND(BV296="",BW296=""),"",N(BW296)-N(BV296)))</f>
        <v/>
      </c>
      <c r="CA296">
        <f>IF(OR(BV$3="",BV$3&gt;TODAY()),"",IF(AND(BY296="",BZ296=""),"",N(BZ296)-N(BY296)))</f>
        <v/>
      </c>
      <c r="CE296">
        <f>IF(OR(CC$3="",CC$3&gt;TODAY()),"",IF(AND(CC296="",CD296=""),"",N(CD296)-N(CC296)))</f>
        <v/>
      </c>
      <c r="CH296">
        <f>IF(OR(CC$3="",CC$3&gt;TODAY()),"",IF(AND(CF296="",CG296=""),"",N(CG296)-N(CF296)))</f>
        <v/>
      </c>
      <c r="CL296">
        <f>IF(OR(CJ$3="",CJ$3&gt;TODAY()),"",IF(AND(CJ296="",CK296=""),"",N(CK296)-N(CJ296)))</f>
        <v/>
      </c>
      <c r="CO296">
        <f>IF(OR(CJ$3="",CJ$3&gt;TODAY()),"",IF(AND(CM296="",CN296=""),"",N(CN296)-N(CM296)))</f>
        <v/>
      </c>
      <c r="CS296">
        <f>IF(OR(CQ$3="",CQ$3&gt;TODAY()),"",IF(AND(CQ296="",CR296=""),"",N(CR296)-N(CQ296)))</f>
        <v/>
      </c>
      <c r="CV296">
        <f>IF(OR(CQ$3="",CQ$3&gt;TODAY()),"",IF(AND(CT296="",CU296=""),"",N(CU296)-N(CT296)))</f>
        <v/>
      </c>
      <c r="CZ296">
        <f>IF(OR(CX$3="",CX$3&gt;TODAY()),"",IF(AND(CX296="",CY296=""),"",N(CY296)-N(CX296)))</f>
        <v/>
      </c>
      <c r="DC296">
        <f>IF(OR(CX$3="",CX$3&gt;TODAY()),"",IF(AND(DA296="",DB296=""),"",N(DB296)-N(DA296)))</f>
        <v/>
      </c>
      <c r="DG296">
        <f>IF(OR(DE$3="",DE$3&gt;TODAY()),"",IF(AND(DE296="",DF296=""),"",N(DF296)-N(DE296)))</f>
        <v/>
      </c>
      <c r="DJ296">
        <f>IF(OR(DE$3="",DE$3&gt;TODAY()),"",IF(AND(DH296="",DI296=""),"",N(DI296)-N(DH296)))</f>
        <v/>
      </c>
      <c r="DN296">
        <f>IF(OR(DL$3="",DL$3&gt;TODAY()),"",IF(AND(DL296="",DM296=""),"",N(DM296)-N(DL296)))</f>
        <v/>
      </c>
      <c r="DQ296">
        <f>IF(OR(DL$3="",DL$3&gt;TODAY()),"",IF(AND(DO296="",DP296=""),"",N(DP296)-N(DO296)))</f>
        <v/>
      </c>
      <c r="DU296">
        <f>IF(OR(DS$3="",DS$3&gt;TODAY()),"",IF(AND(DS296="",DT296=""),"",N(DT296)-N(DS296)))</f>
        <v/>
      </c>
      <c r="DX296">
        <f>IF(OR(DS$3="",DS$3&gt;TODAY()),"",IF(AND(DV296="",DW296=""),"",N(DW296)-N(DV296)))</f>
        <v/>
      </c>
      <c r="EB296">
        <f>IF(OR(DZ$3="",DZ$3&gt;TODAY()),"",IF(AND(DZ296="",EA296=""),"",N(EA296)-N(DZ296)))</f>
        <v/>
      </c>
      <c r="EE296">
        <f>IF(OR(DZ$3="",DZ$3&gt;TODAY()),"",IF(AND(EC296="",ED296=""),"",N(ED296)-N(EC296)))</f>
        <v/>
      </c>
      <c r="EI296">
        <f>IF(OR(EG$3="",EG$3&gt;TODAY()),"",IF(AND(EG296="",EH296=""),"",N(EH296)-N(EG296)))</f>
        <v/>
      </c>
      <c r="EL296">
        <f>IF(OR(EG$3="",EG$3&gt;TODAY()),"",IF(AND(EJ296="",EK296=""),"",N(EK296)-N(EJ296)))</f>
        <v/>
      </c>
      <c r="EP296">
        <f>IF(OR(EN$3="",EN$3&gt;TODAY()),"",IF(AND(EN296="",EO296=""),"",N(EO296)-N(EN296)))</f>
        <v/>
      </c>
      <c r="ES296">
        <f>IF(OR(EN$3="",EN$3&gt;TODAY()),"",IF(AND(EQ296="",ER296=""),"",N(ER296)-N(EQ296)))</f>
        <v/>
      </c>
      <c r="EW296">
        <f>IF(OR(EU$3="",EU$3&gt;TODAY()),"",IF(AND(EU296="",EV296=""),"",N(EV296)-N(EU296)))</f>
        <v/>
      </c>
      <c r="EZ296">
        <f>IF(OR(EU$3="",EU$3&gt;TODAY()),"",IF(AND(EX296="",EY296=""),"",N(EY296)-N(EX296)))</f>
        <v/>
      </c>
      <c r="FD296">
        <f>IF(OR(FB$3="",FB$3&gt;TODAY()),"",IF(AND(FB296="",FC296=""),"",N(FC296)-N(FB296)))</f>
        <v/>
      </c>
      <c r="FG296">
        <f>IF(OR(FB$3="",FB$3&gt;TODAY()),"",IF(AND(FE296="",FF296=""),"",N(FF296)-N(FE296)))</f>
        <v/>
      </c>
      <c r="FK296">
        <f>IF(OR(FI$3="",FI$3&gt;TODAY()),"",IF(AND(FI296="",FJ296=""),"",N(FJ296)-N(FI296)))</f>
        <v/>
      </c>
      <c r="FN296">
        <f>IF(OR(FI$3="",FI$3&gt;TODAY()),"",IF(AND(FL296="",FM296=""),"",N(FM296)-N(FL296)))</f>
        <v/>
      </c>
      <c r="FR296">
        <f>IF(OR(FP$3="",FP$3&gt;TODAY()),"",IF(AND(FP296="",FQ296=""),"",N(FQ296)-N(FP296)))</f>
        <v/>
      </c>
      <c r="FU296">
        <f>IF(OR(FP$3="",FP$3&gt;TODAY()),"",IF(AND(FS296="",FT296=""),"",N(FT296)-N(FS296)))</f>
        <v/>
      </c>
      <c r="FY296">
        <f>IF(OR(FW$3="",FW$3&gt;TODAY()),"",IF(AND(FW296="",FX296=""),"",N(FX296)-N(FW296)))</f>
        <v/>
      </c>
      <c r="GB296">
        <f>IF(OR(FW$3="",FW$3&gt;TODAY()),"",IF(AND(FZ296="",GA296=""),"",N(GA296)-N(FZ296)))</f>
        <v/>
      </c>
      <c r="GF296">
        <f>IF(OR(GD$3="",GD$3&gt;TODAY()),"",IF(AND(GD296="",GE296=""),"",N(GE296)-N(GD296)))</f>
        <v/>
      </c>
      <c r="GI296">
        <f>IF(OR(GD$3="",GD$3&gt;TODAY()),"",IF(AND(GG296="",GH296=""),"",N(GH296)-N(GG296)))</f>
        <v/>
      </c>
      <c r="GM296">
        <f>IF(OR(GK$3="",GK$3&gt;TODAY()),"",IF(AND(GK296="",GL296=""),"",N(GL296)-N(GK296)))</f>
        <v/>
      </c>
      <c r="GP296">
        <f>IF(OR(GK$3="",GK$3&gt;TODAY()),"",IF(AND(GN296="",GO296=""),"",N(GO296)-N(GN296)))</f>
        <v/>
      </c>
      <c r="GT296">
        <f>IF(OR(GR$3="",GR$3&gt;TODAY()),"",IF(AND(GR296="",GS296=""),"",N(GS296)-N(GR296)))</f>
        <v/>
      </c>
      <c r="GW296">
        <f>IF(OR(GR$3="",GR$3&gt;TODAY()),"",IF(AND(GU296="",GV296=""),"",N(GV296)-N(GU296)))</f>
        <v/>
      </c>
      <c r="HA296">
        <f>IF(OR(GY$3="",GY$3&gt;TODAY()),"",IF(AND(GY296="",GZ296=""),"",N(GZ296)-N(GY296)))</f>
        <v/>
      </c>
      <c r="HD296">
        <f>IF(OR(GY$3="",GY$3&gt;TODAY()),"",IF(AND(HB296="",HC296=""),"",N(HC296)-N(HB296)))</f>
        <v/>
      </c>
      <c r="HH296">
        <f>IF(OR(HF$3="",HF$3&gt;TODAY()),"",IF(AND(HF296="",HG296=""),"",N(HG296)-N(HF296)))</f>
        <v/>
      </c>
      <c r="HK296">
        <f>IF(OR(HF$3="",HF$3&gt;TODAY()),"",IF(AND(HI296="",HJ296=""),"",N(HJ296)-N(HI296)))</f>
        <v/>
      </c>
      <c r="HO296">
        <f>IF(OR(HM$3="",HM$3&gt;TODAY()),"",IF(AND(HM296="",HN296=""),"",N(HN296)-N(HM296)))</f>
        <v/>
      </c>
      <c r="HR296">
        <f>IF(OR(HM$3="",HM$3&gt;TODAY()),"",IF(AND(HP296="",HQ296=""),"",N(HQ296)-N(HP296)))</f>
        <v/>
      </c>
      <c r="HV296">
        <f>IF(OR(HT$3="",HT$3&gt;TODAY()),"",IF(AND(HT296="",HU296=""),"",N(HU296)-N(HT296)))</f>
        <v/>
      </c>
      <c r="HY296">
        <f>IF(OR(HT$3="",HT$3&gt;TODAY()),"",IF(AND(HW296="",HX296=""),"",N(HX296)-N(HW296)))</f>
        <v/>
      </c>
      <c r="IC296">
        <f>IF(OR(IA$3="",IA$3&gt;TODAY()),"",IF(AND(IA296="",IB296=""),"",N(IB296)-N(IA296)))</f>
        <v/>
      </c>
      <c r="IF296">
        <f>IF(OR(IA$3="",IA$3&gt;TODAY()),"",IF(AND(ID296="",IE296=""),"",N(IE296)-N(ID296)))</f>
        <v/>
      </c>
      <c r="IJ296">
        <f>IF(OR(IH$3="",IH$3&gt;TODAY()),"",IF(AND(IH296="",II296=""),"",N(II296)-N(IH296)))</f>
        <v/>
      </c>
      <c r="IM296">
        <f>IF(OR(IH$3="",IH$3&gt;TODAY()),"",IF(AND(IK296="",IL296=""),"",N(IL296)-N(IK296)))</f>
        <v/>
      </c>
    </row>
    <row r="297">
      <c r="A297" s="21" t="n"/>
      <c r="B297" s="21" t="n"/>
      <c r="C297" s="21" t="n"/>
      <c r="D297" s="21" t="n"/>
      <c r="E297" s="21" t="n"/>
      <c r="F297" s="21" t="n"/>
      <c r="G297" s="21" t="n"/>
      <c r="H297" s="21" t="n"/>
      <c r="I297" s="22" t="n"/>
      <c r="J297" s="22" t="n"/>
      <c r="K297" s="23" t="n"/>
      <c r="L297" s="22" t="n"/>
      <c r="M297" s="22" t="n"/>
      <c r="N297" s="21" t="n"/>
      <c r="O297" s="23" t="n"/>
      <c r="P297" s="23" t="n"/>
      <c r="Q297" s="23" t="n"/>
      <c r="R297" s="23" t="n"/>
      <c r="S297" s="22" t="n"/>
      <c r="T297" s="23" t="n"/>
      <c r="U297" s="23" t="n"/>
      <c r="V297" s="24">
        <f>IF(J297&lt;&gt;"",J297,IF(I297&lt;&gt;"",I297,""))</f>
        <v/>
      </c>
      <c r="W297" s="25">
        <f>IF($E297="","",N(O297)+SUMIFS($AF297:$IN297,$AF$4:$IN$4,"SEW_ACT"))</f>
        <v/>
      </c>
      <c r="X297" s="25">
        <f>IF($E297="","",N(P297)+SUMIFS($AF297:$IN297,$AF$4:$IN$4,"WASH_ACT"))</f>
        <v/>
      </c>
      <c r="Y297" s="25">
        <f>IF($E297="","",W297-X297-N(T297)-N(U297))</f>
        <v/>
      </c>
      <c r="Z297" s="25">
        <f>IF($E297="","",IF(N(K297)-X297&lt;=0.02*N(K297),0,N(K297)-X297))</f>
        <v/>
      </c>
      <c r="AA297" s="24">
        <f>IF($E297="","",IF(S297&lt;&gt;"",S297,IF(N(O297)&gt;0,IF(L297&lt;&gt;"",L297,99999),IFERROR(1/(1/_xlfn.MINIFS($AF$3:$IN$3,$AF$4:$IN$4,"SEW_ACT",$AF297:$IN297,"&gt;0")),99999))))</f>
        <v/>
      </c>
      <c r="AB297" s="26">
        <f>IF(OR($E297="",Z297=0,V297=""),"",1+COUNTIFS(Z$8:Z$707,"&gt;0",V$8:V$707,"&lt;"&amp;V297)+COUNTIFS(Z$8:Z$707,"&gt;0",V$8:V$707,V297,AA$8:AA$707,"&lt;"&amp;AA297)+COUNTIFS(Z$8:Z$707,"&gt;0",V$8:V$707,V297,AA$8:AA$707,AA297,E$8:E$707,"&lt;"&amp;$E297))</f>
        <v/>
      </c>
      <c r="AC297" s="24">
        <f>IF(OR($E297="",Z297=0),"",IFERROR(TODAY()+ROUNDUP(Z297/(SUMIFS($AF297:$IN297,$AF$4:$IN$4,"WASH_ACT")/COUNTIFS($AF$4:$IN$4,"WASH_ACT",$AF297:$IN297,"&gt;0")),0),"no output yet"))</f>
        <v/>
      </c>
      <c r="AD297" s="26">
        <f>IF($E297="","",IFERROR(ROUND(MAX(0,SUMIFS($AF297:$IN297,$AF$4:$IN$4,"SEW_PLAN",$AF$3:$IN$3,"&lt;="&amp;TODAY())-SUMIFS($AF297:$IN297,$AF$4:$IN$4,"SEW_ACT",$AF$3:$IN$3,"&lt;="&amp;TODAY())+N(Q297))/(SUMIFS($AF297:$IN297,$AF$4:$IN$4,"SEW_PLAN")/COUNTIFS($AF$4:$IN$4,"SEW_PLAN",$AF297:$IN297,"&gt;0")),1),0))</f>
        <v/>
      </c>
      <c r="AE297" s="26">
        <f>IF($E297="","",IF(AND(Z297&gt;0,OR(AND(M297&lt;&gt;"",TODAY()&gt;M297),AND(V297&lt;&gt;"",V297-TODAY()&lt;=7))),"Yes","No"))</f>
        <v/>
      </c>
      <c r="AH297">
        <f>IF(OR(AF$3="",AF$3&gt;TODAY()),"",IF(AND(AF297="",AG297=""),"",N(AG297)-N(AF297)))</f>
        <v/>
      </c>
      <c r="AK297">
        <f>IF(OR(AF$3="",AF$3&gt;TODAY()),"",IF(AND(AI297="",AJ297=""),"",N(AJ297)-N(AI297)))</f>
        <v/>
      </c>
      <c r="AO297">
        <f>IF(OR(AM$3="",AM$3&gt;TODAY()),"",IF(AND(AM297="",AN297=""),"",N(AN297)-N(AM297)))</f>
        <v/>
      </c>
      <c r="AR297">
        <f>IF(OR(AM$3="",AM$3&gt;TODAY()),"",IF(AND(AP297="",AQ297=""),"",N(AQ297)-N(AP297)))</f>
        <v/>
      </c>
      <c r="AV297">
        <f>IF(OR(AT$3="",AT$3&gt;TODAY()),"",IF(AND(AT297="",AU297=""),"",N(AU297)-N(AT297)))</f>
        <v/>
      </c>
      <c r="AY297">
        <f>IF(OR(AT$3="",AT$3&gt;TODAY()),"",IF(AND(AW297="",AX297=""),"",N(AX297)-N(AW297)))</f>
        <v/>
      </c>
      <c r="BC297">
        <f>IF(OR(BA$3="",BA$3&gt;TODAY()),"",IF(AND(BA297="",BB297=""),"",N(BB297)-N(BA297)))</f>
        <v/>
      </c>
      <c r="BF297">
        <f>IF(OR(BA$3="",BA$3&gt;TODAY()),"",IF(AND(BD297="",BE297=""),"",N(BE297)-N(BD297)))</f>
        <v/>
      </c>
      <c r="BJ297">
        <f>IF(OR(BH$3="",BH$3&gt;TODAY()),"",IF(AND(BH297="",BI297=""),"",N(BI297)-N(BH297)))</f>
        <v/>
      </c>
      <c r="BM297">
        <f>IF(OR(BH$3="",BH$3&gt;TODAY()),"",IF(AND(BK297="",BL297=""),"",N(BL297)-N(BK297)))</f>
        <v/>
      </c>
      <c r="BQ297">
        <f>IF(OR(BO$3="",BO$3&gt;TODAY()),"",IF(AND(BO297="",BP297=""),"",N(BP297)-N(BO297)))</f>
        <v/>
      </c>
      <c r="BT297">
        <f>IF(OR(BO$3="",BO$3&gt;TODAY()),"",IF(AND(BR297="",BS297=""),"",N(BS297)-N(BR297)))</f>
        <v/>
      </c>
      <c r="BX297">
        <f>IF(OR(BV$3="",BV$3&gt;TODAY()),"",IF(AND(BV297="",BW297=""),"",N(BW297)-N(BV297)))</f>
        <v/>
      </c>
      <c r="CA297">
        <f>IF(OR(BV$3="",BV$3&gt;TODAY()),"",IF(AND(BY297="",BZ297=""),"",N(BZ297)-N(BY297)))</f>
        <v/>
      </c>
      <c r="CE297">
        <f>IF(OR(CC$3="",CC$3&gt;TODAY()),"",IF(AND(CC297="",CD297=""),"",N(CD297)-N(CC297)))</f>
        <v/>
      </c>
      <c r="CH297">
        <f>IF(OR(CC$3="",CC$3&gt;TODAY()),"",IF(AND(CF297="",CG297=""),"",N(CG297)-N(CF297)))</f>
        <v/>
      </c>
      <c r="CL297">
        <f>IF(OR(CJ$3="",CJ$3&gt;TODAY()),"",IF(AND(CJ297="",CK297=""),"",N(CK297)-N(CJ297)))</f>
        <v/>
      </c>
      <c r="CO297">
        <f>IF(OR(CJ$3="",CJ$3&gt;TODAY()),"",IF(AND(CM297="",CN297=""),"",N(CN297)-N(CM297)))</f>
        <v/>
      </c>
      <c r="CS297">
        <f>IF(OR(CQ$3="",CQ$3&gt;TODAY()),"",IF(AND(CQ297="",CR297=""),"",N(CR297)-N(CQ297)))</f>
        <v/>
      </c>
      <c r="CV297">
        <f>IF(OR(CQ$3="",CQ$3&gt;TODAY()),"",IF(AND(CT297="",CU297=""),"",N(CU297)-N(CT297)))</f>
        <v/>
      </c>
      <c r="CZ297">
        <f>IF(OR(CX$3="",CX$3&gt;TODAY()),"",IF(AND(CX297="",CY297=""),"",N(CY297)-N(CX297)))</f>
        <v/>
      </c>
      <c r="DC297">
        <f>IF(OR(CX$3="",CX$3&gt;TODAY()),"",IF(AND(DA297="",DB297=""),"",N(DB297)-N(DA297)))</f>
        <v/>
      </c>
      <c r="DG297">
        <f>IF(OR(DE$3="",DE$3&gt;TODAY()),"",IF(AND(DE297="",DF297=""),"",N(DF297)-N(DE297)))</f>
        <v/>
      </c>
      <c r="DJ297">
        <f>IF(OR(DE$3="",DE$3&gt;TODAY()),"",IF(AND(DH297="",DI297=""),"",N(DI297)-N(DH297)))</f>
        <v/>
      </c>
      <c r="DN297">
        <f>IF(OR(DL$3="",DL$3&gt;TODAY()),"",IF(AND(DL297="",DM297=""),"",N(DM297)-N(DL297)))</f>
        <v/>
      </c>
      <c r="DQ297">
        <f>IF(OR(DL$3="",DL$3&gt;TODAY()),"",IF(AND(DO297="",DP297=""),"",N(DP297)-N(DO297)))</f>
        <v/>
      </c>
      <c r="DU297">
        <f>IF(OR(DS$3="",DS$3&gt;TODAY()),"",IF(AND(DS297="",DT297=""),"",N(DT297)-N(DS297)))</f>
        <v/>
      </c>
      <c r="DX297">
        <f>IF(OR(DS$3="",DS$3&gt;TODAY()),"",IF(AND(DV297="",DW297=""),"",N(DW297)-N(DV297)))</f>
        <v/>
      </c>
      <c r="EB297">
        <f>IF(OR(DZ$3="",DZ$3&gt;TODAY()),"",IF(AND(DZ297="",EA297=""),"",N(EA297)-N(DZ297)))</f>
        <v/>
      </c>
      <c r="EE297">
        <f>IF(OR(DZ$3="",DZ$3&gt;TODAY()),"",IF(AND(EC297="",ED297=""),"",N(ED297)-N(EC297)))</f>
        <v/>
      </c>
      <c r="EI297">
        <f>IF(OR(EG$3="",EG$3&gt;TODAY()),"",IF(AND(EG297="",EH297=""),"",N(EH297)-N(EG297)))</f>
        <v/>
      </c>
      <c r="EL297">
        <f>IF(OR(EG$3="",EG$3&gt;TODAY()),"",IF(AND(EJ297="",EK297=""),"",N(EK297)-N(EJ297)))</f>
        <v/>
      </c>
      <c r="EP297">
        <f>IF(OR(EN$3="",EN$3&gt;TODAY()),"",IF(AND(EN297="",EO297=""),"",N(EO297)-N(EN297)))</f>
        <v/>
      </c>
      <c r="ES297">
        <f>IF(OR(EN$3="",EN$3&gt;TODAY()),"",IF(AND(EQ297="",ER297=""),"",N(ER297)-N(EQ297)))</f>
        <v/>
      </c>
      <c r="EW297">
        <f>IF(OR(EU$3="",EU$3&gt;TODAY()),"",IF(AND(EU297="",EV297=""),"",N(EV297)-N(EU297)))</f>
        <v/>
      </c>
      <c r="EZ297">
        <f>IF(OR(EU$3="",EU$3&gt;TODAY()),"",IF(AND(EX297="",EY297=""),"",N(EY297)-N(EX297)))</f>
        <v/>
      </c>
      <c r="FD297">
        <f>IF(OR(FB$3="",FB$3&gt;TODAY()),"",IF(AND(FB297="",FC297=""),"",N(FC297)-N(FB297)))</f>
        <v/>
      </c>
      <c r="FG297">
        <f>IF(OR(FB$3="",FB$3&gt;TODAY()),"",IF(AND(FE297="",FF297=""),"",N(FF297)-N(FE297)))</f>
        <v/>
      </c>
      <c r="FK297">
        <f>IF(OR(FI$3="",FI$3&gt;TODAY()),"",IF(AND(FI297="",FJ297=""),"",N(FJ297)-N(FI297)))</f>
        <v/>
      </c>
      <c r="FN297">
        <f>IF(OR(FI$3="",FI$3&gt;TODAY()),"",IF(AND(FL297="",FM297=""),"",N(FM297)-N(FL297)))</f>
        <v/>
      </c>
      <c r="FR297">
        <f>IF(OR(FP$3="",FP$3&gt;TODAY()),"",IF(AND(FP297="",FQ297=""),"",N(FQ297)-N(FP297)))</f>
        <v/>
      </c>
      <c r="FU297">
        <f>IF(OR(FP$3="",FP$3&gt;TODAY()),"",IF(AND(FS297="",FT297=""),"",N(FT297)-N(FS297)))</f>
        <v/>
      </c>
      <c r="FY297">
        <f>IF(OR(FW$3="",FW$3&gt;TODAY()),"",IF(AND(FW297="",FX297=""),"",N(FX297)-N(FW297)))</f>
        <v/>
      </c>
      <c r="GB297">
        <f>IF(OR(FW$3="",FW$3&gt;TODAY()),"",IF(AND(FZ297="",GA297=""),"",N(GA297)-N(FZ297)))</f>
        <v/>
      </c>
      <c r="GF297">
        <f>IF(OR(GD$3="",GD$3&gt;TODAY()),"",IF(AND(GD297="",GE297=""),"",N(GE297)-N(GD297)))</f>
        <v/>
      </c>
      <c r="GI297">
        <f>IF(OR(GD$3="",GD$3&gt;TODAY()),"",IF(AND(GG297="",GH297=""),"",N(GH297)-N(GG297)))</f>
        <v/>
      </c>
      <c r="GM297">
        <f>IF(OR(GK$3="",GK$3&gt;TODAY()),"",IF(AND(GK297="",GL297=""),"",N(GL297)-N(GK297)))</f>
        <v/>
      </c>
      <c r="GP297">
        <f>IF(OR(GK$3="",GK$3&gt;TODAY()),"",IF(AND(GN297="",GO297=""),"",N(GO297)-N(GN297)))</f>
        <v/>
      </c>
      <c r="GT297">
        <f>IF(OR(GR$3="",GR$3&gt;TODAY()),"",IF(AND(GR297="",GS297=""),"",N(GS297)-N(GR297)))</f>
        <v/>
      </c>
      <c r="GW297">
        <f>IF(OR(GR$3="",GR$3&gt;TODAY()),"",IF(AND(GU297="",GV297=""),"",N(GV297)-N(GU297)))</f>
        <v/>
      </c>
      <c r="HA297">
        <f>IF(OR(GY$3="",GY$3&gt;TODAY()),"",IF(AND(GY297="",GZ297=""),"",N(GZ297)-N(GY297)))</f>
        <v/>
      </c>
      <c r="HD297">
        <f>IF(OR(GY$3="",GY$3&gt;TODAY()),"",IF(AND(HB297="",HC297=""),"",N(HC297)-N(HB297)))</f>
        <v/>
      </c>
      <c r="HH297">
        <f>IF(OR(HF$3="",HF$3&gt;TODAY()),"",IF(AND(HF297="",HG297=""),"",N(HG297)-N(HF297)))</f>
        <v/>
      </c>
      <c r="HK297">
        <f>IF(OR(HF$3="",HF$3&gt;TODAY()),"",IF(AND(HI297="",HJ297=""),"",N(HJ297)-N(HI297)))</f>
        <v/>
      </c>
      <c r="HO297">
        <f>IF(OR(HM$3="",HM$3&gt;TODAY()),"",IF(AND(HM297="",HN297=""),"",N(HN297)-N(HM297)))</f>
        <v/>
      </c>
      <c r="HR297">
        <f>IF(OR(HM$3="",HM$3&gt;TODAY()),"",IF(AND(HP297="",HQ297=""),"",N(HQ297)-N(HP297)))</f>
        <v/>
      </c>
      <c r="HV297">
        <f>IF(OR(HT$3="",HT$3&gt;TODAY()),"",IF(AND(HT297="",HU297=""),"",N(HU297)-N(HT297)))</f>
        <v/>
      </c>
      <c r="HY297">
        <f>IF(OR(HT$3="",HT$3&gt;TODAY()),"",IF(AND(HW297="",HX297=""),"",N(HX297)-N(HW297)))</f>
        <v/>
      </c>
      <c r="IC297">
        <f>IF(OR(IA$3="",IA$3&gt;TODAY()),"",IF(AND(IA297="",IB297=""),"",N(IB297)-N(IA297)))</f>
        <v/>
      </c>
      <c r="IF297">
        <f>IF(OR(IA$3="",IA$3&gt;TODAY()),"",IF(AND(ID297="",IE297=""),"",N(IE297)-N(ID297)))</f>
        <v/>
      </c>
      <c r="IJ297">
        <f>IF(OR(IH$3="",IH$3&gt;TODAY()),"",IF(AND(IH297="",II297=""),"",N(II297)-N(IH297)))</f>
        <v/>
      </c>
      <c r="IM297">
        <f>IF(OR(IH$3="",IH$3&gt;TODAY()),"",IF(AND(IK297="",IL297=""),"",N(IL297)-N(IK297)))</f>
        <v/>
      </c>
    </row>
    <row r="298">
      <c r="A298" s="21" t="n"/>
      <c r="B298" s="21" t="n"/>
      <c r="C298" s="21" t="n"/>
      <c r="D298" s="21" t="n"/>
      <c r="E298" s="21" t="n"/>
      <c r="F298" s="21" t="n"/>
      <c r="G298" s="21" t="n"/>
      <c r="H298" s="21" t="n"/>
      <c r="I298" s="22" t="n"/>
      <c r="J298" s="22" t="n"/>
      <c r="K298" s="23" t="n"/>
      <c r="L298" s="22" t="n"/>
      <c r="M298" s="22" t="n"/>
      <c r="N298" s="21" t="n"/>
      <c r="O298" s="23" t="n"/>
      <c r="P298" s="23" t="n"/>
      <c r="Q298" s="23" t="n"/>
      <c r="R298" s="23" t="n"/>
      <c r="S298" s="22" t="n"/>
      <c r="T298" s="23" t="n"/>
      <c r="U298" s="23" t="n"/>
      <c r="V298" s="24">
        <f>IF(J298&lt;&gt;"",J298,IF(I298&lt;&gt;"",I298,""))</f>
        <v/>
      </c>
      <c r="W298" s="25">
        <f>IF($E298="","",N(O298)+SUMIFS($AF298:$IN298,$AF$4:$IN$4,"SEW_ACT"))</f>
        <v/>
      </c>
      <c r="X298" s="25">
        <f>IF($E298="","",N(P298)+SUMIFS($AF298:$IN298,$AF$4:$IN$4,"WASH_ACT"))</f>
        <v/>
      </c>
      <c r="Y298" s="25">
        <f>IF($E298="","",W298-X298-N(T298)-N(U298))</f>
        <v/>
      </c>
      <c r="Z298" s="25">
        <f>IF($E298="","",IF(N(K298)-X298&lt;=0.02*N(K298),0,N(K298)-X298))</f>
        <v/>
      </c>
      <c r="AA298" s="24">
        <f>IF($E298="","",IF(S298&lt;&gt;"",S298,IF(N(O298)&gt;0,IF(L298&lt;&gt;"",L298,99999),IFERROR(1/(1/_xlfn.MINIFS($AF$3:$IN$3,$AF$4:$IN$4,"SEW_ACT",$AF298:$IN298,"&gt;0")),99999))))</f>
        <v/>
      </c>
      <c r="AB298" s="26">
        <f>IF(OR($E298="",Z298=0,V298=""),"",1+COUNTIFS(Z$8:Z$707,"&gt;0",V$8:V$707,"&lt;"&amp;V298)+COUNTIFS(Z$8:Z$707,"&gt;0",V$8:V$707,V298,AA$8:AA$707,"&lt;"&amp;AA298)+COUNTIFS(Z$8:Z$707,"&gt;0",V$8:V$707,V298,AA$8:AA$707,AA298,E$8:E$707,"&lt;"&amp;$E298))</f>
        <v/>
      </c>
      <c r="AC298" s="24">
        <f>IF(OR($E298="",Z298=0),"",IFERROR(TODAY()+ROUNDUP(Z298/(SUMIFS($AF298:$IN298,$AF$4:$IN$4,"WASH_ACT")/COUNTIFS($AF$4:$IN$4,"WASH_ACT",$AF298:$IN298,"&gt;0")),0),"no output yet"))</f>
        <v/>
      </c>
      <c r="AD298" s="26">
        <f>IF($E298="","",IFERROR(ROUND(MAX(0,SUMIFS($AF298:$IN298,$AF$4:$IN$4,"SEW_PLAN",$AF$3:$IN$3,"&lt;="&amp;TODAY())-SUMIFS($AF298:$IN298,$AF$4:$IN$4,"SEW_ACT",$AF$3:$IN$3,"&lt;="&amp;TODAY())+N(Q298))/(SUMIFS($AF298:$IN298,$AF$4:$IN$4,"SEW_PLAN")/COUNTIFS($AF$4:$IN$4,"SEW_PLAN",$AF298:$IN298,"&gt;0")),1),0))</f>
        <v/>
      </c>
      <c r="AE298" s="26">
        <f>IF($E298="","",IF(AND(Z298&gt;0,OR(AND(M298&lt;&gt;"",TODAY()&gt;M298),AND(V298&lt;&gt;"",V298-TODAY()&lt;=7))),"Yes","No"))</f>
        <v/>
      </c>
      <c r="AH298">
        <f>IF(OR(AF$3="",AF$3&gt;TODAY()),"",IF(AND(AF298="",AG298=""),"",N(AG298)-N(AF298)))</f>
        <v/>
      </c>
      <c r="AK298">
        <f>IF(OR(AF$3="",AF$3&gt;TODAY()),"",IF(AND(AI298="",AJ298=""),"",N(AJ298)-N(AI298)))</f>
        <v/>
      </c>
      <c r="AO298">
        <f>IF(OR(AM$3="",AM$3&gt;TODAY()),"",IF(AND(AM298="",AN298=""),"",N(AN298)-N(AM298)))</f>
        <v/>
      </c>
      <c r="AR298">
        <f>IF(OR(AM$3="",AM$3&gt;TODAY()),"",IF(AND(AP298="",AQ298=""),"",N(AQ298)-N(AP298)))</f>
        <v/>
      </c>
      <c r="AV298">
        <f>IF(OR(AT$3="",AT$3&gt;TODAY()),"",IF(AND(AT298="",AU298=""),"",N(AU298)-N(AT298)))</f>
        <v/>
      </c>
      <c r="AY298">
        <f>IF(OR(AT$3="",AT$3&gt;TODAY()),"",IF(AND(AW298="",AX298=""),"",N(AX298)-N(AW298)))</f>
        <v/>
      </c>
      <c r="BC298">
        <f>IF(OR(BA$3="",BA$3&gt;TODAY()),"",IF(AND(BA298="",BB298=""),"",N(BB298)-N(BA298)))</f>
        <v/>
      </c>
      <c r="BF298">
        <f>IF(OR(BA$3="",BA$3&gt;TODAY()),"",IF(AND(BD298="",BE298=""),"",N(BE298)-N(BD298)))</f>
        <v/>
      </c>
      <c r="BJ298">
        <f>IF(OR(BH$3="",BH$3&gt;TODAY()),"",IF(AND(BH298="",BI298=""),"",N(BI298)-N(BH298)))</f>
        <v/>
      </c>
      <c r="BM298">
        <f>IF(OR(BH$3="",BH$3&gt;TODAY()),"",IF(AND(BK298="",BL298=""),"",N(BL298)-N(BK298)))</f>
        <v/>
      </c>
      <c r="BQ298">
        <f>IF(OR(BO$3="",BO$3&gt;TODAY()),"",IF(AND(BO298="",BP298=""),"",N(BP298)-N(BO298)))</f>
        <v/>
      </c>
      <c r="BT298">
        <f>IF(OR(BO$3="",BO$3&gt;TODAY()),"",IF(AND(BR298="",BS298=""),"",N(BS298)-N(BR298)))</f>
        <v/>
      </c>
      <c r="BX298">
        <f>IF(OR(BV$3="",BV$3&gt;TODAY()),"",IF(AND(BV298="",BW298=""),"",N(BW298)-N(BV298)))</f>
        <v/>
      </c>
      <c r="CA298">
        <f>IF(OR(BV$3="",BV$3&gt;TODAY()),"",IF(AND(BY298="",BZ298=""),"",N(BZ298)-N(BY298)))</f>
        <v/>
      </c>
      <c r="CE298">
        <f>IF(OR(CC$3="",CC$3&gt;TODAY()),"",IF(AND(CC298="",CD298=""),"",N(CD298)-N(CC298)))</f>
        <v/>
      </c>
      <c r="CH298">
        <f>IF(OR(CC$3="",CC$3&gt;TODAY()),"",IF(AND(CF298="",CG298=""),"",N(CG298)-N(CF298)))</f>
        <v/>
      </c>
      <c r="CL298">
        <f>IF(OR(CJ$3="",CJ$3&gt;TODAY()),"",IF(AND(CJ298="",CK298=""),"",N(CK298)-N(CJ298)))</f>
        <v/>
      </c>
      <c r="CO298">
        <f>IF(OR(CJ$3="",CJ$3&gt;TODAY()),"",IF(AND(CM298="",CN298=""),"",N(CN298)-N(CM298)))</f>
        <v/>
      </c>
      <c r="CS298">
        <f>IF(OR(CQ$3="",CQ$3&gt;TODAY()),"",IF(AND(CQ298="",CR298=""),"",N(CR298)-N(CQ298)))</f>
        <v/>
      </c>
      <c r="CV298">
        <f>IF(OR(CQ$3="",CQ$3&gt;TODAY()),"",IF(AND(CT298="",CU298=""),"",N(CU298)-N(CT298)))</f>
        <v/>
      </c>
      <c r="CZ298">
        <f>IF(OR(CX$3="",CX$3&gt;TODAY()),"",IF(AND(CX298="",CY298=""),"",N(CY298)-N(CX298)))</f>
        <v/>
      </c>
      <c r="DC298">
        <f>IF(OR(CX$3="",CX$3&gt;TODAY()),"",IF(AND(DA298="",DB298=""),"",N(DB298)-N(DA298)))</f>
        <v/>
      </c>
      <c r="DG298">
        <f>IF(OR(DE$3="",DE$3&gt;TODAY()),"",IF(AND(DE298="",DF298=""),"",N(DF298)-N(DE298)))</f>
        <v/>
      </c>
      <c r="DJ298">
        <f>IF(OR(DE$3="",DE$3&gt;TODAY()),"",IF(AND(DH298="",DI298=""),"",N(DI298)-N(DH298)))</f>
        <v/>
      </c>
      <c r="DN298">
        <f>IF(OR(DL$3="",DL$3&gt;TODAY()),"",IF(AND(DL298="",DM298=""),"",N(DM298)-N(DL298)))</f>
        <v/>
      </c>
      <c r="DQ298">
        <f>IF(OR(DL$3="",DL$3&gt;TODAY()),"",IF(AND(DO298="",DP298=""),"",N(DP298)-N(DO298)))</f>
        <v/>
      </c>
      <c r="DU298">
        <f>IF(OR(DS$3="",DS$3&gt;TODAY()),"",IF(AND(DS298="",DT298=""),"",N(DT298)-N(DS298)))</f>
        <v/>
      </c>
      <c r="DX298">
        <f>IF(OR(DS$3="",DS$3&gt;TODAY()),"",IF(AND(DV298="",DW298=""),"",N(DW298)-N(DV298)))</f>
        <v/>
      </c>
      <c r="EB298">
        <f>IF(OR(DZ$3="",DZ$3&gt;TODAY()),"",IF(AND(DZ298="",EA298=""),"",N(EA298)-N(DZ298)))</f>
        <v/>
      </c>
      <c r="EE298">
        <f>IF(OR(DZ$3="",DZ$3&gt;TODAY()),"",IF(AND(EC298="",ED298=""),"",N(ED298)-N(EC298)))</f>
        <v/>
      </c>
      <c r="EI298">
        <f>IF(OR(EG$3="",EG$3&gt;TODAY()),"",IF(AND(EG298="",EH298=""),"",N(EH298)-N(EG298)))</f>
        <v/>
      </c>
      <c r="EL298">
        <f>IF(OR(EG$3="",EG$3&gt;TODAY()),"",IF(AND(EJ298="",EK298=""),"",N(EK298)-N(EJ298)))</f>
        <v/>
      </c>
      <c r="EP298">
        <f>IF(OR(EN$3="",EN$3&gt;TODAY()),"",IF(AND(EN298="",EO298=""),"",N(EO298)-N(EN298)))</f>
        <v/>
      </c>
      <c r="ES298">
        <f>IF(OR(EN$3="",EN$3&gt;TODAY()),"",IF(AND(EQ298="",ER298=""),"",N(ER298)-N(EQ298)))</f>
        <v/>
      </c>
      <c r="EW298">
        <f>IF(OR(EU$3="",EU$3&gt;TODAY()),"",IF(AND(EU298="",EV298=""),"",N(EV298)-N(EU298)))</f>
        <v/>
      </c>
      <c r="EZ298">
        <f>IF(OR(EU$3="",EU$3&gt;TODAY()),"",IF(AND(EX298="",EY298=""),"",N(EY298)-N(EX298)))</f>
        <v/>
      </c>
      <c r="FD298">
        <f>IF(OR(FB$3="",FB$3&gt;TODAY()),"",IF(AND(FB298="",FC298=""),"",N(FC298)-N(FB298)))</f>
        <v/>
      </c>
      <c r="FG298">
        <f>IF(OR(FB$3="",FB$3&gt;TODAY()),"",IF(AND(FE298="",FF298=""),"",N(FF298)-N(FE298)))</f>
        <v/>
      </c>
      <c r="FK298">
        <f>IF(OR(FI$3="",FI$3&gt;TODAY()),"",IF(AND(FI298="",FJ298=""),"",N(FJ298)-N(FI298)))</f>
        <v/>
      </c>
      <c r="FN298">
        <f>IF(OR(FI$3="",FI$3&gt;TODAY()),"",IF(AND(FL298="",FM298=""),"",N(FM298)-N(FL298)))</f>
        <v/>
      </c>
      <c r="FR298">
        <f>IF(OR(FP$3="",FP$3&gt;TODAY()),"",IF(AND(FP298="",FQ298=""),"",N(FQ298)-N(FP298)))</f>
        <v/>
      </c>
      <c r="FU298">
        <f>IF(OR(FP$3="",FP$3&gt;TODAY()),"",IF(AND(FS298="",FT298=""),"",N(FT298)-N(FS298)))</f>
        <v/>
      </c>
      <c r="FY298">
        <f>IF(OR(FW$3="",FW$3&gt;TODAY()),"",IF(AND(FW298="",FX298=""),"",N(FX298)-N(FW298)))</f>
        <v/>
      </c>
      <c r="GB298">
        <f>IF(OR(FW$3="",FW$3&gt;TODAY()),"",IF(AND(FZ298="",GA298=""),"",N(GA298)-N(FZ298)))</f>
        <v/>
      </c>
      <c r="GF298">
        <f>IF(OR(GD$3="",GD$3&gt;TODAY()),"",IF(AND(GD298="",GE298=""),"",N(GE298)-N(GD298)))</f>
        <v/>
      </c>
      <c r="GI298">
        <f>IF(OR(GD$3="",GD$3&gt;TODAY()),"",IF(AND(GG298="",GH298=""),"",N(GH298)-N(GG298)))</f>
        <v/>
      </c>
      <c r="GM298">
        <f>IF(OR(GK$3="",GK$3&gt;TODAY()),"",IF(AND(GK298="",GL298=""),"",N(GL298)-N(GK298)))</f>
        <v/>
      </c>
      <c r="GP298">
        <f>IF(OR(GK$3="",GK$3&gt;TODAY()),"",IF(AND(GN298="",GO298=""),"",N(GO298)-N(GN298)))</f>
        <v/>
      </c>
      <c r="GT298">
        <f>IF(OR(GR$3="",GR$3&gt;TODAY()),"",IF(AND(GR298="",GS298=""),"",N(GS298)-N(GR298)))</f>
        <v/>
      </c>
      <c r="GW298">
        <f>IF(OR(GR$3="",GR$3&gt;TODAY()),"",IF(AND(GU298="",GV298=""),"",N(GV298)-N(GU298)))</f>
        <v/>
      </c>
      <c r="HA298">
        <f>IF(OR(GY$3="",GY$3&gt;TODAY()),"",IF(AND(GY298="",GZ298=""),"",N(GZ298)-N(GY298)))</f>
        <v/>
      </c>
      <c r="HD298">
        <f>IF(OR(GY$3="",GY$3&gt;TODAY()),"",IF(AND(HB298="",HC298=""),"",N(HC298)-N(HB298)))</f>
        <v/>
      </c>
      <c r="HH298">
        <f>IF(OR(HF$3="",HF$3&gt;TODAY()),"",IF(AND(HF298="",HG298=""),"",N(HG298)-N(HF298)))</f>
        <v/>
      </c>
      <c r="HK298">
        <f>IF(OR(HF$3="",HF$3&gt;TODAY()),"",IF(AND(HI298="",HJ298=""),"",N(HJ298)-N(HI298)))</f>
        <v/>
      </c>
      <c r="HO298">
        <f>IF(OR(HM$3="",HM$3&gt;TODAY()),"",IF(AND(HM298="",HN298=""),"",N(HN298)-N(HM298)))</f>
        <v/>
      </c>
      <c r="HR298">
        <f>IF(OR(HM$3="",HM$3&gt;TODAY()),"",IF(AND(HP298="",HQ298=""),"",N(HQ298)-N(HP298)))</f>
        <v/>
      </c>
      <c r="HV298">
        <f>IF(OR(HT$3="",HT$3&gt;TODAY()),"",IF(AND(HT298="",HU298=""),"",N(HU298)-N(HT298)))</f>
        <v/>
      </c>
      <c r="HY298">
        <f>IF(OR(HT$3="",HT$3&gt;TODAY()),"",IF(AND(HW298="",HX298=""),"",N(HX298)-N(HW298)))</f>
        <v/>
      </c>
      <c r="IC298">
        <f>IF(OR(IA$3="",IA$3&gt;TODAY()),"",IF(AND(IA298="",IB298=""),"",N(IB298)-N(IA298)))</f>
        <v/>
      </c>
      <c r="IF298">
        <f>IF(OR(IA$3="",IA$3&gt;TODAY()),"",IF(AND(ID298="",IE298=""),"",N(IE298)-N(ID298)))</f>
        <v/>
      </c>
      <c r="IJ298">
        <f>IF(OR(IH$3="",IH$3&gt;TODAY()),"",IF(AND(IH298="",II298=""),"",N(II298)-N(IH298)))</f>
        <v/>
      </c>
      <c r="IM298">
        <f>IF(OR(IH$3="",IH$3&gt;TODAY()),"",IF(AND(IK298="",IL298=""),"",N(IL298)-N(IK298)))</f>
        <v/>
      </c>
    </row>
    <row r="299">
      <c r="A299" s="21" t="n"/>
      <c r="B299" s="21" t="n"/>
      <c r="C299" s="21" t="n"/>
      <c r="D299" s="21" t="n"/>
      <c r="E299" s="21" t="n"/>
      <c r="F299" s="21" t="n"/>
      <c r="G299" s="21" t="n"/>
      <c r="H299" s="21" t="n"/>
      <c r="I299" s="22" t="n"/>
      <c r="J299" s="22" t="n"/>
      <c r="K299" s="23" t="n"/>
      <c r="L299" s="22" t="n"/>
      <c r="M299" s="22" t="n"/>
      <c r="N299" s="21" t="n"/>
      <c r="O299" s="23" t="n"/>
      <c r="P299" s="23" t="n"/>
      <c r="Q299" s="23" t="n"/>
      <c r="R299" s="23" t="n"/>
      <c r="S299" s="22" t="n"/>
      <c r="T299" s="23" t="n"/>
      <c r="U299" s="23" t="n"/>
      <c r="V299" s="24">
        <f>IF(J299&lt;&gt;"",J299,IF(I299&lt;&gt;"",I299,""))</f>
        <v/>
      </c>
      <c r="W299" s="25">
        <f>IF($E299="","",N(O299)+SUMIFS($AF299:$IN299,$AF$4:$IN$4,"SEW_ACT"))</f>
        <v/>
      </c>
      <c r="X299" s="25">
        <f>IF($E299="","",N(P299)+SUMIFS($AF299:$IN299,$AF$4:$IN$4,"WASH_ACT"))</f>
        <v/>
      </c>
      <c r="Y299" s="25">
        <f>IF($E299="","",W299-X299-N(T299)-N(U299))</f>
        <v/>
      </c>
      <c r="Z299" s="25">
        <f>IF($E299="","",IF(N(K299)-X299&lt;=0.02*N(K299),0,N(K299)-X299))</f>
        <v/>
      </c>
      <c r="AA299" s="24">
        <f>IF($E299="","",IF(S299&lt;&gt;"",S299,IF(N(O299)&gt;0,IF(L299&lt;&gt;"",L299,99999),IFERROR(1/(1/_xlfn.MINIFS($AF$3:$IN$3,$AF$4:$IN$4,"SEW_ACT",$AF299:$IN299,"&gt;0")),99999))))</f>
        <v/>
      </c>
      <c r="AB299" s="26">
        <f>IF(OR($E299="",Z299=0,V299=""),"",1+COUNTIFS(Z$8:Z$707,"&gt;0",V$8:V$707,"&lt;"&amp;V299)+COUNTIFS(Z$8:Z$707,"&gt;0",V$8:V$707,V299,AA$8:AA$707,"&lt;"&amp;AA299)+COUNTIFS(Z$8:Z$707,"&gt;0",V$8:V$707,V299,AA$8:AA$707,AA299,E$8:E$707,"&lt;"&amp;$E299))</f>
        <v/>
      </c>
      <c r="AC299" s="24">
        <f>IF(OR($E299="",Z299=0),"",IFERROR(TODAY()+ROUNDUP(Z299/(SUMIFS($AF299:$IN299,$AF$4:$IN$4,"WASH_ACT")/COUNTIFS($AF$4:$IN$4,"WASH_ACT",$AF299:$IN299,"&gt;0")),0),"no output yet"))</f>
        <v/>
      </c>
      <c r="AD299" s="26">
        <f>IF($E299="","",IFERROR(ROUND(MAX(0,SUMIFS($AF299:$IN299,$AF$4:$IN$4,"SEW_PLAN",$AF$3:$IN$3,"&lt;="&amp;TODAY())-SUMIFS($AF299:$IN299,$AF$4:$IN$4,"SEW_ACT",$AF$3:$IN$3,"&lt;="&amp;TODAY())+N(Q299))/(SUMIFS($AF299:$IN299,$AF$4:$IN$4,"SEW_PLAN")/COUNTIFS($AF$4:$IN$4,"SEW_PLAN",$AF299:$IN299,"&gt;0")),1),0))</f>
        <v/>
      </c>
      <c r="AE299" s="26">
        <f>IF($E299="","",IF(AND(Z299&gt;0,OR(AND(M299&lt;&gt;"",TODAY()&gt;M299),AND(V299&lt;&gt;"",V299-TODAY()&lt;=7))),"Yes","No"))</f>
        <v/>
      </c>
      <c r="AH299">
        <f>IF(OR(AF$3="",AF$3&gt;TODAY()),"",IF(AND(AF299="",AG299=""),"",N(AG299)-N(AF299)))</f>
        <v/>
      </c>
      <c r="AK299">
        <f>IF(OR(AF$3="",AF$3&gt;TODAY()),"",IF(AND(AI299="",AJ299=""),"",N(AJ299)-N(AI299)))</f>
        <v/>
      </c>
      <c r="AO299">
        <f>IF(OR(AM$3="",AM$3&gt;TODAY()),"",IF(AND(AM299="",AN299=""),"",N(AN299)-N(AM299)))</f>
        <v/>
      </c>
      <c r="AR299">
        <f>IF(OR(AM$3="",AM$3&gt;TODAY()),"",IF(AND(AP299="",AQ299=""),"",N(AQ299)-N(AP299)))</f>
        <v/>
      </c>
      <c r="AV299">
        <f>IF(OR(AT$3="",AT$3&gt;TODAY()),"",IF(AND(AT299="",AU299=""),"",N(AU299)-N(AT299)))</f>
        <v/>
      </c>
      <c r="AY299">
        <f>IF(OR(AT$3="",AT$3&gt;TODAY()),"",IF(AND(AW299="",AX299=""),"",N(AX299)-N(AW299)))</f>
        <v/>
      </c>
      <c r="BC299">
        <f>IF(OR(BA$3="",BA$3&gt;TODAY()),"",IF(AND(BA299="",BB299=""),"",N(BB299)-N(BA299)))</f>
        <v/>
      </c>
      <c r="BF299">
        <f>IF(OR(BA$3="",BA$3&gt;TODAY()),"",IF(AND(BD299="",BE299=""),"",N(BE299)-N(BD299)))</f>
        <v/>
      </c>
      <c r="BJ299">
        <f>IF(OR(BH$3="",BH$3&gt;TODAY()),"",IF(AND(BH299="",BI299=""),"",N(BI299)-N(BH299)))</f>
        <v/>
      </c>
      <c r="BM299">
        <f>IF(OR(BH$3="",BH$3&gt;TODAY()),"",IF(AND(BK299="",BL299=""),"",N(BL299)-N(BK299)))</f>
        <v/>
      </c>
      <c r="BQ299">
        <f>IF(OR(BO$3="",BO$3&gt;TODAY()),"",IF(AND(BO299="",BP299=""),"",N(BP299)-N(BO299)))</f>
        <v/>
      </c>
      <c r="BT299">
        <f>IF(OR(BO$3="",BO$3&gt;TODAY()),"",IF(AND(BR299="",BS299=""),"",N(BS299)-N(BR299)))</f>
        <v/>
      </c>
      <c r="BX299">
        <f>IF(OR(BV$3="",BV$3&gt;TODAY()),"",IF(AND(BV299="",BW299=""),"",N(BW299)-N(BV299)))</f>
        <v/>
      </c>
      <c r="CA299">
        <f>IF(OR(BV$3="",BV$3&gt;TODAY()),"",IF(AND(BY299="",BZ299=""),"",N(BZ299)-N(BY299)))</f>
        <v/>
      </c>
      <c r="CE299">
        <f>IF(OR(CC$3="",CC$3&gt;TODAY()),"",IF(AND(CC299="",CD299=""),"",N(CD299)-N(CC299)))</f>
        <v/>
      </c>
      <c r="CH299">
        <f>IF(OR(CC$3="",CC$3&gt;TODAY()),"",IF(AND(CF299="",CG299=""),"",N(CG299)-N(CF299)))</f>
        <v/>
      </c>
      <c r="CL299">
        <f>IF(OR(CJ$3="",CJ$3&gt;TODAY()),"",IF(AND(CJ299="",CK299=""),"",N(CK299)-N(CJ299)))</f>
        <v/>
      </c>
      <c r="CO299">
        <f>IF(OR(CJ$3="",CJ$3&gt;TODAY()),"",IF(AND(CM299="",CN299=""),"",N(CN299)-N(CM299)))</f>
        <v/>
      </c>
      <c r="CS299">
        <f>IF(OR(CQ$3="",CQ$3&gt;TODAY()),"",IF(AND(CQ299="",CR299=""),"",N(CR299)-N(CQ299)))</f>
        <v/>
      </c>
      <c r="CV299">
        <f>IF(OR(CQ$3="",CQ$3&gt;TODAY()),"",IF(AND(CT299="",CU299=""),"",N(CU299)-N(CT299)))</f>
        <v/>
      </c>
      <c r="CZ299">
        <f>IF(OR(CX$3="",CX$3&gt;TODAY()),"",IF(AND(CX299="",CY299=""),"",N(CY299)-N(CX299)))</f>
        <v/>
      </c>
      <c r="DC299">
        <f>IF(OR(CX$3="",CX$3&gt;TODAY()),"",IF(AND(DA299="",DB299=""),"",N(DB299)-N(DA299)))</f>
        <v/>
      </c>
      <c r="DG299">
        <f>IF(OR(DE$3="",DE$3&gt;TODAY()),"",IF(AND(DE299="",DF299=""),"",N(DF299)-N(DE299)))</f>
        <v/>
      </c>
      <c r="DJ299">
        <f>IF(OR(DE$3="",DE$3&gt;TODAY()),"",IF(AND(DH299="",DI299=""),"",N(DI299)-N(DH299)))</f>
        <v/>
      </c>
      <c r="DN299">
        <f>IF(OR(DL$3="",DL$3&gt;TODAY()),"",IF(AND(DL299="",DM299=""),"",N(DM299)-N(DL299)))</f>
        <v/>
      </c>
      <c r="DQ299">
        <f>IF(OR(DL$3="",DL$3&gt;TODAY()),"",IF(AND(DO299="",DP299=""),"",N(DP299)-N(DO299)))</f>
        <v/>
      </c>
      <c r="DU299">
        <f>IF(OR(DS$3="",DS$3&gt;TODAY()),"",IF(AND(DS299="",DT299=""),"",N(DT299)-N(DS299)))</f>
        <v/>
      </c>
      <c r="DX299">
        <f>IF(OR(DS$3="",DS$3&gt;TODAY()),"",IF(AND(DV299="",DW299=""),"",N(DW299)-N(DV299)))</f>
        <v/>
      </c>
      <c r="EB299">
        <f>IF(OR(DZ$3="",DZ$3&gt;TODAY()),"",IF(AND(DZ299="",EA299=""),"",N(EA299)-N(DZ299)))</f>
        <v/>
      </c>
      <c r="EE299">
        <f>IF(OR(DZ$3="",DZ$3&gt;TODAY()),"",IF(AND(EC299="",ED299=""),"",N(ED299)-N(EC299)))</f>
        <v/>
      </c>
      <c r="EI299">
        <f>IF(OR(EG$3="",EG$3&gt;TODAY()),"",IF(AND(EG299="",EH299=""),"",N(EH299)-N(EG299)))</f>
        <v/>
      </c>
      <c r="EL299">
        <f>IF(OR(EG$3="",EG$3&gt;TODAY()),"",IF(AND(EJ299="",EK299=""),"",N(EK299)-N(EJ299)))</f>
        <v/>
      </c>
      <c r="EP299">
        <f>IF(OR(EN$3="",EN$3&gt;TODAY()),"",IF(AND(EN299="",EO299=""),"",N(EO299)-N(EN299)))</f>
        <v/>
      </c>
      <c r="ES299">
        <f>IF(OR(EN$3="",EN$3&gt;TODAY()),"",IF(AND(EQ299="",ER299=""),"",N(ER299)-N(EQ299)))</f>
        <v/>
      </c>
      <c r="EW299">
        <f>IF(OR(EU$3="",EU$3&gt;TODAY()),"",IF(AND(EU299="",EV299=""),"",N(EV299)-N(EU299)))</f>
        <v/>
      </c>
      <c r="EZ299">
        <f>IF(OR(EU$3="",EU$3&gt;TODAY()),"",IF(AND(EX299="",EY299=""),"",N(EY299)-N(EX299)))</f>
        <v/>
      </c>
      <c r="FD299">
        <f>IF(OR(FB$3="",FB$3&gt;TODAY()),"",IF(AND(FB299="",FC299=""),"",N(FC299)-N(FB299)))</f>
        <v/>
      </c>
      <c r="FG299">
        <f>IF(OR(FB$3="",FB$3&gt;TODAY()),"",IF(AND(FE299="",FF299=""),"",N(FF299)-N(FE299)))</f>
        <v/>
      </c>
      <c r="FK299">
        <f>IF(OR(FI$3="",FI$3&gt;TODAY()),"",IF(AND(FI299="",FJ299=""),"",N(FJ299)-N(FI299)))</f>
        <v/>
      </c>
      <c r="FN299">
        <f>IF(OR(FI$3="",FI$3&gt;TODAY()),"",IF(AND(FL299="",FM299=""),"",N(FM299)-N(FL299)))</f>
        <v/>
      </c>
      <c r="FR299">
        <f>IF(OR(FP$3="",FP$3&gt;TODAY()),"",IF(AND(FP299="",FQ299=""),"",N(FQ299)-N(FP299)))</f>
        <v/>
      </c>
      <c r="FU299">
        <f>IF(OR(FP$3="",FP$3&gt;TODAY()),"",IF(AND(FS299="",FT299=""),"",N(FT299)-N(FS299)))</f>
        <v/>
      </c>
      <c r="FY299">
        <f>IF(OR(FW$3="",FW$3&gt;TODAY()),"",IF(AND(FW299="",FX299=""),"",N(FX299)-N(FW299)))</f>
        <v/>
      </c>
      <c r="GB299">
        <f>IF(OR(FW$3="",FW$3&gt;TODAY()),"",IF(AND(FZ299="",GA299=""),"",N(GA299)-N(FZ299)))</f>
        <v/>
      </c>
      <c r="GF299">
        <f>IF(OR(GD$3="",GD$3&gt;TODAY()),"",IF(AND(GD299="",GE299=""),"",N(GE299)-N(GD299)))</f>
        <v/>
      </c>
      <c r="GI299">
        <f>IF(OR(GD$3="",GD$3&gt;TODAY()),"",IF(AND(GG299="",GH299=""),"",N(GH299)-N(GG299)))</f>
        <v/>
      </c>
      <c r="GM299">
        <f>IF(OR(GK$3="",GK$3&gt;TODAY()),"",IF(AND(GK299="",GL299=""),"",N(GL299)-N(GK299)))</f>
        <v/>
      </c>
      <c r="GP299">
        <f>IF(OR(GK$3="",GK$3&gt;TODAY()),"",IF(AND(GN299="",GO299=""),"",N(GO299)-N(GN299)))</f>
        <v/>
      </c>
      <c r="GT299">
        <f>IF(OR(GR$3="",GR$3&gt;TODAY()),"",IF(AND(GR299="",GS299=""),"",N(GS299)-N(GR299)))</f>
        <v/>
      </c>
      <c r="GW299">
        <f>IF(OR(GR$3="",GR$3&gt;TODAY()),"",IF(AND(GU299="",GV299=""),"",N(GV299)-N(GU299)))</f>
        <v/>
      </c>
      <c r="HA299">
        <f>IF(OR(GY$3="",GY$3&gt;TODAY()),"",IF(AND(GY299="",GZ299=""),"",N(GZ299)-N(GY299)))</f>
        <v/>
      </c>
      <c r="HD299">
        <f>IF(OR(GY$3="",GY$3&gt;TODAY()),"",IF(AND(HB299="",HC299=""),"",N(HC299)-N(HB299)))</f>
        <v/>
      </c>
      <c r="HH299">
        <f>IF(OR(HF$3="",HF$3&gt;TODAY()),"",IF(AND(HF299="",HG299=""),"",N(HG299)-N(HF299)))</f>
        <v/>
      </c>
      <c r="HK299">
        <f>IF(OR(HF$3="",HF$3&gt;TODAY()),"",IF(AND(HI299="",HJ299=""),"",N(HJ299)-N(HI299)))</f>
        <v/>
      </c>
      <c r="HO299">
        <f>IF(OR(HM$3="",HM$3&gt;TODAY()),"",IF(AND(HM299="",HN299=""),"",N(HN299)-N(HM299)))</f>
        <v/>
      </c>
      <c r="HR299">
        <f>IF(OR(HM$3="",HM$3&gt;TODAY()),"",IF(AND(HP299="",HQ299=""),"",N(HQ299)-N(HP299)))</f>
        <v/>
      </c>
      <c r="HV299">
        <f>IF(OR(HT$3="",HT$3&gt;TODAY()),"",IF(AND(HT299="",HU299=""),"",N(HU299)-N(HT299)))</f>
        <v/>
      </c>
      <c r="HY299">
        <f>IF(OR(HT$3="",HT$3&gt;TODAY()),"",IF(AND(HW299="",HX299=""),"",N(HX299)-N(HW299)))</f>
        <v/>
      </c>
      <c r="IC299">
        <f>IF(OR(IA$3="",IA$3&gt;TODAY()),"",IF(AND(IA299="",IB299=""),"",N(IB299)-N(IA299)))</f>
        <v/>
      </c>
      <c r="IF299">
        <f>IF(OR(IA$3="",IA$3&gt;TODAY()),"",IF(AND(ID299="",IE299=""),"",N(IE299)-N(ID299)))</f>
        <v/>
      </c>
      <c r="IJ299">
        <f>IF(OR(IH$3="",IH$3&gt;TODAY()),"",IF(AND(IH299="",II299=""),"",N(II299)-N(IH299)))</f>
        <v/>
      </c>
      <c r="IM299">
        <f>IF(OR(IH$3="",IH$3&gt;TODAY()),"",IF(AND(IK299="",IL299=""),"",N(IL299)-N(IK299)))</f>
        <v/>
      </c>
    </row>
    <row r="300">
      <c r="A300" s="21" t="n"/>
      <c r="B300" s="21" t="n"/>
      <c r="C300" s="21" t="n"/>
      <c r="D300" s="21" t="n"/>
      <c r="E300" s="21" t="n"/>
      <c r="F300" s="21" t="n"/>
      <c r="G300" s="21" t="n"/>
      <c r="H300" s="21" t="n"/>
      <c r="I300" s="22" t="n"/>
      <c r="J300" s="22" t="n"/>
      <c r="K300" s="23" t="n"/>
      <c r="L300" s="22" t="n"/>
      <c r="M300" s="22" t="n"/>
      <c r="N300" s="21" t="n"/>
      <c r="O300" s="23" t="n"/>
      <c r="P300" s="23" t="n"/>
      <c r="Q300" s="23" t="n"/>
      <c r="R300" s="23" t="n"/>
      <c r="S300" s="22" t="n"/>
      <c r="T300" s="23" t="n"/>
      <c r="U300" s="23" t="n"/>
      <c r="V300" s="24">
        <f>IF(J300&lt;&gt;"",J300,IF(I300&lt;&gt;"",I300,""))</f>
        <v/>
      </c>
      <c r="W300" s="25">
        <f>IF($E300="","",N(O300)+SUMIFS($AF300:$IN300,$AF$4:$IN$4,"SEW_ACT"))</f>
        <v/>
      </c>
      <c r="X300" s="25">
        <f>IF($E300="","",N(P300)+SUMIFS($AF300:$IN300,$AF$4:$IN$4,"WASH_ACT"))</f>
        <v/>
      </c>
      <c r="Y300" s="25">
        <f>IF($E300="","",W300-X300-N(T300)-N(U300))</f>
        <v/>
      </c>
      <c r="Z300" s="25">
        <f>IF($E300="","",IF(N(K300)-X300&lt;=0.02*N(K300),0,N(K300)-X300))</f>
        <v/>
      </c>
      <c r="AA300" s="24">
        <f>IF($E300="","",IF(S300&lt;&gt;"",S300,IF(N(O300)&gt;0,IF(L300&lt;&gt;"",L300,99999),IFERROR(1/(1/_xlfn.MINIFS($AF$3:$IN$3,$AF$4:$IN$4,"SEW_ACT",$AF300:$IN300,"&gt;0")),99999))))</f>
        <v/>
      </c>
      <c r="AB300" s="26">
        <f>IF(OR($E300="",Z300=0,V300=""),"",1+COUNTIFS(Z$8:Z$707,"&gt;0",V$8:V$707,"&lt;"&amp;V300)+COUNTIFS(Z$8:Z$707,"&gt;0",V$8:V$707,V300,AA$8:AA$707,"&lt;"&amp;AA300)+COUNTIFS(Z$8:Z$707,"&gt;0",V$8:V$707,V300,AA$8:AA$707,AA300,E$8:E$707,"&lt;"&amp;$E300))</f>
        <v/>
      </c>
      <c r="AC300" s="24">
        <f>IF(OR($E300="",Z300=0),"",IFERROR(TODAY()+ROUNDUP(Z300/(SUMIFS($AF300:$IN300,$AF$4:$IN$4,"WASH_ACT")/COUNTIFS($AF$4:$IN$4,"WASH_ACT",$AF300:$IN300,"&gt;0")),0),"no output yet"))</f>
        <v/>
      </c>
      <c r="AD300" s="26">
        <f>IF($E300="","",IFERROR(ROUND(MAX(0,SUMIFS($AF300:$IN300,$AF$4:$IN$4,"SEW_PLAN",$AF$3:$IN$3,"&lt;="&amp;TODAY())-SUMIFS($AF300:$IN300,$AF$4:$IN$4,"SEW_ACT",$AF$3:$IN$3,"&lt;="&amp;TODAY())+N(Q300))/(SUMIFS($AF300:$IN300,$AF$4:$IN$4,"SEW_PLAN")/COUNTIFS($AF$4:$IN$4,"SEW_PLAN",$AF300:$IN300,"&gt;0")),1),0))</f>
        <v/>
      </c>
      <c r="AE300" s="26">
        <f>IF($E300="","",IF(AND(Z300&gt;0,OR(AND(M300&lt;&gt;"",TODAY()&gt;M300),AND(V300&lt;&gt;"",V300-TODAY()&lt;=7))),"Yes","No"))</f>
        <v/>
      </c>
      <c r="AH300">
        <f>IF(OR(AF$3="",AF$3&gt;TODAY()),"",IF(AND(AF300="",AG300=""),"",N(AG300)-N(AF300)))</f>
        <v/>
      </c>
      <c r="AK300">
        <f>IF(OR(AF$3="",AF$3&gt;TODAY()),"",IF(AND(AI300="",AJ300=""),"",N(AJ300)-N(AI300)))</f>
        <v/>
      </c>
      <c r="AO300">
        <f>IF(OR(AM$3="",AM$3&gt;TODAY()),"",IF(AND(AM300="",AN300=""),"",N(AN300)-N(AM300)))</f>
        <v/>
      </c>
      <c r="AR300">
        <f>IF(OR(AM$3="",AM$3&gt;TODAY()),"",IF(AND(AP300="",AQ300=""),"",N(AQ300)-N(AP300)))</f>
        <v/>
      </c>
      <c r="AV300">
        <f>IF(OR(AT$3="",AT$3&gt;TODAY()),"",IF(AND(AT300="",AU300=""),"",N(AU300)-N(AT300)))</f>
        <v/>
      </c>
      <c r="AY300">
        <f>IF(OR(AT$3="",AT$3&gt;TODAY()),"",IF(AND(AW300="",AX300=""),"",N(AX300)-N(AW300)))</f>
        <v/>
      </c>
      <c r="BC300">
        <f>IF(OR(BA$3="",BA$3&gt;TODAY()),"",IF(AND(BA300="",BB300=""),"",N(BB300)-N(BA300)))</f>
        <v/>
      </c>
      <c r="BF300">
        <f>IF(OR(BA$3="",BA$3&gt;TODAY()),"",IF(AND(BD300="",BE300=""),"",N(BE300)-N(BD300)))</f>
        <v/>
      </c>
      <c r="BJ300">
        <f>IF(OR(BH$3="",BH$3&gt;TODAY()),"",IF(AND(BH300="",BI300=""),"",N(BI300)-N(BH300)))</f>
        <v/>
      </c>
      <c r="BM300">
        <f>IF(OR(BH$3="",BH$3&gt;TODAY()),"",IF(AND(BK300="",BL300=""),"",N(BL300)-N(BK300)))</f>
        <v/>
      </c>
      <c r="BQ300">
        <f>IF(OR(BO$3="",BO$3&gt;TODAY()),"",IF(AND(BO300="",BP300=""),"",N(BP300)-N(BO300)))</f>
        <v/>
      </c>
      <c r="BT300">
        <f>IF(OR(BO$3="",BO$3&gt;TODAY()),"",IF(AND(BR300="",BS300=""),"",N(BS300)-N(BR300)))</f>
        <v/>
      </c>
      <c r="BX300">
        <f>IF(OR(BV$3="",BV$3&gt;TODAY()),"",IF(AND(BV300="",BW300=""),"",N(BW300)-N(BV300)))</f>
        <v/>
      </c>
      <c r="CA300">
        <f>IF(OR(BV$3="",BV$3&gt;TODAY()),"",IF(AND(BY300="",BZ300=""),"",N(BZ300)-N(BY300)))</f>
        <v/>
      </c>
      <c r="CE300">
        <f>IF(OR(CC$3="",CC$3&gt;TODAY()),"",IF(AND(CC300="",CD300=""),"",N(CD300)-N(CC300)))</f>
        <v/>
      </c>
      <c r="CH300">
        <f>IF(OR(CC$3="",CC$3&gt;TODAY()),"",IF(AND(CF300="",CG300=""),"",N(CG300)-N(CF300)))</f>
        <v/>
      </c>
      <c r="CL300">
        <f>IF(OR(CJ$3="",CJ$3&gt;TODAY()),"",IF(AND(CJ300="",CK300=""),"",N(CK300)-N(CJ300)))</f>
        <v/>
      </c>
      <c r="CO300">
        <f>IF(OR(CJ$3="",CJ$3&gt;TODAY()),"",IF(AND(CM300="",CN300=""),"",N(CN300)-N(CM300)))</f>
        <v/>
      </c>
      <c r="CS300">
        <f>IF(OR(CQ$3="",CQ$3&gt;TODAY()),"",IF(AND(CQ300="",CR300=""),"",N(CR300)-N(CQ300)))</f>
        <v/>
      </c>
      <c r="CV300">
        <f>IF(OR(CQ$3="",CQ$3&gt;TODAY()),"",IF(AND(CT300="",CU300=""),"",N(CU300)-N(CT300)))</f>
        <v/>
      </c>
      <c r="CZ300">
        <f>IF(OR(CX$3="",CX$3&gt;TODAY()),"",IF(AND(CX300="",CY300=""),"",N(CY300)-N(CX300)))</f>
        <v/>
      </c>
      <c r="DC300">
        <f>IF(OR(CX$3="",CX$3&gt;TODAY()),"",IF(AND(DA300="",DB300=""),"",N(DB300)-N(DA300)))</f>
        <v/>
      </c>
      <c r="DG300">
        <f>IF(OR(DE$3="",DE$3&gt;TODAY()),"",IF(AND(DE300="",DF300=""),"",N(DF300)-N(DE300)))</f>
        <v/>
      </c>
      <c r="DJ300">
        <f>IF(OR(DE$3="",DE$3&gt;TODAY()),"",IF(AND(DH300="",DI300=""),"",N(DI300)-N(DH300)))</f>
        <v/>
      </c>
      <c r="DN300">
        <f>IF(OR(DL$3="",DL$3&gt;TODAY()),"",IF(AND(DL300="",DM300=""),"",N(DM300)-N(DL300)))</f>
        <v/>
      </c>
      <c r="DQ300">
        <f>IF(OR(DL$3="",DL$3&gt;TODAY()),"",IF(AND(DO300="",DP300=""),"",N(DP300)-N(DO300)))</f>
        <v/>
      </c>
      <c r="DU300">
        <f>IF(OR(DS$3="",DS$3&gt;TODAY()),"",IF(AND(DS300="",DT300=""),"",N(DT300)-N(DS300)))</f>
        <v/>
      </c>
      <c r="DX300">
        <f>IF(OR(DS$3="",DS$3&gt;TODAY()),"",IF(AND(DV300="",DW300=""),"",N(DW300)-N(DV300)))</f>
        <v/>
      </c>
      <c r="EB300">
        <f>IF(OR(DZ$3="",DZ$3&gt;TODAY()),"",IF(AND(DZ300="",EA300=""),"",N(EA300)-N(DZ300)))</f>
        <v/>
      </c>
      <c r="EE300">
        <f>IF(OR(DZ$3="",DZ$3&gt;TODAY()),"",IF(AND(EC300="",ED300=""),"",N(ED300)-N(EC300)))</f>
        <v/>
      </c>
      <c r="EI300">
        <f>IF(OR(EG$3="",EG$3&gt;TODAY()),"",IF(AND(EG300="",EH300=""),"",N(EH300)-N(EG300)))</f>
        <v/>
      </c>
      <c r="EL300">
        <f>IF(OR(EG$3="",EG$3&gt;TODAY()),"",IF(AND(EJ300="",EK300=""),"",N(EK300)-N(EJ300)))</f>
        <v/>
      </c>
      <c r="EP300">
        <f>IF(OR(EN$3="",EN$3&gt;TODAY()),"",IF(AND(EN300="",EO300=""),"",N(EO300)-N(EN300)))</f>
        <v/>
      </c>
      <c r="ES300">
        <f>IF(OR(EN$3="",EN$3&gt;TODAY()),"",IF(AND(EQ300="",ER300=""),"",N(ER300)-N(EQ300)))</f>
        <v/>
      </c>
      <c r="EW300">
        <f>IF(OR(EU$3="",EU$3&gt;TODAY()),"",IF(AND(EU300="",EV300=""),"",N(EV300)-N(EU300)))</f>
        <v/>
      </c>
      <c r="EZ300">
        <f>IF(OR(EU$3="",EU$3&gt;TODAY()),"",IF(AND(EX300="",EY300=""),"",N(EY300)-N(EX300)))</f>
        <v/>
      </c>
      <c r="FD300">
        <f>IF(OR(FB$3="",FB$3&gt;TODAY()),"",IF(AND(FB300="",FC300=""),"",N(FC300)-N(FB300)))</f>
        <v/>
      </c>
      <c r="FG300">
        <f>IF(OR(FB$3="",FB$3&gt;TODAY()),"",IF(AND(FE300="",FF300=""),"",N(FF300)-N(FE300)))</f>
        <v/>
      </c>
      <c r="FK300">
        <f>IF(OR(FI$3="",FI$3&gt;TODAY()),"",IF(AND(FI300="",FJ300=""),"",N(FJ300)-N(FI300)))</f>
        <v/>
      </c>
      <c r="FN300">
        <f>IF(OR(FI$3="",FI$3&gt;TODAY()),"",IF(AND(FL300="",FM300=""),"",N(FM300)-N(FL300)))</f>
        <v/>
      </c>
      <c r="FR300">
        <f>IF(OR(FP$3="",FP$3&gt;TODAY()),"",IF(AND(FP300="",FQ300=""),"",N(FQ300)-N(FP300)))</f>
        <v/>
      </c>
      <c r="FU300">
        <f>IF(OR(FP$3="",FP$3&gt;TODAY()),"",IF(AND(FS300="",FT300=""),"",N(FT300)-N(FS300)))</f>
        <v/>
      </c>
      <c r="FY300">
        <f>IF(OR(FW$3="",FW$3&gt;TODAY()),"",IF(AND(FW300="",FX300=""),"",N(FX300)-N(FW300)))</f>
        <v/>
      </c>
      <c r="GB300">
        <f>IF(OR(FW$3="",FW$3&gt;TODAY()),"",IF(AND(FZ300="",GA300=""),"",N(GA300)-N(FZ300)))</f>
        <v/>
      </c>
      <c r="GF300">
        <f>IF(OR(GD$3="",GD$3&gt;TODAY()),"",IF(AND(GD300="",GE300=""),"",N(GE300)-N(GD300)))</f>
        <v/>
      </c>
      <c r="GI300">
        <f>IF(OR(GD$3="",GD$3&gt;TODAY()),"",IF(AND(GG300="",GH300=""),"",N(GH300)-N(GG300)))</f>
        <v/>
      </c>
      <c r="GM300">
        <f>IF(OR(GK$3="",GK$3&gt;TODAY()),"",IF(AND(GK300="",GL300=""),"",N(GL300)-N(GK300)))</f>
        <v/>
      </c>
      <c r="GP300">
        <f>IF(OR(GK$3="",GK$3&gt;TODAY()),"",IF(AND(GN300="",GO300=""),"",N(GO300)-N(GN300)))</f>
        <v/>
      </c>
      <c r="GT300">
        <f>IF(OR(GR$3="",GR$3&gt;TODAY()),"",IF(AND(GR300="",GS300=""),"",N(GS300)-N(GR300)))</f>
        <v/>
      </c>
      <c r="GW300">
        <f>IF(OR(GR$3="",GR$3&gt;TODAY()),"",IF(AND(GU300="",GV300=""),"",N(GV300)-N(GU300)))</f>
        <v/>
      </c>
      <c r="HA300">
        <f>IF(OR(GY$3="",GY$3&gt;TODAY()),"",IF(AND(GY300="",GZ300=""),"",N(GZ300)-N(GY300)))</f>
        <v/>
      </c>
      <c r="HD300">
        <f>IF(OR(GY$3="",GY$3&gt;TODAY()),"",IF(AND(HB300="",HC300=""),"",N(HC300)-N(HB300)))</f>
        <v/>
      </c>
      <c r="HH300">
        <f>IF(OR(HF$3="",HF$3&gt;TODAY()),"",IF(AND(HF300="",HG300=""),"",N(HG300)-N(HF300)))</f>
        <v/>
      </c>
      <c r="HK300">
        <f>IF(OR(HF$3="",HF$3&gt;TODAY()),"",IF(AND(HI300="",HJ300=""),"",N(HJ300)-N(HI300)))</f>
        <v/>
      </c>
      <c r="HO300">
        <f>IF(OR(HM$3="",HM$3&gt;TODAY()),"",IF(AND(HM300="",HN300=""),"",N(HN300)-N(HM300)))</f>
        <v/>
      </c>
      <c r="HR300">
        <f>IF(OR(HM$3="",HM$3&gt;TODAY()),"",IF(AND(HP300="",HQ300=""),"",N(HQ300)-N(HP300)))</f>
        <v/>
      </c>
      <c r="HV300">
        <f>IF(OR(HT$3="",HT$3&gt;TODAY()),"",IF(AND(HT300="",HU300=""),"",N(HU300)-N(HT300)))</f>
        <v/>
      </c>
      <c r="HY300">
        <f>IF(OR(HT$3="",HT$3&gt;TODAY()),"",IF(AND(HW300="",HX300=""),"",N(HX300)-N(HW300)))</f>
        <v/>
      </c>
      <c r="IC300">
        <f>IF(OR(IA$3="",IA$3&gt;TODAY()),"",IF(AND(IA300="",IB300=""),"",N(IB300)-N(IA300)))</f>
        <v/>
      </c>
      <c r="IF300">
        <f>IF(OR(IA$3="",IA$3&gt;TODAY()),"",IF(AND(ID300="",IE300=""),"",N(IE300)-N(ID300)))</f>
        <v/>
      </c>
      <c r="IJ300">
        <f>IF(OR(IH$3="",IH$3&gt;TODAY()),"",IF(AND(IH300="",II300=""),"",N(II300)-N(IH300)))</f>
        <v/>
      </c>
      <c r="IM300">
        <f>IF(OR(IH$3="",IH$3&gt;TODAY()),"",IF(AND(IK300="",IL300=""),"",N(IL300)-N(IK300)))</f>
        <v/>
      </c>
    </row>
    <row r="301">
      <c r="A301" s="21" t="n"/>
      <c r="B301" s="21" t="n"/>
      <c r="C301" s="21" t="n"/>
      <c r="D301" s="21" t="n"/>
      <c r="E301" s="21" t="n"/>
      <c r="F301" s="21" t="n"/>
      <c r="G301" s="21" t="n"/>
      <c r="H301" s="21" t="n"/>
      <c r="I301" s="22" t="n"/>
      <c r="J301" s="22" t="n"/>
      <c r="K301" s="23" t="n"/>
      <c r="L301" s="22" t="n"/>
      <c r="M301" s="22" t="n"/>
      <c r="N301" s="21" t="n"/>
      <c r="O301" s="23" t="n"/>
      <c r="P301" s="23" t="n"/>
      <c r="Q301" s="23" t="n"/>
      <c r="R301" s="23" t="n"/>
      <c r="S301" s="22" t="n"/>
      <c r="T301" s="23" t="n"/>
      <c r="U301" s="23" t="n"/>
      <c r="V301" s="24">
        <f>IF(J301&lt;&gt;"",J301,IF(I301&lt;&gt;"",I301,""))</f>
        <v/>
      </c>
      <c r="W301" s="25">
        <f>IF($E301="","",N(O301)+SUMIFS($AF301:$IN301,$AF$4:$IN$4,"SEW_ACT"))</f>
        <v/>
      </c>
      <c r="X301" s="25">
        <f>IF($E301="","",N(P301)+SUMIFS($AF301:$IN301,$AF$4:$IN$4,"WASH_ACT"))</f>
        <v/>
      </c>
      <c r="Y301" s="25">
        <f>IF($E301="","",W301-X301-N(T301)-N(U301))</f>
        <v/>
      </c>
      <c r="Z301" s="25">
        <f>IF($E301="","",IF(N(K301)-X301&lt;=0.02*N(K301),0,N(K301)-X301))</f>
        <v/>
      </c>
      <c r="AA301" s="24">
        <f>IF($E301="","",IF(S301&lt;&gt;"",S301,IF(N(O301)&gt;0,IF(L301&lt;&gt;"",L301,99999),IFERROR(1/(1/_xlfn.MINIFS($AF$3:$IN$3,$AF$4:$IN$4,"SEW_ACT",$AF301:$IN301,"&gt;0")),99999))))</f>
        <v/>
      </c>
      <c r="AB301" s="26">
        <f>IF(OR($E301="",Z301=0,V301=""),"",1+COUNTIFS(Z$8:Z$707,"&gt;0",V$8:V$707,"&lt;"&amp;V301)+COUNTIFS(Z$8:Z$707,"&gt;0",V$8:V$707,V301,AA$8:AA$707,"&lt;"&amp;AA301)+COUNTIFS(Z$8:Z$707,"&gt;0",V$8:V$707,V301,AA$8:AA$707,AA301,E$8:E$707,"&lt;"&amp;$E301))</f>
        <v/>
      </c>
      <c r="AC301" s="24">
        <f>IF(OR($E301="",Z301=0),"",IFERROR(TODAY()+ROUNDUP(Z301/(SUMIFS($AF301:$IN301,$AF$4:$IN$4,"WASH_ACT")/COUNTIFS($AF$4:$IN$4,"WASH_ACT",$AF301:$IN301,"&gt;0")),0),"no output yet"))</f>
        <v/>
      </c>
      <c r="AD301" s="26">
        <f>IF($E301="","",IFERROR(ROUND(MAX(0,SUMIFS($AF301:$IN301,$AF$4:$IN$4,"SEW_PLAN",$AF$3:$IN$3,"&lt;="&amp;TODAY())-SUMIFS($AF301:$IN301,$AF$4:$IN$4,"SEW_ACT",$AF$3:$IN$3,"&lt;="&amp;TODAY())+N(Q301))/(SUMIFS($AF301:$IN301,$AF$4:$IN$4,"SEW_PLAN")/COUNTIFS($AF$4:$IN$4,"SEW_PLAN",$AF301:$IN301,"&gt;0")),1),0))</f>
        <v/>
      </c>
      <c r="AE301" s="26">
        <f>IF($E301="","",IF(AND(Z301&gt;0,OR(AND(M301&lt;&gt;"",TODAY()&gt;M301),AND(V301&lt;&gt;"",V301-TODAY()&lt;=7))),"Yes","No"))</f>
        <v/>
      </c>
      <c r="AH301">
        <f>IF(OR(AF$3="",AF$3&gt;TODAY()),"",IF(AND(AF301="",AG301=""),"",N(AG301)-N(AF301)))</f>
        <v/>
      </c>
      <c r="AK301">
        <f>IF(OR(AF$3="",AF$3&gt;TODAY()),"",IF(AND(AI301="",AJ301=""),"",N(AJ301)-N(AI301)))</f>
        <v/>
      </c>
      <c r="AO301">
        <f>IF(OR(AM$3="",AM$3&gt;TODAY()),"",IF(AND(AM301="",AN301=""),"",N(AN301)-N(AM301)))</f>
        <v/>
      </c>
      <c r="AR301">
        <f>IF(OR(AM$3="",AM$3&gt;TODAY()),"",IF(AND(AP301="",AQ301=""),"",N(AQ301)-N(AP301)))</f>
        <v/>
      </c>
      <c r="AV301">
        <f>IF(OR(AT$3="",AT$3&gt;TODAY()),"",IF(AND(AT301="",AU301=""),"",N(AU301)-N(AT301)))</f>
        <v/>
      </c>
      <c r="AY301">
        <f>IF(OR(AT$3="",AT$3&gt;TODAY()),"",IF(AND(AW301="",AX301=""),"",N(AX301)-N(AW301)))</f>
        <v/>
      </c>
      <c r="BC301">
        <f>IF(OR(BA$3="",BA$3&gt;TODAY()),"",IF(AND(BA301="",BB301=""),"",N(BB301)-N(BA301)))</f>
        <v/>
      </c>
      <c r="BF301">
        <f>IF(OR(BA$3="",BA$3&gt;TODAY()),"",IF(AND(BD301="",BE301=""),"",N(BE301)-N(BD301)))</f>
        <v/>
      </c>
      <c r="BJ301">
        <f>IF(OR(BH$3="",BH$3&gt;TODAY()),"",IF(AND(BH301="",BI301=""),"",N(BI301)-N(BH301)))</f>
        <v/>
      </c>
      <c r="BM301">
        <f>IF(OR(BH$3="",BH$3&gt;TODAY()),"",IF(AND(BK301="",BL301=""),"",N(BL301)-N(BK301)))</f>
        <v/>
      </c>
      <c r="BQ301">
        <f>IF(OR(BO$3="",BO$3&gt;TODAY()),"",IF(AND(BO301="",BP301=""),"",N(BP301)-N(BO301)))</f>
        <v/>
      </c>
      <c r="BT301">
        <f>IF(OR(BO$3="",BO$3&gt;TODAY()),"",IF(AND(BR301="",BS301=""),"",N(BS301)-N(BR301)))</f>
        <v/>
      </c>
      <c r="BX301">
        <f>IF(OR(BV$3="",BV$3&gt;TODAY()),"",IF(AND(BV301="",BW301=""),"",N(BW301)-N(BV301)))</f>
        <v/>
      </c>
      <c r="CA301">
        <f>IF(OR(BV$3="",BV$3&gt;TODAY()),"",IF(AND(BY301="",BZ301=""),"",N(BZ301)-N(BY301)))</f>
        <v/>
      </c>
      <c r="CE301">
        <f>IF(OR(CC$3="",CC$3&gt;TODAY()),"",IF(AND(CC301="",CD301=""),"",N(CD301)-N(CC301)))</f>
        <v/>
      </c>
      <c r="CH301">
        <f>IF(OR(CC$3="",CC$3&gt;TODAY()),"",IF(AND(CF301="",CG301=""),"",N(CG301)-N(CF301)))</f>
        <v/>
      </c>
      <c r="CL301">
        <f>IF(OR(CJ$3="",CJ$3&gt;TODAY()),"",IF(AND(CJ301="",CK301=""),"",N(CK301)-N(CJ301)))</f>
        <v/>
      </c>
      <c r="CO301">
        <f>IF(OR(CJ$3="",CJ$3&gt;TODAY()),"",IF(AND(CM301="",CN301=""),"",N(CN301)-N(CM301)))</f>
        <v/>
      </c>
      <c r="CS301">
        <f>IF(OR(CQ$3="",CQ$3&gt;TODAY()),"",IF(AND(CQ301="",CR301=""),"",N(CR301)-N(CQ301)))</f>
        <v/>
      </c>
      <c r="CV301">
        <f>IF(OR(CQ$3="",CQ$3&gt;TODAY()),"",IF(AND(CT301="",CU301=""),"",N(CU301)-N(CT301)))</f>
        <v/>
      </c>
      <c r="CZ301">
        <f>IF(OR(CX$3="",CX$3&gt;TODAY()),"",IF(AND(CX301="",CY301=""),"",N(CY301)-N(CX301)))</f>
        <v/>
      </c>
      <c r="DC301">
        <f>IF(OR(CX$3="",CX$3&gt;TODAY()),"",IF(AND(DA301="",DB301=""),"",N(DB301)-N(DA301)))</f>
        <v/>
      </c>
      <c r="DG301">
        <f>IF(OR(DE$3="",DE$3&gt;TODAY()),"",IF(AND(DE301="",DF301=""),"",N(DF301)-N(DE301)))</f>
        <v/>
      </c>
      <c r="DJ301">
        <f>IF(OR(DE$3="",DE$3&gt;TODAY()),"",IF(AND(DH301="",DI301=""),"",N(DI301)-N(DH301)))</f>
        <v/>
      </c>
      <c r="DN301">
        <f>IF(OR(DL$3="",DL$3&gt;TODAY()),"",IF(AND(DL301="",DM301=""),"",N(DM301)-N(DL301)))</f>
        <v/>
      </c>
      <c r="DQ301">
        <f>IF(OR(DL$3="",DL$3&gt;TODAY()),"",IF(AND(DO301="",DP301=""),"",N(DP301)-N(DO301)))</f>
        <v/>
      </c>
      <c r="DU301">
        <f>IF(OR(DS$3="",DS$3&gt;TODAY()),"",IF(AND(DS301="",DT301=""),"",N(DT301)-N(DS301)))</f>
        <v/>
      </c>
      <c r="DX301">
        <f>IF(OR(DS$3="",DS$3&gt;TODAY()),"",IF(AND(DV301="",DW301=""),"",N(DW301)-N(DV301)))</f>
        <v/>
      </c>
      <c r="EB301">
        <f>IF(OR(DZ$3="",DZ$3&gt;TODAY()),"",IF(AND(DZ301="",EA301=""),"",N(EA301)-N(DZ301)))</f>
        <v/>
      </c>
      <c r="EE301">
        <f>IF(OR(DZ$3="",DZ$3&gt;TODAY()),"",IF(AND(EC301="",ED301=""),"",N(ED301)-N(EC301)))</f>
        <v/>
      </c>
      <c r="EI301">
        <f>IF(OR(EG$3="",EG$3&gt;TODAY()),"",IF(AND(EG301="",EH301=""),"",N(EH301)-N(EG301)))</f>
        <v/>
      </c>
      <c r="EL301">
        <f>IF(OR(EG$3="",EG$3&gt;TODAY()),"",IF(AND(EJ301="",EK301=""),"",N(EK301)-N(EJ301)))</f>
        <v/>
      </c>
      <c r="EP301">
        <f>IF(OR(EN$3="",EN$3&gt;TODAY()),"",IF(AND(EN301="",EO301=""),"",N(EO301)-N(EN301)))</f>
        <v/>
      </c>
      <c r="ES301">
        <f>IF(OR(EN$3="",EN$3&gt;TODAY()),"",IF(AND(EQ301="",ER301=""),"",N(ER301)-N(EQ301)))</f>
        <v/>
      </c>
      <c r="EW301">
        <f>IF(OR(EU$3="",EU$3&gt;TODAY()),"",IF(AND(EU301="",EV301=""),"",N(EV301)-N(EU301)))</f>
        <v/>
      </c>
      <c r="EZ301">
        <f>IF(OR(EU$3="",EU$3&gt;TODAY()),"",IF(AND(EX301="",EY301=""),"",N(EY301)-N(EX301)))</f>
        <v/>
      </c>
      <c r="FD301">
        <f>IF(OR(FB$3="",FB$3&gt;TODAY()),"",IF(AND(FB301="",FC301=""),"",N(FC301)-N(FB301)))</f>
        <v/>
      </c>
      <c r="FG301">
        <f>IF(OR(FB$3="",FB$3&gt;TODAY()),"",IF(AND(FE301="",FF301=""),"",N(FF301)-N(FE301)))</f>
        <v/>
      </c>
      <c r="FK301">
        <f>IF(OR(FI$3="",FI$3&gt;TODAY()),"",IF(AND(FI301="",FJ301=""),"",N(FJ301)-N(FI301)))</f>
        <v/>
      </c>
      <c r="FN301">
        <f>IF(OR(FI$3="",FI$3&gt;TODAY()),"",IF(AND(FL301="",FM301=""),"",N(FM301)-N(FL301)))</f>
        <v/>
      </c>
      <c r="FR301">
        <f>IF(OR(FP$3="",FP$3&gt;TODAY()),"",IF(AND(FP301="",FQ301=""),"",N(FQ301)-N(FP301)))</f>
        <v/>
      </c>
      <c r="FU301">
        <f>IF(OR(FP$3="",FP$3&gt;TODAY()),"",IF(AND(FS301="",FT301=""),"",N(FT301)-N(FS301)))</f>
        <v/>
      </c>
      <c r="FY301">
        <f>IF(OR(FW$3="",FW$3&gt;TODAY()),"",IF(AND(FW301="",FX301=""),"",N(FX301)-N(FW301)))</f>
        <v/>
      </c>
      <c r="GB301">
        <f>IF(OR(FW$3="",FW$3&gt;TODAY()),"",IF(AND(FZ301="",GA301=""),"",N(GA301)-N(FZ301)))</f>
        <v/>
      </c>
      <c r="GF301">
        <f>IF(OR(GD$3="",GD$3&gt;TODAY()),"",IF(AND(GD301="",GE301=""),"",N(GE301)-N(GD301)))</f>
        <v/>
      </c>
      <c r="GI301">
        <f>IF(OR(GD$3="",GD$3&gt;TODAY()),"",IF(AND(GG301="",GH301=""),"",N(GH301)-N(GG301)))</f>
        <v/>
      </c>
      <c r="GM301">
        <f>IF(OR(GK$3="",GK$3&gt;TODAY()),"",IF(AND(GK301="",GL301=""),"",N(GL301)-N(GK301)))</f>
        <v/>
      </c>
      <c r="GP301">
        <f>IF(OR(GK$3="",GK$3&gt;TODAY()),"",IF(AND(GN301="",GO301=""),"",N(GO301)-N(GN301)))</f>
        <v/>
      </c>
      <c r="GT301">
        <f>IF(OR(GR$3="",GR$3&gt;TODAY()),"",IF(AND(GR301="",GS301=""),"",N(GS301)-N(GR301)))</f>
        <v/>
      </c>
      <c r="GW301">
        <f>IF(OR(GR$3="",GR$3&gt;TODAY()),"",IF(AND(GU301="",GV301=""),"",N(GV301)-N(GU301)))</f>
        <v/>
      </c>
      <c r="HA301">
        <f>IF(OR(GY$3="",GY$3&gt;TODAY()),"",IF(AND(GY301="",GZ301=""),"",N(GZ301)-N(GY301)))</f>
        <v/>
      </c>
      <c r="HD301">
        <f>IF(OR(GY$3="",GY$3&gt;TODAY()),"",IF(AND(HB301="",HC301=""),"",N(HC301)-N(HB301)))</f>
        <v/>
      </c>
      <c r="HH301">
        <f>IF(OR(HF$3="",HF$3&gt;TODAY()),"",IF(AND(HF301="",HG301=""),"",N(HG301)-N(HF301)))</f>
        <v/>
      </c>
      <c r="HK301">
        <f>IF(OR(HF$3="",HF$3&gt;TODAY()),"",IF(AND(HI301="",HJ301=""),"",N(HJ301)-N(HI301)))</f>
        <v/>
      </c>
      <c r="HO301">
        <f>IF(OR(HM$3="",HM$3&gt;TODAY()),"",IF(AND(HM301="",HN301=""),"",N(HN301)-N(HM301)))</f>
        <v/>
      </c>
      <c r="HR301">
        <f>IF(OR(HM$3="",HM$3&gt;TODAY()),"",IF(AND(HP301="",HQ301=""),"",N(HQ301)-N(HP301)))</f>
        <v/>
      </c>
      <c r="HV301">
        <f>IF(OR(HT$3="",HT$3&gt;TODAY()),"",IF(AND(HT301="",HU301=""),"",N(HU301)-N(HT301)))</f>
        <v/>
      </c>
      <c r="HY301">
        <f>IF(OR(HT$3="",HT$3&gt;TODAY()),"",IF(AND(HW301="",HX301=""),"",N(HX301)-N(HW301)))</f>
        <v/>
      </c>
      <c r="IC301">
        <f>IF(OR(IA$3="",IA$3&gt;TODAY()),"",IF(AND(IA301="",IB301=""),"",N(IB301)-N(IA301)))</f>
        <v/>
      </c>
      <c r="IF301">
        <f>IF(OR(IA$3="",IA$3&gt;TODAY()),"",IF(AND(ID301="",IE301=""),"",N(IE301)-N(ID301)))</f>
        <v/>
      </c>
      <c r="IJ301">
        <f>IF(OR(IH$3="",IH$3&gt;TODAY()),"",IF(AND(IH301="",II301=""),"",N(II301)-N(IH301)))</f>
        <v/>
      </c>
      <c r="IM301">
        <f>IF(OR(IH$3="",IH$3&gt;TODAY()),"",IF(AND(IK301="",IL301=""),"",N(IL301)-N(IK301)))</f>
        <v/>
      </c>
    </row>
    <row r="302">
      <c r="A302" s="21" t="n"/>
      <c r="B302" s="21" t="n"/>
      <c r="C302" s="21" t="n"/>
      <c r="D302" s="21" t="n"/>
      <c r="E302" s="21" t="n"/>
      <c r="F302" s="21" t="n"/>
      <c r="G302" s="21" t="n"/>
      <c r="H302" s="21" t="n"/>
      <c r="I302" s="22" t="n"/>
      <c r="J302" s="22" t="n"/>
      <c r="K302" s="23" t="n"/>
      <c r="L302" s="22" t="n"/>
      <c r="M302" s="22" t="n"/>
      <c r="N302" s="21" t="n"/>
      <c r="O302" s="23" t="n"/>
      <c r="P302" s="23" t="n"/>
      <c r="Q302" s="23" t="n"/>
      <c r="R302" s="23" t="n"/>
      <c r="S302" s="22" t="n"/>
      <c r="T302" s="23" t="n"/>
      <c r="U302" s="23" t="n"/>
      <c r="V302" s="24">
        <f>IF(J302&lt;&gt;"",J302,IF(I302&lt;&gt;"",I302,""))</f>
        <v/>
      </c>
      <c r="W302" s="25">
        <f>IF($E302="","",N(O302)+SUMIFS($AF302:$IN302,$AF$4:$IN$4,"SEW_ACT"))</f>
        <v/>
      </c>
      <c r="X302" s="25">
        <f>IF($E302="","",N(P302)+SUMIFS($AF302:$IN302,$AF$4:$IN$4,"WASH_ACT"))</f>
        <v/>
      </c>
      <c r="Y302" s="25">
        <f>IF($E302="","",W302-X302-N(T302)-N(U302))</f>
        <v/>
      </c>
      <c r="Z302" s="25">
        <f>IF($E302="","",IF(N(K302)-X302&lt;=0.02*N(K302),0,N(K302)-X302))</f>
        <v/>
      </c>
      <c r="AA302" s="24">
        <f>IF($E302="","",IF(S302&lt;&gt;"",S302,IF(N(O302)&gt;0,IF(L302&lt;&gt;"",L302,99999),IFERROR(1/(1/_xlfn.MINIFS($AF$3:$IN$3,$AF$4:$IN$4,"SEW_ACT",$AF302:$IN302,"&gt;0")),99999))))</f>
        <v/>
      </c>
      <c r="AB302" s="26">
        <f>IF(OR($E302="",Z302=0,V302=""),"",1+COUNTIFS(Z$8:Z$707,"&gt;0",V$8:V$707,"&lt;"&amp;V302)+COUNTIFS(Z$8:Z$707,"&gt;0",V$8:V$707,V302,AA$8:AA$707,"&lt;"&amp;AA302)+COUNTIFS(Z$8:Z$707,"&gt;0",V$8:V$707,V302,AA$8:AA$707,AA302,E$8:E$707,"&lt;"&amp;$E302))</f>
        <v/>
      </c>
      <c r="AC302" s="24">
        <f>IF(OR($E302="",Z302=0),"",IFERROR(TODAY()+ROUNDUP(Z302/(SUMIFS($AF302:$IN302,$AF$4:$IN$4,"WASH_ACT")/COUNTIFS($AF$4:$IN$4,"WASH_ACT",$AF302:$IN302,"&gt;0")),0),"no output yet"))</f>
        <v/>
      </c>
      <c r="AD302" s="26">
        <f>IF($E302="","",IFERROR(ROUND(MAX(0,SUMIFS($AF302:$IN302,$AF$4:$IN$4,"SEW_PLAN",$AF$3:$IN$3,"&lt;="&amp;TODAY())-SUMIFS($AF302:$IN302,$AF$4:$IN$4,"SEW_ACT",$AF$3:$IN$3,"&lt;="&amp;TODAY())+N(Q302))/(SUMIFS($AF302:$IN302,$AF$4:$IN$4,"SEW_PLAN")/COUNTIFS($AF$4:$IN$4,"SEW_PLAN",$AF302:$IN302,"&gt;0")),1),0))</f>
        <v/>
      </c>
      <c r="AE302" s="26">
        <f>IF($E302="","",IF(AND(Z302&gt;0,OR(AND(M302&lt;&gt;"",TODAY()&gt;M302),AND(V302&lt;&gt;"",V302-TODAY()&lt;=7))),"Yes","No"))</f>
        <v/>
      </c>
      <c r="AH302">
        <f>IF(OR(AF$3="",AF$3&gt;TODAY()),"",IF(AND(AF302="",AG302=""),"",N(AG302)-N(AF302)))</f>
        <v/>
      </c>
      <c r="AK302">
        <f>IF(OR(AF$3="",AF$3&gt;TODAY()),"",IF(AND(AI302="",AJ302=""),"",N(AJ302)-N(AI302)))</f>
        <v/>
      </c>
      <c r="AO302">
        <f>IF(OR(AM$3="",AM$3&gt;TODAY()),"",IF(AND(AM302="",AN302=""),"",N(AN302)-N(AM302)))</f>
        <v/>
      </c>
      <c r="AR302">
        <f>IF(OR(AM$3="",AM$3&gt;TODAY()),"",IF(AND(AP302="",AQ302=""),"",N(AQ302)-N(AP302)))</f>
        <v/>
      </c>
      <c r="AV302">
        <f>IF(OR(AT$3="",AT$3&gt;TODAY()),"",IF(AND(AT302="",AU302=""),"",N(AU302)-N(AT302)))</f>
        <v/>
      </c>
      <c r="AY302">
        <f>IF(OR(AT$3="",AT$3&gt;TODAY()),"",IF(AND(AW302="",AX302=""),"",N(AX302)-N(AW302)))</f>
        <v/>
      </c>
      <c r="BC302">
        <f>IF(OR(BA$3="",BA$3&gt;TODAY()),"",IF(AND(BA302="",BB302=""),"",N(BB302)-N(BA302)))</f>
        <v/>
      </c>
      <c r="BF302">
        <f>IF(OR(BA$3="",BA$3&gt;TODAY()),"",IF(AND(BD302="",BE302=""),"",N(BE302)-N(BD302)))</f>
        <v/>
      </c>
      <c r="BJ302">
        <f>IF(OR(BH$3="",BH$3&gt;TODAY()),"",IF(AND(BH302="",BI302=""),"",N(BI302)-N(BH302)))</f>
        <v/>
      </c>
      <c r="BM302">
        <f>IF(OR(BH$3="",BH$3&gt;TODAY()),"",IF(AND(BK302="",BL302=""),"",N(BL302)-N(BK302)))</f>
        <v/>
      </c>
      <c r="BQ302">
        <f>IF(OR(BO$3="",BO$3&gt;TODAY()),"",IF(AND(BO302="",BP302=""),"",N(BP302)-N(BO302)))</f>
        <v/>
      </c>
      <c r="BT302">
        <f>IF(OR(BO$3="",BO$3&gt;TODAY()),"",IF(AND(BR302="",BS302=""),"",N(BS302)-N(BR302)))</f>
        <v/>
      </c>
      <c r="BX302">
        <f>IF(OR(BV$3="",BV$3&gt;TODAY()),"",IF(AND(BV302="",BW302=""),"",N(BW302)-N(BV302)))</f>
        <v/>
      </c>
      <c r="CA302">
        <f>IF(OR(BV$3="",BV$3&gt;TODAY()),"",IF(AND(BY302="",BZ302=""),"",N(BZ302)-N(BY302)))</f>
        <v/>
      </c>
      <c r="CE302">
        <f>IF(OR(CC$3="",CC$3&gt;TODAY()),"",IF(AND(CC302="",CD302=""),"",N(CD302)-N(CC302)))</f>
        <v/>
      </c>
      <c r="CH302">
        <f>IF(OR(CC$3="",CC$3&gt;TODAY()),"",IF(AND(CF302="",CG302=""),"",N(CG302)-N(CF302)))</f>
        <v/>
      </c>
      <c r="CL302">
        <f>IF(OR(CJ$3="",CJ$3&gt;TODAY()),"",IF(AND(CJ302="",CK302=""),"",N(CK302)-N(CJ302)))</f>
        <v/>
      </c>
      <c r="CO302">
        <f>IF(OR(CJ$3="",CJ$3&gt;TODAY()),"",IF(AND(CM302="",CN302=""),"",N(CN302)-N(CM302)))</f>
        <v/>
      </c>
      <c r="CS302">
        <f>IF(OR(CQ$3="",CQ$3&gt;TODAY()),"",IF(AND(CQ302="",CR302=""),"",N(CR302)-N(CQ302)))</f>
        <v/>
      </c>
      <c r="CV302">
        <f>IF(OR(CQ$3="",CQ$3&gt;TODAY()),"",IF(AND(CT302="",CU302=""),"",N(CU302)-N(CT302)))</f>
        <v/>
      </c>
      <c r="CZ302">
        <f>IF(OR(CX$3="",CX$3&gt;TODAY()),"",IF(AND(CX302="",CY302=""),"",N(CY302)-N(CX302)))</f>
        <v/>
      </c>
      <c r="DC302">
        <f>IF(OR(CX$3="",CX$3&gt;TODAY()),"",IF(AND(DA302="",DB302=""),"",N(DB302)-N(DA302)))</f>
        <v/>
      </c>
      <c r="DG302">
        <f>IF(OR(DE$3="",DE$3&gt;TODAY()),"",IF(AND(DE302="",DF302=""),"",N(DF302)-N(DE302)))</f>
        <v/>
      </c>
      <c r="DJ302">
        <f>IF(OR(DE$3="",DE$3&gt;TODAY()),"",IF(AND(DH302="",DI302=""),"",N(DI302)-N(DH302)))</f>
        <v/>
      </c>
      <c r="DN302">
        <f>IF(OR(DL$3="",DL$3&gt;TODAY()),"",IF(AND(DL302="",DM302=""),"",N(DM302)-N(DL302)))</f>
        <v/>
      </c>
      <c r="DQ302">
        <f>IF(OR(DL$3="",DL$3&gt;TODAY()),"",IF(AND(DO302="",DP302=""),"",N(DP302)-N(DO302)))</f>
        <v/>
      </c>
      <c r="DU302">
        <f>IF(OR(DS$3="",DS$3&gt;TODAY()),"",IF(AND(DS302="",DT302=""),"",N(DT302)-N(DS302)))</f>
        <v/>
      </c>
      <c r="DX302">
        <f>IF(OR(DS$3="",DS$3&gt;TODAY()),"",IF(AND(DV302="",DW302=""),"",N(DW302)-N(DV302)))</f>
        <v/>
      </c>
      <c r="EB302">
        <f>IF(OR(DZ$3="",DZ$3&gt;TODAY()),"",IF(AND(DZ302="",EA302=""),"",N(EA302)-N(DZ302)))</f>
        <v/>
      </c>
      <c r="EE302">
        <f>IF(OR(DZ$3="",DZ$3&gt;TODAY()),"",IF(AND(EC302="",ED302=""),"",N(ED302)-N(EC302)))</f>
        <v/>
      </c>
      <c r="EI302">
        <f>IF(OR(EG$3="",EG$3&gt;TODAY()),"",IF(AND(EG302="",EH302=""),"",N(EH302)-N(EG302)))</f>
        <v/>
      </c>
      <c r="EL302">
        <f>IF(OR(EG$3="",EG$3&gt;TODAY()),"",IF(AND(EJ302="",EK302=""),"",N(EK302)-N(EJ302)))</f>
        <v/>
      </c>
      <c r="EP302">
        <f>IF(OR(EN$3="",EN$3&gt;TODAY()),"",IF(AND(EN302="",EO302=""),"",N(EO302)-N(EN302)))</f>
        <v/>
      </c>
      <c r="ES302">
        <f>IF(OR(EN$3="",EN$3&gt;TODAY()),"",IF(AND(EQ302="",ER302=""),"",N(ER302)-N(EQ302)))</f>
        <v/>
      </c>
      <c r="EW302">
        <f>IF(OR(EU$3="",EU$3&gt;TODAY()),"",IF(AND(EU302="",EV302=""),"",N(EV302)-N(EU302)))</f>
        <v/>
      </c>
      <c r="EZ302">
        <f>IF(OR(EU$3="",EU$3&gt;TODAY()),"",IF(AND(EX302="",EY302=""),"",N(EY302)-N(EX302)))</f>
        <v/>
      </c>
      <c r="FD302">
        <f>IF(OR(FB$3="",FB$3&gt;TODAY()),"",IF(AND(FB302="",FC302=""),"",N(FC302)-N(FB302)))</f>
        <v/>
      </c>
      <c r="FG302">
        <f>IF(OR(FB$3="",FB$3&gt;TODAY()),"",IF(AND(FE302="",FF302=""),"",N(FF302)-N(FE302)))</f>
        <v/>
      </c>
      <c r="FK302">
        <f>IF(OR(FI$3="",FI$3&gt;TODAY()),"",IF(AND(FI302="",FJ302=""),"",N(FJ302)-N(FI302)))</f>
        <v/>
      </c>
      <c r="FN302">
        <f>IF(OR(FI$3="",FI$3&gt;TODAY()),"",IF(AND(FL302="",FM302=""),"",N(FM302)-N(FL302)))</f>
        <v/>
      </c>
      <c r="FR302">
        <f>IF(OR(FP$3="",FP$3&gt;TODAY()),"",IF(AND(FP302="",FQ302=""),"",N(FQ302)-N(FP302)))</f>
        <v/>
      </c>
      <c r="FU302">
        <f>IF(OR(FP$3="",FP$3&gt;TODAY()),"",IF(AND(FS302="",FT302=""),"",N(FT302)-N(FS302)))</f>
        <v/>
      </c>
      <c r="FY302">
        <f>IF(OR(FW$3="",FW$3&gt;TODAY()),"",IF(AND(FW302="",FX302=""),"",N(FX302)-N(FW302)))</f>
        <v/>
      </c>
      <c r="GB302">
        <f>IF(OR(FW$3="",FW$3&gt;TODAY()),"",IF(AND(FZ302="",GA302=""),"",N(GA302)-N(FZ302)))</f>
        <v/>
      </c>
      <c r="GF302">
        <f>IF(OR(GD$3="",GD$3&gt;TODAY()),"",IF(AND(GD302="",GE302=""),"",N(GE302)-N(GD302)))</f>
        <v/>
      </c>
      <c r="GI302">
        <f>IF(OR(GD$3="",GD$3&gt;TODAY()),"",IF(AND(GG302="",GH302=""),"",N(GH302)-N(GG302)))</f>
        <v/>
      </c>
      <c r="GM302">
        <f>IF(OR(GK$3="",GK$3&gt;TODAY()),"",IF(AND(GK302="",GL302=""),"",N(GL302)-N(GK302)))</f>
        <v/>
      </c>
      <c r="GP302">
        <f>IF(OR(GK$3="",GK$3&gt;TODAY()),"",IF(AND(GN302="",GO302=""),"",N(GO302)-N(GN302)))</f>
        <v/>
      </c>
      <c r="GT302">
        <f>IF(OR(GR$3="",GR$3&gt;TODAY()),"",IF(AND(GR302="",GS302=""),"",N(GS302)-N(GR302)))</f>
        <v/>
      </c>
      <c r="GW302">
        <f>IF(OR(GR$3="",GR$3&gt;TODAY()),"",IF(AND(GU302="",GV302=""),"",N(GV302)-N(GU302)))</f>
        <v/>
      </c>
      <c r="HA302">
        <f>IF(OR(GY$3="",GY$3&gt;TODAY()),"",IF(AND(GY302="",GZ302=""),"",N(GZ302)-N(GY302)))</f>
        <v/>
      </c>
      <c r="HD302">
        <f>IF(OR(GY$3="",GY$3&gt;TODAY()),"",IF(AND(HB302="",HC302=""),"",N(HC302)-N(HB302)))</f>
        <v/>
      </c>
      <c r="HH302">
        <f>IF(OR(HF$3="",HF$3&gt;TODAY()),"",IF(AND(HF302="",HG302=""),"",N(HG302)-N(HF302)))</f>
        <v/>
      </c>
      <c r="HK302">
        <f>IF(OR(HF$3="",HF$3&gt;TODAY()),"",IF(AND(HI302="",HJ302=""),"",N(HJ302)-N(HI302)))</f>
        <v/>
      </c>
      <c r="HO302">
        <f>IF(OR(HM$3="",HM$3&gt;TODAY()),"",IF(AND(HM302="",HN302=""),"",N(HN302)-N(HM302)))</f>
        <v/>
      </c>
      <c r="HR302">
        <f>IF(OR(HM$3="",HM$3&gt;TODAY()),"",IF(AND(HP302="",HQ302=""),"",N(HQ302)-N(HP302)))</f>
        <v/>
      </c>
      <c r="HV302">
        <f>IF(OR(HT$3="",HT$3&gt;TODAY()),"",IF(AND(HT302="",HU302=""),"",N(HU302)-N(HT302)))</f>
        <v/>
      </c>
      <c r="HY302">
        <f>IF(OR(HT$3="",HT$3&gt;TODAY()),"",IF(AND(HW302="",HX302=""),"",N(HX302)-N(HW302)))</f>
        <v/>
      </c>
      <c r="IC302">
        <f>IF(OR(IA$3="",IA$3&gt;TODAY()),"",IF(AND(IA302="",IB302=""),"",N(IB302)-N(IA302)))</f>
        <v/>
      </c>
      <c r="IF302">
        <f>IF(OR(IA$3="",IA$3&gt;TODAY()),"",IF(AND(ID302="",IE302=""),"",N(IE302)-N(ID302)))</f>
        <v/>
      </c>
      <c r="IJ302">
        <f>IF(OR(IH$3="",IH$3&gt;TODAY()),"",IF(AND(IH302="",II302=""),"",N(II302)-N(IH302)))</f>
        <v/>
      </c>
      <c r="IM302">
        <f>IF(OR(IH$3="",IH$3&gt;TODAY()),"",IF(AND(IK302="",IL302=""),"",N(IL302)-N(IK302)))</f>
        <v/>
      </c>
    </row>
    <row r="303">
      <c r="A303" s="21" t="n"/>
      <c r="B303" s="21" t="n"/>
      <c r="C303" s="21" t="n"/>
      <c r="D303" s="21" t="n"/>
      <c r="E303" s="21" t="n"/>
      <c r="F303" s="21" t="n"/>
      <c r="G303" s="21" t="n"/>
      <c r="H303" s="21" t="n"/>
      <c r="I303" s="22" t="n"/>
      <c r="J303" s="22" t="n"/>
      <c r="K303" s="23" t="n"/>
      <c r="L303" s="22" t="n"/>
      <c r="M303" s="22" t="n"/>
      <c r="N303" s="21" t="n"/>
      <c r="O303" s="23" t="n"/>
      <c r="P303" s="23" t="n"/>
      <c r="Q303" s="23" t="n"/>
      <c r="R303" s="23" t="n"/>
      <c r="S303" s="22" t="n"/>
      <c r="T303" s="23" t="n"/>
      <c r="U303" s="23" t="n"/>
      <c r="V303" s="24">
        <f>IF(J303&lt;&gt;"",J303,IF(I303&lt;&gt;"",I303,""))</f>
        <v/>
      </c>
      <c r="W303" s="25">
        <f>IF($E303="","",N(O303)+SUMIFS($AF303:$IN303,$AF$4:$IN$4,"SEW_ACT"))</f>
        <v/>
      </c>
      <c r="X303" s="25">
        <f>IF($E303="","",N(P303)+SUMIFS($AF303:$IN303,$AF$4:$IN$4,"WASH_ACT"))</f>
        <v/>
      </c>
      <c r="Y303" s="25">
        <f>IF($E303="","",W303-X303-N(T303)-N(U303))</f>
        <v/>
      </c>
      <c r="Z303" s="25">
        <f>IF($E303="","",IF(N(K303)-X303&lt;=0.02*N(K303),0,N(K303)-X303))</f>
        <v/>
      </c>
      <c r="AA303" s="24">
        <f>IF($E303="","",IF(S303&lt;&gt;"",S303,IF(N(O303)&gt;0,IF(L303&lt;&gt;"",L303,99999),IFERROR(1/(1/_xlfn.MINIFS($AF$3:$IN$3,$AF$4:$IN$4,"SEW_ACT",$AF303:$IN303,"&gt;0")),99999))))</f>
        <v/>
      </c>
      <c r="AB303" s="26">
        <f>IF(OR($E303="",Z303=0,V303=""),"",1+COUNTIFS(Z$8:Z$707,"&gt;0",V$8:V$707,"&lt;"&amp;V303)+COUNTIFS(Z$8:Z$707,"&gt;0",V$8:V$707,V303,AA$8:AA$707,"&lt;"&amp;AA303)+COUNTIFS(Z$8:Z$707,"&gt;0",V$8:V$707,V303,AA$8:AA$707,AA303,E$8:E$707,"&lt;"&amp;$E303))</f>
        <v/>
      </c>
      <c r="AC303" s="24">
        <f>IF(OR($E303="",Z303=0),"",IFERROR(TODAY()+ROUNDUP(Z303/(SUMIFS($AF303:$IN303,$AF$4:$IN$4,"WASH_ACT")/COUNTIFS($AF$4:$IN$4,"WASH_ACT",$AF303:$IN303,"&gt;0")),0),"no output yet"))</f>
        <v/>
      </c>
      <c r="AD303" s="26">
        <f>IF($E303="","",IFERROR(ROUND(MAX(0,SUMIFS($AF303:$IN303,$AF$4:$IN$4,"SEW_PLAN",$AF$3:$IN$3,"&lt;="&amp;TODAY())-SUMIFS($AF303:$IN303,$AF$4:$IN$4,"SEW_ACT",$AF$3:$IN$3,"&lt;="&amp;TODAY())+N(Q303))/(SUMIFS($AF303:$IN303,$AF$4:$IN$4,"SEW_PLAN")/COUNTIFS($AF$4:$IN$4,"SEW_PLAN",$AF303:$IN303,"&gt;0")),1),0))</f>
        <v/>
      </c>
      <c r="AE303" s="26">
        <f>IF($E303="","",IF(AND(Z303&gt;0,OR(AND(M303&lt;&gt;"",TODAY()&gt;M303),AND(V303&lt;&gt;"",V303-TODAY()&lt;=7))),"Yes","No"))</f>
        <v/>
      </c>
      <c r="AH303">
        <f>IF(OR(AF$3="",AF$3&gt;TODAY()),"",IF(AND(AF303="",AG303=""),"",N(AG303)-N(AF303)))</f>
        <v/>
      </c>
      <c r="AK303">
        <f>IF(OR(AF$3="",AF$3&gt;TODAY()),"",IF(AND(AI303="",AJ303=""),"",N(AJ303)-N(AI303)))</f>
        <v/>
      </c>
      <c r="AO303">
        <f>IF(OR(AM$3="",AM$3&gt;TODAY()),"",IF(AND(AM303="",AN303=""),"",N(AN303)-N(AM303)))</f>
        <v/>
      </c>
      <c r="AR303">
        <f>IF(OR(AM$3="",AM$3&gt;TODAY()),"",IF(AND(AP303="",AQ303=""),"",N(AQ303)-N(AP303)))</f>
        <v/>
      </c>
      <c r="AV303">
        <f>IF(OR(AT$3="",AT$3&gt;TODAY()),"",IF(AND(AT303="",AU303=""),"",N(AU303)-N(AT303)))</f>
        <v/>
      </c>
      <c r="AY303">
        <f>IF(OR(AT$3="",AT$3&gt;TODAY()),"",IF(AND(AW303="",AX303=""),"",N(AX303)-N(AW303)))</f>
        <v/>
      </c>
      <c r="BC303">
        <f>IF(OR(BA$3="",BA$3&gt;TODAY()),"",IF(AND(BA303="",BB303=""),"",N(BB303)-N(BA303)))</f>
        <v/>
      </c>
      <c r="BF303">
        <f>IF(OR(BA$3="",BA$3&gt;TODAY()),"",IF(AND(BD303="",BE303=""),"",N(BE303)-N(BD303)))</f>
        <v/>
      </c>
      <c r="BJ303">
        <f>IF(OR(BH$3="",BH$3&gt;TODAY()),"",IF(AND(BH303="",BI303=""),"",N(BI303)-N(BH303)))</f>
        <v/>
      </c>
      <c r="BM303">
        <f>IF(OR(BH$3="",BH$3&gt;TODAY()),"",IF(AND(BK303="",BL303=""),"",N(BL303)-N(BK303)))</f>
        <v/>
      </c>
      <c r="BQ303">
        <f>IF(OR(BO$3="",BO$3&gt;TODAY()),"",IF(AND(BO303="",BP303=""),"",N(BP303)-N(BO303)))</f>
        <v/>
      </c>
      <c r="BT303">
        <f>IF(OR(BO$3="",BO$3&gt;TODAY()),"",IF(AND(BR303="",BS303=""),"",N(BS303)-N(BR303)))</f>
        <v/>
      </c>
      <c r="BX303">
        <f>IF(OR(BV$3="",BV$3&gt;TODAY()),"",IF(AND(BV303="",BW303=""),"",N(BW303)-N(BV303)))</f>
        <v/>
      </c>
      <c r="CA303">
        <f>IF(OR(BV$3="",BV$3&gt;TODAY()),"",IF(AND(BY303="",BZ303=""),"",N(BZ303)-N(BY303)))</f>
        <v/>
      </c>
      <c r="CE303">
        <f>IF(OR(CC$3="",CC$3&gt;TODAY()),"",IF(AND(CC303="",CD303=""),"",N(CD303)-N(CC303)))</f>
        <v/>
      </c>
      <c r="CH303">
        <f>IF(OR(CC$3="",CC$3&gt;TODAY()),"",IF(AND(CF303="",CG303=""),"",N(CG303)-N(CF303)))</f>
        <v/>
      </c>
      <c r="CL303">
        <f>IF(OR(CJ$3="",CJ$3&gt;TODAY()),"",IF(AND(CJ303="",CK303=""),"",N(CK303)-N(CJ303)))</f>
        <v/>
      </c>
      <c r="CO303">
        <f>IF(OR(CJ$3="",CJ$3&gt;TODAY()),"",IF(AND(CM303="",CN303=""),"",N(CN303)-N(CM303)))</f>
        <v/>
      </c>
      <c r="CS303">
        <f>IF(OR(CQ$3="",CQ$3&gt;TODAY()),"",IF(AND(CQ303="",CR303=""),"",N(CR303)-N(CQ303)))</f>
        <v/>
      </c>
      <c r="CV303">
        <f>IF(OR(CQ$3="",CQ$3&gt;TODAY()),"",IF(AND(CT303="",CU303=""),"",N(CU303)-N(CT303)))</f>
        <v/>
      </c>
      <c r="CZ303">
        <f>IF(OR(CX$3="",CX$3&gt;TODAY()),"",IF(AND(CX303="",CY303=""),"",N(CY303)-N(CX303)))</f>
        <v/>
      </c>
      <c r="DC303">
        <f>IF(OR(CX$3="",CX$3&gt;TODAY()),"",IF(AND(DA303="",DB303=""),"",N(DB303)-N(DA303)))</f>
        <v/>
      </c>
      <c r="DG303">
        <f>IF(OR(DE$3="",DE$3&gt;TODAY()),"",IF(AND(DE303="",DF303=""),"",N(DF303)-N(DE303)))</f>
        <v/>
      </c>
      <c r="DJ303">
        <f>IF(OR(DE$3="",DE$3&gt;TODAY()),"",IF(AND(DH303="",DI303=""),"",N(DI303)-N(DH303)))</f>
        <v/>
      </c>
      <c r="DN303">
        <f>IF(OR(DL$3="",DL$3&gt;TODAY()),"",IF(AND(DL303="",DM303=""),"",N(DM303)-N(DL303)))</f>
        <v/>
      </c>
      <c r="DQ303">
        <f>IF(OR(DL$3="",DL$3&gt;TODAY()),"",IF(AND(DO303="",DP303=""),"",N(DP303)-N(DO303)))</f>
        <v/>
      </c>
      <c r="DU303">
        <f>IF(OR(DS$3="",DS$3&gt;TODAY()),"",IF(AND(DS303="",DT303=""),"",N(DT303)-N(DS303)))</f>
        <v/>
      </c>
      <c r="DX303">
        <f>IF(OR(DS$3="",DS$3&gt;TODAY()),"",IF(AND(DV303="",DW303=""),"",N(DW303)-N(DV303)))</f>
        <v/>
      </c>
      <c r="EB303">
        <f>IF(OR(DZ$3="",DZ$3&gt;TODAY()),"",IF(AND(DZ303="",EA303=""),"",N(EA303)-N(DZ303)))</f>
        <v/>
      </c>
      <c r="EE303">
        <f>IF(OR(DZ$3="",DZ$3&gt;TODAY()),"",IF(AND(EC303="",ED303=""),"",N(ED303)-N(EC303)))</f>
        <v/>
      </c>
      <c r="EI303">
        <f>IF(OR(EG$3="",EG$3&gt;TODAY()),"",IF(AND(EG303="",EH303=""),"",N(EH303)-N(EG303)))</f>
        <v/>
      </c>
      <c r="EL303">
        <f>IF(OR(EG$3="",EG$3&gt;TODAY()),"",IF(AND(EJ303="",EK303=""),"",N(EK303)-N(EJ303)))</f>
        <v/>
      </c>
      <c r="EP303">
        <f>IF(OR(EN$3="",EN$3&gt;TODAY()),"",IF(AND(EN303="",EO303=""),"",N(EO303)-N(EN303)))</f>
        <v/>
      </c>
      <c r="ES303">
        <f>IF(OR(EN$3="",EN$3&gt;TODAY()),"",IF(AND(EQ303="",ER303=""),"",N(ER303)-N(EQ303)))</f>
        <v/>
      </c>
      <c r="EW303">
        <f>IF(OR(EU$3="",EU$3&gt;TODAY()),"",IF(AND(EU303="",EV303=""),"",N(EV303)-N(EU303)))</f>
        <v/>
      </c>
      <c r="EZ303">
        <f>IF(OR(EU$3="",EU$3&gt;TODAY()),"",IF(AND(EX303="",EY303=""),"",N(EY303)-N(EX303)))</f>
        <v/>
      </c>
      <c r="FD303">
        <f>IF(OR(FB$3="",FB$3&gt;TODAY()),"",IF(AND(FB303="",FC303=""),"",N(FC303)-N(FB303)))</f>
        <v/>
      </c>
      <c r="FG303">
        <f>IF(OR(FB$3="",FB$3&gt;TODAY()),"",IF(AND(FE303="",FF303=""),"",N(FF303)-N(FE303)))</f>
        <v/>
      </c>
      <c r="FK303">
        <f>IF(OR(FI$3="",FI$3&gt;TODAY()),"",IF(AND(FI303="",FJ303=""),"",N(FJ303)-N(FI303)))</f>
        <v/>
      </c>
      <c r="FN303">
        <f>IF(OR(FI$3="",FI$3&gt;TODAY()),"",IF(AND(FL303="",FM303=""),"",N(FM303)-N(FL303)))</f>
        <v/>
      </c>
      <c r="FR303">
        <f>IF(OR(FP$3="",FP$3&gt;TODAY()),"",IF(AND(FP303="",FQ303=""),"",N(FQ303)-N(FP303)))</f>
        <v/>
      </c>
      <c r="FU303">
        <f>IF(OR(FP$3="",FP$3&gt;TODAY()),"",IF(AND(FS303="",FT303=""),"",N(FT303)-N(FS303)))</f>
        <v/>
      </c>
      <c r="FY303">
        <f>IF(OR(FW$3="",FW$3&gt;TODAY()),"",IF(AND(FW303="",FX303=""),"",N(FX303)-N(FW303)))</f>
        <v/>
      </c>
      <c r="GB303">
        <f>IF(OR(FW$3="",FW$3&gt;TODAY()),"",IF(AND(FZ303="",GA303=""),"",N(GA303)-N(FZ303)))</f>
        <v/>
      </c>
      <c r="GF303">
        <f>IF(OR(GD$3="",GD$3&gt;TODAY()),"",IF(AND(GD303="",GE303=""),"",N(GE303)-N(GD303)))</f>
        <v/>
      </c>
      <c r="GI303">
        <f>IF(OR(GD$3="",GD$3&gt;TODAY()),"",IF(AND(GG303="",GH303=""),"",N(GH303)-N(GG303)))</f>
        <v/>
      </c>
      <c r="GM303">
        <f>IF(OR(GK$3="",GK$3&gt;TODAY()),"",IF(AND(GK303="",GL303=""),"",N(GL303)-N(GK303)))</f>
        <v/>
      </c>
      <c r="GP303">
        <f>IF(OR(GK$3="",GK$3&gt;TODAY()),"",IF(AND(GN303="",GO303=""),"",N(GO303)-N(GN303)))</f>
        <v/>
      </c>
      <c r="GT303">
        <f>IF(OR(GR$3="",GR$3&gt;TODAY()),"",IF(AND(GR303="",GS303=""),"",N(GS303)-N(GR303)))</f>
        <v/>
      </c>
      <c r="GW303">
        <f>IF(OR(GR$3="",GR$3&gt;TODAY()),"",IF(AND(GU303="",GV303=""),"",N(GV303)-N(GU303)))</f>
        <v/>
      </c>
      <c r="HA303">
        <f>IF(OR(GY$3="",GY$3&gt;TODAY()),"",IF(AND(GY303="",GZ303=""),"",N(GZ303)-N(GY303)))</f>
        <v/>
      </c>
      <c r="HD303">
        <f>IF(OR(GY$3="",GY$3&gt;TODAY()),"",IF(AND(HB303="",HC303=""),"",N(HC303)-N(HB303)))</f>
        <v/>
      </c>
      <c r="HH303">
        <f>IF(OR(HF$3="",HF$3&gt;TODAY()),"",IF(AND(HF303="",HG303=""),"",N(HG303)-N(HF303)))</f>
        <v/>
      </c>
      <c r="HK303">
        <f>IF(OR(HF$3="",HF$3&gt;TODAY()),"",IF(AND(HI303="",HJ303=""),"",N(HJ303)-N(HI303)))</f>
        <v/>
      </c>
      <c r="HO303">
        <f>IF(OR(HM$3="",HM$3&gt;TODAY()),"",IF(AND(HM303="",HN303=""),"",N(HN303)-N(HM303)))</f>
        <v/>
      </c>
      <c r="HR303">
        <f>IF(OR(HM$3="",HM$3&gt;TODAY()),"",IF(AND(HP303="",HQ303=""),"",N(HQ303)-N(HP303)))</f>
        <v/>
      </c>
      <c r="HV303">
        <f>IF(OR(HT$3="",HT$3&gt;TODAY()),"",IF(AND(HT303="",HU303=""),"",N(HU303)-N(HT303)))</f>
        <v/>
      </c>
      <c r="HY303">
        <f>IF(OR(HT$3="",HT$3&gt;TODAY()),"",IF(AND(HW303="",HX303=""),"",N(HX303)-N(HW303)))</f>
        <v/>
      </c>
      <c r="IC303">
        <f>IF(OR(IA$3="",IA$3&gt;TODAY()),"",IF(AND(IA303="",IB303=""),"",N(IB303)-N(IA303)))</f>
        <v/>
      </c>
      <c r="IF303">
        <f>IF(OR(IA$3="",IA$3&gt;TODAY()),"",IF(AND(ID303="",IE303=""),"",N(IE303)-N(ID303)))</f>
        <v/>
      </c>
      <c r="IJ303">
        <f>IF(OR(IH$3="",IH$3&gt;TODAY()),"",IF(AND(IH303="",II303=""),"",N(II303)-N(IH303)))</f>
        <v/>
      </c>
      <c r="IM303">
        <f>IF(OR(IH$3="",IH$3&gt;TODAY()),"",IF(AND(IK303="",IL303=""),"",N(IL303)-N(IK303)))</f>
        <v/>
      </c>
    </row>
    <row r="304">
      <c r="A304" s="21" t="n"/>
      <c r="B304" s="21" t="n"/>
      <c r="C304" s="21" t="n"/>
      <c r="D304" s="21" t="n"/>
      <c r="E304" s="21" t="n"/>
      <c r="F304" s="21" t="n"/>
      <c r="G304" s="21" t="n"/>
      <c r="H304" s="21" t="n"/>
      <c r="I304" s="22" t="n"/>
      <c r="J304" s="22" t="n"/>
      <c r="K304" s="23" t="n"/>
      <c r="L304" s="22" t="n"/>
      <c r="M304" s="22" t="n"/>
      <c r="N304" s="21" t="n"/>
      <c r="O304" s="23" t="n"/>
      <c r="P304" s="23" t="n"/>
      <c r="Q304" s="23" t="n"/>
      <c r="R304" s="23" t="n"/>
      <c r="S304" s="22" t="n"/>
      <c r="T304" s="23" t="n"/>
      <c r="U304" s="23" t="n"/>
      <c r="V304" s="24">
        <f>IF(J304&lt;&gt;"",J304,IF(I304&lt;&gt;"",I304,""))</f>
        <v/>
      </c>
      <c r="W304" s="25">
        <f>IF($E304="","",N(O304)+SUMIFS($AF304:$IN304,$AF$4:$IN$4,"SEW_ACT"))</f>
        <v/>
      </c>
      <c r="X304" s="25">
        <f>IF($E304="","",N(P304)+SUMIFS($AF304:$IN304,$AF$4:$IN$4,"WASH_ACT"))</f>
        <v/>
      </c>
      <c r="Y304" s="25">
        <f>IF($E304="","",W304-X304-N(T304)-N(U304))</f>
        <v/>
      </c>
      <c r="Z304" s="25">
        <f>IF($E304="","",IF(N(K304)-X304&lt;=0.02*N(K304),0,N(K304)-X304))</f>
        <v/>
      </c>
      <c r="AA304" s="24">
        <f>IF($E304="","",IF(S304&lt;&gt;"",S304,IF(N(O304)&gt;0,IF(L304&lt;&gt;"",L304,99999),IFERROR(1/(1/_xlfn.MINIFS($AF$3:$IN$3,$AF$4:$IN$4,"SEW_ACT",$AF304:$IN304,"&gt;0")),99999))))</f>
        <v/>
      </c>
      <c r="AB304" s="26">
        <f>IF(OR($E304="",Z304=0,V304=""),"",1+COUNTIFS(Z$8:Z$707,"&gt;0",V$8:V$707,"&lt;"&amp;V304)+COUNTIFS(Z$8:Z$707,"&gt;0",V$8:V$707,V304,AA$8:AA$707,"&lt;"&amp;AA304)+COUNTIFS(Z$8:Z$707,"&gt;0",V$8:V$707,V304,AA$8:AA$707,AA304,E$8:E$707,"&lt;"&amp;$E304))</f>
        <v/>
      </c>
      <c r="AC304" s="24">
        <f>IF(OR($E304="",Z304=0),"",IFERROR(TODAY()+ROUNDUP(Z304/(SUMIFS($AF304:$IN304,$AF$4:$IN$4,"WASH_ACT")/COUNTIFS($AF$4:$IN$4,"WASH_ACT",$AF304:$IN304,"&gt;0")),0),"no output yet"))</f>
        <v/>
      </c>
      <c r="AD304" s="26">
        <f>IF($E304="","",IFERROR(ROUND(MAX(0,SUMIFS($AF304:$IN304,$AF$4:$IN$4,"SEW_PLAN",$AF$3:$IN$3,"&lt;="&amp;TODAY())-SUMIFS($AF304:$IN304,$AF$4:$IN$4,"SEW_ACT",$AF$3:$IN$3,"&lt;="&amp;TODAY())+N(Q304))/(SUMIFS($AF304:$IN304,$AF$4:$IN$4,"SEW_PLAN")/COUNTIFS($AF$4:$IN$4,"SEW_PLAN",$AF304:$IN304,"&gt;0")),1),0))</f>
        <v/>
      </c>
      <c r="AE304" s="26">
        <f>IF($E304="","",IF(AND(Z304&gt;0,OR(AND(M304&lt;&gt;"",TODAY()&gt;M304),AND(V304&lt;&gt;"",V304-TODAY()&lt;=7))),"Yes","No"))</f>
        <v/>
      </c>
      <c r="AH304">
        <f>IF(OR(AF$3="",AF$3&gt;TODAY()),"",IF(AND(AF304="",AG304=""),"",N(AG304)-N(AF304)))</f>
        <v/>
      </c>
      <c r="AK304">
        <f>IF(OR(AF$3="",AF$3&gt;TODAY()),"",IF(AND(AI304="",AJ304=""),"",N(AJ304)-N(AI304)))</f>
        <v/>
      </c>
      <c r="AO304">
        <f>IF(OR(AM$3="",AM$3&gt;TODAY()),"",IF(AND(AM304="",AN304=""),"",N(AN304)-N(AM304)))</f>
        <v/>
      </c>
      <c r="AR304">
        <f>IF(OR(AM$3="",AM$3&gt;TODAY()),"",IF(AND(AP304="",AQ304=""),"",N(AQ304)-N(AP304)))</f>
        <v/>
      </c>
      <c r="AV304">
        <f>IF(OR(AT$3="",AT$3&gt;TODAY()),"",IF(AND(AT304="",AU304=""),"",N(AU304)-N(AT304)))</f>
        <v/>
      </c>
      <c r="AY304">
        <f>IF(OR(AT$3="",AT$3&gt;TODAY()),"",IF(AND(AW304="",AX304=""),"",N(AX304)-N(AW304)))</f>
        <v/>
      </c>
      <c r="BC304">
        <f>IF(OR(BA$3="",BA$3&gt;TODAY()),"",IF(AND(BA304="",BB304=""),"",N(BB304)-N(BA304)))</f>
        <v/>
      </c>
      <c r="BF304">
        <f>IF(OR(BA$3="",BA$3&gt;TODAY()),"",IF(AND(BD304="",BE304=""),"",N(BE304)-N(BD304)))</f>
        <v/>
      </c>
      <c r="BJ304">
        <f>IF(OR(BH$3="",BH$3&gt;TODAY()),"",IF(AND(BH304="",BI304=""),"",N(BI304)-N(BH304)))</f>
        <v/>
      </c>
      <c r="BM304">
        <f>IF(OR(BH$3="",BH$3&gt;TODAY()),"",IF(AND(BK304="",BL304=""),"",N(BL304)-N(BK304)))</f>
        <v/>
      </c>
      <c r="BQ304">
        <f>IF(OR(BO$3="",BO$3&gt;TODAY()),"",IF(AND(BO304="",BP304=""),"",N(BP304)-N(BO304)))</f>
        <v/>
      </c>
      <c r="BT304">
        <f>IF(OR(BO$3="",BO$3&gt;TODAY()),"",IF(AND(BR304="",BS304=""),"",N(BS304)-N(BR304)))</f>
        <v/>
      </c>
      <c r="BX304">
        <f>IF(OR(BV$3="",BV$3&gt;TODAY()),"",IF(AND(BV304="",BW304=""),"",N(BW304)-N(BV304)))</f>
        <v/>
      </c>
      <c r="CA304">
        <f>IF(OR(BV$3="",BV$3&gt;TODAY()),"",IF(AND(BY304="",BZ304=""),"",N(BZ304)-N(BY304)))</f>
        <v/>
      </c>
      <c r="CE304">
        <f>IF(OR(CC$3="",CC$3&gt;TODAY()),"",IF(AND(CC304="",CD304=""),"",N(CD304)-N(CC304)))</f>
        <v/>
      </c>
      <c r="CH304">
        <f>IF(OR(CC$3="",CC$3&gt;TODAY()),"",IF(AND(CF304="",CG304=""),"",N(CG304)-N(CF304)))</f>
        <v/>
      </c>
      <c r="CL304">
        <f>IF(OR(CJ$3="",CJ$3&gt;TODAY()),"",IF(AND(CJ304="",CK304=""),"",N(CK304)-N(CJ304)))</f>
        <v/>
      </c>
      <c r="CO304">
        <f>IF(OR(CJ$3="",CJ$3&gt;TODAY()),"",IF(AND(CM304="",CN304=""),"",N(CN304)-N(CM304)))</f>
        <v/>
      </c>
      <c r="CS304">
        <f>IF(OR(CQ$3="",CQ$3&gt;TODAY()),"",IF(AND(CQ304="",CR304=""),"",N(CR304)-N(CQ304)))</f>
        <v/>
      </c>
      <c r="CV304">
        <f>IF(OR(CQ$3="",CQ$3&gt;TODAY()),"",IF(AND(CT304="",CU304=""),"",N(CU304)-N(CT304)))</f>
        <v/>
      </c>
      <c r="CZ304">
        <f>IF(OR(CX$3="",CX$3&gt;TODAY()),"",IF(AND(CX304="",CY304=""),"",N(CY304)-N(CX304)))</f>
        <v/>
      </c>
      <c r="DC304">
        <f>IF(OR(CX$3="",CX$3&gt;TODAY()),"",IF(AND(DA304="",DB304=""),"",N(DB304)-N(DA304)))</f>
        <v/>
      </c>
      <c r="DG304">
        <f>IF(OR(DE$3="",DE$3&gt;TODAY()),"",IF(AND(DE304="",DF304=""),"",N(DF304)-N(DE304)))</f>
        <v/>
      </c>
      <c r="DJ304">
        <f>IF(OR(DE$3="",DE$3&gt;TODAY()),"",IF(AND(DH304="",DI304=""),"",N(DI304)-N(DH304)))</f>
        <v/>
      </c>
      <c r="DN304">
        <f>IF(OR(DL$3="",DL$3&gt;TODAY()),"",IF(AND(DL304="",DM304=""),"",N(DM304)-N(DL304)))</f>
        <v/>
      </c>
      <c r="DQ304">
        <f>IF(OR(DL$3="",DL$3&gt;TODAY()),"",IF(AND(DO304="",DP304=""),"",N(DP304)-N(DO304)))</f>
        <v/>
      </c>
      <c r="DU304">
        <f>IF(OR(DS$3="",DS$3&gt;TODAY()),"",IF(AND(DS304="",DT304=""),"",N(DT304)-N(DS304)))</f>
        <v/>
      </c>
      <c r="DX304">
        <f>IF(OR(DS$3="",DS$3&gt;TODAY()),"",IF(AND(DV304="",DW304=""),"",N(DW304)-N(DV304)))</f>
        <v/>
      </c>
      <c r="EB304">
        <f>IF(OR(DZ$3="",DZ$3&gt;TODAY()),"",IF(AND(DZ304="",EA304=""),"",N(EA304)-N(DZ304)))</f>
        <v/>
      </c>
      <c r="EE304">
        <f>IF(OR(DZ$3="",DZ$3&gt;TODAY()),"",IF(AND(EC304="",ED304=""),"",N(ED304)-N(EC304)))</f>
        <v/>
      </c>
      <c r="EI304">
        <f>IF(OR(EG$3="",EG$3&gt;TODAY()),"",IF(AND(EG304="",EH304=""),"",N(EH304)-N(EG304)))</f>
        <v/>
      </c>
      <c r="EL304">
        <f>IF(OR(EG$3="",EG$3&gt;TODAY()),"",IF(AND(EJ304="",EK304=""),"",N(EK304)-N(EJ304)))</f>
        <v/>
      </c>
      <c r="EP304">
        <f>IF(OR(EN$3="",EN$3&gt;TODAY()),"",IF(AND(EN304="",EO304=""),"",N(EO304)-N(EN304)))</f>
        <v/>
      </c>
      <c r="ES304">
        <f>IF(OR(EN$3="",EN$3&gt;TODAY()),"",IF(AND(EQ304="",ER304=""),"",N(ER304)-N(EQ304)))</f>
        <v/>
      </c>
      <c r="EW304">
        <f>IF(OR(EU$3="",EU$3&gt;TODAY()),"",IF(AND(EU304="",EV304=""),"",N(EV304)-N(EU304)))</f>
        <v/>
      </c>
      <c r="EZ304">
        <f>IF(OR(EU$3="",EU$3&gt;TODAY()),"",IF(AND(EX304="",EY304=""),"",N(EY304)-N(EX304)))</f>
        <v/>
      </c>
      <c r="FD304">
        <f>IF(OR(FB$3="",FB$3&gt;TODAY()),"",IF(AND(FB304="",FC304=""),"",N(FC304)-N(FB304)))</f>
        <v/>
      </c>
      <c r="FG304">
        <f>IF(OR(FB$3="",FB$3&gt;TODAY()),"",IF(AND(FE304="",FF304=""),"",N(FF304)-N(FE304)))</f>
        <v/>
      </c>
      <c r="FK304">
        <f>IF(OR(FI$3="",FI$3&gt;TODAY()),"",IF(AND(FI304="",FJ304=""),"",N(FJ304)-N(FI304)))</f>
        <v/>
      </c>
      <c r="FN304">
        <f>IF(OR(FI$3="",FI$3&gt;TODAY()),"",IF(AND(FL304="",FM304=""),"",N(FM304)-N(FL304)))</f>
        <v/>
      </c>
      <c r="FR304">
        <f>IF(OR(FP$3="",FP$3&gt;TODAY()),"",IF(AND(FP304="",FQ304=""),"",N(FQ304)-N(FP304)))</f>
        <v/>
      </c>
      <c r="FU304">
        <f>IF(OR(FP$3="",FP$3&gt;TODAY()),"",IF(AND(FS304="",FT304=""),"",N(FT304)-N(FS304)))</f>
        <v/>
      </c>
      <c r="FY304">
        <f>IF(OR(FW$3="",FW$3&gt;TODAY()),"",IF(AND(FW304="",FX304=""),"",N(FX304)-N(FW304)))</f>
        <v/>
      </c>
      <c r="GB304">
        <f>IF(OR(FW$3="",FW$3&gt;TODAY()),"",IF(AND(FZ304="",GA304=""),"",N(GA304)-N(FZ304)))</f>
        <v/>
      </c>
      <c r="GF304">
        <f>IF(OR(GD$3="",GD$3&gt;TODAY()),"",IF(AND(GD304="",GE304=""),"",N(GE304)-N(GD304)))</f>
        <v/>
      </c>
      <c r="GI304">
        <f>IF(OR(GD$3="",GD$3&gt;TODAY()),"",IF(AND(GG304="",GH304=""),"",N(GH304)-N(GG304)))</f>
        <v/>
      </c>
      <c r="GM304">
        <f>IF(OR(GK$3="",GK$3&gt;TODAY()),"",IF(AND(GK304="",GL304=""),"",N(GL304)-N(GK304)))</f>
        <v/>
      </c>
      <c r="GP304">
        <f>IF(OR(GK$3="",GK$3&gt;TODAY()),"",IF(AND(GN304="",GO304=""),"",N(GO304)-N(GN304)))</f>
        <v/>
      </c>
      <c r="GT304">
        <f>IF(OR(GR$3="",GR$3&gt;TODAY()),"",IF(AND(GR304="",GS304=""),"",N(GS304)-N(GR304)))</f>
        <v/>
      </c>
      <c r="GW304">
        <f>IF(OR(GR$3="",GR$3&gt;TODAY()),"",IF(AND(GU304="",GV304=""),"",N(GV304)-N(GU304)))</f>
        <v/>
      </c>
      <c r="HA304">
        <f>IF(OR(GY$3="",GY$3&gt;TODAY()),"",IF(AND(GY304="",GZ304=""),"",N(GZ304)-N(GY304)))</f>
        <v/>
      </c>
      <c r="HD304">
        <f>IF(OR(GY$3="",GY$3&gt;TODAY()),"",IF(AND(HB304="",HC304=""),"",N(HC304)-N(HB304)))</f>
        <v/>
      </c>
      <c r="HH304">
        <f>IF(OR(HF$3="",HF$3&gt;TODAY()),"",IF(AND(HF304="",HG304=""),"",N(HG304)-N(HF304)))</f>
        <v/>
      </c>
      <c r="HK304">
        <f>IF(OR(HF$3="",HF$3&gt;TODAY()),"",IF(AND(HI304="",HJ304=""),"",N(HJ304)-N(HI304)))</f>
        <v/>
      </c>
      <c r="HO304">
        <f>IF(OR(HM$3="",HM$3&gt;TODAY()),"",IF(AND(HM304="",HN304=""),"",N(HN304)-N(HM304)))</f>
        <v/>
      </c>
      <c r="HR304">
        <f>IF(OR(HM$3="",HM$3&gt;TODAY()),"",IF(AND(HP304="",HQ304=""),"",N(HQ304)-N(HP304)))</f>
        <v/>
      </c>
      <c r="HV304">
        <f>IF(OR(HT$3="",HT$3&gt;TODAY()),"",IF(AND(HT304="",HU304=""),"",N(HU304)-N(HT304)))</f>
        <v/>
      </c>
      <c r="HY304">
        <f>IF(OR(HT$3="",HT$3&gt;TODAY()),"",IF(AND(HW304="",HX304=""),"",N(HX304)-N(HW304)))</f>
        <v/>
      </c>
      <c r="IC304">
        <f>IF(OR(IA$3="",IA$3&gt;TODAY()),"",IF(AND(IA304="",IB304=""),"",N(IB304)-N(IA304)))</f>
        <v/>
      </c>
      <c r="IF304">
        <f>IF(OR(IA$3="",IA$3&gt;TODAY()),"",IF(AND(ID304="",IE304=""),"",N(IE304)-N(ID304)))</f>
        <v/>
      </c>
      <c r="IJ304">
        <f>IF(OR(IH$3="",IH$3&gt;TODAY()),"",IF(AND(IH304="",II304=""),"",N(II304)-N(IH304)))</f>
        <v/>
      </c>
      <c r="IM304">
        <f>IF(OR(IH$3="",IH$3&gt;TODAY()),"",IF(AND(IK304="",IL304=""),"",N(IL304)-N(IK304)))</f>
        <v/>
      </c>
    </row>
    <row r="305">
      <c r="A305" s="21" t="n"/>
      <c r="B305" s="21" t="n"/>
      <c r="C305" s="21" t="n"/>
      <c r="D305" s="21" t="n"/>
      <c r="E305" s="21" t="n"/>
      <c r="F305" s="21" t="n"/>
      <c r="G305" s="21" t="n"/>
      <c r="H305" s="21" t="n"/>
      <c r="I305" s="22" t="n"/>
      <c r="J305" s="22" t="n"/>
      <c r="K305" s="23" t="n"/>
      <c r="L305" s="22" t="n"/>
      <c r="M305" s="22" t="n"/>
      <c r="N305" s="21" t="n"/>
      <c r="O305" s="23" t="n"/>
      <c r="P305" s="23" t="n"/>
      <c r="Q305" s="23" t="n"/>
      <c r="R305" s="23" t="n"/>
      <c r="S305" s="22" t="n"/>
      <c r="T305" s="23" t="n"/>
      <c r="U305" s="23" t="n"/>
      <c r="V305" s="24">
        <f>IF(J305&lt;&gt;"",J305,IF(I305&lt;&gt;"",I305,""))</f>
        <v/>
      </c>
      <c r="W305" s="25">
        <f>IF($E305="","",N(O305)+SUMIFS($AF305:$IN305,$AF$4:$IN$4,"SEW_ACT"))</f>
        <v/>
      </c>
      <c r="X305" s="25">
        <f>IF($E305="","",N(P305)+SUMIFS($AF305:$IN305,$AF$4:$IN$4,"WASH_ACT"))</f>
        <v/>
      </c>
      <c r="Y305" s="25">
        <f>IF($E305="","",W305-X305-N(T305)-N(U305))</f>
        <v/>
      </c>
      <c r="Z305" s="25">
        <f>IF($E305="","",IF(N(K305)-X305&lt;=0.02*N(K305),0,N(K305)-X305))</f>
        <v/>
      </c>
      <c r="AA305" s="24">
        <f>IF($E305="","",IF(S305&lt;&gt;"",S305,IF(N(O305)&gt;0,IF(L305&lt;&gt;"",L305,99999),IFERROR(1/(1/_xlfn.MINIFS($AF$3:$IN$3,$AF$4:$IN$4,"SEW_ACT",$AF305:$IN305,"&gt;0")),99999))))</f>
        <v/>
      </c>
      <c r="AB305" s="26">
        <f>IF(OR($E305="",Z305=0,V305=""),"",1+COUNTIFS(Z$8:Z$707,"&gt;0",V$8:V$707,"&lt;"&amp;V305)+COUNTIFS(Z$8:Z$707,"&gt;0",V$8:V$707,V305,AA$8:AA$707,"&lt;"&amp;AA305)+COUNTIFS(Z$8:Z$707,"&gt;0",V$8:V$707,V305,AA$8:AA$707,AA305,E$8:E$707,"&lt;"&amp;$E305))</f>
        <v/>
      </c>
      <c r="AC305" s="24">
        <f>IF(OR($E305="",Z305=0),"",IFERROR(TODAY()+ROUNDUP(Z305/(SUMIFS($AF305:$IN305,$AF$4:$IN$4,"WASH_ACT")/COUNTIFS($AF$4:$IN$4,"WASH_ACT",$AF305:$IN305,"&gt;0")),0),"no output yet"))</f>
        <v/>
      </c>
      <c r="AD305" s="26">
        <f>IF($E305="","",IFERROR(ROUND(MAX(0,SUMIFS($AF305:$IN305,$AF$4:$IN$4,"SEW_PLAN",$AF$3:$IN$3,"&lt;="&amp;TODAY())-SUMIFS($AF305:$IN305,$AF$4:$IN$4,"SEW_ACT",$AF$3:$IN$3,"&lt;="&amp;TODAY())+N(Q305))/(SUMIFS($AF305:$IN305,$AF$4:$IN$4,"SEW_PLAN")/COUNTIFS($AF$4:$IN$4,"SEW_PLAN",$AF305:$IN305,"&gt;0")),1),0))</f>
        <v/>
      </c>
      <c r="AE305" s="26">
        <f>IF($E305="","",IF(AND(Z305&gt;0,OR(AND(M305&lt;&gt;"",TODAY()&gt;M305),AND(V305&lt;&gt;"",V305-TODAY()&lt;=7))),"Yes","No"))</f>
        <v/>
      </c>
      <c r="AH305">
        <f>IF(OR(AF$3="",AF$3&gt;TODAY()),"",IF(AND(AF305="",AG305=""),"",N(AG305)-N(AF305)))</f>
        <v/>
      </c>
      <c r="AK305">
        <f>IF(OR(AF$3="",AF$3&gt;TODAY()),"",IF(AND(AI305="",AJ305=""),"",N(AJ305)-N(AI305)))</f>
        <v/>
      </c>
      <c r="AO305">
        <f>IF(OR(AM$3="",AM$3&gt;TODAY()),"",IF(AND(AM305="",AN305=""),"",N(AN305)-N(AM305)))</f>
        <v/>
      </c>
      <c r="AR305">
        <f>IF(OR(AM$3="",AM$3&gt;TODAY()),"",IF(AND(AP305="",AQ305=""),"",N(AQ305)-N(AP305)))</f>
        <v/>
      </c>
      <c r="AV305">
        <f>IF(OR(AT$3="",AT$3&gt;TODAY()),"",IF(AND(AT305="",AU305=""),"",N(AU305)-N(AT305)))</f>
        <v/>
      </c>
      <c r="AY305">
        <f>IF(OR(AT$3="",AT$3&gt;TODAY()),"",IF(AND(AW305="",AX305=""),"",N(AX305)-N(AW305)))</f>
        <v/>
      </c>
      <c r="BC305">
        <f>IF(OR(BA$3="",BA$3&gt;TODAY()),"",IF(AND(BA305="",BB305=""),"",N(BB305)-N(BA305)))</f>
        <v/>
      </c>
      <c r="BF305">
        <f>IF(OR(BA$3="",BA$3&gt;TODAY()),"",IF(AND(BD305="",BE305=""),"",N(BE305)-N(BD305)))</f>
        <v/>
      </c>
      <c r="BJ305">
        <f>IF(OR(BH$3="",BH$3&gt;TODAY()),"",IF(AND(BH305="",BI305=""),"",N(BI305)-N(BH305)))</f>
        <v/>
      </c>
      <c r="BM305">
        <f>IF(OR(BH$3="",BH$3&gt;TODAY()),"",IF(AND(BK305="",BL305=""),"",N(BL305)-N(BK305)))</f>
        <v/>
      </c>
      <c r="BQ305">
        <f>IF(OR(BO$3="",BO$3&gt;TODAY()),"",IF(AND(BO305="",BP305=""),"",N(BP305)-N(BO305)))</f>
        <v/>
      </c>
      <c r="BT305">
        <f>IF(OR(BO$3="",BO$3&gt;TODAY()),"",IF(AND(BR305="",BS305=""),"",N(BS305)-N(BR305)))</f>
        <v/>
      </c>
      <c r="BX305">
        <f>IF(OR(BV$3="",BV$3&gt;TODAY()),"",IF(AND(BV305="",BW305=""),"",N(BW305)-N(BV305)))</f>
        <v/>
      </c>
      <c r="CA305">
        <f>IF(OR(BV$3="",BV$3&gt;TODAY()),"",IF(AND(BY305="",BZ305=""),"",N(BZ305)-N(BY305)))</f>
        <v/>
      </c>
      <c r="CE305">
        <f>IF(OR(CC$3="",CC$3&gt;TODAY()),"",IF(AND(CC305="",CD305=""),"",N(CD305)-N(CC305)))</f>
        <v/>
      </c>
      <c r="CH305">
        <f>IF(OR(CC$3="",CC$3&gt;TODAY()),"",IF(AND(CF305="",CG305=""),"",N(CG305)-N(CF305)))</f>
        <v/>
      </c>
      <c r="CL305">
        <f>IF(OR(CJ$3="",CJ$3&gt;TODAY()),"",IF(AND(CJ305="",CK305=""),"",N(CK305)-N(CJ305)))</f>
        <v/>
      </c>
      <c r="CO305">
        <f>IF(OR(CJ$3="",CJ$3&gt;TODAY()),"",IF(AND(CM305="",CN305=""),"",N(CN305)-N(CM305)))</f>
        <v/>
      </c>
      <c r="CS305">
        <f>IF(OR(CQ$3="",CQ$3&gt;TODAY()),"",IF(AND(CQ305="",CR305=""),"",N(CR305)-N(CQ305)))</f>
        <v/>
      </c>
      <c r="CV305">
        <f>IF(OR(CQ$3="",CQ$3&gt;TODAY()),"",IF(AND(CT305="",CU305=""),"",N(CU305)-N(CT305)))</f>
        <v/>
      </c>
      <c r="CZ305">
        <f>IF(OR(CX$3="",CX$3&gt;TODAY()),"",IF(AND(CX305="",CY305=""),"",N(CY305)-N(CX305)))</f>
        <v/>
      </c>
      <c r="DC305">
        <f>IF(OR(CX$3="",CX$3&gt;TODAY()),"",IF(AND(DA305="",DB305=""),"",N(DB305)-N(DA305)))</f>
        <v/>
      </c>
      <c r="DG305">
        <f>IF(OR(DE$3="",DE$3&gt;TODAY()),"",IF(AND(DE305="",DF305=""),"",N(DF305)-N(DE305)))</f>
        <v/>
      </c>
      <c r="DJ305">
        <f>IF(OR(DE$3="",DE$3&gt;TODAY()),"",IF(AND(DH305="",DI305=""),"",N(DI305)-N(DH305)))</f>
        <v/>
      </c>
      <c r="DN305">
        <f>IF(OR(DL$3="",DL$3&gt;TODAY()),"",IF(AND(DL305="",DM305=""),"",N(DM305)-N(DL305)))</f>
        <v/>
      </c>
      <c r="DQ305">
        <f>IF(OR(DL$3="",DL$3&gt;TODAY()),"",IF(AND(DO305="",DP305=""),"",N(DP305)-N(DO305)))</f>
        <v/>
      </c>
      <c r="DU305">
        <f>IF(OR(DS$3="",DS$3&gt;TODAY()),"",IF(AND(DS305="",DT305=""),"",N(DT305)-N(DS305)))</f>
        <v/>
      </c>
      <c r="DX305">
        <f>IF(OR(DS$3="",DS$3&gt;TODAY()),"",IF(AND(DV305="",DW305=""),"",N(DW305)-N(DV305)))</f>
        <v/>
      </c>
      <c r="EB305">
        <f>IF(OR(DZ$3="",DZ$3&gt;TODAY()),"",IF(AND(DZ305="",EA305=""),"",N(EA305)-N(DZ305)))</f>
        <v/>
      </c>
      <c r="EE305">
        <f>IF(OR(DZ$3="",DZ$3&gt;TODAY()),"",IF(AND(EC305="",ED305=""),"",N(ED305)-N(EC305)))</f>
        <v/>
      </c>
      <c r="EI305">
        <f>IF(OR(EG$3="",EG$3&gt;TODAY()),"",IF(AND(EG305="",EH305=""),"",N(EH305)-N(EG305)))</f>
        <v/>
      </c>
      <c r="EL305">
        <f>IF(OR(EG$3="",EG$3&gt;TODAY()),"",IF(AND(EJ305="",EK305=""),"",N(EK305)-N(EJ305)))</f>
        <v/>
      </c>
      <c r="EP305">
        <f>IF(OR(EN$3="",EN$3&gt;TODAY()),"",IF(AND(EN305="",EO305=""),"",N(EO305)-N(EN305)))</f>
        <v/>
      </c>
      <c r="ES305">
        <f>IF(OR(EN$3="",EN$3&gt;TODAY()),"",IF(AND(EQ305="",ER305=""),"",N(ER305)-N(EQ305)))</f>
        <v/>
      </c>
      <c r="EW305">
        <f>IF(OR(EU$3="",EU$3&gt;TODAY()),"",IF(AND(EU305="",EV305=""),"",N(EV305)-N(EU305)))</f>
        <v/>
      </c>
      <c r="EZ305">
        <f>IF(OR(EU$3="",EU$3&gt;TODAY()),"",IF(AND(EX305="",EY305=""),"",N(EY305)-N(EX305)))</f>
        <v/>
      </c>
      <c r="FD305">
        <f>IF(OR(FB$3="",FB$3&gt;TODAY()),"",IF(AND(FB305="",FC305=""),"",N(FC305)-N(FB305)))</f>
        <v/>
      </c>
      <c r="FG305">
        <f>IF(OR(FB$3="",FB$3&gt;TODAY()),"",IF(AND(FE305="",FF305=""),"",N(FF305)-N(FE305)))</f>
        <v/>
      </c>
      <c r="FK305">
        <f>IF(OR(FI$3="",FI$3&gt;TODAY()),"",IF(AND(FI305="",FJ305=""),"",N(FJ305)-N(FI305)))</f>
        <v/>
      </c>
      <c r="FN305">
        <f>IF(OR(FI$3="",FI$3&gt;TODAY()),"",IF(AND(FL305="",FM305=""),"",N(FM305)-N(FL305)))</f>
        <v/>
      </c>
      <c r="FR305">
        <f>IF(OR(FP$3="",FP$3&gt;TODAY()),"",IF(AND(FP305="",FQ305=""),"",N(FQ305)-N(FP305)))</f>
        <v/>
      </c>
      <c r="FU305">
        <f>IF(OR(FP$3="",FP$3&gt;TODAY()),"",IF(AND(FS305="",FT305=""),"",N(FT305)-N(FS305)))</f>
        <v/>
      </c>
      <c r="FY305">
        <f>IF(OR(FW$3="",FW$3&gt;TODAY()),"",IF(AND(FW305="",FX305=""),"",N(FX305)-N(FW305)))</f>
        <v/>
      </c>
      <c r="GB305">
        <f>IF(OR(FW$3="",FW$3&gt;TODAY()),"",IF(AND(FZ305="",GA305=""),"",N(GA305)-N(FZ305)))</f>
        <v/>
      </c>
      <c r="GF305">
        <f>IF(OR(GD$3="",GD$3&gt;TODAY()),"",IF(AND(GD305="",GE305=""),"",N(GE305)-N(GD305)))</f>
        <v/>
      </c>
      <c r="GI305">
        <f>IF(OR(GD$3="",GD$3&gt;TODAY()),"",IF(AND(GG305="",GH305=""),"",N(GH305)-N(GG305)))</f>
        <v/>
      </c>
      <c r="GM305">
        <f>IF(OR(GK$3="",GK$3&gt;TODAY()),"",IF(AND(GK305="",GL305=""),"",N(GL305)-N(GK305)))</f>
        <v/>
      </c>
      <c r="GP305">
        <f>IF(OR(GK$3="",GK$3&gt;TODAY()),"",IF(AND(GN305="",GO305=""),"",N(GO305)-N(GN305)))</f>
        <v/>
      </c>
      <c r="GT305">
        <f>IF(OR(GR$3="",GR$3&gt;TODAY()),"",IF(AND(GR305="",GS305=""),"",N(GS305)-N(GR305)))</f>
        <v/>
      </c>
      <c r="GW305">
        <f>IF(OR(GR$3="",GR$3&gt;TODAY()),"",IF(AND(GU305="",GV305=""),"",N(GV305)-N(GU305)))</f>
        <v/>
      </c>
      <c r="HA305">
        <f>IF(OR(GY$3="",GY$3&gt;TODAY()),"",IF(AND(GY305="",GZ305=""),"",N(GZ305)-N(GY305)))</f>
        <v/>
      </c>
      <c r="HD305">
        <f>IF(OR(GY$3="",GY$3&gt;TODAY()),"",IF(AND(HB305="",HC305=""),"",N(HC305)-N(HB305)))</f>
        <v/>
      </c>
      <c r="HH305">
        <f>IF(OR(HF$3="",HF$3&gt;TODAY()),"",IF(AND(HF305="",HG305=""),"",N(HG305)-N(HF305)))</f>
        <v/>
      </c>
      <c r="HK305">
        <f>IF(OR(HF$3="",HF$3&gt;TODAY()),"",IF(AND(HI305="",HJ305=""),"",N(HJ305)-N(HI305)))</f>
        <v/>
      </c>
      <c r="HO305">
        <f>IF(OR(HM$3="",HM$3&gt;TODAY()),"",IF(AND(HM305="",HN305=""),"",N(HN305)-N(HM305)))</f>
        <v/>
      </c>
      <c r="HR305">
        <f>IF(OR(HM$3="",HM$3&gt;TODAY()),"",IF(AND(HP305="",HQ305=""),"",N(HQ305)-N(HP305)))</f>
        <v/>
      </c>
      <c r="HV305">
        <f>IF(OR(HT$3="",HT$3&gt;TODAY()),"",IF(AND(HT305="",HU305=""),"",N(HU305)-N(HT305)))</f>
        <v/>
      </c>
      <c r="HY305">
        <f>IF(OR(HT$3="",HT$3&gt;TODAY()),"",IF(AND(HW305="",HX305=""),"",N(HX305)-N(HW305)))</f>
        <v/>
      </c>
      <c r="IC305">
        <f>IF(OR(IA$3="",IA$3&gt;TODAY()),"",IF(AND(IA305="",IB305=""),"",N(IB305)-N(IA305)))</f>
        <v/>
      </c>
      <c r="IF305">
        <f>IF(OR(IA$3="",IA$3&gt;TODAY()),"",IF(AND(ID305="",IE305=""),"",N(IE305)-N(ID305)))</f>
        <v/>
      </c>
      <c r="IJ305">
        <f>IF(OR(IH$3="",IH$3&gt;TODAY()),"",IF(AND(IH305="",II305=""),"",N(II305)-N(IH305)))</f>
        <v/>
      </c>
      <c r="IM305">
        <f>IF(OR(IH$3="",IH$3&gt;TODAY()),"",IF(AND(IK305="",IL305=""),"",N(IL305)-N(IK305)))</f>
        <v/>
      </c>
    </row>
    <row r="306">
      <c r="A306" s="21" t="n"/>
      <c r="B306" s="21" t="n"/>
      <c r="C306" s="21" t="n"/>
      <c r="D306" s="21" t="n"/>
      <c r="E306" s="21" t="n"/>
      <c r="F306" s="21" t="n"/>
      <c r="G306" s="21" t="n"/>
      <c r="H306" s="21" t="n"/>
      <c r="I306" s="22" t="n"/>
      <c r="J306" s="22" t="n"/>
      <c r="K306" s="23" t="n"/>
      <c r="L306" s="22" t="n"/>
      <c r="M306" s="22" t="n"/>
      <c r="N306" s="21" t="n"/>
      <c r="O306" s="23" t="n"/>
      <c r="P306" s="23" t="n"/>
      <c r="Q306" s="23" t="n"/>
      <c r="R306" s="23" t="n"/>
      <c r="S306" s="22" t="n"/>
      <c r="T306" s="23" t="n"/>
      <c r="U306" s="23" t="n"/>
      <c r="V306" s="24">
        <f>IF(J306&lt;&gt;"",J306,IF(I306&lt;&gt;"",I306,""))</f>
        <v/>
      </c>
      <c r="W306" s="25">
        <f>IF($E306="","",N(O306)+SUMIFS($AF306:$IN306,$AF$4:$IN$4,"SEW_ACT"))</f>
        <v/>
      </c>
      <c r="X306" s="25">
        <f>IF($E306="","",N(P306)+SUMIFS($AF306:$IN306,$AF$4:$IN$4,"WASH_ACT"))</f>
        <v/>
      </c>
      <c r="Y306" s="25">
        <f>IF($E306="","",W306-X306-N(T306)-N(U306))</f>
        <v/>
      </c>
      <c r="Z306" s="25">
        <f>IF($E306="","",IF(N(K306)-X306&lt;=0.02*N(K306),0,N(K306)-X306))</f>
        <v/>
      </c>
      <c r="AA306" s="24">
        <f>IF($E306="","",IF(S306&lt;&gt;"",S306,IF(N(O306)&gt;0,IF(L306&lt;&gt;"",L306,99999),IFERROR(1/(1/_xlfn.MINIFS($AF$3:$IN$3,$AF$4:$IN$4,"SEW_ACT",$AF306:$IN306,"&gt;0")),99999))))</f>
        <v/>
      </c>
      <c r="AB306" s="26">
        <f>IF(OR($E306="",Z306=0,V306=""),"",1+COUNTIFS(Z$8:Z$707,"&gt;0",V$8:V$707,"&lt;"&amp;V306)+COUNTIFS(Z$8:Z$707,"&gt;0",V$8:V$707,V306,AA$8:AA$707,"&lt;"&amp;AA306)+COUNTIFS(Z$8:Z$707,"&gt;0",V$8:V$707,V306,AA$8:AA$707,AA306,E$8:E$707,"&lt;"&amp;$E306))</f>
        <v/>
      </c>
      <c r="AC306" s="24">
        <f>IF(OR($E306="",Z306=0),"",IFERROR(TODAY()+ROUNDUP(Z306/(SUMIFS($AF306:$IN306,$AF$4:$IN$4,"WASH_ACT")/COUNTIFS($AF$4:$IN$4,"WASH_ACT",$AF306:$IN306,"&gt;0")),0),"no output yet"))</f>
        <v/>
      </c>
      <c r="AD306" s="26">
        <f>IF($E306="","",IFERROR(ROUND(MAX(0,SUMIFS($AF306:$IN306,$AF$4:$IN$4,"SEW_PLAN",$AF$3:$IN$3,"&lt;="&amp;TODAY())-SUMIFS($AF306:$IN306,$AF$4:$IN$4,"SEW_ACT",$AF$3:$IN$3,"&lt;="&amp;TODAY())+N(Q306))/(SUMIFS($AF306:$IN306,$AF$4:$IN$4,"SEW_PLAN")/COUNTIFS($AF$4:$IN$4,"SEW_PLAN",$AF306:$IN306,"&gt;0")),1),0))</f>
        <v/>
      </c>
      <c r="AE306" s="26">
        <f>IF($E306="","",IF(AND(Z306&gt;0,OR(AND(M306&lt;&gt;"",TODAY()&gt;M306),AND(V306&lt;&gt;"",V306-TODAY()&lt;=7))),"Yes","No"))</f>
        <v/>
      </c>
      <c r="AH306">
        <f>IF(OR(AF$3="",AF$3&gt;TODAY()),"",IF(AND(AF306="",AG306=""),"",N(AG306)-N(AF306)))</f>
        <v/>
      </c>
      <c r="AK306">
        <f>IF(OR(AF$3="",AF$3&gt;TODAY()),"",IF(AND(AI306="",AJ306=""),"",N(AJ306)-N(AI306)))</f>
        <v/>
      </c>
      <c r="AO306">
        <f>IF(OR(AM$3="",AM$3&gt;TODAY()),"",IF(AND(AM306="",AN306=""),"",N(AN306)-N(AM306)))</f>
        <v/>
      </c>
      <c r="AR306">
        <f>IF(OR(AM$3="",AM$3&gt;TODAY()),"",IF(AND(AP306="",AQ306=""),"",N(AQ306)-N(AP306)))</f>
        <v/>
      </c>
      <c r="AV306">
        <f>IF(OR(AT$3="",AT$3&gt;TODAY()),"",IF(AND(AT306="",AU306=""),"",N(AU306)-N(AT306)))</f>
        <v/>
      </c>
      <c r="AY306">
        <f>IF(OR(AT$3="",AT$3&gt;TODAY()),"",IF(AND(AW306="",AX306=""),"",N(AX306)-N(AW306)))</f>
        <v/>
      </c>
      <c r="BC306">
        <f>IF(OR(BA$3="",BA$3&gt;TODAY()),"",IF(AND(BA306="",BB306=""),"",N(BB306)-N(BA306)))</f>
        <v/>
      </c>
      <c r="BF306">
        <f>IF(OR(BA$3="",BA$3&gt;TODAY()),"",IF(AND(BD306="",BE306=""),"",N(BE306)-N(BD306)))</f>
        <v/>
      </c>
      <c r="BJ306">
        <f>IF(OR(BH$3="",BH$3&gt;TODAY()),"",IF(AND(BH306="",BI306=""),"",N(BI306)-N(BH306)))</f>
        <v/>
      </c>
      <c r="BM306">
        <f>IF(OR(BH$3="",BH$3&gt;TODAY()),"",IF(AND(BK306="",BL306=""),"",N(BL306)-N(BK306)))</f>
        <v/>
      </c>
      <c r="BQ306">
        <f>IF(OR(BO$3="",BO$3&gt;TODAY()),"",IF(AND(BO306="",BP306=""),"",N(BP306)-N(BO306)))</f>
        <v/>
      </c>
      <c r="BT306">
        <f>IF(OR(BO$3="",BO$3&gt;TODAY()),"",IF(AND(BR306="",BS306=""),"",N(BS306)-N(BR306)))</f>
        <v/>
      </c>
      <c r="BX306">
        <f>IF(OR(BV$3="",BV$3&gt;TODAY()),"",IF(AND(BV306="",BW306=""),"",N(BW306)-N(BV306)))</f>
        <v/>
      </c>
      <c r="CA306">
        <f>IF(OR(BV$3="",BV$3&gt;TODAY()),"",IF(AND(BY306="",BZ306=""),"",N(BZ306)-N(BY306)))</f>
        <v/>
      </c>
      <c r="CE306">
        <f>IF(OR(CC$3="",CC$3&gt;TODAY()),"",IF(AND(CC306="",CD306=""),"",N(CD306)-N(CC306)))</f>
        <v/>
      </c>
      <c r="CH306">
        <f>IF(OR(CC$3="",CC$3&gt;TODAY()),"",IF(AND(CF306="",CG306=""),"",N(CG306)-N(CF306)))</f>
        <v/>
      </c>
      <c r="CL306">
        <f>IF(OR(CJ$3="",CJ$3&gt;TODAY()),"",IF(AND(CJ306="",CK306=""),"",N(CK306)-N(CJ306)))</f>
        <v/>
      </c>
      <c r="CO306">
        <f>IF(OR(CJ$3="",CJ$3&gt;TODAY()),"",IF(AND(CM306="",CN306=""),"",N(CN306)-N(CM306)))</f>
        <v/>
      </c>
      <c r="CS306">
        <f>IF(OR(CQ$3="",CQ$3&gt;TODAY()),"",IF(AND(CQ306="",CR306=""),"",N(CR306)-N(CQ306)))</f>
        <v/>
      </c>
      <c r="CV306">
        <f>IF(OR(CQ$3="",CQ$3&gt;TODAY()),"",IF(AND(CT306="",CU306=""),"",N(CU306)-N(CT306)))</f>
        <v/>
      </c>
      <c r="CZ306">
        <f>IF(OR(CX$3="",CX$3&gt;TODAY()),"",IF(AND(CX306="",CY306=""),"",N(CY306)-N(CX306)))</f>
        <v/>
      </c>
      <c r="DC306">
        <f>IF(OR(CX$3="",CX$3&gt;TODAY()),"",IF(AND(DA306="",DB306=""),"",N(DB306)-N(DA306)))</f>
        <v/>
      </c>
      <c r="DG306">
        <f>IF(OR(DE$3="",DE$3&gt;TODAY()),"",IF(AND(DE306="",DF306=""),"",N(DF306)-N(DE306)))</f>
        <v/>
      </c>
      <c r="DJ306">
        <f>IF(OR(DE$3="",DE$3&gt;TODAY()),"",IF(AND(DH306="",DI306=""),"",N(DI306)-N(DH306)))</f>
        <v/>
      </c>
      <c r="DN306">
        <f>IF(OR(DL$3="",DL$3&gt;TODAY()),"",IF(AND(DL306="",DM306=""),"",N(DM306)-N(DL306)))</f>
        <v/>
      </c>
      <c r="DQ306">
        <f>IF(OR(DL$3="",DL$3&gt;TODAY()),"",IF(AND(DO306="",DP306=""),"",N(DP306)-N(DO306)))</f>
        <v/>
      </c>
      <c r="DU306">
        <f>IF(OR(DS$3="",DS$3&gt;TODAY()),"",IF(AND(DS306="",DT306=""),"",N(DT306)-N(DS306)))</f>
        <v/>
      </c>
      <c r="DX306">
        <f>IF(OR(DS$3="",DS$3&gt;TODAY()),"",IF(AND(DV306="",DW306=""),"",N(DW306)-N(DV306)))</f>
        <v/>
      </c>
      <c r="EB306">
        <f>IF(OR(DZ$3="",DZ$3&gt;TODAY()),"",IF(AND(DZ306="",EA306=""),"",N(EA306)-N(DZ306)))</f>
        <v/>
      </c>
      <c r="EE306">
        <f>IF(OR(DZ$3="",DZ$3&gt;TODAY()),"",IF(AND(EC306="",ED306=""),"",N(ED306)-N(EC306)))</f>
        <v/>
      </c>
      <c r="EI306">
        <f>IF(OR(EG$3="",EG$3&gt;TODAY()),"",IF(AND(EG306="",EH306=""),"",N(EH306)-N(EG306)))</f>
        <v/>
      </c>
      <c r="EL306">
        <f>IF(OR(EG$3="",EG$3&gt;TODAY()),"",IF(AND(EJ306="",EK306=""),"",N(EK306)-N(EJ306)))</f>
        <v/>
      </c>
      <c r="EP306">
        <f>IF(OR(EN$3="",EN$3&gt;TODAY()),"",IF(AND(EN306="",EO306=""),"",N(EO306)-N(EN306)))</f>
        <v/>
      </c>
      <c r="ES306">
        <f>IF(OR(EN$3="",EN$3&gt;TODAY()),"",IF(AND(EQ306="",ER306=""),"",N(ER306)-N(EQ306)))</f>
        <v/>
      </c>
      <c r="EW306">
        <f>IF(OR(EU$3="",EU$3&gt;TODAY()),"",IF(AND(EU306="",EV306=""),"",N(EV306)-N(EU306)))</f>
        <v/>
      </c>
      <c r="EZ306">
        <f>IF(OR(EU$3="",EU$3&gt;TODAY()),"",IF(AND(EX306="",EY306=""),"",N(EY306)-N(EX306)))</f>
        <v/>
      </c>
      <c r="FD306">
        <f>IF(OR(FB$3="",FB$3&gt;TODAY()),"",IF(AND(FB306="",FC306=""),"",N(FC306)-N(FB306)))</f>
        <v/>
      </c>
      <c r="FG306">
        <f>IF(OR(FB$3="",FB$3&gt;TODAY()),"",IF(AND(FE306="",FF306=""),"",N(FF306)-N(FE306)))</f>
        <v/>
      </c>
      <c r="FK306">
        <f>IF(OR(FI$3="",FI$3&gt;TODAY()),"",IF(AND(FI306="",FJ306=""),"",N(FJ306)-N(FI306)))</f>
        <v/>
      </c>
      <c r="FN306">
        <f>IF(OR(FI$3="",FI$3&gt;TODAY()),"",IF(AND(FL306="",FM306=""),"",N(FM306)-N(FL306)))</f>
        <v/>
      </c>
      <c r="FR306">
        <f>IF(OR(FP$3="",FP$3&gt;TODAY()),"",IF(AND(FP306="",FQ306=""),"",N(FQ306)-N(FP306)))</f>
        <v/>
      </c>
      <c r="FU306">
        <f>IF(OR(FP$3="",FP$3&gt;TODAY()),"",IF(AND(FS306="",FT306=""),"",N(FT306)-N(FS306)))</f>
        <v/>
      </c>
      <c r="FY306">
        <f>IF(OR(FW$3="",FW$3&gt;TODAY()),"",IF(AND(FW306="",FX306=""),"",N(FX306)-N(FW306)))</f>
        <v/>
      </c>
      <c r="GB306">
        <f>IF(OR(FW$3="",FW$3&gt;TODAY()),"",IF(AND(FZ306="",GA306=""),"",N(GA306)-N(FZ306)))</f>
        <v/>
      </c>
      <c r="GF306">
        <f>IF(OR(GD$3="",GD$3&gt;TODAY()),"",IF(AND(GD306="",GE306=""),"",N(GE306)-N(GD306)))</f>
        <v/>
      </c>
      <c r="GI306">
        <f>IF(OR(GD$3="",GD$3&gt;TODAY()),"",IF(AND(GG306="",GH306=""),"",N(GH306)-N(GG306)))</f>
        <v/>
      </c>
      <c r="GM306">
        <f>IF(OR(GK$3="",GK$3&gt;TODAY()),"",IF(AND(GK306="",GL306=""),"",N(GL306)-N(GK306)))</f>
        <v/>
      </c>
      <c r="GP306">
        <f>IF(OR(GK$3="",GK$3&gt;TODAY()),"",IF(AND(GN306="",GO306=""),"",N(GO306)-N(GN306)))</f>
        <v/>
      </c>
      <c r="GT306">
        <f>IF(OR(GR$3="",GR$3&gt;TODAY()),"",IF(AND(GR306="",GS306=""),"",N(GS306)-N(GR306)))</f>
        <v/>
      </c>
      <c r="GW306">
        <f>IF(OR(GR$3="",GR$3&gt;TODAY()),"",IF(AND(GU306="",GV306=""),"",N(GV306)-N(GU306)))</f>
        <v/>
      </c>
      <c r="HA306">
        <f>IF(OR(GY$3="",GY$3&gt;TODAY()),"",IF(AND(GY306="",GZ306=""),"",N(GZ306)-N(GY306)))</f>
        <v/>
      </c>
      <c r="HD306">
        <f>IF(OR(GY$3="",GY$3&gt;TODAY()),"",IF(AND(HB306="",HC306=""),"",N(HC306)-N(HB306)))</f>
        <v/>
      </c>
      <c r="HH306">
        <f>IF(OR(HF$3="",HF$3&gt;TODAY()),"",IF(AND(HF306="",HG306=""),"",N(HG306)-N(HF306)))</f>
        <v/>
      </c>
      <c r="HK306">
        <f>IF(OR(HF$3="",HF$3&gt;TODAY()),"",IF(AND(HI306="",HJ306=""),"",N(HJ306)-N(HI306)))</f>
        <v/>
      </c>
      <c r="HO306">
        <f>IF(OR(HM$3="",HM$3&gt;TODAY()),"",IF(AND(HM306="",HN306=""),"",N(HN306)-N(HM306)))</f>
        <v/>
      </c>
      <c r="HR306">
        <f>IF(OR(HM$3="",HM$3&gt;TODAY()),"",IF(AND(HP306="",HQ306=""),"",N(HQ306)-N(HP306)))</f>
        <v/>
      </c>
      <c r="HV306">
        <f>IF(OR(HT$3="",HT$3&gt;TODAY()),"",IF(AND(HT306="",HU306=""),"",N(HU306)-N(HT306)))</f>
        <v/>
      </c>
      <c r="HY306">
        <f>IF(OR(HT$3="",HT$3&gt;TODAY()),"",IF(AND(HW306="",HX306=""),"",N(HX306)-N(HW306)))</f>
        <v/>
      </c>
      <c r="IC306">
        <f>IF(OR(IA$3="",IA$3&gt;TODAY()),"",IF(AND(IA306="",IB306=""),"",N(IB306)-N(IA306)))</f>
        <v/>
      </c>
      <c r="IF306">
        <f>IF(OR(IA$3="",IA$3&gt;TODAY()),"",IF(AND(ID306="",IE306=""),"",N(IE306)-N(ID306)))</f>
        <v/>
      </c>
      <c r="IJ306">
        <f>IF(OR(IH$3="",IH$3&gt;TODAY()),"",IF(AND(IH306="",II306=""),"",N(II306)-N(IH306)))</f>
        <v/>
      </c>
      <c r="IM306">
        <f>IF(OR(IH$3="",IH$3&gt;TODAY()),"",IF(AND(IK306="",IL306=""),"",N(IL306)-N(IK306)))</f>
        <v/>
      </c>
    </row>
    <row r="307">
      <c r="A307" s="21" t="n"/>
      <c r="B307" s="21" t="n"/>
      <c r="C307" s="21" t="n"/>
      <c r="D307" s="21" t="n"/>
      <c r="E307" s="21" t="n"/>
      <c r="F307" s="21" t="n"/>
      <c r="G307" s="21" t="n"/>
      <c r="H307" s="21" t="n"/>
      <c r="I307" s="22" t="n"/>
      <c r="J307" s="22" t="n"/>
      <c r="K307" s="23" t="n"/>
      <c r="L307" s="22" t="n"/>
      <c r="M307" s="22" t="n"/>
      <c r="N307" s="21" t="n"/>
      <c r="O307" s="23" t="n"/>
      <c r="P307" s="23" t="n"/>
      <c r="Q307" s="23" t="n"/>
      <c r="R307" s="23" t="n"/>
      <c r="S307" s="22" t="n"/>
      <c r="T307" s="23" t="n"/>
      <c r="U307" s="23" t="n"/>
      <c r="V307" s="24">
        <f>IF(J307&lt;&gt;"",J307,IF(I307&lt;&gt;"",I307,""))</f>
        <v/>
      </c>
      <c r="W307" s="25">
        <f>IF($E307="","",N(O307)+SUMIFS($AF307:$IN307,$AF$4:$IN$4,"SEW_ACT"))</f>
        <v/>
      </c>
      <c r="X307" s="25">
        <f>IF($E307="","",N(P307)+SUMIFS($AF307:$IN307,$AF$4:$IN$4,"WASH_ACT"))</f>
        <v/>
      </c>
      <c r="Y307" s="25">
        <f>IF($E307="","",W307-X307-N(T307)-N(U307))</f>
        <v/>
      </c>
      <c r="Z307" s="25">
        <f>IF($E307="","",IF(N(K307)-X307&lt;=0.02*N(K307),0,N(K307)-X307))</f>
        <v/>
      </c>
      <c r="AA307" s="24">
        <f>IF($E307="","",IF(S307&lt;&gt;"",S307,IF(N(O307)&gt;0,IF(L307&lt;&gt;"",L307,99999),IFERROR(1/(1/_xlfn.MINIFS($AF$3:$IN$3,$AF$4:$IN$4,"SEW_ACT",$AF307:$IN307,"&gt;0")),99999))))</f>
        <v/>
      </c>
      <c r="AB307" s="26">
        <f>IF(OR($E307="",Z307=0,V307=""),"",1+COUNTIFS(Z$8:Z$707,"&gt;0",V$8:V$707,"&lt;"&amp;V307)+COUNTIFS(Z$8:Z$707,"&gt;0",V$8:V$707,V307,AA$8:AA$707,"&lt;"&amp;AA307)+COUNTIFS(Z$8:Z$707,"&gt;0",V$8:V$707,V307,AA$8:AA$707,AA307,E$8:E$707,"&lt;"&amp;$E307))</f>
        <v/>
      </c>
      <c r="AC307" s="24">
        <f>IF(OR($E307="",Z307=0),"",IFERROR(TODAY()+ROUNDUP(Z307/(SUMIFS($AF307:$IN307,$AF$4:$IN$4,"WASH_ACT")/COUNTIFS($AF$4:$IN$4,"WASH_ACT",$AF307:$IN307,"&gt;0")),0),"no output yet"))</f>
        <v/>
      </c>
      <c r="AD307" s="26">
        <f>IF($E307="","",IFERROR(ROUND(MAX(0,SUMIFS($AF307:$IN307,$AF$4:$IN$4,"SEW_PLAN",$AF$3:$IN$3,"&lt;="&amp;TODAY())-SUMIFS($AF307:$IN307,$AF$4:$IN$4,"SEW_ACT",$AF$3:$IN$3,"&lt;="&amp;TODAY())+N(Q307))/(SUMIFS($AF307:$IN307,$AF$4:$IN$4,"SEW_PLAN")/COUNTIFS($AF$4:$IN$4,"SEW_PLAN",$AF307:$IN307,"&gt;0")),1),0))</f>
        <v/>
      </c>
      <c r="AE307" s="26">
        <f>IF($E307="","",IF(AND(Z307&gt;0,OR(AND(M307&lt;&gt;"",TODAY()&gt;M307),AND(V307&lt;&gt;"",V307-TODAY()&lt;=7))),"Yes","No"))</f>
        <v/>
      </c>
      <c r="AH307">
        <f>IF(OR(AF$3="",AF$3&gt;TODAY()),"",IF(AND(AF307="",AG307=""),"",N(AG307)-N(AF307)))</f>
        <v/>
      </c>
      <c r="AK307">
        <f>IF(OR(AF$3="",AF$3&gt;TODAY()),"",IF(AND(AI307="",AJ307=""),"",N(AJ307)-N(AI307)))</f>
        <v/>
      </c>
      <c r="AO307">
        <f>IF(OR(AM$3="",AM$3&gt;TODAY()),"",IF(AND(AM307="",AN307=""),"",N(AN307)-N(AM307)))</f>
        <v/>
      </c>
      <c r="AR307">
        <f>IF(OR(AM$3="",AM$3&gt;TODAY()),"",IF(AND(AP307="",AQ307=""),"",N(AQ307)-N(AP307)))</f>
        <v/>
      </c>
      <c r="AV307">
        <f>IF(OR(AT$3="",AT$3&gt;TODAY()),"",IF(AND(AT307="",AU307=""),"",N(AU307)-N(AT307)))</f>
        <v/>
      </c>
      <c r="AY307">
        <f>IF(OR(AT$3="",AT$3&gt;TODAY()),"",IF(AND(AW307="",AX307=""),"",N(AX307)-N(AW307)))</f>
        <v/>
      </c>
      <c r="BC307">
        <f>IF(OR(BA$3="",BA$3&gt;TODAY()),"",IF(AND(BA307="",BB307=""),"",N(BB307)-N(BA307)))</f>
        <v/>
      </c>
      <c r="BF307">
        <f>IF(OR(BA$3="",BA$3&gt;TODAY()),"",IF(AND(BD307="",BE307=""),"",N(BE307)-N(BD307)))</f>
        <v/>
      </c>
      <c r="BJ307">
        <f>IF(OR(BH$3="",BH$3&gt;TODAY()),"",IF(AND(BH307="",BI307=""),"",N(BI307)-N(BH307)))</f>
        <v/>
      </c>
      <c r="BM307">
        <f>IF(OR(BH$3="",BH$3&gt;TODAY()),"",IF(AND(BK307="",BL307=""),"",N(BL307)-N(BK307)))</f>
        <v/>
      </c>
      <c r="BQ307">
        <f>IF(OR(BO$3="",BO$3&gt;TODAY()),"",IF(AND(BO307="",BP307=""),"",N(BP307)-N(BO307)))</f>
        <v/>
      </c>
      <c r="BT307">
        <f>IF(OR(BO$3="",BO$3&gt;TODAY()),"",IF(AND(BR307="",BS307=""),"",N(BS307)-N(BR307)))</f>
        <v/>
      </c>
      <c r="BX307">
        <f>IF(OR(BV$3="",BV$3&gt;TODAY()),"",IF(AND(BV307="",BW307=""),"",N(BW307)-N(BV307)))</f>
        <v/>
      </c>
      <c r="CA307">
        <f>IF(OR(BV$3="",BV$3&gt;TODAY()),"",IF(AND(BY307="",BZ307=""),"",N(BZ307)-N(BY307)))</f>
        <v/>
      </c>
      <c r="CE307">
        <f>IF(OR(CC$3="",CC$3&gt;TODAY()),"",IF(AND(CC307="",CD307=""),"",N(CD307)-N(CC307)))</f>
        <v/>
      </c>
      <c r="CH307">
        <f>IF(OR(CC$3="",CC$3&gt;TODAY()),"",IF(AND(CF307="",CG307=""),"",N(CG307)-N(CF307)))</f>
        <v/>
      </c>
      <c r="CL307">
        <f>IF(OR(CJ$3="",CJ$3&gt;TODAY()),"",IF(AND(CJ307="",CK307=""),"",N(CK307)-N(CJ307)))</f>
        <v/>
      </c>
      <c r="CO307">
        <f>IF(OR(CJ$3="",CJ$3&gt;TODAY()),"",IF(AND(CM307="",CN307=""),"",N(CN307)-N(CM307)))</f>
        <v/>
      </c>
      <c r="CS307">
        <f>IF(OR(CQ$3="",CQ$3&gt;TODAY()),"",IF(AND(CQ307="",CR307=""),"",N(CR307)-N(CQ307)))</f>
        <v/>
      </c>
      <c r="CV307">
        <f>IF(OR(CQ$3="",CQ$3&gt;TODAY()),"",IF(AND(CT307="",CU307=""),"",N(CU307)-N(CT307)))</f>
        <v/>
      </c>
      <c r="CZ307">
        <f>IF(OR(CX$3="",CX$3&gt;TODAY()),"",IF(AND(CX307="",CY307=""),"",N(CY307)-N(CX307)))</f>
        <v/>
      </c>
      <c r="DC307">
        <f>IF(OR(CX$3="",CX$3&gt;TODAY()),"",IF(AND(DA307="",DB307=""),"",N(DB307)-N(DA307)))</f>
        <v/>
      </c>
      <c r="DG307">
        <f>IF(OR(DE$3="",DE$3&gt;TODAY()),"",IF(AND(DE307="",DF307=""),"",N(DF307)-N(DE307)))</f>
        <v/>
      </c>
      <c r="DJ307">
        <f>IF(OR(DE$3="",DE$3&gt;TODAY()),"",IF(AND(DH307="",DI307=""),"",N(DI307)-N(DH307)))</f>
        <v/>
      </c>
      <c r="DN307">
        <f>IF(OR(DL$3="",DL$3&gt;TODAY()),"",IF(AND(DL307="",DM307=""),"",N(DM307)-N(DL307)))</f>
        <v/>
      </c>
      <c r="DQ307">
        <f>IF(OR(DL$3="",DL$3&gt;TODAY()),"",IF(AND(DO307="",DP307=""),"",N(DP307)-N(DO307)))</f>
        <v/>
      </c>
      <c r="DU307">
        <f>IF(OR(DS$3="",DS$3&gt;TODAY()),"",IF(AND(DS307="",DT307=""),"",N(DT307)-N(DS307)))</f>
        <v/>
      </c>
      <c r="DX307">
        <f>IF(OR(DS$3="",DS$3&gt;TODAY()),"",IF(AND(DV307="",DW307=""),"",N(DW307)-N(DV307)))</f>
        <v/>
      </c>
      <c r="EB307">
        <f>IF(OR(DZ$3="",DZ$3&gt;TODAY()),"",IF(AND(DZ307="",EA307=""),"",N(EA307)-N(DZ307)))</f>
        <v/>
      </c>
      <c r="EE307">
        <f>IF(OR(DZ$3="",DZ$3&gt;TODAY()),"",IF(AND(EC307="",ED307=""),"",N(ED307)-N(EC307)))</f>
        <v/>
      </c>
      <c r="EI307">
        <f>IF(OR(EG$3="",EG$3&gt;TODAY()),"",IF(AND(EG307="",EH307=""),"",N(EH307)-N(EG307)))</f>
        <v/>
      </c>
      <c r="EL307">
        <f>IF(OR(EG$3="",EG$3&gt;TODAY()),"",IF(AND(EJ307="",EK307=""),"",N(EK307)-N(EJ307)))</f>
        <v/>
      </c>
      <c r="EP307">
        <f>IF(OR(EN$3="",EN$3&gt;TODAY()),"",IF(AND(EN307="",EO307=""),"",N(EO307)-N(EN307)))</f>
        <v/>
      </c>
      <c r="ES307">
        <f>IF(OR(EN$3="",EN$3&gt;TODAY()),"",IF(AND(EQ307="",ER307=""),"",N(ER307)-N(EQ307)))</f>
        <v/>
      </c>
      <c r="EW307">
        <f>IF(OR(EU$3="",EU$3&gt;TODAY()),"",IF(AND(EU307="",EV307=""),"",N(EV307)-N(EU307)))</f>
        <v/>
      </c>
      <c r="EZ307">
        <f>IF(OR(EU$3="",EU$3&gt;TODAY()),"",IF(AND(EX307="",EY307=""),"",N(EY307)-N(EX307)))</f>
        <v/>
      </c>
      <c r="FD307">
        <f>IF(OR(FB$3="",FB$3&gt;TODAY()),"",IF(AND(FB307="",FC307=""),"",N(FC307)-N(FB307)))</f>
        <v/>
      </c>
      <c r="FG307">
        <f>IF(OR(FB$3="",FB$3&gt;TODAY()),"",IF(AND(FE307="",FF307=""),"",N(FF307)-N(FE307)))</f>
        <v/>
      </c>
      <c r="FK307">
        <f>IF(OR(FI$3="",FI$3&gt;TODAY()),"",IF(AND(FI307="",FJ307=""),"",N(FJ307)-N(FI307)))</f>
        <v/>
      </c>
      <c r="FN307">
        <f>IF(OR(FI$3="",FI$3&gt;TODAY()),"",IF(AND(FL307="",FM307=""),"",N(FM307)-N(FL307)))</f>
        <v/>
      </c>
      <c r="FR307">
        <f>IF(OR(FP$3="",FP$3&gt;TODAY()),"",IF(AND(FP307="",FQ307=""),"",N(FQ307)-N(FP307)))</f>
        <v/>
      </c>
      <c r="FU307">
        <f>IF(OR(FP$3="",FP$3&gt;TODAY()),"",IF(AND(FS307="",FT307=""),"",N(FT307)-N(FS307)))</f>
        <v/>
      </c>
      <c r="FY307">
        <f>IF(OR(FW$3="",FW$3&gt;TODAY()),"",IF(AND(FW307="",FX307=""),"",N(FX307)-N(FW307)))</f>
        <v/>
      </c>
      <c r="GB307">
        <f>IF(OR(FW$3="",FW$3&gt;TODAY()),"",IF(AND(FZ307="",GA307=""),"",N(GA307)-N(FZ307)))</f>
        <v/>
      </c>
      <c r="GF307">
        <f>IF(OR(GD$3="",GD$3&gt;TODAY()),"",IF(AND(GD307="",GE307=""),"",N(GE307)-N(GD307)))</f>
        <v/>
      </c>
      <c r="GI307">
        <f>IF(OR(GD$3="",GD$3&gt;TODAY()),"",IF(AND(GG307="",GH307=""),"",N(GH307)-N(GG307)))</f>
        <v/>
      </c>
      <c r="GM307">
        <f>IF(OR(GK$3="",GK$3&gt;TODAY()),"",IF(AND(GK307="",GL307=""),"",N(GL307)-N(GK307)))</f>
        <v/>
      </c>
      <c r="GP307">
        <f>IF(OR(GK$3="",GK$3&gt;TODAY()),"",IF(AND(GN307="",GO307=""),"",N(GO307)-N(GN307)))</f>
        <v/>
      </c>
      <c r="GT307">
        <f>IF(OR(GR$3="",GR$3&gt;TODAY()),"",IF(AND(GR307="",GS307=""),"",N(GS307)-N(GR307)))</f>
        <v/>
      </c>
      <c r="GW307">
        <f>IF(OR(GR$3="",GR$3&gt;TODAY()),"",IF(AND(GU307="",GV307=""),"",N(GV307)-N(GU307)))</f>
        <v/>
      </c>
      <c r="HA307">
        <f>IF(OR(GY$3="",GY$3&gt;TODAY()),"",IF(AND(GY307="",GZ307=""),"",N(GZ307)-N(GY307)))</f>
        <v/>
      </c>
      <c r="HD307">
        <f>IF(OR(GY$3="",GY$3&gt;TODAY()),"",IF(AND(HB307="",HC307=""),"",N(HC307)-N(HB307)))</f>
        <v/>
      </c>
      <c r="HH307">
        <f>IF(OR(HF$3="",HF$3&gt;TODAY()),"",IF(AND(HF307="",HG307=""),"",N(HG307)-N(HF307)))</f>
        <v/>
      </c>
      <c r="HK307">
        <f>IF(OR(HF$3="",HF$3&gt;TODAY()),"",IF(AND(HI307="",HJ307=""),"",N(HJ307)-N(HI307)))</f>
        <v/>
      </c>
      <c r="HO307">
        <f>IF(OR(HM$3="",HM$3&gt;TODAY()),"",IF(AND(HM307="",HN307=""),"",N(HN307)-N(HM307)))</f>
        <v/>
      </c>
      <c r="HR307">
        <f>IF(OR(HM$3="",HM$3&gt;TODAY()),"",IF(AND(HP307="",HQ307=""),"",N(HQ307)-N(HP307)))</f>
        <v/>
      </c>
      <c r="HV307">
        <f>IF(OR(HT$3="",HT$3&gt;TODAY()),"",IF(AND(HT307="",HU307=""),"",N(HU307)-N(HT307)))</f>
        <v/>
      </c>
      <c r="HY307">
        <f>IF(OR(HT$3="",HT$3&gt;TODAY()),"",IF(AND(HW307="",HX307=""),"",N(HX307)-N(HW307)))</f>
        <v/>
      </c>
      <c r="IC307">
        <f>IF(OR(IA$3="",IA$3&gt;TODAY()),"",IF(AND(IA307="",IB307=""),"",N(IB307)-N(IA307)))</f>
        <v/>
      </c>
      <c r="IF307">
        <f>IF(OR(IA$3="",IA$3&gt;TODAY()),"",IF(AND(ID307="",IE307=""),"",N(IE307)-N(ID307)))</f>
        <v/>
      </c>
      <c r="IJ307">
        <f>IF(OR(IH$3="",IH$3&gt;TODAY()),"",IF(AND(IH307="",II307=""),"",N(II307)-N(IH307)))</f>
        <v/>
      </c>
      <c r="IM307">
        <f>IF(OR(IH$3="",IH$3&gt;TODAY()),"",IF(AND(IK307="",IL307=""),"",N(IL307)-N(IK307)))</f>
        <v/>
      </c>
    </row>
    <row r="308">
      <c r="A308" s="21" t="n"/>
      <c r="B308" s="21" t="n"/>
      <c r="C308" s="21" t="n"/>
      <c r="D308" s="21" t="n"/>
      <c r="E308" s="21" t="n"/>
      <c r="F308" s="21" t="n"/>
      <c r="G308" s="21" t="n"/>
      <c r="H308" s="21" t="n"/>
      <c r="I308" s="22" t="n"/>
      <c r="J308" s="22" t="n"/>
      <c r="K308" s="23" t="n"/>
      <c r="L308" s="22" t="n"/>
      <c r="M308" s="22" t="n"/>
      <c r="N308" s="21" t="n"/>
      <c r="O308" s="23" t="n"/>
      <c r="P308" s="23" t="n"/>
      <c r="Q308" s="23" t="n"/>
      <c r="R308" s="23" t="n"/>
      <c r="S308" s="22" t="n"/>
      <c r="T308" s="23" t="n"/>
      <c r="U308" s="23" t="n"/>
      <c r="V308" s="24">
        <f>IF(J308&lt;&gt;"",J308,IF(I308&lt;&gt;"",I308,""))</f>
        <v/>
      </c>
      <c r="W308" s="25">
        <f>IF($E308="","",N(O308)+SUMIFS($AF308:$IN308,$AF$4:$IN$4,"SEW_ACT"))</f>
        <v/>
      </c>
      <c r="X308" s="25">
        <f>IF($E308="","",N(P308)+SUMIFS($AF308:$IN308,$AF$4:$IN$4,"WASH_ACT"))</f>
        <v/>
      </c>
      <c r="Y308" s="25">
        <f>IF($E308="","",W308-X308-N(T308)-N(U308))</f>
        <v/>
      </c>
      <c r="Z308" s="25">
        <f>IF($E308="","",IF(N(K308)-X308&lt;=0.02*N(K308),0,N(K308)-X308))</f>
        <v/>
      </c>
      <c r="AA308" s="24">
        <f>IF($E308="","",IF(S308&lt;&gt;"",S308,IF(N(O308)&gt;0,IF(L308&lt;&gt;"",L308,99999),IFERROR(1/(1/_xlfn.MINIFS($AF$3:$IN$3,$AF$4:$IN$4,"SEW_ACT",$AF308:$IN308,"&gt;0")),99999))))</f>
        <v/>
      </c>
      <c r="AB308" s="26">
        <f>IF(OR($E308="",Z308=0,V308=""),"",1+COUNTIFS(Z$8:Z$707,"&gt;0",V$8:V$707,"&lt;"&amp;V308)+COUNTIFS(Z$8:Z$707,"&gt;0",V$8:V$707,V308,AA$8:AA$707,"&lt;"&amp;AA308)+COUNTIFS(Z$8:Z$707,"&gt;0",V$8:V$707,V308,AA$8:AA$707,AA308,E$8:E$707,"&lt;"&amp;$E308))</f>
        <v/>
      </c>
      <c r="AC308" s="24">
        <f>IF(OR($E308="",Z308=0),"",IFERROR(TODAY()+ROUNDUP(Z308/(SUMIFS($AF308:$IN308,$AF$4:$IN$4,"WASH_ACT")/COUNTIFS($AF$4:$IN$4,"WASH_ACT",$AF308:$IN308,"&gt;0")),0),"no output yet"))</f>
        <v/>
      </c>
      <c r="AD308" s="26">
        <f>IF($E308="","",IFERROR(ROUND(MAX(0,SUMIFS($AF308:$IN308,$AF$4:$IN$4,"SEW_PLAN",$AF$3:$IN$3,"&lt;="&amp;TODAY())-SUMIFS($AF308:$IN308,$AF$4:$IN$4,"SEW_ACT",$AF$3:$IN$3,"&lt;="&amp;TODAY())+N(Q308))/(SUMIFS($AF308:$IN308,$AF$4:$IN$4,"SEW_PLAN")/COUNTIFS($AF$4:$IN$4,"SEW_PLAN",$AF308:$IN308,"&gt;0")),1),0))</f>
        <v/>
      </c>
      <c r="AE308" s="26">
        <f>IF($E308="","",IF(AND(Z308&gt;0,OR(AND(M308&lt;&gt;"",TODAY()&gt;M308),AND(V308&lt;&gt;"",V308-TODAY()&lt;=7))),"Yes","No"))</f>
        <v/>
      </c>
      <c r="AH308">
        <f>IF(OR(AF$3="",AF$3&gt;TODAY()),"",IF(AND(AF308="",AG308=""),"",N(AG308)-N(AF308)))</f>
        <v/>
      </c>
      <c r="AK308">
        <f>IF(OR(AF$3="",AF$3&gt;TODAY()),"",IF(AND(AI308="",AJ308=""),"",N(AJ308)-N(AI308)))</f>
        <v/>
      </c>
      <c r="AO308">
        <f>IF(OR(AM$3="",AM$3&gt;TODAY()),"",IF(AND(AM308="",AN308=""),"",N(AN308)-N(AM308)))</f>
        <v/>
      </c>
      <c r="AR308">
        <f>IF(OR(AM$3="",AM$3&gt;TODAY()),"",IF(AND(AP308="",AQ308=""),"",N(AQ308)-N(AP308)))</f>
        <v/>
      </c>
      <c r="AV308">
        <f>IF(OR(AT$3="",AT$3&gt;TODAY()),"",IF(AND(AT308="",AU308=""),"",N(AU308)-N(AT308)))</f>
        <v/>
      </c>
      <c r="AY308">
        <f>IF(OR(AT$3="",AT$3&gt;TODAY()),"",IF(AND(AW308="",AX308=""),"",N(AX308)-N(AW308)))</f>
        <v/>
      </c>
      <c r="BC308">
        <f>IF(OR(BA$3="",BA$3&gt;TODAY()),"",IF(AND(BA308="",BB308=""),"",N(BB308)-N(BA308)))</f>
        <v/>
      </c>
      <c r="BF308">
        <f>IF(OR(BA$3="",BA$3&gt;TODAY()),"",IF(AND(BD308="",BE308=""),"",N(BE308)-N(BD308)))</f>
        <v/>
      </c>
      <c r="BJ308">
        <f>IF(OR(BH$3="",BH$3&gt;TODAY()),"",IF(AND(BH308="",BI308=""),"",N(BI308)-N(BH308)))</f>
        <v/>
      </c>
      <c r="BM308">
        <f>IF(OR(BH$3="",BH$3&gt;TODAY()),"",IF(AND(BK308="",BL308=""),"",N(BL308)-N(BK308)))</f>
        <v/>
      </c>
      <c r="BQ308">
        <f>IF(OR(BO$3="",BO$3&gt;TODAY()),"",IF(AND(BO308="",BP308=""),"",N(BP308)-N(BO308)))</f>
        <v/>
      </c>
      <c r="BT308">
        <f>IF(OR(BO$3="",BO$3&gt;TODAY()),"",IF(AND(BR308="",BS308=""),"",N(BS308)-N(BR308)))</f>
        <v/>
      </c>
      <c r="BX308">
        <f>IF(OR(BV$3="",BV$3&gt;TODAY()),"",IF(AND(BV308="",BW308=""),"",N(BW308)-N(BV308)))</f>
        <v/>
      </c>
      <c r="CA308">
        <f>IF(OR(BV$3="",BV$3&gt;TODAY()),"",IF(AND(BY308="",BZ308=""),"",N(BZ308)-N(BY308)))</f>
        <v/>
      </c>
      <c r="CE308">
        <f>IF(OR(CC$3="",CC$3&gt;TODAY()),"",IF(AND(CC308="",CD308=""),"",N(CD308)-N(CC308)))</f>
        <v/>
      </c>
      <c r="CH308">
        <f>IF(OR(CC$3="",CC$3&gt;TODAY()),"",IF(AND(CF308="",CG308=""),"",N(CG308)-N(CF308)))</f>
        <v/>
      </c>
      <c r="CL308">
        <f>IF(OR(CJ$3="",CJ$3&gt;TODAY()),"",IF(AND(CJ308="",CK308=""),"",N(CK308)-N(CJ308)))</f>
        <v/>
      </c>
      <c r="CO308">
        <f>IF(OR(CJ$3="",CJ$3&gt;TODAY()),"",IF(AND(CM308="",CN308=""),"",N(CN308)-N(CM308)))</f>
        <v/>
      </c>
      <c r="CS308">
        <f>IF(OR(CQ$3="",CQ$3&gt;TODAY()),"",IF(AND(CQ308="",CR308=""),"",N(CR308)-N(CQ308)))</f>
        <v/>
      </c>
      <c r="CV308">
        <f>IF(OR(CQ$3="",CQ$3&gt;TODAY()),"",IF(AND(CT308="",CU308=""),"",N(CU308)-N(CT308)))</f>
        <v/>
      </c>
      <c r="CZ308">
        <f>IF(OR(CX$3="",CX$3&gt;TODAY()),"",IF(AND(CX308="",CY308=""),"",N(CY308)-N(CX308)))</f>
        <v/>
      </c>
      <c r="DC308">
        <f>IF(OR(CX$3="",CX$3&gt;TODAY()),"",IF(AND(DA308="",DB308=""),"",N(DB308)-N(DA308)))</f>
        <v/>
      </c>
      <c r="DG308">
        <f>IF(OR(DE$3="",DE$3&gt;TODAY()),"",IF(AND(DE308="",DF308=""),"",N(DF308)-N(DE308)))</f>
        <v/>
      </c>
      <c r="DJ308">
        <f>IF(OR(DE$3="",DE$3&gt;TODAY()),"",IF(AND(DH308="",DI308=""),"",N(DI308)-N(DH308)))</f>
        <v/>
      </c>
      <c r="DN308">
        <f>IF(OR(DL$3="",DL$3&gt;TODAY()),"",IF(AND(DL308="",DM308=""),"",N(DM308)-N(DL308)))</f>
        <v/>
      </c>
      <c r="DQ308">
        <f>IF(OR(DL$3="",DL$3&gt;TODAY()),"",IF(AND(DO308="",DP308=""),"",N(DP308)-N(DO308)))</f>
        <v/>
      </c>
      <c r="DU308">
        <f>IF(OR(DS$3="",DS$3&gt;TODAY()),"",IF(AND(DS308="",DT308=""),"",N(DT308)-N(DS308)))</f>
        <v/>
      </c>
      <c r="DX308">
        <f>IF(OR(DS$3="",DS$3&gt;TODAY()),"",IF(AND(DV308="",DW308=""),"",N(DW308)-N(DV308)))</f>
        <v/>
      </c>
      <c r="EB308">
        <f>IF(OR(DZ$3="",DZ$3&gt;TODAY()),"",IF(AND(DZ308="",EA308=""),"",N(EA308)-N(DZ308)))</f>
        <v/>
      </c>
      <c r="EE308">
        <f>IF(OR(DZ$3="",DZ$3&gt;TODAY()),"",IF(AND(EC308="",ED308=""),"",N(ED308)-N(EC308)))</f>
        <v/>
      </c>
      <c r="EI308">
        <f>IF(OR(EG$3="",EG$3&gt;TODAY()),"",IF(AND(EG308="",EH308=""),"",N(EH308)-N(EG308)))</f>
        <v/>
      </c>
      <c r="EL308">
        <f>IF(OR(EG$3="",EG$3&gt;TODAY()),"",IF(AND(EJ308="",EK308=""),"",N(EK308)-N(EJ308)))</f>
        <v/>
      </c>
      <c r="EP308">
        <f>IF(OR(EN$3="",EN$3&gt;TODAY()),"",IF(AND(EN308="",EO308=""),"",N(EO308)-N(EN308)))</f>
        <v/>
      </c>
      <c r="ES308">
        <f>IF(OR(EN$3="",EN$3&gt;TODAY()),"",IF(AND(EQ308="",ER308=""),"",N(ER308)-N(EQ308)))</f>
        <v/>
      </c>
      <c r="EW308">
        <f>IF(OR(EU$3="",EU$3&gt;TODAY()),"",IF(AND(EU308="",EV308=""),"",N(EV308)-N(EU308)))</f>
        <v/>
      </c>
      <c r="EZ308">
        <f>IF(OR(EU$3="",EU$3&gt;TODAY()),"",IF(AND(EX308="",EY308=""),"",N(EY308)-N(EX308)))</f>
        <v/>
      </c>
      <c r="FD308">
        <f>IF(OR(FB$3="",FB$3&gt;TODAY()),"",IF(AND(FB308="",FC308=""),"",N(FC308)-N(FB308)))</f>
        <v/>
      </c>
      <c r="FG308">
        <f>IF(OR(FB$3="",FB$3&gt;TODAY()),"",IF(AND(FE308="",FF308=""),"",N(FF308)-N(FE308)))</f>
        <v/>
      </c>
      <c r="FK308">
        <f>IF(OR(FI$3="",FI$3&gt;TODAY()),"",IF(AND(FI308="",FJ308=""),"",N(FJ308)-N(FI308)))</f>
        <v/>
      </c>
      <c r="FN308">
        <f>IF(OR(FI$3="",FI$3&gt;TODAY()),"",IF(AND(FL308="",FM308=""),"",N(FM308)-N(FL308)))</f>
        <v/>
      </c>
      <c r="FR308">
        <f>IF(OR(FP$3="",FP$3&gt;TODAY()),"",IF(AND(FP308="",FQ308=""),"",N(FQ308)-N(FP308)))</f>
        <v/>
      </c>
      <c r="FU308">
        <f>IF(OR(FP$3="",FP$3&gt;TODAY()),"",IF(AND(FS308="",FT308=""),"",N(FT308)-N(FS308)))</f>
        <v/>
      </c>
      <c r="FY308">
        <f>IF(OR(FW$3="",FW$3&gt;TODAY()),"",IF(AND(FW308="",FX308=""),"",N(FX308)-N(FW308)))</f>
        <v/>
      </c>
      <c r="GB308">
        <f>IF(OR(FW$3="",FW$3&gt;TODAY()),"",IF(AND(FZ308="",GA308=""),"",N(GA308)-N(FZ308)))</f>
        <v/>
      </c>
      <c r="GF308">
        <f>IF(OR(GD$3="",GD$3&gt;TODAY()),"",IF(AND(GD308="",GE308=""),"",N(GE308)-N(GD308)))</f>
        <v/>
      </c>
      <c r="GI308">
        <f>IF(OR(GD$3="",GD$3&gt;TODAY()),"",IF(AND(GG308="",GH308=""),"",N(GH308)-N(GG308)))</f>
        <v/>
      </c>
      <c r="GM308">
        <f>IF(OR(GK$3="",GK$3&gt;TODAY()),"",IF(AND(GK308="",GL308=""),"",N(GL308)-N(GK308)))</f>
        <v/>
      </c>
      <c r="GP308">
        <f>IF(OR(GK$3="",GK$3&gt;TODAY()),"",IF(AND(GN308="",GO308=""),"",N(GO308)-N(GN308)))</f>
        <v/>
      </c>
      <c r="GT308">
        <f>IF(OR(GR$3="",GR$3&gt;TODAY()),"",IF(AND(GR308="",GS308=""),"",N(GS308)-N(GR308)))</f>
        <v/>
      </c>
      <c r="GW308">
        <f>IF(OR(GR$3="",GR$3&gt;TODAY()),"",IF(AND(GU308="",GV308=""),"",N(GV308)-N(GU308)))</f>
        <v/>
      </c>
      <c r="HA308">
        <f>IF(OR(GY$3="",GY$3&gt;TODAY()),"",IF(AND(GY308="",GZ308=""),"",N(GZ308)-N(GY308)))</f>
        <v/>
      </c>
      <c r="HD308">
        <f>IF(OR(GY$3="",GY$3&gt;TODAY()),"",IF(AND(HB308="",HC308=""),"",N(HC308)-N(HB308)))</f>
        <v/>
      </c>
      <c r="HH308">
        <f>IF(OR(HF$3="",HF$3&gt;TODAY()),"",IF(AND(HF308="",HG308=""),"",N(HG308)-N(HF308)))</f>
        <v/>
      </c>
      <c r="HK308">
        <f>IF(OR(HF$3="",HF$3&gt;TODAY()),"",IF(AND(HI308="",HJ308=""),"",N(HJ308)-N(HI308)))</f>
        <v/>
      </c>
      <c r="HO308">
        <f>IF(OR(HM$3="",HM$3&gt;TODAY()),"",IF(AND(HM308="",HN308=""),"",N(HN308)-N(HM308)))</f>
        <v/>
      </c>
      <c r="HR308">
        <f>IF(OR(HM$3="",HM$3&gt;TODAY()),"",IF(AND(HP308="",HQ308=""),"",N(HQ308)-N(HP308)))</f>
        <v/>
      </c>
      <c r="HV308">
        <f>IF(OR(HT$3="",HT$3&gt;TODAY()),"",IF(AND(HT308="",HU308=""),"",N(HU308)-N(HT308)))</f>
        <v/>
      </c>
      <c r="HY308">
        <f>IF(OR(HT$3="",HT$3&gt;TODAY()),"",IF(AND(HW308="",HX308=""),"",N(HX308)-N(HW308)))</f>
        <v/>
      </c>
      <c r="IC308">
        <f>IF(OR(IA$3="",IA$3&gt;TODAY()),"",IF(AND(IA308="",IB308=""),"",N(IB308)-N(IA308)))</f>
        <v/>
      </c>
      <c r="IF308">
        <f>IF(OR(IA$3="",IA$3&gt;TODAY()),"",IF(AND(ID308="",IE308=""),"",N(IE308)-N(ID308)))</f>
        <v/>
      </c>
      <c r="IJ308">
        <f>IF(OR(IH$3="",IH$3&gt;TODAY()),"",IF(AND(IH308="",II308=""),"",N(II308)-N(IH308)))</f>
        <v/>
      </c>
      <c r="IM308">
        <f>IF(OR(IH$3="",IH$3&gt;TODAY()),"",IF(AND(IK308="",IL308=""),"",N(IL308)-N(IK308)))</f>
        <v/>
      </c>
    </row>
    <row r="309">
      <c r="A309" s="21" t="n"/>
      <c r="B309" s="21" t="n"/>
      <c r="C309" s="21" t="n"/>
      <c r="D309" s="21" t="n"/>
      <c r="E309" s="21" t="n"/>
      <c r="F309" s="21" t="n"/>
      <c r="G309" s="21" t="n"/>
      <c r="H309" s="21" t="n"/>
      <c r="I309" s="22" t="n"/>
      <c r="J309" s="22" t="n"/>
      <c r="K309" s="23" t="n"/>
      <c r="L309" s="22" t="n"/>
      <c r="M309" s="22" t="n"/>
      <c r="N309" s="21" t="n"/>
      <c r="O309" s="23" t="n"/>
      <c r="P309" s="23" t="n"/>
      <c r="Q309" s="23" t="n"/>
      <c r="R309" s="23" t="n"/>
      <c r="S309" s="22" t="n"/>
      <c r="T309" s="23" t="n"/>
      <c r="U309" s="23" t="n"/>
      <c r="V309" s="24">
        <f>IF(J309&lt;&gt;"",J309,IF(I309&lt;&gt;"",I309,""))</f>
        <v/>
      </c>
      <c r="W309" s="25">
        <f>IF($E309="","",N(O309)+SUMIFS($AF309:$IN309,$AF$4:$IN$4,"SEW_ACT"))</f>
        <v/>
      </c>
      <c r="X309" s="25">
        <f>IF($E309="","",N(P309)+SUMIFS($AF309:$IN309,$AF$4:$IN$4,"WASH_ACT"))</f>
        <v/>
      </c>
      <c r="Y309" s="25">
        <f>IF($E309="","",W309-X309-N(T309)-N(U309))</f>
        <v/>
      </c>
      <c r="Z309" s="25">
        <f>IF($E309="","",IF(N(K309)-X309&lt;=0.02*N(K309),0,N(K309)-X309))</f>
        <v/>
      </c>
      <c r="AA309" s="24">
        <f>IF($E309="","",IF(S309&lt;&gt;"",S309,IF(N(O309)&gt;0,IF(L309&lt;&gt;"",L309,99999),IFERROR(1/(1/_xlfn.MINIFS($AF$3:$IN$3,$AF$4:$IN$4,"SEW_ACT",$AF309:$IN309,"&gt;0")),99999))))</f>
        <v/>
      </c>
      <c r="AB309" s="26">
        <f>IF(OR($E309="",Z309=0,V309=""),"",1+COUNTIFS(Z$8:Z$707,"&gt;0",V$8:V$707,"&lt;"&amp;V309)+COUNTIFS(Z$8:Z$707,"&gt;0",V$8:V$707,V309,AA$8:AA$707,"&lt;"&amp;AA309)+COUNTIFS(Z$8:Z$707,"&gt;0",V$8:V$707,V309,AA$8:AA$707,AA309,E$8:E$707,"&lt;"&amp;$E309))</f>
        <v/>
      </c>
      <c r="AC309" s="24">
        <f>IF(OR($E309="",Z309=0),"",IFERROR(TODAY()+ROUNDUP(Z309/(SUMIFS($AF309:$IN309,$AF$4:$IN$4,"WASH_ACT")/COUNTIFS($AF$4:$IN$4,"WASH_ACT",$AF309:$IN309,"&gt;0")),0),"no output yet"))</f>
        <v/>
      </c>
      <c r="AD309" s="26">
        <f>IF($E309="","",IFERROR(ROUND(MAX(0,SUMIFS($AF309:$IN309,$AF$4:$IN$4,"SEW_PLAN",$AF$3:$IN$3,"&lt;="&amp;TODAY())-SUMIFS($AF309:$IN309,$AF$4:$IN$4,"SEW_ACT",$AF$3:$IN$3,"&lt;="&amp;TODAY())+N(Q309))/(SUMIFS($AF309:$IN309,$AF$4:$IN$4,"SEW_PLAN")/COUNTIFS($AF$4:$IN$4,"SEW_PLAN",$AF309:$IN309,"&gt;0")),1),0))</f>
        <v/>
      </c>
      <c r="AE309" s="26">
        <f>IF($E309="","",IF(AND(Z309&gt;0,OR(AND(M309&lt;&gt;"",TODAY()&gt;M309),AND(V309&lt;&gt;"",V309-TODAY()&lt;=7))),"Yes","No"))</f>
        <v/>
      </c>
      <c r="AH309">
        <f>IF(OR(AF$3="",AF$3&gt;TODAY()),"",IF(AND(AF309="",AG309=""),"",N(AG309)-N(AF309)))</f>
        <v/>
      </c>
      <c r="AK309">
        <f>IF(OR(AF$3="",AF$3&gt;TODAY()),"",IF(AND(AI309="",AJ309=""),"",N(AJ309)-N(AI309)))</f>
        <v/>
      </c>
      <c r="AO309">
        <f>IF(OR(AM$3="",AM$3&gt;TODAY()),"",IF(AND(AM309="",AN309=""),"",N(AN309)-N(AM309)))</f>
        <v/>
      </c>
      <c r="AR309">
        <f>IF(OR(AM$3="",AM$3&gt;TODAY()),"",IF(AND(AP309="",AQ309=""),"",N(AQ309)-N(AP309)))</f>
        <v/>
      </c>
      <c r="AV309">
        <f>IF(OR(AT$3="",AT$3&gt;TODAY()),"",IF(AND(AT309="",AU309=""),"",N(AU309)-N(AT309)))</f>
        <v/>
      </c>
      <c r="AY309">
        <f>IF(OR(AT$3="",AT$3&gt;TODAY()),"",IF(AND(AW309="",AX309=""),"",N(AX309)-N(AW309)))</f>
        <v/>
      </c>
      <c r="BC309">
        <f>IF(OR(BA$3="",BA$3&gt;TODAY()),"",IF(AND(BA309="",BB309=""),"",N(BB309)-N(BA309)))</f>
        <v/>
      </c>
      <c r="BF309">
        <f>IF(OR(BA$3="",BA$3&gt;TODAY()),"",IF(AND(BD309="",BE309=""),"",N(BE309)-N(BD309)))</f>
        <v/>
      </c>
      <c r="BJ309">
        <f>IF(OR(BH$3="",BH$3&gt;TODAY()),"",IF(AND(BH309="",BI309=""),"",N(BI309)-N(BH309)))</f>
        <v/>
      </c>
      <c r="BM309">
        <f>IF(OR(BH$3="",BH$3&gt;TODAY()),"",IF(AND(BK309="",BL309=""),"",N(BL309)-N(BK309)))</f>
        <v/>
      </c>
      <c r="BQ309">
        <f>IF(OR(BO$3="",BO$3&gt;TODAY()),"",IF(AND(BO309="",BP309=""),"",N(BP309)-N(BO309)))</f>
        <v/>
      </c>
      <c r="BT309">
        <f>IF(OR(BO$3="",BO$3&gt;TODAY()),"",IF(AND(BR309="",BS309=""),"",N(BS309)-N(BR309)))</f>
        <v/>
      </c>
      <c r="BX309">
        <f>IF(OR(BV$3="",BV$3&gt;TODAY()),"",IF(AND(BV309="",BW309=""),"",N(BW309)-N(BV309)))</f>
        <v/>
      </c>
      <c r="CA309">
        <f>IF(OR(BV$3="",BV$3&gt;TODAY()),"",IF(AND(BY309="",BZ309=""),"",N(BZ309)-N(BY309)))</f>
        <v/>
      </c>
      <c r="CE309">
        <f>IF(OR(CC$3="",CC$3&gt;TODAY()),"",IF(AND(CC309="",CD309=""),"",N(CD309)-N(CC309)))</f>
        <v/>
      </c>
      <c r="CH309">
        <f>IF(OR(CC$3="",CC$3&gt;TODAY()),"",IF(AND(CF309="",CG309=""),"",N(CG309)-N(CF309)))</f>
        <v/>
      </c>
      <c r="CL309">
        <f>IF(OR(CJ$3="",CJ$3&gt;TODAY()),"",IF(AND(CJ309="",CK309=""),"",N(CK309)-N(CJ309)))</f>
        <v/>
      </c>
      <c r="CO309">
        <f>IF(OR(CJ$3="",CJ$3&gt;TODAY()),"",IF(AND(CM309="",CN309=""),"",N(CN309)-N(CM309)))</f>
        <v/>
      </c>
      <c r="CS309">
        <f>IF(OR(CQ$3="",CQ$3&gt;TODAY()),"",IF(AND(CQ309="",CR309=""),"",N(CR309)-N(CQ309)))</f>
        <v/>
      </c>
      <c r="CV309">
        <f>IF(OR(CQ$3="",CQ$3&gt;TODAY()),"",IF(AND(CT309="",CU309=""),"",N(CU309)-N(CT309)))</f>
        <v/>
      </c>
      <c r="CZ309">
        <f>IF(OR(CX$3="",CX$3&gt;TODAY()),"",IF(AND(CX309="",CY309=""),"",N(CY309)-N(CX309)))</f>
        <v/>
      </c>
      <c r="DC309">
        <f>IF(OR(CX$3="",CX$3&gt;TODAY()),"",IF(AND(DA309="",DB309=""),"",N(DB309)-N(DA309)))</f>
        <v/>
      </c>
      <c r="DG309">
        <f>IF(OR(DE$3="",DE$3&gt;TODAY()),"",IF(AND(DE309="",DF309=""),"",N(DF309)-N(DE309)))</f>
        <v/>
      </c>
      <c r="DJ309">
        <f>IF(OR(DE$3="",DE$3&gt;TODAY()),"",IF(AND(DH309="",DI309=""),"",N(DI309)-N(DH309)))</f>
        <v/>
      </c>
      <c r="DN309">
        <f>IF(OR(DL$3="",DL$3&gt;TODAY()),"",IF(AND(DL309="",DM309=""),"",N(DM309)-N(DL309)))</f>
        <v/>
      </c>
      <c r="DQ309">
        <f>IF(OR(DL$3="",DL$3&gt;TODAY()),"",IF(AND(DO309="",DP309=""),"",N(DP309)-N(DO309)))</f>
        <v/>
      </c>
      <c r="DU309">
        <f>IF(OR(DS$3="",DS$3&gt;TODAY()),"",IF(AND(DS309="",DT309=""),"",N(DT309)-N(DS309)))</f>
        <v/>
      </c>
      <c r="DX309">
        <f>IF(OR(DS$3="",DS$3&gt;TODAY()),"",IF(AND(DV309="",DW309=""),"",N(DW309)-N(DV309)))</f>
        <v/>
      </c>
      <c r="EB309">
        <f>IF(OR(DZ$3="",DZ$3&gt;TODAY()),"",IF(AND(DZ309="",EA309=""),"",N(EA309)-N(DZ309)))</f>
        <v/>
      </c>
      <c r="EE309">
        <f>IF(OR(DZ$3="",DZ$3&gt;TODAY()),"",IF(AND(EC309="",ED309=""),"",N(ED309)-N(EC309)))</f>
        <v/>
      </c>
      <c r="EI309">
        <f>IF(OR(EG$3="",EG$3&gt;TODAY()),"",IF(AND(EG309="",EH309=""),"",N(EH309)-N(EG309)))</f>
        <v/>
      </c>
      <c r="EL309">
        <f>IF(OR(EG$3="",EG$3&gt;TODAY()),"",IF(AND(EJ309="",EK309=""),"",N(EK309)-N(EJ309)))</f>
        <v/>
      </c>
      <c r="EP309">
        <f>IF(OR(EN$3="",EN$3&gt;TODAY()),"",IF(AND(EN309="",EO309=""),"",N(EO309)-N(EN309)))</f>
        <v/>
      </c>
      <c r="ES309">
        <f>IF(OR(EN$3="",EN$3&gt;TODAY()),"",IF(AND(EQ309="",ER309=""),"",N(ER309)-N(EQ309)))</f>
        <v/>
      </c>
      <c r="EW309">
        <f>IF(OR(EU$3="",EU$3&gt;TODAY()),"",IF(AND(EU309="",EV309=""),"",N(EV309)-N(EU309)))</f>
        <v/>
      </c>
      <c r="EZ309">
        <f>IF(OR(EU$3="",EU$3&gt;TODAY()),"",IF(AND(EX309="",EY309=""),"",N(EY309)-N(EX309)))</f>
        <v/>
      </c>
      <c r="FD309">
        <f>IF(OR(FB$3="",FB$3&gt;TODAY()),"",IF(AND(FB309="",FC309=""),"",N(FC309)-N(FB309)))</f>
        <v/>
      </c>
      <c r="FG309">
        <f>IF(OR(FB$3="",FB$3&gt;TODAY()),"",IF(AND(FE309="",FF309=""),"",N(FF309)-N(FE309)))</f>
        <v/>
      </c>
      <c r="FK309">
        <f>IF(OR(FI$3="",FI$3&gt;TODAY()),"",IF(AND(FI309="",FJ309=""),"",N(FJ309)-N(FI309)))</f>
        <v/>
      </c>
      <c r="FN309">
        <f>IF(OR(FI$3="",FI$3&gt;TODAY()),"",IF(AND(FL309="",FM309=""),"",N(FM309)-N(FL309)))</f>
        <v/>
      </c>
      <c r="FR309">
        <f>IF(OR(FP$3="",FP$3&gt;TODAY()),"",IF(AND(FP309="",FQ309=""),"",N(FQ309)-N(FP309)))</f>
        <v/>
      </c>
      <c r="FU309">
        <f>IF(OR(FP$3="",FP$3&gt;TODAY()),"",IF(AND(FS309="",FT309=""),"",N(FT309)-N(FS309)))</f>
        <v/>
      </c>
      <c r="FY309">
        <f>IF(OR(FW$3="",FW$3&gt;TODAY()),"",IF(AND(FW309="",FX309=""),"",N(FX309)-N(FW309)))</f>
        <v/>
      </c>
      <c r="GB309">
        <f>IF(OR(FW$3="",FW$3&gt;TODAY()),"",IF(AND(FZ309="",GA309=""),"",N(GA309)-N(FZ309)))</f>
        <v/>
      </c>
      <c r="GF309">
        <f>IF(OR(GD$3="",GD$3&gt;TODAY()),"",IF(AND(GD309="",GE309=""),"",N(GE309)-N(GD309)))</f>
        <v/>
      </c>
      <c r="GI309">
        <f>IF(OR(GD$3="",GD$3&gt;TODAY()),"",IF(AND(GG309="",GH309=""),"",N(GH309)-N(GG309)))</f>
        <v/>
      </c>
      <c r="GM309">
        <f>IF(OR(GK$3="",GK$3&gt;TODAY()),"",IF(AND(GK309="",GL309=""),"",N(GL309)-N(GK309)))</f>
        <v/>
      </c>
      <c r="GP309">
        <f>IF(OR(GK$3="",GK$3&gt;TODAY()),"",IF(AND(GN309="",GO309=""),"",N(GO309)-N(GN309)))</f>
        <v/>
      </c>
      <c r="GT309">
        <f>IF(OR(GR$3="",GR$3&gt;TODAY()),"",IF(AND(GR309="",GS309=""),"",N(GS309)-N(GR309)))</f>
        <v/>
      </c>
      <c r="GW309">
        <f>IF(OR(GR$3="",GR$3&gt;TODAY()),"",IF(AND(GU309="",GV309=""),"",N(GV309)-N(GU309)))</f>
        <v/>
      </c>
      <c r="HA309">
        <f>IF(OR(GY$3="",GY$3&gt;TODAY()),"",IF(AND(GY309="",GZ309=""),"",N(GZ309)-N(GY309)))</f>
        <v/>
      </c>
      <c r="HD309">
        <f>IF(OR(GY$3="",GY$3&gt;TODAY()),"",IF(AND(HB309="",HC309=""),"",N(HC309)-N(HB309)))</f>
        <v/>
      </c>
      <c r="HH309">
        <f>IF(OR(HF$3="",HF$3&gt;TODAY()),"",IF(AND(HF309="",HG309=""),"",N(HG309)-N(HF309)))</f>
        <v/>
      </c>
      <c r="HK309">
        <f>IF(OR(HF$3="",HF$3&gt;TODAY()),"",IF(AND(HI309="",HJ309=""),"",N(HJ309)-N(HI309)))</f>
        <v/>
      </c>
      <c r="HO309">
        <f>IF(OR(HM$3="",HM$3&gt;TODAY()),"",IF(AND(HM309="",HN309=""),"",N(HN309)-N(HM309)))</f>
        <v/>
      </c>
      <c r="HR309">
        <f>IF(OR(HM$3="",HM$3&gt;TODAY()),"",IF(AND(HP309="",HQ309=""),"",N(HQ309)-N(HP309)))</f>
        <v/>
      </c>
      <c r="HV309">
        <f>IF(OR(HT$3="",HT$3&gt;TODAY()),"",IF(AND(HT309="",HU309=""),"",N(HU309)-N(HT309)))</f>
        <v/>
      </c>
      <c r="HY309">
        <f>IF(OR(HT$3="",HT$3&gt;TODAY()),"",IF(AND(HW309="",HX309=""),"",N(HX309)-N(HW309)))</f>
        <v/>
      </c>
      <c r="IC309">
        <f>IF(OR(IA$3="",IA$3&gt;TODAY()),"",IF(AND(IA309="",IB309=""),"",N(IB309)-N(IA309)))</f>
        <v/>
      </c>
      <c r="IF309">
        <f>IF(OR(IA$3="",IA$3&gt;TODAY()),"",IF(AND(ID309="",IE309=""),"",N(IE309)-N(ID309)))</f>
        <v/>
      </c>
      <c r="IJ309">
        <f>IF(OR(IH$3="",IH$3&gt;TODAY()),"",IF(AND(IH309="",II309=""),"",N(II309)-N(IH309)))</f>
        <v/>
      </c>
      <c r="IM309">
        <f>IF(OR(IH$3="",IH$3&gt;TODAY()),"",IF(AND(IK309="",IL309=""),"",N(IL309)-N(IK309)))</f>
        <v/>
      </c>
    </row>
    <row r="310">
      <c r="A310" s="21" t="n"/>
      <c r="B310" s="21" t="n"/>
      <c r="C310" s="21" t="n"/>
      <c r="D310" s="21" t="n"/>
      <c r="E310" s="21" t="n"/>
      <c r="F310" s="21" t="n"/>
      <c r="G310" s="21" t="n"/>
      <c r="H310" s="21" t="n"/>
      <c r="I310" s="22" t="n"/>
      <c r="J310" s="22" t="n"/>
      <c r="K310" s="23" t="n"/>
      <c r="L310" s="22" t="n"/>
      <c r="M310" s="22" t="n"/>
      <c r="N310" s="21" t="n"/>
      <c r="O310" s="23" t="n"/>
      <c r="P310" s="23" t="n"/>
      <c r="Q310" s="23" t="n"/>
      <c r="R310" s="23" t="n"/>
      <c r="S310" s="22" t="n"/>
      <c r="T310" s="23" t="n"/>
      <c r="U310" s="23" t="n"/>
      <c r="V310" s="24">
        <f>IF(J310&lt;&gt;"",J310,IF(I310&lt;&gt;"",I310,""))</f>
        <v/>
      </c>
      <c r="W310" s="25">
        <f>IF($E310="","",N(O310)+SUMIFS($AF310:$IN310,$AF$4:$IN$4,"SEW_ACT"))</f>
        <v/>
      </c>
      <c r="X310" s="25">
        <f>IF($E310="","",N(P310)+SUMIFS($AF310:$IN310,$AF$4:$IN$4,"WASH_ACT"))</f>
        <v/>
      </c>
      <c r="Y310" s="25">
        <f>IF($E310="","",W310-X310-N(T310)-N(U310))</f>
        <v/>
      </c>
      <c r="Z310" s="25">
        <f>IF($E310="","",IF(N(K310)-X310&lt;=0.02*N(K310),0,N(K310)-X310))</f>
        <v/>
      </c>
      <c r="AA310" s="24">
        <f>IF($E310="","",IF(S310&lt;&gt;"",S310,IF(N(O310)&gt;0,IF(L310&lt;&gt;"",L310,99999),IFERROR(1/(1/_xlfn.MINIFS($AF$3:$IN$3,$AF$4:$IN$4,"SEW_ACT",$AF310:$IN310,"&gt;0")),99999))))</f>
        <v/>
      </c>
      <c r="AB310" s="26">
        <f>IF(OR($E310="",Z310=0,V310=""),"",1+COUNTIFS(Z$8:Z$707,"&gt;0",V$8:V$707,"&lt;"&amp;V310)+COUNTIFS(Z$8:Z$707,"&gt;0",V$8:V$707,V310,AA$8:AA$707,"&lt;"&amp;AA310)+COUNTIFS(Z$8:Z$707,"&gt;0",V$8:V$707,V310,AA$8:AA$707,AA310,E$8:E$707,"&lt;"&amp;$E310))</f>
        <v/>
      </c>
      <c r="AC310" s="24">
        <f>IF(OR($E310="",Z310=0),"",IFERROR(TODAY()+ROUNDUP(Z310/(SUMIFS($AF310:$IN310,$AF$4:$IN$4,"WASH_ACT")/COUNTIFS($AF$4:$IN$4,"WASH_ACT",$AF310:$IN310,"&gt;0")),0),"no output yet"))</f>
        <v/>
      </c>
      <c r="AD310" s="26">
        <f>IF($E310="","",IFERROR(ROUND(MAX(0,SUMIFS($AF310:$IN310,$AF$4:$IN$4,"SEW_PLAN",$AF$3:$IN$3,"&lt;="&amp;TODAY())-SUMIFS($AF310:$IN310,$AF$4:$IN$4,"SEW_ACT",$AF$3:$IN$3,"&lt;="&amp;TODAY())+N(Q310))/(SUMIFS($AF310:$IN310,$AF$4:$IN$4,"SEW_PLAN")/COUNTIFS($AF$4:$IN$4,"SEW_PLAN",$AF310:$IN310,"&gt;0")),1),0))</f>
        <v/>
      </c>
      <c r="AE310" s="26">
        <f>IF($E310="","",IF(AND(Z310&gt;0,OR(AND(M310&lt;&gt;"",TODAY()&gt;M310),AND(V310&lt;&gt;"",V310-TODAY()&lt;=7))),"Yes","No"))</f>
        <v/>
      </c>
      <c r="AH310">
        <f>IF(OR(AF$3="",AF$3&gt;TODAY()),"",IF(AND(AF310="",AG310=""),"",N(AG310)-N(AF310)))</f>
        <v/>
      </c>
      <c r="AK310">
        <f>IF(OR(AF$3="",AF$3&gt;TODAY()),"",IF(AND(AI310="",AJ310=""),"",N(AJ310)-N(AI310)))</f>
        <v/>
      </c>
      <c r="AO310">
        <f>IF(OR(AM$3="",AM$3&gt;TODAY()),"",IF(AND(AM310="",AN310=""),"",N(AN310)-N(AM310)))</f>
        <v/>
      </c>
      <c r="AR310">
        <f>IF(OR(AM$3="",AM$3&gt;TODAY()),"",IF(AND(AP310="",AQ310=""),"",N(AQ310)-N(AP310)))</f>
        <v/>
      </c>
      <c r="AV310">
        <f>IF(OR(AT$3="",AT$3&gt;TODAY()),"",IF(AND(AT310="",AU310=""),"",N(AU310)-N(AT310)))</f>
        <v/>
      </c>
      <c r="AY310">
        <f>IF(OR(AT$3="",AT$3&gt;TODAY()),"",IF(AND(AW310="",AX310=""),"",N(AX310)-N(AW310)))</f>
        <v/>
      </c>
      <c r="BC310">
        <f>IF(OR(BA$3="",BA$3&gt;TODAY()),"",IF(AND(BA310="",BB310=""),"",N(BB310)-N(BA310)))</f>
        <v/>
      </c>
      <c r="BF310">
        <f>IF(OR(BA$3="",BA$3&gt;TODAY()),"",IF(AND(BD310="",BE310=""),"",N(BE310)-N(BD310)))</f>
        <v/>
      </c>
      <c r="BJ310">
        <f>IF(OR(BH$3="",BH$3&gt;TODAY()),"",IF(AND(BH310="",BI310=""),"",N(BI310)-N(BH310)))</f>
        <v/>
      </c>
      <c r="BM310">
        <f>IF(OR(BH$3="",BH$3&gt;TODAY()),"",IF(AND(BK310="",BL310=""),"",N(BL310)-N(BK310)))</f>
        <v/>
      </c>
      <c r="BQ310">
        <f>IF(OR(BO$3="",BO$3&gt;TODAY()),"",IF(AND(BO310="",BP310=""),"",N(BP310)-N(BO310)))</f>
        <v/>
      </c>
      <c r="BT310">
        <f>IF(OR(BO$3="",BO$3&gt;TODAY()),"",IF(AND(BR310="",BS310=""),"",N(BS310)-N(BR310)))</f>
        <v/>
      </c>
      <c r="BX310">
        <f>IF(OR(BV$3="",BV$3&gt;TODAY()),"",IF(AND(BV310="",BW310=""),"",N(BW310)-N(BV310)))</f>
        <v/>
      </c>
      <c r="CA310">
        <f>IF(OR(BV$3="",BV$3&gt;TODAY()),"",IF(AND(BY310="",BZ310=""),"",N(BZ310)-N(BY310)))</f>
        <v/>
      </c>
      <c r="CE310">
        <f>IF(OR(CC$3="",CC$3&gt;TODAY()),"",IF(AND(CC310="",CD310=""),"",N(CD310)-N(CC310)))</f>
        <v/>
      </c>
      <c r="CH310">
        <f>IF(OR(CC$3="",CC$3&gt;TODAY()),"",IF(AND(CF310="",CG310=""),"",N(CG310)-N(CF310)))</f>
        <v/>
      </c>
      <c r="CL310">
        <f>IF(OR(CJ$3="",CJ$3&gt;TODAY()),"",IF(AND(CJ310="",CK310=""),"",N(CK310)-N(CJ310)))</f>
        <v/>
      </c>
      <c r="CO310">
        <f>IF(OR(CJ$3="",CJ$3&gt;TODAY()),"",IF(AND(CM310="",CN310=""),"",N(CN310)-N(CM310)))</f>
        <v/>
      </c>
      <c r="CS310">
        <f>IF(OR(CQ$3="",CQ$3&gt;TODAY()),"",IF(AND(CQ310="",CR310=""),"",N(CR310)-N(CQ310)))</f>
        <v/>
      </c>
      <c r="CV310">
        <f>IF(OR(CQ$3="",CQ$3&gt;TODAY()),"",IF(AND(CT310="",CU310=""),"",N(CU310)-N(CT310)))</f>
        <v/>
      </c>
      <c r="CZ310">
        <f>IF(OR(CX$3="",CX$3&gt;TODAY()),"",IF(AND(CX310="",CY310=""),"",N(CY310)-N(CX310)))</f>
        <v/>
      </c>
      <c r="DC310">
        <f>IF(OR(CX$3="",CX$3&gt;TODAY()),"",IF(AND(DA310="",DB310=""),"",N(DB310)-N(DA310)))</f>
        <v/>
      </c>
      <c r="DG310">
        <f>IF(OR(DE$3="",DE$3&gt;TODAY()),"",IF(AND(DE310="",DF310=""),"",N(DF310)-N(DE310)))</f>
        <v/>
      </c>
      <c r="DJ310">
        <f>IF(OR(DE$3="",DE$3&gt;TODAY()),"",IF(AND(DH310="",DI310=""),"",N(DI310)-N(DH310)))</f>
        <v/>
      </c>
      <c r="DN310">
        <f>IF(OR(DL$3="",DL$3&gt;TODAY()),"",IF(AND(DL310="",DM310=""),"",N(DM310)-N(DL310)))</f>
        <v/>
      </c>
      <c r="DQ310">
        <f>IF(OR(DL$3="",DL$3&gt;TODAY()),"",IF(AND(DO310="",DP310=""),"",N(DP310)-N(DO310)))</f>
        <v/>
      </c>
      <c r="DU310">
        <f>IF(OR(DS$3="",DS$3&gt;TODAY()),"",IF(AND(DS310="",DT310=""),"",N(DT310)-N(DS310)))</f>
        <v/>
      </c>
      <c r="DX310">
        <f>IF(OR(DS$3="",DS$3&gt;TODAY()),"",IF(AND(DV310="",DW310=""),"",N(DW310)-N(DV310)))</f>
        <v/>
      </c>
      <c r="EB310">
        <f>IF(OR(DZ$3="",DZ$3&gt;TODAY()),"",IF(AND(DZ310="",EA310=""),"",N(EA310)-N(DZ310)))</f>
        <v/>
      </c>
      <c r="EE310">
        <f>IF(OR(DZ$3="",DZ$3&gt;TODAY()),"",IF(AND(EC310="",ED310=""),"",N(ED310)-N(EC310)))</f>
        <v/>
      </c>
      <c r="EI310">
        <f>IF(OR(EG$3="",EG$3&gt;TODAY()),"",IF(AND(EG310="",EH310=""),"",N(EH310)-N(EG310)))</f>
        <v/>
      </c>
      <c r="EL310">
        <f>IF(OR(EG$3="",EG$3&gt;TODAY()),"",IF(AND(EJ310="",EK310=""),"",N(EK310)-N(EJ310)))</f>
        <v/>
      </c>
      <c r="EP310">
        <f>IF(OR(EN$3="",EN$3&gt;TODAY()),"",IF(AND(EN310="",EO310=""),"",N(EO310)-N(EN310)))</f>
        <v/>
      </c>
      <c r="ES310">
        <f>IF(OR(EN$3="",EN$3&gt;TODAY()),"",IF(AND(EQ310="",ER310=""),"",N(ER310)-N(EQ310)))</f>
        <v/>
      </c>
      <c r="EW310">
        <f>IF(OR(EU$3="",EU$3&gt;TODAY()),"",IF(AND(EU310="",EV310=""),"",N(EV310)-N(EU310)))</f>
        <v/>
      </c>
      <c r="EZ310">
        <f>IF(OR(EU$3="",EU$3&gt;TODAY()),"",IF(AND(EX310="",EY310=""),"",N(EY310)-N(EX310)))</f>
        <v/>
      </c>
      <c r="FD310">
        <f>IF(OR(FB$3="",FB$3&gt;TODAY()),"",IF(AND(FB310="",FC310=""),"",N(FC310)-N(FB310)))</f>
        <v/>
      </c>
      <c r="FG310">
        <f>IF(OR(FB$3="",FB$3&gt;TODAY()),"",IF(AND(FE310="",FF310=""),"",N(FF310)-N(FE310)))</f>
        <v/>
      </c>
      <c r="FK310">
        <f>IF(OR(FI$3="",FI$3&gt;TODAY()),"",IF(AND(FI310="",FJ310=""),"",N(FJ310)-N(FI310)))</f>
        <v/>
      </c>
      <c r="FN310">
        <f>IF(OR(FI$3="",FI$3&gt;TODAY()),"",IF(AND(FL310="",FM310=""),"",N(FM310)-N(FL310)))</f>
        <v/>
      </c>
      <c r="FR310">
        <f>IF(OR(FP$3="",FP$3&gt;TODAY()),"",IF(AND(FP310="",FQ310=""),"",N(FQ310)-N(FP310)))</f>
        <v/>
      </c>
      <c r="FU310">
        <f>IF(OR(FP$3="",FP$3&gt;TODAY()),"",IF(AND(FS310="",FT310=""),"",N(FT310)-N(FS310)))</f>
        <v/>
      </c>
      <c r="FY310">
        <f>IF(OR(FW$3="",FW$3&gt;TODAY()),"",IF(AND(FW310="",FX310=""),"",N(FX310)-N(FW310)))</f>
        <v/>
      </c>
      <c r="GB310">
        <f>IF(OR(FW$3="",FW$3&gt;TODAY()),"",IF(AND(FZ310="",GA310=""),"",N(GA310)-N(FZ310)))</f>
        <v/>
      </c>
      <c r="GF310">
        <f>IF(OR(GD$3="",GD$3&gt;TODAY()),"",IF(AND(GD310="",GE310=""),"",N(GE310)-N(GD310)))</f>
        <v/>
      </c>
      <c r="GI310">
        <f>IF(OR(GD$3="",GD$3&gt;TODAY()),"",IF(AND(GG310="",GH310=""),"",N(GH310)-N(GG310)))</f>
        <v/>
      </c>
      <c r="GM310">
        <f>IF(OR(GK$3="",GK$3&gt;TODAY()),"",IF(AND(GK310="",GL310=""),"",N(GL310)-N(GK310)))</f>
        <v/>
      </c>
      <c r="GP310">
        <f>IF(OR(GK$3="",GK$3&gt;TODAY()),"",IF(AND(GN310="",GO310=""),"",N(GO310)-N(GN310)))</f>
        <v/>
      </c>
      <c r="GT310">
        <f>IF(OR(GR$3="",GR$3&gt;TODAY()),"",IF(AND(GR310="",GS310=""),"",N(GS310)-N(GR310)))</f>
        <v/>
      </c>
      <c r="GW310">
        <f>IF(OR(GR$3="",GR$3&gt;TODAY()),"",IF(AND(GU310="",GV310=""),"",N(GV310)-N(GU310)))</f>
        <v/>
      </c>
      <c r="HA310">
        <f>IF(OR(GY$3="",GY$3&gt;TODAY()),"",IF(AND(GY310="",GZ310=""),"",N(GZ310)-N(GY310)))</f>
        <v/>
      </c>
      <c r="HD310">
        <f>IF(OR(GY$3="",GY$3&gt;TODAY()),"",IF(AND(HB310="",HC310=""),"",N(HC310)-N(HB310)))</f>
        <v/>
      </c>
      <c r="HH310">
        <f>IF(OR(HF$3="",HF$3&gt;TODAY()),"",IF(AND(HF310="",HG310=""),"",N(HG310)-N(HF310)))</f>
        <v/>
      </c>
      <c r="HK310">
        <f>IF(OR(HF$3="",HF$3&gt;TODAY()),"",IF(AND(HI310="",HJ310=""),"",N(HJ310)-N(HI310)))</f>
        <v/>
      </c>
      <c r="HO310">
        <f>IF(OR(HM$3="",HM$3&gt;TODAY()),"",IF(AND(HM310="",HN310=""),"",N(HN310)-N(HM310)))</f>
        <v/>
      </c>
      <c r="HR310">
        <f>IF(OR(HM$3="",HM$3&gt;TODAY()),"",IF(AND(HP310="",HQ310=""),"",N(HQ310)-N(HP310)))</f>
        <v/>
      </c>
      <c r="HV310">
        <f>IF(OR(HT$3="",HT$3&gt;TODAY()),"",IF(AND(HT310="",HU310=""),"",N(HU310)-N(HT310)))</f>
        <v/>
      </c>
      <c r="HY310">
        <f>IF(OR(HT$3="",HT$3&gt;TODAY()),"",IF(AND(HW310="",HX310=""),"",N(HX310)-N(HW310)))</f>
        <v/>
      </c>
      <c r="IC310">
        <f>IF(OR(IA$3="",IA$3&gt;TODAY()),"",IF(AND(IA310="",IB310=""),"",N(IB310)-N(IA310)))</f>
        <v/>
      </c>
      <c r="IF310">
        <f>IF(OR(IA$3="",IA$3&gt;TODAY()),"",IF(AND(ID310="",IE310=""),"",N(IE310)-N(ID310)))</f>
        <v/>
      </c>
      <c r="IJ310">
        <f>IF(OR(IH$3="",IH$3&gt;TODAY()),"",IF(AND(IH310="",II310=""),"",N(II310)-N(IH310)))</f>
        <v/>
      </c>
      <c r="IM310">
        <f>IF(OR(IH$3="",IH$3&gt;TODAY()),"",IF(AND(IK310="",IL310=""),"",N(IL310)-N(IK310)))</f>
        <v/>
      </c>
    </row>
    <row r="311">
      <c r="A311" s="21" t="n"/>
      <c r="B311" s="21" t="n"/>
      <c r="C311" s="21" t="n"/>
      <c r="D311" s="21" t="n"/>
      <c r="E311" s="21" t="n"/>
      <c r="F311" s="21" t="n"/>
      <c r="G311" s="21" t="n"/>
      <c r="H311" s="21" t="n"/>
      <c r="I311" s="22" t="n"/>
      <c r="J311" s="22" t="n"/>
      <c r="K311" s="23" t="n"/>
      <c r="L311" s="22" t="n"/>
      <c r="M311" s="22" t="n"/>
      <c r="N311" s="21" t="n"/>
      <c r="O311" s="23" t="n"/>
      <c r="P311" s="23" t="n"/>
      <c r="Q311" s="23" t="n"/>
      <c r="R311" s="23" t="n"/>
      <c r="S311" s="22" t="n"/>
      <c r="T311" s="23" t="n"/>
      <c r="U311" s="23" t="n"/>
      <c r="V311" s="24">
        <f>IF(J311&lt;&gt;"",J311,IF(I311&lt;&gt;"",I311,""))</f>
        <v/>
      </c>
      <c r="W311" s="25">
        <f>IF($E311="","",N(O311)+SUMIFS($AF311:$IN311,$AF$4:$IN$4,"SEW_ACT"))</f>
        <v/>
      </c>
      <c r="X311" s="25">
        <f>IF($E311="","",N(P311)+SUMIFS($AF311:$IN311,$AF$4:$IN$4,"WASH_ACT"))</f>
        <v/>
      </c>
      <c r="Y311" s="25">
        <f>IF($E311="","",W311-X311-N(T311)-N(U311))</f>
        <v/>
      </c>
      <c r="Z311" s="25">
        <f>IF($E311="","",IF(N(K311)-X311&lt;=0.02*N(K311),0,N(K311)-X311))</f>
        <v/>
      </c>
      <c r="AA311" s="24">
        <f>IF($E311="","",IF(S311&lt;&gt;"",S311,IF(N(O311)&gt;0,IF(L311&lt;&gt;"",L311,99999),IFERROR(1/(1/_xlfn.MINIFS($AF$3:$IN$3,$AF$4:$IN$4,"SEW_ACT",$AF311:$IN311,"&gt;0")),99999))))</f>
        <v/>
      </c>
      <c r="AB311" s="26">
        <f>IF(OR($E311="",Z311=0,V311=""),"",1+COUNTIFS(Z$8:Z$707,"&gt;0",V$8:V$707,"&lt;"&amp;V311)+COUNTIFS(Z$8:Z$707,"&gt;0",V$8:V$707,V311,AA$8:AA$707,"&lt;"&amp;AA311)+COUNTIFS(Z$8:Z$707,"&gt;0",V$8:V$707,V311,AA$8:AA$707,AA311,E$8:E$707,"&lt;"&amp;$E311))</f>
        <v/>
      </c>
      <c r="AC311" s="24">
        <f>IF(OR($E311="",Z311=0),"",IFERROR(TODAY()+ROUNDUP(Z311/(SUMIFS($AF311:$IN311,$AF$4:$IN$4,"WASH_ACT")/COUNTIFS($AF$4:$IN$4,"WASH_ACT",$AF311:$IN311,"&gt;0")),0),"no output yet"))</f>
        <v/>
      </c>
      <c r="AD311" s="26">
        <f>IF($E311="","",IFERROR(ROUND(MAX(0,SUMIFS($AF311:$IN311,$AF$4:$IN$4,"SEW_PLAN",$AF$3:$IN$3,"&lt;="&amp;TODAY())-SUMIFS($AF311:$IN311,$AF$4:$IN$4,"SEW_ACT",$AF$3:$IN$3,"&lt;="&amp;TODAY())+N(Q311))/(SUMIFS($AF311:$IN311,$AF$4:$IN$4,"SEW_PLAN")/COUNTIFS($AF$4:$IN$4,"SEW_PLAN",$AF311:$IN311,"&gt;0")),1),0))</f>
        <v/>
      </c>
      <c r="AE311" s="26">
        <f>IF($E311="","",IF(AND(Z311&gt;0,OR(AND(M311&lt;&gt;"",TODAY()&gt;M311),AND(V311&lt;&gt;"",V311-TODAY()&lt;=7))),"Yes","No"))</f>
        <v/>
      </c>
      <c r="AH311">
        <f>IF(OR(AF$3="",AF$3&gt;TODAY()),"",IF(AND(AF311="",AG311=""),"",N(AG311)-N(AF311)))</f>
        <v/>
      </c>
      <c r="AK311">
        <f>IF(OR(AF$3="",AF$3&gt;TODAY()),"",IF(AND(AI311="",AJ311=""),"",N(AJ311)-N(AI311)))</f>
        <v/>
      </c>
      <c r="AO311">
        <f>IF(OR(AM$3="",AM$3&gt;TODAY()),"",IF(AND(AM311="",AN311=""),"",N(AN311)-N(AM311)))</f>
        <v/>
      </c>
      <c r="AR311">
        <f>IF(OR(AM$3="",AM$3&gt;TODAY()),"",IF(AND(AP311="",AQ311=""),"",N(AQ311)-N(AP311)))</f>
        <v/>
      </c>
      <c r="AV311">
        <f>IF(OR(AT$3="",AT$3&gt;TODAY()),"",IF(AND(AT311="",AU311=""),"",N(AU311)-N(AT311)))</f>
        <v/>
      </c>
      <c r="AY311">
        <f>IF(OR(AT$3="",AT$3&gt;TODAY()),"",IF(AND(AW311="",AX311=""),"",N(AX311)-N(AW311)))</f>
        <v/>
      </c>
      <c r="BC311">
        <f>IF(OR(BA$3="",BA$3&gt;TODAY()),"",IF(AND(BA311="",BB311=""),"",N(BB311)-N(BA311)))</f>
        <v/>
      </c>
      <c r="BF311">
        <f>IF(OR(BA$3="",BA$3&gt;TODAY()),"",IF(AND(BD311="",BE311=""),"",N(BE311)-N(BD311)))</f>
        <v/>
      </c>
      <c r="BJ311">
        <f>IF(OR(BH$3="",BH$3&gt;TODAY()),"",IF(AND(BH311="",BI311=""),"",N(BI311)-N(BH311)))</f>
        <v/>
      </c>
      <c r="BM311">
        <f>IF(OR(BH$3="",BH$3&gt;TODAY()),"",IF(AND(BK311="",BL311=""),"",N(BL311)-N(BK311)))</f>
        <v/>
      </c>
      <c r="BQ311">
        <f>IF(OR(BO$3="",BO$3&gt;TODAY()),"",IF(AND(BO311="",BP311=""),"",N(BP311)-N(BO311)))</f>
        <v/>
      </c>
      <c r="BT311">
        <f>IF(OR(BO$3="",BO$3&gt;TODAY()),"",IF(AND(BR311="",BS311=""),"",N(BS311)-N(BR311)))</f>
        <v/>
      </c>
      <c r="BX311">
        <f>IF(OR(BV$3="",BV$3&gt;TODAY()),"",IF(AND(BV311="",BW311=""),"",N(BW311)-N(BV311)))</f>
        <v/>
      </c>
      <c r="CA311">
        <f>IF(OR(BV$3="",BV$3&gt;TODAY()),"",IF(AND(BY311="",BZ311=""),"",N(BZ311)-N(BY311)))</f>
        <v/>
      </c>
      <c r="CE311">
        <f>IF(OR(CC$3="",CC$3&gt;TODAY()),"",IF(AND(CC311="",CD311=""),"",N(CD311)-N(CC311)))</f>
        <v/>
      </c>
      <c r="CH311">
        <f>IF(OR(CC$3="",CC$3&gt;TODAY()),"",IF(AND(CF311="",CG311=""),"",N(CG311)-N(CF311)))</f>
        <v/>
      </c>
      <c r="CL311">
        <f>IF(OR(CJ$3="",CJ$3&gt;TODAY()),"",IF(AND(CJ311="",CK311=""),"",N(CK311)-N(CJ311)))</f>
        <v/>
      </c>
      <c r="CO311">
        <f>IF(OR(CJ$3="",CJ$3&gt;TODAY()),"",IF(AND(CM311="",CN311=""),"",N(CN311)-N(CM311)))</f>
        <v/>
      </c>
      <c r="CS311">
        <f>IF(OR(CQ$3="",CQ$3&gt;TODAY()),"",IF(AND(CQ311="",CR311=""),"",N(CR311)-N(CQ311)))</f>
        <v/>
      </c>
      <c r="CV311">
        <f>IF(OR(CQ$3="",CQ$3&gt;TODAY()),"",IF(AND(CT311="",CU311=""),"",N(CU311)-N(CT311)))</f>
        <v/>
      </c>
      <c r="CZ311">
        <f>IF(OR(CX$3="",CX$3&gt;TODAY()),"",IF(AND(CX311="",CY311=""),"",N(CY311)-N(CX311)))</f>
        <v/>
      </c>
      <c r="DC311">
        <f>IF(OR(CX$3="",CX$3&gt;TODAY()),"",IF(AND(DA311="",DB311=""),"",N(DB311)-N(DA311)))</f>
        <v/>
      </c>
      <c r="DG311">
        <f>IF(OR(DE$3="",DE$3&gt;TODAY()),"",IF(AND(DE311="",DF311=""),"",N(DF311)-N(DE311)))</f>
        <v/>
      </c>
      <c r="DJ311">
        <f>IF(OR(DE$3="",DE$3&gt;TODAY()),"",IF(AND(DH311="",DI311=""),"",N(DI311)-N(DH311)))</f>
        <v/>
      </c>
      <c r="DN311">
        <f>IF(OR(DL$3="",DL$3&gt;TODAY()),"",IF(AND(DL311="",DM311=""),"",N(DM311)-N(DL311)))</f>
        <v/>
      </c>
      <c r="DQ311">
        <f>IF(OR(DL$3="",DL$3&gt;TODAY()),"",IF(AND(DO311="",DP311=""),"",N(DP311)-N(DO311)))</f>
        <v/>
      </c>
      <c r="DU311">
        <f>IF(OR(DS$3="",DS$3&gt;TODAY()),"",IF(AND(DS311="",DT311=""),"",N(DT311)-N(DS311)))</f>
        <v/>
      </c>
      <c r="DX311">
        <f>IF(OR(DS$3="",DS$3&gt;TODAY()),"",IF(AND(DV311="",DW311=""),"",N(DW311)-N(DV311)))</f>
        <v/>
      </c>
      <c r="EB311">
        <f>IF(OR(DZ$3="",DZ$3&gt;TODAY()),"",IF(AND(DZ311="",EA311=""),"",N(EA311)-N(DZ311)))</f>
        <v/>
      </c>
      <c r="EE311">
        <f>IF(OR(DZ$3="",DZ$3&gt;TODAY()),"",IF(AND(EC311="",ED311=""),"",N(ED311)-N(EC311)))</f>
        <v/>
      </c>
      <c r="EI311">
        <f>IF(OR(EG$3="",EG$3&gt;TODAY()),"",IF(AND(EG311="",EH311=""),"",N(EH311)-N(EG311)))</f>
        <v/>
      </c>
      <c r="EL311">
        <f>IF(OR(EG$3="",EG$3&gt;TODAY()),"",IF(AND(EJ311="",EK311=""),"",N(EK311)-N(EJ311)))</f>
        <v/>
      </c>
      <c r="EP311">
        <f>IF(OR(EN$3="",EN$3&gt;TODAY()),"",IF(AND(EN311="",EO311=""),"",N(EO311)-N(EN311)))</f>
        <v/>
      </c>
      <c r="ES311">
        <f>IF(OR(EN$3="",EN$3&gt;TODAY()),"",IF(AND(EQ311="",ER311=""),"",N(ER311)-N(EQ311)))</f>
        <v/>
      </c>
      <c r="EW311">
        <f>IF(OR(EU$3="",EU$3&gt;TODAY()),"",IF(AND(EU311="",EV311=""),"",N(EV311)-N(EU311)))</f>
        <v/>
      </c>
      <c r="EZ311">
        <f>IF(OR(EU$3="",EU$3&gt;TODAY()),"",IF(AND(EX311="",EY311=""),"",N(EY311)-N(EX311)))</f>
        <v/>
      </c>
      <c r="FD311">
        <f>IF(OR(FB$3="",FB$3&gt;TODAY()),"",IF(AND(FB311="",FC311=""),"",N(FC311)-N(FB311)))</f>
        <v/>
      </c>
      <c r="FG311">
        <f>IF(OR(FB$3="",FB$3&gt;TODAY()),"",IF(AND(FE311="",FF311=""),"",N(FF311)-N(FE311)))</f>
        <v/>
      </c>
      <c r="FK311">
        <f>IF(OR(FI$3="",FI$3&gt;TODAY()),"",IF(AND(FI311="",FJ311=""),"",N(FJ311)-N(FI311)))</f>
        <v/>
      </c>
      <c r="FN311">
        <f>IF(OR(FI$3="",FI$3&gt;TODAY()),"",IF(AND(FL311="",FM311=""),"",N(FM311)-N(FL311)))</f>
        <v/>
      </c>
      <c r="FR311">
        <f>IF(OR(FP$3="",FP$3&gt;TODAY()),"",IF(AND(FP311="",FQ311=""),"",N(FQ311)-N(FP311)))</f>
        <v/>
      </c>
      <c r="FU311">
        <f>IF(OR(FP$3="",FP$3&gt;TODAY()),"",IF(AND(FS311="",FT311=""),"",N(FT311)-N(FS311)))</f>
        <v/>
      </c>
      <c r="FY311">
        <f>IF(OR(FW$3="",FW$3&gt;TODAY()),"",IF(AND(FW311="",FX311=""),"",N(FX311)-N(FW311)))</f>
        <v/>
      </c>
      <c r="GB311">
        <f>IF(OR(FW$3="",FW$3&gt;TODAY()),"",IF(AND(FZ311="",GA311=""),"",N(GA311)-N(FZ311)))</f>
        <v/>
      </c>
      <c r="GF311">
        <f>IF(OR(GD$3="",GD$3&gt;TODAY()),"",IF(AND(GD311="",GE311=""),"",N(GE311)-N(GD311)))</f>
        <v/>
      </c>
      <c r="GI311">
        <f>IF(OR(GD$3="",GD$3&gt;TODAY()),"",IF(AND(GG311="",GH311=""),"",N(GH311)-N(GG311)))</f>
        <v/>
      </c>
      <c r="GM311">
        <f>IF(OR(GK$3="",GK$3&gt;TODAY()),"",IF(AND(GK311="",GL311=""),"",N(GL311)-N(GK311)))</f>
        <v/>
      </c>
      <c r="GP311">
        <f>IF(OR(GK$3="",GK$3&gt;TODAY()),"",IF(AND(GN311="",GO311=""),"",N(GO311)-N(GN311)))</f>
        <v/>
      </c>
      <c r="GT311">
        <f>IF(OR(GR$3="",GR$3&gt;TODAY()),"",IF(AND(GR311="",GS311=""),"",N(GS311)-N(GR311)))</f>
        <v/>
      </c>
      <c r="GW311">
        <f>IF(OR(GR$3="",GR$3&gt;TODAY()),"",IF(AND(GU311="",GV311=""),"",N(GV311)-N(GU311)))</f>
        <v/>
      </c>
      <c r="HA311">
        <f>IF(OR(GY$3="",GY$3&gt;TODAY()),"",IF(AND(GY311="",GZ311=""),"",N(GZ311)-N(GY311)))</f>
        <v/>
      </c>
      <c r="HD311">
        <f>IF(OR(GY$3="",GY$3&gt;TODAY()),"",IF(AND(HB311="",HC311=""),"",N(HC311)-N(HB311)))</f>
        <v/>
      </c>
      <c r="HH311">
        <f>IF(OR(HF$3="",HF$3&gt;TODAY()),"",IF(AND(HF311="",HG311=""),"",N(HG311)-N(HF311)))</f>
        <v/>
      </c>
      <c r="HK311">
        <f>IF(OR(HF$3="",HF$3&gt;TODAY()),"",IF(AND(HI311="",HJ311=""),"",N(HJ311)-N(HI311)))</f>
        <v/>
      </c>
      <c r="HO311">
        <f>IF(OR(HM$3="",HM$3&gt;TODAY()),"",IF(AND(HM311="",HN311=""),"",N(HN311)-N(HM311)))</f>
        <v/>
      </c>
      <c r="HR311">
        <f>IF(OR(HM$3="",HM$3&gt;TODAY()),"",IF(AND(HP311="",HQ311=""),"",N(HQ311)-N(HP311)))</f>
        <v/>
      </c>
      <c r="HV311">
        <f>IF(OR(HT$3="",HT$3&gt;TODAY()),"",IF(AND(HT311="",HU311=""),"",N(HU311)-N(HT311)))</f>
        <v/>
      </c>
      <c r="HY311">
        <f>IF(OR(HT$3="",HT$3&gt;TODAY()),"",IF(AND(HW311="",HX311=""),"",N(HX311)-N(HW311)))</f>
        <v/>
      </c>
      <c r="IC311">
        <f>IF(OR(IA$3="",IA$3&gt;TODAY()),"",IF(AND(IA311="",IB311=""),"",N(IB311)-N(IA311)))</f>
        <v/>
      </c>
      <c r="IF311">
        <f>IF(OR(IA$3="",IA$3&gt;TODAY()),"",IF(AND(ID311="",IE311=""),"",N(IE311)-N(ID311)))</f>
        <v/>
      </c>
      <c r="IJ311">
        <f>IF(OR(IH$3="",IH$3&gt;TODAY()),"",IF(AND(IH311="",II311=""),"",N(II311)-N(IH311)))</f>
        <v/>
      </c>
      <c r="IM311">
        <f>IF(OR(IH$3="",IH$3&gt;TODAY()),"",IF(AND(IK311="",IL311=""),"",N(IL311)-N(IK311)))</f>
        <v/>
      </c>
    </row>
    <row r="312">
      <c r="A312" s="21" t="n"/>
      <c r="B312" s="21" t="n"/>
      <c r="C312" s="21" t="n"/>
      <c r="D312" s="21" t="n"/>
      <c r="E312" s="21" t="n"/>
      <c r="F312" s="21" t="n"/>
      <c r="G312" s="21" t="n"/>
      <c r="H312" s="21" t="n"/>
      <c r="I312" s="22" t="n"/>
      <c r="J312" s="22" t="n"/>
      <c r="K312" s="23" t="n"/>
      <c r="L312" s="22" t="n"/>
      <c r="M312" s="22" t="n"/>
      <c r="N312" s="21" t="n"/>
      <c r="O312" s="23" t="n"/>
      <c r="P312" s="23" t="n"/>
      <c r="Q312" s="23" t="n"/>
      <c r="R312" s="23" t="n"/>
      <c r="S312" s="22" t="n"/>
      <c r="T312" s="23" t="n"/>
      <c r="U312" s="23" t="n"/>
      <c r="V312" s="24">
        <f>IF(J312&lt;&gt;"",J312,IF(I312&lt;&gt;"",I312,""))</f>
        <v/>
      </c>
      <c r="W312" s="25">
        <f>IF($E312="","",N(O312)+SUMIFS($AF312:$IN312,$AF$4:$IN$4,"SEW_ACT"))</f>
        <v/>
      </c>
      <c r="X312" s="25">
        <f>IF($E312="","",N(P312)+SUMIFS($AF312:$IN312,$AF$4:$IN$4,"WASH_ACT"))</f>
        <v/>
      </c>
      <c r="Y312" s="25">
        <f>IF($E312="","",W312-X312-N(T312)-N(U312))</f>
        <v/>
      </c>
      <c r="Z312" s="25">
        <f>IF($E312="","",IF(N(K312)-X312&lt;=0.02*N(K312),0,N(K312)-X312))</f>
        <v/>
      </c>
      <c r="AA312" s="24">
        <f>IF($E312="","",IF(S312&lt;&gt;"",S312,IF(N(O312)&gt;0,IF(L312&lt;&gt;"",L312,99999),IFERROR(1/(1/_xlfn.MINIFS($AF$3:$IN$3,$AF$4:$IN$4,"SEW_ACT",$AF312:$IN312,"&gt;0")),99999))))</f>
        <v/>
      </c>
      <c r="AB312" s="26">
        <f>IF(OR($E312="",Z312=0,V312=""),"",1+COUNTIFS(Z$8:Z$707,"&gt;0",V$8:V$707,"&lt;"&amp;V312)+COUNTIFS(Z$8:Z$707,"&gt;0",V$8:V$707,V312,AA$8:AA$707,"&lt;"&amp;AA312)+COUNTIFS(Z$8:Z$707,"&gt;0",V$8:V$707,V312,AA$8:AA$707,AA312,E$8:E$707,"&lt;"&amp;$E312))</f>
        <v/>
      </c>
      <c r="AC312" s="24">
        <f>IF(OR($E312="",Z312=0),"",IFERROR(TODAY()+ROUNDUP(Z312/(SUMIFS($AF312:$IN312,$AF$4:$IN$4,"WASH_ACT")/COUNTIFS($AF$4:$IN$4,"WASH_ACT",$AF312:$IN312,"&gt;0")),0),"no output yet"))</f>
        <v/>
      </c>
      <c r="AD312" s="26">
        <f>IF($E312="","",IFERROR(ROUND(MAX(0,SUMIFS($AF312:$IN312,$AF$4:$IN$4,"SEW_PLAN",$AF$3:$IN$3,"&lt;="&amp;TODAY())-SUMIFS($AF312:$IN312,$AF$4:$IN$4,"SEW_ACT",$AF$3:$IN$3,"&lt;="&amp;TODAY())+N(Q312))/(SUMIFS($AF312:$IN312,$AF$4:$IN$4,"SEW_PLAN")/COUNTIFS($AF$4:$IN$4,"SEW_PLAN",$AF312:$IN312,"&gt;0")),1),0))</f>
        <v/>
      </c>
      <c r="AE312" s="26">
        <f>IF($E312="","",IF(AND(Z312&gt;0,OR(AND(M312&lt;&gt;"",TODAY()&gt;M312),AND(V312&lt;&gt;"",V312-TODAY()&lt;=7))),"Yes","No"))</f>
        <v/>
      </c>
      <c r="AH312">
        <f>IF(OR(AF$3="",AF$3&gt;TODAY()),"",IF(AND(AF312="",AG312=""),"",N(AG312)-N(AF312)))</f>
        <v/>
      </c>
      <c r="AK312">
        <f>IF(OR(AF$3="",AF$3&gt;TODAY()),"",IF(AND(AI312="",AJ312=""),"",N(AJ312)-N(AI312)))</f>
        <v/>
      </c>
      <c r="AO312">
        <f>IF(OR(AM$3="",AM$3&gt;TODAY()),"",IF(AND(AM312="",AN312=""),"",N(AN312)-N(AM312)))</f>
        <v/>
      </c>
      <c r="AR312">
        <f>IF(OR(AM$3="",AM$3&gt;TODAY()),"",IF(AND(AP312="",AQ312=""),"",N(AQ312)-N(AP312)))</f>
        <v/>
      </c>
      <c r="AV312">
        <f>IF(OR(AT$3="",AT$3&gt;TODAY()),"",IF(AND(AT312="",AU312=""),"",N(AU312)-N(AT312)))</f>
        <v/>
      </c>
      <c r="AY312">
        <f>IF(OR(AT$3="",AT$3&gt;TODAY()),"",IF(AND(AW312="",AX312=""),"",N(AX312)-N(AW312)))</f>
        <v/>
      </c>
      <c r="BC312">
        <f>IF(OR(BA$3="",BA$3&gt;TODAY()),"",IF(AND(BA312="",BB312=""),"",N(BB312)-N(BA312)))</f>
        <v/>
      </c>
      <c r="BF312">
        <f>IF(OR(BA$3="",BA$3&gt;TODAY()),"",IF(AND(BD312="",BE312=""),"",N(BE312)-N(BD312)))</f>
        <v/>
      </c>
      <c r="BJ312">
        <f>IF(OR(BH$3="",BH$3&gt;TODAY()),"",IF(AND(BH312="",BI312=""),"",N(BI312)-N(BH312)))</f>
        <v/>
      </c>
      <c r="BM312">
        <f>IF(OR(BH$3="",BH$3&gt;TODAY()),"",IF(AND(BK312="",BL312=""),"",N(BL312)-N(BK312)))</f>
        <v/>
      </c>
      <c r="BQ312">
        <f>IF(OR(BO$3="",BO$3&gt;TODAY()),"",IF(AND(BO312="",BP312=""),"",N(BP312)-N(BO312)))</f>
        <v/>
      </c>
      <c r="BT312">
        <f>IF(OR(BO$3="",BO$3&gt;TODAY()),"",IF(AND(BR312="",BS312=""),"",N(BS312)-N(BR312)))</f>
        <v/>
      </c>
      <c r="BX312">
        <f>IF(OR(BV$3="",BV$3&gt;TODAY()),"",IF(AND(BV312="",BW312=""),"",N(BW312)-N(BV312)))</f>
        <v/>
      </c>
      <c r="CA312">
        <f>IF(OR(BV$3="",BV$3&gt;TODAY()),"",IF(AND(BY312="",BZ312=""),"",N(BZ312)-N(BY312)))</f>
        <v/>
      </c>
      <c r="CE312">
        <f>IF(OR(CC$3="",CC$3&gt;TODAY()),"",IF(AND(CC312="",CD312=""),"",N(CD312)-N(CC312)))</f>
        <v/>
      </c>
      <c r="CH312">
        <f>IF(OR(CC$3="",CC$3&gt;TODAY()),"",IF(AND(CF312="",CG312=""),"",N(CG312)-N(CF312)))</f>
        <v/>
      </c>
      <c r="CL312">
        <f>IF(OR(CJ$3="",CJ$3&gt;TODAY()),"",IF(AND(CJ312="",CK312=""),"",N(CK312)-N(CJ312)))</f>
        <v/>
      </c>
      <c r="CO312">
        <f>IF(OR(CJ$3="",CJ$3&gt;TODAY()),"",IF(AND(CM312="",CN312=""),"",N(CN312)-N(CM312)))</f>
        <v/>
      </c>
      <c r="CS312">
        <f>IF(OR(CQ$3="",CQ$3&gt;TODAY()),"",IF(AND(CQ312="",CR312=""),"",N(CR312)-N(CQ312)))</f>
        <v/>
      </c>
      <c r="CV312">
        <f>IF(OR(CQ$3="",CQ$3&gt;TODAY()),"",IF(AND(CT312="",CU312=""),"",N(CU312)-N(CT312)))</f>
        <v/>
      </c>
      <c r="CZ312">
        <f>IF(OR(CX$3="",CX$3&gt;TODAY()),"",IF(AND(CX312="",CY312=""),"",N(CY312)-N(CX312)))</f>
        <v/>
      </c>
      <c r="DC312">
        <f>IF(OR(CX$3="",CX$3&gt;TODAY()),"",IF(AND(DA312="",DB312=""),"",N(DB312)-N(DA312)))</f>
        <v/>
      </c>
      <c r="DG312">
        <f>IF(OR(DE$3="",DE$3&gt;TODAY()),"",IF(AND(DE312="",DF312=""),"",N(DF312)-N(DE312)))</f>
        <v/>
      </c>
      <c r="DJ312">
        <f>IF(OR(DE$3="",DE$3&gt;TODAY()),"",IF(AND(DH312="",DI312=""),"",N(DI312)-N(DH312)))</f>
        <v/>
      </c>
      <c r="DN312">
        <f>IF(OR(DL$3="",DL$3&gt;TODAY()),"",IF(AND(DL312="",DM312=""),"",N(DM312)-N(DL312)))</f>
        <v/>
      </c>
      <c r="DQ312">
        <f>IF(OR(DL$3="",DL$3&gt;TODAY()),"",IF(AND(DO312="",DP312=""),"",N(DP312)-N(DO312)))</f>
        <v/>
      </c>
      <c r="DU312">
        <f>IF(OR(DS$3="",DS$3&gt;TODAY()),"",IF(AND(DS312="",DT312=""),"",N(DT312)-N(DS312)))</f>
        <v/>
      </c>
      <c r="DX312">
        <f>IF(OR(DS$3="",DS$3&gt;TODAY()),"",IF(AND(DV312="",DW312=""),"",N(DW312)-N(DV312)))</f>
        <v/>
      </c>
      <c r="EB312">
        <f>IF(OR(DZ$3="",DZ$3&gt;TODAY()),"",IF(AND(DZ312="",EA312=""),"",N(EA312)-N(DZ312)))</f>
        <v/>
      </c>
      <c r="EE312">
        <f>IF(OR(DZ$3="",DZ$3&gt;TODAY()),"",IF(AND(EC312="",ED312=""),"",N(ED312)-N(EC312)))</f>
        <v/>
      </c>
      <c r="EI312">
        <f>IF(OR(EG$3="",EG$3&gt;TODAY()),"",IF(AND(EG312="",EH312=""),"",N(EH312)-N(EG312)))</f>
        <v/>
      </c>
      <c r="EL312">
        <f>IF(OR(EG$3="",EG$3&gt;TODAY()),"",IF(AND(EJ312="",EK312=""),"",N(EK312)-N(EJ312)))</f>
        <v/>
      </c>
      <c r="EP312">
        <f>IF(OR(EN$3="",EN$3&gt;TODAY()),"",IF(AND(EN312="",EO312=""),"",N(EO312)-N(EN312)))</f>
        <v/>
      </c>
      <c r="ES312">
        <f>IF(OR(EN$3="",EN$3&gt;TODAY()),"",IF(AND(EQ312="",ER312=""),"",N(ER312)-N(EQ312)))</f>
        <v/>
      </c>
      <c r="EW312">
        <f>IF(OR(EU$3="",EU$3&gt;TODAY()),"",IF(AND(EU312="",EV312=""),"",N(EV312)-N(EU312)))</f>
        <v/>
      </c>
      <c r="EZ312">
        <f>IF(OR(EU$3="",EU$3&gt;TODAY()),"",IF(AND(EX312="",EY312=""),"",N(EY312)-N(EX312)))</f>
        <v/>
      </c>
      <c r="FD312">
        <f>IF(OR(FB$3="",FB$3&gt;TODAY()),"",IF(AND(FB312="",FC312=""),"",N(FC312)-N(FB312)))</f>
        <v/>
      </c>
      <c r="FG312">
        <f>IF(OR(FB$3="",FB$3&gt;TODAY()),"",IF(AND(FE312="",FF312=""),"",N(FF312)-N(FE312)))</f>
        <v/>
      </c>
      <c r="FK312">
        <f>IF(OR(FI$3="",FI$3&gt;TODAY()),"",IF(AND(FI312="",FJ312=""),"",N(FJ312)-N(FI312)))</f>
        <v/>
      </c>
      <c r="FN312">
        <f>IF(OR(FI$3="",FI$3&gt;TODAY()),"",IF(AND(FL312="",FM312=""),"",N(FM312)-N(FL312)))</f>
        <v/>
      </c>
      <c r="FR312">
        <f>IF(OR(FP$3="",FP$3&gt;TODAY()),"",IF(AND(FP312="",FQ312=""),"",N(FQ312)-N(FP312)))</f>
        <v/>
      </c>
      <c r="FU312">
        <f>IF(OR(FP$3="",FP$3&gt;TODAY()),"",IF(AND(FS312="",FT312=""),"",N(FT312)-N(FS312)))</f>
        <v/>
      </c>
      <c r="FY312">
        <f>IF(OR(FW$3="",FW$3&gt;TODAY()),"",IF(AND(FW312="",FX312=""),"",N(FX312)-N(FW312)))</f>
        <v/>
      </c>
      <c r="GB312">
        <f>IF(OR(FW$3="",FW$3&gt;TODAY()),"",IF(AND(FZ312="",GA312=""),"",N(GA312)-N(FZ312)))</f>
        <v/>
      </c>
      <c r="GF312">
        <f>IF(OR(GD$3="",GD$3&gt;TODAY()),"",IF(AND(GD312="",GE312=""),"",N(GE312)-N(GD312)))</f>
        <v/>
      </c>
      <c r="GI312">
        <f>IF(OR(GD$3="",GD$3&gt;TODAY()),"",IF(AND(GG312="",GH312=""),"",N(GH312)-N(GG312)))</f>
        <v/>
      </c>
      <c r="GM312">
        <f>IF(OR(GK$3="",GK$3&gt;TODAY()),"",IF(AND(GK312="",GL312=""),"",N(GL312)-N(GK312)))</f>
        <v/>
      </c>
      <c r="GP312">
        <f>IF(OR(GK$3="",GK$3&gt;TODAY()),"",IF(AND(GN312="",GO312=""),"",N(GO312)-N(GN312)))</f>
        <v/>
      </c>
      <c r="GT312">
        <f>IF(OR(GR$3="",GR$3&gt;TODAY()),"",IF(AND(GR312="",GS312=""),"",N(GS312)-N(GR312)))</f>
        <v/>
      </c>
      <c r="GW312">
        <f>IF(OR(GR$3="",GR$3&gt;TODAY()),"",IF(AND(GU312="",GV312=""),"",N(GV312)-N(GU312)))</f>
        <v/>
      </c>
      <c r="HA312">
        <f>IF(OR(GY$3="",GY$3&gt;TODAY()),"",IF(AND(GY312="",GZ312=""),"",N(GZ312)-N(GY312)))</f>
        <v/>
      </c>
      <c r="HD312">
        <f>IF(OR(GY$3="",GY$3&gt;TODAY()),"",IF(AND(HB312="",HC312=""),"",N(HC312)-N(HB312)))</f>
        <v/>
      </c>
      <c r="HH312">
        <f>IF(OR(HF$3="",HF$3&gt;TODAY()),"",IF(AND(HF312="",HG312=""),"",N(HG312)-N(HF312)))</f>
        <v/>
      </c>
      <c r="HK312">
        <f>IF(OR(HF$3="",HF$3&gt;TODAY()),"",IF(AND(HI312="",HJ312=""),"",N(HJ312)-N(HI312)))</f>
        <v/>
      </c>
      <c r="HO312">
        <f>IF(OR(HM$3="",HM$3&gt;TODAY()),"",IF(AND(HM312="",HN312=""),"",N(HN312)-N(HM312)))</f>
        <v/>
      </c>
      <c r="HR312">
        <f>IF(OR(HM$3="",HM$3&gt;TODAY()),"",IF(AND(HP312="",HQ312=""),"",N(HQ312)-N(HP312)))</f>
        <v/>
      </c>
      <c r="HV312">
        <f>IF(OR(HT$3="",HT$3&gt;TODAY()),"",IF(AND(HT312="",HU312=""),"",N(HU312)-N(HT312)))</f>
        <v/>
      </c>
      <c r="HY312">
        <f>IF(OR(HT$3="",HT$3&gt;TODAY()),"",IF(AND(HW312="",HX312=""),"",N(HX312)-N(HW312)))</f>
        <v/>
      </c>
      <c r="IC312">
        <f>IF(OR(IA$3="",IA$3&gt;TODAY()),"",IF(AND(IA312="",IB312=""),"",N(IB312)-N(IA312)))</f>
        <v/>
      </c>
      <c r="IF312">
        <f>IF(OR(IA$3="",IA$3&gt;TODAY()),"",IF(AND(ID312="",IE312=""),"",N(IE312)-N(ID312)))</f>
        <v/>
      </c>
      <c r="IJ312">
        <f>IF(OR(IH$3="",IH$3&gt;TODAY()),"",IF(AND(IH312="",II312=""),"",N(II312)-N(IH312)))</f>
        <v/>
      </c>
      <c r="IM312">
        <f>IF(OR(IH$3="",IH$3&gt;TODAY()),"",IF(AND(IK312="",IL312=""),"",N(IL312)-N(IK312)))</f>
        <v/>
      </c>
    </row>
    <row r="313">
      <c r="A313" s="21" t="n"/>
      <c r="B313" s="21" t="n"/>
      <c r="C313" s="21" t="n"/>
      <c r="D313" s="21" t="n"/>
      <c r="E313" s="21" t="n"/>
      <c r="F313" s="21" t="n"/>
      <c r="G313" s="21" t="n"/>
      <c r="H313" s="21" t="n"/>
      <c r="I313" s="22" t="n"/>
      <c r="J313" s="22" t="n"/>
      <c r="K313" s="23" t="n"/>
      <c r="L313" s="22" t="n"/>
      <c r="M313" s="22" t="n"/>
      <c r="N313" s="21" t="n"/>
      <c r="O313" s="23" t="n"/>
      <c r="P313" s="23" t="n"/>
      <c r="Q313" s="23" t="n"/>
      <c r="R313" s="23" t="n"/>
      <c r="S313" s="22" t="n"/>
      <c r="T313" s="23" t="n"/>
      <c r="U313" s="23" t="n"/>
      <c r="V313" s="24">
        <f>IF(J313&lt;&gt;"",J313,IF(I313&lt;&gt;"",I313,""))</f>
        <v/>
      </c>
      <c r="W313" s="25">
        <f>IF($E313="","",N(O313)+SUMIFS($AF313:$IN313,$AF$4:$IN$4,"SEW_ACT"))</f>
        <v/>
      </c>
      <c r="X313" s="25">
        <f>IF($E313="","",N(P313)+SUMIFS($AF313:$IN313,$AF$4:$IN$4,"WASH_ACT"))</f>
        <v/>
      </c>
      <c r="Y313" s="25">
        <f>IF($E313="","",W313-X313-N(T313)-N(U313))</f>
        <v/>
      </c>
      <c r="Z313" s="25">
        <f>IF($E313="","",IF(N(K313)-X313&lt;=0.02*N(K313),0,N(K313)-X313))</f>
        <v/>
      </c>
      <c r="AA313" s="24">
        <f>IF($E313="","",IF(S313&lt;&gt;"",S313,IF(N(O313)&gt;0,IF(L313&lt;&gt;"",L313,99999),IFERROR(1/(1/_xlfn.MINIFS($AF$3:$IN$3,$AF$4:$IN$4,"SEW_ACT",$AF313:$IN313,"&gt;0")),99999))))</f>
        <v/>
      </c>
      <c r="AB313" s="26">
        <f>IF(OR($E313="",Z313=0,V313=""),"",1+COUNTIFS(Z$8:Z$707,"&gt;0",V$8:V$707,"&lt;"&amp;V313)+COUNTIFS(Z$8:Z$707,"&gt;0",V$8:V$707,V313,AA$8:AA$707,"&lt;"&amp;AA313)+COUNTIFS(Z$8:Z$707,"&gt;0",V$8:V$707,V313,AA$8:AA$707,AA313,E$8:E$707,"&lt;"&amp;$E313))</f>
        <v/>
      </c>
      <c r="AC313" s="24">
        <f>IF(OR($E313="",Z313=0),"",IFERROR(TODAY()+ROUNDUP(Z313/(SUMIFS($AF313:$IN313,$AF$4:$IN$4,"WASH_ACT")/COUNTIFS($AF$4:$IN$4,"WASH_ACT",$AF313:$IN313,"&gt;0")),0),"no output yet"))</f>
        <v/>
      </c>
      <c r="AD313" s="26">
        <f>IF($E313="","",IFERROR(ROUND(MAX(0,SUMIFS($AF313:$IN313,$AF$4:$IN$4,"SEW_PLAN",$AF$3:$IN$3,"&lt;="&amp;TODAY())-SUMIFS($AF313:$IN313,$AF$4:$IN$4,"SEW_ACT",$AF$3:$IN$3,"&lt;="&amp;TODAY())+N(Q313))/(SUMIFS($AF313:$IN313,$AF$4:$IN$4,"SEW_PLAN")/COUNTIFS($AF$4:$IN$4,"SEW_PLAN",$AF313:$IN313,"&gt;0")),1),0))</f>
        <v/>
      </c>
      <c r="AE313" s="26">
        <f>IF($E313="","",IF(AND(Z313&gt;0,OR(AND(M313&lt;&gt;"",TODAY()&gt;M313),AND(V313&lt;&gt;"",V313-TODAY()&lt;=7))),"Yes","No"))</f>
        <v/>
      </c>
      <c r="AH313">
        <f>IF(OR(AF$3="",AF$3&gt;TODAY()),"",IF(AND(AF313="",AG313=""),"",N(AG313)-N(AF313)))</f>
        <v/>
      </c>
      <c r="AK313">
        <f>IF(OR(AF$3="",AF$3&gt;TODAY()),"",IF(AND(AI313="",AJ313=""),"",N(AJ313)-N(AI313)))</f>
        <v/>
      </c>
      <c r="AO313">
        <f>IF(OR(AM$3="",AM$3&gt;TODAY()),"",IF(AND(AM313="",AN313=""),"",N(AN313)-N(AM313)))</f>
        <v/>
      </c>
      <c r="AR313">
        <f>IF(OR(AM$3="",AM$3&gt;TODAY()),"",IF(AND(AP313="",AQ313=""),"",N(AQ313)-N(AP313)))</f>
        <v/>
      </c>
      <c r="AV313">
        <f>IF(OR(AT$3="",AT$3&gt;TODAY()),"",IF(AND(AT313="",AU313=""),"",N(AU313)-N(AT313)))</f>
        <v/>
      </c>
      <c r="AY313">
        <f>IF(OR(AT$3="",AT$3&gt;TODAY()),"",IF(AND(AW313="",AX313=""),"",N(AX313)-N(AW313)))</f>
        <v/>
      </c>
      <c r="BC313">
        <f>IF(OR(BA$3="",BA$3&gt;TODAY()),"",IF(AND(BA313="",BB313=""),"",N(BB313)-N(BA313)))</f>
        <v/>
      </c>
      <c r="BF313">
        <f>IF(OR(BA$3="",BA$3&gt;TODAY()),"",IF(AND(BD313="",BE313=""),"",N(BE313)-N(BD313)))</f>
        <v/>
      </c>
      <c r="BJ313">
        <f>IF(OR(BH$3="",BH$3&gt;TODAY()),"",IF(AND(BH313="",BI313=""),"",N(BI313)-N(BH313)))</f>
        <v/>
      </c>
      <c r="BM313">
        <f>IF(OR(BH$3="",BH$3&gt;TODAY()),"",IF(AND(BK313="",BL313=""),"",N(BL313)-N(BK313)))</f>
        <v/>
      </c>
      <c r="BQ313">
        <f>IF(OR(BO$3="",BO$3&gt;TODAY()),"",IF(AND(BO313="",BP313=""),"",N(BP313)-N(BO313)))</f>
        <v/>
      </c>
      <c r="BT313">
        <f>IF(OR(BO$3="",BO$3&gt;TODAY()),"",IF(AND(BR313="",BS313=""),"",N(BS313)-N(BR313)))</f>
        <v/>
      </c>
      <c r="BX313">
        <f>IF(OR(BV$3="",BV$3&gt;TODAY()),"",IF(AND(BV313="",BW313=""),"",N(BW313)-N(BV313)))</f>
        <v/>
      </c>
      <c r="CA313">
        <f>IF(OR(BV$3="",BV$3&gt;TODAY()),"",IF(AND(BY313="",BZ313=""),"",N(BZ313)-N(BY313)))</f>
        <v/>
      </c>
      <c r="CE313">
        <f>IF(OR(CC$3="",CC$3&gt;TODAY()),"",IF(AND(CC313="",CD313=""),"",N(CD313)-N(CC313)))</f>
        <v/>
      </c>
      <c r="CH313">
        <f>IF(OR(CC$3="",CC$3&gt;TODAY()),"",IF(AND(CF313="",CG313=""),"",N(CG313)-N(CF313)))</f>
        <v/>
      </c>
      <c r="CL313">
        <f>IF(OR(CJ$3="",CJ$3&gt;TODAY()),"",IF(AND(CJ313="",CK313=""),"",N(CK313)-N(CJ313)))</f>
        <v/>
      </c>
      <c r="CO313">
        <f>IF(OR(CJ$3="",CJ$3&gt;TODAY()),"",IF(AND(CM313="",CN313=""),"",N(CN313)-N(CM313)))</f>
        <v/>
      </c>
      <c r="CS313">
        <f>IF(OR(CQ$3="",CQ$3&gt;TODAY()),"",IF(AND(CQ313="",CR313=""),"",N(CR313)-N(CQ313)))</f>
        <v/>
      </c>
      <c r="CV313">
        <f>IF(OR(CQ$3="",CQ$3&gt;TODAY()),"",IF(AND(CT313="",CU313=""),"",N(CU313)-N(CT313)))</f>
        <v/>
      </c>
      <c r="CZ313">
        <f>IF(OR(CX$3="",CX$3&gt;TODAY()),"",IF(AND(CX313="",CY313=""),"",N(CY313)-N(CX313)))</f>
        <v/>
      </c>
      <c r="DC313">
        <f>IF(OR(CX$3="",CX$3&gt;TODAY()),"",IF(AND(DA313="",DB313=""),"",N(DB313)-N(DA313)))</f>
        <v/>
      </c>
      <c r="DG313">
        <f>IF(OR(DE$3="",DE$3&gt;TODAY()),"",IF(AND(DE313="",DF313=""),"",N(DF313)-N(DE313)))</f>
        <v/>
      </c>
      <c r="DJ313">
        <f>IF(OR(DE$3="",DE$3&gt;TODAY()),"",IF(AND(DH313="",DI313=""),"",N(DI313)-N(DH313)))</f>
        <v/>
      </c>
      <c r="DN313">
        <f>IF(OR(DL$3="",DL$3&gt;TODAY()),"",IF(AND(DL313="",DM313=""),"",N(DM313)-N(DL313)))</f>
        <v/>
      </c>
      <c r="DQ313">
        <f>IF(OR(DL$3="",DL$3&gt;TODAY()),"",IF(AND(DO313="",DP313=""),"",N(DP313)-N(DO313)))</f>
        <v/>
      </c>
      <c r="DU313">
        <f>IF(OR(DS$3="",DS$3&gt;TODAY()),"",IF(AND(DS313="",DT313=""),"",N(DT313)-N(DS313)))</f>
        <v/>
      </c>
      <c r="DX313">
        <f>IF(OR(DS$3="",DS$3&gt;TODAY()),"",IF(AND(DV313="",DW313=""),"",N(DW313)-N(DV313)))</f>
        <v/>
      </c>
      <c r="EB313">
        <f>IF(OR(DZ$3="",DZ$3&gt;TODAY()),"",IF(AND(DZ313="",EA313=""),"",N(EA313)-N(DZ313)))</f>
        <v/>
      </c>
      <c r="EE313">
        <f>IF(OR(DZ$3="",DZ$3&gt;TODAY()),"",IF(AND(EC313="",ED313=""),"",N(ED313)-N(EC313)))</f>
        <v/>
      </c>
      <c r="EI313">
        <f>IF(OR(EG$3="",EG$3&gt;TODAY()),"",IF(AND(EG313="",EH313=""),"",N(EH313)-N(EG313)))</f>
        <v/>
      </c>
      <c r="EL313">
        <f>IF(OR(EG$3="",EG$3&gt;TODAY()),"",IF(AND(EJ313="",EK313=""),"",N(EK313)-N(EJ313)))</f>
        <v/>
      </c>
      <c r="EP313">
        <f>IF(OR(EN$3="",EN$3&gt;TODAY()),"",IF(AND(EN313="",EO313=""),"",N(EO313)-N(EN313)))</f>
        <v/>
      </c>
      <c r="ES313">
        <f>IF(OR(EN$3="",EN$3&gt;TODAY()),"",IF(AND(EQ313="",ER313=""),"",N(ER313)-N(EQ313)))</f>
        <v/>
      </c>
      <c r="EW313">
        <f>IF(OR(EU$3="",EU$3&gt;TODAY()),"",IF(AND(EU313="",EV313=""),"",N(EV313)-N(EU313)))</f>
        <v/>
      </c>
      <c r="EZ313">
        <f>IF(OR(EU$3="",EU$3&gt;TODAY()),"",IF(AND(EX313="",EY313=""),"",N(EY313)-N(EX313)))</f>
        <v/>
      </c>
      <c r="FD313">
        <f>IF(OR(FB$3="",FB$3&gt;TODAY()),"",IF(AND(FB313="",FC313=""),"",N(FC313)-N(FB313)))</f>
        <v/>
      </c>
      <c r="FG313">
        <f>IF(OR(FB$3="",FB$3&gt;TODAY()),"",IF(AND(FE313="",FF313=""),"",N(FF313)-N(FE313)))</f>
        <v/>
      </c>
      <c r="FK313">
        <f>IF(OR(FI$3="",FI$3&gt;TODAY()),"",IF(AND(FI313="",FJ313=""),"",N(FJ313)-N(FI313)))</f>
        <v/>
      </c>
      <c r="FN313">
        <f>IF(OR(FI$3="",FI$3&gt;TODAY()),"",IF(AND(FL313="",FM313=""),"",N(FM313)-N(FL313)))</f>
        <v/>
      </c>
      <c r="FR313">
        <f>IF(OR(FP$3="",FP$3&gt;TODAY()),"",IF(AND(FP313="",FQ313=""),"",N(FQ313)-N(FP313)))</f>
        <v/>
      </c>
      <c r="FU313">
        <f>IF(OR(FP$3="",FP$3&gt;TODAY()),"",IF(AND(FS313="",FT313=""),"",N(FT313)-N(FS313)))</f>
        <v/>
      </c>
      <c r="FY313">
        <f>IF(OR(FW$3="",FW$3&gt;TODAY()),"",IF(AND(FW313="",FX313=""),"",N(FX313)-N(FW313)))</f>
        <v/>
      </c>
      <c r="GB313">
        <f>IF(OR(FW$3="",FW$3&gt;TODAY()),"",IF(AND(FZ313="",GA313=""),"",N(GA313)-N(FZ313)))</f>
        <v/>
      </c>
      <c r="GF313">
        <f>IF(OR(GD$3="",GD$3&gt;TODAY()),"",IF(AND(GD313="",GE313=""),"",N(GE313)-N(GD313)))</f>
        <v/>
      </c>
      <c r="GI313">
        <f>IF(OR(GD$3="",GD$3&gt;TODAY()),"",IF(AND(GG313="",GH313=""),"",N(GH313)-N(GG313)))</f>
        <v/>
      </c>
      <c r="GM313">
        <f>IF(OR(GK$3="",GK$3&gt;TODAY()),"",IF(AND(GK313="",GL313=""),"",N(GL313)-N(GK313)))</f>
        <v/>
      </c>
      <c r="GP313">
        <f>IF(OR(GK$3="",GK$3&gt;TODAY()),"",IF(AND(GN313="",GO313=""),"",N(GO313)-N(GN313)))</f>
        <v/>
      </c>
      <c r="GT313">
        <f>IF(OR(GR$3="",GR$3&gt;TODAY()),"",IF(AND(GR313="",GS313=""),"",N(GS313)-N(GR313)))</f>
        <v/>
      </c>
      <c r="GW313">
        <f>IF(OR(GR$3="",GR$3&gt;TODAY()),"",IF(AND(GU313="",GV313=""),"",N(GV313)-N(GU313)))</f>
        <v/>
      </c>
      <c r="HA313">
        <f>IF(OR(GY$3="",GY$3&gt;TODAY()),"",IF(AND(GY313="",GZ313=""),"",N(GZ313)-N(GY313)))</f>
        <v/>
      </c>
      <c r="HD313">
        <f>IF(OR(GY$3="",GY$3&gt;TODAY()),"",IF(AND(HB313="",HC313=""),"",N(HC313)-N(HB313)))</f>
        <v/>
      </c>
      <c r="HH313">
        <f>IF(OR(HF$3="",HF$3&gt;TODAY()),"",IF(AND(HF313="",HG313=""),"",N(HG313)-N(HF313)))</f>
        <v/>
      </c>
      <c r="HK313">
        <f>IF(OR(HF$3="",HF$3&gt;TODAY()),"",IF(AND(HI313="",HJ313=""),"",N(HJ313)-N(HI313)))</f>
        <v/>
      </c>
      <c r="HO313">
        <f>IF(OR(HM$3="",HM$3&gt;TODAY()),"",IF(AND(HM313="",HN313=""),"",N(HN313)-N(HM313)))</f>
        <v/>
      </c>
      <c r="HR313">
        <f>IF(OR(HM$3="",HM$3&gt;TODAY()),"",IF(AND(HP313="",HQ313=""),"",N(HQ313)-N(HP313)))</f>
        <v/>
      </c>
      <c r="HV313">
        <f>IF(OR(HT$3="",HT$3&gt;TODAY()),"",IF(AND(HT313="",HU313=""),"",N(HU313)-N(HT313)))</f>
        <v/>
      </c>
      <c r="HY313">
        <f>IF(OR(HT$3="",HT$3&gt;TODAY()),"",IF(AND(HW313="",HX313=""),"",N(HX313)-N(HW313)))</f>
        <v/>
      </c>
      <c r="IC313">
        <f>IF(OR(IA$3="",IA$3&gt;TODAY()),"",IF(AND(IA313="",IB313=""),"",N(IB313)-N(IA313)))</f>
        <v/>
      </c>
      <c r="IF313">
        <f>IF(OR(IA$3="",IA$3&gt;TODAY()),"",IF(AND(ID313="",IE313=""),"",N(IE313)-N(ID313)))</f>
        <v/>
      </c>
      <c r="IJ313">
        <f>IF(OR(IH$3="",IH$3&gt;TODAY()),"",IF(AND(IH313="",II313=""),"",N(II313)-N(IH313)))</f>
        <v/>
      </c>
      <c r="IM313">
        <f>IF(OR(IH$3="",IH$3&gt;TODAY()),"",IF(AND(IK313="",IL313=""),"",N(IL313)-N(IK313)))</f>
        <v/>
      </c>
    </row>
    <row r="314">
      <c r="A314" s="21" t="n"/>
      <c r="B314" s="21" t="n"/>
      <c r="C314" s="21" t="n"/>
      <c r="D314" s="21" t="n"/>
      <c r="E314" s="21" t="n"/>
      <c r="F314" s="21" t="n"/>
      <c r="G314" s="21" t="n"/>
      <c r="H314" s="21" t="n"/>
      <c r="I314" s="22" t="n"/>
      <c r="J314" s="22" t="n"/>
      <c r="K314" s="23" t="n"/>
      <c r="L314" s="22" t="n"/>
      <c r="M314" s="22" t="n"/>
      <c r="N314" s="21" t="n"/>
      <c r="O314" s="23" t="n"/>
      <c r="P314" s="23" t="n"/>
      <c r="Q314" s="23" t="n"/>
      <c r="R314" s="23" t="n"/>
      <c r="S314" s="22" t="n"/>
      <c r="T314" s="23" t="n"/>
      <c r="U314" s="23" t="n"/>
      <c r="V314" s="24">
        <f>IF(J314&lt;&gt;"",J314,IF(I314&lt;&gt;"",I314,""))</f>
        <v/>
      </c>
      <c r="W314" s="25">
        <f>IF($E314="","",N(O314)+SUMIFS($AF314:$IN314,$AF$4:$IN$4,"SEW_ACT"))</f>
        <v/>
      </c>
      <c r="X314" s="25">
        <f>IF($E314="","",N(P314)+SUMIFS($AF314:$IN314,$AF$4:$IN$4,"WASH_ACT"))</f>
        <v/>
      </c>
      <c r="Y314" s="25">
        <f>IF($E314="","",W314-X314-N(T314)-N(U314))</f>
        <v/>
      </c>
      <c r="Z314" s="25">
        <f>IF($E314="","",IF(N(K314)-X314&lt;=0.02*N(K314),0,N(K314)-X314))</f>
        <v/>
      </c>
      <c r="AA314" s="24">
        <f>IF($E314="","",IF(S314&lt;&gt;"",S314,IF(N(O314)&gt;0,IF(L314&lt;&gt;"",L314,99999),IFERROR(1/(1/_xlfn.MINIFS($AF$3:$IN$3,$AF$4:$IN$4,"SEW_ACT",$AF314:$IN314,"&gt;0")),99999))))</f>
        <v/>
      </c>
      <c r="AB314" s="26">
        <f>IF(OR($E314="",Z314=0,V314=""),"",1+COUNTIFS(Z$8:Z$707,"&gt;0",V$8:V$707,"&lt;"&amp;V314)+COUNTIFS(Z$8:Z$707,"&gt;0",V$8:V$707,V314,AA$8:AA$707,"&lt;"&amp;AA314)+COUNTIFS(Z$8:Z$707,"&gt;0",V$8:V$707,V314,AA$8:AA$707,AA314,E$8:E$707,"&lt;"&amp;$E314))</f>
        <v/>
      </c>
      <c r="AC314" s="24">
        <f>IF(OR($E314="",Z314=0),"",IFERROR(TODAY()+ROUNDUP(Z314/(SUMIFS($AF314:$IN314,$AF$4:$IN$4,"WASH_ACT")/COUNTIFS($AF$4:$IN$4,"WASH_ACT",$AF314:$IN314,"&gt;0")),0),"no output yet"))</f>
        <v/>
      </c>
      <c r="AD314" s="26">
        <f>IF($E314="","",IFERROR(ROUND(MAX(0,SUMIFS($AF314:$IN314,$AF$4:$IN$4,"SEW_PLAN",$AF$3:$IN$3,"&lt;="&amp;TODAY())-SUMIFS($AF314:$IN314,$AF$4:$IN$4,"SEW_ACT",$AF$3:$IN$3,"&lt;="&amp;TODAY())+N(Q314))/(SUMIFS($AF314:$IN314,$AF$4:$IN$4,"SEW_PLAN")/COUNTIFS($AF$4:$IN$4,"SEW_PLAN",$AF314:$IN314,"&gt;0")),1),0))</f>
        <v/>
      </c>
      <c r="AE314" s="26">
        <f>IF($E314="","",IF(AND(Z314&gt;0,OR(AND(M314&lt;&gt;"",TODAY()&gt;M314),AND(V314&lt;&gt;"",V314-TODAY()&lt;=7))),"Yes","No"))</f>
        <v/>
      </c>
      <c r="AH314">
        <f>IF(OR(AF$3="",AF$3&gt;TODAY()),"",IF(AND(AF314="",AG314=""),"",N(AG314)-N(AF314)))</f>
        <v/>
      </c>
      <c r="AK314">
        <f>IF(OR(AF$3="",AF$3&gt;TODAY()),"",IF(AND(AI314="",AJ314=""),"",N(AJ314)-N(AI314)))</f>
        <v/>
      </c>
      <c r="AO314">
        <f>IF(OR(AM$3="",AM$3&gt;TODAY()),"",IF(AND(AM314="",AN314=""),"",N(AN314)-N(AM314)))</f>
        <v/>
      </c>
      <c r="AR314">
        <f>IF(OR(AM$3="",AM$3&gt;TODAY()),"",IF(AND(AP314="",AQ314=""),"",N(AQ314)-N(AP314)))</f>
        <v/>
      </c>
      <c r="AV314">
        <f>IF(OR(AT$3="",AT$3&gt;TODAY()),"",IF(AND(AT314="",AU314=""),"",N(AU314)-N(AT314)))</f>
        <v/>
      </c>
      <c r="AY314">
        <f>IF(OR(AT$3="",AT$3&gt;TODAY()),"",IF(AND(AW314="",AX314=""),"",N(AX314)-N(AW314)))</f>
        <v/>
      </c>
      <c r="BC314">
        <f>IF(OR(BA$3="",BA$3&gt;TODAY()),"",IF(AND(BA314="",BB314=""),"",N(BB314)-N(BA314)))</f>
        <v/>
      </c>
      <c r="BF314">
        <f>IF(OR(BA$3="",BA$3&gt;TODAY()),"",IF(AND(BD314="",BE314=""),"",N(BE314)-N(BD314)))</f>
        <v/>
      </c>
      <c r="BJ314">
        <f>IF(OR(BH$3="",BH$3&gt;TODAY()),"",IF(AND(BH314="",BI314=""),"",N(BI314)-N(BH314)))</f>
        <v/>
      </c>
      <c r="BM314">
        <f>IF(OR(BH$3="",BH$3&gt;TODAY()),"",IF(AND(BK314="",BL314=""),"",N(BL314)-N(BK314)))</f>
        <v/>
      </c>
      <c r="BQ314">
        <f>IF(OR(BO$3="",BO$3&gt;TODAY()),"",IF(AND(BO314="",BP314=""),"",N(BP314)-N(BO314)))</f>
        <v/>
      </c>
      <c r="BT314">
        <f>IF(OR(BO$3="",BO$3&gt;TODAY()),"",IF(AND(BR314="",BS314=""),"",N(BS314)-N(BR314)))</f>
        <v/>
      </c>
      <c r="BX314">
        <f>IF(OR(BV$3="",BV$3&gt;TODAY()),"",IF(AND(BV314="",BW314=""),"",N(BW314)-N(BV314)))</f>
        <v/>
      </c>
      <c r="CA314">
        <f>IF(OR(BV$3="",BV$3&gt;TODAY()),"",IF(AND(BY314="",BZ314=""),"",N(BZ314)-N(BY314)))</f>
        <v/>
      </c>
      <c r="CE314">
        <f>IF(OR(CC$3="",CC$3&gt;TODAY()),"",IF(AND(CC314="",CD314=""),"",N(CD314)-N(CC314)))</f>
        <v/>
      </c>
      <c r="CH314">
        <f>IF(OR(CC$3="",CC$3&gt;TODAY()),"",IF(AND(CF314="",CG314=""),"",N(CG314)-N(CF314)))</f>
        <v/>
      </c>
      <c r="CL314">
        <f>IF(OR(CJ$3="",CJ$3&gt;TODAY()),"",IF(AND(CJ314="",CK314=""),"",N(CK314)-N(CJ314)))</f>
        <v/>
      </c>
      <c r="CO314">
        <f>IF(OR(CJ$3="",CJ$3&gt;TODAY()),"",IF(AND(CM314="",CN314=""),"",N(CN314)-N(CM314)))</f>
        <v/>
      </c>
      <c r="CS314">
        <f>IF(OR(CQ$3="",CQ$3&gt;TODAY()),"",IF(AND(CQ314="",CR314=""),"",N(CR314)-N(CQ314)))</f>
        <v/>
      </c>
      <c r="CV314">
        <f>IF(OR(CQ$3="",CQ$3&gt;TODAY()),"",IF(AND(CT314="",CU314=""),"",N(CU314)-N(CT314)))</f>
        <v/>
      </c>
      <c r="CZ314">
        <f>IF(OR(CX$3="",CX$3&gt;TODAY()),"",IF(AND(CX314="",CY314=""),"",N(CY314)-N(CX314)))</f>
        <v/>
      </c>
      <c r="DC314">
        <f>IF(OR(CX$3="",CX$3&gt;TODAY()),"",IF(AND(DA314="",DB314=""),"",N(DB314)-N(DA314)))</f>
        <v/>
      </c>
      <c r="DG314">
        <f>IF(OR(DE$3="",DE$3&gt;TODAY()),"",IF(AND(DE314="",DF314=""),"",N(DF314)-N(DE314)))</f>
        <v/>
      </c>
      <c r="DJ314">
        <f>IF(OR(DE$3="",DE$3&gt;TODAY()),"",IF(AND(DH314="",DI314=""),"",N(DI314)-N(DH314)))</f>
        <v/>
      </c>
      <c r="DN314">
        <f>IF(OR(DL$3="",DL$3&gt;TODAY()),"",IF(AND(DL314="",DM314=""),"",N(DM314)-N(DL314)))</f>
        <v/>
      </c>
      <c r="DQ314">
        <f>IF(OR(DL$3="",DL$3&gt;TODAY()),"",IF(AND(DO314="",DP314=""),"",N(DP314)-N(DO314)))</f>
        <v/>
      </c>
      <c r="DU314">
        <f>IF(OR(DS$3="",DS$3&gt;TODAY()),"",IF(AND(DS314="",DT314=""),"",N(DT314)-N(DS314)))</f>
        <v/>
      </c>
      <c r="DX314">
        <f>IF(OR(DS$3="",DS$3&gt;TODAY()),"",IF(AND(DV314="",DW314=""),"",N(DW314)-N(DV314)))</f>
        <v/>
      </c>
      <c r="EB314">
        <f>IF(OR(DZ$3="",DZ$3&gt;TODAY()),"",IF(AND(DZ314="",EA314=""),"",N(EA314)-N(DZ314)))</f>
        <v/>
      </c>
      <c r="EE314">
        <f>IF(OR(DZ$3="",DZ$3&gt;TODAY()),"",IF(AND(EC314="",ED314=""),"",N(ED314)-N(EC314)))</f>
        <v/>
      </c>
      <c r="EI314">
        <f>IF(OR(EG$3="",EG$3&gt;TODAY()),"",IF(AND(EG314="",EH314=""),"",N(EH314)-N(EG314)))</f>
        <v/>
      </c>
      <c r="EL314">
        <f>IF(OR(EG$3="",EG$3&gt;TODAY()),"",IF(AND(EJ314="",EK314=""),"",N(EK314)-N(EJ314)))</f>
        <v/>
      </c>
      <c r="EP314">
        <f>IF(OR(EN$3="",EN$3&gt;TODAY()),"",IF(AND(EN314="",EO314=""),"",N(EO314)-N(EN314)))</f>
        <v/>
      </c>
      <c r="ES314">
        <f>IF(OR(EN$3="",EN$3&gt;TODAY()),"",IF(AND(EQ314="",ER314=""),"",N(ER314)-N(EQ314)))</f>
        <v/>
      </c>
      <c r="EW314">
        <f>IF(OR(EU$3="",EU$3&gt;TODAY()),"",IF(AND(EU314="",EV314=""),"",N(EV314)-N(EU314)))</f>
        <v/>
      </c>
      <c r="EZ314">
        <f>IF(OR(EU$3="",EU$3&gt;TODAY()),"",IF(AND(EX314="",EY314=""),"",N(EY314)-N(EX314)))</f>
        <v/>
      </c>
      <c r="FD314">
        <f>IF(OR(FB$3="",FB$3&gt;TODAY()),"",IF(AND(FB314="",FC314=""),"",N(FC314)-N(FB314)))</f>
        <v/>
      </c>
      <c r="FG314">
        <f>IF(OR(FB$3="",FB$3&gt;TODAY()),"",IF(AND(FE314="",FF314=""),"",N(FF314)-N(FE314)))</f>
        <v/>
      </c>
      <c r="FK314">
        <f>IF(OR(FI$3="",FI$3&gt;TODAY()),"",IF(AND(FI314="",FJ314=""),"",N(FJ314)-N(FI314)))</f>
        <v/>
      </c>
      <c r="FN314">
        <f>IF(OR(FI$3="",FI$3&gt;TODAY()),"",IF(AND(FL314="",FM314=""),"",N(FM314)-N(FL314)))</f>
        <v/>
      </c>
      <c r="FR314">
        <f>IF(OR(FP$3="",FP$3&gt;TODAY()),"",IF(AND(FP314="",FQ314=""),"",N(FQ314)-N(FP314)))</f>
        <v/>
      </c>
      <c r="FU314">
        <f>IF(OR(FP$3="",FP$3&gt;TODAY()),"",IF(AND(FS314="",FT314=""),"",N(FT314)-N(FS314)))</f>
        <v/>
      </c>
      <c r="FY314">
        <f>IF(OR(FW$3="",FW$3&gt;TODAY()),"",IF(AND(FW314="",FX314=""),"",N(FX314)-N(FW314)))</f>
        <v/>
      </c>
      <c r="GB314">
        <f>IF(OR(FW$3="",FW$3&gt;TODAY()),"",IF(AND(FZ314="",GA314=""),"",N(GA314)-N(FZ314)))</f>
        <v/>
      </c>
      <c r="GF314">
        <f>IF(OR(GD$3="",GD$3&gt;TODAY()),"",IF(AND(GD314="",GE314=""),"",N(GE314)-N(GD314)))</f>
        <v/>
      </c>
      <c r="GI314">
        <f>IF(OR(GD$3="",GD$3&gt;TODAY()),"",IF(AND(GG314="",GH314=""),"",N(GH314)-N(GG314)))</f>
        <v/>
      </c>
      <c r="GM314">
        <f>IF(OR(GK$3="",GK$3&gt;TODAY()),"",IF(AND(GK314="",GL314=""),"",N(GL314)-N(GK314)))</f>
        <v/>
      </c>
      <c r="GP314">
        <f>IF(OR(GK$3="",GK$3&gt;TODAY()),"",IF(AND(GN314="",GO314=""),"",N(GO314)-N(GN314)))</f>
        <v/>
      </c>
      <c r="GT314">
        <f>IF(OR(GR$3="",GR$3&gt;TODAY()),"",IF(AND(GR314="",GS314=""),"",N(GS314)-N(GR314)))</f>
        <v/>
      </c>
      <c r="GW314">
        <f>IF(OR(GR$3="",GR$3&gt;TODAY()),"",IF(AND(GU314="",GV314=""),"",N(GV314)-N(GU314)))</f>
        <v/>
      </c>
      <c r="HA314">
        <f>IF(OR(GY$3="",GY$3&gt;TODAY()),"",IF(AND(GY314="",GZ314=""),"",N(GZ314)-N(GY314)))</f>
        <v/>
      </c>
      <c r="HD314">
        <f>IF(OR(GY$3="",GY$3&gt;TODAY()),"",IF(AND(HB314="",HC314=""),"",N(HC314)-N(HB314)))</f>
        <v/>
      </c>
      <c r="HH314">
        <f>IF(OR(HF$3="",HF$3&gt;TODAY()),"",IF(AND(HF314="",HG314=""),"",N(HG314)-N(HF314)))</f>
        <v/>
      </c>
      <c r="HK314">
        <f>IF(OR(HF$3="",HF$3&gt;TODAY()),"",IF(AND(HI314="",HJ314=""),"",N(HJ314)-N(HI314)))</f>
        <v/>
      </c>
      <c r="HO314">
        <f>IF(OR(HM$3="",HM$3&gt;TODAY()),"",IF(AND(HM314="",HN314=""),"",N(HN314)-N(HM314)))</f>
        <v/>
      </c>
      <c r="HR314">
        <f>IF(OR(HM$3="",HM$3&gt;TODAY()),"",IF(AND(HP314="",HQ314=""),"",N(HQ314)-N(HP314)))</f>
        <v/>
      </c>
      <c r="HV314">
        <f>IF(OR(HT$3="",HT$3&gt;TODAY()),"",IF(AND(HT314="",HU314=""),"",N(HU314)-N(HT314)))</f>
        <v/>
      </c>
      <c r="HY314">
        <f>IF(OR(HT$3="",HT$3&gt;TODAY()),"",IF(AND(HW314="",HX314=""),"",N(HX314)-N(HW314)))</f>
        <v/>
      </c>
      <c r="IC314">
        <f>IF(OR(IA$3="",IA$3&gt;TODAY()),"",IF(AND(IA314="",IB314=""),"",N(IB314)-N(IA314)))</f>
        <v/>
      </c>
      <c r="IF314">
        <f>IF(OR(IA$3="",IA$3&gt;TODAY()),"",IF(AND(ID314="",IE314=""),"",N(IE314)-N(ID314)))</f>
        <v/>
      </c>
      <c r="IJ314">
        <f>IF(OR(IH$3="",IH$3&gt;TODAY()),"",IF(AND(IH314="",II314=""),"",N(II314)-N(IH314)))</f>
        <v/>
      </c>
      <c r="IM314">
        <f>IF(OR(IH$3="",IH$3&gt;TODAY()),"",IF(AND(IK314="",IL314=""),"",N(IL314)-N(IK314)))</f>
        <v/>
      </c>
    </row>
    <row r="315">
      <c r="A315" s="21" t="n"/>
      <c r="B315" s="21" t="n"/>
      <c r="C315" s="21" t="n"/>
      <c r="D315" s="21" t="n"/>
      <c r="E315" s="21" t="n"/>
      <c r="F315" s="21" t="n"/>
      <c r="G315" s="21" t="n"/>
      <c r="H315" s="21" t="n"/>
      <c r="I315" s="22" t="n"/>
      <c r="J315" s="22" t="n"/>
      <c r="K315" s="23" t="n"/>
      <c r="L315" s="22" t="n"/>
      <c r="M315" s="22" t="n"/>
      <c r="N315" s="21" t="n"/>
      <c r="O315" s="23" t="n"/>
      <c r="P315" s="23" t="n"/>
      <c r="Q315" s="23" t="n"/>
      <c r="R315" s="23" t="n"/>
      <c r="S315" s="22" t="n"/>
      <c r="T315" s="23" t="n"/>
      <c r="U315" s="23" t="n"/>
      <c r="V315" s="24">
        <f>IF(J315&lt;&gt;"",J315,IF(I315&lt;&gt;"",I315,""))</f>
        <v/>
      </c>
      <c r="W315" s="25">
        <f>IF($E315="","",N(O315)+SUMIFS($AF315:$IN315,$AF$4:$IN$4,"SEW_ACT"))</f>
        <v/>
      </c>
      <c r="X315" s="25">
        <f>IF($E315="","",N(P315)+SUMIFS($AF315:$IN315,$AF$4:$IN$4,"WASH_ACT"))</f>
        <v/>
      </c>
      <c r="Y315" s="25">
        <f>IF($E315="","",W315-X315-N(T315)-N(U315))</f>
        <v/>
      </c>
      <c r="Z315" s="25">
        <f>IF($E315="","",IF(N(K315)-X315&lt;=0.02*N(K315),0,N(K315)-X315))</f>
        <v/>
      </c>
      <c r="AA315" s="24">
        <f>IF($E315="","",IF(S315&lt;&gt;"",S315,IF(N(O315)&gt;0,IF(L315&lt;&gt;"",L315,99999),IFERROR(1/(1/_xlfn.MINIFS($AF$3:$IN$3,$AF$4:$IN$4,"SEW_ACT",$AF315:$IN315,"&gt;0")),99999))))</f>
        <v/>
      </c>
      <c r="AB315" s="26">
        <f>IF(OR($E315="",Z315=0,V315=""),"",1+COUNTIFS(Z$8:Z$707,"&gt;0",V$8:V$707,"&lt;"&amp;V315)+COUNTIFS(Z$8:Z$707,"&gt;0",V$8:V$707,V315,AA$8:AA$707,"&lt;"&amp;AA315)+COUNTIFS(Z$8:Z$707,"&gt;0",V$8:V$707,V315,AA$8:AA$707,AA315,E$8:E$707,"&lt;"&amp;$E315))</f>
        <v/>
      </c>
      <c r="AC315" s="24">
        <f>IF(OR($E315="",Z315=0),"",IFERROR(TODAY()+ROUNDUP(Z315/(SUMIFS($AF315:$IN315,$AF$4:$IN$4,"WASH_ACT")/COUNTIFS($AF$4:$IN$4,"WASH_ACT",$AF315:$IN315,"&gt;0")),0),"no output yet"))</f>
        <v/>
      </c>
      <c r="AD315" s="26">
        <f>IF($E315="","",IFERROR(ROUND(MAX(0,SUMIFS($AF315:$IN315,$AF$4:$IN$4,"SEW_PLAN",$AF$3:$IN$3,"&lt;="&amp;TODAY())-SUMIFS($AF315:$IN315,$AF$4:$IN$4,"SEW_ACT",$AF$3:$IN$3,"&lt;="&amp;TODAY())+N(Q315))/(SUMIFS($AF315:$IN315,$AF$4:$IN$4,"SEW_PLAN")/COUNTIFS($AF$4:$IN$4,"SEW_PLAN",$AF315:$IN315,"&gt;0")),1),0))</f>
        <v/>
      </c>
      <c r="AE315" s="26">
        <f>IF($E315="","",IF(AND(Z315&gt;0,OR(AND(M315&lt;&gt;"",TODAY()&gt;M315),AND(V315&lt;&gt;"",V315-TODAY()&lt;=7))),"Yes","No"))</f>
        <v/>
      </c>
      <c r="AH315">
        <f>IF(OR(AF$3="",AF$3&gt;TODAY()),"",IF(AND(AF315="",AG315=""),"",N(AG315)-N(AF315)))</f>
        <v/>
      </c>
      <c r="AK315">
        <f>IF(OR(AF$3="",AF$3&gt;TODAY()),"",IF(AND(AI315="",AJ315=""),"",N(AJ315)-N(AI315)))</f>
        <v/>
      </c>
      <c r="AO315">
        <f>IF(OR(AM$3="",AM$3&gt;TODAY()),"",IF(AND(AM315="",AN315=""),"",N(AN315)-N(AM315)))</f>
        <v/>
      </c>
      <c r="AR315">
        <f>IF(OR(AM$3="",AM$3&gt;TODAY()),"",IF(AND(AP315="",AQ315=""),"",N(AQ315)-N(AP315)))</f>
        <v/>
      </c>
      <c r="AV315">
        <f>IF(OR(AT$3="",AT$3&gt;TODAY()),"",IF(AND(AT315="",AU315=""),"",N(AU315)-N(AT315)))</f>
        <v/>
      </c>
      <c r="AY315">
        <f>IF(OR(AT$3="",AT$3&gt;TODAY()),"",IF(AND(AW315="",AX315=""),"",N(AX315)-N(AW315)))</f>
        <v/>
      </c>
      <c r="BC315">
        <f>IF(OR(BA$3="",BA$3&gt;TODAY()),"",IF(AND(BA315="",BB315=""),"",N(BB315)-N(BA315)))</f>
        <v/>
      </c>
      <c r="BF315">
        <f>IF(OR(BA$3="",BA$3&gt;TODAY()),"",IF(AND(BD315="",BE315=""),"",N(BE315)-N(BD315)))</f>
        <v/>
      </c>
      <c r="BJ315">
        <f>IF(OR(BH$3="",BH$3&gt;TODAY()),"",IF(AND(BH315="",BI315=""),"",N(BI315)-N(BH315)))</f>
        <v/>
      </c>
      <c r="BM315">
        <f>IF(OR(BH$3="",BH$3&gt;TODAY()),"",IF(AND(BK315="",BL315=""),"",N(BL315)-N(BK315)))</f>
        <v/>
      </c>
      <c r="BQ315">
        <f>IF(OR(BO$3="",BO$3&gt;TODAY()),"",IF(AND(BO315="",BP315=""),"",N(BP315)-N(BO315)))</f>
        <v/>
      </c>
      <c r="BT315">
        <f>IF(OR(BO$3="",BO$3&gt;TODAY()),"",IF(AND(BR315="",BS315=""),"",N(BS315)-N(BR315)))</f>
        <v/>
      </c>
      <c r="BX315">
        <f>IF(OR(BV$3="",BV$3&gt;TODAY()),"",IF(AND(BV315="",BW315=""),"",N(BW315)-N(BV315)))</f>
        <v/>
      </c>
      <c r="CA315">
        <f>IF(OR(BV$3="",BV$3&gt;TODAY()),"",IF(AND(BY315="",BZ315=""),"",N(BZ315)-N(BY315)))</f>
        <v/>
      </c>
      <c r="CE315">
        <f>IF(OR(CC$3="",CC$3&gt;TODAY()),"",IF(AND(CC315="",CD315=""),"",N(CD315)-N(CC315)))</f>
        <v/>
      </c>
      <c r="CH315">
        <f>IF(OR(CC$3="",CC$3&gt;TODAY()),"",IF(AND(CF315="",CG315=""),"",N(CG315)-N(CF315)))</f>
        <v/>
      </c>
      <c r="CL315">
        <f>IF(OR(CJ$3="",CJ$3&gt;TODAY()),"",IF(AND(CJ315="",CK315=""),"",N(CK315)-N(CJ315)))</f>
        <v/>
      </c>
      <c r="CO315">
        <f>IF(OR(CJ$3="",CJ$3&gt;TODAY()),"",IF(AND(CM315="",CN315=""),"",N(CN315)-N(CM315)))</f>
        <v/>
      </c>
      <c r="CS315">
        <f>IF(OR(CQ$3="",CQ$3&gt;TODAY()),"",IF(AND(CQ315="",CR315=""),"",N(CR315)-N(CQ315)))</f>
        <v/>
      </c>
      <c r="CV315">
        <f>IF(OR(CQ$3="",CQ$3&gt;TODAY()),"",IF(AND(CT315="",CU315=""),"",N(CU315)-N(CT315)))</f>
        <v/>
      </c>
      <c r="CZ315">
        <f>IF(OR(CX$3="",CX$3&gt;TODAY()),"",IF(AND(CX315="",CY315=""),"",N(CY315)-N(CX315)))</f>
        <v/>
      </c>
      <c r="DC315">
        <f>IF(OR(CX$3="",CX$3&gt;TODAY()),"",IF(AND(DA315="",DB315=""),"",N(DB315)-N(DA315)))</f>
        <v/>
      </c>
      <c r="DG315">
        <f>IF(OR(DE$3="",DE$3&gt;TODAY()),"",IF(AND(DE315="",DF315=""),"",N(DF315)-N(DE315)))</f>
        <v/>
      </c>
      <c r="DJ315">
        <f>IF(OR(DE$3="",DE$3&gt;TODAY()),"",IF(AND(DH315="",DI315=""),"",N(DI315)-N(DH315)))</f>
        <v/>
      </c>
      <c r="DN315">
        <f>IF(OR(DL$3="",DL$3&gt;TODAY()),"",IF(AND(DL315="",DM315=""),"",N(DM315)-N(DL315)))</f>
        <v/>
      </c>
      <c r="DQ315">
        <f>IF(OR(DL$3="",DL$3&gt;TODAY()),"",IF(AND(DO315="",DP315=""),"",N(DP315)-N(DO315)))</f>
        <v/>
      </c>
      <c r="DU315">
        <f>IF(OR(DS$3="",DS$3&gt;TODAY()),"",IF(AND(DS315="",DT315=""),"",N(DT315)-N(DS315)))</f>
        <v/>
      </c>
      <c r="DX315">
        <f>IF(OR(DS$3="",DS$3&gt;TODAY()),"",IF(AND(DV315="",DW315=""),"",N(DW315)-N(DV315)))</f>
        <v/>
      </c>
      <c r="EB315">
        <f>IF(OR(DZ$3="",DZ$3&gt;TODAY()),"",IF(AND(DZ315="",EA315=""),"",N(EA315)-N(DZ315)))</f>
        <v/>
      </c>
      <c r="EE315">
        <f>IF(OR(DZ$3="",DZ$3&gt;TODAY()),"",IF(AND(EC315="",ED315=""),"",N(ED315)-N(EC315)))</f>
        <v/>
      </c>
      <c r="EI315">
        <f>IF(OR(EG$3="",EG$3&gt;TODAY()),"",IF(AND(EG315="",EH315=""),"",N(EH315)-N(EG315)))</f>
        <v/>
      </c>
      <c r="EL315">
        <f>IF(OR(EG$3="",EG$3&gt;TODAY()),"",IF(AND(EJ315="",EK315=""),"",N(EK315)-N(EJ315)))</f>
        <v/>
      </c>
      <c r="EP315">
        <f>IF(OR(EN$3="",EN$3&gt;TODAY()),"",IF(AND(EN315="",EO315=""),"",N(EO315)-N(EN315)))</f>
        <v/>
      </c>
      <c r="ES315">
        <f>IF(OR(EN$3="",EN$3&gt;TODAY()),"",IF(AND(EQ315="",ER315=""),"",N(ER315)-N(EQ315)))</f>
        <v/>
      </c>
      <c r="EW315">
        <f>IF(OR(EU$3="",EU$3&gt;TODAY()),"",IF(AND(EU315="",EV315=""),"",N(EV315)-N(EU315)))</f>
        <v/>
      </c>
      <c r="EZ315">
        <f>IF(OR(EU$3="",EU$3&gt;TODAY()),"",IF(AND(EX315="",EY315=""),"",N(EY315)-N(EX315)))</f>
        <v/>
      </c>
      <c r="FD315">
        <f>IF(OR(FB$3="",FB$3&gt;TODAY()),"",IF(AND(FB315="",FC315=""),"",N(FC315)-N(FB315)))</f>
        <v/>
      </c>
      <c r="FG315">
        <f>IF(OR(FB$3="",FB$3&gt;TODAY()),"",IF(AND(FE315="",FF315=""),"",N(FF315)-N(FE315)))</f>
        <v/>
      </c>
      <c r="FK315">
        <f>IF(OR(FI$3="",FI$3&gt;TODAY()),"",IF(AND(FI315="",FJ315=""),"",N(FJ315)-N(FI315)))</f>
        <v/>
      </c>
      <c r="FN315">
        <f>IF(OR(FI$3="",FI$3&gt;TODAY()),"",IF(AND(FL315="",FM315=""),"",N(FM315)-N(FL315)))</f>
        <v/>
      </c>
      <c r="FR315">
        <f>IF(OR(FP$3="",FP$3&gt;TODAY()),"",IF(AND(FP315="",FQ315=""),"",N(FQ315)-N(FP315)))</f>
        <v/>
      </c>
      <c r="FU315">
        <f>IF(OR(FP$3="",FP$3&gt;TODAY()),"",IF(AND(FS315="",FT315=""),"",N(FT315)-N(FS315)))</f>
        <v/>
      </c>
      <c r="FY315">
        <f>IF(OR(FW$3="",FW$3&gt;TODAY()),"",IF(AND(FW315="",FX315=""),"",N(FX315)-N(FW315)))</f>
        <v/>
      </c>
      <c r="GB315">
        <f>IF(OR(FW$3="",FW$3&gt;TODAY()),"",IF(AND(FZ315="",GA315=""),"",N(GA315)-N(FZ315)))</f>
        <v/>
      </c>
      <c r="GF315">
        <f>IF(OR(GD$3="",GD$3&gt;TODAY()),"",IF(AND(GD315="",GE315=""),"",N(GE315)-N(GD315)))</f>
        <v/>
      </c>
      <c r="GI315">
        <f>IF(OR(GD$3="",GD$3&gt;TODAY()),"",IF(AND(GG315="",GH315=""),"",N(GH315)-N(GG315)))</f>
        <v/>
      </c>
      <c r="GM315">
        <f>IF(OR(GK$3="",GK$3&gt;TODAY()),"",IF(AND(GK315="",GL315=""),"",N(GL315)-N(GK315)))</f>
        <v/>
      </c>
      <c r="GP315">
        <f>IF(OR(GK$3="",GK$3&gt;TODAY()),"",IF(AND(GN315="",GO315=""),"",N(GO315)-N(GN315)))</f>
        <v/>
      </c>
      <c r="GT315">
        <f>IF(OR(GR$3="",GR$3&gt;TODAY()),"",IF(AND(GR315="",GS315=""),"",N(GS315)-N(GR315)))</f>
        <v/>
      </c>
      <c r="GW315">
        <f>IF(OR(GR$3="",GR$3&gt;TODAY()),"",IF(AND(GU315="",GV315=""),"",N(GV315)-N(GU315)))</f>
        <v/>
      </c>
      <c r="HA315">
        <f>IF(OR(GY$3="",GY$3&gt;TODAY()),"",IF(AND(GY315="",GZ315=""),"",N(GZ315)-N(GY315)))</f>
        <v/>
      </c>
      <c r="HD315">
        <f>IF(OR(GY$3="",GY$3&gt;TODAY()),"",IF(AND(HB315="",HC315=""),"",N(HC315)-N(HB315)))</f>
        <v/>
      </c>
      <c r="HH315">
        <f>IF(OR(HF$3="",HF$3&gt;TODAY()),"",IF(AND(HF315="",HG315=""),"",N(HG315)-N(HF315)))</f>
        <v/>
      </c>
      <c r="HK315">
        <f>IF(OR(HF$3="",HF$3&gt;TODAY()),"",IF(AND(HI315="",HJ315=""),"",N(HJ315)-N(HI315)))</f>
        <v/>
      </c>
      <c r="HO315">
        <f>IF(OR(HM$3="",HM$3&gt;TODAY()),"",IF(AND(HM315="",HN315=""),"",N(HN315)-N(HM315)))</f>
        <v/>
      </c>
      <c r="HR315">
        <f>IF(OR(HM$3="",HM$3&gt;TODAY()),"",IF(AND(HP315="",HQ315=""),"",N(HQ315)-N(HP315)))</f>
        <v/>
      </c>
      <c r="HV315">
        <f>IF(OR(HT$3="",HT$3&gt;TODAY()),"",IF(AND(HT315="",HU315=""),"",N(HU315)-N(HT315)))</f>
        <v/>
      </c>
      <c r="HY315">
        <f>IF(OR(HT$3="",HT$3&gt;TODAY()),"",IF(AND(HW315="",HX315=""),"",N(HX315)-N(HW315)))</f>
        <v/>
      </c>
      <c r="IC315">
        <f>IF(OR(IA$3="",IA$3&gt;TODAY()),"",IF(AND(IA315="",IB315=""),"",N(IB315)-N(IA315)))</f>
        <v/>
      </c>
      <c r="IF315">
        <f>IF(OR(IA$3="",IA$3&gt;TODAY()),"",IF(AND(ID315="",IE315=""),"",N(IE315)-N(ID315)))</f>
        <v/>
      </c>
      <c r="IJ315">
        <f>IF(OR(IH$3="",IH$3&gt;TODAY()),"",IF(AND(IH315="",II315=""),"",N(II315)-N(IH315)))</f>
        <v/>
      </c>
      <c r="IM315">
        <f>IF(OR(IH$3="",IH$3&gt;TODAY()),"",IF(AND(IK315="",IL315=""),"",N(IL315)-N(IK315)))</f>
        <v/>
      </c>
    </row>
    <row r="316">
      <c r="A316" s="21" t="n"/>
      <c r="B316" s="21" t="n"/>
      <c r="C316" s="21" t="n"/>
      <c r="D316" s="21" t="n"/>
      <c r="E316" s="21" t="n"/>
      <c r="F316" s="21" t="n"/>
      <c r="G316" s="21" t="n"/>
      <c r="H316" s="21" t="n"/>
      <c r="I316" s="22" t="n"/>
      <c r="J316" s="22" t="n"/>
      <c r="K316" s="23" t="n"/>
      <c r="L316" s="22" t="n"/>
      <c r="M316" s="22" t="n"/>
      <c r="N316" s="21" t="n"/>
      <c r="O316" s="23" t="n"/>
      <c r="P316" s="23" t="n"/>
      <c r="Q316" s="23" t="n"/>
      <c r="R316" s="23" t="n"/>
      <c r="S316" s="22" t="n"/>
      <c r="T316" s="23" t="n"/>
      <c r="U316" s="23" t="n"/>
      <c r="V316" s="24">
        <f>IF(J316&lt;&gt;"",J316,IF(I316&lt;&gt;"",I316,""))</f>
        <v/>
      </c>
      <c r="W316" s="25">
        <f>IF($E316="","",N(O316)+SUMIFS($AF316:$IN316,$AF$4:$IN$4,"SEW_ACT"))</f>
        <v/>
      </c>
      <c r="X316" s="25">
        <f>IF($E316="","",N(P316)+SUMIFS($AF316:$IN316,$AF$4:$IN$4,"WASH_ACT"))</f>
        <v/>
      </c>
      <c r="Y316" s="25">
        <f>IF($E316="","",W316-X316-N(T316)-N(U316))</f>
        <v/>
      </c>
      <c r="Z316" s="25">
        <f>IF($E316="","",IF(N(K316)-X316&lt;=0.02*N(K316),0,N(K316)-X316))</f>
        <v/>
      </c>
      <c r="AA316" s="24">
        <f>IF($E316="","",IF(S316&lt;&gt;"",S316,IF(N(O316)&gt;0,IF(L316&lt;&gt;"",L316,99999),IFERROR(1/(1/_xlfn.MINIFS($AF$3:$IN$3,$AF$4:$IN$4,"SEW_ACT",$AF316:$IN316,"&gt;0")),99999))))</f>
        <v/>
      </c>
      <c r="AB316" s="26">
        <f>IF(OR($E316="",Z316=0,V316=""),"",1+COUNTIFS(Z$8:Z$707,"&gt;0",V$8:V$707,"&lt;"&amp;V316)+COUNTIFS(Z$8:Z$707,"&gt;0",V$8:V$707,V316,AA$8:AA$707,"&lt;"&amp;AA316)+COUNTIFS(Z$8:Z$707,"&gt;0",V$8:V$707,V316,AA$8:AA$707,AA316,E$8:E$707,"&lt;"&amp;$E316))</f>
        <v/>
      </c>
      <c r="AC316" s="24">
        <f>IF(OR($E316="",Z316=0),"",IFERROR(TODAY()+ROUNDUP(Z316/(SUMIFS($AF316:$IN316,$AF$4:$IN$4,"WASH_ACT")/COUNTIFS($AF$4:$IN$4,"WASH_ACT",$AF316:$IN316,"&gt;0")),0),"no output yet"))</f>
        <v/>
      </c>
      <c r="AD316" s="26">
        <f>IF($E316="","",IFERROR(ROUND(MAX(0,SUMIFS($AF316:$IN316,$AF$4:$IN$4,"SEW_PLAN",$AF$3:$IN$3,"&lt;="&amp;TODAY())-SUMIFS($AF316:$IN316,$AF$4:$IN$4,"SEW_ACT",$AF$3:$IN$3,"&lt;="&amp;TODAY())+N(Q316))/(SUMIFS($AF316:$IN316,$AF$4:$IN$4,"SEW_PLAN")/COUNTIFS($AF$4:$IN$4,"SEW_PLAN",$AF316:$IN316,"&gt;0")),1),0))</f>
        <v/>
      </c>
      <c r="AE316" s="26">
        <f>IF($E316="","",IF(AND(Z316&gt;0,OR(AND(M316&lt;&gt;"",TODAY()&gt;M316),AND(V316&lt;&gt;"",V316-TODAY()&lt;=7))),"Yes","No"))</f>
        <v/>
      </c>
      <c r="AH316">
        <f>IF(OR(AF$3="",AF$3&gt;TODAY()),"",IF(AND(AF316="",AG316=""),"",N(AG316)-N(AF316)))</f>
        <v/>
      </c>
      <c r="AK316">
        <f>IF(OR(AF$3="",AF$3&gt;TODAY()),"",IF(AND(AI316="",AJ316=""),"",N(AJ316)-N(AI316)))</f>
        <v/>
      </c>
      <c r="AO316">
        <f>IF(OR(AM$3="",AM$3&gt;TODAY()),"",IF(AND(AM316="",AN316=""),"",N(AN316)-N(AM316)))</f>
        <v/>
      </c>
      <c r="AR316">
        <f>IF(OR(AM$3="",AM$3&gt;TODAY()),"",IF(AND(AP316="",AQ316=""),"",N(AQ316)-N(AP316)))</f>
        <v/>
      </c>
      <c r="AV316">
        <f>IF(OR(AT$3="",AT$3&gt;TODAY()),"",IF(AND(AT316="",AU316=""),"",N(AU316)-N(AT316)))</f>
        <v/>
      </c>
      <c r="AY316">
        <f>IF(OR(AT$3="",AT$3&gt;TODAY()),"",IF(AND(AW316="",AX316=""),"",N(AX316)-N(AW316)))</f>
        <v/>
      </c>
      <c r="BC316">
        <f>IF(OR(BA$3="",BA$3&gt;TODAY()),"",IF(AND(BA316="",BB316=""),"",N(BB316)-N(BA316)))</f>
        <v/>
      </c>
      <c r="BF316">
        <f>IF(OR(BA$3="",BA$3&gt;TODAY()),"",IF(AND(BD316="",BE316=""),"",N(BE316)-N(BD316)))</f>
        <v/>
      </c>
      <c r="BJ316">
        <f>IF(OR(BH$3="",BH$3&gt;TODAY()),"",IF(AND(BH316="",BI316=""),"",N(BI316)-N(BH316)))</f>
        <v/>
      </c>
      <c r="BM316">
        <f>IF(OR(BH$3="",BH$3&gt;TODAY()),"",IF(AND(BK316="",BL316=""),"",N(BL316)-N(BK316)))</f>
        <v/>
      </c>
      <c r="BQ316">
        <f>IF(OR(BO$3="",BO$3&gt;TODAY()),"",IF(AND(BO316="",BP316=""),"",N(BP316)-N(BO316)))</f>
        <v/>
      </c>
      <c r="BT316">
        <f>IF(OR(BO$3="",BO$3&gt;TODAY()),"",IF(AND(BR316="",BS316=""),"",N(BS316)-N(BR316)))</f>
        <v/>
      </c>
      <c r="BX316">
        <f>IF(OR(BV$3="",BV$3&gt;TODAY()),"",IF(AND(BV316="",BW316=""),"",N(BW316)-N(BV316)))</f>
        <v/>
      </c>
      <c r="CA316">
        <f>IF(OR(BV$3="",BV$3&gt;TODAY()),"",IF(AND(BY316="",BZ316=""),"",N(BZ316)-N(BY316)))</f>
        <v/>
      </c>
      <c r="CE316">
        <f>IF(OR(CC$3="",CC$3&gt;TODAY()),"",IF(AND(CC316="",CD316=""),"",N(CD316)-N(CC316)))</f>
        <v/>
      </c>
      <c r="CH316">
        <f>IF(OR(CC$3="",CC$3&gt;TODAY()),"",IF(AND(CF316="",CG316=""),"",N(CG316)-N(CF316)))</f>
        <v/>
      </c>
      <c r="CL316">
        <f>IF(OR(CJ$3="",CJ$3&gt;TODAY()),"",IF(AND(CJ316="",CK316=""),"",N(CK316)-N(CJ316)))</f>
        <v/>
      </c>
      <c r="CO316">
        <f>IF(OR(CJ$3="",CJ$3&gt;TODAY()),"",IF(AND(CM316="",CN316=""),"",N(CN316)-N(CM316)))</f>
        <v/>
      </c>
      <c r="CS316">
        <f>IF(OR(CQ$3="",CQ$3&gt;TODAY()),"",IF(AND(CQ316="",CR316=""),"",N(CR316)-N(CQ316)))</f>
        <v/>
      </c>
      <c r="CV316">
        <f>IF(OR(CQ$3="",CQ$3&gt;TODAY()),"",IF(AND(CT316="",CU316=""),"",N(CU316)-N(CT316)))</f>
        <v/>
      </c>
      <c r="CZ316">
        <f>IF(OR(CX$3="",CX$3&gt;TODAY()),"",IF(AND(CX316="",CY316=""),"",N(CY316)-N(CX316)))</f>
        <v/>
      </c>
      <c r="DC316">
        <f>IF(OR(CX$3="",CX$3&gt;TODAY()),"",IF(AND(DA316="",DB316=""),"",N(DB316)-N(DA316)))</f>
        <v/>
      </c>
      <c r="DG316">
        <f>IF(OR(DE$3="",DE$3&gt;TODAY()),"",IF(AND(DE316="",DF316=""),"",N(DF316)-N(DE316)))</f>
        <v/>
      </c>
      <c r="DJ316">
        <f>IF(OR(DE$3="",DE$3&gt;TODAY()),"",IF(AND(DH316="",DI316=""),"",N(DI316)-N(DH316)))</f>
        <v/>
      </c>
      <c r="DN316">
        <f>IF(OR(DL$3="",DL$3&gt;TODAY()),"",IF(AND(DL316="",DM316=""),"",N(DM316)-N(DL316)))</f>
        <v/>
      </c>
      <c r="DQ316">
        <f>IF(OR(DL$3="",DL$3&gt;TODAY()),"",IF(AND(DO316="",DP316=""),"",N(DP316)-N(DO316)))</f>
        <v/>
      </c>
      <c r="DU316">
        <f>IF(OR(DS$3="",DS$3&gt;TODAY()),"",IF(AND(DS316="",DT316=""),"",N(DT316)-N(DS316)))</f>
        <v/>
      </c>
      <c r="DX316">
        <f>IF(OR(DS$3="",DS$3&gt;TODAY()),"",IF(AND(DV316="",DW316=""),"",N(DW316)-N(DV316)))</f>
        <v/>
      </c>
      <c r="EB316">
        <f>IF(OR(DZ$3="",DZ$3&gt;TODAY()),"",IF(AND(DZ316="",EA316=""),"",N(EA316)-N(DZ316)))</f>
        <v/>
      </c>
      <c r="EE316">
        <f>IF(OR(DZ$3="",DZ$3&gt;TODAY()),"",IF(AND(EC316="",ED316=""),"",N(ED316)-N(EC316)))</f>
        <v/>
      </c>
      <c r="EI316">
        <f>IF(OR(EG$3="",EG$3&gt;TODAY()),"",IF(AND(EG316="",EH316=""),"",N(EH316)-N(EG316)))</f>
        <v/>
      </c>
      <c r="EL316">
        <f>IF(OR(EG$3="",EG$3&gt;TODAY()),"",IF(AND(EJ316="",EK316=""),"",N(EK316)-N(EJ316)))</f>
        <v/>
      </c>
      <c r="EP316">
        <f>IF(OR(EN$3="",EN$3&gt;TODAY()),"",IF(AND(EN316="",EO316=""),"",N(EO316)-N(EN316)))</f>
        <v/>
      </c>
      <c r="ES316">
        <f>IF(OR(EN$3="",EN$3&gt;TODAY()),"",IF(AND(EQ316="",ER316=""),"",N(ER316)-N(EQ316)))</f>
        <v/>
      </c>
      <c r="EW316">
        <f>IF(OR(EU$3="",EU$3&gt;TODAY()),"",IF(AND(EU316="",EV316=""),"",N(EV316)-N(EU316)))</f>
        <v/>
      </c>
      <c r="EZ316">
        <f>IF(OR(EU$3="",EU$3&gt;TODAY()),"",IF(AND(EX316="",EY316=""),"",N(EY316)-N(EX316)))</f>
        <v/>
      </c>
      <c r="FD316">
        <f>IF(OR(FB$3="",FB$3&gt;TODAY()),"",IF(AND(FB316="",FC316=""),"",N(FC316)-N(FB316)))</f>
        <v/>
      </c>
      <c r="FG316">
        <f>IF(OR(FB$3="",FB$3&gt;TODAY()),"",IF(AND(FE316="",FF316=""),"",N(FF316)-N(FE316)))</f>
        <v/>
      </c>
      <c r="FK316">
        <f>IF(OR(FI$3="",FI$3&gt;TODAY()),"",IF(AND(FI316="",FJ316=""),"",N(FJ316)-N(FI316)))</f>
        <v/>
      </c>
      <c r="FN316">
        <f>IF(OR(FI$3="",FI$3&gt;TODAY()),"",IF(AND(FL316="",FM316=""),"",N(FM316)-N(FL316)))</f>
        <v/>
      </c>
      <c r="FR316">
        <f>IF(OR(FP$3="",FP$3&gt;TODAY()),"",IF(AND(FP316="",FQ316=""),"",N(FQ316)-N(FP316)))</f>
        <v/>
      </c>
      <c r="FU316">
        <f>IF(OR(FP$3="",FP$3&gt;TODAY()),"",IF(AND(FS316="",FT316=""),"",N(FT316)-N(FS316)))</f>
        <v/>
      </c>
      <c r="FY316">
        <f>IF(OR(FW$3="",FW$3&gt;TODAY()),"",IF(AND(FW316="",FX316=""),"",N(FX316)-N(FW316)))</f>
        <v/>
      </c>
      <c r="GB316">
        <f>IF(OR(FW$3="",FW$3&gt;TODAY()),"",IF(AND(FZ316="",GA316=""),"",N(GA316)-N(FZ316)))</f>
        <v/>
      </c>
      <c r="GF316">
        <f>IF(OR(GD$3="",GD$3&gt;TODAY()),"",IF(AND(GD316="",GE316=""),"",N(GE316)-N(GD316)))</f>
        <v/>
      </c>
      <c r="GI316">
        <f>IF(OR(GD$3="",GD$3&gt;TODAY()),"",IF(AND(GG316="",GH316=""),"",N(GH316)-N(GG316)))</f>
        <v/>
      </c>
      <c r="GM316">
        <f>IF(OR(GK$3="",GK$3&gt;TODAY()),"",IF(AND(GK316="",GL316=""),"",N(GL316)-N(GK316)))</f>
        <v/>
      </c>
      <c r="GP316">
        <f>IF(OR(GK$3="",GK$3&gt;TODAY()),"",IF(AND(GN316="",GO316=""),"",N(GO316)-N(GN316)))</f>
        <v/>
      </c>
      <c r="GT316">
        <f>IF(OR(GR$3="",GR$3&gt;TODAY()),"",IF(AND(GR316="",GS316=""),"",N(GS316)-N(GR316)))</f>
        <v/>
      </c>
      <c r="GW316">
        <f>IF(OR(GR$3="",GR$3&gt;TODAY()),"",IF(AND(GU316="",GV316=""),"",N(GV316)-N(GU316)))</f>
        <v/>
      </c>
      <c r="HA316">
        <f>IF(OR(GY$3="",GY$3&gt;TODAY()),"",IF(AND(GY316="",GZ316=""),"",N(GZ316)-N(GY316)))</f>
        <v/>
      </c>
      <c r="HD316">
        <f>IF(OR(GY$3="",GY$3&gt;TODAY()),"",IF(AND(HB316="",HC316=""),"",N(HC316)-N(HB316)))</f>
        <v/>
      </c>
      <c r="HH316">
        <f>IF(OR(HF$3="",HF$3&gt;TODAY()),"",IF(AND(HF316="",HG316=""),"",N(HG316)-N(HF316)))</f>
        <v/>
      </c>
      <c r="HK316">
        <f>IF(OR(HF$3="",HF$3&gt;TODAY()),"",IF(AND(HI316="",HJ316=""),"",N(HJ316)-N(HI316)))</f>
        <v/>
      </c>
      <c r="HO316">
        <f>IF(OR(HM$3="",HM$3&gt;TODAY()),"",IF(AND(HM316="",HN316=""),"",N(HN316)-N(HM316)))</f>
        <v/>
      </c>
      <c r="HR316">
        <f>IF(OR(HM$3="",HM$3&gt;TODAY()),"",IF(AND(HP316="",HQ316=""),"",N(HQ316)-N(HP316)))</f>
        <v/>
      </c>
      <c r="HV316">
        <f>IF(OR(HT$3="",HT$3&gt;TODAY()),"",IF(AND(HT316="",HU316=""),"",N(HU316)-N(HT316)))</f>
        <v/>
      </c>
      <c r="HY316">
        <f>IF(OR(HT$3="",HT$3&gt;TODAY()),"",IF(AND(HW316="",HX316=""),"",N(HX316)-N(HW316)))</f>
        <v/>
      </c>
      <c r="IC316">
        <f>IF(OR(IA$3="",IA$3&gt;TODAY()),"",IF(AND(IA316="",IB316=""),"",N(IB316)-N(IA316)))</f>
        <v/>
      </c>
      <c r="IF316">
        <f>IF(OR(IA$3="",IA$3&gt;TODAY()),"",IF(AND(ID316="",IE316=""),"",N(IE316)-N(ID316)))</f>
        <v/>
      </c>
      <c r="IJ316">
        <f>IF(OR(IH$3="",IH$3&gt;TODAY()),"",IF(AND(IH316="",II316=""),"",N(II316)-N(IH316)))</f>
        <v/>
      </c>
      <c r="IM316">
        <f>IF(OR(IH$3="",IH$3&gt;TODAY()),"",IF(AND(IK316="",IL316=""),"",N(IL316)-N(IK316)))</f>
        <v/>
      </c>
    </row>
    <row r="317">
      <c r="A317" s="21" t="n"/>
      <c r="B317" s="21" t="n"/>
      <c r="C317" s="21" t="n"/>
      <c r="D317" s="21" t="n"/>
      <c r="E317" s="21" t="n"/>
      <c r="F317" s="21" t="n"/>
      <c r="G317" s="21" t="n"/>
      <c r="H317" s="21" t="n"/>
      <c r="I317" s="22" t="n"/>
      <c r="J317" s="22" t="n"/>
      <c r="K317" s="23" t="n"/>
      <c r="L317" s="22" t="n"/>
      <c r="M317" s="22" t="n"/>
      <c r="N317" s="21" t="n"/>
      <c r="O317" s="23" t="n"/>
      <c r="P317" s="23" t="n"/>
      <c r="Q317" s="23" t="n"/>
      <c r="R317" s="23" t="n"/>
      <c r="S317" s="22" t="n"/>
      <c r="T317" s="23" t="n"/>
      <c r="U317" s="23" t="n"/>
      <c r="V317" s="24">
        <f>IF(J317&lt;&gt;"",J317,IF(I317&lt;&gt;"",I317,""))</f>
        <v/>
      </c>
      <c r="W317" s="25">
        <f>IF($E317="","",N(O317)+SUMIFS($AF317:$IN317,$AF$4:$IN$4,"SEW_ACT"))</f>
        <v/>
      </c>
      <c r="X317" s="25">
        <f>IF($E317="","",N(P317)+SUMIFS($AF317:$IN317,$AF$4:$IN$4,"WASH_ACT"))</f>
        <v/>
      </c>
      <c r="Y317" s="25">
        <f>IF($E317="","",W317-X317-N(T317)-N(U317))</f>
        <v/>
      </c>
      <c r="Z317" s="25">
        <f>IF($E317="","",IF(N(K317)-X317&lt;=0.02*N(K317),0,N(K317)-X317))</f>
        <v/>
      </c>
      <c r="AA317" s="24">
        <f>IF($E317="","",IF(S317&lt;&gt;"",S317,IF(N(O317)&gt;0,IF(L317&lt;&gt;"",L317,99999),IFERROR(1/(1/_xlfn.MINIFS($AF$3:$IN$3,$AF$4:$IN$4,"SEW_ACT",$AF317:$IN317,"&gt;0")),99999))))</f>
        <v/>
      </c>
      <c r="AB317" s="26">
        <f>IF(OR($E317="",Z317=0,V317=""),"",1+COUNTIFS(Z$8:Z$707,"&gt;0",V$8:V$707,"&lt;"&amp;V317)+COUNTIFS(Z$8:Z$707,"&gt;0",V$8:V$707,V317,AA$8:AA$707,"&lt;"&amp;AA317)+COUNTIFS(Z$8:Z$707,"&gt;0",V$8:V$707,V317,AA$8:AA$707,AA317,E$8:E$707,"&lt;"&amp;$E317))</f>
        <v/>
      </c>
      <c r="AC317" s="24">
        <f>IF(OR($E317="",Z317=0),"",IFERROR(TODAY()+ROUNDUP(Z317/(SUMIFS($AF317:$IN317,$AF$4:$IN$4,"WASH_ACT")/COUNTIFS($AF$4:$IN$4,"WASH_ACT",$AF317:$IN317,"&gt;0")),0),"no output yet"))</f>
        <v/>
      </c>
      <c r="AD317" s="26">
        <f>IF($E317="","",IFERROR(ROUND(MAX(0,SUMIFS($AF317:$IN317,$AF$4:$IN$4,"SEW_PLAN",$AF$3:$IN$3,"&lt;="&amp;TODAY())-SUMIFS($AF317:$IN317,$AF$4:$IN$4,"SEW_ACT",$AF$3:$IN$3,"&lt;="&amp;TODAY())+N(Q317))/(SUMIFS($AF317:$IN317,$AF$4:$IN$4,"SEW_PLAN")/COUNTIFS($AF$4:$IN$4,"SEW_PLAN",$AF317:$IN317,"&gt;0")),1),0))</f>
        <v/>
      </c>
      <c r="AE317" s="26">
        <f>IF($E317="","",IF(AND(Z317&gt;0,OR(AND(M317&lt;&gt;"",TODAY()&gt;M317),AND(V317&lt;&gt;"",V317-TODAY()&lt;=7))),"Yes","No"))</f>
        <v/>
      </c>
      <c r="AH317">
        <f>IF(OR(AF$3="",AF$3&gt;TODAY()),"",IF(AND(AF317="",AG317=""),"",N(AG317)-N(AF317)))</f>
        <v/>
      </c>
      <c r="AK317">
        <f>IF(OR(AF$3="",AF$3&gt;TODAY()),"",IF(AND(AI317="",AJ317=""),"",N(AJ317)-N(AI317)))</f>
        <v/>
      </c>
      <c r="AO317">
        <f>IF(OR(AM$3="",AM$3&gt;TODAY()),"",IF(AND(AM317="",AN317=""),"",N(AN317)-N(AM317)))</f>
        <v/>
      </c>
      <c r="AR317">
        <f>IF(OR(AM$3="",AM$3&gt;TODAY()),"",IF(AND(AP317="",AQ317=""),"",N(AQ317)-N(AP317)))</f>
        <v/>
      </c>
      <c r="AV317">
        <f>IF(OR(AT$3="",AT$3&gt;TODAY()),"",IF(AND(AT317="",AU317=""),"",N(AU317)-N(AT317)))</f>
        <v/>
      </c>
      <c r="AY317">
        <f>IF(OR(AT$3="",AT$3&gt;TODAY()),"",IF(AND(AW317="",AX317=""),"",N(AX317)-N(AW317)))</f>
        <v/>
      </c>
      <c r="BC317">
        <f>IF(OR(BA$3="",BA$3&gt;TODAY()),"",IF(AND(BA317="",BB317=""),"",N(BB317)-N(BA317)))</f>
        <v/>
      </c>
      <c r="BF317">
        <f>IF(OR(BA$3="",BA$3&gt;TODAY()),"",IF(AND(BD317="",BE317=""),"",N(BE317)-N(BD317)))</f>
        <v/>
      </c>
      <c r="BJ317">
        <f>IF(OR(BH$3="",BH$3&gt;TODAY()),"",IF(AND(BH317="",BI317=""),"",N(BI317)-N(BH317)))</f>
        <v/>
      </c>
      <c r="BM317">
        <f>IF(OR(BH$3="",BH$3&gt;TODAY()),"",IF(AND(BK317="",BL317=""),"",N(BL317)-N(BK317)))</f>
        <v/>
      </c>
      <c r="BQ317">
        <f>IF(OR(BO$3="",BO$3&gt;TODAY()),"",IF(AND(BO317="",BP317=""),"",N(BP317)-N(BO317)))</f>
        <v/>
      </c>
      <c r="BT317">
        <f>IF(OR(BO$3="",BO$3&gt;TODAY()),"",IF(AND(BR317="",BS317=""),"",N(BS317)-N(BR317)))</f>
        <v/>
      </c>
      <c r="BX317">
        <f>IF(OR(BV$3="",BV$3&gt;TODAY()),"",IF(AND(BV317="",BW317=""),"",N(BW317)-N(BV317)))</f>
        <v/>
      </c>
      <c r="CA317">
        <f>IF(OR(BV$3="",BV$3&gt;TODAY()),"",IF(AND(BY317="",BZ317=""),"",N(BZ317)-N(BY317)))</f>
        <v/>
      </c>
      <c r="CE317">
        <f>IF(OR(CC$3="",CC$3&gt;TODAY()),"",IF(AND(CC317="",CD317=""),"",N(CD317)-N(CC317)))</f>
        <v/>
      </c>
      <c r="CH317">
        <f>IF(OR(CC$3="",CC$3&gt;TODAY()),"",IF(AND(CF317="",CG317=""),"",N(CG317)-N(CF317)))</f>
        <v/>
      </c>
      <c r="CL317">
        <f>IF(OR(CJ$3="",CJ$3&gt;TODAY()),"",IF(AND(CJ317="",CK317=""),"",N(CK317)-N(CJ317)))</f>
        <v/>
      </c>
      <c r="CO317">
        <f>IF(OR(CJ$3="",CJ$3&gt;TODAY()),"",IF(AND(CM317="",CN317=""),"",N(CN317)-N(CM317)))</f>
        <v/>
      </c>
      <c r="CS317">
        <f>IF(OR(CQ$3="",CQ$3&gt;TODAY()),"",IF(AND(CQ317="",CR317=""),"",N(CR317)-N(CQ317)))</f>
        <v/>
      </c>
      <c r="CV317">
        <f>IF(OR(CQ$3="",CQ$3&gt;TODAY()),"",IF(AND(CT317="",CU317=""),"",N(CU317)-N(CT317)))</f>
        <v/>
      </c>
      <c r="CZ317">
        <f>IF(OR(CX$3="",CX$3&gt;TODAY()),"",IF(AND(CX317="",CY317=""),"",N(CY317)-N(CX317)))</f>
        <v/>
      </c>
      <c r="DC317">
        <f>IF(OR(CX$3="",CX$3&gt;TODAY()),"",IF(AND(DA317="",DB317=""),"",N(DB317)-N(DA317)))</f>
        <v/>
      </c>
      <c r="DG317">
        <f>IF(OR(DE$3="",DE$3&gt;TODAY()),"",IF(AND(DE317="",DF317=""),"",N(DF317)-N(DE317)))</f>
        <v/>
      </c>
      <c r="DJ317">
        <f>IF(OR(DE$3="",DE$3&gt;TODAY()),"",IF(AND(DH317="",DI317=""),"",N(DI317)-N(DH317)))</f>
        <v/>
      </c>
      <c r="DN317">
        <f>IF(OR(DL$3="",DL$3&gt;TODAY()),"",IF(AND(DL317="",DM317=""),"",N(DM317)-N(DL317)))</f>
        <v/>
      </c>
      <c r="DQ317">
        <f>IF(OR(DL$3="",DL$3&gt;TODAY()),"",IF(AND(DO317="",DP317=""),"",N(DP317)-N(DO317)))</f>
        <v/>
      </c>
      <c r="DU317">
        <f>IF(OR(DS$3="",DS$3&gt;TODAY()),"",IF(AND(DS317="",DT317=""),"",N(DT317)-N(DS317)))</f>
        <v/>
      </c>
      <c r="DX317">
        <f>IF(OR(DS$3="",DS$3&gt;TODAY()),"",IF(AND(DV317="",DW317=""),"",N(DW317)-N(DV317)))</f>
        <v/>
      </c>
      <c r="EB317">
        <f>IF(OR(DZ$3="",DZ$3&gt;TODAY()),"",IF(AND(DZ317="",EA317=""),"",N(EA317)-N(DZ317)))</f>
        <v/>
      </c>
      <c r="EE317">
        <f>IF(OR(DZ$3="",DZ$3&gt;TODAY()),"",IF(AND(EC317="",ED317=""),"",N(ED317)-N(EC317)))</f>
        <v/>
      </c>
      <c r="EI317">
        <f>IF(OR(EG$3="",EG$3&gt;TODAY()),"",IF(AND(EG317="",EH317=""),"",N(EH317)-N(EG317)))</f>
        <v/>
      </c>
      <c r="EL317">
        <f>IF(OR(EG$3="",EG$3&gt;TODAY()),"",IF(AND(EJ317="",EK317=""),"",N(EK317)-N(EJ317)))</f>
        <v/>
      </c>
      <c r="EP317">
        <f>IF(OR(EN$3="",EN$3&gt;TODAY()),"",IF(AND(EN317="",EO317=""),"",N(EO317)-N(EN317)))</f>
        <v/>
      </c>
      <c r="ES317">
        <f>IF(OR(EN$3="",EN$3&gt;TODAY()),"",IF(AND(EQ317="",ER317=""),"",N(ER317)-N(EQ317)))</f>
        <v/>
      </c>
      <c r="EW317">
        <f>IF(OR(EU$3="",EU$3&gt;TODAY()),"",IF(AND(EU317="",EV317=""),"",N(EV317)-N(EU317)))</f>
        <v/>
      </c>
      <c r="EZ317">
        <f>IF(OR(EU$3="",EU$3&gt;TODAY()),"",IF(AND(EX317="",EY317=""),"",N(EY317)-N(EX317)))</f>
        <v/>
      </c>
      <c r="FD317">
        <f>IF(OR(FB$3="",FB$3&gt;TODAY()),"",IF(AND(FB317="",FC317=""),"",N(FC317)-N(FB317)))</f>
        <v/>
      </c>
      <c r="FG317">
        <f>IF(OR(FB$3="",FB$3&gt;TODAY()),"",IF(AND(FE317="",FF317=""),"",N(FF317)-N(FE317)))</f>
        <v/>
      </c>
      <c r="FK317">
        <f>IF(OR(FI$3="",FI$3&gt;TODAY()),"",IF(AND(FI317="",FJ317=""),"",N(FJ317)-N(FI317)))</f>
        <v/>
      </c>
      <c r="FN317">
        <f>IF(OR(FI$3="",FI$3&gt;TODAY()),"",IF(AND(FL317="",FM317=""),"",N(FM317)-N(FL317)))</f>
        <v/>
      </c>
      <c r="FR317">
        <f>IF(OR(FP$3="",FP$3&gt;TODAY()),"",IF(AND(FP317="",FQ317=""),"",N(FQ317)-N(FP317)))</f>
        <v/>
      </c>
      <c r="FU317">
        <f>IF(OR(FP$3="",FP$3&gt;TODAY()),"",IF(AND(FS317="",FT317=""),"",N(FT317)-N(FS317)))</f>
        <v/>
      </c>
      <c r="FY317">
        <f>IF(OR(FW$3="",FW$3&gt;TODAY()),"",IF(AND(FW317="",FX317=""),"",N(FX317)-N(FW317)))</f>
        <v/>
      </c>
      <c r="GB317">
        <f>IF(OR(FW$3="",FW$3&gt;TODAY()),"",IF(AND(FZ317="",GA317=""),"",N(GA317)-N(FZ317)))</f>
        <v/>
      </c>
      <c r="GF317">
        <f>IF(OR(GD$3="",GD$3&gt;TODAY()),"",IF(AND(GD317="",GE317=""),"",N(GE317)-N(GD317)))</f>
        <v/>
      </c>
      <c r="GI317">
        <f>IF(OR(GD$3="",GD$3&gt;TODAY()),"",IF(AND(GG317="",GH317=""),"",N(GH317)-N(GG317)))</f>
        <v/>
      </c>
      <c r="GM317">
        <f>IF(OR(GK$3="",GK$3&gt;TODAY()),"",IF(AND(GK317="",GL317=""),"",N(GL317)-N(GK317)))</f>
        <v/>
      </c>
      <c r="GP317">
        <f>IF(OR(GK$3="",GK$3&gt;TODAY()),"",IF(AND(GN317="",GO317=""),"",N(GO317)-N(GN317)))</f>
        <v/>
      </c>
      <c r="GT317">
        <f>IF(OR(GR$3="",GR$3&gt;TODAY()),"",IF(AND(GR317="",GS317=""),"",N(GS317)-N(GR317)))</f>
        <v/>
      </c>
      <c r="GW317">
        <f>IF(OR(GR$3="",GR$3&gt;TODAY()),"",IF(AND(GU317="",GV317=""),"",N(GV317)-N(GU317)))</f>
        <v/>
      </c>
      <c r="HA317">
        <f>IF(OR(GY$3="",GY$3&gt;TODAY()),"",IF(AND(GY317="",GZ317=""),"",N(GZ317)-N(GY317)))</f>
        <v/>
      </c>
      <c r="HD317">
        <f>IF(OR(GY$3="",GY$3&gt;TODAY()),"",IF(AND(HB317="",HC317=""),"",N(HC317)-N(HB317)))</f>
        <v/>
      </c>
      <c r="HH317">
        <f>IF(OR(HF$3="",HF$3&gt;TODAY()),"",IF(AND(HF317="",HG317=""),"",N(HG317)-N(HF317)))</f>
        <v/>
      </c>
      <c r="HK317">
        <f>IF(OR(HF$3="",HF$3&gt;TODAY()),"",IF(AND(HI317="",HJ317=""),"",N(HJ317)-N(HI317)))</f>
        <v/>
      </c>
      <c r="HO317">
        <f>IF(OR(HM$3="",HM$3&gt;TODAY()),"",IF(AND(HM317="",HN317=""),"",N(HN317)-N(HM317)))</f>
        <v/>
      </c>
      <c r="HR317">
        <f>IF(OR(HM$3="",HM$3&gt;TODAY()),"",IF(AND(HP317="",HQ317=""),"",N(HQ317)-N(HP317)))</f>
        <v/>
      </c>
      <c r="HV317">
        <f>IF(OR(HT$3="",HT$3&gt;TODAY()),"",IF(AND(HT317="",HU317=""),"",N(HU317)-N(HT317)))</f>
        <v/>
      </c>
      <c r="HY317">
        <f>IF(OR(HT$3="",HT$3&gt;TODAY()),"",IF(AND(HW317="",HX317=""),"",N(HX317)-N(HW317)))</f>
        <v/>
      </c>
      <c r="IC317">
        <f>IF(OR(IA$3="",IA$3&gt;TODAY()),"",IF(AND(IA317="",IB317=""),"",N(IB317)-N(IA317)))</f>
        <v/>
      </c>
      <c r="IF317">
        <f>IF(OR(IA$3="",IA$3&gt;TODAY()),"",IF(AND(ID317="",IE317=""),"",N(IE317)-N(ID317)))</f>
        <v/>
      </c>
      <c r="IJ317">
        <f>IF(OR(IH$3="",IH$3&gt;TODAY()),"",IF(AND(IH317="",II317=""),"",N(II317)-N(IH317)))</f>
        <v/>
      </c>
      <c r="IM317">
        <f>IF(OR(IH$3="",IH$3&gt;TODAY()),"",IF(AND(IK317="",IL317=""),"",N(IL317)-N(IK317)))</f>
        <v/>
      </c>
    </row>
    <row r="318">
      <c r="A318" s="21" t="n"/>
      <c r="B318" s="21" t="n"/>
      <c r="C318" s="21" t="n"/>
      <c r="D318" s="21" t="n"/>
      <c r="E318" s="21" t="n"/>
      <c r="F318" s="21" t="n"/>
      <c r="G318" s="21" t="n"/>
      <c r="H318" s="21" t="n"/>
      <c r="I318" s="22" t="n"/>
      <c r="J318" s="22" t="n"/>
      <c r="K318" s="23" t="n"/>
      <c r="L318" s="22" t="n"/>
      <c r="M318" s="22" t="n"/>
      <c r="N318" s="21" t="n"/>
      <c r="O318" s="23" t="n"/>
      <c r="P318" s="23" t="n"/>
      <c r="Q318" s="23" t="n"/>
      <c r="R318" s="23" t="n"/>
      <c r="S318" s="22" t="n"/>
      <c r="T318" s="23" t="n"/>
      <c r="U318" s="23" t="n"/>
      <c r="V318" s="24">
        <f>IF(J318&lt;&gt;"",J318,IF(I318&lt;&gt;"",I318,""))</f>
        <v/>
      </c>
      <c r="W318" s="25">
        <f>IF($E318="","",N(O318)+SUMIFS($AF318:$IN318,$AF$4:$IN$4,"SEW_ACT"))</f>
        <v/>
      </c>
      <c r="X318" s="25">
        <f>IF($E318="","",N(P318)+SUMIFS($AF318:$IN318,$AF$4:$IN$4,"WASH_ACT"))</f>
        <v/>
      </c>
      <c r="Y318" s="25">
        <f>IF($E318="","",W318-X318-N(T318)-N(U318))</f>
        <v/>
      </c>
      <c r="Z318" s="25">
        <f>IF($E318="","",IF(N(K318)-X318&lt;=0.02*N(K318),0,N(K318)-X318))</f>
        <v/>
      </c>
      <c r="AA318" s="24">
        <f>IF($E318="","",IF(S318&lt;&gt;"",S318,IF(N(O318)&gt;0,IF(L318&lt;&gt;"",L318,99999),IFERROR(1/(1/_xlfn.MINIFS($AF$3:$IN$3,$AF$4:$IN$4,"SEW_ACT",$AF318:$IN318,"&gt;0")),99999))))</f>
        <v/>
      </c>
      <c r="AB318" s="26">
        <f>IF(OR($E318="",Z318=0,V318=""),"",1+COUNTIFS(Z$8:Z$707,"&gt;0",V$8:V$707,"&lt;"&amp;V318)+COUNTIFS(Z$8:Z$707,"&gt;0",V$8:V$707,V318,AA$8:AA$707,"&lt;"&amp;AA318)+COUNTIFS(Z$8:Z$707,"&gt;0",V$8:V$707,V318,AA$8:AA$707,AA318,E$8:E$707,"&lt;"&amp;$E318))</f>
        <v/>
      </c>
      <c r="AC318" s="24">
        <f>IF(OR($E318="",Z318=0),"",IFERROR(TODAY()+ROUNDUP(Z318/(SUMIFS($AF318:$IN318,$AF$4:$IN$4,"WASH_ACT")/COUNTIFS($AF$4:$IN$4,"WASH_ACT",$AF318:$IN318,"&gt;0")),0),"no output yet"))</f>
        <v/>
      </c>
      <c r="AD318" s="26">
        <f>IF($E318="","",IFERROR(ROUND(MAX(0,SUMIFS($AF318:$IN318,$AF$4:$IN$4,"SEW_PLAN",$AF$3:$IN$3,"&lt;="&amp;TODAY())-SUMIFS($AF318:$IN318,$AF$4:$IN$4,"SEW_ACT",$AF$3:$IN$3,"&lt;="&amp;TODAY())+N(Q318))/(SUMIFS($AF318:$IN318,$AF$4:$IN$4,"SEW_PLAN")/COUNTIFS($AF$4:$IN$4,"SEW_PLAN",$AF318:$IN318,"&gt;0")),1),0))</f>
        <v/>
      </c>
      <c r="AE318" s="26">
        <f>IF($E318="","",IF(AND(Z318&gt;0,OR(AND(M318&lt;&gt;"",TODAY()&gt;M318),AND(V318&lt;&gt;"",V318-TODAY()&lt;=7))),"Yes","No"))</f>
        <v/>
      </c>
      <c r="AH318">
        <f>IF(OR(AF$3="",AF$3&gt;TODAY()),"",IF(AND(AF318="",AG318=""),"",N(AG318)-N(AF318)))</f>
        <v/>
      </c>
      <c r="AK318">
        <f>IF(OR(AF$3="",AF$3&gt;TODAY()),"",IF(AND(AI318="",AJ318=""),"",N(AJ318)-N(AI318)))</f>
        <v/>
      </c>
      <c r="AO318">
        <f>IF(OR(AM$3="",AM$3&gt;TODAY()),"",IF(AND(AM318="",AN318=""),"",N(AN318)-N(AM318)))</f>
        <v/>
      </c>
      <c r="AR318">
        <f>IF(OR(AM$3="",AM$3&gt;TODAY()),"",IF(AND(AP318="",AQ318=""),"",N(AQ318)-N(AP318)))</f>
        <v/>
      </c>
      <c r="AV318">
        <f>IF(OR(AT$3="",AT$3&gt;TODAY()),"",IF(AND(AT318="",AU318=""),"",N(AU318)-N(AT318)))</f>
        <v/>
      </c>
      <c r="AY318">
        <f>IF(OR(AT$3="",AT$3&gt;TODAY()),"",IF(AND(AW318="",AX318=""),"",N(AX318)-N(AW318)))</f>
        <v/>
      </c>
      <c r="BC318">
        <f>IF(OR(BA$3="",BA$3&gt;TODAY()),"",IF(AND(BA318="",BB318=""),"",N(BB318)-N(BA318)))</f>
        <v/>
      </c>
      <c r="BF318">
        <f>IF(OR(BA$3="",BA$3&gt;TODAY()),"",IF(AND(BD318="",BE318=""),"",N(BE318)-N(BD318)))</f>
        <v/>
      </c>
      <c r="BJ318">
        <f>IF(OR(BH$3="",BH$3&gt;TODAY()),"",IF(AND(BH318="",BI318=""),"",N(BI318)-N(BH318)))</f>
        <v/>
      </c>
      <c r="BM318">
        <f>IF(OR(BH$3="",BH$3&gt;TODAY()),"",IF(AND(BK318="",BL318=""),"",N(BL318)-N(BK318)))</f>
        <v/>
      </c>
      <c r="BQ318">
        <f>IF(OR(BO$3="",BO$3&gt;TODAY()),"",IF(AND(BO318="",BP318=""),"",N(BP318)-N(BO318)))</f>
        <v/>
      </c>
      <c r="BT318">
        <f>IF(OR(BO$3="",BO$3&gt;TODAY()),"",IF(AND(BR318="",BS318=""),"",N(BS318)-N(BR318)))</f>
        <v/>
      </c>
      <c r="BX318">
        <f>IF(OR(BV$3="",BV$3&gt;TODAY()),"",IF(AND(BV318="",BW318=""),"",N(BW318)-N(BV318)))</f>
        <v/>
      </c>
      <c r="CA318">
        <f>IF(OR(BV$3="",BV$3&gt;TODAY()),"",IF(AND(BY318="",BZ318=""),"",N(BZ318)-N(BY318)))</f>
        <v/>
      </c>
      <c r="CE318">
        <f>IF(OR(CC$3="",CC$3&gt;TODAY()),"",IF(AND(CC318="",CD318=""),"",N(CD318)-N(CC318)))</f>
        <v/>
      </c>
      <c r="CH318">
        <f>IF(OR(CC$3="",CC$3&gt;TODAY()),"",IF(AND(CF318="",CG318=""),"",N(CG318)-N(CF318)))</f>
        <v/>
      </c>
      <c r="CL318">
        <f>IF(OR(CJ$3="",CJ$3&gt;TODAY()),"",IF(AND(CJ318="",CK318=""),"",N(CK318)-N(CJ318)))</f>
        <v/>
      </c>
      <c r="CO318">
        <f>IF(OR(CJ$3="",CJ$3&gt;TODAY()),"",IF(AND(CM318="",CN318=""),"",N(CN318)-N(CM318)))</f>
        <v/>
      </c>
      <c r="CS318">
        <f>IF(OR(CQ$3="",CQ$3&gt;TODAY()),"",IF(AND(CQ318="",CR318=""),"",N(CR318)-N(CQ318)))</f>
        <v/>
      </c>
      <c r="CV318">
        <f>IF(OR(CQ$3="",CQ$3&gt;TODAY()),"",IF(AND(CT318="",CU318=""),"",N(CU318)-N(CT318)))</f>
        <v/>
      </c>
      <c r="CZ318">
        <f>IF(OR(CX$3="",CX$3&gt;TODAY()),"",IF(AND(CX318="",CY318=""),"",N(CY318)-N(CX318)))</f>
        <v/>
      </c>
      <c r="DC318">
        <f>IF(OR(CX$3="",CX$3&gt;TODAY()),"",IF(AND(DA318="",DB318=""),"",N(DB318)-N(DA318)))</f>
        <v/>
      </c>
      <c r="DG318">
        <f>IF(OR(DE$3="",DE$3&gt;TODAY()),"",IF(AND(DE318="",DF318=""),"",N(DF318)-N(DE318)))</f>
        <v/>
      </c>
      <c r="DJ318">
        <f>IF(OR(DE$3="",DE$3&gt;TODAY()),"",IF(AND(DH318="",DI318=""),"",N(DI318)-N(DH318)))</f>
        <v/>
      </c>
      <c r="DN318">
        <f>IF(OR(DL$3="",DL$3&gt;TODAY()),"",IF(AND(DL318="",DM318=""),"",N(DM318)-N(DL318)))</f>
        <v/>
      </c>
      <c r="DQ318">
        <f>IF(OR(DL$3="",DL$3&gt;TODAY()),"",IF(AND(DO318="",DP318=""),"",N(DP318)-N(DO318)))</f>
        <v/>
      </c>
      <c r="DU318">
        <f>IF(OR(DS$3="",DS$3&gt;TODAY()),"",IF(AND(DS318="",DT318=""),"",N(DT318)-N(DS318)))</f>
        <v/>
      </c>
      <c r="DX318">
        <f>IF(OR(DS$3="",DS$3&gt;TODAY()),"",IF(AND(DV318="",DW318=""),"",N(DW318)-N(DV318)))</f>
        <v/>
      </c>
      <c r="EB318">
        <f>IF(OR(DZ$3="",DZ$3&gt;TODAY()),"",IF(AND(DZ318="",EA318=""),"",N(EA318)-N(DZ318)))</f>
        <v/>
      </c>
      <c r="EE318">
        <f>IF(OR(DZ$3="",DZ$3&gt;TODAY()),"",IF(AND(EC318="",ED318=""),"",N(ED318)-N(EC318)))</f>
        <v/>
      </c>
      <c r="EI318">
        <f>IF(OR(EG$3="",EG$3&gt;TODAY()),"",IF(AND(EG318="",EH318=""),"",N(EH318)-N(EG318)))</f>
        <v/>
      </c>
      <c r="EL318">
        <f>IF(OR(EG$3="",EG$3&gt;TODAY()),"",IF(AND(EJ318="",EK318=""),"",N(EK318)-N(EJ318)))</f>
        <v/>
      </c>
      <c r="EP318">
        <f>IF(OR(EN$3="",EN$3&gt;TODAY()),"",IF(AND(EN318="",EO318=""),"",N(EO318)-N(EN318)))</f>
        <v/>
      </c>
      <c r="ES318">
        <f>IF(OR(EN$3="",EN$3&gt;TODAY()),"",IF(AND(EQ318="",ER318=""),"",N(ER318)-N(EQ318)))</f>
        <v/>
      </c>
      <c r="EW318">
        <f>IF(OR(EU$3="",EU$3&gt;TODAY()),"",IF(AND(EU318="",EV318=""),"",N(EV318)-N(EU318)))</f>
        <v/>
      </c>
      <c r="EZ318">
        <f>IF(OR(EU$3="",EU$3&gt;TODAY()),"",IF(AND(EX318="",EY318=""),"",N(EY318)-N(EX318)))</f>
        <v/>
      </c>
      <c r="FD318">
        <f>IF(OR(FB$3="",FB$3&gt;TODAY()),"",IF(AND(FB318="",FC318=""),"",N(FC318)-N(FB318)))</f>
        <v/>
      </c>
      <c r="FG318">
        <f>IF(OR(FB$3="",FB$3&gt;TODAY()),"",IF(AND(FE318="",FF318=""),"",N(FF318)-N(FE318)))</f>
        <v/>
      </c>
      <c r="FK318">
        <f>IF(OR(FI$3="",FI$3&gt;TODAY()),"",IF(AND(FI318="",FJ318=""),"",N(FJ318)-N(FI318)))</f>
        <v/>
      </c>
      <c r="FN318">
        <f>IF(OR(FI$3="",FI$3&gt;TODAY()),"",IF(AND(FL318="",FM318=""),"",N(FM318)-N(FL318)))</f>
        <v/>
      </c>
      <c r="FR318">
        <f>IF(OR(FP$3="",FP$3&gt;TODAY()),"",IF(AND(FP318="",FQ318=""),"",N(FQ318)-N(FP318)))</f>
        <v/>
      </c>
      <c r="FU318">
        <f>IF(OR(FP$3="",FP$3&gt;TODAY()),"",IF(AND(FS318="",FT318=""),"",N(FT318)-N(FS318)))</f>
        <v/>
      </c>
      <c r="FY318">
        <f>IF(OR(FW$3="",FW$3&gt;TODAY()),"",IF(AND(FW318="",FX318=""),"",N(FX318)-N(FW318)))</f>
        <v/>
      </c>
      <c r="GB318">
        <f>IF(OR(FW$3="",FW$3&gt;TODAY()),"",IF(AND(FZ318="",GA318=""),"",N(GA318)-N(FZ318)))</f>
        <v/>
      </c>
      <c r="GF318">
        <f>IF(OR(GD$3="",GD$3&gt;TODAY()),"",IF(AND(GD318="",GE318=""),"",N(GE318)-N(GD318)))</f>
        <v/>
      </c>
      <c r="GI318">
        <f>IF(OR(GD$3="",GD$3&gt;TODAY()),"",IF(AND(GG318="",GH318=""),"",N(GH318)-N(GG318)))</f>
        <v/>
      </c>
      <c r="GM318">
        <f>IF(OR(GK$3="",GK$3&gt;TODAY()),"",IF(AND(GK318="",GL318=""),"",N(GL318)-N(GK318)))</f>
        <v/>
      </c>
      <c r="GP318">
        <f>IF(OR(GK$3="",GK$3&gt;TODAY()),"",IF(AND(GN318="",GO318=""),"",N(GO318)-N(GN318)))</f>
        <v/>
      </c>
      <c r="GT318">
        <f>IF(OR(GR$3="",GR$3&gt;TODAY()),"",IF(AND(GR318="",GS318=""),"",N(GS318)-N(GR318)))</f>
        <v/>
      </c>
      <c r="GW318">
        <f>IF(OR(GR$3="",GR$3&gt;TODAY()),"",IF(AND(GU318="",GV318=""),"",N(GV318)-N(GU318)))</f>
        <v/>
      </c>
      <c r="HA318">
        <f>IF(OR(GY$3="",GY$3&gt;TODAY()),"",IF(AND(GY318="",GZ318=""),"",N(GZ318)-N(GY318)))</f>
        <v/>
      </c>
      <c r="HD318">
        <f>IF(OR(GY$3="",GY$3&gt;TODAY()),"",IF(AND(HB318="",HC318=""),"",N(HC318)-N(HB318)))</f>
        <v/>
      </c>
      <c r="HH318">
        <f>IF(OR(HF$3="",HF$3&gt;TODAY()),"",IF(AND(HF318="",HG318=""),"",N(HG318)-N(HF318)))</f>
        <v/>
      </c>
      <c r="HK318">
        <f>IF(OR(HF$3="",HF$3&gt;TODAY()),"",IF(AND(HI318="",HJ318=""),"",N(HJ318)-N(HI318)))</f>
        <v/>
      </c>
      <c r="HO318">
        <f>IF(OR(HM$3="",HM$3&gt;TODAY()),"",IF(AND(HM318="",HN318=""),"",N(HN318)-N(HM318)))</f>
        <v/>
      </c>
      <c r="HR318">
        <f>IF(OR(HM$3="",HM$3&gt;TODAY()),"",IF(AND(HP318="",HQ318=""),"",N(HQ318)-N(HP318)))</f>
        <v/>
      </c>
      <c r="HV318">
        <f>IF(OR(HT$3="",HT$3&gt;TODAY()),"",IF(AND(HT318="",HU318=""),"",N(HU318)-N(HT318)))</f>
        <v/>
      </c>
      <c r="HY318">
        <f>IF(OR(HT$3="",HT$3&gt;TODAY()),"",IF(AND(HW318="",HX318=""),"",N(HX318)-N(HW318)))</f>
        <v/>
      </c>
      <c r="IC318">
        <f>IF(OR(IA$3="",IA$3&gt;TODAY()),"",IF(AND(IA318="",IB318=""),"",N(IB318)-N(IA318)))</f>
        <v/>
      </c>
      <c r="IF318">
        <f>IF(OR(IA$3="",IA$3&gt;TODAY()),"",IF(AND(ID318="",IE318=""),"",N(IE318)-N(ID318)))</f>
        <v/>
      </c>
      <c r="IJ318">
        <f>IF(OR(IH$3="",IH$3&gt;TODAY()),"",IF(AND(IH318="",II318=""),"",N(II318)-N(IH318)))</f>
        <v/>
      </c>
      <c r="IM318">
        <f>IF(OR(IH$3="",IH$3&gt;TODAY()),"",IF(AND(IK318="",IL318=""),"",N(IL318)-N(IK318)))</f>
        <v/>
      </c>
    </row>
    <row r="319">
      <c r="A319" s="21" t="n"/>
      <c r="B319" s="21" t="n"/>
      <c r="C319" s="21" t="n"/>
      <c r="D319" s="21" t="n"/>
      <c r="E319" s="21" t="n"/>
      <c r="F319" s="21" t="n"/>
      <c r="G319" s="21" t="n"/>
      <c r="H319" s="21" t="n"/>
      <c r="I319" s="22" t="n"/>
      <c r="J319" s="22" t="n"/>
      <c r="K319" s="23" t="n"/>
      <c r="L319" s="22" t="n"/>
      <c r="M319" s="22" t="n"/>
      <c r="N319" s="21" t="n"/>
      <c r="O319" s="23" t="n"/>
      <c r="P319" s="23" t="n"/>
      <c r="Q319" s="23" t="n"/>
      <c r="R319" s="23" t="n"/>
      <c r="S319" s="22" t="n"/>
      <c r="T319" s="23" t="n"/>
      <c r="U319" s="23" t="n"/>
      <c r="V319" s="24">
        <f>IF(J319&lt;&gt;"",J319,IF(I319&lt;&gt;"",I319,""))</f>
        <v/>
      </c>
      <c r="W319" s="25">
        <f>IF($E319="","",N(O319)+SUMIFS($AF319:$IN319,$AF$4:$IN$4,"SEW_ACT"))</f>
        <v/>
      </c>
      <c r="X319" s="25">
        <f>IF($E319="","",N(P319)+SUMIFS($AF319:$IN319,$AF$4:$IN$4,"WASH_ACT"))</f>
        <v/>
      </c>
      <c r="Y319" s="25">
        <f>IF($E319="","",W319-X319-N(T319)-N(U319))</f>
        <v/>
      </c>
      <c r="Z319" s="25">
        <f>IF($E319="","",IF(N(K319)-X319&lt;=0.02*N(K319),0,N(K319)-X319))</f>
        <v/>
      </c>
      <c r="AA319" s="24">
        <f>IF($E319="","",IF(S319&lt;&gt;"",S319,IF(N(O319)&gt;0,IF(L319&lt;&gt;"",L319,99999),IFERROR(1/(1/_xlfn.MINIFS($AF$3:$IN$3,$AF$4:$IN$4,"SEW_ACT",$AF319:$IN319,"&gt;0")),99999))))</f>
        <v/>
      </c>
      <c r="AB319" s="26">
        <f>IF(OR($E319="",Z319=0,V319=""),"",1+COUNTIFS(Z$8:Z$707,"&gt;0",V$8:V$707,"&lt;"&amp;V319)+COUNTIFS(Z$8:Z$707,"&gt;0",V$8:V$707,V319,AA$8:AA$707,"&lt;"&amp;AA319)+COUNTIFS(Z$8:Z$707,"&gt;0",V$8:V$707,V319,AA$8:AA$707,AA319,E$8:E$707,"&lt;"&amp;$E319))</f>
        <v/>
      </c>
      <c r="AC319" s="24">
        <f>IF(OR($E319="",Z319=0),"",IFERROR(TODAY()+ROUNDUP(Z319/(SUMIFS($AF319:$IN319,$AF$4:$IN$4,"WASH_ACT")/COUNTIFS($AF$4:$IN$4,"WASH_ACT",$AF319:$IN319,"&gt;0")),0),"no output yet"))</f>
        <v/>
      </c>
      <c r="AD319" s="26">
        <f>IF($E319="","",IFERROR(ROUND(MAX(0,SUMIFS($AF319:$IN319,$AF$4:$IN$4,"SEW_PLAN",$AF$3:$IN$3,"&lt;="&amp;TODAY())-SUMIFS($AF319:$IN319,$AF$4:$IN$4,"SEW_ACT",$AF$3:$IN$3,"&lt;="&amp;TODAY())+N(Q319))/(SUMIFS($AF319:$IN319,$AF$4:$IN$4,"SEW_PLAN")/COUNTIFS($AF$4:$IN$4,"SEW_PLAN",$AF319:$IN319,"&gt;0")),1),0))</f>
        <v/>
      </c>
      <c r="AE319" s="26">
        <f>IF($E319="","",IF(AND(Z319&gt;0,OR(AND(M319&lt;&gt;"",TODAY()&gt;M319),AND(V319&lt;&gt;"",V319-TODAY()&lt;=7))),"Yes","No"))</f>
        <v/>
      </c>
      <c r="AH319">
        <f>IF(OR(AF$3="",AF$3&gt;TODAY()),"",IF(AND(AF319="",AG319=""),"",N(AG319)-N(AF319)))</f>
        <v/>
      </c>
      <c r="AK319">
        <f>IF(OR(AF$3="",AF$3&gt;TODAY()),"",IF(AND(AI319="",AJ319=""),"",N(AJ319)-N(AI319)))</f>
        <v/>
      </c>
      <c r="AO319">
        <f>IF(OR(AM$3="",AM$3&gt;TODAY()),"",IF(AND(AM319="",AN319=""),"",N(AN319)-N(AM319)))</f>
        <v/>
      </c>
      <c r="AR319">
        <f>IF(OR(AM$3="",AM$3&gt;TODAY()),"",IF(AND(AP319="",AQ319=""),"",N(AQ319)-N(AP319)))</f>
        <v/>
      </c>
      <c r="AV319">
        <f>IF(OR(AT$3="",AT$3&gt;TODAY()),"",IF(AND(AT319="",AU319=""),"",N(AU319)-N(AT319)))</f>
        <v/>
      </c>
      <c r="AY319">
        <f>IF(OR(AT$3="",AT$3&gt;TODAY()),"",IF(AND(AW319="",AX319=""),"",N(AX319)-N(AW319)))</f>
        <v/>
      </c>
      <c r="BC319">
        <f>IF(OR(BA$3="",BA$3&gt;TODAY()),"",IF(AND(BA319="",BB319=""),"",N(BB319)-N(BA319)))</f>
        <v/>
      </c>
      <c r="BF319">
        <f>IF(OR(BA$3="",BA$3&gt;TODAY()),"",IF(AND(BD319="",BE319=""),"",N(BE319)-N(BD319)))</f>
        <v/>
      </c>
      <c r="BJ319">
        <f>IF(OR(BH$3="",BH$3&gt;TODAY()),"",IF(AND(BH319="",BI319=""),"",N(BI319)-N(BH319)))</f>
        <v/>
      </c>
      <c r="BM319">
        <f>IF(OR(BH$3="",BH$3&gt;TODAY()),"",IF(AND(BK319="",BL319=""),"",N(BL319)-N(BK319)))</f>
        <v/>
      </c>
      <c r="BQ319">
        <f>IF(OR(BO$3="",BO$3&gt;TODAY()),"",IF(AND(BO319="",BP319=""),"",N(BP319)-N(BO319)))</f>
        <v/>
      </c>
      <c r="BT319">
        <f>IF(OR(BO$3="",BO$3&gt;TODAY()),"",IF(AND(BR319="",BS319=""),"",N(BS319)-N(BR319)))</f>
        <v/>
      </c>
      <c r="BX319">
        <f>IF(OR(BV$3="",BV$3&gt;TODAY()),"",IF(AND(BV319="",BW319=""),"",N(BW319)-N(BV319)))</f>
        <v/>
      </c>
      <c r="CA319">
        <f>IF(OR(BV$3="",BV$3&gt;TODAY()),"",IF(AND(BY319="",BZ319=""),"",N(BZ319)-N(BY319)))</f>
        <v/>
      </c>
      <c r="CE319">
        <f>IF(OR(CC$3="",CC$3&gt;TODAY()),"",IF(AND(CC319="",CD319=""),"",N(CD319)-N(CC319)))</f>
        <v/>
      </c>
      <c r="CH319">
        <f>IF(OR(CC$3="",CC$3&gt;TODAY()),"",IF(AND(CF319="",CG319=""),"",N(CG319)-N(CF319)))</f>
        <v/>
      </c>
      <c r="CL319">
        <f>IF(OR(CJ$3="",CJ$3&gt;TODAY()),"",IF(AND(CJ319="",CK319=""),"",N(CK319)-N(CJ319)))</f>
        <v/>
      </c>
      <c r="CO319">
        <f>IF(OR(CJ$3="",CJ$3&gt;TODAY()),"",IF(AND(CM319="",CN319=""),"",N(CN319)-N(CM319)))</f>
        <v/>
      </c>
      <c r="CS319">
        <f>IF(OR(CQ$3="",CQ$3&gt;TODAY()),"",IF(AND(CQ319="",CR319=""),"",N(CR319)-N(CQ319)))</f>
        <v/>
      </c>
      <c r="CV319">
        <f>IF(OR(CQ$3="",CQ$3&gt;TODAY()),"",IF(AND(CT319="",CU319=""),"",N(CU319)-N(CT319)))</f>
        <v/>
      </c>
      <c r="CZ319">
        <f>IF(OR(CX$3="",CX$3&gt;TODAY()),"",IF(AND(CX319="",CY319=""),"",N(CY319)-N(CX319)))</f>
        <v/>
      </c>
      <c r="DC319">
        <f>IF(OR(CX$3="",CX$3&gt;TODAY()),"",IF(AND(DA319="",DB319=""),"",N(DB319)-N(DA319)))</f>
        <v/>
      </c>
      <c r="DG319">
        <f>IF(OR(DE$3="",DE$3&gt;TODAY()),"",IF(AND(DE319="",DF319=""),"",N(DF319)-N(DE319)))</f>
        <v/>
      </c>
      <c r="DJ319">
        <f>IF(OR(DE$3="",DE$3&gt;TODAY()),"",IF(AND(DH319="",DI319=""),"",N(DI319)-N(DH319)))</f>
        <v/>
      </c>
      <c r="DN319">
        <f>IF(OR(DL$3="",DL$3&gt;TODAY()),"",IF(AND(DL319="",DM319=""),"",N(DM319)-N(DL319)))</f>
        <v/>
      </c>
      <c r="DQ319">
        <f>IF(OR(DL$3="",DL$3&gt;TODAY()),"",IF(AND(DO319="",DP319=""),"",N(DP319)-N(DO319)))</f>
        <v/>
      </c>
      <c r="DU319">
        <f>IF(OR(DS$3="",DS$3&gt;TODAY()),"",IF(AND(DS319="",DT319=""),"",N(DT319)-N(DS319)))</f>
        <v/>
      </c>
      <c r="DX319">
        <f>IF(OR(DS$3="",DS$3&gt;TODAY()),"",IF(AND(DV319="",DW319=""),"",N(DW319)-N(DV319)))</f>
        <v/>
      </c>
      <c r="EB319">
        <f>IF(OR(DZ$3="",DZ$3&gt;TODAY()),"",IF(AND(DZ319="",EA319=""),"",N(EA319)-N(DZ319)))</f>
        <v/>
      </c>
      <c r="EE319">
        <f>IF(OR(DZ$3="",DZ$3&gt;TODAY()),"",IF(AND(EC319="",ED319=""),"",N(ED319)-N(EC319)))</f>
        <v/>
      </c>
      <c r="EI319">
        <f>IF(OR(EG$3="",EG$3&gt;TODAY()),"",IF(AND(EG319="",EH319=""),"",N(EH319)-N(EG319)))</f>
        <v/>
      </c>
      <c r="EL319">
        <f>IF(OR(EG$3="",EG$3&gt;TODAY()),"",IF(AND(EJ319="",EK319=""),"",N(EK319)-N(EJ319)))</f>
        <v/>
      </c>
      <c r="EP319">
        <f>IF(OR(EN$3="",EN$3&gt;TODAY()),"",IF(AND(EN319="",EO319=""),"",N(EO319)-N(EN319)))</f>
        <v/>
      </c>
      <c r="ES319">
        <f>IF(OR(EN$3="",EN$3&gt;TODAY()),"",IF(AND(EQ319="",ER319=""),"",N(ER319)-N(EQ319)))</f>
        <v/>
      </c>
      <c r="EW319">
        <f>IF(OR(EU$3="",EU$3&gt;TODAY()),"",IF(AND(EU319="",EV319=""),"",N(EV319)-N(EU319)))</f>
        <v/>
      </c>
      <c r="EZ319">
        <f>IF(OR(EU$3="",EU$3&gt;TODAY()),"",IF(AND(EX319="",EY319=""),"",N(EY319)-N(EX319)))</f>
        <v/>
      </c>
      <c r="FD319">
        <f>IF(OR(FB$3="",FB$3&gt;TODAY()),"",IF(AND(FB319="",FC319=""),"",N(FC319)-N(FB319)))</f>
        <v/>
      </c>
      <c r="FG319">
        <f>IF(OR(FB$3="",FB$3&gt;TODAY()),"",IF(AND(FE319="",FF319=""),"",N(FF319)-N(FE319)))</f>
        <v/>
      </c>
      <c r="FK319">
        <f>IF(OR(FI$3="",FI$3&gt;TODAY()),"",IF(AND(FI319="",FJ319=""),"",N(FJ319)-N(FI319)))</f>
        <v/>
      </c>
      <c r="FN319">
        <f>IF(OR(FI$3="",FI$3&gt;TODAY()),"",IF(AND(FL319="",FM319=""),"",N(FM319)-N(FL319)))</f>
        <v/>
      </c>
      <c r="FR319">
        <f>IF(OR(FP$3="",FP$3&gt;TODAY()),"",IF(AND(FP319="",FQ319=""),"",N(FQ319)-N(FP319)))</f>
        <v/>
      </c>
      <c r="FU319">
        <f>IF(OR(FP$3="",FP$3&gt;TODAY()),"",IF(AND(FS319="",FT319=""),"",N(FT319)-N(FS319)))</f>
        <v/>
      </c>
      <c r="FY319">
        <f>IF(OR(FW$3="",FW$3&gt;TODAY()),"",IF(AND(FW319="",FX319=""),"",N(FX319)-N(FW319)))</f>
        <v/>
      </c>
      <c r="GB319">
        <f>IF(OR(FW$3="",FW$3&gt;TODAY()),"",IF(AND(FZ319="",GA319=""),"",N(GA319)-N(FZ319)))</f>
        <v/>
      </c>
      <c r="GF319">
        <f>IF(OR(GD$3="",GD$3&gt;TODAY()),"",IF(AND(GD319="",GE319=""),"",N(GE319)-N(GD319)))</f>
        <v/>
      </c>
      <c r="GI319">
        <f>IF(OR(GD$3="",GD$3&gt;TODAY()),"",IF(AND(GG319="",GH319=""),"",N(GH319)-N(GG319)))</f>
        <v/>
      </c>
      <c r="GM319">
        <f>IF(OR(GK$3="",GK$3&gt;TODAY()),"",IF(AND(GK319="",GL319=""),"",N(GL319)-N(GK319)))</f>
        <v/>
      </c>
      <c r="GP319">
        <f>IF(OR(GK$3="",GK$3&gt;TODAY()),"",IF(AND(GN319="",GO319=""),"",N(GO319)-N(GN319)))</f>
        <v/>
      </c>
      <c r="GT319">
        <f>IF(OR(GR$3="",GR$3&gt;TODAY()),"",IF(AND(GR319="",GS319=""),"",N(GS319)-N(GR319)))</f>
        <v/>
      </c>
      <c r="GW319">
        <f>IF(OR(GR$3="",GR$3&gt;TODAY()),"",IF(AND(GU319="",GV319=""),"",N(GV319)-N(GU319)))</f>
        <v/>
      </c>
      <c r="HA319">
        <f>IF(OR(GY$3="",GY$3&gt;TODAY()),"",IF(AND(GY319="",GZ319=""),"",N(GZ319)-N(GY319)))</f>
        <v/>
      </c>
      <c r="HD319">
        <f>IF(OR(GY$3="",GY$3&gt;TODAY()),"",IF(AND(HB319="",HC319=""),"",N(HC319)-N(HB319)))</f>
        <v/>
      </c>
      <c r="HH319">
        <f>IF(OR(HF$3="",HF$3&gt;TODAY()),"",IF(AND(HF319="",HG319=""),"",N(HG319)-N(HF319)))</f>
        <v/>
      </c>
      <c r="HK319">
        <f>IF(OR(HF$3="",HF$3&gt;TODAY()),"",IF(AND(HI319="",HJ319=""),"",N(HJ319)-N(HI319)))</f>
        <v/>
      </c>
      <c r="HO319">
        <f>IF(OR(HM$3="",HM$3&gt;TODAY()),"",IF(AND(HM319="",HN319=""),"",N(HN319)-N(HM319)))</f>
        <v/>
      </c>
      <c r="HR319">
        <f>IF(OR(HM$3="",HM$3&gt;TODAY()),"",IF(AND(HP319="",HQ319=""),"",N(HQ319)-N(HP319)))</f>
        <v/>
      </c>
      <c r="HV319">
        <f>IF(OR(HT$3="",HT$3&gt;TODAY()),"",IF(AND(HT319="",HU319=""),"",N(HU319)-N(HT319)))</f>
        <v/>
      </c>
      <c r="HY319">
        <f>IF(OR(HT$3="",HT$3&gt;TODAY()),"",IF(AND(HW319="",HX319=""),"",N(HX319)-N(HW319)))</f>
        <v/>
      </c>
      <c r="IC319">
        <f>IF(OR(IA$3="",IA$3&gt;TODAY()),"",IF(AND(IA319="",IB319=""),"",N(IB319)-N(IA319)))</f>
        <v/>
      </c>
      <c r="IF319">
        <f>IF(OR(IA$3="",IA$3&gt;TODAY()),"",IF(AND(ID319="",IE319=""),"",N(IE319)-N(ID319)))</f>
        <v/>
      </c>
      <c r="IJ319">
        <f>IF(OR(IH$3="",IH$3&gt;TODAY()),"",IF(AND(IH319="",II319=""),"",N(II319)-N(IH319)))</f>
        <v/>
      </c>
      <c r="IM319">
        <f>IF(OR(IH$3="",IH$3&gt;TODAY()),"",IF(AND(IK319="",IL319=""),"",N(IL319)-N(IK319)))</f>
        <v/>
      </c>
    </row>
    <row r="320">
      <c r="A320" s="21" t="n"/>
      <c r="B320" s="21" t="n"/>
      <c r="C320" s="21" t="n"/>
      <c r="D320" s="21" t="n"/>
      <c r="E320" s="21" t="n"/>
      <c r="F320" s="21" t="n"/>
      <c r="G320" s="21" t="n"/>
      <c r="H320" s="21" t="n"/>
      <c r="I320" s="22" t="n"/>
      <c r="J320" s="22" t="n"/>
      <c r="K320" s="23" t="n"/>
      <c r="L320" s="22" t="n"/>
      <c r="M320" s="22" t="n"/>
      <c r="N320" s="21" t="n"/>
      <c r="O320" s="23" t="n"/>
      <c r="P320" s="23" t="n"/>
      <c r="Q320" s="23" t="n"/>
      <c r="R320" s="23" t="n"/>
      <c r="S320" s="22" t="n"/>
      <c r="T320" s="23" t="n"/>
      <c r="U320" s="23" t="n"/>
      <c r="V320" s="24">
        <f>IF(J320&lt;&gt;"",J320,IF(I320&lt;&gt;"",I320,""))</f>
        <v/>
      </c>
      <c r="W320" s="25">
        <f>IF($E320="","",N(O320)+SUMIFS($AF320:$IN320,$AF$4:$IN$4,"SEW_ACT"))</f>
        <v/>
      </c>
      <c r="X320" s="25">
        <f>IF($E320="","",N(P320)+SUMIFS($AF320:$IN320,$AF$4:$IN$4,"WASH_ACT"))</f>
        <v/>
      </c>
      <c r="Y320" s="25">
        <f>IF($E320="","",W320-X320-N(T320)-N(U320))</f>
        <v/>
      </c>
      <c r="Z320" s="25">
        <f>IF($E320="","",IF(N(K320)-X320&lt;=0.02*N(K320),0,N(K320)-X320))</f>
        <v/>
      </c>
      <c r="AA320" s="24">
        <f>IF($E320="","",IF(S320&lt;&gt;"",S320,IF(N(O320)&gt;0,IF(L320&lt;&gt;"",L320,99999),IFERROR(1/(1/_xlfn.MINIFS($AF$3:$IN$3,$AF$4:$IN$4,"SEW_ACT",$AF320:$IN320,"&gt;0")),99999))))</f>
        <v/>
      </c>
      <c r="AB320" s="26">
        <f>IF(OR($E320="",Z320=0,V320=""),"",1+COUNTIFS(Z$8:Z$707,"&gt;0",V$8:V$707,"&lt;"&amp;V320)+COUNTIFS(Z$8:Z$707,"&gt;0",V$8:V$707,V320,AA$8:AA$707,"&lt;"&amp;AA320)+COUNTIFS(Z$8:Z$707,"&gt;0",V$8:V$707,V320,AA$8:AA$707,AA320,E$8:E$707,"&lt;"&amp;$E320))</f>
        <v/>
      </c>
      <c r="AC320" s="24">
        <f>IF(OR($E320="",Z320=0),"",IFERROR(TODAY()+ROUNDUP(Z320/(SUMIFS($AF320:$IN320,$AF$4:$IN$4,"WASH_ACT")/COUNTIFS($AF$4:$IN$4,"WASH_ACT",$AF320:$IN320,"&gt;0")),0),"no output yet"))</f>
        <v/>
      </c>
      <c r="AD320" s="26">
        <f>IF($E320="","",IFERROR(ROUND(MAX(0,SUMIFS($AF320:$IN320,$AF$4:$IN$4,"SEW_PLAN",$AF$3:$IN$3,"&lt;="&amp;TODAY())-SUMIFS($AF320:$IN320,$AF$4:$IN$4,"SEW_ACT",$AF$3:$IN$3,"&lt;="&amp;TODAY())+N(Q320))/(SUMIFS($AF320:$IN320,$AF$4:$IN$4,"SEW_PLAN")/COUNTIFS($AF$4:$IN$4,"SEW_PLAN",$AF320:$IN320,"&gt;0")),1),0))</f>
        <v/>
      </c>
      <c r="AE320" s="26">
        <f>IF($E320="","",IF(AND(Z320&gt;0,OR(AND(M320&lt;&gt;"",TODAY()&gt;M320),AND(V320&lt;&gt;"",V320-TODAY()&lt;=7))),"Yes","No"))</f>
        <v/>
      </c>
      <c r="AH320">
        <f>IF(OR(AF$3="",AF$3&gt;TODAY()),"",IF(AND(AF320="",AG320=""),"",N(AG320)-N(AF320)))</f>
        <v/>
      </c>
      <c r="AK320">
        <f>IF(OR(AF$3="",AF$3&gt;TODAY()),"",IF(AND(AI320="",AJ320=""),"",N(AJ320)-N(AI320)))</f>
        <v/>
      </c>
      <c r="AO320">
        <f>IF(OR(AM$3="",AM$3&gt;TODAY()),"",IF(AND(AM320="",AN320=""),"",N(AN320)-N(AM320)))</f>
        <v/>
      </c>
      <c r="AR320">
        <f>IF(OR(AM$3="",AM$3&gt;TODAY()),"",IF(AND(AP320="",AQ320=""),"",N(AQ320)-N(AP320)))</f>
        <v/>
      </c>
      <c r="AV320">
        <f>IF(OR(AT$3="",AT$3&gt;TODAY()),"",IF(AND(AT320="",AU320=""),"",N(AU320)-N(AT320)))</f>
        <v/>
      </c>
      <c r="AY320">
        <f>IF(OR(AT$3="",AT$3&gt;TODAY()),"",IF(AND(AW320="",AX320=""),"",N(AX320)-N(AW320)))</f>
        <v/>
      </c>
      <c r="BC320">
        <f>IF(OR(BA$3="",BA$3&gt;TODAY()),"",IF(AND(BA320="",BB320=""),"",N(BB320)-N(BA320)))</f>
        <v/>
      </c>
      <c r="BF320">
        <f>IF(OR(BA$3="",BA$3&gt;TODAY()),"",IF(AND(BD320="",BE320=""),"",N(BE320)-N(BD320)))</f>
        <v/>
      </c>
      <c r="BJ320">
        <f>IF(OR(BH$3="",BH$3&gt;TODAY()),"",IF(AND(BH320="",BI320=""),"",N(BI320)-N(BH320)))</f>
        <v/>
      </c>
      <c r="BM320">
        <f>IF(OR(BH$3="",BH$3&gt;TODAY()),"",IF(AND(BK320="",BL320=""),"",N(BL320)-N(BK320)))</f>
        <v/>
      </c>
      <c r="BQ320">
        <f>IF(OR(BO$3="",BO$3&gt;TODAY()),"",IF(AND(BO320="",BP320=""),"",N(BP320)-N(BO320)))</f>
        <v/>
      </c>
      <c r="BT320">
        <f>IF(OR(BO$3="",BO$3&gt;TODAY()),"",IF(AND(BR320="",BS320=""),"",N(BS320)-N(BR320)))</f>
        <v/>
      </c>
      <c r="BX320">
        <f>IF(OR(BV$3="",BV$3&gt;TODAY()),"",IF(AND(BV320="",BW320=""),"",N(BW320)-N(BV320)))</f>
        <v/>
      </c>
      <c r="CA320">
        <f>IF(OR(BV$3="",BV$3&gt;TODAY()),"",IF(AND(BY320="",BZ320=""),"",N(BZ320)-N(BY320)))</f>
        <v/>
      </c>
      <c r="CE320">
        <f>IF(OR(CC$3="",CC$3&gt;TODAY()),"",IF(AND(CC320="",CD320=""),"",N(CD320)-N(CC320)))</f>
        <v/>
      </c>
      <c r="CH320">
        <f>IF(OR(CC$3="",CC$3&gt;TODAY()),"",IF(AND(CF320="",CG320=""),"",N(CG320)-N(CF320)))</f>
        <v/>
      </c>
      <c r="CL320">
        <f>IF(OR(CJ$3="",CJ$3&gt;TODAY()),"",IF(AND(CJ320="",CK320=""),"",N(CK320)-N(CJ320)))</f>
        <v/>
      </c>
      <c r="CO320">
        <f>IF(OR(CJ$3="",CJ$3&gt;TODAY()),"",IF(AND(CM320="",CN320=""),"",N(CN320)-N(CM320)))</f>
        <v/>
      </c>
      <c r="CS320">
        <f>IF(OR(CQ$3="",CQ$3&gt;TODAY()),"",IF(AND(CQ320="",CR320=""),"",N(CR320)-N(CQ320)))</f>
        <v/>
      </c>
      <c r="CV320">
        <f>IF(OR(CQ$3="",CQ$3&gt;TODAY()),"",IF(AND(CT320="",CU320=""),"",N(CU320)-N(CT320)))</f>
        <v/>
      </c>
      <c r="CZ320">
        <f>IF(OR(CX$3="",CX$3&gt;TODAY()),"",IF(AND(CX320="",CY320=""),"",N(CY320)-N(CX320)))</f>
        <v/>
      </c>
      <c r="DC320">
        <f>IF(OR(CX$3="",CX$3&gt;TODAY()),"",IF(AND(DA320="",DB320=""),"",N(DB320)-N(DA320)))</f>
        <v/>
      </c>
      <c r="DG320">
        <f>IF(OR(DE$3="",DE$3&gt;TODAY()),"",IF(AND(DE320="",DF320=""),"",N(DF320)-N(DE320)))</f>
        <v/>
      </c>
      <c r="DJ320">
        <f>IF(OR(DE$3="",DE$3&gt;TODAY()),"",IF(AND(DH320="",DI320=""),"",N(DI320)-N(DH320)))</f>
        <v/>
      </c>
      <c r="DN320">
        <f>IF(OR(DL$3="",DL$3&gt;TODAY()),"",IF(AND(DL320="",DM320=""),"",N(DM320)-N(DL320)))</f>
        <v/>
      </c>
      <c r="DQ320">
        <f>IF(OR(DL$3="",DL$3&gt;TODAY()),"",IF(AND(DO320="",DP320=""),"",N(DP320)-N(DO320)))</f>
        <v/>
      </c>
      <c r="DU320">
        <f>IF(OR(DS$3="",DS$3&gt;TODAY()),"",IF(AND(DS320="",DT320=""),"",N(DT320)-N(DS320)))</f>
        <v/>
      </c>
      <c r="DX320">
        <f>IF(OR(DS$3="",DS$3&gt;TODAY()),"",IF(AND(DV320="",DW320=""),"",N(DW320)-N(DV320)))</f>
        <v/>
      </c>
      <c r="EB320">
        <f>IF(OR(DZ$3="",DZ$3&gt;TODAY()),"",IF(AND(DZ320="",EA320=""),"",N(EA320)-N(DZ320)))</f>
        <v/>
      </c>
      <c r="EE320">
        <f>IF(OR(DZ$3="",DZ$3&gt;TODAY()),"",IF(AND(EC320="",ED320=""),"",N(ED320)-N(EC320)))</f>
        <v/>
      </c>
      <c r="EI320">
        <f>IF(OR(EG$3="",EG$3&gt;TODAY()),"",IF(AND(EG320="",EH320=""),"",N(EH320)-N(EG320)))</f>
        <v/>
      </c>
      <c r="EL320">
        <f>IF(OR(EG$3="",EG$3&gt;TODAY()),"",IF(AND(EJ320="",EK320=""),"",N(EK320)-N(EJ320)))</f>
        <v/>
      </c>
      <c r="EP320">
        <f>IF(OR(EN$3="",EN$3&gt;TODAY()),"",IF(AND(EN320="",EO320=""),"",N(EO320)-N(EN320)))</f>
        <v/>
      </c>
      <c r="ES320">
        <f>IF(OR(EN$3="",EN$3&gt;TODAY()),"",IF(AND(EQ320="",ER320=""),"",N(ER320)-N(EQ320)))</f>
        <v/>
      </c>
      <c r="EW320">
        <f>IF(OR(EU$3="",EU$3&gt;TODAY()),"",IF(AND(EU320="",EV320=""),"",N(EV320)-N(EU320)))</f>
        <v/>
      </c>
      <c r="EZ320">
        <f>IF(OR(EU$3="",EU$3&gt;TODAY()),"",IF(AND(EX320="",EY320=""),"",N(EY320)-N(EX320)))</f>
        <v/>
      </c>
      <c r="FD320">
        <f>IF(OR(FB$3="",FB$3&gt;TODAY()),"",IF(AND(FB320="",FC320=""),"",N(FC320)-N(FB320)))</f>
        <v/>
      </c>
      <c r="FG320">
        <f>IF(OR(FB$3="",FB$3&gt;TODAY()),"",IF(AND(FE320="",FF320=""),"",N(FF320)-N(FE320)))</f>
        <v/>
      </c>
      <c r="FK320">
        <f>IF(OR(FI$3="",FI$3&gt;TODAY()),"",IF(AND(FI320="",FJ320=""),"",N(FJ320)-N(FI320)))</f>
        <v/>
      </c>
      <c r="FN320">
        <f>IF(OR(FI$3="",FI$3&gt;TODAY()),"",IF(AND(FL320="",FM320=""),"",N(FM320)-N(FL320)))</f>
        <v/>
      </c>
      <c r="FR320">
        <f>IF(OR(FP$3="",FP$3&gt;TODAY()),"",IF(AND(FP320="",FQ320=""),"",N(FQ320)-N(FP320)))</f>
        <v/>
      </c>
      <c r="FU320">
        <f>IF(OR(FP$3="",FP$3&gt;TODAY()),"",IF(AND(FS320="",FT320=""),"",N(FT320)-N(FS320)))</f>
        <v/>
      </c>
      <c r="FY320">
        <f>IF(OR(FW$3="",FW$3&gt;TODAY()),"",IF(AND(FW320="",FX320=""),"",N(FX320)-N(FW320)))</f>
        <v/>
      </c>
      <c r="GB320">
        <f>IF(OR(FW$3="",FW$3&gt;TODAY()),"",IF(AND(FZ320="",GA320=""),"",N(GA320)-N(FZ320)))</f>
        <v/>
      </c>
      <c r="GF320">
        <f>IF(OR(GD$3="",GD$3&gt;TODAY()),"",IF(AND(GD320="",GE320=""),"",N(GE320)-N(GD320)))</f>
        <v/>
      </c>
      <c r="GI320">
        <f>IF(OR(GD$3="",GD$3&gt;TODAY()),"",IF(AND(GG320="",GH320=""),"",N(GH320)-N(GG320)))</f>
        <v/>
      </c>
      <c r="GM320">
        <f>IF(OR(GK$3="",GK$3&gt;TODAY()),"",IF(AND(GK320="",GL320=""),"",N(GL320)-N(GK320)))</f>
        <v/>
      </c>
      <c r="GP320">
        <f>IF(OR(GK$3="",GK$3&gt;TODAY()),"",IF(AND(GN320="",GO320=""),"",N(GO320)-N(GN320)))</f>
        <v/>
      </c>
      <c r="GT320">
        <f>IF(OR(GR$3="",GR$3&gt;TODAY()),"",IF(AND(GR320="",GS320=""),"",N(GS320)-N(GR320)))</f>
        <v/>
      </c>
      <c r="GW320">
        <f>IF(OR(GR$3="",GR$3&gt;TODAY()),"",IF(AND(GU320="",GV320=""),"",N(GV320)-N(GU320)))</f>
        <v/>
      </c>
      <c r="HA320">
        <f>IF(OR(GY$3="",GY$3&gt;TODAY()),"",IF(AND(GY320="",GZ320=""),"",N(GZ320)-N(GY320)))</f>
        <v/>
      </c>
      <c r="HD320">
        <f>IF(OR(GY$3="",GY$3&gt;TODAY()),"",IF(AND(HB320="",HC320=""),"",N(HC320)-N(HB320)))</f>
        <v/>
      </c>
      <c r="HH320">
        <f>IF(OR(HF$3="",HF$3&gt;TODAY()),"",IF(AND(HF320="",HG320=""),"",N(HG320)-N(HF320)))</f>
        <v/>
      </c>
      <c r="HK320">
        <f>IF(OR(HF$3="",HF$3&gt;TODAY()),"",IF(AND(HI320="",HJ320=""),"",N(HJ320)-N(HI320)))</f>
        <v/>
      </c>
      <c r="HO320">
        <f>IF(OR(HM$3="",HM$3&gt;TODAY()),"",IF(AND(HM320="",HN320=""),"",N(HN320)-N(HM320)))</f>
        <v/>
      </c>
      <c r="HR320">
        <f>IF(OR(HM$3="",HM$3&gt;TODAY()),"",IF(AND(HP320="",HQ320=""),"",N(HQ320)-N(HP320)))</f>
        <v/>
      </c>
      <c r="HV320">
        <f>IF(OR(HT$3="",HT$3&gt;TODAY()),"",IF(AND(HT320="",HU320=""),"",N(HU320)-N(HT320)))</f>
        <v/>
      </c>
      <c r="HY320">
        <f>IF(OR(HT$3="",HT$3&gt;TODAY()),"",IF(AND(HW320="",HX320=""),"",N(HX320)-N(HW320)))</f>
        <v/>
      </c>
      <c r="IC320">
        <f>IF(OR(IA$3="",IA$3&gt;TODAY()),"",IF(AND(IA320="",IB320=""),"",N(IB320)-N(IA320)))</f>
        <v/>
      </c>
      <c r="IF320">
        <f>IF(OR(IA$3="",IA$3&gt;TODAY()),"",IF(AND(ID320="",IE320=""),"",N(IE320)-N(ID320)))</f>
        <v/>
      </c>
      <c r="IJ320">
        <f>IF(OR(IH$3="",IH$3&gt;TODAY()),"",IF(AND(IH320="",II320=""),"",N(II320)-N(IH320)))</f>
        <v/>
      </c>
      <c r="IM320">
        <f>IF(OR(IH$3="",IH$3&gt;TODAY()),"",IF(AND(IK320="",IL320=""),"",N(IL320)-N(IK320)))</f>
        <v/>
      </c>
    </row>
    <row r="321">
      <c r="A321" s="21" t="n"/>
      <c r="B321" s="21" t="n"/>
      <c r="C321" s="21" t="n"/>
      <c r="D321" s="21" t="n"/>
      <c r="E321" s="21" t="n"/>
      <c r="F321" s="21" t="n"/>
      <c r="G321" s="21" t="n"/>
      <c r="H321" s="21" t="n"/>
      <c r="I321" s="22" t="n"/>
      <c r="J321" s="22" t="n"/>
      <c r="K321" s="23" t="n"/>
      <c r="L321" s="22" t="n"/>
      <c r="M321" s="22" t="n"/>
      <c r="N321" s="21" t="n"/>
      <c r="O321" s="23" t="n"/>
      <c r="P321" s="23" t="n"/>
      <c r="Q321" s="23" t="n"/>
      <c r="R321" s="23" t="n"/>
      <c r="S321" s="22" t="n"/>
      <c r="T321" s="23" t="n"/>
      <c r="U321" s="23" t="n"/>
      <c r="V321" s="24">
        <f>IF(J321&lt;&gt;"",J321,IF(I321&lt;&gt;"",I321,""))</f>
        <v/>
      </c>
      <c r="W321" s="25">
        <f>IF($E321="","",N(O321)+SUMIFS($AF321:$IN321,$AF$4:$IN$4,"SEW_ACT"))</f>
        <v/>
      </c>
      <c r="X321" s="25">
        <f>IF($E321="","",N(P321)+SUMIFS($AF321:$IN321,$AF$4:$IN$4,"WASH_ACT"))</f>
        <v/>
      </c>
      <c r="Y321" s="25">
        <f>IF($E321="","",W321-X321-N(T321)-N(U321))</f>
        <v/>
      </c>
      <c r="Z321" s="25">
        <f>IF($E321="","",IF(N(K321)-X321&lt;=0.02*N(K321),0,N(K321)-X321))</f>
        <v/>
      </c>
      <c r="AA321" s="24">
        <f>IF($E321="","",IF(S321&lt;&gt;"",S321,IF(N(O321)&gt;0,IF(L321&lt;&gt;"",L321,99999),IFERROR(1/(1/_xlfn.MINIFS($AF$3:$IN$3,$AF$4:$IN$4,"SEW_ACT",$AF321:$IN321,"&gt;0")),99999))))</f>
        <v/>
      </c>
      <c r="AB321" s="26">
        <f>IF(OR($E321="",Z321=0,V321=""),"",1+COUNTIFS(Z$8:Z$707,"&gt;0",V$8:V$707,"&lt;"&amp;V321)+COUNTIFS(Z$8:Z$707,"&gt;0",V$8:V$707,V321,AA$8:AA$707,"&lt;"&amp;AA321)+COUNTIFS(Z$8:Z$707,"&gt;0",V$8:V$707,V321,AA$8:AA$707,AA321,E$8:E$707,"&lt;"&amp;$E321))</f>
        <v/>
      </c>
      <c r="AC321" s="24">
        <f>IF(OR($E321="",Z321=0),"",IFERROR(TODAY()+ROUNDUP(Z321/(SUMIFS($AF321:$IN321,$AF$4:$IN$4,"WASH_ACT")/COUNTIFS($AF$4:$IN$4,"WASH_ACT",$AF321:$IN321,"&gt;0")),0),"no output yet"))</f>
        <v/>
      </c>
      <c r="AD321" s="26">
        <f>IF($E321="","",IFERROR(ROUND(MAX(0,SUMIFS($AF321:$IN321,$AF$4:$IN$4,"SEW_PLAN",$AF$3:$IN$3,"&lt;="&amp;TODAY())-SUMIFS($AF321:$IN321,$AF$4:$IN$4,"SEW_ACT",$AF$3:$IN$3,"&lt;="&amp;TODAY())+N(Q321))/(SUMIFS($AF321:$IN321,$AF$4:$IN$4,"SEW_PLAN")/COUNTIFS($AF$4:$IN$4,"SEW_PLAN",$AF321:$IN321,"&gt;0")),1),0))</f>
        <v/>
      </c>
      <c r="AE321" s="26">
        <f>IF($E321="","",IF(AND(Z321&gt;0,OR(AND(M321&lt;&gt;"",TODAY()&gt;M321),AND(V321&lt;&gt;"",V321-TODAY()&lt;=7))),"Yes","No"))</f>
        <v/>
      </c>
      <c r="AH321">
        <f>IF(OR(AF$3="",AF$3&gt;TODAY()),"",IF(AND(AF321="",AG321=""),"",N(AG321)-N(AF321)))</f>
        <v/>
      </c>
      <c r="AK321">
        <f>IF(OR(AF$3="",AF$3&gt;TODAY()),"",IF(AND(AI321="",AJ321=""),"",N(AJ321)-N(AI321)))</f>
        <v/>
      </c>
      <c r="AO321">
        <f>IF(OR(AM$3="",AM$3&gt;TODAY()),"",IF(AND(AM321="",AN321=""),"",N(AN321)-N(AM321)))</f>
        <v/>
      </c>
      <c r="AR321">
        <f>IF(OR(AM$3="",AM$3&gt;TODAY()),"",IF(AND(AP321="",AQ321=""),"",N(AQ321)-N(AP321)))</f>
        <v/>
      </c>
      <c r="AV321">
        <f>IF(OR(AT$3="",AT$3&gt;TODAY()),"",IF(AND(AT321="",AU321=""),"",N(AU321)-N(AT321)))</f>
        <v/>
      </c>
      <c r="AY321">
        <f>IF(OR(AT$3="",AT$3&gt;TODAY()),"",IF(AND(AW321="",AX321=""),"",N(AX321)-N(AW321)))</f>
        <v/>
      </c>
      <c r="BC321">
        <f>IF(OR(BA$3="",BA$3&gt;TODAY()),"",IF(AND(BA321="",BB321=""),"",N(BB321)-N(BA321)))</f>
        <v/>
      </c>
      <c r="BF321">
        <f>IF(OR(BA$3="",BA$3&gt;TODAY()),"",IF(AND(BD321="",BE321=""),"",N(BE321)-N(BD321)))</f>
        <v/>
      </c>
      <c r="BJ321">
        <f>IF(OR(BH$3="",BH$3&gt;TODAY()),"",IF(AND(BH321="",BI321=""),"",N(BI321)-N(BH321)))</f>
        <v/>
      </c>
      <c r="BM321">
        <f>IF(OR(BH$3="",BH$3&gt;TODAY()),"",IF(AND(BK321="",BL321=""),"",N(BL321)-N(BK321)))</f>
        <v/>
      </c>
      <c r="BQ321">
        <f>IF(OR(BO$3="",BO$3&gt;TODAY()),"",IF(AND(BO321="",BP321=""),"",N(BP321)-N(BO321)))</f>
        <v/>
      </c>
      <c r="BT321">
        <f>IF(OR(BO$3="",BO$3&gt;TODAY()),"",IF(AND(BR321="",BS321=""),"",N(BS321)-N(BR321)))</f>
        <v/>
      </c>
      <c r="BX321">
        <f>IF(OR(BV$3="",BV$3&gt;TODAY()),"",IF(AND(BV321="",BW321=""),"",N(BW321)-N(BV321)))</f>
        <v/>
      </c>
      <c r="CA321">
        <f>IF(OR(BV$3="",BV$3&gt;TODAY()),"",IF(AND(BY321="",BZ321=""),"",N(BZ321)-N(BY321)))</f>
        <v/>
      </c>
      <c r="CE321">
        <f>IF(OR(CC$3="",CC$3&gt;TODAY()),"",IF(AND(CC321="",CD321=""),"",N(CD321)-N(CC321)))</f>
        <v/>
      </c>
      <c r="CH321">
        <f>IF(OR(CC$3="",CC$3&gt;TODAY()),"",IF(AND(CF321="",CG321=""),"",N(CG321)-N(CF321)))</f>
        <v/>
      </c>
      <c r="CL321">
        <f>IF(OR(CJ$3="",CJ$3&gt;TODAY()),"",IF(AND(CJ321="",CK321=""),"",N(CK321)-N(CJ321)))</f>
        <v/>
      </c>
      <c r="CO321">
        <f>IF(OR(CJ$3="",CJ$3&gt;TODAY()),"",IF(AND(CM321="",CN321=""),"",N(CN321)-N(CM321)))</f>
        <v/>
      </c>
      <c r="CS321">
        <f>IF(OR(CQ$3="",CQ$3&gt;TODAY()),"",IF(AND(CQ321="",CR321=""),"",N(CR321)-N(CQ321)))</f>
        <v/>
      </c>
      <c r="CV321">
        <f>IF(OR(CQ$3="",CQ$3&gt;TODAY()),"",IF(AND(CT321="",CU321=""),"",N(CU321)-N(CT321)))</f>
        <v/>
      </c>
      <c r="CZ321">
        <f>IF(OR(CX$3="",CX$3&gt;TODAY()),"",IF(AND(CX321="",CY321=""),"",N(CY321)-N(CX321)))</f>
        <v/>
      </c>
      <c r="DC321">
        <f>IF(OR(CX$3="",CX$3&gt;TODAY()),"",IF(AND(DA321="",DB321=""),"",N(DB321)-N(DA321)))</f>
        <v/>
      </c>
      <c r="DG321">
        <f>IF(OR(DE$3="",DE$3&gt;TODAY()),"",IF(AND(DE321="",DF321=""),"",N(DF321)-N(DE321)))</f>
        <v/>
      </c>
      <c r="DJ321">
        <f>IF(OR(DE$3="",DE$3&gt;TODAY()),"",IF(AND(DH321="",DI321=""),"",N(DI321)-N(DH321)))</f>
        <v/>
      </c>
      <c r="DN321">
        <f>IF(OR(DL$3="",DL$3&gt;TODAY()),"",IF(AND(DL321="",DM321=""),"",N(DM321)-N(DL321)))</f>
        <v/>
      </c>
      <c r="DQ321">
        <f>IF(OR(DL$3="",DL$3&gt;TODAY()),"",IF(AND(DO321="",DP321=""),"",N(DP321)-N(DO321)))</f>
        <v/>
      </c>
      <c r="DU321">
        <f>IF(OR(DS$3="",DS$3&gt;TODAY()),"",IF(AND(DS321="",DT321=""),"",N(DT321)-N(DS321)))</f>
        <v/>
      </c>
      <c r="DX321">
        <f>IF(OR(DS$3="",DS$3&gt;TODAY()),"",IF(AND(DV321="",DW321=""),"",N(DW321)-N(DV321)))</f>
        <v/>
      </c>
      <c r="EB321">
        <f>IF(OR(DZ$3="",DZ$3&gt;TODAY()),"",IF(AND(DZ321="",EA321=""),"",N(EA321)-N(DZ321)))</f>
        <v/>
      </c>
      <c r="EE321">
        <f>IF(OR(DZ$3="",DZ$3&gt;TODAY()),"",IF(AND(EC321="",ED321=""),"",N(ED321)-N(EC321)))</f>
        <v/>
      </c>
      <c r="EI321">
        <f>IF(OR(EG$3="",EG$3&gt;TODAY()),"",IF(AND(EG321="",EH321=""),"",N(EH321)-N(EG321)))</f>
        <v/>
      </c>
      <c r="EL321">
        <f>IF(OR(EG$3="",EG$3&gt;TODAY()),"",IF(AND(EJ321="",EK321=""),"",N(EK321)-N(EJ321)))</f>
        <v/>
      </c>
      <c r="EP321">
        <f>IF(OR(EN$3="",EN$3&gt;TODAY()),"",IF(AND(EN321="",EO321=""),"",N(EO321)-N(EN321)))</f>
        <v/>
      </c>
      <c r="ES321">
        <f>IF(OR(EN$3="",EN$3&gt;TODAY()),"",IF(AND(EQ321="",ER321=""),"",N(ER321)-N(EQ321)))</f>
        <v/>
      </c>
      <c r="EW321">
        <f>IF(OR(EU$3="",EU$3&gt;TODAY()),"",IF(AND(EU321="",EV321=""),"",N(EV321)-N(EU321)))</f>
        <v/>
      </c>
      <c r="EZ321">
        <f>IF(OR(EU$3="",EU$3&gt;TODAY()),"",IF(AND(EX321="",EY321=""),"",N(EY321)-N(EX321)))</f>
        <v/>
      </c>
      <c r="FD321">
        <f>IF(OR(FB$3="",FB$3&gt;TODAY()),"",IF(AND(FB321="",FC321=""),"",N(FC321)-N(FB321)))</f>
        <v/>
      </c>
      <c r="FG321">
        <f>IF(OR(FB$3="",FB$3&gt;TODAY()),"",IF(AND(FE321="",FF321=""),"",N(FF321)-N(FE321)))</f>
        <v/>
      </c>
      <c r="FK321">
        <f>IF(OR(FI$3="",FI$3&gt;TODAY()),"",IF(AND(FI321="",FJ321=""),"",N(FJ321)-N(FI321)))</f>
        <v/>
      </c>
      <c r="FN321">
        <f>IF(OR(FI$3="",FI$3&gt;TODAY()),"",IF(AND(FL321="",FM321=""),"",N(FM321)-N(FL321)))</f>
        <v/>
      </c>
      <c r="FR321">
        <f>IF(OR(FP$3="",FP$3&gt;TODAY()),"",IF(AND(FP321="",FQ321=""),"",N(FQ321)-N(FP321)))</f>
        <v/>
      </c>
      <c r="FU321">
        <f>IF(OR(FP$3="",FP$3&gt;TODAY()),"",IF(AND(FS321="",FT321=""),"",N(FT321)-N(FS321)))</f>
        <v/>
      </c>
      <c r="FY321">
        <f>IF(OR(FW$3="",FW$3&gt;TODAY()),"",IF(AND(FW321="",FX321=""),"",N(FX321)-N(FW321)))</f>
        <v/>
      </c>
      <c r="GB321">
        <f>IF(OR(FW$3="",FW$3&gt;TODAY()),"",IF(AND(FZ321="",GA321=""),"",N(GA321)-N(FZ321)))</f>
        <v/>
      </c>
      <c r="GF321">
        <f>IF(OR(GD$3="",GD$3&gt;TODAY()),"",IF(AND(GD321="",GE321=""),"",N(GE321)-N(GD321)))</f>
        <v/>
      </c>
      <c r="GI321">
        <f>IF(OR(GD$3="",GD$3&gt;TODAY()),"",IF(AND(GG321="",GH321=""),"",N(GH321)-N(GG321)))</f>
        <v/>
      </c>
      <c r="GM321">
        <f>IF(OR(GK$3="",GK$3&gt;TODAY()),"",IF(AND(GK321="",GL321=""),"",N(GL321)-N(GK321)))</f>
        <v/>
      </c>
      <c r="GP321">
        <f>IF(OR(GK$3="",GK$3&gt;TODAY()),"",IF(AND(GN321="",GO321=""),"",N(GO321)-N(GN321)))</f>
        <v/>
      </c>
      <c r="GT321">
        <f>IF(OR(GR$3="",GR$3&gt;TODAY()),"",IF(AND(GR321="",GS321=""),"",N(GS321)-N(GR321)))</f>
        <v/>
      </c>
      <c r="GW321">
        <f>IF(OR(GR$3="",GR$3&gt;TODAY()),"",IF(AND(GU321="",GV321=""),"",N(GV321)-N(GU321)))</f>
        <v/>
      </c>
      <c r="HA321">
        <f>IF(OR(GY$3="",GY$3&gt;TODAY()),"",IF(AND(GY321="",GZ321=""),"",N(GZ321)-N(GY321)))</f>
        <v/>
      </c>
      <c r="HD321">
        <f>IF(OR(GY$3="",GY$3&gt;TODAY()),"",IF(AND(HB321="",HC321=""),"",N(HC321)-N(HB321)))</f>
        <v/>
      </c>
      <c r="HH321">
        <f>IF(OR(HF$3="",HF$3&gt;TODAY()),"",IF(AND(HF321="",HG321=""),"",N(HG321)-N(HF321)))</f>
        <v/>
      </c>
      <c r="HK321">
        <f>IF(OR(HF$3="",HF$3&gt;TODAY()),"",IF(AND(HI321="",HJ321=""),"",N(HJ321)-N(HI321)))</f>
        <v/>
      </c>
      <c r="HO321">
        <f>IF(OR(HM$3="",HM$3&gt;TODAY()),"",IF(AND(HM321="",HN321=""),"",N(HN321)-N(HM321)))</f>
        <v/>
      </c>
      <c r="HR321">
        <f>IF(OR(HM$3="",HM$3&gt;TODAY()),"",IF(AND(HP321="",HQ321=""),"",N(HQ321)-N(HP321)))</f>
        <v/>
      </c>
      <c r="HV321">
        <f>IF(OR(HT$3="",HT$3&gt;TODAY()),"",IF(AND(HT321="",HU321=""),"",N(HU321)-N(HT321)))</f>
        <v/>
      </c>
      <c r="HY321">
        <f>IF(OR(HT$3="",HT$3&gt;TODAY()),"",IF(AND(HW321="",HX321=""),"",N(HX321)-N(HW321)))</f>
        <v/>
      </c>
      <c r="IC321">
        <f>IF(OR(IA$3="",IA$3&gt;TODAY()),"",IF(AND(IA321="",IB321=""),"",N(IB321)-N(IA321)))</f>
        <v/>
      </c>
      <c r="IF321">
        <f>IF(OR(IA$3="",IA$3&gt;TODAY()),"",IF(AND(ID321="",IE321=""),"",N(IE321)-N(ID321)))</f>
        <v/>
      </c>
      <c r="IJ321">
        <f>IF(OR(IH$3="",IH$3&gt;TODAY()),"",IF(AND(IH321="",II321=""),"",N(II321)-N(IH321)))</f>
        <v/>
      </c>
      <c r="IM321">
        <f>IF(OR(IH$3="",IH$3&gt;TODAY()),"",IF(AND(IK321="",IL321=""),"",N(IL321)-N(IK321)))</f>
        <v/>
      </c>
    </row>
    <row r="322">
      <c r="A322" s="21" t="n"/>
      <c r="B322" s="21" t="n"/>
      <c r="C322" s="21" t="n"/>
      <c r="D322" s="21" t="n"/>
      <c r="E322" s="21" t="n"/>
      <c r="F322" s="21" t="n"/>
      <c r="G322" s="21" t="n"/>
      <c r="H322" s="21" t="n"/>
      <c r="I322" s="22" t="n"/>
      <c r="J322" s="22" t="n"/>
      <c r="K322" s="23" t="n"/>
      <c r="L322" s="22" t="n"/>
      <c r="M322" s="22" t="n"/>
      <c r="N322" s="21" t="n"/>
      <c r="O322" s="23" t="n"/>
      <c r="P322" s="23" t="n"/>
      <c r="Q322" s="23" t="n"/>
      <c r="R322" s="23" t="n"/>
      <c r="S322" s="22" t="n"/>
      <c r="T322" s="23" t="n"/>
      <c r="U322" s="23" t="n"/>
      <c r="V322" s="24">
        <f>IF(J322&lt;&gt;"",J322,IF(I322&lt;&gt;"",I322,""))</f>
        <v/>
      </c>
      <c r="W322" s="25">
        <f>IF($E322="","",N(O322)+SUMIFS($AF322:$IN322,$AF$4:$IN$4,"SEW_ACT"))</f>
        <v/>
      </c>
      <c r="X322" s="25">
        <f>IF($E322="","",N(P322)+SUMIFS($AF322:$IN322,$AF$4:$IN$4,"WASH_ACT"))</f>
        <v/>
      </c>
      <c r="Y322" s="25">
        <f>IF($E322="","",W322-X322-N(T322)-N(U322))</f>
        <v/>
      </c>
      <c r="Z322" s="25">
        <f>IF($E322="","",IF(N(K322)-X322&lt;=0.02*N(K322),0,N(K322)-X322))</f>
        <v/>
      </c>
      <c r="AA322" s="24">
        <f>IF($E322="","",IF(S322&lt;&gt;"",S322,IF(N(O322)&gt;0,IF(L322&lt;&gt;"",L322,99999),IFERROR(1/(1/_xlfn.MINIFS($AF$3:$IN$3,$AF$4:$IN$4,"SEW_ACT",$AF322:$IN322,"&gt;0")),99999))))</f>
        <v/>
      </c>
      <c r="AB322" s="26">
        <f>IF(OR($E322="",Z322=0,V322=""),"",1+COUNTIFS(Z$8:Z$707,"&gt;0",V$8:V$707,"&lt;"&amp;V322)+COUNTIFS(Z$8:Z$707,"&gt;0",V$8:V$707,V322,AA$8:AA$707,"&lt;"&amp;AA322)+COUNTIFS(Z$8:Z$707,"&gt;0",V$8:V$707,V322,AA$8:AA$707,AA322,E$8:E$707,"&lt;"&amp;$E322))</f>
        <v/>
      </c>
      <c r="AC322" s="24">
        <f>IF(OR($E322="",Z322=0),"",IFERROR(TODAY()+ROUNDUP(Z322/(SUMIFS($AF322:$IN322,$AF$4:$IN$4,"WASH_ACT")/COUNTIFS($AF$4:$IN$4,"WASH_ACT",$AF322:$IN322,"&gt;0")),0),"no output yet"))</f>
        <v/>
      </c>
      <c r="AD322" s="26">
        <f>IF($E322="","",IFERROR(ROUND(MAX(0,SUMIFS($AF322:$IN322,$AF$4:$IN$4,"SEW_PLAN",$AF$3:$IN$3,"&lt;="&amp;TODAY())-SUMIFS($AF322:$IN322,$AF$4:$IN$4,"SEW_ACT",$AF$3:$IN$3,"&lt;="&amp;TODAY())+N(Q322))/(SUMIFS($AF322:$IN322,$AF$4:$IN$4,"SEW_PLAN")/COUNTIFS($AF$4:$IN$4,"SEW_PLAN",$AF322:$IN322,"&gt;0")),1),0))</f>
        <v/>
      </c>
      <c r="AE322" s="26">
        <f>IF($E322="","",IF(AND(Z322&gt;0,OR(AND(M322&lt;&gt;"",TODAY()&gt;M322),AND(V322&lt;&gt;"",V322-TODAY()&lt;=7))),"Yes","No"))</f>
        <v/>
      </c>
      <c r="AH322">
        <f>IF(OR(AF$3="",AF$3&gt;TODAY()),"",IF(AND(AF322="",AG322=""),"",N(AG322)-N(AF322)))</f>
        <v/>
      </c>
      <c r="AK322">
        <f>IF(OR(AF$3="",AF$3&gt;TODAY()),"",IF(AND(AI322="",AJ322=""),"",N(AJ322)-N(AI322)))</f>
        <v/>
      </c>
      <c r="AO322">
        <f>IF(OR(AM$3="",AM$3&gt;TODAY()),"",IF(AND(AM322="",AN322=""),"",N(AN322)-N(AM322)))</f>
        <v/>
      </c>
      <c r="AR322">
        <f>IF(OR(AM$3="",AM$3&gt;TODAY()),"",IF(AND(AP322="",AQ322=""),"",N(AQ322)-N(AP322)))</f>
        <v/>
      </c>
      <c r="AV322">
        <f>IF(OR(AT$3="",AT$3&gt;TODAY()),"",IF(AND(AT322="",AU322=""),"",N(AU322)-N(AT322)))</f>
        <v/>
      </c>
      <c r="AY322">
        <f>IF(OR(AT$3="",AT$3&gt;TODAY()),"",IF(AND(AW322="",AX322=""),"",N(AX322)-N(AW322)))</f>
        <v/>
      </c>
      <c r="BC322">
        <f>IF(OR(BA$3="",BA$3&gt;TODAY()),"",IF(AND(BA322="",BB322=""),"",N(BB322)-N(BA322)))</f>
        <v/>
      </c>
      <c r="BF322">
        <f>IF(OR(BA$3="",BA$3&gt;TODAY()),"",IF(AND(BD322="",BE322=""),"",N(BE322)-N(BD322)))</f>
        <v/>
      </c>
      <c r="BJ322">
        <f>IF(OR(BH$3="",BH$3&gt;TODAY()),"",IF(AND(BH322="",BI322=""),"",N(BI322)-N(BH322)))</f>
        <v/>
      </c>
      <c r="BM322">
        <f>IF(OR(BH$3="",BH$3&gt;TODAY()),"",IF(AND(BK322="",BL322=""),"",N(BL322)-N(BK322)))</f>
        <v/>
      </c>
      <c r="BQ322">
        <f>IF(OR(BO$3="",BO$3&gt;TODAY()),"",IF(AND(BO322="",BP322=""),"",N(BP322)-N(BO322)))</f>
        <v/>
      </c>
      <c r="BT322">
        <f>IF(OR(BO$3="",BO$3&gt;TODAY()),"",IF(AND(BR322="",BS322=""),"",N(BS322)-N(BR322)))</f>
        <v/>
      </c>
      <c r="BX322">
        <f>IF(OR(BV$3="",BV$3&gt;TODAY()),"",IF(AND(BV322="",BW322=""),"",N(BW322)-N(BV322)))</f>
        <v/>
      </c>
      <c r="CA322">
        <f>IF(OR(BV$3="",BV$3&gt;TODAY()),"",IF(AND(BY322="",BZ322=""),"",N(BZ322)-N(BY322)))</f>
        <v/>
      </c>
      <c r="CE322">
        <f>IF(OR(CC$3="",CC$3&gt;TODAY()),"",IF(AND(CC322="",CD322=""),"",N(CD322)-N(CC322)))</f>
        <v/>
      </c>
      <c r="CH322">
        <f>IF(OR(CC$3="",CC$3&gt;TODAY()),"",IF(AND(CF322="",CG322=""),"",N(CG322)-N(CF322)))</f>
        <v/>
      </c>
      <c r="CL322">
        <f>IF(OR(CJ$3="",CJ$3&gt;TODAY()),"",IF(AND(CJ322="",CK322=""),"",N(CK322)-N(CJ322)))</f>
        <v/>
      </c>
      <c r="CO322">
        <f>IF(OR(CJ$3="",CJ$3&gt;TODAY()),"",IF(AND(CM322="",CN322=""),"",N(CN322)-N(CM322)))</f>
        <v/>
      </c>
      <c r="CS322">
        <f>IF(OR(CQ$3="",CQ$3&gt;TODAY()),"",IF(AND(CQ322="",CR322=""),"",N(CR322)-N(CQ322)))</f>
        <v/>
      </c>
      <c r="CV322">
        <f>IF(OR(CQ$3="",CQ$3&gt;TODAY()),"",IF(AND(CT322="",CU322=""),"",N(CU322)-N(CT322)))</f>
        <v/>
      </c>
      <c r="CZ322">
        <f>IF(OR(CX$3="",CX$3&gt;TODAY()),"",IF(AND(CX322="",CY322=""),"",N(CY322)-N(CX322)))</f>
        <v/>
      </c>
      <c r="DC322">
        <f>IF(OR(CX$3="",CX$3&gt;TODAY()),"",IF(AND(DA322="",DB322=""),"",N(DB322)-N(DA322)))</f>
        <v/>
      </c>
      <c r="DG322">
        <f>IF(OR(DE$3="",DE$3&gt;TODAY()),"",IF(AND(DE322="",DF322=""),"",N(DF322)-N(DE322)))</f>
        <v/>
      </c>
      <c r="DJ322">
        <f>IF(OR(DE$3="",DE$3&gt;TODAY()),"",IF(AND(DH322="",DI322=""),"",N(DI322)-N(DH322)))</f>
        <v/>
      </c>
      <c r="DN322">
        <f>IF(OR(DL$3="",DL$3&gt;TODAY()),"",IF(AND(DL322="",DM322=""),"",N(DM322)-N(DL322)))</f>
        <v/>
      </c>
      <c r="DQ322">
        <f>IF(OR(DL$3="",DL$3&gt;TODAY()),"",IF(AND(DO322="",DP322=""),"",N(DP322)-N(DO322)))</f>
        <v/>
      </c>
      <c r="DU322">
        <f>IF(OR(DS$3="",DS$3&gt;TODAY()),"",IF(AND(DS322="",DT322=""),"",N(DT322)-N(DS322)))</f>
        <v/>
      </c>
      <c r="DX322">
        <f>IF(OR(DS$3="",DS$3&gt;TODAY()),"",IF(AND(DV322="",DW322=""),"",N(DW322)-N(DV322)))</f>
        <v/>
      </c>
      <c r="EB322">
        <f>IF(OR(DZ$3="",DZ$3&gt;TODAY()),"",IF(AND(DZ322="",EA322=""),"",N(EA322)-N(DZ322)))</f>
        <v/>
      </c>
      <c r="EE322">
        <f>IF(OR(DZ$3="",DZ$3&gt;TODAY()),"",IF(AND(EC322="",ED322=""),"",N(ED322)-N(EC322)))</f>
        <v/>
      </c>
      <c r="EI322">
        <f>IF(OR(EG$3="",EG$3&gt;TODAY()),"",IF(AND(EG322="",EH322=""),"",N(EH322)-N(EG322)))</f>
        <v/>
      </c>
      <c r="EL322">
        <f>IF(OR(EG$3="",EG$3&gt;TODAY()),"",IF(AND(EJ322="",EK322=""),"",N(EK322)-N(EJ322)))</f>
        <v/>
      </c>
      <c r="EP322">
        <f>IF(OR(EN$3="",EN$3&gt;TODAY()),"",IF(AND(EN322="",EO322=""),"",N(EO322)-N(EN322)))</f>
        <v/>
      </c>
      <c r="ES322">
        <f>IF(OR(EN$3="",EN$3&gt;TODAY()),"",IF(AND(EQ322="",ER322=""),"",N(ER322)-N(EQ322)))</f>
        <v/>
      </c>
      <c r="EW322">
        <f>IF(OR(EU$3="",EU$3&gt;TODAY()),"",IF(AND(EU322="",EV322=""),"",N(EV322)-N(EU322)))</f>
        <v/>
      </c>
      <c r="EZ322">
        <f>IF(OR(EU$3="",EU$3&gt;TODAY()),"",IF(AND(EX322="",EY322=""),"",N(EY322)-N(EX322)))</f>
        <v/>
      </c>
      <c r="FD322">
        <f>IF(OR(FB$3="",FB$3&gt;TODAY()),"",IF(AND(FB322="",FC322=""),"",N(FC322)-N(FB322)))</f>
        <v/>
      </c>
      <c r="FG322">
        <f>IF(OR(FB$3="",FB$3&gt;TODAY()),"",IF(AND(FE322="",FF322=""),"",N(FF322)-N(FE322)))</f>
        <v/>
      </c>
      <c r="FK322">
        <f>IF(OR(FI$3="",FI$3&gt;TODAY()),"",IF(AND(FI322="",FJ322=""),"",N(FJ322)-N(FI322)))</f>
        <v/>
      </c>
      <c r="FN322">
        <f>IF(OR(FI$3="",FI$3&gt;TODAY()),"",IF(AND(FL322="",FM322=""),"",N(FM322)-N(FL322)))</f>
        <v/>
      </c>
      <c r="FR322">
        <f>IF(OR(FP$3="",FP$3&gt;TODAY()),"",IF(AND(FP322="",FQ322=""),"",N(FQ322)-N(FP322)))</f>
        <v/>
      </c>
      <c r="FU322">
        <f>IF(OR(FP$3="",FP$3&gt;TODAY()),"",IF(AND(FS322="",FT322=""),"",N(FT322)-N(FS322)))</f>
        <v/>
      </c>
      <c r="FY322">
        <f>IF(OR(FW$3="",FW$3&gt;TODAY()),"",IF(AND(FW322="",FX322=""),"",N(FX322)-N(FW322)))</f>
        <v/>
      </c>
      <c r="GB322">
        <f>IF(OR(FW$3="",FW$3&gt;TODAY()),"",IF(AND(FZ322="",GA322=""),"",N(GA322)-N(FZ322)))</f>
        <v/>
      </c>
      <c r="GF322">
        <f>IF(OR(GD$3="",GD$3&gt;TODAY()),"",IF(AND(GD322="",GE322=""),"",N(GE322)-N(GD322)))</f>
        <v/>
      </c>
      <c r="GI322">
        <f>IF(OR(GD$3="",GD$3&gt;TODAY()),"",IF(AND(GG322="",GH322=""),"",N(GH322)-N(GG322)))</f>
        <v/>
      </c>
      <c r="GM322">
        <f>IF(OR(GK$3="",GK$3&gt;TODAY()),"",IF(AND(GK322="",GL322=""),"",N(GL322)-N(GK322)))</f>
        <v/>
      </c>
      <c r="GP322">
        <f>IF(OR(GK$3="",GK$3&gt;TODAY()),"",IF(AND(GN322="",GO322=""),"",N(GO322)-N(GN322)))</f>
        <v/>
      </c>
      <c r="GT322">
        <f>IF(OR(GR$3="",GR$3&gt;TODAY()),"",IF(AND(GR322="",GS322=""),"",N(GS322)-N(GR322)))</f>
        <v/>
      </c>
      <c r="GW322">
        <f>IF(OR(GR$3="",GR$3&gt;TODAY()),"",IF(AND(GU322="",GV322=""),"",N(GV322)-N(GU322)))</f>
        <v/>
      </c>
      <c r="HA322">
        <f>IF(OR(GY$3="",GY$3&gt;TODAY()),"",IF(AND(GY322="",GZ322=""),"",N(GZ322)-N(GY322)))</f>
        <v/>
      </c>
      <c r="HD322">
        <f>IF(OR(GY$3="",GY$3&gt;TODAY()),"",IF(AND(HB322="",HC322=""),"",N(HC322)-N(HB322)))</f>
        <v/>
      </c>
      <c r="HH322">
        <f>IF(OR(HF$3="",HF$3&gt;TODAY()),"",IF(AND(HF322="",HG322=""),"",N(HG322)-N(HF322)))</f>
        <v/>
      </c>
      <c r="HK322">
        <f>IF(OR(HF$3="",HF$3&gt;TODAY()),"",IF(AND(HI322="",HJ322=""),"",N(HJ322)-N(HI322)))</f>
        <v/>
      </c>
      <c r="HO322">
        <f>IF(OR(HM$3="",HM$3&gt;TODAY()),"",IF(AND(HM322="",HN322=""),"",N(HN322)-N(HM322)))</f>
        <v/>
      </c>
      <c r="HR322">
        <f>IF(OR(HM$3="",HM$3&gt;TODAY()),"",IF(AND(HP322="",HQ322=""),"",N(HQ322)-N(HP322)))</f>
        <v/>
      </c>
      <c r="HV322">
        <f>IF(OR(HT$3="",HT$3&gt;TODAY()),"",IF(AND(HT322="",HU322=""),"",N(HU322)-N(HT322)))</f>
        <v/>
      </c>
      <c r="HY322">
        <f>IF(OR(HT$3="",HT$3&gt;TODAY()),"",IF(AND(HW322="",HX322=""),"",N(HX322)-N(HW322)))</f>
        <v/>
      </c>
      <c r="IC322">
        <f>IF(OR(IA$3="",IA$3&gt;TODAY()),"",IF(AND(IA322="",IB322=""),"",N(IB322)-N(IA322)))</f>
        <v/>
      </c>
      <c r="IF322">
        <f>IF(OR(IA$3="",IA$3&gt;TODAY()),"",IF(AND(ID322="",IE322=""),"",N(IE322)-N(ID322)))</f>
        <v/>
      </c>
      <c r="IJ322">
        <f>IF(OR(IH$3="",IH$3&gt;TODAY()),"",IF(AND(IH322="",II322=""),"",N(II322)-N(IH322)))</f>
        <v/>
      </c>
      <c r="IM322">
        <f>IF(OR(IH$3="",IH$3&gt;TODAY()),"",IF(AND(IK322="",IL322=""),"",N(IL322)-N(IK322)))</f>
        <v/>
      </c>
    </row>
    <row r="323">
      <c r="A323" s="21" t="n"/>
      <c r="B323" s="21" t="n"/>
      <c r="C323" s="21" t="n"/>
      <c r="D323" s="21" t="n"/>
      <c r="E323" s="21" t="n"/>
      <c r="F323" s="21" t="n"/>
      <c r="G323" s="21" t="n"/>
      <c r="H323" s="21" t="n"/>
      <c r="I323" s="22" t="n"/>
      <c r="J323" s="22" t="n"/>
      <c r="K323" s="23" t="n"/>
      <c r="L323" s="22" t="n"/>
      <c r="M323" s="22" t="n"/>
      <c r="N323" s="21" t="n"/>
      <c r="O323" s="23" t="n"/>
      <c r="P323" s="23" t="n"/>
      <c r="Q323" s="23" t="n"/>
      <c r="R323" s="23" t="n"/>
      <c r="S323" s="22" t="n"/>
      <c r="T323" s="23" t="n"/>
      <c r="U323" s="23" t="n"/>
      <c r="V323" s="24">
        <f>IF(J323&lt;&gt;"",J323,IF(I323&lt;&gt;"",I323,""))</f>
        <v/>
      </c>
      <c r="W323" s="25">
        <f>IF($E323="","",N(O323)+SUMIFS($AF323:$IN323,$AF$4:$IN$4,"SEW_ACT"))</f>
        <v/>
      </c>
      <c r="X323" s="25">
        <f>IF($E323="","",N(P323)+SUMIFS($AF323:$IN323,$AF$4:$IN$4,"WASH_ACT"))</f>
        <v/>
      </c>
      <c r="Y323" s="25">
        <f>IF($E323="","",W323-X323-N(T323)-N(U323))</f>
        <v/>
      </c>
      <c r="Z323" s="25">
        <f>IF($E323="","",IF(N(K323)-X323&lt;=0.02*N(K323),0,N(K323)-X323))</f>
        <v/>
      </c>
      <c r="AA323" s="24">
        <f>IF($E323="","",IF(S323&lt;&gt;"",S323,IF(N(O323)&gt;0,IF(L323&lt;&gt;"",L323,99999),IFERROR(1/(1/_xlfn.MINIFS($AF$3:$IN$3,$AF$4:$IN$4,"SEW_ACT",$AF323:$IN323,"&gt;0")),99999))))</f>
        <v/>
      </c>
      <c r="AB323" s="26">
        <f>IF(OR($E323="",Z323=0,V323=""),"",1+COUNTIFS(Z$8:Z$707,"&gt;0",V$8:V$707,"&lt;"&amp;V323)+COUNTIFS(Z$8:Z$707,"&gt;0",V$8:V$707,V323,AA$8:AA$707,"&lt;"&amp;AA323)+COUNTIFS(Z$8:Z$707,"&gt;0",V$8:V$707,V323,AA$8:AA$707,AA323,E$8:E$707,"&lt;"&amp;$E323))</f>
        <v/>
      </c>
      <c r="AC323" s="24">
        <f>IF(OR($E323="",Z323=0),"",IFERROR(TODAY()+ROUNDUP(Z323/(SUMIFS($AF323:$IN323,$AF$4:$IN$4,"WASH_ACT")/COUNTIFS($AF$4:$IN$4,"WASH_ACT",$AF323:$IN323,"&gt;0")),0),"no output yet"))</f>
        <v/>
      </c>
      <c r="AD323" s="26">
        <f>IF($E323="","",IFERROR(ROUND(MAX(0,SUMIFS($AF323:$IN323,$AF$4:$IN$4,"SEW_PLAN",$AF$3:$IN$3,"&lt;="&amp;TODAY())-SUMIFS($AF323:$IN323,$AF$4:$IN$4,"SEW_ACT",$AF$3:$IN$3,"&lt;="&amp;TODAY())+N(Q323))/(SUMIFS($AF323:$IN323,$AF$4:$IN$4,"SEW_PLAN")/COUNTIFS($AF$4:$IN$4,"SEW_PLAN",$AF323:$IN323,"&gt;0")),1),0))</f>
        <v/>
      </c>
      <c r="AE323" s="26">
        <f>IF($E323="","",IF(AND(Z323&gt;0,OR(AND(M323&lt;&gt;"",TODAY()&gt;M323),AND(V323&lt;&gt;"",V323-TODAY()&lt;=7))),"Yes","No"))</f>
        <v/>
      </c>
      <c r="AH323">
        <f>IF(OR(AF$3="",AF$3&gt;TODAY()),"",IF(AND(AF323="",AG323=""),"",N(AG323)-N(AF323)))</f>
        <v/>
      </c>
      <c r="AK323">
        <f>IF(OR(AF$3="",AF$3&gt;TODAY()),"",IF(AND(AI323="",AJ323=""),"",N(AJ323)-N(AI323)))</f>
        <v/>
      </c>
      <c r="AO323">
        <f>IF(OR(AM$3="",AM$3&gt;TODAY()),"",IF(AND(AM323="",AN323=""),"",N(AN323)-N(AM323)))</f>
        <v/>
      </c>
      <c r="AR323">
        <f>IF(OR(AM$3="",AM$3&gt;TODAY()),"",IF(AND(AP323="",AQ323=""),"",N(AQ323)-N(AP323)))</f>
        <v/>
      </c>
      <c r="AV323">
        <f>IF(OR(AT$3="",AT$3&gt;TODAY()),"",IF(AND(AT323="",AU323=""),"",N(AU323)-N(AT323)))</f>
        <v/>
      </c>
      <c r="AY323">
        <f>IF(OR(AT$3="",AT$3&gt;TODAY()),"",IF(AND(AW323="",AX323=""),"",N(AX323)-N(AW323)))</f>
        <v/>
      </c>
      <c r="BC323">
        <f>IF(OR(BA$3="",BA$3&gt;TODAY()),"",IF(AND(BA323="",BB323=""),"",N(BB323)-N(BA323)))</f>
        <v/>
      </c>
      <c r="BF323">
        <f>IF(OR(BA$3="",BA$3&gt;TODAY()),"",IF(AND(BD323="",BE323=""),"",N(BE323)-N(BD323)))</f>
        <v/>
      </c>
      <c r="BJ323">
        <f>IF(OR(BH$3="",BH$3&gt;TODAY()),"",IF(AND(BH323="",BI323=""),"",N(BI323)-N(BH323)))</f>
        <v/>
      </c>
      <c r="BM323">
        <f>IF(OR(BH$3="",BH$3&gt;TODAY()),"",IF(AND(BK323="",BL323=""),"",N(BL323)-N(BK323)))</f>
        <v/>
      </c>
      <c r="BQ323">
        <f>IF(OR(BO$3="",BO$3&gt;TODAY()),"",IF(AND(BO323="",BP323=""),"",N(BP323)-N(BO323)))</f>
        <v/>
      </c>
      <c r="BT323">
        <f>IF(OR(BO$3="",BO$3&gt;TODAY()),"",IF(AND(BR323="",BS323=""),"",N(BS323)-N(BR323)))</f>
        <v/>
      </c>
      <c r="BX323">
        <f>IF(OR(BV$3="",BV$3&gt;TODAY()),"",IF(AND(BV323="",BW323=""),"",N(BW323)-N(BV323)))</f>
        <v/>
      </c>
      <c r="CA323">
        <f>IF(OR(BV$3="",BV$3&gt;TODAY()),"",IF(AND(BY323="",BZ323=""),"",N(BZ323)-N(BY323)))</f>
        <v/>
      </c>
      <c r="CE323">
        <f>IF(OR(CC$3="",CC$3&gt;TODAY()),"",IF(AND(CC323="",CD323=""),"",N(CD323)-N(CC323)))</f>
        <v/>
      </c>
      <c r="CH323">
        <f>IF(OR(CC$3="",CC$3&gt;TODAY()),"",IF(AND(CF323="",CG323=""),"",N(CG323)-N(CF323)))</f>
        <v/>
      </c>
      <c r="CL323">
        <f>IF(OR(CJ$3="",CJ$3&gt;TODAY()),"",IF(AND(CJ323="",CK323=""),"",N(CK323)-N(CJ323)))</f>
        <v/>
      </c>
      <c r="CO323">
        <f>IF(OR(CJ$3="",CJ$3&gt;TODAY()),"",IF(AND(CM323="",CN323=""),"",N(CN323)-N(CM323)))</f>
        <v/>
      </c>
      <c r="CS323">
        <f>IF(OR(CQ$3="",CQ$3&gt;TODAY()),"",IF(AND(CQ323="",CR323=""),"",N(CR323)-N(CQ323)))</f>
        <v/>
      </c>
      <c r="CV323">
        <f>IF(OR(CQ$3="",CQ$3&gt;TODAY()),"",IF(AND(CT323="",CU323=""),"",N(CU323)-N(CT323)))</f>
        <v/>
      </c>
      <c r="CZ323">
        <f>IF(OR(CX$3="",CX$3&gt;TODAY()),"",IF(AND(CX323="",CY323=""),"",N(CY323)-N(CX323)))</f>
        <v/>
      </c>
      <c r="DC323">
        <f>IF(OR(CX$3="",CX$3&gt;TODAY()),"",IF(AND(DA323="",DB323=""),"",N(DB323)-N(DA323)))</f>
        <v/>
      </c>
      <c r="DG323">
        <f>IF(OR(DE$3="",DE$3&gt;TODAY()),"",IF(AND(DE323="",DF323=""),"",N(DF323)-N(DE323)))</f>
        <v/>
      </c>
      <c r="DJ323">
        <f>IF(OR(DE$3="",DE$3&gt;TODAY()),"",IF(AND(DH323="",DI323=""),"",N(DI323)-N(DH323)))</f>
        <v/>
      </c>
      <c r="DN323">
        <f>IF(OR(DL$3="",DL$3&gt;TODAY()),"",IF(AND(DL323="",DM323=""),"",N(DM323)-N(DL323)))</f>
        <v/>
      </c>
      <c r="DQ323">
        <f>IF(OR(DL$3="",DL$3&gt;TODAY()),"",IF(AND(DO323="",DP323=""),"",N(DP323)-N(DO323)))</f>
        <v/>
      </c>
      <c r="DU323">
        <f>IF(OR(DS$3="",DS$3&gt;TODAY()),"",IF(AND(DS323="",DT323=""),"",N(DT323)-N(DS323)))</f>
        <v/>
      </c>
      <c r="DX323">
        <f>IF(OR(DS$3="",DS$3&gt;TODAY()),"",IF(AND(DV323="",DW323=""),"",N(DW323)-N(DV323)))</f>
        <v/>
      </c>
      <c r="EB323">
        <f>IF(OR(DZ$3="",DZ$3&gt;TODAY()),"",IF(AND(DZ323="",EA323=""),"",N(EA323)-N(DZ323)))</f>
        <v/>
      </c>
      <c r="EE323">
        <f>IF(OR(DZ$3="",DZ$3&gt;TODAY()),"",IF(AND(EC323="",ED323=""),"",N(ED323)-N(EC323)))</f>
        <v/>
      </c>
      <c r="EI323">
        <f>IF(OR(EG$3="",EG$3&gt;TODAY()),"",IF(AND(EG323="",EH323=""),"",N(EH323)-N(EG323)))</f>
        <v/>
      </c>
      <c r="EL323">
        <f>IF(OR(EG$3="",EG$3&gt;TODAY()),"",IF(AND(EJ323="",EK323=""),"",N(EK323)-N(EJ323)))</f>
        <v/>
      </c>
      <c r="EP323">
        <f>IF(OR(EN$3="",EN$3&gt;TODAY()),"",IF(AND(EN323="",EO323=""),"",N(EO323)-N(EN323)))</f>
        <v/>
      </c>
      <c r="ES323">
        <f>IF(OR(EN$3="",EN$3&gt;TODAY()),"",IF(AND(EQ323="",ER323=""),"",N(ER323)-N(EQ323)))</f>
        <v/>
      </c>
      <c r="EW323">
        <f>IF(OR(EU$3="",EU$3&gt;TODAY()),"",IF(AND(EU323="",EV323=""),"",N(EV323)-N(EU323)))</f>
        <v/>
      </c>
      <c r="EZ323">
        <f>IF(OR(EU$3="",EU$3&gt;TODAY()),"",IF(AND(EX323="",EY323=""),"",N(EY323)-N(EX323)))</f>
        <v/>
      </c>
      <c r="FD323">
        <f>IF(OR(FB$3="",FB$3&gt;TODAY()),"",IF(AND(FB323="",FC323=""),"",N(FC323)-N(FB323)))</f>
        <v/>
      </c>
      <c r="FG323">
        <f>IF(OR(FB$3="",FB$3&gt;TODAY()),"",IF(AND(FE323="",FF323=""),"",N(FF323)-N(FE323)))</f>
        <v/>
      </c>
      <c r="FK323">
        <f>IF(OR(FI$3="",FI$3&gt;TODAY()),"",IF(AND(FI323="",FJ323=""),"",N(FJ323)-N(FI323)))</f>
        <v/>
      </c>
      <c r="FN323">
        <f>IF(OR(FI$3="",FI$3&gt;TODAY()),"",IF(AND(FL323="",FM323=""),"",N(FM323)-N(FL323)))</f>
        <v/>
      </c>
      <c r="FR323">
        <f>IF(OR(FP$3="",FP$3&gt;TODAY()),"",IF(AND(FP323="",FQ323=""),"",N(FQ323)-N(FP323)))</f>
        <v/>
      </c>
      <c r="FU323">
        <f>IF(OR(FP$3="",FP$3&gt;TODAY()),"",IF(AND(FS323="",FT323=""),"",N(FT323)-N(FS323)))</f>
        <v/>
      </c>
      <c r="FY323">
        <f>IF(OR(FW$3="",FW$3&gt;TODAY()),"",IF(AND(FW323="",FX323=""),"",N(FX323)-N(FW323)))</f>
        <v/>
      </c>
      <c r="GB323">
        <f>IF(OR(FW$3="",FW$3&gt;TODAY()),"",IF(AND(FZ323="",GA323=""),"",N(GA323)-N(FZ323)))</f>
        <v/>
      </c>
      <c r="GF323">
        <f>IF(OR(GD$3="",GD$3&gt;TODAY()),"",IF(AND(GD323="",GE323=""),"",N(GE323)-N(GD323)))</f>
        <v/>
      </c>
      <c r="GI323">
        <f>IF(OR(GD$3="",GD$3&gt;TODAY()),"",IF(AND(GG323="",GH323=""),"",N(GH323)-N(GG323)))</f>
        <v/>
      </c>
      <c r="GM323">
        <f>IF(OR(GK$3="",GK$3&gt;TODAY()),"",IF(AND(GK323="",GL323=""),"",N(GL323)-N(GK323)))</f>
        <v/>
      </c>
      <c r="GP323">
        <f>IF(OR(GK$3="",GK$3&gt;TODAY()),"",IF(AND(GN323="",GO323=""),"",N(GO323)-N(GN323)))</f>
        <v/>
      </c>
      <c r="GT323">
        <f>IF(OR(GR$3="",GR$3&gt;TODAY()),"",IF(AND(GR323="",GS323=""),"",N(GS323)-N(GR323)))</f>
        <v/>
      </c>
      <c r="GW323">
        <f>IF(OR(GR$3="",GR$3&gt;TODAY()),"",IF(AND(GU323="",GV323=""),"",N(GV323)-N(GU323)))</f>
        <v/>
      </c>
      <c r="HA323">
        <f>IF(OR(GY$3="",GY$3&gt;TODAY()),"",IF(AND(GY323="",GZ323=""),"",N(GZ323)-N(GY323)))</f>
        <v/>
      </c>
      <c r="HD323">
        <f>IF(OR(GY$3="",GY$3&gt;TODAY()),"",IF(AND(HB323="",HC323=""),"",N(HC323)-N(HB323)))</f>
        <v/>
      </c>
      <c r="HH323">
        <f>IF(OR(HF$3="",HF$3&gt;TODAY()),"",IF(AND(HF323="",HG323=""),"",N(HG323)-N(HF323)))</f>
        <v/>
      </c>
      <c r="HK323">
        <f>IF(OR(HF$3="",HF$3&gt;TODAY()),"",IF(AND(HI323="",HJ323=""),"",N(HJ323)-N(HI323)))</f>
        <v/>
      </c>
      <c r="HO323">
        <f>IF(OR(HM$3="",HM$3&gt;TODAY()),"",IF(AND(HM323="",HN323=""),"",N(HN323)-N(HM323)))</f>
        <v/>
      </c>
      <c r="HR323">
        <f>IF(OR(HM$3="",HM$3&gt;TODAY()),"",IF(AND(HP323="",HQ323=""),"",N(HQ323)-N(HP323)))</f>
        <v/>
      </c>
      <c r="HV323">
        <f>IF(OR(HT$3="",HT$3&gt;TODAY()),"",IF(AND(HT323="",HU323=""),"",N(HU323)-N(HT323)))</f>
        <v/>
      </c>
      <c r="HY323">
        <f>IF(OR(HT$3="",HT$3&gt;TODAY()),"",IF(AND(HW323="",HX323=""),"",N(HX323)-N(HW323)))</f>
        <v/>
      </c>
      <c r="IC323">
        <f>IF(OR(IA$3="",IA$3&gt;TODAY()),"",IF(AND(IA323="",IB323=""),"",N(IB323)-N(IA323)))</f>
        <v/>
      </c>
      <c r="IF323">
        <f>IF(OR(IA$3="",IA$3&gt;TODAY()),"",IF(AND(ID323="",IE323=""),"",N(IE323)-N(ID323)))</f>
        <v/>
      </c>
      <c r="IJ323">
        <f>IF(OR(IH$3="",IH$3&gt;TODAY()),"",IF(AND(IH323="",II323=""),"",N(II323)-N(IH323)))</f>
        <v/>
      </c>
      <c r="IM323">
        <f>IF(OR(IH$3="",IH$3&gt;TODAY()),"",IF(AND(IK323="",IL323=""),"",N(IL323)-N(IK323)))</f>
        <v/>
      </c>
    </row>
    <row r="324">
      <c r="A324" s="21" t="n"/>
      <c r="B324" s="21" t="n"/>
      <c r="C324" s="21" t="n"/>
      <c r="D324" s="21" t="n"/>
      <c r="E324" s="21" t="n"/>
      <c r="F324" s="21" t="n"/>
      <c r="G324" s="21" t="n"/>
      <c r="H324" s="21" t="n"/>
      <c r="I324" s="22" t="n"/>
      <c r="J324" s="22" t="n"/>
      <c r="K324" s="23" t="n"/>
      <c r="L324" s="22" t="n"/>
      <c r="M324" s="22" t="n"/>
      <c r="N324" s="21" t="n"/>
      <c r="O324" s="23" t="n"/>
      <c r="P324" s="23" t="n"/>
      <c r="Q324" s="23" t="n"/>
      <c r="R324" s="23" t="n"/>
      <c r="S324" s="22" t="n"/>
      <c r="T324" s="23" t="n"/>
      <c r="U324" s="23" t="n"/>
      <c r="V324" s="24">
        <f>IF(J324&lt;&gt;"",J324,IF(I324&lt;&gt;"",I324,""))</f>
        <v/>
      </c>
      <c r="W324" s="25">
        <f>IF($E324="","",N(O324)+SUMIFS($AF324:$IN324,$AF$4:$IN$4,"SEW_ACT"))</f>
        <v/>
      </c>
      <c r="X324" s="25">
        <f>IF($E324="","",N(P324)+SUMIFS($AF324:$IN324,$AF$4:$IN$4,"WASH_ACT"))</f>
        <v/>
      </c>
      <c r="Y324" s="25">
        <f>IF($E324="","",W324-X324-N(T324)-N(U324))</f>
        <v/>
      </c>
      <c r="Z324" s="25">
        <f>IF($E324="","",IF(N(K324)-X324&lt;=0.02*N(K324),0,N(K324)-X324))</f>
        <v/>
      </c>
      <c r="AA324" s="24">
        <f>IF($E324="","",IF(S324&lt;&gt;"",S324,IF(N(O324)&gt;0,IF(L324&lt;&gt;"",L324,99999),IFERROR(1/(1/_xlfn.MINIFS($AF$3:$IN$3,$AF$4:$IN$4,"SEW_ACT",$AF324:$IN324,"&gt;0")),99999))))</f>
        <v/>
      </c>
      <c r="AB324" s="26">
        <f>IF(OR($E324="",Z324=0,V324=""),"",1+COUNTIFS(Z$8:Z$707,"&gt;0",V$8:V$707,"&lt;"&amp;V324)+COUNTIFS(Z$8:Z$707,"&gt;0",V$8:V$707,V324,AA$8:AA$707,"&lt;"&amp;AA324)+COUNTIFS(Z$8:Z$707,"&gt;0",V$8:V$707,V324,AA$8:AA$707,AA324,E$8:E$707,"&lt;"&amp;$E324))</f>
        <v/>
      </c>
      <c r="AC324" s="24">
        <f>IF(OR($E324="",Z324=0),"",IFERROR(TODAY()+ROUNDUP(Z324/(SUMIFS($AF324:$IN324,$AF$4:$IN$4,"WASH_ACT")/COUNTIFS($AF$4:$IN$4,"WASH_ACT",$AF324:$IN324,"&gt;0")),0),"no output yet"))</f>
        <v/>
      </c>
      <c r="AD324" s="26">
        <f>IF($E324="","",IFERROR(ROUND(MAX(0,SUMIFS($AF324:$IN324,$AF$4:$IN$4,"SEW_PLAN",$AF$3:$IN$3,"&lt;="&amp;TODAY())-SUMIFS($AF324:$IN324,$AF$4:$IN$4,"SEW_ACT",$AF$3:$IN$3,"&lt;="&amp;TODAY())+N(Q324))/(SUMIFS($AF324:$IN324,$AF$4:$IN$4,"SEW_PLAN")/COUNTIFS($AF$4:$IN$4,"SEW_PLAN",$AF324:$IN324,"&gt;0")),1),0))</f>
        <v/>
      </c>
      <c r="AE324" s="26">
        <f>IF($E324="","",IF(AND(Z324&gt;0,OR(AND(M324&lt;&gt;"",TODAY()&gt;M324),AND(V324&lt;&gt;"",V324-TODAY()&lt;=7))),"Yes","No"))</f>
        <v/>
      </c>
      <c r="AH324">
        <f>IF(OR(AF$3="",AF$3&gt;TODAY()),"",IF(AND(AF324="",AG324=""),"",N(AG324)-N(AF324)))</f>
        <v/>
      </c>
      <c r="AK324">
        <f>IF(OR(AF$3="",AF$3&gt;TODAY()),"",IF(AND(AI324="",AJ324=""),"",N(AJ324)-N(AI324)))</f>
        <v/>
      </c>
      <c r="AO324">
        <f>IF(OR(AM$3="",AM$3&gt;TODAY()),"",IF(AND(AM324="",AN324=""),"",N(AN324)-N(AM324)))</f>
        <v/>
      </c>
      <c r="AR324">
        <f>IF(OR(AM$3="",AM$3&gt;TODAY()),"",IF(AND(AP324="",AQ324=""),"",N(AQ324)-N(AP324)))</f>
        <v/>
      </c>
      <c r="AV324">
        <f>IF(OR(AT$3="",AT$3&gt;TODAY()),"",IF(AND(AT324="",AU324=""),"",N(AU324)-N(AT324)))</f>
        <v/>
      </c>
      <c r="AY324">
        <f>IF(OR(AT$3="",AT$3&gt;TODAY()),"",IF(AND(AW324="",AX324=""),"",N(AX324)-N(AW324)))</f>
        <v/>
      </c>
      <c r="BC324">
        <f>IF(OR(BA$3="",BA$3&gt;TODAY()),"",IF(AND(BA324="",BB324=""),"",N(BB324)-N(BA324)))</f>
        <v/>
      </c>
      <c r="BF324">
        <f>IF(OR(BA$3="",BA$3&gt;TODAY()),"",IF(AND(BD324="",BE324=""),"",N(BE324)-N(BD324)))</f>
        <v/>
      </c>
      <c r="BJ324">
        <f>IF(OR(BH$3="",BH$3&gt;TODAY()),"",IF(AND(BH324="",BI324=""),"",N(BI324)-N(BH324)))</f>
        <v/>
      </c>
      <c r="BM324">
        <f>IF(OR(BH$3="",BH$3&gt;TODAY()),"",IF(AND(BK324="",BL324=""),"",N(BL324)-N(BK324)))</f>
        <v/>
      </c>
      <c r="BQ324">
        <f>IF(OR(BO$3="",BO$3&gt;TODAY()),"",IF(AND(BO324="",BP324=""),"",N(BP324)-N(BO324)))</f>
        <v/>
      </c>
      <c r="BT324">
        <f>IF(OR(BO$3="",BO$3&gt;TODAY()),"",IF(AND(BR324="",BS324=""),"",N(BS324)-N(BR324)))</f>
        <v/>
      </c>
      <c r="BX324">
        <f>IF(OR(BV$3="",BV$3&gt;TODAY()),"",IF(AND(BV324="",BW324=""),"",N(BW324)-N(BV324)))</f>
        <v/>
      </c>
      <c r="CA324">
        <f>IF(OR(BV$3="",BV$3&gt;TODAY()),"",IF(AND(BY324="",BZ324=""),"",N(BZ324)-N(BY324)))</f>
        <v/>
      </c>
      <c r="CE324">
        <f>IF(OR(CC$3="",CC$3&gt;TODAY()),"",IF(AND(CC324="",CD324=""),"",N(CD324)-N(CC324)))</f>
        <v/>
      </c>
      <c r="CH324">
        <f>IF(OR(CC$3="",CC$3&gt;TODAY()),"",IF(AND(CF324="",CG324=""),"",N(CG324)-N(CF324)))</f>
        <v/>
      </c>
      <c r="CL324">
        <f>IF(OR(CJ$3="",CJ$3&gt;TODAY()),"",IF(AND(CJ324="",CK324=""),"",N(CK324)-N(CJ324)))</f>
        <v/>
      </c>
      <c r="CO324">
        <f>IF(OR(CJ$3="",CJ$3&gt;TODAY()),"",IF(AND(CM324="",CN324=""),"",N(CN324)-N(CM324)))</f>
        <v/>
      </c>
      <c r="CS324">
        <f>IF(OR(CQ$3="",CQ$3&gt;TODAY()),"",IF(AND(CQ324="",CR324=""),"",N(CR324)-N(CQ324)))</f>
        <v/>
      </c>
      <c r="CV324">
        <f>IF(OR(CQ$3="",CQ$3&gt;TODAY()),"",IF(AND(CT324="",CU324=""),"",N(CU324)-N(CT324)))</f>
        <v/>
      </c>
      <c r="CZ324">
        <f>IF(OR(CX$3="",CX$3&gt;TODAY()),"",IF(AND(CX324="",CY324=""),"",N(CY324)-N(CX324)))</f>
        <v/>
      </c>
      <c r="DC324">
        <f>IF(OR(CX$3="",CX$3&gt;TODAY()),"",IF(AND(DA324="",DB324=""),"",N(DB324)-N(DA324)))</f>
        <v/>
      </c>
      <c r="DG324">
        <f>IF(OR(DE$3="",DE$3&gt;TODAY()),"",IF(AND(DE324="",DF324=""),"",N(DF324)-N(DE324)))</f>
        <v/>
      </c>
      <c r="DJ324">
        <f>IF(OR(DE$3="",DE$3&gt;TODAY()),"",IF(AND(DH324="",DI324=""),"",N(DI324)-N(DH324)))</f>
        <v/>
      </c>
      <c r="DN324">
        <f>IF(OR(DL$3="",DL$3&gt;TODAY()),"",IF(AND(DL324="",DM324=""),"",N(DM324)-N(DL324)))</f>
        <v/>
      </c>
      <c r="DQ324">
        <f>IF(OR(DL$3="",DL$3&gt;TODAY()),"",IF(AND(DO324="",DP324=""),"",N(DP324)-N(DO324)))</f>
        <v/>
      </c>
      <c r="DU324">
        <f>IF(OR(DS$3="",DS$3&gt;TODAY()),"",IF(AND(DS324="",DT324=""),"",N(DT324)-N(DS324)))</f>
        <v/>
      </c>
      <c r="DX324">
        <f>IF(OR(DS$3="",DS$3&gt;TODAY()),"",IF(AND(DV324="",DW324=""),"",N(DW324)-N(DV324)))</f>
        <v/>
      </c>
      <c r="EB324">
        <f>IF(OR(DZ$3="",DZ$3&gt;TODAY()),"",IF(AND(DZ324="",EA324=""),"",N(EA324)-N(DZ324)))</f>
        <v/>
      </c>
      <c r="EE324">
        <f>IF(OR(DZ$3="",DZ$3&gt;TODAY()),"",IF(AND(EC324="",ED324=""),"",N(ED324)-N(EC324)))</f>
        <v/>
      </c>
      <c r="EI324">
        <f>IF(OR(EG$3="",EG$3&gt;TODAY()),"",IF(AND(EG324="",EH324=""),"",N(EH324)-N(EG324)))</f>
        <v/>
      </c>
      <c r="EL324">
        <f>IF(OR(EG$3="",EG$3&gt;TODAY()),"",IF(AND(EJ324="",EK324=""),"",N(EK324)-N(EJ324)))</f>
        <v/>
      </c>
      <c r="EP324">
        <f>IF(OR(EN$3="",EN$3&gt;TODAY()),"",IF(AND(EN324="",EO324=""),"",N(EO324)-N(EN324)))</f>
        <v/>
      </c>
      <c r="ES324">
        <f>IF(OR(EN$3="",EN$3&gt;TODAY()),"",IF(AND(EQ324="",ER324=""),"",N(ER324)-N(EQ324)))</f>
        <v/>
      </c>
      <c r="EW324">
        <f>IF(OR(EU$3="",EU$3&gt;TODAY()),"",IF(AND(EU324="",EV324=""),"",N(EV324)-N(EU324)))</f>
        <v/>
      </c>
      <c r="EZ324">
        <f>IF(OR(EU$3="",EU$3&gt;TODAY()),"",IF(AND(EX324="",EY324=""),"",N(EY324)-N(EX324)))</f>
        <v/>
      </c>
      <c r="FD324">
        <f>IF(OR(FB$3="",FB$3&gt;TODAY()),"",IF(AND(FB324="",FC324=""),"",N(FC324)-N(FB324)))</f>
        <v/>
      </c>
      <c r="FG324">
        <f>IF(OR(FB$3="",FB$3&gt;TODAY()),"",IF(AND(FE324="",FF324=""),"",N(FF324)-N(FE324)))</f>
        <v/>
      </c>
      <c r="FK324">
        <f>IF(OR(FI$3="",FI$3&gt;TODAY()),"",IF(AND(FI324="",FJ324=""),"",N(FJ324)-N(FI324)))</f>
        <v/>
      </c>
      <c r="FN324">
        <f>IF(OR(FI$3="",FI$3&gt;TODAY()),"",IF(AND(FL324="",FM324=""),"",N(FM324)-N(FL324)))</f>
        <v/>
      </c>
      <c r="FR324">
        <f>IF(OR(FP$3="",FP$3&gt;TODAY()),"",IF(AND(FP324="",FQ324=""),"",N(FQ324)-N(FP324)))</f>
        <v/>
      </c>
      <c r="FU324">
        <f>IF(OR(FP$3="",FP$3&gt;TODAY()),"",IF(AND(FS324="",FT324=""),"",N(FT324)-N(FS324)))</f>
        <v/>
      </c>
      <c r="FY324">
        <f>IF(OR(FW$3="",FW$3&gt;TODAY()),"",IF(AND(FW324="",FX324=""),"",N(FX324)-N(FW324)))</f>
        <v/>
      </c>
      <c r="GB324">
        <f>IF(OR(FW$3="",FW$3&gt;TODAY()),"",IF(AND(FZ324="",GA324=""),"",N(GA324)-N(FZ324)))</f>
        <v/>
      </c>
      <c r="GF324">
        <f>IF(OR(GD$3="",GD$3&gt;TODAY()),"",IF(AND(GD324="",GE324=""),"",N(GE324)-N(GD324)))</f>
        <v/>
      </c>
      <c r="GI324">
        <f>IF(OR(GD$3="",GD$3&gt;TODAY()),"",IF(AND(GG324="",GH324=""),"",N(GH324)-N(GG324)))</f>
        <v/>
      </c>
      <c r="GM324">
        <f>IF(OR(GK$3="",GK$3&gt;TODAY()),"",IF(AND(GK324="",GL324=""),"",N(GL324)-N(GK324)))</f>
        <v/>
      </c>
      <c r="GP324">
        <f>IF(OR(GK$3="",GK$3&gt;TODAY()),"",IF(AND(GN324="",GO324=""),"",N(GO324)-N(GN324)))</f>
        <v/>
      </c>
      <c r="GT324">
        <f>IF(OR(GR$3="",GR$3&gt;TODAY()),"",IF(AND(GR324="",GS324=""),"",N(GS324)-N(GR324)))</f>
        <v/>
      </c>
      <c r="GW324">
        <f>IF(OR(GR$3="",GR$3&gt;TODAY()),"",IF(AND(GU324="",GV324=""),"",N(GV324)-N(GU324)))</f>
        <v/>
      </c>
      <c r="HA324">
        <f>IF(OR(GY$3="",GY$3&gt;TODAY()),"",IF(AND(GY324="",GZ324=""),"",N(GZ324)-N(GY324)))</f>
        <v/>
      </c>
      <c r="HD324">
        <f>IF(OR(GY$3="",GY$3&gt;TODAY()),"",IF(AND(HB324="",HC324=""),"",N(HC324)-N(HB324)))</f>
        <v/>
      </c>
      <c r="HH324">
        <f>IF(OR(HF$3="",HF$3&gt;TODAY()),"",IF(AND(HF324="",HG324=""),"",N(HG324)-N(HF324)))</f>
        <v/>
      </c>
      <c r="HK324">
        <f>IF(OR(HF$3="",HF$3&gt;TODAY()),"",IF(AND(HI324="",HJ324=""),"",N(HJ324)-N(HI324)))</f>
        <v/>
      </c>
      <c r="HO324">
        <f>IF(OR(HM$3="",HM$3&gt;TODAY()),"",IF(AND(HM324="",HN324=""),"",N(HN324)-N(HM324)))</f>
        <v/>
      </c>
      <c r="HR324">
        <f>IF(OR(HM$3="",HM$3&gt;TODAY()),"",IF(AND(HP324="",HQ324=""),"",N(HQ324)-N(HP324)))</f>
        <v/>
      </c>
      <c r="HV324">
        <f>IF(OR(HT$3="",HT$3&gt;TODAY()),"",IF(AND(HT324="",HU324=""),"",N(HU324)-N(HT324)))</f>
        <v/>
      </c>
      <c r="HY324">
        <f>IF(OR(HT$3="",HT$3&gt;TODAY()),"",IF(AND(HW324="",HX324=""),"",N(HX324)-N(HW324)))</f>
        <v/>
      </c>
      <c r="IC324">
        <f>IF(OR(IA$3="",IA$3&gt;TODAY()),"",IF(AND(IA324="",IB324=""),"",N(IB324)-N(IA324)))</f>
        <v/>
      </c>
      <c r="IF324">
        <f>IF(OR(IA$3="",IA$3&gt;TODAY()),"",IF(AND(ID324="",IE324=""),"",N(IE324)-N(ID324)))</f>
        <v/>
      </c>
      <c r="IJ324">
        <f>IF(OR(IH$3="",IH$3&gt;TODAY()),"",IF(AND(IH324="",II324=""),"",N(II324)-N(IH324)))</f>
        <v/>
      </c>
      <c r="IM324">
        <f>IF(OR(IH$3="",IH$3&gt;TODAY()),"",IF(AND(IK324="",IL324=""),"",N(IL324)-N(IK324)))</f>
        <v/>
      </c>
    </row>
    <row r="325">
      <c r="A325" s="21" t="n"/>
      <c r="B325" s="21" t="n"/>
      <c r="C325" s="21" t="n"/>
      <c r="D325" s="21" t="n"/>
      <c r="E325" s="21" t="n"/>
      <c r="F325" s="21" t="n"/>
      <c r="G325" s="21" t="n"/>
      <c r="H325" s="21" t="n"/>
      <c r="I325" s="22" t="n"/>
      <c r="J325" s="22" t="n"/>
      <c r="K325" s="23" t="n"/>
      <c r="L325" s="22" t="n"/>
      <c r="M325" s="22" t="n"/>
      <c r="N325" s="21" t="n"/>
      <c r="O325" s="23" t="n"/>
      <c r="P325" s="23" t="n"/>
      <c r="Q325" s="23" t="n"/>
      <c r="R325" s="23" t="n"/>
      <c r="S325" s="22" t="n"/>
      <c r="T325" s="23" t="n"/>
      <c r="U325" s="23" t="n"/>
      <c r="V325" s="24">
        <f>IF(J325&lt;&gt;"",J325,IF(I325&lt;&gt;"",I325,""))</f>
        <v/>
      </c>
      <c r="W325" s="25">
        <f>IF($E325="","",N(O325)+SUMIFS($AF325:$IN325,$AF$4:$IN$4,"SEW_ACT"))</f>
        <v/>
      </c>
      <c r="X325" s="25">
        <f>IF($E325="","",N(P325)+SUMIFS($AF325:$IN325,$AF$4:$IN$4,"WASH_ACT"))</f>
        <v/>
      </c>
      <c r="Y325" s="25">
        <f>IF($E325="","",W325-X325-N(T325)-N(U325))</f>
        <v/>
      </c>
      <c r="Z325" s="25">
        <f>IF($E325="","",IF(N(K325)-X325&lt;=0.02*N(K325),0,N(K325)-X325))</f>
        <v/>
      </c>
      <c r="AA325" s="24">
        <f>IF($E325="","",IF(S325&lt;&gt;"",S325,IF(N(O325)&gt;0,IF(L325&lt;&gt;"",L325,99999),IFERROR(1/(1/_xlfn.MINIFS($AF$3:$IN$3,$AF$4:$IN$4,"SEW_ACT",$AF325:$IN325,"&gt;0")),99999))))</f>
        <v/>
      </c>
      <c r="AB325" s="26">
        <f>IF(OR($E325="",Z325=0,V325=""),"",1+COUNTIFS(Z$8:Z$707,"&gt;0",V$8:V$707,"&lt;"&amp;V325)+COUNTIFS(Z$8:Z$707,"&gt;0",V$8:V$707,V325,AA$8:AA$707,"&lt;"&amp;AA325)+COUNTIFS(Z$8:Z$707,"&gt;0",V$8:V$707,V325,AA$8:AA$707,AA325,E$8:E$707,"&lt;"&amp;$E325))</f>
        <v/>
      </c>
      <c r="AC325" s="24">
        <f>IF(OR($E325="",Z325=0),"",IFERROR(TODAY()+ROUNDUP(Z325/(SUMIFS($AF325:$IN325,$AF$4:$IN$4,"WASH_ACT")/COUNTIFS($AF$4:$IN$4,"WASH_ACT",$AF325:$IN325,"&gt;0")),0),"no output yet"))</f>
        <v/>
      </c>
      <c r="AD325" s="26">
        <f>IF($E325="","",IFERROR(ROUND(MAX(0,SUMIFS($AF325:$IN325,$AF$4:$IN$4,"SEW_PLAN",$AF$3:$IN$3,"&lt;="&amp;TODAY())-SUMIFS($AF325:$IN325,$AF$4:$IN$4,"SEW_ACT",$AF$3:$IN$3,"&lt;="&amp;TODAY())+N(Q325))/(SUMIFS($AF325:$IN325,$AF$4:$IN$4,"SEW_PLAN")/COUNTIFS($AF$4:$IN$4,"SEW_PLAN",$AF325:$IN325,"&gt;0")),1),0))</f>
        <v/>
      </c>
      <c r="AE325" s="26">
        <f>IF($E325="","",IF(AND(Z325&gt;0,OR(AND(M325&lt;&gt;"",TODAY()&gt;M325),AND(V325&lt;&gt;"",V325-TODAY()&lt;=7))),"Yes","No"))</f>
        <v/>
      </c>
      <c r="AH325">
        <f>IF(OR(AF$3="",AF$3&gt;TODAY()),"",IF(AND(AF325="",AG325=""),"",N(AG325)-N(AF325)))</f>
        <v/>
      </c>
      <c r="AK325">
        <f>IF(OR(AF$3="",AF$3&gt;TODAY()),"",IF(AND(AI325="",AJ325=""),"",N(AJ325)-N(AI325)))</f>
        <v/>
      </c>
      <c r="AO325">
        <f>IF(OR(AM$3="",AM$3&gt;TODAY()),"",IF(AND(AM325="",AN325=""),"",N(AN325)-N(AM325)))</f>
        <v/>
      </c>
      <c r="AR325">
        <f>IF(OR(AM$3="",AM$3&gt;TODAY()),"",IF(AND(AP325="",AQ325=""),"",N(AQ325)-N(AP325)))</f>
        <v/>
      </c>
      <c r="AV325">
        <f>IF(OR(AT$3="",AT$3&gt;TODAY()),"",IF(AND(AT325="",AU325=""),"",N(AU325)-N(AT325)))</f>
        <v/>
      </c>
      <c r="AY325">
        <f>IF(OR(AT$3="",AT$3&gt;TODAY()),"",IF(AND(AW325="",AX325=""),"",N(AX325)-N(AW325)))</f>
        <v/>
      </c>
      <c r="BC325">
        <f>IF(OR(BA$3="",BA$3&gt;TODAY()),"",IF(AND(BA325="",BB325=""),"",N(BB325)-N(BA325)))</f>
        <v/>
      </c>
      <c r="BF325">
        <f>IF(OR(BA$3="",BA$3&gt;TODAY()),"",IF(AND(BD325="",BE325=""),"",N(BE325)-N(BD325)))</f>
        <v/>
      </c>
      <c r="BJ325">
        <f>IF(OR(BH$3="",BH$3&gt;TODAY()),"",IF(AND(BH325="",BI325=""),"",N(BI325)-N(BH325)))</f>
        <v/>
      </c>
      <c r="BM325">
        <f>IF(OR(BH$3="",BH$3&gt;TODAY()),"",IF(AND(BK325="",BL325=""),"",N(BL325)-N(BK325)))</f>
        <v/>
      </c>
      <c r="BQ325">
        <f>IF(OR(BO$3="",BO$3&gt;TODAY()),"",IF(AND(BO325="",BP325=""),"",N(BP325)-N(BO325)))</f>
        <v/>
      </c>
      <c r="BT325">
        <f>IF(OR(BO$3="",BO$3&gt;TODAY()),"",IF(AND(BR325="",BS325=""),"",N(BS325)-N(BR325)))</f>
        <v/>
      </c>
      <c r="BX325">
        <f>IF(OR(BV$3="",BV$3&gt;TODAY()),"",IF(AND(BV325="",BW325=""),"",N(BW325)-N(BV325)))</f>
        <v/>
      </c>
      <c r="CA325">
        <f>IF(OR(BV$3="",BV$3&gt;TODAY()),"",IF(AND(BY325="",BZ325=""),"",N(BZ325)-N(BY325)))</f>
        <v/>
      </c>
      <c r="CE325">
        <f>IF(OR(CC$3="",CC$3&gt;TODAY()),"",IF(AND(CC325="",CD325=""),"",N(CD325)-N(CC325)))</f>
        <v/>
      </c>
      <c r="CH325">
        <f>IF(OR(CC$3="",CC$3&gt;TODAY()),"",IF(AND(CF325="",CG325=""),"",N(CG325)-N(CF325)))</f>
        <v/>
      </c>
      <c r="CL325">
        <f>IF(OR(CJ$3="",CJ$3&gt;TODAY()),"",IF(AND(CJ325="",CK325=""),"",N(CK325)-N(CJ325)))</f>
        <v/>
      </c>
      <c r="CO325">
        <f>IF(OR(CJ$3="",CJ$3&gt;TODAY()),"",IF(AND(CM325="",CN325=""),"",N(CN325)-N(CM325)))</f>
        <v/>
      </c>
      <c r="CS325">
        <f>IF(OR(CQ$3="",CQ$3&gt;TODAY()),"",IF(AND(CQ325="",CR325=""),"",N(CR325)-N(CQ325)))</f>
        <v/>
      </c>
      <c r="CV325">
        <f>IF(OR(CQ$3="",CQ$3&gt;TODAY()),"",IF(AND(CT325="",CU325=""),"",N(CU325)-N(CT325)))</f>
        <v/>
      </c>
      <c r="CZ325">
        <f>IF(OR(CX$3="",CX$3&gt;TODAY()),"",IF(AND(CX325="",CY325=""),"",N(CY325)-N(CX325)))</f>
        <v/>
      </c>
      <c r="DC325">
        <f>IF(OR(CX$3="",CX$3&gt;TODAY()),"",IF(AND(DA325="",DB325=""),"",N(DB325)-N(DA325)))</f>
        <v/>
      </c>
      <c r="DG325">
        <f>IF(OR(DE$3="",DE$3&gt;TODAY()),"",IF(AND(DE325="",DF325=""),"",N(DF325)-N(DE325)))</f>
        <v/>
      </c>
      <c r="DJ325">
        <f>IF(OR(DE$3="",DE$3&gt;TODAY()),"",IF(AND(DH325="",DI325=""),"",N(DI325)-N(DH325)))</f>
        <v/>
      </c>
      <c r="DN325">
        <f>IF(OR(DL$3="",DL$3&gt;TODAY()),"",IF(AND(DL325="",DM325=""),"",N(DM325)-N(DL325)))</f>
        <v/>
      </c>
      <c r="DQ325">
        <f>IF(OR(DL$3="",DL$3&gt;TODAY()),"",IF(AND(DO325="",DP325=""),"",N(DP325)-N(DO325)))</f>
        <v/>
      </c>
      <c r="DU325">
        <f>IF(OR(DS$3="",DS$3&gt;TODAY()),"",IF(AND(DS325="",DT325=""),"",N(DT325)-N(DS325)))</f>
        <v/>
      </c>
      <c r="DX325">
        <f>IF(OR(DS$3="",DS$3&gt;TODAY()),"",IF(AND(DV325="",DW325=""),"",N(DW325)-N(DV325)))</f>
        <v/>
      </c>
      <c r="EB325">
        <f>IF(OR(DZ$3="",DZ$3&gt;TODAY()),"",IF(AND(DZ325="",EA325=""),"",N(EA325)-N(DZ325)))</f>
        <v/>
      </c>
      <c r="EE325">
        <f>IF(OR(DZ$3="",DZ$3&gt;TODAY()),"",IF(AND(EC325="",ED325=""),"",N(ED325)-N(EC325)))</f>
        <v/>
      </c>
      <c r="EI325">
        <f>IF(OR(EG$3="",EG$3&gt;TODAY()),"",IF(AND(EG325="",EH325=""),"",N(EH325)-N(EG325)))</f>
        <v/>
      </c>
      <c r="EL325">
        <f>IF(OR(EG$3="",EG$3&gt;TODAY()),"",IF(AND(EJ325="",EK325=""),"",N(EK325)-N(EJ325)))</f>
        <v/>
      </c>
      <c r="EP325">
        <f>IF(OR(EN$3="",EN$3&gt;TODAY()),"",IF(AND(EN325="",EO325=""),"",N(EO325)-N(EN325)))</f>
        <v/>
      </c>
      <c r="ES325">
        <f>IF(OR(EN$3="",EN$3&gt;TODAY()),"",IF(AND(EQ325="",ER325=""),"",N(ER325)-N(EQ325)))</f>
        <v/>
      </c>
      <c r="EW325">
        <f>IF(OR(EU$3="",EU$3&gt;TODAY()),"",IF(AND(EU325="",EV325=""),"",N(EV325)-N(EU325)))</f>
        <v/>
      </c>
      <c r="EZ325">
        <f>IF(OR(EU$3="",EU$3&gt;TODAY()),"",IF(AND(EX325="",EY325=""),"",N(EY325)-N(EX325)))</f>
        <v/>
      </c>
      <c r="FD325">
        <f>IF(OR(FB$3="",FB$3&gt;TODAY()),"",IF(AND(FB325="",FC325=""),"",N(FC325)-N(FB325)))</f>
        <v/>
      </c>
      <c r="FG325">
        <f>IF(OR(FB$3="",FB$3&gt;TODAY()),"",IF(AND(FE325="",FF325=""),"",N(FF325)-N(FE325)))</f>
        <v/>
      </c>
      <c r="FK325">
        <f>IF(OR(FI$3="",FI$3&gt;TODAY()),"",IF(AND(FI325="",FJ325=""),"",N(FJ325)-N(FI325)))</f>
        <v/>
      </c>
      <c r="FN325">
        <f>IF(OR(FI$3="",FI$3&gt;TODAY()),"",IF(AND(FL325="",FM325=""),"",N(FM325)-N(FL325)))</f>
        <v/>
      </c>
      <c r="FR325">
        <f>IF(OR(FP$3="",FP$3&gt;TODAY()),"",IF(AND(FP325="",FQ325=""),"",N(FQ325)-N(FP325)))</f>
        <v/>
      </c>
      <c r="FU325">
        <f>IF(OR(FP$3="",FP$3&gt;TODAY()),"",IF(AND(FS325="",FT325=""),"",N(FT325)-N(FS325)))</f>
        <v/>
      </c>
      <c r="FY325">
        <f>IF(OR(FW$3="",FW$3&gt;TODAY()),"",IF(AND(FW325="",FX325=""),"",N(FX325)-N(FW325)))</f>
        <v/>
      </c>
      <c r="GB325">
        <f>IF(OR(FW$3="",FW$3&gt;TODAY()),"",IF(AND(FZ325="",GA325=""),"",N(GA325)-N(FZ325)))</f>
        <v/>
      </c>
      <c r="GF325">
        <f>IF(OR(GD$3="",GD$3&gt;TODAY()),"",IF(AND(GD325="",GE325=""),"",N(GE325)-N(GD325)))</f>
        <v/>
      </c>
      <c r="GI325">
        <f>IF(OR(GD$3="",GD$3&gt;TODAY()),"",IF(AND(GG325="",GH325=""),"",N(GH325)-N(GG325)))</f>
        <v/>
      </c>
      <c r="GM325">
        <f>IF(OR(GK$3="",GK$3&gt;TODAY()),"",IF(AND(GK325="",GL325=""),"",N(GL325)-N(GK325)))</f>
        <v/>
      </c>
      <c r="GP325">
        <f>IF(OR(GK$3="",GK$3&gt;TODAY()),"",IF(AND(GN325="",GO325=""),"",N(GO325)-N(GN325)))</f>
        <v/>
      </c>
      <c r="GT325">
        <f>IF(OR(GR$3="",GR$3&gt;TODAY()),"",IF(AND(GR325="",GS325=""),"",N(GS325)-N(GR325)))</f>
        <v/>
      </c>
      <c r="GW325">
        <f>IF(OR(GR$3="",GR$3&gt;TODAY()),"",IF(AND(GU325="",GV325=""),"",N(GV325)-N(GU325)))</f>
        <v/>
      </c>
      <c r="HA325">
        <f>IF(OR(GY$3="",GY$3&gt;TODAY()),"",IF(AND(GY325="",GZ325=""),"",N(GZ325)-N(GY325)))</f>
        <v/>
      </c>
      <c r="HD325">
        <f>IF(OR(GY$3="",GY$3&gt;TODAY()),"",IF(AND(HB325="",HC325=""),"",N(HC325)-N(HB325)))</f>
        <v/>
      </c>
      <c r="HH325">
        <f>IF(OR(HF$3="",HF$3&gt;TODAY()),"",IF(AND(HF325="",HG325=""),"",N(HG325)-N(HF325)))</f>
        <v/>
      </c>
      <c r="HK325">
        <f>IF(OR(HF$3="",HF$3&gt;TODAY()),"",IF(AND(HI325="",HJ325=""),"",N(HJ325)-N(HI325)))</f>
        <v/>
      </c>
      <c r="HO325">
        <f>IF(OR(HM$3="",HM$3&gt;TODAY()),"",IF(AND(HM325="",HN325=""),"",N(HN325)-N(HM325)))</f>
        <v/>
      </c>
      <c r="HR325">
        <f>IF(OR(HM$3="",HM$3&gt;TODAY()),"",IF(AND(HP325="",HQ325=""),"",N(HQ325)-N(HP325)))</f>
        <v/>
      </c>
      <c r="HV325">
        <f>IF(OR(HT$3="",HT$3&gt;TODAY()),"",IF(AND(HT325="",HU325=""),"",N(HU325)-N(HT325)))</f>
        <v/>
      </c>
      <c r="HY325">
        <f>IF(OR(HT$3="",HT$3&gt;TODAY()),"",IF(AND(HW325="",HX325=""),"",N(HX325)-N(HW325)))</f>
        <v/>
      </c>
      <c r="IC325">
        <f>IF(OR(IA$3="",IA$3&gt;TODAY()),"",IF(AND(IA325="",IB325=""),"",N(IB325)-N(IA325)))</f>
        <v/>
      </c>
      <c r="IF325">
        <f>IF(OR(IA$3="",IA$3&gt;TODAY()),"",IF(AND(ID325="",IE325=""),"",N(IE325)-N(ID325)))</f>
        <v/>
      </c>
      <c r="IJ325">
        <f>IF(OR(IH$3="",IH$3&gt;TODAY()),"",IF(AND(IH325="",II325=""),"",N(II325)-N(IH325)))</f>
        <v/>
      </c>
      <c r="IM325">
        <f>IF(OR(IH$3="",IH$3&gt;TODAY()),"",IF(AND(IK325="",IL325=""),"",N(IL325)-N(IK325)))</f>
        <v/>
      </c>
    </row>
    <row r="326">
      <c r="A326" s="21" t="n"/>
      <c r="B326" s="21" t="n"/>
      <c r="C326" s="21" t="n"/>
      <c r="D326" s="21" t="n"/>
      <c r="E326" s="21" t="n"/>
      <c r="F326" s="21" t="n"/>
      <c r="G326" s="21" t="n"/>
      <c r="H326" s="21" t="n"/>
      <c r="I326" s="22" t="n"/>
      <c r="J326" s="22" t="n"/>
      <c r="K326" s="23" t="n"/>
      <c r="L326" s="22" t="n"/>
      <c r="M326" s="22" t="n"/>
      <c r="N326" s="21" t="n"/>
      <c r="O326" s="23" t="n"/>
      <c r="P326" s="23" t="n"/>
      <c r="Q326" s="23" t="n"/>
      <c r="R326" s="23" t="n"/>
      <c r="S326" s="22" t="n"/>
      <c r="T326" s="23" t="n"/>
      <c r="U326" s="23" t="n"/>
      <c r="V326" s="24">
        <f>IF(J326&lt;&gt;"",J326,IF(I326&lt;&gt;"",I326,""))</f>
        <v/>
      </c>
      <c r="W326" s="25">
        <f>IF($E326="","",N(O326)+SUMIFS($AF326:$IN326,$AF$4:$IN$4,"SEW_ACT"))</f>
        <v/>
      </c>
      <c r="X326" s="25">
        <f>IF($E326="","",N(P326)+SUMIFS($AF326:$IN326,$AF$4:$IN$4,"WASH_ACT"))</f>
        <v/>
      </c>
      <c r="Y326" s="25">
        <f>IF($E326="","",W326-X326-N(T326)-N(U326))</f>
        <v/>
      </c>
      <c r="Z326" s="25">
        <f>IF($E326="","",IF(N(K326)-X326&lt;=0.02*N(K326),0,N(K326)-X326))</f>
        <v/>
      </c>
      <c r="AA326" s="24">
        <f>IF($E326="","",IF(S326&lt;&gt;"",S326,IF(N(O326)&gt;0,IF(L326&lt;&gt;"",L326,99999),IFERROR(1/(1/_xlfn.MINIFS($AF$3:$IN$3,$AF$4:$IN$4,"SEW_ACT",$AF326:$IN326,"&gt;0")),99999))))</f>
        <v/>
      </c>
      <c r="AB326" s="26">
        <f>IF(OR($E326="",Z326=0,V326=""),"",1+COUNTIFS(Z$8:Z$707,"&gt;0",V$8:V$707,"&lt;"&amp;V326)+COUNTIFS(Z$8:Z$707,"&gt;0",V$8:V$707,V326,AA$8:AA$707,"&lt;"&amp;AA326)+COUNTIFS(Z$8:Z$707,"&gt;0",V$8:V$707,V326,AA$8:AA$707,AA326,E$8:E$707,"&lt;"&amp;$E326))</f>
        <v/>
      </c>
      <c r="AC326" s="24">
        <f>IF(OR($E326="",Z326=0),"",IFERROR(TODAY()+ROUNDUP(Z326/(SUMIFS($AF326:$IN326,$AF$4:$IN$4,"WASH_ACT")/COUNTIFS($AF$4:$IN$4,"WASH_ACT",$AF326:$IN326,"&gt;0")),0),"no output yet"))</f>
        <v/>
      </c>
      <c r="AD326" s="26">
        <f>IF($E326="","",IFERROR(ROUND(MAX(0,SUMIFS($AF326:$IN326,$AF$4:$IN$4,"SEW_PLAN",$AF$3:$IN$3,"&lt;="&amp;TODAY())-SUMIFS($AF326:$IN326,$AF$4:$IN$4,"SEW_ACT",$AF$3:$IN$3,"&lt;="&amp;TODAY())+N(Q326))/(SUMIFS($AF326:$IN326,$AF$4:$IN$4,"SEW_PLAN")/COUNTIFS($AF$4:$IN$4,"SEW_PLAN",$AF326:$IN326,"&gt;0")),1),0))</f>
        <v/>
      </c>
      <c r="AE326" s="26">
        <f>IF($E326="","",IF(AND(Z326&gt;0,OR(AND(M326&lt;&gt;"",TODAY()&gt;M326),AND(V326&lt;&gt;"",V326-TODAY()&lt;=7))),"Yes","No"))</f>
        <v/>
      </c>
      <c r="AH326">
        <f>IF(OR(AF$3="",AF$3&gt;TODAY()),"",IF(AND(AF326="",AG326=""),"",N(AG326)-N(AF326)))</f>
        <v/>
      </c>
      <c r="AK326">
        <f>IF(OR(AF$3="",AF$3&gt;TODAY()),"",IF(AND(AI326="",AJ326=""),"",N(AJ326)-N(AI326)))</f>
        <v/>
      </c>
      <c r="AO326">
        <f>IF(OR(AM$3="",AM$3&gt;TODAY()),"",IF(AND(AM326="",AN326=""),"",N(AN326)-N(AM326)))</f>
        <v/>
      </c>
      <c r="AR326">
        <f>IF(OR(AM$3="",AM$3&gt;TODAY()),"",IF(AND(AP326="",AQ326=""),"",N(AQ326)-N(AP326)))</f>
        <v/>
      </c>
      <c r="AV326">
        <f>IF(OR(AT$3="",AT$3&gt;TODAY()),"",IF(AND(AT326="",AU326=""),"",N(AU326)-N(AT326)))</f>
        <v/>
      </c>
      <c r="AY326">
        <f>IF(OR(AT$3="",AT$3&gt;TODAY()),"",IF(AND(AW326="",AX326=""),"",N(AX326)-N(AW326)))</f>
        <v/>
      </c>
      <c r="BC326">
        <f>IF(OR(BA$3="",BA$3&gt;TODAY()),"",IF(AND(BA326="",BB326=""),"",N(BB326)-N(BA326)))</f>
        <v/>
      </c>
      <c r="BF326">
        <f>IF(OR(BA$3="",BA$3&gt;TODAY()),"",IF(AND(BD326="",BE326=""),"",N(BE326)-N(BD326)))</f>
        <v/>
      </c>
      <c r="BJ326">
        <f>IF(OR(BH$3="",BH$3&gt;TODAY()),"",IF(AND(BH326="",BI326=""),"",N(BI326)-N(BH326)))</f>
        <v/>
      </c>
      <c r="BM326">
        <f>IF(OR(BH$3="",BH$3&gt;TODAY()),"",IF(AND(BK326="",BL326=""),"",N(BL326)-N(BK326)))</f>
        <v/>
      </c>
      <c r="BQ326">
        <f>IF(OR(BO$3="",BO$3&gt;TODAY()),"",IF(AND(BO326="",BP326=""),"",N(BP326)-N(BO326)))</f>
        <v/>
      </c>
      <c r="BT326">
        <f>IF(OR(BO$3="",BO$3&gt;TODAY()),"",IF(AND(BR326="",BS326=""),"",N(BS326)-N(BR326)))</f>
        <v/>
      </c>
      <c r="BX326">
        <f>IF(OR(BV$3="",BV$3&gt;TODAY()),"",IF(AND(BV326="",BW326=""),"",N(BW326)-N(BV326)))</f>
        <v/>
      </c>
      <c r="CA326">
        <f>IF(OR(BV$3="",BV$3&gt;TODAY()),"",IF(AND(BY326="",BZ326=""),"",N(BZ326)-N(BY326)))</f>
        <v/>
      </c>
      <c r="CE326">
        <f>IF(OR(CC$3="",CC$3&gt;TODAY()),"",IF(AND(CC326="",CD326=""),"",N(CD326)-N(CC326)))</f>
        <v/>
      </c>
      <c r="CH326">
        <f>IF(OR(CC$3="",CC$3&gt;TODAY()),"",IF(AND(CF326="",CG326=""),"",N(CG326)-N(CF326)))</f>
        <v/>
      </c>
      <c r="CL326">
        <f>IF(OR(CJ$3="",CJ$3&gt;TODAY()),"",IF(AND(CJ326="",CK326=""),"",N(CK326)-N(CJ326)))</f>
        <v/>
      </c>
      <c r="CO326">
        <f>IF(OR(CJ$3="",CJ$3&gt;TODAY()),"",IF(AND(CM326="",CN326=""),"",N(CN326)-N(CM326)))</f>
        <v/>
      </c>
      <c r="CS326">
        <f>IF(OR(CQ$3="",CQ$3&gt;TODAY()),"",IF(AND(CQ326="",CR326=""),"",N(CR326)-N(CQ326)))</f>
        <v/>
      </c>
      <c r="CV326">
        <f>IF(OR(CQ$3="",CQ$3&gt;TODAY()),"",IF(AND(CT326="",CU326=""),"",N(CU326)-N(CT326)))</f>
        <v/>
      </c>
      <c r="CZ326">
        <f>IF(OR(CX$3="",CX$3&gt;TODAY()),"",IF(AND(CX326="",CY326=""),"",N(CY326)-N(CX326)))</f>
        <v/>
      </c>
      <c r="DC326">
        <f>IF(OR(CX$3="",CX$3&gt;TODAY()),"",IF(AND(DA326="",DB326=""),"",N(DB326)-N(DA326)))</f>
        <v/>
      </c>
      <c r="DG326">
        <f>IF(OR(DE$3="",DE$3&gt;TODAY()),"",IF(AND(DE326="",DF326=""),"",N(DF326)-N(DE326)))</f>
        <v/>
      </c>
      <c r="DJ326">
        <f>IF(OR(DE$3="",DE$3&gt;TODAY()),"",IF(AND(DH326="",DI326=""),"",N(DI326)-N(DH326)))</f>
        <v/>
      </c>
      <c r="DN326">
        <f>IF(OR(DL$3="",DL$3&gt;TODAY()),"",IF(AND(DL326="",DM326=""),"",N(DM326)-N(DL326)))</f>
        <v/>
      </c>
      <c r="DQ326">
        <f>IF(OR(DL$3="",DL$3&gt;TODAY()),"",IF(AND(DO326="",DP326=""),"",N(DP326)-N(DO326)))</f>
        <v/>
      </c>
      <c r="DU326">
        <f>IF(OR(DS$3="",DS$3&gt;TODAY()),"",IF(AND(DS326="",DT326=""),"",N(DT326)-N(DS326)))</f>
        <v/>
      </c>
      <c r="DX326">
        <f>IF(OR(DS$3="",DS$3&gt;TODAY()),"",IF(AND(DV326="",DW326=""),"",N(DW326)-N(DV326)))</f>
        <v/>
      </c>
      <c r="EB326">
        <f>IF(OR(DZ$3="",DZ$3&gt;TODAY()),"",IF(AND(DZ326="",EA326=""),"",N(EA326)-N(DZ326)))</f>
        <v/>
      </c>
      <c r="EE326">
        <f>IF(OR(DZ$3="",DZ$3&gt;TODAY()),"",IF(AND(EC326="",ED326=""),"",N(ED326)-N(EC326)))</f>
        <v/>
      </c>
      <c r="EI326">
        <f>IF(OR(EG$3="",EG$3&gt;TODAY()),"",IF(AND(EG326="",EH326=""),"",N(EH326)-N(EG326)))</f>
        <v/>
      </c>
      <c r="EL326">
        <f>IF(OR(EG$3="",EG$3&gt;TODAY()),"",IF(AND(EJ326="",EK326=""),"",N(EK326)-N(EJ326)))</f>
        <v/>
      </c>
      <c r="EP326">
        <f>IF(OR(EN$3="",EN$3&gt;TODAY()),"",IF(AND(EN326="",EO326=""),"",N(EO326)-N(EN326)))</f>
        <v/>
      </c>
      <c r="ES326">
        <f>IF(OR(EN$3="",EN$3&gt;TODAY()),"",IF(AND(EQ326="",ER326=""),"",N(ER326)-N(EQ326)))</f>
        <v/>
      </c>
      <c r="EW326">
        <f>IF(OR(EU$3="",EU$3&gt;TODAY()),"",IF(AND(EU326="",EV326=""),"",N(EV326)-N(EU326)))</f>
        <v/>
      </c>
      <c r="EZ326">
        <f>IF(OR(EU$3="",EU$3&gt;TODAY()),"",IF(AND(EX326="",EY326=""),"",N(EY326)-N(EX326)))</f>
        <v/>
      </c>
      <c r="FD326">
        <f>IF(OR(FB$3="",FB$3&gt;TODAY()),"",IF(AND(FB326="",FC326=""),"",N(FC326)-N(FB326)))</f>
        <v/>
      </c>
      <c r="FG326">
        <f>IF(OR(FB$3="",FB$3&gt;TODAY()),"",IF(AND(FE326="",FF326=""),"",N(FF326)-N(FE326)))</f>
        <v/>
      </c>
      <c r="FK326">
        <f>IF(OR(FI$3="",FI$3&gt;TODAY()),"",IF(AND(FI326="",FJ326=""),"",N(FJ326)-N(FI326)))</f>
        <v/>
      </c>
      <c r="FN326">
        <f>IF(OR(FI$3="",FI$3&gt;TODAY()),"",IF(AND(FL326="",FM326=""),"",N(FM326)-N(FL326)))</f>
        <v/>
      </c>
      <c r="FR326">
        <f>IF(OR(FP$3="",FP$3&gt;TODAY()),"",IF(AND(FP326="",FQ326=""),"",N(FQ326)-N(FP326)))</f>
        <v/>
      </c>
      <c r="FU326">
        <f>IF(OR(FP$3="",FP$3&gt;TODAY()),"",IF(AND(FS326="",FT326=""),"",N(FT326)-N(FS326)))</f>
        <v/>
      </c>
      <c r="FY326">
        <f>IF(OR(FW$3="",FW$3&gt;TODAY()),"",IF(AND(FW326="",FX326=""),"",N(FX326)-N(FW326)))</f>
        <v/>
      </c>
      <c r="GB326">
        <f>IF(OR(FW$3="",FW$3&gt;TODAY()),"",IF(AND(FZ326="",GA326=""),"",N(GA326)-N(FZ326)))</f>
        <v/>
      </c>
      <c r="GF326">
        <f>IF(OR(GD$3="",GD$3&gt;TODAY()),"",IF(AND(GD326="",GE326=""),"",N(GE326)-N(GD326)))</f>
        <v/>
      </c>
      <c r="GI326">
        <f>IF(OR(GD$3="",GD$3&gt;TODAY()),"",IF(AND(GG326="",GH326=""),"",N(GH326)-N(GG326)))</f>
        <v/>
      </c>
      <c r="GM326">
        <f>IF(OR(GK$3="",GK$3&gt;TODAY()),"",IF(AND(GK326="",GL326=""),"",N(GL326)-N(GK326)))</f>
        <v/>
      </c>
      <c r="GP326">
        <f>IF(OR(GK$3="",GK$3&gt;TODAY()),"",IF(AND(GN326="",GO326=""),"",N(GO326)-N(GN326)))</f>
        <v/>
      </c>
      <c r="GT326">
        <f>IF(OR(GR$3="",GR$3&gt;TODAY()),"",IF(AND(GR326="",GS326=""),"",N(GS326)-N(GR326)))</f>
        <v/>
      </c>
      <c r="GW326">
        <f>IF(OR(GR$3="",GR$3&gt;TODAY()),"",IF(AND(GU326="",GV326=""),"",N(GV326)-N(GU326)))</f>
        <v/>
      </c>
      <c r="HA326">
        <f>IF(OR(GY$3="",GY$3&gt;TODAY()),"",IF(AND(GY326="",GZ326=""),"",N(GZ326)-N(GY326)))</f>
        <v/>
      </c>
      <c r="HD326">
        <f>IF(OR(GY$3="",GY$3&gt;TODAY()),"",IF(AND(HB326="",HC326=""),"",N(HC326)-N(HB326)))</f>
        <v/>
      </c>
      <c r="HH326">
        <f>IF(OR(HF$3="",HF$3&gt;TODAY()),"",IF(AND(HF326="",HG326=""),"",N(HG326)-N(HF326)))</f>
        <v/>
      </c>
      <c r="HK326">
        <f>IF(OR(HF$3="",HF$3&gt;TODAY()),"",IF(AND(HI326="",HJ326=""),"",N(HJ326)-N(HI326)))</f>
        <v/>
      </c>
      <c r="HO326">
        <f>IF(OR(HM$3="",HM$3&gt;TODAY()),"",IF(AND(HM326="",HN326=""),"",N(HN326)-N(HM326)))</f>
        <v/>
      </c>
      <c r="HR326">
        <f>IF(OR(HM$3="",HM$3&gt;TODAY()),"",IF(AND(HP326="",HQ326=""),"",N(HQ326)-N(HP326)))</f>
        <v/>
      </c>
      <c r="HV326">
        <f>IF(OR(HT$3="",HT$3&gt;TODAY()),"",IF(AND(HT326="",HU326=""),"",N(HU326)-N(HT326)))</f>
        <v/>
      </c>
      <c r="HY326">
        <f>IF(OR(HT$3="",HT$3&gt;TODAY()),"",IF(AND(HW326="",HX326=""),"",N(HX326)-N(HW326)))</f>
        <v/>
      </c>
      <c r="IC326">
        <f>IF(OR(IA$3="",IA$3&gt;TODAY()),"",IF(AND(IA326="",IB326=""),"",N(IB326)-N(IA326)))</f>
        <v/>
      </c>
      <c r="IF326">
        <f>IF(OR(IA$3="",IA$3&gt;TODAY()),"",IF(AND(ID326="",IE326=""),"",N(IE326)-N(ID326)))</f>
        <v/>
      </c>
      <c r="IJ326">
        <f>IF(OR(IH$3="",IH$3&gt;TODAY()),"",IF(AND(IH326="",II326=""),"",N(II326)-N(IH326)))</f>
        <v/>
      </c>
      <c r="IM326">
        <f>IF(OR(IH$3="",IH$3&gt;TODAY()),"",IF(AND(IK326="",IL326=""),"",N(IL326)-N(IK326)))</f>
        <v/>
      </c>
    </row>
    <row r="327">
      <c r="A327" s="21" t="n"/>
      <c r="B327" s="21" t="n"/>
      <c r="C327" s="21" t="n"/>
      <c r="D327" s="21" t="n"/>
      <c r="E327" s="21" t="n"/>
      <c r="F327" s="21" t="n"/>
      <c r="G327" s="21" t="n"/>
      <c r="H327" s="21" t="n"/>
      <c r="I327" s="22" t="n"/>
      <c r="J327" s="22" t="n"/>
      <c r="K327" s="23" t="n"/>
      <c r="L327" s="22" t="n"/>
      <c r="M327" s="22" t="n"/>
      <c r="N327" s="21" t="n"/>
      <c r="O327" s="23" t="n"/>
      <c r="P327" s="23" t="n"/>
      <c r="Q327" s="23" t="n"/>
      <c r="R327" s="23" t="n"/>
      <c r="S327" s="22" t="n"/>
      <c r="T327" s="23" t="n"/>
      <c r="U327" s="23" t="n"/>
      <c r="V327" s="24">
        <f>IF(J327&lt;&gt;"",J327,IF(I327&lt;&gt;"",I327,""))</f>
        <v/>
      </c>
      <c r="W327" s="25">
        <f>IF($E327="","",N(O327)+SUMIFS($AF327:$IN327,$AF$4:$IN$4,"SEW_ACT"))</f>
        <v/>
      </c>
      <c r="X327" s="25">
        <f>IF($E327="","",N(P327)+SUMIFS($AF327:$IN327,$AF$4:$IN$4,"WASH_ACT"))</f>
        <v/>
      </c>
      <c r="Y327" s="25">
        <f>IF($E327="","",W327-X327-N(T327)-N(U327))</f>
        <v/>
      </c>
      <c r="Z327" s="25">
        <f>IF($E327="","",IF(N(K327)-X327&lt;=0.02*N(K327),0,N(K327)-X327))</f>
        <v/>
      </c>
      <c r="AA327" s="24">
        <f>IF($E327="","",IF(S327&lt;&gt;"",S327,IF(N(O327)&gt;0,IF(L327&lt;&gt;"",L327,99999),IFERROR(1/(1/_xlfn.MINIFS($AF$3:$IN$3,$AF$4:$IN$4,"SEW_ACT",$AF327:$IN327,"&gt;0")),99999))))</f>
        <v/>
      </c>
      <c r="AB327" s="26">
        <f>IF(OR($E327="",Z327=0,V327=""),"",1+COUNTIFS(Z$8:Z$707,"&gt;0",V$8:V$707,"&lt;"&amp;V327)+COUNTIFS(Z$8:Z$707,"&gt;0",V$8:V$707,V327,AA$8:AA$707,"&lt;"&amp;AA327)+COUNTIFS(Z$8:Z$707,"&gt;0",V$8:V$707,V327,AA$8:AA$707,AA327,E$8:E$707,"&lt;"&amp;$E327))</f>
        <v/>
      </c>
      <c r="AC327" s="24">
        <f>IF(OR($E327="",Z327=0),"",IFERROR(TODAY()+ROUNDUP(Z327/(SUMIFS($AF327:$IN327,$AF$4:$IN$4,"WASH_ACT")/COUNTIFS($AF$4:$IN$4,"WASH_ACT",$AF327:$IN327,"&gt;0")),0),"no output yet"))</f>
        <v/>
      </c>
      <c r="AD327" s="26">
        <f>IF($E327="","",IFERROR(ROUND(MAX(0,SUMIFS($AF327:$IN327,$AF$4:$IN$4,"SEW_PLAN",$AF$3:$IN$3,"&lt;="&amp;TODAY())-SUMIFS($AF327:$IN327,$AF$4:$IN$4,"SEW_ACT",$AF$3:$IN$3,"&lt;="&amp;TODAY())+N(Q327))/(SUMIFS($AF327:$IN327,$AF$4:$IN$4,"SEW_PLAN")/COUNTIFS($AF$4:$IN$4,"SEW_PLAN",$AF327:$IN327,"&gt;0")),1),0))</f>
        <v/>
      </c>
      <c r="AE327" s="26">
        <f>IF($E327="","",IF(AND(Z327&gt;0,OR(AND(M327&lt;&gt;"",TODAY()&gt;M327),AND(V327&lt;&gt;"",V327-TODAY()&lt;=7))),"Yes","No"))</f>
        <v/>
      </c>
      <c r="AH327">
        <f>IF(OR(AF$3="",AF$3&gt;TODAY()),"",IF(AND(AF327="",AG327=""),"",N(AG327)-N(AF327)))</f>
        <v/>
      </c>
      <c r="AK327">
        <f>IF(OR(AF$3="",AF$3&gt;TODAY()),"",IF(AND(AI327="",AJ327=""),"",N(AJ327)-N(AI327)))</f>
        <v/>
      </c>
      <c r="AO327">
        <f>IF(OR(AM$3="",AM$3&gt;TODAY()),"",IF(AND(AM327="",AN327=""),"",N(AN327)-N(AM327)))</f>
        <v/>
      </c>
      <c r="AR327">
        <f>IF(OR(AM$3="",AM$3&gt;TODAY()),"",IF(AND(AP327="",AQ327=""),"",N(AQ327)-N(AP327)))</f>
        <v/>
      </c>
      <c r="AV327">
        <f>IF(OR(AT$3="",AT$3&gt;TODAY()),"",IF(AND(AT327="",AU327=""),"",N(AU327)-N(AT327)))</f>
        <v/>
      </c>
      <c r="AY327">
        <f>IF(OR(AT$3="",AT$3&gt;TODAY()),"",IF(AND(AW327="",AX327=""),"",N(AX327)-N(AW327)))</f>
        <v/>
      </c>
      <c r="BC327">
        <f>IF(OR(BA$3="",BA$3&gt;TODAY()),"",IF(AND(BA327="",BB327=""),"",N(BB327)-N(BA327)))</f>
        <v/>
      </c>
      <c r="BF327">
        <f>IF(OR(BA$3="",BA$3&gt;TODAY()),"",IF(AND(BD327="",BE327=""),"",N(BE327)-N(BD327)))</f>
        <v/>
      </c>
      <c r="BJ327">
        <f>IF(OR(BH$3="",BH$3&gt;TODAY()),"",IF(AND(BH327="",BI327=""),"",N(BI327)-N(BH327)))</f>
        <v/>
      </c>
      <c r="BM327">
        <f>IF(OR(BH$3="",BH$3&gt;TODAY()),"",IF(AND(BK327="",BL327=""),"",N(BL327)-N(BK327)))</f>
        <v/>
      </c>
      <c r="BQ327">
        <f>IF(OR(BO$3="",BO$3&gt;TODAY()),"",IF(AND(BO327="",BP327=""),"",N(BP327)-N(BO327)))</f>
        <v/>
      </c>
      <c r="BT327">
        <f>IF(OR(BO$3="",BO$3&gt;TODAY()),"",IF(AND(BR327="",BS327=""),"",N(BS327)-N(BR327)))</f>
        <v/>
      </c>
      <c r="BX327">
        <f>IF(OR(BV$3="",BV$3&gt;TODAY()),"",IF(AND(BV327="",BW327=""),"",N(BW327)-N(BV327)))</f>
        <v/>
      </c>
      <c r="CA327">
        <f>IF(OR(BV$3="",BV$3&gt;TODAY()),"",IF(AND(BY327="",BZ327=""),"",N(BZ327)-N(BY327)))</f>
        <v/>
      </c>
      <c r="CE327">
        <f>IF(OR(CC$3="",CC$3&gt;TODAY()),"",IF(AND(CC327="",CD327=""),"",N(CD327)-N(CC327)))</f>
        <v/>
      </c>
      <c r="CH327">
        <f>IF(OR(CC$3="",CC$3&gt;TODAY()),"",IF(AND(CF327="",CG327=""),"",N(CG327)-N(CF327)))</f>
        <v/>
      </c>
      <c r="CL327">
        <f>IF(OR(CJ$3="",CJ$3&gt;TODAY()),"",IF(AND(CJ327="",CK327=""),"",N(CK327)-N(CJ327)))</f>
        <v/>
      </c>
      <c r="CO327">
        <f>IF(OR(CJ$3="",CJ$3&gt;TODAY()),"",IF(AND(CM327="",CN327=""),"",N(CN327)-N(CM327)))</f>
        <v/>
      </c>
      <c r="CS327">
        <f>IF(OR(CQ$3="",CQ$3&gt;TODAY()),"",IF(AND(CQ327="",CR327=""),"",N(CR327)-N(CQ327)))</f>
        <v/>
      </c>
      <c r="CV327">
        <f>IF(OR(CQ$3="",CQ$3&gt;TODAY()),"",IF(AND(CT327="",CU327=""),"",N(CU327)-N(CT327)))</f>
        <v/>
      </c>
      <c r="CZ327">
        <f>IF(OR(CX$3="",CX$3&gt;TODAY()),"",IF(AND(CX327="",CY327=""),"",N(CY327)-N(CX327)))</f>
        <v/>
      </c>
      <c r="DC327">
        <f>IF(OR(CX$3="",CX$3&gt;TODAY()),"",IF(AND(DA327="",DB327=""),"",N(DB327)-N(DA327)))</f>
        <v/>
      </c>
      <c r="DG327">
        <f>IF(OR(DE$3="",DE$3&gt;TODAY()),"",IF(AND(DE327="",DF327=""),"",N(DF327)-N(DE327)))</f>
        <v/>
      </c>
      <c r="DJ327">
        <f>IF(OR(DE$3="",DE$3&gt;TODAY()),"",IF(AND(DH327="",DI327=""),"",N(DI327)-N(DH327)))</f>
        <v/>
      </c>
      <c r="DN327">
        <f>IF(OR(DL$3="",DL$3&gt;TODAY()),"",IF(AND(DL327="",DM327=""),"",N(DM327)-N(DL327)))</f>
        <v/>
      </c>
      <c r="DQ327">
        <f>IF(OR(DL$3="",DL$3&gt;TODAY()),"",IF(AND(DO327="",DP327=""),"",N(DP327)-N(DO327)))</f>
        <v/>
      </c>
      <c r="DU327">
        <f>IF(OR(DS$3="",DS$3&gt;TODAY()),"",IF(AND(DS327="",DT327=""),"",N(DT327)-N(DS327)))</f>
        <v/>
      </c>
      <c r="DX327">
        <f>IF(OR(DS$3="",DS$3&gt;TODAY()),"",IF(AND(DV327="",DW327=""),"",N(DW327)-N(DV327)))</f>
        <v/>
      </c>
      <c r="EB327">
        <f>IF(OR(DZ$3="",DZ$3&gt;TODAY()),"",IF(AND(DZ327="",EA327=""),"",N(EA327)-N(DZ327)))</f>
        <v/>
      </c>
      <c r="EE327">
        <f>IF(OR(DZ$3="",DZ$3&gt;TODAY()),"",IF(AND(EC327="",ED327=""),"",N(ED327)-N(EC327)))</f>
        <v/>
      </c>
      <c r="EI327">
        <f>IF(OR(EG$3="",EG$3&gt;TODAY()),"",IF(AND(EG327="",EH327=""),"",N(EH327)-N(EG327)))</f>
        <v/>
      </c>
      <c r="EL327">
        <f>IF(OR(EG$3="",EG$3&gt;TODAY()),"",IF(AND(EJ327="",EK327=""),"",N(EK327)-N(EJ327)))</f>
        <v/>
      </c>
      <c r="EP327">
        <f>IF(OR(EN$3="",EN$3&gt;TODAY()),"",IF(AND(EN327="",EO327=""),"",N(EO327)-N(EN327)))</f>
        <v/>
      </c>
      <c r="ES327">
        <f>IF(OR(EN$3="",EN$3&gt;TODAY()),"",IF(AND(EQ327="",ER327=""),"",N(ER327)-N(EQ327)))</f>
        <v/>
      </c>
      <c r="EW327">
        <f>IF(OR(EU$3="",EU$3&gt;TODAY()),"",IF(AND(EU327="",EV327=""),"",N(EV327)-N(EU327)))</f>
        <v/>
      </c>
      <c r="EZ327">
        <f>IF(OR(EU$3="",EU$3&gt;TODAY()),"",IF(AND(EX327="",EY327=""),"",N(EY327)-N(EX327)))</f>
        <v/>
      </c>
      <c r="FD327">
        <f>IF(OR(FB$3="",FB$3&gt;TODAY()),"",IF(AND(FB327="",FC327=""),"",N(FC327)-N(FB327)))</f>
        <v/>
      </c>
      <c r="FG327">
        <f>IF(OR(FB$3="",FB$3&gt;TODAY()),"",IF(AND(FE327="",FF327=""),"",N(FF327)-N(FE327)))</f>
        <v/>
      </c>
      <c r="FK327">
        <f>IF(OR(FI$3="",FI$3&gt;TODAY()),"",IF(AND(FI327="",FJ327=""),"",N(FJ327)-N(FI327)))</f>
        <v/>
      </c>
      <c r="FN327">
        <f>IF(OR(FI$3="",FI$3&gt;TODAY()),"",IF(AND(FL327="",FM327=""),"",N(FM327)-N(FL327)))</f>
        <v/>
      </c>
      <c r="FR327">
        <f>IF(OR(FP$3="",FP$3&gt;TODAY()),"",IF(AND(FP327="",FQ327=""),"",N(FQ327)-N(FP327)))</f>
        <v/>
      </c>
      <c r="FU327">
        <f>IF(OR(FP$3="",FP$3&gt;TODAY()),"",IF(AND(FS327="",FT327=""),"",N(FT327)-N(FS327)))</f>
        <v/>
      </c>
      <c r="FY327">
        <f>IF(OR(FW$3="",FW$3&gt;TODAY()),"",IF(AND(FW327="",FX327=""),"",N(FX327)-N(FW327)))</f>
        <v/>
      </c>
      <c r="GB327">
        <f>IF(OR(FW$3="",FW$3&gt;TODAY()),"",IF(AND(FZ327="",GA327=""),"",N(GA327)-N(FZ327)))</f>
        <v/>
      </c>
      <c r="GF327">
        <f>IF(OR(GD$3="",GD$3&gt;TODAY()),"",IF(AND(GD327="",GE327=""),"",N(GE327)-N(GD327)))</f>
        <v/>
      </c>
      <c r="GI327">
        <f>IF(OR(GD$3="",GD$3&gt;TODAY()),"",IF(AND(GG327="",GH327=""),"",N(GH327)-N(GG327)))</f>
        <v/>
      </c>
      <c r="GM327">
        <f>IF(OR(GK$3="",GK$3&gt;TODAY()),"",IF(AND(GK327="",GL327=""),"",N(GL327)-N(GK327)))</f>
        <v/>
      </c>
      <c r="GP327">
        <f>IF(OR(GK$3="",GK$3&gt;TODAY()),"",IF(AND(GN327="",GO327=""),"",N(GO327)-N(GN327)))</f>
        <v/>
      </c>
      <c r="GT327">
        <f>IF(OR(GR$3="",GR$3&gt;TODAY()),"",IF(AND(GR327="",GS327=""),"",N(GS327)-N(GR327)))</f>
        <v/>
      </c>
      <c r="GW327">
        <f>IF(OR(GR$3="",GR$3&gt;TODAY()),"",IF(AND(GU327="",GV327=""),"",N(GV327)-N(GU327)))</f>
        <v/>
      </c>
      <c r="HA327">
        <f>IF(OR(GY$3="",GY$3&gt;TODAY()),"",IF(AND(GY327="",GZ327=""),"",N(GZ327)-N(GY327)))</f>
        <v/>
      </c>
      <c r="HD327">
        <f>IF(OR(GY$3="",GY$3&gt;TODAY()),"",IF(AND(HB327="",HC327=""),"",N(HC327)-N(HB327)))</f>
        <v/>
      </c>
      <c r="HH327">
        <f>IF(OR(HF$3="",HF$3&gt;TODAY()),"",IF(AND(HF327="",HG327=""),"",N(HG327)-N(HF327)))</f>
        <v/>
      </c>
      <c r="HK327">
        <f>IF(OR(HF$3="",HF$3&gt;TODAY()),"",IF(AND(HI327="",HJ327=""),"",N(HJ327)-N(HI327)))</f>
        <v/>
      </c>
      <c r="HO327">
        <f>IF(OR(HM$3="",HM$3&gt;TODAY()),"",IF(AND(HM327="",HN327=""),"",N(HN327)-N(HM327)))</f>
        <v/>
      </c>
      <c r="HR327">
        <f>IF(OR(HM$3="",HM$3&gt;TODAY()),"",IF(AND(HP327="",HQ327=""),"",N(HQ327)-N(HP327)))</f>
        <v/>
      </c>
      <c r="HV327">
        <f>IF(OR(HT$3="",HT$3&gt;TODAY()),"",IF(AND(HT327="",HU327=""),"",N(HU327)-N(HT327)))</f>
        <v/>
      </c>
      <c r="HY327">
        <f>IF(OR(HT$3="",HT$3&gt;TODAY()),"",IF(AND(HW327="",HX327=""),"",N(HX327)-N(HW327)))</f>
        <v/>
      </c>
      <c r="IC327">
        <f>IF(OR(IA$3="",IA$3&gt;TODAY()),"",IF(AND(IA327="",IB327=""),"",N(IB327)-N(IA327)))</f>
        <v/>
      </c>
      <c r="IF327">
        <f>IF(OR(IA$3="",IA$3&gt;TODAY()),"",IF(AND(ID327="",IE327=""),"",N(IE327)-N(ID327)))</f>
        <v/>
      </c>
      <c r="IJ327">
        <f>IF(OR(IH$3="",IH$3&gt;TODAY()),"",IF(AND(IH327="",II327=""),"",N(II327)-N(IH327)))</f>
        <v/>
      </c>
      <c r="IM327">
        <f>IF(OR(IH$3="",IH$3&gt;TODAY()),"",IF(AND(IK327="",IL327=""),"",N(IL327)-N(IK327)))</f>
        <v/>
      </c>
    </row>
    <row r="328">
      <c r="A328" s="21" t="n"/>
      <c r="B328" s="21" t="n"/>
      <c r="C328" s="21" t="n"/>
      <c r="D328" s="21" t="n"/>
      <c r="E328" s="21" t="n"/>
      <c r="F328" s="21" t="n"/>
      <c r="G328" s="21" t="n"/>
      <c r="H328" s="21" t="n"/>
      <c r="I328" s="22" t="n"/>
      <c r="J328" s="22" t="n"/>
      <c r="K328" s="23" t="n"/>
      <c r="L328" s="22" t="n"/>
      <c r="M328" s="22" t="n"/>
      <c r="N328" s="21" t="n"/>
      <c r="O328" s="23" t="n"/>
      <c r="P328" s="23" t="n"/>
      <c r="Q328" s="23" t="n"/>
      <c r="R328" s="23" t="n"/>
      <c r="S328" s="22" t="n"/>
      <c r="T328" s="23" t="n"/>
      <c r="U328" s="23" t="n"/>
      <c r="V328" s="24">
        <f>IF(J328&lt;&gt;"",J328,IF(I328&lt;&gt;"",I328,""))</f>
        <v/>
      </c>
      <c r="W328" s="25">
        <f>IF($E328="","",N(O328)+SUMIFS($AF328:$IN328,$AF$4:$IN$4,"SEW_ACT"))</f>
        <v/>
      </c>
      <c r="X328" s="25">
        <f>IF($E328="","",N(P328)+SUMIFS($AF328:$IN328,$AF$4:$IN$4,"WASH_ACT"))</f>
        <v/>
      </c>
      <c r="Y328" s="25">
        <f>IF($E328="","",W328-X328-N(T328)-N(U328))</f>
        <v/>
      </c>
      <c r="Z328" s="25">
        <f>IF($E328="","",IF(N(K328)-X328&lt;=0.02*N(K328),0,N(K328)-X328))</f>
        <v/>
      </c>
      <c r="AA328" s="24">
        <f>IF($E328="","",IF(S328&lt;&gt;"",S328,IF(N(O328)&gt;0,IF(L328&lt;&gt;"",L328,99999),IFERROR(1/(1/_xlfn.MINIFS($AF$3:$IN$3,$AF$4:$IN$4,"SEW_ACT",$AF328:$IN328,"&gt;0")),99999))))</f>
        <v/>
      </c>
      <c r="AB328" s="26">
        <f>IF(OR($E328="",Z328=0,V328=""),"",1+COUNTIFS(Z$8:Z$707,"&gt;0",V$8:V$707,"&lt;"&amp;V328)+COUNTIFS(Z$8:Z$707,"&gt;0",V$8:V$707,V328,AA$8:AA$707,"&lt;"&amp;AA328)+COUNTIFS(Z$8:Z$707,"&gt;0",V$8:V$707,V328,AA$8:AA$707,AA328,E$8:E$707,"&lt;"&amp;$E328))</f>
        <v/>
      </c>
      <c r="AC328" s="24">
        <f>IF(OR($E328="",Z328=0),"",IFERROR(TODAY()+ROUNDUP(Z328/(SUMIFS($AF328:$IN328,$AF$4:$IN$4,"WASH_ACT")/COUNTIFS($AF$4:$IN$4,"WASH_ACT",$AF328:$IN328,"&gt;0")),0),"no output yet"))</f>
        <v/>
      </c>
      <c r="AD328" s="26">
        <f>IF($E328="","",IFERROR(ROUND(MAX(0,SUMIFS($AF328:$IN328,$AF$4:$IN$4,"SEW_PLAN",$AF$3:$IN$3,"&lt;="&amp;TODAY())-SUMIFS($AF328:$IN328,$AF$4:$IN$4,"SEW_ACT",$AF$3:$IN$3,"&lt;="&amp;TODAY())+N(Q328))/(SUMIFS($AF328:$IN328,$AF$4:$IN$4,"SEW_PLAN")/COUNTIFS($AF$4:$IN$4,"SEW_PLAN",$AF328:$IN328,"&gt;0")),1),0))</f>
        <v/>
      </c>
      <c r="AE328" s="26">
        <f>IF($E328="","",IF(AND(Z328&gt;0,OR(AND(M328&lt;&gt;"",TODAY()&gt;M328),AND(V328&lt;&gt;"",V328-TODAY()&lt;=7))),"Yes","No"))</f>
        <v/>
      </c>
      <c r="AH328">
        <f>IF(OR(AF$3="",AF$3&gt;TODAY()),"",IF(AND(AF328="",AG328=""),"",N(AG328)-N(AF328)))</f>
        <v/>
      </c>
      <c r="AK328">
        <f>IF(OR(AF$3="",AF$3&gt;TODAY()),"",IF(AND(AI328="",AJ328=""),"",N(AJ328)-N(AI328)))</f>
        <v/>
      </c>
      <c r="AO328">
        <f>IF(OR(AM$3="",AM$3&gt;TODAY()),"",IF(AND(AM328="",AN328=""),"",N(AN328)-N(AM328)))</f>
        <v/>
      </c>
      <c r="AR328">
        <f>IF(OR(AM$3="",AM$3&gt;TODAY()),"",IF(AND(AP328="",AQ328=""),"",N(AQ328)-N(AP328)))</f>
        <v/>
      </c>
      <c r="AV328">
        <f>IF(OR(AT$3="",AT$3&gt;TODAY()),"",IF(AND(AT328="",AU328=""),"",N(AU328)-N(AT328)))</f>
        <v/>
      </c>
      <c r="AY328">
        <f>IF(OR(AT$3="",AT$3&gt;TODAY()),"",IF(AND(AW328="",AX328=""),"",N(AX328)-N(AW328)))</f>
        <v/>
      </c>
      <c r="BC328">
        <f>IF(OR(BA$3="",BA$3&gt;TODAY()),"",IF(AND(BA328="",BB328=""),"",N(BB328)-N(BA328)))</f>
        <v/>
      </c>
      <c r="BF328">
        <f>IF(OR(BA$3="",BA$3&gt;TODAY()),"",IF(AND(BD328="",BE328=""),"",N(BE328)-N(BD328)))</f>
        <v/>
      </c>
      <c r="BJ328">
        <f>IF(OR(BH$3="",BH$3&gt;TODAY()),"",IF(AND(BH328="",BI328=""),"",N(BI328)-N(BH328)))</f>
        <v/>
      </c>
      <c r="BM328">
        <f>IF(OR(BH$3="",BH$3&gt;TODAY()),"",IF(AND(BK328="",BL328=""),"",N(BL328)-N(BK328)))</f>
        <v/>
      </c>
      <c r="BQ328">
        <f>IF(OR(BO$3="",BO$3&gt;TODAY()),"",IF(AND(BO328="",BP328=""),"",N(BP328)-N(BO328)))</f>
        <v/>
      </c>
      <c r="BT328">
        <f>IF(OR(BO$3="",BO$3&gt;TODAY()),"",IF(AND(BR328="",BS328=""),"",N(BS328)-N(BR328)))</f>
        <v/>
      </c>
      <c r="BX328">
        <f>IF(OR(BV$3="",BV$3&gt;TODAY()),"",IF(AND(BV328="",BW328=""),"",N(BW328)-N(BV328)))</f>
        <v/>
      </c>
      <c r="CA328">
        <f>IF(OR(BV$3="",BV$3&gt;TODAY()),"",IF(AND(BY328="",BZ328=""),"",N(BZ328)-N(BY328)))</f>
        <v/>
      </c>
      <c r="CE328">
        <f>IF(OR(CC$3="",CC$3&gt;TODAY()),"",IF(AND(CC328="",CD328=""),"",N(CD328)-N(CC328)))</f>
        <v/>
      </c>
      <c r="CH328">
        <f>IF(OR(CC$3="",CC$3&gt;TODAY()),"",IF(AND(CF328="",CG328=""),"",N(CG328)-N(CF328)))</f>
        <v/>
      </c>
      <c r="CL328">
        <f>IF(OR(CJ$3="",CJ$3&gt;TODAY()),"",IF(AND(CJ328="",CK328=""),"",N(CK328)-N(CJ328)))</f>
        <v/>
      </c>
      <c r="CO328">
        <f>IF(OR(CJ$3="",CJ$3&gt;TODAY()),"",IF(AND(CM328="",CN328=""),"",N(CN328)-N(CM328)))</f>
        <v/>
      </c>
      <c r="CS328">
        <f>IF(OR(CQ$3="",CQ$3&gt;TODAY()),"",IF(AND(CQ328="",CR328=""),"",N(CR328)-N(CQ328)))</f>
        <v/>
      </c>
      <c r="CV328">
        <f>IF(OR(CQ$3="",CQ$3&gt;TODAY()),"",IF(AND(CT328="",CU328=""),"",N(CU328)-N(CT328)))</f>
        <v/>
      </c>
      <c r="CZ328">
        <f>IF(OR(CX$3="",CX$3&gt;TODAY()),"",IF(AND(CX328="",CY328=""),"",N(CY328)-N(CX328)))</f>
        <v/>
      </c>
      <c r="DC328">
        <f>IF(OR(CX$3="",CX$3&gt;TODAY()),"",IF(AND(DA328="",DB328=""),"",N(DB328)-N(DA328)))</f>
        <v/>
      </c>
      <c r="DG328">
        <f>IF(OR(DE$3="",DE$3&gt;TODAY()),"",IF(AND(DE328="",DF328=""),"",N(DF328)-N(DE328)))</f>
        <v/>
      </c>
      <c r="DJ328">
        <f>IF(OR(DE$3="",DE$3&gt;TODAY()),"",IF(AND(DH328="",DI328=""),"",N(DI328)-N(DH328)))</f>
        <v/>
      </c>
      <c r="DN328">
        <f>IF(OR(DL$3="",DL$3&gt;TODAY()),"",IF(AND(DL328="",DM328=""),"",N(DM328)-N(DL328)))</f>
        <v/>
      </c>
      <c r="DQ328">
        <f>IF(OR(DL$3="",DL$3&gt;TODAY()),"",IF(AND(DO328="",DP328=""),"",N(DP328)-N(DO328)))</f>
        <v/>
      </c>
      <c r="DU328">
        <f>IF(OR(DS$3="",DS$3&gt;TODAY()),"",IF(AND(DS328="",DT328=""),"",N(DT328)-N(DS328)))</f>
        <v/>
      </c>
      <c r="DX328">
        <f>IF(OR(DS$3="",DS$3&gt;TODAY()),"",IF(AND(DV328="",DW328=""),"",N(DW328)-N(DV328)))</f>
        <v/>
      </c>
      <c r="EB328">
        <f>IF(OR(DZ$3="",DZ$3&gt;TODAY()),"",IF(AND(DZ328="",EA328=""),"",N(EA328)-N(DZ328)))</f>
        <v/>
      </c>
      <c r="EE328">
        <f>IF(OR(DZ$3="",DZ$3&gt;TODAY()),"",IF(AND(EC328="",ED328=""),"",N(ED328)-N(EC328)))</f>
        <v/>
      </c>
      <c r="EI328">
        <f>IF(OR(EG$3="",EG$3&gt;TODAY()),"",IF(AND(EG328="",EH328=""),"",N(EH328)-N(EG328)))</f>
        <v/>
      </c>
      <c r="EL328">
        <f>IF(OR(EG$3="",EG$3&gt;TODAY()),"",IF(AND(EJ328="",EK328=""),"",N(EK328)-N(EJ328)))</f>
        <v/>
      </c>
      <c r="EP328">
        <f>IF(OR(EN$3="",EN$3&gt;TODAY()),"",IF(AND(EN328="",EO328=""),"",N(EO328)-N(EN328)))</f>
        <v/>
      </c>
      <c r="ES328">
        <f>IF(OR(EN$3="",EN$3&gt;TODAY()),"",IF(AND(EQ328="",ER328=""),"",N(ER328)-N(EQ328)))</f>
        <v/>
      </c>
      <c r="EW328">
        <f>IF(OR(EU$3="",EU$3&gt;TODAY()),"",IF(AND(EU328="",EV328=""),"",N(EV328)-N(EU328)))</f>
        <v/>
      </c>
      <c r="EZ328">
        <f>IF(OR(EU$3="",EU$3&gt;TODAY()),"",IF(AND(EX328="",EY328=""),"",N(EY328)-N(EX328)))</f>
        <v/>
      </c>
      <c r="FD328">
        <f>IF(OR(FB$3="",FB$3&gt;TODAY()),"",IF(AND(FB328="",FC328=""),"",N(FC328)-N(FB328)))</f>
        <v/>
      </c>
      <c r="FG328">
        <f>IF(OR(FB$3="",FB$3&gt;TODAY()),"",IF(AND(FE328="",FF328=""),"",N(FF328)-N(FE328)))</f>
        <v/>
      </c>
      <c r="FK328">
        <f>IF(OR(FI$3="",FI$3&gt;TODAY()),"",IF(AND(FI328="",FJ328=""),"",N(FJ328)-N(FI328)))</f>
        <v/>
      </c>
      <c r="FN328">
        <f>IF(OR(FI$3="",FI$3&gt;TODAY()),"",IF(AND(FL328="",FM328=""),"",N(FM328)-N(FL328)))</f>
        <v/>
      </c>
      <c r="FR328">
        <f>IF(OR(FP$3="",FP$3&gt;TODAY()),"",IF(AND(FP328="",FQ328=""),"",N(FQ328)-N(FP328)))</f>
        <v/>
      </c>
      <c r="FU328">
        <f>IF(OR(FP$3="",FP$3&gt;TODAY()),"",IF(AND(FS328="",FT328=""),"",N(FT328)-N(FS328)))</f>
        <v/>
      </c>
      <c r="FY328">
        <f>IF(OR(FW$3="",FW$3&gt;TODAY()),"",IF(AND(FW328="",FX328=""),"",N(FX328)-N(FW328)))</f>
        <v/>
      </c>
      <c r="GB328">
        <f>IF(OR(FW$3="",FW$3&gt;TODAY()),"",IF(AND(FZ328="",GA328=""),"",N(GA328)-N(FZ328)))</f>
        <v/>
      </c>
      <c r="GF328">
        <f>IF(OR(GD$3="",GD$3&gt;TODAY()),"",IF(AND(GD328="",GE328=""),"",N(GE328)-N(GD328)))</f>
        <v/>
      </c>
      <c r="GI328">
        <f>IF(OR(GD$3="",GD$3&gt;TODAY()),"",IF(AND(GG328="",GH328=""),"",N(GH328)-N(GG328)))</f>
        <v/>
      </c>
      <c r="GM328">
        <f>IF(OR(GK$3="",GK$3&gt;TODAY()),"",IF(AND(GK328="",GL328=""),"",N(GL328)-N(GK328)))</f>
        <v/>
      </c>
      <c r="GP328">
        <f>IF(OR(GK$3="",GK$3&gt;TODAY()),"",IF(AND(GN328="",GO328=""),"",N(GO328)-N(GN328)))</f>
        <v/>
      </c>
      <c r="GT328">
        <f>IF(OR(GR$3="",GR$3&gt;TODAY()),"",IF(AND(GR328="",GS328=""),"",N(GS328)-N(GR328)))</f>
        <v/>
      </c>
      <c r="GW328">
        <f>IF(OR(GR$3="",GR$3&gt;TODAY()),"",IF(AND(GU328="",GV328=""),"",N(GV328)-N(GU328)))</f>
        <v/>
      </c>
      <c r="HA328">
        <f>IF(OR(GY$3="",GY$3&gt;TODAY()),"",IF(AND(GY328="",GZ328=""),"",N(GZ328)-N(GY328)))</f>
        <v/>
      </c>
      <c r="HD328">
        <f>IF(OR(GY$3="",GY$3&gt;TODAY()),"",IF(AND(HB328="",HC328=""),"",N(HC328)-N(HB328)))</f>
        <v/>
      </c>
      <c r="HH328">
        <f>IF(OR(HF$3="",HF$3&gt;TODAY()),"",IF(AND(HF328="",HG328=""),"",N(HG328)-N(HF328)))</f>
        <v/>
      </c>
      <c r="HK328">
        <f>IF(OR(HF$3="",HF$3&gt;TODAY()),"",IF(AND(HI328="",HJ328=""),"",N(HJ328)-N(HI328)))</f>
        <v/>
      </c>
      <c r="HO328">
        <f>IF(OR(HM$3="",HM$3&gt;TODAY()),"",IF(AND(HM328="",HN328=""),"",N(HN328)-N(HM328)))</f>
        <v/>
      </c>
      <c r="HR328">
        <f>IF(OR(HM$3="",HM$3&gt;TODAY()),"",IF(AND(HP328="",HQ328=""),"",N(HQ328)-N(HP328)))</f>
        <v/>
      </c>
      <c r="HV328">
        <f>IF(OR(HT$3="",HT$3&gt;TODAY()),"",IF(AND(HT328="",HU328=""),"",N(HU328)-N(HT328)))</f>
        <v/>
      </c>
      <c r="HY328">
        <f>IF(OR(HT$3="",HT$3&gt;TODAY()),"",IF(AND(HW328="",HX328=""),"",N(HX328)-N(HW328)))</f>
        <v/>
      </c>
      <c r="IC328">
        <f>IF(OR(IA$3="",IA$3&gt;TODAY()),"",IF(AND(IA328="",IB328=""),"",N(IB328)-N(IA328)))</f>
        <v/>
      </c>
      <c r="IF328">
        <f>IF(OR(IA$3="",IA$3&gt;TODAY()),"",IF(AND(ID328="",IE328=""),"",N(IE328)-N(ID328)))</f>
        <v/>
      </c>
      <c r="IJ328">
        <f>IF(OR(IH$3="",IH$3&gt;TODAY()),"",IF(AND(IH328="",II328=""),"",N(II328)-N(IH328)))</f>
        <v/>
      </c>
      <c r="IM328">
        <f>IF(OR(IH$3="",IH$3&gt;TODAY()),"",IF(AND(IK328="",IL328=""),"",N(IL328)-N(IK328)))</f>
        <v/>
      </c>
    </row>
    <row r="329">
      <c r="A329" s="21" t="n"/>
      <c r="B329" s="21" t="n"/>
      <c r="C329" s="21" t="n"/>
      <c r="D329" s="21" t="n"/>
      <c r="E329" s="21" t="n"/>
      <c r="F329" s="21" t="n"/>
      <c r="G329" s="21" t="n"/>
      <c r="H329" s="21" t="n"/>
      <c r="I329" s="22" t="n"/>
      <c r="J329" s="22" t="n"/>
      <c r="K329" s="23" t="n"/>
      <c r="L329" s="22" t="n"/>
      <c r="M329" s="22" t="n"/>
      <c r="N329" s="21" t="n"/>
      <c r="O329" s="23" t="n"/>
      <c r="P329" s="23" t="n"/>
      <c r="Q329" s="23" t="n"/>
      <c r="R329" s="23" t="n"/>
      <c r="S329" s="22" t="n"/>
      <c r="T329" s="23" t="n"/>
      <c r="U329" s="23" t="n"/>
      <c r="V329" s="24">
        <f>IF(J329&lt;&gt;"",J329,IF(I329&lt;&gt;"",I329,""))</f>
        <v/>
      </c>
      <c r="W329" s="25">
        <f>IF($E329="","",N(O329)+SUMIFS($AF329:$IN329,$AF$4:$IN$4,"SEW_ACT"))</f>
        <v/>
      </c>
      <c r="X329" s="25">
        <f>IF($E329="","",N(P329)+SUMIFS($AF329:$IN329,$AF$4:$IN$4,"WASH_ACT"))</f>
        <v/>
      </c>
      <c r="Y329" s="25">
        <f>IF($E329="","",W329-X329-N(T329)-N(U329))</f>
        <v/>
      </c>
      <c r="Z329" s="25">
        <f>IF($E329="","",IF(N(K329)-X329&lt;=0.02*N(K329),0,N(K329)-X329))</f>
        <v/>
      </c>
      <c r="AA329" s="24">
        <f>IF($E329="","",IF(S329&lt;&gt;"",S329,IF(N(O329)&gt;0,IF(L329&lt;&gt;"",L329,99999),IFERROR(1/(1/_xlfn.MINIFS($AF$3:$IN$3,$AF$4:$IN$4,"SEW_ACT",$AF329:$IN329,"&gt;0")),99999))))</f>
        <v/>
      </c>
      <c r="AB329" s="26">
        <f>IF(OR($E329="",Z329=0,V329=""),"",1+COUNTIFS(Z$8:Z$707,"&gt;0",V$8:V$707,"&lt;"&amp;V329)+COUNTIFS(Z$8:Z$707,"&gt;0",V$8:V$707,V329,AA$8:AA$707,"&lt;"&amp;AA329)+COUNTIFS(Z$8:Z$707,"&gt;0",V$8:V$707,V329,AA$8:AA$707,AA329,E$8:E$707,"&lt;"&amp;$E329))</f>
        <v/>
      </c>
      <c r="AC329" s="24">
        <f>IF(OR($E329="",Z329=0),"",IFERROR(TODAY()+ROUNDUP(Z329/(SUMIFS($AF329:$IN329,$AF$4:$IN$4,"WASH_ACT")/COUNTIFS($AF$4:$IN$4,"WASH_ACT",$AF329:$IN329,"&gt;0")),0),"no output yet"))</f>
        <v/>
      </c>
      <c r="AD329" s="26">
        <f>IF($E329="","",IFERROR(ROUND(MAX(0,SUMIFS($AF329:$IN329,$AF$4:$IN$4,"SEW_PLAN",$AF$3:$IN$3,"&lt;="&amp;TODAY())-SUMIFS($AF329:$IN329,$AF$4:$IN$4,"SEW_ACT",$AF$3:$IN$3,"&lt;="&amp;TODAY())+N(Q329))/(SUMIFS($AF329:$IN329,$AF$4:$IN$4,"SEW_PLAN")/COUNTIFS($AF$4:$IN$4,"SEW_PLAN",$AF329:$IN329,"&gt;0")),1),0))</f>
        <v/>
      </c>
      <c r="AE329" s="26">
        <f>IF($E329="","",IF(AND(Z329&gt;0,OR(AND(M329&lt;&gt;"",TODAY()&gt;M329),AND(V329&lt;&gt;"",V329-TODAY()&lt;=7))),"Yes","No"))</f>
        <v/>
      </c>
      <c r="AH329">
        <f>IF(OR(AF$3="",AF$3&gt;TODAY()),"",IF(AND(AF329="",AG329=""),"",N(AG329)-N(AF329)))</f>
        <v/>
      </c>
      <c r="AK329">
        <f>IF(OR(AF$3="",AF$3&gt;TODAY()),"",IF(AND(AI329="",AJ329=""),"",N(AJ329)-N(AI329)))</f>
        <v/>
      </c>
      <c r="AO329">
        <f>IF(OR(AM$3="",AM$3&gt;TODAY()),"",IF(AND(AM329="",AN329=""),"",N(AN329)-N(AM329)))</f>
        <v/>
      </c>
      <c r="AR329">
        <f>IF(OR(AM$3="",AM$3&gt;TODAY()),"",IF(AND(AP329="",AQ329=""),"",N(AQ329)-N(AP329)))</f>
        <v/>
      </c>
      <c r="AV329">
        <f>IF(OR(AT$3="",AT$3&gt;TODAY()),"",IF(AND(AT329="",AU329=""),"",N(AU329)-N(AT329)))</f>
        <v/>
      </c>
      <c r="AY329">
        <f>IF(OR(AT$3="",AT$3&gt;TODAY()),"",IF(AND(AW329="",AX329=""),"",N(AX329)-N(AW329)))</f>
        <v/>
      </c>
      <c r="BC329">
        <f>IF(OR(BA$3="",BA$3&gt;TODAY()),"",IF(AND(BA329="",BB329=""),"",N(BB329)-N(BA329)))</f>
        <v/>
      </c>
      <c r="BF329">
        <f>IF(OR(BA$3="",BA$3&gt;TODAY()),"",IF(AND(BD329="",BE329=""),"",N(BE329)-N(BD329)))</f>
        <v/>
      </c>
      <c r="BJ329">
        <f>IF(OR(BH$3="",BH$3&gt;TODAY()),"",IF(AND(BH329="",BI329=""),"",N(BI329)-N(BH329)))</f>
        <v/>
      </c>
      <c r="BM329">
        <f>IF(OR(BH$3="",BH$3&gt;TODAY()),"",IF(AND(BK329="",BL329=""),"",N(BL329)-N(BK329)))</f>
        <v/>
      </c>
      <c r="BQ329">
        <f>IF(OR(BO$3="",BO$3&gt;TODAY()),"",IF(AND(BO329="",BP329=""),"",N(BP329)-N(BO329)))</f>
        <v/>
      </c>
      <c r="BT329">
        <f>IF(OR(BO$3="",BO$3&gt;TODAY()),"",IF(AND(BR329="",BS329=""),"",N(BS329)-N(BR329)))</f>
        <v/>
      </c>
      <c r="BX329">
        <f>IF(OR(BV$3="",BV$3&gt;TODAY()),"",IF(AND(BV329="",BW329=""),"",N(BW329)-N(BV329)))</f>
        <v/>
      </c>
      <c r="CA329">
        <f>IF(OR(BV$3="",BV$3&gt;TODAY()),"",IF(AND(BY329="",BZ329=""),"",N(BZ329)-N(BY329)))</f>
        <v/>
      </c>
      <c r="CE329">
        <f>IF(OR(CC$3="",CC$3&gt;TODAY()),"",IF(AND(CC329="",CD329=""),"",N(CD329)-N(CC329)))</f>
        <v/>
      </c>
      <c r="CH329">
        <f>IF(OR(CC$3="",CC$3&gt;TODAY()),"",IF(AND(CF329="",CG329=""),"",N(CG329)-N(CF329)))</f>
        <v/>
      </c>
      <c r="CL329">
        <f>IF(OR(CJ$3="",CJ$3&gt;TODAY()),"",IF(AND(CJ329="",CK329=""),"",N(CK329)-N(CJ329)))</f>
        <v/>
      </c>
      <c r="CO329">
        <f>IF(OR(CJ$3="",CJ$3&gt;TODAY()),"",IF(AND(CM329="",CN329=""),"",N(CN329)-N(CM329)))</f>
        <v/>
      </c>
      <c r="CS329">
        <f>IF(OR(CQ$3="",CQ$3&gt;TODAY()),"",IF(AND(CQ329="",CR329=""),"",N(CR329)-N(CQ329)))</f>
        <v/>
      </c>
      <c r="CV329">
        <f>IF(OR(CQ$3="",CQ$3&gt;TODAY()),"",IF(AND(CT329="",CU329=""),"",N(CU329)-N(CT329)))</f>
        <v/>
      </c>
      <c r="CZ329">
        <f>IF(OR(CX$3="",CX$3&gt;TODAY()),"",IF(AND(CX329="",CY329=""),"",N(CY329)-N(CX329)))</f>
        <v/>
      </c>
      <c r="DC329">
        <f>IF(OR(CX$3="",CX$3&gt;TODAY()),"",IF(AND(DA329="",DB329=""),"",N(DB329)-N(DA329)))</f>
        <v/>
      </c>
      <c r="DG329">
        <f>IF(OR(DE$3="",DE$3&gt;TODAY()),"",IF(AND(DE329="",DF329=""),"",N(DF329)-N(DE329)))</f>
        <v/>
      </c>
      <c r="DJ329">
        <f>IF(OR(DE$3="",DE$3&gt;TODAY()),"",IF(AND(DH329="",DI329=""),"",N(DI329)-N(DH329)))</f>
        <v/>
      </c>
      <c r="DN329">
        <f>IF(OR(DL$3="",DL$3&gt;TODAY()),"",IF(AND(DL329="",DM329=""),"",N(DM329)-N(DL329)))</f>
        <v/>
      </c>
      <c r="DQ329">
        <f>IF(OR(DL$3="",DL$3&gt;TODAY()),"",IF(AND(DO329="",DP329=""),"",N(DP329)-N(DO329)))</f>
        <v/>
      </c>
      <c r="DU329">
        <f>IF(OR(DS$3="",DS$3&gt;TODAY()),"",IF(AND(DS329="",DT329=""),"",N(DT329)-N(DS329)))</f>
        <v/>
      </c>
      <c r="DX329">
        <f>IF(OR(DS$3="",DS$3&gt;TODAY()),"",IF(AND(DV329="",DW329=""),"",N(DW329)-N(DV329)))</f>
        <v/>
      </c>
      <c r="EB329">
        <f>IF(OR(DZ$3="",DZ$3&gt;TODAY()),"",IF(AND(DZ329="",EA329=""),"",N(EA329)-N(DZ329)))</f>
        <v/>
      </c>
      <c r="EE329">
        <f>IF(OR(DZ$3="",DZ$3&gt;TODAY()),"",IF(AND(EC329="",ED329=""),"",N(ED329)-N(EC329)))</f>
        <v/>
      </c>
      <c r="EI329">
        <f>IF(OR(EG$3="",EG$3&gt;TODAY()),"",IF(AND(EG329="",EH329=""),"",N(EH329)-N(EG329)))</f>
        <v/>
      </c>
      <c r="EL329">
        <f>IF(OR(EG$3="",EG$3&gt;TODAY()),"",IF(AND(EJ329="",EK329=""),"",N(EK329)-N(EJ329)))</f>
        <v/>
      </c>
      <c r="EP329">
        <f>IF(OR(EN$3="",EN$3&gt;TODAY()),"",IF(AND(EN329="",EO329=""),"",N(EO329)-N(EN329)))</f>
        <v/>
      </c>
      <c r="ES329">
        <f>IF(OR(EN$3="",EN$3&gt;TODAY()),"",IF(AND(EQ329="",ER329=""),"",N(ER329)-N(EQ329)))</f>
        <v/>
      </c>
      <c r="EW329">
        <f>IF(OR(EU$3="",EU$3&gt;TODAY()),"",IF(AND(EU329="",EV329=""),"",N(EV329)-N(EU329)))</f>
        <v/>
      </c>
      <c r="EZ329">
        <f>IF(OR(EU$3="",EU$3&gt;TODAY()),"",IF(AND(EX329="",EY329=""),"",N(EY329)-N(EX329)))</f>
        <v/>
      </c>
      <c r="FD329">
        <f>IF(OR(FB$3="",FB$3&gt;TODAY()),"",IF(AND(FB329="",FC329=""),"",N(FC329)-N(FB329)))</f>
        <v/>
      </c>
      <c r="FG329">
        <f>IF(OR(FB$3="",FB$3&gt;TODAY()),"",IF(AND(FE329="",FF329=""),"",N(FF329)-N(FE329)))</f>
        <v/>
      </c>
      <c r="FK329">
        <f>IF(OR(FI$3="",FI$3&gt;TODAY()),"",IF(AND(FI329="",FJ329=""),"",N(FJ329)-N(FI329)))</f>
        <v/>
      </c>
      <c r="FN329">
        <f>IF(OR(FI$3="",FI$3&gt;TODAY()),"",IF(AND(FL329="",FM329=""),"",N(FM329)-N(FL329)))</f>
        <v/>
      </c>
      <c r="FR329">
        <f>IF(OR(FP$3="",FP$3&gt;TODAY()),"",IF(AND(FP329="",FQ329=""),"",N(FQ329)-N(FP329)))</f>
        <v/>
      </c>
      <c r="FU329">
        <f>IF(OR(FP$3="",FP$3&gt;TODAY()),"",IF(AND(FS329="",FT329=""),"",N(FT329)-N(FS329)))</f>
        <v/>
      </c>
      <c r="FY329">
        <f>IF(OR(FW$3="",FW$3&gt;TODAY()),"",IF(AND(FW329="",FX329=""),"",N(FX329)-N(FW329)))</f>
        <v/>
      </c>
      <c r="GB329">
        <f>IF(OR(FW$3="",FW$3&gt;TODAY()),"",IF(AND(FZ329="",GA329=""),"",N(GA329)-N(FZ329)))</f>
        <v/>
      </c>
      <c r="GF329">
        <f>IF(OR(GD$3="",GD$3&gt;TODAY()),"",IF(AND(GD329="",GE329=""),"",N(GE329)-N(GD329)))</f>
        <v/>
      </c>
      <c r="GI329">
        <f>IF(OR(GD$3="",GD$3&gt;TODAY()),"",IF(AND(GG329="",GH329=""),"",N(GH329)-N(GG329)))</f>
        <v/>
      </c>
      <c r="GM329">
        <f>IF(OR(GK$3="",GK$3&gt;TODAY()),"",IF(AND(GK329="",GL329=""),"",N(GL329)-N(GK329)))</f>
        <v/>
      </c>
      <c r="GP329">
        <f>IF(OR(GK$3="",GK$3&gt;TODAY()),"",IF(AND(GN329="",GO329=""),"",N(GO329)-N(GN329)))</f>
        <v/>
      </c>
      <c r="GT329">
        <f>IF(OR(GR$3="",GR$3&gt;TODAY()),"",IF(AND(GR329="",GS329=""),"",N(GS329)-N(GR329)))</f>
        <v/>
      </c>
      <c r="GW329">
        <f>IF(OR(GR$3="",GR$3&gt;TODAY()),"",IF(AND(GU329="",GV329=""),"",N(GV329)-N(GU329)))</f>
        <v/>
      </c>
      <c r="HA329">
        <f>IF(OR(GY$3="",GY$3&gt;TODAY()),"",IF(AND(GY329="",GZ329=""),"",N(GZ329)-N(GY329)))</f>
        <v/>
      </c>
      <c r="HD329">
        <f>IF(OR(GY$3="",GY$3&gt;TODAY()),"",IF(AND(HB329="",HC329=""),"",N(HC329)-N(HB329)))</f>
        <v/>
      </c>
      <c r="HH329">
        <f>IF(OR(HF$3="",HF$3&gt;TODAY()),"",IF(AND(HF329="",HG329=""),"",N(HG329)-N(HF329)))</f>
        <v/>
      </c>
      <c r="HK329">
        <f>IF(OR(HF$3="",HF$3&gt;TODAY()),"",IF(AND(HI329="",HJ329=""),"",N(HJ329)-N(HI329)))</f>
        <v/>
      </c>
      <c r="HO329">
        <f>IF(OR(HM$3="",HM$3&gt;TODAY()),"",IF(AND(HM329="",HN329=""),"",N(HN329)-N(HM329)))</f>
        <v/>
      </c>
      <c r="HR329">
        <f>IF(OR(HM$3="",HM$3&gt;TODAY()),"",IF(AND(HP329="",HQ329=""),"",N(HQ329)-N(HP329)))</f>
        <v/>
      </c>
      <c r="HV329">
        <f>IF(OR(HT$3="",HT$3&gt;TODAY()),"",IF(AND(HT329="",HU329=""),"",N(HU329)-N(HT329)))</f>
        <v/>
      </c>
      <c r="HY329">
        <f>IF(OR(HT$3="",HT$3&gt;TODAY()),"",IF(AND(HW329="",HX329=""),"",N(HX329)-N(HW329)))</f>
        <v/>
      </c>
      <c r="IC329">
        <f>IF(OR(IA$3="",IA$3&gt;TODAY()),"",IF(AND(IA329="",IB329=""),"",N(IB329)-N(IA329)))</f>
        <v/>
      </c>
      <c r="IF329">
        <f>IF(OR(IA$3="",IA$3&gt;TODAY()),"",IF(AND(ID329="",IE329=""),"",N(IE329)-N(ID329)))</f>
        <v/>
      </c>
      <c r="IJ329">
        <f>IF(OR(IH$3="",IH$3&gt;TODAY()),"",IF(AND(IH329="",II329=""),"",N(II329)-N(IH329)))</f>
        <v/>
      </c>
      <c r="IM329">
        <f>IF(OR(IH$3="",IH$3&gt;TODAY()),"",IF(AND(IK329="",IL329=""),"",N(IL329)-N(IK329)))</f>
        <v/>
      </c>
    </row>
    <row r="330">
      <c r="A330" s="21" t="n"/>
      <c r="B330" s="21" t="n"/>
      <c r="C330" s="21" t="n"/>
      <c r="D330" s="21" t="n"/>
      <c r="E330" s="21" t="n"/>
      <c r="F330" s="21" t="n"/>
      <c r="G330" s="21" t="n"/>
      <c r="H330" s="21" t="n"/>
      <c r="I330" s="22" t="n"/>
      <c r="J330" s="22" t="n"/>
      <c r="K330" s="23" t="n"/>
      <c r="L330" s="22" t="n"/>
      <c r="M330" s="22" t="n"/>
      <c r="N330" s="21" t="n"/>
      <c r="O330" s="23" t="n"/>
      <c r="P330" s="23" t="n"/>
      <c r="Q330" s="23" t="n"/>
      <c r="R330" s="23" t="n"/>
      <c r="S330" s="22" t="n"/>
      <c r="T330" s="23" t="n"/>
      <c r="U330" s="23" t="n"/>
      <c r="V330" s="24">
        <f>IF(J330&lt;&gt;"",J330,IF(I330&lt;&gt;"",I330,""))</f>
        <v/>
      </c>
      <c r="W330" s="25">
        <f>IF($E330="","",N(O330)+SUMIFS($AF330:$IN330,$AF$4:$IN$4,"SEW_ACT"))</f>
        <v/>
      </c>
      <c r="X330" s="25">
        <f>IF($E330="","",N(P330)+SUMIFS($AF330:$IN330,$AF$4:$IN$4,"WASH_ACT"))</f>
        <v/>
      </c>
      <c r="Y330" s="25">
        <f>IF($E330="","",W330-X330-N(T330)-N(U330))</f>
        <v/>
      </c>
      <c r="Z330" s="25">
        <f>IF($E330="","",IF(N(K330)-X330&lt;=0.02*N(K330),0,N(K330)-X330))</f>
        <v/>
      </c>
      <c r="AA330" s="24">
        <f>IF($E330="","",IF(S330&lt;&gt;"",S330,IF(N(O330)&gt;0,IF(L330&lt;&gt;"",L330,99999),IFERROR(1/(1/_xlfn.MINIFS($AF$3:$IN$3,$AF$4:$IN$4,"SEW_ACT",$AF330:$IN330,"&gt;0")),99999))))</f>
        <v/>
      </c>
      <c r="AB330" s="26">
        <f>IF(OR($E330="",Z330=0,V330=""),"",1+COUNTIFS(Z$8:Z$707,"&gt;0",V$8:V$707,"&lt;"&amp;V330)+COUNTIFS(Z$8:Z$707,"&gt;0",V$8:V$707,V330,AA$8:AA$707,"&lt;"&amp;AA330)+COUNTIFS(Z$8:Z$707,"&gt;0",V$8:V$707,V330,AA$8:AA$707,AA330,E$8:E$707,"&lt;"&amp;$E330))</f>
        <v/>
      </c>
      <c r="AC330" s="24">
        <f>IF(OR($E330="",Z330=0),"",IFERROR(TODAY()+ROUNDUP(Z330/(SUMIFS($AF330:$IN330,$AF$4:$IN$4,"WASH_ACT")/COUNTIFS($AF$4:$IN$4,"WASH_ACT",$AF330:$IN330,"&gt;0")),0),"no output yet"))</f>
        <v/>
      </c>
      <c r="AD330" s="26">
        <f>IF($E330="","",IFERROR(ROUND(MAX(0,SUMIFS($AF330:$IN330,$AF$4:$IN$4,"SEW_PLAN",$AF$3:$IN$3,"&lt;="&amp;TODAY())-SUMIFS($AF330:$IN330,$AF$4:$IN$4,"SEW_ACT",$AF$3:$IN$3,"&lt;="&amp;TODAY())+N(Q330))/(SUMIFS($AF330:$IN330,$AF$4:$IN$4,"SEW_PLAN")/COUNTIFS($AF$4:$IN$4,"SEW_PLAN",$AF330:$IN330,"&gt;0")),1),0))</f>
        <v/>
      </c>
      <c r="AE330" s="26">
        <f>IF($E330="","",IF(AND(Z330&gt;0,OR(AND(M330&lt;&gt;"",TODAY()&gt;M330),AND(V330&lt;&gt;"",V330-TODAY()&lt;=7))),"Yes","No"))</f>
        <v/>
      </c>
      <c r="AH330">
        <f>IF(OR(AF$3="",AF$3&gt;TODAY()),"",IF(AND(AF330="",AG330=""),"",N(AG330)-N(AF330)))</f>
        <v/>
      </c>
      <c r="AK330">
        <f>IF(OR(AF$3="",AF$3&gt;TODAY()),"",IF(AND(AI330="",AJ330=""),"",N(AJ330)-N(AI330)))</f>
        <v/>
      </c>
      <c r="AO330">
        <f>IF(OR(AM$3="",AM$3&gt;TODAY()),"",IF(AND(AM330="",AN330=""),"",N(AN330)-N(AM330)))</f>
        <v/>
      </c>
      <c r="AR330">
        <f>IF(OR(AM$3="",AM$3&gt;TODAY()),"",IF(AND(AP330="",AQ330=""),"",N(AQ330)-N(AP330)))</f>
        <v/>
      </c>
      <c r="AV330">
        <f>IF(OR(AT$3="",AT$3&gt;TODAY()),"",IF(AND(AT330="",AU330=""),"",N(AU330)-N(AT330)))</f>
        <v/>
      </c>
      <c r="AY330">
        <f>IF(OR(AT$3="",AT$3&gt;TODAY()),"",IF(AND(AW330="",AX330=""),"",N(AX330)-N(AW330)))</f>
        <v/>
      </c>
      <c r="BC330">
        <f>IF(OR(BA$3="",BA$3&gt;TODAY()),"",IF(AND(BA330="",BB330=""),"",N(BB330)-N(BA330)))</f>
        <v/>
      </c>
      <c r="BF330">
        <f>IF(OR(BA$3="",BA$3&gt;TODAY()),"",IF(AND(BD330="",BE330=""),"",N(BE330)-N(BD330)))</f>
        <v/>
      </c>
      <c r="BJ330">
        <f>IF(OR(BH$3="",BH$3&gt;TODAY()),"",IF(AND(BH330="",BI330=""),"",N(BI330)-N(BH330)))</f>
        <v/>
      </c>
      <c r="BM330">
        <f>IF(OR(BH$3="",BH$3&gt;TODAY()),"",IF(AND(BK330="",BL330=""),"",N(BL330)-N(BK330)))</f>
        <v/>
      </c>
      <c r="BQ330">
        <f>IF(OR(BO$3="",BO$3&gt;TODAY()),"",IF(AND(BO330="",BP330=""),"",N(BP330)-N(BO330)))</f>
        <v/>
      </c>
      <c r="BT330">
        <f>IF(OR(BO$3="",BO$3&gt;TODAY()),"",IF(AND(BR330="",BS330=""),"",N(BS330)-N(BR330)))</f>
        <v/>
      </c>
      <c r="BX330">
        <f>IF(OR(BV$3="",BV$3&gt;TODAY()),"",IF(AND(BV330="",BW330=""),"",N(BW330)-N(BV330)))</f>
        <v/>
      </c>
      <c r="CA330">
        <f>IF(OR(BV$3="",BV$3&gt;TODAY()),"",IF(AND(BY330="",BZ330=""),"",N(BZ330)-N(BY330)))</f>
        <v/>
      </c>
      <c r="CE330">
        <f>IF(OR(CC$3="",CC$3&gt;TODAY()),"",IF(AND(CC330="",CD330=""),"",N(CD330)-N(CC330)))</f>
        <v/>
      </c>
      <c r="CH330">
        <f>IF(OR(CC$3="",CC$3&gt;TODAY()),"",IF(AND(CF330="",CG330=""),"",N(CG330)-N(CF330)))</f>
        <v/>
      </c>
      <c r="CL330">
        <f>IF(OR(CJ$3="",CJ$3&gt;TODAY()),"",IF(AND(CJ330="",CK330=""),"",N(CK330)-N(CJ330)))</f>
        <v/>
      </c>
      <c r="CO330">
        <f>IF(OR(CJ$3="",CJ$3&gt;TODAY()),"",IF(AND(CM330="",CN330=""),"",N(CN330)-N(CM330)))</f>
        <v/>
      </c>
      <c r="CS330">
        <f>IF(OR(CQ$3="",CQ$3&gt;TODAY()),"",IF(AND(CQ330="",CR330=""),"",N(CR330)-N(CQ330)))</f>
        <v/>
      </c>
      <c r="CV330">
        <f>IF(OR(CQ$3="",CQ$3&gt;TODAY()),"",IF(AND(CT330="",CU330=""),"",N(CU330)-N(CT330)))</f>
        <v/>
      </c>
      <c r="CZ330">
        <f>IF(OR(CX$3="",CX$3&gt;TODAY()),"",IF(AND(CX330="",CY330=""),"",N(CY330)-N(CX330)))</f>
        <v/>
      </c>
      <c r="DC330">
        <f>IF(OR(CX$3="",CX$3&gt;TODAY()),"",IF(AND(DA330="",DB330=""),"",N(DB330)-N(DA330)))</f>
        <v/>
      </c>
      <c r="DG330">
        <f>IF(OR(DE$3="",DE$3&gt;TODAY()),"",IF(AND(DE330="",DF330=""),"",N(DF330)-N(DE330)))</f>
        <v/>
      </c>
      <c r="DJ330">
        <f>IF(OR(DE$3="",DE$3&gt;TODAY()),"",IF(AND(DH330="",DI330=""),"",N(DI330)-N(DH330)))</f>
        <v/>
      </c>
      <c r="DN330">
        <f>IF(OR(DL$3="",DL$3&gt;TODAY()),"",IF(AND(DL330="",DM330=""),"",N(DM330)-N(DL330)))</f>
        <v/>
      </c>
      <c r="DQ330">
        <f>IF(OR(DL$3="",DL$3&gt;TODAY()),"",IF(AND(DO330="",DP330=""),"",N(DP330)-N(DO330)))</f>
        <v/>
      </c>
      <c r="DU330">
        <f>IF(OR(DS$3="",DS$3&gt;TODAY()),"",IF(AND(DS330="",DT330=""),"",N(DT330)-N(DS330)))</f>
        <v/>
      </c>
      <c r="DX330">
        <f>IF(OR(DS$3="",DS$3&gt;TODAY()),"",IF(AND(DV330="",DW330=""),"",N(DW330)-N(DV330)))</f>
        <v/>
      </c>
      <c r="EB330">
        <f>IF(OR(DZ$3="",DZ$3&gt;TODAY()),"",IF(AND(DZ330="",EA330=""),"",N(EA330)-N(DZ330)))</f>
        <v/>
      </c>
      <c r="EE330">
        <f>IF(OR(DZ$3="",DZ$3&gt;TODAY()),"",IF(AND(EC330="",ED330=""),"",N(ED330)-N(EC330)))</f>
        <v/>
      </c>
      <c r="EI330">
        <f>IF(OR(EG$3="",EG$3&gt;TODAY()),"",IF(AND(EG330="",EH330=""),"",N(EH330)-N(EG330)))</f>
        <v/>
      </c>
      <c r="EL330">
        <f>IF(OR(EG$3="",EG$3&gt;TODAY()),"",IF(AND(EJ330="",EK330=""),"",N(EK330)-N(EJ330)))</f>
        <v/>
      </c>
      <c r="EP330">
        <f>IF(OR(EN$3="",EN$3&gt;TODAY()),"",IF(AND(EN330="",EO330=""),"",N(EO330)-N(EN330)))</f>
        <v/>
      </c>
      <c r="ES330">
        <f>IF(OR(EN$3="",EN$3&gt;TODAY()),"",IF(AND(EQ330="",ER330=""),"",N(ER330)-N(EQ330)))</f>
        <v/>
      </c>
      <c r="EW330">
        <f>IF(OR(EU$3="",EU$3&gt;TODAY()),"",IF(AND(EU330="",EV330=""),"",N(EV330)-N(EU330)))</f>
        <v/>
      </c>
      <c r="EZ330">
        <f>IF(OR(EU$3="",EU$3&gt;TODAY()),"",IF(AND(EX330="",EY330=""),"",N(EY330)-N(EX330)))</f>
        <v/>
      </c>
      <c r="FD330">
        <f>IF(OR(FB$3="",FB$3&gt;TODAY()),"",IF(AND(FB330="",FC330=""),"",N(FC330)-N(FB330)))</f>
        <v/>
      </c>
      <c r="FG330">
        <f>IF(OR(FB$3="",FB$3&gt;TODAY()),"",IF(AND(FE330="",FF330=""),"",N(FF330)-N(FE330)))</f>
        <v/>
      </c>
      <c r="FK330">
        <f>IF(OR(FI$3="",FI$3&gt;TODAY()),"",IF(AND(FI330="",FJ330=""),"",N(FJ330)-N(FI330)))</f>
        <v/>
      </c>
      <c r="FN330">
        <f>IF(OR(FI$3="",FI$3&gt;TODAY()),"",IF(AND(FL330="",FM330=""),"",N(FM330)-N(FL330)))</f>
        <v/>
      </c>
      <c r="FR330">
        <f>IF(OR(FP$3="",FP$3&gt;TODAY()),"",IF(AND(FP330="",FQ330=""),"",N(FQ330)-N(FP330)))</f>
        <v/>
      </c>
      <c r="FU330">
        <f>IF(OR(FP$3="",FP$3&gt;TODAY()),"",IF(AND(FS330="",FT330=""),"",N(FT330)-N(FS330)))</f>
        <v/>
      </c>
      <c r="FY330">
        <f>IF(OR(FW$3="",FW$3&gt;TODAY()),"",IF(AND(FW330="",FX330=""),"",N(FX330)-N(FW330)))</f>
        <v/>
      </c>
      <c r="GB330">
        <f>IF(OR(FW$3="",FW$3&gt;TODAY()),"",IF(AND(FZ330="",GA330=""),"",N(GA330)-N(FZ330)))</f>
        <v/>
      </c>
      <c r="GF330">
        <f>IF(OR(GD$3="",GD$3&gt;TODAY()),"",IF(AND(GD330="",GE330=""),"",N(GE330)-N(GD330)))</f>
        <v/>
      </c>
      <c r="GI330">
        <f>IF(OR(GD$3="",GD$3&gt;TODAY()),"",IF(AND(GG330="",GH330=""),"",N(GH330)-N(GG330)))</f>
        <v/>
      </c>
      <c r="GM330">
        <f>IF(OR(GK$3="",GK$3&gt;TODAY()),"",IF(AND(GK330="",GL330=""),"",N(GL330)-N(GK330)))</f>
        <v/>
      </c>
      <c r="GP330">
        <f>IF(OR(GK$3="",GK$3&gt;TODAY()),"",IF(AND(GN330="",GO330=""),"",N(GO330)-N(GN330)))</f>
        <v/>
      </c>
      <c r="GT330">
        <f>IF(OR(GR$3="",GR$3&gt;TODAY()),"",IF(AND(GR330="",GS330=""),"",N(GS330)-N(GR330)))</f>
        <v/>
      </c>
      <c r="GW330">
        <f>IF(OR(GR$3="",GR$3&gt;TODAY()),"",IF(AND(GU330="",GV330=""),"",N(GV330)-N(GU330)))</f>
        <v/>
      </c>
      <c r="HA330">
        <f>IF(OR(GY$3="",GY$3&gt;TODAY()),"",IF(AND(GY330="",GZ330=""),"",N(GZ330)-N(GY330)))</f>
        <v/>
      </c>
      <c r="HD330">
        <f>IF(OR(GY$3="",GY$3&gt;TODAY()),"",IF(AND(HB330="",HC330=""),"",N(HC330)-N(HB330)))</f>
        <v/>
      </c>
      <c r="HH330">
        <f>IF(OR(HF$3="",HF$3&gt;TODAY()),"",IF(AND(HF330="",HG330=""),"",N(HG330)-N(HF330)))</f>
        <v/>
      </c>
      <c r="HK330">
        <f>IF(OR(HF$3="",HF$3&gt;TODAY()),"",IF(AND(HI330="",HJ330=""),"",N(HJ330)-N(HI330)))</f>
        <v/>
      </c>
      <c r="HO330">
        <f>IF(OR(HM$3="",HM$3&gt;TODAY()),"",IF(AND(HM330="",HN330=""),"",N(HN330)-N(HM330)))</f>
        <v/>
      </c>
      <c r="HR330">
        <f>IF(OR(HM$3="",HM$3&gt;TODAY()),"",IF(AND(HP330="",HQ330=""),"",N(HQ330)-N(HP330)))</f>
        <v/>
      </c>
      <c r="HV330">
        <f>IF(OR(HT$3="",HT$3&gt;TODAY()),"",IF(AND(HT330="",HU330=""),"",N(HU330)-N(HT330)))</f>
        <v/>
      </c>
      <c r="HY330">
        <f>IF(OR(HT$3="",HT$3&gt;TODAY()),"",IF(AND(HW330="",HX330=""),"",N(HX330)-N(HW330)))</f>
        <v/>
      </c>
      <c r="IC330">
        <f>IF(OR(IA$3="",IA$3&gt;TODAY()),"",IF(AND(IA330="",IB330=""),"",N(IB330)-N(IA330)))</f>
        <v/>
      </c>
      <c r="IF330">
        <f>IF(OR(IA$3="",IA$3&gt;TODAY()),"",IF(AND(ID330="",IE330=""),"",N(IE330)-N(ID330)))</f>
        <v/>
      </c>
      <c r="IJ330">
        <f>IF(OR(IH$3="",IH$3&gt;TODAY()),"",IF(AND(IH330="",II330=""),"",N(II330)-N(IH330)))</f>
        <v/>
      </c>
      <c r="IM330">
        <f>IF(OR(IH$3="",IH$3&gt;TODAY()),"",IF(AND(IK330="",IL330=""),"",N(IL330)-N(IK330)))</f>
        <v/>
      </c>
    </row>
    <row r="331">
      <c r="A331" s="21" t="n"/>
      <c r="B331" s="21" t="n"/>
      <c r="C331" s="21" t="n"/>
      <c r="D331" s="21" t="n"/>
      <c r="E331" s="21" t="n"/>
      <c r="F331" s="21" t="n"/>
      <c r="G331" s="21" t="n"/>
      <c r="H331" s="21" t="n"/>
      <c r="I331" s="22" t="n"/>
      <c r="J331" s="22" t="n"/>
      <c r="K331" s="23" t="n"/>
      <c r="L331" s="22" t="n"/>
      <c r="M331" s="22" t="n"/>
      <c r="N331" s="21" t="n"/>
      <c r="O331" s="23" t="n"/>
      <c r="P331" s="23" t="n"/>
      <c r="Q331" s="23" t="n"/>
      <c r="R331" s="23" t="n"/>
      <c r="S331" s="22" t="n"/>
      <c r="T331" s="23" t="n"/>
      <c r="U331" s="23" t="n"/>
      <c r="V331" s="24">
        <f>IF(J331&lt;&gt;"",J331,IF(I331&lt;&gt;"",I331,""))</f>
        <v/>
      </c>
      <c r="W331" s="25">
        <f>IF($E331="","",N(O331)+SUMIFS($AF331:$IN331,$AF$4:$IN$4,"SEW_ACT"))</f>
        <v/>
      </c>
      <c r="X331" s="25">
        <f>IF($E331="","",N(P331)+SUMIFS($AF331:$IN331,$AF$4:$IN$4,"WASH_ACT"))</f>
        <v/>
      </c>
      <c r="Y331" s="25">
        <f>IF($E331="","",W331-X331-N(T331)-N(U331))</f>
        <v/>
      </c>
      <c r="Z331" s="25">
        <f>IF($E331="","",IF(N(K331)-X331&lt;=0.02*N(K331),0,N(K331)-X331))</f>
        <v/>
      </c>
      <c r="AA331" s="24">
        <f>IF($E331="","",IF(S331&lt;&gt;"",S331,IF(N(O331)&gt;0,IF(L331&lt;&gt;"",L331,99999),IFERROR(1/(1/_xlfn.MINIFS($AF$3:$IN$3,$AF$4:$IN$4,"SEW_ACT",$AF331:$IN331,"&gt;0")),99999))))</f>
        <v/>
      </c>
      <c r="AB331" s="26">
        <f>IF(OR($E331="",Z331=0,V331=""),"",1+COUNTIFS(Z$8:Z$707,"&gt;0",V$8:V$707,"&lt;"&amp;V331)+COUNTIFS(Z$8:Z$707,"&gt;0",V$8:V$707,V331,AA$8:AA$707,"&lt;"&amp;AA331)+COUNTIFS(Z$8:Z$707,"&gt;0",V$8:V$707,V331,AA$8:AA$707,AA331,E$8:E$707,"&lt;"&amp;$E331))</f>
        <v/>
      </c>
      <c r="AC331" s="24">
        <f>IF(OR($E331="",Z331=0),"",IFERROR(TODAY()+ROUNDUP(Z331/(SUMIFS($AF331:$IN331,$AF$4:$IN$4,"WASH_ACT")/COUNTIFS($AF$4:$IN$4,"WASH_ACT",$AF331:$IN331,"&gt;0")),0),"no output yet"))</f>
        <v/>
      </c>
      <c r="AD331" s="26">
        <f>IF($E331="","",IFERROR(ROUND(MAX(0,SUMIFS($AF331:$IN331,$AF$4:$IN$4,"SEW_PLAN",$AF$3:$IN$3,"&lt;="&amp;TODAY())-SUMIFS($AF331:$IN331,$AF$4:$IN$4,"SEW_ACT",$AF$3:$IN$3,"&lt;="&amp;TODAY())+N(Q331))/(SUMIFS($AF331:$IN331,$AF$4:$IN$4,"SEW_PLAN")/COUNTIFS($AF$4:$IN$4,"SEW_PLAN",$AF331:$IN331,"&gt;0")),1),0))</f>
        <v/>
      </c>
      <c r="AE331" s="26">
        <f>IF($E331="","",IF(AND(Z331&gt;0,OR(AND(M331&lt;&gt;"",TODAY()&gt;M331),AND(V331&lt;&gt;"",V331-TODAY()&lt;=7))),"Yes","No"))</f>
        <v/>
      </c>
      <c r="AH331">
        <f>IF(OR(AF$3="",AF$3&gt;TODAY()),"",IF(AND(AF331="",AG331=""),"",N(AG331)-N(AF331)))</f>
        <v/>
      </c>
      <c r="AK331">
        <f>IF(OR(AF$3="",AF$3&gt;TODAY()),"",IF(AND(AI331="",AJ331=""),"",N(AJ331)-N(AI331)))</f>
        <v/>
      </c>
      <c r="AO331">
        <f>IF(OR(AM$3="",AM$3&gt;TODAY()),"",IF(AND(AM331="",AN331=""),"",N(AN331)-N(AM331)))</f>
        <v/>
      </c>
      <c r="AR331">
        <f>IF(OR(AM$3="",AM$3&gt;TODAY()),"",IF(AND(AP331="",AQ331=""),"",N(AQ331)-N(AP331)))</f>
        <v/>
      </c>
      <c r="AV331">
        <f>IF(OR(AT$3="",AT$3&gt;TODAY()),"",IF(AND(AT331="",AU331=""),"",N(AU331)-N(AT331)))</f>
        <v/>
      </c>
      <c r="AY331">
        <f>IF(OR(AT$3="",AT$3&gt;TODAY()),"",IF(AND(AW331="",AX331=""),"",N(AX331)-N(AW331)))</f>
        <v/>
      </c>
      <c r="BC331">
        <f>IF(OR(BA$3="",BA$3&gt;TODAY()),"",IF(AND(BA331="",BB331=""),"",N(BB331)-N(BA331)))</f>
        <v/>
      </c>
      <c r="BF331">
        <f>IF(OR(BA$3="",BA$3&gt;TODAY()),"",IF(AND(BD331="",BE331=""),"",N(BE331)-N(BD331)))</f>
        <v/>
      </c>
      <c r="BJ331">
        <f>IF(OR(BH$3="",BH$3&gt;TODAY()),"",IF(AND(BH331="",BI331=""),"",N(BI331)-N(BH331)))</f>
        <v/>
      </c>
      <c r="BM331">
        <f>IF(OR(BH$3="",BH$3&gt;TODAY()),"",IF(AND(BK331="",BL331=""),"",N(BL331)-N(BK331)))</f>
        <v/>
      </c>
      <c r="BQ331">
        <f>IF(OR(BO$3="",BO$3&gt;TODAY()),"",IF(AND(BO331="",BP331=""),"",N(BP331)-N(BO331)))</f>
        <v/>
      </c>
      <c r="BT331">
        <f>IF(OR(BO$3="",BO$3&gt;TODAY()),"",IF(AND(BR331="",BS331=""),"",N(BS331)-N(BR331)))</f>
        <v/>
      </c>
      <c r="BX331">
        <f>IF(OR(BV$3="",BV$3&gt;TODAY()),"",IF(AND(BV331="",BW331=""),"",N(BW331)-N(BV331)))</f>
        <v/>
      </c>
      <c r="CA331">
        <f>IF(OR(BV$3="",BV$3&gt;TODAY()),"",IF(AND(BY331="",BZ331=""),"",N(BZ331)-N(BY331)))</f>
        <v/>
      </c>
      <c r="CE331">
        <f>IF(OR(CC$3="",CC$3&gt;TODAY()),"",IF(AND(CC331="",CD331=""),"",N(CD331)-N(CC331)))</f>
        <v/>
      </c>
      <c r="CH331">
        <f>IF(OR(CC$3="",CC$3&gt;TODAY()),"",IF(AND(CF331="",CG331=""),"",N(CG331)-N(CF331)))</f>
        <v/>
      </c>
      <c r="CL331">
        <f>IF(OR(CJ$3="",CJ$3&gt;TODAY()),"",IF(AND(CJ331="",CK331=""),"",N(CK331)-N(CJ331)))</f>
        <v/>
      </c>
      <c r="CO331">
        <f>IF(OR(CJ$3="",CJ$3&gt;TODAY()),"",IF(AND(CM331="",CN331=""),"",N(CN331)-N(CM331)))</f>
        <v/>
      </c>
      <c r="CS331">
        <f>IF(OR(CQ$3="",CQ$3&gt;TODAY()),"",IF(AND(CQ331="",CR331=""),"",N(CR331)-N(CQ331)))</f>
        <v/>
      </c>
      <c r="CV331">
        <f>IF(OR(CQ$3="",CQ$3&gt;TODAY()),"",IF(AND(CT331="",CU331=""),"",N(CU331)-N(CT331)))</f>
        <v/>
      </c>
      <c r="CZ331">
        <f>IF(OR(CX$3="",CX$3&gt;TODAY()),"",IF(AND(CX331="",CY331=""),"",N(CY331)-N(CX331)))</f>
        <v/>
      </c>
      <c r="DC331">
        <f>IF(OR(CX$3="",CX$3&gt;TODAY()),"",IF(AND(DA331="",DB331=""),"",N(DB331)-N(DA331)))</f>
        <v/>
      </c>
      <c r="DG331">
        <f>IF(OR(DE$3="",DE$3&gt;TODAY()),"",IF(AND(DE331="",DF331=""),"",N(DF331)-N(DE331)))</f>
        <v/>
      </c>
      <c r="DJ331">
        <f>IF(OR(DE$3="",DE$3&gt;TODAY()),"",IF(AND(DH331="",DI331=""),"",N(DI331)-N(DH331)))</f>
        <v/>
      </c>
      <c r="DN331">
        <f>IF(OR(DL$3="",DL$3&gt;TODAY()),"",IF(AND(DL331="",DM331=""),"",N(DM331)-N(DL331)))</f>
        <v/>
      </c>
      <c r="DQ331">
        <f>IF(OR(DL$3="",DL$3&gt;TODAY()),"",IF(AND(DO331="",DP331=""),"",N(DP331)-N(DO331)))</f>
        <v/>
      </c>
      <c r="DU331">
        <f>IF(OR(DS$3="",DS$3&gt;TODAY()),"",IF(AND(DS331="",DT331=""),"",N(DT331)-N(DS331)))</f>
        <v/>
      </c>
      <c r="DX331">
        <f>IF(OR(DS$3="",DS$3&gt;TODAY()),"",IF(AND(DV331="",DW331=""),"",N(DW331)-N(DV331)))</f>
        <v/>
      </c>
      <c r="EB331">
        <f>IF(OR(DZ$3="",DZ$3&gt;TODAY()),"",IF(AND(DZ331="",EA331=""),"",N(EA331)-N(DZ331)))</f>
        <v/>
      </c>
      <c r="EE331">
        <f>IF(OR(DZ$3="",DZ$3&gt;TODAY()),"",IF(AND(EC331="",ED331=""),"",N(ED331)-N(EC331)))</f>
        <v/>
      </c>
      <c r="EI331">
        <f>IF(OR(EG$3="",EG$3&gt;TODAY()),"",IF(AND(EG331="",EH331=""),"",N(EH331)-N(EG331)))</f>
        <v/>
      </c>
      <c r="EL331">
        <f>IF(OR(EG$3="",EG$3&gt;TODAY()),"",IF(AND(EJ331="",EK331=""),"",N(EK331)-N(EJ331)))</f>
        <v/>
      </c>
      <c r="EP331">
        <f>IF(OR(EN$3="",EN$3&gt;TODAY()),"",IF(AND(EN331="",EO331=""),"",N(EO331)-N(EN331)))</f>
        <v/>
      </c>
      <c r="ES331">
        <f>IF(OR(EN$3="",EN$3&gt;TODAY()),"",IF(AND(EQ331="",ER331=""),"",N(ER331)-N(EQ331)))</f>
        <v/>
      </c>
      <c r="EW331">
        <f>IF(OR(EU$3="",EU$3&gt;TODAY()),"",IF(AND(EU331="",EV331=""),"",N(EV331)-N(EU331)))</f>
        <v/>
      </c>
      <c r="EZ331">
        <f>IF(OR(EU$3="",EU$3&gt;TODAY()),"",IF(AND(EX331="",EY331=""),"",N(EY331)-N(EX331)))</f>
        <v/>
      </c>
      <c r="FD331">
        <f>IF(OR(FB$3="",FB$3&gt;TODAY()),"",IF(AND(FB331="",FC331=""),"",N(FC331)-N(FB331)))</f>
        <v/>
      </c>
      <c r="FG331">
        <f>IF(OR(FB$3="",FB$3&gt;TODAY()),"",IF(AND(FE331="",FF331=""),"",N(FF331)-N(FE331)))</f>
        <v/>
      </c>
      <c r="FK331">
        <f>IF(OR(FI$3="",FI$3&gt;TODAY()),"",IF(AND(FI331="",FJ331=""),"",N(FJ331)-N(FI331)))</f>
        <v/>
      </c>
      <c r="FN331">
        <f>IF(OR(FI$3="",FI$3&gt;TODAY()),"",IF(AND(FL331="",FM331=""),"",N(FM331)-N(FL331)))</f>
        <v/>
      </c>
      <c r="FR331">
        <f>IF(OR(FP$3="",FP$3&gt;TODAY()),"",IF(AND(FP331="",FQ331=""),"",N(FQ331)-N(FP331)))</f>
        <v/>
      </c>
      <c r="FU331">
        <f>IF(OR(FP$3="",FP$3&gt;TODAY()),"",IF(AND(FS331="",FT331=""),"",N(FT331)-N(FS331)))</f>
        <v/>
      </c>
      <c r="FY331">
        <f>IF(OR(FW$3="",FW$3&gt;TODAY()),"",IF(AND(FW331="",FX331=""),"",N(FX331)-N(FW331)))</f>
        <v/>
      </c>
      <c r="GB331">
        <f>IF(OR(FW$3="",FW$3&gt;TODAY()),"",IF(AND(FZ331="",GA331=""),"",N(GA331)-N(FZ331)))</f>
        <v/>
      </c>
      <c r="GF331">
        <f>IF(OR(GD$3="",GD$3&gt;TODAY()),"",IF(AND(GD331="",GE331=""),"",N(GE331)-N(GD331)))</f>
        <v/>
      </c>
      <c r="GI331">
        <f>IF(OR(GD$3="",GD$3&gt;TODAY()),"",IF(AND(GG331="",GH331=""),"",N(GH331)-N(GG331)))</f>
        <v/>
      </c>
      <c r="GM331">
        <f>IF(OR(GK$3="",GK$3&gt;TODAY()),"",IF(AND(GK331="",GL331=""),"",N(GL331)-N(GK331)))</f>
        <v/>
      </c>
      <c r="GP331">
        <f>IF(OR(GK$3="",GK$3&gt;TODAY()),"",IF(AND(GN331="",GO331=""),"",N(GO331)-N(GN331)))</f>
        <v/>
      </c>
      <c r="GT331">
        <f>IF(OR(GR$3="",GR$3&gt;TODAY()),"",IF(AND(GR331="",GS331=""),"",N(GS331)-N(GR331)))</f>
        <v/>
      </c>
      <c r="GW331">
        <f>IF(OR(GR$3="",GR$3&gt;TODAY()),"",IF(AND(GU331="",GV331=""),"",N(GV331)-N(GU331)))</f>
        <v/>
      </c>
      <c r="HA331">
        <f>IF(OR(GY$3="",GY$3&gt;TODAY()),"",IF(AND(GY331="",GZ331=""),"",N(GZ331)-N(GY331)))</f>
        <v/>
      </c>
      <c r="HD331">
        <f>IF(OR(GY$3="",GY$3&gt;TODAY()),"",IF(AND(HB331="",HC331=""),"",N(HC331)-N(HB331)))</f>
        <v/>
      </c>
      <c r="HH331">
        <f>IF(OR(HF$3="",HF$3&gt;TODAY()),"",IF(AND(HF331="",HG331=""),"",N(HG331)-N(HF331)))</f>
        <v/>
      </c>
      <c r="HK331">
        <f>IF(OR(HF$3="",HF$3&gt;TODAY()),"",IF(AND(HI331="",HJ331=""),"",N(HJ331)-N(HI331)))</f>
        <v/>
      </c>
      <c r="HO331">
        <f>IF(OR(HM$3="",HM$3&gt;TODAY()),"",IF(AND(HM331="",HN331=""),"",N(HN331)-N(HM331)))</f>
        <v/>
      </c>
      <c r="HR331">
        <f>IF(OR(HM$3="",HM$3&gt;TODAY()),"",IF(AND(HP331="",HQ331=""),"",N(HQ331)-N(HP331)))</f>
        <v/>
      </c>
      <c r="HV331">
        <f>IF(OR(HT$3="",HT$3&gt;TODAY()),"",IF(AND(HT331="",HU331=""),"",N(HU331)-N(HT331)))</f>
        <v/>
      </c>
      <c r="HY331">
        <f>IF(OR(HT$3="",HT$3&gt;TODAY()),"",IF(AND(HW331="",HX331=""),"",N(HX331)-N(HW331)))</f>
        <v/>
      </c>
      <c r="IC331">
        <f>IF(OR(IA$3="",IA$3&gt;TODAY()),"",IF(AND(IA331="",IB331=""),"",N(IB331)-N(IA331)))</f>
        <v/>
      </c>
      <c r="IF331">
        <f>IF(OR(IA$3="",IA$3&gt;TODAY()),"",IF(AND(ID331="",IE331=""),"",N(IE331)-N(ID331)))</f>
        <v/>
      </c>
      <c r="IJ331">
        <f>IF(OR(IH$3="",IH$3&gt;TODAY()),"",IF(AND(IH331="",II331=""),"",N(II331)-N(IH331)))</f>
        <v/>
      </c>
      <c r="IM331">
        <f>IF(OR(IH$3="",IH$3&gt;TODAY()),"",IF(AND(IK331="",IL331=""),"",N(IL331)-N(IK331)))</f>
        <v/>
      </c>
    </row>
    <row r="332">
      <c r="A332" s="21" t="n"/>
      <c r="B332" s="21" t="n"/>
      <c r="C332" s="21" t="n"/>
      <c r="D332" s="21" t="n"/>
      <c r="E332" s="21" t="n"/>
      <c r="F332" s="21" t="n"/>
      <c r="G332" s="21" t="n"/>
      <c r="H332" s="21" t="n"/>
      <c r="I332" s="22" t="n"/>
      <c r="J332" s="22" t="n"/>
      <c r="K332" s="23" t="n"/>
      <c r="L332" s="22" t="n"/>
      <c r="M332" s="22" t="n"/>
      <c r="N332" s="21" t="n"/>
      <c r="O332" s="23" t="n"/>
      <c r="P332" s="23" t="n"/>
      <c r="Q332" s="23" t="n"/>
      <c r="R332" s="23" t="n"/>
      <c r="S332" s="22" t="n"/>
      <c r="T332" s="23" t="n"/>
      <c r="U332" s="23" t="n"/>
      <c r="V332" s="24">
        <f>IF(J332&lt;&gt;"",J332,IF(I332&lt;&gt;"",I332,""))</f>
        <v/>
      </c>
      <c r="W332" s="25">
        <f>IF($E332="","",N(O332)+SUMIFS($AF332:$IN332,$AF$4:$IN$4,"SEW_ACT"))</f>
        <v/>
      </c>
      <c r="X332" s="25">
        <f>IF($E332="","",N(P332)+SUMIFS($AF332:$IN332,$AF$4:$IN$4,"WASH_ACT"))</f>
        <v/>
      </c>
      <c r="Y332" s="25">
        <f>IF($E332="","",W332-X332-N(T332)-N(U332))</f>
        <v/>
      </c>
      <c r="Z332" s="25">
        <f>IF($E332="","",IF(N(K332)-X332&lt;=0.02*N(K332),0,N(K332)-X332))</f>
        <v/>
      </c>
      <c r="AA332" s="24">
        <f>IF($E332="","",IF(S332&lt;&gt;"",S332,IF(N(O332)&gt;0,IF(L332&lt;&gt;"",L332,99999),IFERROR(1/(1/_xlfn.MINIFS($AF$3:$IN$3,$AF$4:$IN$4,"SEW_ACT",$AF332:$IN332,"&gt;0")),99999))))</f>
        <v/>
      </c>
      <c r="AB332" s="26">
        <f>IF(OR($E332="",Z332=0,V332=""),"",1+COUNTIFS(Z$8:Z$707,"&gt;0",V$8:V$707,"&lt;"&amp;V332)+COUNTIFS(Z$8:Z$707,"&gt;0",V$8:V$707,V332,AA$8:AA$707,"&lt;"&amp;AA332)+COUNTIFS(Z$8:Z$707,"&gt;0",V$8:V$707,V332,AA$8:AA$707,AA332,E$8:E$707,"&lt;"&amp;$E332))</f>
        <v/>
      </c>
      <c r="AC332" s="24">
        <f>IF(OR($E332="",Z332=0),"",IFERROR(TODAY()+ROUNDUP(Z332/(SUMIFS($AF332:$IN332,$AF$4:$IN$4,"WASH_ACT")/COUNTIFS($AF$4:$IN$4,"WASH_ACT",$AF332:$IN332,"&gt;0")),0),"no output yet"))</f>
        <v/>
      </c>
      <c r="AD332" s="26">
        <f>IF($E332="","",IFERROR(ROUND(MAX(0,SUMIFS($AF332:$IN332,$AF$4:$IN$4,"SEW_PLAN",$AF$3:$IN$3,"&lt;="&amp;TODAY())-SUMIFS($AF332:$IN332,$AF$4:$IN$4,"SEW_ACT",$AF$3:$IN$3,"&lt;="&amp;TODAY())+N(Q332))/(SUMIFS($AF332:$IN332,$AF$4:$IN$4,"SEW_PLAN")/COUNTIFS($AF$4:$IN$4,"SEW_PLAN",$AF332:$IN332,"&gt;0")),1),0))</f>
        <v/>
      </c>
      <c r="AE332" s="26">
        <f>IF($E332="","",IF(AND(Z332&gt;0,OR(AND(M332&lt;&gt;"",TODAY()&gt;M332),AND(V332&lt;&gt;"",V332-TODAY()&lt;=7))),"Yes","No"))</f>
        <v/>
      </c>
      <c r="AH332">
        <f>IF(OR(AF$3="",AF$3&gt;TODAY()),"",IF(AND(AF332="",AG332=""),"",N(AG332)-N(AF332)))</f>
        <v/>
      </c>
      <c r="AK332">
        <f>IF(OR(AF$3="",AF$3&gt;TODAY()),"",IF(AND(AI332="",AJ332=""),"",N(AJ332)-N(AI332)))</f>
        <v/>
      </c>
      <c r="AO332">
        <f>IF(OR(AM$3="",AM$3&gt;TODAY()),"",IF(AND(AM332="",AN332=""),"",N(AN332)-N(AM332)))</f>
        <v/>
      </c>
      <c r="AR332">
        <f>IF(OR(AM$3="",AM$3&gt;TODAY()),"",IF(AND(AP332="",AQ332=""),"",N(AQ332)-N(AP332)))</f>
        <v/>
      </c>
      <c r="AV332">
        <f>IF(OR(AT$3="",AT$3&gt;TODAY()),"",IF(AND(AT332="",AU332=""),"",N(AU332)-N(AT332)))</f>
        <v/>
      </c>
      <c r="AY332">
        <f>IF(OR(AT$3="",AT$3&gt;TODAY()),"",IF(AND(AW332="",AX332=""),"",N(AX332)-N(AW332)))</f>
        <v/>
      </c>
      <c r="BC332">
        <f>IF(OR(BA$3="",BA$3&gt;TODAY()),"",IF(AND(BA332="",BB332=""),"",N(BB332)-N(BA332)))</f>
        <v/>
      </c>
      <c r="BF332">
        <f>IF(OR(BA$3="",BA$3&gt;TODAY()),"",IF(AND(BD332="",BE332=""),"",N(BE332)-N(BD332)))</f>
        <v/>
      </c>
      <c r="BJ332">
        <f>IF(OR(BH$3="",BH$3&gt;TODAY()),"",IF(AND(BH332="",BI332=""),"",N(BI332)-N(BH332)))</f>
        <v/>
      </c>
      <c r="BM332">
        <f>IF(OR(BH$3="",BH$3&gt;TODAY()),"",IF(AND(BK332="",BL332=""),"",N(BL332)-N(BK332)))</f>
        <v/>
      </c>
      <c r="BQ332">
        <f>IF(OR(BO$3="",BO$3&gt;TODAY()),"",IF(AND(BO332="",BP332=""),"",N(BP332)-N(BO332)))</f>
        <v/>
      </c>
      <c r="BT332">
        <f>IF(OR(BO$3="",BO$3&gt;TODAY()),"",IF(AND(BR332="",BS332=""),"",N(BS332)-N(BR332)))</f>
        <v/>
      </c>
      <c r="BX332">
        <f>IF(OR(BV$3="",BV$3&gt;TODAY()),"",IF(AND(BV332="",BW332=""),"",N(BW332)-N(BV332)))</f>
        <v/>
      </c>
      <c r="CA332">
        <f>IF(OR(BV$3="",BV$3&gt;TODAY()),"",IF(AND(BY332="",BZ332=""),"",N(BZ332)-N(BY332)))</f>
        <v/>
      </c>
      <c r="CE332">
        <f>IF(OR(CC$3="",CC$3&gt;TODAY()),"",IF(AND(CC332="",CD332=""),"",N(CD332)-N(CC332)))</f>
        <v/>
      </c>
      <c r="CH332">
        <f>IF(OR(CC$3="",CC$3&gt;TODAY()),"",IF(AND(CF332="",CG332=""),"",N(CG332)-N(CF332)))</f>
        <v/>
      </c>
      <c r="CL332">
        <f>IF(OR(CJ$3="",CJ$3&gt;TODAY()),"",IF(AND(CJ332="",CK332=""),"",N(CK332)-N(CJ332)))</f>
        <v/>
      </c>
      <c r="CO332">
        <f>IF(OR(CJ$3="",CJ$3&gt;TODAY()),"",IF(AND(CM332="",CN332=""),"",N(CN332)-N(CM332)))</f>
        <v/>
      </c>
      <c r="CS332">
        <f>IF(OR(CQ$3="",CQ$3&gt;TODAY()),"",IF(AND(CQ332="",CR332=""),"",N(CR332)-N(CQ332)))</f>
        <v/>
      </c>
      <c r="CV332">
        <f>IF(OR(CQ$3="",CQ$3&gt;TODAY()),"",IF(AND(CT332="",CU332=""),"",N(CU332)-N(CT332)))</f>
        <v/>
      </c>
      <c r="CZ332">
        <f>IF(OR(CX$3="",CX$3&gt;TODAY()),"",IF(AND(CX332="",CY332=""),"",N(CY332)-N(CX332)))</f>
        <v/>
      </c>
      <c r="DC332">
        <f>IF(OR(CX$3="",CX$3&gt;TODAY()),"",IF(AND(DA332="",DB332=""),"",N(DB332)-N(DA332)))</f>
        <v/>
      </c>
      <c r="DG332">
        <f>IF(OR(DE$3="",DE$3&gt;TODAY()),"",IF(AND(DE332="",DF332=""),"",N(DF332)-N(DE332)))</f>
        <v/>
      </c>
      <c r="DJ332">
        <f>IF(OR(DE$3="",DE$3&gt;TODAY()),"",IF(AND(DH332="",DI332=""),"",N(DI332)-N(DH332)))</f>
        <v/>
      </c>
      <c r="DN332">
        <f>IF(OR(DL$3="",DL$3&gt;TODAY()),"",IF(AND(DL332="",DM332=""),"",N(DM332)-N(DL332)))</f>
        <v/>
      </c>
      <c r="DQ332">
        <f>IF(OR(DL$3="",DL$3&gt;TODAY()),"",IF(AND(DO332="",DP332=""),"",N(DP332)-N(DO332)))</f>
        <v/>
      </c>
      <c r="DU332">
        <f>IF(OR(DS$3="",DS$3&gt;TODAY()),"",IF(AND(DS332="",DT332=""),"",N(DT332)-N(DS332)))</f>
        <v/>
      </c>
      <c r="DX332">
        <f>IF(OR(DS$3="",DS$3&gt;TODAY()),"",IF(AND(DV332="",DW332=""),"",N(DW332)-N(DV332)))</f>
        <v/>
      </c>
      <c r="EB332">
        <f>IF(OR(DZ$3="",DZ$3&gt;TODAY()),"",IF(AND(DZ332="",EA332=""),"",N(EA332)-N(DZ332)))</f>
        <v/>
      </c>
      <c r="EE332">
        <f>IF(OR(DZ$3="",DZ$3&gt;TODAY()),"",IF(AND(EC332="",ED332=""),"",N(ED332)-N(EC332)))</f>
        <v/>
      </c>
      <c r="EI332">
        <f>IF(OR(EG$3="",EG$3&gt;TODAY()),"",IF(AND(EG332="",EH332=""),"",N(EH332)-N(EG332)))</f>
        <v/>
      </c>
      <c r="EL332">
        <f>IF(OR(EG$3="",EG$3&gt;TODAY()),"",IF(AND(EJ332="",EK332=""),"",N(EK332)-N(EJ332)))</f>
        <v/>
      </c>
      <c r="EP332">
        <f>IF(OR(EN$3="",EN$3&gt;TODAY()),"",IF(AND(EN332="",EO332=""),"",N(EO332)-N(EN332)))</f>
        <v/>
      </c>
      <c r="ES332">
        <f>IF(OR(EN$3="",EN$3&gt;TODAY()),"",IF(AND(EQ332="",ER332=""),"",N(ER332)-N(EQ332)))</f>
        <v/>
      </c>
      <c r="EW332">
        <f>IF(OR(EU$3="",EU$3&gt;TODAY()),"",IF(AND(EU332="",EV332=""),"",N(EV332)-N(EU332)))</f>
        <v/>
      </c>
      <c r="EZ332">
        <f>IF(OR(EU$3="",EU$3&gt;TODAY()),"",IF(AND(EX332="",EY332=""),"",N(EY332)-N(EX332)))</f>
        <v/>
      </c>
      <c r="FD332">
        <f>IF(OR(FB$3="",FB$3&gt;TODAY()),"",IF(AND(FB332="",FC332=""),"",N(FC332)-N(FB332)))</f>
        <v/>
      </c>
      <c r="FG332">
        <f>IF(OR(FB$3="",FB$3&gt;TODAY()),"",IF(AND(FE332="",FF332=""),"",N(FF332)-N(FE332)))</f>
        <v/>
      </c>
      <c r="FK332">
        <f>IF(OR(FI$3="",FI$3&gt;TODAY()),"",IF(AND(FI332="",FJ332=""),"",N(FJ332)-N(FI332)))</f>
        <v/>
      </c>
      <c r="FN332">
        <f>IF(OR(FI$3="",FI$3&gt;TODAY()),"",IF(AND(FL332="",FM332=""),"",N(FM332)-N(FL332)))</f>
        <v/>
      </c>
      <c r="FR332">
        <f>IF(OR(FP$3="",FP$3&gt;TODAY()),"",IF(AND(FP332="",FQ332=""),"",N(FQ332)-N(FP332)))</f>
        <v/>
      </c>
      <c r="FU332">
        <f>IF(OR(FP$3="",FP$3&gt;TODAY()),"",IF(AND(FS332="",FT332=""),"",N(FT332)-N(FS332)))</f>
        <v/>
      </c>
      <c r="FY332">
        <f>IF(OR(FW$3="",FW$3&gt;TODAY()),"",IF(AND(FW332="",FX332=""),"",N(FX332)-N(FW332)))</f>
        <v/>
      </c>
      <c r="GB332">
        <f>IF(OR(FW$3="",FW$3&gt;TODAY()),"",IF(AND(FZ332="",GA332=""),"",N(GA332)-N(FZ332)))</f>
        <v/>
      </c>
      <c r="GF332">
        <f>IF(OR(GD$3="",GD$3&gt;TODAY()),"",IF(AND(GD332="",GE332=""),"",N(GE332)-N(GD332)))</f>
        <v/>
      </c>
      <c r="GI332">
        <f>IF(OR(GD$3="",GD$3&gt;TODAY()),"",IF(AND(GG332="",GH332=""),"",N(GH332)-N(GG332)))</f>
        <v/>
      </c>
      <c r="GM332">
        <f>IF(OR(GK$3="",GK$3&gt;TODAY()),"",IF(AND(GK332="",GL332=""),"",N(GL332)-N(GK332)))</f>
        <v/>
      </c>
      <c r="GP332">
        <f>IF(OR(GK$3="",GK$3&gt;TODAY()),"",IF(AND(GN332="",GO332=""),"",N(GO332)-N(GN332)))</f>
        <v/>
      </c>
      <c r="GT332">
        <f>IF(OR(GR$3="",GR$3&gt;TODAY()),"",IF(AND(GR332="",GS332=""),"",N(GS332)-N(GR332)))</f>
        <v/>
      </c>
      <c r="GW332">
        <f>IF(OR(GR$3="",GR$3&gt;TODAY()),"",IF(AND(GU332="",GV332=""),"",N(GV332)-N(GU332)))</f>
        <v/>
      </c>
      <c r="HA332">
        <f>IF(OR(GY$3="",GY$3&gt;TODAY()),"",IF(AND(GY332="",GZ332=""),"",N(GZ332)-N(GY332)))</f>
        <v/>
      </c>
      <c r="HD332">
        <f>IF(OR(GY$3="",GY$3&gt;TODAY()),"",IF(AND(HB332="",HC332=""),"",N(HC332)-N(HB332)))</f>
        <v/>
      </c>
      <c r="HH332">
        <f>IF(OR(HF$3="",HF$3&gt;TODAY()),"",IF(AND(HF332="",HG332=""),"",N(HG332)-N(HF332)))</f>
        <v/>
      </c>
      <c r="HK332">
        <f>IF(OR(HF$3="",HF$3&gt;TODAY()),"",IF(AND(HI332="",HJ332=""),"",N(HJ332)-N(HI332)))</f>
        <v/>
      </c>
      <c r="HO332">
        <f>IF(OR(HM$3="",HM$3&gt;TODAY()),"",IF(AND(HM332="",HN332=""),"",N(HN332)-N(HM332)))</f>
        <v/>
      </c>
      <c r="HR332">
        <f>IF(OR(HM$3="",HM$3&gt;TODAY()),"",IF(AND(HP332="",HQ332=""),"",N(HQ332)-N(HP332)))</f>
        <v/>
      </c>
      <c r="HV332">
        <f>IF(OR(HT$3="",HT$3&gt;TODAY()),"",IF(AND(HT332="",HU332=""),"",N(HU332)-N(HT332)))</f>
        <v/>
      </c>
      <c r="HY332">
        <f>IF(OR(HT$3="",HT$3&gt;TODAY()),"",IF(AND(HW332="",HX332=""),"",N(HX332)-N(HW332)))</f>
        <v/>
      </c>
      <c r="IC332">
        <f>IF(OR(IA$3="",IA$3&gt;TODAY()),"",IF(AND(IA332="",IB332=""),"",N(IB332)-N(IA332)))</f>
        <v/>
      </c>
      <c r="IF332">
        <f>IF(OR(IA$3="",IA$3&gt;TODAY()),"",IF(AND(ID332="",IE332=""),"",N(IE332)-N(ID332)))</f>
        <v/>
      </c>
      <c r="IJ332">
        <f>IF(OR(IH$3="",IH$3&gt;TODAY()),"",IF(AND(IH332="",II332=""),"",N(II332)-N(IH332)))</f>
        <v/>
      </c>
      <c r="IM332">
        <f>IF(OR(IH$3="",IH$3&gt;TODAY()),"",IF(AND(IK332="",IL332=""),"",N(IL332)-N(IK332)))</f>
        <v/>
      </c>
    </row>
    <row r="333">
      <c r="A333" s="21" t="n"/>
      <c r="B333" s="21" t="n"/>
      <c r="C333" s="21" t="n"/>
      <c r="D333" s="21" t="n"/>
      <c r="E333" s="21" t="n"/>
      <c r="F333" s="21" t="n"/>
      <c r="G333" s="21" t="n"/>
      <c r="H333" s="21" t="n"/>
      <c r="I333" s="22" t="n"/>
      <c r="J333" s="22" t="n"/>
      <c r="K333" s="23" t="n"/>
      <c r="L333" s="22" t="n"/>
      <c r="M333" s="22" t="n"/>
      <c r="N333" s="21" t="n"/>
      <c r="O333" s="23" t="n"/>
      <c r="P333" s="23" t="n"/>
      <c r="Q333" s="23" t="n"/>
      <c r="R333" s="23" t="n"/>
      <c r="S333" s="22" t="n"/>
      <c r="T333" s="23" t="n"/>
      <c r="U333" s="23" t="n"/>
      <c r="V333" s="24">
        <f>IF(J333&lt;&gt;"",J333,IF(I333&lt;&gt;"",I333,""))</f>
        <v/>
      </c>
      <c r="W333" s="25">
        <f>IF($E333="","",N(O333)+SUMIFS($AF333:$IN333,$AF$4:$IN$4,"SEW_ACT"))</f>
        <v/>
      </c>
      <c r="X333" s="25">
        <f>IF($E333="","",N(P333)+SUMIFS($AF333:$IN333,$AF$4:$IN$4,"WASH_ACT"))</f>
        <v/>
      </c>
      <c r="Y333" s="25">
        <f>IF($E333="","",W333-X333-N(T333)-N(U333))</f>
        <v/>
      </c>
      <c r="Z333" s="25">
        <f>IF($E333="","",IF(N(K333)-X333&lt;=0.02*N(K333),0,N(K333)-X333))</f>
        <v/>
      </c>
      <c r="AA333" s="24">
        <f>IF($E333="","",IF(S333&lt;&gt;"",S333,IF(N(O333)&gt;0,IF(L333&lt;&gt;"",L333,99999),IFERROR(1/(1/_xlfn.MINIFS($AF$3:$IN$3,$AF$4:$IN$4,"SEW_ACT",$AF333:$IN333,"&gt;0")),99999))))</f>
        <v/>
      </c>
      <c r="AB333" s="26">
        <f>IF(OR($E333="",Z333=0,V333=""),"",1+COUNTIFS(Z$8:Z$707,"&gt;0",V$8:V$707,"&lt;"&amp;V333)+COUNTIFS(Z$8:Z$707,"&gt;0",V$8:V$707,V333,AA$8:AA$707,"&lt;"&amp;AA333)+COUNTIFS(Z$8:Z$707,"&gt;0",V$8:V$707,V333,AA$8:AA$707,AA333,E$8:E$707,"&lt;"&amp;$E333))</f>
        <v/>
      </c>
      <c r="AC333" s="24">
        <f>IF(OR($E333="",Z333=0),"",IFERROR(TODAY()+ROUNDUP(Z333/(SUMIFS($AF333:$IN333,$AF$4:$IN$4,"WASH_ACT")/COUNTIFS($AF$4:$IN$4,"WASH_ACT",$AF333:$IN333,"&gt;0")),0),"no output yet"))</f>
        <v/>
      </c>
      <c r="AD333" s="26">
        <f>IF($E333="","",IFERROR(ROUND(MAX(0,SUMIFS($AF333:$IN333,$AF$4:$IN$4,"SEW_PLAN",$AF$3:$IN$3,"&lt;="&amp;TODAY())-SUMIFS($AF333:$IN333,$AF$4:$IN$4,"SEW_ACT",$AF$3:$IN$3,"&lt;="&amp;TODAY())+N(Q333))/(SUMIFS($AF333:$IN333,$AF$4:$IN$4,"SEW_PLAN")/COUNTIFS($AF$4:$IN$4,"SEW_PLAN",$AF333:$IN333,"&gt;0")),1),0))</f>
        <v/>
      </c>
      <c r="AE333" s="26">
        <f>IF($E333="","",IF(AND(Z333&gt;0,OR(AND(M333&lt;&gt;"",TODAY()&gt;M333),AND(V333&lt;&gt;"",V333-TODAY()&lt;=7))),"Yes","No"))</f>
        <v/>
      </c>
      <c r="AH333">
        <f>IF(OR(AF$3="",AF$3&gt;TODAY()),"",IF(AND(AF333="",AG333=""),"",N(AG333)-N(AF333)))</f>
        <v/>
      </c>
      <c r="AK333">
        <f>IF(OR(AF$3="",AF$3&gt;TODAY()),"",IF(AND(AI333="",AJ333=""),"",N(AJ333)-N(AI333)))</f>
        <v/>
      </c>
      <c r="AO333">
        <f>IF(OR(AM$3="",AM$3&gt;TODAY()),"",IF(AND(AM333="",AN333=""),"",N(AN333)-N(AM333)))</f>
        <v/>
      </c>
      <c r="AR333">
        <f>IF(OR(AM$3="",AM$3&gt;TODAY()),"",IF(AND(AP333="",AQ333=""),"",N(AQ333)-N(AP333)))</f>
        <v/>
      </c>
      <c r="AV333">
        <f>IF(OR(AT$3="",AT$3&gt;TODAY()),"",IF(AND(AT333="",AU333=""),"",N(AU333)-N(AT333)))</f>
        <v/>
      </c>
      <c r="AY333">
        <f>IF(OR(AT$3="",AT$3&gt;TODAY()),"",IF(AND(AW333="",AX333=""),"",N(AX333)-N(AW333)))</f>
        <v/>
      </c>
      <c r="BC333">
        <f>IF(OR(BA$3="",BA$3&gt;TODAY()),"",IF(AND(BA333="",BB333=""),"",N(BB333)-N(BA333)))</f>
        <v/>
      </c>
      <c r="BF333">
        <f>IF(OR(BA$3="",BA$3&gt;TODAY()),"",IF(AND(BD333="",BE333=""),"",N(BE333)-N(BD333)))</f>
        <v/>
      </c>
      <c r="BJ333">
        <f>IF(OR(BH$3="",BH$3&gt;TODAY()),"",IF(AND(BH333="",BI333=""),"",N(BI333)-N(BH333)))</f>
        <v/>
      </c>
      <c r="BM333">
        <f>IF(OR(BH$3="",BH$3&gt;TODAY()),"",IF(AND(BK333="",BL333=""),"",N(BL333)-N(BK333)))</f>
        <v/>
      </c>
      <c r="BQ333">
        <f>IF(OR(BO$3="",BO$3&gt;TODAY()),"",IF(AND(BO333="",BP333=""),"",N(BP333)-N(BO333)))</f>
        <v/>
      </c>
      <c r="BT333">
        <f>IF(OR(BO$3="",BO$3&gt;TODAY()),"",IF(AND(BR333="",BS333=""),"",N(BS333)-N(BR333)))</f>
        <v/>
      </c>
      <c r="BX333">
        <f>IF(OR(BV$3="",BV$3&gt;TODAY()),"",IF(AND(BV333="",BW333=""),"",N(BW333)-N(BV333)))</f>
        <v/>
      </c>
      <c r="CA333">
        <f>IF(OR(BV$3="",BV$3&gt;TODAY()),"",IF(AND(BY333="",BZ333=""),"",N(BZ333)-N(BY333)))</f>
        <v/>
      </c>
      <c r="CE333">
        <f>IF(OR(CC$3="",CC$3&gt;TODAY()),"",IF(AND(CC333="",CD333=""),"",N(CD333)-N(CC333)))</f>
        <v/>
      </c>
      <c r="CH333">
        <f>IF(OR(CC$3="",CC$3&gt;TODAY()),"",IF(AND(CF333="",CG333=""),"",N(CG333)-N(CF333)))</f>
        <v/>
      </c>
      <c r="CL333">
        <f>IF(OR(CJ$3="",CJ$3&gt;TODAY()),"",IF(AND(CJ333="",CK333=""),"",N(CK333)-N(CJ333)))</f>
        <v/>
      </c>
      <c r="CO333">
        <f>IF(OR(CJ$3="",CJ$3&gt;TODAY()),"",IF(AND(CM333="",CN333=""),"",N(CN333)-N(CM333)))</f>
        <v/>
      </c>
      <c r="CS333">
        <f>IF(OR(CQ$3="",CQ$3&gt;TODAY()),"",IF(AND(CQ333="",CR333=""),"",N(CR333)-N(CQ333)))</f>
        <v/>
      </c>
      <c r="CV333">
        <f>IF(OR(CQ$3="",CQ$3&gt;TODAY()),"",IF(AND(CT333="",CU333=""),"",N(CU333)-N(CT333)))</f>
        <v/>
      </c>
      <c r="CZ333">
        <f>IF(OR(CX$3="",CX$3&gt;TODAY()),"",IF(AND(CX333="",CY333=""),"",N(CY333)-N(CX333)))</f>
        <v/>
      </c>
      <c r="DC333">
        <f>IF(OR(CX$3="",CX$3&gt;TODAY()),"",IF(AND(DA333="",DB333=""),"",N(DB333)-N(DA333)))</f>
        <v/>
      </c>
      <c r="DG333">
        <f>IF(OR(DE$3="",DE$3&gt;TODAY()),"",IF(AND(DE333="",DF333=""),"",N(DF333)-N(DE333)))</f>
        <v/>
      </c>
      <c r="DJ333">
        <f>IF(OR(DE$3="",DE$3&gt;TODAY()),"",IF(AND(DH333="",DI333=""),"",N(DI333)-N(DH333)))</f>
        <v/>
      </c>
      <c r="DN333">
        <f>IF(OR(DL$3="",DL$3&gt;TODAY()),"",IF(AND(DL333="",DM333=""),"",N(DM333)-N(DL333)))</f>
        <v/>
      </c>
      <c r="DQ333">
        <f>IF(OR(DL$3="",DL$3&gt;TODAY()),"",IF(AND(DO333="",DP333=""),"",N(DP333)-N(DO333)))</f>
        <v/>
      </c>
      <c r="DU333">
        <f>IF(OR(DS$3="",DS$3&gt;TODAY()),"",IF(AND(DS333="",DT333=""),"",N(DT333)-N(DS333)))</f>
        <v/>
      </c>
      <c r="DX333">
        <f>IF(OR(DS$3="",DS$3&gt;TODAY()),"",IF(AND(DV333="",DW333=""),"",N(DW333)-N(DV333)))</f>
        <v/>
      </c>
      <c r="EB333">
        <f>IF(OR(DZ$3="",DZ$3&gt;TODAY()),"",IF(AND(DZ333="",EA333=""),"",N(EA333)-N(DZ333)))</f>
        <v/>
      </c>
      <c r="EE333">
        <f>IF(OR(DZ$3="",DZ$3&gt;TODAY()),"",IF(AND(EC333="",ED333=""),"",N(ED333)-N(EC333)))</f>
        <v/>
      </c>
      <c r="EI333">
        <f>IF(OR(EG$3="",EG$3&gt;TODAY()),"",IF(AND(EG333="",EH333=""),"",N(EH333)-N(EG333)))</f>
        <v/>
      </c>
      <c r="EL333">
        <f>IF(OR(EG$3="",EG$3&gt;TODAY()),"",IF(AND(EJ333="",EK333=""),"",N(EK333)-N(EJ333)))</f>
        <v/>
      </c>
      <c r="EP333">
        <f>IF(OR(EN$3="",EN$3&gt;TODAY()),"",IF(AND(EN333="",EO333=""),"",N(EO333)-N(EN333)))</f>
        <v/>
      </c>
      <c r="ES333">
        <f>IF(OR(EN$3="",EN$3&gt;TODAY()),"",IF(AND(EQ333="",ER333=""),"",N(ER333)-N(EQ333)))</f>
        <v/>
      </c>
      <c r="EW333">
        <f>IF(OR(EU$3="",EU$3&gt;TODAY()),"",IF(AND(EU333="",EV333=""),"",N(EV333)-N(EU333)))</f>
        <v/>
      </c>
      <c r="EZ333">
        <f>IF(OR(EU$3="",EU$3&gt;TODAY()),"",IF(AND(EX333="",EY333=""),"",N(EY333)-N(EX333)))</f>
        <v/>
      </c>
      <c r="FD333">
        <f>IF(OR(FB$3="",FB$3&gt;TODAY()),"",IF(AND(FB333="",FC333=""),"",N(FC333)-N(FB333)))</f>
        <v/>
      </c>
      <c r="FG333">
        <f>IF(OR(FB$3="",FB$3&gt;TODAY()),"",IF(AND(FE333="",FF333=""),"",N(FF333)-N(FE333)))</f>
        <v/>
      </c>
      <c r="FK333">
        <f>IF(OR(FI$3="",FI$3&gt;TODAY()),"",IF(AND(FI333="",FJ333=""),"",N(FJ333)-N(FI333)))</f>
        <v/>
      </c>
      <c r="FN333">
        <f>IF(OR(FI$3="",FI$3&gt;TODAY()),"",IF(AND(FL333="",FM333=""),"",N(FM333)-N(FL333)))</f>
        <v/>
      </c>
      <c r="FR333">
        <f>IF(OR(FP$3="",FP$3&gt;TODAY()),"",IF(AND(FP333="",FQ333=""),"",N(FQ333)-N(FP333)))</f>
        <v/>
      </c>
      <c r="FU333">
        <f>IF(OR(FP$3="",FP$3&gt;TODAY()),"",IF(AND(FS333="",FT333=""),"",N(FT333)-N(FS333)))</f>
        <v/>
      </c>
      <c r="FY333">
        <f>IF(OR(FW$3="",FW$3&gt;TODAY()),"",IF(AND(FW333="",FX333=""),"",N(FX333)-N(FW333)))</f>
        <v/>
      </c>
      <c r="GB333">
        <f>IF(OR(FW$3="",FW$3&gt;TODAY()),"",IF(AND(FZ333="",GA333=""),"",N(GA333)-N(FZ333)))</f>
        <v/>
      </c>
      <c r="GF333">
        <f>IF(OR(GD$3="",GD$3&gt;TODAY()),"",IF(AND(GD333="",GE333=""),"",N(GE333)-N(GD333)))</f>
        <v/>
      </c>
      <c r="GI333">
        <f>IF(OR(GD$3="",GD$3&gt;TODAY()),"",IF(AND(GG333="",GH333=""),"",N(GH333)-N(GG333)))</f>
        <v/>
      </c>
      <c r="GM333">
        <f>IF(OR(GK$3="",GK$3&gt;TODAY()),"",IF(AND(GK333="",GL333=""),"",N(GL333)-N(GK333)))</f>
        <v/>
      </c>
      <c r="GP333">
        <f>IF(OR(GK$3="",GK$3&gt;TODAY()),"",IF(AND(GN333="",GO333=""),"",N(GO333)-N(GN333)))</f>
        <v/>
      </c>
      <c r="GT333">
        <f>IF(OR(GR$3="",GR$3&gt;TODAY()),"",IF(AND(GR333="",GS333=""),"",N(GS333)-N(GR333)))</f>
        <v/>
      </c>
      <c r="GW333">
        <f>IF(OR(GR$3="",GR$3&gt;TODAY()),"",IF(AND(GU333="",GV333=""),"",N(GV333)-N(GU333)))</f>
        <v/>
      </c>
      <c r="HA333">
        <f>IF(OR(GY$3="",GY$3&gt;TODAY()),"",IF(AND(GY333="",GZ333=""),"",N(GZ333)-N(GY333)))</f>
        <v/>
      </c>
      <c r="HD333">
        <f>IF(OR(GY$3="",GY$3&gt;TODAY()),"",IF(AND(HB333="",HC333=""),"",N(HC333)-N(HB333)))</f>
        <v/>
      </c>
      <c r="HH333">
        <f>IF(OR(HF$3="",HF$3&gt;TODAY()),"",IF(AND(HF333="",HG333=""),"",N(HG333)-N(HF333)))</f>
        <v/>
      </c>
      <c r="HK333">
        <f>IF(OR(HF$3="",HF$3&gt;TODAY()),"",IF(AND(HI333="",HJ333=""),"",N(HJ333)-N(HI333)))</f>
        <v/>
      </c>
      <c r="HO333">
        <f>IF(OR(HM$3="",HM$3&gt;TODAY()),"",IF(AND(HM333="",HN333=""),"",N(HN333)-N(HM333)))</f>
        <v/>
      </c>
      <c r="HR333">
        <f>IF(OR(HM$3="",HM$3&gt;TODAY()),"",IF(AND(HP333="",HQ333=""),"",N(HQ333)-N(HP333)))</f>
        <v/>
      </c>
      <c r="HV333">
        <f>IF(OR(HT$3="",HT$3&gt;TODAY()),"",IF(AND(HT333="",HU333=""),"",N(HU333)-N(HT333)))</f>
        <v/>
      </c>
      <c r="HY333">
        <f>IF(OR(HT$3="",HT$3&gt;TODAY()),"",IF(AND(HW333="",HX333=""),"",N(HX333)-N(HW333)))</f>
        <v/>
      </c>
      <c r="IC333">
        <f>IF(OR(IA$3="",IA$3&gt;TODAY()),"",IF(AND(IA333="",IB333=""),"",N(IB333)-N(IA333)))</f>
        <v/>
      </c>
      <c r="IF333">
        <f>IF(OR(IA$3="",IA$3&gt;TODAY()),"",IF(AND(ID333="",IE333=""),"",N(IE333)-N(ID333)))</f>
        <v/>
      </c>
      <c r="IJ333">
        <f>IF(OR(IH$3="",IH$3&gt;TODAY()),"",IF(AND(IH333="",II333=""),"",N(II333)-N(IH333)))</f>
        <v/>
      </c>
      <c r="IM333">
        <f>IF(OR(IH$3="",IH$3&gt;TODAY()),"",IF(AND(IK333="",IL333=""),"",N(IL333)-N(IK333)))</f>
        <v/>
      </c>
    </row>
    <row r="334">
      <c r="A334" s="21" t="n"/>
      <c r="B334" s="21" t="n"/>
      <c r="C334" s="21" t="n"/>
      <c r="D334" s="21" t="n"/>
      <c r="E334" s="21" t="n"/>
      <c r="F334" s="21" t="n"/>
      <c r="G334" s="21" t="n"/>
      <c r="H334" s="21" t="n"/>
      <c r="I334" s="22" t="n"/>
      <c r="J334" s="22" t="n"/>
      <c r="K334" s="23" t="n"/>
      <c r="L334" s="22" t="n"/>
      <c r="M334" s="22" t="n"/>
      <c r="N334" s="21" t="n"/>
      <c r="O334" s="23" t="n"/>
      <c r="P334" s="23" t="n"/>
      <c r="Q334" s="23" t="n"/>
      <c r="R334" s="23" t="n"/>
      <c r="S334" s="22" t="n"/>
      <c r="T334" s="23" t="n"/>
      <c r="U334" s="23" t="n"/>
      <c r="V334" s="24">
        <f>IF(J334&lt;&gt;"",J334,IF(I334&lt;&gt;"",I334,""))</f>
        <v/>
      </c>
      <c r="W334" s="25">
        <f>IF($E334="","",N(O334)+SUMIFS($AF334:$IN334,$AF$4:$IN$4,"SEW_ACT"))</f>
        <v/>
      </c>
      <c r="X334" s="25">
        <f>IF($E334="","",N(P334)+SUMIFS($AF334:$IN334,$AF$4:$IN$4,"WASH_ACT"))</f>
        <v/>
      </c>
      <c r="Y334" s="25">
        <f>IF($E334="","",W334-X334-N(T334)-N(U334))</f>
        <v/>
      </c>
      <c r="Z334" s="25">
        <f>IF($E334="","",IF(N(K334)-X334&lt;=0.02*N(K334),0,N(K334)-X334))</f>
        <v/>
      </c>
      <c r="AA334" s="24">
        <f>IF($E334="","",IF(S334&lt;&gt;"",S334,IF(N(O334)&gt;0,IF(L334&lt;&gt;"",L334,99999),IFERROR(1/(1/_xlfn.MINIFS($AF$3:$IN$3,$AF$4:$IN$4,"SEW_ACT",$AF334:$IN334,"&gt;0")),99999))))</f>
        <v/>
      </c>
      <c r="AB334" s="26">
        <f>IF(OR($E334="",Z334=0,V334=""),"",1+COUNTIFS(Z$8:Z$707,"&gt;0",V$8:V$707,"&lt;"&amp;V334)+COUNTIFS(Z$8:Z$707,"&gt;0",V$8:V$707,V334,AA$8:AA$707,"&lt;"&amp;AA334)+COUNTIFS(Z$8:Z$707,"&gt;0",V$8:V$707,V334,AA$8:AA$707,AA334,E$8:E$707,"&lt;"&amp;$E334))</f>
        <v/>
      </c>
      <c r="AC334" s="24">
        <f>IF(OR($E334="",Z334=0),"",IFERROR(TODAY()+ROUNDUP(Z334/(SUMIFS($AF334:$IN334,$AF$4:$IN$4,"WASH_ACT")/COUNTIFS($AF$4:$IN$4,"WASH_ACT",$AF334:$IN334,"&gt;0")),0),"no output yet"))</f>
        <v/>
      </c>
      <c r="AD334" s="26">
        <f>IF($E334="","",IFERROR(ROUND(MAX(0,SUMIFS($AF334:$IN334,$AF$4:$IN$4,"SEW_PLAN",$AF$3:$IN$3,"&lt;="&amp;TODAY())-SUMIFS($AF334:$IN334,$AF$4:$IN$4,"SEW_ACT",$AF$3:$IN$3,"&lt;="&amp;TODAY())+N(Q334))/(SUMIFS($AF334:$IN334,$AF$4:$IN$4,"SEW_PLAN")/COUNTIFS($AF$4:$IN$4,"SEW_PLAN",$AF334:$IN334,"&gt;0")),1),0))</f>
        <v/>
      </c>
      <c r="AE334" s="26">
        <f>IF($E334="","",IF(AND(Z334&gt;0,OR(AND(M334&lt;&gt;"",TODAY()&gt;M334),AND(V334&lt;&gt;"",V334-TODAY()&lt;=7))),"Yes","No"))</f>
        <v/>
      </c>
      <c r="AH334">
        <f>IF(OR(AF$3="",AF$3&gt;TODAY()),"",IF(AND(AF334="",AG334=""),"",N(AG334)-N(AF334)))</f>
        <v/>
      </c>
      <c r="AK334">
        <f>IF(OR(AF$3="",AF$3&gt;TODAY()),"",IF(AND(AI334="",AJ334=""),"",N(AJ334)-N(AI334)))</f>
        <v/>
      </c>
      <c r="AO334">
        <f>IF(OR(AM$3="",AM$3&gt;TODAY()),"",IF(AND(AM334="",AN334=""),"",N(AN334)-N(AM334)))</f>
        <v/>
      </c>
      <c r="AR334">
        <f>IF(OR(AM$3="",AM$3&gt;TODAY()),"",IF(AND(AP334="",AQ334=""),"",N(AQ334)-N(AP334)))</f>
        <v/>
      </c>
      <c r="AV334">
        <f>IF(OR(AT$3="",AT$3&gt;TODAY()),"",IF(AND(AT334="",AU334=""),"",N(AU334)-N(AT334)))</f>
        <v/>
      </c>
      <c r="AY334">
        <f>IF(OR(AT$3="",AT$3&gt;TODAY()),"",IF(AND(AW334="",AX334=""),"",N(AX334)-N(AW334)))</f>
        <v/>
      </c>
      <c r="BC334">
        <f>IF(OR(BA$3="",BA$3&gt;TODAY()),"",IF(AND(BA334="",BB334=""),"",N(BB334)-N(BA334)))</f>
        <v/>
      </c>
      <c r="BF334">
        <f>IF(OR(BA$3="",BA$3&gt;TODAY()),"",IF(AND(BD334="",BE334=""),"",N(BE334)-N(BD334)))</f>
        <v/>
      </c>
      <c r="BJ334">
        <f>IF(OR(BH$3="",BH$3&gt;TODAY()),"",IF(AND(BH334="",BI334=""),"",N(BI334)-N(BH334)))</f>
        <v/>
      </c>
      <c r="BM334">
        <f>IF(OR(BH$3="",BH$3&gt;TODAY()),"",IF(AND(BK334="",BL334=""),"",N(BL334)-N(BK334)))</f>
        <v/>
      </c>
      <c r="BQ334">
        <f>IF(OR(BO$3="",BO$3&gt;TODAY()),"",IF(AND(BO334="",BP334=""),"",N(BP334)-N(BO334)))</f>
        <v/>
      </c>
      <c r="BT334">
        <f>IF(OR(BO$3="",BO$3&gt;TODAY()),"",IF(AND(BR334="",BS334=""),"",N(BS334)-N(BR334)))</f>
        <v/>
      </c>
      <c r="BX334">
        <f>IF(OR(BV$3="",BV$3&gt;TODAY()),"",IF(AND(BV334="",BW334=""),"",N(BW334)-N(BV334)))</f>
        <v/>
      </c>
      <c r="CA334">
        <f>IF(OR(BV$3="",BV$3&gt;TODAY()),"",IF(AND(BY334="",BZ334=""),"",N(BZ334)-N(BY334)))</f>
        <v/>
      </c>
      <c r="CE334">
        <f>IF(OR(CC$3="",CC$3&gt;TODAY()),"",IF(AND(CC334="",CD334=""),"",N(CD334)-N(CC334)))</f>
        <v/>
      </c>
      <c r="CH334">
        <f>IF(OR(CC$3="",CC$3&gt;TODAY()),"",IF(AND(CF334="",CG334=""),"",N(CG334)-N(CF334)))</f>
        <v/>
      </c>
      <c r="CL334">
        <f>IF(OR(CJ$3="",CJ$3&gt;TODAY()),"",IF(AND(CJ334="",CK334=""),"",N(CK334)-N(CJ334)))</f>
        <v/>
      </c>
      <c r="CO334">
        <f>IF(OR(CJ$3="",CJ$3&gt;TODAY()),"",IF(AND(CM334="",CN334=""),"",N(CN334)-N(CM334)))</f>
        <v/>
      </c>
      <c r="CS334">
        <f>IF(OR(CQ$3="",CQ$3&gt;TODAY()),"",IF(AND(CQ334="",CR334=""),"",N(CR334)-N(CQ334)))</f>
        <v/>
      </c>
      <c r="CV334">
        <f>IF(OR(CQ$3="",CQ$3&gt;TODAY()),"",IF(AND(CT334="",CU334=""),"",N(CU334)-N(CT334)))</f>
        <v/>
      </c>
      <c r="CZ334">
        <f>IF(OR(CX$3="",CX$3&gt;TODAY()),"",IF(AND(CX334="",CY334=""),"",N(CY334)-N(CX334)))</f>
        <v/>
      </c>
      <c r="DC334">
        <f>IF(OR(CX$3="",CX$3&gt;TODAY()),"",IF(AND(DA334="",DB334=""),"",N(DB334)-N(DA334)))</f>
        <v/>
      </c>
      <c r="DG334">
        <f>IF(OR(DE$3="",DE$3&gt;TODAY()),"",IF(AND(DE334="",DF334=""),"",N(DF334)-N(DE334)))</f>
        <v/>
      </c>
      <c r="DJ334">
        <f>IF(OR(DE$3="",DE$3&gt;TODAY()),"",IF(AND(DH334="",DI334=""),"",N(DI334)-N(DH334)))</f>
        <v/>
      </c>
      <c r="DN334">
        <f>IF(OR(DL$3="",DL$3&gt;TODAY()),"",IF(AND(DL334="",DM334=""),"",N(DM334)-N(DL334)))</f>
        <v/>
      </c>
      <c r="DQ334">
        <f>IF(OR(DL$3="",DL$3&gt;TODAY()),"",IF(AND(DO334="",DP334=""),"",N(DP334)-N(DO334)))</f>
        <v/>
      </c>
      <c r="DU334">
        <f>IF(OR(DS$3="",DS$3&gt;TODAY()),"",IF(AND(DS334="",DT334=""),"",N(DT334)-N(DS334)))</f>
        <v/>
      </c>
      <c r="DX334">
        <f>IF(OR(DS$3="",DS$3&gt;TODAY()),"",IF(AND(DV334="",DW334=""),"",N(DW334)-N(DV334)))</f>
        <v/>
      </c>
      <c r="EB334">
        <f>IF(OR(DZ$3="",DZ$3&gt;TODAY()),"",IF(AND(DZ334="",EA334=""),"",N(EA334)-N(DZ334)))</f>
        <v/>
      </c>
      <c r="EE334">
        <f>IF(OR(DZ$3="",DZ$3&gt;TODAY()),"",IF(AND(EC334="",ED334=""),"",N(ED334)-N(EC334)))</f>
        <v/>
      </c>
      <c r="EI334">
        <f>IF(OR(EG$3="",EG$3&gt;TODAY()),"",IF(AND(EG334="",EH334=""),"",N(EH334)-N(EG334)))</f>
        <v/>
      </c>
      <c r="EL334">
        <f>IF(OR(EG$3="",EG$3&gt;TODAY()),"",IF(AND(EJ334="",EK334=""),"",N(EK334)-N(EJ334)))</f>
        <v/>
      </c>
      <c r="EP334">
        <f>IF(OR(EN$3="",EN$3&gt;TODAY()),"",IF(AND(EN334="",EO334=""),"",N(EO334)-N(EN334)))</f>
        <v/>
      </c>
      <c r="ES334">
        <f>IF(OR(EN$3="",EN$3&gt;TODAY()),"",IF(AND(EQ334="",ER334=""),"",N(ER334)-N(EQ334)))</f>
        <v/>
      </c>
      <c r="EW334">
        <f>IF(OR(EU$3="",EU$3&gt;TODAY()),"",IF(AND(EU334="",EV334=""),"",N(EV334)-N(EU334)))</f>
        <v/>
      </c>
      <c r="EZ334">
        <f>IF(OR(EU$3="",EU$3&gt;TODAY()),"",IF(AND(EX334="",EY334=""),"",N(EY334)-N(EX334)))</f>
        <v/>
      </c>
      <c r="FD334">
        <f>IF(OR(FB$3="",FB$3&gt;TODAY()),"",IF(AND(FB334="",FC334=""),"",N(FC334)-N(FB334)))</f>
        <v/>
      </c>
      <c r="FG334">
        <f>IF(OR(FB$3="",FB$3&gt;TODAY()),"",IF(AND(FE334="",FF334=""),"",N(FF334)-N(FE334)))</f>
        <v/>
      </c>
      <c r="FK334">
        <f>IF(OR(FI$3="",FI$3&gt;TODAY()),"",IF(AND(FI334="",FJ334=""),"",N(FJ334)-N(FI334)))</f>
        <v/>
      </c>
      <c r="FN334">
        <f>IF(OR(FI$3="",FI$3&gt;TODAY()),"",IF(AND(FL334="",FM334=""),"",N(FM334)-N(FL334)))</f>
        <v/>
      </c>
      <c r="FR334">
        <f>IF(OR(FP$3="",FP$3&gt;TODAY()),"",IF(AND(FP334="",FQ334=""),"",N(FQ334)-N(FP334)))</f>
        <v/>
      </c>
      <c r="FU334">
        <f>IF(OR(FP$3="",FP$3&gt;TODAY()),"",IF(AND(FS334="",FT334=""),"",N(FT334)-N(FS334)))</f>
        <v/>
      </c>
      <c r="FY334">
        <f>IF(OR(FW$3="",FW$3&gt;TODAY()),"",IF(AND(FW334="",FX334=""),"",N(FX334)-N(FW334)))</f>
        <v/>
      </c>
      <c r="GB334">
        <f>IF(OR(FW$3="",FW$3&gt;TODAY()),"",IF(AND(FZ334="",GA334=""),"",N(GA334)-N(FZ334)))</f>
        <v/>
      </c>
      <c r="GF334">
        <f>IF(OR(GD$3="",GD$3&gt;TODAY()),"",IF(AND(GD334="",GE334=""),"",N(GE334)-N(GD334)))</f>
        <v/>
      </c>
      <c r="GI334">
        <f>IF(OR(GD$3="",GD$3&gt;TODAY()),"",IF(AND(GG334="",GH334=""),"",N(GH334)-N(GG334)))</f>
        <v/>
      </c>
      <c r="GM334">
        <f>IF(OR(GK$3="",GK$3&gt;TODAY()),"",IF(AND(GK334="",GL334=""),"",N(GL334)-N(GK334)))</f>
        <v/>
      </c>
      <c r="GP334">
        <f>IF(OR(GK$3="",GK$3&gt;TODAY()),"",IF(AND(GN334="",GO334=""),"",N(GO334)-N(GN334)))</f>
        <v/>
      </c>
      <c r="GT334">
        <f>IF(OR(GR$3="",GR$3&gt;TODAY()),"",IF(AND(GR334="",GS334=""),"",N(GS334)-N(GR334)))</f>
        <v/>
      </c>
      <c r="GW334">
        <f>IF(OR(GR$3="",GR$3&gt;TODAY()),"",IF(AND(GU334="",GV334=""),"",N(GV334)-N(GU334)))</f>
        <v/>
      </c>
      <c r="HA334">
        <f>IF(OR(GY$3="",GY$3&gt;TODAY()),"",IF(AND(GY334="",GZ334=""),"",N(GZ334)-N(GY334)))</f>
        <v/>
      </c>
      <c r="HD334">
        <f>IF(OR(GY$3="",GY$3&gt;TODAY()),"",IF(AND(HB334="",HC334=""),"",N(HC334)-N(HB334)))</f>
        <v/>
      </c>
      <c r="HH334">
        <f>IF(OR(HF$3="",HF$3&gt;TODAY()),"",IF(AND(HF334="",HG334=""),"",N(HG334)-N(HF334)))</f>
        <v/>
      </c>
      <c r="HK334">
        <f>IF(OR(HF$3="",HF$3&gt;TODAY()),"",IF(AND(HI334="",HJ334=""),"",N(HJ334)-N(HI334)))</f>
        <v/>
      </c>
      <c r="HO334">
        <f>IF(OR(HM$3="",HM$3&gt;TODAY()),"",IF(AND(HM334="",HN334=""),"",N(HN334)-N(HM334)))</f>
        <v/>
      </c>
      <c r="HR334">
        <f>IF(OR(HM$3="",HM$3&gt;TODAY()),"",IF(AND(HP334="",HQ334=""),"",N(HQ334)-N(HP334)))</f>
        <v/>
      </c>
      <c r="HV334">
        <f>IF(OR(HT$3="",HT$3&gt;TODAY()),"",IF(AND(HT334="",HU334=""),"",N(HU334)-N(HT334)))</f>
        <v/>
      </c>
      <c r="HY334">
        <f>IF(OR(HT$3="",HT$3&gt;TODAY()),"",IF(AND(HW334="",HX334=""),"",N(HX334)-N(HW334)))</f>
        <v/>
      </c>
      <c r="IC334">
        <f>IF(OR(IA$3="",IA$3&gt;TODAY()),"",IF(AND(IA334="",IB334=""),"",N(IB334)-N(IA334)))</f>
        <v/>
      </c>
      <c r="IF334">
        <f>IF(OR(IA$3="",IA$3&gt;TODAY()),"",IF(AND(ID334="",IE334=""),"",N(IE334)-N(ID334)))</f>
        <v/>
      </c>
      <c r="IJ334">
        <f>IF(OR(IH$3="",IH$3&gt;TODAY()),"",IF(AND(IH334="",II334=""),"",N(II334)-N(IH334)))</f>
        <v/>
      </c>
      <c r="IM334">
        <f>IF(OR(IH$3="",IH$3&gt;TODAY()),"",IF(AND(IK334="",IL334=""),"",N(IL334)-N(IK334)))</f>
        <v/>
      </c>
    </row>
    <row r="335">
      <c r="A335" s="21" t="n"/>
      <c r="B335" s="21" t="n"/>
      <c r="C335" s="21" t="n"/>
      <c r="D335" s="21" t="n"/>
      <c r="E335" s="21" t="n"/>
      <c r="F335" s="21" t="n"/>
      <c r="G335" s="21" t="n"/>
      <c r="H335" s="21" t="n"/>
      <c r="I335" s="22" t="n"/>
      <c r="J335" s="22" t="n"/>
      <c r="K335" s="23" t="n"/>
      <c r="L335" s="22" t="n"/>
      <c r="M335" s="22" t="n"/>
      <c r="N335" s="21" t="n"/>
      <c r="O335" s="23" t="n"/>
      <c r="P335" s="23" t="n"/>
      <c r="Q335" s="23" t="n"/>
      <c r="R335" s="23" t="n"/>
      <c r="S335" s="22" t="n"/>
      <c r="T335" s="23" t="n"/>
      <c r="U335" s="23" t="n"/>
      <c r="V335" s="24">
        <f>IF(J335&lt;&gt;"",J335,IF(I335&lt;&gt;"",I335,""))</f>
        <v/>
      </c>
      <c r="W335" s="25">
        <f>IF($E335="","",N(O335)+SUMIFS($AF335:$IN335,$AF$4:$IN$4,"SEW_ACT"))</f>
        <v/>
      </c>
      <c r="X335" s="25">
        <f>IF($E335="","",N(P335)+SUMIFS($AF335:$IN335,$AF$4:$IN$4,"WASH_ACT"))</f>
        <v/>
      </c>
      <c r="Y335" s="25">
        <f>IF($E335="","",W335-X335-N(T335)-N(U335))</f>
        <v/>
      </c>
      <c r="Z335" s="25">
        <f>IF($E335="","",IF(N(K335)-X335&lt;=0.02*N(K335),0,N(K335)-X335))</f>
        <v/>
      </c>
      <c r="AA335" s="24">
        <f>IF($E335="","",IF(S335&lt;&gt;"",S335,IF(N(O335)&gt;0,IF(L335&lt;&gt;"",L335,99999),IFERROR(1/(1/_xlfn.MINIFS($AF$3:$IN$3,$AF$4:$IN$4,"SEW_ACT",$AF335:$IN335,"&gt;0")),99999))))</f>
        <v/>
      </c>
      <c r="AB335" s="26">
        <f>IF(OR($E335="",Z335=0,V335=""),"",1+COUNTIFS(Z$8:Z$707,"&gt;0",V$8:V$707,"&lt;"&amp;V335)+COUNTIFS(Z$8:Z$707,"&gt;0",V$8:V$707,V335,AA$8:AA$707,"&lt;"&amp;AA335)+COUNTIFS(Z$8:Z$707,"&gt;0",V$8:V$707,V335,AA$8:AA$707,AA335,E$8:E$707,"&lt;"&amp;$E335))</f>
        <v/>
      </c>
      <c r="AC335" s="24">
        <f>IF(OR($E335="",Z335=0),"",IFERROR(TODAY()+ROUNDUP(Z335/(SUMIFS($AF335:$IN335,$AF$4:$IN$4,"WASH_ACT")/COUNTIFS($AF$4:$IN$4,"WASH_ACT",$AF335:$IN335,"&gt;0")),0),"no output yet"))</f>
        <v/>
      </c>
      <c r="AD335" s="26">
        <f>IF($E335="","",IFERROR(ROUND(MAX(0,SUMIFS($AF335:$IN335,$AF$4:$IN$4,"SEW_PLAN",$AF$3:$IN$3,"&lt;="&amp;TODAY())-SUMIFS($AF335:$IN335,$AF$4:$IN$4,"SEW_ACT",$AF$3:$IN$3,"&lt;="&amp;TODAY())+N(Q335))/(SUMIFS($AF335:$IN335,$AF$4:$IN$4,"SEW_PLAN")/COUNTIFS($AF$4:$IN$4,"SEW_PLAN",$AF335:$IN335,"&gt;0")),1),0))</f>
        <v/>
      </c>
      <c r="AE335" s="26">
        <f>IF($E335="","",IF(AND(Z335&gt;0,OR(AND(M335&lt;&gt;"",TODAY()&gt;M335),AND(V335&lt;&gt;"",V335-TODAY()&lt;=7))),"Yes","No"))</f>
        <v/>
      </c>
      <c r="AH335">
        <f>IF(OR(AF$3="",AF$3&gt;TODAY()),"",IF(AND(AF335="",AG335=""),"",N(AG335)-N(AF335)))</f>
        <v/>
      </c>
      <c r="AK335">
        <f>IF(OR(AF$3="",AF$3&gt;TODAY()),"",IF(AND(AI335="",AJ335=""),"",N(AJ335)-N(AI335)))</f>
        <v/>
      </c>
      <c r="AO335">
        <f>IF(OR(AM$3="",AM$3&gt;TODAY()),"",IF(AND(AM335="",AN335=""),"",N(AN335)-N(AM335)))</f>
        <v/>
      </c>
      <c r="AR335">
        <f>IF(OR(AM$3="",AM$3&gt;TODAY()),"",IF(AND(AP335="",AQ335=""),"",N(AQ335)-N(AP335)))</f>
        <v/>
      </c>
      <c r="AV335">
        <f>IF(OR(AT$3="",AT$3&gt;TODAY()),"",IF(AND(AT335="",AU335=""),"",N(AU335)-N(AT335)))</f>
        <v/>
      </c>
      <c r="AY335">
        <f>IF(OR(AT$3="",AT$3&gt;TODAY()),"",IF(AND(AW335="",AX335=""),"",N(AX335)-N(AW335)))</f>
        <v/>
      </c>
      <c r="BC335">
        <f>IF(OR(BA$3="",BA$3&gt;TODAY()),"",IF(AND(BA335="",BB335=""),"",N(BB335)-N(BA335)))</f>
        <v/>
      </c>
      <c r="BF335">
        <f>IF(OR(BA$3="",BA$3&gt;TODAY()),"",IF(AND(BD335="",BE335=""),"",N(BE335)-N(BD335)))</f>
        <v/>
      </c>
      <c r="BJ335">
        <f>IF(OR(BH$3="",BH$3&gt;TODAY()),"",IF(AND(BH335="",BI335=""),"",N(BI335)-N(BH335)))</f>
        <v/>
      </c>
      <c r="BM335">
        <f>IF(OR(BH$3="",BH$3&gt;TODAY()),"",IF(AND(BK335="",BL335=""),"",N(BL335)-N(BK335)))</f>
        <v/>
      </c>
      <c r="BQ335">
        <f>IF(OR(BO$3="",BO$3&gt;TODAY()),"",IF(AND(BO335="",BP335=""),"",N(BP335)-N(BO335)))</f>
        <v/>
      </c>
      <c r="BT335">
        <f>IF(OR(BO$3="",BO$3&gt;TODAY()),"",IF(AND(BR335="",BS335=""),"",N(BS335)-N(BR335)))</f>
        <v/>
      </c>
      <c r="BX335">
        <f>IF(OR(BV$3="",BV$3&gt;TODAY()),"",IF(AND(BV335="",BW335=""),"",N(BW335)-N(BV335)))</f>
        <v/>
      </c>
      <c r="CA335">
        <f>IF(OR(BV$3="",BV$3&gt;TODAY()),"",IF(AND(BY335="",BZ335=""),"",N(BZ335)-N(BY335)))</f>
        <v/>
      </c>
      <c r="CE335">
        <f>IF(OR(CC$3="",CC$3&gt;TODAY()),"",IF(AND(CC335="",CD335=""),"",N(CD335)-N(CC335)))</f>
        <v/>
      </c>
      <c r="CH335">
        <f>IF(OR(CC$3="",CC$3&gt;TODAY()),"",IF(AND(CF335="",CG335=""),"",N(CG335)-N(CF335)))</f>
        <v/>
      </c>
      <c r="CL335">
        <f>IF(OR(CJ$3="",CJ$3&gt;TODAY()),"",IF(AND(CJ335="",CK335=""),"",N(CK335)-N(CJ335)))</f>
        <v/>
      </c>
      <c r="CO335">
        <f>IF(OR(CJ$3="",CJ$3&gt;TODAY()),"",IF(AND(CM335="",CN335=""),"",N(CN335)-N(CM335)))</f>
        <v/>
      </c>
      <c r="CS335">
        <f>IF(OR(CQ$3="",CQ$3&gt;TODAY()),"",IF(AND(CQ335="",CR335=""),"",N(CR335)-N(CQ335)))</f>
        <v/>
      </c>
      <c r="CV335">
        <f>IF(OR(CQ$3="",CQ$3&gt;TODAY()),"",IF(AND(CT335="",CU335=""),"",N(CU335)-N(CT335)))</f>
        <v/>
      </c>
      <c r="CZ335">
        <f>IF(OR(CX$3="",CX$3&gt;TODAY()),"",IF(AND(CX335="",CY335=""),"",N(CY335)-N(CX335)))</f>
        <v/>
      </c>
      <c r="DC335">
        <f>IF(OR(CX$3="",CX$3&gt;TODAY()),"",IF(AND(DA335="",DB335=""),"",N(DB335)-N(DA335)))</f>
        <v/>
      </c>
      <c r="DG335">
        <f>IF(OR(DE$3="",DE$3&gt;TODAY()),"",IF(AND(DE335="",DF335=""),"",N(DF335)-N(DE335)))</f>
        <v/>
      </c>
      <c r="DJ335">
        <f>IF(OR(DE$3="",DE$3&gt;TODAY()),"",IF(AND(DH335="",DI335=""),"",N(DI335)-N(DH335)))</f>
        <v/>
      </c>
      <c r="DN335">
        <f>IF(OR(DL$3="",DL$3&gt;TODAY()),"",IF(AND(DL335="",DM335=""),"",N(DM335)-N(DL335)))</f>
        <v/>
      </c>
      <c r="DQ335">
        <f>IF(OR(DL$3="",DL$3&gt;TODAY()),"",IF(AND(DO335="",DP335=""),"",N(DP335)-N(DO335)))</f>
        <v/>
      </c>
      <c r="DU335">
        <f>IF(OR(DS$3="",DS$3&gt;TODAY()),"",IF(AND(DS335="",DT335=""),"",N(DT335)-N(DS335)))</f>
        <v/>
      </c>
      <c r="DX335">
        <f>IF(OR(DS$3="",DS$3&gt;TODAY()),"",IF(AND(DV335="",DW335=""),"",N(DW335)-N(DV335)))</f>
        <v/>
      </c>
      <c r="EB335">
        <f>IF(OR(DZ$3="",DZ$3&gt;TODAY()),"",IF(AND(DZ335="",EA335=""),"",N(EA335)-N(DZ335)))</f>
        <v/>
      </c>
      <c r="EE335">
        <f>IF(OR(DZ$3="",DZ$3&gt;TODAY()),"",IF(AND(EC335="",ED335=""),"",N(ED335)-N(EC335)))</f>
        <v/>
      </c>
      <c r="EI335">
        <f>IF(OR(EG$3="",EG$3&gt;TODAY()),"",IF(AND(EG335="",EH335=""),"",N(EH335)-N(EG335)))</f>
        <v/>
      </c>
      <c r="EL335">
        <f>IF(OR(EG$3="",EG$3&gt;TODAY()),"",IF(AND(EJ335="",EK335=""),"",N(EK335)-N(EJ335)))</f>
        <v/>
      </c>
      <c r="EP335">
        <f>IF(OR(EN$3="",EN$3&gt;TODAY()),"",IF(AND(EN335="",EO335=""),"",N(EO335)-N(EN335)))</f>
        <v/>
      </c>
      <c r="ES335">
        <f>IF(OR(EN$3="",EN$3&gt;TODAY()),"",IF(AND(EQ335="",ER335=""),"",N(ER335)-N(EQ335)))</f>
        <v/>
      </c>
      <c r="EW335">
        <f>IF(OR(EU$3="",EU$3&gt;TODAY()),"",IF(AND(EU335="",EV335=""),"",N(EV335)-N(EU335)))</f>
        <v/>
      </c>
      <c r="EZ335">
        <f>IF(OR(EU$3="",EU$3&gt;TODAY()),"",IF(AND(EX335="",EY335=""),"",N(EY335)-N(EX335)))</f>
        <v/>
      </c>
      <c r="FD335">
        <f>IF(OR(FB$3="",FB$3&gt;TODAY()),"",IF(AND(FB335="",FC335=""),"",N(FC335)-N(FB335)))</f>
        <v/>
      </c>
      <c r="FG335">
        <f>IF(OR(FB$3="",FB$3&gt;TODAY()),"",IF(AND(FE335="",FF335=""),"",N(FF335)-N(FE335)))</f>
        <v/>
      </c>
      <c r="FK335">
        <f>IF(OR(FI$3="",FI$3&gt;TODAY()),"",IF(AND(FI335="",FJ335=""),"",N(FJ335)-N(FI335)))</f>
        <v/>
      </c>
      <c r="FN335">
        <f>IF(OR(FI$3="",FI$3&gt;TODAY()),"",IF(AND(FL335="",FM335=""),"",N(FM335)-N(FL335)))</f>
        <v/>
      </c>
      <c r="FR335">
        <f>IF(OR(FP$3="",FP$3&gt;TODAY()),"",IF(AND(FP335="",FQ335=""),"",N(FQ335)-N(FP335)))</f>
        <v/>
      </c>
      <c r="FU335">
        <f>IF(OR(FP$3="",FP$3&gt;TODAY()),"",IF(AND(FS335="",FT335=""),"",N(FT335)-N(FS335)))</f>
        <v/>
      </c>
      <c r="FY335">
        <f>IF(OR(FW$3="",FW$3&gt;TODAY()),"",IF(AND(FW335="",FX335=""),"",N(FX335)-N(FW335)))</f>
        <v/>
      </c>
      <c r="GB335">
        <f>IF(OR(FW$3="",FW$3&gt;TODAY()),"",IF(AND(FZ335="",GA335=""),"",N(GA335)-N(FZ335)))</f>
        <v/>
      </c>
      <c r="GF335">
        <f>IF(OR(GD$3="",GD$3&gt;TODAY()),"",IF(AND(GD335="",GE335=""),"",N(GE335)-N(GD335)))</f>
        <v/>
      </c>
      <c r="GI335">
        <f>IF(OR(GD$3="",GD$3&gt;TODAY()),"",IF(AND(GG335="",GH335=""),"",N(GH335)-N(GG335)))</f>
        <v/>
      </c>
      <c r="GM335">
        <f>IF(OR(GK$3="",GK$3&gt;TODAY()),"",IF(AND(GK335="",GL335=""),"",N(GL335)-N(GK335)))</f>
        <v/>
      </c>
      <c r="GP335">
        <f>IF(OR(GK$3="",GK$3&gt;TODAY()),"",IF(AND(GN335="",GO335=""),"",N(GO335)-N(GN335)))</f>
        <v/>
      </c>
      <c r="GT335">
        <f>IF(OR(GR$3="",GR$3&gt;TODAY()),"",IF(AND(GR335="",GS335=""),"",N(GS335)-N(GR335)))</f>
        <v/>
      </c>
      <c r="GW335">
        <f>IF(OR(GR$3="",GR$3&gt;TODAY()),"",IF(AND(GU335="",GV335=""),"",N(GV335)-N(GU335)))</f>
        <v/>
      </c>
      <c r="HA335">
        <f>IF(OR(GY$3="",GY$3&gt;TODAY()),"",IF(AND(GY335="",GZ335=""),"",N(GZ335)-N(GY335)))</f>
        <v/>
      </c>
      <c r="HD335">
        <f>IF(OR(GY$3="",GY$3&gt;TODAY()),"",IF(AND(HB335="",HC335=""),"",N(HC335)-N(HB335)))</f>
        <v/>
      </c>
      <c r="HH335">
        <f>IF(OR(HF$3="",HF$3&gt;TODAY()),"",IF(AND(HF335="",HG335=""),"",N(HG335)-N(HF335)))</f>
        <v/>
      </c>
      <c r="HK335">
        <f>IF(OR(HF$3="",HF$3&gt;TODAY()),"",IF(AND(HI335="",HJ335=""),"",N(HJ335)-N(HI335)))</f>
        <v/>
      </c>
      <c r="HO335">
        <f>IF(OR(HM$3="",HM$3&gt;TODAY()),"",IF(AND(HM335="",HN335=""),"",N(HN335)-N(HM335)))</f>
        <v/>
      </c>
      <c r="HR335">
        <f>IF(OR(HM$3="",HM$3&gt;TODAY()),"",IF(AND(HP335="",HQ335=""),"",N(HQ335)-N(HP335)))</f>
        <v/>
      </c>
      <c r="HV335">
        <f>IF(OR(HT$3="",HT$3&gt;TODAY()),"",IF(AND(HT335="",HU335=""),"",N(HU335)-N(HT335)))</f>
        <v/>
      </c>
      <c r="HY335">
        <f>IF(OR(HT$3="",HT$3&gt;TODAY()),"",IF(AND(HW335="",HX335=""),"",N(HX335)-N(HW335)))</f>
        <v/>
      </c>
      <c r="IC335">
        <f>IF(OR(IA$3="",IA$3&gt;TODAY()),"",IF(AND(IA335="",IB335=""),"",N(IB335)-N(IA335)))</f>
        <v/>
      </c>
      <c r="IF335">
        <f>IF(OR(IA$3="",IA$3&gt;TODAY()),"",IF(AND(ID335="",IE335=""),"",N(IE335)-N(ID335)))</f>
        <v/>
      </c>
      <c r="IJ335">
        <f>IF(OR(IH$3="",IH$3&gt;TODAY()),"",IF(AND(IH335="",II335=""),"",N(II335)-N(IH335)))</f>
        <v/>
      </c>
      <c r="IM335">
        <f>IF(OR(IH$3="",IH$3&gt;TODAY()),"",IF(AND(IK335="",IL335=""),"",N(IL335)-N(IK335)))</f>
        <v/>
      </c>
    </row>
    <row r="336">
      <c r="A336" s="21" t="n"/>
      <c r="B336" s="21" t="n"/>
      <c r="C336" s="21" t="n"/>
      <c r="D336" s="21" t="n"/>
      <c r="E336" s="21" t="n"/>
      <c r="F336" s="21" t="n"/>
      <c r="G336" s="21" t="n"/>
      <c r="H336" s="21" t="n"/>
      <c r="I336" s="22" t="n"/>
      <c r="J336" s="22" t="n"/>
      <c r="K336" s="23" t="n"/>
      <c r="L336" s="22" t="n"/>
      <c r="M336" s="22" t="n"/>
      <c r="N336" s="21" t="n"/>
      <c r="O336" s="23" t="n"/>
      <c r="P336" s="23" t="n"/>
      <c r="Q336" s="23" t="n"/>
      <c r="R336" s="23" t="n"/>
      <c r="S336" s="22" t="n"/>
      <c r="T336" s="23" t="n"/>
      <c r="U336" s="23" t="n"/>
      <c r="V336" s="24">
        <f>IF(J336&lt;&gt;"",J336,IF(I336&lt;&gt;"",I336,""))</f>
        <v/>
      </c>
      <c r="W336" s="25">
        <f>IF($E336="","",N(O336)+SUMIFS($AF336:$IN336,$AF$4:$IN$4,"SEW_ACT"))</f>
        <v/>
      </c>
      <c r="X336" s="25">
        <f>IF($E336="","",N(P336)+SUMIFS($AF336:$IN336,$AF$4:$IN$4,"WASH_ACT"))</f>
        <v/>
      </c>
      <c r="Y336" s="25">
        <f>IF($E336="","",W336-X336-N(T336)-N(U336))</f>
        <v/>
      </c>
      <c r="Z336" s="25">
        <f>IF($E336="","",IF(N(K336)-X336&lt;=0.02*N(K336),0,N(K336)-X336))</f>
        <v/>
      </c>
      <c r="AA336" s="24">
        <f>IF($E336="","",IF(S336&lt;&gt;"",S336,IF(N(O336)&gt;0,IF(L336&lt;&gt;"",L336,99999),IFERROR(1/(1/_xlfn.MINIFS($AF$3:$IN$3,$AF$4:$IN$4,"SEW_ACT",$AF336:$IN336,"&gt;0")),99999))))</f>
        <v/>
      </c>
      <c r="AB336" s="26">
        <f>IF(OR($E336="",Z336=0,V336=""),"",1+COUNTIFS(Z$8:Z$707,"&gt;0",V$8:V$707,"&lt;"&amp;V336)+COUNTIFS(Z$8:Z$707,"&gt;0",V$8:V$707,V336,AA$8:AA$707,"&lt;"&amp;AA336)+COUNTIFS(Z$8:Z$707,"&gt;0",V$8:V$707,V336,AA$8:AA$707,AA336,E$8:E$707,"&lt;"&amp;$E336))</f>
        <v/>
      </c>
      <c r="AC336" s="24">
        <f>IF(OR($E336="",Z336=0),"",IFERROR(TODAY()+ROUNDUP(Z336/(SUMIFS($AF336:$IN336,$AF$4:$IN$4,"WASH_ACT")/COUNTIFS($AF$4:$IN$4,"WASH_ACT",$AF336:$IN336,"&gt;0")),0),"no output yet"))</f>
        <v/>
      </c>
      <c r="AD336" s="26">
        <f>IF($E336="","",IFERROR(ROUND(MAX(0,SUMIFS($AF336:$IN336,$AF$4:$IN$4,"SEW_PLAN",$AF$3:$IN$3,"&lt;="&amp;TODAY())-SUMIFS($AF336:$IN336,$AF$4:$IN$4,"SEW_ACT",$AF$3:$IN$3,"&lt;="&amp;TODAY())+N(Q336))/(SUMIFS($AF336:$IN336,$AF$4:$IN$4,"SEW_PLAN")/COUNTIFS($AF$4:$IN$4,"SEW_PLAN",$AF336:$IN336,"&gt;0")),1),0))</f>
        <v/>
      </c>
      <c r="AE336" s="26">
        <f>IF($E336="","",IF(AND(Z336&gt;0,OR(AND(M336&lt;&gt;"",TODAY()&gt;M336),AND(V336&lt;&gt;"",V336-TODAY()&lt;=7))),"Yes","No"))</f>
        <v/>
      </c>
      <c r="AH336">
        <f>IF(OR(AF$3="",AF$3&gt;TODAY()),"",IF(AND(AF336="",AG336=""),"",N(AG336)-N(AF336)))</f>
        <v/>
      </c>
      <c r="AK336">
        <f>IF(OR(AF$3="",AF$3&gt;TODAY()),"",IF(AND(AI336="",AJ336=""),"",N(AJ336)-N(AI336)))</f>
        <v/>
      </c>
      <c r="AO336">
        <f>IF(OR(AM$3="",AM$3&gt;TODAY()),"",IF(AND(AM336="",AN336=""),"",N(AN336)-N(AM336)))</f>
        <v/>
      </c>
      <c r="AR336">
        <f>IF(OR(AM$3="",AM$3&gt;TODAY()),"",IF(AND(AP336="",AQ336=""),"",N(AQ336)-N(AP336)))</f>
        <v/>
      </c>
      <c r="AV336">
        <f>IF(OR(AT$3="",AT$3&gt;TODAY()),"",IF(AND(AT336="",AU336=""),"",N(AU336)-N(AT336)))</f>
        <v/>
      </c>
      <c r="AY336">
        <f>IF(OR(AT$3="",AT$3&gt;TODAY()),"",IF(AND(AW336="",AX336=""),"",N(AX336)-N(AW336)))</f>
        <v/>
      </c>
      <c r="BC336">
        <f>IF(OR(BA$3="",BA$3&gt;TODAY()),"",IF(AND(BA336="",BB336=""),"",N(BB336)-N(BA336)))</f>
        <v/>
      </c>
      <c r="BF336">
        <f>IF(OR(BA$3="",BA$3&gt;TODAY()),"",IF(AND(BD336="",BE336=""),"",N(BE336)-N(BD336)))</f>
        <v/>
      </c>
      <c r="BJ336">
        <f>IF(OR(BH$3="",BH$3&gt;TODAY()),"",IF(AND(BH336="",BI336=""),"",N(BI336)-N(BH336)))</f>
        <v/>
      </c>
      <c r="BM336">
        <f>IF(OR(BH$3="",BH$3&gt;TODAY()),"",IF(AND(BK336="",BL336=""),"",N(BL336)-N(BK336)))</f>
        <v/>
      </c>
      <c r="BQ336">
        <f>IF(OR(BO$3="",BO$3&gt;TODAY()),"",IF(AND(BO336="",BP336=""),"",N(BP336)-N(BO336)))</f>
        <v/>
      </c>
      <c r="BT336">
        <f>IF(OR(BO$3="",BO$3&gt;TODAY()),"",IF(AND(BR336="",BS336=""),"",N(BS336)-N(BR336)))</f>
        <v/>
      </c>
      <c r="BX336">
        <f>IF(OR(BV$3="",BV$3&gt;TODAY()),"",IF(AND(BV336="",BW336=""),"",N(BW336)-N(BV336)))</f>
        <v/>
      </c>
      <c r="CA336">
        <f>IF(OR(BV$3="",BV$3&gt;TODAY()),"",IF(AND(BY336="",BZ336=""),"",N(BZ336)-N(BY336)))</f>
        <v/>
      </c>
      <c r="CE336">
        <f>IF(OR(CC$3="",CC$3&gt;TODAY()),"",IF(AND(CC336="",CD336=""),"",N(CD336)-N(CC336)))</f>
        <v/>
      </c>
      <c r="CH336">
        <f>IF(OR(CC$3="",CC$3&gt;TODAY()),"",IF(AND(CF336="",CG336=""),"",N(CG336)-N(CF336)))</f>
        <v/>
      </c>
      <c r="CL336">
        <f>IF(OR(CJ$3="",CJ$3&gt;TODAY()),"",IF(AND(CJ336="",CK336=""),"",N(CK336)-N(CJ336)))</f>
        <v/>
      </c>
      <c r="CO336">
        <f>IF(OR(CJ$3="",CJ$3&gt;TODAY()),"",IF(AND(CM336="",CN336=""),"",N(CN336)-N(CM336)))</f>
        <v/>
      </c>
      <c r="CS336">
        <f>IF(OR(CQ$3="",CQ$3&gt;TODAY()),"",IF(AND(CQ336="",CR336=""),"",N(CR336)-N(CQ336)))</f>
        <v/>
      </c>
      <c r="CV336">
        <f>IF(OR(CQ$3="",CQ$3&gt;TODAY()),"",IF(AND(CT336="",CU336=""),"",N(CU336)-N(CT336)))</f>
        <v/>
      </c>
      <c r="CZ336">
        <f>IF(OR(CX$3="",CX$3&gt;TODAY()),"",IF(AND(CX336="",CY336=""),"",N(CY336)-N(CX336)))</f>
        <v/>
      </c>
      <c r="DC336">
        <f>IF(OR(CX$3="",CX$3&gt;TODAY()),"",IF(AND(DA336="",DB336=""),"",N(DB336)-N(DA336)))</f>
        <v/>
      </c>
      <c r="DG336">
        <f>IF(OR(DE$3="",DE$3&gt;TODAY()),"",IF(AND(DE336="",DF336=""),"",N(DF336)-N(DE336)))</f>
        <v/>
      </c>
      <c r="DJ336">
        <f>IF(OR(DE$3="",DE$3&gt;TODAY()),"",IF(AND(DH336="",DI336=""),"",N(DI336)-N(DH336)))</f>
        <v/>
      </c>
      <c r="DN336">
        <f>IF(OR(DL$3="",DL$3&gt;TODAY()),"",IF(AND(DL336="",DM336=""),"",N(DM336)-N(DL336)))</f>
        <v/>
      </c>
      <c r="DQ336">
        <f>IF(OR(DL$3="",DL$3&gt;TODAY()),"",IF(AND(DO336="",DP336=""),"",N(DP336)-N(DO336)))</f>
        <v/>
      </c>
      <c r="DU336">
        <f>IF(OR(DS$3="",DS$3&gt;TODAY()),"",IF(AND(DS336="",DT336=""),"",N(DT336)-N(DS336)))</f>
        <v/>
      </c>
      <c r="DX336">
        <f>IF(OR(DS$3="",DS$3&gt;TODAY()),"",IF(AND(DV336="",DW336=""),"",N(DW336)-N(DV336)))</f>
        <v/>
      </c>
      <c r="EB336">
        <f>IF(OR(DZ$3="",DZ$3&gt;TODAY()),"",IF(AND(DZ336="",EA336=""),"",N(EA336)-N(DZ336)))</f>
        <v/>
      </c>
      <c r="EE336">
        <f>IF(OR(DZ$3="",DZ$3&gt;TODAY()),"",IF(AND(EC336="",ED336=""),"",N(ED336)-N(EC336)))</f>
        <v/>
      </c>
      <c r="EI336">
        <f>IF(OR(EG$3="",EG$3&gt;TODAY()),"",IF(AND(EG336="",EH336=""),"",N(EH336)-N(EG336)))</f>
        <v/>
      </c>
      <c r="EL336">
        <f>IF(OR(EG$3="",EG$3&gt;TODAY()),"",IF(AND(EJ336="",EK336=""),"",N(EK336)-N(EJ336)))</f>
        <v/>
      </c>
      <c r="EP336">
        <f>IF(OR(EN$3="",EN$3&gt;TODAY()),"",IF(AND(EN336="",EO336=""),"",N(EO336)-N(EN336)))</f>
        <v/>
      </c>
      <c r="ES336">
        <f>IF(OR(EN$3="",EN$3&gt;TODAY()),"",IF(AND(EQ336="",ER336=""),"",N(ER336)-N(EQ336)))</f>
        <v/>
      </c>
      <c r="EW336">
        <f>IF(OR(EU$3="",EU$3&gt;TODAY()),"",IF(AND(EU336="",EV336=""),"",N(EV336)-N(EU336)))</f>
        <v/>
      </c>
      <c r="EZ336">
        <f>IF(OR(EU$3="",EU$3&gt;TODAY()),"",IF(AND(EX336="",EY336=""),"",N(EY336)-N(EX336)))</f>
        <v/>
      </c>
      <c r="FD336">
        <f>IF(OR(FB$3="",FB$3&gt;TODAY()),"",IF(AND(FB336="",FC336=""),"",N(FC336)-N(FB336)))</f>
        <v/>
      </c>
      <c r="FG336">
        <f>IF(OR(FB$3="",FB$3&gt;TODAY()),"",IF(AND(FE336="",FF336=""),"",N(FF336)-N(FE336)))</f>
        <v/>
      </c>
      <c r="FK336">
        <f>IF(OR(FI$3="",FI$3&gt;TODAY()),"",IF(AND(FI336="",FJ336=""),"",N(FJ336)-N(FI336)))</f>
        <v/>
      </c>
      <c r="FN336">
        <f>IF(OR(FI$3="",FI$3&gt;TODAY()),"",IF(AND(FL336="",FM336=""),"",N(FM336)-N(FL336)))</f>
        <v/>
      </c>
      <c r="FR336">
        <f>IF(OR(FP$3="",FP$3&gt;TODAY()),"",IF(AND(FP336="",FQ336=""),"",N(FQ336)-N(FP336)))</f>
        <v/>
      </c>
      <c r="FU336">
        <f>IF(OR(FP$3="",FP$3&gt;TODAY()),"",IF(AND(FS336="",FT336=""),"",N(FT336)-N(FS336)))</f>
        <v/>
      </c>
      <c r="FY336">
        <f>IF(OR(FW$3="",FW$3&gt;TODAY()),"",IF(AND(FW336="",FX336=""),"",N(FX336)-N(FW336)))</f>
        <v/>
      </c>
      <c r="GB336">
        <f>IF(OR(FW$3="",FW$3&gt;TODAY()),"",IF(AND(FZ336="",GA336=""),"",N(GA336)-N(FZ336)))</f>
        <v/>
      </c>
      <c r="GF336">
        <f>IF(OR(GD$3="",GD$3&gt;TODAY()),"",IF(AND(GD336="",GE336=""),"",N(GE336)-N(GD336)))</f>
        <v/>
      </c>
      <c r="GI336">
        <f>IF(OR(GD$3="",GD$3&gt;TODAY()),"",IF(AND(GG336="",GH336=""),"",N(GH336)-N(GG336)))</f>
        <v/>
      </c>
      <c r="GM336">
        <f>IF(OR(GK$3="",GK$3&gt;TODAY()),"",IF(AND(GK336="",GL336=""),"",N(GL336)-N(GK336)))</f>
        <v/>
      </c>
      <c r="GP336">
        <f>IF(OR(GK$3="",GK$3&gt;TODAY()),"",IF(AND(GN336="",GO336=""),"",N(GO336)-N(GN336)))</f>
        <v/>
      </c>
      <c r="GT336">
        <f>IF(OR(GR$3="",GR$3&gt;TODAY()),"",IF(AND(GR336="",GS336=""),"",N(GS336)-N(GR336)))</f>
        <v/>
      </c>
      <c r="GW336">
        <f>IF(OR(GR$3="",GR$3&gt;TODAY()),"",IF(AND(GU336="",GV336=""),"",N(GV336)-N(GU336)))</f>
        <v/>
      </c>
      <c r="HA336">
        <f>IF(OR(GY$3="",GY$3&gt;TODAY()),"",IF(AND(GY336="",GZ336=""),"",N(GZ336)-N(GY336)))</f>
        <v/>
      </c>
      <c r="HD336">
        <f>IF(OR(GY$3="",GY$3&gt;TODAY()),"",IF(AND(HB336="",HC336=""),"",N(HC336)-N(HB336)))</f>
        <v/>
      </c>
      <c r="HH336">
        <f>IF(OR(HF$3="",HF$3&gt;TODAY()),"",IF(AND(HF336="",HG336=""),"",N(HG336)-N(HF336)))</f>
        <v/>
      </c>
      <c r="HK336">
        <f>IF(OR(HF$3="",HF$3&gt;TODAY()),"",IF(AND(HI336="",HJ336=""),"",N(HJ336)-N(HI336)))</f>
        <v/>
      </c>
      <c r="HO336">
        <f>IF(OR(HM$3="",HM$3&gt;TODAY()),"",IF(AND(HM336="",HN336=""),"",N(HN336)-N(HM336)))</f>
        <v/>
      </c>
      <c r="HR336">
        <f>IF(OR(HM$3="",HM$3&gt;TODAY()),"",IF(AND(HP336="",HQ336=""),"",N(HQ336)-N(HP336)))</f>
        <v/>
      </c>
      <c r="HV336">
        <f>IF(OR(HT$3="",HT$3&gt;TODAY()),"",IF(AND(HT336="",HU336=""),"",N(HU336)-N(HT336)))</f>
        <v/>
      </c>
      <c r="HY336">
        <f>IF(OR(HT$3="",HT$3&gt;TODAY()),"",IF(AND(HW336="",HX336=""),"",N(HX336)-N(HW336)))</f>
        <v/>
      </c>
      <c r="IC336">
        <f>IF(OR(IA$3="",IA$3&gt;TODAY()),"",IF(AND(IA336="",IB336=""),"",N(IB336)-N(IA336)))</f>
        <v/>
      </c>
      <c r="IF336">
        <f>IF(OR(IA$3="",IA$3&gt;TODAY()),"",IF(AND(ID336="",IE336=""),"",N(IE336)-N(ID336)))</f>
        <v/>
      </c>
      <c r="IJ336">
        <f>IF(OR(IH$3="",IH$3&gt;TODAY()),"",IF(AND(IH336="",II336=""),"",N(II336)-N(IH336)))</f>
        <v/>
      </c>
      <c r="IM336">
        <f>IF(OR(IH$3="",IH$3&gt;TODAY()),"",IF(AND(IK336="",IL336=""),"",N(IL336)-N(IK336)))</f>
        <v/>
      </c>
    </row>
    <row r="337">
      <c r="A337" s="21" t="n"/>
      <c r="B337" s="21" t="n"/>
      <c r="C337" s="21" t="n"/>
      <c r="D337" s="21" t="n"/>
      <c r="E337" s="21" t="n"/>
      <c r="F337" s="21" t="n"/>
      <c r="G337" s="21" t="n"/>
      <c r="H337" s="21" t="n"/>
      <c r="I337" s="22" t="n"/>
      <c r="J337" s="22" t="n"/>
      <c r="K337" s="23" t="n"/>
      <c r="L337" s="22" t="n"/>
      <c r="M337" s="22" t="n"/>
      <c r="N337" s="21" t="n"/>
      <c r="O337" s="23" t="n"/>
      <c r="P337" s="23" t="n"/>
      <c r="Q337" s="23" t="n"/>
      <c r="R337" s="23" t="n"/>
      <c r="S337" s="22" t="n"/>
      <c r="T337" s="23" t="n"/>
      <c r="U337" s="23" t="n"/>
      <c r="V337" s="24">
        <f>IF(J337&lt;&gt;"",J337,IF(I337&lt;&gt;"",I337,""))</f>
        <v/>
      </c>
      <c r="W337" s="25">
        <f>IF($E337="","",N(O337)+SUMIFS($AF337:$IN337,$AF$4:$IN$4,"SEW_ACT"))</f>
        <v/>
      </c>
      <c r="X337" s="25">
        <f>IF($E337="","",N(P337)+SUMIFS($AF337:$IN337,$AF$4:$IN$4,"WASH_ACT"))</f>
        <v/>
      </c>
      <c r="Y337" s="25">
        <f>IF($E337="","",W337-X337-N(T337)-N(U337))</f>
        <v/>
      </c>
      <c r="Z337" s="25">
        <f>IF($E337="","",IF(N(K337)-X337&lt;=0.02*N(K337),0,N(K337)-X337))</f>
        <v/>
      </c>
      <c r="AA337" s="24">
        <f>IF($E337="","",IF(S337&lt;&gt;"",S337,IF(N(O337)&gt;0,IF(L337&lt;&gt;"",L337,99999),IFERROR(1/(1/_xlfn.MINIFS($AF$3:$IN$3,$AF$4:$IN$4,"SEW_ACT",$AF337:$IN337,"&gt;0")),99999))))</f>
        <v/>
      </c>
      <c r="AB337" s="26">
        <f>IF(OR($E337="",Z337=0,V337=""),"",1+COUNTIFS(Z$8:Z$707,"&gt;0",V$8:V$707,"&lt;"&amp;V337)+COUNTIFS(Z$8:Z$707,"&gt;0",V$8:V$707,V337,AA$8:AA$707,"&lt;"&amp;AA337)+COUNTIFS(Z$8:Z$707,"&gt;0",V$8:V$707,V337,AA$8:AA$707,AA337,E$8:E$707,"&lt;"&amp;$E337))</f>
        <v/>
      </c>
      <c r="AC337" s="24">
        <f>IF(OR($E337="",Z337=0),"",IFERROR(TODAY()+ROUNDUP(Z337/(SUMIFS($AF337:$IN337,$AF$4:$IN$4,"WASH_ACT")/COUNTIFS($AF$4:$IN$4,"WASH_ACT",$AF337:$IN337,"&gt;0")),0),"no output yet"))</f>
        <v/>
      </c>
      <c r="AD337" s="26">
        <f>IF($E337="","",IFERROR(ROUND(MAX(0,SUMIFS($AF337:$IN337,$AF$4:$IN$4,"SEW_PLAN",$AF$3:$IN$3,"&lt;="&amp;TODAY())-SUMIFS($AF337:$IN337,$AF$4:$IN$4,"SEW_ACT",$AF$3:$IN$3,"&lt;="&amp;TODAY())+N(Q337))/(SUMIFS($AF337:$IN337,$AF$4:$IN$4,"SEW_PLAN")/COUNTIFS($AF$4:$IN$4,"SEW_PLAN",$AF337:$IN337,"&gt;0")),1),0))</f>
        <v/>
      </c>
      <c r="AE337" s="26">
        <f>IF($E337="","",IF(AND(Z337&gt;0,OR(AND(M337&lt;&gt;"",TODAY()&gt;M337),AND(V337&lt;&gt;"",V337-TODAY()&lt;=7))),"Yes","No"))</f>
        <v/>
      </c>
      <c r="AH337">
        <f>IF(OR(AF$3="",AF$3&gt;TODAY()),"",IF(AND(AF337="",AG337=""),"",N(AG337)-N(AF337)))</f>
        <v/>
      </c>
      <c r="AK337">
        <f>IF(OR(AF$3="",AF$3&gt;TODAY()),"",IF(AND(AI337="",AJ337=""),"",N(AJ337)-N(AI337)))</f>
        <v/>
      </c>
      <c r="AO337">
        <f>IF(OR(AM$3="",AM$3&gt;TODAY()),"",IF(AND(AM337="",AN337=""),"",N(AN337)-N(AM337)))</f>
        <v/>
      </c>
      <c r="AR337">
        <f>IF(OR(AM$3="",AM$3&gt;TODAY()),"",IF(AND(AP337="",AQ337=""),"",N(AQ337)-N(AP337)))</f>
        <v/>
      </c>
      <c r="AV337">
        <f>IF(OR(AT$3="",AT$3&gt;TODAY()),"",IF(AND(AT337="",AU337=""),"",N(AU337)-N(AT337)))</f>
        <v/>
      </c>
      <c r="AY337">
        <f>IF(OR(AT$3="",AT$3&gt;TODAY()),"",IF(AND(AW337="",AX337=""),"",N(AX337)-N(AW337)))</f>
        <v/>
      </c>
      <c r="BC337">
        <f>IF(OR(BA$3="",BA$3&gt;TODAY()),"",IF(AND(BA337="",BB337=""),"",N(BB337)-N(BA337)))</f>
        <v/>
      </c>
      <c r="BF337">
        <f>IF(OR(BA$3="",BA$3&gt;TODAY()),"",IF(AND(BD337="",BE337=""),"",N(BE337)-N(BD337)))</f>
        <v/>
      </c>
      <c r="BJ337">
        <f>IF(OR(BH$3="",BH$3&gt;TODAY()),"",IF(AND(BH337="",BI337=""),"",N(BI337)-N(BH337)))</f>
        <v/>
      </c>
      <c r="BM337">
        <f>IF(OR(BH$3="",BH$3&gt;TODAY()),"",IF(AND(BK337="",BL337=""),"",N(BL337)-N(BK337)))</f>
        <v/>
      </c>
      <c r="BQ337">
        <f>IF(OR(BO$3="",BO$3&gt;TODAY()),"",IF(AND(BO337="",BP337=""),"",N(BP337)-N(BO337)))</f>
        <v/>
      </c>
      <c r="BT337">
        <f>IF(OR(BO$3="",BO$3&gt;TODAY()),"",IF(AND(BR337="",BS337=""),"",N(BS337)-N(BR337)))</f>
        <v/>
      </c>
      <c r="BX337">
        <f>IF(OR(BV$3="",BV$3&gt;TODAY()),"",IF(AND(BV337="",BW337=""),"",N(BW337)-N(BV337)))</f>
        <v/>
      </c>
      <c r="CA337">
        <f>IF(OR(BV$3="",BV$3&gt;TODAY()),"",IF(AND(BY337="",BZ337=""),"",N(BZ337)-N(BY337)))</f>
        <v/>
      </c>
      <c r="CE337">
        <f>IF(OR(CC$3="",CC$3&gt;TODAY()),"",IF(AND(CC337="",CD337=""),"",N(CD337)-N(CC337)))</f>
        <v/>
      </c>
      <c r="CH337">
        <f>IF(OR(CC$3="",CC$3&gt;TODAY()),"",IF(AND(CF337="",CG337=""),"",N(CG337)-N(CF337)))</f>
        <v/>
      </c>
      <c r="CL337">
        <f>IF(OR(CJ$3="",CJ$3&gt;TODAY()),"",IF(AND(CJ337="",CK337=""),"",N(CK337)-N(CJ337)))</f>
        <v/>
      </c>
      <c r="CO337">
        <f>IF(OR(CJ$3="",CJ$3&gt;TODAY()),"",IF(AND(CM337="",CN337=""),"",N(CN337)-N(CM337)))</f>
        <v/>
      </c>
      <c r="CS337">
        <f>IF(OR(CQ$3="",CQ$3&gt;TODAY()),"",IF(AND(CQ337="",CR337=""),"",N(CR337)-N(CQ337)))</f>
        <v/>
      </c>
      <c r="CV337">
        <f>IF(OR(CQ$3="",CQ$3&gt;TODAY()),"",IF(AND(CT337="",CU337=""),"",N(CU337)-N(CT337)))</f>
        <v/>
      </c>
      <c r="CZ337">
        <f>IF(OR(CX$3="",CX$3&gt;TODAY()),"",IF(AND(CX337="",CY337=""),"",N(CY337)-N(CX337)))</f>
        <v/>
      </c>
      <c r="DC337">
        <f>IF(OR(CX$3="",CX$3&gt;TODAY()),"",IF(AND(DA337="",DB337=""),"",N(DB337)-N(DA337)))</f>
        <v/>
      </c>
      <c r="DG337">
        <f>IF(OR(DE$3="",DE$3&gt;TODAY()),"",IF(AND(DE337="",DF337=""),"",N(DF337)-N(DE337)))</f>
        <v/>
      </c>
      <c r="DJ337">
        <f>IF(OR(DE$3="",DE$3&gt;TODAY()),"",IF(AND(DH337="",DI337=""),"",N(DI337)-N(DH337)))</f>
        <v/>
      </c>
      <c r="DN337">
        <f>IF(OR(DL$3="",DL$3&gt;TODAY()),"",IF(AND(DL337="",DM337=""),"",N(DM337)-N(DL337)))</f>
        <v/>
      </c>
      <c r="DQ337">
        <f>IF(OR(DL$3="",DL$3&gt;TODAY()),"",IF(AND(DO337="",DP337=""),"",N(DP337)-N(DO337)))</f>
        <v/>
      </c>
      <c r="DU337">
        <f>IF(OR(DS$3="",DS$3&gt;TODAY()),"",IF(AND(DS337="",DT337=""),"",N(DT337)-N(DS337)))</f>
        <v/>
      </c>
      <c r="DX337">
        <f>IF(OR(DS$3="",DS$3&gt;TODAY()),"",IF(AND(DV337="",DW337=""),"",N(DW337)-N(DV337)))</f>
        <v/>
      </c>
      <c r="EB337">
        <f>IF(OR(DZ$3="",DZ$3&gt;TODAY()),"",IF(AND(DZ337="",EA337=""),"",N(EA337)-N(DZ337)))</f>
        <v/>
      </c>
      <c r="EE337">
        <f>IF(OR(DZ$3="",DZ$3&gt;TODAY()),"",IF(AND(EC337="",ED337=""),"",N(ED337)-N(EC337)))</f>
        <v/>
      </c>
      <c r="EI337">
        <f>IF(OR(EG$3="",EG$3&gt;TODAY()),"",IF(AND(EG337="",EH337=""),"",N(EH337)-N(EG337)))</f>
        <v/>
      </c>
      <c r="EL337">
        <f>IF(OR(EG$3="",EG$3&gt;TODAY()),"",IF(AND(EJ337="",EK337=""),"",N(EK337)-N(EJ337)))</f>
        <v/>
      </c>
      <c r="EP337">
        <f>IF(OR(EN$3="",EN$3&gt;TODAY()),"",IF(AND(EN337="",EO337=""),"",N(EO337)-N(EN337)))</f>
        <v/>
      </c>
      <c r="ES337">
        <f>IF(OR(EN$3="",EN$3&gt;TODAY()),"",IF(AND(EQ337="",ER337=""),"",N(ER337)-N(EQ337)))</f>
        <v/>
      </c>
      <c r="EW337">
        <f>IF(OR(EU$3="",EU$3&gt;TODAY()),"",IF(AND(EU337="",EV337=""),"",N(EV337)-N(EU337)))</f>
        <v/>
      </c>
      <c r="EZ337">
        <f>IF(OR(EU$3="",EU$3&gt;TODAY()),"",IF(AND(EX337="",EY337=""),"",N(EY337)-N(EX337)))</f>
        <v/>
      </c>
      <c r="FD337">
        <f>IF(OR(FB$3="",FB$3&gt;TODAY()),"",IF(AND(FB337="",FC337=""),"",N(FC337)-N(FB337)))</f>
        <v/>
      </c>
      <c r="FG337">
        <f>IF(OR(FB$3="",FB$3&gt;TODAY()),"",IF(AND(FE337="",FF337=""),"",N(FF337)-N(FE337)))</f>
        <v/>
      </c>
      <c r="FK337">
        <f>IF(OR(FI$3="",FI$3&gt;TODAY()),"",IF(AND(FI337="",FJ337=""),"",N(FJ337)-N(FI337)))</f>
        <v/>
      </c>
      <c r="FN337">
        <f>IF(OR(FI$3="",FI$3&gt;TODAY()),"",IF(AND(FL337="",FM337=""),"",N(FM337)-N(FL337)))</f>
        <v/>
      </c>
      <c r="FR337">
        <f>IF(OR(FP$3="",FP$3&gt;TODAY()),"",IF(AND(FP337="",FQ337=""),"",N(FQ337)-N(FP337)))</f>
        <v/>
      </c>
      <c r="FU337">
        <f>IF(OR(FP$3="",FP$3&gt;TODAY()),"",IF(AND(FS337="",FT337=""),"",N(FT337)-N(FS337)))</f>
        <v/>
      </c>
      <c r="FY337">
        <f>IF(OR(FW$3="",FW$3&gt;TODAY()),"",IF(AND(FW337="",FX337=""),"",N(FX337)-N(FW337)))</f>
        <v/>
      </c>
      <c r="GB337">
        <f>IF(OR(FW$3="",FW$3&gt;TODAY()),"",IF(AND(FZ337="",GA337=""),"",N(GA337)-N(FZ337)))</f>
        <v/>
      </c>
      <c r="GF337">
        <f>IF(OR(GD$3="",GD$3&gt;TODAY()),"",IF(AND(GD337="",GE337=""),"",N(GE337)-N(GD337)))</f>
        <v/>
      </c>
      <c r="GI337">
        <f>IF(OR(GD$3="",GD$3&gt;TODAY()),"",IF(AND(GG337="",GH337=""),"",N(GH337)-N(GG337)))</f>
        <v/>
      </c>
      <c r="GM337">
        <f>IF(OR(GK$3="",GK$3&gt;TODAY()),"",IF(AND(GK337="",GL337=""),"",N(GL337)-N(GK337)))</f>
        <v/>
      </c>
      <c r="GP337">
        <f>IF(OR(GK$3="",GK$3&gt;TODAY()),"",IF(AND(GN337="",GO337=""),"",N(GO337)-N(GN337)))</f>
        <v/>
      </c>
      <c r="GT337">
        <f>IF(OR(GR$3="",GR$3&gt;TODAY()),"",IF(AND(GR337="",GS337=""),"",N(GS337)-N(GR337)))</f>
        <v/>
      </c>
      <c r="GW337">
        <f>IF(OR(GR$3="",GR$3&gt;TODAY()),"",IF(AND(GU337="",GV337=""),"",N(GV337)-N(GU337)))</f>
        <v/>
      </c>
      <c r="HA337">
        <f>IF(OR(GY$3="",GY$3&gt;TODAY()),"",IF(AND(GY337="",GZ337=""),"",N(GZ337)-N(GY337)))</f>
        <v/>
      </c>
      <c r="HD337">
        <f>IF(OR(GY$3="",GY$3&gt;TODAY()),"",IF(AND(HB337="",HC337=""),"",N(HC337)-N(HB337)))</f>
        <v/>
      </c>
      <c r="HH337">
        <f>IF(OR(HF$3="",HF$3&gt;TODAY()),"",IF(AND(HF337="",HG337=""),"",N(HG337)-N(HF337)))</f>
        <v/>
      </c>
      <c r="HK337">
        <f>IF(OR(HF$3="",HF$3&gt;TODAY()),"",IF(AND(HI337="",HJ337=""),"",N(HJ337)-N(HI337)))</f>
        <v/>
      </c>
      <c r="HO337">
        <f>IF(OR(HM$3="",HM$3&gt;TODAY()),"",IF(AND(HM337="",HN337=""),"",N(HN337)-N(HM337)))</f>
        <v/>
      </c>
      <c r="HR337">
        <f>IF(OR(HM$3="",HM$3&gt;TODAY()),"",IF(AND(HP337="",HQ337=""),"",N(HQ337)-N(HP337)))</f>
        <v/>
      </c>
      <c r="HV337">
        <f>IF(OR(HT$3="",HT$3&gt;TODAY()),"",IF(AND(HT337="",HU337=""),"",N(HU337)-N(HT337)))</f>
        <v/>
      </c>
      <c r="HY337">
        <f>IF(OR(HT$3="",HT$3&gt;TODAY()),"",IF(AND(HW337="",HX337=""),"",N(HX337)-N(HW337)))</f>
        <v/>
      </c>
      <c r="IC337">
        <f>IF(OR(IA$3="",IA$3&gt;TODAY()),"",IF(AND(IA337="",IB337=""),"",N(IB337)-N(IA337)))</f>
        <v/>
      </c>
      <c r="IF337">
        <f>IF(OR(IA$3="",IA$3&gt;TODAY()),"",IF(AND(ID337="",IE337=""),"",N(IE337)-N(ID337)))</f>
        <v/>
      </c>
      <c r="IJ337">
        <f>IF(OR(IH$3="",IH$3&gt;TODAY()),"",IF(AND(IH337="",II337=""),"",N(II337)-N(IH337)))</f>
        <v/>
      </c>
      <c r="IM337">
        <f>IF(OR(IH$3="",IH$3&gt;TODAY()),"",IF(AND(IK337="",IL337=""),"",N(IL337)-N(IK337)))</f>
        <v/>
      </c>
    </row>
    <row r="338">
      <c r="A338" s="21" t="n"/>
      <c r="B338" s="21" t="n"/>
      <c r="C338" s="21" t="n"/>
      <c r="D338" s="21" t="n"/>
      <c r="E338" s="21" t="n"/>
      <c r="F338" s="21" t="n"/>
      <c r="G338" s="21" t="n"/>
      <c r="H338" s="21" t="n"/>
      <c r="I338" s="22" t="n"/>
      <c r="J338" s="22" t="n"/>
      <c r="K338" s="23" t="n"/>
      <c r="L338" s="22" t="n"/>
      <c r="M338" s="22" t="n"/>
      <c r="N338" s="21" t="n"/>
      <c r="O338" s="23" t="n"/>
      <c r="P338" s="23" t="n"/>
      <c r="Q338" s="23" t="n"/>
      <c r="R338" s="23" t="n"/>
      <c r="S338" s="22" t="n"/>
      <c r="T338" s="23" t="n"/>
      <c r="U338" s="23" t="n"/>
      <c r="V338" s="24">
        <f>IF(J338&lt;&gt;"",J338,IF(I338&lt;&gt;"",I338,""))</f>
        <v/>
      </c>
      <c r="W338" s="25">
        <f>IF($E338="","",N(O338)+SUMIFS($AF338:$IN338,$AF$4:$IN$4,"SEW_ACT"))</f>
        <v/>
      </c>
      <c r="X338" s="25">
        <f>IF($E338="","",N(P338)+SUMIFS($AF338:$IN338,$AF$4:$IN$4,"WASH_ACT"))</f>
        <v/>
      </c>
      <c r="Y338" s="25">
        <f>IF($E338="","",W338-X338-N(T338)-N(U338))</f>
        <v/>
      </c>
      <c r="Z338" s="25">
        <f>IF($E338="","",IF(N(K338)-X338&lt;=0.02*N(K338),0,N(K338)-X338))</f>
        <v/>
      </c>
      <c r="AA338" s="24">
        <f>IF($E338="","",IF(S338&lt;&gt;"",S338,IF(N(O338)&gt;0,IF(L338&lt;&gt;"",L338,99999),IFERROR(1/(1/_xlfn.MINIFS($AF$3:$IN$3,$AF$4:$IN$4,"SEW_ACT",$AF338:$IN338,"&gt;0")),99999))))</f>
        <v/>
      </c>
      <c r="AB338" s="26">
        <f>IF(OR($E338="",Z338=0,V338=""),"",1+COUNTIFS(Z$8:Z$707,"&gt;0",V$8:V$707,"&lt;"&amp;V338)+COUNTIFS(Z$8:Z$707,"&gt;0",V$8:V$707,V338,AA$8:AA$707,"&lt;"&amp;AA338)+COUNTIFS(Z$8:Z$707,"&gt;0",V$8:V$707,V338,AA$8:AA$707,AA338,E$8:E$707,"&lt;"&amp;$E338))</f>
        <v/>
      </c>
      <c r="AC338" s="24">
        <f>IF(OR($E338="",Z338=0),"",IFERROR(TODAY()+ROUNDUP(Z338/(SUMIFS($AF338:$IN338,$AF$4:$IN$4,"WASH_ACT")/COUNTIFS($AF$4:$IN$4,"WASH_ACT",$AF338:$IN338,"&gt;0")),0),"no output yet"))</f>
        <v/>
      </c>
      <c r="AD338" s="26">
        <f>IF($E338="","",IFERROR(ROUND(MAX(0,SUMIFS($AF338:$IN338,$AF$4:$IN$4,"SEW_PLAN",$AF$3:$IN$3,"&lt;="&amp;TODAY())-SUMIFS($AF338:$IN338,$AF$4:$IN$4,"SEW_ACT",$AF$3:$IN$3,"&lt;="&amp;TODAY())+N(Q338))/(SUMIFS($AF338:$IN338,$AF$4:$IN$4,"SEW_PLAN")/COUNTIFS($AF$4:$IN$4,"SEW_PLAN",$AF338:$IN338,"&gt;0")),1),0))</f>
        <v/>
      </c>
      <c r="AE338" s="26">
        <f>IF($E338="","",IF(AND(Z338&gt;0,OR(AND(M338&lt;&gt;"",TODAY()&gt;M338),AND(V338&lt;&gt;"",V338-TODAY()&lt;=7))),"Yes","No"))</f>
        <v/>
      </c>
      <c r="AH338">
        <f>IF(OR(AF$3="",AF$3&gt;TODAY()),"",IF(AND(AF338="",AG338=""),"",N(AG338)-N(AF338)))</f>
        <v/>
      </c>
      <c r="AK338">
        <f>IF(OR(AF$3="",AF$3&gt;TODAY()),"",IF(AND(AI338="",AJ338=""),"",N(AJ338)-N(AI338)))</f>
        <v/>
      </c>
      <c r="AO338">
        <f>IF(OR(AM$3="",AM$3&gt;TODAY()),"",IF(AND(AM338="",AN338=""),"",N(AN338)-N(AM338)))</f>
        <v/>
      </c>
      <c r="AR338">
        <f>IF(OR(AM$3="",AM$3&gt;TODAY()),"",IF(AND(AP338="",AQ338=""),"",N(AQ338)-N(AP338)))</f>
        <v/>
      </c>
      <c r="AV338">
        <f>IF(OR(AT$3="",AT$3&gt;TODAY()),"",IF(AND(AT338="",AU338=""),"",N(AU338)-N(AT338)))</f>
        <v/>
      </c>
      <c r="AY338">
        <f>IF(OR(AT$3="",AT$3&gt;TODAY()),"",IF(AND(AW338="",AX338=""),"",N(AX338)-N(AW338)))</f>
        <v/>
      </c>
      <c r="BC338">
        <f>IF(OR(BA$3="",BA$3&gt;TODAY()),"",IF(AND(BA338="",BB338=""),"",N(BB338)-N(BA338)))</f>
        <v/>
      </c>
      <c r="BF338">
        <f>IF(OR(BA$3="",BA$3&gt;TODAY()),"",IF(AND(BD338="",BE338=""),"",N(BE338)-N(BD338)))</f>
        <v/>
      </c>
      <c r="BJ338">
        <f>IF(OR(BH$3="",BH$3&gt;TODAY()),"",IF(AND(BH338="",BI338=""),"",N(BI338)-N(BH338)))</f>
        <v/>
      </c>
      <c r="BM338">
        <f>IF(OR(BH$3="",BH$3&gt;TODAY()),"",IF(AND(BK338="",BL338=""),"",N(BL338)-N(BK338)))</f>
        <v/>
      </c>
      <c r="BQ338">
        <f>IF(OR(BO$3="",BO$3&gt;TODAY()),"",IF(AND(BO338="",BP338=""),"",N(BP338)-N(BO338)))</f>
        <v/>
      </c>
      <c r="BT338">
        <f>IF(OR(BO$3="",BO$3&gt;TODAY()),"",IF(AND(BR338="",BS338=""),"",N(BS338)-N(BR338)))</f>
        <v/>
      </c>
      <c r="BX338">
        <f>IF(OR(BV$3="",BV$3&gt;TODAY()),"",IF(AND(BV338="",BW338=""),"",N(BW338)-N(BV338)))</f>
        <v/>
      </c>
      <c r="CA338">
        <f>IF(OR(BV$3="",BV$3&gt;TODAY()),"",IF(AND(BY338="",BZ338=""),"",N(BZ338)-N(BY338)))</f>
        <v/>
      </c>
      <c r="CE338">
        <f>IF(OR(CC$3="",CC$3&gt;TODAY()),"",IF(AND(CC338="",CD338=""),"",N(CD338)-N(CC338)))</f>
        <v/>
      </c>
      <c r="CH338">
        <f>IF(OR(CC$3="",CC$3&gt;TODAY()),"",IF(AND(CF338="",CG338=""),"",N(CG338)-N(CF338)))</f>
        <v/>
      </c>
      <c r="CL338">
        <f>IF(OR(CJ$3="",CJ$3&gt;TODAY()),"",IF(AND(CJ338="",CK338=""),"",N(CK338)-N(CJ338)))</f>
        <v/>
      </c>
      <c r="CO338">
        <f>IF(OR(CJ$3="",CJ$3&gt;TODAY()),"",IF(AND(CM338="",CN338=""),"",N(CN338)-N(CM338)))</f>
        <v/>
      </c>
      <c r="CS338">
        <f>IF(OR(CQ$3="",CQ$3&gt;TODAY()),"",IF(AND(CQ338="",CR338=""),"",N(CR338)-N(CQ338)))</f>
        <v/>
      </c>
      <c r="CV338">
        <f>IF(OR(CQ$3="",CQ$3&gt;TODAY()),"",IF(AND(CT338="",CU338=""),"",N(CU338)-N(CT338)))</f>
        <v/>
      </c>
      <c r="CZ338">
        <f>IF(OR(CX$3="",CX$3&gt;TODAY()),"",IF(AND(CX338="",CY338=""),"",N(CY338)-N(CX338)))</f>
        <v/>
      </c>
      <c r="DC338">
        <f>IF(OR(CX$3="",CX$3&gt;TODAY()),"",IF(AND(DA338="",DB338=""),"",N(DB338)-N(DA338)))</f>
        <v/>
      </c>
      <c r="DG338">
        <f>IF(OR(DE$3="",DE$3&gt;TODAY()),"",IF(AND(DE338="",DF338=""),"",N(DF338)-N(DE338)))</f>
        <v/>
      </c>
      <c r="DJ338">
        <f>IF(OR(DE$3="",DE$3&gt;TODAY()),"",IF(AND(DH338="",DI338=""),"",N(DI338)-N(DH338)))</f>
        <v/>
      </c>
      <c r="DN338">
        <f>IF(OR(DL$3="",DL$3&gt;TODAY()),"",IF(AND(DL338="",DM338=""),"",N(DM338)-N(DL338)))</f>
        <v/>
      </c>
      <c r="DQ338">
        <f>IF(OR(DL$3="",DL$3&gt;TODAY()),"",IF(AND(DO338="",DP338=""),"",N(DP338)-N(DO338)))</f>
        <v/>
      </c>
      <c r="DU338">
        <f>IF(OR(DS$3="",DS$3&gt;TODAY()),"",IF(AND(DS338="",DT338=""),"",N(DT338)-N(DS338)))</f>
        <v/>
      </c>
      <c r="DX338">
        <f>IF(OR(DS$3="",DS$3&gt;TODAY()),"",IF(AND(DV338="",DW338=""),"",N(DW338)-N(DV338)))</f>
        <v/>
      </c>
      <c r="EB338">
        <f>IF(OR(DZ$3="",DZ$3&gt;TODAY()),"",IF(AND(DZ338="",EA338=""),"",N(EA338)-N(DZ338)))</f>
        <v/>
      </c>
      <c r="EE338">
        <f>IF(OR(DZ$3="",DZ$3&gt;TODAY()),"",IF(AND(EC338="",ED338=""),"",N(ED338)-N(EC338)))</f>
        <v/>
      </c>
      <c r="EI338">
        <f>IF(OR(EG$3="",EG$3&gt;TODAY()),"",IF(AND(EG338="",EH338=""),"",N(EH338)-N(EG338)))</f>
        <v/>
      </c>
      <c r="EL338">
        <f>IF(OR(EG$3="",EG$3&gt;TODAY()),"",IF(AND(EJ338="",EK338=""),"",N(EK338)-N(EJ338)))</f>
        <v/>
      </c>
      <c r="EP338">
        <f>IF(OR(EN$3="",EN$3&gt;TODAY()),"",IF(AND(EN338="",EO338=""),"",N(EO338)-N(EN338)))</f>
        <v/>
      </c>
      <c r="ES338">
        <f>IF(OR(EN$3="",EN$3&gt;TODAY()),"",IF(AND(EQ338="",ER338=""),"",N(ER338)-N(EQ338)))</f>
        <v/>
      </c>
      <c r="EW338">
        <f>IF(OR(EU$3="",EU$3&gt;TODAY()),"",IF(AND(EU338="",EV338=""),"",N(EV338)-N(EU338)))</f>
        <v/>
      </c>
      <c r="EZ338">
        <f>IF(OR(EU$3="",EU$3&gt;TODAY()),"",IF(AND(EX338="",EY338=""),"",N(EY338)-N(EX338)))</f>
        <v/>
      </c>
      <c r="FD338">
        <f>IF(OR(FB$3="",FB$3&gt;TODAY()),"",IF(AND(FB338="",FC338=""),"",N(FC338)-N(FB338)))</f>
        <v/>
      </c>
      <c r="FG338">
        <f>IF(OR(FB$3="",FB$3&gt;TODAY()),"",IF(AND(FE338="",FF338=""),"",N(FF338)-N(FE338)))</f>
        <v/>
      </c>
      <c r="FK338">
        <f>IF(OR(FI$3="",FI$3&gt;TODAY()),"",IF(AND(FI338="",FJ338=""),"",N(FJ338)-N(FI338)))</f>
        <v/>
      </c>
      <c r="FN338">
        <f>IF(OR(FI$3="",FI$3&gt;TODAY()),"",IF(AND(FL338="",FM338=""),"",N(FM338)-N(FL338)))</f>
        <v/>
      </c>
      <c r="FR338">
        <f>IF(OR(FP$3="",FP$3&gt;TODAY()),"",IF(AND(FP338="",FQ338=""),"",N(FQ338)-N(FP338)))</f>
        <v/>
      </c>
      <c r="FU338">
        <f>IF(OR(FP$3="",FP$3&gt;TODAY()),"",IF(AND(FS338="",FT338=""),"",N(FT338)-N(FS338)))</f>
        <v/>
      </c>
      <c r="FY338">
        <f>IF(OR(FW$3="",FW$3&gt;TODAY()),"",IF(AND(FW338="",FX338=""),"",N(FX338)-N(FW338)))</f>
        <v/>
      </c>
      <c r="GB338">
        <f>IF(OR(FW$3="",FW$3&gt;TODAY()),"",IF(AND(FZ338="",GA338=""),"",N(GA338)-N(FZ338)))</f>
        <v/>
      </c>
      <c r="GF338">
        <f>IF(OR(GD$3="",GD$3&gt;TODAY()),"",IF(AND(GD338="",GE338=""),"",N(GE338)-N(GD338)))</f>
        <v/>
      </c>
      <c r="GI338">
        <f>IF(OR(GD$3="",GD$3&gt;TODAY()),"",IF(AND(GG338="",GH338=""),"",N(GH338)-N(GG338)))</f>
        <v/>
      </c>
      <c r="GM338">
        <f>IF(OR(GK$3="",GK$3&gt;TODAY()),"",IF(AND(GK338="",GL338=""),"",N(GL338)-N(GK338)))</f>
        <v/>
      </c>
      <c r="GP338">
        <f>IF(OR(GK$3="",GK$3&gt;TODAY()),"",IF(AND(GN338="",GO338=""),"",N(GO338)-N(GN338)))</f>
        <v/>
      </c>
      <c r="GT338">
        <f>IF(OR(GR$3="",GR$3&gt;TODAY()),"",IF(AND(GR338="",GS338=""),"",N(GS338)-N(GR338)))</f>
        <v/>
      </c>
      <c r="GW338">
        <f>IF(OR(GR$3="",GR$3&gt;TODAY()),"",IF(AND(GU338="",GV338=""),"",N(GV338)-N(GU338)))</f>
        <v/>
      </c>
      <c r="HA338">
        <f>IF(OR(GY$3="",GY$3&gt;TODAY()),"",IF(AND(GY338="",GZ338=""),"",N(GZ338)-N(GY338)))</f>
        <v/>
      </c>
      <c r="HD338">
        <f>IF(OR(GY$3="",GY$3&gt;TODAY()),"",IF(AND(HB338="",HC338=""),"",N(HC338)-N(HB338)))</f>
        <v/>
      </c>
      <c r="HH338">
        <f>IF(OR(HF$3="",HF$3&gt;TODAY()),"",IF(AND(HF338="",HG338=""),"",N(HG338)-N(HF338)))</f>
        <v/>
      </c>
      <c r="HK338">
        <f>IF(OR(HF$3="",HF$3&gt;TODAY()),"",IF(AND(HI338="",HJ338=""),"",N(HJ338)-N(HI338)))</f>
        <v/>
      </c>
      <c r="HO338">
        <f>IF(OR(HM$3="",HM$3&gt;TODAY()),"",IF(AND(HM338="",HN338=""),"",N(HN338)-N(HM338)))</f>
        <v/>
      </c>
      <c r="HR338">
        <f>IF(OR(HM$3="",HM$3&gt;TODAY()),"",IF(AND(HP338="",HQ338=""),"",N(HQ338)-N(HP338)))</f>
        <v/>
      </c>
      <c r="HV338">
        <f>IF(OR(HT$3="",HT$3&gt;TODAY()),"",IF(AND(HT338="",HU338=""),"",N(HU338)-N(HT338)))</f>
        <v/>
      </c>
      <c r="HY338">
        <f>IF(OR(HT$3="",HT$3&gt;TODAY()),"",IF(AND(HW338="",HX338=""),"",N(HX338)-N(HW338)))</f>
        <v/>
      </c>
      <c r="IC338">
        <f>IF(OR(IA$3="",IA$3&gt;TODAY()),"",IF(AND(IA338="",IB338=""),"",N(IB338)-N(IA338)))</f>
        <v/>
      </c>
      <c r="IF338">
        <f>IF(OR(IA$3="",IA$3&gt;TODAY()),"",IF(AND(ID338="",IE338=""),"",N(IE338)-N(ID338)))</f>
        <v/>
      </c>
      <c r="IJ338">
        <f>IF(OR(IH$3="",IH$3&gt;TODAY()),"",IF(AND(IH338="",II338=""),"",N(II338)-N(IH338)))</f>
        <v/>
      </c>
      <c r="IM338">
        <f>IF(OR(IH$3="",IH$3&gt;TODAY()),"",IF(AND(IK338="",IL338=""),"",N(IL338)-N(IK338)))</f>
        <v/>
      </c>
    </row>
    <row r="339">
      <c r="A339" s="21" t="n"/>
      <c r="B339" s="21" t="n"/>
      <c r="C339" s="21" t="n"/>
      <c r="D339" s="21" t="n"/>
      <c r="E339" s="21" t="n"/>
      <c r="F339" s="21" t="n"/>
      <c r="G339" s="21" t="n"/>
      <c r="H339" s="21" t="n"/>
      <c r="I339" s="22" t="n"/>
      <c r="J339" s="22" t="n"/>
      <c r="K339" s="23" t="n"/>
      <c r="L339" s="22" t="n"/>
      <c r="M339" s="22" t="n"/>
      <c r="N339" s="21" t="n"/>
      <c r="O339" s="23" t="n"/>
      <c r="P339" s="23" t="n"/>
      <c r="Q339" s="23" t="n"/>
      <c r="R339" s="23" t="n"/>
      <c r="S339" s="22" t="n"/>
      <c r="T339" s="23" t="n"/>
      <c r="U339" s="23" t="n"/>
      <c r="V339" s="24">
        <f>IF(J339&lt;&gt;"",J339,IF(I339&lt;&gt;"",I339,""))</f>
        <v/>
      </c>
      <c r="W339" s="25">
        <f>IF($E339="","",N(O339)+SUMIFS($AF339:$IN339,$AF$4:$IN$4,"SEW_ACT"))</f>
        <v/>
      </c>
      <c r="X339" s="25">
        <f>IF($E339="","",N(P339)+SUMIFS($AF339:$IN339,$AF$4:$IN$4,"WASH_ACT"))</f>
        <v/>
      </c>
      <c r="Y339" s="25">
        <f>IF($E339="","",W339-X339-N(T339)-N(U339))</f>
        <v/>
      </c>
      <c r="Z339" s="25">
        <f>IF($E339="","",IF(N(K339)-X339&lt;=0.02*N(K339),0,N(K339)-X339))</f>
        <v/>
      </c>
      <c r="AA339" s="24">
        <f>IF($E339="","",IF(S339&lt;&gt;"",S339,IF(N(O339)&gt;0,IF(L339&lt;&gt;"",L339,99999),IFERROR(1/(1/_xlfn.MINIFS($AF$3:$IN$3,$AF$4:$IN$4,"SEW_ACT",$AF339:$IN339,"&gt;0")),99999))))</f>
        <v/>
      </c>
      <c r="AB339" s="26">
        <f>IF(OR($E339="",Z339=0,V339=""),"",1+COUNTIFS(Z$8:Z$707,"&gt;0",V$8:V$707,"&lt;"&amp;V339)+COUNTIFS(Z$8:Z$707,"&gt;0",V$8:V$707,V339,AA$8:AA$707,"&lt;"&amp;AA339)+COUNTIFS(Z$8:Z$707,"&gt;0",V$8:V$707,V339,AA$8:AA$707,AA339,E$8:E$707,"&lt;"&amp;$E339))</f>
        <v/>
      </c>
      <c r="AC339" s="24">
        <f>IF(OR($E339="",Z339=0),"",IFERROR(TODAY()+ROUNDUP(Z339/(SUMIFS($AF339:$IN339,$AF$4:$IN$4,"WASH_ACT")/COUNTIFS($AF$4:$IN$4,"WASH_ACT",$AF339:$IN339,"&gt;0")),0),"no output yet"))</f>
        <v/>
      </c>
      <c r="AD339" s="26">
        <f>IF($E339="","",IFERROR(ROUND(MAX(0,SUMIFS($AF339:$IN339,$AF$4:$IN$4,"SEW_PLAN",$AF$3:$IN$3,"&lt;="&amp;TODAY())-SUMIFS($AF339:$IN339,$AF$4:$IN$4,"SEW_ACT",$AF$3:$IN$3,"&lt;="&amp;TODAY())+N(Q339))/(SUMIFS($AF339:$IN339,$AF$4:$IN$4,"SEW_PLAN")/COUNTIFS($AF$4:$IN$4,"SEW_PLAN",$AF339:$IN339,"&gt;0")),1),0))</f>
        <v/>
      </c>
      <c r="AE339" s="26">
        <f>IF($E339="","",IF(AND(Z339&gt;0,OR(AND(M339&lt;&gt;"",TODAY()&gt;M339),AND(V339&lt;&gt;"",V339-TODAY()&lt;=7))),"Yes","No"))</f>
        <v/>
      </c>
      <c r="AH339">
        <f>IF(OR(AF$3="",AF$3&gt;TODAY()),"",IF(AND(AF339="",AG339=""),"",N(AG339)-N(AF339)))</f>
        <v/>
      </c>
      <c r="AK339">
        <f>IF(OR(AF$3="",AF$3&gt;TODAY()),"",IF(AND(AI339="",AJ339=""),"",N(AJ339)-N(AI339)))</f>
        <v/>
      </c>
      <c r="AO339">
        <f>IF(OR(AM$3="",AM$3&gt;TODAY()),"",IF(AND(AM339="",AN339=""),"",N(AN339)-N(AM339)))</f>
        <v/>
      </c>
      <c r="AR339">
        <f>IF(OR(AM$3="",AM$3&gt;TODAY()),"",IF(AND(AP339="",AQ339=""),"",N(AQ339)-N(AP339)))</f>
        <v/>
      </c>
      <c r="AV339">
        <f>IF(OR(AT$3="",AT$3&gt;TODAY()),"",IF(AND(AT339="",AU339=""),"",N(AU339)-N(AT339)))</f>
        <v/>
      </c>
      <c r="AY339">
        <f>IF(OR(AT$3="",AT$3&gt;TODAY()),"",IF(AND(AW339="",AX339=""),"",N(AX339)-N(AW339)))</f>
        <v/>
      </c>
      <c r="BC339">
        <f>IF(OR(BA$3="",BA$3&gt;TODAY()),"",IF(AND(BA339="",BB339=""),"",N(BB339)-N(BA339)))</f>
        <v/>
      </c>
      <c r="BF339">
        <f>IF(OR(BA$3="",BA$3&gt;TODAY()),"",IF(AND(BD339="",BE339=""),"",N(BE339)-N(BD339)))</f>
        <v/>
      </c>
      <c r="BJ339">
        <f>IF(OR(BH$3="",BH$3&gt;TODAY()),"",IF(AND(BH339="",BI339=""),"",N(BI339)-N(BH339)))</f>
        <v/>
      </c>
      <c r="BM339">
        <f>IF(OR(BH$3="",BH$3&gt;TODAY()),"",IF(AND(BK339="",BL339=""),"",N(BL339)-N(BK339)))</f>
        <v/>
      </c>
      <c r="BQ339">
        <f>IF(OR(BO$3="",BO$3&gt;TODAY()),"",IF(AND(BO339="",BP339=""),"",N(BP339)-N(BO339)))</f>
        <v/>
      </c>
      <c r="BT339">
        <f>IF(OR(BO$3="",BO$3&gt;TODAY()),"",IF(AND(BR339="",BS339=""),"",N(BS339)-N(BR339)))</f>
        <v/>
      </c>
      <c r="BX339">
        <f>IF(OR(BV$3="",BV$3&gt;TODAY()),"",IF(AND(BV339="",BW339=""),"",N(BW339)-N(BV339)))</f>
        <v/>
      </c>
      <c r="CA339">
        <f>IF(OR(BV$3="",BV$3&gt;TODAY()),"",IF(AND(BY339="",BZ339=""),"",N(BZ339)-N(BY339)))</f>
        <v/>
      </c>
      <c r="CE339">
        <f>IF(OR(CC$3="",CC$3&gt;TODAY()),"",IF(AND(CC339="",CD339=""),"",N(CD339)-N(CC339)))</f>
        <v/>
      </c>
      <c r="CH339">
        <f>IF(OR(CC$3="",CC$3&gt;TODAY()),"",IF(AND(CF339="",CG339=""),"",N(CG339)-N(CF339)))</f>
        <v/>
      </c>
      <c r="CL339">
        <f>IF(OR(CJ$3="",CJ$3&gt;TODAY()),"",IF(AND(CJ339="",CK339=""),"",N(CK339)-N(CJ339)))</f>
        <v/>
      </c>
      <c r="CO339">
        <f>IF(OR(CJ$3="",CJ$3&gt;TODAY()),"",IF(AND(CM339="",CN339=""),"",N(CN339)-N(CM339)))</f>
        <v/>
      </c>
      <c r="CS339">
        <f>IF(OR(CQ$3="",CQ$3&gt;TODAY()),"",IF(AND(CQ339="",CR339=""),"",N(CR339)-N(CQ339)))</f>
        <v/>
      </c>
      <c r="CV339">
        <f>IF(OR(CQ$3="",CQ$3&gt;TODAY()),"",IF(AND(CT339="",CU339=""),"",N(CU339)-N(CT339)))</f>
        <v/>
      </c>
      <c r="CZ339">
        <f>IF(OR(CX$3="",CX$3&gt;TODAY()),"",IF(AND(CX339="",CY339=""),"",N(CY339)-N(CX339)))</f>
        <v/>
      </c>
      <c r="DC339">
        <f>IF(OR(CX$3="",CX$3&gt;TODAY()),"",IF(AND(DA339="",DB339=""),"",N(DB339)-N(DA339)))</f>
        <v/>
      </c>
      <c r="DG339">
        <f>IF(OR(DE$3="",DE$3&gt;TODAY()),"",IF(AND(DE339="",DF339=""),"",N(DF339)-N(DE339)))</f>
        <v/>
      </c>
      <c r="DJ339">
        <f>IF(OR(DE$3="",DE$3&gt;TODAY()),"",IF(AND(DH339="",DI339=""),"",N(DI339)-N(DH339)))</f>
        <v/>
      </c>
      <c r="DN339">
        <f>IF(OR(DL$3="",DL$3&gt;TODAY()),"",IF(AND(DL339="",DM339=""),"",N(DM339)-N(DL339)))</f>
        <v/>
      </c>
      <c r="DQ339">
        <f>IF(OR(DL$3="",DL$3&gt;TODAY()),"",IF(AND(DO339="",DP339=""),"",N(DP339)-N(DO339)))</f>
        <v/>
      </c>
      <c r="DU339">
        <f>IF(OR(DS$3="",DS$3&gt;TODAY()),"",IF(AND(DS339="",DT339=""),"",N(DT339)-N(DS339)))</f>
        <v/>
      </c>
      <c r="DX339">
        <f>IF(OR(DS$3="",DS$3&gt;TODAY()),"",IF(AND(DV339="",DW339=""),"",N(DW339)-N(DV339)))</f>
        <v/>
      </c>
      <c r="EB339">
        <f>IF(OR(DZ$3="",DZ$3&gt;TODAY()),"",IF(AND(DZ339="",EA339=""),"",N(EA339)-N(DZ339)))</f>
        <v/>
      </c>
      <c r="EE339">
        <f>IF(OR(DZ$3="",DZ$3&gt;TODAY()),"",IF(AND(EC339="",ED339=""),"",N(ED339)-N(EC339)))</f>
        <v/>
      </c>
      <c r="EI339">
        <f>IF(OR(EG$3="",EG$3&gt;TODAY()),"",IF(AND(EG339="",EH339=""),"",N(EH339)-N(EG339)))</f>
        <v/>
      </c>
      <c r="EL339">
        <f>IF(OR(EG$3="",EG$3&gt;TODAY()),"",IF(AND(EJ339="",EK339=""),"",N(EK339)-N(EJ339)))</f>
        <v/>
      </c>
      <c r="EP339">
        <f>IF(OR(EN$3="",EN$3&gt;TODAY()),"",IF(AND(EN339="",EO339=""),"",N(EO339)-N(EN339)))</f>
        <v/>
      </c>
      <c r="ES339">
        <f>IF(OR(EN$3="",EN$3&gt;TODAY()),"",IF(AND(EQ339="",ER339=""),"",N(ER339)-N(EQ339)))</f>
        <v/>
      </c>
      <c r="EW339">
        <f>IF(OR(EU$3="",EU$3&gt;TODAY()),"",IF(AND(EU339="",EV339=""),"",N(EV339)-N(EU339)))</f>
        <v/>
      </c>
      <c r="EZ339">
        <f>IF(OR(EU$3="",EU$3&gt;TODAY()),"",IF(AND(EX339="",EY339=""),"",N(EY339)-N(EX339)))</f>
        <v/>
      </c>
      <c r="FD339">
        <f>IF(OR(FB$3="",FB$3&gt;TODAY()),"",IF(AND(FB339="",FC339=""),"",N(FC339)-N(FB339)))</f>
        <v/>
      </c>
      <c r="FG339">
        <f>IF(OR(FB$3="",FB$3&gt;TODAY()),"",IF(AND(FE339="",FF339=""),"",N(FF339)-N(FE339)))</f>
        <v/>
      </c>
      <c r="FK339">
        <f>IF(OR(FI$3="",FI$3&gt;TODAY()),"",IF(AND(FI339="",FJ339=""),"",N(FJ339)-N(FI339)))</f>
        <v/>
      </c>
      <c r="FN339">
        <f>IF(OR(FI$3="",FI$3&gt;TODAY()),"",IF(AND(FL339="",FM339=""),"",N(FM339)-N(FL339)))</f>
        <v/>
      </c>
      <c r="FR339">
        <f>IF(OR(FP$3="",FP$3&gt;TODAY()),"",IF(AND(FP339="",FQ339=""),"",N(FQ339)-N(FP339)))</f>
        <v/>
      </c>
      <c r="FU339">
        <f>IF(OR(FP$3="",FP$3&gt;TODAY()),"",IF(AND(FS339="",FT339=""),"",N(FT339)-N(FS339)))</f>
        <v/>
      </c>
      <c r="FY339">
        <f>IF(OR(FW$3="",FW$3&gt;TODAY()),"",IF(AND(FW339="",FX339=""),"",N(FX339)-N(FW339)))</f>
        <v/>
      </c>
      <c r="GB339">
        <f>IF(OR(FW$3="",FW$3&gt;TODAY()),"",IF(AND(FZ339="",GA339=""),"",N(GA339)-N(FZ339)))</f>
        <v/>
      </c>
      <c r="GF339">
        <f>IF(OR(GD$3="",GD$3&gt;TODAY()),"",IF(AND(GD339="",GE339=""),"",N(GE339)-N(GD339)))</f>
        <v/>
      </c>
      <c r="GI339">
        <f>IF(OR(GD$3="",GD$3&gt;TODAY()),"",IF(AND(GG339="",GH339=""),"",N(GH339)-N(GG339)))</f>
        <v/>
      </c>
      <c r="GM339">
        <f>IF(OR(GK$3="",GK$3&gt;TODAY()),"",IF(AND(GK339="",GL339=""),"",N(GL339)-N(GK339)))</f>
        <v/>
      </c>
      <c r="GP339">
        <f>IF(OR(GK$3="",GK$3&gt;TODAY()),"",IF(AND(GN339="",GO339=""),"",N(GO339)-N(GN339)))</f>
        <v/>
      </c>
      <c r="GT339">
        <f>IF(OR(GR$3="",GR$3&gt;TODAY()),"",IF(AND(GR339="",GS339=""),"",N(GS339)-N(GR339)))</f>
        <v/>
      </c>
      <c r="GW339">
        <f>IF(OR(GR$3="",GR$3&gt;TODAY()),"",IF(AND(GU339="",GV339=""),"",N(GV339)-N(GU339)))</f>
        <v/>
      </c>
      <c r="HA339">
        <f>IF(OR(GY$3="",GY$3&gt;TODAY()),"",IF(AND(GY339="",GZ339=""),"",N(GZ339)-N(GY339)))</f>
        <v/>
      </c>
      <c r="HD339">
        <f>IF(OR(GY$3="",GY$3&gt;TODAY()),"",IF(AND(HB339="",HC339=""),"",N(HC339)-N(HB339)))</f>
        <v/>
      </c>
      <c r="HH339">
        <f>IF(OR(HF$3="",HF$3&gt;TODAY()),"",IF(AND(HF339="",HG339=""),"",N(HG339)-N(HF339)))</f>
        <v/>
      </c>
      <c r="HK339">
        <f>IF(OR(HF$3="",HF$3&gt;TODAY()),"",IF(AND(HI339="",HJ339=""),"",N(HJ339)-N(HI339)))</f>
        <v/>
      </c>
      <c r="HO339">
        <f>IF(OR(HM$3="",HM$3&gt;TODAY()),"",IF(AND(HM339="",HN339=""),"",N(HN339)-N(HM339)))</f>
        <v/>
      </c>
      <c r="HR339">
        <f>IF(OR(HM$3="",HM$3&gt;TODAY()),"",IF(AND(HP339="",HQ339=""),"",N(HQ339)-N(HP339)))</f>
        <v/>
      </c>
      <c r="HV339">
        <f>IF(OR(HT$3="",HT$3&gt;TODAY()),"",IF(AND(HT339="",HU339=""),"",N(HU339)-N(HT339)))</f>
        <v/>
      </c>
      <c r="HY339">
        <f>IF(OR(HT$3="",HT$3&gt;TODAY()),"",IF(AND(HW339="",HX339=""),"",N(HX339)-N(HW339)))</f>
        <v/>
      </c>
      <c r="IC339">
        <f>IF(OR(IA$3="",IA$3&gt;TODAY()),"",IF(AND(IA339="",IB339=""),"",N(IB339)-N(IA339)))</f>
        <v/>
      </c>
      <c r="IF339">
        <f>IF(OR(IA$3="",IA$3&gt;TODAY()),"",IF(AND(ID339="",IE339=""),"",N(IE339)-N(ID339)))</f>
        <v/>
      </c>
      <c r="IJ339">
        <f>IF(OR(IH$3="",IH$3&gt;TODAY()),"",IF(AND(IH339="",II339=""),"",N(II339)-N(IH339)))</f>
        <v/>
      </c>
      <c r="IM339">
        <f>IF(OR(IH$3="",IH$3&gt;TODAY()),"",IF(AND(IK339="",IL339=""),"",N(IL339)-N(IK339)))</f>
        <v/>
      </c>
    </row>
    <row r="340">
      <c r="A340" s="21" t="n"/>
      <c r="B340" s="21" t="n"/>
      <c r="C340" s="21" t="n"/>
      <c r="D340" s="21" t="n"/>
      <c r="E340" s="21" t="n"/>
      <c r="F340" s="21" t="n"/>
      <c r="G340" s="21" t="n"/>
      <c r="H340" s="21" t="n"/>
      <c r="I340" s="22" t="n"/>
      <c r="J340" s="22" t="n"/>
      <c r="K340" s="23" t="n"/>
      <c r="L340" s="22" t="n"/>
      <c r="M340" s="22" t="n"/>
      <c r="N340" s="21" t="n"/>
      <c r="O340" s="23" t="n"/>
      <c r="P340" s="23" t="n"/>
      <c r="Q340" s="23" t="n"/>
      <c r="R340" s="23" t="n"/>
      <c r="S340" s="22" t="n"/>
      <c r="T340" s="23" t="n"/>
      <c r="U340" s="23" t="n"/>
      <c r="V340" s="24">
        <f>IF(J340&lt;&gt;"",J340,IF(I340&lt;&gt;"",I340,""))</f>
        <v/>
      </c>
      <c r="W340" s="25">
        <f>IF($E340="","",N(O340)+SUMIFS($AF340:$IN340,$AF$4:$IN$4,"SEW_ACT"))</f>
        <v/>
      </c>
      <c r="X340" s="25">
        <f>IF($E340="","",N(P340)+SUMIFS($AF340:$IN340,$AF$4:$IN$4,"WASH_ACT"))</f>
        <v/>
      </c>
      <c r="Y340" s="25">
        <f>IF($E340="","",W340-X340-N(T340)-N(U340))</f>
        <v/>
      </c>
      <c r="Z340" s="25">
        <f>IF($E340="","",IF(N(K340)-X340&lt;=0.02*N(K340),0,N(K340)-X340))</f>
        <v/>
      </c>
      <c r="AA340" s="24">
        <f>IF($E340="","",IF(S340&lt;&gt;"",S340,IF(N(O340)&gt;0,IF(L340&lt;&gt;"",L340,99999),IFERROR(1/(1/_xlfn.MINIFS($AF$3:$IN$3,$AF$4:$IN$4,"SEW_ACT",$AF340:$IN340,"&gt;0")),99999))))</f>
        <v/>
      </c>
      <c r="AB340" s="26">
        <f>IF(OR($E340="",Z340=0,V340=""),"",1+COUNTIFS(Z$8:Z$707,"&gt;0",V$8:V$707,"&lt;"&amp;V340)+COUNTIFS(Z$8:Z$707,"&gt;0",V$8:V$707,V340,AA$8:AA$707,"&lt;"&amp;AA340)+COUNTIFS(Z$8:Z$707,"&gt;0",V$8:V$707,V340,AA$8:AA$707,AA340,E$8:E$707,"&lt;"&amp;$E340))</f>
        <v/>
      </c>
      <c r="AC340" s="24">
        <f>IF(OR($E340="",Z340=0),"",IFERROR(TODAY()+ROUNDUP(Z340/(SUMIFS($AF340:$IN340,$AF$4:$IN$4,"WASH_ACT")/COUNTIFS($AF$4:$IN$4,"WASH_ACT",$AF340:$IN340,"&gt;0")),0),"no output yet"))</f>
        <v/>
      </c>
      <c r="AD340" s="26">
        <f>IF($E340="","",IFERROR(ROUND(MAX(0,SUMIFS($AF340:$IN340,$AF$4:$IN$4,"SEW_PLAN",$AF$3:$IN$3,"&lt;="&amp;TODAY())-SUMIFS($AF340:$IN340,$AF$4:$IN$4,"SEW_ACT",$AF$3:$IN$3,"&lt;="&amp;TODAY())+N(Q340))/(SUMIFS($AF340:$IN340,$AF$4:$IN$4,"SEW_PLAN")/COUNTIFS($AF$4:$IN$4,"SEW_PLAN",$AF340:$IN340,"&gt;0")),1),0))</f>
        <v/>
      </c>
      <c r="AE340" s="26">
        <f>IF($E340="","",IF(AND(Z340&gt;0,OR(AND(M340&lt;&gt;"",TODAY()&gt;M340),AND(V340&lt;&gt;"",V340-TODAY()&lt;=7))),"Yes","No"))</f>
        <v/>
      </c>
      <c r="AH340">
        <f>IF(OR(AF$3="",AF$3&gt;TODAY()),"",IF(AND(AF340="",AG340=""),"",N(AG340)-N(AF340)))</f>
        <v/>
      </c>
      <c r="AK340">
        <f>IF(OR(AF$3="",AF$3&gt;TODAY()),"",IF(AND(AI340="",AJ340=""),"",N(AJ340)-N(AI340)))</f>
        <v/>
      </c>
      <c r="AO340">
        <f>IF(OR(AM$3="",AM$3&gt;TODAY()),"",IF(AND(AM340="",AN340=""),"",N(AN340)-N(AM340)))</f>
        <v/>
      </c>
      <c r="AR340">
        <f>IF(OR(AM$3="",AM$3&gt;TODAY()),"",IF(AND(AP340="",AQ340=""),"",N(AQ340)-N(AP340)))</f>
        <v/>
      </c>
      <c r="AV340">
        <f>IF(OR(AT$3="",AT$3&gt;TODAY()),"",IF(AND(AT340="",AU340=""),"",N(AU340)-N(AT340)))</f>
        <v/>
      </c>
      <c r="AY340">
        <f>IF(OR(AT$3="",AT$3&gt;TODAY()),"",IF(AND(AW340="",AX340=""),"",N(AX340)-N(AW340)))</f>
        <v/>
      </c>
      <c r="BC340">
        <f>IF(OR(BA$3="",BA$3&gt;TODAY()),"",IF(AND(BA340="",BB340=""),"",N(BB340)-N(BA340)))</f>
        <v/>
      </c>
      <c r="BF340">
        <f>IF(OR(BA$3="",BA$3&gt;TODAY()),"",IF(AND(BD340="",BE340=""),"",N(BE340)-N(BD340)))</f>
        <v/>
      </c>
      <c r="BJ340">
        <f>IF(OR(BH$3="",BH$3&gt;TODAY()),"",IF(AND(BH340="",BI340=""),"",N(BI340)-N(BH340)))</f>
        <v/>
      </c>
      <c r="BM340">
        <f>IF(OR(BH$3="",BH$3&gt;TODAY()),"",IF(AND(BK340="",BL340=""),"",N(BL340)-N(BK340)))</f>
        <v/>
      </c>
      <c r="BQ340">
        <f>IF(OR(BO$3="",BO$3&gt;TODAY()),"",IF(AND(BO340="",BP340=""),"",N(BP340)-N(BO340)))</f>
        <v/>
      </c>
      <c r="BT340">
        <f>IF(OR(BO$3="",BO$3&gt;TODAY()),"",IF(AND(BR340="",BS340=""),"",N(BS340)-N(BR340)))</f>
        <v/>
      </c>
      <c r="BX340">
        <f>IF(OR(BV$3="",BV$3&gt;TODAY()),"",IF(AND(BV340="",BW340=""),"",N(BW340)-N(BV340)))</f>
        <v/>
      </c>
      <c r="CA340">
        <f>IF(OR(BV$3="",BV$3&gt;TODAY()),"",IF(AND(BY340="",BZ340=""),"",N(BZ340)-N(BY340)))</f>
        <v/>
      </c>
      <c r="CE340">
        <f>IF(OR(CC$3="",CC$3&gt;TODAY()),"",IF(AND(CC340="",CD340=""),"",N(CD340)-N(CC340)))</f>
        <v/>
      </c>
      <c r="CH340">
        <f>IF(OR(CC$3="",CC$3&gt;TODAY()),"",IF(AND(CF340="",CG340=""),"",N(CG340)-N(CF340)))</f>
        <v/>
      </c>
      <c r="CL340">
        <f>IF(OR(CJ$3="",CJ$3&gt;TODAY()),"",IF(AND(CJ340="",CK340=""),"",N(CK340)-N(CJ340)))</f>
        <v/>
      </c>
      <c r="CO340">
        <f>IF(OR(CJ$3="",CJ$3&gt;TODAY()),"",IF(AND(CM340="",CN340=""),"",N(CN340)-N(CM340)))</f>
        <v/>
      </c>
      <c r="CS340">
        <f>IF(OR(CQ$3="",CQ$3&gt;TODAY()),"",IF(AND(CQ340="",CR340=""),"",N(CR340)-N(CQ340)))</f>
        <v/>
      </c>
      <c r="CV340">
        <f>IF(OR(CQ$3="",CQ$3&gt;TODAY()),"",IF(AND(CT340="",CU340=""),"",N(CU340)-N(CT340)))</f>
        <v/>
      </c>
      <c r="CZ340">
        <f>IF(OR(CX$3="",CX$3&gt;TODAY()),"",IF(AND(CX340="",CY340=""),"",N(CY340)-N(CX340)))</f>
        <v/>
      </c>
      <c r="DC340">
        <f>IF(OR(CX$3="",CX$3&gt;TODAY()),"",IF(AND(DA340="",DB340=""),"",N(DB340)-N(DA340)))</f>
        <v/>
      </c>
      <c r="DG340">
        <f>IF(OR(DE$3="",DE$3&gt;TODAY()),"",IF(AND(DE340="",DF340=""),"",N(DF340)-N(DE340)))</f>
        <v/>
      </c>
      <c r="DJ340">
        <f>IF(OR(DE$3="",DE$3&gt;TODAY()),"",IF(AND(DH340="",DI340=""),"",N(DI340)-N(DH340)))</f>
        <v/>
      </c>
      <c r="DN340">
        <f>IF(OR(DL$3="",DL$3&gt;TODAY()),"",IF(AND(DL340="",DM340=""),"",N(DM340)-N(DL340)))</f>
        <v/>
      </c>
      <c r="DQ340">
        <f>IF(OR(DL$3="",DL$3&gt;TODAY()),"",IF(AND(DO340="",DP340=""),"",N(DP340)-N(DO340)))</f>
        <v/>
      </c>
      <c r="DU340">
        <f>IF(OR(DS$3="",DS$3&gt;TODAY()),"",IF(AND(DS340="",DT340=""),"",N(DT340)-N(DS340)))</f>
        <v/>
      </c>
      <c r="DX340">
        <f>IF(OR(DS$3="",DS$3&gt;TODAY()),"",IF(AND(DV340="",DW340=""),"",N(DW340)-N(DV340)))</f>
        <v/>
      </c>
      <c r="EB340">
        <f>IF(OR(DZ$3="",DZ$3&gt;TODAY()),"",IF(AND(DZ340="",EA340=""),"",N(EA340)-N(DZ340)))</f>
        <v/>
      </c>
      <c r="EE340">
        <f>IF(OR(DZ$3="",DZ$3&gt;TODAY()),"",IF(AND(EC340="",ED340=""),"",N(ED340)-N(EC340)))</f>
        <v/>
      </c>
      <c r="EI340">
        <f>IF(OR(EG$3="",EG$3&gt;TODAY()),"",IF(AND(EG340="",EH340=""),"",N(EH340)-N(EG340)))</f>
        <v/>
      </c>
      <c r="EL340">
        <f>IF(OR(EG$3="",EG$3&gt;TODAY()),"",IF(AND(EJ340="",EK340=""),"",N(EK340)-N(EJ340)))</f>
        <v/>
      </c>
      <c r="EP340">
        <f>IF(OR(EN$3="",EN$3&gt;TODAY()),"",IF(AND(EN340="",EO340=""),"",N(EO340)-N(EN340)))</f>
        <v/>
      </c>
      <c r="ES340">
        <f>IF(OR(EN$3="",EN$3&gt;TODAY()),"",IF(AND(EQ340="",ER340=""),"",N(ER340)-N(EQ340)))</f>
        <v/>
      </c>
      <c r="EW340">
        <f>IF(OR(EU$3="",EU$3&gt;TODAY()),"",IF(AND(EU340="",EV340=""),"",N(EV340)-N(EU340)))</f>
        <v/>
      </c>
      <c r="EZ340">
        <f>IF(OR(EU$3="",EU$3&gt;TODAY()),"",IF(AND(EX340="",EY340=""),"",N(EY340)-N(EX340)))</f>
        <v/>
      </c>
      <c r="FD340">
        <f>IF(OR(FB$3="",FB$3&gt;TODAY()),"",IF(AND(FB340="",FC340=""),"",N(FC340)-N(FB340)))</f>
        <v/>
      </c>
      <c r="FG340">
        <f>IF(OR(FB$3="",FB$3&gt;TODAY()),"",IF(AND(FE340="",FF340=""),"",N(FF340)-N(FE340)))</f>
        <v/>
      </c>
      <c r="FK340">
        <f>IF(OR(FI$3="",FI$3&gt;TODAY()),"",IF(AND(FI340="",FJ340=""),"",N(FJ340)-N(FI340)))</f>
        <v/>
      </c>
      <c r="FN340">
        <f>IF(OR(FI$3="",FI$3&gt;TODAY()),"",IF(AND(FL340="",FM340=""),"",N(FM340)-N(FL340)))</f>
        <v/>
      </c>
      <c r="FR340">
        <f>IF(OR(FP$3="",FP$3&gt;TODAY()),"",IF(AND(FP340="",FQ340=""),"",N(FQ340)-N(FP340)))</f>
        <v/>
      </c>
      <c r="FU340">
        <f>IF(OR(FP$3="",FP$3&gt;TODAY()),"",IF(AND(FS340="",FT340=""),"",N(FT340)-N(FS340)))</f>
        <v/>
      </c>
      <c r="FY340">
        <f>IF(OR(FW$3="",FW$3&gt;TODAY()),"",IF(AND(FW340="",FX340=""),"",N(FX340)-N(FW340)))</f>
        <v/>
      </c>
      <c r="GB340">
        <f>IF(OR(FW$3="",FW$3&gt;TODAY()),"",IF(AND(FZ340="",GA340=""),"",N(GA340)-N(FZ340)))</f>
        <v/>
      </c>
      <c r="GF340">
        <f>IF(OR(GD$3="",GD$3&gt;TODAY()),"",IF(AND(GD340="",GE340=""),"",N(GE340)-N(GD340)))</f>
        <v/>
      </c>
      <c r="GI340">
        <f>IF(OR(GD$3="",GD$3&gt;TODAY()),"",IF(AND(GG340="",GH340=""),"",N(GH340)-N(GG340)))</f>
        <v/>
      </c>
      <c r="GM340">
        <f>IF(OR(GK$3="",GK$3&gt;TODAY()),"",IF(AND(GK340="",GL340=""),"",N(GL340)-N(GK340)))</f>
        <v/>
      </c>
      <c r="GP340">
        <f>IF(OR(GK$3="",GK$3&gt;TODAY()),"",IF(AND(GN340="",GO340=""),"",N(GO340)-N(GN340)))</f>
        <v/>
      </c>
      <c r="GT340">
        <f>IF(OR(GR$3="",GR$3&gt;TODAY()),"",IF(AND(GR340="",GS340=""),"",N(GS340)-N(GR340)))</f>
        <v/>
      </c>
      <c r="GW340">
        <f>IF(OR(GR$3="",GR$3&gt;TODAY()),"",IF(AND(GU340="",GV340=""),"",N(GV340)-N(GU340)))</f>
        <v/>
      </c>
      <c r="HA340">
        <f>IF(OR(GY$3="",GY$3&gt;TODAY()),"",IF(AND(GY340="",GZ340=""),"",N(GZ340)-N(GY340)))</f>
        <v/>
      </c>
      <c r="HD340">
        <f>IF(OR(GY$3="",GY$3&gt;TODAY()),"",IF(AND(HB340="",HC340=""),"",N(HC340)-N(HB340)))</f>
        <v/>
      </c>
      <c r="HH340">
        <f>IF(OR(HF$3="",HF$3&gt;TODAY()),"",IF(AND(HF340="",HG340=""),"",N(HG340)-N(HF340)))</f>
        <v/>
      </c>
      <c r="HK340">
        <f>IF(OR(HF$3="",HF$3&gt;TODAY()),"",IF(AND(HI340="",HJ340=""),"",N(HJ340)-N(HI340)))</f>
        <v/>
      </c>
      <c r="HO340">
        <f>IF(OR(HM$3="",HM$3&gt;TODAY()),"",IF(AND(HM340="",HN340=""),"",N(HN340)-N(HM340)))</f>
        <v/>
      </c>
      <c r="HR340">
        <f>IF(OR(HM$3="",HM$3&gt;TODAY()),"",IF(AND(HP340="",HQ340=""),"",N(HQ340)-N(HP340)))</f>
        <v/>
      </c>
      <c r="HV340">
        <f>IF(OR(HT$3="",HT$3&gt;TODAY()),"",IF(AND(HT340="",HU340=""),"",N(HU340)-N(HT340)))</f>
        <v/>
      </c>
      <c r="HY340">
        <f>IF(OR(HT$3="",HT$3&gt;TODAY()),"",IF(AND(HW340="",HX340=""),"",N(HX340)-N(HW340)))</f>
        <v/>
      </c>
      <c r="IC340">
        <f>IF(OR(IA$3="",IA$3&gt;TODAY()),"",IF(AND(IA340="",IB340=""),"",N(IB340)-N(IA340)))</f>
        <v/>
      </c>
      <c r="IF340">
        <f>IF(OR(IA$3="",IA$3&gt;TODAY()),"",IF(AND(ID340="",IE340=""),"",N(IE340)-N(ID340)))</f>
        <v/>
      </c>
      <c r="IJ340">
        <f>IF(OR(IH$3="",IH$3&gt;TODAY()),"",IF(AND(IH340="",II340=""),"",N(II340)-N(IH340)))</f>
        <v/>
      </c>
      <c r="IM340">
        <f>IF(OR(IH$3="",IH$3&gt;TODAY()),"",IF(AND(IK340="",IL340=""),"",N(IL340)-N(IK340)))</f>
        <v/>
      </c>
    </row>
    <row r="341">
      <c r="A341" s="21" t="n"/>
      <c r="B341" s="21" t="n"/>
      <c r="C341" s="21" t="n"/>
      <c r="D341" s="21" t="n"/>
      <c r="E341" s="21" t="n"/>
      <c r="F341" s="21" t="n"/>
      <c r="G341" s="21" t="n"/>
      <c r="H341" s="21" t="n"/>
      <c r="I341" s="22" t="n"/>
      <c r="J341" s="22" t="n"/>
      <c r="K341" s="23" t="n"/>
      <c r="L341" s="22" t="n"/>
      <c r="M341" s="22" t="n"/>
      <c r="N341" s="21" t="n"/>
      <c r="O341" s="23" t="n"/>
      <c r="P341" s="23" t="n"/>
      <c r="Q341" s="23" t="n"/>
      <c r="R341" s="23" t="n"/>
      <c r="S341" s="22" t="n"/>
      <c r="T341" s="23" t="n"/>
      <c r="U341" s="23" t="n"/>
      <c r="V341" s="24">
        <f>IF(J341&lt;&gt;"",J341,IF(I341&lt;&gt;"",I341,""))</f>
        <v/>
      </c>
      <c r="W341" s="25">
        <f>IF($E341="","",N(O341)+SUMIFS($AF341:$IN341,$AF$4:$IN$4,"SEW_ACT"))</f>
        <v/>
      </c>
      <c r="X341" s="25">
        <f>IF($E341="","",N(P341)+SUMIFS($AF341:$IN341,$AF$4:$IN$4,"WASH_ACT"))</f>
        <v/>
      </c>
      <c r="Y341" s="25">
        <f>IF($E341="","",W341-X341-N(T341)-N(U341))</f>
        <v/>
      </c>
      <c r="Z341" s="25">
        <f>IF($E341="","",IF(N(K341)-X341&lt;=0.02*N(K341),0,N(K341)-X341))</f>
        <v/>
      </c>
      <c r="AA341" s="24">
        <f>IF($E341="","",IF(S341&lt;&gt;"",S341,IF(N(O341)&gt;0,IF(L341&lt;&gt;"",L341,99999),IFERROR(1/(1/_xlfn.MINIFS($AF$3:$IN$3,$AF$4:$IN$4,"SEW_ACT",$AF341:$IN341,"&gt;0")),99999))))</f>
        <v/>
      </c>
      <c r="AB341" s="26">
        <f>IF(OR($E341="",Z341=0,V341=""),"",1+COUNTIFS(Z$8:Z$707,"&gt;0",V$8:V$707,"&lt;"&amp;V341)+COUNTIFS(Z$8:Z$707,"&gt;0",V$8:V$707,V341,AA$8:AA$707,"&lt;"&amp;AA341)+COUNTIFS(Z$8:Z$707,"&gt;0",V$8:V$707,V341,AA$8:AA$707,AA341,E$8:E$707,"&lt;"&amp;$E341))</f>
        <v/>
      </c>
      <c r="AC341" s="24">
        <f>IF(OR($E341="",Z341=0),"",IFERROR(TODAY()+ROUNDUP(Z341/(SUMIFS($AF341:$IN341,$AF$4:$IN$4,"WASH_ACT")/COUNTIFS($AF$4:$IN$4,"WASH_ACT",$AF341:$IN341,"&gt;0")),0),"no output yet"))</f>
        <v/>
      </c>
      <c r="AD341" s="26">
        <f>IF($E341="","",IFERROR(ROUND(MAX(0,SUMIFS($AF341:$IN341,$AF$4:$IN$4,"SEW_PLAN",$AF$3:$IN$3,"&lt;="&amp;TODAY())-SUMIFS($AF341:$IN341,$AF$4:$IN$4,"SEW_ACT",$AF$3:$IN$3,"&lt;="&amp;TODAY())+N(Q341))/(SUMIFS($AF341:$IN341,$AF$4:$IN$4,"SEW_PLAN")/COUNTIFS($AF$4:$IN$4,"SEW_PLAN",$AF341:$IN341,"&gt;0")),1),0))</f>
        <v/>
      </c>
      <c r="AE341" s="26">
        <f>IF($E341="","",IF(AND(Z341&gt;0,OR(AND(M341&lt;&gt;"",TODAY()&gt;M341),AND(V341&lt;&gt;"",V341-TODAY()&lt;=7))),"Yes","No"))</f>
        <v/>
      </c>
      <c r="AH341">
        <f>IF(OR(AF$3="",AF$3&gt;TODAY()),"",IF(AND(AF341="",AG341=""),"",N(AG341)-N(AF341)))</f>
        <v/>
      </c>
      <c r="AK341">
        <f>IF(OR(AF$3="",AF$3&gt;TODAY()),"",IF(AND(AI341="",AJ341=""),"",N(AJ341)-N(AI341)))</f>
        <v/>
      </c>
      <c r="AO341">
        <f>IF(OR(AM$3="",AM$3&gt;TODAY()),"",IF(AND(AM341="",AN341=""),"",N(AN341)-N(AM341)))</f>
        <v/>
      </c>
      <c r="AR341">
        <f>IF(OR(AM$3="",AM$3&gt;TODAY()),"",IF(AND(AP341="",AQ341=""),"",N(AQ341)-N(AP341)))</f>
        <v/>
      </c>
      <c r="AV341">
        <f>IF(OR(AT$3="",AT$3&gt;TODAY()),"",IF(AND(AT341="",AU341=""),"",N(AU341)-N(AT341)))</f>
        <v/>
      </c>
      <c r="AY341">
        <f>IF(OR(AT$3="",AT$3&gt;TODAY()),"",IF(AND(AW341="",AX341=""),"",N(AX341)-N(AW341)))</f>
        <v/>
      </c>
      <c r="BC341">
        <f>IF(OR(BA$3="",BA$3&gt;TODAY()),"",IF(AND(BA341="",BB341=""),"",N(BB341)-N(BA341)))</f>
        <v/>
      </c>
      <c r="BF341">
        <f>IF(OR(BA$3="",BA$3&gt;TODAY()),"",IF(AND(BD341="",BE341=""),"",N(BE341)-N(BD341)))</f>
        <v/>
      </c>
      <c r="BJ341">
        <f>IF(OR(BH$3="",BH$3&gt;TODAY()),"",IF(AND(BH341="",BI341=""),"",N(BI341)-N(BH341)))</f>
        <v/>
      </c>
      <c r="BM341">
        <f>IF(OR(BH$3="",BH$3&gt;TODAY()),"",IF(AND(BK341="",BL341=""),"",N(BL341)-N(BK341)))</f>
        <v/>
      </c>
      <c r="BQ341">
        <f>IF(OR(BO$3="",BO$3&gt;TODAY()),"",IF(AND(BO341="",BP341=""),"",N(BP341)-N(BO341)))</f>
        <v/>
      </c>
      <c r="BT341">
        <f>IF(OR(BO$3="",BO$3&gt;TODAY()),"",IF(AND(BR341="",BS341=""),"",N(BS341)-N(BR341)))</f>
        <v/>
      </c>
      <c r="BX341">
        <f>IF(OR(BV$3="",BV$3&gt;TODAY()),"",IF(AND(BV341="",BW341=""),"",N(BW341)-N(BV341)))</f>
        <v/>
      </c>
      <c r="CA341">
        <f>IF(OR(BV$3="",BV$3&gt;TODAY()),"",IF(AND(BY341="",BZ341=""),"",N(BZ341)-N(BY341)))</f>
        <v/>
      </c>
      <c r="CE341">
        <f>IF(OR(CC$3="",CC$3&gt;TODAY()),"",IF(AND(CC341="",CD341=""),"",N(CD341)-N(CC341)))</f>
        <v/>
      </c>
      <c r="CH341">
        <f>IF(OR(CC$3="",CC$3&gt;TODAY()),"",IF(AND(CF341="",CG341=""),"",N(CG341)-N(CF341)))</f>
        <v/>
      </c>
      <c r="CL341">
        <f>IF(OR(CJ$3="",CJ$3&gt;TODAY()),"",IF(AND(CJ341="",CK341=""),"",N(CK341)-N(CJ341)))</f>
        <v/>
      </c>
      <c r="CO341">
        <f>IF(OR(CJ$3="",CJ$3&gt;TODAY()),"",IF(AND(CM341="",CN341=""),"",N(CN341)-N(CM341)))</f>
        <v/>
      </c>
      <c r="CS341">
        <f>IF(OR(CQ$3="",CQ$3&gt;TODAY()),"",IF(AND(CQ341="",CR341=""),"",N(CR341)-N(CQ341)))</f>
        <v/>
      </c>
      <c r="CV341">
        <f>IF(OR(CQ$3="",CQ$3&gt;TODAY()),"",IF(AND(CT341="",CU341=""),"",N(CU341)-N(CT341)))</f>
        <v/>
      </c>
      <c r="CZ341">
        <f>IF(OR(CX$3="",CX$3&gt;TODAY()),"",IF(AND(CX341="",CY341=""),"",N(CY341)-N(CX341)))</f>
        <v/>
      </c>
      <c r="DC341">
        <f>IF(OR(CX$3="",CX$3&gt;TODAY()),"",IF(AND(DA341="",DB341=""),"",N(DB341)-N(DA341)))</f>
        <v/>
      </c>
      <c r="DG341">
        <f>IF(OR(DE$3="",DE$3&gt;TODAY()),"",IF(AND(DE341="",DF341=""),"",N(DF341)-N(DE341)))</f>
        <v/>
      </c>
      <c r="DJ341">
        <f>IF(OR(DE$3="",DE$3&gt;TODAY()),"",IF(AND(DH341="",DI341=""),"",N(DI341)-N(DH341)))</f>
        <v/>
      </c>
      <c r="DN341">
        <f>IF(OR(DL$3="",DL$3&gt;TODAY()),"",IF(AND(DL341="",DM341=""),"",N(DM341)-N(DL341)))</f>
        <v/>
      </c>
      <c r="DQ341">
        <f>IF(OR(DL$3="",DL$3&gt;TODAY()),"",IF(AND(DO341="",DP341=""),"",N(DP341)-N(DO341)))</f>
        <v/>
      </c>
      <c r="DU341">
        <f>IF(OR(DS$3="",DS$3&gt;TODAY()),"",IF(AND(DS341="",DT341=""),"",N(DT341)-N(DS341)))</f>
        <v/>
      </c>
      <c r="DX341">
        <f>IF(OR(DS$3="",DS$3&gt;TODAY()),"",IF(AND(DV341="",DW341=""),"",N(DW341)-N(DV341)))</f>
        <v/>
      </c>
      <c r="EB341">
        <f>IF(OR(DZ$3="",DZ$3&gt;TODAY()),"",IF(AND(DZ341="",EA341=""),"",N(EA341)-N(DZ341)))</f>
        <v/>
      </c>
      <c r="EE341">
        <f>IF(OR(DZ$3="",DZ$3&gt;TODAY()),"",IF(AND(EC341="",ED341=""),"",N(ED341)-N(EC341)))</f>
        <v/>
      </c>
      <c r="EI341">
        <f>IF(OR(EG$3="",EG$3&gt;TODAY()),"",IF(AND(EG341="",EH341=""),"",N(EH341)-N(EG341)))</f>
        <v/>
      </c>
      <c r="EL341">
        <f>IF(OR(EG$3="",EG$3&gt;TODAY()),"",IF(AND(EJ341="",EK341=""),"",N(EK341)-N(EJ341)))</f>
        <v/>
      </c>
      <c r="EP341">
        <f>IF(OR(EN$3="",EN$3&gt;TODAY()),"",IF(AND(EN341="",EO341=""),"",N(EO341)-N(EN341)))</f>
        <v/>
      </c>
      <c r="ES341">
        <f>IF(OR(EN$3="",EN$3&gt;TODAY()),"",IF(AND(EQ341="",ER341=""),"",N(ER341)-N(EQ341)))</f>
        <v/>
      </c>
      <c r="EW341">
        <f>IF(OR(EU$3="",EU$3&gt;TODAY()),"",IF(AND(EU341="",EV341=""),"",N(EV341)-N(EU341)))</f>
        <v/>
      </c>
      <c r="EZ341">
        <f>IF(OR(EU$3="",EU$3&gt;TODAY()),"",IF(AND(EX341="",EY341=""),"",N(EY341)-N(EX341)))</f>
        <v/>
      </c>
      <c r="FD341">
        <f>IF(OR(FB$3="",FB$3&gt;TODAY()),"",IF(AND(FB341="",FC341=""),"",N(FC341)-N(FB341)))</f>
        <v/>
      </c>
      <c r="FG341">
        <f>IF(OR(FB$3="",FB$3&gt;TODAY()),"",IF(AND(FE341="",FF341=""),"",N(FF341)-N(FE341)))</f>
        <v/>
      </c>
      <c r="FK341">
        <f>IF(OR(FI$3="",FI$3&gt;TODAY()),"",IF(AND(FI341="",FJ341=""),"",N(FJ341)-N(FI341)))</f>
        <v/>
      </c>
      <c r="FN341">
        <f>IF(OR(FI$3="",FI$3&gt;TODAY()),"",IF(AND(FL341="",FM341=""),"",N(FM341)-N(FL341)))</f>
        <v/>
      </c>
      <c r="FR341">
        <f>IF(OR(FP$3="",FP$3&gt;TODAY()),"",IF(AND(FP341="",FQ341=""),"",N(FQ341)-N(FP341)))</f>
        <v/>
      </c>
      <c r="FU341">
        <f>IF(OR(FP$3="",FP$3&gt;TODAY()),"",IF(AND(FS341="",FT341=""),"",N(FT341)-N(FS341)))</f>
        <v/>
      </c>
      <c r="FY341">
        <f>IF(OR(FW$3="",FW$3&gt;TODAY()),"",IF(AND(FW341="",FX341=""),"",N(FX341)-N(FW341)))</f>
        <v/>
      </c>
      <c r="GB341">
        <f>IF(OR(FW$3="",FW$3&gt;TODAY()),"",IF(AND(FZ341="",GA341=""),"",N(GA341)-N(FZ341)))</f>
        <v/>
      </c>
      <c r="GF341">
        <f>IF(OR(GD$3="",GD$3&gt;TODAY()),"",IF(AND(GD341="",GE341=""),"",N(GE341)-N(GD341)))</f>
        <v/>
      </c>
      <c r="GI341">
        <f>IF(OR(GD$3="",GD$3&gt;TODAY()),"",IF(AND(GG341="",GH341=""),"",N(GH341)-N(GG341)))</f>
        <v/>
      </c>
      <c r="GM341">
        <f>IF(OR(GK$3="",GK$3&gt;TODAY()),"",IF(AND(GK341="",GL341=""),"",N(GL341)-N(GK341)))</f>
        <v/>
      </c>
      <c r="GP341">
        <f>IF(OR(GK$3="",GK$3&gt;TODAY()),"",IF(AND(GN341="",GO341=""),"",N(GO341)-N(GN341)))</f>
        <v/>
      </c>
      <c r="GT341">
        <f>IF(OR(GR$3="",GR$3&gt;TODAY()),"",IF(AND(GR341="",GS341=""),"",N(GS341)-N(GR341)))</f>
        <v/>
      </c>
      <c r="GW341">
        <f>IF(OR(GR$3="",GR$3&gt;TODAY()),"",IF(AND(GU341="",GV341=""),"",N(GV341)-N(GU341)))</f>
        <v/>
      </c>
      <c r="HA341">
        <f>IF(OR(GY$3="",GY$3&gt;TODAY()),"",IF(AND(GY341="",GZ341=""),"",N(GZ341)-N(GY341)))</f>
        <v/>
      </c>
      <c r="HD341">
        <f>IF(OR(GY$3="",GY$3&gt;TODAY()),"",IF(AND(HB341="",HC341=""),"",N(HC341)-N(HB341)))</f>
        <v/>
      </c>
      <c r="HH341">
        <f>IF(OR(HF$3="",HF$3&gt;TODAY()),"",IF(AND(HF341="",HG341=""),"",N(HG341)-N(HF341)))</f>
        <v/>
      </c>
      <c r="HK341">
        <f>IF(OR(HF$3="",HF$3&gt;TODAY()),"",IF(AND(HI341="",HJ341=""),"",N(HJ341)-N(HI341)))</f>
        <v/>
      </c>
      <c r="HO341">
        <f>IF(OR(HM$3="",HM$3&gt;TODAY()),"",IF(AND(HM341="",HN341=""),"",N(HN341)-N(HM341)))</f>
        <v/>
      </c>
      <c r="HR341">
        <f>IF(OR(HM$3="",HM$3&gt;TODAY()),"",IF(AND(HP341="",HQ341=""),"",N(HQ341)-N(HP341)))</f>
        <v/>
      </c>
      <c r="HV341">
        <f>IF(OR(HT$3="",HT$3&gt;TODAY()),"",IF(AND(HT341="",HU341=""),"",N(HU341)-N(HT341)))</f>
        <v/>
      </c>
      <c r="HY341">
        <f>IF(OR(HT$3="",HT$3&gt;TODAY()),"",IF(AND(HW341="",HX341=""),"",N(HX341)-N(HW341)))</f>
        <v/>
      </c>
      <c r="IC341">
        <f>IF(OR(IA$3="",IA$3&gt;TODAY()),"",IF(AND(IA341="",IB341=""),"",N(IB341)-N(IA341)))</f>
        <v/>
      </c>
      <c r="IF341">
        <f>IF(OR(IA$3="",IA$3&gt;TODAY()),"",IF(AND(ID341="",IE341=""),"",N(IE341)-N(ID341)))</f>
        <v/>
      </c>
      <c r="IJ341">
        <f>IF(OR(IH$3="",IH$3&gt;TODAY()),"",IF(AND(IH341="",II341=""),"",N(II341)-N(IH341)))</f>
        <v/>
      </c>
      <c r="IM341">
        <f>IF(OR(IH$3="",IH$3&gt;TODAY()),"",IF(AND(IK341="",IL341=""),"",N(IL341)-N(IK341)))</f>
        <v/>
      </c>
    </row>
    <row r="342">
      <c r="A342" s="21" t="n"/>
      <c r="B342" s="21" t="n"/>
      <c r="C342" s="21" t="n"/>
      <c r="D342" s="21" t="n"/>
      <c r="E342" s="21" t="n"/>
      <c r="F342" s="21" t="n"/>
      <c r="G342" s="21" t="n"/>
      <c r="H342" s="21" t="n"/>
      <c r="I342" s="22" t="n"/>
      <c r="J342" s="22" t="n"/>
      <c r="K342" s="23" t="n"/>
      <c r="L342" s="22" t="n"/>
      <c r="M342" s="22" t="n"/>
      <c r="N342" s="21" t="n"/>
      <c r="O342" s="23" t="n"/>
      <c r="P342" s="23" t="n"/>
      <c r="Q342" s="23" t="n"/>
      <c r="R342" s="23" t="n"/>
      <c r="S342" s="22" t="n"/>
      <c r="T342" s="23" t="n"/>
      <c r="U342" s="23" t="n"/>
      <c r="V342" s="24">
        <f>IF(J342&lt;&gt;"",J342,IF(I342&lt;&gt;"",I342,""))</f>
        <v/>
      </c>
      <c r="W342" s="25">
        <f>IF($E342="","",N(O342)+SUMIFS($AF342:$IN342,$AF$4:$IN$4,"SEW_ACT"))</f>
        <v/>
      </c>
      <c r="X342" s="25">
        <f>IF($E342="","",N(P342)+SUMIFS($AF342:$IN342,$AF$4:$IN$4,"WASH_ACT"))</f>
        <v/>
      </c>
      <c r="Y342" s="25">
        <f>IF($E342="","",W342-X342-N(T342)-N(U342))</f>
        <v/>
      </c>
      <c r="Z342" s="25">
        <f>IF($E342="","",IF(N(K342)-X342&lt;=0.02*N(K342),0,N(K342)-X342))</f>
        <v/>
      </c>
      <c r="AA342" s="24">
        <f>IF($E342="","",IF(S342&lt;&gt;"",S342,IF(N(O342)&gt;0,IF(L342&lt;&gt;"",L342,99999),IFERROR(1/(1/_xlfn.MINIFS($AF$3:$IN$3,$AF$4:$IN$4,"SEW_ACT",$AF342:$IN342,"&gt;0")),99999))))</f>
        <v/>
      </c>
      <c r="AB342" s="26">
        <f>IF(OR($E342="",Z342=0,V342=""),"",1+COUNTIFS(Z$8:Z$707,"&gt;0",V$8:V$707,"&lt;"&amp;V342)+COUNTIFS(Z$8:Z$707,"&gt;0",V$8:V$707,V342,AA$8:AA$707,"&lt;"&amp;AA342)+COUNTIFS(Z$8:Z$707,"&gt;0",V$8:V$707,V342,AA$8:AA$707,AA342,E$8:E$707,"&lt;"&amp;$E342))</f>
        <v/>
      </c>
      <c r="AC342" s="24">
        <f>IF(OR($E342="",Z342=0),"",IFERROR(TODAY()+ROUNDUP(Z342/(SUMIFS($AF342:$IN342,$AF$4:$IN$4,"WASH_ACT")/COUNTIFS($AF$4:$IN$4,"WASH_ACT",$AF342:$IN342,"&gt;0")),0),"no output yet"))</f>
        <v/>
      </c>
      <c r="AD342" s="26">
        <f>IF($E342="","",IFERROR(ROUND(MAX(0,SUMIFS($AF342:$IN342,$AF$4:$IN$4,"SEW_PLAN",$AF$3:$IN$3,"&lt;="&amp;TODAY())-SUMIFS($AF342:$IN342,$AF$4:$IN$4,"SEW_ACT",$AF$3:$IN$3,"&lt;="&amp;TODAY())+N(Q342))/(SUMIFS($AF342:$IN342,$AF$4:$IN$4,"SEW_PLAN")/COUNTIFS($AF$4:$IN$4,"SEW_PLAN",$AF342:$IN342,"&gt;0")),1),0))</f>
        <v/>
      </c>
      <c r="AE342" s="26">
        <f>IF($E342="","",IF(AND(Z342&gt;0,OR(AND(M342&lt;&gt;"",TODAY()&gt;M342),AND(V342&lt;&gt;"",V342-TODAY()&lt;=7))),"Yes","No"))</f>
        <v/>
      </c>
      <c r="AH342">
        <f>IF(OR(AF$3="",AF$3&gt;TODAY()),"",IF(AND(AF342="",AG342=""),"",N(AG342)-N(AF342)))</f>
        <v/>
      </c>
      <c r="AK342">
        <f>IF(OR(AF$3="",AF$3&gt;TODAY()),"",IF(AND(AI342="",AJ342=""),"",N(AJ342)-N(AI342)))</f>
        <v/>
      </c>
      <c r="AO342">
        <f>IF(OR(AM$3="",AM$3&gt;TODAY()),"",IF(AND(AM342="",AN342=""),"",N(AN342)-N(AM342)))</f>
        <v/>
      </c>
      <c r="AR342">
        <f>IF(OR(AM$3="",AM$3&gt;TODAY()),"",IF(AND(AP342="",AQ342=""),"",N(AQ342)-N(AP342)))</f>
        <v/>
      </c>
      <c r="AV342">
        <f>IF(OR(AT$3="",AT$3&gt;TODAY()),"",IF(AND(AT342="",AU342=""),"",N(AU342)-N(AT342)))</f>
        <v/>
      </c>
      <c r="AY342">
        <f>IF(OR(AT$3="",AT$3&gt;TODAY()),"",IF(AND(AW342="",AX342=""),"",N(AX342)-N(AW342)))</f>
        <v/>
      </c>
      <c r="BC342">
        <f>IF(OR(BA$3="",BA$3&gt;TODAY()),"",IF(AND(BA342="",BB342=""),"",N(BB342)-N(BA342)))</f>
        <v/>
      </c>
      <c r="BF342">
        <f>IF(OR(BA$3="",BA$3&gt;TODAY()),"",IF(AND(BD342="",BE342=""),"",N(BE342)-N(BD342)))</f>
        <v/>
      </c>
      <c r="BJ342">
        <f>IF(OR(BH$3="",BH$3&gt;TODAY()),"",IF(AND(BH342="",BI342=""),"",N(BI342)-N(BH342)))</f>
        <v/>
      </c>
      <c r="BM342">
        <f>IF(OR(BH$3="",BH$3&gt;TODAY()),"",IF(AND(BK342="",BL342=""),"",N(BL342)-N(BK342)))</f>
        <v/>
      </c>
      <c r="BQ342">
        <f>IF(OR(BO$3="",BO$3&gt;TODAY()),"",IF(AND(BO342="",BP342=""),"",N(BP342)-N(BO342)))</f>
        <v/>
      </c>
      <c r="BT342">
        <f>IF(OR(BO$3="",BO$3&gt;TODAY()),"",IF(AND(BR342="",BS342=""),"",N(BS342)-N(BR342)))</f>
        <v/>
      </c>
      <c r="BX342">
        <f>IF(OR(BV$3="",BV$3&gt;TODAY()),"",IF(AND(BV342="",BW342=""),"",N(BW342)-N(BV342)))</f>
        <v/>
      </c>
      <c r="CA342">
        <f>IF(OR(BV$3="",BV$3&gt;TODAY()),"",IF(AND(BY342="",BZ342=""),"",N(BZ342)-N(BY342)))</f>
        <v/>
      </c>
      <c r="CE342">
        <f>IF(OR(CC$3="",CC$3&gt;TODAY()),"",IF(AND(CC342="",CD342=""),"",N(CD342)-N(CC342)))</f>
        <v/>
      </c>
      <c r="CH342">
        <f>IF(OR(CC$3="",CC$3&gt;TODAY()),"",IF(AND(CF342="",CG342=""),"",N(CG342)-N(CF342)))</f>
        <v/>
      </c>
      <c r="CL342">
        <f>IF(OR(CJ$3="",CJ$3&gt;TODAY()),"",IF(AND(CJ342="",CK342=""),"",N(CK342)-N(CJ342)))</f>
        <v/>
      </c>
      <c r="CO342">
        <f>IF(OR(CJ$3="",CJ$3&gt;TODAY()),"",IF(AND(CM342="",CN342=""),"",N(CN342)-N(CM342)))</f>
        <v/>
      </c>
      <c r="CS342">
        <f>IF(OR(CQ$3="",CQ$3&gt;TODAY()),"",IF(AND(CQ342="",CR342=""),"",N(CR342)-N(CQ342)))</f>
        <v/>
      </c>
      <c r="CV342">
        <f>IF(OR(CQ$3="",CQ$3&gt;TODAY()),"",IF(AND(CT342="",CU342=""),"",N(CU342)-N(CT342)))</f>
        <v/>
      </c>
      <c r="CZ342">
        <f>IF(OR(CX$3="",CX$3&gt;TODAY()),"",IF(AND(CX342="",CY342=""),"",N(CY342)-N(CX342)))</f>
        <v/>
      </c>
      <c r="DC342">
        <f>IF(OR(CX$3="",CX$3&gt;TODAY()),"",IF(AND(DA342="",DB342=""),"",N(DB342)-N(DA342)))</f>
        <v/>
      </c>
      <c r="DG342">
        <f>IF(OR(DE$3="",DE$3&gt;TODAY()),"",IF(AND(DE342="",DF342=""),"",N(DF342)-N(DE342)))</f>
        <v/>
      </c>
      <c r="DJ342">
        <f>IF(OR(DE$3="",DE$3&gt;TODAY()),"",IF(AND(DH342="",DI342=""),"",N(DI342)-N(DH342)))</f>
        <v/>
      </c>
      <c r="DN342">
        <f>IF(OR(DL$3="",DL$3&gt;TODAY()),"",IF(AND(DL342="",DM342=""),"",N(DM342)-N(DL342)))</f>
        <v/>
      </c>
      <c r="DQ342">
        <f>IF(OR(DL$3="",DL$3&gt;TODAY()),"",IF(AND(DO342="",DP342=""),"",N(DP342)-N(DO342)))</f>
        <v/>
      </c>
      <c r="DU342">
        <f>IF(OR(DS$3="",DS$3&gt;TODAY()),"",IF(AND(DS342="",DT342=""),"",N(DT342)-N(DS342)))</f>
        <v/>
      </c>
      <c r="DX342">
        <f>IF(OR(DS$3="",DS$3&gt;TODAY()),"",IF(AND(DV342="",DW342=""),"",N(DW342)-N(DV342)))</f>
        <v/>
      </c>
      <c r="EB342">
        <f>IF(OR(DZ$3="",DZ$3&gt;TODAY()),"",IF(AND(DZ342="",EA342=""),"",N(EA342)-N(DZ342)))</f>
        <v/>
      </c>
      <c r="EE342">
        <f>IF(OR(DZ$3="",DZ$3&gt;TODAY()),"",IF(AND(EC342="",ED342=""),"",N(ED342)-N(EC342)))</f>
        <v/>
      </c>
      <c r="EI342">
        <f>IF(OR(EG$3="",EG$3&gt;TODAY()),"",IF(AND(EG342="",EH342=""),"",N(EH342)-N(EG342)))</f>
        <v/>
      </c>
      <c r="EL342">
        <f>IF(OR(EG$3="",EG$3&gt;TODAY()),"",IF(AND(EJ342="",EK342=""),"",N(EK342)-N(EJ342)))</f>
        <v/>
      </c>
      <c r="EP342">
        <f>IF(OR(EN$3="",EN$3&gt;TODAY()),"",IF(AND(EN342="",EO342=""),"",N(EO342)-N(EN342)))</f>
        <v/>
      </c>
      <c r="ES342">
        <f>IF(OR(EN$3="",EN$3&gt;TODAY()),"",IF(AND(EQ342="",ER342=""),"",N(ER342)-N(EQ342)))</f>
        <v/>
      </c>
      <c r="EW342">
        <f>IF(OR(EU$3="",EU$3&gt;TODAY()),"",IF(AND(EU342="",EV342=""),"",N(EV342)-N(EU342)))</f>
        <v/>
      </c>
      <c r="EZ342">
        <f>IF(OR(EU$3="",EU$3&gt;TODAY()),"",IF(AND(EX342="",EY342=""),"",N(EY342)-N(EX342)))</f>
        <v/>
      </c>
      <c r="FD342">
        <f>IF(OR(FB$3="",FB$3&gt;TODAY()),"",IF(AND(FB342="",FC342=""),"",N(FC342)-N(FB342)))</f>
        <v/>
      </c>
      <c r="FG342">
        <f>IF(OR(FB$3="",FB$3&gt;TODAY()),"",IF(AND(FE342="",FF342=""),"",N(FF342)-N(FE342)))</f>
        <v/>
      </c>
      <c r="FK342">
        <f>IF(OR(FI$3="",FI$3&gt;TODAY()),"",IF(AND(FI342="",FJ342=""),"",N(FJ342)-N(FI342)))</f>
        <v/>
      </c>
      <c r="FN342">
        <f>IF(OR(FI$3="",FI$3&gt;TODAY()),"",IF(AND(FL342="",FM342=""),"",N(FM342)-N(FL342)))</f>
        <v/>
      </c>
      <c r="FR342">
        <f>IF(OR(FP$3="",FP$3&gt;TODAY()),"",IF(AND(FP342="",FQ342=""),"",N(FQ342)-N(FP342)))</f>
        <v/>
      </c>
      <c r="FU342">
        <f>IF(OR(FP$3="",FP$3&gt;TODAY()),"",IF(AND(FS342="",FT342=""),"",N(FT342)-N(FS342)))</f>
        <v/>
      </c>
      <c r="FY342">
        <f>IF(OR(FW$3="",FW$3&gt;TODAY()),"",IF(AND(FW342="",FX342=""),"",N(FX342)-N(FW342)))</f>
        <v/>
      </c>
      <c r="GB342">
        <f>IF(OR(FW$3="",FW$3&gt;TODAY()),"",IF(AND(FZ342="",GA342=""),"",N(GA342)-N(FZ342)))</f>
        <v/>
      </c>
      <c r="GF342">
        <f>IF(OR(GD$3="",GD$3&gt;TODAY()),"",IF(AND(GD342="",GE342=""),"",N(GE342)-N(GD342)))</f>
        <v/>
      </c>
      <c r="GI342">
        <f>IF(OR(GD$3="",GD$3&gt;TODAY()),"",IF(AND(GG342="",GH342=""),"",N(GH342)-N(GG342)))</f>
        <v/>
      </c>
      <c r="GM342">
        <f>IF(OR(GK$3="",GK$3&gt;TODAY()),"",IF(AND(GK342="",GL342=""),"",N(GL342)-N(GK342)))</f>
        <v/>
      </c>
      <c r="GP342">
        <f>IF(OR(GK$3="",GK$3&gt;TODAY()),"",IF(AND(GN342="",GO342=""),"",N(GO342)-N(GN342)))</f>
        <v/>
      </c>
      <c r="GT342">
        <f>IF(OR(GR$3="",GR$3&gt;TODAY()),"",IF(AND(GR342="",GS342=""),"",N(GS342)-N(GR342)))</f>
        <v/>
      </c>
      <c r="GW342">
        <f>IF(OR(GR$3="",GR$3&gt;TODAY()),"",IF(AND(GU342="",GV342=""),"",N(GV342)-N(GU342)))</f>
        <v/>
      </c>
      <c r="HA342">
        <f>IF(OR(GY$3="",GY$3&gt;TODAY()),"",IF(AND(GY342="",GZ342=""),"",N(GZ342)-N(GY342)))</f>
        <v/>
      </c>
      <c r="HD342">
        <f>IF(OR(GY$3="",GY$3&gt;TODAY()),"",IF(AND(HB342="",HC342=""),"",N(HC342)-N(HB342)))</f>
        <v/>
      </c>
      <c r="HH342">
        <f>IF(OR(HF$3="",HF$3&gt;TODAY()),"",IF(AND(HF342="",HG342=""),"",N(HG342)-N(HF342)))</f>
        <v/>
      </c>
      <c r="HK342">
        <f>IF(OR(HF$3="",HF$3&gt;TODAY()),"",IF(AND(HI342="",HJ342=""),"",N(HJ342)-N(HI342)))</f>
        <v/>
      </c>
      <c r="HO342">
        <f>IF(OR(HM$3="",HM$3&gt;TODAY()),"",IF(AND(HM342="",HN342=""),"",N(HN342)-N(HM342)))</f>
        <v/>
      </c>
      <c r="HR342">
        <f>IF(OR(HM$3="",HM$3&gt;TODAY()),"",IF(AND(HP342="",HQ342=""),"",N(HQ342)-N(HP342)))</f>
        <v/>
      </c>
      <c r="HV342">
        <f>IF(OR(HT$3="",HT$3&gt;TODAY()),"",IF(AND(HT342="",HU342=""),"",N(HU342)-N(HT342)))</f>
        <v/>
      </c>
      <c r="HY342">
        <f>IF(OR(HT$3="",HT$3&gt;TODAY()),"",IF(AND(HW342="",HX342=""),"",N(HX342)-N(HW342)))</f>
        <v/>
      </c>
      <c r="IC342">
        <f>IF(OR(IA$3="",IA$3&gt;TODAY()),"",IF(AND(IA342="",IB342=""),"",N(IB342)-N(IA342)))</f>
        <v/>
      </c>
      <c r="IF342">
        <f>IF(OR(IA$3="",IA$3&gt;TODAY()),"",IF(AND(ID342="",IE342=""),"",N(IE342)-N(ID342)))</f>
        <v/>
      </c>
      <c r="IJ342">
        <f>IF(OR(IH$3="",IH$3&gt;TODAY()),"",IF(AND(IH342="",II342=""),"",N(II342)-N(IH342)))</f>
        <v/>
      </c>
      <c r="IM342">
        <f>IF(OR(IH$3="",IH$3&gt;TODAY()),"",IF(AND(IK342="",IL342=""),"",N(IL342)-N(IK342)))</f>
        <v/>
      </c>
    </row>
    <row r="343">
      <c r="A343" s="21" t="n"/>
      <c r="B343" s="21" t="n"/>
      <c r="C343" s="21" t="n"/>
      <c r="D343" s="21" t="n"/>
      <c r="E343" s="21" t="n"/>
      <c r="F343" s="21" t="n"/>
      <c r="G343" s="21" t="n"/>
      <c r="H343" s="21" t="n"/>
      <c r="I343" s="22" t="n"/>
      <c r="J343" s="22" t="n"/>
      <c r="K343" s="23" t="n"/>
      <c r="L343" s="22" t="n"/>
      <c r="M343" s="22" t="n"/>
      <c r="N343" s="21" t="n"/>
      <c r="O343" s="23" t="n"/>
      <c r="P343" s="23" t="n"/>
      <c r="Q343" s="23" t="n"/>
      <c r="R343" s="23" t="n"/>
      <c r="S343" s="22" t="n"/>
      <c r="T343" s="23" t="n"/>
      <c r="U343" s="23" t="n"/>
      <c r="V343" s="24">
        <f>IF(J343&lt;&gt;"",J343,IF(I343&lt;&gt;"",I343,""))</f>
        <v/>
      </c>
      <c r="W343" s="25">
        <f>IF($E343="","",N(O343)+SUMIFS($AF343:$IN343,$AF$4:$IN$4,"SEW_ACT"))</f>
        <v/>
      </c>
      <c r="X343" s="25">
        <f>IF($E343="","",N(P343)+SUMIFS($AF343:$IN343,$AF$4:$IN$4,"WASH_ACT"))</f>
        <v/>
      </c>
      <c r="Y343" s="25">
        <f>IF($E343="","",W343-X343-N(T343)-N(U343))</f>
        <v/>
      </c>
      <c r="Z343" s="25">
        <f>IF($E343="","",IF(N(K343)-X343&lt;=0.02*N(K343),0,N(K343)-X343))</f>
        <v/>
      </c>
      <c r="AA343" s="24">
        <f>IF($E343="","",IF(S343&lt;&gt;"",S343,IF(N(O343)&gt;0,IF(L343&lt;&gt;"",L343,99999),IFERROR(1/(1/_xlfn.MINIFS($AF$3:$IN$3,$AF$4:$IN$4,"SEW_ACT",$AF343:$IN343,"&gt;0")),99999))))</f>
        <v/>
      </c>
      <c r="AB343" s="26">
        <f>IF(OR($E343="",Z343=0,V343=""),"",1+COUNTIFS(Z$8:Z$707,"&gt;0",V$8:V$707,"&lt;"&amp;V343)+COUNTIFS(Z$8:Z$707,"&gt;0",V$8:V$707,V343,AA$8:AA$707,"&lt;"&amp;AA343)+COUNTIFS(Z$8:Z$707,"&gt;0",V$8:V$707,V343,AA$8:AA$707,AA343,E$8:E$707,"&lt;"&amp;$E343))</f>
        <v/>
      </c>
      <c r="AC343" s="24">
        <f>IF(OR($E343="",Z343=0),"",IFERROR(TODAY()+ROUNDUP(Z343/(SUMIFS($AF343:$IN343,$AF$4:$IN$4,"WASH_ACT")/COUNTIFS($AF$4:$IN$4,"WASH_ACT",$AF343:$IN343,"&gt;0")),0),"no output yet"))</f>
        <v/>
      </c>
      <c r="AD343" s="26">
        <f>IF($E343="","",IFERROR(ROUND(MAX(0,SUMIFS($AF343:$IN343,$AF$4:$IN$4,"SEW_PLAN",$AF$3:$IN$3,"&lt;="&amp;TODAY())-SUMIFS($AF343:$IN343,$AF$4:$IN$4,"SEW_ACT",$AF$3:$IN$3,"&lt;="&amp;TODAY())+N(Q343))/(SUMIFS($AF343:$IN343,$AF$4:$IN$4,"SEW_PLAN")/COUNTIFS($AF$4:$IN$4,"SEW_PLAN",$AF343:$IN343,"&gt;0")),1),0))</f>
        <v/>
      </c>
      <c r="AE343" s="26">
        <f>IF($E343="","",IF(AND(Z343&gt;0,OR(AND(M343&lt;&gt;"",TODAY()&gt;M343),AND(V343&lt;&gt;"",V343-TODAY()&lt;=7))),"Yes","No"))</f>
        <v/>
      </c>
      <c r="AH343">
        <f>IF(OR(AF$3="",AF$3&gt;TODAY()),"",IF(AND(AF343="",AG343=""),"",N(AG343)-N(AF343)))</f>
        <v/>
      </c>
      <c r="AK343">
        <f>IF(OR(AF$3="",AF$3&gt;TODAY()),"",IF(AND(AI343="",AJ343=""),"",N(AJ343)-N(AI343)))</f>
        <v/>
      </c>
      <c r="AO343">
        <f>IF(OR(AM$3="",AM$3&gt;TODAY()),"",IF(AND(AM343="",AN343=""),"",N(AN343)-N(AM343)))</f>
        <v/>
      </c>
      <c r="AR343">
        <f>IF(OR(AM$3="",AM$3&gt;TODAY()),"",IF(AND(AP343="",AQ343=""),"",N(AQ343)-N(AP343)))</f>
        <v/>
      </c>
      <c r="AV343">
        <f>IF(OR(AT$3="",AT$3&gt;TODAY()),"",IF(AND(AT343="",AU343=""),"",N(AU343)-N(AT343)))</f>
        <v/>
      </c>
      <c r="AY343">
        <f>IF(OR(AT$3="",AT$3&gt;TODAY()),"",IF(AND(AW343="",AX343=""),"",N(AX343)-N(AW343)))</f>
        <v/>
      </c>
      <c r="BC343">
        <f>IF(OR(BA$3="",BA$3&gt;TODAY()),"",IF(AND(BA343="",BB343=""),"",N(BB343)-N(BA343)))</f>
        <v/>
      </c>
      <c r="BF343">
        <f>IF(OR(BA$3="",BA$3&gt;TODAY()),"",IF(AND(BD343="",BE343=""),"",N(BE343)-N(BD343)))</f>
        <v/>
      </c>
      <c r="BJ343">
        <f>IF(OR(BH$3="",BH$3&gt;TODAY()),"",IF(AND(BH343="",BI343=""),"",N(BI343)-N(BH343)))</f>
        <v/>
      </c>
      <c r="BM343">
        <f>IF(OR(BH$3="",BH$3&gt;TODAY()),"",IF(AND(BK343="",BL343=""),"",N(BL343)-N(BK343)))</f>
        <v/>
      </c>
      <c r="BQ343">
        <f>IF(OR(BO$3="",BO$3&gt;TODAY()),"",IF(AND(BO343="",BP343=""),"",N(BP343)-N(BO343)))</f>
        <v/>
      </c>
      <c r="BT343">
        <f>IF(OR(BO$3="",BO$3&gt;TODAY()),"",IF(AND(BR343="",BS343=""),"",N(BS343)-N(BR343)))</f>
        <v/>
      </c>
      <c r="BX343">
        <f>IF(OR(BV$3="",BV$3&gt;TODAY()),"",IF(AND(BV343="",BW343=""),"",N(BW343)-N(BV343)))</f>
        <v/>
      </c>
      <c r="CA343">
        <f>IF(OR(BV$3="",BV$3&gt;TODAY()),"",IF(AND(BY343="",BZ343=""),"",N(BZ343)-N(BY343)))</f>
        <v/>
      </c>
      <c r="CE343">
        <f>IF(OR(CC$3="",CC$3&gt;TODAY()),"",IF(AND(CC343="",CD343=""),"",N(CD343)-N(CC343)))</f>
        <v/>
      </c>
      <c r="CH343">
        <f>IF(OR(CC$3="",CC$3&gt;TODAY()),"",IF(AND(CF343="",CG343=""),"",N(CG343)-N(CF343)))</f>
        <v/>
      </c>
      <c r="CL343">
        <f>IF(OR(CJ$3="",CJ$3&gt;TODAY()),"",IF(AND(CJ343="",CK343=""),"",N(CK343)-N(CJ343)))</f>
        <v/>
      </c>
      <c r="CO343">
        <f>IF(OR(CJ$3="",CJ$3&gt;TODAY()),"",IF(AND(CM343="",CN343=""),"",N(CN343)-N(CM343)))</f>
        <v/>
      </c>
      <c r="CS343">
        <f>IF(OR(CQ$3="",CQ$3&gt;TODAY()),"",IF(AND(CQ343="",CR343=""),"",N(CR343)-N(CQ343)))</f>
        <v/>
      </c>
      <c r="CV343">
        <f>IF(OR(CQ$3="",CQ$3&gt;TODAY()),"",IF(AND(CT343="",CU343=""),"",N(CU343)-N(CT343)))</f>
        <v/>
      </c>
      <c r="CZ343">
        <f>IF(OR(CX$3="",CX$3&gt;TODAY()),"",IF(AND(CX343="",CY343=""),"",N(CY343)-N(CX343)))</f>
        <v/>
      </c>
      <c r="DC343">
        <f>IF(OR(CX$3="",CX$3&gt;TODAY()),"",IF(AND(DA343="",DB343=""),"",N(DB343)-N(DA343)))</f>
        <v/>
      </c>
      <c r="DG343">
        <f>IF(OR(DE$3="",DE$3&gt;TODAY()),"",IF(AND(DE343="",DF343=""),"",N(DF343)-N(DE343)))</f>
        <v/>
      </c>
      <c r="DJ343">
        <f>IF(OR(DE$3="",DE$3&gt;TODAY()),"",IF(AND(DH343="",DI343=""),"",N(DI343)-N(DH343)))</f>
        <v/>
      </c>
      <c r="DN343">
        <f>IF(OR(DL$3="",DL$3&gt;TODAY()),"",IF(AND(DL343="",DM343=""),"",N(DM343)-N(DL343)))</f>
        <v/>
      </c>
      <c r="DQ343">
        <f>IF(OR(DL$3="",DL$3&gt;TODAY()),"",IF(AND(DO343="",DP343=""),"",N(DP343)-N(DO343)))</f>
        <v/>
      </c>
      <c r="DU343">
        <f>IF(OR(DS$3="",DS$3&gt;TODAY()),"",IF(AND(DS343="",DT343=""),"",N(DT343)-N(DS343)))</f>
        <v/>
      </c>
      <c r="DX343">
        <f>IF(OR(DS$3="",DS$3&gt;TODAY()),"",IF(AND(DV343="",DW343=""),"",N(DW343)-N(DV343)))</f>
        <v/>
      </c>
      <c r="EB343">
        <f>IF(OR(DZ$3="",DZ$3&gt;TODAY()),"",IF(AND(DZ343="",EA343=""),"",N(EA343)-N(DZ343)))</f>
        <v/>
      </c>
      <c r="EE343">
        <f>IF(OR(DZ$3="",DZ$3&gt;TODAY()),"",IF(AND(EC343="",ED343=""),"",N(ED343)-N(EC343)))</f>
        <v/>
      </c>
      <c r="EI343">
        <f>IF(OR(EG$3="",EG$3&gt;TODAY()),"",IF(AND(EG343="",EH343=""),"",N(EH343)-N(EG343)))</f>
        <v/>
      </c>
      <c r="EL343">
        <f>IF(OR(EG$3="",EG$3&gt;TODAY()),"",IF(AND(EJ343="",EK343=""),"",N(EK343)-N(EJ343)))</f>
        <v/>
      </c>
      <c r="EP343">
        <f>IF(OR(EN$3="",EN$3&gt;TODAY()),"",IF(AND(EN343="",EO343=""),"",N(EO343)-N(EN343)))</f>
        <v/>
      </c>
      <c r="ES343">
        <f>IF(OR(EN$3="",EN$3&gt;TODAY()),"",IF(AND(EQ343="",ER343=""),"",N(ER343)-N(EQ343)))</f>
        <v/>
      </c>
      <c r="EW343">
        <f>IF(OR(EU$3="",EU$3&gt;TODAY()),"",IF(AND(EU343="",EV343=""),"",N(EV343)-N(EU343)))</f>
        <v/>
      </c>
      <c r="EZ343">
        <f>IF(OR(EU$3="",EU$3&gt;TODAY()),"",IF(AND(EX343="",EY343=""),"",N(EY343)-N(EX343)))</f>
        <v/>
      </c>
      <c r="FD343">
        <f>IF(OR(FB$3="",FB$3&gt;TODAY()),"",IF(AND(FB343="",FC343=""),"",N(FC343)-N(FB343)))</f>
        <v/>
      </c>
      <c r="FG343">
        <f>IF(OR(FB$3="",FB$3&gt;TODAY()),"",IF(AND(FE343="",FF343=""),"",N(FF343)-N(FE343)))</f>
        <v/>
      </c>
      <c r="FK343">
        <f>IF(OR(FI$3="",FI$3&gt;TODAY()),"",IF(AND(FI343="",FJ343=""),"",N(FJ343)-N(FI343)))</f>
        <v/>
      </c>
      <c r="FN343">
        <f>IF(OR(FI$3="",FI$3&gt;TODAY()),"",IF(AND(FL343="",FM343=""),"",N(FM343)-N(FL343)))</f>
        <v/>
      </c>
      <c r="FR343">
        <f>IF(OR(FP$3="",FP$3&gt;TODAY()),"",IF(AND(FP343="",FQ343=""),"",N(FQ343)-N(FP343)))</f>
        <v/>
      </c>
      <c r="FU343">
        <f>IF(OR(FP$3="",FP$3&gt;TODAY()),"",IF(AND(FS343="",FT343=""),"",N(FT343)-N(FS343)))</f>
        <v/>
      </c>
      <c r="FY343">
        <f>IF(OR(FW$3="",FW$3&gt;TODAY()),"",IF(AND(FW343="",FX343=""),"",N(FX343)-N(FW343)))</f>
        <v/>
      </c>
      <c r="GB343">
        <f>IF(OR(FW$3="",FW$3&gt;TODAY()),"",IF(AND(FZ343="",GA343=""),"",N(GA343)-N(FZ343)))</f>
        <v/>
      </c>
      <c r="GF343">
        <f>IF(OR(GD$3="",GD$3&gt;TODAY()),"",IF(AND(GD343="",GE343=""),"",N(GE343)-N(GD343)))</f>
        <v/>
      </c>
      <c r="GI343">
        <f>IF(OR(GD$3="",GD$3&gt;TODAY()),"",IF(AND(GG343="",GH343=""),"",N(GH343)-N(GG343)))</f>
        <v/>
      </c>
      <c r="GM343">
        <f>IF(OR(GK$3="",GK$3&gt;TODAY()),"",IF(AND(GK343="",GL343=""),"",N(GL343)-N(GK343)))</f>
        <v/>
      </c>
      <c r="GP343">
        <f>IF(OR(GK$3="",GK$3&gt;TODAY()),"",IF(AND(GN343="",GO343=""),"",N(GO343)-N(GN343)))</f>
        <v/>
      </c>
      <c r="GT343">
        <f>IF(OR(GR$3="",GR$3&gt;TODAY()),"",IF(AND(GR343="",GS343=""),"",N(GS343)-N(GR343)))</f>
        <v/>
      </c>
      <c r="GW343">
        <f>IF(OR(GR$3="",GR$3&gt;TODAY()),"",IF(AND(GU343="",GV343=""),"",N(GV343)-N(GU343)))</f>
        <v/>
      </c>
      <c r="HA343">
        <f>IF(OR(GY$3="",GY$3&gt;TODAY()),"",IF(AND(GY343="",GZ343=""),"",N(GZ343)-N(GY343)))</f>
        <v/>
      </c>
      <c r="HD343">
        <f>IF(OR(GY$3="",GY$3&gt;TODAY()),"",IF(AND(HB343="",HC343=""),"",N(HC343)-N(HB343)))</f>
        <v/>
      </c>
      <c r="HH343">
        <f>IF(OR(HF$3="",HF$3&gt;TODAY()),"",IF(AND(HF343="",HG343=""),"",N(HG343)-N(HF343)))</f>
        <v/>
      </c>
      <c r="HK343">
        <f>IF(OR(HF$3="",HF$3&gt;TODAY()),"",IF(AND(HI343="",HJ343=""),"",N(HJ343)-N(HI343)))</f>
        <v/>
      </c>
      <c r="HO343">
        <f>IF(OR(HM$3="",HM$3&gt;TODAY()),"",IF(AND(HM343="",HN343=""),"",N(HN343)-N(HM343)))</f>
        <v/>
      </c>
      <c r="HR343">
        <f>IF(OR(HM$3="",HM$3&gt;TODAY()),"",IF(AND(HP343="",HQ343=""),"",N(HQ343)-N(HP343)))</f>
        <v/>
      </c>
      <c r="HV343">
        <f>IF(OR(HT$3="",HT$3&gt;TODAY()),"",IF(AND(HT343="",HU343=""),"",N(HU343)-N(HT343)))</f>
        <v/>
      </c>
      <c r="HY343">
        <f>IF(OR(HT$3="",HT$3&gt;TODAY()),"",IF(AND(HW343="",HX343=""),"",N(HX343)-N(HW343)))</f>
        <v/>
      </c>
      <c r="IC343">
        <f>IF(OR(IA$3="",IA$3&gt;TODAY()),"",IF(AND(IA343="",IB343=""),"",N(IB343)-N(IA343)))</f>
        <v/>
      </c>
      <c r="IF343">
        <f>IF(OR(IA$3="",IA$3&gt;TODAY()),"",IF(AND(ID343="",IE343=""),"",N(IE343)-N(ID343)))</f>
        <v/>
      </c>
      <c r="IJ343">
        <f>IF(OR(IH$3="",IH$3&gt;TODAY()),"",IF(AND(IH343="",II343=""),"",N(II343)-N(IH343)))</f>
        <v/>
      </c>
      <c r="IM343">
        <f>IF(OR(IH$3="",IH$3&gt;TODAY()),"",IF(AND(IK343="",IL343=""),"",N(IL343)-N(IK343)))</f>
        <v/>
      </c>
    </row>
    <row r="344">
      <c r="A344" s="21" t="n"/>
      <c r="B344" s="21" t="n"/>
      <c r="C344" s="21" t="n"/>
      <c r="D344" s="21" t="n"/>
      <c r="E344" s="21" t="n"/>
      <c r="F344" s="21" t="n"/>
      <c r="G344" s="21" t="n"/>
      <c r="H344" s="21" t="n"/>
      <c r="I344" s="22" t="n"/>
      <c r="J344" s="22" t="n"/>
      <c r="K344" s="23" t="n"/>
      <c r="L344" s="22" t="n"/>
      <c r="M344" s="22" t="n"/>
      <c r="N344" s="21" t="n"/>
      <c r="O344" s="23" t="n"/>
      <c r="P344" s="23" t="n"/>
      <c r="Q344" s="23" t="n"/>
      <c r="R344" s="23" t="n"/>
      <c r="S344" s="22" t="n"/>
      <c r="T344" s="23" t="n"/>
      <c r="U344" s="23" t="n"/>
      <c r="V344" s="24">
        <f>IF(J344&lt;&gt;"",J344,IF(I344&lt;&gt;"",I344,""))</f>
        <v/>
      </c>
      <c r="W344" s="25">
        <f>IF($E344="","",N(O344)+SUMIFS($AF344:$IN344,$AF$4:$IN$4,"SEW_ACT"))</f>
        <v/>
      </c>
      <c r="X344" s="25">
        <f>IF($E344="","",N(P344)+SUMIFS($AF344:$IN344,$AF$4:$IN$4,"WASH_ACT"))</f>
        <v/>
      </c>
      <c r="Y344" s="25">
        <f>IF($E344="","",W344-X344-N(T344)-N(U344))</f>
        <v/>
      </c>
      <c r="Z344" s="25">
        <f>IF($E344="","",IF(N(K344)-X344&lt;=0.02*N(K344),0,N(K344)-X344))</f>
        <v/>
      </c>
      <c r="AA344" s="24">
        <f>IF($E344="","",IF(S344&lt;&gt;"",S344,IF(N(O344)&gt;0,IF(L344&lt;&gt;"",L344,99999),IFERROR(1/(1/_xlfn.MINIFS($AF$3:$IN$3,$AF$4:$IN$4,"SEW_ACT",$AF344:$IN344,"&gt;0")),99999))))</f>
        <v/>
      </c>
      <c r="AB344" s="26">
        <f>IF(OR($E344="",Z344=0,V344=""),"",1+COUNTIFS(Z$8:Z$707,"&gt;0",V$8:V$707,"&lt;"&amp;V344)+COUNTIFS(Z$8:Z$707,"&gt;0",V$8:V$707,V344,AA$8:AA$707,"&lt;"&amp;AA344)+COUNTIFS(Z$8:Z$707,"&gt;0",V$8:V$707,V344,AA$8:AA$707,AA344,E$8:E$707,"&lt;"&amp;$E344))</f>
        <v/>
      </c>
      <c r="AC344" s="24">
        <f>IF(OR($E344="",Z344=0),"",IFERROR(TODAY()+ROUNDUP(Z344/(SUMIFS($AF344:$IN344,$AF$4:$IN$4,"WASH_ACT")/COUNTIFS($AF$4:$IN$4,"WASH_ACT",$AF344:$IN344,"&gt;0")),0),"no output yet"))</f>
        <v/>
      </c>
      <c r="AD344" s="26">
        <f>IF($E344="","",IFERROR(ROUND(MAX(0,SUMIFS($AF344:$IN344,$AF$4:$IN$4,"SEW_PLAN",$AF$3:$IN$3,"&lt;="&amp;TODAY())-SUMIFS($AF344:$IN344,$AF$4:$IN$4,"SEW_ACT",$AF$3:$IN$3,"&lt;="&amp;TODAY())+N(Q344))/(SUMIFS($AF344:$IN344,$AF$4:$IN$4,"SEW_PLAN")/COUNTIFS($AF$4:$IN$4,"SEW_PLAN",$AF344:$IN344,"&gt;0")),1),0))</f>
        <v/>
      </c>
      <c r="AE344" s="26">
        <f>IF($E344="","",IF(AND(Z344&gt;0,OR(AND(M344&lt;&gt;"",TODAY()&gt;M344),AND(V344&lt;&gt;"",V344-TODAY()&lt;=7))),"Yes","No"))</f>
        <v/>
      </c>
      <c r="AH344">
        <f>IF(OR(AF$3="",AF$3&gt;TODAY()),"",IF(AND(AF344="",AG344=""),"",N(AG344)-N(AF344)))</f>
        <v/>
      </c>
      <c r="AK344">
        <f>IF(OR(AF$3="",AF$3&gt;TODAY()),"",IF(AND(AI344="",AJ344=""),"",N(AJ344)-N(AI344)))</f>
        <v/>
      </c>
      <c r="AO344">
        <f>IF(OR(AM$3="",AM$3&gt;TODAY()),"",IF(AND(AM344="",AN344=""),"",N(AN344)-N(AM344)))</f>
        <v/>
      </c>
      <c r="AR344">
        <f>IF(OR(AM$3="",AM$3&gt;TODAY()),"",IF(AND(AP344="",AQ344=""),"",N(AQ344)-N(AP344)))</f>
        <v/>
      </c>
      <c r="AV344">
        <f>IF(OR(AT$3="",AT$3&gt;TODAY()),"",IF(AND(AT344="",AU344=""),"",N(AU344)-N(AT344)))</f>
        <v/>
      </c>
      <c r="AY344">
        <f>IF(OR(AT$3="",AT$3&gt;TODAY()),"",IF(AND(AW344="",AX344=""),"",N(AX344)-N(AW344)))</f>
        <v/>
      </c>
      <c r="BC344">
        <f>IF(OR(BA$3="",BA$3&gt;TODAY()),"",IF(AND(BA344="",BB344=""),"",N(BB344)-N(BA344)))</f>
        <v/>
      </c>
      <c r="BF344">
        <f>IF(OR(BA$3="",BA$3&gt;TODAY()),"",IF(AND(BD344="",BE344=""),"",N(BE344)-N(BD344)))</f>
        <v/>
      </c>
      <c r="BJ344">
        <f>IF(OR(BH$3="",BH$3&gt;TODAY()),"",IF(AND(BH344="",BI344=""),"",N(BI344)-N(BH344)))</f>
        <v/>
      </c>
      <c r="BM344">
        <f>IF(OR(BH$3="",BH$3&gt;TODAY()),"",IF(AND(BK344="",BL344=""),"",N(BL344)-N(BK344)))</f>
        <v/>
      </c>
      <c r="BQ344">
        <f>IF(OR(BO$3="",BO$3&gt;TODAY()),"",IF(AND(BO344="",BP344=""),"",N(BP344)-N(BO344)))</f>
        <v/>
      </c>
      <c r="BT344">
        <f>IF(OR(BO$3="",BO$3&gt;TODAY()),"",IF(AND(BR344="",BS344=""),"",N(BS344)-N(BR344)))</f>
        <v/>
      </c>
      <c r="BX344">
        <f>IF(OR(BV$3="",BV$3&gt;TODAY()),"",IF(AND(BV344="",BW344=""),"",N(BW344)-N(BV344)))</f>
        <v/>
      </c>
      <c r="CA344">
        <f>IF(OR(BV$3="",BV$3&gt;TODAY()),"",IF(AND(BY344="",BZ344=""),"",N(BZ344)-N(BY344)))</f>
        <v/>
      </c>
      <c r="CE344">
        <f>IF(OR(CC$3="",CC$3&gt;TODAY()),"",IF(AND(CC344="",CD344=""),"",N(CD344)-N(CC344)))</f>
        <v/>
      </c>
      <c r="CH344">
        <f>IF(OR(CC$3="",CC$3&gt;TODAY()),"",IF(AND(CF344="",CG344=""),"",N(CG344)-N(CF344)))</f>
        <v/>
      </c>
      <c r="CL344">
        <f>IF(OR(CJ$3="",CJ$3&gt;TODAY()),"",IF(AND(CJ344="",CK344=""),"",N(CK344)-N(CJ344)))</f>
        <v/>
      </c>
      <c r="CO344">
        <f>IF(OR(CJ$3="",CJ$3&gt;TODAY()),"",IF(AND(CM344="",CN344=""),"",N(CN344)-N(CM344)))</f>
        <v/>
      </c>
      <c r="CS344">
        <f>IF(OR(CQ$3="",CQ$3&gt;TODAY()),"",IF(AND(CQ344="",CR344=""),"",N(CR344)-N(CQ344)))</f>
        <v/>
      </c>
      <c r="CV344">
        <f>IF(OR(CQ$3="",CQ$3&gt;TODAY()),"",IF(AND(CT344="",CU344=""),"",N(CU344)-N(CT344)))</f>
        <v/>
      </c>
      <c r="CZ344">
        <f>IF(OR(CX$3="",CX$3&gt;TODAY()),"",IF(AND(CX344="",CY344=""),"",N(CY344)-N(CX344)))</f>
        <v/>
      </c>
      <c r="DC344">
        <f>IF(OR(CX$3="",CX$3&gt;TODAY()),"",IF(AND(DA344="",DB344=""),"",N(DB344)-N(DA344)))</f>
        <v/>
      </c>
      <c r="DG344">
        <f>IF(OR(DE$3="",DE$3&gt;TODAY()),"",IF(AND(DE344="",DF344=""),"",N(DF344)-N(DE344)))</f>
        <v/>
      </c>
      <c r="DJ344">
        <f>IF(OR(DE$3="",DE$3&gt;TODAY()),"",IF(AND(DH344="",DI344=""),"",N(DI344)-N(DH344)))</f>
        <v/>
      </c>
      <c r="DN344">
        <f>IF(OR(DL$3="",DL$3&gt;TODAY()),"",IF(AND(DL344="",DM344=""),"",N(DM344)-N(DL344)))</f>
        <v/>
      </c>
      <c r="DQ344">
        <f>IF(OR(DL$3="",DL$3&gt;TODAY()),"",IF(AND(DO344="",DP344=""),"",N(DP344)-N(DO344)))</f>
        <v/>
      </c>
      <c r="DU344">
        <f>IF(OR(DS$3="",DS$3&gt;TODAY()),"",IF(AND(DS344="",DT344=""),"",N(DT344)-N(DS344)))</f>
        <v/>
      </c>
      <c r="DX344">
        <f>IF(OR(DS$3="",DS$3&gt;TODAY()),"",IF(AND(DV344="",DW344=""),"",N(DW344)-N(DV344)))</f>
        <v/>
      </c>
      <c r="EB344">
        <f>IF(OR(DZ$3="",DZ$3&gt;TODAY()),"",IF(AND(DZ344="",EA344=""),"",N(EA344)-N(DZ344)))</f>
        <v/>
      </c>
      <c r="EE344">
        <f>IF(OR(DZ$3="",DZ$3&gt;TODAY()),"",IF(AND(EC344="",ED344=""),"",N(ED344)-N(EC344)))</f>
        <v/>
      </c>
      <c r="EI344">
        <f>IF(OR(EG$3="",EG$3&gt;TODAY()),"",IF(AND(EG344="",EH344=""),"",N(EH344)-N(EG344)))</f>
        <v/>
      </c>
      <c r="EL344">
        <f>IF(OR(EG$3="",EG$3&gt;TODAY()),"",IF(AND(EJ344="",EK344=""),"",N(EK344)-N(EJ344)))</f>
        <v/>
      </c>
      <c r="EP344">
        <f>IF(OR(EN$3="",EN$3&gt;TODAY()),"",IF(AND(EN344="",EO344=""),"",N(EO344)-N(EN344)))</f>
        <v/>
      </c>
      <c r="ES344">
        <f>IF(OR(EN$3="",EN$3&gt;TODAY()),"",IF(AND(EQ344="",ER344=""),"",N(ER344)-N(EQ344)))</f>
        <v/>
      </c>
      <c r="EW344">
        <f>IF(OR(EU$3="",EU$3&gt;TODAY()),"",IF(AND(EU344="",EV344=""),"",N(EV344)-N(EU344)))</f>
        <v/>
      </c>
      <c r="EZ344">
        <f>IF(OR(EU$3="",EU$3&gt;TODAY()),"",IF(AND(EX344="",EY344=""),"",N(EY344)-N(EX344)))</f>
        <v/>
      </c>
      <c r="FD344">
        <f>IF(OR(FB$3="",FB$3&gt;TODAY()),"",IF(AND(FB344="",FC344=""),"",N(FC344)-N(FB344)))</f>
        <v/>
      </c>
      <c r="FG344">
        <f>IF(OR(FB$3="",FB$3&gt;TODAY()),"",IF(AND(FE344="",FF344=""),"",N(FF344)-N(FE344)))</f>
        <v/>
      </c>
      <c r="FK344">
        <f>IF(OR(FI$3="",FI$3&gt;TODAY()),"",IF(AND(FI344="",FJ344=""),"",N(FJ344)-N(FI344)))</f>
        <v/>
      </c>
      <c r="FN344">
        <f>IF(OR(FI$3="",FI$3&gt;TODAY()),"",IF(AND(FL344="",FM344=""),"",N(FM344)-N(FL344)))</f>
        <v/>
      </c>
      <c r="FR344">
        <f>IF(OR(FP$3="",FP$3&gt;TODAY()),"",IF(AND(FP344="",FQ344=""),"",N(FQ344)-N(FP344)))</f>
        <v/>
      </c>
      <c r="FU344">
        <f>IF(OR(FP$3="",FP$3&gt;TODAY()),"",IF(AND(FS344="",FT344=""),"",N(FT344)-N(FS344)))</f>
        <v/>
      </c>
      <c r="FY344">
        <f>IF(OR(FW$3="",FW$3&gt;TODAY()),"",IF(AND(FW344="",FX344=""),"",N(FX344)-N(FW344)))</f>
        <v/>
      </c>
      <c r="GB344">
        <f>IF(OR(FW$3="",FW$3&gt;TODAY()),"",IF(AND(FZ344="",GA344=""),"",N(GA344)-N(FZ344)))</f>
        <v/>
      </c>
      <c r="GF344">
        <f>IF(OR(GD$3="",GD$3&gt;TODAY()),"",IF(AND(GD344="",GE344=""),"",N(GE344)-N(GD344)))</f>
        <v/>
      </c>
      <c r="GI344">
        <f>IF(OR(GD$3="",GD$3&gt;TODAY()),"",IF(AND(GG344="",GH344=""),"",N(GH344)-N(GG344)))</f>
        <v/>
      </c>
      <c r="GM344">
        <f>IF(OR(GK$3="",GK$3&gt;TODAY()),"",IF(AND(GK344="",GL344=""),"",N(GL344)-N(GK344)))</f>
        <v/>
      </c>
      <c r="GP344">
        <f>IF(OR(GK$3="",GK$3&gt;TODAY()),"",IF(AND(GN344="",GO344=""),"",N(GO344)-N(GN344)))</f>
        <v/>
      </c>
      <c r="GT344">
        <f>IF(OR(GR$3="",GR$3&gt;TODAY()),"",IF(AND(GR344="",GS344=""),"",N(GS344)-N(GR344)))</f>
        <v/>
      </c>
      <c r="GW344">
        <f>IF(OR(GR$3="",GR$3&gt;TODAY()),"",IF(AND(GU344="",GV344=""),"",N(GV344)-N(GU344)))</f>
        <v/>
      </c>
      <c r="HA344">
        <f>IF(OR(GY$3="",GY$3&gt;TODAY()),"",IF(AND(GY344="",GZ344=""),"",N(GZ344)-N(GY344)))</f>
        <v/>
      </c>
      <c r="HD344">
        <f>IF(OR(GY$3="",GY$3&gt;TODAY()),"",IF(AND(HB344="",HC344=""),"",N(HC344)-N(HB344)))</f>
        <v/>
      </c>
      <c r="HH344">
        <f>IF(OR(HF$3="",HF$3&gt;TODAY()),"",IF(AND(HF344="",HG344=""),"",N(HG344)-N(HF344)))</f>
        <v/>
      </c>
      <c r="HK344">
        <f>IF(OR(HF$3="",HF$3&gt;TODAY()),"",IF(AND(HI344="",HJ344=""),"",N(HJ344)-N(HI344)))</f>
        <v/>
      </c>
      <c r="HO344">
        <f>IF(OR(HM$3="",HM$3&gt;TODAY()),"",IF(AND(HM344="",HN344=""),"",N(HN344)-N(HM344)))</f>
        <v/>
      </c>
      <c r="HR344">
        <f>IF(OR(HM$3="",HM$3&gt;TODAY()),"",IF(AND(HP344="",HQ344=""),"",N(HQ344)-N(HP344)))</f>
        <v/>
      </c>
      <c r="HV344">
        <f>IF(OR(HT$3="",HT$3&gt;TODAY()),"",IF(AND(HT344="",HU344=""),"",N(HU344)-N(HT344)))</f>
        <v/>
      </c>
      <c r="HY344">
        <f>IF(OR(HT$3="",HT$3&gt;TODAY()),"",IF(AND(HW344="",HX344=""),"",N(HX344)-N(HW344)))</f>
        <v/>
      </c>
      <c r="IC344">
        <f>IF(OR(IA$3="",IA$3&gt;TODAY()),"",IF(AND(IA344="",IB344=""),"",N(IB344)-N(IA344)))</f>
        <v/>
      </c>
      <c r="IF344">
        <f>IF(OR(IA$3="",IA$3&gt;TODAY()),"",IF(AND(ID344="",IE344=""),"",N(IE344)-N(ID344)))</f>
        <v/>
      </c>
      <c r="IJ344">
        <f>IF(OR(IH$3="",IH$3&gt;TODAY()),"",IF(AND(IH344="",II344=""),"",N(II344)-N(IH344)))</f>
        <v/>
      </c>
      <c r="IM344">
        <f>IF(OR(IH$3="",IH$3&gt;TODAY()),"",IF(AND(IK344="",IL344=""),"",N(IL344)-N(IK344)))</f>
        <v/>
      </c>
    </row>
    <row r="345">
      <c r="A345" s="21" t="n"/>
      <c r="B345" s="21" t="n"/>
      <c r="C345" s="21" t="n"/>
      <c r="D345" s="21" t="n"/>
      <c r="E345" s="21" t="n"/>
      <c r="F345" s="21" t="n"/>
      <c r="G345" s="21" t="n"/>
      <c r="H345" s="21" t="n"/>
      <c r="I345" s="22" t="n"/>
      <c r="J345" s="22" t="n"/>
      <c r="K345" s="23" t="n"/>
      <c r="L345" s="22" t="n"/>
      <c r="M345" s="22" t="n"/>
      <c r="N345" s="21" t="n"/>
      <c r="O345" s="23" t="n"/>
      <c r="P345" s="23" t="n"/>
      <c r="Q345" s="23" t="n"/>
      <c r="R345" s="23" t="n"/>
      <c r="S345" s="22" t="n"/>
      <c r="T345" s="23" t="n"/>
      <c r="U345" s="23" t="n"/>
      <c r="V345" s="24">
        <f>IF(J345&lt;&gt;"",J345,IF(I345&lt;&gt;"",I345,""))</f>
        <v/>
      </c>
      <c r="W345" s="25">
        <f>IF($E345="","",N(O345)+SUMIFS($AF345:$IN345,$AF$4:$IN$4,"SEW_ACT"))</f>
        <v/>
      </c>
      <c r="X345" s="25">
        <f>IF($E345="","",N(P345)+SUMIFS($AF345:$IN345,$AF$4:$IN$4,"WASH_ACT"))</f>
        <v/>
      </c>
      <c r="Y345" s="25">
        <f>IF($E345="","",W345-X345-N(T345)-N(U345))</f>
        <v/>
      </c>
      <c r="Z345" s="25">
        <f>IF($E345="","",IF(N(K345)-X345&lt;=0.02*N(K345),0,N(K345)-X345))</f>
        <v/>
      </c>
      <c r="AA345" s="24">
        <f>IF($E345="","",IF(S345&lt;&gt;"",S345,IF(N(O345)&gt;0,IF(L345&lt;&gt;"",L345,99999),IFERROR(1/(1/_xlfn.MINIFS($AF$3:$IN$3,$AF$4:$IN$4,"SEW_ACT",$AF345:$IN345,"&gt;0")),99999))))</f>
        <v/>
      </c>
      <c r="AB345" s="26">
        <f>IF(OR($E345="",Z345=0,V345=""),"",1+COUNTIFS(Z$8:Z$707,"&gt;0",V$8:V$707,"&lt;"&amp;V345)+COUNTIFS(Z$8:Z$707,"&gt;0",V$8:V$707,V345,AA$8:AA$707,"&lt;"&amp;AA345)+COUNTIFS(Z$8:Z$707,"&gt;0",V$8:V$707,V345,AA$8:AA$707,AA345,E$8:E$707,"&lt;"&amp;$E345))</f>
        <v/>
      </c>
      <c r="AC345" s="24">
        <f>IF(OR($E345="",Z345=0),"",IFERROR(TODAY()+ROUNDUP(Z345/(SUMIFS($AF345:$IN345,$AF$4:$IN$4,"WASH_ACT")/COUNTIFS($AF$4:$IN$4,"WASH_ACT",$AF345:$IN345,"&gt;0")),0),"no output yet"))</f>
        <v/>
      </c>
      <c r="AD345" s="26">
        <f>IF($E345="","",IFERROR(ROUND(MAX(0,SUMIFS($AF345:$IN345,$AF$4:$IN$4,"SEW_PLAN",$AF$3:$IN$3,"&lt;="&amp;TODAY())-SUMIFS($AF345:$IN345,$AF$4:$IN$4,"SEW_ACT",$AF$3:$IN$3,"&lt;="&amp;TODAY())+N(Q345))/(SUMIFS($AF345:$IN345,$AF$4:$IN$4,"SEW_PLAN")/COUNTIFS($AF$4:$IN$4,"SEW_PLAN",$AF345:$IN345,"&gt;0")),1),0))</f>
        <v/>
      </c>
      <c r="AE345" s="26">
        <f>IF($E345="","",IF(AND(Z345&gt;0,OR(AND(M345&lt;&gt;"",TODAY()&gt;M345),AND(V345&lt;&gt;"",V345-TODAY()&lt;=7))),"Yes","No"))</f>
        <v/>
      </c>
      <c r="AH345">
        <f>IF(OR(AF$3="",AF$3&gt;TODAY()),"",IF(AND(AF345="",AG345=""),"",N(AG345)-N(AF345)))</f>
        <v/>
      </c>
      <c r="AK345">
        <f>IF(OR(AF$3="",AF$3&gt;TODAY()),"",IF(AND(AI345="",AJ345=""),"",N(AJ345)-N(AI345)))</f>
        <v/>
      </c>
      <c r="AO345">
        <f>IF(OR(AM$3="",AM$3&gt;TODAY()),"",IF(AND(AM345="",AN345=""),"",N(AN345)-N(AM345)))</f>
        <v/>
      </c>
      <c r="AR345">
        <f>IF(OR(AM$3="",AM$3&gt;TODAY()),"",IF(AND(AP345="",AQ345=""),"",N(AQ345)-N(AP345)))</f>
        <v/>
      </c>
      <c r="AV345">
        <f>IF(OR(AT$3="",AT$3&gt;TODAY()),"",IF(AND(AT345="",AU345=""),"",N(AU345)-N(AT345)))</f>
        <v/>
      </c>
      <c r="AY345">
        <f>IF(OR(AT$3="",AT$3&gt;TODAY()),"",IF(AND(AW345="",AX345=""),"",N(AX345)-N(AW345)))</f>
        <v/>
      </c>
      <c r="BC345">
        <f>IF(OR(BA$3="",BA$3&gt;TODAY()),"",IF(AND(BA345="",BB345=""),"",N(BB345)-N(BA345)))</f>
        <v/>
      </c>
      <c r="BF345">
        <f>IF(OR(BA$3="",BA$3&gt;TODAY()),"",IF(AND(BD345="",BE345=""),"",N(BE345)-N(BD345)))</f>
        <v/>
      </c>
      <c r="BJ345">
        <f>IF(OR(BH$3="",BH$3&gt;TODAY()),"",IF(AND(BH345="",BI345=""),"",N(BI345)-N(BH345)))</f>
        <v/>
      </c>
      <c r="BM345">
        <f>IF(OR(BH$3="",BH$3&gt;TODAY()),"",IF(AND(BK345="",BL345=""),"",N(BL345)-N(BK345)))</f>
        <v/>
      </c>
      <c r="BQ345">
        <f>IF(OR(BO$3="",BO$3&gt;TODAY()),"",IF(AND(BO345="",BP345=""),"",N(BP345)-N(BO345)))</f>
        <v/>
      </c>
      <c r="BT345">
        <f>IF(OR(BO$3="",BO$3&gt;TODAY()),"",IF(AND(BR345="",BS345=""),"",N(BS345)-N(BR345)))</f>
        <v/>
      </c>
      <c r="BX345">
        <f>IF(OR(BV$3="",BV$3&gt;TODAY()),"",IF(AND(BV345="",BW345=""),"",N(BW345)-N(BV345)))</f>
        <v/>
      </c>
      <c r="CA345">
        <f>IF(OR(BV$3="",BV$3&gt;TODAY()),"",IF(AND(BY345="",BZ345=""),"",N(BZ345)-N(BY345)))</f>
        <v/>
      </c>
      <c r="CE345">
        <f>IF(OR(CC$3="",CC$3&gt;TODAY()),"",IF(AND(CC345="",CD345=""),"",N(CD345)-N(CC345)))</f>
        <v/>
      </c>
      <c r="CH345">
        <f>IF(OR(CC$3="",CC$3&gt;TODAY()),"",IF(AND(CF345="",CG345=""),"",N(CG345)-N(CF345)))</f>
        <v/>
      </c>
      <c r="CL345">
        <f>IF(OR(CJ$3="",CJ$3&gt;TODAY()),"",IF(AND(CJ345="",CK345=""),"",N(CK345)-N(CJ345)))</f>
        <v/>
      </c>
      <c r="CO345">
        <f>IF(OR(CJ$3="",CJ$3&gt;TODAY()),"",IF(AND(CM345="",CN345=""),"",N(CN345)-N(CM345)))</f>
        <v/>
      </c>
      <c r="CS345">
        <f>IF(OR(CQ$3="",CQ$3&gt;TODAY()),"",IF(AND(CQ345="",CR345=""),"",N(CR345)-N(CQ345)))</f>
        <v/>
      </c>
      <c r="CV345">
        <f>IF(OR(CQ$3="",CQ$3&gt;TODAY()),"",IF(AND(CT345="",CU345=""),"",N(CU345)-N(CT345)))</f>
        <v/>
      </c>
      <c r="CZ345">
        <f>IF(OR(CX$3="",CX$3&gt;TODAY()),"",IF(AND(CX345="",CY345=""),"",N(CY345)-N(CX345)))</f>
        <v/>
      </c>
      <c r="DC345">
        <f>IF(OR(CX$3="",CX$3&gt;TODAY()),"",IF(AND(DA345="",DB345=""),"",N(DB345)-N(DA345)))</f>
        <v/>
      </c>
      <c r="DG345">
        <f>IF(OR(DE$3="",DE$3&gt;TODAY()),"",IF(AND(DE345="",DF345=""),"",N(DF345)-N(DE345)))</f>
        <v/>
      </c>
      <c r="DJ345">
        <f>IF(OR(DE$3="",DE$3&gt;TODAY()),"",IF(AND(DH345="",DI345=""),"",N(DI345)-N(DH345)))</f>
        <v/>
      </c>
      <c r="DN345">
        <f>IF(OR(DL$3="",DL$3&gt;TODAY()),"",IF(AND(DL345="",DM345=""),"",N(DM345)-N(DL345)))</f>
        <v/>
      </c>
      <c r="DQ345">
        <f>IF(OR(DL$3="",DL$3&gt;TODAY()),"",IF(AND(DO345="",DP345=""),"",N(DP345)-N(DO345)))</f>
        <v/>
      </c>
      <c r="DU345">
        <f>IF(OR(DS$3="",DS$3&gt;TODAY()),"",IF(AND(DS345="",DT345=""),"",N(DT345)-N(DS345)))</f>
        <v/>
      </c>
      <c r="DX345">
        <f>IF(OR(DS$3="",DS$3&gt;TODAY()),"",IF(AND(DV345="",DW345=""),"",N(DW345)-N(DV345)))</f>
        <v/>
      </c>
      <c r="EB345">
        <f>IF(OR(DZ$3="",DZ$3&gt;TODAY()),"",IF(AND(DZ345="",EA345=""),"",N(EA345)-N(DZ345)))</f>
        <v/>
      </c>
      <c r="EE345">
        <f>IF(OR(DZ$3="",DZ$3&gt;TODAY()),"",IF(AND(EC345="",ED345=""),"",N(ED345)-N(EC345)))</f>
        <v/>
      </c>
      <c r="EI345">
        <f>IF(OR(EG$3="",EG$3&gt;TODAY()),"",IF(AND(EG345="",EH345=""),"",N(EH345)-N(EG345)))</f>
        <v/>
      </c>
      <c r="EL345">
        <f>IF(OR(EG$3="",EG$3&gt;TODAY()),"",IF(AND(EJ345="",EK345=""),"",N(EK345)-N(EJ345)))</f>
        <v/>
      </c>
      <c r="EP345">
        <f>IF(OR(EN$3="",EN$3&gt;TODAY()),"",IF(AND(EN345="",EO345=""),"",N(EO345)-N(EN345)))</f>
        <v/>
      </c>
      <c r="ES345">
        <f>IF(OR(EN$3="",EN$3&gt;TODAY()),"",IF(AND(EQ345="",ER345=""),"",N(ER345)-N(EQ345)))</f>
        <v/>
      </c>
      <c r="EW345">
        <f>IF(OR(EU$3="",EU$3&gt;TODAY()),"",IF(AND(EU345="",EV345=""),"",N(EV345)-N(EU345)))</f>
        <v/>
      </c>
      <c r="EZ345">
        <f>IF(OR(EU$3="",EU$3&gt;TODAY()),"",IF(AND(EX345="",EY345=""),"",N(EY345)-N(EX345)))</f>
        <v/>
      </c>
      <c r="FD345">
        <f>IF(OR(FB$3="",FB$3&gt;TODAY()),"",IF(AND(FB345="",FC345=""),"",N(FC345)-N(FB345)))</f>
        <v/>
      </c>
      <c r="FG345">
        <f>IF(OR(FB$3="",FB$3&gt;TODAY()),"",IF(AND(FE345="",FF345=""),"",N(FF345)-N(FE345)))</f>
        <v/>
      </c>
      <c r="FK345">
        <f>IF(OR(FI$3="",FI$3&gt;TODAY()),"",IF(AND(FI345="",FJ345=""),"",N(FJ345)-N(FI345)))</f>
        <v/>
      </c>
      <c r="FN345">
        <f>IF(OR(FI$3="",FI$3&gt;TODAY()),"",IF(AND(FL345="",FM345=""),"",N(FM345)-N(FL345)))</f>
        <v/>
      </c>
      <c r="FR345">
        <f>IF(OR(FP$3="",FP$3&gt;TODAY()),"",IF(AND(FP345="",FQ345=""),"",N(FQ345)-N(FP345)))</f>
        <v/>
      </c>
      <c r="FU345">
        <f>IF(OR(FP$3="",FP$3&gt;TODAY()),"",IF(AND(FS345="",FT345=""),"",N(FT345)-N(FS345)))</f>
        <v/>
      </c>
      <c r="FY345">
        <f>IF(OR(FW$3="",FW$3&gt;TODAY()),"",IF(AND(FW345="",FX345=""),"",N(FX345)-N(FW345)))</f>
        <v/>
      </c>
      <c r="GB345">
        <f>IF(OR(FW$3="",FW$3&gt;TODAY()),"",IF(AND(FZ345="",GA345=""),"",N(GA345)-N(FZ345)))</f>
        <v/>
      </c>
      <c r="GF345">
        <f>IF(OR(GD$3="",GD$3&gt;TODAY()),"",IF(AND(GD345="",GE345=""),"",N(GE345)-N(GD345)))</f>
        <v/>
      </c>
      <c r="GI345">
        <f>IF(OR(GD$3="",GD$3&gt;TODAY()),"",IF(AND(GG345="",GH345=""),"",N(GH345)-N(GG345)))</f>
        <v/>
      </c>
      <c r="GM345">
        <f>IF(OR(GK$3="",GK$3&gt;TODAY()),"",IF(AND(GK345="",GL345=""),"",N(GL345)-N(GK345)))</f>
        <v/>
      </c>
      <c r="GP345">
        <f>IF(OR(GK$3="",GK$3&gt;TODAY()),"",IF(AND(GN345="",GO345=""),"",N(GO345)-N(GN345)))</f>
        <v/>
      </c>
      <c r="GT345">
        <f>IF(OR(GR$3="",GR$3&gt;TODAY()),"",IF(AND(GR345="",GS345=""),"",N(GS345)-N(GR345)))</f>
        <v/>
      </c>
      <c r="GW345">
        <f>IF(OR(GR$3="",GR$3&gt;TODAY()),"",IF(AND(GU345="",GV345=""),"",N(GV345)-N(GU345)))</f>
        <v/>
      </c>
      <c r="HA345">
        <f>IF(OR(GY$3="",GY$3&gt;TODAY()),"",IF(AND(GY345="",GZ345=""),"",N(GZ345)-N(GY345)))</f>
        <v/>
      </c>
      <c r="HD345">
        <f>IF(OR(GY$3="",GY$3&gt;TODAY()),"",IF(AND(HB345="",HC345=""),"",N(HC345)-N(HB345)))</f>
        <v/>
      </c>
      <c r="HH345">
        <f>IF(OR(HF$3="",HF$3&gt;TODAY()),"",IF(AND(HF345="",HG345=""),"",N(HG345)-N(HF345)))</f>
        <v/>
      </c>
      <c r="HK345">
        <f>IF(OR(HF$3="",HF$3&gt;TODAY()),"",IF(AND(HI345="",HJ345=""),"",N(HJ345)-N(HI345)))</f>
        <v/>
      </c>
      <c r="HO345">
        <f>IF(OR(HM$3="",HM$3&gt;TODAY()),"",IF(AND(HM345="",HN345=""),"",N(HN345)-N(HM345)))</f>
        <v/>
      </c>
      <c r="HR345">
        <f>IF(OR(HM$3="",HM$3&gt;TODAY()),"",IF(AND(HP345="",HQ345=""),"",N(HQ345)-N(HP345)))</f>
        <v/>
      </c>
      <c r="HV345">
        <f>IF(OR(HT$3="",HT$3&gt;TODAY()),"",IF(AND(HT345="",HU345=""),"",N(HU345)-N(HT345)))</f>
        <v/>
      </c>
      <c r="HY345">
        <f>IF(OR(HT$3="",HT$3&gt;TODAY()),"",IF(AND(HW345="",HX345=""),"",N(HX345)-N(HW345)))</f>
        <v/>
      </c>
      <c r="IC345">
        <f>IF(OR(IA$3="",IA$3&gt;TODAY()),"",IF(AND(IA345="",IB345=""),"",N(IB345)-N(IA345)))</f>
        <v/>
      </c>
      <c r="IF345">
        <f>IF(OR(IA$3="",IA$3&gt;TODAY()),"",IF(AND(ID345="",IE345=""),"",N(IE345)-N(ID345)))</f>
        <v/>
      </c>
      <c r="IJ345">
        <f>IF(OR(IH$3="",IH$3&gt;TODAY()),"",IF(AND(IH345="",II345=""),"",N(II345)-N(IH345)))</f>
        <v/>
      </c>
      <c r="IM345">
        <f>IF(OR(IH$3="",IH$3&gt;TODAY()),"",IF(AND(IK345="",IL345=""),"",N(IL345)-N(IK345)))</f>
        <v/>
      </c>
    </row>
    <row r="346">
      <c r="A346" s="21" t="n"/>
      <c r="B346" s="21" t="n"/>
      <c r="C346" s="21" t="n"/>
      <c r="D346" s="21" t="n"/>
      <c r="E346" s="21" t="n"/>
      <c r="F346" s="21" t="n"/>
      <c r="G346" s="21" t="n"/>
      <c r="H346" s="21" t="n"/>
      <c r="I346" s="22" t="n"/>
      <c r="J346" s="22" t="n"/>
      <c r="K346" s="23" t="n"/>
      <c r="L346" s="22" t="n"/>
      <c r="M346" s="22" t="n"/>
      <c r="N346" s="21" t="n"/>
      <c r="O346" s="23" t="n"/>
      <c r="P346" s="23" t="n"/>
      <c r="Q346" s="23" t="n"/>
      <c r="R346" s="23" t="n"/>
      <c r="S346" s="22" t="n"/>
      <c r="T346" s="23" t="n"/>
      <c r="U346" s="23" t="n"/>
      <c r="V346" s="24">
        <f>IF(J346&lt;&gt;"",J346,IF(I346&lt;&gt;"",I346,""))</f>
        <v/>
      </c>
      <c r="W346" s="25">
        <f>IF($E346="","",N(O346)+SUMIFS($AF346:$IN346,$AF$4:$IN$4,"SEW_ACT"))</f>
        <v/>
      </c>
      <c r="X346" s="25">
        <f>IF($E346="","",N(P346)+SUMIFS($AF346:$IN346,$AF$4:$IN$4,"WASH_ACT"))</f>
        <v/>
      </c>
      <c r="Y346" s="25">
        <f>IF($E346="","",W346-X346-N(T346)-N(U346))</f>
        <v/>
      </c>
      <c r="Z346" s="25">
        <f>IF($E346="","",IF(N(K346)-X346&lt;=0.02*N(K346),0,N(K346)-X346))</f>
        <v/>
      </c>
      <c r="AA346" s="24">
        <f>IF($E346="","",IF(S346&lt;&gt;"",S346,IF(N(O346)&gt;0,IF(L346&lt;&gt;"",L346,99999),IFERROR(1/(1/_xlfn.MINIFS($AF$3:$IN$3,$AF$4:$IN$4,"SEW_ACT",$AF346:$IN346,"&gt;0")),99999))))</f>
        <v/>
      </c>
      <c r="AB346" s="26">
        <f>IF(OR($E346="",Z346=0,V346=""),"",1+COUNTIFS(Z$8:Z$707,"&gt;0",V$8:V$707,"&lt;"&amp;V346)+COUNTIFS(Z$8:Z$707,"&gt;0",V$8:V$707,V346,AA$8:AA$707,"&lt;"&amp;AA346)+COUNTIFS(Z$8:Z$707,"&gt;0",V$8:V$707,V346,AA$8:AA$707,AA346,E$8:E$707,"&lt;"&amp;$E346))</f>
        <v/>
      </c>
      <c r="AC346" s="24">
        <f>IF(OR($E346="",Z346=0),"",IFERROR(TODAY()+ROUNDUP(Z346/(SUMIFS($AF346:$IN346,$AF$4:$IN$4,"WASH_ACT")/COUNTIFS($AF$4:$IN$4,"WASH_ACT",$AF346:$IN346,"&gt;0")),0),"no output yet"))</f>
        <v/>
      </c>
      <c r="AD346" s="26">
        <f>IF($E346="","",IFERROR(ROUND(MAX(0,SUMIFS($AF346:$IN346,$AF$4:$IN$4,"SEW_PLAN",$AF$3:$IN$3,"&lt;="&amp;TODAY())-SUMIFS($AF346:$IN346,$AF$4:$IN$4,"SEW_ACT",$AF$3:$IN$3,"&lt;="&amp;TODAY())+N(Q346))/(SUMIFS($AF346:$IN346,$AF$4:$IN$4,"SEW_PLAN")/COUNTIFS($AF$4:$IN$4,"SEW_PLAN",$AF346:$IN346,"&gt;0")),1),0))</f>
        <v/>
      </c>
      <c r="AE346" s="26">
        <f>IF($E346="","",IF(AND(Z346&gt;0,OR(AND(M346&lt;&gt;"",TODAY()&gt;M346),AND(V346&lt;&gt;"",V346-TODAY()&lt;=7))),"Yes","No"))</f>
        <v/>
      </c>
      <c r="AH346">
        <f>IF(OR(AF$3="",AF$3&gt;TODAY()),"",IF(AND(AF346="",AG346=""),"",N(AG346)-N(AF346)))</f>
        <v/>
      </c>
      <c r="AK346">
        <f>IF(OR(AF$3="",AF$3&gt;TODAY()),"",IF(AND(AI346="",AJ346=""),"",N(AJ346)-N(AI346)))</f>
        <v/>
      </c>
      <c r="AO346">
        <f>IF(OR(AM$3="",AM$3&gt;TODAY()),"",IF(AND(AM346="",AN346=""),"",N(AN346)-N(AM346)))</f>
        <v/>
      </c>
      <c r="AR346">
        <f>IF(OR(AM$3="",AM$3&gt;TODAY()),"",IF(AND(AP346="",AQ346=""),"",N(AQ346)-N(AP346)))</f>
        <v/>
      </c>
      <c r="AV346">
        <f>IF(OR(AT$3="",AT$3&gt;TODAY()),"",IF(AND(AT346="",AU346=""),"",N(AU346)-N(AT346)))</f>
        <v/>
      </c>
      <c r="AY346">
        <f>IF(OR(AT$3="",AT$3&gt;TODAY()),"",IF(AND(AW346="",AX346=""),"",N(AX346)-N(AW346)))</f>
        <v/>
      </c>
      <c r="BC346">
        <f>IF(OR(BA$3="",BA$3&gt;TODAY()),"",IF(AND(BA346="",BB346=""),"",N(BB346)-N(BA346)))</f>
        <v/>
      </c>
      <c r="BF346">
        <f>IF(OR(BA$3="",BA$3&gt;TODAY()),"",IF(AND(BD346="",BE346=""),"",N(BE346)-N(BD346)))</f>
        <v/>
      </c>
      <c r="BJ346">
        <f>IF(OR(BH$3="",BH$3&gt;TODAY()),"",IF(AND(BH346="",BI346=""),"",N(BI346)-N(BH346)))</f>
        <v/>
      </c>
      <c r="BM346">
        <f>IF(OR(BH$3="",BH$3&gt;TODAY()),"",IF(AND(BK346="",BL346=""),"",N(BL346)-N(BK346)))</f>
        <v/>
      </c>
      <c r="BQ346">
        <f>IF(OR(BO$3="",BO$3&gt;TODAY()),"",IF(AND(BO346="",BP346=""),"",N(BP346)-N(BO346)))</f>
        <v/>
      </c>
      <c r="BT346">
        <f>IF(OR(BO$3="",BO$3&gt;TODAY()),"",IF(AND(BR346="",BS346=""),"",N(BS346)-N(BR346)))</f>
        <v/>
      </c>
      <c r="BX346">
        <f>IF(OR(BV$3="",BV$3&gt;TODAY()),"",IF(AND(BV346="",BW346=""),"",N(BW346)-N(BV346)))</f>
        <v/>
      </c>
      <c r="CA346">
        <f>IF(OR(BV$3="",BV$3&gt;TODAY()),"",IF(AND(BY346="",BZ346=""),"",N(BZ346)-N(BY346)))</f>
        <v/>
      </c>
      <c r="CE346">
        <f>IF(OR(CC$3="",CC$3&gt;TODAY()),"",IF(AND(CC346="",CD346=""),"",N(CD346)-N(CC346)))</f>
        <v/>
      </c>
      <c r="CH346">
        <f>IF(OR(CC$3="",CC$3&gt;TODAY()),"",IF(AND(CF346="",CG346=""),"",N(CG346)-N(CF346)))</f>
        <v/>
      </c>
      <c r="CL346">
        <f>IF(OR(CJ$3="",CJ$3&gt;TODAY()),"",IF(AND(CJ346="",CK346=""),"",N(CK346)-N(CJ346)))</f>
        <v/>
      </c>
      <c r="CO346">
        <f>IF(OR(CJ$3="",CJ$3&gt;TODAY()),"",IF(AND(CM346="",CN346=""),"",N(CN346)-N(CM346)))</f>
        <v/>
      </c>
      <c r="CS346">
        <f>IF(OR(CQ$3="",CQ$3&gt;TODAY()),"",IF(AND(CQ346="",CR346=""),"",N(CR346)-N(CQ346)))</f>
        <v/>
      </c>
      <c r="CV346">
        <f>IF(OR(CQ$3="",CQ$3&gt;TODAY()),"",IF(AND(CT346="",CU346=""),"",N(CU346)-N(CT346)))</f>
        <v/>
      </c>
      <c r="CZ346">
        <f>IF(OR(CX$3="",CX$3&gt;TODAY()),"",IF(AND(CX346="",CY346=""),"",N(CY346)-N(CX346)))</f>
        <v/>
      </c>
      <c r="DC346">
        <f>IF(OR(CX$3="",CX$3&gt;TODAY()),"",IF(AND(DA346="",DB346=""),"",N(DB346)-N(DA346)))</f>
        <v/>
      </c>
      <c r="DG346">
        <f>IF(OR(DE$3="",DE$3&gt;TODAY()),"",IF(AND(DE346="",DF346=""),"",N(DF346)-N(DE346)))</f>
        <v/>
      </c>
      <c r="DJ346">
        <f>IF(OR(DE$3="",DE$3&gt;TODAY()),"",IF(AND(DH346="",DI346=""),"",N(DI346)-N(DH346)))</f>
        <v/>
      </c>
      <c r="DN346">
        <f>IF(OR(DL$3="",DL$3&gt;TODAY()),"",IF(AND(DL346="",DM346=""),"",N(DM346)-N(DL346)))</f>
        <v/>
      </c>
      <c r="DQ346">
        <f>IF(OR(DL$3="",DL$3&gt;TODAY()),"",IF(AND(DO346="",DP346=""),"",N(DP346)-N(DO346)))</f>
        <v/>
      </c>
      <c r="DU346">
        <f>IF(OR(DS$3="",DS$3&gt;TODAY()),"",IF(AND(DS346="",DT346=""),"",N(DT346)-N(DS346)))</f>
        <v/>
      </c>
      <c r="DX346">
        <f>IF(OR(DS$3="",DS$3&gt;TODAY()),"",IF(AND(DV346="",DW346=""),"",N(DW346)-N(DV346)))</f>
        <v/>
      </c>
      <c r="EB346">
        <f>IF(OR(DZ$3="",DZ$3&gt;TODAY()),"",IF(AND(DZ346="",EA346=""),"",N(EA346)-N(DZ346)))</f>
        <v/>
      </c>
      <c r="EE346">
        <f>IF(OR(DZ$3="",DZ$3&gt;TODAY()),"",IF(AND(EC346="",ED346=""),"",N(ED346)-N(EC346)))</f>
        <v/>
      </c>
      <c r="EI346">
        <f>IF(OR(EG$3="",EG$3&gt;TODAY()),"",IF(AND(EG346="",EH346=""),"",N(EH346)-N(EG346)))</f>
        <v/>
      </c>
      <c r="EL346">
        <f>IF(OR(EG$3="",EG$3&gt;TODAY()),"",IF(AND(EJ346="",EK346=""),"",N(EK346)-N(EJ346)))</f>
        <v/>
      </c>
      <c r="EP346">
        <f>IF(OR(EN$3="",EN$3&gt;TODAY()),"",IF(AND(EN346="",EO346=""),"",N(EO346)-N(EN346)))</f>
        <v/>
      </c>
      <c r="ES346">
        <f>IF(OR(EN$3="",EN$3&gt;TODAY()),"",IF(AND(EQ346="",ER346=""),"",N(ER346)-N(EQ346)))</f>
        <v/>
      </c>
      <c r="EW346">
        <f>IF(OR(EU$3="",EU$3&gt;TODAY()),"",IF(AND(EU346="",EV346=""),"",N(EV346)-N(EU346)))</f>
        <v/>
      </c>
      <c r="EZ346">
        <f>IF(OR(EU$3="",EU$3&gt;TODAY()),"",IF(AND(EX346="",EY346=""),"",N(EY346)-N(EX346)))</f>
        <v/>
      </c>
      <c r="FD346">
        <f>IF(OR(FB$3="",FB$3&gt;TODAY()),"",IF(AND(FB346="",FC346=""),"",N(FC346)-N(FB346)))</f>
        <v/>
      </c>
      <c r="FG346">
        <f>IF(OR(FB$3="",FB$3&gt;TODAY()),"",IF(AND(FE346="",FF346=""),"",N(FF346)-N(FE346)))</f>
        <v/>
      </c>
      <c r="FK346">
        <f>IF(OR(FI$3="",FI$3&gt;TODAY()),"",IF(AND(FI346="",FJ346=""),"",N(FJ346)-N(FI346)))</f>
        <v/>
      </c>
      <c r="FN346">
        <f>IF(OR(FI$3="",FI$3&gt;TODAY()),"",IF(AND(FL346="",FM346=""),"",N(FM346)-N(FL346)))</f>
        <v/>
      </c>
      <c r="FR346">
        <f>IF(OR(FP$3="",FP$3&gt;TODAY()),"",IF(AND(FP346="",FQ346=""),"",N(FQ346)-N(FP346)))</f>
        <v/>
      </c>
      <c r="FU346">
        <f>IF(OR(FP$3="",FP$3&gt;TODAY()),"",IF(AND(FS346="",FT346=""),"",N(FT346)-N(FS346)))</f>
        <v/>
      </c>
      <c r="FY346">
        <f>IF(OR(FW$3="",FW$3&gt;TODAY()),"",IF(AND(FW346="",FX346=""),"",N(FX346)-N(FW346)))</f>
        <v/>
      </c>
      <c r="GB346">
        <f>IF(OR(FW$3="",FW$3&gt;TODAY()),"",IF(AND(FZ346="",GA346=""),"",N(GA346)-N(FZ346)))</f>
        <v/>
      </c>
      <c r="GF346">
        <f>IF(OR(GD$3="",GD$3&gt;TODAY()),"",IF(AND(GD346="",GE346=""),"",N(GE346)-N(GD346)))</f>
        <v/>
      </c>
      <c r="GI346">
        <f>IF(OR(GD$3="",GD$3&gt;TODAY()),"",IF(AND(GG346="",GH346=""),"",N(GH346)-N(GG346)))</f>
        <v/>
      </c>
      <c r="GM346">
        <f>IF(OR(GK$3="",GK$3&gt;TODAY()),"",IF(AND(GK346="",GL346=""),"",N(GL346)-N(GK346)))</f>
        <v/>
      </c>
      <c r="GP346">
        <f>IF(OR(GK$3="",GK$3&gt;TODAY()),"",IF(AND(GN346="",GO346=""),"",N(GO346)-N(GN346)))</f>
        <v/>
      </c>
      <c r="GT346">
        <f>IF(OR(GR$3="",GR$3&gt;TODAY()),"",IF(AND(GR346="",GS346=""),"",N(GS346)-N(GR346)))</f>
        <v/>
      </c>
      <c r="GW346">
        <f>IF(OR(GR$3="",GR$3&gt;TODAY()),"",IF(AND(GU346="",GV346=""),"",N(GV346)-N(GU346)))</f>
        <v/>
      </c>
      <c r="HA346">
        <f>IF(OR(GY$3="",GY$3&gt;TODAY()),"",IF(AND(GY346="",GZ346=""),"",N(GZ346)-N(GY346)))</f>
        <v/>
      </c>
      <c r="HD346">
        <f>IF(OR(GY$3="",GY$3&gt;TODAY()),"",IF(AND(HB346="",HC346=""),"",N(HC346)-N(HB346)))</f>
        <v/>
      </c>
      <c r="HH346">
        <f>IF(OR(HF$3="",HF$3&gt;TODAY()),"",IF(AND(HF346="",HG346=""),"",N(HG346)-N(HF346)))</f>
        <v/>
      </c>
      <c r="HK346">
        <f>IF(OR(HF$3="",HF$3&gt;TODAY()),"",IF(AND(HI346="",HJ346=""),"",N(HJ346)-N(HI346)))</f>
        <v/>
      </c>
      <c r="HO346">
        <f>IF(OR(HM$3="",HM$3&gt;TODAY()),"",IF(AND(HM346="",HN346=""),"",N(HN346)-N(HM346)))</f>
        <v/>
      </c>
      <c r="HR346">
        <f>IF(OR(HM$3="",HM$3&gt;TODAY()),"",IF(AND(HP346="",HQ346=""),"",N(HQ346)-N(HP346)))</f>
        <v/>
      </c>
      <c r="HV346">
        <f>IF(OR(HT$3="",HT$3&gt;TODAY()),"",IF(AND(HT346="",HU346=""),"",N(HU346)-N(HT346)))</f>
        <v/>
      </c>
      <c r="HY346">
        <f>IF(OR(HT$3="",HT$3&gt;TODAY()),"",IF(AND(HW346="",HX346=""),"",N(HX346)-N(HW346)))</f>
        <v/>
      </c>
      <c r="IC346">
        <f>IF(OR(IA$3="",IA$3&gt;TODAY()),"",IF(AND(IA346="",IB346=""),"",N(IB346)-N(IA346)))</f>
        <v/>
      </c>
      <c r="IF346">
        <f>IF(OR(IA$3="",IA$3&gt;TODAY()),"",IF(AND(ID346="",IE346=""),"",N(IE346)-N(ID346)))</f>
        <v/>
      </c>
      <c r="IJ346">
        <f>IF(OR(IH$3="",IH$3&gt;TODAY()),"",IF(AND(IH346="",II346=""),"",N(II346)-N(IH346)))</f>
        <v/>
      </c>
      <c r="IM346">
        <f>IF(OR(IH$3="",IH$3&gt;TODAY()),"",IF(AND(IK346="",IL346=""),"",N(IL346)-N(IK346)))</f>
        <v/>
      </c>
    </row>
    <row r="347">
      <c r="A347" s="21" t="n"/>
      <c r="B347" s="21" t="n"/>
      <c r="C347" s="21" t="n"/>
      <c r="D347" s="21" t="n"/>
      <c r="E347" s="21" t="n"/>
      <c r="F347" s="21" t="n"/>
      <c r="G347" s="21" t="n"/>
      <c r="H347" s="21" t="n"/>
      <c r="I347" s="22" t="n"/>
      <c r="J347" s="22" t="n"/>
      <c r="K347" s="23" t="n"/>
      <c r="L347" s="22" t="n"/>
      <c r="M347" s="22" t="n"/>
      <c r="N347" s="21" t="n"/>
      <c r="O347" s="23" t="n"/>
      <c r="P347" s="23" t="n"/>
      <c r="Q347" s="23" t="n"/>
      <c r="R347" s="23" t="n"/>
      <c r="S347" s="22" t="n"/>
      <c r="T347" s="23" t="n"/>
      <c r="U347" s="23" t="n"/>
      <c r="V347" s="24">
        <f>IF(J347&lt;&gt;"",J347,IF(I347&lt;&gt;"",I347,""))</f>
        <v/>
      </c>
      <c r="W347" s="25">
        <f>IF($E347="","",N(O347)+SUMIFS($AF347:$IN347,$AF$4:$IN$4,"SEW_ACT"))</f>
        <v/>
      </c>
      <c r="X347" s="25">
        <f>IF($E347="","",N(P347)+SUMIFS($AF347:$IN347,$AF$4:$IN$4,"WASH_ACT"))</f>
        <v/>
      </c>
      <c r="Y347" s="25">
        <f>IF($E347="","",W347-X347-N(T347)-N(U347))</f>
        <v/>
      </c>
      <c r="Z347" s="25">
        <f>IF($E347="","",IF(N(K347)-X347&lt;=0.02*N(K347),0,N(K347)-X347))</f>
        <v/>
      </c>
      <c r="AA347" s="24">
        <f>IF($E347="","",IF(S347&lt;&gt;"",S347,IF(N(O347)&gt;0,IF(L347&lt;&gt;"",L347,99999),IFERROR(1/(1/_xlfn.MINIFS($AF$3:$IN$3,$AF$4:$IN$4,"SEW_ACT",$AF347:$IN347,"&gt;0")),99999))))</f>
        <v/>
      </c>
      <c r="AB347" s="26">
        <f>IF(OR($E347="",Z347=0,V347=""),"",1+COUNTIFS(Z$8:Z$707,"&gt;0",V$8:V$707,"&lt;"&amp;V347)+COUNTIFS(Z$8:Z$707,"&gt;0",V$8:V$707,V347,AA$8:AA$707,"&lt;"&amp;AA347)+COUNTIFS(Z$8:Z$707,"&gt;0",V$8:V$707,V347,AA$8:AA$707,AA347,E$8:E$707,"&lt;"&amp;$E347))</f>
        <v/>
      </c>
      <c r="AC347" s="24">
        <f>IF(OR($E347="",Z347=0),"",IFERROR(TODAY()+ROUNDUP(Z347/(SUMIFS($AF347:$IN347,$AF$4:$IN$4,"WASH_ACT")/COUNTIFS($AF$4:$IN$4,"WASH_ACT",$AF347:$IN347,"&gt;0")),0),"no output yet"))</f>
        <v/>
      </c>
      <c r="AD347" s="26">
        <f>IF($E347="","",IFERROR(ROUND(MAX(0,SUMIFS($AF347:$IN347,$AF$4:$IN$4,"SEW_PLAN",$AF$3:$IN$3,"&lt;="&amp;TODAY())-SUMIFS($AF347:$IN347,$AF$4:$IN$4,"SEW_ACT",$AF$3:$IN$3,"&lt;="&amp;TODAY())+N(Q347))/(SUMIFS($AF347:$IN347,$AF$4:$IN$4,"SEW_PLAN")/COUNTIFS($AF$4:$IN$4,"SEW_PLAN",$AF347:$IN347,"&gt;0")),1),0))</f>
        <v/>
      </c>
      <c r="AE347" s="26">
        <f>IF($E347="","",IF(AND(Z347&gt;0,OR(AND(M347&lt;&gt;"",TODAY()&gt;M347),AND(V347&lt;&gt;"",V347-TODAY()&lt;=7))),"Yes","No"))</f>
        <v/>
      </c>
      <c r="AH347">
        <f>IF(OR(AF$3="",AF$3&gt;TODAY()),"",IF(AND(AF347="",AG347=""),"",N(AG347)-N(AF347)))</f>
        <v/>
      </c>
      <c r="AK347">
        <f>IF(OR(AF$3="",AF$3&gt;TODAY()),"",IF(AND(AI347="",AJ347=""),"",N(AJ347)-N(AI347)))</f>
        <v/>
      </c>
      <c r="AO347">
        <f>IF(OR(AM$3="",AM$3&gt;TODAY()),"",IF(AND(AM347="",AN347=""),"",N(AN347)-N(AM347)))</f>
        <v/>
      </c>
      <c r="AR347">
        <f>IF(OR(AM$3="",AM$3&gt;TODAY()),"",IF(AND(AP347="",AQ347=""),"",N(AQ347)-N(AP347)))</f>
        <v/>
      </c>
      <c r="AV347">
        <f>IF(OR(AT$3="",AT$3&gt;TODAY()),"",IF(AND(AT347="",AU347=""),"",N(AU347)-N(AT347)))</f>
        <v/>
      </c>
      <c r="AY347">
        <f>IF(OR(AT$3="",AT$3&gt;TODAY()),"",IF(AND(AW347="",AX347=""),"",N(AX347)-N(AW347)))</f>
        <v/>
      </c>
      <c r="BC347">
        <f>IF(OR(BA$3="",BA$3&gt;TODAY()),"",IF(AND(BA347="",BB347=""),"",N(BB347)-N(BA347)))</f>
        <v/>
      </c>
      <c r="BF347">
        <f>IF(OR(BA$3="",BA$3&gt;TODAY()),"",IF(AND(BD347="",BE347=""),"",N(BE347)-N(BD347)))</f>
        <v/>
      </c>
      <c r="BJ347">
        <f>IF(OR(BH$3="",BH$3&gt;TODAY()),"",IF(AND(BH347="",BI347=""),"",N(BI347)-N(BH347)))</f>
        <v/>
      </c>
      <c r="BM347">
        <f>IF(OR(BH$3="",BH$3&gt;TODAY()),"",IF(AND(BK347="",BL347=""),"",N(BL347)-N(BK347)))</f>
        <v/>
      </c>
      <c r="BQ347">
        <f>IF(OR(BO$3="",BO$3&gt;TODAY()),"",IF(AND(BO347="",BP347=""),"",N(BP347)-N(BO347)))</f>
        <v/>
      </c>
      <c r="BT347">
        <f>IF(OR(BO$3="",BO$3&gt;TODAY()),"",IF(AND(BR347="",BS347=""),"",N(BS347)-N(BR347)))</f>
        <v/>
      </c>
      <c r="BX347">
        <f>IF(OR(BV$3="",BV$3&gt;TODAY()),"",IF(AND(BV347="",BW347=""),"",N(BW347)-N(BV347)))</f>
        <v/>
      </c>
      <c r="CA347">
        <f>IF(OR(BV$3="",BV$3&gt;TODAY()),"",IF(AND(BY347="",BZ347=""),"",N(BZ347)-N(BY347)))</f>
        <v/>
      </c>
      <c r="CE347">
        <f>IF(OR(CC$3="",CC$3&gt;TODAY()),"",IF(AND(CC347="",CD347=""),"",N(CD347)-N(CC347)))</f>
        <v/>
      </c>
      <c r="CH347">
        <f>IF(OR(CC$3="",CC$3&gt;TODAY()),"",IF(AND(CF347="",CG347=""),"",N(CG347)-N(CF347)))</f>
        <v/>
      </c>
      <c r="CL347">
        <f>IF(OR(CJ$3="",CJ$3&gt;TODAY()),"",IF(AND(CJ347="",CK347=""),"",N(CK347)-N(CJ347)))</f>
        <v/>
      </c>
      <c r="CO347">
        <f>IF(OR(CJ$3="",CJ$3&gt;TODAY()),"",IF(AND(CM347="",CN347=""),"",N(CN347)-N(CM347)))</f>
        <v/>
      </c>
      <c r="CS347">
        <f>IF(OR(CQ$3="",CQ$3&gt;TODAY()),"",IF(AND(CQ347="",CR347=""),"",N(CR347)-N(CQ347)))</f>
        <v/>
      </c>
      <c r="CV347">
        <f>IF(OR(CQ$3="",CQ$3&gt;TODAY()),"",IF(AND(CT347="",CU347=""),"",N(CU347)-N(CT347)))</f>
        <v/>
      </c>
      <c r="CZ347">
        <f>IF(OR(CX$3="",CX$3&gt;TODAY()),"",IF(AND(CX347="",CY347=""),"",N(CY347)-N(CX347)))</f>
        <v/>
      </c>
      <c r="DC347">
        <f>IF(OR(CX$3="",CX$3&gt;TODAY()),"",IF(AND(DA347="",DB347=""),"",N(DB347)-N(DA347)))</f>
        <v/>
      </c>
      <c r="DG347">
        <f>IF(OR(DE$3="",DE$3&gt;TODAY()),"",IF(AND(DE347="",DF347=""),"",N(DF347)-N(DE347)))</f>
        <v/>
      </c>
      <c r="DJ347">
        <f>IF(OR(DE$3="",DE$3&gt;TODAY()),"",IF(AND(DH347="",DI347=""),"",N(DI347)-N(DH347)))</f>
        <v/>
      </c>
      <c r="DN347">
        <f>IF(OR(DL$3="",DL$3&gt;TODAY()),"",IF(AND(DL347="",DM347=""),"",N(DM347)-N(DL347)))</f>
        <v/>
      </c>
      <c r="DQ347">
        <f>IF(OR(DL$3="",DL$3&gt;TODAY()),"",IF(AND(DO347="",DP347=""),"",N(DP347)-N(DO347)))</f>
        <v/>
      </c>
      <c r="DU347">
        <f>IF(OR(DS$3="",DS$3&gt;TODAY()),"",IF(AND(DS347="",DT347=""),"",N(DT347)-N(DS347)))</f>
        <v/>
      </c>
      <c r="DX347">
        <f>IF(OR(DS$3="",DS$3&gt;TODAY()),"",IF(AND(DV347="",DW347=""),"",N(DW347)-N(DV347)))</f>
        <v/>
      </c>
      <c r="EB347">
        <f>IF(OR(DZ$3="",DZ$3&gt;TODAY()),"",IF(AND(DZ347="",EA347=""),"",N(EA347)-N(DZ347)))</f>
        <v/>
      </c>
      <c r="EE347">
        <f>IF(OR(DZ$3="",DZ$3&gt;TODAY()),"",IF(AND(EC347="",ED347=""),"",N(ED347)-N(EC347)))</f>
        <v/>
      </c>
      <c r="EI347">
        <f>IF(OR(EG$3="",EG$3&gt;TODAY()),"",IF(AND(EG347="",EH347=""),"",N(EH347)-N(EG347)))</f>
        <v/>
      </c>
      <c r="EL347">
        <f>IF(OR(EG$3="",EG$3&gt;TODAY()),"",IF(AND(EJ347="",EK347=""),"",N(EK347)-N(EJ347)))</f>
        <v/>
      </c>
      <c r="EP347">
        <f>IF(OR(EN$3="",EN$3&gt;TODAY()),"",IF(AND(EN347="",EO347=""),"",N(EO347)-N(EN347)))</f>
        <v/>
      </c>
      <c r="ES347">
        <f>IF(OR(EN$3="",EN$3&gt;TODAY()),"",IF(AND(EQ347="",ER347=""),"",N(ER347)-N(EQ347)))</f>
        <v/>
      </c>
      <c r="EW347">
        <f>IF(OR(EU$3="",EU$3&gt;TODAY()),"",IF(AND(EU347="",EV347=""),"",N(EV347)-N(EU347)))</f>
        <v/>
      </c>
      <c r="EZ347">
        <f>IF(OR(EU$3="",EU$3&gt;TODAY()),"",IF(AND(EX347="",EY347=""),"",N(EY347)-N(EX347)))</f>
        <v/>
      </c>
      <c r="FD347">
        <f>IF(OR(FB$3="",FB$3&gt;TODAY()),"",IF(AND(FB347="",FC347=""),"",N(FC347)-N(FB347)))</f>
        <v/>
      </c>
      <c r="FG347">
        <f>IF(OR(FB$3="",FB$3&gt;TODAY()),"",IF(AND(FE347="",FF347=""),"",N(FF347)-N(FE347)))</f>
        <v/>
      </c>
      <c r="FK347">
        <f>IF(OR(FI$3="",FI$3&gt;TODAY()),"",IF(AND(FI347="",FJ347=""),"",N(FJ347)-N(FI347)))</f>
        <v/>
      </c>
      <c r="FN347">
        <f>IF(OR(FI$3="",FI$3&gt;TODAY()),"",IF(AND(FL347="",FM347=""),"",N(FM347)-N(FL347)))</f>
        <v/>
      </c>
      <c r="FR347">
        <f>IF(OR(FP$3="",FP$3&gt;TODAY()),"",IF(AND(FP347="",FQ347=""),"",N(FQ347)-N(FP347)))</f>
        <v/>
      </c>
      <c r="FU347">
        <f>IF(OR(FP$3="",FP$3&gt;TODAY()),"",IF(AND(FS347="",FT347=""),"",N(FT347)-N(FS347)))</f>
        <v/>
      </c>
      <c r="FY347">
        <f>IF(OR(FW$3="",FW$3&gt;TODAY()),"",IF(AND(FW347="",FX347=""),"",N(FX347)-N(FW347)))</f>
        <v/>
      </c>
      <c r="GB347">
        <f>IF(OR(FW$3="",FW$3&gt;TODAY()),"",IF(AND(FZ347="",GA347=""),"",N(GA347)-N(FZ347)))</f>
        <v/>
      </c>
      <c r="GF347">
        <f>IF(OR(GD$3="",GD$3&gt;TODAY()),"",IF(AND(GD347="",GE347=""),"",N(GE347)-N(GD347)))</f>
        <v/>
      </c>
      <c r="GI347">
        <f>IF(OR(GD$3="",GD$3&gt;TODAY()),"",IF(AND(GG347="",GH347=""),"",N(GH347)-N(GG347)))</f>
        <v/>
      </c>
      <c r="GM347">
        <f>IF(OR(GK$3="",GK$3&gt;TODAY()),"",IF(AND(GK347="",GL347=""),"",N(GL347)-N(GK347)))</f>
        <v/>
      </c>
      <c r="GP347">
        <f>IF(OR(GK$3="",GK$3&gt;TODAY()),"",IF(AND(GN347="",GO347=""),"",N(GO347)-N(GN347)))</f>
        <v/>
      </c>
      <c r="GT347">
        <f>IF(OR(GR$3="",GR$3&gt;TODAY()),"",IF(AND(GR347="",GS347=""),"",N(GS347)-N(GR347)))</f>
        <v/>
      </c>
      <c r="GW347">
        <f>IF(OR(GR$3="",GR$3&gt;TODAY()),"",IF(AND(GU347="",GV347=""),"",N(GV347)-N(GU347)))</f>
        <v/>
      </c>
      <c r="HA347">
        <f>IF(OR(GY$3="",GY$3&gt;TODAY()),"",IF(AND(GY347="",GZ347=""),"",N(GZ347)-N(GY347)))</f>
        <v/>
      </c>
      <c r="HD347">
        <f>IF(OR(GY$3="",GY$3&gt;TODAY()),"",IF(AND(HB347="",HC347=""),"",N(HC347)-N(HB347)))</f>
        <v/>
      </c>
      <c r="HH347">
        <f>IF(OR(HF$3="",HF$3&gt;TODAY()),"",IF(AND(HF347="",HG347=""),"",N(HG347)-N(HF347)))</f>
        <v/>
      </c>
      <c r="HK347">
        <f>IF(OR(HF$3="",HF$3&gt;TODAY()),"",IF(AND(HI347="",HJ347=""),"",N(HJ347)-N(HI347)))</f>
        <v/>
      </c>
      <c r="HO347">
        <f>IF(OR(HM$3="",HM$3&gt;TODAY()),"",IF(AND(HM347="",HN347=""),"",N(HN347)-N(HM347)))</f>
        <v/>
      </c>
      <c r="HR347">
        <f>IF(OR(HM$3="",HM$3&gt;TODAY()),"",IF(AND(HP347="",HQ347=""),"",N(HQ347)-N(HP347)))</f>
        <v/>
      </c>
      <c r="HV347">
        <f>IF(OR(HT$3="",HT$3&gt;TODAY()),"",IF(AND(HT347="",HU347=""),"",N(HU347)-N(HT347)))</f>
        <v/>
      </c>
      <c r="HY347">
        <f>IF(OR(HT$3="",HT$3&gt;TODAY()),"",IF(AND(HW347="",HX347=""),"",N(HX347)-N(HW347)))</f>
        <v/>
      </c>
      <c r="IC347">
        <f>IF(OR(IA$3="",IA$3&gt;TODAY()),"",IF(AND(IA347="",IB347=""),"",N(IB347)-N(IA347)))</f>
        <v/>
      </c>
      <c r="IF347">
        <f>IF(OR(IA$3="",IA$3&gt;TODAY()),"",IF(AND(ID347="",IE347=""),"",N(IE347)-N(ID347)))</f>
        <v/>
      </c>
      <c r="IJ347">
        <f>IF(OR(IH$3="",IH$3&gt;TODAY()),"",IF(AND(IH347="",II347=""),"",N(II347)-N(IH347)))</f>
        <v/>
      </c>
      <c r="IM347">
        <f>IF(OR(IH$3="",IH$3&gt;TODAY()),"",IF(AND(IK347="",IL347=""),"",N(IL347)-N(IK347)))</f>
        <v/>
      </c>
    </row>
    <row r="348">
      <c r="A348" s="21" t="n"/>
      <c r="B348" s="21" t="n"/>
      <c r="C348" s="21" t="n"/>
      <c r="D348" s="21" t="n"/>
      <c r="E348" s="21" t="n"/>
      <c r="F348" s="21" t="n"/>
      <c r="G348" s="21" t="n"/>
      <c r="H348" s="21" t="n"/>
      <c r="I348" s="22" t="n"/>
      <c r="J348" s="22" t="n"/>
      <c r="K348" s="23" t="n"/>
      <c r="L348" s="22" t="n"/>
      <c r="M348" s="22" t="n"/>
      <c r="N348" s="21" t="n"/>
      <c r="O348" s="23" t="n"/>
      <c r="P348" s="23" t="n"/>
      <c r="Q348" s="23" t="n"/>
      <c r="R348" s="23" t="n"/>
      <c r="S348" s="22" t="n"/>
      <c r="T348" s="23" t="n"/>
      <c r="U348" s="23" t="n"/>
      <c r="V348" s="24">
        <f>IF(J348&lt;&gt;"",J348,IF(I348&lt;&gt;"",I348,""))</f>
        <v/>
      </c>
      <c r="W348" s="25">
        <f>IF($E348="","",N(O348)+SUMIFS($AF348:$IN348,$AF$4:$IN$4,"SEW_ACT"))</f>
        <v/>
      </c>
      <c r="X348" s="25">
        <f>IF($E348="","",N(P348)+SUMIFS($AF348:$IN348,$AF$4:$IN$4,"WASH_ACT"))</f>
        <v/>
      </c>
      <c r="Y348" s="25">
        <f>IF($E348="","",W348-X348-N(T348)-N(U348))</f>
        <v/>
      </c>
      <c r="Z348" s="25">
        <f>IF($E348="","",IF(N(K348)-X348&lt;=0.02*N(K348),0,N(K348)-X348))</f>
        <v/>
      </c>
      <c r="AA348" s="24">
        <f>IF($E348="","",IF(S348&lt;&gt;"",S348,IF(N(O348)&gt;0,IF(L348&lt;&gt;"",L348,99999),IFERROR(1/(1/_xlfn.MINIFS($AF$3:$IN$3,$AF$4:$IN$4,"SEW_ACT",$AF348:$IN348,"&gt;0")),99999))))</f>
        <v/>
      </c>
      <c r="AB348" s="26">
        <f>IF(OR($E348="",Z348=0,V348=""),"",1+COUNTIFS(Z$8:Z$707,"&gt;0",V$8:V$707,"&lt;"&amp;V348)+COUNTIFS(Z$8:Z$707,"&gt;0",V$8:V$707,V348,AA$8:AA$707,"&lt;"&amp;AA348)+COUNTIFS(Z$8:Z$707,"&gt;0",V$8:V$707,V348,AA$8:AA$707,AA348,E$8:E$707,"&lt;"&amp;$E348))</f>
        <v/>
      </c>
      <c r="AC348" s="24">
        <f>IF(OR($E348="",Z348=0),"",IFERROR(TODAY()+ROUNDUP(Z348/(SUMIFS($AF348:$IN348,$AF$4:$IN$4,"WASH_ACT")/COUNTIFS($AF$4:$IN$4,"WASH_ACT",$AF348:$IN348,"&gt;0")),0),"no output yet"))</f>
        <v/>
      </c>
      <c r="AD348" s="26">
        <f>IF($E348="","",IFERROR(ROUND(MAX(0,SUMIFS($AF348:$IN348,$AF$4:$IN$4,"SEW_PLAN",$AF$3:$IN$3,"&lt;="&amp;TODAY())-SUMIFS($AF348:$IN348,$AF$4:$IN$4,"SEW_ACT",$AF$3:$IN$3,"&lt;="&amp;TODAY())+N(Q348))/(SUMIFS($AF348:$IN348,$AF$4:$IN$4,"SEW_PLAN")/COUNTIFS($AF$4:$IN$4,"SEW_PLAN",$AF348:$IN348,"&gt;0")),1),0))</f>
        <v/>
      </c>
      <c r="AE348" s="26">
        <f>IF($E348="","",IF(AND(Z348&gt;0,OR(AND(M348&lt;&gt;"",TODAY()&gt;M348),AND(V348&lt;&gt;"",V348-TODAY()&lt;=7))),"Yes","No"))</f>
        <v/>
      </c>
      <c r="AH348">
        <f>IF(OR(AF$3="",AF$3&gt;TODAY()),"",IF(AND(AF348="",AG348=""),"",N(AG348)-N(AF348)))</f>
        <v/>
      </c>
      <c r="AK348">
        <f>IF(OR(AF$3="",AF$3&gt;TODAY()),"",IF(AND(AI348="",AJ348=""),"",N(AJ348)-N(AI348)))</f>
        <v/>
      </c>
      <c r="AO348">
        <f>IF(OR(AM$3="",AM$3&gt;TODAY()),"",IF(AND(AM348="",AN348=""),"",N(AN348)-N(AM348)))</f>
        <v/>
      </c>
      <c r="AR348">
        <f>IF(OR(AM$3="",AM$3&gt;TODAY()),"",IF(AND(AP348="",AQ348=""),"",N(AQ348)-N(AP348)))</f>
        <v/>
      </c>
      <c r="AV348">
        <f>IF(OR(AT$3="",AT$3&gt;TODAY()),"",IF(AND(AT348="",AU348=""),"",N(AU348)-N(AT348)))</f>
        <v/>
      </c>
      <c r="AY348">
        <f>IF(OR(AT$3="",AT$3&gt;TODAY()),"",IF(AND(AW348="",AX348=""),"",N(AX348)-N(AW348)))</f>
        <v/>
      </c>
      <c r="BC348">
        <f>IF(OR(BA$3="",BA$3&gt;TODAY()),"",IF(AND(BA348="",BB348=""),"",N(BB348)-N(BA348)))</f>
        <v/>
      </c>
      <c r="BF348">
        <f>IF(OR(BA$3="",BA$3&gt;TODAY()),"",IF(AND(BD348="",BE348=""),"",N(BE348)-N(BD348)))</f>
        <v/>
      </c>
      <c r="BJ348">
        <f>IF(OR(BH$3="",BH$3&gt;TODAY()),"",IF(AND(BH348="",BI348=""),"",N(BI348)-N(BH348)))</f>
        <v/>
      </c>
      <c r="BM348">
        <f>IF(OR(BH$3="",BH$3&gt;TODAY()),"",IF(AND(BK348="",BL348=""),"",N(BL348)-N(BK348)))</f>
        <v/>
      </c>
      <c r="BQ348">
        <f>IF(OR(BO$3="",BO$3&gt;TODAY()),"",IF(AND(BO348="",BP348=""),"",N(BP348)-N(BO348)))</f>
        <v/>
      </c>
      <c r="BT348">
        <f>IF(OR(BO$3="",BO$3&gt;TODAY()),"",IF(AND(BR348="",BS348=""),"",N(BS348)-N(BR348)))</f>
        <v/>
      </c>
      <c r="BX348">
        <f>IF(OR(BV$3="",BV$3&gt;TODAY()),"",IF(AND(BV348="",BW348=""),"",N(BW348)-N(BV348)))</f>
        <v/>
      </c>
      <c r="CA348">
        <f>IF(OR(BV$3="",BV$3&gt;TODAY()),"",IF(AND(BY348="",BZ348=""),"",N(BZ348)-N(BY348)))</f>
        <v/>
      </c>
      <c r="CE348">
        <f>IF(OR(CC$3="",CC$3&gt;TODAY()),"",IF(AND(CC348="",CD348=""),"",N(CD348)-N(CC348)))</f>
        <v/>
      </c>
      <c r="CH348">
        <f>IF(OR(CC$3="",CC$3&gt;TODAY()),"",IF(AND(CF348="",CG348=""),"",N(CG348)-N(CF348)))</f>
        <v/>
      </c>
      <c r="CL348">
        <f>IF(OR(CJ$3="",CJ$3&gt;TODAY()),"",IF(AND(CJ348="",CK348=""),"",N(CK348)-N(CJ348)))</f>
        <v/>
      </c>
      <c r="CO348">
        <f>IF(OR(CJ$3="",CJ$3&gt;TODAY()),"",IF(AND(CM348="",CN348=""),"",N(CN348)-N(CM348)))</f>
        <v/>
      </c>
      <c r="CS348">
        <f>IF(OR(CQ$3="",CQ$3&gt;TODAY()),"",IF(AND(CQ348="",CR348=""),"",N(CR348)-N(CQ348)))</f>
        <v/>
      </c>
      <c r="CV348">
        <f>IF(OR(CQ$3="",CQ$3&gt;TODAY()),"",IF(AND(CT348="",CU348=""),"",N(CU348)-N(CT348)))</f>
        <v/>
      </c>
      <c r="CZ348">
        <f>IF(OR(CX$3="",CX$3&gt;TODAY()),"",IF(AND(CX348="",CY348=""),"",N(CY348)-N(CX348)))</f>
        <v/>
      </c>
      <c r="DC348">
        <f>IF(OR(CX$3="",CX$3&gt;TODAY()),"",IF(AND(DA348="",DB348=""),"",N(DB348)-N(DA348)))</f>
        <v/>
      </c>
      <c r="DG348">
        <f>IF(OR(DE$3="",DE$3&gt;TODAY()),"",IF(AND(DE348="",DF348=""),"",N(DF348)-N(DE348)))</f>
        <v/>
      </c>
      <c r="DJ348">
        <f>IF(OR(DE$3="",DE$3&gt;TODAY()),"",IF(AND(DH348="",DI348=""),"",N(DI348)-N(DH348)))</f>
        <v/>
      </c>
      <c r="DN348">
        <f>IF(OR(DL$3="",DL$3&gt;TODAY()),"",IF(AND(DL348="",DM348=""),"",N(DM348)-N(DL348)))</f>
        <v/>
      </c>
      <c r="DQ348">
        <f>IF(OR(DL$3="",DL$3&gt;TODAY()),"",IF(AND(DO348="",DP348=""),"",N(DP348)-N(DO348)))</f>
        <v/>
      </c>
      <c r="DU348">
        <f>IF(OR(DS$3="",DS$3&gt;TODAY()),"",IF(AND(DS348="",DT348=""),"",N(DT348)-N(DS348)))</f>
        <v/>
      </c>
      <c r="DX348">
        <f>IF(OR(DS$3="",DS$3&gt;TODAY()),"",IF(AND(DV348="",DW348=""),"",N(DW348)-N(DV348)))</f>
        <v/>
      </c>
      <c r="EB348">
        <f>IF(OR(DZ$3="",DZ$3&gt;TODAY()),"",IF(AND(DZ348="",EA348=""),"",N(EA348)-N(DZ348)))</f>
        <v/>
      </c>
      <c r="EE348">
        <f>IF(OR(DZ$3="",DZ$3&gt;TODAY()),"",IF(AND(EC348="",ED348=""),"",N(ED348)-N(EC348)))</f>
        <v/>
      </c>
      <c r="EI348">
        <f>IF(OR(EG$3="",EG$3&gt;TODAY()),"",IF(AND(EG348="",EH348=""),"",N(EH348)-N(EG348)))</f>
        <v/>
      </c>
      <c r="EL348">
        <f>IF(OR(EG$3="",EG$3&gt;TODAY()),"",IF(AND(EJ348="",EK348=""),"",N(EK348)-N(EJ348)))</f>
        <v/>
      </c>
      <c r="EP348">
        <f>IF(OR(EN$3="",EN$3&gt;TODAY()),"",IF(AND(EN348="",EO348=""),"",N(EO348)-N(EN348)))</f>
        <v/>
      </c>
      <c r="ES348">
        <f>IF(OR(EN$3="",EN$3&gt;TODAY()),"",IF(AND(EQ348="",ER348=""),"",N(ER348)-N(EQ348)))</f>
        <v/>
      </c>
      <c r="EW348">
        <f>IF(OR(EU$3="",EU$3&gt;TODAY()),"",IF(AND(EU348="",EV348=""),"",N(EV348)-N(EU348)))</f>
        <v/>
      </c>
      <c r="EZ348">
        <f>IF(OR(EU$3="",EU$3&gt;TODAY()),"",IF(AND(EX348="",EY348=""),"",N(EY348)-N(EX348)))</f>
        <v/>
      </c>
      <c r="FD348">
        <f>IF(OR(FB$3="",FB$3&gt;TODAY()),"",IF(AND(FB348="",FC348=""),"",N(FC348)-N(FB348)))</f>
        <v/>
      </c>
      <c r="FG348">
        <f>IF(OR(FB$3="",FB$3&gt;TODAY()),"",IF(AND(FE348="",FF348=""),"",N(FF348)-N(FE348)))</f>
        <v/>
      </c>
      <c r="FK348">
        <f>IF(OR(FI$3="",FI$3&gt;TODAY()),"",IF(AND(FI348="",FJ348=""),"",N(FJ348)-N(FI348)))</f>
        <v/>
      </c>
      <c r="FN348">
        <f>IF(OR(FI$3="",FI$3&gt;TODAY()),"",IF(AND(FL348="",FM348=""),"",N(FM348)-N(FL348)))</f>
        <v/>
      </c>
      <c r="FR348">
        <f>IF(OR(FP$3="",FP$3&gt;TODAY()),"",IF(AND(FP348="",FQ348=""),"",N(FQ348)-N(FP348)))</f>
        <v/>
      </c>
      <c r="FU348">
        <f>IF(OR(FP$3="",FP$3&gt;TODAY()),"",IF(AND(FS348="",FT348=""),"",N(FT348)-N(FS348)))</f>
        <v/>
      </c>
      <c r="FY348">
        <f>IF(OR(FW$3="",FW$3&gt;TODAY()),"",IF(AND(FW348="",FX348=""),"",N(FX348)-N(FW348)))</f>
        <v/>
      </c>
      <c r="GB348">
        <f>IF(OR(FW$3="",FW$3&gt;TODAY()),"",IF(AND(FZ348="",GA348=""),"",N(GA348)-N(FZ348)))</f>
        <v/>
      </c>
      <c r="GF348">
        <f>IF(OR(GD$3="",GD$3&gt;TODAY()),"",IF(AND(GD348="",GE348=""),"",N(GE348)-N(GD348)))</f>
        <v/>
      </c>
      <c r="GI348">
        <f>IF(OR(GD$3="",GD$3&gt;TODAY()),"",IF(AND(GG348="",GH348=""),"",N(GH348)-N(GG348)))</f>
        <v/>
      </c>
      <c r="GM348">
        <f>IF(OR(GK$3="",GK$3&gt;TODAY()),"",IF(AND(GK348="",GL348=""),"",N(GL348)-N(GK348)))</f>
        <v/>
      </c>
      <c r="GP348">
        <f>IF(OR(GK$3="",GK$3&gt;TODAY()),"",IF(AND(GN348="",GO348=""),"",N(GO348)-N(GN348)))</f>
        <v/>
      </c>
      <c r="GT348">
        <f>IF(OR(GR$3="",GR$3&gt;TODAY()),"",IF(AND(GR348="",GS348=""),"",N(GS348)-N(GR348)))</f>
        <v/>
      </c>
      <c r="GW348">
        <f>IF(OR(GR$3="",GR$3&gt;TODAY()),"",IF(AND(GU348="",GV348=""),"",N(GV348)-N(GU348)))</f>
        <v/>
      </c>
      <c r="HA348">
        <f>IF(OR(GY$3="",GY$3&gt;TODAY()),"",IF(AND(GY348="",GZ348=""),"",N(GZ348)-N(GY348)))</f>
        <v/>
      </c>
      <c r="HD348">
        <f>IF(OR(GY$3="",GY$3&gt;TODAY()),"",IF(AND(HB348="",HC348=""),"",N(HC348)-N(HB348)))</f>
        <v/>
      </c>
      <c r="HH348">
        <f>IF(OR(HF$3="",HF$3&gt;TODAY()),"",IF(AND(HF348="",HG348=""),"",N(HG348)-N(HF348)))</f>
        <v/>
      </c>
      <c r="HK348">
        <f>IF(OR(HF$3="",HF$3&gt;TODAY()),"",IF(AND(HI348="",HJ348=""),"",N(HJ348)-N(HI348)))</f>
        <v/>
      </c>
      <c r="HO348">
        <f>IF(OR(HM$3="",HM$3&gt;TODAY()),"",IF(AND(HM348="",HN348=""),"",N(HN348)-N(HM348)))</f>
        <v/>
      </c>
      <c r="HR348">
        <f>IF(OR(HM$3="",HM$3&gt;TODAY()),"",IF(AND(HP348="",HQ348=""),"",N(HQ348)-N(HP348)))</f>
        <v/>
      </c>
      <c r="HV348">
        <f>IF(OR(HT$3="",HT$3&gt;TODAY()),"",IF(AND(HT348="",HU348=""),"",N(HU348)-N(HT348)))</f>
        <v/>
      </c>
      <c r="HY348">
        <f>IF(OR(HT$3="",HT$3&gt;TODAY()),"",IF(AND(HW348="",HX348=""),"",N(HX348)-N(HW348)))</f>
        <v/>
      </c>
      <c r="IC348">
        <f>IF(OR(IA$3="",IA$3&gt;TODAY()),"",IF(AND(IA348="",IB348=""),"",N(IB348)-N(IA348)))</f>
        <v/>
      </c>
      <c r="IF348">
        <f>IF(OR(IA$3="",IA$3&gt;TODAY()),"",IF(AND(ID348="",IE348=""),"",N(IE348)-N(ID348)))</f>
        <v/>
      </c>
      <c r="IJ348">
        <f>IF(OR(IH$3="",IH$3&gt;TODAY()),"",IF(AND(IH348="",II348=""),"",N(II348)-N(IH348)))</f>
        <v/>
      </c>
      <c r="IM348">
        <f>IF(OR(IH$3="",IH$3&gt;TODAY()),"",IF(AND(IK348="",IL348=""),"",N(IL348)-N(IK348)))</f>
        <v/>
      </c>
    </row>
    <row r="349">
      <c r="A349" s="21" t="n"/>
      <c r="B349" s="21" t="n"/>
      <c r="C349" s="21" t="n"/>
      <c r="D349" s="21" t="n"/>
      <c r="E349" s="21" t="n"/>
      <c r="F349" s="21" t="n"/>
      <c r="G349" s="21" t="n"/>
      <c r="H349" s="21" t="n"/>
      <c r="I349" s="22" t="n"/>
      <c r="J349" s="22" t="n"/>
      <c r="K349" s="23" t="n"/>
      <c r="L349" s="22" t="n"/>
      <c r="M349" s="22" t="n"/>
      <c r="N349" s="21" t="n"/>
      <c r="O349" s="23" t="n"/>
      <c r="P349" s="23" t="n"/>
      <c r="Q349" s="23" t="n"/>
      <c r="R349" s="23" t="n"/>
      <c r="S349" s="22" t="n"/>
      <c r="T349" s="23" t="n"/>
      <c r="U349" s="23" t="n"/>
      <c r="V349" s="24">
        <f>IF(J349&lt;&gt;"",J349,IF(I349&lt;&gt;"",I349,""))</f>
        <v/>
      </c>
      <c r="W349" s="25">
        <f>IF($E349="","",N(O349)+SUMIFS($AF349:$IN349,$AF$4:$IN$4,"SEW_ACT"))</f>
        <v/>
      </c>
      <c r="X349" s="25">
        <f>IF($E349="","",N(P349)+SUMIFS($AF349:$IN349,$AF$4:$IN$4,"WASH_ACT"))</f>
        <v/>
      </c>
      <c r="Y349" s="25">
        <f>IF($E349="","",W349-X349-N(T349)-N(U349))</f>
        <v/>
      </c>
      <c r="Z349" s="25">
        <f>IF($E349="","",IF(N(K349)-X349&lt;=0.02*N(K349),0,N(K349)-X349))</f>
        <v/>
      </c>
      <c r="AA349" s="24">
        <f>IF($E349="","",IF(S349&lt;&gt;"",S349,IF(N(O349)&gt;0,IF(L349&lt;&gt;"",L349,99999),IFERROR(1/(1/_xlfn.MINIFS($AF$3:$IN$3,$AF$4:$IN$4,"SEW_ACT",$AF349:$IN349,"&gt;0")),99999))))</f>
        <v/>
      </c>
      <c r="AB349" s="26">
        <f>IF(OR($E349="",Z349=0,V349=""),"",1+COUNTIFS(Z$8:Z$707,"&gt;0",V$8:V$707,"&lt;"&amp;V349)+COUNTIFS(Z$8:Z$707,"&gt;0",V$8:V$707,V349,AA$8:AA$707,"&lt;"&amp;AA349)+COUNTIFS(Z$8:Z$707,"&gt;0",V$8:V$707,V349,AA$8:AA$707,AA349,E$8:E$707,"&lt;"&amp;$E349))</f>
        <v/>
      </c>
      <c r="AC349" s="24">
        <f>IF(OR($E349="",Z349=0),"",IFERROR(TODAY()+ROUNDUP(Z349/(SUMIFS($AF349:$IN349,$AF$4:$IN$4,"WASH_ACT")/COUNTIFS($AF$4:$IN$4,"WASH_ACT",$AF349:$IN349,"&gt;0")),0),"no output yet"))</f>
        <v/>
      </c>
      <c r="AD349" s="26">
        <f>IF($E349="","",IFERROR(ROUND(MAX(0,SUMIFS($AF349:$IN349,$AF$4:$IN$4,"SEW_PLAN",$AF$3:$IN$3,"&lt;="&amp;TODAY())-SUMIFS($AF349:$IN349,$AF$4:$IN$4,"SEW_ACT",$AF$3:$IN$3,"&lt;="&amp;TODAY())+N(Q349))/(SUMIFS($AF349:$IN349,$AF$4:$IN$4,"SEW_PLAN")/COUNTIFS($AF$4:$IN$4,"SEW_PLAN",$AF349:$IN349,"&gt;0")),1),0))</f>
        <v/>
      </c>
      <c r="AE349" s="26">
        <f>IF($E349="","",IF(AND(Z349&gt;0,OR(AND(M349&lt;&gt;"",TODAY()&gt;M349),AND(V349&lt;&gt;"",V349-TODAY()&lt;=7))),"Yes","No"))</f>
        <v/>
      </c>
      <c r="AH349">
        <f>IF(OR(AF$3="",AF$3&gt;TODAY()),"",IF(AND(AF349="",AG349=""),"",N(AG349)-N(AF349)))</f>
        <v/>
      </c>
      <c r="AK349">
        <f>IF(OR(AF$3="",AF$3&gt;TODAY()),"",IF(AND(AI349="",AJ349=""),"",N(AJ349)-N(AI349)))</f>
        <v/>
      </c>
      <c r="AO349">
        <f>IF(OR(AM$3="",AM$3&gt;TODAY()),"",IF(AND(AM349="",AN349=""),"",N(AN349)-N(AM349)))</f>
        <v/>
      </c>
      <c r="AR349">
        <f>IF(OR(AM$3="",AM$3&gt;TODAY()),"",IF(AND(AP349="",AQ349=""),"",N(AQ349)-N(AP349)))</f>
        <v/>
      </c>
      <c r="AV349">
        <f>IF(OR(AT$3="",AT$3&gt;TODAY()),"",IF(AND(AT349="",AU349=""),"",N(AU349)-N(AT349)))</f>
        <v/>
      </c>
      <c r="AY349">
        <f>IF(OR(AT$3="",AT$3&gt;TODAY()),"",IF(AND(AW349="",AX349=""),"",N(AX349)-N(AW349)))</f>
        <v/>
      </c>
      <c r="BC349">
        <f>IF(OR(BA$3="",BA$3&gt;TODAY()),"",IF(AND(BA349="",BB349=""),"",N(BB349)-N(BA349)))</f>
        <v/>
      </c>
      <c r="BF349">
        <f>IF(OR(BA$3="",BA$3&gt;TODAY()),"",IF(AND(BD349="",BE349=""),"",N(BE349)-N(BD349)))</f>
        <v/>
      </c>
      <c r="BJ349">
        <f>IF(OR(BH$3="",BH$3&gt;TODAY()),"",IF(AND(BH349="",BI349=""),"",N(BI349)-N(BH349)))</f>
        <v/>
      </c>
      <c r="BM349">
        <f>IF(OR(BH$3="",BH$3&gt;TODAY()),"",IF(AND(BK349="",BL349=""),"",N(BL349)-N(BK349)))</f>
        <v/>
      </c>
      <c r="BQ349">
        <f>IF(OR(BO$3="",BO$3&gt;TODAY()),"",IF(AND(BO349="",BP349=""),"",N(BP349)-N(BO349)))</f>
        <v/>
      </c>
      <c r="BT349">
        <f>IF(OR(BO$3="",BO$3&gt;TODAY()),"",IF(AND(BR349="",BS349=""),"",N(BS349)-N(BR349)))</f>
        <v/>
      </c>
      <c r="BX349">
        <f>IF(OR(BV$3="",BV$3&gt;TODAY()),"",IF(AND(BV349="",BW349=""),"",N(BW349)-N(BV349)))</f>
        <v/>
      </c>
      <c r="CA349">
        <f>IF(OR(BV$3="",BV$3&gt;TODAY()),"",IF(AND(BY349="",BZ349=""),"",N(BZ349)-N(BY349)))</f>
        <v/>
      </c>
      <c r="CE349">
        <f>IF(OR(CC$3="",CC$3&gt;TODAY()),"",IF(AND(CC349="",CD349=""),"",N(CD349)-N(CC349)))</f>
        <v/>
      </c>
      <c r="CH349">
        <f>IF(OR(CC$3="",CC$3&gt;TODAY()),"",IF(AND(CF349="",CG349=""),"",N(CG349)-N(CF349)))</f>
        <v/>
      </c>
      <c r="CL349">
        <f>IF(OR(CJ$3="",CJ$3&gt;TODAY()),"",IF(AND(CJ349="",CK349=""),"",N(CK349)-N(CJ349)))</f>
        <v/>
      </c>
      <c r="CO349">
        <f>IF(OR(CJ$3="",CJ$3&gt;TODAY()),"",IF(AND(CM349="",CN349=""),"",N(CN349)-N(CM349)))</f>
        <v/>
      </c>
      <c r="CS349">
        <f>IF(OR(CQ$3="",CQ$3&gt;TODAY()),"",IF(AND(CQ349="",CR349=""),"",N(CR349)-N(CQ349)))</f>
        <v/>
      </c>
      <c r="CV349">
        <f>IF(OR(CQ$3="",CQ$3&gt;TODAY()),"",IF(AND(CT349="",CU349=""),"",N(CU349)-N(CT349)))</f>
        <v/>
      </c>
      <c r="CZ349">
        <f>IF(OR(CX$3="",CX$3&gt;TODAY()),"",IF(AND(CX349="",CY349=""),"",N(CY349)-N(CX349)))</f>
        <v/>
      </c>
      <c r="DC349">
        <f>IF(OR(CX$3="",CX$3&gt;TODAY()),"",IF(AND(DA349="",DB349=""),"",N(DB349)-N(DA349)))</f>
        <v/>
      </c>
      <c r="DG349">
        <f>IF(OR(DE$3="",DE$3&gt;TODAY()),"",IF(AND(DE349="",DF349=""),"",N(DF349)-N(DE349)))</f>
        <v/>
      </c>
      <c r="DJ349">
        <f>IF(OR(DE$3="",DE$3&gt;TODAY()),"",IF(AND(DH349="",DI349=""),"",N(DI349)-N(DH349)))</f>
        <v/>
      </c>
      <c r="DN349">
        <f>IF(OR(DL$3="",DL$3&gt;TODAY()),"",IF(AND(DL349="",DM349=""),"",N(DM349)-N(DL349)))</f>
        <v/>
      </c>
      <c r="DQ349">
        <f>IF(OR(DL$3="",DL$3&gt;TODAY()),"",IF(AND(DO349="",DP349=""),"",N(DP349)-N(DO349)))</f>
        <v/>
      </c>
      <c r="DU349">
        <f>IF(OR(DS$3="",DS$3&gt;TODAY()),"",IF(AND(DS349="",DT349=""),"",N(DT349)-N(DS349)))</f>
        <v/>
      </c>
      <c r="DX349">
        <f>IF(OR(DS$3="",DS$3&gt;TODAY()),"",IF(AND(DV349="",DW349=""),"",N(DW349)-N(DV349)))</f>
        <v/>
      </c>
      <c r="EB349">
        <f>IF(OR(DZ$3="",DZ$3&gt;TODAY()),"",IF(AND(DZ349="",EA349=""),"",N(EA349)-N(DZ349)))</f>
        <v/>
      </c>
      <c r="EE349">
        <f>IF(OR(DZ$3="",DZ$3&gt;TODAY()),"",IF(AND(EC349="",ED349=""),"",N(ED349)-N(EC349)))</f>
        <v/>
      </c>
      <c r="EI349">
        <f>IF(OR(EG$3="",EG$3&gt;TODAY()),"",IF(AND(EG349="",EH349=""),"",N(EH349)-N(EG349)))</f>
        <v/>
      </c>
      <c r="EL349">
        <f>IF(OR(EG$3="",EG$3&gt;TODAY()),"",IF(AND(EJ349="",EK349=""),"",N(EK349)-N(EJ349)))</f>
        <v/>
      </c>
      <c r="EP349">
        <f>IF(OR(EN$3="",EN$3&gt;TODAY()),"",IF(AND(EN349="",EO349=""),"",N(EO349)-N(EN349)))</f>
        <v/>
      </c>
      <c r="ES349">
        <f>IF(OR(EN$3="",EN$3&gt;TODAY()),"",IF(AND(EQ349="",ER349=""),"",N(ER349)-N(EQ349)))</f>
        <v/>
      </c>
      <c r="EW349">
        <f>IF(OR(EU$3="",EU$3&gt;TODAY()),"",IF(AND(EU349="",EV349=""),"",N(EV349)-N(EU349)))</f>
        <v/>
      </c>
      <c r="EZ349">
        <f>IF(OR(EU$3="",EU$3&gt;TODAY()),"",IF(AND(EX349="",EY349=""),"",N(EY349)-N(EX349)))</f>
        <v/>
      </c>
      <c r="FD349">
        <f>IF(OR(FB$3="",FB$3&gt;TODAY()),"",IF(AND(FB349="",FC349=""),"",N(FC349)-N(FB349)))</f>
        <v/>
      </c>
      <c r="FG349">
        <f>IF(OR(FB$3="",FB$3&gt;TODAY()),"",IF(AND(FE349="",FF349=""),"",N(FF349)-N(FE349)))</f>
        <v/>
      </c>
      <c r="FK349">
        <f>IF(OR(FI$3="",FI$3&gt;TODAY()),"",IF(AND(FI349="",FJ349=""),"",N(FJ349)-N(FI349)))</f>
        <v/>
      </c>
      <c r="FN349">
        <f>IF(OR(FI$3="",FI$3&gt;TODAY()),"",IF(AND(FL349="",FM349=""),"",N(FM349)-N(FL349)))</f>
        <v/>
      </c>
      <c r="FR349">
        <f>IF(OR(FP$3="",FP$3&gt;TODAY()),"",IF(AND(FP349="",FQ349=""),"",N(FQ349)-N(FP349)))</f>
        <v/>
      </c>
      <c r="FU349">
        <f>IF(OR(FP$3="",FP$3&gt;TODAY()),"",IF(AND(FS349="",FT349=""),"",N(FT349)-N(FS349)))</f>
        <v/>
      </c>
      <c r="FY349">
        <f>IF(OR(FW$3="",FW$3&gt;TODAY()),"",IF(AND(FW349="",FX349=""),"",N(FX349)-N(FW349)))</f>
        <v/>
      </c>
      <c r="GB349">
        <f>IF(OR(FW$3="",FW$3&gt;TODAY()),"",IF(AND(FZ349="",GA349=""),"",N(GA349)-N(FZ349)))</f>
        <v/>
      </c>
      <c r="GF349">
        <f>IF(OR(GD$3="",GD$3&gt;TODAY()),"",IF(AND(GD349="",GE349=""),"",N(GE349)-N(GD349)))</f>
        <v/>
      </c>
      <c r="GI349">
        <f>IF(OR(GD$3="",GD$3&gt;TODAY()),"",IF(AND(GG349="",GH349=""),"",N(GH349)-N(GG349)))</f>
        <v/>
      </c>
      <c r="GM349">
        <f>IF(OR(GK$3="",GK$3&gt;TODAY()),"",IF(AND(GK349="",GL349=""),"",N(GL349)-N(GK349)))</f>
        <v/>
      </c>
      <c r="GP349">
        <f>IF(OR(GK$3="",GK$3&gt;TODAY()),"",IF(AND(GN349="",GO349=""),"",N(GO349)-N(GN349)))</f>
        <v/>
      </c>
      <c r="GT349">
        <f>IF(OR(GR$3="",GR$3&gt;TODAY()),"",IF(AND(GR349="",GS349=""),"",N(GS349)-N(GR349)))</f>
        <v/>
      </c>
      <c r="GW349">
        <f>IF(OR(GR$3="",GR$3&gt;TODAY()),"",IF(AND(GU349="",GV349=""),"",N(GV349)-N(GU349)))</f>
        <v/>
      </c>
      <c r="HA349">
        <f>IF(OR(GY$3="",GY$3&gt;TODAY()),"",IF(AND(GY349="",GZ349=""),"",N(GZ349)-N(GY349)))</f>
        <v/>
      </c>
      <c r="HD349">
        <f>IF(OR(GY$3="",GY$3&gt;TODAY()),"",IF(AND(HB349="",HC349=""),"",N(HC349)-N(HB349)))</f>
        <v/>
      </c>
      <c r="HH349">
        <f>IF(OR(HF$3="",HF$3&gt;TODAY()),"",IF(AND(HF349="",HG349=""),"",N(HG349)-N(HF349)))</f>
        <v/>
      </c>
      <c r="HK349">
        <f>IF(OR(HF$3="",HF$3&gt;TODAY()),"",IF(AND(HI349="",HJ349=""),"",N(HJ349)-N(HI349)))</f>
        <v/>
      </c>
      <c r="HO349">
        <f>IF(OR(HM$3="",HM$3&gt;TODAY()),"",IF(AND(HM349="",HN349=""),"",N(HN349)-N(HM349)))</f>
        <v/>
      </c>
      <c r="HR349">
        <f>IF(OR(HM$3="",HM$3&gt;TODAY()),"",IF(AND(HP349="",HQ349=""),"",N(HQ349)-N(HP349)))</f>
        <v/>
      </c>
      <c r="HV349">
        <f>IF(OR(HT$3="",HT$3&gt;TODAY()),"",IF(AND(HT349="",HU349=""),"",N(HU349)-N(HT349)))</f>
        <v/>
      </c>
      <c r="HY349">
        <f>IF(OR(HT$3="",HT$3&gt;TODAY()),"",IF(AND(HW349="",HX349=""),"",N(HX349)-N(HW349)))</f>
        <v/>
      </c>
      <c r="IC349">
        <f>IF(OR(IA$3="",IA$3&gt;TODAY()),"",IF(AND(IA349="",IB349=""),"",N(IB349)-N(IA349)))</f>
        <v/>
      </c>
      <c r="IF349">
        <f>IF(OR(IA$3="",IA$3&gt;TODAY()),"",IF(AND(ID349="",IE349=""),"",N(IE349)-N(ID349)))</f>
        <v/>
      </c>
      <c r="IJ349">
        <f>IF(OR(IH$3="",IH$3&gt;TODAY()),"",IF(AND(IH349="",II349=""),"",N(II349)-N(IH349)))</f>
        <v/>
      </c>
      <c r="IM349">
        <f>IF(OR(IH$3="",IH$3&gt;TODAY()),"",IF(AND(IK349="",IL349=""),"",N(IL349)-N(IK349)))</f>
        <v/>
      </c>
    </row>
    <row r="350">
      <c r="A350" s="21" t="n"/>
      <c r="B350" s="21" t="n"/>
      <c r="C350" s="21" t="n"/>
      <c r="D350" s="21" t="n"/>
      <c r="E350" s="21" t="n"/>
      <c r="F350" s="21" t="n"/>
      <c r="G350" s="21" t="n"/>
      <c r="H350" s="21" t="n"/>
      <c r="I350" s="22" t="n"/>
      <c r="J350" s="22" t="n"/>
      <c r="K350" s="23" t="n"/>
      <c r="L350" s="22" t="n"/>
      <c r="M350" s="22" t="n"/>
      <c r="N350" s="21" t="n"/>
      <c r="O350" s="23" t="n"/>
      <c r="P350" s="23" t="n"/>
      <c r="Q350" s="23" t="n"/>
      <c r="R350" s="23" t="n"/>
      <c r="S350" s="22" t="n"/>
      <c r="T350" s="23" t="n"/>
      <c r="U350" s="23" t="n"/>
      <c r="V350" s="24">
        <f>IF(J350&lt;&gt;"",J350,IF(I350&lt;&gt;"",I350,""))</f>
        <v/>
      </c>
      <c r="W350" s="25">
        <f>IF($E350="","",N(O350)+SUMIFS($AF350:$IN350,$AF$4:$IN$4,"SEW_ACT"))</f>
        <v/>
      </c>
      <c r="X350" s="25">
        <f>IF($E350="","",N(P350)+SUMIFS($AF350:$IN350,$AF$4:$IN$4,"WASH_ACT"))</f>
        <v/>
      </c>
      <c r="Y350" s="25">
        <f>IF($E350="","",W350-X350-N(T350)-N(U350))</f>
        <v/>
      </c>
      <c r="Z350" s="25">
        <f>IF($E350="","",IF(N(K350)-X350&lt;=0.02*N(K350),0,N(K350)-X350))</f>
        <v/>
      </c>
      <c r="AA350" s="24">
        <f>IF($E350="","",IF(S350&lt;&gt;"",S350,IF(N(O350)&gt;0,IF(L350&lt;&gt;"",L350,99999),IFERROR(1/(1/_xlfn.MINIFS($AF$3:$IN$3,$AF$4:$IN$4,"SEW_ACT",$AF350:$IN350,"&gt;0")),99999))))</f>
        <v/>
      </c>
      <c r="AB350" s="26">
        <f>IF(OR($E350="",Z350=0,V350=""),"",1+COUNTIFS(Z$8:Z$707,"&gt;0",V$8:V$707,"&lt;"&amp;V350)+COUNTIFS(Z$8:Z$707,"&gt;0",V$8:V$707,V350,AA$8:AA$707,"&lt;"&amp;AA350)+COUNTIFS(Z$8:Z$707,"&gt;0",V$8:V$707,V350,AA$8:AA$707,AA350,E$8:E$707,"&lt;"&amp;$E350))</f>
        <v/>
      </c>
      <c r="AC350" s="24">
        <f>IF(OR($E350="",Z350=0),"",IFERROR(TODAY()+ROUNDUP(Z350/(SUMIFS($AF350:$IN350,$AF$4:$IN$4,"WASH_ACT")/COUNTIFS($AF$4:$IN$4,"WASH_ACT",$AF350:$IN350,"&gt;0")),0),"no output yet"))</f>
        <v/>
      </c>
      <c r="AD350" s="26">
        <f>IF($E350="","",IFERROR(ROUND(MAX(0,SUMIFS($AF350:$IN350,$AF$4:$IN$4,"SEW_PLAN",$AF$3:$IN$3,"&lt;="&amp;TODAY())-SUMIFS($AF350:$IN350,$AF$4:$IN$4,"SEW_ACT",$AF$3:$IN$3,"&lt;="&amp;TODAY())+N(Q350))/(SUMIFS($AF350:$IN350,$AF$4:$IN$4,"SEW_PLAN")/COUNTIFS($AF$4:$IN$4,"SEW_PLAN",$AF350:$IN350,"&gt;0")),1),0))</f>
        <v/>
      </c>
      <c r="AE350" s="26">
        <f>IF($E350="","",IF(AND(Z350&gt;0,OR(AND(M350&lt;&gt;"",TODAY()&gt;M350),AND(V350&lt;&gt;"",V350-TODAY()&lt;=7))),"Yes","No"))</f>
        <v/>
      </c>
      <c r="AH350">
        <f>IF(OR(AF$3="",AF$3&gt;TODAY()),"",IF(AND(AF350="",AG350=""),"",N(AG350)-N(AF350)))</f>
        <v/>
      </c>
      <c r="AK350">
        <f>IF(OR(AF$3="",AF$3&gt;TODAY()),"",IF(AND(AI350="",AJ350=""),"",N(AJ350)-N(AI350)))</f>
        <v/>
      </c>
      <c r="AO350">
        <f>IF(OR(AM$3="",AM$3&gt;TODAY()),"",IF(AND(AM350="",AN350=""),"",N(AN350)-N(AM350)))</f>
        <v/>
      </c>
      <c r="AR350">
        <f>IF(OR(AM$3="",AM$3&gt;TODAY()),"",IF(AND(AP350="",AQ350=""),"",N(AQ350)-N(AP350)))</f>
        <v/>
      </c>
      <c r="AV350">
        <f>IF(OR(AT$3="",AT$3&gt;TODAY()),"",IF(AND(AT350="",AU350=""),"",N(AU350)-N(AT350)))</f>
        <v/>
      </c>
      <c r="AY350">
        <f>IF(OR(AT$3="",AT$3&gt;TODAY()),"",IF(AND(AW350="",AX350=""),"",N(AX350)-N(AW350)))</f>
        <v/>
      </c>
      <c r="BC350">
        <f>IF(OR(BA$3="",BA$3&gt;TODAY()),"",IF(AND(BA350="",BB350=""),"",N(BB350)-N(BA350)))</f>
        <v/>
      </c>
      <c r="BF350">
        <f>IF(OR(BA$3="",BA$3&gt;TODAY()),"",IF(AND(BD350="",BE350=""),"",N(BE350)-N(BD350)))</f>
        <v/>
      </c>
      <c r="BJ350">
        <f>IF(OR(BH$3="",BH$3&gt;TODAY()),"",IF(AND(BH350="",BI350=""),"",N(BI350)-N(BH350)))</f>
        <v/>
      </c>
      <c r="BM350">
        <f>IF(OR(BH$3="",BH$3&gt;TODAY()),"",IF(AND(BK350="",BL350=""),"",N(BL350)-N(BK350)))</f>
        <v/>
      </c>
      <c r="BQ350">
        <f>IF(OR(BO$3="",BO$3&gt;TODAY()),"",IF(AND(BO350="",BP350=""),"",N(BP350)-N(BO350)))</f>
        <v/>
      </c>
      <c r="BT350">
        <f>IF(OR(BO$3="",BO$3&gt;TODAY()),"",IF(AND(BR350="",BS350=""),"",N(BS350)-N(BR350)))</f>
        <v/>
      </c>
      <c r="BX350">
        <f>IF(OR(BV$3="",BV$3&gt;TODAY()),"",IF(AND(BV350="",BW350=""),"",N(BW350)-N(BV350)))</f>
        <v/>
      </c>
      <c r="CA350">
        <f>IF(OR(BV$3="",BV$3&gt;TODAY()),"",IF(AND(BY350="",BZ350=""),"",N(BZ350)-N(BY350)))</f>
        <v/>
      </c>
      <c r="CE350">
        <f>IF(OR(CC$3="",CC$3&gt;TODAY()),"",IF(AND(CC350="",CD350=""),"",N(CD350)-N(CC350)))</f>
        <v/>
      </c>
      <c r="CH350">
        <f>IF(OR(CC$3="",CC$3&gt;TODAY()),"",IF(AND(CF350="",CG350=""),"",N(CG350)-N(CF350)))</f>
        <v/>
      </c>
      <c r="CL350">
        <f>IF(OR(CJ$3="",CJ$3&gt;TODAY()),"",IF(AND(CJ350="",CK350=""),"",N(CK350)-N(CJ350)))</f>
        <v/>
      </c>
      <c r="CO350">
        <f>IF(OR(CJ$3="",CJ$3&gt;TODAY()),"",IF(AND(CM350="",CN350=""),"",N(CN350)-N(CM350)))</f>
        <v/>
      </c>
      <c r="CS350">
        <f>IF(OR(CQ$3="",CQ$3&gt;TODAY()),"",IF(AND(CQ350="",CR350=""),"",N(CR350)-N(CQ350)))</f>
        <v/>
      </c>
      <c r="CV350">
        <f>IF(OR(CQ$3="",CQ$3&gt;TODAY()),"",IF(AND(CT350="",CU350=""),"",N(CU350)-N(CT350)))</f>
        <v/>
      </c>
      <c r="CZ350">
        <f>IF(OR(CX$3="",CX$3&gt;TODAY()),"",IF(AND(CX350="",CY350=""),"",N(CY350)-N(CX350)))</f>
        <v/>
      </c>
      <c r="DC350">
        <f>IF(OR(CX$3="",CX$3&gt;TODAY()),"",IF(AND(DA350="",DB350=""),"",N(DB350)-N(DA350)))</f>
        <v/>
      </c>
      <c r="DG350">
        <f>IF(OR(DE$3="",DE$3&gt;TODAY()),"",IF(AND(DE350="",DF350=""),"",N(DF350)-N(DE350)))</f>
        <v/>
      </c>
      <c r="DJ350">
        <f>IF(OR(DE$3="",DE$3&gt;TODAY()),"",IF(AND(DH350="",DI350=""),"",N(DI350)-N(DH350)))</f>
        <v/>
      </c>
      <c r="DN350">
        <f>IF(OR(DL$3="",DL$3&gt;TODAY()),"",IF(AND(DL350="",DM350=""),"",N(DM350)-N(DL350)))</f>
        <v/>
      </c>
      <c r="DQ350">
        <f>IF(OR(DL$3="",DL$3&gt;TODAY()),"",IF(AND(DO350="",DP350=""),"",N(DP350)-N(DO350)))</f>
        <v/>
      </c>
      <c r="DU350">
        <f>IF(OR(DS$3="",DS$3&gt;TODAY()),"",IF(AND(DS350="",DT350=""),"",N(DT350)-N(DS350)))</f>
        <v/>
      </c>
      <c r="DX350">
        <f>IF(OR(DS$3="",DS$3&gt;TODAY()),"",IF(AND(DV350="",DW350=""),"",N(DW350)-N(DV350)))</f>
        <v/>
      </c>
      <c r="EB350">
        <f>IF(OR(DZ$3="",DZ$3&gt;TODAY()),"",IF(AND(DZ350="",EA350=""),"",N(EA350)-N(DZ350)))</f>
        <v/>
      </c>
      <c r="EE350">
        <f>IF(OR(DZ$3="",DZ$3&gt;TODAY()),"",IF(AND(EC350="",ED350=""),"",N(ED350)-N(EC350)))</f>
        <v/>
      </c>
      <c r="EI350">
        <f>IF(OR(EG$3="",EG$3&gt;TODAY()),"",IF(AND(EG350="",EH350=""),"",N(EH350)-N(EG350)))</f>
        <v/>
      </c>
      <c r="EL350">
        <f>IF(OR(EG$3="",EG$3&gt;TODAY()),"",IF(AND(EJ350="",EK350=""),"",N(EK350)-N(EJ350)))</f>
        <v/>
      </c>
      <c r="EP350">
        <f>IF(OR(EN$3="",EN$3&gt;TODAY()),"",IF(AND(EN350="",EO350=""),"",N(EO350)-N(EN350)))</f>
        <v/>
      </c>
      <c r="ES350">
        <f>IF(OR(EN$3="",EN$3&gt;TODAY()),"",IF(AND(EQ350="",ER350=""),"",N(ER350)-N(EQ350)))</f>
        <v/>
      </c>
      <c r="EW350">
        <f>IF(OR(EU$3="",EU$3&gt;TODAY()),"",IF(AND(EU350="",EV350=""),"",N(EV350)-N(EU350)))</f>
        <v/>
      </c>
      <c r="EZ350">
        <f>IF(OR(EU$3="",EU$3&gt;TODAY()),"",IF(AND(EX350="",EY350=""),"",N(EY350)-N(EX350)))</f>
        <v/>
      </c>
      <c r="FD350">
        <f>IF(OR(FB$3="",FB$3&gt;TODAY()),"",IF(AND(FB350="",FC350=""),"",N(FC350)-N(FB350)))</f>
        <v/>
      </c>
      <c r="FG350">
        <f>IF(OR(FB$3="",FB$3&gt;TODAY()),"",IF(AND(FE350="",FF350=""),"",N(FF350)-N(FE350)))</f>
        <v/>
      </c>
      <c r="FK350">
        <f>IF(OR(FI$3="",FI$3&gt;TODAY()),"",IF(AND(FI350="",FJ350=""),"",N(FJ350)-N(FI350)))</f>
        <v/>
      </c>
      <c r="FN350">
        <f>IF(OR(FI$3="",FI$3&gt;TODAY()),"",IF(AND(FL350="",FM350=""),"",N(FM350)-N(FL350)))</f>
        <v/>
      </c>
      <c r="FR350">
        <f>IF(OR(FP$3="",FP$3&gt;TODAY()),"",IF(AND(FP350="",FQ350=""),"",N(FQ350)-N(FP350)))</f>
        <v/>
      </c>
      <c r="FU350">
        <f>IF(OR(FP$3="",FP$3&gt;TODAY()),"",IF(AND(FS350="",FT350=""),"",N(FT350)-N(FS350)))</f>
        <v/>
      </c>
      <c r="FY350">
        <f>IF(OR(FW$3="",FW$3&gt;TODAY()),"",IF(AND(FW350="",FX350=""),"",N(FX350)-N(FW350)))</f>
        <v/>
      </c>
      <c r="GB350">
        <f>IF(OR(FW$3="",FW$3&gt;TODAY()),"",IF(AND(FZ350="",GA350=""),"",N(GA350)-N(FZ350)))</f>
        <v/>
      </c>
      <c r="GF350">
        <f>IF(OR(GD$3="",GD$3&gt;TODAY()),"",IF(AND(GD350="",GE350=""),"",N(GE350)-N(GD350)))</f>
        <v/>
      </c>
      <c r="GI350">
        <f>IF(OR(GD$3="",GD$3&gt;TODAY()),"",IF(AND(GG350="",GH350=""),"",N(GH350)-N(GG350)))</f>
        <v/>
      </c>
      <c r="GM350">
        <f>IF(OR(GK$3="",GK$3&gt;TODAY()),"",IF(AND(GK350="",GL350=""),"",N(GL350)-N(GK350)))</f>
        <v/>
      </c>
      <c r="GP350">
        <f>IF(OR(GK$3="",GK$3&gt;TODAY()),"",IF(AND(GN350="",GO350=""),"",N(GO350)-N(GN350)))</f>
        <v/>
      </c>
      <c r="GT350">
        <f>IF(OR(GR$3="",GR$3&gt;TODAY()),"",IF(AND(GR350="",GS350=""),"",N(GS350)-N(GR350)))</f>
        <v/>
      </c>
      <c r="GW350">
        <f>IF(OR(GR$3="",GR$3&gt;TODAY()),"",IF(AND(GU350="",GV350=""),"",N(GV350)-N(GU350)))</f>
        <v/>
      </c>
      <c r="HA350">
        <f>IF(OR(GY$3="",GY$3&gt;TODAY()),"",IF(AND(GY350="",GZ350=""),"",N(GZ350)-N(GY350)))</f>
        <v/>
      </c>
      <c r="HD350">
        <f>IF(OR(GY$3="",GY$3&gt;TODAY()),"",IF(AND(HB350="",HC350=""),"",N(HC350)-N(HB350)))</f>
        <v/>
      </c>
      <c r="HH350">
        <f>IF(OR(HF$3="",HF$3&gt;TODAY()),"",IF(AND(HF350="",HG350=""),"",N(HG350)-N(HF350)))</f>
        <v/>
      </c>
      <c r="HK350">
        <f>IF(OR(HF$3="",HF$3&gt;TODAY()),"",IF(AND(HI350="",HJ350=""),"",N(HJ350)-N(HI350)))</f>
        <v/>
      </c>
      <c r="HO350">
        <f>IF(OR(HM$3="",HM$3&gt;TODAY()),"",IF(AND(HM350="",HN350=""),"",N(HN350)-N(HM350)))</f>
        <v/>
      </c>
      <c r="HR350">
        <f>IF(OR(HM$3="",HM$3&gt;TODAY()),"",IF(AND(HP350="",HQ350=""),"",N(HQ350)-N(HP350)))</f>
        <v/>
      </c>
      <c r="HV350">
        <f>IF(OR(HT$3="",HT$3&gt;TODAY()),"",IF(AND(HT350="",HU350=""),"",N(HU350)-N(HT350)))</f>
        <v/>
      </c>
      <c r="HY350">
        <f>IF(OR(HT$3="",HT$3&gt;TODAY()),"",IF(AND(HW350="",HX350=""),"",N(HX350)-N(HW350)))</f>
        <v/>
      </c>
      <c r="IC350">
        <f>IF(OR(IA$3="",IA$3&gt;TODAY()),"",IF(AND(IA350="",IB350=""),"",N(IB350)-N(IA350)))</f>
        <v/>
      </c>
      <c r="IF350">
        <f>IF(OR(IA$3="",IA$3&gt;TODAY()),"",IF(AND(ID350="",IE350=""),"",N(IE350)-N(ID350)))</f>
        <v/>
      </c>
      <c r="IJ350">
        <f>IF(OR(IH$3="",IH$3&gt;TODAY()),"",IF(AND(IH350="",II350=""),"",N(II350)-N(IH350)))</f>
        <v/>
      </c>
      <c r="IM350">
        <f>IF(OR(IH$3="",IH$3&gt;TODAY()),"",IF(AND(IK350="",IL350=""),"",N(IL350)-N(IK350)))</f>
        <v/>
      </c>
    </row>
    <row r="351">
      <c r="A351" s="21" t="n"/>
      <c r="B351" s="21" t="n"/>
      <c r="C351" s="21" t="n"/>
      <c r="D351" s="21" t="n"/>
      <c r="E351" s="21" t="n"/>
      <c r="F351" s="21" t="n"/>
      <c r="G351" s="21" t="n"/>
      <c r="H351" s="21" t="n"/>
      <c r="I351" s="22" t="n"/>
      <c r="J351" s="22" t="n"/>
      <c r="K351" s="23" t="n"/>
      <c r="L351" s="22" t="n"/>
      <c r="M351" s="22" t="n"/>
      <c r="N351" s="21" t="n"/>
      <c r="O351" s="23" t="n"/>
      <c r="P351" s="23" t="n"/>
      <c r="Q351" s="23" t="n"/>
      <c r="R351" s="23" t="n"/>
      <c r="S351" s="22" t="n"/>
      <c r="T351" s="23" t="n"/>
      <c r="U351" s="23" t="n"/>
      <c r="V351" s="24">
        <f>IF(J351&lt;&gt;"",J351,IF(I351&lt;&gt;"",I351,""))</f>
        <v/>
      </c>
      <c r="W351" s="25">
        <f>IF($E351="","",N(O351)+SUMIFS($AF351:$IN351,$AF$4:$IN$4,"SEW_ACT"))</f>
        <v/>
      </c>
      <c r="X351" s="25">
        <f>IF($E351="","",N(P351)+SUMIFS($AF351:$IN351,$AF$4:$IN$4,"WASH_ACT"))</f>
        <v/>
      </c>
      <c r="Y351" s="25">
        <f>IF($E351="","",W351-X351-N(T351)-N(U351))</f>
        <v/>
      </c>
      <c r="Z351" s="25">
        <f>IF($E351="","",IF(N(K351)-X351&lt;=0.02*N(K351),0,N(K351)-X351))</f>
        <v/>
      </c>
      <c r="AA351" s="24">
        <f>IF($E351="","",IF(S351&lt;&gt;"",S351,IF(N(O351)&gt;0,IF(L351&lt;&gt;"",L351,99999),IFERROR(1/(1/_xlfn.MINIFS($AF$3:$IN$3,$AF$4:$IN$4,"SEW_ACT",$AF351:$IN351,"&gt;0")),99999))))</f>
        <v/>
      </c>
      <c r="AB351" s="26">
        <f>IF(OR($E351="",Z351=0,V351=""),"",1+COUNTIFS(Z$8:Z$707,"&gt;0",V$8:V$707,"&lt;"&amp;V351)+COUNTIFS(Z$8:Z$707,"&gt;0",V$8:V$707,V351,AA$8:AA$707,"&lt;"&amp;AA351)+COUNTIFS(Z$8:Z$707,"&gt;0",V$8:V$707,V351,AA$8:AA$707,AA351,E$8:E$707,"&lt;"&amp;$E351))</f>
        <v/>
      </c>
      <c r="AC351" s="24">
        <f>IF(OR($E351="",Z351=0),"",IFERROR(TODAY()+ROUNDUP(Z351/(SUMIFS($AF351:$IN351,$AF$4:$IN$4,"WASH_ACT")/COUNTIFS($AF$4:$IN$4,"WASH_ACT",$AF351:$IN351,"&gt;0")),0),"no output yet"))</f>
        <v/>
      </c>
      <c r="AD351" s="26">
        <f>IF($E351="","",IFERROR(ROUND(MAX(0,SUMIFS($AF351:$IN351,$AF$4:$IN$4,"SEW_PLAN",$AF$3:$IN$3,"&lt;="&amp;TODAY())-SUMIFS($AF351:$IN351,$AF$4:$IN$4,"SEW_ACT",$AF$3:$IN$3,"&lt;="&amp;TODAY())+N(Q351))/(SUMIFS($AF351:$IN351,$AF$4:$IN$4,"SEW_PLAN")/COUNTIFS($AF$4:$IN$4,"SEW_PLAN",$AF351:$IN351,"&gt;0")),1),0))</f>
        <v/>
      </c>
      <c r="AE351" s="26">
        <f>IF($E351="","",IF(AND(Z351&gt;0,OR(AND(M351&lt;&gt;"",TODAY()&gt;M351),AND(V351&lt;&gt;"",V351-TODAY()&lt;=7))),"Yes","No"))</f>
        <v/>
      </c>
      <c r="AH351">
        <f>IF(OR(AF$3="",AF$3&gt;TODAY()),"",IF(AND(AF351="",AG351=""),"",N(AG351)-N(AF351)))</f>
        <v/>
      </c>
      <c r="AK351">
        <f>IF(OR(AF$3="",AF$3&gt;TODAY()),"",IF(AND(AI351="",AJ351=""),"",N(AJ351)-N(AI351)))</f>
        <v/>
      </c>
      <c r="AO351">
        <f>IF(OR(AM$3="",AM$3&gt;TODAY()),"",IF(AND(AM351="",AN351=""),"",N(AN351)-N(AM351)))</f>
        <v/>
      </c>
      <c r="AR351">
        <f>IF(OR(AM$3="",AM$3&gt;TODAY()),"",IF(AND(AP351="",AQ351=""),"",N(AQ351)-N(AP351)))</f>
        <v/>
      </c>
      <c r="AV351">
        <f>IF(OR(AT$3="",AT$3&gt;TODAY()),"",IF(AND(AT351="",AU351=""),"",N(AU351)-N(AT351)))</f>
        <v/>
      </c>
      <c r="AY351">
        <f>IF(OR(AT$3="",AT$3&gt;TODAY()),"",IF(AND(AW351="",AX351=""),"",N(AX351)-N(AW351)))</f>
        <v/>
      </c>
      <c r="BC351">
        <f>IF(OR(BA$3="",BA$3&gt;TODAY()),"",IF(AND(BA351="",BB351=""),"",N(BB351)-N(BA351)))</f>
        <v/>
      </c>
      <c r="BF351">
        <f>IF(OR(BA$3="",BA$3&gt;TODAY()),"",IF(AND(BD351="",BE351=""),"",N(BE351)-N(BD351)))</f>
        <v/>
      </c>
      <c r="BJ351">
        <f>IF(OR(BH$3="",BH$3&gt;TODAY()),"",IF(AND(BH351="",BI351=""),"",N(BI351)-N(BH351)))</f>
        <v/>
      </c>
      <c r="BM351">
        <f>IF(OR(BH$3="",BH$3&gt;TODAY()),"",IF(AND(BK351="",BL351=""),"",N(BL351)-N(BK351)))</f>
        <v/>
      </c>
      <c r="BQ351">
        <f>IF(OR(BO$3="",BO$3&gt;TODAY()),"",IF(AND(BO351="",BP351=""),"",N(BP351)-N(BO351)))</f>
        <v/>
      </c>
      <c r="BT351">
        <f>IF(OR(BO$3="",BO$3&gt;TODAY()),"",IF(AND(BR351="",BS351=""),"",N(BS351)-N(BR351)))</f>
        <v/>
      </c>
      <c r="BX351">
        <f>IF(OR(BV$3="",BV$3&gt;TODAY()),"",IF(AND(BV351="",BW351=""),"",N(BW351)-N(BV351)))</f>
        <v/>
      </c>
      <c r="CA351">
        <f>IF(OR(BV$3="",BV$3&gt;TODAY()),"",IF(AND(BY351="",BZ351=""),"",N(BZ351)-N(BY351)))</f>
        <v/>
      </c>
      <c r="CE351">
        <f>IF(OR(CC$3="",CC$3&gt;TODAY()),"",IF(AND(CC351="",CD351=""),"",N(CD351)-N(CC351)))</f>
        <v/>
      </c>
      <c r="CH351">
        <f>IF(OR(CC$3="",CC$3&gt;TODAY()),"",IF(AND(CF351="",CG351=""),"",N(CG351)-N(CF351)))</f>
        <v/>
      </c>
      <c r="CL351">
        <f>IF(OR(CJ$3="",CJ$3&gt;TODAY()),"",IF(AND(CJ351="",CK351=""),"",N(CK351)-N(CJ351)))</f>
        <v/>
      </c>
      <c r="CO351">
        <f>IF(OR(CJ$3="",CJ$3&gt;TODAY()),"",IF(AND(CM351="",CN351=""),"",N(CN351)-N(CM351)))</f>
        <v/>
      </c>
      <c r="CS351">
        <f>IF(OR(CQ$3="",CQ$3&gt;TODAY()),"",IF(AND(CQ351="",CR351=""),"",N(CR351)-N(CQ351)))</f>
        <v/>
      </c>
      <c r="CV351">
        <f>IF(OR(CQ$3="",CQ$3&gt;TODAY()),"",IF(AND(CT351="",CU351=""),"",N(CU351)-N(CT351)))</f>
        <v/>
      </c>
      <c r="CZ351">
        <f>IF(OR(CX$3="",CX$3&gt;TODAY()),"",IF(AND(CX351="",CY351=""),"",N(CY351)-N(CX351)))</f>
        <v/>
      </c>
      <c r="DC351">
        <f>IF(OR(CX$3="",CX$3&gt;TODAY()),"",IF(AND(DA351="",DB351=""),"",N(DB351)-N(DA351)))</f>
        <v/>
      </c>
      <c r="DG351">
        <f>IF(OR(DE$3="",DE$3&gt;TODAY()),"",IF(AND(DE351="",DF351=""),"",N(DF351)-N(DE351)))</f>
        <v/>
      </c>
      <c r="DJ351">
        <f>IF(OR(DE$3="",DE$3&gt;TODAY()),"",IF(AND(DH351="",DI351=""),"",N(DI351)-N(DH351)))</f>
        <v/>
      </c>
      <c r="DN351">
        <f>IF(OR(DL$3="",DL$3&gt;TODAY()),"",IF(AND(DL351="",DM351=""),"",N(DM351)-N(DL351)))</f>
        <v/>
      </c>
      <c r="DQ351">
        <f>IF(OR(DL$3="",DL$3&gt;TODAY()),"",IF(AND(DO351="",DP351=""),"",N(DP351)-N(DO351)))</f>
        <v/>
      </c>
      <c r="DU351">
        <f>IF(OR(DS$3="",DS$3&gt;TODAY()),"",IF(AND(DS351="",DT351=""),"",N(DT351)-N(DS351)))</f>
        <v/>
      </c>
      <c r="DX351">
        <f>IF(OR(DS$3="",DS$3&gt;TODAY()),"",IF(AND(DV351="",DW351=""),"",N(DW351)-N(DV351)))</f>
        <v/>
      </c>
      <c r="EB351">
        <f>IF(OR(DZ$3="",DZ$3&gt;TODAY()),"",IF(AND(DZ351="",EA351=""),"",N(EA351)-N(DZ351)))</f>
        <v/>
      </c>
      <c r="EE351">
        <f>IF(OR(DZ$3="",DZ$3&gt;TODAY()),"",IF(AND(EC351="",ED351=""),"",N(ED351)-N(EC351)))</f>
        <v/>
      </c>
      <c r="EI351">
        <f>IF(OR(EG$3="",EG$3&gt;TODAY()),"",IF(AND(EG351="",EH351=""),"",N(EH351)-N(EG351)))</f>
        <v/>
      </c>
      <c r="EL351">
        <f>IF(OR(EG$3="",EG$3&gt;TODAY()),"",IF(AND(EJ351="",EK351=""),"",N(EK351)-N(EJ351)))</f>
        <v/>
      </c>
      <c r="EP351">
        <f>IF(OR(EN$3="",EN$3&gt;TODAY()),"",IF(AND(EN351="",EO351=""),"",N(EO351)-N(EN351)))</f>
        <v/>
      </c>
      <c r="ES351">
        <f>IF(OR(EN$3="",EN$3&gt;TODAY()),"",IF(AND(EQ351="",ER351=""),"",N(ER351)-N(EQ351)))</f>
        <v/>
      </c>
      <c r="EW351">
        <f>IF(OR(EU$3="",EU$3&gt;TODAY()),"",IF(AND(EU351="",EV351=""),"",N(EV351)-N(EU351)))</f>
        <v/>
      </c>
      <c r="EZ351">
        <f>IF(OR(EU$3="",EU$3&gt;TODAY()),"",IF(AND(EX351="",EY351=""),"",N(EY351)-N(EX351)))</f>
        <v/>
      </c>
      <c r="FD351">
        <f>IF(OR(FB$3="",FB$3&gt;TODAY()),"",IF(AND(FB351="",FC351=""),"",N(FC351)-N(FB351)))</f>
        <v/>
      </c>
      <c r="FG351">
        <f>IF(OR(FB$3="",FB$3&gt;TODAY()),"",IF(AND(FE351="",FF351=""),"",N(FF351)-N(FE351)))</f>
        <v/>
      </c>
      <c r="FK351">
        <f>IF(OR(FI$3="",FI$3&gt;TODAY()),"",IF(AND(FI351="",FJ351=""),"",N(FJ351)-N(FI351)))</f>
        <v/>
      </c>
      <c r="FN351">
        <f>IF(OR(FI$3="",FI$3&gt;TODAY()),"",IF(AND(FL351="",FM351=""),"",N(FM351)-N(FL351)))</f>
        <v/>
      </c>
      <c r="FR351">
        <f>IF(OR(FP$3="",FP$3&gt;TODAY()),"",IF(AND(FP351="",FQ351=""),"",N(FQ351)-N(FP351)))</f>
        <v/>
      </c>
      <c r="FU351">
        <f>IF(OR(FP$3="",FP$3&gt;TODAY()),"",IF(AND(FS351="",FT351=""),"",N(FT351)-N(FS351)))</f>
        <v/>
      </c>
      <c r="FY351">
        <f>IF(OR(FW$3="",FW$3&gt;TODAY()),"",IF(AND(FW351="",FX351=""),"",N(FX351)-N(FW351)))</f>
        <v/>
      </c>
      <c r="GB351">
        <f>IF(OR(FW$3="",FW$3&gt;TODAY()),"",IF(AND(FZ351="",GA351=""),"",N(GA351)-N(FZ351)))</f>
        <v/>
      </c>
      <c r="GF351">
        <f>IF(OR(GD$3="",GD$3&gt;TODAY()),"",IF(AND(GD351="",GE351=""),"",N(GE351)-N(GD351)))</f>
        <v/>
      </c>
      <c r="GI351">
        <f>IF(OR(GD$3="",GD$3&gt;TODAY()),"",IF(AND(GG351="",GH351=""),"",N(GH351)-N(GG351)))</f>
        <v/>
      </c>
      <c r="GM351">
        <f>IF(OR(GK$3="",GK$3&gt;TODAY()),"",IF(AND(GK351="",GL351=""),"",N(GL351)-N(GK351)))</f>
        <v/>
      </c>
      <c r="GP351">
        <f>IF(OR(GK$3="",GK$3&gt;TODAY()),"",IF(AND(GN351="",GO351=""),"",N(GO351)-N(GN351)))</f>
        <v/>
      </c>
      <c r="GT351">
        <f>IF(OR(GR$3="",GR$3&gt;TODAY()),"",IF(AND(GR351="",GS351=""),"",N(GS351)-N(GR351)))</f>
        <v/>
      </c>
      <c r="GW351">
        <f>IF(OR(GR$3="",GR$3&gt;TODAY()),"",IF(AND(GU351="",GV351=""),"",N(GV351)-N(GU351)))</f>
        <v/>
      </c>
      <c r="HA351">
        <f>IF(OR(GY$3="",GY$3&gt;TODAY()),"",IF(AND(GY351="",GZ351=""),"",N(GZ351)-N(GY351)))</f>
        <v/>
      </c>
      <c r="HD351">
        <f>IF(OR(GY$3="",GY$3&gt;TODAY()),"",IF(AND(HB351="",HC351=""),"",N(HC351)-N(HB351)))</f>
        <v/>
      </c>
      <c r="HH351">
        <f>IF(OR(HF$3="",HF$3&gt;TODAY()),"",IF(AND(HF351="",HG351=""),"",N(HG351)-N(HF351)))</f>
        <v/>
      </c>
      <c r="HK351">
        <f>IF(OR(HF$3="",HF$3&gt;TODAY()),"",IF(AND(HI351="",HJ351=""),"",N(HJ351)-N(HI351)))</f>
        <v/>
      </c>
      <c r="HO351">
        <f>IF(OR(HM$3="",HM$3&gt;TODAY()),"",IF(AND(HM351="",HN351=""),"",N(HN351)-N(HM351)))</f>
        <v/>
      </c>
      <c r="HR351">
        <f>IF(OR(HM$3="",HM$3&gt;TODAY()),"",IF(AND(HP351="",HQ351=""),"",N(HQ351)-N(HP351)))</f>
        <v/>
      </c>
      <c r="HV351">
        <f>IF(OR(HT$3="",HT$3&gt;TODAY()),"",IF(AND(HT351="",HU351=""),"",N(HU351)-N(HT351)))</f>
        <v/>
      </c>
      <c r="HY351">
        <f>IF(OR(HT$3="",HT$3&gt;TODAY()),"",IF(AND(HW351="",HX351=""),"",N(HX351)-N(HW351)))</f>
        <v/>
      </c>
      <c r="IC351">
        <f>IF(OR(IA$3="",IA$3&gt;TODAY()),"",IF(AND(IA351="",IB351=""),"",N(IB351)-N(IA351)))</f>
        <v/>
      </c>
      <c r="IF351">
        <f>IF(OR(IA$3="",IA$3&gt;TODAY()),"",IF(AND(ID351="",IE351=""),"",N(IE351)-N(ID351)))</f>
        <v/>
      </c>
      <c r="IJ351">
        <f>IF(OR(IH$3="",IH$3&gt;TODAY()),"",IF(AND(IH351="",II351=""),"",N(II351)-N(IH351)))</f>
        <v/>
      </c>
      <c r="IM351">
        <f>IF(OR(IH$3="",IH$3&gt;TODAY()),"",IF(AND(IK351="",IL351=""),"",N(IL351)-N(IK351)))</f>
        <v/>
      </c>
    </row>
    <row r="352">
      <c r="A352" s="21" t="n"/>
      <c r="B352" s="21" t="n"/>
      <c r="C352" s="21" t="n"/>
      <c r="D352" s="21" t="n"/>
      <c r="E352" s="21" t="n"/>
      <c r="F352" s="21" t="n"/>
      <c r="G352" s="21" t="n"/>
      <c r="H352" s="21" t="n"/>
      <c r="I352" s="22" t="n"/>
      <c r="J352" s="22" t="n"/>
      <c r="K352" s="23" t="n"/>
      <c r="L352" s="22" t="n"/>
      <c r="M352" s="22" t="n"/>
      <c r="N352" s="21" t="n"/>
      <c r="O352" s="23" t="n"/>
      <c r="P352" s="23" t="n"/>
      <c r="Q352" s="23" t="n"/>
      <c r="R352" s="23" t="n"/>
      <c r="S352" s="22" t="n"/>
      <c r="T352" s="23" t="n"/>
      <c r="U352" s="23" t="n"/>
      <c r="V352" s="24">
        <f>IF(J352&lt;&gt;"",J352,IF(I352&lt;&gt;"",I352,""))</f>
        <v/>
      </c>
      <c r="W352" s="25">
        <f>IF($E352="","",N(O352)+SUMIFS($AF352:$IN352,$AF$4:$IN$4,"SEW_ACT"))</f>
        <v/>
      </c>
      <c r="X352" s="25">
        <f>IF($E352="","",N(P352)+SUMIFS($AF352:$IN352,$AF$4:$IN$4,"WASH_ACT"))</f>
        <v/>
      </c>
      <c r="Y352" s="25">
        <f>IF($E352="","",W352-X352-N(T352)-N(U352))</f>
        <v/>
      </c>
      <c r="Z352" s="25">
        <f>IF($E352="","",IF(N(K352)-X352&lt;=0.02*N(K352),0,N(K352)-X352))</f>
        <v/>
      </c>
      <c r="AA352" s="24">
        <f>IF($E352="","",IF(S352&lt;&gt;"",S352,IF(N(O352)&gt;0,IF(L352&lt;&gt;"",L352,99999),IFERROR(1/(1/_xlfn.MINIFS($AF$3:$IN$3,$AF$4:$IN$4,"SEW_ACT",$AF352:$IN352,"&gt;0")),99999))))</f>
        <v/>
      </c>
      <c r="AB352" s="26">
        <f>IF(OR($E352="",Z352=0,V352=""),"",1+COUNTIFS(Z$8:Z$707,"&gt;0",V$8:V$707,"&lt;"&amp;V352)+COUNTIFS(Z$8:Z$707,"&gt;0",V$8:V$707,V352,AA$8:AA$707,"&lt;"&amp;AA352)+COUNTIFS(Z$8:Z$707,"&gt;0",V$8:V$707,V352,AA$8:AA$707,AA352,E$8:E$707,"&lt;"&amp;$E352))</f>
        <v/>
      </c>
      <c r="AC352" s="24">
        <f>IF(OR($E352="",Z352=0),"",IFERROR(TODAY()+ROUNDUP(Z352/(SUMIFS($AF352:$IN352,$AF$4:$IN$4,"WASH_ACT")/COUNTIFS($AF$4:$IN$4,"WASH_ACT",$AF352:$IN352,"&gt;0")),0),"no output yet"))</f>
        <v/>
      </c>
      <c r="AD352" s="26">
        <f>IF($E352="","",IFERROR(ROUND(MAX(0,SUMIFS($AF352:$IN352,$AF$4:$IN$4,"SEW_PLAN",$AF$3:$IN$3,"&lt;="&amp;TODAY())-SUMIFS($AF352:$IN352,$AF$4:$IN$4,"SEW_ACT",$AF$3:$IN$3,"&lt;="&amp;TODAY())+N(Q352))/(SUMIFS($AF352:$IN352,$AF$4:$IN$4,"SEW_PLAN")/COUNTIFS($AF$4:$IN$4,"SEW_PLAN",$AF352:$IN352,"&gt;0")),1),0))</f>
        <v/>
      </c>
      <c r="AE352" s="26">
        <f>IF($E352="","",IF(AND(Z352&gt;0,OR(AND(M352&lt;&gt;"",TODAY()&gt;M352),AND(V352&lt;&gt;"",V352-TODAY()&lt;=7))),"Yes","No"))</f>
        <v/>
      </c>
      <c r="AH352">
        <f>IF(OR(AF$3="",AF$3&gt;TODAY()),"",IF(AND(AF352="",AG352=""),"",N(AG352)-N(AF352)))</f>
        <v/>
      </c>
      <c r="AK352">
        <f>IF(OR(AF$3="",AF$3&gt;TODAY()),"",IF(AND(AI352="",AJ352=""),"",N(AJ352)-N(AI352)))</f>
        <v/>
      </c>
      <c r="AO352">
        <f>IF(OR(AM$3="",AM$3&gt;TODAY()),"",IF(AND(AM352="",AN352=""),"",N(AN352)-N(AM352)))</f>
        <v/>
      </c>
      <c r="AR352">
        <f>IF(OR(AM$3="",AM$3&gt;TODAY()),"",IF(AND(AP352="",AQ352=""),"",N(AQ352)-N(AP352)))</f>
        <v/>
      </c>
      <c r="AV352">
        <f>IF(OR(AT$3="",AT$3&gt;TODAY()),"",IF(AND(AT352="",AU352=""),"",N(AU352)-N(AT352)))</f>
        <v/>
      </c>
      <c r="AY352">
        <f>IF(OR(AT$3="",AT$3&gt;TODAY()),"",IF(AND(AW352="",AX352=""),"",N(AX352)-N(AW352)))</f>
        <v/>
      </c>
      <c r="BC352">
        <f>IF(OR(BA$3="",BA$3&gt;TODAY()),"",IF(AND(BA352="",BB352=""),"",N(BB352)-N(BA352)))</f>
        <v/>
      </c>
      <c r="BF352">
        <f>IF(OR(BA$3="",BA$3&gt;TODAY()),"",IF(AND(BD352="",BE352=""),"",N(BE352)-N(BD352)))</f>
        <v/>
      </c>
      <c r="BJ352">
        <f>IF(OR(BH$3="",BH$3&gt;TODAY()),"",IF(AND(BH352="",BI352=""),"",N(BI352)-N(BH352)))</f>
        <v/>
      </c>
      <c r="BM352">
        <f>IF(OR(BH$3="",BH$3&gt;TODAY()),"",IF(AND(BK352="",BL352=""),"",N(BL352)-N(BK352)))</f>
        <v/>
      </c>
      <c r="BQ352">
        <f>IF(OR(BO$3="",BO$3&gt;TODAY()),"",IF(AND(BO352="",BP352=""),"",N(BP352)-N(BO352)))</f>
        <v/>
      </c>
      <c r="BT352">
        <f>IF(OR(BO$3="",BO$3&gt;TODAY()),"",IF(AND(BR352="",BS352=""),"",N(BS352)-N(BR352)))</f>
        <v/>
      </c>
      <c r="BX352">
        <f>IF(OR(BV$3="",BV$3&gt;TODAY()),"",IF(AND(BV352="",BW352=""),"",N(BW352)-N(BV352)))</f>
        <v/>
      </c>
      <c r="CA352">
        <f>IF(OR(BV$3="",BV$3&gt;TODAY()),"",IF(AND(BY352="",BZ352=""),"",N(BZ352)-N(BY352)))</f>
        <v/>
      </c>
      <c r="CE352">
        <f>IF(OR(CC$3="",CC$3&gt;TODAY()),"",IF(AND(CC352="",CD352=""),"",N(CD352)-N(CC352)))</f>
        <v/>
      </c>
      <c r="CH352">
        <f>IF(OR(CC$3="",CC$3&gt;TODAY()),"",IF(AND(CF352="",CG352=""),"",N(CG352)-N(CF352)))</f>
        <v/>
      </c>
      <c r="CL352">
        <f>IF(OR(CJ$3="",CJ$3&gt;TODAY()),"",IF(AND(CJ352="",CK352=""),"",N(CK352)-N(CJ352)))</f>
        <v/>
      </c>
      <c r="CO352">
        <f>IF(OR(CJ$3="",CJ$3&gt;TODAY()),"",IF(AND(CM352="",CN352=""),"",N(CN352)-N(CM352)))</f>
        <v/>
      </c>
      <c r="CS352">
        <f>IF(OR(CQ$3="",CQ$3&gt;TODAY()),"",IF(AND(CQ352="",CR352=""),"",N(CR352)-N(CQ352)))</f>
        <v/>
      </c>
      <c r="CV352">
        <f>IF(OR(CQ$3="",CQ$3&gt;TODAY()),"",IF(AND(CT352="",CU352=""),"",N(CU352)-N(CT352)))</f>
        <v/>
      </c>
      <c r="CZ352">
        <f>IF(OR(CX$3="",CX$3&gt;TODAY()),"",IF(AND(CX352="",CY352=""),"",N(CY352)-N(CX352)))</f>
        <v/>
      </c>
      <c r="DC352">
        <f>IF(OR(CX$3="",CX$3&gt;TODAY()),"",IF(AND(DA352="",DB352=""),"",N(DB352)-N(DA352)))</f>
        <v/>
      </c>
      <c r="DG352">
        <f>IF(OR(DE$3="",DE$3&gt;TODAY()),"",IF(AND(DE352="",DF352=""),"",N(DF352)-N(DE352)))</f>
        <v/>
      </c>
      <c r="DJ352">
        <f>IF(OR(DE$3="",DE$3&gt;TODAY()),"",IF(AND(DH352="",DI352=""),"",N(DI352)-N(DH352)))</f>
        <v/>
      </c>
      <c r="DN352">
        <f>IF(OR(DL$3="",DL$3&gt;TODAY()),"",IF(AND(DL352="",DM352=""),"",N(DM352)-N(DL352)))</f>
        <v/>
      </c>
      <c r="DQ352">
        <f>IF(OR(DL$3="",DL$3&gt;TODAY()),"",IF(AND(DO352="",DP352=""),"",N(DP352)-N(DO352)))</f>
        <v/>
      </c>
      <c r="DU352">
        <f>IF(OR(DS$3="",DS$3&gt;TODAY()),"",IF(AND(DS352="",DT352=""),"",N(DT352)-N(DS352)))</f>
        <v/>
      </c>
      <c r="DX352">
        <f>IF(OR(DS$3="",DS$3&gt;TODAY()),"",IF(AND(DV352="",DW352=""),"",N(DW352)-N(DV352)))</f>
        <v/>
      </c>
      <c r="EB352">
        <f>IF(OR(DZ$3="",DZ$3&gt;TODAY()),"",IF(AND(DZ352="",EA352=""),"",N(EA352)-N(DZ352)))</f>
        <v/>
      </c>
      <c r="EE352">
        <f>IF(OR(DZ$3="",DZ$3&gt;TODAY()),"",IF(AND(EC352="",ED352=""),"",N(ED352)-N(EC352)))</f>
        <v/>
      </c>
      <c r="EI352">
        <f>IF(OR(EG$3="",EG$3&gt;TODAY()),"",IF(AND(EG352="",EH352=""),"",N(EH352)-N(EG352)))</f>
        <v/>
      </c>
      <c r="EL352">
        <f>IF(OR(EG$3="",EG$3&gt;TODAY()),"",IF(AND(EJ352="",EK352=""),"",N(EK352)-N(EJ352)))</f>
        <v/>
      </c>
      <c r="EP352">
        <f>IF(OR(EN$3="",EN$3&gt;TODAY()),"",IF(AND(EN352="",EO352=""),"",N(EO352)-N(EN352)))</f>
        <v/>
      </c>
      <c r="ES352">
        <f>IF(OR(EN$3="",EN$3&gt;TODAY()),"",IF(AND(EQ352="",ER352=""),"",N(ER352)-N(EQ352)))</f>
        <v/>
      </c>
      <c r="EW352">
        <f>IF(OR(EU$3="",EU$3&gt;TODAY()),"",IF(AND(EU352="",EV352=""),"",N(EV352)-N(EU352)))</f>
        <v/>
      </c>
      <c r="EZ352">
        <f>IF(OR(EU$3="",EU$3&gt;TODAY()),"",IF(AND(EX352="",EY352=""),"",N(EY352)-N(EX352)))</f>
        <v/>
      </c>
      <c r="FD352">
        <f>IF(OR(FB$3="",FB$3&gt;TODAY()),"",IF(AND(FB352="",FC352=""),"",N(FC352)-N(FB352)))</f>
        <v/>
      </c>
      <c r="FG352">
        <f>IF(OR(FB$3="",FB$3&gt;TODAY()),"",IF(AND(FE352="",FF352=""),"",N(FF352)-N(FE352)))</f>
        <v/>
      </c>
      <c r="FK352">
        <f>IF(OR(FI$3="",FI$3&gt;TODAY()),"",IF(AND(FI352="",FJ352=""),"",N(FJ352)-N(FI352)))</f>
        <v/>
      </c>
      <c r="FN352">
        <f>IF(OR(FI$3="",FI$3&gt;TODAY()),"",IF(AND(FL352="",FM352=""),"",N(FM352)-N(FL352)))</f>
        <v/>
      </c>
      <c r="FR352">
        <f>IF(OR(FP$3="",FP$3&gt;TODAY()),"",IF(AND(FP352="",FQ352=""),"",N(FQ352)-N(FP352)))</f>
        <v/>
      </c>
      <c r="FU352">
        <f>IF(OR(FP$3="",FP$3&gt;TODAY()),"",IF(AND(FS352="",FT352=""),"",N(FT352)-N(FS352)))</f>
        <v/>
      </c>
      <c r="FY352">
        <f>IF(OR(FW$3="",FW$3&gt;TODAY()),"",IF(AND(FW352="",FX352=""),"",N(FX352)-N(FW352)))</f>
        <v/>
      </c>
      <c r="GB352">
        <f>IF(OR(FW$3="",FW$3&gt;TODAY()),"",IF(AND(FZ352="",GA352=""),"",N(GA352)-N(FZ352)))</f>
        <v/>
      </c>
      <c r="GF352">
        <f>IF(OR(GD$3="",GD$3&gt;TODAY()),"",IF(AND(GD352="",GE352=""),"",N(GE352)-N(GD352)))</f>
        <v/>
      </c>
      <c r="GI352">
        <f>IF(OR(GD$3="",GD$3&gt;TODAY()),"",IF(AND(GG352="",GH352=""),"",N(GH352)-N(GG352)))</f>
        <v/>
      </c>
      <c r="GM352">
        <f>IF(OR(GK$3="",GK$3&gt;TODAY()),"",IF(AND(GK352="",GL352=""),"",N(GL352)-N(GK352)))</f>
        <v/>
      </c>
      <c r="GP352">
        <f>IF(OR(GK$3="",GK$3&gt;TODAY()),"",IF(AND(GN352="",GO352=""),"",N(GO352)-N(GN352)))</f>
        <v/>
      </c>
      <c r="GT352">
        <f>IF(OR(GR$3="",GR$3&gt;TODAY()),"",IF(AND(GR352="",GS352=""),"",N(GS352)-N(GR352)))</f>
        <v/>
      </c>
      <c r="GW352">
        <f>IF(OR(GR$3="",GR$3&gt;TODAY()),"",IF(AND(GU352="",GV352=""),"",N(GV352)-N(GU352)))</f>
        <v/>
      </c>
      <c r="HA352">
        <f>IF(OR(GY$3="",GY$3&gt;TODAY()),"",IF(AND(GY352="",GZ352=""),"",N(GZ352)-N(GY352)))</f>
        <v/>
      </c>
      <c r="HD352">
        <f>IF(OR(GY$3="",GY$3&gt;TODAY()),"",IF(AND(HB352="",HC352=""),"",N(HC352)-N(HB352)))</f>
        <v/>
      </c>
      <c r="HH352">
        <f>IF(OR(HF$3="",HF$3&gt;TODAY()),"",IF(AND(HF352="",HG352=""),"",N(HG352)-N(HF352)))</f>
        <v/>
      </c>
      <c r="HK352">
        <f>IF(OR(HF$3="",HF$3&gt;TODAY()),"",IF(AND(HI352="",HJ352=""),"",N(HJ352)-N(HI352)))</f>
        <v/>
      </c>
      <c r="HO352">
        <f>IF(OR(HM$3="",HM$3&gt;TODAY()),"",IF(AND(HM352="",HN352=""),"",N(HN352)-N(HM352)))</f>
        <v/>
      </c>
      <c r="HR352">
        <f>IF(OR(HM$3="",HM$3&gt;TODAY()),"",IF(AND(HP352="",HQ352=""),"",N(HQ352)-N(HP352)))</f>
        <v/>
      </c>
      <c r="HV352">
        <f>IF(OR(HT$3="",HT$3&gt;TODAY()),"",IF(AND(HT352="",HU352=""),"",N(HU352)-N(HT352)))</f>
        <v/>
      </c>
      <c r="HY352">
        <f>IF(OR(HT$3="",HT$3&gt;TODAY()),"",IF(AND(HW352="",HX352=""),"",N(HX352)-N(HW352)))</f>
        <v/>
      </c>
      <c r="IC352">
        <f>IF(OR(IA$3="",IA$3&gt;TODAY()),"",IF(AND(IA352="",IB352=""),"",N(IB352)-N(IA352)))</f>
        <v/>
      </c>
      <c r="IF352">
        <f>IF(OR(IA$3="",IA$3&gt;TODAY()),"",IF(AND(ID352="",IE352=""),"",N(IE352)-N(ID352)))</f>
        <v/>
      </c>
      <c r="IJ352">
        <f>IF(OR(IH$3="",IH$3&gt;TODAY()),"",IF(AND(IH352="",II352=""),"",N(II352)-N(IH352)))</f>
        <v/>
      </c>
      <c r="IM352">
        <f>IF(OR(IH$3="",IH$3&gt;TODAY()),"",IF(AND(IK352="",IL352=""),"",N(IL352)-N(IK352)))</f>
        <v/>
      </c>
    </row>
    <row r="353">
      <c r="A353" s="21" t="n"/>
      <c r="B353" s="21" t="n"/>
      <c r="C353" s="21" t="n"/>
      <c r="D353" s="21" t="n"/>
      <c r="E353" s="21" t="n"/>
      <c r="F353" s="21" t="n"/>
      <c r="G353" s="21" t="n"/>
      <c r="H353" s="21" t="n"/>
      <c r="I353" s="22" t="n"/>
      <c r="J353" s="22" t="n"/>
      <c r="K353" s="23" t="n"/>
      <c r="L353" s="22" t="n"/>
      <c r="M353" s="22" t="n"/>
      <c r="N353" s="21" t="n"/>
      <c r="O353" s="23" t="n"/>
      <c r="P353" s="23" t="n"/>
      <c r="Q353" s="23" t="n"/>
      <c r="R353" s="23" t="n"/>
      <c r="S353" s="22" t="n"/>
      <c r="T353" s="23" t="n"/>
      <c r="U353" s="23" t="n"/>
      <c r="V353" s="24">
        <f>IF(J353&lt;&gt;"",J353,IF(I353&lt;&gt;"",I353,""))</f>
        <v/>
      </c>
      <c r="W353" s="25">
        <f>IF($E353="","",N(O353)+SUMIFS($AF353:$IN353,$AF$4:$IN$4,"SEW_ACT"))</f>
        <v/>
      </c>
      <c r="X353" s="25">
        <f>IF($E353="","",N(P353)+SUMIFS($AF353:$IN353,$AF$4:$IN$4,"WASH_ACT"))</f>
        <v/>
      </c>
      <c r="Y353" s="25">
        <f>IF($E353="","",W353-X353-N(T353)-N(U353))</f>
        <v/>
      </c>
      <c r="Z353" s="25">
        <f>IF($E353="","",IF(N(K353)-X353&lt;=0.02*N(K353),0,N(K353)-X353))</f>
        <v/>
      </c>
      <c r="AA353" s="24">
        <f>IF($E353="","",IF(S353&lt;&gt;"",S353,IF(N(O353)&gt;0,IF(L353&lt;&gt;"",L353,99999),IFERROR(1/(1/_xlfn.MINIFS($AF$3:$IN$3,$AF$4:$IN$4,"SEW_ACT",$AF353:$IN353,"&gt;0")),99999))))</f>
        <v/>
      </c>
      <c r="AB353" s="26">
        <f>IF(OR($E353="",Z353=0,V353=""),"",1+COUNTIFS(Z$8:Z$707,"&gt;0",V$8:V$707,"&lt;"&amp;V353)+COUNTIFS(Z$8:Z$707,"&gt;0",V$8:V$707,V353,AA$8:AA$707,"&lt;"&amp;AA353)+COUNTIFS(Z$8:Z$707,"&gt;0",V$8:V$707,V353,AA$8:AA$707,AA353,E$8:E$707,"&lt;"&amp;$E353))</f>
        <v/>
      </c>
      <c r="AC353" s="24">
        <f>IF(OR($E353="",Z353=0),"",IFERROR(TODAY()+ROUNDUP(Z353/(SUMIFS($AF353:$IN353,$AF$4:$IN$4,"WASH_ACT")/COUNTIFS($AF$4:$IN$4,"WASH_ACT",$AF353:$IN353,"&gt;0")),0),"no output yet"))</f>
        <v/>
      </c>
      <c r="AD353" s="26">
        <f>IF($E353="","",IFERROR(ROUND(MAX(0,SUMIFS($AF353:$IN353,$AF$4:$IN$4,"SEW_PLAN",$AF$3:$IN$3,"&lt;="&amp;TODAY())-SUMIFS($AF353:$IN353,$AF$4:$IN$4,"SEW_ACT",$AF$3:$IN$3,"&lt;="&amp;TODAY())+N(Q353))/(SUMIFS($AF353:$IN353,$AF$4:$IN$4,"SEW_PLAN")/COUNTIFS($AF$4:$IN$4,"SEW_PLAN",$AF353:$IN353,"&gt;0")),1),0))</f>
        <v/>
      </c>
      <c r="AE353" s="26">
        <f>IF($E353="","",IF(AND(Z353&gt;0,OR(AND(M353&lt;&gt;"",TODAY()&gt;M353),AND(V353&lt;&gt;"",V353-TODAY()&lt;=7))),"Yes","No"))</f>
        <v/>
      </c>
      <c r="AH353">
        <f>IF(OR(AF$3="",AF$3&gt;TODAY()),"",IF(AND(AF353="",AG353=""),"",N(AG353)-N(AF353)))</f>
        <v/>
      </c>
      <c r="AK353">
        <f>IF(OR(AF$3="",AF$3&gt;TODAY()),"",IF(AND(AI353="",AJ353=""),"",N(AJ353)-N(AI353)))</f>
        <v/>
      </c>
      <c r="AO353">
        <f>IF(OR(AM$3="",AM$3&gt;TODAY()),"",IF(AND(AM353="",AN353=""),"",N(AN353)-N(AM353)))</f>
        <v/>
      </c>
      <c r="AR353">
        <f>IF(OR(AM$3="",AM$3&gt;TODAY()),"",IF(AND(AP353="",AQ353=""),"",N(AQ353)-N(AP353)))</f>
        <v/>
      </c>
      <c r="AV353">
        <f>IF(OR(AT$3="",AT$3&gt;TODAY()),"",IF(AND(AT353="",AU353=""),"",N(AU353)-N(AT353)))</f>
        <v/>
      </c>
      <c r="AY353">
        <f>IF(OR(AT$3="",AT$3&gt;TODAY()),"",IF(AND(AW353="",AX353=""),"",N(AX353)-N(AW353)))</f>
        <v/>
      </c>
      <c r="BC353">
        <f>IF(OR(BA$3="",BA$3&gt;TODAY()),"",IF(AND(BA353="",BB353=""),"",N(BB353)-N(BA353)))</f>
        <v/>
      </c>
      <c r="BF353">
        <f>IF(OR(BA$3="",BA$3&gt;TODAY()),"",IF(AND(BD353="",BE353=""),"",N(BE353)-N(BD353)))</f>
        <v/>
      </c>
      <c r="BJ353">
        <f>IF(OR(BH$3="",BH$3&gt;TODAY()),"",IF(AND(BH353="",BI353=""),"",N(BI353)-N(BH353)))</f>
        <v/>
      </c>
      <c r="BM353">
        <f>IF(OR(BH$3="",BH$3&gt;TODAY()),"",IF(AND(BK353="",BL353=""),"",N(BL353)-N(BK353)))</f>
        <v/>
      </c>
      <c r="BQ353">
        <f>IF(OR(BO$3="",BO$3&gt;TODAY()),"",IF(AND(BO353="",BP353=""),"",N(BP353)-N(BO353)))</f>
        <v/>
      </c>
      <c r="BT353">
        <f>IF(OR(BO$3="",BO$3&gt;TODAY()),"",IF(AND(BR353="",BS353=""),"",N(BS353)-N(BR353)))</f>
        <v/>
      </c>
      <c r="BX353">
        <f>IF(OR(BV$3="",BV$3&gt;TODAY()),"",IF(AND(BV353="",BW353=""),"",N(BW353)-N(BV353)))</f>
        <v/>
      </c>
      <c r="CA353">
        <f>IF(OR(BV$3="",BV$3&gt;TODAY()),"",IF(AND(BY353="",BZ353=""),"",N(BZ353)-N(BY353)))</f>
        <v/>
      </c>
      <c r="CE353">
        <f>IF(OR(CC$3="",CC$3&gt;TODAY()),"",IF(AND(CC353="",CD353=""),"",N(CD353)-N(CC353)))</f>
        <v/>
      </c>
      <c r="CH353">
        <f>IF(OR(CC$3="",CC$3&gt;TODAY()),"",IF(AND(CF353="",CG353=""),"",N(CG353)-N(CF353)))</f>
        <v/>
      </c>
      <c r="CL353">
        <f>IF(OR(CJ$3="",CJ$3&gt;TODAY()),"",IF(AND(CJ353="",CK353=""),"",N(CK353)-N(CJ353)))</f>
        <v/>
      </c>
      <c r="CO353">
        <f>IF(OR(CJ$3="",CJ$3&gt;TODAY()),"",IF(AND(CM353="",CN353=""),"",N(CN353)-N(CM353)))</f>
        <v/>
      </c>
      <c r="CS353">
        <f>IF(OR(CQ$3="",CQ$3&gt;TODAY()),"",IF(AND(CQ353="",CR353=""),"",N(CR353)-N(CQ353)))</f>
        <v/>
      </c>
      <c r="CV353">
        <f>IF(OR(CQ$3="",CQ$3&gt;TODAY()),"",IF(AND(CT353="",CU353=""),"",N(CU353)-N(CT353)))</f>
        <v/>
      </c>
      <c r="CZ353">
        <f>IF(OR(CX$3="",CX$3&gt;TODAY()),"",IF(AND(CX353="",CY353=""),"",N(CY353)-N(CX353)))</f>
        <v/>
      </c>
      <c r="DC353">
        <f>IF(OR(CX$3="",CX$3&gt;TODAY()),"",IF(AND(DA353="",DB353=""),"",N(DB353)-N(DA353)))</f>
        <v/>
      </c>
      <c r="DG353">
        <f>IF(OR(DE$3="",DE$3&gt;TODAY()),"",IF(AND(DE353="",DF353=""),"",N(DF353)-N(DE353)))</f>
        <v/>
      </c>
      <c r="DJ353">
        <f>IF(OR(DE$3="",DE$3&gt;TODAY()),"",IF(AND(DH353="",DI353=""),"",N(DI353)-N(DH353)))</f>
        <v/>
      </c>
      <c r="DN353">
        <f>IF(OR(DL$3="",DL$3&gt;TODAY()),"",IF(AND(DL353="",DM353=""),"",N(DM353)-N(DL353)))</f>
        <v/>
      </c>
      <c r="DQ353">
        <f>IF(OR(DL$3="",DL$3&gt;TODAY()),"",IF(AND(DO353="",DP353=""),"",N(DP353)-N(DO353)))</f>
        <v/>
      </c>
      <c r="DU353">
        <f>IF(OR(DS$3="",DS$3&gt;TODAY()),"",IF(AND(DS353="",DT353=""),"",N(DT353)-N(DS353)))</f>
        <v/>
      </c>
      <c r="DX353">
        <f>IF(OR(DS$3="",DS$3&gt;TODAY()),"",IF(AND(DV353="",DW353=""),"",N(DW353)-N(DV353)))</f>
        <v/>
      </c>
      <c r="EB353">
        <f>IF(OR(DZ$3="",DZ$3&gt;TODAY()),"",IF(AND(DZ353="",EA353=""),"",N(EA353)-N(DZ353)))</f>
        <v/>
      </c>
      <c r="EE353">
        <f>IF(OR(DZ$3="",DZ$3&gt;TODAY()),"",IF(AND(EC353="",ED353=""),"",N(ED353)-N(EC353)))</f>
        <v/>
      </c>
      <c r="EI353">
        <f>IF(OR(EG$3="",EG$3&gt;TODAY()),"",IF(AND(EG353="",EH353=""),"",N(EH353)-N(EG353)))</f>
        <v/>
      </c>
      <c r="EL353">
        <f>IF(OR(EG$3="",EG$3&gt;TODAY()),"",IF(AND(EJ353="",EK353=""),"",N(EK353)-N(EJ353)))</f>
        <v/>
      </c>
      <c r="EP353">
        <f>IF(OR(EN$3="",EN$3&gt;TODAY()),"",IF(AND(EN353="",EO353=""),"",N(EO353)-N(EN353)))</f>
        <v/>
      </c>
      <c r="ES353">
        <f>IF(OR(EN$3="",EN$3&gt;TODAY()),"",IF(AND(EQ353="",ER353=""),"",N(ER353)-N(EQ353)))</f>
        <v/>
      </c>
      <c r="EW353">
        <f>IF(OR(EU$3="",EU$3&gt;TODAY()),"",IF(AND(EU353="",EV353=""),"",N(EV353)-N(EU353)))</f>
        <v/>
      </c>
      <c r="EZ353">
        <f>IF(OR(EU$3="",EU$3&gt;TODAY()),"",IF(AND(EX353="",EY353=""),"",N(EY353)-N(EX353)))</f>
        <v/>
      </c>
      <c r="FD353">
        <f>IF(OR(FB$3="",FB$3&gt;TODAY()),"",IF(AND(FB353="",FC353=""),"",N(FC353)-N(FB353)))</f>
        <v/>
      </c>
      <c r="FG353">
        <f>IF(OR(FB$3="",FB$3&gt;TODAY()),"",IF(AND(FE353="",FF353=""),"",N(FF353)-N(FE353)))</f>
        <v/>
      </c>
      <c r="FK353">
        <f>IF(OR(FI$3="",FI$3&gt;TODAY()),"",IF(AND(FI353="",FJ353=""),"",N(FJ353)-N(FI353)))</f>
        <v/>
      </c>
      <c r="FN353">
        <f>IF(OR(FI$3="",FI$3&gt;TODAY()),"",IF(AND(FL353="",FM353=""),"",N(FM353)-N(FL353)))</f>
        <v/>
      </c>
      <c r="FR353">
        <f>IF(OR(FP$3="",FP$3&gt;TODAY()),"",IF(AND(FP353="",FQ353=""),"",N(FQ353)-N(FP353)))</f>
        <v/>
      </c>
      <c r="FU353">
        <f>IF(OR(FP$3="",FP$3&gt;TODAY()),"",IF(AND(FS353="",FT353=""),"",N(FT353)-N(FS353)))</f>
        <v/>
      </c>
      <c r="FY353">
        <f>IF(OR(FW$3="",FW$3&gt;TODAY()),"",IF(AND(FW353="",FX353=""),"",N(FX353)-N(FW353)))</f>
        <v/>
      </c>
      <c r="GB353">
        <f>IF(OR(FW$3="",FW$3&gt;TODAY()),"",IF(AND(FZ353="",GA353=""),"",N(GA353)-N(FZ353)))</f>
        <v/>
      </c>
      <c r="GF353">
        <f>IF(OR(GD$3="",GD$3&gt;TODAY()),"",IF(AND(GD353="",GE353=""),"",N(GE353)-N(GD353)))</f>
        <v/>
      </c>
      <c r="GI353">
        <f>IF(OR(GD$3="",GD$3&gt;TODAY()),"",IF(AND(GG353="",GH353=""),"",N(GH353)-N(GG353)))</f>
        <v/>
      </c>
      <c r="GM353">
        <f>IF(OR(GK$3="",GK$3&gt;TODAY()),"",IF(AND(GK353="",GL353=""),"",N(GL353)-N(GK353)))</f>
        <v/>
      </c>
      <c r="GP353">
        <f>IF(OR(GK$3="",GK$3&gt;TODAY()),"",IF(AND(GN353="",GO353=""),"",N(GO353)-N(GN353)))</f>
        <v/>
      </c>
      <c r="GT353">
        <f>IF(OR(GR$3="",GR$3&gt;TODAY()),"",IF(AND(GR353="",GS353=""),"",N(GS353)-N(GR353)))</f>
        <v/>
      </c>
      <c r="GW353">
        <f>IF(OR(GR$3="",GR$3&gt;TODAY()),"",IF(AND(GU353="",GV353=""),"",N(GV353)-N(GU353)))</f>
        <v/>
      </c>
      <c r="HA353">
        <f>IF(OR(GY$3="",GY$3&gt;TODAY()),"",IF(AND(GY353="",GZ353=""),"",N(GZ353)-N(GY353)))</f>
        <v/>
      </c>
      <c r="HD353">
        <f>IF(OR(GY$3="",GY$3&gt;TODAY()),"",IF(AND(HB353="",HC353=""),"",N(HC353)-N(HB353)))</f>
        <v/>
      </c>
      <c r="HH353">
        <f>IF(OR(HF$3="",HF$3&gt;TODAY()),"",IF(AND(HF353="",HG353=""),"",N(HG353)-N(HF353)))</f>
        <v/>
      </c>
      <c r="HK353">
        <f>IF(OR(HF$3="",HF$3&gt;TODAY()),"",IF(AND(HI353="",HJ353=""),"",N(HJ353)-N(HI353)))</f>
        <v/>
      </c>
      <c r="HO353">
        <f>IF(OR(HM$3="",HM$3&gt;TODAY()),"",IF(AND(HM353="",HN353=""),"",N(HN353)-N(HM353)))</f>
        <v/>
      </c>
      <c r="HR353">
        <f>IF(OR(HM$3="",HM$3&gt;TODAY()),"",IF(AND(HP353="",HQ353=""),"",N(HQ353)-N(HP353)))</f>
        <v/>
      </c>
      <c r="HV353">
        <f>IF(OR(HT$3="",HT$3&gt;TODAY()),"",IF(AND(HT353="",HU353=""),"",N(HU353)-N(HT353)))</f>
        <v/>
      </c>
      <c r="HY353">
        <f>IF(OR(HT$3="",HT$3&gt;TODAY()),"",IF(AND(HW353="",HX353=""),"",N(HX353)-N(HW353)))</f>
        <v/>
      </c>
      <c r="IC353">
        <f>IF(OR(IA$3="",IA$3&gt;TODAY()),"",IF(AND(IA353="",IB353=""),"",N(IB353)-N(IA353)))</f>
        <v/>
      </c>
      <c r="IF353">
        <f>IF(OR(IA$3="",IA$3&gt;TODAY()),"",IF(AND(ID353="",IE353=""),"",N(IE353)-N(ID353)))</f>
        <v/>
      </c>
      <c r="IJ353">
        <f>IF(OR(IH$3="",IH$3&gt;TODAY()),"",IF(AND(IH353="",II353=""),"",N(II353)-N(IH353)))</f>
        <v/>
      </c>
      <c r="IM353">
        <f>IF(OR(IH$3="",IH$3&gt;TODAY()),"",IF(AND(IK353="",IL353=""),"",N(IL353)-N(IK353)))</f>
        <v/>
      </c>
    </row>
    <row r="354">
      <c r="A354" s="21" t="n"/>
      <c r="B354" s="21" t="n"/>
      <c r="C354" s="21" t="n"/>
      <c r="D354" s="21" t="n"/>
      <c r="E354" s="21" t="n"/>
      <c r="F354" s="21" t="n"/>
      <c r="G354" s="21" t="n"/>
      <c r="H354" s="21" t="n"/>
      <c r="I354" s="22" t="n"/>
      <c r="J354" s="22" t="n"/>
      <c r="K354" s="23" t="n"/>
      <c r="L354" s="22" t="n"/>
      <c r="M354" s="22" t="n"/>
      <c r="N354" s="21" t="n"/>
      <c r="O354" s="23" t="n"/>
      <c r="P354" s="23" t="n"/>
      <c r="Q354" s="23" t="n"/>
      <c r="R354" s="23" t="n"/>
      <c r="S354" s="22" t="n"/>
      <c r="T354" s="23" t="n"/>
      <c r="U354" s="23" t="n"/>
      <c r="V354" s="24">
        <f>IF(J354&lt;&gt;"",J354,IF(I354&lt;&gt;"",I354,""))</f>
        <v/>
      </c>
      <c r="W354" s="25">
        <f>IF($E354="","",N(O354)+SUMIFS($AF354:$IN354,$AF$4:$IN$4,"SEW_ACT"))</f>
        <v/>
      </c>
      <c r="X354" s="25">
        <f>IF($E354="","",N(P354)+SUMIFS($AF354:$IN354,$AF$4:$IN$4,"WASH_ACT"))</f>
        <v/>
      </c>
      <c r="Y354" s="25">
        <f>IF($E354="","",W354-X354-N(T354)-N(U354))</f>
        <v/>
      </c>
      <c r="Z354" s="25">
        <f>IF($E354="","",IF(N(K354)-X354&lt;=0.02*N(K354),0,N(K354)-X354))</f>
        <v/>
      </c>
      <c r="AA354" s="24">
        <f>IF($E354="","",IF(S354&lt;&gt;"",S354,IF(N(O354)&gt;0,IF(L354&lt;&gt;"",L354,99999),IFERROR(1/(1/_xlfn.MINIFS($AF$3:$IN$3,$AF$4:$IN$4,"SEW_ACT",$AF354:$IN354,"&gt;0")),99999))))</f>
        <v/>
      </c>
      <c r="AB354" s="26">
        <f>IF(OR($E354="",Z354=0,V354=""),"",1+COUNTIFS(Z$8:Z$707,"&gt;0",V$8:V$707,"&lt;"&amp;V354)+COUNTIFS(Z$8:Z$707,"&gt;0",V$8:V$707,V354,AA$8:AA$707,"&lt;"&amp;AA354)+COUNTIFS(Z$8:Z$707,"&gt;0",V$8:V$707,V354,AA$8:AA$707,AA354,E$8:E$707,"&lt;"&amp;$E354))</f>
        <v/>
      </c>
      <c r="AC354" s="24">
        <f>IF(OR($E354="",Z354=0),"",IFERROR(TODAY()+ROUNDUP(Z354/(SUMIFS($AF354:$IN354,$AF$4:$IN$4,"WASH_ACT")/COUNTIFS($AF$4:$IN$4,"WASH_ACT",$AF354:$IN354,"&gt;0")),0),"no output yet"))</f>
        <v/>
      </c>
      <c r="AD354" s="26">
        <f>IF($E354="","",IFERROR(ROUND(MAX(0,SUMIFS($AF354:$IN354,$AF$4:$IN$4,"SEW_PLAN",$AF$3:$IN$3,"&lt;="&amp;TODAY())-SUMIFS($AF354:$IN354,$AF$4:$IN$4,"SEW_ACT",$AF$3:$IN$3,"&lt;="&amp;TODAY())+N(Q354))/(SUMIFS($AF354:$IN354,$AF$4:$IN$4,"SEW_PLAN")/COUNTIFS($AF$4:$IN$4,"SEW_PLAN",$AF354:$IN354,"&gt;0")),1),0))</f>
        <v/>
      </c>
      <c r="AE354" s="26">
        <f>IF($E354="","",IF(AND(Z354&gt;0,OR(AND(M354&lt;&gt;"",TODAY()&gt;M354),AND(V354&lt;&gt;"",V354-TODAY()&lt;=7))),"Yes","No"))</f>
        <v/>
      </c>
      <c r="AH354">
        <f>IF(OR(AF$3="",AF$3&gt;TODAY()),"",IF(AND(AF354="",AG354=""),"",N(AG354)-N(AF354)))</f>
        <v/>
      </c>
      <c r="AK354">
        <f>IF(OR(AF$3="",AF$3&gt;TODAY()),"",IF(AND(AI354="",AJ354=""),"",N(AJ354)-N(AI354)))</f>
        <v/>
      </c>
      <c r="AO354">
        <f>IF(OR(AM$3="",AM$3&gt;TODAY()),"",IF(AND(AM354="",AN354=""),"",N(AN354)-N(AM354)))</f>
        <v/>
      </c>
      <c r="AR354">
        <f>IF(OR(AM$3="",AM$3&gt;TODAY()),"",IF(AND(AP354="",AQ354=""),"",N(AQ354)-N(AP354)))</f>
        <v/>
      </c>
      <c r="AV354">
        <f>IF(OR(AT$3="",AT$3&gt;TODAY()),"",IF(AND(AT354="",AU354=""),"",N(AU354)-N(AT354)))</f>
        <v/>
      </c>
      <c r="AY354">
        <f>IF(OR(AT$3="",AT$3&gt;TODAY()),"",IF(AND(AW354="",AX354=""),"",N(AX354)-N(AW354)))</f>
        <v/>
      </c>
      <c r="BC354">
        <f>IF(OR(BA$3="",BA$3&gt;TODAY()),"",IF(AND(BA354="",BB354=""),"",N(BB354)-N(BA354)))</f>
        <v/>
      </c>
      <c r="BF354">
        <f>IF(OR(BA$3="",BA$3&gt;TODAY()),"",IF(AND(BD354="",BE354=""),"",N(BE354)-N(BD354)))</f>
        <v/>
      </c>
      <c r="BJ354">
        <f>IF(OR(BH$3="",BH$3&gt;TODAY()),"",IF(AND(BH354="",BI354=""),"",N(BI354)-N(BH354)))</f>
        <v/>
      </c>
      <c r="BM354">
        <f>IF(OR(BH$3="",BH$3&gt;TODAY()),"",IF(AND(BK354="",BL354=""),"",N(BL354)-N(BK354)))</f>
        <v/>
      </c>
      <c r="BQ354">
        <f>IF(OR(BO$3="",BO$3&gt;TODAY()),"",IF(AND(BO354="",BP354=""),"",N(BP354)-N(BO354)))</f>
        <v/>
      </c>
      <c r="BT354">
        <f>IF(OR(BO$3="",BO$3&gt;TODAY()),"",IF(AND(BR354="",BS354=""),"",N(BS354)-N(BR354)))</f>
        <v/>
      </c>
      <c r="BX354">
        <f>IF(OR(BV$3="",BV$3&gt;TODAY()),"",IF(AND(BV354="",BW354=""),"",N(BW354)-N(BV354)))</f>
        <v/>
      </c>
      <c r="CA354">
        <f>IF(OR(BV$3="",BV$3&gt;TODAY()),"",IF(AND(BY354="",BZ354=""),"",N(BZ354)-N(BY354)))</f>
        <v/>
      </c>
      <c r="CE354">
        <f>IF(OR(CC$3="",CC$3&gt;TODAY()),"",IF(AND(CC354="",CD354=""),"",N(CD354)-N(CC354)))</f>
        <v/>
      </c>
      <c r="CH354">
        <f>IF(OR(CC$3="",CC$3&gt;TODAY()),"",IF(AND(CF354="",CG354=""),"",N(CG354)-N(CF354)))</f>
        <v/>
      </c>
      <c r="CL354">
        <f>IF(OR(CJ$3="",CJ$3&gt;TODAY()),"",IF(AND(CJ354="",CK354=""),"",N(CK354)-N(CJ354)))</f>
        <v/>
      </c>
      <c r="CO354">
        <f>IF(OR(CJ$3="",CJ$3&gt;TODAY()),"",IF(AND(CM354="",CN354=""),"",N(CN354)-N(CM354)))</f>
        <v/>
      </c>
      <c r="CS354">
        <f>IF(OR(CQ$3="",CQ$3&gt;TODAY()),"",IF(AND(CQ354="",CR354=""),"",N(CR354)-N(CQ354)))</f>
        <v/>
      </c>
      <c r="CV354">
        <f>IF(OR(CQ$3="",CQ$3&gt;TODAY()),"",IF(AND(CT354="",CU354=""),"",N(CU354)-N(CT354)))</f>
        <v/>
      </c>
      <c r="CZ354">
        <f>IF(OR(CX$3="",CX$3&gt;TODAY()),"",IF(AND(CX354="",CY354=""),"",N(CY354)-N(CX354)))</f>
        <v/>
      </c>
      <c r="DC354">
        <f>IF(OR(CX$3="",CX$3&gt;TODAY()),"",IF(AND(DA354="",DB354=""),"",N(DB354)-N(DA354)))</f>
        <v/>
      </c>
      <c r="DG354">
        <f>IF(OR(DE$3="",DE$3&gt;TODAY()),"",IF(AND(DE354="",DF354=""),"",N(DF354)-N(DE354)))</f>
        <v/>
      </c>
      <c r="DJ354">
        <f>IF(OR(DE$3="",DE$3&gt;TODAY()),"",IF(AND(DH354="",DI354=""),"",N(DI354)-N(DH354)))</f>
        <v/>
      </c>
      <c r="DN354">
        <f>IF(OR(DL$3="",DL$3&gt;TODAY()),"",IF(AND(DL354="",DM354=""),"",N(DM354)-N(DL354)))</f>
        <v/>
      </c>
      <c r="DQ354">
        <f>IF(OR(DL$3="",DL$3&gt;TODAY()),"",IF(AND(DO354="",DP354=""),"",N(DP354)-N(DO354)))</f>
        <v/>
      </c>
      <c r="DU354">
        <f>IF(OR(DS$3="",DS$3&gt;TODAY()),"",IF(AND(DS354="",DT354=""),"",N(DT354)-N(DS354)))</f>
        <v/>
      </c>
      <c r="DX354">
        <f>IF(OR(DS$3="",DS$3&gt;TODAY()),"",IF(AND(DV354="",DW354=""),"",N(DW354)-N(DV354)))</f>
        <v/>
      </c>
      <c r="EB354">
        <f>IF(OR(DZ$3="",DZ$3&gt;TODAY()),"",IF(AND(DZ354="",EA354=""),"",N(EA354)-N(DZ354)))</f>
        <v/>
      </c>
      <c r="EE354">
        <f>IF(OR(DZ$3="",DZ$3&gt;TODAY()),"",IF(AND(EC354="",ED354=""),"",N(ED354)-N(EC354)))</f>
        <v/>
      </c>
      <c r="EI354">
        <f>IF(OR(EG$3="",EG$3&gt;TODAY()),"",IF(AND(EG354="",EH354=""),"",N(EH354)-N(EG354)))</f>
        <v/>
      </c>
      <c r="EL354">
        <f>IF(OR(EG$3="",EG$3&gt;TODAY()),"",IF(AND(EJ354="",EK354=""),"",N(EK354)-N(EJ354)))</f>
        <v/>
      </c>
      <c r="EP354">
        <f>IF(OR(EN$3="",EN$3&gt;TODAY()),"",IF(AND(EN354="",EO354=""),"",N(EO354)-N(EN354)))</f>
        <v/>
      </c>
      <c r="ES354">
        <f>IF(OR(EN$3="",EN$3&gt;TODAY()),"",IF(AND(EQ354="",ER354=""),"",N(ER354)-N(EQ354)))</f>
        <v/>
      </c>
      <c r="EW354">
        <f>IF(OR(EU$3="",EU$3&gt;TODAY()),"",IF(AND(EU354="",EV354=""),"",N(EV354)-N(EU354)))</f>
        <v/>
      </c>
      <c r="EZ354">
        <f>IF(OR(EU$3="",EU$3&gt;TODAY()),"",IF(AND(EX354="",EY354=""),"",N(EY354)-N(EX354)))</f>
        <v/>
      </c>
      <c r="FD354">
        <f>IF(OR(FB$3="",FB$3&gt;TODAY()),"",IF(AND(FB354="",FC354=""),"",N(FC354)-N(FB354)))</f>
        <v/>
      </c>
      <c r="FG354">
        <f>IF(OR(FB$3="",FB$3&gt;TODAY()),"",IF(AND(FE354="",FF354=""),"",N(FF354)-N(FE354)))</f>
        <v/>
      </c>
      <c r="FK354">
        <f>IF(OR(FI$3="",FI$3&gt;TODAY()),"",IF(AND(FI354="",FJ354=""),"",N(FJ354)-N(FI354)))</f>
        <v/>
      </c>
      <c r="FN354">
        <f>IF(OR(FI$3="",FI$3&gt;TODAY()),"",IF(AND(FL354="",FM354=""),"",N(FM354)-N(FL354)))</f>
        <v/>
      </c>
      <c r="FR354">
        <f>IF(OR(FP$3="",FP$3&gt;TODAY()),"",IF(AND(FP354="",FQ354=""),"",N(FQ354)-N(FP354)))</f>
        <v/>
      </c>
      <c r="FU354">
        <f>IF(OR(FP$3="",FP$3&gt;TODAY()),"",IF(AND(FS354="",FT354=""),"",N(FT354)-N(FS354)))</f>
        <v/>
      </c>
      <c r="FY354">
        <f>IF(OR(FW$3="",FW$3&gt;TODAY()),"",IF(AND(FW354="",FX354=""),"",N(FX354)-N(FW354)))</f>
        <v/>
      </c>
      <c r="GB354">
        <f>IF(OR(FW$3="",FW$3&gt;TODAY()),"",IF(AND(FZ354="",GA354=""),"",N(GA354)-N(FZ354)))</f>
        <v/>
      </c>
      <c r="GF354">
        <f>IF(OR(GD$3="",GD$3&gt;TODAY()),"",IF(AND(GD354="",GE354=""),"",N(GE354)-N(GD354)))</f>
        <v/>
      </c>
      <c r="GI354">
        <f>IF(OR(GD$3="",GD$3&gt;TODAY()),"",IF(AND(GG354="",GH354=""),"",N(GH354)-N(GG354)))</f>
        <v/>
      </c>
      <c r="GM354">
        <f>IF(OR(GK$3="",GK$3&gt;TODAY()),"",IF(AND(GK354="",GL354=""),"",N(GL354)-N(GK354)))</f>
        <v/>
      </c>
      <c r="GP354">
        <f>IF(OR(GK$3="",GK$3&gt;TODAY()),"",IF(AND(GN354="",GO354=""),"",N(GO354)-N(GN354)))</f>
        <v/>
      </c>
      <c r="GT354">
        <f>IF(OR(GR$3="",GR$3&gt;TODAY()),"",IF(AND(GR354="",GS354=""),"",N(GS354)-N(GR354)))</f>
        <v/>
      </c>
      <c r="GW354">
        <f>IF(OR(GR$3="",GR$3&gt;TODAY()),"",IF(AND(GU354="",GV354=""),"",N(GV354)-N(GU354)))</f>
        <v/>
      </c>
      <c r="HA354">
        <f>IF(OR(GY$3="",GY$3&gt;TODAY()),"",IF(AND(GY354="",GZ354=""),"",N(GZ354)-N(GY354)))</f>
        <v/>
      </c>
      <c r="HD354">
        <f>IF(OR(GY$3="",GY$3&gt;TODAY()),"",IF(AND(HB354="",HC354=""),"",N(HC354)-N(HB354)))</f>
        <v/>
      </c>
      <c r="HH354">
        <f>IF(OR(HF$3="",HF$3&gt;TODAY()),"",IF(AND(HF354="",HG354=""),"",N(HG354)-N(HF354)))</f>
        <v/>
      </c>
      <c r="HK354">
        <f>IF(OR(HF$3="",HF$3&gt;TODAY()),"",IF(AND(HI354="",HJ354=""),"",N(HJ354)-N(HI354)))</f>
        <v/>
      </c>
      <c r="HO354">
        <f>IF(OR(HM$3="",HM$3&gt;TODAY()),"",IF(AND(HM354="",HN354=""),"",N(HN354)-N(HM354)))</f>
        <v/>
      </c>
      <c r="HR354">
        <f>IF(OR(HM$3="",HM$3&gt;TODAY()),"",IF(AND(HP354="",HQ354=""),"",N(HQ354)-N(HP354)))</f>
        <v/>
      </c>
      <c r="HV354">
        <f>IF(OR(HT$3="",HT$3&gt;TODAY()),"",IF(AND(HT354="",HU354=""),"",N(HU354)-N(HT354)))</f>
        <v/>
      </c>
      <c r="HY354">
        <f>IF(OR(HT$3="",HT$3&gt;TODAY()),"",IF(AND(HW354="",HX354=""),"",N(HX354)-N(HW354)))</f>
        <v/>
      </c>
      <c r="IC354">
        <f>IF(OR(IA$3="",IA$3&gt;TODAY()),"",IF(AND(IA354="",IB354=""),"",N(IB354)-N(IA354)))</f>
        <v/>
      </c>
      <c r="IF354">
        <f>IF(OR(IA$3="",IA$3&gt;TODAY()),"",IF(AND(ID354="",IE354=""),"",N(IE354)-N(ID354)))</f>
        <v/>
      </c>
      <c r="IJ354">
        <f>IF(OR(IH$3="",IH$3&gt;TODAY()),"",IF(AND(IH354="",II354=""),"",N(II354)-N(IH354)))</f>
        <v/>
      </c>
      <c r="IM354">
        <f>IF(OR(IH$3="",IH$3&gt;TODAY()),"",IF(AND(IK354="",IL354=""),"",N(IL354)-N(IK354)))</f>
        <v/>
      </c>
    </row>
    <row r="355">
      <c r="A355" s="21" t="n"/>
      <c r="B355" s="21" t="n"/>
      <c r="C355" s="21" t="n"/>
      <c r="D355" s="21" t="n"/>
      <c r="E355" s="21" t="n"/>
      <c r="F355" s="21" t="n"/>
      <c r="G355" s="21" t="n"/>
      <c r="H355" s="21" t="n"/>
      <c r="I355" s="22" t="n"/>
      <c r="J355" s="22" t="n"/>
      <c r="K355" s="23" t="n"/>
      <c r="L355" s="22" t="n"/>
      <c r="M355" s="22" t="n"/>
      <c r="N355" s="21" t="n"/>
      <c r="O355" s="23" t="n"/>
      <c r="P355" s="23" t="n"/>
      <c r="Q355" s="23" t="n"/>
      <c r="R355" s="23" t="n"/>
      <c r="S355" s="22" t="n"/>
      <c r="T355" s="23" t="n"/>
      <c r="U355" s="23" t="n"/>
      <c r="V355" s="24">
        <f>IF(J355&lt;&gt;"",J355,IF(I355&lt;&gt;"",I355,""))</f>
        <v/>
      </c>
      <c r="W355" s="25">
        <f>IF($E355="","",N(O355)+SUMIFS($AF355:$IN355,$AF$4:$IN$4,"SEW_ACT"))</f>
        <v/>
      </c>
      <c r="X355" s="25">
        <f>IF($E355="","",N(P355)+SUMIFS($AF355:$IN355,$AF$4:$IN$4,"WASH_ACT"))</f>
        <v/>
      </c>
      <c r="Y355" s="25">
        <f>IF($E355="","",W355-X355-N(T355)-N(U355))</f>
        <v/>
      </c>
      <c r="Z355" s="25">
        <f>IF($E355="","",IF(N(K355)-X355&lt;=0.02*N(K355),0,N(K355)-X355))</f>
        <v/>
      </c>
      <c r="AA355" s="24">
        <f>IF($E355="","",IF(S355&lt;&gt;"",S355,IF(N(O355)&gt;0,IF(L355&lt;&gt;"",L355,99999),IFERROR(1/(1/_xlfn.MINIFS($AF$3:$IN$3,$AF$4:$IN$4,"SEW_ACT",$AF355:$IN355,"&gt;0")),99999))))</f>
        <v/>
      </c>
      <c r="AB355" s="26">
        <f>IF(OR($E355="",Z355=0,V355=""),"",1+COUNTIFS(Z$8:Z$707,"&gt;0",V$8:V$707,"&lt;"&amp;V355)+COUNTIFS(Z$8:Z$707,"&gt;0",V$8:V$707,V355,AA$8:AA$707,"&lt;"&amp;AA355)+COUNTIFS(Z$8:Z$707,"&gt;0",V$8:V$707,V355,AA$8:AA$707,AA355,E$8:E$707,"&lt;"&amp;$E355))</f>
        <v/>
      </c>
      <c r="AC355" s="24">
        <f>IF(OR($E355="",Z355=0),"",IFERROR(TODAY()+ROUNDUP(Z355/(SUMIFS($AF355:$IN355,$AF$4:$IN$4,"WASH_ACT")/COUNTIFS($AF$4:$IN$4,"WASH_ACT",$AF355:$IN355,"&gt;0")),0),"no output yet"))</f>
        <v/>
      </c>
      <c r="AD355" s="26">
        <f>IF($E355="","",IFERROR(ROUND(MAX(0,SUMIFS($AF355:$IN355,$AF$4:$IN$4,"SEW_PLAN",$AF$3:$IN$3,"&lt;="&amp;TODAY())-SUMIFS($AF355:$IN355,$AF$4:$IN$4,"SEW_ACT",$AF$3:$IN$3,"&lt;="&amp;TODAY())+N(Q355))/(SUMIFS($AF355:$IN355,$AF$4:$IN$4,"SEW_PLAN")/COUNTIFS($AF$4:$IN$4,"SEW_PLAN",$AF355:$IN355,"&gt;0")),1),0))</f>
        <v/>
      </c>
      <c r="AE355" s="26">
        <f>IF($E355="","",IF(AND(Z355&gt;0,OR(AND(M355&lt;&gt;"",TODAY()&gt;M355),AND(V355&lt;&gt;"",V355-TODAY()&lt;=7))),"Yes","No"))</f>
        <v/>
      </c>
      <c r="AH355">
        <f>IF(OR(AF$3="",AF$3&gt;TODAY()),"",IF(AND(AF355="",AG355=""),"",N(AG355)-N(AF355)))</f>
        <v/>
      </c>
      <c r="AK355">
        <f>IF(OR(AF$3="",AF$3&gt;TODAY()),"",IF(AND(AI355="",AJ355=""),"",N(AJ355)-N(AI355)))</f>
        <v/>
      </c>
      <c r="AO355">
        <f>IF(OR(AM$3="",AM$3&gt;TODAY()),"",IF(AND(AM355="",AN355=""),"",N(AN355)-N(AM355)))</f>
        <v/>
      </c>
      <c r="AR355">
        <f>IF(OR(AM$3="",AM$3&gt;TODAY()),"",IF(AND(AP355="",AQ355=""),"",N(AQ355)-N(AP355)))</f>
        <v/>
      </c>
      <c r="AV355">
        <f>IF(OR(AT$3="",AT$3&gt;TODAY()),"",IF(AND(AT355="",AU355=""),"",N(AU355)-N(AT355)))</f>
        <v/>
      </c>
      <c r="AY355">
        <f>IF(OR(AT$3="",AT$3&gt;TODAY()),"",IF(AND(AW355="",AX355=""),"",N(AX355)-N(AW355)))</f>
        <v/>
      </c>
      <c r="BC355">
        <f>IF(OR(BA$3="",BA$3&gt;TODAY()),"",IF(AND(BA355="",BB355=""),"",N(BB355)-N(BA355)))</f>
        <v/>
      </c>
      <c r="BF355">
        <f>IF(OR(BA$3="",BA$3&gt;TODAY()),"",IF(AND(BD355="",BE355=""),"",N(BE355)-N(BD355)))</f>
        <v/>
      </c>
      <c r="BJ355">
        <f>IF(OR(BH$3="",BH$3&gt;TODAY()),"",IF(AND(BH355="",BI355=""),"",N(BI355)-N(BH355)))</f>
        <v/>
      </c>
      <c r="BM355">
        <f>IF(OR(BH$3="",BH$3&gt;TODAY()),"",IF(AND(BK355="",BL355=""),"",N(BL355)-N(BK355)))</f>
        <v/>
      </c>
      <c r="BQ355">
        <f>IF(OR(BO$3="",BO$3&gt;TODAY()),"",IF(AND(BO355="",BP355=""),"",N(BP355)-N(BO355)))</f>
        <v/>
      </c>
      <c r="BT355">
        <f>IF(OR(BO$3="",BO$3&gt;TODAY()),"",IF(AND(BR355="",BS355=""),"",N(BS355)-N(BR355)))</f>
        <v/>
      </c>
      <c r="BX355">
        <f>IF(OR(BV$3="",BV$3&gt;TODAY()),"",IF(AND(BV355="",BW355=""),"",N(BW355)-N(BV355)))</f>
        <v/>
      </c>
      <c r="CA355">
        <f>IF(OR(BV$3="",BV$3&gt;TODAY()),"",IF(AND(BY355="",BZ355=""),"",N(BZ355)-N(BY355)))</f>
        <v/>
      </c>
      <c r="CE355">
        <f>IF(OR(CC$3="",CC$3&gt;TODAY()),"",IF(AND(CC355="",CD355=""),"",N(CD355)-N(CC355)))</f>
        <v/>
      </c>
      <c r="CH355">
        <f>IF(OR(CC$3="",CC$3&gt;TODAY()),"",IF(AND(CF355="",CG355=""),"",N(CG355)-N(CF355)))</f>
        <v/>
      </c>
      <c r="CL355">
        <f>IF(OR(CJ$3="",CJ$3&gt;TODAY()),"",IF(AND(CJ355="",CK355=""),"",N(CK355)-N(CJ355)))</f>
        <v/>
      </c>
      <c r="CO355">
        <f>IF(OR(CJ$3="",CJ$3&gt;TODAY()),"",IF(AND(CM355="",CN355=""),"",N(CN355)-N(CM355)))</f>
        <v/>
      </c>
      <c r="CS355">
        <f>IF(OR(CQ$3="",CQ$3&gt;TODAY()),"",IF(AND(CQ355="",CR355=""),"",N(CR355)-N(CQ355)))</f>
        <v/>
      </c>
      <c r="CV355">
        <f>IF(OR(CQ$3="",CQ$3&gt;TODAY()),"",IF(AND(CT355="",CU355=""),"",N(CU355)-N(CT355)))</f>
        <v/>
      </c>
      <c r="CZ355">
        <f>IF(OR(CX$3="",CX$3&gt;TODAY()),"",IF(AND(CX355="",CY355=""),"",N(CY355)-N(CX355)))</f>
        <v/>
      </c>
      <c r="DC355">
        <f>IF(OR(CX$3="",CX$3&gt;TODAY()),"",IF(AND(DA355="",DB355=""),"",N(DB355)-N(DA355)))</f>
        <v/>
      </c>
      <c r="DG355">
        <f>IF(OR(DE$3="",DE$3&gt;TODAY()),"",IF(AND(DE355="",DF355=""),"",N(DF355)-N(DE355)))</f>
        <v/>
      </c>
      <c r="DJ355">
        <f>IF(OR(DE$3="",DE$3&gt;TODAY()),"",IF(AND(DH355="",DI355=""),"",N(DI355)-N(DH355)))</f>
        <v/>
      </c>
      <c r="DN355">
        <f>IF(OR(DL$3="",DL$3&gt;TODAY()),"",IF(AND(DL355="",DM355=""),"",N(DM355)-N(DL355)))</f>
        <v/>
      </c>
      <c r="DQ355">
        <f>IF(OR(DL$3="",DL$3&gt;TODAY()),"",IF(AND(DO355="",DP355=""),"",N(DP355)-N(DO355)))</f>
        <v/>
      </c>
      <c r="DU355">
        <f>IF(OR(DS$3="",DS$3&gt;TODAY()),"",IF(AND(DS355="",DT355=""),"",N(DT355)-N(DS355)))</f>
        <v/>
      </c>
      <c r="DX355">
        <f>IF(OR(DS$3="",DS$3&gt;TODAY()),"",IF(AND(DV355="",DW355=""),"",N(DW355)-N(DV355)))</f>
        <v/>
      </c>
      <c r="EB355">
        <f>IF(OR(DZ$3="",DZ$3&gt;TODAY()),"",IF(AND(DZ355="",EA355=""),"",N(EA355)-N(DZ355)))</f>
        <v/>
      </c>
      <c r="EE355">
        <f>IF(OR(DZ$3="",DZ$3&gt;TODAY()),"",IF(AND(EC355="",ED355=""),"",N(ED355)-N(EC355)))</f>
        <v/>
      </c>
      <c r="EI355">
        <f>IF(OR(EG$3="",EG$3&gt;TODAY()),"",IF(AND(EG355="",EH355=""),"",N(EH355)-N(EG355)))</f>
        <v/>
      </c>
      <c r="EL355">
        <f>IF(OR(EG$3="",EG$3&gt;TODAY()),"",IF(AND(EJ355="",EK355=""),"",N(EK355)-N(EJ355)))</f>
        <v/>
      </c>
      <c r="EP355">
        <f>IF(OR(EN$3="",EN$3&gt;TODAY()),"",IF(AND(EN355="",EO355=""),"",N(EO355)-N(EN355)))</f>
        <v/>
      </c>
      <c r="ES355">
        <f>IF(OR(EN$3="",EN$3&gt;TODAY()),"",IF(AND(EQ355="",ER355=""),"",N(ER355)-N(EQ355)))</f>
        <v/>
      </c>
      <c r="EW355">
        <f>IF(OR(EU$3="",EU$3&gt;TODAY()),"",IF(AND(EU355="",EV355=""),"",N(EV355)-N(EU355)))</f>
        <v/>
      </c>
      <c r="EZ355">
        <f>IF(OR(EU$3="",EU$3&gt;TODAY()),"",IF(AND(EX355="",EY355=""),"",N(EY355)-N(EX355)))</f>
        <v/>
      </c>
      <c r="FD355">
        <f>IF(OR(FB$3="",FB$3&gt;TODAY()),"",IF(AND(FB355="",FC355=""),"",N(FC355)-N(FB355)))</f>
        <v/>
      </c>
      <c r="FG355">
        <f>IF(OR(FB$3="",FB$3&gt;TODAY()),"",IF(AND(FE355="",FF355=""),"",N(FF355)-N(FE355)))</f>
        <v/>
      </c>
      <c r="FK355">
        <f>IF(OR(FI$3="",FI$3&gt;TODAY()),"",IF(AND(FI355="",FJ355=""),"",N(FJ355)-N(FI355)))</f>
        <v/>
      </c>
      <c r="FN355">
        <f>IF(OR(FI$3="",FI$3&gt;TODAY()),"",IF(AND(FL355="",FM355=""),"",N(FM355)-N(FL355)))</f>
        <v/>
      </c>
      <c r="FR355">
        <f>IF(OR(FP$3="",FP$3&gt;TODAY()),"",IF(AND(FP355="",FQ355=""),"",N(FQ355)-N(FP355)))</f>
        <v/>
      </c>
      <c r="FU355">
        <f>IF(OR(FP$3="",FP$3&gt;TODAY()),"",IF(AND(FS355="",FT355=""),"",N(FT355)-N(FS355)))</f>
        <v/>
      </c>
      <c r="FY355">
        <f>IF(OR(FW$3="",FW$3&gt;TODAY()),"",IF(AND(FW355="",FX355=""),"",N(FX355)-N(FW355)))</f>
        <v/>
      </c>
      <c r="GB355">
        <f>IF(OR(FW$3="",FW$3&gt;TODAY()),"",IF(AND(FZ355="",GA355=""),"",N(GA355)-N(FZ355)))</f>
        <v/>
      </c>
      <c r="GF355">
        <f>IF(OR(GD$3="",GD$3&gt;TODAY()),"",IF(AND(GD355="",GE355=""),"",N(GE355)-N(GD355)))</f>
        <v/>
      </c>
      <c r="GI355">
        <f>IF(OR(GD$3="",GD$3&gt;TODAY()),"",IF(AND(GG355="",GH355=""),"",N(GH355)-N(GG355)))</f>
        <v/>
      </c>
      <c r="GM355">
        <f>IF(OR(GK$3="",GK$3&gt;TODAY()),"",IF(AND(GK355="",GL355=""),"",N(GL355)-N(GK355)))</f>
        <v/>
      </c>
      <c r="GP355">
        <f>IF(OR(GK$3="",GK$3&gt;TODAY()),"",IF(AND(GN355="",GO355=""),"",N(GO355)-N(GN355)))</f>
        <v/>
      </c>
      <c r="GT355">
        <f>IF(OR(GR$3="",GR$3&gt;TODAY()),"",IF(AND(GR355="",GS355=""),"",N(GS355)-N(GR355)))</f>
        <v/>
      </c>
      <c r="GW355">
        <f>IF(OR(GR$3="",GR$3&gt;TODAY()),"",IF(AND(GU355="",GV355=""),"",N(GV355)-N(GU355)))</f>
        <v/>
      </c>
      <c r="HA355">
        <f>IF(OR(GY$3="",GY$3&gt;TODAY()),"",IF(AND(GY355="",GZ355=""),"",N(GZ355)-N(GY355)))</f>
        <v/>
      </c>
      <c r="HD355">
        <f>IF(OR(GY$3="",GY$3&gt;TODAY()),"",IF(AND(HB355="",HC355=""),"",N(HC355)-N(HB355)))</f>
        <v/>
      </c>
      <c r="HH355">
        <f>IF(OR(HF$3="",HF$3&gt;TODAY()),"",IF(AND(HF355="",HG355=""),"",N(HG355)-N(HF355)))</f>
        <v/>
      </c>
      <c r="HK355">
        <f>IF(OR(HF$3="",HF$3&gt;TODAY()),"",IF(AND(HI355="",HJ355=""),"",N(HJ355)-N(HI355)))</f>
        <v/>
      </c>
      <c r="HO355">
        <f>IF(OR(HM$3="",HM$3&gt;TODAY()),"",IF(AND(HM355="",HN355=""),"",N(HN355)-N(HM355)))</f>
        <v/>
      </c>
      <c r="HR355">
        <f>IF(OR(HM$3="",HM$3&gt;TODAY()),"",IF(AND(HP355="",HQ355=""),"",N(HQ355)-N(HP355)))</f>
        <v/>
      </c>
      <c r="HV355">
        <f>IF(OR(HT$3="",HT$3&gt;TODAY()),"",IF(AND(HT355="",HU355=""),"",N(HU355)-N(HT355)))</f>
        <v/>
      </c>
      <c r="HY355">
        <f>IF(OR(HT$3="",HT$3&gt;TODAY()),"",IF(AND(HW355="",HX355=""),"",N(HX355)-N(HW355)))</f>
        <v/>
      </c>
      <c r="IC355">
        <f>IF(OR(IA$3="",IA$3&gt;TODAY()),"",IF(AND(IA355="",IB355=""),"",N(IB355)-N(IA355)))</f>
        <v/>
      </c>
      <c r="IF355">
        <f>IF(OR(IA$3="",IA$3&gt;TODAY()),"",IF(AND(ID355="",IE355=""),"",N(IE355)-N(ID355)))</f>
        <v/>
      </c>
      <c r="IJ355">
        <f>IF(OR(IH$3="",IH$3&gt;TODAY()),"",IF(AND(IH355="",II355=""),"",N(II355)-N(IH355)))</f>
        <v/>
      </c>
      <c r="IM355">
        <f>IF(OR(IH$3="",IH$3&gt;TODAY()),"",IF(AND(IK355="",IL355=""),"",N(IL355)-N(IK355)))</f>
        <v/>
      </c>
    </row>
    <row r="356">
      <c r="A356" s="21" t="n"/>
      <c r="B356" s="21" t="n"/>
      <c r="C356" s="21" t="n"/>
      <c r="D356" s="21" t="n"/>
      <c r="E356" s="21" t="n"/>
      <c r="F356" s="21" t="n"/>
      <c r="G356" s="21" t="n"/>
      <c r="H356" s="21" t="n"/>
      <c r="I356" s="22" t="n"/>
      <c r="J356" s="22" t="n"/>
      <c r="K356" s="23" t="n"/>
      <c r="L356" s="22" t="n"/>
      <c r="M356" s="22" t="n"/>
      <c r="N356" s="21" t="n"/>
      <c r="O356" s="23" t="n"/>
      <c r="P356" s="23" t="n"/>
      <c r="Q356" s="23" t="n"/>
      <c r="R356" s="23" t="n"/>
      <c r="S356" s="22" t="n"/>
      <c r="T356" s="23" t="n"/>
      <c r="U356" s="23" t="n"/>
      <c r="V356" s="24">
        <f>IF(J356&lt;&gt;"",J356,IF(I356&lt;&gt;"",I356,""))</f>
        <v/>
      </c>
      <c r="W356" s="25">
        <f>IF($E356="","",N(O356)+SUMIFS($AF356:$IN356,$AF$4:$IN$4,"SEW_ACT"))</f>
        <v/>
      </c>
      <c r="X356" s="25">
        <f>IF($E356="","",N(P356)+SUMIFS($AF356:$IN356,$AF$4:$IN$4,"WASH_ACT"))</f>
        <v/>
      </c>
      <c r="Y356" s="25">
        <f>IF($E356="","",W356-X356-N(T356)-N(U356))</f>
        <v/>
      </c>
      <c r="Z356" s="25">
        <f>IF($E356="","",IF(N(K356)-X356&lt;=0.02*N(K356),0,N(K356)-X356))</f>
        <v/>
      </c>
      <c r="AA356" s="24">
        <f>IF($E356="","",IF(S356&lt;&gt;"",S356,IF(N(O356)&gt;0,IF(L356&lt;&gt;"",L356,99999),IFERROR(1/(1/_xlfn.MINIFS($AF$3:$IN$3,$AF$4:$IN$4,"SEW_ACT",$AF356:$IN356,"&gt;0")),99999))))</f>
        <v/>
      </c>
      <c r="AB356" s="26">
        <f>IF(OR($E356="",Z356=0,V356=""),"",1+COUNTIFS(Z$8:Z$707,"&gt;0",V$8:V$707,"&lt;"&amp;V356)+COUNTIFS(Z$8:Z$707,"&gt;0",V$8:V$707,V356,AA$8:AA$707,"&lt;"&amp;AA356)+COUNTIFS(Z$8:Z$707,"&gt;0",V$8:V$707,V356,AA$8:AA$707,AA356,E$8:E$707,"&lt;"&amp;$E356))</f>
        <v/>
      </c>
      <c r="AC356" s="24">
        <f>IF(OR($E356="",Z356=0),"",IFERROR(TODAY()+ROUNDUP(Z356/(SUMIFS($AF356:$IN356,$AF$4:$IN$4,"WASH_ACT")/COUNTIFS($AF$4:$IN$4,"WASH_ACT",$AF356:$IN356,"&gt;0")),0),"no output yet"))</f>
        <v/>
      </c>
      <c r="AD356" s="26">
        <f>IF($E356="","",IFERROR(ROUND(MAX(0,SUMIFS($AF356:$IN356,$AF$4:$IN$4,"SEW_PLAN",$AF$3:$IN$3,"&lt;="&amp;TODAY())-SUMIFS($AF356:$IN356,$AF$4:$IN$4,"SEW_ACT",$AF$3:$IN$3,"&lt;="&amp;TODAY())+N(Q356))/(SUMIFS($AF356:$IN356,$AF$4:$IN$4,"SEW_PLAN")/COUNTIFS($AF$4:$IN$4,"SEW_PLAN",$AF356:$IN356,"&gt;0")),1),0))</f>
        <v/>
      </c>
      <c r="AE356" s="26">
        <f>IF($E356="","",IF(AND(Z356&gt;0,OR(AND(M356&lt;&gt;"",TODAY()&gt;M356),AND(V356&lt;&gt;"",V356-TODAY()&lt;=7))),"Yes","No"))</f>
        <v/>
      </c>
      <c r="AH356">
        <f>IF(OR(AF$3="",AF$3&gt;TODAY()),"",IF(AND(AF356="",AG356=""),"",N(AG356)-N(AF356)))</f>
        <v/>
      </c>
      <c r="AK356">
        <f>IF(OR(AF$3="",AF$3&gt;TODAY()),"",IF(AND(AI356="",AJ356=""),"",N(AJ356)-N(AI356)))</f>
        <v/>
      </c>
      <c r="AO356">
        <f>IF(OR(AM$3="",AM$3&gt;TODAY()),"",IF(AND(AM356="",AN356=""),"",N(AN356)-N(AM356)))</f>
        <v/>
      </c>
      <c r="AR356">
        <f>IF(OR(AM$3="",AM$3&gt;TODAY()),"",IF(AND(AP356="",AQ356=""),"",N(AQ356)-N(AP356)))</f>
        <v/>
      </c>
      <c r="AV356">
        <f>IF(OR(AT$3="",AT$3&gt;TODAY()),"",IF(AND(AT356="",AU356=""),"",N(AU356)-N(AT356)))</f>
        <v/>
      </c>
      <c r="AY356">
        <f>IF(OR(AT$3="",AT$3&gt;TODAY()),"",IF(AND(AW356="",AX356=""),"",N(AX356)-N(AW356)))</f>
        <v/>
      </c>
      <c r="BC356">
        <f>IF(OR(BA$3="",BA$3&gt;TODAY()),"",IF(AND(BA356="",BB356=""),"",N(BB356)-N(BA356)))</f>
        <v/>
      </c>
      <c r="BF356">
        <f>IF(OR(BA$3="",BA$3&gt;TODAY()),"",IF(AND(BD356="",BE356=""),"",N(BE356)-N(BD356)))</f>
        <v/>
      </c>
      <c r="BJ356">
        <f>IF(OR(BH$3="",BH$3&gt;TODAY()),"",IF(AND(BH356="",BI356=""),"",N(BI356)-N(BH356)))</f>
        <v/>
      </c>
      <c r="BM356">
        <f>IF(OR(BH$3="",BH$3&gt;TODAY()),"",IF(AND(BK356="",BL356=""),"",N(BL356)-N(BK356)))</f>
        <v/>
      </c>
      <c r="BQ356">
        <f>IF(OR(BO$3="",BO$3&gt;TODAY()),"",IF(AND(BO356="",BP356=""),"",N(BP356)-N(BO356)))</f>
        <v/>
      </c>
      <c r="BT356">
        <f>IF(OR(BO$3="",BO$3&gt;TODAY()),"",IF(AND(BR356="",BS356=""),"",N(BS356)-N(BR356)))</f>
        <v/>
      </c>
      <c r="BX356">
        <f>IF(OR(BV$3="",BV$3&gt;TODAY()),"",IF(AND(BV356="",BW356=""),"",N(BW356)-N(BV356)))</f>
        <v/>
      </c>
      <c r="CA356">
        <f>IF(OR(BV$3="",BV$3&gt;TODAY()),"",IF(AND(BY356="",BZ356=""),"",N(BZ356)-N(BY356)))</f>
        <v/>
      </c>
      <c r="CE356">
        <f>IF(OR(CC$3="",CC$3&gt;TODAY()),"",IF(AND(CC356="",CD356=""),"",N(CD356)-N(CC356)))</f>
        <v/>
      </c>
      <c r="CH356">
        <f>IF(OR(CC$3="",CC$3&gt;TODAY()),"",IF(AND(CF356="",CG356=""),"",N(CG356)-N(CF356)))</f>
        <v/>
      </c>
      <c r="CL356">
        <f>IF(OR(CJ$3="",CJ$3&gt;TODAY()),"",IF(AND(CJ356="",CK356=""),"",N(CK356)-N(CJ356)))</f>
        <v/>
      </c>
      <c r="CO356">
        <f>IF(OR(CJ$3="",CJ$3&gt;TODAY()),"",IF(AND(CM356="",CN356=""),"",N(CN356)-N(CM356)))</f>
        <v/>
      </c>
      <c r="CS356">
        <f>IF(OR(CQ$3="",CQ$3&gt;TODAY()),"",IF(AND(CQ356="",CR356=""),"",N(CR356)-N(CQ356)))</f>
        <v/>
      </c>
      <c r="CV356">
        <f>IF(OR(CQ$3="",CQ$3&gt;TODAY()),"",IF(AND(CT356="",CU356=""),"",N(CU356)-N(CT356)))</f>
        <v/>
      </c>
      <c r="CZ356">
        <f>IF(OR(CX$3="",CX$3&gt;TODAY()),"",IF(AND(CX356="",CY356=""),"",N(CY356)-N(CX356)))</f>
        <v/>
      </c>
      <c r="DC356">
        <f>IF(OR(CX$3="",CX$3&gt;TODAY()),"",IF(AND(DA356="",DB356=""),"",N(DB356)-N(DA356)))</f>
        <v/>
      </c>
      <c r="DG356">
        <f>IF(OR(DE$3="",DE$3&gt;TODAY()),"",IF(AND(DE356="",DF356=""),"",N(DF356)-N(DE356)))</f>
        <v/>
      </c>
      <c r="DJ356">
        <f>IF(OR(DE$3="",DE$3&gt;TODAY()),"",IF(AND(DH356="",DI356=""),"",N(DI356)-N(DH356)))</f>
        <v/>
      </c>
      <c r="DN356">
        <f>IF(OR(DL$3="",DL$3&gt;TODAY()),"",IF(AND(DL356="",DM356=""),"",N(DM356)-N(DL356)))</f>
        <v/>
      </c>
      <c r="DQ356">
        <f>IF(OR(DL$3="",DL$3&gt;TODAY()),"",IF(AND(DO356="",DP356=""),"",N(DP356)-N(DO356)))</f>
        <v/>
      </c>
      <c r="DU356">
        <f>IF(OR(DS$3="",DS$3&gt;TODAY()),"",IF(AND(DS356="",DT356=""),"",N(DT356)-N(DS356)))</f>
        <v/>
      </c>
      <c r="DX356">
        <f>IF(OR(DS$3="",DS$3&gt;TODAY()),"",IF(AND(DV356="",DW356=""),"",N(DW356)-N(DV356)))</f>
        <v/>
      </c>
      <c r="EB356">
        <f>IF(OR(DZ$3="",DZ$3&gt;TODAY()),"",IF(AND(DZ356="",EA356=""),"",N(EA356)-N(DZ356)))</f>
        <v/>
      </c>
      <c r="EE356">
        <f>IF(OR(DZ$3="",DZ$3&gt;TODAY()),"",IF(AND(EC356="",ED356=""),"",N(ED356)-N(EC356)))</f>
        <v/>
      </c>
      <c r="EI356">
        <f>IF(OR(EG$3="",EG$3&gt;TODAY()),"",IF(AND(EG356="",EH356=""),"",N(EH356)-N(EG356)))</f>
        <v/>
      </c>
      <c r="EL356">
        <f>IF(OR(EG$3="",EG$3&gt;TODAY()),"",IF(AND(EJ356="",EK356=""),"",N(EK356)-N(EJ356)))</f>
        <v/>
      </c>
      <c r="EP356">
        <f>IF(OR(EN$3="",EN$3&gt;TODAY()),"",IF(AND(EN356="",EO356=""),"",N(EO356)-N(EN356)))</f>
        <v/>
      </c>
      <c r="ES356">
        <f>IF(OR(EN$3="",EN$3&gt;TODAY()),"",IF(AND(EQ356="",ER356=""),"",N(ER356)-N(EQ356)))</f>
        <v/>
      </c>
      <c r="EW356">
        <f>IF(OR(EU$3="",EU$3&gt;TODAY()),"",IF(AND(EU356="",EV356=""),"",N(EV356)-N(EU356)))</f>
        <v/>
      </c>
      <c r="EZ356">
        <f>IF(OR(EU$3="",EU$3&gt;TODAY()),"",IF(AND(EX356="",EY356=""),"",N(EY356)-N(EX356)))</f>
        <v/>
      </c>
      <c r="FD356">
        <f>IF(OR(FB$3="",FB$3&gt;TODAY()),"",IF(AND(FB356="",FC356=""),"",N(FC356)-N(FB356)))</f>
        <v/>
      </c>
      <c r="FG356">
        <f>IF(OR(FB$3="",FB$3&gt;TODAY()),"",IF(AND(FE356="",FF356=""),"",N(FF356)-N(FE356)))</f>
        <v/>
      </c>
      <c r="FK356">
        <f>IF(OR(FI$3="",FI$3&gt;TODAY()),"",IF(AND(FI356="",FJ356=""),"",N(FJ356)-N(FI356)))</f>
        <v/>
      </c>
      <c r="FN356">
        <f>IF(OR(FI$3="",FI$3&gt;TODAY()),"",IF(AND(FL356="",FM356=""),"",N(FM356)-N(FL356)))</f>
        <v/>
      </c>
      <c r="FR356">
        <f>IF(OR(FP$3="",FP$3&gt;TODAY()),"",IF(AND(FP356="",FQ356=""),"",N(FQ356)-N(FP356)))</f>
        <v/>
      </c>
      <c r="FU356">
        <f>IF(OR(FP$3="",FP$3&gt;TODAY()),"",IF(AND(FS356="",FT356=""),"",N(FT356)-N(FS356)))</f>
        <v/>
      </c>
      <c r="FY356">
        <f>IF(OR(FW$3="",FW$3&gt;TODAY()),"",IF(AND(FW356="",FX356=""),"",N(FX356)-N(FW356)))</f>
        <v/>
      </c>
      <c r="GB356">
        <f>IF(OR(FW$3="",FW$3&gt;TODAY()),"",IF(AND(FZ356="",GA356=""),"",N(GA356)-N(FZ356)))</f>
        <v/>
      </c>
      <c r="GF356">
        <f>IF(OR(GD$3="",GD$3&gt;TODAY()),"",IF(AND(GD356="",GE356=""),"",N(GE356)-N(GD356)))</f>
        <v/>
      </c>
      <c r="GI356">
        <f>IF(OR(GD$3="",GD$3&gt;TODAY()),"",IF(AND(GG356="",GH356=""),"",N(GH356)-N(GG356)))</f>
        <v/>
      </c>
      <c r="GM356">
        <f>IF(OR(GK$3="",GK$3&gt;TODAY()),"",IF(AND(GK356="",GL356=""),"",N(GL356)-N(GK356)))</f>
        <v/>
      </c>
      <c r="GP356">
        <f>IF(OR(GK$3="",GK$3&gt;TODAY()),"",IF(AND(GN356="",GO356=""),"",N(GO356)-N(GN356)))</f>
        <v/>
      </c>
      <c r="GT356">
        <f>IF(OR(GR$3="",GR$3&gt;TODAY()),"",IF(AND(GR356="",GS356=""),"",N(GS356)-N(GR356)))</f>
        <v/>
      </c>
      <c r="GW356">
        <f>IF(OR(GR$3="",GR$3&gt;TODAY()),"",IF(AND(GU356="",GV356=""),"",N(GV356)-N(GU356)))</f>
        <v/>
      </c>
      <c r="HA356">
        <f>IF(OR(GY$3="",GY$3&gt;TODAY()),"",IF(AND(GY356="",GZ356=""),"",N(GZ356)-N(GY356)))</f>
        <v/>
      </c>
      <c r="HD356">
        <f>IF(OR(GY$3="",GY$3&gt;TODAY()),"",IF(AND(HB356="",HC356=""),"",N(HC356)-N(HB356)))</f>
        <v/>
      </c>
      <c r="HH356">
        <f>IF(OR(HF$3="",HF$3&gt;TODAY()),"",IF(AND(HF356="",HG356=""),"",N(HG356)-N(HF356)))</f>
        <v/>
      </c>
      <c r="HK356">
        <f>IF(OR(HF$3="",HF$3&gt;TODAY()),"",IF(AND(HI356="",HJ356=""),"",N(HJ356)-N(HI356)))</f>
        <v/>
      </c>
      <c r="HO356">
        <f>IF(OR(HM$3="",HM$3&gt;TODAY()),"",IF(AND(HM356="",HN356=""),"",N(HN356)-N(HM356)))</f>
        <v/>
      </c>
      <c r="HR356">
        <f>IF(OR(HM$3="",HM$3&gt;TODAY()),"",IF(AND(HP356="",HQ356=""),"",N(HQ356)-N(HP356)))</f>
        <v/>
      </c>
      <c r="HV356">
        <f>IF(OR(HT$3="",HT$3&gt;TODAY()),"",IF(AND(HT356="",HU356=""),"",N(HU356)-N(HT356)))</f>
        <v/>
      </c>
      <c r="HY356">
        <f>IF(OR(HT$3="",HT$3&gt;TODAY()),"",IF(AND(HW356="",HX356=""),"",N(HX356)-N(HW356)))</f>
        <v/>
      </c>
      <c r="IC356">
        <f>IF(OR(IA$3="",IA$3&gt;TODAY()),"",IF(AND(IA356="",IB356=""),"",N(IB356)-N(IA356)))</f>
        <v/>
      </c>
      <c r="IF356">
        <f>IF(OR(IA$3="",IA$3&gt;TODAY()),"",IF(AND(ID356="",IE356=""),"",N(IE356)-N(ID356)))</f>
        <v/>
      </c>
      <c r="IJ356">
        <f>IF(OR(IH$3="",IH$3&gt;TODAY()),"",IF(AND(IH356="",II356=""),"",N(II356)-N(IH356)))</f>
        <v/>
      </c>
      <c r="IM356">
        <f>IF(OR(IH$3="",IH$3&gt;TODAY()),"",IF(AND(IK356="",IL356=""),"",N(IL356)-N(IK356)))</f>
        <v/>
      </c>
    </row>
    <row r="357">
      <c r="A357" s="21" t="n"/>
      <c r="B357" s="21" t="n"/>
      <c r="C357" s="21" t="n"/>
      <c r="D357" s="21" t="n"/>
      <c r="E357" s="21" t="n"/>
      <c r="F357" s="21" t="n"/>
      <c r="G357" s="21" t="n"/>
      <c r="H357" s="21" t="n"/>
      <c r="I357" s="22" t="n"/>
      <c r="J357" s="22" t="n"/>
      <c r="K357" s="23" t="n"/>
      <c r="L357" s="22" t="n"/>
      <c r="M357" s="22" t="n"/>
      <c r="N357" s="21" t="n"/>
      <c r="O357" s="23" t="n"/>
      <c r="P357" s="23" t="n"/>
      <c r="Q357" s="23" t="n"/>
      <c r="R357" s="23" t="n"/>
      <c r="S357" s="22" t="n"/>
      <c r="T357" s="23" t="n"/>
      <c r="U357" s="23" t="n"/>
      <c r="V357" s="24">
        <f>IF(J357&lt;&gt;"",J357,IF(I357&lt;&gt;"",I357,""))</f>
        <v/>
      </c>
      <c r="W357" s="25">
        <f>IF($E357="","",N(O357)+SUMIFS($AF357:$IN357,$AF$4:$IN$4,"SEW_ACT"))</f>
        <v/>
      </c>
      <c r="X357" s="25">
        <f>IF($E357="","",N(P357)+SUMIFS($AF357:$IN357,$AF$4:$IN$4,"WASH_ACT"))</f>
        <v/>
      </c>
      <c r="Y357" s="25">
        <f>IF($E357="","",W357-X357-N(T357)-N(U357))</f>
        <v/>
      </c>
      <c r="Z357" s="25">
        <f>IF($E357="","",IF(N(K357)-X357&lt;=0.02*N(K357),0,N(K357)-X357))</f>
        <v/>
      </c>
      <c r="AA357" s="24">
        <f>IF($E357="","",IF(S357&lt;&gt;"",S357,IF(N(O357)&gt;0,IF(L357&lt;&gt;"",L357,99999),IFERROR(1/(1/_xlfn.MINIFS($AF$3:$IN$3,$AF$4:$IN$4,"SEW_ACT",$AF357:$IN357,"&gt;0")),99999))))</f>
        <v/>
      </c>
      <c r="AB357" s="26">
        <f>IF(OR($E357="",Z357=0,V357=""),"",1+COUNTIFS(Z$8:Z$707,"&gt;0",V$8:V$707,"&lt;"&amp;V357)+COUNTIFS(Z$8:Z$707,"&gt;0",V$8:V$707,V357,AA$8:AA$707,"&lt;"&amp;AA357)+COUNTIFS(Z$8:Z$707,"&gt;0",V$8:V$707,V357,AA$8:AA$707,AA357,E$8:E$707,"&lt;"&amp;$E357))</f>
        <v/>
      </c>
      <c r="AC357" s="24">
        <f>IF(OR($E357="",Z357=0),"",IFERROR(TODAY()+ROUNDUP(Z357/(SUMIFS($AF357:$IN357,$AF$4:$IN$4,"WASH_ACT")/COUNTIFS($AF$4:$IN$4,"WASH_ACT",$AF357:$IN357,"&gt;0")),0),"no output yet"))</f>
        <v/>
      </c>
      <c r="AD357" s="26">
        <f>IF($E357="","",IFERROR(ROUND(MAX(0,SUMIFS($AF357:$IN357,$AF$4:$IN$4,"SEW_PLAN",$AF$3:$IN$3,"&lt;="&amp;TODAY())-SUMIFS($AF357:$IN357,$AF$4:$IN$4,"SEW_ACT",$AF$3:$IN$3,"&lt;="&amp;TODAY())+N(Q357))/(SUMIFS($AF357:$IN357,$AF$4:$IN$4,"SEW_PLAN")/COUNTIFS($AF$4:$IN$4,"SEW_PLAN",$AF357:$IN357,"&gt;0")),1),0))</f>
        <v/>
      </c>
      <c r="AE357" s="26">
        <f>IF($E357="","",IF(AND(Z357&gt;0,OR(AND(M357&lt;&gt;"",TODAY()&gt;M357),AND(V357&lt;&gt;"",V357-TODAY()&lt;=7))),"Yes","No"))</f>
        <v/>
      </c>
      <c r="AH357">
        <f>IF(OR(AF$3="",AF$3&gt;TODAY()),"",IF(AND(AF357="",AG357=""),"",N(AG357)-N(AF357)))</f>
        <v/>
      </c>
      <c r="AK357">
        <f>IF(OR(AF$3="",AF$3&gt;TODAY()),"",IF(AND(AI357="",AJ357=""),"",N(AJ357)-N(AI357)))</f>
        <v/>
      </c>
      <c r="AO357">
        <f>IF(OR(AM$3="",AM$3&gt;TODAY()),"",IF(AND(AM357="",AN357=""),"",N(AN357)-N(AM357)))</f>
        <v/>
      </c>
      <c r="AR357">
        <f>IF(OR(AM$3="",AM$3&gt;TODAY()),"",IF(AND(AP357="",AQ357=""),"",N(AQ357)-N(AP357)))</f>
        <v/>
      </c>
      <c r="AV357">
        <f>IF(OR(AT$3="",AT$3&gt;TODAY()),"",IF(AND(AT357="",AU357=""),"",N(AU357)-N(AT357)))</f>
        <v/>
      </c>
      <c r="AY357">
        <f>IF(OR(AT$3="",AT$3&gt;TODAY()),"",IF(AND(AW357="",AX357=""),"",N(AX357)-N(AW357)))</f>
        <v/>
      </c>
      <c r="BC357">
        <f>IF(OR(BA$3="",BA$3&gt;TODAY()),"",IF(AND(BA357="",BB357=""),"",N(BB357)-N(BA357)))</f>
        <v/>
      </c>
      <c r="BF357">
        <f>IF(OR(BA$3="",BA$3&gt;TODAY()),"",IF(AND(BD357="",BE357=""),"",N(BE357)-N(BD357)))</f>
        <v/>
      </c>
      <c r="BJ357">
        <f>IF(OR(BH$3="",BH$3&gt;TODAY()),"",IF(AND(BH357="",BI357=""),"",N(BI357)-N(BH357)))</f>
        <v/>
      </c>
      <c r="BM357">
        <f>IF(OR(BH$3="",BH$3&gt;TODAY()),"",IF(AND(BK357="",BL357=""),"",N(BL357)-N(BK357)))</f>
        <v/>
      </c>
      <c r="BQ357">
        <f>IF(OR(BO$3="",BO$3&gt;TODAY()),"",IF(AND(BO357="",BP357=""),"",N(BP357)-N(BO357)))</f>
        <v/>
      </c>
      <c r="BT357">
        <f>IF(OR(BO$3="",BO$3&gt;TODAY()),"",IF(AND(BR357="",BS357=""),"",N(BS357)-N(BR357)))</f>
        <v/>
      </c>
      <c r="BX357">
        <f>IF(OR(BV$3="",BV$3&gt;TODAY()),"",IF(AND(BV357="",BW357=""),"",N(BW357)-N(BV357)))</f>
        <v/>
      </c>
      <c r="CA357">
        <f>IF(OR(BV$3="",BV$3&gt;TODAY()),"",IF(AND(BY357="",BZ357=""),"",N(BZ357)-N(BY357)))</f>
        <v/>
      </c>
      <c r="CE357">
        <f>IF(OR(CC$3="",CC$3&gt;TODAY()),"",IF(AND(CC357="",CD357=""),"",N(CD357)-N(CC357)))</f>
        <v/>
      </c>
      <c r="CH357">
        <f>IF(OR(CC$3="",CC$3&gt;TODAY()),"",IF(AND(CF357="",CG357=""),"",N(CG357)-N(CF357)))</f>
        <v/>
      </c>
      <c r="CL357">
        <f>IF(OR(CJ$3="",CJ$3&gt;TODAY()),"",IF(AND(CJ357="",CK357=""),"",N(CK357)-N(CJ357)))</f>
        <v/>
      </c>
      <c r="CO357">
        <f>IF(OR(CJ$3="",CJ$3&gt;TODAY()),"",IF(AND(CM357="",CN357=""),"",N(CN357)-N(CM357)))</f>
        <v/>
      </c>
      <c r="CS357">
        <f>IF(OR(CQ$3="",CQ$3&gt;TODAY()),"",IF(AND(CQ357="",CR357=""),"",N(CR357)-N(CQ357)))</f>
        <v/>
      </c>
      <c r="CV357">
        <f>IF(OR(CQ$3="",CQ$3&gt;TODAY()),"",IF(AND(CT357="",CU357=""),"",N(CU357)-N(CT357)))</f>
        <v/>
      </c>
      <c r="CZ357">
        <f>IF(OR(CX$3="",CX$3&gt;TODAY()),"",IF(AND(CX357="",CY357=""),"",N(CY357)-N(CX357)))</f>
        <v/>
      </c>
      <c r="DC357">
        <f>IF(OR(CX$3="",CX$3&gt;TODAY()),"",IF(AND(DA357="",DB357=""),"",N(DB357)-N(DA357)))</f>
        <v/>
      </c>
      <c r="DG357">
        <f>IF(OR(DE$3="",DE$3&gt;TODAY()),"",IF(AND(DE357="",DF357=""),"",N(DF357)-N(DE357)))</f>
        <v/>
      </c>
      <c r="DJ357">
        <f>IF(OR(DE$3="",DE$3&gt;TODAY()),"",IF(AND(DH357="",DI357=""),"",N(DI357)-N(DH357)))</f>
        <v/>
      </c>
      <c r="DN357">
        <f>IF(OR(DL$3="",DL$3&gt;TODAY()),"",IF(AND(DL357="",DM357=""),"",N(DM357)-N(DL357)))</f>
        <v/>
      </c>
      <c r="DQ357">
        <f>IF(OR(DL$3="",DL$3&gt;TODAY()),"",IF(AND(DO357="",DP357=""),"",N(DP357)-N(DO357)))</f>
        <v/>
      </c>
      <c r="DU357">
        <f>IF(OR(DS$3="",DS$3&gt;TODAY()),"",IF(AND(DS357="",DT357=""),"",N(DT357)-N(DS357)))</f>
        <v/>
      </c>
      <c r="DX357">
        <f>IF(OR(DS$3="",DS$3&gt;TODAY()),"",IF(AND(DV357="",DW357=""),"",N(DW357)-N(DV357)))</f>
        <v/>
      </c>
      <c r="EB357">
        <f>IF(OR(DZ$3="",DZ$3&gt;TODAY()),"",IF(AND(DZ357="",EA357=""),"",N(EA357)-N(DZ357)))</f>
        <v/>
      </c>
      <c r="EE357">
        <f>IF(OR(DZ$3="",DZ$3&gt;TODAY()),"",IF(AND(EC357="",ED357=""),"",N(ED357)-N(EC357)))</f>
        <v/>
      </c>
      <c r="EI357">
        <f>IF(OR(EG$3="",EG$3&gt;TODAY()),"",IF(AND(EG357="",EH357=""),"",N(EH357)-N(EG357)))</f>
        <v/>
      </c>
      <c r="EL357">
        <f>IF(OR(EG$3="",EG$3&gt;TODAY()),"",IF(AND(EJ357="",EK357=""),"",N(EK357)-N(EJ357)))</f>
        <v/>
      </c>
      <c r="EP357">
        <f>IF(OR(EN$3="",EN$3&gt;TODAY()),"",IF(AND(EN357="",EO357=""),"",N(EO357)-N(EN357)))</f>
        <v/>
      </c>
      <c r="ES357">
        <f>IF(OR(EN$3="",EN$3&gt;TODAY()),"",IF(AND(EQ357="",ER357=""),"",N(ER357)-N(EQ357)))</f>
        <v/>
      </c>
      <c r="EW357">
        <f>IF(OR(EU$3="",EU$3&gt;TODAY()),"",IF(AND(EU357="",EV357=""),"",N(EV357)-N(EU357)))</f>
        <v/>
      </c>
      <c r="EZ357">
        <f>IF(OR(EU$3="",EU$3&gt;TODAY()),"",IF(AND(EX357="",EY357=""),"",N(EY357)-N(EX357)))</f>
        <v/>
      </c>
      <c r="FD357">
        <f>IF(OR(FB$3="",FB$3&gt;TODAY()),"",IF(AND(FB357="",FC357=""),"",N(FC357)-N(FB357)))</f>
        <v/>
      </c>
      <c r="FG357">
        <f>IF(OR(FB$3="",FB$3&gt;TODAY()),"",IF(AND(FE357="",FF357=""),"",N(FF357)-N(FE357)))</f>
        <v/>
      </c>
      <c r="FK357">
        <f>IF(OR(FI$3="",FI$3&gt;TODAY()),"",IF(AND(FI357="",FJ357=""),"",N(FJ357)-N(FI357)))</f>
        <v/>
      </c>
      <c r="FN357">
        <f>IF(OR(FI$3="",FI$3&gt;TODAY()),"",IF(AND(FL357="",FM357=""),"",N(FM357)-N(FL357)))</f>
        <v/>
      </c>
      <c r="FR357">
        <f>IF(OR(FP$3="",FP$3&gt;TODAY()),"",IF(AND(FP357="",FQ357=""),"",N(FQ357)-N(FP357)))</f>
        <v/>
      </c>
      <c r="FU357">
        <f>IF(OR(FP$3="",FP$3&gt;TODAY()),"",IF(AND(FS357="",FT357=""),"",N(FT357)-N(FS357)))</f>
        <v/>
      </c>
      <c r="FY357">
        <f>IF(OR(FW$3="",FW$3&gt;TODAY()),"",IF(AND(FW357="",FX357=""),"",N(FX357)-N(FW357)))</f>
        <v/>
      </c>
      <c r="GB357">
        <f>IF(OR(FW$3="",FW$3&gt;TODAY()),"",IF(AND(FZ357="",GA357=""),"",N(GA357)-N(FZ357)))</f>
        <v/>
      </c>
      <c r="GF357">
        <f>IF(OR(GD$3="",GD$3&gt;TODAY()),"",IF(AND(GD357="",GE357=""),"",N(GE357)-N(GD357)))</f>
        <v/>
      </c>
      <c r="GI357">
        <f>IF(OR(GD$3="",GD$3&gt;TODAY()),"",IF(AND(GG357="",GH357=""),"",N(GH357)-N(GG357)))</f>
        <v/>
      </c>
      <c r="GM357">
        <f>IF(OR(GK$3="",GK$3&gt;TODAY()),"",IF(AND(GK357="",GL357=""),"",N(GL357)-N(GK357)))</f>
        <v/>
      </c>
      <c r="GP357">
        <f>IF(OR(GK$3="",GK$3&gt;TODAY()),"",IF(AND(GN357="",GO357=""),"",N(GO357)-N(GN357)))</f>
        <v/>
      </c>
      <c r="GT357">
        <f>IF(OR(GR$3="",GR$3&gt;TODAY()),"",IF(AND(GR357="",GS357=""),"",N(GS357)-N(GR357)))</f>
        <v/>
      </c>
      <c r="GW357">
        <f>IF(OR(GR$3="",GR$3&gt;TODAY()),"",IF(AND(GU357="",GV357=""),"",N(GV357)-N(GU357)))</f>
        <v/>
      </c>
      <c r="HA357">
        <f>IF(OR(GY$3="",GY$3&gt;TODAY()),"",IF(AND(GY357="",GZ357=""),"",N(GZ357)-N(GY357)))</f>
        <v/>
      </c>
      <c r="HD357">
        <f>IF(OR(GY$3="",GY$3&gt;TODAY()),"",IF(AND(HB357="",HC357=""),"",N(HC357)-N(HB357)))</f>
        <v/>
      </c>
      <c r="HH357">
        <f>IF(OR(HF$3="",HF$3&gt;TODAY()),"",IF(AND(HF357="",HG357=""),"",N(HG357)-N(HF357)))</f>
        <v/>
      </c>
      <c r="HK357">
        <f>IF(OR(HF$3="",HF$3&gt;TODAY()),"",IF(AND(HI357="",HJ357=""),"",N(HJ357)-N(HI357)))</f>
        <v/>
      </c>
      <c r="HO357">
        <f>IF(OR(HM$3="",HM$3&gt;TODAY()),"",IF(AND(HM357="",HN357=""),"",N(HN357)-N(HM357)))</f>
        <v/>
      </c>
      <c r="HR357">
        <f>IF(OR(HM$3="",HM$3&gt;TODAY()),"",IF(AND(HP357="",HQ357=""),"",N(HQ357)-N(HP357)))</f>
        <v/>
      </c>
      <c r="HV357">
        <f>IF(OR(HT$3="",HT$3&gt;TODAY()),"",IF(AND(HT357="",HU357=""),"",N(HU357)-N(HT357)))</f>
        <v/>
      </c>
      <c r="HY357">
        <f>IF(OR(HT$3="",HT$3&gt;TODAY()),"",IF(AND(HW357="",HX357=""),"",N(HX357)-N(HW357)))</f>
        <v/>
      </c>
      <c r="IC357">
        <f>IF(OR(IA$3="",IA$3&gt;TODAY()),"",IF(AND(IA357="",IB357=""),"",N(IB357)-N(IA357)))</f>
        <v/>
      </c>
      <c r="IF357">
        <f>IF(OR(IA$3="",IA$3&gt;TODAY()),"",IF(AND(ID357="",IE357=""),"",N(IE357)-N(ID357)))</f>
        <v/>
      </c>
      <c r="IJ357">
        <f>IF(OR(IH$3="",IH$3&gt;TODAY()),"",IF(AND(IH357="",II357=""),"",N(II357)-N(IH357)))</f>
        <v/>
      </c>
      <c r="IM357">
        <f>IF(OR(IH$3="",IH$3&gt;TODAY()),"",IF(AND(IK357="",IL357=""),"",N(IL357)-N(IK357)))</f>
        <v/>
      </c>
    </row>
    <row r="358">
      <c r="A358" s="21" t="n"/>
      <c r="B358" s="21" t="n"/>
      <c r="C358" s="21" t="n"/>
      <c r="D358" s="21" t="n"/>
      <c r="E358" s="21" t="n"/>
      <c r="F358" s="21" t="n"/>
      <c r="G358" s="21" t="n"/>
      <c r="H358" s="21" t="n"/>
      <c r="I358" s="22" t="n"/>
      <c r="J358" s="22" t="n"/>
      <c r="K358" s="23" t="n"/>
      <c r="L358" s="22" t="n"/>
      <c r="M358" s="22" t="n"/>
      <c r="N358" s="21" t="n"/>
      <c r="O358" s="23" t="n"/>
      <c r="P358" s="23" t="n"/>
      <c r="Q358" s="23" t="n"/>
      <c r="R358" s="23" t="n"/>
      <c r="S358" s="22" t="n"/>
      <c r="T358" s="23" t="n"/>
      <c r="U358" s="23" t="n"/>
      <c r="V358" s="24">
        <f>IF(J358&lt;&gt;"",J358,IF(I358&lt;&gt;"",I358,""))</f>
        <v/>
      </c>
      <c r="W358" s="25">
        <f>IF($E358="","",N(O358)+SUMIFS($AF358:$IN358,$AF$4:$IN$4,"SEW_ACT"))</f>
        <v/>
      </c>
      <c r="X358" s="25">
        <f>IF($E358="","",N(P358)+SUMIFS($AF358:$IN358,$AF$4:$IN$4,"WASH_ACT"))</f>
        <v/>
      </c>
      <c r="Y358" s="25">
        <f>IF($E358="","",W358-X358-N(T358)-N(U358))</f>
        <v/>
      </c>
      <c r="Z358" s="25">
        <f>IF($E358="","",IF(N(K358)-X358&lt;=0.02*N(K358),0,N(K358)-X358))</f>
        <v/>
      </c>
      <c r="AA358" s="24">
        <f>IF($E358="","",IF(S358&lt;&gt;"",S358,IF(N(O358)&gt;0,IF(L358&lt;&gt;"",L358,99999),IFERROR(1/(1/_xlfn.MINIFS($AF$3:$IN$3,$AF$4:$IN$4,"SEW_ACT",$AF358:$IN358,"&gt;0")),99999))))</f>
        <v/>
      </c>
      <c r="AB358" s="26">
        <f>IF(OR($E358="",Z358=0,V358=""),"",1+COUNTIFS(Z$8:Z$707,"&gt;0",V$8:V$707,"&lt;"&amp;V358)+COUNTIFS(Z$8:Z$707,"&gt;0",V$8:V$707,V358,AA$8:AA$707,"&lt;"&amp;AA358)+COUNTIFS(Z$8:Z$707,"&gt;0",V$8:V$707,V358,AA$8:AA$707,AA358,E$8:E$707,"&lt;"&amp;$E358))</f>
        <v/>
      </c>
      <c r="AC358" s="24">
        <f>IF(OR($E358="",Z358=0),"",IFERROR(TODAY()+ROUNDUP(Z358/(SUMIFS($AF358:$IN358,$AF$4:$IN$4,"WASH_ACT")/COUNTIFS($AF$4:$IN$4,"WASH_ACT",$AF358:$IN358,"&gt;0")),0),"no output yet"))</f>
        <v/>
      </c>
      <c r="AD358" s="26">
        <f>IF($E358="","",IFERROR(ROUND(MAX(0,SUMIFS($AF358:$IN358,$AF$4:$IN$4,"SEW_PLAN",$AF$3:$IN$3,"&lt;="&amp;TODAY())-SUMIFS($AF358:$IN358,$AF$4:$IN$4,"SEW_ACT",$AF$3:$IN$3,"&lt;="&amp;TODAY())+N(Q358))/(SUMIFS($AF358:$IN358,$AF$4:$IN$4,"SEW_PLAN")/COUNTIFS($AF$4:$IN$4,"SEW_PLAN",$AF358:$IN358,"&gt;0")),1),0))</f>
        <v/>
      </c>
      <c r="AE358" s="26">
        <f>IF($E358="","",IF(AND(Z358&gt;0,OR(AND(M358&lt;&gt;"",TODAY()&gt;M358),AND(V358&lt;&gt;"",V358-TODAY()&lt;=7))),"Yes","No"))</f>
        <v/>
      </c>
      <c r="AH358">
        <f>IF(OR(AF$3="",AF$3&gt;TODAY()),"",IF(AND(AF358="",AG358=""),"",N(AG358)-N(AF358)))</f>
        <v/>
      </c>
      <c r="AK358">
        <f>IF(OR(AF$3="",AF$3&gt;TODAY()),"",IF(AND(AI358="",AJ358=""),"",N(AJ358)-N(AI358)))</f>
        <v/>
      </c>
      <c r="AO358">
        <f>IF(OR(AM$3="",AM$3&gt;TODAY()),"",IF(AND(AM358="",AN358=""),"",N(AN358)-N(AM358)))</f>
        <v/>
      </c>
      <c r="AR358">
        <f>IF(OR(AM$3="",AM$3&gt;TODAY()),"",IF(AND(AP358="",AQ358=""),"",N(AQ358)-N(AP358)))</f>
        <v/>
      </c>
      <c r="AV358">
        <f>IF(OR(AT$3="",AT$3&gt;TODAY()),"",IF(AND(AT358="",AU358=""),"",N(AU358)-N(AT358)))</f>
        <v/>
      </c>
      <c r="AY358">
        <f>IF(OR(AT$3="",AT$3&gt;TODAY()),"",IF(AND(AW358="",AX358=""),"",N(AX358)-N(AW358)))</f>
        <v/>
      </c>
      <c r="BC358">
        <f>IF(OR(BA$3="",BA$3&gt;TODAY()),"",IF(AND(BA358="",BB358=""),"",N(BB358)-N(BA358)))</f>
        <v/>
      </c>
      <c r="BF358">
        <f>IF(OR(BA$3="",BA$3&gt;TODAY()),"",IF(AND(BD358="",BE358=""),"",N(BE358)-N(BD358)))</f>
        <v/>
      </c>
      <c r="BJ358">
        <f>IF(OR(BH$3="",BH$3&gt;TODAY()),"",IF(AND(BH358="",BI358=""),"",N(BI358)-N(BH358)))</f>
        <v/>
      </c>
      <c r="BM358">
        <f>IF(OR(BH$3="",BH$3&gt;TODAY()),"",IF(AND(BK358="",BL358=""),"",N(BL358)-N(BK358)))</f>
        <v/>
      </c>
      <c r="BQ358">
        <f>IF(OR(BO$3="",BO$3&gt;TODAY()),"",IF(AND(BO358="",BP358=""),"",N(BP358)-N(BO358)))</f>
        <v/>
      </c>
      <c r="BT358">
        <f>IF(OR(BO$3="",BO$3&gt;TODAY()),"",IF(AND(BR358="",BS358=""),"",N(BS358)-N(BR358)))</f>
        <v/>
      </c>
      <c r="BX358">
        <f>IF(OR(BV$3="",BV$3&gt;TODAY()),"",IF(AND(BV358="",BW358=""),"",N(BW358)-N(BV358)))</f>
        <v/>
      </c>
      <c r="CA358">
        <f>IF(OR(BV$3="",BV$3&gt;TODAY()),"",IF(AND(BY358="",BZ358=""),"",N(BZ358)-N(BY358)))</f>
        <v/>
      </c>
      <c r="CE358">
        <f>IF(OR(CC$3="",CC$3&gt;TODAY()),"",IF(AND(CC358="",CD358=""),"",N(CD358)-N(CC358)))</f>
        <v/>
      </c>
      <c r="CH358">
        <f>IF(OR(CC$3="",CC$3&gt;TODAY()),"",IF(AND(CF358="",CG358=""),"",N(CG358)-N(CF358)))</f>
        <v/>
      </c>
      <c r="CL358">
        <f>IF(OR(CJ$3="",CJ$3&gt;TODAY()),"",IF(AND(CJ358="",CK358=""),"",N(CK358)-N(CJ358)))</f>
        <v/>
      </c>
      <c r="CO358">
        <f>IF(OR(CJ$3="",CJ$3&gt;TODAY()),"",IF(AND(CM358="",CN358=""),"",N(CN358)-N(CM358)))</f>
        <v/>
      </c>
      <c r="CS358">
        <f>IF(OR(CQ$3="",CQ$3&gt;TODAY()),"",IF(AND(CQ358="",CR358=""),"",N(CR358)-N(CQ358)))</f>
        <v/>
      </c>
      <c r="CV358">
        <f>IF(OR(CQ$3="",CQ$3&gt;TODAY()),"",IF(AND(CT358="",CU358=""),"",N(CU358)-N(CT358)))</f>
        <v/>
      </c>
      <c r="CZ358">
        <f>IF(OR(CX$3="",CX$3&gt;TODAY()),"",IF(AND(CX358="",CY358=""),"",N(CY358)-N(CX358)))</f>
        <v/>
      </c>
      <c r="DC358">
        <f>IF(OR(CX$3="",CX$3&gt;TODAY()),"",IF(AND(DA358="",DB358=""),"",N(DB358)-N(DA358)))</f>
        <v/>
      </c>
      <c r="DG358">
        <f>IF(OR(DE$3="",DE$3&gt;TODAY()),"",IF(AND(DE358="",DF358=""),"",N(DF358)-N(DE358)))</f>
        <v/>
      </c>
      <c r="DJ358">
        <f>IF(OR(DE$3="",DE$3&gt;TODAY()),"",IF(AND(DH358="",DI358=""),"",N(DI358)-N(DH358)))</f>
        <v/>
      </c>
      <c r="DN358">
        <f>IF(OR(DL$3="",DL$3&gt;TODAY()),"",IF(AND(DL358="",DM358=""),"",N(DM358)-N(DL358)))</f>
        <v/>
      </c>
      <c r="DQ358">
        <f>IF(OR(DL$3="",DL$3&gt;TODAY()),"",IF(AND(DO358="",DP358=""),"",N(DP358)-N(DO358)))</f>
        <v/>
      </c>
      <c r="DU358">
        <f>IF(OR(DS$3="",DS$3&gt;TODAY()),"",IF(AND(DS358="",DT358=""),"",N(DT358)-N(DS358)))</f>
        <v/>
      </c>
      <c r="DX358">
        <f>IF(OR(DS$3="",DS$3&gt;TODAY()),"",IF(AND(DV358="",DW358=""),"",N(DW358)-N(DV358)))</f>
        <v/>
      </c>
      <c r="EB358">
        <f>IF(OR(DZ$3="",DZ$3&gt;TODAY()),"",IF(AND(DZ358="",EA358=""),"",N(EA358)-N(DZ358)))</f>
        <v/>
      </c>
      <c r="EE358">
        <f>IF(OR(DZ$3="",DZ$3&gt;TODAY()),"",IF(AND(EC358="",ED358=""),"",N(ED358)-N(EC358)))</f>
        <v/>
      </c>
      <c r="EI358">
        <f>IF(OR(EG$3="",EG$3&gt;TODAY()),"",IF(AND(EG358="",EH358=""),"",N(EH358)-N(EG358)))</f>
        <v/>
      </c>
      <c r="EL358">
        <f>IF(OR(EG$3="",EG$3&gt;TODAY()),"",IF(AND(EJ358="",EK358=""),"",N(EK358)-N(EJ358)))</f>
        <v/>
      </c>
      <c r="EP358">
        <f>IF(OR(EN$3="",EN$3&gt;TODAY()),"",IF(AND(EN358="",EO358=""),"",N(EO358)-N(EN358)))</f>
        <v/>
      </c>
      <c r="ES358">
        <f>IF(OR(EN$3="",EN$3&gt;TODAY()),"",IF(AND(EQ358="",ER358=""),"",N(ER358)-N(EQ358)))</f>
        <v/>
      </c>
      <c r="EW358">
        <f>IF(OR(EU$3="",EU$3&gt;TODAY()),"",IF(AND(EU358="",EV358=""),"",N(EV358)-N(EU358)))</f>
        <v/>
      </c>
      <c r="EZ358">
        <f>IF(OR(EU$3="",EU$3&gt;TODAY()),"",IF(AND(EX358="",EY358=""),"",N(EY358)-N(EX358)))</f>
        <v/>
      </c>
      <c r="FD358">
        <f>IF(OR(FB$3="",FB$3&gt;TODAY()),"",IF(AND(FB358="",FC358=""),"",N(FC358)-N(FB358)))</f>
        <v/>
      </c>
      <c r="FG358">
        <f>IF(OR(FB$3="",FB$3&gt;TODAY()),"",IF(AND(FE358="",FF358=""),"",N(FF358)-N(FE358)))</f>
        <v/>
      </c>
      <c r="FK358">
        <f>IF(OR(FI$3="",FI$3&gt;TODAY()),"",IF(AND(FI358="",FJ358=""),"",N(FJ358)-N(FI358)))</f>
        <v/>
      </c>
      <c r="FN358">
        <f>IF(OR(FI$3="",FI$3&gt;TODAY()),"",IF(AND(FL358="",FM358=""),"",N(FM358)-N(FL358)))</f>
        <v/>
      </c>
      <c r="FR358">
        <f>IF(OR(FP$3="",FP$3&gt;TODAY()),"",IF(AND(FP358="",FQ358=""),"",N(FQ358)-N(FP358)))</f>
        <v/>
      </c>
      <c r="FU358">
        <f>IF(OR(FP$3="",FP$3&gt;TODAY()),"",IF(AND(FS358="",FT358=""),"",N(FT358)-N(FS358)))</f>
        <v/>
      </c>
      <c r="FY358">
        <f>IF(OR(FW$3="",FW$3&gt;TODAY()),"",IF(AND(FW358="",FX358=""),"",N(FX358)-N(FW358)))</f>
        <v/>
      </c>
      <c r="GB358">
        <f>IF(OR(FW$3="",FW$3&gt;TODAY()),"",IF(AND(FZ358="",GA358=""),"",N(GA358)-N(FZ358)))</f>
        <v/>
      </c>
      <c r="GF358">
        <f>IF(OR(GD$3="",GD$3&gt;TODAY()),"",IF(AND(GD358="",GE358=""),"",N(GE358)-N(GD358)))</f>
        <v/>
      </c>
      <c r="GI358">
        <f>IF(OR(GD$3="",GD$3&gt;TODAY()),"",IF(AND(GG358="",GH358=""),"",N(GH358)-N(GG358)))</f>
        <v/>
      </c>
      <c r="GM358">
        <f>IF(OR(GK$3="",GK$3&gt;TODAY()),"",IF(AND(GK358="",GL358=""),"",N(GL358)-N(GK358)))</f>
        <v/>
      </c>
      <c r="GP358">
        <f>IF(OR(GK$3="",GK$3&gt;TODAY()),"",IF(AND(GN358="",GO358=""),"",N(GO358)-N(GN358)))</f>
        <v/>
      </c>
      <c r="GT358">
        <f>IF(OR(GR$3="",GR$3&gt;TODAY()),"",IF(AND(GR358="",GS358=""),"",N(GS358)-N(GR358)))</f>
        <v/>
      </c>
      <c r="GW358">
        <f>IF(OR(GR$3="",GR$3&gt;TODAY()),"",IF(AND(GU358="",GV358=""),"",N(GV358)-N(GU358)))</f>
        <v/>
      </c>
      <c r="HA358">
        <f>IF(OR(GY$3="",GY$3&gt;TODAY()),"",IF(AND(GY358="",GZ358=""),"",N(GZ358)-N(GY358)))</f>
        <v/>
      </c>
      <c r="HD358">
        <f>IF(OR(GY$3="",GY$3&gt;TODAY()),"",IF(AND(HB358="",HC358=""),"",N(HC358)-N(HB358)))</f>
        <v/>
      </c>
      <c r="HH358">
        <f>IF(OR(HF$3="",HF$3&gt;TODAY()),"",IF(AND(HF358="",HG358=""),"",N(HG358)-N(HF358)))</f>
        <v/>
      </c>
      <c r="HK358">
        <f>IF(OR(HF$3="",HF$3&gt;TODAY()),"",IF(AND(HI358="",HJ358=""),"",N(HJ358)-N(HI358)))</f>
        <v/>
      </c>
      <c r="HO358">
        <f>IF(OR(HM$3="",HM$3&gt;TODAY()),"",IF(AND(HM358="",HN358=""),"",N(HN358)-N(HM358)))</f>
        <v/>
      </c>
      <c r="HR358">
        <f>IF(OR(HM$3="",HM$3&gt;TODAY()),"",IF(AND(HP358="",HQ358=""),"",N(HQ358)-N(HP358)))</f>
        <v/>
      </c>
      <c r="HV358">
        <f>IF(OR(HT$3="",HT$3&gt;TODAY()),"",IF(AND(HT358="",HU358=""),"",N(HU358)-N(HT358)))</f>
        <v/>
      </c>
      <c r="HY358">
        <f>IF(OR(HT$3="",HT$3&gt;TODAY()),"",IF(AND(HW358="",HX358=""),"",N(HX358)-N(HW358)))</f>
        <v/>
      </c>
      <c r="IC358">
        <f>IF(OR(IA$3="",IA$3&gt;TODAY()),"",IF(AND(IA358="",IB358=""),"",N(IB358)-N(IA358)))</f>
        <v/>
      </c>
      <c r="IF358">
        <f>IF(OR(IA$3="",IA$3&gt;TODAY()),"",IF(AND(ID358="",IE358=""),"",N(IE358)-N(ID358)))</f>
        <v/>
      </c>
      <c r="IJ358">
        <f>IF(OR(IH$3="",IH$3&gt;TODAY()),"",IF(AND(IH358="",II358=""),"",N(II358)-N(IH358)))</f>
        <v/>
      </c>
      <c r="IM358">
        <f>IF(OR(IH$3="",IH$3&gt;TODAY()),"",IF(AND(IK358="",IL358=""),"",N(IL358)-N(IK358)))</f>
        <v/>
      </c>
    </row>
    <row r="359">
      <c r="A359" s="21" t="n"/>
      <c r="B359" s="21" t="n"/>
      <c r="C359" s="21" t="n"/>
      <c r="D359" s="21" t="n"/>
      <c r="E359" s="21" t="n"/>
      <c r="F359" s="21" t="n"/>
      <c r="G359" s="21" t="n"/>
      <c r="H359" s="21" t="n"/>
      <c r="I359" s="22" t="n"/>
      <c r="J359" s="22" t="n"/>
      <c r="K359" s="23" t="n"/>
      <c r="L359" s="22" t="n"/>
      <c r="M359" s="22" t="n"/>
      <c r="N359" s="21" t="n"/>
      <c r="O359" s="23" t="n"/>
      <c r="P359" s="23" t="n"/>
      <c r="Q359" s="23" t="n"/>
      <c r="R359" s="23" t="n"/>
      <c r="S359" s="22" t="n"/>
      <c r="T359" s="23" t="n"/>
      <c r="U359" s="23" t="n"/>
      <c r="V359" s="24">
        <f>IF(J359&lt;&gt;"",J359,IF(I359&lt;&gt;"",I359,""))</f>
        <v/>
      </c>
      <c r="W359" s="25">
        <f>IF($E359="","",N(O359)+SUMIFS($AF359:$IN359,$AF$4:$IN$4,"SEW_ACT"))</f>
        <v/>
      </c>
      <c r="X359" s="25">
        <f>IF($E359="","",N(P359)+SUMIFS($AF359:$IN359,$AF$4:$IN$4,"WASH_ACT"))</f>
        <v/>
      </c>
      <c r="Y359" s="25">
        <f>IF($E359="","",W359-X359-N(T359)-N(U359))</f>
        <v/>
      </c>
      <c r="Z359" s="25">
        <f>IF($E359="","",IF(N(K359)-X359&lt;=0.02*N(K359),0,N(K359)-X359))</f>
        <v/>
      </c>
      <c r="AA359" s="24">
        <f>IF($E359="","",IF(S359&lt;&gt;"",S359,IF(N(O359)&gt;0,IF(L359&lt;&gt;"",L359,99999),IFERROR(1/(1/_xlfn.MINIFS($AF$3:$IN$3,$AF$4:$IN$4,"SEW_ACT",$AF359:$IN359,"&gt;0")),99999))))</f>
        <v/>
      </c>
      <c r="AB359" s="26">
        <f>IF(OR($E359="",Z359=0,V359=""),"",1+COUNTIFS(Z$8:Z$707,"&gt;0",V$8:V$707,"&lt;"&amp;V359)+COUNTIFS(Z$8:Z$707,"&gt;0",V$8:V$707,V359,AA$8:AA$707,"&lt;"&amp;AA359)+COUNTIFS(Z$8:Z$707,"&gt;0",V$8:V$707,V359,AA$8:AA$707,AA359,E$8:E$707,"&lt;"&amp;$E359))</f>
        <v/>
      </c>
      <c r="AC359" s="24">
        <f>IF(OR($E359="",Z359=0),"",IFERROR(TODAY()+ROUNDUP(Z359/(SUMIFS($AF359:$IN359,$AF$4:$IN$4,"WASH_ACT")/COUNTIFS($AF$4:$IN$4,"WASH_ACT",$AF359:$IN359,"&gt;0")),0),"no output yet"))</f>
        <v/>
      </c>
      <c r="AD359" s="26">
        <f>IF($E359="","",IFERROR(ROUND(MAX(0,SUMIFS($AF359:$IN359,$AF$4:$IN$4,"SEW_PLAN",$AF$3:$IN$3,"&lt;="&amp;TODAY())-SUMIFS($AF359:$IN359,$AF$4:$IN$4,"SEW_ACT",$AF$3:$IN$3,"&lt;="&amp;TODAY())+N(Q359))/(SUMIFS($AF359:$IN359,$AF$4:$IN$4,"SEW_PLAN")/COUNTIFS($AF$4:$IN$4,"SEW_PLAN",$AF359:$IN359,"&gt;0")),1),0))</f>
        <v/>
      </c>
      <c r="AE359" s="26">
        <f>IF($E359="","",IF(AND(Z359&gt;0,OR(AND(M359&lt;&gt;"",TODAY()&gt;M359),AND(V359&lt;&gt;"",V359-TODAY()&lt;=7))),"Yes","No"))</f>
        <v/>
      </c>
      <c r="AH359">
        <f>IF(OR(AF$3="",AF$3&gt;TODAY()),"",IF(AND(AF359="",AG359=""),"",N(AG359)-N(AF359)))</f>
        <v/>
      </c>
      <c r="AK359">
        <f>IF(OR(AF$3="",AF$3&gt;TODAY()),"",IF(AND(AI359="",AJ359=""),"",N(AJ359)-N(AI359)))</f>
        <v/>
      </c>
      <c r="AO359">
        <f>IF(OR(AM$3="",AM$3&gt;TODAY()),"",IF(AND(AM359="",AN359=""),"",N(AN359)-N(AM359)))</f>
        <v/>
      </c>
      <c r="AR359">
        <f>IF(OR(AM$3="",AM$3&gt;TODAY()),"",IF(AND(AP359="",AQ359=""),"",N(AQ359)-N(AP359)))</f>
        <v/>
      </c>
      <c r="AV359">
        <f>IF(OR(AT$3="",AT$3&gt;TODAY()),"",IF(AND(AT359="",AU359=""),"",N(AU359)-N(AT359)))</f>
        <v/>
      </c>
      <c r="AY359">
        <f>IF(OR(AT$3="",AT$3&gt;TODAY()),"",IF(AND(AW359="",AX359=""),"",N(AX359)-N(AW359)))</f>
        <v/>
      </c>
      <c r="BC359">
        <f>IF(OR(BA$3="",BA$3&gt;TODAY()),"",IF(AND(BA359="",BB359=""),"",N(BB359)-N(BA359)))</f>
        <v/>
      </c>
      <c r="BF359">
        <f>IF(OR(BA$3="",BA$3&gt;TODAY()),"",IF(AND(BD359="",BE359=""),"",N(BE359)-N(BD359)))</f>
        <v/>
      </c>
      <c r="BJ359">
        <f>IF(OR(BH$3="",BH$3&gt;TODAY()),"",IF(AND(BH359="",BI359=""),"",N(BI359)-N(BH359)))</f>
        <v/>
      </c>
      <c r="BM359">
        <f>IF(OR(BH$3="",BH$3&gt;TODAY()),"",IF(AND(BK359="",BL359=""),"",N(BL359)-N(BK359)))</f>
        <v/>
      </c>
      <c r="BQ359">
        <f>IF(OR(BO$3="",BO$3&gt;TODAY()),"",IF(AND(BO359="",BP359=""),"",N(BP359)-N(BO359)))</f>
        <v/>
      </c>
      <c r="BT359">
        <f>IF(OR(BO$3="",BO$3&gt;TODAY()),"",IF(AND(BR359="",BS359=""),"",N(BS359)-N(BR359)))</f>
        <v/>
      </c>
      <c r="BX359">
        <f>IF(OR(BV$3="",BV$3&gt;TODAY()),"",IF(AND(BV359="",BW359=""),"",N(BW359)-N(BV359)))</f>
        <v/>
      </c>
      <c r="CA359">
        <f>IF(OR(BV$3="",BV$3&gt;TODAY()),"",IF(AND(BY359="",BZ359=""),"",N(BZ359)-N(BY359)))</f>
        <v/>
      </c>
      <c r="CE359">
        <f>IF(OR(CC$3="",CC$3&gt;TODAY()),"",IF(AND(CC359="",CD359=""),"",N(CD359)-N(CC359)))</f>
        <v/>
      </c>
      <c r="CH359">
        <f>IF(OR(CC$3="",CC$3&gt;TODAY()),"",IF(AND(CF359="",CG359=""),"",N(CG359)-N(CF359)))</f>
        <v/>
      </c>
      <c r="CL359">
        <f>IF(OR(CJ$3="",CJ$3&gt;TODAY()),"",IF(AND(CJ359="",CK359=""),"",N(CK359)-N(CJ359)))</f>
        <v/>
      </c>
      <c r="CO359">
        <f>IF(OR(CJ$3="",CJ$3&gt;TODAY()),"",IF(AND(CM359="",CN359=""),"",N(CN359)-N(CM359)))</f>
        <v/>
      </c>
      <c r="CS359">
        <f>IF(OR(CQ$3="",CQ$3&gt;TODAY()),"",IF(AND(CQ359="",CR359=""),"",N(CR359)-N(CQ359)))</f>
        <v/>
      </c>
      <c r="CV359">
        <f>IF(OR(CQ$3="",CQ$3&gt;TODAY()),"",IF(AND(CT359="",CU359=""),"",N(CU359)-N(CT359)))</f>
        <v/>
      </c>
      <c r="CZ359">
        <f>IF(OR(CX$3="",CX$3&gt;TODAY()),"",IF(AND(CX359="",CY359=""),"",N(CY359)-N(CX359)))</f>
        <v/>
      </c>
      <c r="DC359">
        <f>IF(OR(CX$3="",CX$3&gt;TODAY()),"",IF(AND(DA359="",DB359=""),"",N(DB359)-N(DA359)))</f>
        <v/>
      </c>
      <c r="DG359">
        <f>IF(OR(DE$3="",DE$3&gt;TODAY()),"",IF(AND(DE359="",DF359=""),"",N(DF359)-N(DE359)))</f>
        <v/>
      </c>
      <c r="DJ359">
        <f>IF(OR(DE$3="",DE$3&gt;TODAY()),"",IF(AND(DH359="",DI359=""),"",N(DI359)-N(DH359)))</f>
        <v/>
      </c>
      <c r="DN359">
        <f>IF(OR(DL$3="",DL$3&gt;TODAY()),"",IF(AND(DL359="",DM359=""),"",N(DM359)-N(DL359)))</f>
        <v/>
      </c>
      <c r="DQ359">
        <f>IF(OR(DL$3="",DL$3&gt;TODAY()),"",IF(AND(DO359="",DP359=""),"",N(DP359)-N(DO359)))</f>
        <v/>
      </c>
      <c r="DU359">
        <f>IF(OR(DS$3="",DS$3&gt;TODAY()),"",IF(AND(DS359="",DT359=""),"",N(DT359)-N(DS359)))</f>
        <v/>
      </c>
      <c r="DX359">
        <f>IF(OR(DS$3="",DS$3&gt;TODAY()),"",IF(AND(DV359="",DW359=""),"",N(DW359)-N(DV359)))</f>
        <v/>
      </c>
      <c r="EB359">
        <f>IF(OR(DZ$3="",DZ$3&gt;TODAY()),"",IF(AND(DZ359="",EA359=""),"",N(EA359)-N(DZ359)))</f>
        <v/>
      </c>
      <c r="EE359">
        <f>IF(OR(DZ$3="",DZ$3&gt;TODAY()),"",IF(AND(EC359="",ED359=""),"",N(ED359)-N(EC359)))</f>
        <v/>
      </c>
      <c r="EI359">
        <f>IF(OR(EG$3="",EG$3&gt;TODAY()),"",IF(AND(EG359="",EH359=""),"",N(EH359)-N(EG359)))</f>
        <v/>
      </c>
      <c r="EL359">
        <f>IF(OR(EG$3="",EG$3&gt;TODAY()),"",IF(AND(EJ359="",EK359=""),"",N(EK359)-N(EJ359)))</f>
        <v/>
      </c>
      <c r="EP359">
        <f>IF(OR(EN$3="",EN$3&gt;TODAY()),"",IF(AND(EN359="",EO359=""),"",N(EO359)-N(EN359)))</f>
        <v/>
      </c>
      <c r="ES359">
        <f>IF(OR(EN$3="",EN$3&gt;TODAY()),"",IF(AND(EQ359="",ER359=""),"",N(ER359)-N(EQ359)))</f>
        <v/>
      </c>
      <c r="EW359">
        <f>IF(OR(EU$3="",EU$3&gt;TODAY()),"",IF(AND(EU359="",EV359=""),"",N(EV359)-N(EU359)))</f>
        <v/>
      </c>
      <c r="EZ359">
        <f>IF(OR(EU$3="",EU$3&gt;TODAY()),"",IF(AND(EX359="",EY359=""),"",N(EY359)-N(EX359)))</f>
        <v/>
      </c>
      <c r="FD359">
        <f>IF(OR(FB$3="",FB$3&gt;TODAY()),"",IF(AND(FB359="",FC359=""),"",N(FC359)-N(FB359)))</f>
        <v/>
      </c>
      <c r="FG359">
        <f>IF(OR(FB$3="",FB$3&gt;TODAY()),"",IF(AND(FE359="",FF359=""),"",N(FF359)-N(FE359)))</f>
        <v/>
      </c>
      <c r="FK359">
        <f>IF(OR(FI$3="",FI$3&gt;TODAY()),"",IF(AND(FI359="",FJ359=""),"",N(FJ359)-N(FI359)))</f>
        <v/>
      </c>
      <c r="FN359">
        <f>IF(OR(FI$3="",FI$3&gt;TODAY()),"",IF(AND(FL359="",FM359=""),"",N(FM359)-N(FL359)))</f>
        <v/>
      </c>
      <c r="FR359">
        <f>IF(OR(FP$3="",FP$3&gt;TODAY()),"",IF(AND(FP359="",FQ359=""),"",N(FQ359)-N(FP359)))</f>
        <v/>
      </c>
      <c r="FU359">
        <f>IF(OR(FP$3="",FP$3&gt;TODAY()),"",IF(AND(FS359="",FT359=""),"",N(FT359)-N(FS359)))</f>
        <v/>
      </c>
      <c r="FY359">
        <f>IF(OR(FW$3="",FW$3&gt;TODAY()),"",IF(AND(FW359="",FX359=""),"",N(FX359)-N(FW359)))</f>
        <v/>
      </c>
      <c r="GB359">
        <f>IF(OR(FW$3="",FW$3&gt;TODAY()),"",IF(AND(FZ359="",GA359=""),"",N(GA359)-N(FZ359)))</f>
        <v/>
      </c>
      <c r="GF359">
        <f>IF(OR(GD$3="",GD$3&gt;TODAY()),"",IF(AND(GD359="",GE359=""),"",N(GE359)-N(GD359)))</f>
        <v/>
      </c>
      <c r="GI359">
        <f>IF(OR(GD$3="",GD$3&gt;TODAY()),"",IF(AND(GG359="",GH359=""),"",N(GH359)-N(GG359)))</f>
        <v/>
      </c>
      <c r="GM359">
        <f>IF(OR(GK$3="",GK$3&gt;TODAY()),"",IF(AND(GK359="",GL359=""),"",N(GL359)-N(GK359)))</f>
        <v/>
      </c>
      <c r="GP359">
        <f>IF(OR(GK$3="",GK$3&gt;TODAY()),"",IF(AND(GN359="",GO359=""),"",N(GO359)-N(GN359)))</f>
        <v/>
      </c>
      <c r="GT359">
        <f>IF(OR(GR$3="",GR$3&gt;TODAY()),"",IF(AND(GR359="",GS359=""),"",N(GS359)-N(GR359)))</f>
        <v/>
      </c>
      <c r="GW359">
        <f>IF(OR(GR$3="",GR$3&gt;TODAY()),"",IF(AND(GU359="",GV359=""),"",N(GV359)-N(GU359)))</f>
        <v/>
      </c>
      <c r="HA359">
        <f>IF(OR(GY$3="",GY$3&gt;TODAY()),"",IF(AND(GY359="",GZ359=""),"",N(GZ359)-N(GY359)))</f>
        <v/>
      </c>
      <c r="HD359">
        <f>IF(OR(GY$3="",GY$3&gt;TODAY()),"",IF(AND(HB359="",HC359=""),"",N(HC359)-N(HB359)))</f>
        <v/>
      </c>
      <c r="HH359">
        <f>IF(OR(HF$3="",HF$3&gt;TODAY()),"",IF(AND(HF359="",HG359=""),"",N(HG359)-N(HF359)))</f>
        <v/>
      </c>
      <c r="HK359">
        <f>IF(OR(HF$3="",HF$3&gt;TODAY()),"",IF(AND(HI359="",HJ359=""),"",N(HJ359)-N(HI359)))</f>
        <v/>
      </c>
      <c r="HO359">
        <f>IF(OR(HM$3="",HM$3&gt;TODAY()),"",IF(AND(HM359="",HN359=""),"",N(HN359)-N(HM359)))</f>
        <v/>
      </c>
      <c r="HR359">
        <f>IF(OR(HM$3="",HM$3&gt;TODAY()),"",IF(AND(HP359="",HQ359=""),"",N(HQ359)-N(HP359)))</f>
        <v/>
      </c>
      <c r="HV359">
        <f>IF(OR(HT$3="",HT$3&gt;TODAY()),"",IF(AND(HT359="",HU359=""),"",N(HU359)-N(HT359)))</f>
        <v/>
      </c>
      <c r="HY359">
        <f>IF(OR(HT$3="",HT$3&gt;TODAY()),"",IF(AND(HW359="",HX359=""),"",N(HX359)-N(HW359)))</f>
        <v/>
      </c>
      <c r="IC359">
        <f>IF(OR(IA$3="",IA$3&gt;TODAY()),"",IF(AND(IA359="",IB359=""),"",N(IB359)-N(IA359)))</f>
        <v/>
      </c>
      <c r="IF359">
        <f>IF(OR(IA$3="",IA$3&gt;TODAY()),"",IF(AND(ID359="",IE359=""),"",N(IE359)-N(ID359)))</f>
        <v/>
      </c>
      <c r="IJ359">
        <f>IF(OR(IH$3="",IH$3&gt;TODAY()),"",IF(AND(IH359="",II359=""),"",N(II359)-N(IH359)))</f>
        <v/>
      </c>
      <c r="IM359">
        <f>IF(OR(IH$3="",IH$3&gt;TODAY()),"",IF(AND(IK359="",IL359=""),"",N(IL359)-N(IK359)))</f>
        <v/>
      </c>
    </row>
    <row r="360">
      <c r="A360" s="21" t="n"/>
      <c r="B360" s="21" t="n"/>
      <c r="C360" s="21" t="n"/>
      <c r="D360" s="21" t="n"/>
      <c r="E360" s="21" t="n"/>
      <c r="F360" s="21" t="n"/>
      <c r="G360" s="21" t="n"/>
      <c r="H360" s="21" t="n"/>
      <c r="I360" s="22" t="n"/>
      <c r="J360" s="22" t="n"/>
      <c r="K360" s="23" t="n"/>
      <c r="L360" s="22" t="n"/>
      <c r="M360" s="22" t="n"/>
      <c r="N360" s="21" t="n"/>
      <c r="O360" s="23" t="n"/>
      <c r="P360" s="23" t="n"/>
      <c r="Q360" s="23" t="n"/>
      <c r="R360" s="23" t="n"/>
      <c r="S360" s="22" t="n"/>
      <c r="T360" s="23" t="n"/>
      <c r="U360" s="23" t="n"/>
      <c r="V360" s="24">
        <f>IF(J360&lt;&gt;"",J360,IF(I360&lt;&gt;"",I360,""))</f>
        <v/>
      </c>
      <c r="W360" s="25">
        <f>IF($E360="","",N(O360)+SUMIFS($AF360:$IN360,$AF$4:$IN$4,"SEW_ACT"))</f>
        <v/>
      </c>
      <c r="X360" s="25">
        <f>IF($E360="","",N(P360)+SUMIFS($AF360:$IN360,$AF$4:$IN$4,"WASH_ACT"))</f>
        <v/>
      </c>
      <c r="Y360" s="25">
        <f>IF($E360="","",W360-X360-N(T360)-N(U360))</f>
        <v/>
      </c>
      <c r="Z360" s="25">
        <f>IF($E360="","",IF(N(K360)-X360&lt;=0.02*N(K360),0,N(K360)-X360))</f>
        <v/>
      </c>
      <c r="AA360" s="24">
        <f>IF($E360="","",IF(S360&lt;&gt;"",S360,IF(N(O360)&gt;0,IF(L360&lt;&gt;"",L360,99999),IFERROR(1/(1/_xlfn.MINIFS($AF$3:$IN$3,$AF$4:$IN$4,"SEW_ACT",$AF360:$IN360,"&gt;0")),99999))))</f>
        <v/>
      </c>
      <c r="AB360" s="26">
        <f>IF(OR($E360="",Z360=0,V360=""),"",1+COUNTIFS(Z$8:Z$707,"&gt;0",V$8:V$707,"&lt;"&amp;V360)+COUNTIFS(Z$8:Z$707,"&gt;0",V$8:V$707,V360,AA$8:AA$707,"&lt;"&amp;AA360)+COUNTIFS(Z$8:Z$707,"&gt;0",V$8:V$707,V360,AA$8:AA$707,AA360,E$8:E$707,"&lt;"&amp;$E360))</f>
        <v/>
      </c>
      <c r="AC360" s="24">
        <f>IF(OR($E360="",Z360=0),"",IFERROR(TODAY()+ROUNDUP(Z360/(SUMIFS($AF360:$IN360,$AF$4:$IN$4,"WASH_ACT")/COUNTIFS($AF$4:$IN$4,"WASH_ACT",$AF360:$IN360,"&gt;0")),0),"no output yet"))</f>
        <v/>
      </c>
      <c r="AD360" s="26">
        <f>IF($E360="","",IFERROR(ROUND(MAX(0,SUMIFS($AF360:$IN360,$AF$4:$IN$4,"SEW_PLAN",$AF$3:$IN$3,"&lt;="&amp;TODAY())-SUMIFS($AF360:$IN360,$AF$4:$IN$4,"SEW_ACT",$AF$3:$IN$3,"&lt;="&amp;TODAY())+N(Q360))/(SUMIFS($AF360:$IN360,$AF$4:$IN$4,"SEW_PLAN")/COUNTIFS($AF$4:$IN$4,"SEW_PLAN",$AF360:$IN360,"&gt;0")),1),0))</f>
        <v/>
      </c>
      <c r="AE360" s="26">
        <f>IF($E360="","",IF(AND(Z360&gt;0,OR(AND(M360&lt;&gt;"",TODAY()&gt;M360),AND(V360&lt;&gt;"",V360-TODAY()&lt;=7))),"Yes","No"))</f>
        <v/>
      </c>
      <c r="AH360">
        <f>IF(OR(AF$3="",AF$3&gt;TODAY()),"",IF(AND(AF360="",AG360=""),"",N(AG360)-N(AF360)))</f>
        <v/>
      </c>
      <c r="AK360">
        <f>IF(OR(AF$3="",AF$3&gt;TODAY()),"",IF(AND(AI360="",AJ360=""),"",N(AJ360)-N(AI360)))</f>
        <v/>
      </c>
      <c r="AO360">
        <f>IF(OR(AM$3="",AM$3&gt;TODAY()),"",IF(AND(AM360="",AN360=""),"",N(AN360)-N(AM360)))</f>
        <v/>
      </c>
      <c r="AR360">
        <f>IF(OR(AM$3="",AM$3&gt;TODAY()),"",IF(AND(AP360="",AQ360=""),"",N(AQ360)-N(AP360)))</f>
        <v/>
      </c>
      <c r="AV360">
        <f>IF(OR(AT$3="",AT$3&gt;TODAY()),"",IF(AND(AT360="",AU360=""),"",N(AU360)-N(AT360)))</f>
        <v/>
      </c>
      <c r="AY360">
        <f>IF(OR(AT$3="",AT$3&gt;TODAY()),"",IF(AND(AW360="",AX360=""),"",N(AX360)-N(AW360)))</f>
        <v/>
      </c>
      <c r="BC360">
        <f>IF(OR(BA$3="",BA$3&gt;TODAY()),"",IF(AND(BA360="",BB360=""),"",N(BB360)-N(BA360)))</f>
        <v/>
      </c>
      <c r="BF360">
        <f>IF(OR(BA$3="",BA$3&gt;TODAY()),"",IF(AND(BD360="",BE360=""),"",N(BE360)-N(BD360)))</f>
        <v/>
      </c>
      <c r="BJ360">
        <f>IF(OR(BH$3="",BH$3&gt;TODAY()),"",IF(AND(BH360="",BI360=""),"",N(BI360)-N(BH360)))</f>
        <v/>
      </c>
      <c r="BM360">
        <f>IF(OR(BH$3="",BH$3&gt;TODAY()),"",IF(AND(BK360="",BL360=""),"",N(BL360)-N(BK360)))</f>
        <v/>
      </c>
      <c r="BQ360">
        <f>IF(OR(BO$3="",BO$3&gt;TODAY()),"",IF(AND(BO360="",BP360=""),"",N(BP360)-N(BO360)))</f>
        <v/>
      </c>
      <c r="BT360">
        <f>IF(OR(BO$3="",BO$3&gt;TODAY()),"",IF(AND(BR360="",BS360=""),"",N(BS360)-N(BR360)))</f>
        <v/>
      </c>
      <c r="BX360">
        <f>IF(OR(BV$3="",BV$3&gt;TODAY()),"",IF(AND(BV360="",BW360=""),"",N(BW360)-N(BV360)))</f>
        <v/>
      </c>
      <c r="CA360">
        <f>IF(OR(BV$3="",BV$3&gt;TODAY()),"",IF(AND(BY360="",BZ360=""),"",N(BZ360)-N(BY360)))</f>
        <v/>
      </c>
      <c r="CE360">
        <f>IF(OR(CC$3="",CC$3&gt;TODAY()),"",IF(AND(CC360="",CD360=""),"",N(CD360)-N(CC360)))</f>
        <v/>
      </c>
      <c r="CH360">
        <f>IF(OR(CC$3="",CC$3&gt;TODAY()),"",IF(AND(CF360="",CG360=""),"",N(CG360)-N(CF360)))</f>
        <v/>
      </c>
      <c r="CL360">
        <f>IF(OR(CJ$3="",CJ$3&gt;TODAY()),"",IF(AND(CJ360="",CK360=""),"",N(CK360)-N(CJ360)))</f>
        <v/>
      </c>
      <c r="CO360">
        <f>IF(OR(CJ$3="",CJ$3&gt;TODAY()),"",IF(AND(CM360="",CN360=""),"",N(CN360)-N(CM360)))</f>
        <v/>
      </c>
      <c r="CS360">
        <f>IF(OR(CQ$3="",CQ$3&gt;TODAY()),"",IF(AND(CQ360="",CR360=""),"",N(CR360)-N(CQ360)))</f>
        <v/>
      </c>
      <c r="CV360">
        <f>IF(OR(CQ$3="",CQ$3&gt;TODAY()),"",IF(AND(CT360="",CU360=""),"",N(CU360)-N(CT360)))</f>
        <v/>
      </c>
      <c r="CZ360">
        <f>IF(OR(CX$3="",CX$3&gt;TODAY()),"",IF(AND(CX360="",CY360=""),"",N(CY360)-N(CX360)))</f>
        <v/>
      </c>
      <c r="DC360">
        <f>IF(OR(CX$3="",CX$3&gt;TODAY()),"",IF(AND(DA360="",DB360=""),"",N(DB360)-N(DA360)))</f>
        <v/>
      </c>
      <c r="DG360">
        <f>IF(OR(DE$3="",DE$3&gt;TODAY()),"",IF(AND(DE360="",DF360=""),"",N(DF360)-N(DE360)))</f>
        <v/>
      </c>
      <c r="DJ360">
        <f>IF(OR(DE$3="",DE$3&gt;TODAY()),"",IF(AND(DH360="",DI360=""),"",N(DI360)-N(DH360)))</f>
        <v/>
      </c>
      <c r="DN360">
        <f>IF(OR(DL$3="",DL$3&gt;TODAY()),"",IF(AND(DL360="",DM360=""),"",N(DM360)-N(DL360)))</f>
        <v/>
      </c>
      <c r="DQ360">
        <f>IF(OR(DL$3="",DL$3&gt;TODAY()),"",IF(AND(DO360="",DP360=""),"",N(DP360)-N(DO360)))</f>
        <v/>
      </c>
      <c r="DU360">
        <f>IF(OR(DS$3="",DS$3&gt;TODAY()),"",IF(AND(DS360="",DT360=""),"",N(DT360)-N(DS360)))</f>
        <v/>
      </c>
      <c r="DX360">
        <f>IF(OR(DS$3="",DS$3&gt;TODAY()),"",IF(AND(DV360="",DW360=""),"",N(DW360)-N(DV360)))</f>
        <v/>
      </c>
      <c r="EB360">
        <f>IF(OR(DZ$3="",DZ$3&gt;TODAY()),"",IF(AND(DZ360="",EA360=""),"",N(EA360)-N(DZ360)))</f>
        <v/>
      </c>
      <c r="EE360">
        <f>IF(OR(DZ$3="",DZ$3&gt;TODAY()),"",IF(AND(EC360="",ED360=""),"",N(ED360)-N(EC360)))</f>
        <v/>
      </c>
      <c r="EI360">
        <f>IF(OR(EG$3="",EG$3&gt;TODAY()),"",IF(AND(EG360="",EH360=""),"",N(EH360)-N(EG360)))</f>
        <v/>
      </c>
      <c r="EL360">
        <f>IF(OR(EG$3="",EG$3&gt;TODAY()),"",IF(AND(EJ360="",EK360=""),"",N(EK360)-N(EJ360)))</f>
        <v/>
      </c>
      <c r="EP360">
        <f>IF(OR(EN$3="",EN$3&gt;TODAY()),"",IF(AND(EN360="",EO360=""),"",N(EO360)-N(EN360)))</f>
        <v/>
      </c>
      <c r="ES360">
        <f>IF(OR(EN$3="",EN$3&gt;TODAY()),"",IF(AND(EQ360="",ER360=""),"",N(ER360)-N(EQ360)))</f>
        <v/>
      </c>
      <c r="EW360">
        <f>IF(OR(EU$3="",EU$3&gt;TODAY()),"",IF(AND(EU360="",EV360=""),"",N(EV360)-N(EU360)))</f>
        <v/>
      </c>
      <c r="EZ360">
        <f>IF(OR(EU$3="",EU$3&gt;TODAY()),"",IF(AND(EX360="",EY360=""),"",N(EY360)-N(EX360)))</f>
        <v/>
      </c>
      <c r="FD360">
        <f>IF(OR(FB$3="",FB$3&gt;TODAY()),"",IF(AND(FB360="",FC360=""),"",N(FC360)-N(FB360)))</f>
        <v/>
      </c>
      <c r="FG360">
        <f>IF(OR(FB$3="",FB$3&gt;TODAY()),"",IF(AND(FE360="",FF360=""),"",N(FF360)-N(FE360)))</f>
        <v/>
      </c>
      <c r="FK360">
        <f>IF(OR(FI$3="",FI$3&gt;TODAY()),"",IF(AND(FI360="",FJ360=""),"",N(FJ360)-N(FI360)))</f>
        <v/>
      </c>
      <c r="FN360">
        <f>IF(OR(FI$3="",FI$3&gt;TODAY()),"",IF(AND(FL360="",FM360=""),"",N(FM360)-N(FL360)))</f>
        <v/>
      </c>
      <c r="FR360">
        <f>IF(OR(FP$3="",FP$3&gt;TODAY()),"",IF(AND(FP360="",FQ360=""),"",N(FQ360)-N(FP360)))</f>
        <v/>
      </c>
      <c r="FU360">
        <f>IF(OR(FP$3="",FP$3&gt;TODAY()),"",IF(AND(FS360="",FT360=""),"",N(FT360)-N(FS360)))</f>
        <v/>
      </c>
      <c r="FY360">
        <f>IF(OR(FW$3="",FW$3&gt;TODAY()),"",IF(AND(FW360="",FX360=""),"",N(FX360)-N(FW360)))</f>
        <v/>
      </c>
      <c r="GB360">
        <f>IF(OR(FW$3="",FW$3&gt;TODAY()),"",IF(AND(FZ360="",GA360=""),"",N(GA360)-N(FZ360)))</f>
        <v/>
      </c>
      <c r="GF360">
        <f>IF(OR(GD$3="",GD$3&gt;TODAY()),"",IF(AND(GD360="",GE360=""),"",N(GE360)-N(GD360)))</f>
        <v/>
      </c>
      <c r="GI360">
        <f>IF(OR(GD$3="",GD$3&gt;TODAY()),"",IF(AND(GG360="",GH360=""),"",N(GH360)-N(GG360)))</f>
        <v/>
      </c>
      <c r="GM360">
        <f>IF(OR(GK$3="",GK$3&gt;TODAY()),"",IF(AND(GK360="",GL360=""),"",N(GL360)-N(GK360)))</f>
        <v/>
      </c>
      <c r="GP360">
        <f>IF(OR(GK$3="",GK$3&gt;TODAY()),"",IF(AND(GN360="",GO360=""),"",N(GO360)-N(GN360)))</f>
        <v/>
      </c>
      <c r="GT360">
        <f>IF(OR(GR$3="",GR$3&gt;TODAY()),"",IF(AND(GR360="",GS360=""),"",N(GS360)-N(GR360)))</f>
        <v/>
      </c>
      <c r="GW360">
        <f>IF(OR(GR$3="",GR$3&gt;TODAY()),"",IF(AND(GU360="",GV360=""),"",N(GV360)-N(GU360)))</f>
        <v/>
      </c>
      <c r="HA360">
        <f>IF(OR(GY$3="",GY$3&gt;TODAY()),"",IF(AND(GY360="",GZ360=""),"",N(GZ360)-N(GY360)))</f>
        <v/>
      </c>
      <c r="HD360">
        <f>IF(OR(GY$3="",GY$3&gt;TODAY()),"",IF(AND(HB360="",HC360=""),"",N(HC360)-N(HB360)))</f>
        <v/>
      </c>
      <c r="HH360">
        <f>IF(OR(HF$3="",HF$3&gt;TODAY()),"",IF(AND(HF360="",HG360=""),"",N(HG360)-N(HF360)))</f>
        <v/>
      </c>
      <c r="HK360">
        <f>IF(OR(HF$3="",HF$3&gt;TODAY()),"",IF(AND(HI360="",HJ360=""),"",N(HJ360)-N(HI360)))</f>
        <v/>
      </c>
      <c r="HO360">
        <f>IF(OR(HM$3="",HM$3&gt;TODAY()),"",IF(AND(HM360="",HN360=""),"",N(HN360)-N(HM360)))</f>
        <v/>
      </c>
      <c r="HR360">
        <f>IF(OR(HM$3="",HM$3&gt;TODAY()),"",IF(AND(HP360="",HQ360=""),"",N(HQ360)-N(HP360)))</f>
        <v/>
      </c>
      <c r="HV360">
        <f>IF(OR(HT$3="",HT$3&gt;TODAY()),"",IF(AND(HT360="",HU360=""),"",N(HU360)-N(HT360)))</f>
        <v/>
      </c>
      <c r="HY360">
        <f>IF(OR(HT$3="",HT$3&gt;TODAY()),"",IF(AND(HW360="",HX360=""),"",N(HX360)-N(HW360)))</f>
        <v/>
      </c>
      <c r="IC360">
        <f>IF(OR(IA$3="",IA$3&gt;TODAY()),"",IF(AND(IA360="",IB360=""),"",N(IB360)-N(IA360)))</f>
        <v/>
      </c>
      <c r="IF360">
        <f>IF(OR(IA$3="",IA$3&gt;TODAY()),"",IF(AND(ID360="",IE360=""),"",N(IE360)-N(ID360)))</f>
        <v/>
      </c>
      <c r="IJ360">
        <f>IF(OR(IH$3="",IH$3&gt;TODAY()),"",IF(AND(IH360="",II360=""),"",N(II360)-N(IH360)))</f>
        <v/>
      </c>
      <c r="IM360">
        <f>IF(OR(IH$3="",IH$3&gt;TODAY()),"",IF(AND(IK360="",IL360=""),"",N(IL360)-N(IK360)))</f>
        <v/>
      </c>
    </row>
    <row r="361">
      <c r="A361" s="21" t="n"/>
      <c r="B361" s="21" t="n"/>
      <c r="C361" s="21" t="n"/>
      <c r="D361" s="21" t="n"/>
      <c r="E361" s="21" t="n"/>
      <c r="F361" s="21" t="n"/>
      <c r="G361" s="21" t="n"/>
      <c r="H361" s="21" t="n"/>
      <c r="I361" s="22" t="n"/>
      <c r="J361" s="22" t="n"/>
      <c r="K361" s="23" t="n"/>
      <c r="L361" s="22" t="n"/>
      <c r="M361" s="22" t="n"/>
      <c r="N361" s="21" t="n"/>
      <c r="O361" s="23" t="n"/>
      <c r="P361" s="23" t="n"/>
      <c r="Q361" s="23" t="n"/>
      <c r="R361" s="23" t="n"/>
      <c r="S361" s="22" t="n"/>
      <c r="T361" s="23" t="n"/>
      <c r="U361" s="23" t="n"/>
      <c r="V361" s="24">
        <f>IF(J361&lt;&gt;"",J361,IF(I361&lt;&gt;"",I361,""))</f>
        <v/>
      </c>
      <c r="W361" s="25">
        <f>IF($E361="","",N(O361)+SUMIFS($AF361:$IN361,$AF$4:$IN$4,"SEW_ACT"))</f>
        <v/>
      </c>
      <c r="X361" s="25">
        <f>IF($E361="","",N(P361)+SUMIFS($AF361:$IN361,$AF$4:$IN$4,"WASH_ACT"))</f>
        <v/>
      </c>
      <c r="Y361" s="25">
        <f>IF($E361="","",W361-X361-N(T361)-N(U361))</f>
        <v/>
      </c>
      <c r="Z361" s="25">
        <f>IF($E361="","",IF(N(K361)-X361&lt;=0.02*N(K361),0,N(K361)-X361))</f>
        <v/>
      </c>
      <c r="AA361" s="24">
        <f>IF($E361="","",IF(S361&lt;&gt;"",S361,IF(N(O361)&gt;0,IF(L361&lt;&gt;"",L361,99999),IFERROR(1/(1/_xlfn.MINIFS($AF$3:$IN$3,$AF$4:$IN$4,"SEW_ACT",$AF361:$IN361,"&gt;0")),99999))))</f>
        <v/>
      </c>
      <c r="AB361" s="26">
        <f>IF(OR($E361="",Z361=0,V361=""),"",1+COUNTIFS(Z$8:Z$707,"&gt;0",V$8:V$707,"&lt;"&amp;V361)+COUNTIFS(Z$8:Z$707,"&gt;0",V$8:V$707,V361,AA$8:AA$707,"&lt;"&amp;AA361)+COUNTIFS(Z$8:Z$707,"&gt;0",V$8:V$707,V361,AA$8:AA$707,AA361,E$8:E$707,"&lt;"&amp;$E361))</f>
        <v/>
      </c>
      <c r="AC361" s="24">
        <f>IF(OR($E361="",Z361=0),"",IFERROR(TODAY()+ROUNDUP(Z361/(SUMIFS($AF361:$IN361,$AF$4:$IN$4,"WASH_ACT")/COUNTIFS($AF$4:$IN$4,"WASH_ACT",$AF361:$IN361,"&gt;0")),0),"no output yet"))</f>
        <v/>
      </c>
      <c r="AD361" s="26">
        <f>IF($E361="","",IFERROR(ROUND(MAX(0,SUMIFS($AF361:$IN361,$AF$4:$IN$4,"SEW_PLAN",$AF$3:$IN$3,"&lt;="&amp;TODAY())-SUMIFS($AF361:$IN361,$AF$4:$IN$4,"SEW_ACT",$AF$3:$IN$3,"&lt;="&amp;TODAY())+N(Q361))/(SUMIFS($AF361:$IN361,$AF$4:$IN$4,"SEW_PLAN")/COUNTIFS($AF$4:$IN$4,"SEW_PLAN",$AF361:$IN361,"&gt;0")),1),0))</f>
        <v/>
      </c>
      <c r="AE361" s="26">
        <f>IF($E361="","",IF(AND(Z361&gt;0,OR(AND(M361&lt;&gt;"",TODAY()&gt;M361),AND(V361&lt;&gt;"",V361-TODAY()&lt;=7))),"Yes","No"))</f>
        <v/>
      </c>
      <c r="AH361">
        <f>IF(OR(AF$3="",AF$3&gt;TODAY()),"",IF(AND(AF361="",AG361=""),"",N(AG361)-N(AF361)))</f>
        <v/>
      </c>
      <c r="AK361">
        <f>IF(OR(AF$3="",AF$3&gt;TODAY()),"",IF(AND(AI361="",AJ361=""),"",N(AJ361)-N(AI361)))</f>
        <v/>
      </c>
      <c r="AO361">
        <f>IF(OR(AM$3="",AM$3&gt;TODAY()),"",IF(AND(AM361="",AN361=""),"",N(AN361)-N(AM361)))</f>
        <v/>
      </c>
      <c r="AR361">
        <f>IF(OR(AM$3="",AM$3&gt;TODAY()),"",IF(AND(AP361="",AQ361=""),"",N(AQ361)-N(AP361)))</f>
        <v/>
      </c>
      <c r="AV361">
        <f>IF(OR(AT$3="",AT$3&gt;TODAY()),"",IF(AND(AT361="",AU361=""),"",N(AU361)-N(AT361)))</f>
        <v/>
      </c>
      <c r="AY361">
        <f>IF(OR(AT$3="",AT$3&gt;TODAY()),"",IF(AND(AW361="",AX361=""),"",N(AX361)-N(AW361)))</f>
        <v/>
      </c>
      <c r="BC361">
        <f>IF(OR(BA$3="",BA$3&gt;TODAY()),"",IF(AND(BA361="",BB361=""),"",N(BB361)-N(BA361)))</f>
        <v/>
      </c>
      <c r="BF361">
        <f>IF(OR(BA$3="",BA$3&gt;TODAY()),"",IF(AND(BD361="",BE361=""),"",N(BE361)-N(BD361)))</f>
        <v/>
      </c>
      <c r="BJ361">
        <f>IF(OR(BH$3="",BH$3&gt;TODAY()),"",IF(AND(BH361="",BI361=""),"",N(BI361)-N(BH361)))</f>
        <v/>
      </c>
      <c r="BM361">
        <f>IF(OR(BH$3="",BH$3&gt;TODAY()),"",IF(AND(BK361="",BL361=""),"",N(BL361)-N(BK361)))</f>
        <v/>
      </c>
      <c r="BQ361">
        <f>IF(OR(BO$3="",BO$3&gt;TODAY()),"",IF(AND(BO361="",BP361=""),"",N(BP361)-N(BO361)))</f>
        <v/>
      </c>
      <c r="BT361">
        <f>IF(OR(BO$3="",BO$3&gt;TODAY()),"",IF(AND(BR361="",BS361=""),"",N(BS361)-N(BR361)))</f>
        <v/>
      </c>
      <c r="BX361">
        <f>IF(OR(BV$3="",BV$3&gt;TODAY()),"",IF(AND(BV361="",BW361=""),"",N(BW361)-N(BV361)))</f>
        <v/>
      </c>
      <c r="CA361">
        <f>IF(OR(BV$3="",BV$3&gt;TODAY()),"",IF(AND(BY361="",BZ361=""),"",N(BZ361)-N(BY361)))</f>
        <v/>
      </c>
      <c r="CE361">
        <f>IF(OR(CC$3="",CC$3&gt;TODAY()),"",IF(AND(CC361="",CD361=""),"",N(CD361)-N(CC361)))</f>
        <v/>
      </c>
      <c r="CH361">
        <f>IF(OR(CC$3="",CC$3&gt;TODAY()),"",IF(AND(CF361="",CG361=""),"",N(CG361)-N(CF361)))</f>
        <v/>
      </c>
      <c r="CL361">
        <f>IF(OR(CJ$3="",CJ$3&gt;TODAY()),"",IF(AND(CJ361="",CK361=""),"",N(CK361)-N(CJ361)))</f>
        <v/>
      </c>
      <c r="CO361">
        <f>IF(OR(CJ$3="",CJ$3&gt;TODAY()),"",IF(AND(CM361="",CN361=""),"",N(CN361)-N(CM361)))</f>
        <v/>
      </c>
      <c r="CS361">
        <f>IF(OR(CQ$3="",CQ$3&gt;TODAY()),"",IF(AND(CQ361="",CR361=""),"",N(CR361)-N(CQ361)))</f>
        <v/>
      </c>
      <c r="CV361">
        <f>IF(OR(CQ$3="",CQ$3&gt;TODAY()),"",IF(AND(CT361="",CU361=""),"",N(CU361)-N(CT361)))</f>
        <v/>
      </c>
      <c r="CZ361">
        <f>IF(OR(CX$3="",CX$3&gt;TODAY()),"",IF(AND(CX361="",CY361=""),"",N(CY361)-N(CX361)))</f>
        <v/>
      </c>
      <c r="DC361">
        <f>IF(OR(CX$3="",CX$3&gt;TODAY()),"",IF(AND(DA361="",DB361=""),"",N(DB361)-N(DA361)))</f>
        <v/>
      </c>
      <c r="DG361">
        <f>IF(OR(DE$3="",DE$3&gt;TODAY()),"",IF(AND(DE361="",DF361=""),"",N(DF361)-N(DE361)))</f>
        <v/>
      </c>
      <c r="DJ361">
        <f>IF(OR(DE$3="",DE$3&gt;TODAY()),"",IF(AND(DH361="",DI361=""),"",N(DI361)-N(DH361)))</f>
        <v/>
      </c>
      <c r="DN361">
        <f>IF(OR(DL$3="",DL$3&gt;TODAY()),"",IF(AND(DL361="",DM361=""),"",N(DM361)-N(DL361)))</f>
        <v/>
      </c>
      <c r="DQ361">
        <f>IF(OR(DL$3="",DL$3&gt;TODAY()),"",IF(AND(DO361="",DP361=""),"",N(DP361)-N(DO361)))</f>
        <v/>
      </c>
      <c r="DU361">
        <f>IF(OR(DS$3="",DS$3&gt;TODAY()),"",IF(AND(DS361="",DT361=""),"",N(DT361)-N(DS361)))</f>
        <v/>
      </c>
      <c r="DX361">
        <f>IF(OR(DS$3="",DS$3&gt;TODAY()),"",IF(AND(DV361="",DW361=""),"",N(DW361)-N(DV361)))</f>
        <v/>
      </c>
      <c r="EB361">
        <f>IF(OR(DZ$3="",DZ$3&gt;TODAY()),"",IF(AND(DZ361="",EA361=""),"",N(EA361)-N(DZ361)))</f>
        <v/>
      </c>
      <c r="EE361">
        <f>IF(OR(DZ$3="",DZ$3&gt;TODAY()),"",IF(AND(EC361="",ED361=""),"",N(ED361)-N(EC361)))</f>
        <v/>
      </c>
      <c r="EI361">
        <f>IF(OR(EG$3="",EG$3&gt;TODAY()),"",IF(AND(EG361="",EH361=""),"",N(EH361)-N(EG361)))</f>
        <v/>
      </c>
      <c r="EL361">
        <f>IF(OR(EG$3="",EG$3&gt;TODAY()),"",IF(AND(EJ361="",EK361=""),"",N(EK361)-N(EJ361)))</f>
        <v/>
      </c>
      <c r="EP361">
        <f>IF(OR(EN$3="",EN$3&gt;TODAY()),"",IF(AND(EN361="",EO361=""),"",N(EO361)-N(EN361)))</f>
        <v/>
      </c>
      <c r="ES361">
        <f>IF(OR(EN$3="",EN$3&gt;TODAY()),"",IF(AND(EQ361="",ER361=""),"",N(ER361)-N(EQ361)))</f>
        <v/>
      </c>
      <c r="EW361">
        <f>IF(OR(EU$3="",EU$3&gt;TODAY()),"",IF(AND(EU361="",EV361=""),"",N(EV361)-N(EU361)))</f>
        <v/>
      </c>
      <c r="EZ361">
        <f>IF(OR(EU$3="",EU$3&gt;TODAY()),"",IF(AND(EX361="",EY361=""),"",N(EY361)-N(EX361)))</f>
        <v/>
      </c>
      <c r="FD361">
        <f>IF(OR(FB$3="",FB$3&gt;TODAY()),"",IF(AND(FB361="",FC361=""),"",N(FC361)-N(FB361)))</f>
        <v/>
      </c>
      <c r="FG361">
        <f>IF(OR(FB$3="",FB$3&gt;TODAY()),"",IF(AND(FE361="",FF361=""),"",N(FF361)-N(FE361)))</f>
        <v/>
      </c>
      <c r="FK361">
        <f>IF(OR(FI$3="",FI$3&gt;TODAY()),"",IF(AND(FI361="",FJ361=""),"",N(FJ361)-N(FI361)))</f>
        <v/>
      </c>
      <c r="FN361">
        <f>IF(OR(FI$3="",FI$3&gt;TODAY()),"",IF(AND(FL361="",FM361=""),"",N(FM361)-N(FL361)))</f>
        <v/>
      </c>
      <c r="FR361">
        <f>IF(OR(FP$3="",FP$3&gt;TODAY()),"",IF(AND(FP361="",FQ361=""),"",N(FQ361)-N(FP361)))</f>
        <v/>
      </c>
      <c r="FU361">
        <f>IF(OR(FP$3="",FP$3&gt;TODAY()),"",IF(AND(FS361="",FT361=""),"",N(FT361)-N(FS361)))</f>
        <v/>
      </c>
      <c r="FY361">
        <f>IF(OR(FW$3="",FW$3&gt;TODAY()),"",IF(AND(FW361="",FX361=""),"",N(FX361)-N(FW361)))</f>
        <v/>
      </c>
      <c r="GB361">
        <f>IF(OR(FW$3="",FW$3&gt;TODAY()),"",IF(AND(FZ361="",GA361=""),"",N(GA361)-N(FZ361)))</f>
        <v/>
      </c>
      <c r="GF361">
        <f>IF(OR(GD$3="",GD$3&gt;TODAY()),"",IF(AND(GD361="",GE361=""),"",N(GE361)-N(GD361)))</f>
        <v/>
      </c>
      <c r="GI361">
        <f>IF(OR(GD$3="",GD$3&gt;TODAY()),"",IF(AND(GG361="",GH361=""),"",N(GH361)-N(GG361)))</f>
        <v/>
      </c>
      <c r="GM361">
        <f>IF(OR(GK$3="",GK$3&gt;TODAY()),"",IF(AND(GK361="",GL361=""),"",N(GL361)-N(GK361)))</f>
        <v/>
      </c>
      <c r="GP361">
        <f>IF(OR(GK$3="",GK$3&gt;TODAY()),"",IF(AND(GN361="",GO361=""),"",N(GO361)-N(GN361)))</f>
        <v/>
      </c>
      <c r="GT361">
        <f>IF(OR(GR$3="",GR$3&gt;TODAY()),"",IF(AND(GR361="",GS361=""),"",N(GS361)-N(GR361)))</f>
        <v/>
      </c>
      <c r="GW361">
        <f>IF(OR(GR$3="",GR$3&gt;TODAY()),"",IF(AND(GU361="",GV361=""),"",N(GV361)-N(GU361)))</f>
        <v/>
      </c>
      <c r="HA361">
        <f>IF(OR(GY$3="",GY$3&gt;TODAY()),"",IF(AND(GY361="",GZ361=""),"",N(GZ361)-N(GY361)))</f>
        <v/>
      </c>
      <c r="HD361">
        <f>IF(OR(GY$3="",GY$3&gt;TODAY()),"",IF(AND(HB361="",HC361=""),"",N(HC361)-N(HB361)))</f>
        <v/>
      </c>
      <c r="HH361">
        <f>IF(OR(HF$3="",HF$3&gt;TODAY()),"",IF(AND(HF361="",HG361=""),"",N(HG361)-N(HF361)))</f>
        <v/>
      </c>
      <c r="HK361">
        <f>IF(OR(HF$3="",HF$3&gt;TODAY()),"",IF(AND(HI361="",HJ361=""),"",N(HJ361)-N(HI361)))</f>
        <v/>
      </c>
      <c r="HO361">
        <f>IF(OR(HM$3="",HM$3&gt;TODAY()),"",IF(AND(HM361="",HN361=""),"",N(HN361)-N(HM361)))</f>
        <v/>
      </c>
      <c r="HR361">
        <f>IF(OR(HM$3="",HM$3&gt;TODAY()),"",IF(AND(HP361="",HQ361=""),"",N(HQ361)-N(HP361)))</f>
        <v/>
      </c>
      <c r="HV361">
        <f>IF(OR(HT$3="",HT$3&gt;TODAY()),"",IF(AND(HT361="",HU361=""),"",N(HU361)-N(HT361)))</f>
        <v/>
      </c>
      <c r="HY361">
        <f>IF(OR(HT$3="",HT$3&gt;TODAY()),"",IF(AND(HW361="",HX361=""),"",N(HX361)-N(HW361)))</f>
        <v/>
      </c>
      <c r="IC361">
        <f>IF(OR(IA$3="",IA$3&gt;TODAY()),"",IF(AND(IA361="",IB361=""),"",N(IB361)-N(IA361)))</f>
        <v/>
      </c>
      <c r="IF361">
        <f>IF(OR(IA$3="",IA$3&gt;TODAY()),"",IF(AND(ID361="",IE361=""),"",N(IE361)-N(ID361)))</f>
        <v/>
      </c>
      <c r="IJ361">
        <f>IF(OR(IH$3="",IH$3&gt;TODAY()),"",IF(AND(IH361="",II361=""),"",N(II361)-N(IH361)))</f>
        <v/>
      </c>
      <c r="IM361">
        <f>IF(OR(IH$3="",IH$3&gt;TODAY()),"",IF(AND(IK361="",IL361=""),"",N(IL361)-N(IK361)))</f>
        <v/>
      </c>
    </row>
    <row r="362">
      <c r="A362" s="21" t="n"/>
      <c r="B362" s="21" t="n"/>
      <c r="C362" s="21" t="n"/>
      <c r="D362" s="21" t="n"/>
      <c r="E362" s="21" t="n"/>
      <c r="F362" s="21" t="n"/>
      <c r="G362" s="21" t="n"/>
      <c r="H362" s="21" t="n"/>
      <c r="I362" s="22" t="n"/>
      <c r="J362" s="22" t="n"/>
      <c r="K362" s="23" t="n"/>
      <c r="L362" s="22" t="n"/>
      <c r="M362" s="22" t="n"/>
      <c r="N362" s="21" t="n"/>
      <c r="O362" s="23" t="n"/>
      <c r="P362" s="23" t="n"/>
      <c r="Q362" s="23" t="n"/>
      <c r="R362" s="23" t="n"/>
      <c r="S362" s="22" t="n"/>
      <c r="T362" s="23" t="n"/>
      <c r="U362" s="23" t="n"/>
      <c r="V362" s="24">
        <f>IF(J362&lt;&gt;"",J362,IF(I362&lt;&gt;"",I362,""))</f>
        <v/>
      </c>
      <c r="W362" s="25">
        <f>IF($E362="","",N(O362)+SUMIFS($AF362:$IN362,$AF$4:$IN$4,"SEW_ACT"))</f>
        <v/>
      </c>
      <c r="X362" s="25">
        <f>IF($E362="","",N(P362)+SUMIFS($AF362:$IN362,$AF$4:$IN$4,"WASH_ACT"))</f>
        <v/>
      </c>
      <c r="Y362" s="25">
        <f>IF($E362="","",W362-X362-N(T362)-N(U362))</f>
        <v/>
      </c>
      <c r="Z362" s="25">
        <f>IF($E362="","",IF(N(K362)-X362&lt;=0.02*N(K362),0,N(K362)-X362))</f>
        <v/>
      </c>
      <c r="AA362" s="24">
        <f>IF($E362="","",IF(S362&lt;&gt;"",S362,IF(N(O362)&gt;0,IF(L362&lt;&gt;"",L362,99999),IFERROR(1/(1/_xlfn.MINIFS($AF$3:$IN$3,$AF$4:$IN$4,"SEW_ACT",$AF362:$IN362,"&gt;0")),99999))))</f>
        <v/>
      </c>
      <c r="AB362" s="26">
        <f>IF(OR($E362="",Z362=0,V362=""),"",1+COUNTIFS(Z$8:Z$707,"&gt;0",V$8:V$707,"&lt;"&amp;V362)+COUNTIFS(Z$8:Z$707,"&gt;0",V$8:V$707,V362,AA$8:AA$707,"&lt;"&amp;AA362)+COUNTIFS(Z$8:Z$707,"&gt;0",V$8:V$707,V362,AA$8:AA$707,AA362,E$8:E$707,"&lt;"&amp;$E362))</f>
        <v/>
      </c>
      <c r="AC362" s="24">
        <f>IF(OR($E362="",Z362=0),"",IFERROR(TODAY()+ROUNDUP(Z362/(SUMIFS($AF362:$IN362,$AF$4:$IN$4,"WASH_ACT")/COUNTIFS($AF$4:$IN$4,"WASH_ACT",$AF362:$IN362,"&gt;0")),0),"no output yet"))</f>
        <v/>
      </c>
      <c r="AD362" s="26">
        <f>IF($E362="","",IFERROR(ROUND(MAX(0,SUMIFS($AF362:$IN362,$AF$4:$IN$4,"SEW_PLAN",$AF$3:$IN$3,"&lt;="&amp;TODAY())-SUMIFS($AF362:$IN362,$AF$4:$IN$4,"SEW_ACT",$AF$3:$IN$3,"&lt;="&amp;TODAY())+N(Q362))/(SUMIFS($AF362:$IN362,$AF$4:$IN$4,"SEW_PLAN")/COUNTIFS($AF$4:$IN$4,"SEW_PLAN",$AF362:$IN362,"&gt;0")),1),0))</f>
        <v/>
      </c>
      <c r="AE362" s="26">
        <f>IF($E362="","",IF(AND(Z362&gt;0,OR(AND(M362&lt;&gt;"",TODAY()&gt;M362),AND(V362&lt;&gt;"",V362-TODAY()&lt;=7))),"Yes","No"))</f>
        <v/>
      </c>
      <c r="AH362">
        <f>IF(OR(AF$3="",AF$3&gt;TODAY()),"",IF(AND(AF362="",AG362=""),"",N(AG362)-N(AF362)))</f>
        <v/>
      </c>
      <c r="AK362">
        <f>IF(OR(AF$3="",AF$3&gt;TODAY()),"",IF(AND(AI362="",AJ362=""),"",N(AJ362)-N(AI362)))</f>
        <v/>
      </c>
      <c r="AO362">
        <f>IF(OR(AM$3="",AM$3&gt;TODAY()),"",IF(AND(AM362="",AN362=""),"",N(AN362)-N(AM362)))</f>
        <v/>
      </c>
      <c r="AR362">
        <f>IF(OR(AM$3="",AM$3&gt;TODAY()),"",IF(AND(AP362="",AQ362=""),"",N(AQ362)-N(AP362)))</f>
        <v/>
      </c>
      <c r="AV362">
        <f>IF(OR(AT$3="",AT$3&gt;TODAY()),"",IF(AND(AT362="",AU362=""),"",N(AU362)-N(AT362)))</f>
        <v/>
      </c>
      <c r="AY362">
        <f>IF(OR(AT$3="",AT$3&gt;TODAY()),"",IF(AND(AW362="",AX362=""),"",N(AX362)-N(AW362)))</f>
        <v/>
      </c>
      <c r="BC362">
        <f>IF(OR(BA$3="",BA$3&gt;TODAY()),"",IF(AND(BA362="",BB362=""),"",N(BB362)-N(BA362)))</f>
        <v/>
      </c>
      <c r="BF362">
        <f>IF(OR(BA$3="",BA$3&gt;TODAY()),"",IF(AND(BD362="",BE362=""),"",N(BE362)-N(BD362)))</f>
        <v/>
      </c>
      <c r="BJ362">
        <f>IF(OR(BH$3="",BH$3&gt;TODAY()),"",IF(AND(BH362="",BI362=""),"",N(BI362)-N(BH362)))</f>
        <v/>
      </c>
      <c r="BM362">
        <f>IF(OR(BH$3="",BH$3&gt;TODAY()),"",IF(AND(BK362="",BL362=""),"",N(BL362)-N(BK362)))</f>
        <v/>
      </c>
      <c r="BQ362">
        <f>IF(OR(BO$3="",BO$3&gt;TODAY()),"",IF(AND(BO362="",BP362=""),"",N(BP362)-N(BO362)))</f>
        <v/>
      </c>
      <c r="BT362">
        <f>IF(OR(BO$3="",BO$3&gt;TODAY()),"",IF(AND(BR362="",BS362=""),"",N(BS362)-N(BR362)))</f>
        <v/>
      </c>
      <c r="BX362">
        <f>IF(OR(BV$3="",BV$3&gt;TODAY()),"",IF(AND(BV362="",BW362=""),"",N(BW362)-N(BV362)))</f>
        <v/>
      </c>
      <c r="CA362">
        <f>IF(OR(BV$3="",BV$3&gt;TODAY()),"",IF(AND(BY362="",BZ362=""),"",N(BZ362)-N(BY362)))</f>
        <v/>
      </c>
      <c r="CE362">
        <f>IF(OR(CC$3="",CC$3&gt;TODAY()),"",IF(AND(CC362="",CD362=""),"",N(CD362)-N(CC362)))</f>
        <v/>
      </c>
      <c r="CH362">
        <f>IF(OR(CC$3="",CC$3&gt;TODAY()),"",IF(AND(CF362="",CG362=""),"",N(CG362)-N(CF362)))</f>
        <v/>
      </c>
      <c r="CL362">
        <f>IF(OR(CJ$3="",CJ$3&gt;TODAY()),"",IF(AND(CJ362="",CK362=""),"",N(CK362)-N(CJ362)))</f>
        <v/>
      </c>
      <c r="CO362">
        <f>IF(OR(CJ$3="",CJ$3&gt;TODAY()),"",IF(AND(CM362="",CN362=""),"",N(CN362)-N(CM362)))</f>
        <v/>
      </c>
      <c r="CS362">
        <f>IF(OR(CQ$3="",CQ$3&gt;TODAY()),"",IF(AND(CQ362="",CR362=""),"",N(CR362)-N(CQ362)))</f>
        <v/>
      </c>
      <c r="CV362">
        <f>IF(OR(CQ$3="",CQ$3&gt;TODAY()),"",IF(AND(CT362="",CU362=""),"",N(CU362)-N(CT362)))</f>
        <v/>
      </c>
      <c r="CZ362">
        <f>IF(OR(CX$3="",CX$3&gt;TODAY()),"",IF(AND(CX362="",CY362=""),"",N(CY362)-N(CX362)))</f>
        <v/>
      </c>
      <c r="DC362">
        <f>IF(OR(CX$3="",CX$3&gt;TODAY()),"",IF(AND(DA362="",DB362=""),"",N(DB362)-N(DA362)))</f>
        <v/>
      </c>
      <c r="DG362">
        <f>IF(OR(DE$3="",DE$3&gt;TODAY()),"",IF(AND(DE362="",DF362=""),"",N(DF362)-N(DE362)))</f>
        <v/>
      </c>
      <c r="DJ362">
        <f>IF(OR(DE$3="",DE$3&gt;TODAY()),"",IF(AND(DH362="",DI362=""),"",N(DI362)-N(DH362)))</f>
        <v/>
      </c>
      <c r="DN362">
        <f>IF(OR(DL$3="",DL$3&gt;TODAY()),"",IF(AND(DL362="",DM362=""),"",N(DM362)-N(DL362)))</f>
        <v/>
      </c>
      <c r="DQ362">
        <f>IF(OR(DL$3="",DL$3&gt;TODAY()),"",IF(AND(DO362="",DP362=""),"",N(DP362)-N(DO362)))</f>
        <v/>
      </c>
      <c r="DU362">
        <f>IF(OR(DS$3="",DS$3&gt;TODAY()),"",IF(AND(DS362="",DT362=""),"",N(DT362)-N(DS362)))</f>
        <v/>
      </c>
      <c r="DX362">
        <f>IF(OR(DS$3="",DS$3&gt;TODAY()),"",IF(AND(DV362="",DW362=""),"",N(DW362)-N(DV362)))</f>
        <v/>
      </c>
      <c r="EB362">
        <f>IF(OR(DZ$3="",DZ$3&gt;TODAY()),"",IF(AND(DZ362="",EA362=""),"",N(EA362)-N(DZ362)))</f>
        <v/>
      </c>
      <c r="EE362">
        <f>IF(OR(DZ$3="",DZ$3&gt;TODAY()),"",IF(AND(EC362="",ED362=""),"",N(ED362)-N(EC362)))</f>
        <v/>
      </c>
      <c r="EI362">
        <f>IF(OR(EG$3="",EG$3&gt;TODAY()),"",IF(AND(EG362="",EH362=""),"",N(EH362)-N(EG362)))</f>
        <v/>
      </c>
      <c r="EL362">
        <f>IF(OR(EG$3="",EG$3&gt;TODAY()),"",IF(AND(EJ362="",EK362=""),"",N(EK362)-N(EJ362)))</f>
        <v/>
      </c>
      <c r="EP362">
        <f>IF(OR(EN$3="",EN$3&gt;TODAY()),"",IF(AND(EN362="",EO362=""),"",N(EO362)-N(EN362)))</f>
        <v/>
      </c>
      <c r="ES362">
        <f>IF(OR(EN$3="",EN$3&gt;TODAY()),"",IF(AND(EQ362="",ER362=""),"",N(ER362)-N(EQ362)))</f>
        <v/>
      </c>
      <c r="EW362">
        <f>IF(OR(EU$3="",EU$3&gt;TODAY()),"",IF(AND(EU362="",EV362=""),"",N(EV362)-N(EU362)))</f>
        <v/>
      </c>
      <c r="EZ362">
        <f>IF(OR(EU$3="",EU$3&gt;TODAY()),"",IF(AND(EX362="",EY362=""),"",N(EY362)-N(EX362)))</f>
        <v/>
      </c>
      <c r="FD362">
        <f>IF(OR(FB$3="",FB$3&gt;TODAY()),"",IF(AND(FB362="",FC362=""),"",N(FC362)-N(FB362)))</f>
        <v/>
      </c>
      <c r="FG362">
        <f>IF(OR(FB$3="",FB$3&gt;TODAY()),"",IF(AND(FE362="",FF362=""),"",N(FF362)-N(FE362)))</f>
        <v/>
      </c>
      <c r="FK362">
        <f>IF(OR(FI$3="",FI$3&gt;TODAY()),"",IF(AND(FI362="",FJ362=""),"",N(FJ362)-N(FI362)))</f>
        <v/>
      </c>
      <c r="FN362">
        <f>IF(OR(FI$3="",FI$3&gt;TODAY()),"",IF(AND(FL362="",FM362=""),"",N(FM362)-N(FL362)))</f>
        <v/>
      </c>
      <c r="FR362">
        <f>IF(OR(FP$3="",FP$3&gt;TODAY()),"",IF(AND(FP362="",FQ362=""),"",N(FQ362)-N(FP362)))</f>
        <v/>
      </c>
      <c r="FU362">
        <f>IF(OR(FP$3="",FP$3&gt;TODAY()),"",IF(AND(FS362="",FT362=""),"",N(FT362)-N(FS362)))</f>
        <v/>
      </c>
      <c r="FY362">
        <f>IF(OR(FW$3="",FW$3&gt;TODAY()),"",IF(AND(FW362="",FX362=""),"",N(FX362)-N(FW362)))</f>
        <v/>
      </c>
      <c r="GB362">
        <f>IF(OR(FW$3="",FW$3&gt;TODAY()),"",IF(AND(FZ362="",GA362=""),"",N(GA362)-N(FZ362)))</f>
        <v/>
      </c>
      <c r="GF362">
        <f>IF(OR(GD$3="",GD$3&gt;TODAY()),"",IF(AND(GD362="",GE362=""),"",N(GE362)-N(GD362)))</f>
        <v/>
      </c>
      <c r="GI362">
        <f>IF(OR(GD$3="",GD$3&gt;TODAY()),"",IF(AND(GG362="",GH362=""),"",N(GH362)-N(GG362)))</f>
        <v/>
      </c>
      <c r="GM362">
        <f>IF(OR(GK$3="",GK$3&gt;TODAY()),"",IF(AND(GK362="",GL362=""),"",N(GL362)-N(GK362)))</f>
        <v/>
      </c>
      <c r="GP362">
        <f>IF(OR(GK$3="",GK$3&gt;TODAY()),"",IF(AND(GN362="",GO362=""),"",N(GO362)-N(GN362)))</f>
        <v/>
      </c>
      <c r="GT362">
        <f>IF(OR(GR$3="",GR$3&gt;TODAY()),"",IF(AND(GR362="",GS362=""),"",N(GS362)-N(GR362)))</f>
        <v/>
      </c>
      <c r="GW362">
        <f>IF(OR(GR$3="",GR$3&gt;TODAY()),"",IF(AND(GU362="",GV362=""),"",N(GV362)-N(GU362)))</f>
        <v/>
      </c>
      <c r="HA362">
        <f>IF(OR(GY$3="",GY$3&gt;TODAY()),"",IF(AND(GY362="",GZ362=""),"",N(GZ362)-N(GY362)))</f>
        <v/>
      </c>
      <c r="HD362">
        <f>IF(OR(GY$3="",GY$3&gt;TODAY()),"",IF(AND(HB362="",HC362=""),"",N(HC362)-N(HB362)))</f>
        <v/>
      </c>
      <c r="HH362">
        <f>IF(OR(HF$3="",HF$3&gt;TODAY()),"",IF(AND(HF362="",HG362=""),"",N(HG362)-N(HF362)))</f>
        <v/>
      </c>
      <c r="HK362">
        <f>IF(OR(HF$3="",HF$3&gt;TODAY()),"",IF(AND(HI362="",HJ362=""),"",N(HJ362)-N(HI362)))</f>
        <v/>
      </c>
      <c r="HO362">
        <f>IF(OR(HM$3="",HM$3&gt;TODAY()),"",IF(AND(HM362="",HN362=""),"",N(HN362)-N(HM362)))</f>
        <v/>
      </c>
      <c r="HR362">
        <f>IF(OR(HM$3="",HM$3&gt;TODAY()),"",IF(AND(HP362="",HQ362=""),"",N(HQ362)-N(HP362)))</f>
        <v/>
      </c>
      <c r="HV362">
        <f>IF(OR(HT$3="",HT$3&gt;TODAY()),"",IF(AND(HT362="",HU362=""),"",N(HU362)-N(HT362)))</f>
        <v/>
      </c>
      <c r="HY362">
        <f>IF(OR(HT$3="",HT$3&gt;TODAY()),"",IF(AND(HW362="",HX362=""),"",N(HX362)-N(HW362)))</f>
        <v/>
      </c>
      <c r="IC362">
        <f>IF(OR(IA$3="",IA$3&gt;TODAY()),"",IF(AND(IA362="",IB362=""),"",N(IB362)-N(IA362)))</f>
        <v/>
      </c>
      <c r="IF362">
        <f>IF(OR(IA$3="",IA$3&gt;TODAY()),"",IF(AND(ID362="",IE362=""),"",N(IE362)-N(ID362)))</f>
        <v/>
      </c>
      <c r="IJ362">
        <f>IF(OR(IH$3="",IH$3&gt;TODAY()),"",IF(AND(IH362="",II362=""),"",N(II362)-N(IH362)))</f>
        <v/>
      </c>
      <c r="IM362">
        <f>IF(OR(IH$3="",IH$3&gt;TODAY()),"",IF(AND(IK362="",IL362=""),"",N(IL362)-N(IK362)))</f>
        <v/>
      </c>
    </row>
    <row r="363">
      <c r="A363" s="21" t="n"/>
      <c r="B363" s="21" t="n"/>
      <c r="C363" s="21" t="n"/>
      <c r="D363" s="21" t="n"/>
      <c r="E363" s="21" t="n"/>
      <c r="F363" s="21" t="n"/>
      <c r="G363" s="21" t="n"/>
      <c r="H363" s="21" t="n"/>
      <c r="I363" s="22" t="n"/>
      <c r="J363" s="22" t="n"/>
      <c r="K363" s="23" t="n"/>
      <c r="L363" s="22" t="n"/>
      <c r="M363" s="22" t="n"/>
      <c r="N363" s="21" t="n"/>
      <c r="O363" s="23" t="n"/>
      <c r="P363" s="23" t="n"/>
      <c r="Q363" s="23" t="n"/>
      <c r="R363" s="23" t="n"/>
      <c r="S363" s="22" t="n"/>
      <c r="T363" s="23" t="n"/>
      <c r="U363" s="23" t="n"/>
      <c r="V363" s="24">
        <f>IF(J363&lt;&gt;"",J363,IF(I363&lt;&gt;"",I363,""))</f>
        <v/>
      </c>
      <c r="W363" s="25">
        <f>IF($E363="","",N(O363)+SUMIFS($AF363:$IN363,$AF$4:$IN$4,"SEW_ACT"))</f>
        <v/>
      </c>
      <c r="X363" s="25">
        <f>IF($E363="","",N(P363)+SUMIFS($AF363:$IN363,$AF$4:$IN$4,"WASH_ACT"))</f>
        <v/>
      </c>
      <c r="Y363" s="25">
        <f>IF($E363="","",W363-X363-N(T363)-N(U363))</f>
        <v/>
      </c>
      <c r="Z363" s="25">
        <f>IF($E363="","",IF(N(K363)-X363&lt;=0.02*N(K363),0,N(K363)-X363))</f>
        <v/>
      </c>
      <c r="AA363" s="24">
        <f>IF($E363="","",IF(S363&lt;&gt;"",S363,IF(N(O363)&gt;0,IF(L363&lt;&gt;"",L363,99999),IFERROR(1/(1/_xlfn.MINIFS($AF$3:$IN$3,$AF$4:$IN$4,"SEW_ACT",$AF363:$IN363,"&gt;0")),99999))))</f>
        <v/>
      </c>
      <c r="AB363" s="26">
        <f>IF(OR($E363="",Z363=0,V363=""),"",1+COUNTIFS(Z$8:Z$707,"&gt;0",V$8:V$707,"&lt;"&amp;V363)+COUNTIFS(Z$8:Z$707,"&gt;0",V$8:V$707,V363,AA$8:AA$707,"&lt;"&amp;AA363)+COUNTIFS(Z$8:Z$707,"&gt;0",V$8:V$707,V363,AA$8:AA$707,AA363,E$8:E$707,"&lt;"&amp;$E363))</f>
        <v/>
      </c>
      <c r="AC363" s="24">
        <f>IF(OR($E363="",Z363=0),"",IFERROR(TODAY()+ROUNDUP(Z363/(SUMIFS($AF363:$IN363,$AF$4:$IN$4,"WASH_ACT")/COUNTIFS($AF$4:$IN$4,"WASH_ACT",$AF363:$IN363,"&gt;0")),0),"no output yet"))</f>
        <v/>
      </c>
      <c r="AD363" s="26">
        <f>IF($E363="","",IFERROR(ROUND(MAX(0,SUMIFS($AF363:$IN363,$AF$4:$IN$4,"SEW_PLAN",$AF$3:$IN$3,"&lt;="&amp;TODAY())-SUMIFS($AF363:$IN363,$AF$4:$IN$4,"SEW_ACT",$AF$3:$IN$3,"&lt;="&amp;TODAY())+N(Q363))/(SUMIFS($AF363:$IN363,$AF$4:$IN$4,"SEW_PLAN")/COUNTIFS($AF$4:$IN$4,"SEW_PLAN",$AF363:$IN363,"&gt;0")),1),0))</f>
        <v/>
      </c>
      <c r="AE363" s="26">
        <f>IF($E363="","",IF(AND(Z363&gt;0,OR(AND(M363&lt;&gt;"",TODAY()&gt;M363),AND(V363&lt;&gt;"",V363-TODAY()&lt;=7))),"Yes","No"))</f>
        <v/>
      </c>
      <c r="AH363">
        <f>IF(OR(AF$3="",AF$3&gt;TODAY()),"",IF(AND(AF363="",AG363=""),"",N(AG363)-N(AF363)))</f>
        <v/>
      </c>
      <c r="AK363">
        <f>IF(OR(AF$3="",AF$3&gt;TODAY()),"",IF(AND(AI363="",AJ363=""),"",N(AJ363)-N(AI363)))</f>
        <v/>
      </c>
      <c r="AO363">
        <f>IF(OR(AM$3="",AM$3&gt;TODAY()),"",IF(AND(AM363="",AN363=""),"",N(AN363)-N(AM363)))</f>
        <v/>
      </c>
      <c r="AR363">
        <f>IF(OR(AM$3="",AM$3&gt;TODAY()),"",IF(AND(AP363="",AQ363=""),"",N(AQ363)-N(AP363)))</f>
        <v/>
      </c>
      <c r="AV363">
        <f>IF(OR(AT$3="",AT$3&gt;TODAY()),"",IF(AND(AT363="",AU363=""),"",N(AU363)-N(AT363)))</f>
        <v/>
      </c>
      <c r="AY363">
        <f>IF(OR(AT$3="",AT$3&gt;TODAY()),"",IF(AND(AW363="",AX363=""),"",N(AX363)-N(AW363)))</f>
        <v/>
      </c>
      <c r="BC363">
        <f>IF(OR(BA$3="",BA$3&gt;TODAY()),"",IF(AND(BA363="",BB363=""),"",N(BB363)-N(BA363)))</f>
        <v/>
      </c>
      <c r="BF363">
        <f>IF(OR(BA$3="",BA$3&gt;TODAY()),"",IF(AND(BD363="",BE363=""),"",N(BE363)-N(BD363)))</f>
        <v/>
      </c>
      <c r="BJ363">
        <f>IF(OR(BH$3="",BH$3&gt;TODAY()),"",IF(AND(BH363="",BI363=""),"",N(BI363)-N(BH363)))</f>
        <v/>
      </c>
      <c r="BM363">
        <f>IF(OR(BH$3="",BH$3&gt;TODAY()),"",IF(AND(BK363="",BL363=""),"",N(BL363)-N(BK363)))</f>
        <v/>
      </c>
      <c r="BQ363">
        <f>IF(OR(BO$3="",BO$3&gt;TODAY()),"",IF(AND(BO363="",BP363=""),"",N(BP363)-N(BO363)))</f>
        <v/>
      </c>
      <c r="BT363">
        <f>IF(OR(BO$3="",BO$3&gt;TODAY()),"",IF(AND(BR363="",BS363=""),"",N(BS363)-N(BR363)))</f>
        <v/>
      </c>
      <c r="BX363">
        <f>IF(OR(BV$3="",BV$3&gt;TODAY()),"",IF(AND(BV363="",BW363=""),"",N(BW363)-N(BV363)))</f>
        <v/>
      </c>
      <c r="CA363">
        <f>IF(OR(BV$3="",BV$3&gt;TODAY()),"",IF(AND(BY363="",BZ363=""),"",N(BZ363)-N(BY363)))</f>
        <v/>
      </c>
      <c r="CE363">
        <f>IF(OR(CC$3="",CC$3&gt;TODAY()),"",IF(AND(CC363="",CD363=""),"",N(CD363)-N(CC363)))</f>
        <v/>
      </c>
      <c r="CH363">
        <f>IF(OR(CC$3="",CC$3&gt;TODAY()),"",IF(AND(CF363="",CG363=""),"",N(CG363)-N(CF363)))</f>
        <v/>
      </c>
      <c r="CL363">
        <f>IF(OR(CJ$3="",CJ$3&gt;TODAY()),"",IF(AND(CJ363="",CK363=""),"",N(CK363)-N(CJ363)))</f>
        <v/>
      </c>
      <c r="CO363">
        <f>IF(OR(CJ$3="",CJ$3&gt;TODAY()),"",IF(AND(CM363="",CN363=""),"",N(CN363)-N(CM363)))</f>
        <v/>
      </c>
      <c r="CS363">
        <f>IF(OR(CQ$3="",CQ$3&gt;TODAY()),"",IF(AND(CQ363="",CR363=""),"",N(CR363)-N(CQ363)))</f>
        <v/>
      </c>
      <c r="CV363">
        <f>IF(OR(CQ$3="",CQ$3&gt;TODAY()),"",IF(AND(CT363="",CU363=""),"",N(CU363)-N(CT363)))</f>
        <v/>
      </c>
      <c r="CZ363">
        <f>IF(OR(CX$3="",CX$3&gt;TODAY()),"",IF(AND(CX363="",CY363=""),"",N(CY363)-N(CX363)))</f>
        <v/>
      </c>
      <c r="DC363">
        <f>IF(OR(CX$3="",CX$3&gt;TODAY()),"",IF(AND(DA363="",DB363=""),"",N(DB363)-N(DA363)))</f>
        <v/>
      </c>
      <c r="DG363">
        <f>IF(OR(DE$3="",DE$3&gt;TODAY()),"",IF(AND(DE363="",DF363=""),"",N(DF363)-N(DE363)))</f>
        <v/>
      </c>
      <c r="DJ363">
        <f>IF(OR(DE$3="",DE$3&gt;TODAY()),"",IF(AND(DH363="",DI363=""),"",N(DI363)-N(DH363)))</f>
        <v/>
      </c>
      <c r="DN363">
        <f>IF(OR(DL$3="",DL$3&gt;TODAY()),"",IF(AND(DL363="",DM363=""),"",N(DM363)-N(DL363)))</f>
        <v/>
      </c>
      <c r="DQ363">
        <f>IF(OR(DL$3="",DL$3&gt;TODAY()),"",IF(AND(DO363="",DP363=""),"",N(DP363)-N(DO363)))</f>
        <v/>
      </c>
      <c r="DU363">
        <f>IF(OR(DS$3="",DS$3&gt;TODAY()),"",IF(AND(DS363="",DT363=""),"",N(DT363)-N(DS363)))</f>
        <v/>
      </c>
      <c r="DX363">
        <f>IF(OR(DS$3="",DS$3&gt;TODAY()),"",IF(AND(DV363="",DW363=""),"",N(DW363)-N(DV363)))</f>
        <v/>
      </c>
      <c r="EB363">
        <f>IF(OR(DZ$3="",DZ$3&gt;TODAY()),"",IF(AND(DZ363="",EA363=""),"",N(EA363)-N(DZ363)))</f>
        <v/>
      </c>
      <c r="EE363">
        <f>IF(OR(DZ$3="",DZ$3&gt;TODAY()),"",IF(AND(EC363="",ED363=""),"",N(ED363)-N(EC363)))</f>
        <v/>
      </c>
      <c r="EI363">
        <f>IF(OR(EG$3="",EG$3&gt;TODAY()),"",IF(AND(EG363="",EH363=""),"",N(EH363)-N(EG363)))</f>
        <v/>
      </c>
      <c r="EL363">
        <f>IF(OR(EG$3="",EG$3&gt;TODAY()),"",IF(AND(EJ363="",EK363=""),"",N(EK363)-N(EJ363)))</f>
        <v/>
      </c>
      <c r="EP363">
        <f>IF(OR(EN$3="",EN$3&gt;TODAY()),"",IF(AND(EN363="",EO363=""),"",N(EO363)-N(EN363)))</f>
        <v/>
      </c>
      <c r="ES363">
        <f>IF(OR(EN$3="",EN$3&gt;TODAY()),"",IF(AND(EQ363="",ER363=""),"",N(ER363)-N(EQ363)))</f>
        <v/>
      </c>
      <c r="EW363">
        <f>IF(OR(EU$3="",EU$3&gt;TODAY()),"",IF(AND(EU363="",EV363=""),"",N(EV363)-N(EU363)))</f>
        <v/>
      </c>
      <c r="EZ363">
        <f>IF(OR(EU$3="",EU$3&gt;TODAY()),"",IF(AND(EX363="",EY363=""),"",N(EY363)-N(EX363)))</f>
        <v/>
      </c>
      <c r="FD363">
        <f>IF(OR(FB$3="",FB$3&gt;TODAY()),"",IF(AND(FB363="",FC363=""),"",N(FC363)-N(FB363)))</f>
        <v/>
      </c>
      <c r="FG363">
        <f>IF(OR(FB$3="",FB$3&gt;TODAY()),"",IF(AND(FE363="",FF363=""),"",N(FF363)-N(FE363)))</f>
        <v/>
      </c>
      <c r="FK363">
        <f>IF(OR(FI$3="",FI$3&gt;TODAY()),"",IF(AND(FI363="",FJ363=""),"",N(FJ363)-N(FI363)))</f>
        <v/>
      </c>
      <c r="FN363">
        <f>IF(OR(FI$3="",FI$3&gt;TODAY()),"",IF(AND(FL363="",FM363=""),"",N(FM363)-N(FL363)))</f>
        <v/>
      </c>
      <c r="FR363">
        <f>IF(OR(FP$3="",FP$3&gt;TODAY()),"",IF(AND(FP363="",FQ363=""),"",N(FQ363)-N(FP363)))</f>
        <v/>
      </c>
      <c r="FU363">
        <f>IF(OR(FP$3="",FP$3&gt;TODAY()),"",IF(AND(FS363="",FT363=""),"",N(FT363)-N(FS363)))</f>
        <v/>
      </c>
      <c r="FY363">
        <f>IF(OR(FW$3="",FW$3&gt;TODAY()),"",IF(AND(FW363="",FX363=""),"",N(FX363)-N(FW363)))</f>
        <v/>
      </c>
      <c r="GB363">
        <f>IF(OR(FW$3="",FW$3&gt;TODAY()),"",IF(AND(FZ363="",GA363=""),"",N(GA363)-N(FZ363)))</f>
        <v/>
      </c>
      <c r="GF363">
        <f>IF(OR(GD$3="",GD$3&gt;TODAY()),"",IF(AND(GD363="",GE363=""),"",N(GE363)-N(GD363)))</f>
        <v/>
      </c>
      <c r="GI363">
        <f>IF(OR(GD$3="",GD$3&gt;TODAY()),"",IF(AND(GG363="",GH363=""),"",N(GH363)-N(GG363)))</f>
        <v/>
      </c>
      <c r="GM363">
        <f>IF(OR(GK$3="",GK$3&gt;TODAY()),"",IF(AND(GK363="",GL363=""),"",N(GL363)-N(GK363)))</f>
        <v/>
      </c>
      <c r="GP363">
        <f>IF(OR(GK$3="",GK$3&gt;TODAY()),"",IF(AND(GN363="",GO363=""),"",N(GO363)-N(GN363)))</f>
        <v/>
      </c>
      <c r="GT363">
        <f>IF(OR(GR$3="",GR$3&gt;TODAY()),"",IF(AND(GR363="",GS363=""),"",N(GS363)-N(GR363)))</f>
        <v/>
      </c>
      <c r="GW363">
        <f>IF(OR(GR$3="",GR$3&gt;TODAY()),"",IF(AND(GU363="",GV363=""),"",N(GV363)-N(GU363)))</f>
        <v/>
      </c>
      <c r="HA363">
        <f>IF(OR(GY$3="",GY$3&gt;TODAY()),"",IF(AND(GY363="",GZ363=""),"",N(GZ363)-N(GY363)))</f>
        <v/>
      </c>
      <c r="HD363">
        <f>IF(OR(GY$3="",GY$3&gt;TODAY()),"",IF(AND(HB363="",HC363=""),"",N(HC363)-N(HB363)))</f>
        <v/>
      </c>
      <c r="HH363">
        <f>IF(OR(HF$3="",HF$3&gt;TODAY()),"",IF(AND(HF363="",HG363=""),"",N(HG363)-N(HF363)))</f>
        <v/>
      </c>
      <c r="HK363">
        <f>IF(OR(HF$3="",HF$3&gt;TODAY()),"",IF(AND(HI363="",HJ363=""),"",N(HJ363)-N(HI363)))</f>
        <v/>
      </c>
      <c r="HO363">
        <f>IF(OR(HM$3="",HM$3&gt;TODAY()),"",IF(AND(HM363="",HN363=""),"",N(HN363)-N(HM363)))</f>
        <v/>
      </c>
      <c r="HR363">
        <f>IF(OR(HM$3="",HM$3&gt;TODAY()),"",IF(AND(HP363="",HQ363=""),"",N(HQ363)-N(HP363)))</f>
        <v/>
      </c>
      <c r="HV363">
        <f>IF(OR(HT$3="",HT$3&gt;TODAY()),"",IF(AND(HT363="",HU363=""),"",N(HU363)-N(HT363)))</f>
        <v/>
      </c>
      <c r="HY363">
        <f>IF(OR(HT$3="",HT$3&gt;TODAY()),"",IF(AND(HW363="",HX363=""),"",N(HX363)-N(HW363)))</f>
        <v/>
      </c>
      <c r="IC363">
        <f>IF(OR(IA$3="",IA$3&gt;TODAY()),"",IF(AND(IA363="",IB363=""),"",N(IB363)-N(IA363)))</f>
        <v/>
      </c>
      <c r="IF363">
        <f>IF(OR(IA$3="",IA$3&gt;TODAY()),"",IF(AND(ID363="",IE363=""),"",N(IE363)-N(ID363)))</f>
        <v/>
      </c>
      <c r="IJ363">
        <f>IF(OR(IH$3="",IH$3&gt;TODAY()),"",IF(AND(IH363="",II363=""),"",N(II363)-N(IH363)))</f>
        <v/>
      </c>
      <c r="IM363">
        <f>IF(OR(IH$3="",IH$3&gt;TODAY()),"",IF(AND(IK363="",IL363=""),"",N(IL363)-N(IK363)))</f>
        <v/>
      </c>
    </row>
    <row r="364">
      <c r="A364" s="21" t="n"/>
      <c r="B364" s="21" t="n"/>
      <c r="C364" s="21" t="n"/>
      <c r="D364" s="21" t="n"/>
      <c r="E364" s="21" t="n"/>
      <c r="F364" s="21" t="n"/>
      <c r="G364" s="21" t="n"/>
      <c r="H364" s="21" t="n"/>
      <c r="I364" s="22" t="n"/>
      <c r="J364" s="22" t="n"/>
      <c r="K364" s="23" t="n"/>
      <c r="L364" s="22" t="n"/>
      <c r="M364" s="22" t="n"/>
      <c r="N364" s="21" t="n"/>
      <c r="O364" s="23" t="n"/>
      <c r="P364" s="23" t="n"/>
      <c r="Q364" s="23" t="n"/>
      <c r="R364" s="23" t="n"/>
      <c r="S364" s="22" t="n"/>
      <c r="T364" s="23" t="n"/>
      <c r="U364" s="23" t="n"/>
      <c r="V364" s="24">
        <f>IF(J364&lt;&gt;"",J364,IF(I364&lt;&gt;"",I364,""))</f>
        <v/>
      </c>
      <c r="W364" s="25">
        <f>IF($E364="","",N(O364)+SUMIFS($AF364:$IN364,$AF$4:$IN$4,"SEW_ACT"))</f>
        <v/>
      </c>
      <c r="X364" s="25">
        <f>IF($E364="","",N(P364)+SUMIFS($AF364:$IN364,$AF$4:$IN$4,"WASH_ACT"))</f>
        <v/>
      </c>
      <c r="Y364" s="25">
        <f>IF($E364="","",W364-X364-N(T364)-N(U364))</f>
        <v/>
      </c>
      <c r="Z364" s="25">
        <f>IF($E364="","",IF(N(K364)-X364&lt;=0.02*N(K364),0,N(K364)-X364))</f>
        <v/>
      </c>
      <c r="AA364" s="24">
        <f>IF($E364="","",IF(S364&lt;&gt;"",S364,IF(N(O364)&gt;0,IF(L364&lt;&gt;"",L364,99999),IFERROR(1/(1/_xlfn.MINIFS($AF$3:$IN$3,$AF$4:$IN$4,"SEW_ACT",$AF364:$IN364,"&gt;0")),99999))))</f>
        <v/>
      </c>
      <c r="AB364" s="26">
        <f>IF(OR($E364="",Z364=0,V364=""),"",1+COUNTIFS(Z$8:Z$707,"&gt;0",V$8:V$707,"&lt;"&amp;V364)+COUNTIFS(Z$8:Z$707,"&gt;0",V$8:V$707,V364,AA$8:AA$707,"&lt;"&amp;AA364)+COUNTIFS(Z$8:Z$707,"&gt;0",V$8:V$707,V364,AA$8:AA$707,AA364,E$8:E$707,"&lt;"&amp;$E364))</f>
        <v/>
      </c>
      <c r="AC364" s="24">
        <f>IF(OR($E364="",Z364=0),"",IFERROR(TODAY()+ROUNDUP(Z364/(SUMIFS($AF364:$IN364,$AF$4:$IN$4,"WASH_ACT")/COUNTIFS($AF$4:$IN$4,"WASH_ACT",$AF364:$IN364,"&gt;0")),0),"no output yet"))</f>
        <v/>
      </c>
      <c r="AD364" s="26">
        <f>IF($E364="","",IFERROR(ROUND(MAX(0,SUMIFS($AF364:$IN364,$AF$4:$IN$4,"SEW_PLAN",$AF$3:$IN$3,"&lt;="&amp;TODAY())-SUMIFS($AF364:$IN364,$AF$4:$IN$4,"SEW_ACT",$AF$3:$IN$3,"&lt;="&amp;TODAY())+N(Q364))/(SUMIFS($AF364:$IN364,$AF$4:$IN$4,"SEW_PLAN")/COUNTIFS($AF$4:$IN$4,"SEW_PLAN",$AF364:$IN364,"&gt;0")),1),0))</f>
        <v/>
      </c>
      <c r="AE364" s="26">
        <f>IF($E364="","",IF(AND(Z364&gt;0,OR(AND(M364&lt;&gt;"",TODAY()&gt;M364),AND(V364&lt;&gt;"",V364-TODAY()&lt;=7))),"Yes","No"))</f>
        <v/>
      </c>
      <c r="AH364">
        <f>IF(OR(AF$3="",AF$3&gt;TODAY()),"",IF(AND(AF364="",AG364=""),"",N(AG364)-N(AF364)))</f>
        <v/>
      </c>
      <c r="AK364">
        <f>IF(OR(AF$3="",AF$3&gt;TODAY()),"",IF(AND(AI364="",AJ364=""),"",N(AJ364)-N(AI364)))</f>
        <v/>
      </c>
      <c r="AO364">
        <f>IF(OR(AM$3="",AM$3&gt;TODAY()),"",IF(AND(AM364="",AN364=""),"",N(AN364)-N(AM364)))</f>
        <v/>
      </c>
      <c r="AR364">
        <f>IF(OR(AM$3="",AM$3&gt;TODAY()),"",IF(AND(AP364="",AQ364=""),"",N(AQ364)-N(AP364)))</f>
        <v/>
      </c>
      <c r="AV364">
        <f>IF(OR(AT$3="",AT$3&gt;TODAY()),"",IF(AND(AT364="",AU364=""),"",N(AU364)-N(AT364)))</f>
        <v/>
      </c>
      <c r="AY364">
        <f>IF(OR(AT$3="",AT$3&gt;TODAY()),"",IF(AND(AW364="",AX364=""),"",N(AX364)-N(AW364)))</f>
        <v/>
      </c>
      <c r="BC364">
        <f>IF(OR(BA$3="",BA$3&gt;TODAY()),"",IF(AND(BA364="",BB364=""),"",N(BB364)-N(BA364)))</f>
        <v/>
      </c>
      <c r="BF364">
        <f>IF(OR(BA$3="",BA$3&gt;TODAY()),"",IF(AND(BD364="",BE364=""),"",N(BE364)-N(BD364)))</f>
        <v/>
      </c>
      <c r="BJ364">
        <f>IF(OR(BH$3="",BH$3&gt;TODAY()),"",IF(AND(BH364="",BI364=""),"",N(BI364)-N(BH364)))</f>
        <v/>
      </c>
      <c r="BM364">
        <f>IF(OR(BH$3="",BH$3&gt;TODAY()),"",IF(AND(BK364="",BL364=""),"",N(BL364)-N(BK364)))</f>
        <v/>
      </c>
      <c r="BQ364">
        <f>IF(OR(BO$3="",BO$3&gt;TODAY()),"",IF(AND(BO364="",BP364=""),"",N(BP364)-N(BO364)))</f>
        <v/>
      </c>
      <c r="BT364">
        <f>IF(OR(BO$3="",BO$3&gt;TODAY()),"",IF(AND(BR364="",BS364=""),"",N(BS364)-N(BR364)))</f>
        <v/>
      </c>
      <c r="BX364">
        <f>IF(OR(BV$3="",BV$3&gt;TODAY()),"",IF(AND(BV364="",BW364=""),"",N(BW364)-N(BV364)))</f>
        <v/>
      </c>
      <c r="CA364">
        <f>IF(OR(BV$3="",BV$3&gt;TODAY()),"",IF(AND(BY364="",BZ364=""),"",N(BZ364)-N(BY364)))</f>
        <v/>
      </c>
      <c r="CE364">
        <f>IF(OR(CC$3="",CC$3&gt;TODAY()),"",IF(AND(CC364="",CD364=""),"",N(CD364)-N(CC364)))</f>
        <v/>
      </c>
      <c r="CH364">
        <f>IF(OR(CC$3="",CC$3&gt;TODAY()),"",IF(AND(CF364="",CG364=""),"",N(CG364)-N(CF364)))</f>
        <v/>
      </c>
      <c r="CL364">
        <f>IF(OR(CJ$3="",CJ$3&gt;TODAY()),"",IF(AND(CJ364="",CK364=""),"",N(CK364)-N(CJ364)))</f>
        <v/>
      </c>
      <c r="CO364">
        <f>IF(OR(CJ$3="",CJ$3&gt;TODAY()),"",IF(AND(CM364="",CN364=""),"",N(CN364)-N(CM364)))</f>
        <v/>
      </c>
      <c r="CS364">
        <f>IF(OR(CQ$3="",CQ$3&gt;TODAY()),"",IF(AND(CQ364="",CR364=""),"",N(CR364)-N(CQ364)))</f>
        <v/>
      </c>
      <c r="CV364">
        <f>IF(OR(CQ$3="",CQ$3&gt;TODAY()),"",IF(AND(CT364="",CU364=""),"",N(CU364)-N(CT364)))</f>
        <v/>
      </c>
      <c r="CZ364">
        <f>IF(OR(CX$3="",CX$3&gt;TODAY()),"",IF(AND(CX364="",CY364=""),"",N(CY364)-N(CX364)))</f>
        <v/>
      </c>
      <c r="DC364">
        <f>IF(OR(CX$3="",CX$3&gt;TODAY()),"",IF(AND(DA364="",DB364=""),"",N(DB364)-N(DA364)))</f>
        <v/>
      </c>
      <c r="DG364">
        <f>IF(OR(DE$3="",DE$3&gt;TODAY()),"",IF(AND(DE364="",DF364=""),"",N(DF364)-N(DE364)))</f>
        <v/>
      </c>
      <c r="DJ364">
        <f>IF(OR(DE$3="",DE$3&gt;TODAY()),"",IF(AND(DH364="",DI364=""),"",N(DI364)-N(DH364)))</f>
        <v/>
      </c>
      <c r="DN364">
        <f>IF(OR(DL$3="",DL$3&gt;TODAY()),"",IF(AND(DL364="",DM364=""),"",N(DM364)-N(DL364)))</f>
        <v/>
      </c>
      <c r="DQ364">
        <f>IF(OR(DL$3="",DL$3&gt;TODAY()),"",IF(AND(DO364="",DP364=""),"",N(DP364)-N(DO364)))</f>
        <v/>
      </c>
      <c r="DU364">
        <f>IF(OR(DS$3="",DS$3&gt;TODAY()),"",IF(AND(DS364="",DT364=""),"",N(DT364)-N(DS364)))</f>
        <v/>
      </c>
      <c r="DX364">
        <f>IF(OR(DS$3="",DS$3&gt;TODAY()),"",IF(AND(DV364="",DW364=""),"",N(DW364)-N(DV364)))</f>
        <v/>
      </c>
      <c r="EB364">
        <f>IF(OR(DZ$3="",DZ$3&gt;TODAY()),"",IF(AND(DZ364="",EA364=""),"",N(EA364)-N(DZ364)))</f>
        <v/>
      </c>
      <c r="EE364">
        <f>IF(OR(DZ$3="",DZ$3&gt;TODAY()),"",IF(AND(EC364="",ED364=""),"",N(ED364)-N(EC364)))</f>
        <v/>
      </c>
      <c r="EI364">
        <f>IF(OR(EG$3="",EG$3&gt;TODAY()),"",IF(AND(EG364="",EH364=""),"",N(EH364)-N(EG364)))</f>
        <v/>
      </c>
      <c r="EL364">
        <f>IF(OR(EG$3="",EG$3&gt;TODAY()),"",IF(AND(EJ364="",EK364=""),"",N(EK364)-N(EJ364)))</f>
        <v/>
      </c>
      <c r="EP364">
        <f>IF(OR(EN$3="",EN$3&gt;TODAY()),"",IF(AND(EN364="",EO364=""),"",N(EO364)-N(EN364)))</f>
        <v/>
      </c>
      <c r="ES364">
        <f>IF(OR(EN$3="",EN$3&gt;TODAY()),"",IF(AND(EQ364="",ER364=""),"",N(ER364)-N(EQ364)))</f>
        <v/>
      </c>
      <c r="EW364">
        <f>IF(OR(EU$3="",EU$3&gt;TODAY()),"",IF(AND(EU364="",EV364=""),"",N(EV364)-N(EU364)))</f>
        <v/>
      </c>
      <c r="EZ364">
        <f>IF(OR(EU$3="",EU$3&gt;TODAY()),"",IF(AND(EX364="",EY364=""),"",N(EY364)-N(EX364)))</f>
        <v/>
      </c>
      <c r="FD364">
        <f>IF(OR(FB$3="",FB$3&gt;TODAY()),"",IF(AND(FB364="",FC364=""),"",N(FC364)-N(FB364)))</f>
        <v/>
      </c>
      <c r="FG364">
        <f>IF(OR(FB$3="",FB$3&gt;TODAY()),"",IF(AND(FE364="",FF364=""),"",N(FF364)-N(FE364)))</f>
        <v/>
      </c>
      <c r="FK364">
        <f>IF(OR(FI$3="",FI$3&gt;TODAY()),"",IF(AND(FI364="",FJ364=""),"",N(FJ364)-N(FI364)))</f>
        <v/>
      </c>
      <c r="FN364">
        <f>IF(OR(FI$3="",FI$3&gt;TODAY()),"",IF(AND(FL364="",FM364=""),"",N(FM364)-N(FL364)))</f>
        <v/>
      </c>
      <c r="FR364">
        <f>IF(OR(FP$3="",FP$3&gt;TODAY()),"",IF(AND(FP364="",FQ364=""),"",N(FQ364)-N(FP364)))</f>
        <v/>
      </c>
      <c r="FU364">
        <f>IF(OR(FP$3="",FP$3&gt;TODAY()),"",IF(AND(FS364="",FT364=""),"",N(FT364)-N(FS364)))</f>
        <v/>
      </c>
      <c r="FY364">
        <f>IF(OR(FW$3="",FW$3&gt;TODAY()),"",IF(AND(FW364="",FX364=""),"",N(FX364)-N(FW364)))</f>
        <v/>
      </c>
      <c r="GB364">
        <f>IF(OR(FW$3="",FW$3&gt;TODAY()),"",IF(AND(FZ364="",GA364=""),"",N(GA364)-N(FZ364)))</f>
        <v/>
      </c>
      <c r="GF364">
        <f>IF(OR(GD$3="",GD$3&gt;TODAY()),"",IF(AND(GD364="",GE364=""),"",N(GE364)-N(GD364)))</f>
        <v/>
      </c>
      <c r="GI364">
        <f>IF(OR(GD$3="",GD$3&gt;TODAY()),"",IF(AND(GG364="",GH364=""),"",N(GH364)-N(GG364)))</f>
        <v/>
      </c>
      <c r="GM364">
        <f>IF(OR(GK$3="",GK$3&gt;TODAY()),"",IF(AND(GK364="",GL364=""),"",N(GL364)-N(GK364)))</f>
        <v/>
      </c>
      <c r="GP364">
        <f>IF(OR(GK$3="",GK$3&gt;TODAY()),"",IF(AND(GN364="",GO364=""),"",N(GO364)-N(GN364)))</f>
        <v/>
      </c>
      <c r="GT364">
        <f>IF(OR(GR$3="",GR$3&gt;TODAY()),"",IF(AND(GR364="",GS364=""),"",N(GS364)-N(GR364)))</f>
        <v/>
      </c>
      <c r="GW364">
        <f>IF(OR(GR$3="",GR$3&gt;TODAY()),"",IF(AND(GU364="",GV364=""),"",N(GV364)-N(GU364)))</f>
        <v/>
      </c>
      <c r="HA364">
        <f>IF(OR(GY$3="",GY$3&gt;TODAY()),"",IF(AND(GY364="",GZ364=""),"",N(GZ364)-N(GY364)))</f>
        <v/>
      </c>
      <c r="HD364">
        <f>IF(OR(GY$3="",GY$3&gt;TODAY()),"",IF(AND(HB364="",HC364=""),"",N(HC364)-N(HB364)))</f>
        <v/>
      </c>
      <c r="HH364">
        <f>IF(OR(HF$3="",HF$3&gt;TODAY()),"",IF(AND(HF364="",HG364=""),"",N(HG364)-N(HF364)))</f>
        <v/>
      </c>
      <c r="HK364">
        <f>IF(OR(HF$3="",HF$3&gt;TODAY()),"",IF(AND(HI364="",HJ364=""),"",N(HJ364)-N(HI364)))</f>
        <v/>
      </c>
      <c r="HO364">
        <f>IF(OR(HM$3="",HM$3&gt;TODAY()),"",IF(AND(HM364="",HN364=""),"",N(HN364)-N(HM364)))</f>
        <v/>
      </c>
      <c r="HR364">
        <f>IF(OR(HM$3="",HM$3&gt;TODAY()),"",IF(AND(HP364="",HQ364=""),"",N(HQ364)-N(HP364)))</f>
        <v/>
      </c>
      <c r="HV364">
        <f>IF(OR(HT$3="",HT$3&gt;TODAY()),"",IF(AND(HT364="",HU364=""),"",N(HU364)-N(HT364)))</f>
        <v/>
      </c>
      <c r="HY364">
        <f>IF(OR(HT$3="",HT$3&gt;TODAY()),"",IF(AND(HW364="",HX364=""),"",N(HX364)-N(HW364)))</f>
        <v/>
      </c>
      <c r="IC364">
        <f>IF(OR(IA$3="",IA$3&gt;TODAY()),"",IF(AND(IA364="",IB364=""),"",N(IB364)-N(IA364)))</f>
        <v/>
      </c>
      <c r="IF364">
        <f>IF(OR(IA$3="",IA$3&gt;TODAY()),"",IF(AND(ID364="",IE364=""),"",N(IE364)-N(ID364)))</f>
        <v/>
      </c>
      <c r="IJ364">
        <f>IF(OR(IH$3="",IH$3&gt;TODAY()),"",IF(AND(IH364="",II364=""),"",N(II364)-N(IH364)))</f>
        <v/>
      </c>
      <c r="IM364">
        <f>IF(OR(IH$3="",IH$3&gt;TODAY()),"",IF(AND(IK364="",IL364=""),"",N(IL364)-N(IK364)))</f>
        <v/>
      </c>
    </row>
    <row r="365">
      <c r="A365" s="21" t="n"/>
      <c r="B365" s="21" t="n"/>
      <c r="C365" s="21" t="n"/>
      <c r="D365" s="21" t="n"/>
      <c r="E365" s="21" t="n"/>
      <c r="F365" s="21" t="n"/>
      <c r="G365" s="21" t="n"/>
      <c r="H365" s="21" t="n"/>
      <c r="I365" s="22" t="n"/>
      <c r="J365" s="22" t="n"/>
      <c r="K365" s="23" t="n"/>
      <c r="L365" s="22" t="n"/>
      <c r="M365" s="22" t="n"/>
      <c r="N365" s="21" t="n"/>
      <c r="O365" s="23" t="n"/>
      <c r="P365" s="23" t="n"/>
      <c r="Q365" s="23" t="n"/>
      <c r="R365" s="23" t="n"/>
      <c r="S365" s="22" t="n"/>
      <c r="T365" s="23" t="n"/>
      <c r="U365" s="23" t="n"/>
      <c r="V365" s="24">
        <f>IF(J365&lt;&gt;"",J365,IF(I365&lt;&gt;"",I365,""))</f>
        <v/>
      </c>
      <c r="W365" s="25">
        <f>IF($E365="","",N(O365)+SUMIFS($AF365:$IN365,$AF$4:$IN$4,"SEW_ACT"))</f>
        <v/>
      </c>
      <c r="X365" s="25">
        <f>IF($E365="","",N(P365)+SUMIFS($AF365:$IN365,$AF$4:$IN$4,"WASH_ACT"))</f>
        <v/>
      </c>
      <c r="Y365" s="25">
        <f>IF($E365="","",W365-X365-N(T365)-N(U365))</f>
        <v/>
      </c>
      <c r="Z365" s="25">
        <f>IF($E365="","",IF(N(K365)-X365&lt;=0.02*N(K365),0,N(K365)-X365))</f>
        <v/>
      </c>
      <c r="AA365" s="24">
        <f>IF($E365="","",IF(S365&lt;&gt;"",S365,IF(N(O365)&gt;0,IF(L365&lt;&gt;"",L365,99999),IFERROR(1/(1/_xlfn.MINIFS($AF$3:$IN$3,$AF$4:$IN$4,"SEW_ACT",$AF365:$IN365,"&gt;0")),99999))))</f>
        <v/>
      </c>
      <c r="AB365" s="26">
        <f>IF(OR($E365="",Z365=0,V365=""),"",1+COUNTIFS(Z$8:Z$707,"&gt;0",V$8:V$707,"&lt;"&amp;V365)+COUNTIFS(Z$8:Z$707,"&gt;0",V$8:V$707,V365,AA$8:AA$707,"&lt;"&amp;AA365)+COUNTIFS(Z$8:Z$707,"&gt;0",V$8:V$707,V365,AA$8:AA$707,AA365,E$8:E$707,"&lt;"&amp;$E365))</f>
        <v/>
      </c>
      <c r="AC365" s="24">
        <f>IF(OR($E365="",Z365=0),"",IFERROR(TODAY()+ROUNDUP(Z365/(SUMIFS($AF365:$IN365,$AF$4:$IN$4,"WASH_ACT")/COUNTIFS($AF$4:$IN$4,"WASH_ACT",$AF365:$IN365,"&gt;0")),0),"no output yet"))</f>
        <v/>
      </c>
      <c r="AD365" s="26">
        <f>IF($E365="","",IFERROR(ROUND(MAX(0,SUMIFS($AF365:$IN365,$AF$4:$IN$4,"SEW_PLAN",$AF$3:$IN$3,"&lt;="&amp;TODAY())-SUMIFS($AF365:$IN365,$AF$4:$IN$4,"SEW_ACT",$AF$3:$IN$3,"&lt;="&amp;TODAY())+N(Q365))/(SUMIFS($AF365:$IN365,$AF$4:$IN$4,"SEW_PLAN")/COUNTIFS($AF$4:$IN$4,"SEW_PLAN",$AF365:$IN365,"&gt;0")),1),0))</f>
        <v/>
      </c>
      <c r="AE365" s="26">
        <f>IF($E365="","",IF(AND(Z365&gt;0,OR(AND(M365&lt;&gt;"",TODAY()&gt;M365),AND(V365&lt;&gt;"",V365-TODAY()&lt;=7))),"Yes","No"))</f>
        <v/>
      </c>
      <c r="AH365">
        <f>IF(OR(AF$3="",AF$3&gt;TODAY()),"",IF(AND(AF365="",AG365=""),"",N(AG365)-N(AF365)))</f>
        <v/>
      </c>
      <c r="AK365">
        <f>IF(OR(AF$3="",AF$3&gt;TODAY()),"",IF(AND(AI365="",AJ365=""),"",N(AJ365)-N(AI365)))</f>
        <v/>
      </c>
      <c r="AO365">
        <f>IF(OR(AM$3="",AM$3&gt;TODAY()),"",IF(AND(AM365="",AN365=""),"",N(AN365)-N(AM365)))</f>
        <v/>
      </c>
      <c r="AR365">
        <f>IF(OR(AM$3="",AM$3&gt;TODAY()),"",IF(AND(AP365="",AQ365=""),"",N(AQ365)-N(AP365)))</f>
        <v/>
      </c>
      <c r="AV365">
        <f>IF(OR(AT$3="",AT$3&gt;TODAY()),"",IF(AND(AT365="",AU365=""),"",N(AU365)-N(AT365)))</f>
        <v/>
      </c>
      <c r="AY365">
        <f>IF(OR(AT$3="",AT$3&gt;TODAY()),"",IF(AND(AW365="",AX365=""),"",N(AX365)-N(AW365)))</f>
        <v/>
      </c>
      <c r="BC365">
        <f>IF(OR(BA$3="",BA$3&gt;TODAY()),"",IF(AND(BA365="",BB365=""),"",N(BB365)-N(BA365)))</f>
        <v/>
      </c>
      <c r="BF365">
        <f>IF(OR(BA$3="",BA$3&gt;TODAY()),"",IF(AND(BD365="",BE365=""),"",N(BE365)-N(BD365)))</f>
        <v/>
      </c>
      <c r="BJ365">
        <f>IF(OR(BH$3="",BH$3&gt;TODAY()),"",IF(AND(BH365="",BI365=""),"",N(BI365)-N(BH365)))</f>
        <v/>
      </c>
      <c r="BM365">
        <f>IF(OR(BH$3="",BH$3&gt;TODAY()),"",IF(AND(BK365="",BL365=""),"",N(BL365)-N(BK365)))</f>
        <v/>
      </c>
      <c r="BQ365">
        <f>IF(OR(BO$3="",BO$3&gt;TODAY()),"",IF(AND(BO365="",BP365=""),"",N(BP365)-N(BO365)))</f>
        <v/>
      </c>
      <c r="BT365">
        <f>IF(OR(BO$3="",BO$3&gt;TODAY()),"",IF(AND(BR365="",BS365=""),"",N(BS365)-N(BR365)))</f>
        <v/>
      </c>
      <c r="BX365">
        <f>IF(OR(BV$3="",BV$3&gt;TODAY()),"",IF(AND(BV365="",BW365=""),"",N(BW365)-N(BV365)))</f>
        <v/>
      </c>
      <c r="CA365">
        <f>IF(OR(BV$3="",BV$3&gt;TODAY()),"",IF(AND(BY365="",BZ365=""),"",N(BZ365)-N(BY365)))</f>
        <v/>
      </c>
      <c r="CE365">
        <f>IF(OR(CC$3="",CC$3&gt;TODAY()),"",IF(AND(CC365="",CD365=""),"",N(CD365)-N(CC365)))</f>
        <v/>
      </c>
      <c r="CH365">
        <f>IF(OR(CC$3="",CC$3&gt;TODAY()),"",IF(AND(CF365="",CG365=""),"",N(CG365)-N(CF365)))</f>
        <v/>
      </c>
      <c r="CL365">
        <f>IF(OR(CJ$3="",CJ$3&gt;TODAY()),"",IF(AND(CJ365="",CK365=""),"",N(CK365)-N(CJ365)))</f>
        <v/>
      </c>
      <c r="CO365">
        <f>IF(OR(CJ$3="",CJ$3&gt;TODAY()),"",IF(AND(CM365="",CN365=""),"",N(CN365)-N(CM365)))</f>
        <v/>
      </c>
      <c r="CS365">
        <f>IF(OR(CQ$3="",CQ$3&gt;TODAY()),"",IF(AND(CQ365="",CR365=""),"",N(CR365)-N(CQ365)))</f>
        <v/>
      </c>
      <c r="CV365">
        <f>IF(OR(CQ$3="",CQ$3&gt;TODAY()),"",IF(AND(CT365="",CU365=""),"",N(CU365)-N(CT365)))</f>
        <v/>
      </c>
      <c r="CZ365">
        <f>IF(OR(CX$3="",CX$3&gt;TODAY()),"",IF(AND(CX365="",CY365=""),"",N(CY365)-N(CX365)))</f>
        <v/>
      </c>
      <c r="DC365">
        <f>IF(OR(CX$3="",CX$3&gt;TODAY()),"",IF(AND(DA365="",DB365=""),"",N(DB365)-N(DA365)))</f>
        <v/>
      </c>
      <c r="DG365">
        <f>IF(OR(DE$3="",DE$3&gt;TODAY()),"",IF(AND(DE365="",DF365=""),"",N(DF365)-N(DE365)))</f>
        <v/>
      </c>
      <c r="DJ365">
        <f>IF(OR(DE$3="",DE$3&gt;TODAY()),"",IF(AND(DH365="",DI365=""),"",N(DI365)-N(DH365)))</f>
        <v/>
      </c>
      <c r="DN365">
        <f>IF(OR(DL$3="",DL$3&gt;TODAY()),"",IF(AND(DL365="",DM365=""),"",N(DM365)-N(DL365)))</f>
        <v/>
      </c>
      <c r="DQ365">
        <f>IF(OR(DL$3="",DL$3&gt;TODAY()),"",IF(AND(DO365="",DP365=""),"",N(DP365)-N(DO365)))</f>
        <v/>
      </c>
      <c r="DU365">
        <f>IF(OR(DS$3="",DS$3&gt;TODAY()),"",IF(AND(DS365="",DT365=""),"",N(DT365)-N(DS365)))</f>
        <v/>
      </c>
      <c r="DX365">
        <f>IF(OR(DS$3="",DS$3&gt;TODAY()),"",IF(AND(DV365="",DW365=""),"",N(DW365)-N(DV365)))</f>
        <v/>
      </c>
      <c r="EB365">
        <f>IF(OR(DZ$3="",DZ$3&gt;TODAY()),"",IF(AND(DZ365="",EA365=""),"",N(EA365)-N(DZ365)))</f>
        <v/>
      </c>
      <c r="EE365">
        <f>IF(OR(DZ$3="",DZ$3&gt;TODAY()),"",IF(AND(EC365="",ED365=""),"",N(ED365)-N(EC365)))</f>
        <v/>
      </c>
      <c r="EI365">
        <f>IF(OR(EG$3="",EG$3&gt;TODAY()),"",IF(AND(EG365="",EH365=""),"",N(EH365)-N(EG365)))</f>
        <v/>
      </c>
      <c r="EL365">
        <f>IF(OR(EG$3="",EG$3&gt;TODAY()),"",IF(AND(EJ365="",EK365=""),"",N(EK365)-N(EJ365)))</f>
        <v/>
      </c>
      <c r="EP365">
        <f>IF(OR(EN$3="",EN$3&gt;TODAY()),"",IF(AND(EN365="",EO365=""),"",N(EO365)-N(EN365)))</f>
        <v/>
      </c>
      <c r="ES365">
        <f>IF(OR(EN$3="",EN$3&gt;TODAY()),"",IF(AND(EQ365="",ER365=""),"",N(ER365)-N(EQ365)))</f>
        <v/>
      </c>
      <c r="EW365">
        <f>IF(OR(EU$3="",EU$3&gt;TODAY()),"",IF(AND(EU365="",EV365=""),"",N(EV365)-N(EU365)))</f>
        <v/>
      </c>
      <c r="EZ365">
        <f>IF(OR(EU$3="",EU$3&gt;TODAY()),"",IF(AND(EX365="",EY365=""),"",N(EY365)-N(EX365)))</f>
        <v/>
      </c>
      <c r="FD365">
        <f>IF(OR(FB$3="",FB$3&gt;TODAY()),"",IF(AND(FB365="",FC365=""),"",N(FC365)-N(FB365)))</f>
        <v/>
      </c>
      <c r="FG365">
        <f>IF(OR(FB$3="",FB$3&gt;TODAY()),"",IF(AND(FE365="",FF365=""),"",N(FF365)-N(FE365)))</f>
        <v/>
      </c>
      <c r="FK365">
        <f>IF(OR(FI$3="",FI$3&gt;TODAY()),"",IF(AND(FI365="",FJ365=""),"",N(FJ365)-N(FI365)))</f>
        <v/>
      </c>
      <c r="FN365">
        <f>IF(OR(FI$3="",FI$3&gt;TODAY()),"",IF(AND(FL365="",FM365=""),"",N(FM365)-N(FL365)))</f>
        <v/>
      </c>
      <c r="FR365">
        <f>IF(OR(FP$3="",FP$3&gt;TODAY()),"",IF(AND(FP365="",FQ365=""),"",N(FQ365)-N(FP365)))</f>
        <v/>
      </c>
      <c r="FU365">
        <f>IF(OR(FP$3="",FP$3&gt;TODAY()),"",IF(AND(FS365="",FT365=""),"",N(FT365)-N(FS365)))</f>
        <v/>
      </c>
      <c r="FY365">
        <f>IF(OR(FW$3="",FW$3&gt;TODAY()),"",IF(AND(FW365="",FX365=""),"",N(FX365)-N(FW365)))</f>
        <v/>
      </c>
      <c r="GB365">
        <f>IF(OR(FW$3="",FW$3&gt;TODAY()),"",IF(AND(FZ365="",GA365=""),"",N(GA365)-N(FZ365)))</f>
        <v/>
      </c>
      <c r="GF365">
        <f>IF(OR(GD$3="",GD$3&gt;TODAY()),"",IF(AND(GD365="",GE365=""),"",N(GE365)-N(GD365)))</f>
        <v/>
      </c>
      <c r="GI365">
        <f>IF(OR(GD$3="",GD$3&gt;TODAY()),"",IF(AND(GG365="",GH365=""),"",N(GH365)-N(GG365)))</f>
        <v/>
      </c>
      <c r="GM365">
        <f>IF(OR(GK$3="",GK$3&gt;TODAY()),"",IF(AND(GK365="",GL365=""),"",N(GL365)-N(GK365)))</f>
        <v/>
      </c>
      <c r="GP365">
        <f>IF(OR(GK$3="",GK$3&gt;TODAY()),"",IF(AND(GN365="",GO365=""),"",N(GO365)-N(GN365)))</f>
        <v/>
      </c>
      <c r="GT365">
        <f>IF(OR(GR$3="",GR$3&gt;TODAY()),"",IF(AND(GR365="",GS365=""),"",N(GS365)-N(GR365)))</f>
        <v/>
      </c>
      <c r="GW365">
        <f>IF(OR(GR$3="",GR$3&gt;TODAY()),"",IF(AND(GU365="",GV365=""),"",N(GV365)-N(GU365)))</f>
        <v/>
      </c>
      <c r="HA365">
        <f>IF(OR(GY$3="",GY$3&gt;TODAY()),"",IF(AND(GY365="",GZ365=""),"",N(GZ365)-N(GY365)))</f>
        <v/>
      </c>
      <c r="HD365">
        <f>IF(OR(GY$3="",GY$3&gt;TODAY()),"",IF(AND(HB365="",HC365=""),"",N(HC365)-N(HB365)))</f>
        <v/>
      </c>
      <c r="HH365">
        <f>IF(OR(HF$3="",HF$3&gt;TODAY()),"",IF(AND(HF365="",HG365=""),"",N(HG365)-N(HF365)))</f>
        <v/>
      </c>
      <c r="HK365">
        <f>IF(OR(HF$3="",HF$3&gt;TODAY()),"",IF(AND(HI365="",HJ365=""),"",N(HJ365)-N(HI365)))</f>
        <v/>
      </c>
      <c r="HO365">
        <f>IF(OR(HM$3="",HM$3&gt;TODAY()),"",IF(AND(HM365="",HN365=""),"",N(HN365)-N(HM365)))</f>
        <v/>
      </c>
      <c r="HR365">
        <f>IF(OR(HM$3="",HM$3&gt;TODAY()),"",IF(AND(HP365="",HQ365=""),"",N(HQ365)-N(HP365)))</f>
        <v/>
      </c>
      <c r="HV365">
        <f>IF(OR(HT$3="",HT$3&gt;TODAY()),"",IF(AND(HT365="",HU365=""),"",N(HU365)-N(HT365)))</f>
        <v/>
      </c>
      <c r="HY365">
        <f>IF(OR(HT$3="",HT$3&gt;TODAY()),"",IF(AND(HW365="",HX365=""),"",N(HX365)-N(HW365)))</f>
        <v/>
      </c>
      <c r="IC365">
        <f>IF(OR(IA$3="",IA$3&gt;TODAY()),"",IF(AND(IA365="",IB365=""),"",N(IB365)-N(IA365)))</f>
        <v/>
      </c>
      <c r="IF365">
        <f>IF(OR(IA$3="",IA$3&gt;TODAY()),"",IF(AND(ID365="",IE365=""),"",N(IE365)-N(ID365)))</f>
        <v/>
      </c>
      <c r="IJ365">
        <f>IF(OR(IH$3="",IH$3&gt;TODAY()),"",IF(AND(IH365="",II365=""),"",N(II365)-N(IH365)))</f>
        <v/>
      </c>
      <c r="IM365">
        <f>IF(OR(IH$3="",IH$3&gt;TODAY()),"",IF(AND(IK365="",IL365=""),"",N(IL365)-N(IK365)))</f>
        <v/>
      </c>
    </row>
    <row r="366">
      <c r="A366" s="21" t="n"/>
      <c r="B366" s="21" t="n"/>
      <c r="C366" s="21" t="n"/>
      <c r="D366" s="21" t="n"/>
      <c r="E366" s="21" t="n"/>
      <c r="F366" s="21" t="n"/>
      <c r="G366" s="21" t="n"/>
      <c r="H366" s="21" t="n"/>
      <c r="I366" s="22" t="n"/>
      <c r="J366" s="22" t="n"/>
      <c r="K366" s="23" t="n"/>
      <c r="L366" s="22" t="n"/>
      <c r="M366" s="22" t="n"/>
      <c r="N366" s="21" t="n"/>
      <c r="O366" s="23" t="n"/>
      <c r="P366" s="23" t="n"/>
      <c r="Q366" s="23" t="n"/>
      <c r="R366" s="23" t="n"/>
      <c r="S366" s="22" t="n"/>
      <c r="T366" s="23" t="n"/>
      <c r="U366" s="23" t="n"/>
      <c r="V366" s="24">
        <f>IF(J366&lt;&gt;"",J366,IF(I366&lt;&gt;"",I366,""))</f>
        <v/>
      </c>
      <c r="W366" s="25">
        <f>IF($E366="","",N(O366)+SUMIFS($AF366:$IN366,$AF$4:$IN$4,"SEW_ACT"))</f>
        <v/>
      </c>
      <c r="X366" s="25">
        <f>IF($E366="","",N(P366)+SUMIFS($AF366:$IN366,$AF$4:$IN$4,"WASH_ACT"))</f>
        <v/>
      </c>
      <c r="Y366" s="25">
        <f>IF($E366="","",W366-X366-N(T366)-N(U366))</f>
        <v/>
      </c>
      <c r="Z366" s="25">
        <f>IF($E366="","",IF(N(K366)-X366&lt;=0.02*N(K366),0,N(K366)-X366))</f>
        <v/>
      </c>
      <c r="AA366" s="24">
        <f>IF($E366="","",IF(S366&lt;&gt;"",S366,IF(N(O366)&gt;0,IF(L366&lt;&gt;"",L366,99999),IFERROR(1/(1/_xlfn.MINIFS($AF$3:$IN$3,$AF$4:$IN$4,"SEW_ACT",$AF366:$IN366,"&gt;0")),99999))))</f>
        <v/>
      </c>
      <c r="AB366" s="26">
        <f>IF(OR($E366="",Z366=0,V366=""),"",1+COUNTIFS(Z$8:Z$707,"&gt;0",V$8:V$707,"&lt;"&amp;V366)+COUNTIFS(Z$8:Z$707,"&gt;0",V$8:V$707,V366,AA$8:AA$707,"&lt;"&amp;AA366)+COUNTIFS(Z$8:Z$707,"&gt;0",V$8:V$707,V366,AA$8:AA$707,AA366,E$8:E$707,"&lt;"&amp;$E366))</f>
        <v/>
      </c>
      <c r="AC366" s="24">
        <f>IF(OR($E366="",Z366=0),"",IFERROR(TODAY()+ROUNDUP(Z366/(SUMIFS($AF366:$IN366,$AF$4:$IN$4,"WASH_ACT")/COUNTIFS($AF$4:$IN$4,"WASH_ACT",$AF366:$IN366,"&gt;0")),0),"no output yet"))</f>
        <v/>
      </c>
      <c r="AD366" s="26">
        <f>IF($E366="","",IFERROR(ROUND(MAX(0,SUMIFS($AF366:$IN366,$AF$4:$IN$4,"SEW_PLAN",$AF$3:$IN$3,"&lt;="&amp;TODAY())-SUMIFS($AF366:$IN366,$AF$4:$IN$4,"SEW_ACT",$AF$3:$IN$3,"&lt;="&amp;TODAY())+N(Q366))/(SUMIFS($AF366:$IN366,$AF$4:$IN$4,"SEW_PLAN")/COUNTIFS($AF$4:$IN$4,"SEW_PLAN",$AF366:$IN366,"&gt;0")),1),0))</f>
        <v/>
      </c>
      <c r="AE366" s="26">
        <f>IF($E366="","",IF(AND(Z366&gt;0,OR(AND(M366&lt;&gt;"",TODAY()&gt;M366),AND(V366&lt;&gt;"",V366-TODAY()&lt;=7))),"Yes","No"))</f>
        <v/>
      </c>
      <c r="AH366">
        <f>IF(OR(AF$3="",AF$3&gt;TODAY()),"",IF(AND(AF366="",AG366=""),"",N(AG366)-N(AF366)))</f>
        <v/>
      </c>
      <c r="AK366">
        <f>IF(OR(AF$3="",AF$3&gt;TODAY()),"",IF(AND(AI366="",AJ366=""),"",N(AJ366)-N(AI366)))</f>
        <v/>
      </c>
      <c r="AO366">
        <f>IF(OR(AM$3="",AM$3&gt;TODAY()),"",IF(AND(AM366="",AN366=""),"",N(AN366)-N(AM366)))</f>
        <v/>
      </c>
      <c r="AR366">
        <f>IF(OR(AM$3="",AM$3&gt;TODAY()),"",IF(AND(AP366="",AQ366=""),"",N(AQ366)-N(AP366)))</f>
        <v/>
      </c>
      <c r="AV366">
        <f>IF(OR(AT$3="",AT$3&gt;TODAY()),"",IF(AND(AT366="",AU366=""),"",N(AU366)-N(AT366)))</f>
        <v/>
      </c>
      <c r="AY366">
        <f>IF(OR(AT$3="",AT$3&gt;TODAY()),"",IF(AND(AW366="",AX366=""),"",N(AX366)-N(AW366)))</f>
        <v/>
      </c>
      <c r="BC366">
        <f>IF(OR(BA$3="",BA$3&gt;TODAY()),"",IF(AND(BA366="",BB366=""),"",N(BB366)-N(BA366)))</f>
        <v/>
      </c>
      <c r="BF366">
        <f>IF(OR(BA$3="",BA$3&gt;TODAY()),"",IF(AND(BD366="",BE366=""),"",N(BE366)-N(BD366)))</f>
        <v/>
      </c>
      <c r="BJ366">
        <f>IF(OR(BH$3="",BH$3&gt;TODAY()),"",IF(AND(BH366="",BI366=""),"",N(BI366)-N(BH366)))</f>
        <v/>
      </c>
      <c r="BM366">
        <f>IF(OR(BH$3="",BH$3&gt;TODAY()),"",IF(AND(BK366="",BL366=""),"",N(BL366)-N(BK366)))</f>
        <v/>
      </c>
      <c r="BQ366">
        <f>IF(OR(BO$3="",BO$3&gt;TODAY()),"",IF(AND(BO366="",BP366=""),"",N(BP366)-N(BO366)))</f>
        <v/>
      </c>
      <c r="BT366">
        <f>IF(OR(BO$3="",BO$3&gt;TODAY()),"",IF(AND(BR366="",BS366=""),"",N(BS366)-N(BR366)))</f>
        <v/>
      </c>
      <c r="BX366">
        <f>IF(OR(BV$3="",BV$3&gt;TODAY()),"",IF(AND(BV366="",BW366=""),"",N(BW366)-N(BV366)))</f>
        <v/>
      </c>
      <c r="CA366">
        <f>IF(OR(BV$3="",BV$3&gt;TODAY()),"",IF(AND(BY366="",BZ366=""),"",N(BZ366)-N(BY366)))</f>
        <v/>
      </c>
      <c r="CE366">
        <f>IF(OR(CC$3="",CC$3&gt;TODAY()),"",IF(AND(CC366="",CD366=""),"",N(CD366)-N(CC366)))</f>
        <v/>
      </c>
      <c r="CH366">
        <f>IF(OR(CC$3="",CC$3&gt;TODAY()),"",IF(AND(CF366="",CG366=""),"",N(CG366)-N(CF366)))</f>
        <v/>
      </c>
      <c r="CL366">
        <f>IF(OR(CJ$3="",CJ$3&gt;TODAY()),"",IF(AND(CJ366="",CK366=""),"",N(CK366)-N(CJ366)))</f>
        <v/>
      </c>
      <c r="CO366">
        <f>IF(OR(CJ$3="",CJ$3&gt;TODAY()),"",IF(AND(CM366="",CN366=""),"",N(CN366)-N(CM366)))</f>
        <v/>
      </c>
      <c r="CS366">
        <f>IF(OR(CQ$3="",CQ$3&gt;TODAY()),"",IF(AND(CQ366="",CR366=""),"",N(CR366)-N(CQ366)))</f>
        <v/>
      </c>
      <c r="CV366">
        <f>IF(OR(CQ$3="",CQ$3&gt;TODAY()),"",IF(AND(CT366="",CU366=""),"",N(CU366)-N(CT366)))</f>
        <v/>
      </c>
      <c r="CZ366">
        <f>IF(OR(CX$3="",CX$3&gt;TODAY()),"",IF(AND(CX366="",CY366=""),"",N(CY366)-N(CX366)))</f>
        <v/>
      </c>
      <c r="DC366">
        <f>IF(OR(CX$3="",CX$3&gt;TODAY()),"",IF(AND(DA366="",DB366=""),"",N(DB366)-N(DA366)))</f>
        <v/>
      </c>
      <c r="DG366">
        <f>IF(OR(DE$3="",DE$3&gt;TODAY()),"",IF(AND(DE366="",DF366=""),"",N(DF366)-N(DE366)))</f>
        <v/>
      </c>
      <c r="DJ366">
        <f>IF(OR(DE$3="",DE$3&gt;TODAY()),"",IF(AND(DH366="",DI366=""),"",N(DI366)-N(DH366)))</f>
        <v/>
      </c>
      <c r="DN366">
        <f>IF(OR(DL$3="",DL$3&gt;TODAY()),"",IF(AND(DL366="",DM366=""),"",N(DM366)-N(DL366)))</f>
        <v/>
      </c>
      <c r="DQ366">
        <f>IF(OR(DL$3="",DL$3&gt;TODAY()),"",IF(AND(DO366="",DP366=""),"",N(DP366)-N(DO366)))</f>
        <v/>
      </c>
      <c r="DU366">
        <f>IF(OR(DS$3="",DS$3&gt;TODAY()),"",IF(AND(DS366="",DT366=""),"",N(DT366)-N(DS366)))</f>
        <v/>
      </c>
      <c r="DX366">
        <f>IF(OR(DS$3="",DS$3&gt;TODAY()),"",IF(AND(DV366="",DW366=""),"",N(DW366)-N(DV366)))</f>
        <v/>
      </c>
      <c r="EB366">
        <f>IF(OR(DZ$3="",DZ$3&gt;TODAY()),"",IF(AND(DZ366="",EA366=""),"",N(EA366)-N(DZ366)))</f>
        <v/>
      </c>
      <c r="EE366">
        <f>IF(OR(DZ$3="",DZ$3&gt;TODAY()),"",IF(AND(EC366="",ED366=""),"",N(ED366)-N(EC366)))</f>
        <v/>
      </c>
      <c r="EI366">
        <f>IF(OR(EG$3="",EG$3&gt;TODAY()),"",IF(AND(EG366="",EH366=""),"",N(EH366)-N(EG366)))</f>
        <v/>
      </c>
      <c r="EL366">
        <f>IF(OR(EG$3="",EG$3&gt;TODAY()),"",IF(AND(EJ366="",EK366=""),"",N(EK366)-N(EJ366)))</f>
        <v/>
      </c>
      <c r="EP366">
        <f>IF(OR(EN$3="",EN$3&gt;TODAY()),"",IF(AND(EN366="",EO366=""),"",N(EO366)-N(EN366)))</f>
        <v/>
      </c>
      <c r="ES366">
        <f>IF(OR(EN$3="",EN$3&gt;TODAY()),"",IF(AND(EQ366="",ER366=""),"",N(ER366)-N(EQ366)))</f>
        <v/>
      </c>
      <c r="EW366">
        <f>IF(OR(EU$3="",EU$3&gt;TODAY()),"",IF(AND(EU366="",EV366=""),"",N(EV366)-N(EU366)))</f>
        <v/>
      </c>
      <c r="EZ366">
        <f>IF(OR(EU$3="",EU$3&gt;TODAY()),"",IF(AND(EX366="",EY366=""),"",N(EY366)-N(EX366)))</f>
        <v/>
      </c>
      <c r="FD366">
        <f>IF(OR(FB$3="",FB$3&gt;TODAY()),"",IF(AND(FB366="",FC366=""),"",N(FC366)-N(FB366)))</f>
        <v/>
      </c>
      <c r="FG366">
        <f>IF(OR(FB$3="",FB$3&gt;TODAY()),"",IF(AND(FE366="",FF366=""),"",N(FF366)-N(FE366)))</f>
        <v/>
      </c>
      <c r="FK366">
        <f>IF(OR(FI$3="",FI$3&gt;TODAY()),"",IF(AND(FI366="",FJ366=""),"",N(FJ366)-N(FI366)))</f>
        <v/>
      </c>
      <c r="FN366">
        <f>IF(OR(FI$3="",FI$3&gt;TODAY()),"",IF(AND(FL366="",FM366=""),"",N(FM366)-N(FL366)))</f>
        <v/>
      </c>
      <c r="FR366">
        <f>IF(OR(FP$3="",FP$3&gt;TODAY()),"",IF(AND(FP366="",FQ366=""),"",N(FQ366)-N(FP366)))</f>
        <v/>
      </c>
      <c r="FU366">
        <f>IF(OR(FP$3="",FP$3&gt;TODAY()),"",IF(AND(FS366="",FT366=""),"",N(FT366)-N(FS366)))</f>
        <v/>
      </c>
      <c r="FY366">
        <f>IF(OR(FW$3="",FW$3&gt;TODAY()),"",IF(AND(FW366="",FX366=""),"",N(FX366)-N(FW366)))</f>
        <v/>
      </c>
      <c r="GB366">
        <f>IF(OR(FW$3="",FW$3&gt;TODAY()),"",IF(AND(FZ366="",GA366=""),"",N(GA366)-N(FZ366)))</f>
        <v/>
      </c>
      <c r="GF366">
        <f>IF(OR(GD$3="",GD$3&gt;TODAY()),"",IF(AND(GD366="",GE366=""),"",N(GE366)-N(GD366)))</f>
        <v/>
      </c>
      <c r="GI366">
        <f>IF(OR(GD$3="",GD$3&gt;TODAY()),"",IF(AND(GG366="",GH366=""),"",N(GH366)-N(GG366)))</f>
        <v/>
      </c>
      <c r="GM366">
        <f>IF(OR(GK$3="",GK$3&gt;TODAY()),"",IF(AND(GK366="",GL366=""),"",N(GL366)-N(GK366)))</f>
        <v/>
      </c>
      <c r="GP366">
        <f>IF(OR(GK$3="",GK$3&gt;TODAY()),"",IF(AND(GN366="",GO366=""),"",N(GO366)-N(GN366)))</f>
        <v/>
      </c>
      <c r="GT366">
        <f>IF(OR(GR$3="",GR$3&gt;TODAY()),"",IF(AND(GR366="",GS366=""),"",N(GS366)-N(GR366)))</f>
        <v/>
      </c>
      <c r="GW366">
        <f>IF(OR(GR$3="",GR$3&gt;TODAY()),"",IF(AND(GU366="",GV366=""),"",N(GV366)-N(GU366)))</f>
        <v/>
      </c>
      <c r="HA366">
        <f>IF(OR(GY$3="",GY$3&gt;TODAY()),"",IF(AND(GY366="",GZ366=""),"",N(GZ366)-N(GY366)))</f>
        <v/>
      </c>
      <c r="HD366">
        <f>IF(OR(GY$3="",GY$3&gt;TODAY()),"",IF(AND(HB366="",HC366=""),"",N(HC366)-N(HB366)))</f>
        <v/>
      </c>
      <c r="HH366">
        <f>IF(OR(HF$3="",HF$3&gt;TODAY()),"",IF(AND(HF366="",HG366=""),"",N(HG366)-N(HF366)))</f>
        <v/>
      </c>
      <c r="HK366">
        <f>IF(OR(HF$3="",HF$3&gt;TODAY()),"",IF(AND(HI366="",HJ366=""),"",N(HJ366)-N(HI366)))</f>
        <v/>
      </c>
      <c r="HO366">
        <f>IF(OR(HM$3="",HM$3&gt;TODAY()),"",IF(AND(HM366="",HN366=""),"",N(HN366)-N(HM366)))</f>
        <v/>
      </c>
      <c r="HR366">
        <f>IF(OR(HM$3="",HM$3&gt;TODAY()),"",IF(AND(HP366="",HQ366=""),"",N(HQ366)-N(HP366)))</f>
        <v/>
      </c>
      <c r="HV366">
        <f>IF(OR(HT$3="",HT$3&gt;TODAY()),"",IF(AND(HT366="",HU366=""),"",N(HU366)-N(HT366)))</f>
        <v/>
      </c>
      <c r="HY366">
        <f>IF(OR(HT$3="",HT$3&gt;TODAY()),"",IF(AND(HW366="",HX366=""),"",N(HX366)-N(HW366)))</f>
        <v/>
      </c>
      <c r="IC366">
        <f>IF(OR(IA$3="",IA$3&gt;TODAY()),"",IF(AND(IA366="",IB366=""),"",N(IB366)-N(IA366)))</f>
        <v/>
      </c>
      <c r="IF366">
        <f>IF(OR(IA$3="",IA$3&gt;TODAY()),"",IF(AND(ID366="",IE366=""),"",N(IE366)-N(ID366)))</f>
        <v/>
      </c>
      <c r="IJ366">
        <f>IF(OR(IH$3="",IH$3&gt;TODAY()),"",IF(AND(IH366="",II366=""),"",N(II366)-N(IH366)))</f>
        <v/>
      </c>
      <c r="IM366">
        <f>IF(OR(IH$3="",IH$3&gt;TODAY()),"",IF(AND(IK366="",IL366=""),"",N(IL366)-N(IK366)))</f>
        <v/>
      </c>
    </row>
    <row r="367">
      <c r="A367" s="21" t="n"/>
      <c r="B367" s="21" t="n"/>
      <c r="C367" s="21" t="n"/>
      <c r="D367" s="21" t="n"/>
      <c r="E367" s="21" t="n"/>
      <c r="F367" s="21" t="n"/>
      <c r="G367" s="21" t="n"/>
      <c r="H367" s="21" t="n"/>
      <c r="I367" s="22" t="n"/>
      <c r="J367" s="22" t="n"/>
      <c r="K367" s="23" t="n"/>
      <c r="L367" s="22" t="n"/>
      <c r="M367" s="22" t="n"/>
      <c r="N367" s="21" t="n"/>
      <c r="O367" s="23" t="n"/>
      <c r="P367" s="23" t="n"/>
      <c r="Q367" s="23" t="n"/>
      <c r="R367" s="23" t="n"/>
      <c r="S367" s="22" t="n"/>
      <c r="T367" s="23" t="n"/>
      <c r="U367" s="23" t="n"/>
      <c r="V367" s="24">
        <f>IF(J367&lt;&gt;"",J367,IF(I367&lt;&gt;"",I367,""))</f>
        <v/>
      </c>
      <c r="W367" s="25">
        <f>IF($E367="","",N(O367)+SUMIFS($AF367:$IN367,$AF$4:$IN$4,"SEW_ACT"))</f>
        <v/>
      </c>
      <c r="X367" s="25">
        <f>IF($E367="","",N(P367)+SUMIFS($AF367:$IN367,$AF$4:$IN$4,"WASH_ACT"))</f>
        <v/>
      </c>
      <c r="Y367" s="25">
        <f>IF($E367="","",W367-X367-N(T367)-N(U367))</f>
        <v/>
      </c>
      <c r="Z367" s="25">
        <f>IF($E367="","",IF(N(K367)-X367&lt;=0.02*N(K367),0,N(K367)-X367))</f>
        <v/>
      </c>
      <c r="AA367" s="24">
        <f>IF($E367="","",IF(S367&lt;&gt;"",S367,IF(N(O367)&gt;0,IF(L367&lt;&gt;"",L367,99999),IFERROR(1/(1/_xlfn.MINIFS($AF$3:$IN$3,$AF$4:$IN$4,"SEW_ACT",$AF367:$IN367,"&gt;0")),99999))))</f>
        <v/>
      </c>
      <c r="AB367" s="26">
        <f>IF(OR($E367="",Z367=0,V367=""),"",1+COUNTIFS(Z$8:Z$707,"&gt;0",V$8:V$707,"&lt;"&amp;V367)+COUNTIFS(Z$8:Z$707,"&gt;0",V$8:V$707,V367,AA$8:AA$707,"&lt;"&amp;AA367)+COUNTIFS(Z$8:Z$707,"&gt;0",V$8:V$707,V367,AA$8:AA$707,AA367,E$8:E$707,"&lt;"&amp;$E367))</f>
        <v/>
      </c>
      <c r="AC367" s="24">
        <f>IF(OR($E367="",Z367=0),"",IFERROR(TODAY()+ROUNDUP(Z367/(SUMIFS($AF367:$IN367,$AF$4:$IN$4,"WASH_ACT")/COUNTIFS($AF$4:$IN$4,"WASH_ACT",$AF367:$IN367,"&gt;0")),0),"no output yet"))</f>
        <v/>
      </c>
      <c r="AD367" s="26">
        <f>IF($E367="","",IFERROR(ROUND(MAX(0,SUMIFS($AF367:$IN367,$AF$4:$IN$4,"SEW_PLAN",$AF$3:$IN$3,"&lt;="&amp;TODAY())-SUMIFS($AF367:$IN367,$AF$4:$IN$4,"SEW_ACT",$AF$3:$IN$3,"&lt;="&amp;TODAY())+N(Q367))/(SUMIFS($AF367:$IN367,$AF$4:$IN$4,"SEW_PLAN")/COUNTIFS($AF$4:$IN$4,"SEW_PLAN",$AF367:$IN367,"&gt;0")),1),0))</f>
        <v/>
      </c>
      <c r="AE367" s="26">
        <f>IF($E367="","",IF(AND(Z367&gt;0,OR(AND(M367&lt;&gt;"",TODAY()&gt;M367),AND(V367&lt;&gt;"",V367-TODAY()&lt;=7))),"Yes","No"))</f>
        <v/>
      </c>
      <c r="AH367">
        <f>IF(OR(AF$3="",AF$3&gt;TODAY()),"",IF(AND(AF367="",AG367=""),"",N(AG367)-N(AF367)))</f>
        <v/>
      </c>
      <c r="AK367">
        <f>IF(OR(AF$3="",AF$3&gt;TODAY()),"",IF(AND(AI367="",AJ367=""),"",N(AJ367)-N(AI367)))</f>
        <v/>
      </c>
      <c r="AO367">
        <f>IF(OR(AM$3="",AM$3&gt;TODAY()),"",IF(AND(AM367="",AN367=""),"",N(AN367)-N(AM367)))</f>
        <v/>
      </c>
      <c r="AR367">
        <f>IF(OR(AM$3="",AM$3&gt;TODAY()),"",IF(AND(AP367="",AQ367=""),"",N(AQ367)-N(AP367)))</f>
        <v/>
      </c>
      <c r="AV367">
        <f>IF(OR(AT$3="",AT$3&gt;TODAY()),"",IF(AND(AT367="",AU367=""),"",N(AU367)-N(AT367)))</f>
        <v/>
      </c>
      <c r="AY367">
        <f>IF(OR(AT$3="",AT$3&gt;TODAY()),"",IF(AND(AW367="",AX367=""),"",N(AX367)-N(AW367)))</f>
        <v/>
      </c>
      <c r="BC367">
        <f>IF(OR(BA$3="",BA$3&gt;TODAY()),"",IF(AND(BA367="",BB367=""),"",N(BB367)-N(BA367)))</f>
        <v/>
      </c>
      <c r="BF367">
        <f>IF(OR(BA$3="",BA$3&gt;TODAY()),"",IF(AND(BD367="",BE367=""),"",N(BE367)-N(BD367)))</f>
        <v/>
      </c>
      <c r="BJ367">
        <f>IF(OR(BH$3="",BH$3&gt;TODAY()),"",IF(AND(BH367="",BI367=""),"",N(BI367)-N(BH367)))</f>
        <v/>
      </c>
      <c r="BM367">
        <f>IF(OR(BH$3="",BH$3&gt;TODAY()),"",IF(AND(BK367="",BL367=""),"",N(BL367)-N(BK367)))</f>
        <v/>
      </c>
      <c r="BQ367">
        <f>IF(OR(BO$3="",BO$3&gt;TODAY()),"",IF(AND(BO367="",BP367=""),"",N(BP367)-N(BO367)))</f>
        <v/>
      </c>
      <c r="BT367">
        <f>IF(OR(BO$3="",BO$3&gt;TODAY()),"",IF(AND(BR367="",BS367=""),"",N(BS367)-N(BR367)))</f>
        <v/>
      </c>
      <c r="BX367">
        <f>IF(OR(BV$3="",BV$3&gt;TODAY()),"",IF(AND(BV367="",BW367=""),"",N(BW367)-N(BV367)))</f>
        <v/>
      </c>
      <c r="CA367">
        <f>IF(OR(BV$3="",BV$3&gt;TODAY()),"",IF(AND(BY367="",BZ367=""),"",N(BZ367)-N(BY367)))</f>
        <v/>
      </c>
      <c r="CE367">
        <f>IF(OR(CC$3="",CC$3&gt;TODAY()),"",IF(AND(CC367="",CD367=""),"",N(CD367)-N(CC367)))</f>
        <v/>
      </c>
      <c r="CH367">
        <f>IF(OR(CC$3="",CC$3&gt;TODAY()),"",IF(AND(CF367="",CG367=""),"",N(CG367)-N(CF367)))</f>
        <v/>
      </c>
      <c r="CL367">
        <f>IF(OR(CJ$3="",CJ$3&gt;TODAY()),"",IF(AND(CJ367="",CK367=""),"",N(CK367)-N(CJ367)))</f>
        <v/>
      </c>
      <c r="CO367">
        <f>IF(OR(CJ$3="",CJ$3&gt;TODAY()),"",IF(AND(CM367="",CN367=""),"",N(CN367)-N(CM367)))</f>
        <v/>
      </c>
      <c r="CS367">
        <f>IF(OR(CQ$3="",CQ$3&gt;TODAY()),"",IF(AND(CQ367="",CR367=""),"",N(CR367)-N(CQ367)))</f>
        <v/>
      </c>
      <c r="CV367">
        <f>IF(OR(CQ$3="",CQ$3&gt;TODAY()),"",IF(AND(CT367="",CU367=""),"",N(CU367)-N(CT367)))</f>
        <v/>
      </c>
      <c r="CZ367">
        <f>IF(OR(CX$3="",CX$3&gt;TODAY()),"",IF(AND(CX367="",CY367=""),"",N(CY367)-N(CX367)))</f>
        <v/>
      </c>
      <c r="DC367">
        <f>IF(OR(CX$3="",CX$3&gt;TODAY()),"",IF(AND(DA367="",DB367=""),"",N(DB367)-N(DA367)))</f>
        <v/>
      </c>
      <c r="DG367">
        <f>IF(OR(DE$3="",DE$3&gt;TODAY()),"",IF(AND(DE367="",DF367=""),"",N(DF367)-N(DE367)))</f>
        <v/>
      </c>
      <c r="DJ367">
        <f>IF(OR(DE$3="",DE$3&gt;TODAY()),"",IF(AND(DH367="",DI367=""),"",N(DI367)-N(DH367)))</f>
        <v/>
      </c>
      <c r="DN367">
        <f>IF(OR(DL$3="",DL$3&gt;TODAY()),"",IF(AND(DL367="",DM367=""),"",N(DM367)-N(DL367)))</f>
        <v/>
      </c>
      <c r="DQ367">
        <f>IF(OR(DL$3="",DL$3&gt;TODAY()),"",IF(AND(DO367="",DP367=""),"",N(DP367)-N(DO367)))</f>
        <v/>
      </c>
      <c r="DU367">
        <f>IF(OR(DS$3="",DS$3&gt;TODAY()),"",IF(AND(DS367="",DT367=""),"",N(DT367)-N(DS367)))</f>
        <v/>
      </c>
      <c r="DX367">
        <f>IF(OR(DS$3="",DS$3&gt;TODAY()),"",IF(AND(DV367="",DW367=""),"",N(DW367)-N(DV367)))</f>
        <v/>
      </c>
      <c r="EB367">
        <f>IF(OR(DZ$3="",DZ$3&gt;TODAY()),"",IF(AND(DZ367="",EA367=""),"",N(EA367)-N(DZ367)))</f>
        <v/>
      </c>
      <c r="EE367">
        <f>IF(OR(DZ$3="",DZ$3&gt;TODAY()),"",IF(AND(EC367="",ED367=""),"",N(ED367)-N(EC367)))</f>
        <v/>
      </c>
      <c r="EI367">
        <f>IF(OR(EG$3="",EG$3&gt;TODAY()),"",IF(AND(EG367="",EH367=""),"",N(EH367)-N(EG367)))</f>
        <v/>
      </c>
      <c r="EL367">
        <f>IF(OR(EG$3="",EG$3&gt;TODAY()),"",IF(AND(EJ367="",EK367=""),"",N(EK367)-N(EJ367)))</f>
        <v/>
      </c>
      <c r="EP367">
        <f>IF(OR(EN$3="",EN$3&gt;TODAY()),"",IF(AND(EN367="",EO367=""),"",N(EO367)-N(EN367)))</f>
        <v/>
      </c>
      <c r="ES367">
        <f>IF(OR(EN$3="",EN$3&gt;TODAY()),"",IF(AND(EQ367="",ER367=""),"",N(ER367)-N(EQ367)))</f>
        <v/>
      </c>
      <c r="EW367">
        <f>IF(OR(EU$3="",EU$3&gt;TODAY()),"",IF(AND(EU367="",EV367=""),"",N(EV367)-N(EU367)))</f>
        <v/>
      </c>
      <c r="EZ367">
        <f>IF(OR(EU$3="",EU$3&gt;TODAY()),"",IF(AND(EX367="",EY367=""),"",N(EY367)-N(EX367)))</f>
        <v/>
      </c>
      <c r="FD367">
        <f>IF(OR(FB$3="",FB$3&gt;TODAY()),"",IF(AND(FB367="",FC367=""),"",N(FC367)-N(FB367)))</f>
        <v/>
      </c>
      <c r="FG367">
        <f>IF(OR(FB$3="",FB$3&gt;TODAY()),"",IF(AND(FE367="",FF367=""),"",N(FF367)-N(FE367)))</f>
        <v/>
      </c>
      <c r="FK367">
        <f>IF(OR(FI$3="",FI$3&gt;TODAY()),"",IF(AND(FI367="",FJ367=""),"",N(FJ367)-N(FI367)))</f>
        <v/>
      </c>
      <c r="FN367">
        <f>IF(OR(FI$3="",FI$3&gt;TODAY()),"",IF(AND(FL367="",FM367=""),"",N(FM367)-N(FL367)))</f>
        <v/>
      </c>
      <c r="FR367">
        <f>IF(OR(FP$3="",FP$3&gt;TODAY()),"",IF(AND(FP367="",FQ367=""),"",N(FQ367)-N(FP367)))</f>
        <v/>
      </c>
      <c r="FU367">
        <f>IF(OR(FP$3="",FP$3&gt;TODAY()),"",IF(AND(FS367="",FT367=""),"",N(FT367)-N(FS367)))</f>
        <v/>
      </c>
      <c r="FY367">
        <f>IF(OR(FW$3="",FW$3&gt;TODAY()),"",IF(AND(FW367="",FX367=""),"",N(FX367)-N(FW367)))</f>
        <v/>
      </c>
      <c r="GB367">
        <f>IF(OR(FW$3="",FW$3&gt;TODAY()),"",IF(AND(FZ367="",GA367=""),"",N(GA367)-N(FZ367)))</f>
        <v/>
      </c>
      <c r="GF367">
        <f>IF(OR(GD$3="",GD$3&gt;TODAY()),"",IF(AND(GD367="",GE367=""),"",N(GE367)-N(GD367)))</f>
        <v/>
      </c>
      <c r="GI367">
        <f>IF(OR(GD$3="",GD$3&gt;TODAY()),"",IF(AND(GG367="",GH367=""),"",N(GH367)-N(GG367)))</f>
        <v/>
      </c>
      <c r="GM367">
        <f>IF(OR(GK$3="",GK$3&gt;TODAY()),"",IF(AND(GK367="",GL367=""),"",N(GL367)-N(GK367)))</f>
        <v/>
      </c>
      <c r="GP367">
        <f>IF(OR(GK$3="",GK$3&gt;TODAY()),"",IF(AND(GN367="",GO367=""),"",N(GO367)-N(GN367)))</f>
        <v/>
      </c>
      <c r="GT367">
        <f>IF(OR(GR$3="",GR$3&gt;TODAY()),"",IF(AND(GR367="",GS367=""),"",N(GS367)-N(GR367)))</f>
        <v/>
      </c>
      <c r="GW367">
        <f>IF(OR(GR$3="",GR$3&gt;TODAY()),"",IF(AND(GU367="",GV367=""),"",N(GV367)-N(GU367)))</f>
        <v/>
      </c>
      <c r="HA367">
        <f>IF(OR(GY$3="",GY$3&gt;TODAY()),"",IF(AND(GY367="",GZ367=""),"",N(GZ367)-N(GY367)))</f>
        <v/>
      </c>
      <c r="HD367">
        <f>IF(OR(GY$3="",GY$3&gt;TODAY()),"",IF(AND(HB367="",HC367=""),"",N(HC367)-N(HB367)))</f>
        <v/>
      </c>
      <c r="HH367">
        <f>IF(OR(HF$3="",HF$3&gt;TODAY()),"",IF(AND(HF367="",HG367=""),"",N(HG367)-N(HF367)))</f>
        <v/>
      </c>
      <c r="HK367">
        <f>IF(OR(HF$3="",HF$3&gt;TODAY()),"",IF(AND(HI367="",HJ367=""),"",N(HJ367)-N(HI367)))</f>
        <v/>
      </c>
      <c r="HO367">
        <f>IF(OR(HM$3="",HM$3&gt;TODAY()),"",IF(AND(HM367="",HN367=""),"",N(HN367)-N(HM367)))</f>
        <v/>
      </c>
      <c r="HR367">
        <f>IF(OR(HM$3="",HM$3&gt;TODAY()),"",IF(AND(HP367="",HQ367=""),"",N(HQ367)-N(HP367)))</f>
        <v/>
      </c>
      <c r="HV367">
        <f>IF(OR(HT$3="",HT$3&gt;TODAY()),"",IF(AND(HT367="",HU367=""),"",N(HU367)-N(HT367)))</f>
        <v/>
      </c>
      <c r="HY367">
        <f>IF(OR(HT$3="",HT$3&gt;TODAY()),"",IF(AND(HW367="",HX367=""),"",N(HX367)-N(HW367)))</f>
        <v/>
      </c>
      <c r="IC367">
        <f>IF(OR(IA$3="",IA$3&gt;TODAY()),"",IF(AND(IA367="",IB367=""),"",N(IB367)-N(IA367)))</f>
        <v/>
      </c>
      <c r="IF367">
        <f>IF(OR(IA$3="",IA$3&gt;TODAY()),"",IF(AND(ID367="",IE367=""),"",N(IE367)-N(ID367)))</f>
        <v/>
      </c>
      <c r="IJ367">
        <f>IF(OR(IH$3="",IH$3&gt;TODAY()),"",IF(AND(IH367="",II367=""),"",N(II367)-N(IH367)))</f>
        <v/>
      </c>
      <c r="IM367">
        <f>IF(OR(IH$3="",IH$3&gt;TODAY()),"",IF(AND(IK367="",IL367=""),"",N(IL367)-N(IK367)))</f>
        <v/>
      </c>
    </row>
    <row r="368">
      <c r="A368" s="21" t="n"/>
      <c r="B368" s="21" t="n"/>
      <c r="C368" s="21" t="n"/>
      <c r="D368" s="21" t="n"/>
      <c r="E368" s="21" t="n"/>
      <c r="F368" s="21" t="n"/>
      <c r="G368" s="21" t="n"/>
      <c r="H368" s="21" t="n"/>
      <c r="I368" s="22" t="n"/>
      <c r="J368" s="22" t="n"/>
      <c r="K368" s="23" t="n"/>
      <c r="L368" s="22" t="n"/>
      <c r="M368" s="22" t="n"/>
      <c r="N368" s="21" t="n"/>
      <c r="O368" s="23" t="n"/>
      <c r="P368" s="23" t="n"/>
      <c r="Q368" s="23" t="n"/>
      <c r="R368" s="23" t="n"/>
      <c r="S368" s="22" t="n"/>
      <c r="T368" s="23" t="n"/>
      <c r="U368" s="23" t="n"/>
      <c r="V368" s="24">
        <f>IF(J368&lt;&gt;"",J368,IF(I368&lt;&gt;"",I368,""))</f>
        <v/>
      </c>
      <c r="W368" s="25">
        <f>IF($E368="","",N(O368)+SUMIFS($AF368:$IN368,$AF$4:$IN$4,"SEW_ACT"))</f>
        <v/>
      </c>
      <c r="X368" s="25">
        <f>IF($E368="","",N(P368)+SUMIFS($AF368:$IN368,$AF$4:$IN$4,"WASH_ACT"))</f>
        <v/>
      </c>
      <c r="Y368" s="25">
        <f>IF($E368="","",W368-X368-N(T368)-N(U368))</f>
        <v/>
      </c>
      <c r="Z368" s="25">
        <f>IF($E368="","",IF(N(K368)-X368&lt;=0.02*N(K368),0,N(K368)-X368))</f>
        <v/>
      </c>
      <c r="AA368" s="24">
        <f>IF($E368="","",IF(S368&lt;&gt;"",S368,IF(N(O368)&gt;0,IF(L368&lt;&gt;"",L368,99999),IFERROR(1/(1/_xlfn.MINIFS($AF$3:$IN$3,$AF$4:$IN$4,"SEW_ACT",$AF368:$IN368,"&gt;0")),99999))))</f>
        <v/>
      </c>
      <c r="AB368" s="26">
        <f>IF(OR($E368="",Z368=0,V368=""),"",1+COUNTIFS(Z$8:Z$707,"&gt;0",V$8:V$707,"&lt;"&amp;V368)+COUNTIFS(Z$8:Z$707,"&gt;0",V$8:V$707,V368,AA$8:AA$707,"&lt;"&amp;AA368)+COUNTIFS(Z$8:Z$707,"&gt;0",V$8:V$707,V368,AA$8:AA$707,AA368,E$8:E$707,"&lt;"&amp;$E368))</f>
        <v/>
      </c>
      <c r="AC368" s="24">
        <f>IF(OR($E368="",Z368=0),"",IFERROR(TODAY()+ROUNDUP(Z368/(SUMIFS($AF368:$IN368,$AF$4:$IN$4,"WASH_ACT")/COUNTIFS($AF$4:$IN$4,"WASH_ACT",$AF368:$IN368,"&gt;0")),0),"no output yet"))</f>
        <v/>
      </c>
      <c r="AD368" s="26">
        <f>IF($E368="","",IFERROR(ROUND(MAX(0,SUMIFS($AF368:$IN368,$AF$4:$IN$4,"SEW_PLAN",$AF$3:$IN$3,"&lt;="&amp;TODAY())-SUMIFS($AF368:$IN368,$AF$4:$IN$4,"SEW_ACT",$AF$3:$IN$3,"&lt;="&amp;TODAY())+N(Q368))/(SUMIFS($AF368:$IN368,$AF$4:$IN$4,"SEW_PLAN")/COUNTIFS($AF$4:$IN$4,"SEW_PLAN",$AF368:$IN368,"&gt;0")),1),0))</f>
        <v/>
      </c>
      <c r="AE368" s="26">
        <f>IF($E368="","",IF(AND(Z368&gt;0,OR(AND(M368&lt;&gt;"",TODAY()&gt;M368),AND(V368&lt;&gt;"",V368-TODAY()&lt;=7))),"Yes","No"))</f>
        <v/>
      </c>
      <c r="AH368">
        <f>IF(OR(AF$3="",AF$3&gt;TODAY()),"",IF(AND(AF368="",AG368=""),"",N(AG368)-N(AF368)))</f>
        <v/>
      </c>
      <c r="AK368">
        <f>IF(OR(AF$3="",AF$3&gt;TODAY()),"",IF(AND(AI368="",AJ368=""),"",N(AJ368)-N(AI368)))</f>
        <v/>
      </c>
      <c r="AO368">
        <f>IF(OR(AM$3="",AM$3&gt;TODAY()),"",IF(AND(AM368="",AN368=""),"",N(AN368)-N(AM368)))</f>
        <v/>
      </c>
      <c r="AR368">
        <f>IF(OR(AM$3="",AM$3&gt;TODAY()),"",IF(AND(AP368="",AQ368=""),"",N(AQ368)-N(AP368)))</f>
        <v/>
      </c>
      <c r="AV368">
        <f>IF(OR(AT$3="",AT$3&gt;TODAY()),"",IF(AND(AT368="",AU368=""),"",N(AU368)-N(AT368)))</f>
        <v/>
      </c>
      <c r="AY368">
        <f>IF(OR(AT$3="",AT$3&gt;TODAY()),"",IF(AND(AW368="",AX368=""),"",N(AX368)-N(AW368)))</f>
        <v/>
      </c>
      <c r="BC368">
        <f>IF(OR(BA$3="",BA$3&gt;TODAY()),"",IF(AND(BA368="",BB368=""),"",N(BB368)-N(BA368)))</f>
        <v/>
      </c>
      <c r="BF368">
        <f>IF(OR(BA$3="",BA$3&gt;TODAY()),"",IF(AND(BD368="",BE368=""),"",N(BE368)-N(BD368)))</f>
        <v/>
      </c>
      <c r="BJ368">
        <f>IF(OR(BH$3="",BH$3&gt;TODAY()),"",IF(AND(BH368="",BI368=""),"",N(BI368)-N(BH368)))</f>
        <v/>
      </c>
      <c r="BM368">
        <f>IF(OR(BH$3="",BH$3&gt;TODAY()),"",IF(AND(BK368="",BL368=""),"",N(BL368)-N(BK368)))</f>
        <v/>
      </c>
      <c r="BQ368">
        <f>IF(OR(BO$3="",BO$3&gt;TODAY()),"",IF(AND(BO368="",BP368=""),"",N(BP368)-N(BO368)))</f>
        <v/>
      </c>
      <c r="BT368">
        <f>IF(OR(BO$3="",BO$3&gt;TODAY()),"",IF(AND(BR368="",BS368=""),"",N(BS368)-N(BR368)))</f>
        <v/>
      </c>
      <c r="BX368">
        <f>IF(OR(BV$3="",BV$3&gt;TODAY()),"",IF(AND(BV368="",BW368=""),"",N(BW368)-N(BV368)))</f>
        <v/>
      </c>
      <c r="CA368">
        <f>IF(OR(BV$3="",BV$3&gt;TODAY()),"",IF(AND(BY368="",BZ368=""),"",N(BZ368)-N(BY368)))</f>
        <v/>
      </c>
      <c r="CE368">
        <f>IF(OR(CC$3="",CC$3&gt;TODAY()),"",IF(AND(CC368="",CD368=""),"",N(CD368)-N(CC368)))</f>
        <v/>
      </c>
      <c r="CH368">
        <f>IF(OR(CC$3="",CC$3&gt;TODAY()),"",IF(AND(CF368="",CG368=""),"",N(CG368)-N(CF368)))</f>
        <v/>
      </c>
      <c r="CL368">
        <f>IF(OR(CJ$3="",CJ$3&gt;TODAY()),"",IF(AND(CJ368="",CK368=""),"",N(CK368)-N(CJ368)))</f>
        <v/>
      </c>
      <c r="CO368">
        <f>IF(OR(CJ$3="",CJ$3&gt;TODAY()),"",IF(AND(CM368="",CN368=""),"",N(CN368)-N(CM368)))</f>
        <v/>
      </c>
      <c r="CS368">
        <f>IF(OR(CQ$3="",CQ$3&gt;TODAY()),"",IF(AND(CQ368="",CR368=""),"",N(CR368)-N(CQ368)))</f>
        <v/>
      </c>
      <c r="CV368">
        <f>IF(OR(CQ$3="",CQ$3&gt;TODAY()),"",IF(AND(CT368="",CU368=""),"",N(CU368)-N(CT368)))</f>
        <v/>
      </c>
      <c r="CZ368">
        <f>IF(OR(CX$3="",CX$3&gt;TODAY()),"",IF(AND(CX368="",CY368=""),"",N(CY368)-N(CX368)))</f>
        <v/>
      </c>
      <c r="DC368">
        <f>IF(OR(CX$3="",CX$3&gt;TODAY()),"",IF(AND(DA368="",DB368=""),"",N(DB368)-N(DA368)))</f>
        <v/>
      </c>
      <c r="DG368">
        <f>IF(OR(DE$3="",DE$3&gt;TODAY()),"",IF(AND(DE368="",DF368=""),"",N(DF368)-N(DE368)))</f>
        <v/>
      </c>
      <c r="DJ368">
        <f>IF(OR(DE$3="",DE$3&gt;TODAY()),"",IF(AND(DH368="",DI368=""),"",N(DI368)-N(DH368)))</f>
        <v/>
      </c>
      <c r="DN368">
        <f>IF(OR(DL$3="",DL$3&gt;TODAY()),"",IF(AND(DL368="",DM368=""),"",N(DM368)-N(DL368)))</f>
        <v/>
      </c>
      <c r="DQ368">
        <f>IF(OR(DL$3="",DL$3&gt;TODAY()),"",IF(AND(DO368="",DP368=""),"",N(DP368)-N(DO368)))</f>
        <v/>
      </c>
      <c r="DU368">
        <f>IF(OR(DS$3="",DS$3&gt;TODAY()),"",IF(AND(DS368="",DT368=""),"",N(DT368)-N(DS368)))</f>
        <v/>
      </c>
      <c r="DX368">
        <f>IF(OR(DS$3="",DS$3&gt;TODAY()),"",IF(AND(DV368="",DW368=""),"",N(DW368)-N(DV368)))</f>
        <v/>
      </c>
      <c r="EB368">
        <f>IF(OR(DZ$3="",DZ$3&gt;TODAY()),"",IF(AND(DZ368="",EA368=""),"",N(EA368)-N(DZ368)))</f>
        <v/>
      </c>
      <c r="EE368">
        <f>IF(OR(DZ$3="",DZ$3&gt;TODAY()),"",IF(AND(EC368="",ED368=""),"",N(ED368)-N(EC368)))</f>
        <v/>
      </c>
      <c r="EI368">
        <f>IF(OR(EG$3="",EG$3&gt;TODAY()),"",IF(AND(EG368="",EH368=""),"",N(EH368)-N(EG368)))</f>
        <v/>
      </c>
      <c r="EL368">
        <f>IF(OR(EG$3="",EG$3&gt;TODAY()),"",IF(AND(EJ368="",EK368=""),"",N(EK368)-N(EJ368)))</f>
        <v/>
      </c>
      <c r="EP368">
        <f>IF(OR(EN$3="",EN$3&gt;TODAY()),"",IF(AND(EN368="",EO368=""),"",N(EO368)-N(EN368)))</f>
        <v/>
      </c>
      <c r="ES368">
        <f>IF(OR(EN$3="",EN$3&gt;TODAY()),"",IF(AND(EQ368="",ER368=""),"",N(ER368)-N(EQ368)))</f>
        <v/>
      </c>
      <c r="EW368">
        <f>IF(OR(EU$3="",EU$3&gt;TODAY()),"",IF(AND(EU368="",EV368=""),"",N(EV368)-N(EU368)))</f>
        <v/>
      </c>
      <c r="EZ368">
        <f>IF(OR(EU$3="",EU$3&gt;TODAY()),"",IF(AND(EX368="",EY368=""),"",N(EY368)-N(EX368)))</f>
        <v/>
      </c>
      <c r="FD368">
        <f>IF(OR(FB$3="",FB$3&gt;TODAY()),"",IF(AND(FB368="",FC368=""),"",N(FC368)-N(FB368)))</f>
        <v/>
      </c>
      <c r="FG368">
        <f>IF(OR(FB$3="",FB$3&gt;TODAY()),"",IF(AND(FE368="",FF368=""),"",N(FF368)-N(FE368)))</f>
        <v/>
      </c>
      <c r="FK368">
        <f>IF(OR(FI$3="",FI$3&gt;TODAY()),"",IF(AND(FI368="",FJ368=""),"",N(FJ368)-N(FI368)))</f>
        <v/>
      </c>
      <c r="FN368">
        <f>IF(OR(FI$3="",FI$3&gt;TODAY()),"",IF(AND(FL368="",FM368=""),"",N(FM368)-N(FL368)))</f>
        <v/>
      </c>
      <c r="FR368">
        <f>IF(OR(FP$3="",FP$3&gt;TODAY()),"",IF(AND(FP368="",FQ368=""),"",N(FQ368)-N(FP368)))</f>
        <v/>
      </c>
      <c r="FU368">
        <f>IF(OR(FP$3="",FP$3&gt;TODAY()),"",IF(AND(FS368="",FT368=""),"",N(FT368)-N(FS368)))</f>
        <v/>
      </c>
      <c r="FY368">
        <f>IF(OR(FW$3="",FW$3&gt;TODAY()),"",IF(AND(FW368="",FX368=""),"",N(FX368)-N(FW368)))</f>
        <v/>
      </c>
      <c r="GB368">
        <f>IF(OR(FW$3="",FW$3&gt;TODAY()),"",IF(AND(FZ368="",GA368=""),"",N(GA368)-N(FZ368)))</f>
        <v/>
      </c>
      <c r="GF368">
        <f>IF(OR(GD$3="",GD$3&gt;TODAY()),"",IF(AND(GD368="",GE368=""),"",N(GE368)-N(GD368)))</f>
        <v/>
      </c>
      <c r="GI368">
        <f>IF(OR(GD$3="",GD$3&gt;TODAY()),"",IF(AND(GG368="",GH368=""),"",N(GH368)-N(GG368)))</f>
        <v/>
      </c>
      <c r="GM368">
        <f>IF(OR(GK$3="",GK$3&gt;TODAY()),"",IF(AND(GK368="",GL368=""),"",N(GL368)-N(GK368)))</f>
        <v/>
      </c>
      <c r="GP368">
        <f>IF(OR(GK$3="",GK$3&gt;TODAY()),"",IF(AND(GN368="",GO368=""),"",N(GO368)-N(GN368)))</f>
        <v/>
      </c>
      <c r="GT368">
        <f>IF(OR(GR$3="",GR$3&gt;TODAY()),"",IF(AND(GR368="",GS368=""),"",N(GS368)-N(GR368)))</f>
        <v/>
      </c>
      <c r="GW368">
        <f>IF(OR(GR$3="",GR$3&gt;TODAY()),"",IF(AND(GU368="",GV368=""),"",N(GV368)-N(GU368)))</f>
        <v/>
      </c>
      <c r="HA368">
        <f>IF(OR(GY$3="",GY$3&gt;TODAY()),"",IF(AND(GY368="",GZ368=""),"",N(GZ368)-N(GY368)))</f>
        <v/>
      </c>
      <c r="HD368">
        <f>IF(OR(GY$3="",GY$3&gt;TODAY()),"",IF(AND(HB368="",HC368=""),"",N(HC368)-N(HB368)))</f>
        <v/>
      </c>
      <c r="HH368">
        <f>IF(OR(HF$3="",HF$3&gt;TODAY()),"",IF(AND(HF368="",HG368=""),"",N(HG368)-N(HF368)))</f>
        <v/>
      </c>
      <c r="HK368">
        <f>IF(OR(HF$3="",HF$3&gt;TODAY()),"",IF(AND(HI368="",HJ368=""),"",N(HJ368)-N(HI368)))</f>
        <v/>
      </c>
      <c r="HO368">
        <f>IF(OR(HM$3="",HM$3&gt;TODAY()),"",IF(AND(HM368="",HN368=""),"",N(HN368)-N(HM368)))</f>
        <v/>
      </c>
      <c r="HR368">
        <f>IF(OR(HM$3="",HM$3&gt;TODAY()),"",IF(AND(HP368="",HQ368=""),"",N(HQ368)-N(HP368)))</f>
        <v/>
      </c>
      <c r="HV368">
        <f>IF(OR(HT$3="",HT$3&gt;TODAY()),"",IF(AND(HT368="",HU368=""),"",N(HU368)-N(HT368)))</f>
        <v/>
      </c>
      <c r="HY368">
        <f>IF(OR(HT$3="",HT$3&gt;TODAY()),"",IF(AND(HW368="",HX368=""),"",N(HX368)-N(HW368)))</f>
        <v/>
      </c>
      <c r="IC368">
        <f>IF(OR(IA$3="",IA$3&gt;TODAY()),"",IF(AND(IA368="",IB368=""),"",N(IB368)-N(IA368)))</f>
        <v/>
      </c>
      <c r="IF368">
        <f>IF(OR(IA$3="",IA$3&gt;TODAY()),"",IF(AND(ID368="",IE368=""),"",N(IE368)-N(ID368)))</f>
        <v/>
      </c>
      <c r="IJ368">
        <f>IF(OR(IH$3="",IH$3&gt;TODAY()),"",IF(AND(IH368="",II368=""),"",N(II368)-N(IH368)))</f>
        <v/>
      </c>
      <c r="IM368">
        <f>IF(OR(IH$3="",IH$3&gt;TODAY()),"",IF(AND(IK368="",IL368=""),"",N(IL368)-N(IK368)))</f>
        <v/>
      </c>
    </row>
    <row r="369">
      <c r="A369" s="21" t="n"/>
      <c r="B369" s="21" t="n"/>
      <c r="C369" s="21" t="n"/>
      <c r="D369" s="21" t="n"/>
      <c r="E369" s="21" t="n"/>
      <c r="F369" s="21" t="n"/>
      <c r="G369" s="21" t="n"/>
      <c r="H369" s="21" t="n"/>
      <c r="I369" s="22" t="n"/>
      <c r="J369" s="22" t="n"/>
      <c r="K369" s="23" t="n"/>
      <c r="L369" s="22" t="n"/>
      <c r="M369" s="22" t="n"/>
      <c r="N369" s="21" t="n"/>
      <c r="O369" s="23" t="n"/>
      <c r="P369" s="23" t="n"/>
      <c r="Q369" s="23" t="n"/>
      <c r="R369" s="23" t="n"/>
      <c r="S369" s="22" t="n"/>
      <c r="T369" s="23" t="n"/>
      <c r="U369" s="23" t="n"/>
      <c r="V369" s="24">
        <f>IF(J369&lt;&gt;"",J369,IF(I369&lt;&gt;"",I369,""))</f>
        <v/>
      </c>
      <c r="W369" s="25">
        <f>IF($E369="","",N(O369)+SUMIFS($AF369:$IN369,$AF$4:$IN$4,"SEW_ACT"))</f>
        <v/>
      </c>
      <c r="X369" s="25">
        <f>IF($E369="","",N(P369)+SUMIFS($AF369:$IN369,$AF$4:$IN$4,"WASH_ACT"))</f>
        <v/>
      </c>
      <c r="Y369" s="25">
        <f>IF($E369="","",W369-X369-N(T369)-N(U369))</f>
        <v/>
      </c>
      <c r="Z369" s="25">
        <f>IF($E369="","",IF(N(K369)-X369&lt;=0.02*N(K369),0,N(K369)-X369))</f>
        <v/>
      </c>
      <c r="AA369" s="24">
        <f>IF($E369="","",IF(S369&lt;&gt;"",S369,IF(N(O369)&gt;0,IF(L369&lt;&gt;"",L369,99999),IFERROR(1/(1/_xlfn.MINIFS($AF$3:$IN$3,$AF$4:$IN$4,"SEW_ACT",$AF369:$IN369,"&gt;0")),99999))))</f>
        <v/>
      </c>
      <c r="AB369" s="26">
        <f>IF(OR($E369="",Z369=0,V369=""),"",1+COUNTIFS(Z$8:Z$707,"&gt;0",V$8:V$707,"&lt;"&amp;V369)+COUNTIFS(Z$8:Z$707,"&gt;0",V$8:V$707,V369,AA$8:AA$707,"&lt;"&amp;AA369)+COUNTIFS(Z$8:Z$707,"&gt;0",V$8:V$707,V369,AA$8:AA$707,AA369,E$8:E$707,"&lt;"&amp;$E369))</f>
        <v/>
      </c>
      <c r="AC369" s="24">
        <f>IF(OR($E369="",Z369=0),"",IFERROR(TODAY()+ROUNDUP(Z369/(SUMIFS($AF369:$IN369,$AF$4:$IN$4,"WASH_ACT")/COUNTIFS($AF$4:$IN$4,"WASH_ACT",$AF369:$IN369,"&gt;0")),0),"no output yet"))</f>
        <v/>
      </c>
      <c r="AD369" s="26">
        <f>IF($E369="","",IFERROR(ROUND(MAX(0,SUMIFS($AF369:$IN369,$AF$4:$IN$4,"SEW_PLAN",$AF$3:$IN$3,"&lt;="&amp;TODAY())-SUMIFS($AF369:$IN369,$AF$4:$IN$4,"SEW_ACT",$AF$3:$IN$3,"&lt;="&amp;TODAY())+N(Q369))/(SUMIFS($AF369:$IN369,$AF$4:$IN$4,"SEW_PLAN")/COUNTIFS($AF$4:$IN$4,"SEW_PLAN",$AF369:$IN369,"&gt;0")),1),0))</f>
        <v/>
      </c>
      <c r="AE369" s="26">
        <f>IF($E369="","",IF(AND(Z369&gt;0,OR(AND(M369&lt;&gt;"",TODAY()&gt;M369),AND(V369&lt;&gt;"",V369-TODAY()&lt;=7))),"Yes","No"))</f>
        <v/>
      </c>
      <c r="AH369">
        <f>IF(OR(AF$3="",AF$3&gt;TODAY()),"",IF(AND(AF369="",AG369=""),"",N(AG369)-N(AF369)))</f>
        <v/>
      </c>
      <c r="AK369">
        <f>IF(OR(AF$3="",AF$3&gt;TODAY()),"",IF(AND(AI369="",AJ369=""),"",N(AJ369)-N(AI369)))</f>
        <v/>
      </c>
      <c r="AO369">
        <f>IF(OR(AM$3="",AM$3&gt;TODAY()),"",IF(AND(AM369="",AN369=""),"",N(AN369)-N(AM369)))</f>
        <v/>
      </c>
      <c r="AR369">
        <f>IF(OR(AM$3="",AM$3&gt;TODAY()),"",IF(AND(AP369="",AQ369=""),"",N(AQ369)-N(AP369)))</f>
        <v/>
      </c>
      <c r="AV369">
        <f>IF(OR(AT$3="",AT$3&gt;TODAY()),"",IF(AND(AT369="",AU369=""),"",N(AU369)-N(AT369)))</f>
        <v/>
      </c>
      <c r="AY369">
        <f>IF(OR(AT$3="",AT$3&gt;TODAY()),"",IF(AND(AW369="",AX369=""),"",N(AX369)-N(AW369)))</f>
        <v/>
      </c>
      <c r="BC369">
        <f>IF(OR(BA$3="",BA$3&gt;TODAY()),"",IF(AND(BA369="",BB369=""),"",N(BB369)-N(BA369)))</f>
        <v/>
      </c>
      <c r="BF369">
        <f>IF(OR(BA$3="",BA$3&gt;TODAY()),"",IF(AND(BD369="",BE369=""),"",N(BE369)-N(BD369)))</f>
        <v/>
      </c>
      <c r="BJ369">
        <f>IF(OR(BH$3="",BH$3&gt;TODAY()),"",IF(AND(BH369="",BI369=""),"",N(BI369)-N(BH369)))</f>
        <v/>
      </c>
      <c r="BM369">
        <f>IF(OR(BH$3="",BH$3&gt;TODAY()),"",IF(AND(BK369="",BL369=""),"",N(BL369)-N(BK369)))</f>
        <v/>
      </c>
      <c r="BQ369">
        <f>IF(OR(BO$3="",BO$3&gt;TODAY()),"",IF(AND(BO369="",BP369=""),"",N(BP369)-N(BO369)))</f>
        <v/>
      </c>
      <c r="BT369">
        <f>IF(OR(BO$3="",BO$3&gt;TODAY()),"",IF(AND(BR369="",BS369=""),"",N(BS369)-N(BR369)))</f>
        <v/>
      </c>
      <c r="BX369">
        <f>IF(OR(BV$3="",BV$3&gt;TODAY()),"",IF(AND(BV369="",BW369=""),"",N(BW369)-N(BV369)))</f>
        <v/>
      </c>
      <c r="CA369">
        <f>IF(OR(BV$3="",BV$3&gt;TODAY()),"",IF(AND(BY369="",BZ369=""),"",N(BZ369)-N(BY369)))</f>
        <v/>
      </c>
      <c r="CE369">
        <f>IF(OR(CC$3="",CC$3&gt;TODAY()),"",IF(AND(CC369="",CD369=""),"",N(CD369)-N(CC369)))</f>
        <v/>
      </c>
      <c r="CH369">
        <f>IF(OR(CC$3="",CC$3&gt;TODAY()),"",IF(AND(CF369="",CG369=""),"",N(CG369)-N(CF369)))</f>
        <v/>
      </c>
      <c r="CL369">
        <f>IF(OR(CJ$3="",CJ$3&gt;TODAY()),"",IF(AND(CJ369="",CK369=""),"",N(CK369)-N(CJ369)))</f>
        <v/>
      </c>
      <c r="CO369">
        <f>IF(OR(CJ$3="",CJ$3&gt;TODAY()),"",IF(AND(CM369="",CN369=""),"",N(CN369)-N(CM369)))</f>
        <v/>
      </c>
      <c r="CS369">
        <f>IF(OR(CQ$3="",CQ$3&gt;TODAY()),"",IF(AND(CQ369="",CR369=""),"",N(CR369)-N(CQ369)))</f>
        <v/>
      </c>
      <c r="CV369">
        <f>IF(OR(CQ$3="",CQ$3&gt;TODAY()),"",IF(AND(CT369="",CU369=""),"",N(CU369)-N(CT369)))</f>
        <v/>
      </c>
      <c r="CZ369">
        <f>IF(OR(CX$3="",CX$3&gt;TODAY()),"",IF(AND(CX369="",CY369=""),"",N(CY369)-N(CX369)))</f>
        <v/>
      </c>
      <c r="DC369">
        <f>IF(OR(CX$3="",CX$3&gt;TODAY()),"",IF(AND(DA369="",DB369=""),"",N(DB369)-N(DA369)))</f>
        <v/>
      </c>
      <c r="DG369">
        <f>IF(OR(DE$3="",DE$3&gt;TODAY()),"",IF(AND(DE369="",DF369=""),"",N(DF369)-N(DE369)))</f>
        <v/>
      </c>
      <c r="DJ369">
        <f>IF(OR(DE$3="",DE$3&gt;TODAY()),"",IF(AND(DH369="",DI369=""),"",N(DI369)-N(DH369)))</f>
        <v/>
      </c>
      <c r="DN369">
        <f>IF(OR(DL$3="",DL$3&gt;TODAY()),"",IF(AND(DL369="",DM369=""),"",N(DM369)-N(DL369)))</f>
        <v/>
      </c>
      <c r="DQ369">
        <f>IF(OR(DL$3="",DL$3&gt;TODAY()),"",IF(AND(DO369="",DP369=""),"",N(DP369)-N(DO369)))</f>
        <v/>
      </c>
      <c r="DU369">
        <f>IF(OR(DS$3="",DS$3&gt;TODAY()),"",IF(AND(DS369="",DT369=""),"",N(DT369)-N(DS369)))</f>
        <v/>
      </c>
      <c r="DX369">
        <f>IF(OR(DS$3="",DS$3&gt;TODAY()),"",IF(AND(DV369="",DW369=""),"",N(DW369)-N(DV369)))</f>
        <v/>
      </c>
      <c r="EB369">
        <f>IF(OR(DZ$3="",DZ$3&gt;TODAY()),"",IF(AND(DZ369="",EA369=""),"",N(EA369)-N(DZ369)))</f>
        <v/>
      </c>
      <c r="EE369">
        <f>IF(OR(DZ$3="",DZ$3&gt;TODAY()),"",IF(AND(EC369="",ED369=""),"",N(ED369)-N(EC369)))</f>
        <v/>
      </c>
      <c r="EI369">
        <f>IF(OR(EG$3="",EG$3&gt;TODAY()),"",IF(AND(EG369="",EH369=""),"",N(EH369)-N(EG369)))</f>
        <v/>
      </c>
      <c r="EL369">
        <f>IF(OR(EG$3="",EG$3&gt;TODAY()),"",IF(AND(EJ369="",EK369=""),"",N(EK369)-N(EJ369)))</f>
        <v/>
      </c>
      <c r="EP369">
        <f>IF(OR(EN$3="",EN$3&gt;TODAY()),"",IF(AND(EN369="",EO369=""),"",N(EO369)-N(EN369)))</f>
        <v/>
      </c>
      <c r="ES369">
        <f>IF(OR(EN$3="",EN$3&gt;TODAY()),"",IF(AND(EQ369="",ER369=""),"",N(ER369)-N(EQ369)))</f>
        <v/>
      </c>
      <c r="EW369">
        <f>IF(OR(EU$3="",EU$3&gt;TODAY()),"",IF(AND(EU369="",EV369=""),"",N(EV369)-N(EU369)))</f>
        <v/>
      </c>
      <c r="EZ369">
        <f>IF(OR(EU$3="",EU$3&gt;TODAY()),"",IF(AND(EX369="",EY369=""),"",N(EY369)-N(EX369)))</f>
        <v/>
      </c>
      <c r="FD369">
        <f>IF(OR(FB$3="",FB$3&gt;TODAY()),"",IF(AND(FB369="",FC369=""),"",N(FC369)-N(FB369)))</f>
        <v/>
      </c>
      <c r="FG369">
        <f>IF(OR(FB$3="",FB$3&gt;TODAY()),"",IF(AND(FE369="",FF369=""),"",N(FF369)-N(FE369)))</f>
        <v/>
      </c>
      <c r="FK369">
        <f>IF(OR(FI$3="",FI$3&gt;TODAY()),"",IF(AND(FI369="",FJ369=""),"",N(FJ369)-N(FI369)))</f>
        <v/>
      </c>
      <c r="FN369">
        <f>IF(OR(FI$3="",FI$3&gt;TODAY()),"",IF(AND(FL369="",FM369=""),"",N(FM369)-N(FL369)))</f>
        <v/>
      </c>
      <c r="FR369">
        <f>IF(OR(FP$3="",FP$3&gt;TODAY()),"",IF(AND(FP369="",FQ369=""),"",N(FQ369)-N(FP369)))</f>
        <v/>
      </c>
      <c r="FU369">
        <f>IF(OR(FP$3="",FP$3&gt;TODAY()),"",IF(AND(FS369="",FT369=""),"",N(FT369)-N(FS369)))</f>
        <v/>
      </c>
      <c r="FY369">
        <f>IF(OR(FW$3="",FW$3&gt;TODAY()),"",IF(AND(FW369="",FX369=""),"",N(FX369)-N(FW369)))</f>
        <v/>
      </c>
      <c r="GB369">
        <f>IF(OR(FW$3="",FW$3&gt;TODAY()),"",IF(AND(FZ369="",GA369=""),"",N(GA369)-N(FZ369)))</f>
        <v/>
      </c>
      <c r="GF369">
        <f>IF(OR(GD$3="",GD$3&gt;TODAY()),"",IF(AND(GD369="",GE369=""),"",N(GE369)-N(GD369)))</f>
        <v/>
      </c>
      <c r="GI369">
        <f>IF(OR(GD$3="",GD$3&gt;TODAY()),"",IF(AND(GG369="",GH369=""),"",N(GH369)-N(GG369)))</f>
        <v/>
      </c>
      <c r="GM369">
        <f>IF(OR(GK$3="",GK$3&gt;TODAY()),"",IF(AND(GK369="",GL369=""),"",N(GL369)-N(GK369)))</f>
        <v/>
      </c>
      <c r="GP369">
        <f>IF(OR(GK$3="",GK$3&gt;TODAY()),"",IF(AND(GN369="",GO369=""),"",N(GO369)-N(GN369)))</f>
        <v/>
      </c>
      <c r="GT369">
        <f>IF(OR(GR$3="",GR$3&gt;TODAY()),"",IF(AND(GR369="",GS369=""),"",N(GS369)-N(GR369)))</f>
        <v/>
      </c>
      <c r="GW369">
        <f>IF(OR(GR$3="",GR$3&gt;TODAY()),"",IF(AND(GU369="",GV369=""),"",N(GV369)-N(GU369)))</f>
        <v/>
      </c>
      <c r="HA369">
        <f>IF(OR(GY$3="",GY$3&gt;TODAY()),"",IF(AND(GY369="",GZ369=""),"",N(GZ369)-N(GY369)))</f>
        <v/>
      </c>
      <c r="HD369">
        <f>IF(OR(GY$3="",GY$3&gt;TODAY()),"",IF(AND(HB369="",HC369=""),"",N(HC369)-N(HB369)))</f>
        <v/>
      </c>
      <c r="HH369">
        <f>IF(OR(HF$3="",HF$3&gt;TODAY()),"",IF(AND(HF369="",HG369=""),"",N(HG369)-N(HF369)))</f>
        <v/>
      </c>
      <c r="HK369">
        <f>IF(OR(HF$3="",HF$3&gt;TODAY()),"",IF(AND(HI369="",HJ369=""),"",N(HJ369)-N(HI369)))</f>
        <v/>
      </c>
      <c r="HO369">
        <f>IF(OR(HM$3="",HM$3&gt;TODAY()),"",IF(AND(HM369="",HN369=""),"",N(HN369)-N(HM369)))</f>
        <v/>
      </c>
      <c r="HR369">
        <f>IF(OR(HM$3="",HM$3&gt;TODAY()),"",IF(AND(HP369="",HQ369=""),"",N(HQ369)-N(HP369)))</f>
        <v/>
      </c>
      <c r="HV369">
        <f>IF(OR(HT$3="",HT$3&gt;TODAY()),"",IF(AND(HT369="",HU369=""),"",N(HU369)-N(HT369)))</f>
        <v/>
      </c>
      <c r="HY369">
        <f>IF(OR(HT$3="",HT$3&gt;TODAY()),"",IF(AND(HW369="",HX369=""),"",N(HX369)-N(HW369)))</f>
        <v/>
      </c>
      <c r="IC369">
        <f>IF(OR(IA$3="",IA$3&gt;TODAY()),"",IF(AND(IA369="",IB369=""),"",N(IB369)-N(IA369)))</f>
        <v/>
      </c>
      <c r="IF369">
        <f>IF(OR(IA$3="",IA$3&gt;TODAY()),"",IF(AND(ID369="",IE369=""),"",N(IE369)-N(ID369)))</f>
        <v/>
      </c>
      <c r="IJ369">
        <f>IF(OR(IH$3="",IH$3&gt;TODAY()),"",IF(AND(IH369="",II369=""),"",N(II369)-N(IH369)))</f>
        <v/>
      </c>
      <c r="IM369">
        <f>IF(OR(IH$3="",IH$3&gt;TODAY()),"",IF(AND(IK369="",IL369=""),"",N(IL369)-N(IK369)))</f>
        <v/>
      </c>
    </row>
    <row r="370">
      <c r="A370" s="21" t="n"/>
      <c r="B370" s="21" t="n"/>
      <c r="C370" s="21" t="n"/>
      <c r="D370" s="21" t="n"/>
      <c r="E370" s="21" t="n"/>
      <c r="F370" s="21" t="n"/>
      <c r="G370" s="21" t="n"/>
      <c r="H370" s="21" t="n"/>
      <c r="I370" s="22" t="n"/>
      <c r="J370" s="22" t="n"/>
      <c r="K370" s="23" t="n"/>
      <c r="L370" s="22" t="n"/>
      <c r="M370" s="22" t="n"/>
      <c r="N370" s="21" t="n"/>
      <c r="O370" s="23" t="n"/>
      <c r="P370" s="23" t="n"/>
      <c r="Q370" s="23" t="n"/>
      <c r="R370" s="23" t="n"/>
      <c r="S370" s="22" t="n"/>
      <c r="T370" s="23" t="n"/>
      <c r="U370" s="23" t="n"/>
      <c r="V370" s="24">
        <f>IF(J370&lt;&gt;"",J370,IF(I370&lt;&gt;"",I370,""))</f>
        <v/>
      </c>
      <c r="W370" s="25">
        <f>IF($E370="","",N(O370)+SUMIFS($AF370:$IN370,$AF$4:$IN$4,"SEW_ACT"))</f>
        <v/>
      </c>
      <c r="X370" s="25">
        <f>IF($E370="","",N(P370)+SUMIFS($AF370:$IN370,$AF$4:$IN$4,"WASH_ACT"))</f>
        <v/>
      </c>
      <c r="Y370" s="25">
        <f>IF($E370="","",W370-X370-N(T370)-N(U370))</f>
        <v/>
      </c>
      <c r="Z370" s="25">
        <f>IF($E370="","",IF(N(K370)-X370&lt;=0.02*N(K370),0,N(K370)-X370))</f>
        <v/>
      </c>
      <c r="AA370" s="24">
        <f>IF($E370="","",IF(S370&lt;&gt;"",S370,IF(N(O370)&gt;0,IF(L370&lt;&gt;"",L370,99999),IFERROR(1/(1/_xlfn.MINIFS($AF$3:$IN$3,$AF$4:$IN$4,"SEW_ACT",$AF370:$IN370,"&gt;0")),99999))))</f>
        <v/>
      </c>
      <c r="AB370" s="26">
        <f>IF(OR($E370="",Z370=0,V370=""),"",1+COUNTIFS(Z$8:Z$707,"&gt;0",V$8:V$707,"&lt;"&amp;V370)+COUNTIFS(Z$8:Z$707,"&gt;0",V$8:V$707,V370,AA$8:AA$707,"&lt;"&amp;AA370)+COUNTIFS(Z$8:Z$707,"&gt;0",V$8:V$707,V370,AA$8:AA$707,AA370,E$8:E$707,"&lt;"&amp;$E370))</f>
        <v/>
      </c>
      <c r="AC370" s="24">
        <f>IF(OR($E370="",Z370=0),"",IFERROR(TODAY()+ROUNDUP(Z370/(SUMIFS($AF370:$IN370,$AF$4:$IN$4,"WASH_ACT")/COUNTIFS($AF$4:$IN$4,"WASH_ACT",$AF370:$IN370,"&gt;0")),0),"no output yet"))</f>
        <v/>
      </c>
      <c r="AD370" s="26">
        <f>IF($E370="","",IFERROR(ROUND(MAX(0,SUMIFS($AF370:$IN370,$AF$4:$IN$4,"SEW_PLAN",$AF$3:$IN$3,"&lt;="&amp;TODAY())-SUMIFS($AF370:$IN370,$AF$4:$IN$4,"SEW_ACT",$AF$3:$IN$3,"&lt;="&amp;TODAY())+N(Q370))/(SUMIFS($AF370:$IN370,$AF$4:$IN$4,"SEW_PLAN")/COUNTIFS($AF$4:$IN$4,"SEW_PLAN",$AF370:$IN370,"&gt;0")),1),0))</f>
        <v/>
      </c>
      <c r="AE370" s="26">
        <f>IF($E370="","",IF(AND(Z370&gt;0,OR(AND(M370&lt;&gt;"",TODAY()&gt;M370),AND(V370&lt;&gt;"",V370-TODAY()&lt;=7))),"Yes","No"))</f>
        <v/>
      </c>
      <c r="AH370">
        <f>IF(OR(AF$3="",AF$3&gt;TODAY()),"",IF(AND(AF370="",AG370=""),"",N(AG370)-N(AF370)))</f>
        <v/>
      </c>
      <c r="AK370">
        <f>IF(OR(AF$3="",AF$3&gt;TODAY()),"",IF(AND(AI370="",AJ370=""),"",N(AJ370)-N(AI370)))</f>
        <v/>
      </c>
      <c r="AO370">
        <f>IF(OR(AM$3="",AM$3&gt;TODAY()),"",IF(AND(AM370="",AN370=""),"",N(AN370)-N(AM370)))</f>
        <v/>
      </c>
      <c r="AR370">
        <f>IF(OR(AM$3="",AM$3&gt;TODAY()),"",IF(AND(AP370="",AQ370=""),"",N(AQ370)-N(AP370)))</f>
        <v/>
      </c>
      <c r="AV370">
        <f>IF(OR(AT$3="",AT$3&gt;TODAY()),"",IF(AND(AT370="",AU370=""),"",N(AU370)-N(AT370)))</f>
        <v/>
      </c>
      <c r="AY370">
        <f>IF(OR(AT$3="",AT$3&gt;TODAY()),"",IF(AND(AW370="",AX370=""),"",N(AX370)-N(AW370)))</f>
        <v/>
      </c>
      <c r="BC370">
        <f>IF(OR(BA$3="",BA$3&gt;TODAY()),"",IF(AND(BA370="",BB370=""),"",N(BB370)-N(BA370)))</f>
        <v/>
      </c>
      <c r="BF370">
        <f>IF(OR(BA$3="",BA$3&gt;TODAY()),"",IF(AND(BD370="",BE370=""),"",N(BE370)-N(BD370)))</f>
        <v/>
      </c>
      <c r="BJ370">
        <f>IF(OR(BH$3="",BH$3&gt;TODAY()),"",IF(AND(BH370="",BI370=""),"",N(BI370)-N(BH370)))</f>
        <v/>
      </c>
      <c r="BM370">
        <f>IF(OR(BH$3="",BH$3&gt;TODAY()),"",IF(AND(BK370="",BL370=""),"",N(BL370)-N(BK370)))</f>
        <v/>
      </c>
      <c r="BQ370">
        <f>IF(OR(BO$3="",BO$3&gt;TODAY()),"",IF(AND(BO370="",BP370=""),"",N(BP370)-N(BO370)))</f>
        <v/>
      </c>
      <c r="BT370">
        <f>IF(OR(BO$3="",BO$3&gt;TODAY()),"",IF(AND(BR370="",BS370=""),"",N(BS370)-N(BR370)))</f>
        <v/>
      </c>
      <c r="BX370">
        <f>IF(OR(BV$3="",BV$3&gt;TODAY()),"",IF(AND(BV370="",BW370=""),"",N(BW370)-N(BV370)))</f>
        <v/>
      </c>
      <c r="CA370">
        <f>IF(OR(BV$3="",BV$3&gt;TODAY()),"",IF(AND(BY370="",BZ370=""),"",N(BZ370)-N(BY370)))</f>
        <v/>
      </c>
      <c r="CE370">
        <f>IF(OR(CC$3="",CC$3&gt;TODAY()),"",IF(AND(CC370="",CD370=""),"",N(CD370)-N(CC370)))</f>
        <v/>
      </c>
      <c r="CH370">
        <f>IF(OR(CC$3="",CC$3&gt;TODAY()),"",IF(AND(CF370="",CG370=""),"",N(CG370)-N(CF370)))</f>
        <v/>
      </c>
      <c r="CL370">
        <f>IF(OR(CJ$3="",CJ$3&gt;TODAY()),"",IF(AND(CJ370="",CK370=""),"",N(CK370)-N(CJ370)))</f>
        <v/>
      </c>
      <c r="CO370">
        <f>IF(OR(CJ$3="",CJ$3&gt;TODAY()),"",IF(AND(CM370="",CN370=""),"",N(CN370)-N(CM370)))</f>
        <v/>
      </c>
      <c r="CS370">
        <f>IF(OR(CQ$3="",CQ$3&gt;TODAY()),"",IF(AND(CQ370="",CR370=""),"",N(CR370)-N(CQ370)))</f>
        <v/>
      </c>
      <c r="CV370">
        <f>IF(OR(CQ$3="",CQ$3&gt;TODAY()),"",IF(AND(CT370="",CU370=""),"",N(CU370)-N(CT370)))</f>
        <v/>
      </c>
      <c r="CZ370">
        <f>IF(OR(CX$3="",CX$3&gt;TODAY()),"",IF(AND(CX370="",CY370=""),"",N(CY370)-N(CX370)))</f>
        <v/>
      </c>
      <c r="DC370">
        <f>IF(OR(CX$3="",CX$3&gt;TODAY()),"",IF(AND(DA370="",DB370=""),"",N(DB370)-N(DA370)))</f>
        <v/>
      </c>
      <c r="DG370">
        <f>IF(OR(DE$3="",DE$3&gt;TODAY()),"",IF(AND(DE370="",DF370=""),"",N(DF370)-N(DE370)))</f>
        <v/>
      </c>
      <c r="DJ370">
        <f>IF(OR(DE$3="",DE$3&gt;TODAY()),"",IF(AND(DH370="",DI370=""),"",N(DI370)-N(DH370)))</f>
        <v/>
      </c>
      <c r="DN370">
        <f>IF(OR(DL$3="",DL$3&gt;TODAY()),"",IF(AND(DL370="",DM370=""),"",N(DM370)-N(DL370)))</f>
        <v/>
      </c>
      <c r="DQ370">
        <f>IF(OR(DL$3="",DL$3&gt;TODAY()),"",IF(AND(DO370="",DP370=""),"",N(DP370)-N(DO370)))</f>
        <v/>
      </c>
      <c r="DU370">
        <f>IF(OR(DS$3="",DS$3&gt;TODAY()),"",IF(AND(DS370="",DT370=""),"",N(DT370)-N(DS370)))</f>
        <v/>
      </c>
      <c r="DX370">
        <f>IF(OR(DS$3="",DS$3&gt;TODAY()),"",IF(AND(DV370="",DW370=""),"",N(DW370)-N(DV370)))</f>
        <v/>
      </c>
      <c r="EB370">
        <f>IF(OR(DZ$3="",DZ$3&gt;TODAY()),"",IF(AND(DZ370="",EA370=""),"",N(EA370)-N(DZ370)))</f>
        <v/>
      </c>
      <c r="EE370">
        <f>IF(OR(DZ$3="",DZ$3&gt;TODAY()),"",IF(AND(EC370="",ED370=""),"",N(ED370)-N(EC370)))</f>
        <v/>
      </c>
      <c r="EI370">
        <f>IF(OR(EG$3="",EG$3&gt;TODAY()),"",IF(AND(EG370="",EH370=""),"",N(EH370)-N(EG370)))</f>
        <v/>
      </c>
      <c r="EL370">
        <f>IF(OR(EG$3="",EG$3&gt;TODAY()),"",IF(AND(EJ370="",EK370=""),"",N(EK370)-N(EJ370)))</f>
        <v/>
      </c>
      <c r="EP370">
        <f>IF(OR(EN$3="",EN$3&gt;TODAY()),"",IF(AND(EN370="",EO370=""),"",N(EO370)-N(EN370)))</f>
        <v/>
      </c>
      <c r="ES370">
        <f>IF(OR(EN$3="",EN$3&gt;TODAY()),"",IF(AND(EQ370="",ER370=""),"",N(ER370)-N(EQ370)))</f>
        <v/>
      </c>
      <c r="EW370">
        <f>IF(OR(EU$3="",EU$3&gt;TODAY()),"",IF(AND(EU370="",EV370=""),"",N(EV370)-N(EU370)))</f>
        <v/>
      </c>
      <c r="EZ370">
        <f>IF(OR(EU$3="",EU$3&gt;TODAY()),"",IF(AND(EX370="",EY370=""),"",N(EY370)-N(EX370)))</f>
        <v/>
      </c>
      <c r="FD370">
        <f>IF(OR(FB$3="",FB$3&gt;TODAY()),"",IF(AND(FB370="",FC370=""),"",N(FC370)-N(FB370)))</f>
        <v/>
      </c>
      <c r="FG370">
        <f>IF(OR(FB$3="",FB$3&gt;TODAY()),"",IF(AND(FE370="",FF370=""),"",N(FF370)-N(FE370)))</f>
        <v/>
      </c>
      <c r="FK370">
        <f>IF(OR(FI$3="",FI$3&gt;TODAY()),"",IF(AND(FI370="",FJ370=""),"",N(FJ370)-N(FI370)))</f>
        <v/>
      </c>
      <c r="FN370">
        <f>IF(OR(FI$3="",FI$3&gt;TODAY()),"",IF(AND(FL370="",FM370=""),"",N(FM370)-N(FL370)))</f>
        <v/>
      </c>
      <c r="FR370">
        <f>IF(OR(FP$3="",FP$3&gt;TODAY()),"",IF(AND(FP370="",FQ370=""),"",N(FQ370)-N(FP370)))</f>
        <v/>
      </c>
      <c r="FU370">
        <f>IF(OR(FP$3="",FP$3&gt;TODAY()),"",IF(AND(FS370="",FT370=""),"",N(FT370)-N(FS370)))</f>
        <v/>
      </c>
      <c r="FY370">
        <f>IF(OR(FW$3="",FW$3&gt;TODAY()),"",IF(AND(FW370="",FX370=""),"",N(FX370)-N(FW370)))</f>
        <v/>
      </c>
      <c r="GB370">
        <f>IF(OR(FW$3="",FW$3&gt;TODAY()),"",IF(AND(FZ370="",GA370=""),"",N(GA370)-N(FZ370)))</f>
        <v/>
      </c>
      <c r="GF370">
        <f>IF(OR(GD$3="",GD$3&gt;TODAY()),"",IF(AND(GD370="",GE370=""),"",N(GE370)-N(GD370)))</f>
        <v/>
      </c>
      <c r="GI370">
        <f>IF(OR(GD$3="",GD$3&gt;TODAY()),"",IF(AND(GG370="",GH370=""),"",N(GH370)-N(GG370)))</f>
        <v/>
      </c>
      <c r="GM370">
        <f>IF(OR(GK$3="",GK$3&gt;TODAY()),"",IF(AND(GK370="",GL370=""),"",N(GL370)-N(GK370)))</f>
        <v/>
      </c>
      <c r="GP370">
        <f>IF(OR(GK$3="",GK$3&gt;TODAY()),"",IF(AND(GN370="",GO370=""),"",N(GO370)-N(GN370)))</f>
        <v/>
      </c>
      <c r="GT370">
        <f>IF(OR(GR$3="",GR$3&gt;TODAY()),"",IF(AND(GR370="",GS370=""),"",N(GS370)-N(GR370)))</f>
        <v/>
      </c>
      <c r="GW370">
        <f>IF(OR(GR$3="",GR$3&gt;TODAY()),"",IF(AND(GU370="",GV370=""),"",N(GV370)-N(GU370)))</f>
        <v/>
      </c>
      <c r="HA370">
        <f>IF(OR(GY$3="",GY$3&gt;TODAY()),"",IF(AND(GY370="",GZ370=""),"",N(GZ370)-N(GY370)))</f>
        <v/>
      </c>
      <c r="HD370">
        <f>IF(OR(GY$3="",GY$3&gt;TODAY()),"",IF(AND(HB370="",HC370=""),"",N(HC370)-N(HB370)))</f>
        <v/>
      </c>
      <c r="HH370">
        <f>IF(OR(HF$3="",HF$3&gt;TODAY()),"",IF(AND(HF370="",HG370=""),"",N(HG370)-N(HF370)))</f>
        <v/>
      </c>
      <c r="HK370">
        <f>IF(OR(HF$3="",HF$3&gt;TODAY()),"",IF(AND(HI370="",HJ370=""),"",N(HJ370)-N(HI370)))</f>
        <v/>
      </c>
      <c r="HO370">
        <f>IF(OR(HM$3="",HM$3&gt;TODAY()),"",IF(AND(HM370="",HN370=""),"",N(HN370)-N(HM370)))</f>
        <v/>
      </c>
      <c r="HR370">
        <f>IF(OR(HM$3="",HM$3&gt;TODAY()),"",IF(AND(HP370="",HQ370=""),"",N(HQ370)-N(HP370)))</f>
        <v/>
      </c>
      <c r="HV370">
        <f>IF(OR(HT$3="",HT$3&gt;TODAY()),"",IF(AND(HT370="",HU370=""),"",N(HU370)-N(HT370)))</f>
        <v/>
      </c>
      <c r="HY370">
        <f>IF(OR(HT$3="",HT$3&gt;TODAY()),"",IF(AND(HW370="",HX370=""),"",N(HX370)-N(HW370)))</f>
        <v/>
      </c>
      <c r="IC370">
        <f>IF(OR(IA$3="",IA$3&gt;TODAY()),"",IF(AND(IA370="",IB370=""),"",N(IB370)-N(IA370)))</f>
        <v/>
      </c>
      <c r="IF370">
        <f>IF(OR(IA$3="",IA$3&gt;TODAY()),"",IF(AND(ID370="",IE370=""),"",N(IE370)-N(ID370)))</f>
        <v/>
      </c>
      <c r="IJ370">
        <f>IF(OR(IH$3="",IH$3&gt;TODAY()),"",IF(AND(IH370="",II370=""),"",N(II370)-N(IH370)))</f>
        <v/>
      </c>
      <c r="IM370">
        <f>IF(OR(IH$3="",IH$3&gt;TODAY()),"",IF(AND(IK370="",IL370=""),"",N(IL370)-N(IK370)))</f>
        <v/>
      </c>
    </row>
    <row r="371">
      <c r="A371" s="21" t="n"/>
      <c r="B371" s="21" t="n"/>
      <c r="C371" s="21" t="n"/>
      <c r="D371" s="21" t="n"/>
      <c r="E371" s="21" t="n"/>
      <c r="F371" s="21" t="n"/>
      <c r="G371" s="21" t="n"/>
      <c r="H371" s="21" t="n"/>
      <c r="I371" s="22" t="n"/>
      <c r="J371" s="22" t="n"/>
      <c r="K371" s="23" t="n"/>
      <c r="L371" s="22" t="n"/>
      <c r="M371" s="22" t="n"/>
      <c r="N371" s="21" t="n"/>
      <c r="O371" s="23" t="n"/>
      <c r="P371" s="23" t="n"/>
      <c r="Q371" s="23" t="n"/>
      <c r="R371" s="23" t="n"/>
      <c r="S371" s="22" t="n"/>
      <c r="T371" s="23" t="n"/>
      <c r="U371" s="23" t="n"/>
      <c r="V371" s="24">
        <f>IF(J371&lt;&gt;"",J371,IF(I371&lt;&gt;"",I371,""))</f>
        <v/>
      </c>
      <c r="W371" s="25">
        <f>IF($E371="","",N(O371)+SUMIFS($AF371:$IN371,$AF$4:$IN$4,"SEW_ACT"))</f>
        <v/>
      </c>
      <c r="X371" s="25">
        <f>IF($E371="","",N(P371)+SUMIFS($AF371:$IN371,$AF$4:$IN$4,"WASH_ACT"))</f>
        <v/>
      </c>
      <c r="Y371" s="25">
        <f>IF($E371="","",W371-X371-N(T371)-N(U371))</f>
        <v/>
      </c>
      <c r="Z371" s="25">
        <f>IF($E371="","",IF(N(K371)-X371&lt;=0.02*N(K371),0,N(K371)-X371))</f>
        <v/>
      </c>
      <c r="AA371" s="24">
        <f>IF($E371="","",IF(S371&lt;&gt;"",S371,IF(N(O371)&gt;0,IF(L371&lt;&gt;"",L371,99999),IFERROR(1/(1/_xlfn.MINIFS($AF$3:$IN$3,$AF$4:$IN$4,"SEW_ACT",$AF371:$IN371,"&gt;0")),99999))))</f>
        <v/>
      </c>
      <c r="AB371" s="26">
        <f>IF(OR($E371="",Z371=0,V371=""),"",1+COUNTIFS(Z$8:Z$707,"&gt;0",V$8:V$707,"&lt;"&amp;V371)+COUNTIFS(Z$8:Z$707,"&gt;0",V$8:V$707,V371,AA$8:AA$707,"&lt;"&amp;AA371)+COUNTIFS(Z$8:Z$707,"&gt;0",V$8:V$707,V371,AA$8:AA$707,AA371,E$8:E$707,"&lt;"&amp;$E371))</f>
        <v/>
      </c>
      <c r="AC371" s="24">
        <f>IF(OR($E371="",Z371=0),"",IFERROR(TODAY()+ROUNDUP(Z371/(SUMIFS($AF371:$IN371,$AF$4:$IN$4,"WASH_ACT")/COUNTIFS($AF$4:$IN$4,"WASH_ACT",$AF371:$IN371,"&gt;0")),0),"no output yet"))</f>
        <v/>
      </c>
      <c r="AD371" s="26">
        <f>IF($E371="","",IFERROR(ROUND(MAX(0,SUMIFS($AF371:$IN371,$AF$4:$IN$4,"SEW_PLAN",$AF$3:$IN$3,"&lt;="&amp;TODAY())-SUMIFS($AF371:$IN371,$AF$4:$IN$4,"SEW_ACT",$AF$3:$IN$3,"&lt;="&amp;TODAY())+N(Q371))/(SUMIFS($AF371:$IN371,$AF$4:$IN$4,"SEW_PLAN")/COUNTIFS($AF$4:$IN$4,"SEW_PLAN",$AF371:$IN371,"&gt;0")),1),0))</f>
        <v/>
      </c>
      <c r="AE371" s="26">
        <f>IF($E371="","",IF(AND(Z371&gt;0,OR(AND(M371&lt;&gt;"",TODAY()&gt;M371),AND(V371&lt;&gt;"",V371-TODAY()&lt;=7))),"Yes","No"))</f>
        <v/>
      </c>
      <c r="AH371">
        <f>IF(OR(AF$3="",AF$3&gt;TODAY()),"",IF(AND(AF371="",AG371=""),"",N(AG371)-N(AF371)))</f>
        <v/>
      </c>
      <c r="AK371">
        <f>IF(OR(AF$3="",AF$3&gt;TODAY()),"",IF(AND(AI371="",AJ371=""),"",N(AJ371)-N(AI371)))</f>
        <v/>
      </c>
      <c r="AO371">
        <f>IF(OR(AM$3="",AM$3&gt;TODAY()),"",IF(AND(AM371="",AN371=""),"",N(AN371)-N(AM371)))</f>
        <v/>
      </c>
      <c r="AR371">
        <f>IF(OR(AM$3="",AM$3&gt;TODAY()),"",IF(AND(AP371="",AQ371=""),"",N(AQ371)-N(AP371)))</f>
        <v/>
      </c>
      <c r="AV371">
        <f>IF(OR(AT$3="",AT$3&gt;TODAY()),"",IF(AND(AT371="",AU371=""),"",N(AU371)-N(AT371)))</f>
        <v/>
      </c>
      <c r="AY371">
        <f>IF(OR(AT$3="",AT$3&gt;TODAY()),"",IF(AND(AW371="",AX371=""),"",N(AX371)-N(AW371)))</f>
        <v/>
      </c>
      <c r="BC371">
        <f>IF(OR(BA$3="",BA$3&gt;TODAY()),"",IF(AND(BA371="",BB371=""),"",N(BB371)-N(BA371)))</f>
        <v/>
      </c>
      <c r="BF371">
        <f>IF(OR(BA$3="",BA$3&gt;TODAY()),"",IF(AND(BD371="",BE371=""),"",N(BE371)-N(BD371)))</f>
        <v/>
      </c>
      <c r="BJ371">
        <f>IF(OR(BH$3="",BH$3&gt;TODAY()),"",IF(AND(BH371="",BI371=""),"",N(BI371)-N(BH371)))</f>
        <v/>
      </c>
      <c r="BM371">
        <f>IF(OR(BH$3="",BH$3&gt;TODAY()),"",IF(AND(BK371="",BL371=""),"",N(BL371)-N(BK371)))</f>
        <v/>
      </c>
      <c r="BQ371">
        <f>IF(OR(BO$3="",BO$3&gt;TODAY()),"",IF(AND(BO371="",BP371=""),"",N(BP371)-N(BO371)))</f>
        <v/>
      </c>
      <c r="BT371">
        <f>IF(OR(BO$3="",BO$3&gt;TODAY()),"",IF(AND(BR371="",BS371=""),"",N(BS371)-N(BR371)))</f>
        <v/>
      </c>
      <c r="BX371">
        <f>IF(OR(BV$3="",BV$3&gt;TODAY()),"",IF(AND(BV371="",BW371=""),"",N(BW371)-N(BV371)))</f>
        <v/>
      </c>
      <c r="CA371">
        <f>IF(OR(BV$3="",BV$3&gt;TODAY()),"",IF(AND(BY371="",BZ371=""),"",N(BZ371)-N(BY371)))</f>
        <v/>
      </c>
      <c r="CE371">
        <f>IF(OR(CC$3="",CC$3&gt;TODAY()),"",IF(AND(CC371="",CD371=""),"",N(CD371)-N(CC371)))</f>
        <v/>
      </c>
      <c r="CH371">
        <f>IF(OR(CC$3="",CC$3&gt;TODAY()),"",IF(AND(CF371="",CG371=""),"",N(CG371)-N(CF371)))</f>
        <v/>
      </c>
      <c r="CL371">
        <f>IF(OR(CJ$3="",CJ$3&gt;TODAY()),"",IF(AND(CJ371="",CK371=""),"",N(CK371)-N(CJ371)))</f>
        <v/>
      </c>
      <c r="CO371">
        <f>IF(OR(CJ$3="",CJ$3&gt;TODAY()),"",IF(AND(CM371="",CN371=""),"",N(CN371)-N(CM371)))</f>
        <v/>
      </c>
      <c r="CS371">
        <f>IF(OR(CQ$3="",CQ$3&gt;TODAY()),"",IF(AND(CQ371="",CR371=""),"",N(CR371)-N(CQ371)))</f>
        <v/>
      </c>
      <c r="CV371">
        <f>IF(OR(CQ$3="",CQ$3&gt;TODAY()),"",IF(AND(CT371="",CU371=""),"",N(CU371)-N(CT371)))</f>
        <v/>
      </c>
      <c r="CZ371">
        <f>IF(OR(CX$3="",CX$3&gt;TODAY()),"",IF(AND(CX371="",CY371=""),"",N(CY371)-N(CX371)))</f>
        <v/>
      </c>
      <c r="DC371">
        <f>IF(OR(CX$3="",CX$3&gt;TODAY()),"",IF(AND(DA371="",DB371=""),"",N(DB371)-N(DA371)))</f>
        <v/>
      </c>
      <c r="DG371">
        <f>IF(OR(DE$3="",DE$3&gt;TODAY()),"",IF(AND(DE371="",DF371=""),"",N(DF371)-N(DE371)))</f>
        <v/>
      </c>
      <c r="DJ371">
        <f>IF(OR(DE$3="",DE$3&gt;TODAY()),"",IF(AND(DH371="",DI371=""),"",N(DI371)-N(DH371)))</f>
        <v/>
      </c>
      <c r="DN371">
        <f>IF(OR(DL$3="",DL$3&gt;TODAY()),"",IF(AND(DL371="",DM371=""),"",N(DM371)-N(DL371)))</f>
        <v/>
      </c>
      <c r="DQ371">
        <f>IF(OR(DL$3="",DL$3&gt;TODAY()),"",IF(AND(DO371="",DP371=""),"",N(DP371)-N(DO371)))</f>
        <v/>
      </c>
      <c r="DU371">
        <f>IF(OR(DS$3="",DS$3&gt;TODAY()),"",IF(AND(DS371="",DT371=""),"",N(DT371)-N(DS371)))</f>
        <v/>
      </c>
      <c r="DX371">
        <f>IF(OR(DS$3="",DS$3&gt;TODAY()),"",IF(AND(DV371="",DW371=""),"",N(DW371)-N(DV371)))</f>
        <v/>
      </c>
      <c r="EB371">
        <f>IF(OR(DZ$3="",DZ$3&gt;TODAY()),"",IF(AND(DZ371="",EA371=""),"",N(EA371)-N(DZ371)))</f>
        <v/>
      </c>
      <c r="EE371">
        <f>IF(OR(DZ$3="",DZ$3&gt;TODAY()),"",IF(AND(EC371="",ED371=""),"",N(ED371)-N(EC371)))</f>
        <v/>
      </c>
      <c r="EI371">
        <f>IF(OR(EG$3="",EG$3&gt;TODAY()),"",IF(AND(EG371="",EH371=""),"",N(EH371)-N(EG371)))</f>
        <v/>
      </c>
      <c r="EL371">
        <f>IF(OR(EG$3="",EG$3&gt;TODAY()),"",IF(AND(EJ371="",EK371=""),"",N(EK371)-N(EJ371)))</f>
        <v/>
      </c>
      <c r="EP371">
        <f>IF(OR(EN$3="",EN$3&gt;TODAY()),"",IF(AND(EN371="",EO371=""),"",N(EO371)-N(EN371)))</f>
        <v/>
      </c>
      <c r="ES371">
        <f>IF(OR(EN$3="",EN$3&gt;TODAY()),"",IF(AND(EQ371="",ER371=""),"",N(ER371)-N(EQ371)))</f>
        <v/>
      </c>
      <c r="EW371">
        <f>IF(OR(EU$3="",EU$3&gt;TODAY()),"",IF(AND(EU371="",EV371=""),"",N(EV371)-N(EU371)))</f>
        <v/>
      </c>
      <c r="EZ371">
        <f>IF(OR(EU$3="",EU$3&gt;TODAY()),"",IF(AND(EX371="",EY371=""),"",N(EY371)-N(EX371)))</f>
        <v/>
      </c>
      <c r="FD371">
        <f>IF(OR(FB$3="",FB$3&gt;TODAY()),"",IF(AND(FB371="",FC371=""),"",N(FC371)-N(FB371)))</f>
        <v/>
      </c>
      <c r="FG371">
        <f>IF(OR(FB$3="",FB$3&gt;TODAY()),"",IF(AND(FE371="",FF371=""),"",N(FF371)-N(FE371)))</f>
        <v/>
      </c>
      <c r="FK371">
        <f>IF(OR(FI$3="",FI$3&gt;TODAY()),"",IF(AND(FI371="",FJ371=""),"",N(FJ371)-N(FI371)))</f>
        <v/>
      </c>
      <c r="FN371">
        <f>IF(OR(FI$3="",FI$3&gt;TODAY()),"",IF(AND(FL371="",FM371=""),"",N(FM371)-N(FL371)))</f>
        <v/>
      </c>
      <c r="FR371">
        <f>IF(OR(FP$3="",FP$3&gt;TODAY()),"",IF(AND(FP371="",FQ371=""),"",N(FQ371)-N(FP371)))</f>
        <v/>
      </c>
      <c r="FU371">
        <f>IF(OR(FP$3="",FP$3&gt;TODAY()),"",IF(AND(FS371="",FT371=""),"",N(FT371)-N(FS371)))</f>
        <v/>
      </c>
      <c r="FY371">
        <f>IF(OR(FW$3="",FW$3&gt;TODAY()),"",IF(AND(FW371="",FX371=""),"",N(FX371)-N(FW371)))</f>
        <v/>
      </c>
      <c r="GB371">
        <f>IF(OR(FW$3="",FW$3&gt;TODAY()),"",IF(AND(FZ371="",GA371=""),"",N(GA371)-N(FZ371)))</f>
        <v/>
      </c>
      <c r="GF371">
        <f>IF(OR(GD$3="",GD$3&gt;TODAY()),"",IF(AND(GD371="",GE371=""),"",N(GE371)-N(GD371)))</f>
        <v/>
      </c>
      <c r="GI371">
        <f>IF(OR(GD$3="",GD$3&gt;TODAY()),"",IF(AND(GG371="",GH371=""),"",N(GH371)-N(GG371)))</f>
        <v/>
      </c>
      <c r="GM371">
        <f>IF(OR(GK$3="",GK$3&gt;TODAY()),"",IF(AND(GK371="",GL371=""),"",N(GL371)-N(GK371)))</f>
        <v/>
      </c>
      <c r="GP371">
        <f>IF(OR(GK$3="",GK$3&gt;TODAY()),"",IF(AND(GN371="",GO371=""),"",N(GO371)-N(GN371)))</f>
        <v/>
      </c>
      <c r="GT371">
        <f>IF(OR(GR$3="",GR$3&gt;TODAY()),"",IF(AND(GR371="",GS371=""),"",N(GS371)-N(GR371)))</f>
        <v/>
      </c>
      <c r="GW371">
        <f>IF(OR(GR$3="",GR$3&gt;TODAY()),"",IF(AND(GU371="",GV371=""),"",N(GV371)-N(GU371)))</f>
        <v/>
      </c>
      <c r="HA371">
        <f>IF(OR(GY$3="",GY$3&gt;TODAY()),"",IF(AND(GY371="",GZ371=""),"",N(GZ371)-N(GY371)))</f>
        <v/>
      </c>
      <c r="HD371">
        <f>IF(OR(GY$3="",GY$3&gt;TODAY()),"",IF(AND(HB371="",HC371=""),"",N(HC371)-N(HB371)))</f>
        <v/>
      </c>
      <c r="HH371">
        <f>IF(OR(HF$3="",HF$3&gt;TODAY()),"",IF(AND(HF371="",HG371=""),"",N(HG371)-N(HF371)))</f>
        <v/>
      </c>
      <c r="HK371">
        <f>IF(OR(HF$3="",HF$3&gt;TODAY()),"",IF(AND(HI371="",HJ371=""),"",N(HJ371)-N(HI371)))</f>
        <v/>
      </c>
      <c r="HO371">
        <f>IF(OR(HM$3="",HM$3&gt;TODAY()),"",IF(AND(HM371="",HN371=""),"",N(HN371)-N(HM371)))</f>
        <v/>
      </c>
      <c r="HR371">
        <f>IF(OR(HM$3="",HM$3&gt;TODAY()),"",IF(AND(HP371="",HQ371=""),"",N(HQ371)-N(HP371)))</f>
        <v/>
      </c>
      <c r="HV371">
        <f>IF(OR(HT$3="",HT$3&gt;TODAY()),"",IF(AND(HT371="",HU371=""),"",N(HU371)-N(HT371)))</f>
        <v/>
      </c>
      <c r="HY371">
        <f>IF(OR(HT$3="",HT$3&gt;TODAY()),"",IF(AND(HW371="",HX371=""),"",N(HX371)-N(HW371)))</f>
        <v/>
      </c>
      <c r="IC371">
        <f>IF(OR(IA$3="",IA$3&gt;TODAY()),"",IF(AND(IA371="",IB371=""),"",N(IB371)-N(IA371)))</f>
        <v/>
      </c>
      <c r="IF371">
        <f>IF(OR(IA$3="",IA$3&gt;TODAY()),"",IF(AND(ID371="",IE371=""),"",N(IE371)-N(ID371)))</f>
        <v/>
      </c>
      <c r="IJ371">
        <f>IF(OR(IH$3="",IH$3&gt;TODAY()),"",IF(AND(IH371="",II371=""),"",N(II371)-N(IH371)))</f>
        <v/>
      </c>
      <c r="IM371">
        <f>IF(OR(IH$3="",IH$3&gt;TODAY()),"",IF(AND(IK371="",IL371=""),"",N(IL371)-N(IK371)))</f>
        <v/>
      </c>
    </row>
    <row r="372">
      <c r="A372" s="21" t="n"/>
      <c r="B372" s="21" t="n"/>
      <c r="C372" s="21" t="n"/>
      <c r="D372" s="21" t="n"/>
      <c r="E372" s="21" t="n"/>
      <c r="F372" s="21" t="n"/>
      <c r="G372" s="21" t="n"/>
      <c r="H372" s="21" t="n"/>
      <c r="I372" s="22" t="n"/>
      <c r="J372" s="22" t="n"/>
      <c r="K372" s="23" t="n"/>
      <c r="L372" s="22" t="n"/>
      <c r="M372" s="22" t="n"/>
      <c r="N372" s="21" t="n"/>
      <c r="O372" s="23" t="n"/>
      <c r="P372" s="23" t="n"/>
      <c r="Q372" s="23" t="n"/>
      <c r="R372" s="23" t="n"/>
      <c r="S372" s="22" t="n"/>
      <c r="T372" s="23" t="n"/>
      <c r="U372" s="23" t="n"/>
      <c r="V372" s="24">
        <f>IF(J372&lt;&gt;"",J372,IF(I372&lt;&gt;"",I372,""))</f>
        <v/>
      </c>
      <c r="W372" s="25">
        <f>IF($E372="","",N(O372)+SUMIFS($AF372:$IN372,$AF$4:$IN$4,"SEW_ACT"))</f>
        <v/>
      </c>
      <c r="X372" s="25">
        <f>IF($E372="","",N(P372)+SUMIFS($AF372:$IN372,$AF$4:$IN$4,"WASH_ACT"))</f>
        <v/>
      </c>
      <c r="Y372" s="25">
        <f>IF($E372="","",W372-X372-N(T372)-N(U372))</f>
        <v/>
      </c>
      <c r="Z372" s="25">
        <f>IF($E372="","",IF(N(K372)-X372&lt;=0.02*N(K372),0,N(K372)-X372))</f>
        <v/>
      </c>
      <c r="AA372" s="24">
        <f>IF($E372="","",IF(S372&lt;&gt;"",S372,IF(N(O372)&gt;0,IF(L372&lt;&gt;"",L372,99999),IFERROR(1/(1/_xlfn.MINIFS($AF$3:$IN$3,$AF$4:$IN$4,"SEW_ACT",$AF372:$IN372,"&gt;0")),99999))))</f>
        <v/>
      </c>
      <c r="AB372" s="26">
        <f>IF(OR($E372="",Z372=0,V372=""),"",1+COUNTIFS(Z$8:Z$707,"&gt;0",V$8:V$707,"&lt;"&amp;V372)+COUNTIFS(Z$8:Z$707,"&gt;0",V$8:V$707,V372,AA$8:AA$707,"&lt;"&amp;AA372)+COUNTIFS(Z$8:Z$707,"&gt;0",V$8:V$707,V372,AA$8:AA$707,AA372,E$8:E$707,"&lt;"&amp;$E372))</f>
        <v/>
      </c>
      <c r="AC372" s="24">
        <f>IF(OR($E372="",Z372=0),"",IFERROR(TODAY()+ROUNDUP(Z372/(SUMIFS($AF372:$IN372,$AF$4:$IN$4,"WASH_ACT")/COUNTIFS($AF$4:$IN$4,"WASH_ACT",$AF372:$IN372,"&gt;0")),0),"no output yet"))</f>
        <v/>
      </c>
      <c r="AD372" s="26">
        <f>IF($E372="","",IFERROR(ROUND(MAX(0,SUMIFS($AF372:$IN372,$AF$4:$IN$4,"SEW_PLAN",$AF$3:$IN$3,"&lt;="&amp;TODAY())-SUMIFS($AF372:$IN372,$AF$4:$IN$4,"SEW_ACT",$AF$3:$IN$3,"&lt;="&amp;TODAY())+N(Q372))/(SUMIFS($AF372:$IN372,$AF$4:$IN$4,"SEW_PLAN")/COUNTIFS($AF$4:$IN$4,"SEW_PLAN",$AF372:$IN372,"&gt;0")),1),0))</f>
        <v/>
      </c>
      <c r="AE372" s="26">
        <f>IF($E372="","",IF(AND(Z372&gt;0,OR(AND(M372&lt;&gt;"",TODAY()&gt;M372),AND(V372&lt;&gt;"",V372-TODAY()&lt;=7))),"Yes","No"))</f>
        <v/>
      </c>
      <c r="AH372">
        <f>IF(OR(AF$3="",AF$3&gt;TODAY()),"",IF(AND(AF372="",AG372=""),"",N(AG372)-N(AF372)))</f>
        <v/>
      </c>
      <c r="AK372">
        <f>IF(OR(AF$3="",AF$3&gt;TODAY()),"",IF(AND(AI372="",AJ372=""),"",N(AJ372)-N(AI372)))</f>
        <v/>
      </c>
      <c r="AO372">
        <f>IF(OR(AM$3="",AM$3&gt;TODAY()),"",IF(AND(AM372="",AN372=""),"",N(AN372)-N(AM372)))</f>
        <v/>
      </c>
      <c r="AR372">
        <f>IF(OR(AM$3="",AM$3&gt;TODAY()),"",IF(AND(AP372="",AQ372=""),"",N(AQ372)-N(AP372)))</f>
        <v/>
      </c>
      <c r="AV372">
        <f>IF(OR(AT$3="",AT$3&gt;TODAY()),"",IF(AND(AT372="",AU372=""),"",N(AU372)-N(AT372)))</f>
        <v/>
      </c>
      <c r="AY372">
        <f>IF(OR(AT$3="",AT$3&gt;TODAY()),"",IF(AND(AW372="",AX372=""),"",N(AX372)-N(AW372)))</f>
        <v/>
      </c>
      <c r="BC372">
        <f>IF(OR(BA$3="",BA$3&gt;TODAY()),"",IF(AND(BA372="",BB372=""),"",N(BB372)-N(BA372)))</f>
        <v/>
      </c>
      <c r="BF372">
        <f>IF(OR(BA$3="",BA$3&gt;TODAY()),"",IF(AND(BD372="",BE372=""),"",N(BE372)-N(BD372)))</f>
        <v/>
      </c>
      <c r="BJ372">
        <f>IF(OR(BH$3="",BH$3&gt;TODAY()),"",IF(AND(BH372="",BI372=""),"",N(BI372)-N(BH372)))</f>
        <v/>
      </c>
      <c r="BM372">
        <f>IF(OR(BH$3="",BH$3&gt;TODAY()),"",IF(AND(BK372="",BL372=""),"",N(BL372)-N(BK372)))</f>
        <v/>
      </c>
      <c r="BQ372">
        <f>IF(OR(BO$3="",BO$3&gt;TODAY()),"",IF(AND(BO372="",BP372=""),"",N(BP372)-N(BO372)))</f>
        <v/>
      </c>
      <c r="BT372">
        <f>IF(OR(BO$3="",BO$3&gt;TODAY()),"",IF(AND(BR372="",BS372=""),"",N(BS372)-N(BR372)))</f>
        <v/>
      </c>
      <c r="BX372">
        <f>IF(OR(BV$3="",BV$3&gt;TODAY()),"",IF(AND(BV372="",BW372=""),"",N(BW372)-N(BV372)))</f>
        <v/>
      </c>
      <c r="CA372">
        <f>IF(OR(BV$3="",BV$3&gt;TODAY()),"",IF(AND(BY372="",BZ372=""),"",N(BZ372)-N(BY372)))</f>
        <v/>
      </c>
      <c r="CE372">
        <f>IF(OR(CC$3="",CC$3&gt;TODAY()),"",IF(AND(CC372="",CD372=""),"",N(CD372)-N(CC372)))</f>
        <v/>
      </c>
      <c r="CH372">
        <f>IF(OR(CC$3="",CC$3&gt;TODAY()),"",IF(AND(CF372="",CG372=""),"",N(CG372)-N(CF372)))</f>
        <v/>
      </c>
      <c r="CL372">
        <f>IF(OR(CJ$3="",CJ$3&gt;TODAY()),"",IF(AND(CJ372="",CK372=""),"",N(CK372)-N(CJ372)))</f>
        <v/>
      </c>
      <c r="CO372">
        <f>IF(OR(CJ$3="",CJ$3&gt;TODAY()),"",IF(AND(CM372="",CN372=""),"",N(CN372)-N(CM372)))</f>
        <v/>
      </c>
      <c r="CS372">
        <f>IF(OR(CQ$3="",CQ$3&gt;TODAY()),"",IF(AND(CQ372="",CR372=""),"",N(CR372)-N(CQ372)))</f>
        <v/>
      </c>
      <c r="CV372">
        <f>IF(OR(CQ$3="",CQ$3&gt;TODAY()),"",IF(AND(CT372="",CU372=""),"",N(CU372)-N(CT372)))</f>
        <v/>
      </c>
      <c r="CZ372">
        <f>IF(OR(CX$3="",CX$3&gt;TODAY()),"",IF(AND(CX372="",CY372=""),"",N(CY372)-N(CX372)))</f>
        <v/>
      </c>
      <c r="DC372">
        <f>IF(OR(CX$3="",CX$3&gt;TODAY()),"",IF(AND(DA372="",DB372=""),"",N(DB372)-N(DA372)))</f>
        <v/>
      </c>
      <c r="DG372">
        <f>IF(OR(DE$3="",DE$3&gt;TODAY()),"",IF(AND(DE372="",DF372=""),"",N(DF372)-N(DE372)))</f>
        <v/>
      </c>
      <c r="DJ372">
        <f>IF(OR(DE$3="",DE$3&gt;TODAY()),"",IF(AND(DH372="",DI372=""),"",N(DI372)-N(DH372)))</f>
        <v/>
      </c>
      <c r="DN372">
        <f>IF(OR(DL$3="",DL$3&gt;TODAY()),"",IF(AND(DL372="",DM372=""),"",N(DM372)-N(DL372)))</f>
        <v/>
      </c>
      <c r="DQ372">
        <f>IF(OR(DL$3="",DL$3&gt;TODAY()),"",IF(AND(DO372="",DP372=""),"",N(DP372)-N(DO372)))</f>
        <v/>
      </c>
      <c r="DU372">
        <f>IF(OR(DS$3="",DS$3&gt;TODAY()),"",IF(AND(DS372="",DT372=""),"",N(DT372)-N(DS372)))</f>
        <v/>
      </c>
      <c r="DX372">
        <f>IF(OR(DS$3="",DS$3&gt;TODAY()),"",IF(AND(DV372="",DW372=""),"",N(DW372)-N(DV372)))</f>
        <v/>
      </c>
      <c r="EB372">
        <f>IF(OR(DZ$3="",DZ$3&gt;TODAY()),"",IF(AND(DZ372="",EA372=""),"",N(EA372)-N(DZ372)))</f>
        <v/>
      </c>
      <c r="EE372">
        <f>IF(OR(DZ$3="",DZ$3&gt;TODAY()),"",IF(AND(EC372="",ED372=""),"",N(ED372)-N(EC372)))</f>
        <v/>
      </c>
      <c r="EI372">
        <f>IF(OR(EG$3="",EG$3&gt;TODAY()),"",IF(AND(EG372="",EH372=""),"",N(EH372)-N(EG372)))</f>
        <v/>
      </c>
      <c r="EL372">
        <f>IF(OR(EG$3="",EG$3&gt;TODAY()),"",IF(AND(EJ372="",EK372=""),"",N(EK372)-N(EJ372)))</f>
        <v/>
      </c>
      <c r="EP372">
        <f>IF(OR(EN$3="",EN$3&gt;TODAY()),"",IF(AND(EN372="",EO372=""),"",N(EO372)-N(EN372)))</f>
        <v/>
      </c>
      <c r="ES372">
        <f>IF(OR(EN$3="",EN$3&gt;TODAY()),"",IF(AND(EQ372="",ER372=""),"",N(ER372)-N(EQ372)))</f>
        <v/>
      </c>
      <c r="EW372">
        <f>IF(OR(EU$3="",EU$3&gt;TODAY()),"",IF(AND(EU372="",EV372=""),"",N(EV372)-N(EU372)))</f>
        <v/>
      </c>
      <c r="EZ372">
        <f>IF(OR(EU$3="",EU$3&gt;TODAY()),"",IF(AND(EX372="",EY372=""),"",N(EY372)-N(EX372)))</f>
        <v/>
      </c>
      <c r="FD372">
        <f>IF(OR(FB$3="",FB$3&gt;TODAY()),"",IF(AND(FB372="",FC372=""),"",N(FC372)-N(FB372)))</f>
        <v/>
      </c>
      <c r="FG372">
        <f>IF(OR(FB$3="",FB$3&gt;TODAY()),"",IF(AND(FE372="",FF372=""),"",N(FF372)-N(FE372)))</f>
        <v/>
      </c>
      <c r="FK372">
        <f>IF(OR(FI$3="",FI$3&gt;TODAY()),"",IF(AND(FI372="",FJ372=""),"",N(FJ372)-N(FI372)))</f>
        <v/>
      </c>
      <c r="FN372">
        <f>IF(OR(FI$3="",FI$3&gt;TODAY()),"",IF(AND(FL372="",FM372=""),"",N(FM372)-N(FL372)))</f>
        <v/>
      </c>
      <c r="FR372">
        <f>IF(OR(FP$3="",FP$3&gt;TODAY()),"",IF(AND(FP372="",FQ372=""),"",N(FQ372)-N(FP372)))</f>
        <v/>
      </c>
      <c r="FU372">
        <f>IF(OR(FP$3="",FP$3&gt;TODAY()),"",IF(AND(FS372="",FT372=""),"",N(FT372)-N(FS372)))</f>
        <v/>
      </c>
      <c r="FY372">
        <f>IF(OR(FW$3="",FW$3&gt;TODAY()),"",IF(AND(FW372="",FX372=""),"",N(FX372)-N(FW372)))</f>
        <v/>
      </c>
      <c r="GB372">
        <f>IF(OR(FW$3="",FW$3&gt;TODAY()),"",IF(AND(FZ372="",GA372=""),"",N(GA372)-N(FZ372)))</f>
        <v/>
      </c>
      <c r="GF372">
        <f>IF(OR(GD$3="",GD$3&gt;TODAY()),"",IF(AND(GD372="",GE372=""),"",N(GE372)-N(GD372)))</f>
        <v/>
      </c>
      <c r="GI372">
        <f>IF(OR(GD$3="",GD$3&gt;TODAY()),"",IF(AND(GG372="",GH372=""),"",N(GH372)-N(GG372)))</f>
        <v/>
      </c>
      <c r="GM372">
        <f>IF(OR(GK$3="",GK$3&gt;TODAY()),"",IF(AND(GK372="",GL372=""),"",N(GL372)-N(GK372)))</f>
        <v/>
      </c>
      <c r="GP372">
        <f>IF(OR(GK$3="",GK$3&gt;TODAY()),"",IF(AND(GN372="",GO372=""),"",N(GO372)-N(GN372)))</f>
        <v/>
      </c>
      <c r="GT372">
        <f>IF(OR(GR$3="",GR$3&gt;TODAY()),"",IF(AND(GR372="",GS372=""),"",N(GS372)-N(GR372)))</f>
        <v/>
      </c>
      <c r="GW372">
        <f>IF(OR(GR$3="",GR$3&gt;TODAY()),"",IF(AND(GU372="",GV372=""),"",N(GV372)-N(GU372)))</f>
        <v/>
      </c>
      <c r="HA372">
        <f>IF(OR(GY$3="",GY$3&gt;TODAY()),"",IF(AND(GY372="",GZ372=""),"",N(GZ372)-N(GY372)))</f>
        <v/>
      </c>
      <c r="HD372">
        <f>IF(OR(GY$3="",GY$3&gt;TODAY()),"",IF(AND(HB372="",HC372=""),"",N(HC372)-N(HB372)))</f>
        <v/>
      </c>
      <c r="HH372">
        <f>IF(OR(HF$3="",HF$3&gt;TODAY()),"",IF(AND(HF372="",HG372=""),"",N(HG372)-N(HF372)))</f>
        <v/>
      </c>
      <c r="HK372">
        <f>IF(OR(HF$3="",HF$3&gt;TODAY()),"",IF(AND(HI372="",HJ372=""),"",N(HJ372)-N(HI372)))</f>
        <v/>
      </c>
      <c r="HO372">
        <f>IF(OR(HM$3="",HM$3&gt;TODAY()),"",IF(AND(HM372="",HN372=""),"",N(HN372)-N(HM372)))</f>
        <v/>
      </c>
      <c r="HR372">
        <f>IF(OR(HM$3="",HM$3&gt;TODAY()),"",IF(AND(HP372="",HQ372=""),"",N(HQ372)-N(HP372)))</f>
        <v/>
      </c>
      <c r="HV372">
        <f>IF(OR(HT$3="",HT$3&gt;TODAY()),"",IF(AND(HT372="",HU372=""),"",N(HU372)-N(HT372)))</f>
        <v/>
      </c>
      <c r="HY372">
        <f>IF(OR(HT$3="",HT$3&gt;TODAY()),"",IF(AND(HW372="",HX372=""),"",N(HX372)-N(HW372)))</f>
        <v/>
      </c>
      <c r="IC372">
        <f>IF(OR(IA$3="",IA$3&gt;TODAY()),"",IF(AND(IA372="",IB372=""),"",N(IB372)-N(IA372)))</f>
        <v/>
      </c>
      <c r="IF372">
        <f>IF(OR(IA$3="",IA$3&gt;TODAY()),"",IF(AND(ID372="",IE372=""),"",N(IE372)-N(ID372)))</f>
        <v/>
      </c>
      <c r="IJ372">
        <f>IF(OR(IH$3="",IH$3&gt;TODAY()),"",IF(AND(IH372="",II372=""),"",N(II372)-N(IH372)))</f>
        <v/>
      </c>
      <c r="IM372">
        <f>IF(OR(IH$3="",IH$3&gt;TODAY()),"",IF(AND(IK372="",IL372=""),"",N(IL372)-N(IK372)))</f>
        <v/>
      </c>
    </row>
    <row r="373">
      <c r="A373" s="21" t="n"/>
      <c r="B373" s="21" t="n"/>
      <c r="C373" s="21" t="n"/>
      <c r="D373" s="21" t="n"/>
      <c r="E373" s="21" t="n"/>
      <c r="F373" s="21" t="n"/>
      <c r="G373" s="21" t="n"/>
      <c r="H373" s="21" t="n"/>
      <c r="I373" s="22" t="n"/>
      <c r="J373" s="22" t="n"/>
      <c r="K373" s="23" t="n"/>
      <c r="L373" s="22" t="n"/>
      <c r="M373" s="22" t="n"/>
      <c r="N373" s="21" t="n"/>
      <c r="O373" s="23" t="n"/>
      <c r="P373" s="23" t="n"/>
      <c r="Q373" s="23" t="n"/>
      <c r="R373" s="23" t="n"/>
      <c r="S373" s="22" t="n"/>
      <c r="T373" s="23" t="n"/>
      <c r="U373" s="23" t="n"/>
      <c r="V373" s="24">
        <f>IF(J373&lt;&gt;"",J373,IF(I373&lt;&gt;"",I373,""))</f>
        <v/>
      </c>
      <c r="W373" s="25">
        <f>IF($E373="","",N(O373)+SUMIFS($AF373:$IN373,$AF$4:$IN$4,"SEW_ACT"))</f>
        <v/>
      </c>
      <c r="X373" s="25">
        <f>IF($E373="","",N(P373)+SUMIFS($AF373:$IN373,$AF$4:$IN$4,"WASH_ACT"))</f>
        <v/>
      </c>
      <c r="Y373" s="25">
        <f>IF($E373="","",W373-X373-N(T373)-N(U373))</f>
        <v/>
      </c>
      <c r="Z373" s="25">
        <f>IF($E373="","",IF(N(K373)-X373&lt;=0.02*N(K373),0,N(K373)-X373))</f>
        <v/>
      </c>
      <c r="AA373" s="24">
        <f>IF($E373="","",IF(S373&lt;&gt;"",S373,IF(N(O373)&gt;0,IF(L373&lt;&gt;"",L373,99999),IFERROR(1/(1/_xlfn.MINIFS($AF$3:$IN$3,$AF$4:$IN$4,"SEW_ACT",$AF373:$IN373,"&gt;0")),99999))))</f>
        <v/>
      </c>
      <c r="AB373" s="26">
        <f>IF(OR($E373="",Z373=0,V373=""),"",1+COUNTIFS(Z$8:Z$707,"&gt;0",V$8:V$707,"&lt;"&amp;V373)+COUNTIFS(Z$8:Z$707,"&gt;0",V$8:V$707,V373,AA$8:AA$707,"&lt;"&amp;AA373)+COUNTIFS(Z$8:Z$707,"&gt;0",V$8:V$707,V373,AA$8:AA$707,AA373,E$8:E$707,"&lt;"&amp;$E373))</f>
        <v/>
      </c>
      <c r="AC373" s="24">
        <f>IF(OR($E373="",Z373=0),"",IFERROR(TODAY()+ROUNDUP(Z373/(SUMIFS($AF373:$IN373,$AF$4:$IN$4,"WASH_ACT")/COUNTIFS($AF$4:$IN$4,"WASH_ACT",$AF373:$IN373,"&gt;0")),0),"no output yet"))</f>
        <v/>
      </c>
      <c r="AD373" s="26">
        <f>IF($E373="","",IFERROR(ROUND(MAX(0,SUMIFS($AF373:$IN373,$AF$4:$IN$4,"SEW_PLAN",$AF$3:$IN$3,"&lt;="&amp;TODAY())-SUMIFS($AF373:$IN373,$AF$4:$IN$4,"SEW_ACT",$AF$3:$IN$3,"&lt;="&amp;TODAY())+N(Q373))/(SUMIFS($AF373:$IN373,$AF$4:$IN$4,"SEW_PLAN")/COUNTIFS($AF$4:$IN$4,"SEW_PLAN",$AF373:$IN373,"&gt;0")),1),0))</f>
        <v/>
      </c>
      <c r="AE373" s="26">
        <f>IF($E373="","",IF(AND(Z373&gt;0,OR(AND(M373&lt;&gt;"",TODAY()&gt;M373),AND(V373&lt;&gt;"",V373-TODAY()&lt;=7))),"Yes","No"))</f>
        <v/>
      </c>
      <c r="AH373">
        <f>IF(OR(AF$3="",AF$3&gt;TODAY()),"",IF(AND(AF373="",AG373=""),"",N(AG373)-N(AF373)))</f>
        <v/>
      </c>
      <c r="AK373">
        <f>IF(OR(AF$3="",AF$3&gt;TODAY()),"",IF(AND(AI373="",AJ373=""),"",N(AJ373)-N(AI373)))</f>
        <v/>
      </c>
      <c r="AO373">
        <f>IF(OR(AM$3="",AM$3&gt;TODAY()),"",IF(AND(AM373="",AN373=""),"",N(AN373)-N(AM373)))</f>
        <v/>
      </c>
      <c r="AR373">
        <f>IF(OR(AM$3="",AM$3&gt;TODAY()),"",IF(AND(AP373="",AQ373=""),"",N(AQ373)-N(AP373)))</f>
        <v/>
      </c>
      <c r="AV373">
        <f>IF(OR(AT$3="",AT$3&gt;TODAY()),"",IF(AND(AT373="",AU373=""),"",N(AU373)-N(AT373)))</f>
        <v/>
      </c>
      <c r="AY373">
        <f>IF(OR(AT$3="",AT$3&gt;TODAY()),"",IF(AND(AW373="",AX373=""),"",N(AX373)-N(AW373)))</f>
        <v/>
      </c>
      <c r="BC373">
        <f>IF(OR(BA$3="",BA$3&gt;TODAY()),"",IF(AND(BA373="",BB373=""),"",N(BB373)-N(BA373)))</f>
        <v/>
      </c>
      <c r="BF373">
        <f>IF(OR(BA$3="",BA$3&gt;TODAY()),"",IF(AND(BD373="",BE373=""),"",N(BE373)-N(BD373)))</f>
        <v/>
      </c>
      <c r="BJ373">
        <f>IF(OR(BH$3="",BH$3&gt;TODAY()),"",IF(AND(BH373="",BI373=""),"",N(BI373)-N(BH373)))</f>
        <v/>
      </c>
      <c r="BM373">
        <f>IF(OR(BH$3="",BH$3&gt;TODAY()),"",IF(AND(BK373="",BL373=""),"",N(BL373)-N(BK373)))</f>
        <v/>
      </c>
      <c r="BQ373">
        <f>IF(OR(BO$3="",BO$3&gt;TODAY()),"",IF(AND(BO373="",BP373=""),"",N(BP373)-N(BO373)))</f>
        <v/>
      </c>
      <c r="BT373">
        <f>IF(OR(BO$3="",BO$3&gt;TODAY()),"",IF(AND(BR373="",BS373=""),"",N(BS373)-N(BR373)))</f>
        <v/>
      </c>
      <c r="BX373">
        <f>IF(OR(BV$3="",BV$3&gt;TODAY()),"",IF(AND(BV373="",BW373=""),"",N(BW373)-N(BV373)))</f>
        <v/>
      </c>
      <c r="CA373">
        <f>IF(OR(BV$3="",BV$3&gt;TODAY()),"",IF(AND(BY373="",BZ373=""),"",N(BZ373)-N(BY373)))</f>
        <v/>
      </c>
      <c r="CE373">
        <f>IF(OR(CC$3="",CC$3&gt;TODAY()),"",IF(AND(CC373="",CD373=""),"",N(CD373)-N(CC373)))</f>
        <v/>
      </c>
      <c r="CH373">
        <f>IF(OR(CC$3="",CC$3&gt;TODAY()),"",IF(AND(CF373="",CG373=""),"",N(CG373)-N(CF373)))</f>
        <v/>
      </c>
      <c r="CL373">
        <f>IF(OR(CJ$3="",CJ$3&gt;TODAY()),"",IF(AND(CJ373="",CK373=""),"",N(CK373)-N(CJ373)))</f>
        <v/>
      </c>
      <c r="CO373">
        <f>IF(OR(CJ$3="",CJ$3&gt;TODAY()),"",IF(AND(CM373="",CN373=""),"",N(CN373)-N(CM373)))</f>
        <v/>
      </c>
      <c r="CS373">
        <f>IF(OR(CQ$3="",CQ$3&gt;TODAY()),"",IF(AND(CQ373="",CR373=""),"",N(CR373)-N(CQ373)))</f>
        <v/>
      </c>
      <c r="CV373">
        <f>IF(OR(CQ$3="",CQ$3&gt;TODAY()),"",IF(AND(CT373="",CU373=""),"",N(CU373)-N(CT373)))</f>
        <v/>
      </c>
      <c r="CZ373">
        <f>IF(OR(CX$3="",CX$3&gt;TODAY()),"",IF(AND(CX373="",CY373=""),"",N(CY373)-N(CX373)))</f>
        <v/>
      </c>
      <c r="DC373">
        <f>IF(OR(CX$3="",CX$3&gt;TODAY()),"",IF(AND(DA373="",DB373=""),"",N(DB373)-N(DA373)))</f>
        <v/>
      </c>
      <c r="DG373">
        <f>IF(OR(DE$3="",DE$3&gt;TODAY()),"",IF(AND(DE373="",DF373=""),"",N(DF373)-N(DE373)))</f>
        <v/>
      </c>
      <c r="DJ373">
        <f>IF(OR(DE$3="",DE$3&gt;TODAY()),"",IF(AND(DH373="",DI373=""),"",N(DI373)-N(DH373)))</f>
        <v/>
      </c>
      <c r="DN373">
        <f>IF(OR(DL$3="",DL$3&gt;TODAY()),"",IF(AND(DL373="",DM373=""),"",N(DM373)-N(DL373)))</f>
        <v/>
      </c>
      <c r="DQ373">
        <f>IF(OR(DL$3="",DL$3&gt;TODAY()),"",IF(AND(DO373="",DP373=""),"",N(DP373)-N(DO373)))</f>
        <v/>
      </c>
      <c r="DU373">
        <f>IF(OR(DS$3="",DS$3&gt;TODAY()),"",IF(AND(DS373="",DT373=""),"",N(DT373)-N(DS373)))</f>
        <v/>
      </c>
      <c r="DX373">
        <f>IF(OR(DS$3="",DS$3&gt;TODAY()),"",IF(AND(DV373="",DW373=""),"",N(DW373)-N(DV373)))</f>
        <v/>
      </c>
      <c r="EB373">
        <f>IF(OR(DZ$3="",DZ$3&gt;TODAY()),"",IF(AND(DZ373="",EA373=""),"",N(EA373)-N(DZ373)))</f>
        <v/>
      </c>
      <c r="EE373">
        <f>IF(OR(DZ$3="",DZ$3&gt;TODAY()),"",IF(AND(EC373="",ED373=""),"",N(ED373)-N(EC373)))</f>
        <v/>
      </c>
      <c r="EI373">
        <f>IF(OR(EG$3="",EG$3&gt;TODAY()),"",IF(AND(EG373="",EH373=""),"",N(EH373)-N(EG373)))</f>
        <v/>
      </c>
      <c r="EL373">
        <f>IF(OR(EG$3="",EG$3&gt;TODAY()),"",IF(AND(EJ373="",EK373=""),"",N(EK373)-N(EJ373)))</f>
        <v/>
      </c>
      <c r="EP373">
        <f>IF(OR(EN$3="",EN$3&gt;TODAY()),"",IF(AND(EN373="",EO373=""),"",N(EO373)-N(EN373)))</f>
        <v/>
      </c>
      <c r="ES373">
        <f>IF(OR(EN$3="",EN$3&gt;TODAY()),"",IF(AND(EQ373="",ER373=""),"",N(ER373)-N(EQ373)))</f>
        <v/>
      </c>
      <c r="EW373">
        <f>IF(OR(EU$3="",EU$3&gt;TODAY()),"",IF(AND(EU373="",EV373=""),"",N(EV373)-N(EU373)))</f>
        <v/>
      </c>
      <c r="EZ373">
        <f>IF(OR(EU$3="",EU$3&gt;TODAY()),"",IF(AND(EX373="",EY373=""),"",N(EY373)-N(EX373)))</f>
        <v/>
      </c>
      <c r="FD373">
        <f>IF(OR(FB$3="",FB$3&gt;TODAY()),"",IF(AND(FB373="",FC373=""),"",N(FC373)-N(FB373)))</f>
        <v/>
      </c>
      <c r="FG373">
        <f>IF(OR(FB$3="",FB$3&gt;TODAY()),"",IF(AND(FE373="",FF373=""),"",N(FF373)-N(FE373)))</f>
        <v/>
      </c>
      <c r="FK373">
        <f>IF(OR(FI$3="",FI$3&gt;TODAY()),"",IF(AND(FI373="",FJ373=""),"",N(FJ373)-N(FI373)))</f>
        <v/>
      </c>
      <c r="FN373">
        <f>IF(OR(FI$3="",FI$3&gt;TODAY()),"",IF(AND(FL373="",FM373=""),"",N(FM373)-N(FL373)))</f>
        <v/>
      </c>
      <c r="FR373">
        <f>IF(OR(FP$3="",FP$3&gt;TODAY()),"",IF(AND(FP373="",FQ373=""),"",N(FQ373)-N(FP373)))</f>
        <v/>
      </c>
      <c r="FU373">
        <f>IF(OR(FP$3="",FP$3&gt;TODAY()),"",IF(AND(FS373="",FT373=""),"",N(FT373)-N(FS373)))</f>
        <v/>
      </c>
      <c r="FY373">
        <f>IF(OR(FW$3="",FW$3&gt;TODAY()),"",IF(AND(FW373="",FX373=""),"",N(FX373)-N(FW373)))</f>
        <v/>
      </c>
      <c r="GB373">
        <f>IF(OR(FW$3="",FW$3&gt;TODAY()),"",IF(AND(FZ373="",GA373=""),"",N(GA373)-N(FZ373)))</f>
        <v/>
      </c>
      <c r="GF373">
        <f>IF(OR(GD$3="",GD$3&gt;TODAY()),"",IF(AND(GD373="",GE373=""),"",N(GE373)-N(GD373)))</f>
        <v/>
      </c>
      <c r="GI373">
        <f>IF(OR(GD$3="",GD$3&gt;TODAY()),"",IF(AND(GG373="",GH373=""),"",N(GH373)-N(GG373)))</f>
        <v/>
      </c>
      <c r="GM373">
        <f>IF(OR(GK$3="",GK$3&gt;TODAY()),"",IF(AND(GK373="",GL373=""),"",N(GL373)-N(GK373)))</f>
        <v/>
      </c>
      <c r="GP373">
        <f>IF(OR(GK$3="",GK$3&gt;TODAY()),"",IF(AND(GN373="",GO373=""),"",N(GO373)-N(GN373)))</f>
        <v/>
      </c>
      <c r="GT373">
        <f>IF(OR(GR$3="",GR$3&gt;TODAY()),"",IF(AND(GR373="",GS373=""),"",N(GS373)-N(GR373)))</f>
        <v/>
      </c>
      <c r="GW373">
        <f>IF(OR(GR$3="",GR$3&gt;TODAY()),"",IF(AND(GU373="",GV373=""),"",N(GV373)-N(GU373)))</f>
        <v/>
      </c>
      <c r="HA373">
        <f>IF(OR(GY$3="",GY$3&gt;TODAY()),"",IF(AND(GY373="",GZ373=""),"",N(GZ373)-N(GY373)))</f>
        <v/>
      </c>
      <c r="HD373">
        <f>IF(OR(GY$3="",GY$3&gt;TODAY()),"",IF(AND(HB373="",HC373=""),"",N(HC373)-N(HB373)))</f>
        <v/>
      </c>
      <c r="HH373">
        <f>IF(OR(HF$3="",HF$3&gt;TODAY()),"",IF(AND(HF373="",HG373=""),"",N(HG373)-N(HF373)))</f>
        <v/>
      </c>
      <c r="HK373">
        <f>IF(OR(HF$3="",HF$3&gt;TODAY()),"",IF(AND(HI373="",HJ373=""),"",N(HJ373)-N(HI373)))</f>
        <v/>
      </c>
      <c r="HO373">
        <f>IF(OR(HM$3="",HM$3&gt;TODAY()),"",IF(AND(HM373="",HN373=""),"",N(HN373)-N(HM373)))</f>
        <v/>
      </c>
      <c r="HR373">
        <f>IF(OR(HM$3="",HM$3&gt;TODAY()),"",IF(AND(HP373="",HQ373=""),"",N(HQ373)-N(HP373)))</f>
        <v/>
      </c>
      <c r="HV373">
        <f>IF(OR(HT$3="",HT$3&gt;TODAY()),"",IF(AND(HT373="",HU373=""),"",N(HU373)-N(HT373)))</f>
        <v/>
      </c>
      <c r="HY373">
        <f>IF(OR(HT$3="",HT$3&gt;TODAY()),"",IF(AND(HW373="",HX373=""),"",N(HX373)-N(HW373)))</f>
        <v/>
      </c>
      <c r="IC373">
        <f>IF(OR(IA$3="",IA$3&gt;TODAY()),"",IF(AND(IA373="",IB373=""),"",N(IB373)-N(IA373)))</f>
        <v/>
      </c>
      <c r="IF373">
        <f>IF(OR(IA$3="",IA$3&gt;TODAY()),"",IF(AND(ID373="",IE373=""),"",N(IE373)-N(ID373)))</f>
        <v/>
      </c>
      <c r="IJ373">
        <f>IF(OR(IH$3="",IH$3&gt;TODAY()),"",IF(AND(IH373="",II373=""),"",N(II373)-N(IH373)))</f>
        <v/>
      </c>
      <c r="IM373">
        <f>IF(OR(IH$3="",IH$3&gt;TODAY()),"",IF(AND(IK373="",IL373=""),"",N(IL373)-N(IK373)))</f>
        <v/>
      </c>
    </row>
    <row r="374">
      <c r="A374" s="21" t="n"/>
      <c r="B374" s="21" t="n"/>
      <c r="C374" s="21" t="n"/>
      <c r="D374" s="21" t="n"/>
      <c r="E374" s="21" t="n"/>
      <c r="F374" s="21" t="n"/>
      <c r="G374" s="21" t="n"/>
      <c r="H374" s="21" t="n"/>
      <c r="I374" s="22" t="n"/>
      <c r="J374" s="22" t="n"/>
      <c r="K374" s="23" t="n"/>
      <c r="L374" s="22" t="n"/>
      <c r="M374" s="22" t="n"/>
      <c r="N374" s="21" t="n"/>
      <c r="O374" s="23" t="n"/>
      <c r="P374" s="23" t="n"/>
      <c r="Q374" s="23" t="n"/>
      <c r="R374" s="23" t="n"/>
      <c r="S374" s="22" t="n"/>
      <c r="T374" s="23" t="n"/>
      <c r="U374" s="23" t="n"/>
      <c r="V374" s="24">
        <f>IF(J374&lt;&gt;"",J374,IF(I374&lt;&gt;"",I374,""))</f>
        <v/>
      </c>
      <c r="W374" s="25">
        <f>IF($E374="","",N(O374)+SUMIFS($AF374:$IN374,$AF$4:$IN$4,"SEW_ACT"))</f>
        <v/>
      </c>
      <c r="X374" s="25">
        <f>IF($E374="","",N(P374)+SUMIFS($AF374:$IN374,$AF$4:$IN$4,"WASH_ACT"))</f>
        <v/>
      </c>
      <c r="Y374" s="25">
        <f>IF($E374="","",W374-X374-N(T374)-N(U374))</f>
        <v/>
      </c>
      <c r="Z374" s="25">
        <f>IF($E374="","",IF(N(K374)-X374&lt;=0.02*N(K374),0,N(K374)-X374))</f>
        <v/>
      </c>
      <c r="AA374" s="24">
        <f>IF($E374="","",IF(S374&lt;&gt;"",S374,IF(N(O374)&gt;0,IF(L374&lt;&gt;"",L374,99999),IFERROR(1/(1/_xlfn.MINIFS($AF$3:$IN$3,$AF$4:$IN$4,"SEW_ACT",$AF374:$IN374,"&gt;0")),99999))))</f>
        <v/>
      </c>
      <c r="AB374" s="26">
        <f>IF(OR($E374="",Z374=0,V374=""),"",1+COUNTIFS(Z$8:Z$707,"&gt;0",V$8:V$707,"&lt;"&amp;V374)+COUNTIFS(Z$8:Z$707,"&gt;0",V$8:V$707,V374,AA$8:AA$707,"&lt;"&amp;AA374)+COUNTIFS(Z$8:Z$707,"&gt;0",V$8:V$707,V374,AA$8:AA$707,AA374,E$8:E$707,"&lt;"&amp;$E374))</f>
        <v/>
      </c>
      <c r="AC374" s="24">
        <f>IF(OR($E374="",Z374=0),"",IFERROR(TODAY()+ROUNDUP(Z374/(SUMIFS($AF374:$IN374,$AF$4:$IN$4,"WASH_ACT")/COUNTIFS($AF$4:$IN$4,"WASH_ACT",$AF374:$IN374,"&gt;0")),0),"no output yet"))</f>
        <v/>
      </c>
      <c r="AD374" s="26">
        <f>IF($E374="","",IFERROR(ROUND(MAX(0,SUMIFS($AF374:$IN374,$AF$4:$IN$4,"SEW_PLAN",$AF$3:$IN$3,"&lt;="&amp;TODAY())-SUMIFS($AF374:$IN374,$AF$4:$IN$4,"SEW_ACT",$AF$3:$IN$3,"&lt;="&amp;TODAY())+N(Q374))/(SUMIFS($AF374:$IN374,$AF$4:$IN$4,"SEW_PLAN")/COUNTIFS($AF$4:$IN$4,"SEW_PLAN",$AF374:$IN374,"&gt;0")),1),0))</f>
        <v/>
      </c>
      <c r="AE374" s="26">
        <f>IF($E374="","",IF(AND(Z374&gt;0,OR(AND(M374&lt;&gt;"",TODAY()&gt;M374),AND(V374&lt;&gt;"",V374-TODAY()&lt;=7))),"Yes","No"))</f>
        <v/>
      </c>
      <c r="AH374">
        <f>IF(OR(AF$3="",AF$3&gt;TODAY()),"",IF(AND(AF374="",AG374=""),"",N(AG374)-N(AF374)))</f>
        <v/>
      </c>
      <c r="AK374">
        <f>IF(OR(AF$3="",AF$3&gt;TODAY()),"",IF(AND(AI374="",AJ374=""),"",N(AJ374)-N(AI374)))</f>
        <v/>
      </c>
      <c r="AO374">
        <f>IF(OR(AM$3="",AM$3&gt;TODAY()),"",IF(AND(AM374="",AN374=""),"",N(AN374)-N(AM374)))</f>
        <v/>
      </c>
      <c r="AR374">
        <f>IF(OR(AM$3="",AM$3&gt;TODAY()),"",IF(AND(AP374="",AQ374=""),"",N(AQ374)-N(AP374)))</f>
        <v/>
      </c>
      <c r="AV374">
        <f>IF(OR(AT$3="",AT$3&gt;TODAY()),"",IF(AND(AT374="",AU374=""),"",N(AU374)-N(AT374)))</f>
        <v/>
      </c>
      <c r="AY374">
        <f>IF(OR(AT$3="",AT$3&gt;TODAY()),"",IF(AND(AW374="",AX374=""),"",N(AX374)-N(AW374)))</f>
        <v/>
      </c>
      <c r="BC374">
        <f>IF(OR(BA$3="",BA$3&gt;TODAY()),"",IF(AND(BA374="",BB374=""),"",N(BB374)-N(BA374)))</f>
        <v/>
      </c>
      <c r="BF374">
        <f>IF(OR(BA$3="",BA$3&gt;TODAY()),"",IF(AND(BD374="",BE374=""),"",N(BE374)-N(BD374)))</f>
        <v/>
      </c>
      <c r="BJ374">
        <f>IF(OR(BH$3="",BH$3&gt;TODAY()),"",IF(AND(BH374="",BI374=""),"",N(BI374)-N(BH374)))</f>
        <v/>
      </c>
      <c r="BM374">
        <f>IF(OR(BH$3="",BH$3&gt;TODAY()),"",IF(AND(BK374="",BL374=""),"",N(BL374)-N(BK374)))</f>
        <v/>
      </c>
      <c r="BQ374">
        <f>IF(OR(BO$3="",BO$3&gt;TODAY()),"",IF(AND(BO374="",BP374=""),"",N(BP374)-N(BO374)))</f>
        <v/>
      </c>
      <c r="BT374">
        <f>IF(OR(BO$3="",BO$3&gt;TODAY()),"",IF(AND(BR374="",BS374=""),"",N(BS374)-N(BR374)))</f>
        <v/>
      </c>
      <c r="BX374">
        <f>IF(OR(BV$3="",BV$3&gt;TODAY()),"",IF(AND(BV374="",BW374=""),"",N(BW374)-N(BV374)))</f>
        <v/>
      </c>
      <c r="CA374">
        <f>IF(OR(BV$3="",BV$3&gt;TODAY()),"",IF(AND(BY374="",BZ374=""),"",N(BZ374)-N(BY374)))</f>
        <v/>
      </c>
      <c r="CE374">
        <f>IF(OR(CC$3="",CC$3&gt;TODAY()),"",IF(AND(CC374="",CD374=""),"",N(CD374)-N(CC374)))</f>
        <v/>
      </c>
      <c r="CH374">
        <f>IF(OR(CC$3="",CC$3&gt;TODAY()),"",IF(AND(CF374="",CG374=""),"",N(CG374)-N(CF374)))</f>
        <v/>
      </c>
      <c r="CL374">
        <f>IF(OR(CJ$3="",CJ$3&gt;TODAY()),"",IF(AND(CJ374="",CK374=""),"",N(CK374)-N(CJ374)))</f>
        <v/>
      </c>
      <c r="CO374">
        <f>IF(OR(CJ$3="",CJ$3&gt;TODAY()),"",IF(AND(CM374="",CN374=""),"",N(CN374)-N(CM374)))</f>
        <v/>
      </c>
      <c r="CS374">
        <f>IF(OR(CQ$3="",CQ$3&gt;TODAY()),"",IF(AND(CQ374="",CR374=""),"",N(CR374)-N(CQ374)))</f>
        <v/>
      </c>
      <c r="CV374">
        <f>IF(OR(CQ$3="",CQ$3&gt;TODAY()),"",IF(AND(CT374="",CU374=""),"",N(CU374)-N(CT374)))</f>
        <v/>
      </c>
      <c r="CZ374">
        <f>IF(OR(CX$3="",CX$3&gt;TODAY()),"",IF(AND(CX374="",CY374=""),"",N(CY374)-N(CX374)))</f>
        <v/>
      </c>
      <c r="DC374">
        <f>IF(OR(CX$3="",CX$3&gt;TODAY()),"",IF(AND(DA374="",DB374=""),"",N(DB374)-N(DA374)))</f>
        <v/>
      </c>
      <c r="DG374">
        <f>IF(OR(DE$3="",DE$3&gt;TODAY()),"",IF(AND(DE374="",DF374=""),"",N(DF374)-N(DE374)))</f>
        <v/>
      </c>
      <c r="DJ374">
        <f>IF(OR(DE$3="",DE$3&gt;TODAY()),"",IF(AND(DH374="",DI374=""),"",N(DI374)-N(DH374)))</f>
        <v/>
      </c>
      <c r="DN374">
        <f>IF(OR(DL$3="",DL$3&gt;TODAY()),"",IF(AND(DL374="",DM374=""),"",N(DM374)-N(DL374)))</f>
        <v/>
      </c>
      <c r="DQ374">
        <f>IF(OR(DL$3="",DL$3&gt;TODAY()),"",IF(AND(DO374="",DP374=""),"",N(DP374)-N(DO374)))</f>
        <v/>
      </c>
      <c r="DU374">
        <f>IF(OR(DS$3="",DS$3&gt;TODAY()),"",IF(AND(DS374="",DT374=""),"",N(DT374)-N(DS374)))</f>
        <v/>
      </c>
      <c r="DX374">
        <f>IF(OR(DS$3="",DS$3&gt;TODAY()),"",IF(AND(DV374="",DW374=""),"",N(DW374)-N(DV374)))</f>
        <v/>
      </c>
      <c r="EB374">
        <f>IF(OR(DZ$3="",DZ$3&gt;TODAY()),"",IF(AND(DZ374="",EA374=""),"",N(EA374)-N(DZ374)))</f>
        <v/>
      </c>
      <c r="EE374">
        <f>IF(OR(DZ$3="",DZ$3&gt;TODAY()),"",IF(AND(EC374="",ED374=""),"",N(ED374)-N(EC374)))</f>
        <v/>
      </c>
      <c r="EI374">
        <f>IF(OR(EG$3="",EG$3&gt;TODAY()),"",IF(AND(EG374="",EH374=""),"",N(EH374)-N(EG374)))</f>
        <v/>
      </c>
      <c r="EL374">
        <f>IF(OR(EG$3="",EG$3&gt;TODAY()),"",IF(AND(EJ374="",EK374=""),"",N(EK374)-N(EJ374)))</f>
        <v/>
      </c>
      <c r="EP374">
        <f>IF(OR(EN$3="",EN$3&gt;TODAY()),"",IF(AND(EN374="",EO374=""),"",N(EO374)-N(EN374)))</f>
        <v/>
      </c>
      <c r="ES374">
        <f>IF(OR(EN$3="",EN$3&gt;TODAY()),"",IF(AND(EQ374="",ER374=""),"",N(ER374)-N(EQ374)))</f>
        <v/>
      </c>
      <c r="EW374">
        <f>IF(OR(EU$3="",EU$3&gt;TODAY()),"",IF(AND(EU374="",EV374=""),"",N(EV374)-N(EU374)))</f>
        <v/>
      </c>
      <c r="EZ374">
        <f>IF(OR(EU$3="",EU$3&gt;TODAY()),"",IF(AND(EX374="",EY374=""),"",N(EY374)-N(EX374)))</f>
        <v/>
      </c>
      <c r="FD374">
        <f>IF(OR(FB$3="",FB$3&gt;TODAY()),"",IF(AND(FB374="",FC374=""),"",N(FC374)-N(FB374)))</f>
        <v/>
      </c>
      <c r="FG374">
        <f>IF(OR(FB$3="",FB$3&gt;TODAY()),"",IF(AND(FE374="",FF374=""),"",N(FF374)-N(FE374)))</f>
        <v/>
      </c>
      <c r="FK374">
        <f>IF(OR(FI$3="",FI$3&gt;TODAY()),"",IF(AND(FI374="",FJ374=""),"",N(FJ374)-N(FI374)))</f>
        <v/>
      </c>
      <c r="FN374">
        <f>IF(OR(FI$3="",FI$3&gt;TODAY()),"",IF(AND(FL374="",FM374=""),"",N(FM374)-N(FL374)))</f>
        <v/>
      </c>
      <c r="FR374">
        <f>IF(OR(FP$3="",FP$3&gt;TODAY()),"",IF(AND(FP374="",FQ374=""),"",N(FQ374)-N(FP374)))</f>
        <v/>
      </c>
      <c r="FU374">
        <f>IF(OR(FP$3="",FP$3&gt;TODAY()),"",IF(AND(FS374="",FT374=""),"",N(FT374)-N(FS374)))</f>
        <v/>
      </c>
      <c r="FY374">
        <f>IF(OR(FW$3="",FW$3&gt;TODAY()),"",IF(AND(FW374="",FX374=""),"",N(FX374)-N(FW374)))</f>
        <v/>
      </c>
      <c r="GB374">
        <f>IF(OR(FW$3="",FW$3&gt;TODAY()),"",IF(AND(FZ374="",GA374=""),"",N(GA374)-N(FZ374)))</f>
        <v/>
      </c>
      <c r="GF374">
        <f>IF(OR(GD$3="",GD$3&gt;TODAY()),"",IF(AND(GD374="",GE374=""),"",N(GE374)-N(GD374)))</f>
        <v/>
      </c>
      <c r="GI374">
        <f>IF(OR(GD$3="",GD$3&gt;TODAY()),"",IF(AND(GG374="",GH374=""),"",N(GH374)-N(GG374)))</f>
        <v/>
      </c>
      <c r="GM374">
        <f>IF(OR(GK$3="",GK$3&gt;TODAY()),"",IF(AND(GK374="",GL374=""),"",N(GL374)-N(GK374)))</f>
        <v/>
      </c>
      <c r="GP374">
        <f>IF(OR(GK$3="",GK$3&gt;TODAY()),"",IF(AND(GN374="",GO374=""),"",N(GO374)-N(GN374)))</f>
        <v/>
      </c>
      <c r="GT374">
        <f>IF(OR(GR$3="",GR$3&gt;TODAY()),"",IF(AND(GR374="",GS374=""),"",N(GS374)-N(GR374)))</f>
        <v/>
      </c>
      <c r="GW374">
        <f>IF(OR(GR$3="",GR$3&gt;TODAY()),"",IF(AND(GU374="",GV374=""),"",N(GV374)-N(GU374)))</f>
        <v/>
      </c>
      <c r="HA374">
        <f>IF(OR(GY$3="",GY$3&gt;TODAY()),"",IF(AND(GY374="",GZ374=""),"",N(GZ374)-N(GY374)))</f>
        <v/>
      </c>
      <c r="HD374">
        <f>IF(OR(GY$3="",GY$3&gt;TODAY()),"",IF(AND(HB374="",HC374=""),"",N(HC374)-N(HB374)))</f>
        <v/>
      </c>
      <c r="HH374">
        <f>IF(OR(HF$3="",HF$3&gt;TODAY()),"",IF(AND(HF374="",HG374=""),"",N(HG374)-N(HF374)))</f>
        <v/>
      </c>
      <c r="HK374">
        <f>IF(OR(HF$3="",HF$3&gt;TODAY()),"",IF(AND(HI374="",HJ374=""),"",N(HJ374)-N(HI374)))</f>
        <v/>
      </c>
      <c r="HO374">
        <f>IF(OR(HM$3="",HM$3&gt;TODAY()),"",IF(AND(HM374="",HN374=""),"",N(HN374)-N(HM374)))</f>
        <v/>
      </c>
      <c r="HR374">
        <f>IF(OR(HM$3="",HM$3&gt;TODAY()),"",IF(AND(HP374="",HQ374=""),"",N(HQ374)-N(HP374)))</f>
        <v/>
      </c>
      <c r="HV374">
        <f>IF(OR(HT$3="",HT$3&gt;TODAY()),"",IF(AND(HT374="",HU374=""),"",N(HU374)-N(HT374)))</f>
        <v/>
      </c>
      <c r="HY374">
        <f>IF(OR(HT$3="",HT$3&gt;TODAY()),"",IF(AND(HW374="",HX374=""),"",N(HX374)-N(HW374)))</f>
        <v/>
      </c>
      <c r="IC374">
        <f>IF(OR(IA$3="",IA$3&gt;TODAY()),"",IF(AND(IA374="",IB374=""),"",N(IB374)-N(IA374)))</f>
        <v/>
      </c>
      <c r="IF374">
        <f>IF(OR(IA$3="",IA$3&gt;TODAY()),"",IF(AND(ID374="",IE374=""),"",N(IE374)-N(ID374)))</f>
        <v/>
      </c>
      <c r="IJ374">
        <f>IF(OR(IH$3="",IH$3&gt;TODAY()),"",IF(AND(IH374="",II374=""),"",N(II374)-N(IH374)))</f>
        <v/>
      </c>
      <c r="IM374">
        <f>IF(OR(IH$3="",IH$3&gt;TODAY()),"",IF(AND(IK374="",IL374=""),"",N(IL374)-N(IK374)))</f>
        <v/>
      </c>
    </row>
    <row r="375">
      <c r="A375" s="21" t="n"/>
      <c r="B375" s="21" t="n"/>
      <c r="C375" s="21" t="n"/>
      <c r="D375" s="21" t="n"/>
      <c r="E375" s="21" t="n"/>
      <c r="F375" s="21" t="n"/>
      <c r="G375" s="21" t="n"/>
      <c r="H375" s="21" t="n"/>
      <c r="I375" s="22" t="n"/>
      <c r="J375" s="22" t="n"/>
      <c r="K375" s="23" t="n"/>
      <c r="L375" s="22" t="n"/>
      <c r="M375" s="22" t="n"/>
      <c r="N375" s="21" t="n"/>
      <c r="O375" s="23" t="n"/>
      <c r="P375" s="23" t="n"/>
      <c r="Q375" s="23" t="n"/>
      <c r="R375" s="23" t="n"/>
      <c r="S375" s="22" t="n"/>
      <c r="T375" s="23" t="n"/>
      <c r="U375" s="23" t="n"/>
      <c r="V375" s="24">
        <f>IF(J375&lt;&gt;"",J375,IF(I375&lt;&gt;"",I375,""))</f>
        <v/>
      </c>
      <c r="W375" s="25">
        <f>IF($E375="","",N(O375)+SUMIFS($AF375:$IN375,$AF$4:$IN$4,"SEW_ACT"))</f>
        <v/>
      </c>
      <c r="X375" s="25">
        <f>IF($E375="","",N(P375)+SUMIFS($AF375:$IN375,$AF$4:$IN$4,"WASH_ACT"))</f>
        <v/>
      </c>
      <c r="Y375" s="25">
        <f>IF($E375="","",W375-X375-N(T375)-N(U375))</f>
        <v/>
      </c>
      <c r="Z375" s="25">
        <f>IF($E375="","",IF(N(K375)-X375&lt;=0.02*N(K375),0,N(K375)-X375))</f>
        <v/>
      </c>
      <c r="AA375" s="24">
        <f>IF($E375="","",IF(S375&lt;&gt;"",S375,IF(N(O375)&gt;0,IF(L375&lt;&gt;"",L375,99999),IFERROR(1/(1/_xlfn.MINIFS($AF$3:$IN$3,$AF$4:$IN$4,"SEW_ACT",$AF375:$IN375,"&gt;0")),99999))))</f>
        <v/>
      </c>
      <c r="AB375" s="26">
        <f>IF(OR($E375="",Z375=0,V375=""),"",1+COUNTIFS(Z$8:Z$707,"&gt;0",V$8:V$707,"&lt;"&amp;V375)+COUNTIFS(Z$8:Z$707,"&gt;0",V$8:V$707,V375,AA$8:AA$707,"&lt;"&amp;AA375)+COUNTIFS(Z$8:Z$707,"&gt;0",V$8:V$707,V375,AA$8:AA$707,AA375,E$8:E$707,"&lt;"&amp;$E375))</f>
        <v/>
      </c>
      <c r="AC375" s="24">
        <f>IF(OR($E375="",Z375=0),"",IFERROR(TODAY()+ROUNDUP(Z375/(SUMIFS($AF375:$IN375,$AF$4:$IN$4,"WASH_ACT")/COUNTIFS($AF$4:$IN$4,"WASH_ACT",$AF375:$IN375,"&gt;0")),0),"no output yet"))</f>
        <v/>
      </c>
      <c r="AD375" s="26">
        <f>IF($E375="","",IFERROR(ROUND(MAX(0,SUMIFS($AF375:$IN375,$AF$4:$IN$4,"SEW_PLAN",$AF$3:$IN$3,"&lt;="&amp;TODAY())-SUMIFS($AF375:$IN375,$AF$4:$IN$4,"SEW_ACT",$AF$3:$IN$3,"&lt;="&amp;TODAY())+N(Q375))/(SUMIFS($AF375:$IN375,$AF$4:$IN$4,"SEW_PLAN")/COUNTIFS($AF$4:$IN$4,"SEW_PLAN",$AF375:$IN375,"&gt;0")),1),0))</f>
        <v/>
      </c>
      <c r="AE375" s="26">
        <f>IF($E375="","",IF(AND(Z375&gt;0,OR(AND(M375&lt;&gt;"",TODAY()&gt;M375),AND(V375&lt;&gt;"",V375-TODAY()&lt;=7))),"Yes","No"))</f>
        <v/>
      </c>
      <c r="AH375">
        <f>IF(OR(AF$3="",AF$3&gt;TODAY()),"",IF(AND(AF375="",AG375=""),"",N(AG375)-N(AF375)))</f>
        <v/>
      </c>
      <c r="AK375">
        <f>IF(OR(AF$3="",AF$3&gt;TODAY()),"",IF(AND(AI375="",AJ375=""),"",N(AJ375)-N(AI375)))</f>
        <v/>
      </c>
      <c r="AO375">
        <f>IF(OR(AM$3="",AM$3&gt;TODAY()),"",IF(AND(AM375="",AN375=""),"",N(AN375)-N(AM375)))</f>
        <v/>
      </c>
      <c r="AR375">
        <f>IF(OR(AM$3="",AM$3&gt;TODAY()),"",IF(AND(AP375="",AQ375=""),"",N(AQ375)-N(AP375)))</f>
        <v/>
      </c>
      <c r="AV375">
        <f>IF(OR(AT$3="",AT$3&gt;TODAY()),"",IF(AND(AT375="",AU375=""),"",N(AU375)-N(AT375)))</f>
        <v/>
      </c>
      <c r="AY375">
        <f>IF(OR(AT$3="",AT$3&gt;TODAY()),"",IF(AND(AW375="",AX375=""),"",N(AX375)-N(AW375)))</f>
        <v/>
      </c>
      <c r="BC375">
        <f>IF(OR(BA$3="",BA$3&gt;TODAY()),"",IF(AND(BA375="",BB375=""),"",N(BB375)-N(BA375)))</f>
        <v/>
      </c>
      <c r="BF375">
        <f>IF(OR(BA$3="",BA$3&gt;TODAY()),"",IF(AND(BD375="",BE375=""),"",N(BE375)-N(BD375)))</f>
        <v/>
      </c>
      <c r="BJ375">
        <f>IF(OR(BH$3="",BH$3&gt;TODAY()),"",IF(AND(BH375="",BI375=""),"",N(BI375)-N(BH375)))</f>
        <v/>
      </c>
      <c r="BM375">
        <f>IF(OR(BH$3="",BH$3&gt;TODAY()),"",IF(AND(BK375="",BL375=""),"",N(BL375)-N(BK375)))</f>
        <v/>
      </c>
      <c r="BQ375">
        <f>IF(OR(BO$3="",BO$3&gt;TODAY()),"",IF(AND(BO375="",BP375=""),"",N(BP375)-N(BO375)))</f>
        <v/>
      </c>
      <c r="BT375">
        <f>IF(OR(BO$3="",BO$3&gt;TODAY()),"",IF(AND(BR375="",BS375=""),"",N(BS375)-N(BR375)))</f>
        <v/>
      </c>
      <c r="BX375">
        <f>IF(OR(BV$3="",BV$3&gt;TODAY()),"",IF(AND(BV375="",BW375=""),"",N(BW375)-N(BV375)))</f>
        <v/>
      </c>
      <c r="CA375">
        <f>IF(OR(BV$3="",BV$3&gt;TODAY()),"",IF(AND(BY375="",BZ375=""),"",N(BZ375)-N(BY375)))</f>
        <v/>
      </c>
      <c r="CE375">
        <f>IF(OR(CC$3="",CC$3&gt;TODAY()),"",IF(AND(CC375="",CD375=""),"",N(CD375)-N(CC375)))</f>
        <v/>
      </c>
      <c r="CH375">
        <f>IF(OR(CC$3="",CC$3&gt;TODAY()),"",IF(AND(CF375="",CG375=""),"",N(CG375)-N(CF375)))</f>
        <v/>
      </c>
      <c r="CL375">
        <f>IF(OR(CJ$3="",CJ$3&gt;TODAY()),"",IF(AND(CJ375="",CK375=""),"",N(CK375)-N(CJ375)))</f>
        <v/>
      </c>
      <c r="CO375">
        <f>IF(OR(CJ$3="",CJ$3&gt;TODAY()),"",IF(AND(CM375="",CN375=""),"",N(CN375)-N(CM375)))</f>
        <v/>
      </c>
      <c r="CS375">
        <f>IF(OR(CQ$3="",CQ$3&gt;TODAY()),"",IF(AND(CQ375="",CR375=""),"",N(CR375)-N(CQ375)))</f>
        <v/>
      </c>
      <c r="CV375">
        <f>IF(OR(CQ$3="",CQ$3&gt;TODAY()),"",IF(AND(CT375="",CU375=""),"",N(CU375)-N(CT375)))</f>
        <v/>
      </c>
      <c r="CZ375">
        <f>IF(OR(CX$3="",CX$3&gt;TODAY()),"",IF(AND(CX375="",CY375=""),"",N(CY375)-N(CX375)))</f>
        <v/>
      </c>
      <c r="DC375">
        <f>IF(OR(CX$3="",CX$3&gt;TODAY()),"",IF(AND(DA375="",DB375=""),"",N(DB375)-N(DA375)))</f>
        <v/>
      </c>
      <c r="DG375">
        <f>IF(OR(DE$3="",DE$3&gt;TODAY()),"",IF(AND(DE375="",DF375=""),"",N(DF375)-N(DE375)))</f>
        <v/>
      </c>
      <c r="DJ375">
        <f>IF(OR(DE$3="",DE$3&gt;TODAY()),"",IF(AND(DH375="",DI375=""),"",N(DI375)-N(DH375)))</f>
        <v/>
      </c>
      <c r="DN375">
        <f>IF(OR(DL$3="",DL$3&gt;TODAY()),"",IF(AND(DL375="",DM375=""),"",N(DM375)-N(DL375)))</f>
        <v/>
      </c>
      <c r="DQ375">
        <f>IF(OR(DL$3="",DL$3&gt;TODAY()),"",IF(AND(DO375="",DP375=""),"",N(DP375)-N(DO375)))</f>
        <v/>
      </c>
      <c r="DU375">
        <f>IF(OR(DS$3="",DS$3&gt;TODAY()),"",IF(AND(DS375="",DT375=""),"",N(DT375)-N(DS375)))</f>
        <v/>
      </c>
      <c r="DX375">
        <f>IF(OR(DS$3="",DS$3&gt;TODAY()),"",IF(AND(DV375="",DW375=""),"",N(DW375)-N(DV375)))</f>
        <v/>
      </c>
      <c r="EB375">
        <f>IF(OR(DZ$3="",DZ$3&gt;TODAY()),"",IF(AND(DZ375="",EA375=""),"",N(EA375)-N(DZ375)))</f>
        <v/>
      </c>
      <c r="EE375">
        <f>IF(OR(DZ$3="",DZ$3&gt;TODAY()),"",IF(AND(EC375="",ED375=""),"",N(ED375)-N(EC375)))</f>
        <v/>
      </c>
      <c r="EI375">
        <f>IF(OR(EG$3="",EG$3&gt;TODAY()),"",IF(AND(EG375="",EH375=""),"",N(EH375)-N(EG375)))</f>
        <v/>
      </c>
      <c r="EL375">
        <f>IF(OR(EG$3="",EG$3&gt;TODAY()),"",IF(AND(EJ375="",EK375=""),"",N(EK375)-N(EJ375)))</f>
        <v/>
      </c>
      <c r="EP375">
        <f>IF(OR(EN$3="",EN$3&gt;TODAY()),"",IF(AND(EN375="",EO375=""),"",N(EO375)-N(EN375)))</f>
        <v/>
      </c>
      <c r="ES375">
        <f>IF(OR(EN$3="",EN$3&gt;TODAY()),"",IF(AND(EQ375="",ER375=""),"",N(ER375)-N(EQ375)))</f>
        <v/>
      </c>
      <c r="EW375">
        <f>IF(OR(EU$3="",EU$3&gt;TODAY()),"",IF(AND(EU375="",EV375=""),"",N(EV375)-N(EU375)))</f>
        <v/>
      </c>
      <c r="EZ375">
        <f>IF(OR(EU$3="",EU$3&gt;TODAY()),"",IF(AND(EX375="",EY375=""),"",N(EY375)-N(EX375)))</f>
        <v/>
      </c>
      <c r="FD375">
        <f>IF(OR(FB$3="",FB$3&gt;TODAY()),"",IF(AND(FB375="",FC375=""),"",N(FC375)-N(FB375)))</f>
        <v/>
      </c>
      <c r="FG375">
        <f>IF(OR(FB$3="",FB$3&gt;TODAY()),"",IF(AND(FE375="",FF375=""),"",N(FF375)-N(FE375)))</f>
        <v/>
      </c>
      <c r="FK375">
        <f>IF(OR(FI$3="",FI$3&gt;TODAY()),"",IF(AND(FI375="",FJ375=""),"",N(FJ375)-N(FI375)))</f>
        <v/>
      </c>
      <c r="FN375">
        <f>IF(OR(FI$3="",FI$3&gt;TODAY()),"",IF(AND(FL375="",FM375=""),"",N(FM375)-N(FL375)))</f>
        <v/>
      </c>
      <c r="FR375">
        <f>IF(OR(FP$3="",FP$3&gt;TODAY()),"",IF(AND(FP375="",FQ375=""),"",N(FQ375)-N(FP375)))</f>
        <v/>
      </c>
      <c r="FU375">
        <f>IF(OR(FP$3="",FP$3&gt;TODAY()),"",IF(AND(FS375="",FT375=""),"",N(FT375)-N(FS375)))</f>
        <v/>
      </c>
      <c r="FY375">
        <f>IF(OR(FW$3="",FW$3&gt;TODAY()),"",IF(AND(FW375="",FX375=""),"",N(FX375)-N(FW375)))</f>
        <v/>
      </c>
      <c r="GB375">
        <f>IF(OR(FW$3="",FW$3&gt;TODAY()),"",IF(AND(FZ375="",GA375=""),"",N(GA375)-N(FZ375)))</f>
        <v/>
      </c>
      <c r="GF375">
        <f>IF(OR(GD$3="",GD$3&gt;TODAY()),"",IF(AND(GD375="",GE375=""),"",N(GE375)-N(GD375)))</f>
        <v/>
      </c>
      <c r="GI375">
        <f>IF(OR(GD$3="",GD$3&gt;TODAY()),"",IF(AND(GG375="",GH375=""),"",N(GH375)-N(GG375)))</f>
        <v/>
      </c>
      <c r="GM375">
        <f>IF(OR(GK$3="",GK$3&gt;TODAY()),"",IF(AND(GK375="",GL375=""),"",N(GL375)-N(GK375)))</f>
        <v/>
      </c>
      <c r="GP375">
        <f>IF(OR(GK$3="",GK$3&gt;TODAY()),"",IF(AND(GN375="",GO375=""),"",N(GO375)-N(GN375)))</f>
        <v/>
      </c>
      <c r="GT375">
        <f>IF(OR(GR$3="",GR$3&gt;TODAY()),"",IF(AND(GR375="",GS375=""),"",N(GS375)-N(GR375)))</f>
        <v/>
      </c>
      <c r="GW375">
        <f>IF(OR(GR$3="",GR$3&gt;TODAY()),"",IF(AND(GU375="",GV375=""),"",N(GV375)-N(GU375)))</f>
        <v/>
      </c>
      <c r="HA375">
        <f>IF(OR(GY$3="",GY$3&gt;TODAY()),"",IF(AND(GY375="",GZ375=""),"",N(GZ375)-N(GY375)))</f>
        <v/>
      </c>
      <c r="HD375">
        <f>IF(OR(GY$3="",GY$3&gt;TODAY()),"",IF(AND(HB375="",HC375=""),"",N(HC375)-N(HB375)))</f>
        <v/>
      </c>
      <c r="HH375">
        <f>IF(OR(HF$3="",HF$3&gt;TODAY()),"",IF(AND(HF375="",HG375=""),"",N(HG375)-N(HF375)))</f>
        <v/>
      </c>
      <c r="HK375">
        <f>IF(OR(HF$3="",HF$3&gt;TODAY()),"",IF(AND(HI375="",HJ375=""),"",N(HJ375)-N(HI375)))</f>
        <v/>
      </c>
      <c r="HO375">
        <f>IF(OR(HM$3="",HM$3&gt;TODAY()),"",IF(AND(HM375="",HN375=""),"",N(HN375)-N(HM375)))</f>
        <v/>
      </c>
      <c r="HR375">
        <f>IF(OR(HM$3="",HM$3&gt;TODAY()),"",IF(AND(HP375="",HQ375=""),"",N(HQ375)-N(HP375)))</f>
        <v/>
      </c>
      <c r="HV375">
        <f>IF(OR(HT$3="",HT$3&gt;TODAY()),"",IF(AND(HT375="",HU375=""),"",N(HU375)-N(HT375)))</f>
        <v/>
      </c>
      <c r="HY375">
        <f>IF(OR(HT$3="",HT$3&gt;TODAY()),"",IF(AND(HW375="",HX375=""),"",N(HX375)-N(HW375)))</f>
        <v/>
      </c>
      <c r="IC375">
        <f>IF(OR(IA$3="",IA$3&gt;TODAY()),"",IF(AND(IA375="",IB375=""),"",N(IB375)-N(IA375)))</f>
        <v/>
      </c>
      <c r="IF375">
        <f>IF(OR(IA$3="",IA$3&gt;TODAY()),"",IF(AND(ID375="",IE375=""),"",N(IE375)-N(ID375)))</f>
        <v/>
      </c>
      <c r="IJ375">
        <f>IF(OR(IH$3="",IH$3&gt;TODAY()),"",IF(AND(IH375="",II375=""),"",N(II375)-N(IH375)))</f>
        <v/>
      </c>
      <c r="IM375">
        <f>IF(OR(IH$3="",IH$3&gt;TODAY()),"",IF(AND(IK375="",IL375=""),"",N(IL375)-N(IK375)))</f>
        <v/>
      </c>
    </row>
    <row r="376">
      <c r="A376" s="21" t="n"/>
      <c r="B376" s="21" t="n"/>
      <c r="C376" s="21" t="n"/>
      <c r="D376" s="21" t="n"/>
      <c r="E376" s="21" t="n"/>
      <c r="F376" s="21" t="n"/>
      <c r="G376" s="21" t="n"/>
      <c r="H376" s="21" t="n"/>
      <c r="I376" s="22" t="n"/>
      <c r="J376" s="22" t="n"/>
      <c r="K376" s="23" t="n"/>
      <c r="L376" s="22" t="n"/>
      <c r="M376" s="22" t="n"/>
      <c r="N376" s="21" t="n"/>
      <c r="O376" s="23" t="n"/>
      <c r="P376" s="23" t="n"/>
      <c r="Q376" s="23" t="n"/>
      <c r="R376" s="23" t="n"/>
      <c r="S376" s="22" t="n"/>
      <c r="T376" s="23" t="n"/>
      <c r="U376" s="23" t="n"/>
      <c r="V376" s="24">
        <f>IF(J376&lt;&gt;"",J376,IF(I376&lt;&gt;"",I376,""))</f>
        <v/>
      </c>
      <c r="W376" s="25">
        <f>IF($E376="","",N(O376)+SUMIFS($AF376:$IN376,$AF$4:$IN$4,"SEW_ACT"))</f>
        <v/>
      </c>
      <c r="X376" s="25">
        <f>IF($E376="","",N(P376)+SUMIFS($AF376:$IN376,$AF$4:$IN$4,"WASH_ACT"))</f>
        <v/>
      </c>
      <c r="Y376" s="25">
        <f>IF($E376="","",W376-X376-N(T376)-N(U376))</f>
        <v/>
      </c>
      <c r="Z376" s="25">
        <f>IF($E376="","",IF(N(K376)-X376&lt;=0.02*N(K376),0,N(K376)-X376))</f>
        <v/>
      </c>
      <c r="AA376" s="24">
        <f>IF($E376="","",IF(S376&lt;&gt;"",S376,IF(N(O376)&gt;0,IF(L376&lt;&gt;"",L376,99999),IFERROR(1/(1/_xlfn.MINIFS($AF$3:$IN$3,$AF$4:$IN$4,"SEW_ACT",$AF376:$IN376,"&gt;0")),99999))))</f>
        <v/>
      </c>
      <c r="AB376" s="26">
        <f>IF(OR($E376="",Z376=0,V376=""),"",1+COUNTIFS(Z$8:Z$707,"&gt;0",V$8:V$707,"&lt;"&amp;V376)+COUNTIFS(Z$8:Z$707,"&gt;0",V$8:V$707,V376,AA$8:AA$707,"&lt;"&amp;AA376)+COUNTIFS(Z$8:Z$707,"&gt;0",V$8:V$707,V376,AA$8:AA$707,AA376,E$8:E$707,"&lt;"&amp;$E376))</f>
        <v/>
      </c>
      <c r="AC376" s="24">
        <f>IF(OR($E376="",Z376=0),"",IFERROR(TODAY()+ROUNDUP(Z376/(SUMIFS($AF376:$IN376,$AF$4:$IN$4,"WASH_ACT")/COUNTIFS($AF$4:$IN$4,"WASH_ACT",$AF376:$IN376,"&gt;0")),0),"no output yet"))</f>
        <v/>
      </c>
      <c r="AD376" s="26">
        <f>IF($E376="","",IFERROR(ROUND(MAX(0,SUMIFS($AF376:$IN376,$AF$4:$IN$4,"SEW_PLAN",$AF$3:$IN$3,"&lt;="&amp;TODAY())-SUMIFS($AF376:$IN376,$AF$4:$IN$4,"SEW_ACT",$AF$3:$IN$3,"&lt;="&amp;TODAY())+N(Q376))/(SUMIFS($AF376:$IN376,$AF$4:$IN$4,"SEW_PLAN")/COUNTIFS($AF$4:$IN$4,"SEW_PLAN",$AF376:$IN376,"&gt;0")),1),0))</f>
        <v/>
      </c>
      <c r="AE376" s="26">
        <f>IF($E376="","",IF(AND(Z376&gt;0,OR(AND(M376&lt;&gt;"",TODAY()&gt;M376),AND(V376&lt;&gt;"",V376-TODAY()&lt;=7))),"Yes","No"))</f>
        <v/>
      </c>
      <c r="AH376">
        <f>IF(OR(AF$3="",AF$3&gt;TODAY()),"",IF(AND(AF376="",AG376=""),"",N(AG376)-N(AF376)))</f>
        <v/>
      </c>
      <c r="AK376">
        <f>IF(OR(AF$3="",AF$3&gt;TODAY()),"",IF(AND(AI376="",AJ376=""),"",N(AJ376)-N(AI376)))</f>
        <v/>
      </c>
      <c r="AO376">
        <f>IF(OR(AM$3="",AM$3&gt;TODAY()),"",IF(AND(AM376="",AN376=""),"",N(AN376)-N(AM376)))</f>
        <v/>
      </c>
      <c r="AR376">
        <f>IF(OR(AM$3="",AM$3&gt;TODAY()),"",IF(AND(AP376="",AQ376=""),"",N(AQ376)-N(AP376)))</f>
        <v/>
      </c>
      <c r="AV376">
        <f>IF(OR(AT$3="",AT$3&gt;TODAY()),"",IF(AND(AT376="",AU376=""),"",N(AU376)-N(AT376)))</f>
        <v/>
      </c>
      <c r="AY376">
        <f>IF(OR(AT$3="",AT$3&gt;TODAY()),"",IF(AND(AW376="",AX376=""),"",N(AX376)-N(AW376)))</f>
        <v/>
      </c>
      <c r="BC376">
        <f>IF(OR(BA$3="",BA$3&gt;TODAY()),"",IF(AND(BA376="",BB376=""),"",N(BB376)-N(BA376)))</f>
        <v/>
      </c>
      <c r="BF376">
        <f>IF(OR(BA$3="",BA$3&gt;TODAY()),"",IF(AND(BD376="",BE376=""),"",N(BE376)-N(BD376)))</f>
        <v/>
      </c>
      <c r="BJ376">
        <f>IF(OR(BH$3="",BH$3&gt;TODAY()),"",IF(AND(BH376="",BI376=""),"",N(BI376)-N(BH376)))</f>
        <v/>
      </c>
      <c r="BM376">
        <f>IF(OR(BH$3="",BH$3&gt;TODAY()),"",IF(AND(BK376="",BL376=""),"",N(BL376)-N(BK376)))</f>
        <v/>
      </c>
      <c r="BQ376">
        <f>IF(OR(BO$3="",BO$3&gt;TODAY()),"",IF(AND(BO376="",BP376=""),"",N(BP376)-N(BO376)))</f>
        <v/>
      </c>
      <c r="BT376">
        <f>IF(OR(BO$3="",BO$3&gt;TODAY()),"",IF(AND(BR376="",BS376=""),"",N(BS376)-N(BR376)))</f>
        <v/>
      </c>
      <c r="BX376">
        <f>IF(OR(BV$3="",BV$3&gt;TODAY()),"",IF(AND(BV376="",BW376=""),"",N(BW376)-N(BV376)))</f>
        <v/>
      </c>
      <c r="CA376">
        <f>IF(OR(BV$3="",BV$3&gt;TODAY()),"",IF(AND(BY376="",BZ376=""),"",N(BZ376)-N(BY376)))</f>
        <v/>
      </c>
      <c r="CE376">
        <f>IF(OR(CC$3="",CC$3&gt;TODAY()),"",IF(AND(CC376="",CD376=""),"",N(CD376)-N(CC376)))</f>
        <v/>
      </c>
      <c r="CH376">
        <f>IF(OR(CC$3="",CC$3&gt;TODAY()),"",IF(AND(CF376="",CG376=""),"",N(CG376)-N(CF376)))</f>
        <v/>
      </c>
      <c r="CL376">
        <f>IF(OR(CJ$3="",CJ$3&gt;TODAY()),"",IF(AND(CJ376="",CK376=""),"",N(CK376)-N(CJ376)))</f>
        <v/>
      </c>
      <c r="CO376">
        <f>IF(OR(CJ$3="",CJ$3&gt;TODAY()),"",IF(AND(CM376="",CN376=""),"",N(CN376)-N(CM376)))</f>
        <v/>
      </c>
      <c r="CS376">
        <f>IF(OR(CQ$3="",CQ$3&gt;TODAY()),"",IF(AND(CQ376="",CR376=""),"",N(CR376)-N(CQ376)))</f>
        <v/>
      </c>
      <c r="CV376">
        <f>IF(OR(CQ$3="",CQ$3&gt;TODAY()),"",IF(AND(CT376="",CU376=""),"",N(CU376)-N(CT376)))</f>
        <v/>
      </c>
      <c r="CZ376">
        <f>IF(OR(CX$3="",CX$3&gt;TODAY()),"",IF(AND(CX376="",CY376=""),"",N(CY376)-N(CX376)))</f>
        <v/>
      </c>
      <c r="DC376">
        <f>IF(OR(CX$3="",CX$3&gt;TODAY()),"",IF(AND(DA376="",DB376=""),"",N(DB376)-N(DA376)))</f>
        <v/>
      </c>
      <c r="DG376">
        <f>IF(OR(DE$3="",DE$3&gt;TODAY()),"",IF(AND(DE376="",DF376=""),"",N(DF376)-N(DE376)))</f>
        <v/>
      </c>
      <c r="DJ376">
        <f>IF(OR(DE$3="",DE$3&gt;TODAY()),"",IF(AND(DH376="",DI376=""),"",N(DI376)-N(DH376)))</f>
        <v/>
      </c>
      <c r="DN376">
        <f>IF(OR(DL$3="",DL$3&gt;TODAY()),"",IF(AND(DL376="",DM376=""),"",N(DM376)-N(DL376)))</f>
        <v/>
      </c>
      <c r="DQ376">
        <f>IF(OR(DL$3="",DL$3&gt;TODAY()),"",IF(AND(DO376="",DP376=""),"",N(DP376)-N(DO376)))</f>
        <v/>
      </c>
      <c r="DU376">
        <f>IF(OR(DS$3="",DS$3&gt;TODAY()),"",IF(AND(DS376="",DT376=""),"",N(DT376)-N(DS376)))</f>
        <v/>
      </c>
      <c r="DX376">
        <f>IF(OR(DS$3="",DS$3&gt;TODAY()),"",IF(AND(DV376="",DW376=""),"",N(DW376)-N(DV376)))</f>
        <v/>
      </c>
      <c r="EB376">
        <f>IF(OR(DZ$3="",DZ$3&gt;TODAY()),"",IF(AND(DZ376="",EA376=""),"",N(EA376)-N(DZ376)))</f>
        <v/>
      </c>
      <c r="EE376">
        <f>IF(OR(DZ$3="",DZ$3&gt;TODAY()),"",IF(AND(EC376="",ED376=""),"",N(ED376)-N(EC376)))</f>
        <v/>
      </c>
      <c r="EI376">
        <f>IF(OR(EG$3="",EG$3&gt;TODAY()),"",IF(AND(EG376="",EH376=""),"",N(EH376)-N(EG376)))</f>
        <v/>
      </c>
      <c r="EL376">
        <f>IF(OR(EG$3="",EG$3&gt;TODAY()),"",IF(AND(EJ376="",EK376=""),"",N(EK376)-N(EJ376)))</f>
        <v/>
      </c>
      <c r="EP376">
        <f>IF(OR(EN$3="",EN$3&gt;TODAY()),"",IF(AND(EN376="",EO376=""),"",N(EO376)-N(EN376)))</f>
        <v/>
      </c>
      <c r="ES376">
        <f>IF(OR(EN$3="",EN$3&gt;TODAY()),"",IF(AND(EQ376="",ER376=""),"",N(ER376)-N(EQ376)))</f>
        <v/>
      </c>
      <c r="EW376">
        <f>IF(OR(EU$3="",EU$3&gt;TODAY()),"",IF(AND(EU376="",EV376=""),"",N(EV376)-N(EU376)))</f>
        <v/>
      </c>
      <c r="EZ376">
        <f>IF(OR(EU$3="",EU$3&gt;TODAY()),"",IF(AND(EX376="",EY376=""),"",N(EY376)-N(EX376)))</f>
        <v/>
      </c>
      <c r="FD376">
        <f>IF(OR(FB$3="",FB$3&gt;TODAY()),"",IF(AND(FB376="",FC376=""),"",N(FC376)-N(FB376)))</f>
        <v/>
      </c>
      <c r="FG376">
        <f>IF(OR(FB$3="",FB$3&gt;TODAY()),"",IF(AND(FE376="",FF376=""),"",N(FF376)-N(FE376)))</f>
        <v/>
      </c>
      <c r="FK376">
        <f>IF(OR(FI$3="",FI$3&gt;TODAY()),"",IF(AND(FI376="",FJ376=""),"",N(FJ376)-N(FI376)))</f>
        <v/>
      </c>
      <c r="FN376">
        <f>IF(OR(FI$3="",FI$3&gt;TODAY()),"",IF(AND(FL376="",FM376=""),"",N(FM376)-N(FL376)))</f>
        <v/>
      </c>
      <c r="FR376">
        <f>IF(OR(FP$3="",FP$3&gt;TODAY()),"",IF(AND(FP376="",FQ376=""),"",N(FQ376)-N(FP376)))</f>
        <v/>
      </c>
      <c r="FU376">
        <f>IF(OR(FP$3="",FP$3&gt;TODAY()),"",IF(AND(FS376="",FT376=""),"",N(FT376)-N(FS376)))</f>
        <v/>
      </c>
      <c r="FY376">
        <f>IF(OR(FW$3="",FW$3&gt;TODAY()),"",IF(AND(FW376="",FX376=""),"",N(FX376)-N(FW376)))</f>
        <v/>
      </c>
      <c r="GB376">
        <f>IF(OR(FW$3="",FW$3&gt;TODAY()),"",IF(AND(FZ376="",GA376=""),"",N(GA376)-N(FZ376)))</f>
        <v/>
      </c>
      <c r="GF376">
        <f>IF(OR(GD$3="",GD$3&gt;TODAY()),"",IF(AND(GD376="",GE376=""),"",N(GE376)-N(GD376)))</f>
        <v/>
      </c>
      <c r="GI376">
        <f>IF(OR(GD$3="",GD$3&gt;TODAY()),"",IF(AND(GG376="",GH376=""),"",N(GH376)-N(GG376)))</f>
        <v/>
      </c>
      <c r="GM376">
        <f>IF(OR(GK$3="",GK$3&gt;TODAY()),"",IF(AND(GK376="",GL376=""),"",N(GL376)-N(GK376)))</f>
        <v/>
      </c>
      <c r="GP376">
        <f>IF(OR(GK$3="",GK$3&gt;TODAY()),"",IF(AND(GN376="",GO376=""),"",N(GO376)-N(GN376)))</f>
        <v/>
      </c>
      <c r="GT376">
        <f>IF(OR(GR$3="",GR$3&gt;TODAY()),"",IF(AND(GR376="",GS376=""),"",N(GS376)-N(GR376)))</f>
        <v/>
      </c>
      <c r="GW376">
        <f>IF(OR(GR$3="",GR$3&gt;TODAY()),"",IF(AND(GU376="",GV376=""),"",N(GV376)-N(GU376)))</f>
        <v/>
      </c>
      <c r="HA376">
        <f>IF(OR(GY$3="",GY$3&gt;TODAY()),"",IF(AND(GY376="",GZ376=""),"",N(GZ376)-N(GY376)))</f>
        <v/>
      </c>
      <c r="HD376">
        <f>IF(OR(GY$3="",GY$3&gt;TODAY()),"",IF(AND(HB376="",HC376=""),"",N(HC376)-N(HB376)))</f>
        <v/>
      </c>
      <c r="HH376">
        <f>IF(OR(HF$3="",HF$3&gt;TODAY()),"",IF(AND(HF376="",HG376=""),"",N(HG376)-N(HF376)))</f>
        <v/>
      </c>
      <c r="HK376">
        <f>IF(OR(HF$3="",HF$3&gt;TODAY()),"",IF(AND(HI376="",HJ376=""),"",N(HJ376)-N(HI376)))</f>
        <v/>
      </c>
      <c r="HO376">
        <f>IF(OR(HM$3="",HM$3&gt;TODAY()),"",IF(AND(HM376="",HN376=""),"",N(HN376)-N(HM376)))</f>
        <v/>
      </c>
      <c r="HR376">
        <f>IF(OR(HM$3="",HM$3&gt;TODAY()),"",IF(AND(HP376="",HQ376=""),"",N(HQ376)-N(HP376)))</f>
        <v/>
      </c>
      <c r="HV376">
        <f>IF(OR(HT$3="",HT$3&gt;TODAY()),"",IF(AND(HT376="",HU376=""),"",N(HU376)-N(HT376)))</f>
        <v/>
      </c>
      <c r="HY376">
        <f>IF(OR(HT$3="",HT$3&gt;TODAY()),"",IF(AND(HW376="",HX376=""),"",N(HX376)-N(HW376)))</f>
        <v/>
      </c>
      <c r="IC376">
        <f>IF(OR(IA$3="",IA$3&gt;TODAY()),"",IF(AND(IA376="",IB376=""),"",N(IB376)-N(IA376)))</f>
        <v/>
      </c>
      <c r="IF376">
        <f>IF(OR(IA$3="",IA$3&gt;TODAY()),"",IF(AND(ID376="",IE376=""),"",N(IE376)-N(ID376)))</f>
        <v/>
      </c>
      <c r="IJ376">
        <f>IF(OR(IH$3="",IH$3&gt;TODAY()),"",IF(AND(IH376="",II376=""),"",N(II376)-N(IH376)))</f>
        <v/>
      </c>
      <c r="IM376">
        <f>IF(OR(IH$3="",IH$3&gt;TODAY()),"",IF(AND(IK376="",IL376=""),"",N(IL376)-N(IK376)))</f>
        <v/>
      </c>
    </row>
    <row r="377">
      <c r="A377" s="21" t="n"/>
      <c r="B377" s="21" t="n"/>
      <c r="C377" s="21" t="n"/>
      <c r="D377" s="21" t="n"/>
      <c r="E377" s="21" t="n"/>
      <c r="F377" s="21" t="n"/>
      <c r="G377" s="21" t="n"/>
      <c r="H377" s="21" t="n"/>
      <c r="I377" s="22" t="n"/>
      <c r="J377" s="22" t="n"/>
      <c r="K377" s="23" t="n"/>
      <c r="L377" s="22" t="n"/>
      <c r="M377" s="22" t="n"/>
      <c r="N377" s="21" t="n"/>
      <c r="O377" s="23" t="n"/>
      <c r="P377" s="23" t="n"/>
      <c r="Q377" s="23" t="n"/>
      <c r="R377" s="23" t="n"/>
      <c r="S377" s="22" t="n"/>
      <c r="T377" s="23" t="n"/>
      <c r="U377" s="23" t="n"/>
      <c r="V377" s="24">
        <f>IF(J377&lt;&gt;"",J377,IF(I377&lt;&gt;"",I377,""))</f>
        <v/>
      </c>
      <c r="W377" s="25">
        <f>IF($E377="","",N(O377)+SUMIFS($AF377:$IN377,$AF$4:$IN$4,"SEW_ACT"))</f>
        <v/>
      </c>
      <c r="X377" s="25">
        <f>IF($E377="","",N(P377)+SUMIFS($AF377:$IN377,$AF$4:$IN$4,"WASH_ACT"))</f>
        <v/>
      </c>
      <c r="Y377" s="25">
        <f>IF($E377="","",W377-X377-N(T377)-N(U377))</f>
        <v/>
      </c>
      <c r="Z377" s="25">
        <f>IF($E377="","",IF(N(K377)-X377&lt;=0.02*N(K377),0,N(K377)-X377))</f>
        <v/>
      </c>
      <c r="AA377" s="24">
        <f>IF($E377="","",IF(S377&lt;&gt;"",S377,IF(N(O377)&gt;0,IF(L377&lt;&gt;"",L377,99999),IFERROR(1/(1/_xlfn.MINIFS($AF$3:$IN$3,$AF$4:$IN$4,"SEW_ACT",$AF377:$IN377,"&gt;0")),99999))))</f>
        <v/>
      </c>
      <c r="AB377" s="26">
        <f>IF(OR($E377="",Z377=0,V377=""),"",1+COUNTIFS(Z$8:Z$707,"&gt;0",V$8:V$707,"&lt;"&amp;V377)+COUNTIFS(Z$8:Z$707,"&gt;0",V$8:V$707,V377,AA$8:AA$707,"&lt;"&amp;AA377)+COUNTIFS(Z$8:Z$707,"&gt;0",V$8:V$707,V377,AA$8:AA$707,AA377,E$8:E$707,"&lt;"&amp;$E377))</f>
        <v/>
      </c>
      <c r="AC377" s="24">
        <f>IF(OR($E377="",Z377=0),"",IFERROR(TODAY()+ROUNDUP(Z377/(SUMIFS($AF377:$IN377,$AF$4:$IN$4,"WASH_ACT")/COUNTIFS($AF$4:$IN$4,"WASH_ACT",$AF377:$IN377,"&gt;0")),0),"no output yet"))</f>
        <v/>
      </c>
      <c r="AD377" s="26">
        <f>IF($E377="","",IFERROR(ROUND(MAX(0,SUMIFS($AF377:$IN377,$AF$4:$IN$4,"SEW_PLAN",$AF$3:$IN$3,"&lt;="&amp;TODAY())-SUMIFS($AF377:$IN377,$AF$4:$IN$4,"SEW_ACT",$AF$3:$IN$3,"&lt;="&amp;TODAY())+N(Q377))/(SUMIFS($AF377:$IN377,$AF$4:$IN$4,"SEW_PLAN")/COUNTIFS($AF$4:$IN$4,"SEW_PLAN",$AF377:$IN377,"&gt;0")),1),0))</f>
        <v/>
      </c>
      <c r="AE377" s="26">
        <f>IF($E377="","",IF(AND(Z377&gt;0,OR(AND(M377&lt;&gt;"",TODAY()&gt;M377),AND(V377&lt;&gt;"",V377-TODAY()&lt;=7))),"Yes","No"))</f>
        <v/>
      </c>
      <c r="AH377">
        <f>IF(OR(AF$3="",AF$3&gt;TODAY()),"",IF(AND(AF377="",AG377=""),"",N(AG377)-N(AF377)))</f>
        <v/>
      </c>
      <c r="AK377">
        <f>IF(OR(AF$3="",AF$3&gt;TODAY()),"",IF(AND(AI377="",AJ377=""),"",N(AJ377)-N(AI377)))</f>
        <v/>
      </c>
      <c r="AO377">
        <f>IF(OR(AM$3="",AM$3&gt;TODAY()),"",IF(AND(AM377="",AN377=""),"",N(AN377)-N(AM377)))</f>
        <v/>
      </c>
      <c r="AR377">
        <f>IF(OR(AM$3="",AM$3&gt;TODAY()),"",IF(AND(AP377="",AQ377=""),"",N(AQ377)-N(AP377)))</f>
        <v/>
      </c>
      <c r="AV377">
        <f>IF(OR(AT$3="",AT$3&gt;TODAY()),"",IF(AND(AT377="",AU377=""),"",N(AU377)-N(AT377)))</f>
        <v/>
      </c>
      <c r="AY377">
        <f>IF(OR(AT$3="",AT$3&gt;TODAY()),"",IF(AND(AW377="",AX377=""),"",N(AX377)-N(AW377)))</f>
        <v/>
      </c>
      <c r="BC377">
        <f>IF(OR(BA$3="",BA$3&gt;TODAY()),"",IF(AND(BA377="",BB377=""),"",N(BB377)-N(BA377)))</f>
        <v/>
      </c>
      <c r="BF377">
        <f>IF(OR(BA$3="",BA$3&gt;TODAY()),"",IF(AND(BD377="",BE377=""),"",N(BE377)-N(BD377)))</f>
        <v/>
      </c>
      <c r="BJ377">
        <f>IF(OR(BH$3="",BH$3&gt;TODAY()),"",IF(AND(BH377="",BI377=""),"",N(BI377)-N(BH377)))</f>
        <v/>
      </c>
      <c r="BM377">
        <f>IF(OR(BH$3="",BH$3&gt;TODAY()),"",IF(AND(BK377="",BL377=""),"",N(BL377)-N(BK377)))</f>
        <v/>
      </c>
      <c r="BQ377">
        <f>IF(OR(BO$3="",BO$3&gt;TODAY()),"",IF(AND(BO377="",BP377=""),"",N(BP377)-N(BO377)))</f>
        <v/>
      </c>
      <c r="BT377">
        <f>IF(OR(BO$3="",BO$3&gt;TODAY()),"",IF(AND(BR377="",BS377=""),"",N(BS377)-N(BR377)))</f>
        <v/>
      </c>
      <c r="BX377">
        <f>IF(OR(BV$3="",BV$3&gt;TODAY()),"",IF(AND(BV377="",BW377=""),"",N(BW377)-N(BV377)))</f>
        <v/>
      </c>
      <c r="CA377">
        <f>IF(OR(BV$3="",BV$3&gt;TODAY()),"",IF(AND(BY377="",BZ377=""),"",N(BZ377)-N(BY377)))</f>
        <v/>
      </c>
      <c r="CE377">
        <f>IF(OR(CC$3="",CC$3&gt;TODAY()),"",IF(AND(CC377="",CD377=""),"",N(CD377)-N(CC377)))</f>
        <v/>
      </c>
      <c r="CH377">
        <f>IF(OR(CC$3="",CC$3&gt;TODAY()),"",IF(AND(CF377="",CG377=""),"",N(CG377)-N(CF377)))</f>
        <v/>
      </c>
      <c r="CL377">
        <f>IF(OR(CJ$3="",CJ$3&gt;TODAY()),"",IF(AND(CJ377="",CK377=""),"",N(CK377)-N(CJ377)))</f>
        <v/>
      </c>
      <c r="CO377">
        <f>IF(OR(CJ$3="",CJ$3&gt;TODAY()),"",IF(AND(CM377="",CN377=""),"",N(CN377)-N(CM377)))</f>
        <v/>
      </c>
      <c r="CS377">
        <f>IF(OR(CQ$3="",CQ$3&gt;TODAY()),"",IF(AND(CQ377="",CR377=""),"",N(CR377)-N(CQ377)))</f>
        <v/>
      </c>
      <c r="CV377">
        <f>IF(OR(CQ$3="",CQ$3&gt;TODAY()),"",IF(AND(CT377="",CU377=""),"",N(CU377)-N(CT377)))</f>
        <v/>
      </c>
      <c r="CZ377">
        <f>IF(OR(CX$3="",CX$3&gt;TODAY()),"",IF(AND(CX377="",CY377=""),"",N(CY377)-N(CX377)))</f>
        <v/>
      </c>
      <c r="DC377">
        <f>IF(OR(CX$3="",CX$3&gt;TODAY()),"",IF(AND(DA377="",DB377=""),"",N(DB377)-N(DA377)))</f>
        <v/>
      </c>
      <c r="DG377">
        <f>IF(OR(DE$3="",DE$3&gt;TODAY()),"",IF(AND(DE377="",DF377=""),"",N(DF377)-N(DE377)))</f>
        <v/>
      </c>
      <c r="DJ377">
        <f>IF(OR(DE$3="",DE$3&gt;TODAY()),"",IF(AND(DH377="",DI377=""),"",N(DI377)-N(DH377)))</f>
        <v/>
      </c>
      <c r="DN377">
        <f>IF(OR(DL$3="",DL$3&gt;TODAY()),"",IF(AND(DL377="",DM377=""),"",N(DM377)-N(DL377)))</f>
        <v/>
      </c>
      <c r="DQ377">
        <f>IF(OR(DL$3="",DL$3&gt;TODAY()),"",IF(AND(DO377="",DP377=""),"",N(DP377)-N(DO377)))</f>
        <v/>
      </c>
      <c r="DU377">
        <f>IF(OR(DS$3="",DS$3&gt;TODAY()),"",IF(AND(DS377="",DT377=""),"",N(DT377)-N(DS377)))</f>
        <v/>
      </c>
      <c r="DX377">
        <f>IF(OR(DS$3="",DS$3&gt;TODAY()),"",IF(AND(DV377="",DW377=""),"",N(DW377)-N(DV377)))</f>
        <v/>
      </c>
      <c r="EB377">
        <f>IF(OR(DZ$3="",DZ$3&gt;TODAY()),"",IF(AND(DZ377="",EA377=""),"",N(EA377)-N(DZ377)))</f>
        <v/>
      </c>
      <c r="EE377">
        <f>IF(OR(DZ$3="",DZ$3&gt;TODAY()),"",IF(AND(EC377="",ED377=""),"",N(ED377)-N(EC377)))</f>
        <v/>
      </c>
      <c r="EI377">
        <f>IF(OR(EG$3="",EG$3&gt;TODAY()),"",IF(AND(EG377="",EH377=""),"",N(EH377)-N(EG377)))</f>
        <v/>
      </c>
      <c r="EL377">
        <f>IF(OR(EG$3="",EG$3&gt;TODAY()),"",IF(AND(EJ377="",EK377=""),"",N(EK377)-N(EJ377)))</f>
        <v/>
      </c>
      <c r="EP377">
        <f>IF(OR(EN$3="",EN$3&gt;TODAY()),"",IF(AND(EN377="",EO377=""),"",N(EO377)-N(EN377)))</f>
        <v/>
      </c>
      <c r="ES377">
        <f>IF(OR(EN$3="",EN$3&gt;TODAY()),"",IF(AND(EQ377="",ER377=""),"",N(ER377)-N(EQ377)))</f>
        <v/>
      </c>
      <c r="EW377">
        <f>IF(OR(EU$3="",EU$3&gt;TODAY()),"",IF(AND(EU377="",EV377=""),"",N(EV377)-N(EU377)))</f>
        <v/>
      </c>
      <c r="EZ377">
        <f>IF(OR(EU$3="",EU$3&gt;TODAY()),"",IF(AND(EX377="",EY377=""),"",N(EY377)-N(EX377)))</f>
        <v/>
      </c>
      <c r="FD377">
        <f>IF(OR(FB$3="",FB$3&gt;TODAY()),"",IF(AND(FB377="",FC377=""),"",N(FC377)-N(FB377)))</f>
        <v/>
      </c>
      <c r="FG377">
        <f>IF(OR(FB$3="",FB$3&gt;TODAY()),"",IF(AND(FE377="",FF377=""),"",N(FF377)-N(FE377)))</f>
        <v/>
      </c>
      <c r="FK377">
        <f>IF(OR(FI$3="",FI$3&gt;TODAY()),"",IF(AND(FI377="",FJ377=""),"",N(FJ377)-N(FI377)))</f>
        <v/>
      </c>
      <c r="FN377">
        <f>IF(OR(FI$3="",FI$3&gt;TODAY()),"",IF(AND(FL377="",FM377=""),"",N(FM377)-N(FL377)))</f>
        <v/>
      </c>
      <c r="FR377">
        <f>IF(OR(FP$3="",FP$3&gt;TODAY()),"",IF(AND(FP377="",FQ377=""),"",N(FQ377)-N(FP377)))</f>
        <v/>
      </c>
      <c r="FU377">
        <f>IF(OR(FP$3="",FP$3&gt;TODAY()),"",IF(AND(FS377="",FT377=""),"",N(FT377)-N(FS377)))</f>
        <v/>
      </c>
      <c r="FY377">
        <f>IF(OR(FW$3="",FW$3&gt;TODAY()),"",IF(AND(FW377="",FX377=""),"",N(FX377)-N(FW377)))</f>
        <v/>
      </c>
      <c r="GB377">
        <f>IF(OR(FW$3="",FW$3&gt;TODAY()),"",IF(AND(FZ377="",GA377=""),"",N(GA377)-N(FZ377)))</f>
        <v/>
      </c>
      <c r="GF377">
        <f>IF(OR(GD$3="",GD$3&gt;TODAY()),"",IF(AND(GD377="",GE377=""),"",N(GE377)-N(GD377)))</f>
        <v/>
      </c>
      <c r="GI377">
        <f>IF(OR(GD$3="",GD$3&gt;TODAY()),"",IF(AND(GG377="",GH377=""),"",N(GH377)-N(GG377)))</f>
        <v/>
      </c>
      <c r="GM377">
        <f>IF(OR(GK$3="",GK$3&gt;TODAY()),"",IF(AND(GK377="",GL377=""),"",N(GL377)-N(GK377)))</f>
        <v/>
      </c>
      <c r="GP377">
        <f>IF(OR(GK$3="",GK$3&gt;TODAY()),"",IF(AND(GN377="",GO377=""),"",N(GO377)-N(GN377)))</f>
        <v/>
      </c>
      <c r="GT377">
        <f>IF(OR(GR$3="",GR$3&gt;TODAY()),"",IF(AND(GR377="",GS377=""),"",N(GS377)-N(GR377)))</f>
        <v/>
      </c>
      <c r="GW377">
        <f>IF(OR(GR$3="",GR$3&gt;TODAY()),"",IF(AND(GU377="",GV377=""),"",N(GV377)-N(GU377)))</f>
        <v/>
      </c>
      <c r="HA377">
        <f>IF(OR(GY$3="",GY$3&gt;TODAY()),"",IF(AND(GY377="",GZ377=""),"",N(GZ377)-N(GY377)))</f>
        <v/>
      </c>
      <c r="HD377">
        <f>IF(OR(GY$3="",GY$3&gt;TODAY()),"",IF(AND(HB377="",HC377=""),"",N(HC377)-N(HB377)))</f>
        <v/>
      </c>
      <c r="HH377">
        <f>IF(OR(HF$3="",HF$3&gt;TODAY()),"",IF(AND(HF377="",HG377=""),"",N(HG377)-N(HF377)))</f>
        <v/>
      </c>
      <c r="HK377">
        <f>IF(OR(HF$3="",HF$3&gt;TODAY()),"",IF(AND(HI377="",HJ377=""),"",N(HJ377)-N(HI377)))</f>
        <v/>
      </c>
      <c r="HO377">
        <f>IF(OR(HM$3="",HM$3&gt;TODAY()),"",IF(AND(HM377="",HN377=""),"",N(HN377)-N(HM377)))</f>
        <v/>
      </c>
      <c r="HR377">
        <f>IF(OR(HM$3="",HM$3&gt;TODAY()),"",IF(AND(HP377="",HQ377=""),"",N(HQ377)-N(HP377)))</f>
        <v/>
      </c>
      <c r="HV377">
        <f>IF(OR(HT$3="",HT$3&gt;TODAY()),"",IF(AND(HT377="",HU377=""),"",N(HU377)-N(HT377)))</f>
        <v/>
      </c>
      <c r="HY377">
        <f>IF(OR(HT$3="",HT$3&gt;TODAY()),"",IF(AND(HW377="",HX377=""),"",N(HX377)-N(HW377)))</f>
        <v/>
      </c>
      <c r="IC377">
        <f>IF(OR(IA$3="",IA$3&gt;TODAY()),"",IF(AND(IA377="",IB377=""),"",N(IB377)-N(IA377)))</f>
        <v/>
      </c>
      <c r="IF377">
        <f>IF(OR(IA$3="",IA$3&gt;TODAY()),"",IF(AND(ID377="",IE377=""),"",N(IE377)-N(ID377)))</f>
        <v/>
      </c>
      <c r="IJ377">
        <f>IF(OR(IH$3="",IH$3&gt;TODAY()),"",IF(AND(IH377="",II377=""),"",N(II377)-N(IH377)))</f>
        <v/>
      </c>
      <c r="IM377">
        <f>IF(OR(IH$3="",IH$3&gt;TODAY()),"",IF(AND(IK377="",IL377=""),"",N(IL377)-N(IK377)))</f>
        <v/>
      </c>
    </row>
    <row r="378">
      <c r="A378" s="21" t="n"/>
      <c r="B378" s="21" t="n"/>
      <c r="C378" s="21" t="n"/>
      <c r="D378" s="21" t="n"/>
      <c r="E378" s="21" t="n"/>
      <c r="F378" s="21" t="n"/>
      <c r="G378" s="21" t="n"/>
      <c r="H378" s="21" t="n"/>
      <c r="I378" s="22" t="n"/>
      <c r="J378" s="22" t="n"/>
      <c r="K378" s="23" t="n"/>
      <c r="L378" s="22" t="n"/>
      <c r="M378" s="22" t="n"/>
      <c r="N378" s="21" t="n"/>
      <c r="O378" s="23" t="n"/>
      <c r="P378" s="23" t="n"/>
      <c r="Q378" s="23" t="n"/>
      <c r="R378" s="23" t="n"/>
      <c r="S378" s="22" t="n"/>
      <c r="T378" s="23" t="n"/>
      <c r="U378" s="23" t="n"/>
      <c r="V378" s="24">
        <f>IF(J378&lt;&gt;"",J378,IF(I378&lt;&gt;"",I378,""))</f>
        <v/>
      </c>
      <c r="W378" s="25">
        <f>IF($E378="","",N(O378)+SUMIFS($AF378:$IN378,$AF$4:$IN$4,"SEW_ACT"))</f>
        <v/>
      </c>
      <c r="X378" s="25">
        <f>IF($E378="","",N(P378)+SUMIFS($AF378:$IN378,$AF$4:$IN$4,"WASH_ACT"))</f>
        <v/>
      </c>
      <c r="Y378" s="25">
        <f>IF($E378="","",W378-X378-N(T378)-N(U378))</f>
        <v/>
      </c>
      <c r="Z378" s="25">
        <f>IF($E378="","",IF(N(K378)-X378&lt;=0.02*N(K378),0,N(K378)-X378))</f>
        <v/>
      </c>
      <c r="AA378" s="24">
        <f>IF($E378="","",IF(S378&lt;&gt;"",S378,IF(N(O378)&gt;0,IF(L378&lt;&gt;"",L378,99999),IFERROR(1/(1/_xlfn.MINIFS($AF$3:$IN$3,$AF$4:$IN$4,"SEW_ACT",$AF378:$IN378,"&gt;0")),99999))))</f>
        <v/>
      </c>
      <c r="AB378" s="26">
        <f>IF(OR($E378="",Z378=0,V378=""),"",1+COUNTIFS(Z$8:Z$707,"&gt;0",V$8:V$707,"&lt;"&amp;V378)+COUNTIFS(Z$8:Z$707,"&gt;0",V$8:V$707,V378,AA$8:AA$707,"&lt;"&amp;AA378)+COUNTIFS(Z$8:Z$707,"&gt;0",V$8:V$707,V378,AA$8:AA$707,AA378,E$8:E$707,"&lt;"&amp;$E378))</f>
        <v/>
      </c>
      <c r="AC378" s="24">
        <f>IF(OR($E378="",Z378=0),"",IFERROR(TODAY()+ROUNDUP(Z378/(SUMIFS($AF378:$IN378,$AF$4:$IN$4,"WASH_ACT")/COUNTIFS($AF$4:$IN$4,"WASH_ACT",$AF378:$IN378,"&gt;0")),0),"no output yet"))</f>
        <v/>
      </c>
      <c r="AD378" s="26">
        <f>IF($E378="","",IFERROR(ROUND(MAX(0,SUMIFS($AF378:$IN378,$AF$4:$IN$4,"SEW_PLAN",$AF$3:$IN$3,"&lt;="&amp;TODAY())-SUMIFS($AF378:$IN378,$AF$4:$IN$4,"SEW_ACT",$AF$3:$IN$3,"&lt;="&amp;TODAY())+N(Q378))/(SUMIFS($AF378:$IN378,$AF$4:$IN$4,"SEW_PLAN")/COUNTIFS($AF$4:$IN$4,"SEW_PLAN",$AF378:$IN378,"&gt;0")),1),0))</f>
        <v/>
      </c>
      <c r="AE378" s="26">
        <f>IF($E378="","",IF(AND(Z378&gt;0,OR(AND(M378&lt;&gt;"",TODAY()&gt;M378),AND(V378&lt;&gt;"",V378-TODAY()&lt;=7))),"Yes","No"))</f>
        <v/>
      </c>
      <c r="AH378">
        <f>IF(OR(AF$3="",AF$3&gt;TODAY()),"",IF(AND(AF378="",AG378=""),"",N(AG378)-N(AF378)))</f>
        <v/>
      </c>
      <c r="AK378">
        <f>IF(OR(AF$3="",AF$3&gt;TODAY()),"",IF(AND(AI378="",AJ378=""),"",N(AJ378)-N(AI378)))</f>
        <v/>
      </c>
      <c r="AO378">
        <f>IF(OR(AM$3="",AM$3&gt;TODAY()),"",IF(AND(AM378="",AN378=""),"",N(AN378)-N(AM378)))</f>
        <v/>
      </c>
      <c r="AR378">
        <f>IF(OR(AM$3="",AM$3&gt;TODAY()),"",IF(AND(AP378="",AQ378=""),"",N(AQ378)-N(AP378)))</f>
        <v/>
      </c>
      <c r="AV378">
        <f>IF(OR(AT$3="",AT$3&gt;TODAY()),"",IF(AND(AT378="",AU378=""),"",N(AU378)-N(AT378)))</f>
        <v/>
      </c>
      <c r="AY378">
        <f>IF(OR(AT$3="",AT$3&gt;TODAY()),"",IF(AND(AW378="",AX378=""),"",N(AX378)-N(AW378)))</f>
        <v/>
      </c>
      <c r="BC378">
        <f>IF(OR(BA$3="",BA$3&gt;TODAY()),"",IF(AND(BA378="",BB378=""),"",N(BB378)-N(BA378)))</f>
        <v/>
      </c>
      <c r="BF378">
        <f>IF(OR(BA$3="",BA$3&gt;TODAY()),"",IF(AND(BD378="",BE378=""),"",N(BE378)-N(BD378)))</f>
        <v/>
      </c>
      <c r="BJ378">
        <f>IF(OR(BH$3="",BH$3&gt;TODAY()),"",IF(AND(BH378="",BI378=""),"",N(BI378)-N(BH378)))</f>
        <v/>
      </c>
      <c r="BM378">
        <f>IF(OR(BH$3="",BH$3&gt;TODAY()),"",IF(AND(BK378="",BL378=""),"",N(BL378)-N(BK378)))</f>
        <v/>
      </c>
      <c r="BQ378">
        <f>IF(OR(BO$3="",BO$3&gt;TODAY()),"",IF(AND(BO378="",BP378=""),"",N(BP378)-N(BO378)))</f>
        <v/>
      </c>
      <c r="BT378">
        <f>IF(OR(BO$3="",BO$3&gt;TODAY()),"",IF(AND(BR378="",BS378=""),"",N(BS378)-N(BR378)))</f>
        <v/>
      </c>
      <c r="BX378">
        <f>IF(OR(BV$3="",BV$3&gt;TODAY()),"",IF(AND(BV378="",BW378=""),"",N(BW378)-N(BV378)))</f>
        <v/>
      </c>
      <c r="CA378">
        <f>IF(OR(BV$3="",BV$3&gt;TODAY()),"",IF(AND(BY378="",BZ378=""),"",N(BZ378)-N(BY378)))</f>
        <v/>
      </c>
      <c r="CE378">
        <f>IF(OR(CC$3="",CC$3&gt;TODAY()),"",IF(AND(CC378="",CD378=""),"",N(CD378)-N(CC378)))</f>
        <v/>
      </c>
      <c r="CH378">
        <f>IF(OR(CC$3="",CC$3&gt;TODAY()),"",IF(AND(CF378="",CG378=""),"",N(CG378)-N(CF378)))</f>
        <v/>
      </c>
      <c r="CL378">
        <f>IF(OR(CJ$3="",CJ$3&gt;TODAY()),"",IF(AND(CJ378="",CK378=""),"",N(CK378)-N(CJ378)))</f>
        <v/>
      </c>
      <c r="CO378">
        <f>IF(OR(CJ$3="",CJ$3&gt;TODAY()),"",IF(AND(CM378="",CN378=""),"",N(CN378)-N(CM378)))</f>
        <v/>
      </c>
      <c r="CS378">
        <f>IF(OR(CQ$3="",CQ$3&gt;TODAY()),"",IF(AND(CQ378="",CR378=""),"",N(CR378)-N(CQ378)))</f>
        <v/>
      </c>
      <c r="CV378">
        <f>IF(OR(CQ$3="",CQ$3&gt;TODAY()),"",IF(AND(CT378="",CU378=""),"",N(CU378)-N(CT378)))</f>
        <v/>
      </c>
      <c r="CZ378">
        <f>IF(OR(CX$3="",CX$3&gt;TODAY()),"",IF(AND(CX378="",CY378=""),"",N(CY378)-N(CX378)))</f>
        <v/>
      </c>
      <c r="DC378">
        <f>IF(OR(CX$3="",CX$3&gt;TODAY()),"",IF(AND(DA378="",DB378=""),"",N(DB378)-N(DA378)))</f>
        <v/>
      </c>
      <c r="DG378">
        <f>IF(OR(DE$3="",DE$3&gt;TODAY()),"",IF(AND(DE378="",DF378=""),"",N(DF378)-N(DE378)))</f>
        <v/>
      </c>
      <c r="DJ378">
        <f>IF(OR(DE$3="",DE$3&gt;TODAY()),"",IF(AND(DH378="",DI378=""),"",N(DI378)-N(DH378)))</f>
        <v/>
      </c>
      <c r="DN378">
        <f>IF(OR(DL$3="",DL$3&gt;TODAY()),"",IF(AND(DL378="",DM378=""),"",N(DM378)-N(DL378)))</f>
        <v/>
      </c>
      <c r="DQ378">
        <f>IF(OR(DL$3="",DL$3&gt;TODAY()),"",IF(AND(DO378="",DP378=""),"",N(DP378)-N(DO378)))</f>
        <v/>
      </c>
      <c r="DU378">
        <f>IF(OR(DS$3="",DS$3&gt;TODAY()),"",IF(AND(DS378="",DT378=""),"",N(DT378)-N(DS378)))</f>
        <v/>
      </c>
      <c r="DX378">
        <f>IF(OR(DS$3="",DS$3&gt;TODAY()),"",IF(AND(DV378="",DW378=""),"",N(DW378)-N(DV378)))</f>
        <v/>
      </c>
      <c r="EB378">
        <f>IF(OR(DZ$3="",DZ$3&gt;TODAY()),"",IF(AND(DZ378="",EA378=""),"",N(EA378)-N(DZ378)))</f>
        <v/>
      </c>
      <c r="EE378">
        <f>IF(OR(DZ$3="",DZ$3&gt;TODAY()),"",IF(AND(EC378="",ED378=""),"",N(ED378)-N(EC378)))</f>
        <v/>
      </c>
      <c r="EI378">
        <f>IF(OR(EG$3="",EG$3&gt;TODAY()),"",IF(AND(EG378="",EH378=""),"",N(EH378)-N(EG378)))</f>
        <v/>
      </c>
      <c r="EL378">
        <f>IF(OR(EG$3="",EG$3&gt;TODAY()),"",IF(AND(EJ378="",EK378=""),"",N(EK378)-N(EJ378)))</f>
        <v/>
      </c>
      <c r="EP378">
        <f>IF(OR(EN$3="",EN$3&gt;TODAY()),"",IF(AND(EN378="",EO378=""),"",N(EO378)-N(EN378)))</f>
        <v/>
      </c>
      <c r="ES378">
        <f>IF(OR(EN$3="",EN$3&gt;TODAY()),"",IF(AND(EQ378="",ER378=""),"",N(ER378)-N(EQ378)))</f>
        <v/>
      </c>
      <c r="EW378">
        <f>IF(OR(EU$3="",EU$3&gt;TODAY()),"",IF(AND(EU378="",EV378=""),"",N(EV378)-N(EU378)))</f>
        <v/>
      </c>
      <c r="EZ378">
        <f>IF(OR(EU$3="",EU$3&gt;TODAY()),"",IF(AND(EX378="",EY378=""),"",N(EY378)-N(EX378)))</f>
        <v/>
      </c>
      <c r="FD378">
        <f>IF(OR(FB$3="",FB$3&gt;TODAY()),"",IF(AND(FB378="",FC378=""),"",N(FC378)-N(FB378)))</f>
        <v/>
      </c>
      <c r="FG378">
        <f>IF(OR(FB$3="",FB$3&gt;TODAY()),"",IF(AND(FE378="",FF378=""),"",N(FF378)-N(FE378)))</f>
        <v/>
      </c>
      <c r="FK378">
        <f>IF(OR(FI$3="",FI$3&gt;TODAY()),"",IF(AND(FI378="",FJ378=""),"",N(FJ378)-N(FI378)))</f>
        <v/>
      </c>
      <c r="FN378">
        <f>IF(OR(FI$3="",FI$3&gt;TODAY()),"",IF(AND(FL378="",FM378=""),"",N(FM378)-N(FL378)))</f>
        <v/>
      </c>
      <c r="FR378">
        <f>IF(OR(FP$3="",FP$3&gt;TODAY()),"",IF(AND(FP378="",FQ378=""),"",N(FQ378)-N(FP378)))</f>
        <v/>
      </c>
      <c r="FU378">
        <f>IF(OR(FP$3="",FP$3&gt;TODAY()),"",IF(AND(FS378="",FT378=""),"",N(FT378)-N(FS378)))</f>
        <v/>
      </c>
      <c r="FY378">
        <f>IF(OR(FW$3="",FW$3&gt;TODAY()),"",IF(AND(FW378="",FX378=""),"",N(FX378)-N(FW378)))</f>
        <v/>
      </c>
      <c r="GB378">
        <f>IF(OR(FW$3="",FW$3&gt;TODAY()),"",IF(AND(FZ378="",GA378=""),"",N(GA378)-N(FZ378)))</f>
        <v/>
      </c>
      <c r="GF378">
        <f>IF(OR(GD$3="",GD$3&gt;TODAY()),"",IF(AND(GD378="",GE378=""),"",N(GE378)-N(GD378)))</f>
        <v/>
      </c>
      <c r="GI378">
        <f>IF(OR(GD$3="",GD$3&gt;TODAY()),"",IF(AND(GG378="",GH378=""),"",N(GH378)-N(GG378)))</f>
        <v/>
      </c>
      <c r="GM378">
        <f>IF(OR(GK$3="",GK$3&gt;TODAY()),"",IF(AND(GK378="",GL378=""),"",N(GL378)-N(GK378)))</f>
        <v/>
      </c>
      <c r="GP378">
        <f>IF(OR(GK$3="",GK$3&gt;TODAY()),"",IF(AND(GN378="",GO378=""),"",N(GO378)-N(GN378)))</f>
        <v/>
      </c>
      <c r="GT378">
        <f>IF(OR(GR$3="",GR$3&gt;TODAY()),"",IF(AND(GR378="",GS378=""),"",N(GS378)-N(GR378)))</f>
        <v/>
      </c>
      <c r="GW378">
        <f>IF(OR(GR$3="",GR$3&gt;TODAY()),"",IF(AND(GU378="",GV378=""),"",N(GV378)-N(GU378)))</f>
        <v/>
      </c>
      <c r="HA378">
        <f>IF(OR(GY$3="",GY$3&gt;TODAY()),"",IF(AND(GY378="",GZ378=""),"",N(GZ378)-N(GY378)))</f>
        <v/>
      </c>
      <c r="HD378">
        <f>IF(OR(GY$3="",GY$3&gt;TODAY()),"",IF(AND(HB378="",HC378=""),"",N(HC378)-N(HB378)))</f>
        <v/>
      </c>
      <c r="HH378">
        <f>IF(OR(HF$3="",HF$3&gt;TODAY()),"",IF(AND(HF378="",HG378=""),"",N(HG378)-N(HF378)))</f>
        <v/>
      </c>
      <c r="HK378">
        <f>IF(OR(HF$3="",HF$3&gt;TODAY()),"",IF(AND(HI378="",HJ378=""),"",N(HJ378)-N(HI378)))</f>
        <v/>
      </c>
      <c r="HO378">
        <f>IF(OR(HM$3="",HM$3&gt;TODAY()),"",IF(AND(HM378="",HN378=""),"",N(HN378)-N(HM378)))</f>
        <v/>
      </c>
      <c r="HR378">
        <f>IF(OR(HM$3="",HM$3&gt;TODAY()),"",IF(AND(HP378="",HQ378=""),"",N(HQ378)-N(HP378)))</f>
        <v/>
      </c>
      <c r="HV378">
        <f>IF(OR(HT$3="",HT$3&gt;TODAY()),"",IF(AND(HT378="",HU378=""),"",N(HU378)-N(HT378)))</f>
        <v/>
      </c>
      <c r="HY378">
        <f>IF(OR(HT$3="",HT$3&gt;TODAY()),"",IF(AND(HW378="",HX378=""),"",N(HX378)-N(HW378)))</f>
        <v/>
      </c>
      <c r="IC378">
        <f>IF(OR(IA$3="",IA$3&gt;TODAY()),"",IF(AND(IA378="",IB378=""),"",N(IB378)-N(IA378)))</f>
        <v/>
      </c>
      <c r="IF378">
        <f>IF(OR(IA$3="",IA$3&gt;TODAY()),"",IF(AND(ID378="",IE378=""),"",N(IE378)-N(ID378)))</f>
        <v/>
      </c>
      <c r="IJ378">
        <f>IF(OR(IH$3="",IH$3&gt;TODAY()),"",IF(AND(IH378="",II378=""),"",N(II378)-N(IH378)))</f>
        <v/>
      </c>
      <c r="IM378">
        <f>IF(OR(IH$3="",IH$3&gt;TODAY()),"",IF(AND(IK378="",IL378=""),"",N(IL378)-N(IK378)))</f>
        <v/>
      </c>
    </row>
    <row r="379">
      <c r="A379" s="21" t="n"/>
      <c r="B379" s="21" t="n"/>
      <c r="C379" s="21" t="n"/>
      <c r="D379" s="21" t="n"/>
      <c r="E379" s="21" t="n"/>
      <c r="F379" s="21" t="n"/>
      <c r="G379" s="21" t="n"/>
      <c r="H379" s="21" t="n"/>
      <c r="I379" s="22" t="n"/>
      <c r="J379" s="22" t="n"/>
      <c r="K379" s="23" t="n"/>
      <c r="L379" s="22" t="n"/>
      <c r="M379" s="22" t="n"/>
      <c r="N379" s="21" t="n"/>
      <c r="O379" s="23" t="n"/>
      <c r="P379" s="23" t="n"/>
      <c r="Q379" s="23" t="n"/>
      <c r="R379" s="23" t="n"/>
      <c r="S379" s="22" t="n"/>
      <c r="T379" s="23" t="n"/>
      <c r="U379" s="23" t="n"/>
      <c r="V379" s="24">
        <f>IF(J379&lt;&gt;"",J379,IF(I379&lt;&gt;"",I379,""))</f>
        <v/>
      </c>
      <c r="W379" s="25">
        <f>IF($E379="","",N(O379)+SUMIFS($AF379:$IN379,$AF$4:$IN$4,"SEW_ACT"))</f>
        <v/>
      </c>
      <c r="X379" s="25">
        <f>IF($E379="","",N(P379)+SUMIFS($AF379:$IN379,$AF$4:$IN$4,"WASH_ACT"))</f>
        <v/>
      </c>
      <c r="Y379" s="25">
        <f>IF($E379="","",W379-X379-N(T379)-N(U379))</f>
        <v/>
      </c>
      <c r="Z379" s="25">
        <f>IF($E379="","",IF(N(K379)-X379&lt;=0.02*N(K379),0,N(K379)-X379))</f>
        <v/>
      </c>
      <c r="AA379" s="24">
        <f>IF($E379="","",IF(S379&lt;&gt;"",S379,IF(N(O379)&gt;0,IF(L379&lt;&gt;"",L379,99999),IFERROR(1/(1/_xlfn.MINIFS($AF$3:$IN$3,$AF$4:$IN$4,"SEW_ACT",$AF379:$IN379,"&gt;0")),99999))))</f>
        <v/>
      </c>
      <c r="AB379" s="26">
        <f>IF(OR($E379="",Z379=0,V379=""),"",1+COUNTIFS(Z$8:Z$707,"&gt;0",V$8:V$707,"&lt;"&amp;V379)+COUNTIFS(Z$8:Z$707,"&gt;0",V$8:V$707,V379,AA$8:AA$707,"&lt;"&amp;AA379)+COUNTIFS(Z$8:Z$707,"&gt;0",V$8:V$707,V379,AA$8:AA$707,AA379,E$8:E$707,"&lt;"&amp;$E379))</f>
        <v/>
      </c>
      <c r="AC379" s="24">
        <f>IF(OR($E379="",Z379=0),"",IFERROR(TODAY()+ROUNDUP(Z379/(SUMIFS($AF379:$IN379,$AF$4:$IN$4,"WASH_ACT")/COUNTIFS($AF$4:$IN$4,"WASH_ACT",$AF379:$IN379,"&gt;0")),0),"no output yet"))</f>
        <v/>
      </c>
      <c r="AD379" s="26">
        <f>IF($E379="","",IFERROR(ROUND(MAX(0,SUMIFS($AF379:$IN379,$AF$4:$IN$4,"SEW_PLAN",$AF$3:$IN$3,"&lt;="&amp;TODAY())-SUMIFS($AF379:$IN379,$AF$4:$IN$4,"SEW_ACT",$AF$3:$IN$3,"&lt;="&amp;TODAY())+N(Q379))/(SUMIFS($AF379:$IN379,$AF$4:$IN$4,"SEW_PLAN")/COUNTIFS($AF$4:$IN$4,"SEW_PLAN",$AF379:$IN379,"&gt;0")),1),0))</f>
        <v/>
      </c>
      <c r="AE379" s="26">
        <f>IF($E379="","",IF(AND(Z379&gt;0,OR(AND(M379&lt;&gt;"",TODAY()&gt;M379),AND(V379&lt;&gt;"",V379-TODAY()&lt;=7))),"Yes","No"))</f>
        <v/>
      </c>
      <c r="AH379">
        <f>IF(OR(AF$3="",AF$3&gt;TODAY()),"",IF(AND(AF379="",AG379=""),"",N(AG379)-N(AF379)))</f>
        <v/>
      </c>
      <c r="AK379">
        <f>IF(OR(AF$3="",AF$3&gt;TODAY()),"",IF(AND(AI379="",AJ379=""),"",N(AJ379)-N(AI379)))</f>
        <v/>
      </c>
      <c r="AO379">
        <f>IF(OR(AM$3="",AM$3&gt;TODAY()),"",IF(AND(AM379="",AN379=""),"",N(AN379)-N(AM379)))</f>
        <v/>
      </c>
      <c r="AR379">
        <f>IF(OR(AM$3="",AM$3&gt;TODAY()),"",IF(AND(AP379="",AQ379=""),"",N(AQ379)-N(AP379)))</f>
        <v/>
      </c>
      <c r="AV379">
        <f>IF(OR(AT$3="",AT$3&gt;TODAY()),"",IF(AND(AT379="",AU379=""),"",N(AU379)-N(AT379)))</f>
        <v/>
      </c>
      <c r="AY379">
        <f>IF(OR(AT$3="",AT$3&gt;TODAY()),"",IF(AND(AW379="",AX379=""),"",N(AX379)-N(AW379)))</f>
        <v/>
      </c>
      <c r="BC379">
        <f>IF(OR(BA$3="",BA$3&gt;TODAY()),"",IF(AND(BA379="",BB379=""),"",N(BB379)-N(BA379)))</f>
        <v/>
      </c>
      <c r="BF379">
        <f>IF(OR(BA$3="",BA$3&gt;TODAY()),"",IF(AND(BD379="",BE379=""),"",N(BE379)-N(BD379)))</f>
        <v/>
      </c>
      <c r="BJ379">
        <f>IF(OR(BH$3="",BH$3&gt;TODAY()),"",IF(AND(BH379="",BI379=""),"",N(BI379)-N(BH379)))</f>
        <v/>
      </c>
      <c r="BM379">
        <f>IF(OR(BH$3="",BH$3&gt;TODAY()),"",IF(AND(BK379="",BL379=""),"",N(BL379)-N(BK379)))</f>
        <v/>
      </c>
      <c r="BQ379">
        <f>IF(OR(BO$3="",BO$3&gt;TODAY()),"",IF(AND(BO379="",BP379=""),"",N(BP379)-N(BO379)))</f>
        <v/>
      </c>
      <c r="BT379">
        <f>IF(OR(BO$3="",BO$3&gt;TODAY()),"",IF(AND(BR379="",BS379=""),"",N(BS379)-N(BR379)))</f>
        <v/>
      </c>
      <c r="BX379">
        <f>IF(OR(BV$3="",BV$3&gt;TODAY()),"",IF(AND(BV379="",BW379=""),"",N(BW379)-N(BV379)))</f>
        <v/>
      </c>
      <c r="CA379">
        <f>IF(OR(BV$3="",BV$3&gt;TODAY()),"",IF(AND(BY379="",BZ379=""),"",N(BZ379)-N(BY379)))</f>
        <v/>
      </c>
      <c r="CE379">
        <f>IF(OR(CC$3="",CC$3&gt;TODAY()),"",IF(AND(CC379="",CD379=""),"",N(CD379)-N(CC379)))</f>
        <v/>
      </c>
      <c r="CH379">
        <f>IF(OR(CC$3="",CC$3&gt;TODAY()),"",IF(AND(CF379="",CG379=""),"",N(CG379)-N(CF379)))</f>
        <v/>
      </c>
      <c r="CL379">
        <f>IF(OR(CJ$3="",CJ$3&gt;TODAY()),"",IF(AND(CJ379="",CK379=""),"",N(CK379)-N(CJ379)))</f>
        <v/>
      </c>
      <c r="CO379">
        <f>IF(OR(CJ$3="",CJ$3&gt;TODAY()),"",IF(AND(CM379="",CN379=""),"",N(CN379)-N(CM379)))</f>
        <v/>
      </c>
      <c r="CS379">
        <f>IF(OR(CQ$3="",CQ$3&gt;TODAY()),"",IF(AND(CQ379="",CR379=""),"",N(CR379)-N(CQ379)))</f>
        <v/>
      </c>
      <c r="CV379">
        <f>IF(OR(CQ$3="",CQ$3&gt;TODAY()),"",IF(AND(CT379="",CU379=""),"",N(CU379)-N(CT379)))</f>
        <v/>
      </c>
      <c r="CZ379">
        <f>IF(OR(CX$3="",CX$3&gt;TODAY()),"",IF(AND(CX379="",CY379=""),"",N(CY379)-N(CX379)))</f>
        <v/>
      </c>
      <c r="DC379">
        <f>IF(OR(CX$3="",CX$3&gt;TODAY()),"",IF(AND(DA379="",DB379=""),"",N(DB379)-N(DA379)))</f>
        <v/>
      </c>
      <c r="DG379">
        <f>IF(OR(DE$3="",DE$3&gt;TODAY()),"",IF(AND(DE379="",DF379=""),"",N(DF379)-N(DE379)))</f>
        <v/>
      </c>
      <c r="DJ379">
        <f>IF(OR(DE$3="",DE$3&gt;TODAY()),"",IF(AND(DH379="",DI379=""),"",N(DI379)-N(DH379)))</f>
        <v/>
      </c>
      <c r="DN379">
        <f>IF(OR(DL$3="",DL$3&gt;TODAY()),"",IF(AND(DL379="",DM379=""),"",N(DM379)-N(DL379)))</f>
        <v/>
      </c>
      <c r="DQ379">
        <f>IF(OR(DL$3="",DL$3&gt;TODAY()),"",IF(AND(DO379="",DP379=""),"",N(DP379)-N(DO379)))</f>
        <v/>
      </c>
      <c r="DU379">
        <f>IF(OR(DS$3="",DS$3&gt;TODAY()),"",IF(AND(DS379="",DT379=""),"",N(DT379)-N(DS379)))</f>
        <v/>
      </c>
      <c r="DX379">
        <f>IF(OR(DS$3="",DS$3&gt;TODAY()),"",IF(AND(DV379="",DW379=""),"",N(DW379)-N(DV379)))</f>
        <v/>
      </c>
      <c r="EB379">
        <f>IF(OR(DZ$3="",DZ$3&gt;TODAY()),"",IF(AND(DZ379="",EA379=""),"",N(EA379)-N(DZ379)))</f>
        <v/>
      </c>
      <c r="EE379">
        <f>IF(OR(DZ$3="",DZ$3&gt;TODAY()),"",IF(AND(EC379="",ED379=""),"",N(ED379)-N(EC379)))</f>
        <v/>
      </c>
      <c r="EI379">
        <f>IF(OR(EG$3="",EG$3&gt;TODAY()),"",IF(AND(EG379="",EH379=""),"",N(EH379)-N(EG379)))</f>
        <v/>
      </c>
      <c r="EL379">
        <f>IF(OR(EG$3="",EG$3&gt;TODAY()),"",IF(AND(EJ379="",EK379=""),"",N(EK379)-N(EJ379)))</f>
        <v/>
      </c>
      <c r="EP379">
        <f>IF(OR(EN$3="",EN$3&gt;TODAY()),"",IF(AND(EN379="",EO379=""),"",N(EO379)-N(EN379)))</f>
        <v/>
      </c>
      <c r="ES379">
        <f>IF(OR(EN$3="",EN$3&gt;TODAY()),"",IF(AND(EQ379="",ER379=""),"",N(ER379)-N(EQ379)))</f>
        <v/>
      </c>
      <c r="EW379">
        <f>IF(OR(EU$3="",EU$3&gt;TODAY()),"",IF(AND(EU379="",EV379=""),"",N(EV379)-N(EU379)))</f>
        <v/>
      </c>
      <c r="EZ379">
        <f>IF(OR(EU$3="",EU$3&gt;TODAY()),"",IF(AND(EX379="",EY379=""),"",N(EY379)-N(EX379)))</f>
        <v/>
      </c>
      <c r="FD379">
        <f>IF(OR(FB$3="",FB$3&gt;TODAY()),"",IF(AND(FB379="",FC379=""),"",N(FC379)-N(FB379)))</f>
        <v/>
      </c>
      <c r="FG379">
        <f>IF(OR(FB$3="",FB$3&gt;TODAY()),"",IF(AND(FE379="",FF379=""),"",N(FF379)-N(FE379)))</f>
        <v/>
      </c>
      <c r="FK379">
        <f>IF(OR(FI$3="",FI$3&gt;TODAY()),"",IF(AND(FI379="",FJ379=""),"",N(FJ379)-N(FI379)))</f>
        <v/>
      </c>
      <c r="FN379">
        <f>IF(OR(FI$3="",FI$3&gt;TODAY()),"",IF(AND(FL379="",FM379=""),"",N(FM379)-N(FL379)))</f>
        <v/>
      </c>
      <c r="FR379">
        <f>IF(OR(FP$3="",FP$3&gt;TODAY()),"",IF(AND(FP379="",FQ379=""),"",N(FQ379)-N(FP379)))</f>
        <v/>
      </c>
      <c r="FU379">
        <f>IF(OR(FP$3="",FP$3&gt;TODAY()),"",IF(AND(FS379="",FT379=""),"",N(FT379)-N(FS379)))</f>
        <v/>
      </c>
      <c r="FY379">
        <f>IF(OR(FW$3="",FW$3&gt;TODAY()),"",IF(AND(FW379="",FX379=""),"",N(FX379)-N(FW379)))</f>
        <v/>
      </c>
      <c r="GB379">
        <f>IF(OR(FW$3="",FW$3&gt;TODAY()),"",IF(AND(FZ379="",GA379=""),"",N(GA379)-N(FZ379)))</f>
        <v/>
      </c>
      <c r="GF379">
        <f>IF(OR(GD$3="",GD$3&gt;TODAY()),"",IF(AND(GD379="",GE379=""),"",N(GE379)-N(GD379)))</f>
        <v/>
      </c>
      <c r="GI379">
        <f>IF(OR(GD$3="",GD$3&gt;TODAY()),"",IF(AND(GG379="",GH379=""),"",N(GH379)-N(GG379)))</f>
        <v/>
      </c>
      <c r="GM379">
        <f>IF(OR(GK$3="",GK$3&gt;TODAY()),"",IF(AND(GK379="",GL379=""),"",N(GL379)-N(GK379)))</f>
        <v/>
      </c>
      <c r="GP379">
        <f>IF(OR(GK$3="",GK$3&gt;TODAY()),"",IF(AND(GN379="",GO379=""),"",N(GO379)-N(GN379)))</f>
        <v/>
      </c>
      <c r="GT379">
        <f>IF(OR(GR$3="",GR$3&gt;TODAY()),"",IF(AND(GR379="",GS379=""),"",N(GS379)-N(GR379)))</f>
        <v/>
      </c>
      <c r="GW379">
        <f>IF(OR(GR$3="",GR$3&gt;TODAY()),"",IF(AND(GU379="",GV379=""),"",N(GV379)-N(GU379)))</f>
        <v/>
      </c>
      <c r="HA379">
        <f>IF(OR(GY$3="",GY$3&gt;TODAY()),"",IF(AND(GY379="",GZ379=""),"",N(GZ379)-N(GY379)))</f>
        <v/>
      </c>
      <c r="HD379">
        <f>IF(OR(GY$3="",GY$3&gt;TODAY()),"",IF(AND(HB379="",HC379=""),"",N(HC379)-N(HB379)))</f>
        <v/>
      </c>
      <c r="HH379">
        <f>IF(OR(HF$3="",HF$3&gt;TODAY()),"",IF(AND(HF379="",HG379=""),"",N(HG379)-N(HF379)))</f>
        <v/>
      </c>
      <c r="HK379">
        <f>IF(OR(HF$3="",HF$3&gt;TODAY()),"",IF(AND(HI379="",HJ379=""),"",N(HJ379)-N(HI379)))</f>
        <v/>
      </c>
      <c r="HO379">
        <f>IF(OR(HM$3="",HM$3&gt;TODAY()),"",IF(AND(HM379="",HN379=""),"",N(HN379)-N(HM379)))</f>
        <v/>
      </c>
      <c r="HR379">
        <f>IF(OR(HM$3="",HM$3&gt;TODAY()),"",IF(AND(HP379="",HQ379=""),"",N(HQ379)-N(HP379)))</f>
        <v/>
      </c>
      <c r="HV379">
        <f>IF(OR(HT$3="",HT$3&gt;TODAY()),"",IF(AND(HT379="",HU379=""),"",N(HU379)-N(HT379)))</f>
        <v/>
      </c>
      <c r="HY379">
        <f>IF(OR(HT$3="",HT$3&gt;TODAY()),"",IF(AND(HW379="",HX379=""),"",N(HX379)-N(HW379)))</f>
        <v/>
      </c>
      <c r="IC379">
        <f>IF(OR(IA$3="",IA$3&gt;TODAY()),"",IF(AND(IA379="",IB379=""),"",N(IB379)-N(IA379)))</f>
        <v/>
      </c>
      <c r="IF379">
        <f>IF(OR(IA$3="",IA$3&gt;TODAY()),"",IF(AND(ID379="",IE379=""),"",N(IE379)-N(ID379)))</f>
        <v/>
      </c>
      <c r="IJ379">
        <f>IF(OR(IH$3="",IH$3&gt;TODAY()),"",IF(AND(IH379="",II379=""),"",N(II379)-N(IH379)))</f>
        <v/>
      </c>
      <c r="IM379">
        <f>IF(OR(IH$3="",IH$3&gt;TODAY()),"",IF(AND(IK379="",IL379=""),"",N(IL379)-N(IK379)))</f>
        <v/>
      </c>
    </row>
    <row r="380">
      <c r="A380" s="21" t="n"/>
      <c r="B380" s="21" t="n"/>
      <c r="C380" s="21" t="n"/>
      <c r="D380" s="21" t="n"/>
      <c r="E380" s="21" t="n"/>
      <c r="F380" s="21" t="n"/>
      <c r="G380" s="21" t="n"/>
      <c r="H380" s="21" t="n"/>
      <c r="I380" s="22" t="n"/>
      <c r="J380" s="22" t="n"/>
      <c r="K380" s="23" t="n"/>
      <c r="L380" s="22" t="n"/>
      <c r="M380" s="22" t="n"/>
      <c r="N380" s="21" t="n"/>
      <c r="O380" s="23" t="n"/>
      <c r="P380" s="23" t="n"/>
      <c r="Q380" s="23" t="n"/>
      <c r="R380" s="23" t="n"/>
      <c r="S380" s="22" t="n"/>
      <c r="T380" s="23" t="n"/>
      <c r="U380" s="23" t="n"/>
      <c r="V380" s="24">
        <f>IF(J380&lt;&gt;"",J380,IF(I380&lt;&gt;"",I380,""))</f>
        <v/>
      </c>
      <c r="W380" s="25">
        <f>IF($E380="","",N(O380)+SUMIFS($AF380:$IN380,$AF$4:$IN$4,"SEW_ACT"))</f>
        <v/>
      </c>
      <c r="X380" s="25">
        <f>IF($E380="","",N(P380)+SUMIFS($AF380:$IN380,$AF$4:$IN$4,"WASH_ACT"))</f>
        <v/>
      </c>
      <c r="Y380" s="25">
        <f>IF($E380="","",W380-X380-N(T380)-N(U380))</f>
        <v/>
      </c>
      <c r="Z380" s="25">
        <f>IF($E380="","",IF(N(K380)-X380&lt;=0.02*N(K380),0,N(K380)-X380))</f>
        <v/>
      </c>
      <c r="AA380" s="24">
        <f>IF($E380="","",IF(S380&lt;&gt;"",S380,IF(N(O380)&gt;0,IF(L380&lt;&gt;"",L380,99999),IFERROR(1/(1/_xlfn.MINIFS($AF$3:$IN$3,$AF$4:$IN$4,"SEW_ACT",$AF380:$IN380,"&gt;0")),99999))))</f>
        <v/>
      </c>
      <c r="AB380" s="26">
        <f>IF(OR($E380="",Z380=0,V380=""),"",1+COUNTIFS(Z$8:Z$707,"&gt;0",V$8:V$707,"&lt;"&amp;V380)+COUNTIFS(Z$8:Z$707,"&gt;0",V$8:V$707,V380,AA$8:AA$707,"&lt;"&amp;AA380)+COUNTIFS(Z$8:Z$707,"&gt;0",V$8:V$707,V380,AA$8:AA$707,AA380,E$8:E$707,"&lt;"&amp;$E380))</f>
        <v/>
      </c>
      <c r="AC380" s="24">
        <f>IF(OR($E380="",Z380=0),"",IFERROR(TODAY()+ROUNDUP(Z380/(SUMIFS($AF380:$IN380,$AF$4:$IN$4,"WASH_ACT")/COUNTIFS($AF$4:$IN$4,"WASH_ACT",$AF380:$IN380,"&gt;0")),0),"no output yet"))</f>
        <v/>
      </c>
      <c r="AD380" s="26">
        <f>IF($E380="","",IFERROR(ROUND(MAX(0,SUMIFS($AF380:$IN380,$AF$4:$IN$4,"SEW_PLAN",$AF$3:$IN$3,"&lt;="&amp;TODAY())-SUMIFS($AF380:$IN380,$AF$4:$IN$4,"SEW_ACT",$AF$3:$IN$3,"&lt;="&amp;TODAY())+N(Q380))/(SUMIFS($AF380:$IN380,$AF$4:$IN$4,"SEW_PLAN")/COUNTIFS($AF$4:$IN$4,"SEW_PLAN",$AF380:$IN380,"&gt;0")),1),0))</f>
        <v/>
      </c>
      <c r="AE380" s="26">
        <f>IF($E380="","",IF(AND(Z380&gt;0,OR(AND(M380&lt;&gt;"",TODAY()&gt;M380),AND(V380&lt;&gt;"",V380-TODAY()&lt;=7))),"Yes","No"))</f>
        <v/>
      </c>
      <c r="AH380">
        <f>IF(OR(AF$3="",AF$3&gt;TODAY()),"",IF(AND(AF380="",AG380=""),"",N(AG380)-N(AF380)))</f>
        <v/>
      </c>
      <c r="AK380">
        <f>IF(OR(AF$3="",AF$3&gt;TODAY()),"",IF(AND(AI380="",AJ380=""),"",N(AJ380)-N(AI380)))</f>
        <v/>
      </c>
      <c r="AO380">
        <f>IF(OR(AM$3="",AM$3&gt;TODAY()),"",IF(AND(AM380="",AN380=""),"",N(AN380)-N(AM380)))</f>
        <v/>
      </c>
      <c r="AR380">
        <f>IF(OR(AM$3="",AM$3&gt;TODAY()),"",IF(AND(AP380="",AQ380=""),"",N(AQ380)-N(AP380)))</f>
        <v/>
      </c>
      <c r="AV380">
        <f>IF(OR(AT$3="",AT$3&gt;TODAY()),"",IF(AND(AT380="",AU380=""),"",N(AU380)-N(AT380)))</f>
        <v/>
      </c>
      <c r="AY380">
        <f>IF(OR(AT$3="",AT$3&gt;TODAY()),"",IF(AND(AW380="",AX380=""),"",N(AX380)-N(AW380)))</f>
        <v/>
      </c>
      <c r="BC380">
        <f>IF(OR(BA$3="",BA$3&gt;TODAY()),"",IF(AND(BA380="",BB380=""),"",N(BB380)-N(BA380)))</f>
        <v/>
      </c>
      <c r="BF380">
        <f>IF(OR(BA$3="",BA$3&gt;TODAY()),"",IF(AND(BD380="",BE380=""),"",N(BE380)-N(BD380)))</f>
        <v/>
      </c>
      <c r="BJ380">
        <f>IF(OR(BH$3="",BH$3&gt;TODAY()),"",IF(AND(BH380="",BI380=""),"",N(BI380)-N(BH380)))</f>
        <v/>
      </c>
      <c r="BM380">
        <f>IF(OR(BH$3="",BH$3&gt;TODAY()),"",IF(AND(BK380="",BL380=""),"",N(BL380)-N(BK380)))</f>
        <v/>
      </c>
      <c r="BQ380">
        <f>IF(OR(BO$3="",BO$3&gt;TODAY()),"",IF(AND(BO380="",BP380=""),"",N(BP380)-N(BO380)))</f>
        <v/>
      </c>
      <c r="BT380">
        <f>IF(OR(BO$3="",BO$3&gt;TODAY()),"",IF(AND(BR380="",BS380=""),"",N(BS380)-N(BR380)))</f>
        <v/>
      </c>
      <c r="BX380">
        <f>IF(OR(BV$3="",BV$3&gt;TODAY()),"",IF(AND(BV380="",BW380=""),"",N(BW380)-N(BV380)))</f>
        <v/>
      </c>
      <c r="CA380">
        <f>IF(OR(BV$3="",BV$3&gt;TODAY()),"",IF(AND(BY380="",BZ380=""),"",N(BZ380)-N(BY380)))</f>
        <v/>
      </c>
      <c r="CE380">
        <f>IF(OR(CC$3="",CC$3&gt;TODAY()),"",IF(AND(CC380="",CD380=""),"",N(CD380)-N(CC380)))</f>
        <v/>
      </c>
      <c r="CH380">
        <f>IF(OR(CC$3="",CC$3&gt;TODAY()),"",IF(AND(CF380="",CG380=""),"",N(CG380)-N(CF380)))</f>
        <v/>
      </c>
      <c r="CL380">
        <f>IF(OR(CJ$3="",CJ$3&gt;TODAY()),"",IF(AND(CJ380="",CK380=""),"",N(CK380)-N(CJ380)))</f>
        <v/>
      </c>
      <c r="CO380">
        <f>IF(OR(CJ$3="",CJ$3&gt;TODAY()),"",IF(AND(CM380="",CN380=""),"",N(CN380)-N(CM380)))</f>
        <v/>
      </c>
      <c r="CS380">
        <f>IF(OR(CQ$3="",CQ$3&gt;TODAY()),"",IF(AND(CQ380="",CR380=""),"",N(CR380)-N(CQ380)))</f>
        <v/>
      </c>
      <c r="CV380">
        <f>IF(OR(CQ$3="",CQ$3&gt;TODAY()),"",IF(AND(CT380="",CU380=""),"",N(CU380)-N(CT380)))</f>
        <v/>
      </c>
      <c r="CZ380">
        <f>IF(OR(CX$3="",CX$3&gt;TODAY()),"",IF(AND(CX380="",CY380=""),"",N(CY380)-N(CX380)))</f>
        <v/>
      </c>
      <c r="DC380">
        <f>IF(OR(CX$3="",CX$3&gt;TODAY()),"",IF(AND(DA380="",DB380=""),"",N(DB380)-N(DA380)))</f>
        <v/>
      </c>
      <c r="DG380">
        <f>IF(OR(DE$3="",DE$3&gt;TODAY()),"",IF(AND(DE380="",DF380=""),"",N(DF380)-N(DE380)))</f>
        <v/>
      </c>
      <c r="DJ380">
        <f>IF(OR(DE$3="",DE$3&gt;TODAY()),"",IF(AND(DH380="",DI380=""),"",N(DI380)-N(DH380)))</f>
        <v/>
      </c>
      <c r="DN380">
        <f>IF(OR(DL$3="",DL$3&gt;TODAY()),"",IF(AND(DL380="",DM380=""),"",N(DM380)-N(DL380)))</f>
        <v/>
      </c>
      <c r="DQ380">
        <f>IF(OR(DL$3="",DL$3&gt;TODAY()),"",IF(AND(DO380="",DP380=""),"",N(DP380)-N(DO380)))</f>
        <v/>
      </c>
      <c r="DU380">
        <f>IF(OR(DS$3="",DS$3&gt;TODAY()),"",IF(AND(DS380="",DT380=""),"",N(DT380)-N(DS380)))</f>
        <v/>
      </c>
      <c r="DX380">
        <f>IF(OR(DS$3="",DS$3&gt;TODAY()),"",IF(AND(DV380="",DW380=""),"",N(DW380)-N(DV380)))</f>
        <v/>
      </c>
      <c r="EB380">
        <f>IF(OR(DZ$3="",DZ$3&gt;TODAY()),"",IF(AND(DZ380="",EA380=""),"",N(EA380)-N(DZ380)))</f>
        <v/>
      </c>
      <c r="EE380">
        <f>IF(OR(DZ$3="",DZ$3&gt;TODAY()),"",IF(AND(EC380="",ED380=""),"",N(ED380)-N(EC380)))</f>
        <v/>
      </c>
      <c r="EI380">
        <f>IF(OR(EG$3="",EG$3&gt;TODAY()),"",IF(AND(EG380="",EH380=""),"",N(EH380)-N(EG380)))</f>
        <v/>
      </c>
      <c r="EL380">
        <f>IF(OR(EG$3="",EG$3&gt;TODAY()),"",IF(AND(EJ380="",EK380=""),"",N(EK380)-N(EJ380)))</f>
        <v/>
      </c>
      <c r="EP380">
        <f>IF(OR(EN$3="",EN$3&gt;TODAY()),"",IF(AND(EN380="",EO380=""),"",N(EO380)-N(EN380)))</f>
        <v/>
      </c>
      <c r="ES380">
        <f>IF(OR(EN$3="",EN$3&gt;TODAY()),"",IF(AND(EQ380="",ER380=""),"",N(ER380)-N(EQ380)))</f>
        <v/>
      </c>
      <c r="EW380">
        <f>IF(OR(EU$3="",EU$3&gt;TODAY()),"",IF(AND(EU380="",EV380=""),"",N(EV380)-N(EU380)))</f>
        <v/>
      </c>
      <c r="EZ380">
        <f>IF(OR(EU$3="",EU$3&gt;TODAY()),"",IF(AND(EX380="",EY380=""),"",N(EY380)-N(EX380)))</f>
        <v/>
      </c>
      <c r="FD380">
        <f>IF(OR(FB$3="",FB$3&gt;TODAY()),"",IF(AND(FB380="",FC380=""),"",N(FC380)-N(FB380)))</f>
        <v/>
      </c>
      <c r="FG380">
        <f>IF(OR(FB$3="",FB$3&gt;TODAY()),"",IF(AND(FE380="",FF380=""),"",N(FF380)-N(FE380)))</f>
        <v/>
      </c>
      <c r="FK380">
        <f>IF(OR(FI$3="",FI$3&gt;TODAY()),"",IF(AND(FI380="",FJ380=""),"",N(FJ380)-N(FI380)))</f>
        <v/>
      </c>
      <c r="FN380">
        <f>IF(OR(FI$3="",FI$3&gt;TODAY()),"",IF(AND(FL380="",FM380=""),"",N(FM380)-N(FL380)))</f>
        <v/>
      </c>
      <c r="FR380">
        <f>IF(OR(FP$3="",FP$3&gt;TODAY()),"",IF(AND(FP380="",FQ380=""),"",N(FQ380)-N(FP380)))</f>
        <v/>
      </c>
      <c r="FU380">
        <f>IF(OR(FP$3="",FP$3&gt;TODAY()),"",IF(AND(FS380="",FT380=""),"",N(FT380)-N(FS380)))</f>
        <v/>
      </c>
      <c r="FY380">
        <f>IF(OR(FW$3="",FW$3&gt;TODAY()),"",IF(AND(FW380="",FX380=""),"",N(FX380)-N(FW380)))</f>
        <v/>
      </c>
      <c r="GB380">
        <f>IF(OR(FW$3="",FW$3&gt;TODAY()),"",IF(AND(FZ380="",GA380=""),"",N(GA380)-N(FZ380)))</f>
        <v/>
      </c>
      <c r="GF380">
        <f>IF(OR(GD$3="",GD$3&gt;TODAY()),"",IF(AND(GD380="",GE380=""),"",N(GE380)-N(GD380)))</f>
        <v/>
      </c>
      <c r="GI380">
        <f>IF(OR(GD$3="",GD$3&gt;TODAY()),"",IF(AND(GG380="",GH380=""),"",N(GH380)-N(GG380)))</f>
        <v/>
      </c>
      <c r="GM380">
        <f>IF(OR(GK$3="",GK$3&gt;TODAY()),"",IF(AND(GK380="",GL380=""),"",N(GL380)-N(GK380)))</f>
        <v/>
      </c>
      <c r="GP380">
        <f>IF(OR(GK$3="",GK$3&gt;TODAY()),"",IF(AND(GN380="",GO380=""),"",N(GO380)-N(GN380)))</f>
        <v/>
      </c>
      <c r="GT380">
        <f>IF(OR(GR$3="",GR$3&gt;TODAY()),"",IF(AND(GR380="",GS380=""),"",N(GS380)-N(GR380)))</f>
        <v/>
      </c>
      <c r="GW380">
        <f>IF(OR(GR$3="",GR$3&gt;TODAY()),"",IF(AND(GU380="",GV380=""),"",N(GV380)-N(GU380)))</f>
        <v/>
      </c>
      <c r="HA380">
        <f>IF(OR(GY$3="",GY$3&gt;TODAY()),"",IF(AND(GY380="",GZ380=""),"",N(GZ380)-N(GY380)))</f>
        <v/>
      </c>
      <c r="HD380">
        <f>IF(OR(GY$3="",GY$3&gt;TODAY()),"",IF(AND(HB380="",HC380=""),"",N(HC380)-N(HB380)))</f>
        <v/>
      </c>
      <c r="HH380">
        <f>IF(OR(HF$3="",HF$3&gt;TODAY()),"",IF(AND(HF380="",HG380=""),"",N(HG380)-N(HF380)))</f>
        <v/>
      </c>
      <c r="HK380">
        <f>IF(OR(HF$3="",HF$3&gt;TODAY()),"",IF(AND(HI380="",HJ380=""),"",N(HJ380)-N(HI380)))</f>
        <v/>
      </c>
      <c r="HO380">
        <f>IF(OR(HM$3="",HM$3&gt;TODAY()),"",IF(AND(HM380="",HN380=""),"",N(HN380)-N(HM380)))</f>
        <v/>
      </c>
      <c r="HR380">
        <f>IF(OR(HM$3="",HM$3&gt;TODAY()),"",IF(AND(HP380="",HQ380=""),"",N(HQ380)-N(HP380)))</f>
        <v/>
      </c>
      <c r="HV380">
        <f>IF(OR(HT$3="",HT$3&gt;TODAY()),"",IF(AND(HT380="",HU380=""),"",N(HU380)-N(HT380)))</f>
        <v/>
      </c>
      <c r="HY380">
        <f>IF(OR(HT$3="",HT$3&gt;TODAY()),"",IF(AND(HW380="",HX380=""),"",N(HX380)-N(HW380)))</f>
        <v/>
      </c>
      <c r="IC380">
        <f>IF(OR(IA$3="",IA$3&gt;TODAY()),"",IF(AND(IA380="",IB380=""),"",N(IB380)-N(IA380)))</f>
        <v/>
      </c>
      <c r="IF380">
        <f>IF(OR(IA$3="",IA$3&gt;TODAY()),"",IF(AND(ID380="",IE380=""),"",N(IE380)-N(ID380)))</f>
        <v/>
      </c>
      <c r="IJ380">
        <f>IF(OR(IH$3="",IH$3&gt;TODAY()),"",IF(AND(IH380="",II380=""),"",N(II380)-N(IH380)))</f>
        <v/>
      </c>
      <c r="IM380">
        <f>IF(OR(IH$3="",IH$3&gt;TODAY()),"",IF(AND(IK380="",IL380=""),"",N(IL380)-N(IK380)))</f>
        <v/>
      </c>
    </row>
    <row r="381">
      <c r="A381" s="21" t="n"/>
      <c r="B381" s="21" t="n"/>
      <c r="C381" s="21" t="n"/>
      <c r="D381" s="21" t="n"/>
      <c r="E381" s="21" t="n"/>
      <c r="F381" s="21" t="n"/>
      <c r="G381" s="21" t="n"/>
      <c r="H381" s="21" t="n"/>
      <c r="I381" s="22" t="n"/>
      <c r="J381" s="22" t="n"/>
      <c r="K381" s="23" t="n"/>
      <c r="L381" s="22" t="n"/>
      <c r="M381" s="22" t="n"/>
      <c r="N381" s="21" t="n"/>
      <c r="O381" s="23" t="n"/>
      <c r="P381" s="23" t="n"/>
      <c r="Q381" s="23" t="n"/>
      <c r="R381" s="23" t="n"/>
      <c r="S381" s="22" t="n"/>
      <c r="T381" s="23" t="n"/>
      <c r="U381" s="23" t="n"/>
      <c r="V381" s="24">
        <f>IF(J381&lt;&gt;"",J381,IF(I381&lt;&gt;"",I381,""))</f>
        <v/>
      </c>
      <c r="W381" s="25">
        <f>IF($E381="","",N(O381)+SUMIFS($AF381:$IN381,$AF$4:$IN$4,"SEW_ACT"))</f>
        <v/>
      </c>
      <c r="X381" s="25">
        <f>IF($E381="","",N(P381)+SUMIFS($AF381:$IN381,$AF$4:$IN$4,"WASH_ACT"))</f>
        <v/>
      </c>
      <c r="Y381" s="25">
        <f>IF($E381="","",W381-X381-N(T381)-N(U381))</f>
        <v/>
      </c>
      <c r="Z381" s="25">
        <f>IF($E381="","",IF(N(K381)-X381&lt;=0.02*N(K381),0,N(K381)-X381))</f>
        <v/>
      </c>
      <c r="AA381" s="24">
        <f>IF($E381="","",IF(S381&lt;&gt;"",S381,IF(N(O381)&gt;0,IF(L381&lt;&gt;"",L381,99999),IFERROR(1/(1/_xlfn.MINIFS($AF$3:$IN$3,$AF$4:$IN$4,"SEW_ACT",$AF381:$IN381,"&gt;0")),99999))))</f>
        <v/>
      </c>
      <c r="AB381" s="26">
        <f>IF(OR($E381="",Z381=0,V381=""),"",1+COUNTIFS(Z$8:Z$707,"&gt;0",V$8:V$707,"&lt;"&amp;V381)+COUNTIFS(Z$8:Z$707,"&gt;0",V$8:V$707,V381,AA$8:AA$707,"&lt;"&amp;AA381)+COUNTIFS(Z$8:Z$707,"&gt;0",V$8:V$707,V381,AA$8:AA$707,AA381,E$8:E$707,"&lt;"&amp;$E381))</f>
        <v/>
      </c>
      <c r="AC381" s="24">
        <f>IF(OR($E381="",Z381=0),"",IFERROR(TODAY()+ROUNDUP(Z381/(SUMIFS($AF381:$IN381,$AF$4:$IN$4,"WASH_ACT")/COUNTIFS($AF$4:$IN$4,"WASH_ACT",$AF381:$IN381,"&gt;0")),0),"no output yet"))</f>
        <v/>
      </c>
      <c r="AD381" s="26">
        <f>IF($E381="","",IFERROR(ROUND(MAX(0,SUMIFS($AF381:$IN381,$AF$4:$IN$4,"SEW_PLAN",$AF$3:$IN$3,"&lt;="&amp;TODAY())-SUMIFS($AF381:$IN381,$AF$4:$IN$4,"SEW_ACT",$AF$3:$IN$3,"&lt;="&amp;TODAY())+N(Q381))/(SUMIFS($AF381:$IN381,$AF$4:$IN$4,"SEW_PLAN")/COUNTIFS($AF$4:$IN$4,"SEW_PLAN",$AF381:$IN381,"&gt;0")),1),0))</f>
        <v/>
      </c>
      <c r="AE381" s="26">
        <f>IF($E381="","",IF(AND(Z381&gt;0,OR(AND(M381&lt;&gt;"",TODAY()&gt;M381),AND(V381&lt;&gt;"",V381-TODAY()&lt;=7))),"Yes","No"))</f>
        <v/>
      </c>
      <c r="AH381">
        <f>IF(OR(AF$3="",AF$3&gt;TODAY()),"",IF(AND(AF381="",AG381=""),"",N(AG381)-N(AF381)))</f>
        <v/>
      </c>
      <c r="AK381">
        <f>IF(OR(AF$3="",AF$3&gt;TODAY()),"",IF(AND(AI381="",AJ381=""),"",N(AJ381)-N(AI381)))</f>
        <v/>
      </c>
      <c r="AO381">
        <f>IF(OR(AM$3="",AM$3&gt;TODAY()),"",IF(AND(AM381="",AN381=""),"",N(AN381)-N(AM381)))</f>
        <v/>
      </c>
      <c r="AR381">
        <f>IF(OR(AM$3="",AM$3&gt;TODAY()),"",IF(AND(AP381="",AQ381=""),"",N(AQ381)-N(AP381)))</f>
        <v/>
      </c>
      <c r="AV381">
        <f>IF(OR(AT$3="",AT$3&gt;TODAY()),"",IF(AND(AT381="",AU381=""),"",N(AU381)-N(AT381)))</f>
        <v/>
      </c>
      <c r="AY381">
        <f>IF(OR(AT$3="",AT$3&gt;TODAY()),"",IF(AND(AW381="",AX381=""),"",N(AX381)-N(AW381)))</f>
        <v/>
      </c>
      <c r="BC381">
        <f>IF(OR(BA$3="",BA$3&gt;TODAY()),"",IF(AND(BA381="",BB381=""),"",N(BB381)-N(BA381)))</f>
        <v/>
      </c>
      <c r="BF381">
        <f>IF(OR(BA$3="",BA$3&gt;TODAY()),"",IF(AND(BD381="",BE381=""),"",N(BE381)-N(BD381)))</f>
        <v/>
      </c>
      <c r="BJ381">
        <f>IF(OR(BH$3="",BH$3&gt;TODAY()),"",IF(AND(BH381="",BI381=""),"",N(BI381)-N(BH381)))</f>
        <v/>
      </c>
      <c r="BM381">
        <f>IF(OR(BH$3="",BH$3&gt;TODAY()),"",IF(AND(BK381="",BL381=""),"",N(BL381)-N(BK381)))</f>
        <v/>
      </c>
      <c r="BQ381">
        <f>IF(OR(BO$3="",BO$3&gt;TODAY()),"",IF(AND(BO381="",BP381=""),"",N(BP381)-N(BO381)))</f>
        <v/>
      </c>
      <c r="BT381">
        <f>IF(OR(BO$3="",BO$3&gt;TODAY()),"",IF(AND(BR381="",BS381=""),"",N(BS381)-N(BR381)))</f>
        <v/>
      </c>
      <c r="BX381">
        <f>IF(OR(BV$3="",BV$3&gt;TODAY()),"",IF(AND(BV381="",BW381=""),"",N(BW381)-N(BV381)))</f>
        <v/>
      </c>
      <c r="CA381">
        <f>IF(OR(BV$3="",BV$3&gt;TODAY()),"",IF(AND(BY381="",BZ381=""),"",N(BZ381)-N(BY381)))</f>
        <v/>
      </c>
      <c r="CE381">
        <f>IF(OR(CC$3="",CC$3&gt;TODAY()),"",IF(AND(CC381="",CD381=""),"",N(CD381)-N(CC381)))</f>
        <v/>
      </c>
      <c r="CH381">
        <f>IF(OR(CC$3="",CC$3&gt;TODAY()),"",IF(AND(CF381="",CG381=""),"",N(CG381)-N(CF381)))</f>
        <v/>
      </c>
      <c r="CL381">
        <f>IF(OR(CJ$3="",CJ$3&gt;TODAY()),"",IF(AND(CJ381="",CK381=""),"",N(CK381)-N(CJ381)))</f>
        <v/>
      </c>
      <c r="CO381">
        <f>IF(OR(CJ$3="",CJ$3&gt;TODAY()),"",IF(AND(CM381="",CN381=""),"",N(CN381)-N(CM381)))</f>
        <v/>
      </c>
      <c r="CS381">
        <f>IF(OR(CQ$3="",CQ$3&gt;TODAY()),"",IF(AND(CQ381="",CR381=""),"",N(CR381)-N(CQ381)))</f>
        <v/>
      </c>
      <c r="CV381">
        <f>IF(OR(CQ$3="",CQ$3&gt;TODAY()),"",IF(AND(CT381="",CU381=""),"",N(CU381)-N(CT381)))</f>
        <v/>
      </c>
      <c r="CZ381">
        <f>IF(OR(CX$3="",CX$3&gt;TODAY()),"",IF(AND(CX381="",CY381=""),"",N(CY381)-N(CX381)))</f>
        <v/>
      </c>
      <c r="DC381">
        <f>IF(OR(CX$3="",CX$3&gt;TODAY()),"",IF(AND(DA381="",DB381=""),"",N(DB381)-N(DA381)))</f>
        <v/>
      </c>
      <c r="DG381">
        <f>IF(OR(DE$3="",DE$3&gt;TODAY()),"",IF(AND(DE381="",DF381=""),"",N(DF381)-N(DE381)))</f>
        <v/>
      </c>
      <c r="DJ381">
        <f>IF(OR(DE$3="",DE$3&gt;TODAY()),"",IF(AND(DH381="",DI381=""),"",N(DI381)-N(DH381)))</f>
        <v/>
      </c>
      <c r="DN381">
        <f>IF(OR(DL$3="",DL$3&gt;TODAY()),"",IF(AND(DL381="",DM381=""),"",N(DM381)-N(DL381)))</f>
        <v/>
      </c>
      <c r="DQ381">
        <f>IF(OR(DL$3="",DL$3&gt;TODAY()),"",IF(AND(DO381="",DP381=""),"",N(DP381)-N(DO381)))</f>
        <v/>
      </c>
      <c r="DU381">
        <f>IF(OR(DS$3="",DS$3&gt;TODAY()),"",IF(AND(DS381="",DT381=""),"",N(DT381)-N(DS381)))</f>
        <v/>
      </c>
      <c r="DX381">
        <f>IF(OR(DS$3="",DS$3&gt;TODAY()),"",IF(AND(DV381="",DW381=""),"",N(DW381)-N(DV381)))</f>
        <v/>
      </c>
      <c r="EB381">
        <f>IF(OR(DZ$3="",DZ$3&gt;TODAY()),"",IF(AND(DZ381="",EA381=""),"",N(EA381)-N(DZ381)))</f>
        <v/>
      </c>
      <c r="EE381">
        <f>IF(OR(DZ$3="",DZ$3&gt;TODAY()),"",IF(AND(EC381="",ED381=""),"",N(ED381)-N(EC381)))</f>
        <v/>
      </c>
      <c r="EI381">
        <f>IF(OR(EG$3="",EG$3&gt;TODAY()),"",IF(AND(EG381="",EH381=""),"",N(EH381)-N(EG381)))</f>
        <v/>
      </c>
      <c r="EL381">
        <f>IF(OR(EG$3="",EG$3&gt;TODAY()),"",IF(AND(EJ381="",EK381=""),"",N(EK381)-N(EJ381)))</f>
        <v/>
      </c>
      <c r="EP381">
        <f>IF(OR(EN$3="",EN$3&gt;TODAY()),"",IF(AND(EN381="",EO381=""),"",N(EO381)-N(EN381)))</f>
        <v/>
      </c>
      <c r="ES381">
        <f>IF(OR(EN$3="",EN$3&gt;TODAY()),"",IF(AND(EQ381="",ER381=""),"",N(ER381)-N(EQ381)))</f>
        <v/>
      </c>
      <c r="EW381">
        <f>IF(OR(EU$3="",EU$3&gt;TODAY()),"",IF(AND(EU381="",EV381=""),"",N(EV381)-N(EU381)))</f>
        <v/>
      </c>
      <c r="EZ381">
        <f>IF(OR(EU$3="",EU$3&gt;TODAY()),"",IF(AND(EX381="",EY381=""),"",N(EY381)-N(EX381)))</f>
        <v/>
      </c>
      <c r="FD381">
        <f>IF(OR(FB$3="",FB$3&gt;TODAY()),"",IF(AND(FB381="",FC381=""),"",N(FC381)-N(FB381)))</f>
        <v/>
      </c>
      <c r="FG381">
        <f>IF(OR(FB$3="",FB$3&gt;TODAY()),"",IF(AND(FE381="",FF381=""),"",N(FF381)-N(FE381)))</f>
        <v/>
      </c>
      <c r="FK381">
        <f>IF(OR(FI$3="",FI$3&gt;TODAY()),"",IF(AND(FI381="",FJ381=""),"",N(FJ381)-N(FI381)))</f>
        <v/>
      </c>
      <c r="FN381">
        <f>IF(OR(FI$3="",FI$3&gt;TODAY()),"",IF(AND(FL381="",FM381=""),"",N(FM381)-N(FL381)))</f>
        <v/>
      </c>
      <c r="FR381">
        <f>IF(OR(FP$3="",FP$3&gt;TODAY()),"",IF(AND(FP381="",FQ381=""),"",N(FQ381)-N(FP381)))</f>
        <v/>
      </c>
      <c r="FU381">
        <f>IF(OR(FP$3="",FP$3&gt;TODAY()),"",IF(AND(FS381="",FT381=""),"",N(FT381)-N(FS381)))</f>
        <v/>
      </c>
      <c r="FY381">
        <f>IF(OR(FW$3="",FW$3&gt;TODAY()),"",IF(AND(FW381="",FX381=""),"",N(FX381)-N(FW381)))</f>
        <v/>
      </c>
      <c r="GB381">
        <f>IF(OR(FW$3="",FW$3&gt;TODAY()),"",IF(AND(FZ381="",GA381=""),"",N(GA381)-N(FZ381)))</f>
        <v/>
      </c>
      <c r="GF381">
        <f>IF(OR(GD$3="",GD$3&gt;TODAY()),"",IF(AND(GD381="",GE381=""),"",N(GE381)-N(GD381)))</f>
        <v/>
      </c>
      <c r="GI381">
        <f>IF(OR(GD$3="",GD$3&gt;TODAY()),"",IF(AND(GG381="",GH381=""),"",N(GH381)-N(GG381)))</f>
        <v/>
      </c>
      <c r="GM381">
        <f>IF(OR(GK$3="",GK$3&gt;TODAY()),"",IF(AND(GK381="",GL381=""),"",N(GL381)-N(GK381)))</f>
        <v/>
      </c>
      <c r="GP381">
        <f>IF(OR(GK$3="",GK$3&gt;TODAY()),"",IF(AND(GN381="",GO381=""),"",N(GO381)-N(GN381)))</f>
        <v/>
      </c>
      <c r="GT381">
        <f>IF(OR(GR$3="",GR$3&gt;TODAY()),"",IF(AND(GR381="",GS381=""),"",N(GS381)-N(GR381)))</f>
        <v/>
      </c>
      <c r="GW381">
        <f>IF(OR(GR$3="",GR$3&gt;TODAY()),"",IF(AND(GU381="",GV381=""),"",N(GV381)-N(GU381)))</f>
        <v/>
      </c>
      <c r="HA381">
        <f>IF(OR(GY$3="",GY$3&gt;TODAY()),"",IF(AND(GY381="",GZ381=""),"",N(GZ381)-N(GY381)))</f>
        <v/>
      </c>
      <c r="HD381">
        <f>IF(OR(GY$3="",GY$3&gt;TODAY()),"",IF(AND(HB381="",HC381=""),"",N(HC381)-N(HB381)))</f>
        <v/>
      </c>
      <c r="HH381">
        <f>IF(OR(HF$3="",HF$3&gt;TODAY()),"",IF(AND(HF381="",HG381=""),"",N(HG381)-N(HF381)))</f>
        <v/>
      </c>
      <c r="HK381">
        <f>IF(OR(HF$3="",HF$3&gt;TODAY()),"",IF(AND(HI381="",HJ381=""),"",N(HJ381)-N(HI381)))</f>
        <v/>
      </c>
      <c r="HO381">
        <f>IF(OR(HM$3="",HM$3&gt;TODAY()),"",IF(AND(HM381="",HN381=""),"",N(HN381)-N(HM381)))</f>
        <v/>
      </c>
      <c r="HR381">
        <f>IF(OR(HM$3="",HM$3&gt;TODAY()),"",IF(AND(HP381="",HQ381=""),"",N(HQ381)-N(HP381)))</f>
        <v/>
      </c>
      <c r="HV381">
        <f>IF(OR(HT$3="",HT$3&gt;TODAY()),"",IF(AND(HT381="",HU381=""),"",N(HU381)-N(HT381)))</f>
        <v/>
      </c>
      <c r="HY381">
        <f>IF(OR(HT$3="",HT$3&gt;TODAY()),"",IF(AND(HW381="",HX381=""),"",N(HX381)-N(HW381)))</f>
        <v/>
      </c>
      <c r="IC381">
        <f>IF(OR(IA$3="",IA$3&gt;TODAY()),"",IF(AND(IA381="",IB381=""),"",N(IB381)-N(IA381)))</f>
        <v/>
      </c>
      <c r="IF381">
        <f>IF(OR(IA$3="",IA$3&gt;TODAY()),"",IF(AND(ID381="",IE381=""),"",N(IE381)-N(ID381)))</f>
        <v/>
      </c>
      <c r="IJ381">
        <f>IF(OR(IH$3="",IH$3&gt;TODAY()),"",IF(AND(IH381="",II381=""),"",N(II381)-N(IH381)))</f>
        <v/>
      </c>
      <c r="IM381">
        <f>IF(OR(IH$3="",IH$3&gt;TODAY()),"",IF(AND(IK381="",IL381=""),"",N(IL381)-N(IK381)))</f>
        <v/>
      </c>
    </row>
    <row r="382">
      <c r="A382" s="21" t="n"/>
      <c r="B382" s="21" t="n"/>
      <c r="C382" s="21" t="n"/>
      <c r="D382" s="21" t="n"/>
      <c r="E382" s="21" t="n"/>
      <c r="F382" s="21" t="n"/>
      <c r="G382" s="21" t="n"/>
      <c r="H382" s="21" t="n"/>
      <c r="I382" s="22" t="n"/>
      <c r="J382" s="22" t="n"/>
      <c r="K382" s="23" t="n"/>
      <c r="L382" s="22" t="n"/>
      <c r="M382" s="22" t="n"/>
      <c r="N382" s="21" t="n"/>
      <c r="O382" s="23" t="n"/>
      <c r="P382" s="23" t="n"/>
      <c r="Q382" s="23" t="n"/>
      <c r="R382" s="23" t="n"/>
      <c r="S382" s="22" t="n"/>
      <c r="T382" s="23" t="n"/>
      <c r="U382" s="23" t="n"/>
      <c r="V382" s="24">
        <f>IF(J382&lt;&gt;"",J382,IF(I382&lt;&gt;"",I382,""))</f>
        <v/>
      </c>
      <c r="W382" s="25">
        <f>IF($E382="","",N(O382)+SUMIFS($AF382:$IN382,$AF$4:$IN$4,"SEW_ACT"))</f>
        <v/>
      </c>
      <c r="X382" s="25">
        <f>IF($E382="","",N(P382)+SUMIFS($AF382:$IN382,$AF$4:$IN$4,"WASH_ACT"))</f>
        <v/>
      </c>
      <c r="Y382" s="25">
        <f>IF($E382="","",W382-X382-N(T382)-N(U382))</f>
        <v/>
      </c>
      <c r="Z382" s="25">
        <f>IF($E382="","",IF(N(K382)-X382&lt;=0.02*N(K382),0,N(K382)-X382))</f>
        <v/>
      </c>
      <c r="AA382" s="24">
        <f>IF($E382="","",IF(S382&lt;&gt;"",S382,IF(N(O382)&gt;0,IF(L382&lt;&gt;"",L382,99999),IFERROR(1/(1/_xlfn.MINIFS($AF$3:$IN$3,$AF$4:$IN$4,"SEW_ACT",$AF382:$IN382,"&gt;0")),99999))))</f>
        <v/>
      </c>
      <c r="AB382" s="26">
        <f>IF(OR($E382="",Z382=0,V382=""),"",1+COUNTIFS(Z$8:Z$707,"&gt;0",V$8:V$707,"&lt;"&amp;V382)+COUNTIFS(Z$8:Z$707,"&gt;0",V$8:V$707,V382,AA$8:AA$707,"&lt;"&amp;AA382)+COUNTIFS(Z$8:Z$707,"&gt;0",V$8:V$707,V382,AA$8:AA$707,AA382,E$8:E$707,"&lt;"&amp;$E382))</f>
        <v/>
      </c>
      <c r="AC382" s="24">
        <f>IF(OR($E382="",Z382=0),"",IFERROR(TODAY()+ROUNDUP(Z382/(SUMIFS($AF382:$IN382,$AF$4:$IN$4,"WASH_ACT")/COUNTIFS($AF$4:$IN$4,"WASH_ACT",$AF382:$IN382,"&gt;0")),0),"no output yet"))</f>
        <v/>
      </c>
      <c r="AD382" s="26">
        <f>IF($E382="","",IFERROR(ROUND(MAX(0,SUMIFS($AF382:$IN382,$AF$4:$IN$4,"SEW_PLAN",$AF$3:$IN$3,"&lt;="&amp;TODAY())-SUMIFS($AF382:$IN382,$AF$4:$IN$4,"SEW_ACT",$AF$3:$IN$3,"&lt;="&amp;TODAY())+N(Q382))/(SUMIFS($AF382:$IN382,$AF$4:$IN$4,"SEW_PLAN")/COUNTIFS($AF$4:$IN$4,"SEW_PLAN",$AF382:$IN382,"&gt;0")),1),0))</f>
        <v/>
      </c>
      <c r="AE382" s="26">
        <f>IF($E382="","",IF(AND(Z382&gt;0,OR(AND(M382&lt;&gt;"",TODAY()&gt;M382),AND(V382&lt;&gt;"",V382-TODAY()&lt;=7))),"Yes","No"))</f>
        <v/>
      </c>
      <c r="AH382">
        <f>IF(OR(AF$3="",AF$3&gt;TODAY()),"",IF(AND(AF382="",AG382=""),"",N(AG382)-N(AF382)))</f>
        <v/>
      </c>
      <c r="AK382">
        <f>IF(OR(AF$3="",AF$3&gt;TODAY()),"",IF(AND(AI382="",AJ382=""),"",N(AJ382)-N(AI382)))</f>
        <v/>
      </c>
      <c r="AO382">
        <f>IF(OR(AM$3="",AM$3&gt;TODAY()),"",IF(AND(AM382="",AN382=""),"",N(AN382)-N(AM382)))</f>
        <v/>
      </c>
      <c r="AR382">
        <f>IF(OR(AM$3="",AM$3&gt;TODAY()),"",IF(AND(AP382="",AQ382=""),"",N(AQ382)-N(AP382)))</f>
        <v/>
      </c>
      <c r="AV382">
        <f>IF(OR(AT$3="",AT$3&gt;TODAY()),"",IF(AND(AT382="",AU382=""),"",N(AU382)-N(AT382)))</f>
        <v/>
      </c>
      <c r="AY382">
        <f>IF(OR(AT$3="",AT$3&gt;TODAY()),"",IF(AND(AW382="",AX382=""),"",N(AX382)-N(AW382)))</f>
        <v/>
      </c>
      <c r="BC382">
        <f>IF(OR(BA$3="",BA$3&gt;TODAY()),"",IF(AND(BA382="",BB382=""),"",N(BB382)-N(BA382)))</f>
        <v/>
      </c>
      <c r="BF382">
        <f>IF(OR(BA$3="",BA$3&gt;TODAY()),"",IF(AND(BD382="",BE382=""),"",N(BE382)-N(BD382)))</f>
        <v/>
      </c>
      <c r="BJ382">
        <f>IF(OR(BH$3="",BH$3&gt;TODAY()),"",IF(AND(BH382="",BI382=""),"",N(BI382)-N(BH382)))</f>
        <v/>
      </c>
      <c r="BM382">
        <f>IF(OR(BH$3="",BH$3&gt;TODAY()),"",IF(AND(BK382="",BL382=""),"",N(BL382)-N(BK382)))</f>
        <v/>
      </c>
      <c r="BQ382">
        <f>IF(OR(BO$3="",BO$3&gt;TODAY()),"",IF(AND(BO382="",BP382=""),"",N(BP382)-N(BO382)))</f>
        <v/>
      </c>
      <c r="BT382">
        <f>IF(OR(BO$3="",BO$3&gt;TODAY()),"",IF(AND(BR382="",BS382=""),"",N(BS382)-N(BR382)))</f>
        <v/>
      </c>
      <c r="BX382">
        <f>IF(OR(BV$3="",BV$3&gt;TODAY()),"",IF(AND(BV382="",BW382=""),"",N(BW382)-N(BV382)))</f>
        <v/>
      </c>
      <c r="CA382">
        <f>IF(OR(BV$3="",BV$3&gt;TODAY()),"",IF(AND(BY382="",BZ382=""),"",N(BZ382)-N(BY382)))</f>
        <v/>
      </c>
      <c r="CE382">
        <f>IF(OR(CC$3="",CC$3&gt;TODAY()),"",IF(AND(CC382="",CD382=""),"",N(CD382)-N(CC382)))</f>
        <v/>
      </c>
      <c r="CH382">
        <f>IF(OR(CC$3="",CC$3&gt;TODAY()),"",IF(AND(CF382="",CG382=""),"",N(CG382)-N(CF382)))</f>
        <v/>
      </c>
      <c r="CL382">
        <f>IF(OR(CJ$3="",CJ$3&gt;TODAY()),"",IF(AND(CJ382="",CK382=""),"",N(CK382)-N(CJ382)))</f>
        <v/>
      </c>
      <c r="CO382">
        <f>IF(OR(CJ$3="",CJ$3&gt;TODAY()),"",IF(AND(CM382="",CN382=""),"",N(CN382)-N(CM382)))</f>
        <v/>
      </c>
      <c r="CS382">
        <f>IF(OR(CQ$3="",CQ$3&gt;TODAY()),"",IF(AND(CQ382="",CR382=""),"",N(CR382)-N(CQ382)))</f>
        <v/>
      </c>
      <c r="CV382">
        <f>IF(OR(CQ$3="",CQ$3&gt;TODAY()),"",IF(AND(CT382="",CU382=""),"",N(CU382)-N(CT382)))</f>
        <v/>
      </c>
      <c r="CZ382">
        <f>IF(OR(CX$3="",CX$3&gt;TODAY()),"",IF(AND(CX382="",CY382=""),"",N(CY382)-N(CX382)))</f>
        <v/>
      </c>
      <c r="DC382">
        <f>IF(OR(CX$3="",CX$3&gt;TODAY()),"",IF(AND(DA382="",DB382=""),"",N(DB382)-N(DA382)))</f>
        <v/>
      </c>
      <c r="DG382">
        <f>IF(OR(DE$3="",DE$3&gt;TODAY()),"",IF(AND(DE382="",DF382=""),"",N(DF382)-N(DE382)))</f>
        <v/>
      </c>
      <c r="DJ382">
        <f>IF(OR(DE$3="",DE$3&gt;TODAY()),"",IF(AND(DH382="",DI382=""),"",N(DI382)-N(DH382)))</f>
        <v/>
      </c>
      <c r="DN382">
        <f>IF(OR(DL$3="",DL$3&gt;TODAY()),"",IF(AND(DL382="",DM382=""),"",N(DM382)-N(DL382)))</f>
        <v/>
      </c>
      <c r="DQ382">
        <f>IF(OR(DL$3="",DL$3&gt;TODAY()),"",IF(AND(DO382="",DP382=""),"",N(DP382)-N(DO382)))</f>
        <v/>
      </c>
      <c r="DU382">
        <f>IF(OR(DS$3="",DS$3&gt;TODAY()),"",IF(AND(DS382="",DT382=""),"",N(DT382)-N(DS382)))</f>
        <v/>
      </c>
      <c r="DX382">
        <f>IF(OR(DS$3="",DS$3&gt;TODAY()),"",IF(AND(DV382="",DW382=""),"",N(DW382)-N(DV382)))</f>
        <v/>
      </c>
      <c r="EB382">
        <f>IF(OR(DZ$3="",DZ$3&gt;TODAY()),"",IF(AND(DZ382="",EA382=""),"",N(EA382)-N(DZ382)))</f>
        <v/>
      </c>
      <c r="EE382">
        <f>IF(OR(DZ$3="",DZ$3&gt;TODAY()),"",IF(AND(EC382="",ED382=""),"",N(ED382)-N(EC382)))</f>
        <v/>
      </c>
      <c r="EI382">
        <f>IF(OR(EG$3="",EG$3&gt;TODAY()),"",IF(AND(EG382="",EH382=""),"",N(EH382)-N(EG382)))</f>
        <v/>
      </c>
      <c r="EL382">
        <f>IF(OR(EG$3="",EG$3&gt;TODAY()),"",IF(AND(EJ382="",EK382=""),"",N(EK382)-N(EJ382)))</f>
        <v/>
      </c>
      <c r="EP382">
        <f>IF(OR(EN$3="",EN$3&gt;TODAY()),"",IF(AND(EN382="",EO382=""),"",N(EO382)-N(EN382)))</f>
        <v/>
      </c>
      <c r="ES382">
        <f>IF(OR(EN$3="",EN$3&gt;TODAY()),"",IF(AND(EQ382="",ER382=""),"",N(ER382)-N(EQ382)))</f>
        <v/>
      </c>
      <c r="EW382">
        <f>IF(OR(EU$3="",EU$3&gt;TODAY()),"",IF(AND(EU382="",EV382=""),"",N(EV382)-N(EU382)))</f>
        <v/>
      </c>
      <c r="EZ382">
        <f>IF(OR(EU$3="",EU$3&gt;TODAY()),"",IF(AND(EX382="",EY382=""),"",N(EY382)-N(EX382)))</f>
        <v/>
      </c>
      <c r="FD382">
        <f>IF(OR(FB$3="",FB$3&gt;TODAY()),"",IF(AND(FB382="",FC382=""),"",N(FC382)-N(FB382)))</f>
        <v/>
      </c>
      <c r="FG382">
        <f>IF(OR(FB$3="",FB$3&gt;TODAY()),"",IF(AND(FE382="",FF382=""),"",N(FF382)-N(FE382)))</f>
        <v/>
      </c>
      <c r="FK382">
        <f>IF(OR(FI$3="",FI$3&gt;TODAY()),"",IF(AND(FI382="",FJ382=""),"",N(FJ382)-N(FI382)))</f>
        <v/>
      </c>
      <c r="FN382">
        <f>IF(OR(FI$3="",FI$3&gt;TODAY()),"",IF(AND(FL382="",FM382=""),"",N(FM382)-N(FL382)))</f>
        <v/>
      </c>
      <c r="FR382">
        <f>IF(OR(FP$3="",FP$3&gt;TODAY()),"",IF(AND(FP382="",FQ382=""),"",N(FQ382)-N(FP382)))</f>
        <v/>
      </c>
      <c r="FU382">
        <f>IF(OR(FP$3="",FP$3&gt;TODAY()),"",IF(AND(FS382="",FT382=""),"",N(FT382)-N(FS382)))</f>
        <v/>
      </c>
      <c r="FY382">
        <f>IF(OR(FW$3="",FW$3&gt;TODAY()),"",IF(AND(FW382="",FX382=""),"",N(FX382)-N(FW382)))</f>
        <v/>
      </c>
      <c r="GB382">
        <f>IF(OR(FW$3="",FW$3&gt;TODAY()),"",IF(AND(FZ382="",GA382=""),"",N(GA382)-N(FZ382)))</f>
        <v/>
      </c>
      <c r="GF382">
        <f>IF(OR(GD$3="",GD$3&gt;TODAY()),"",IF(AND(GD382="",GE382=""),"",N(GE382)-N(GD382)))</f>
        <v/>
      </c>
      <c r="GI382">
        <f>IF(OR(GD$3="",GD$3&gt;TODAY()),"",IF(AND(GG382="",GH382=""),"",N(GH382)-N(GG382)))</f>
        <v/>
      </c>
      <c r="GM382">
        <f>IF(OR(GK$3="",GK$3&gt;TODAY()),"",IF(AND(GK382="",GL382=""),"",N(GL382)-N(GK382)))</f>
        <v/>
      </c>
      <c r="GP382">
        <f>IF(OR(GK$3="",GK$3&gt;TODAY()),"",IF(AND(GN382="",GO382=""),"",N(GO382)-N(GN382)))</f>
        <v/>
      </c>
      <c r="GT382">
        <f>IF(OR(GR$3="",GR$3&gt;TODAY()),"",IF(AND(GR382="",GS382=""),"",N(GS382)-N(GR382)))</f>
        <v/>
      </c>
      <c r="GW382">
        <f>IF(OR(GR$3="",GR$3&gt;TODAY()),"",IF(AND(GU382="",GV382=""),"",N(GV382)-N(GU382)))</f>
        <v/>
      </c>
      <c r="HA382">
        <f>IF(OR(GY$3="",GY$3&gt;TODAY()),"",IF(AND(GY382="",GZ382=""),"",N(GZ382)-N(GY382)))</f>
        <v/>
      </c>
      <c r="HD382">
        <f>IF(OR(GY$3="",GY$3&gt;TODAY()),"",IF(AND(HB382="",HC382=""),"",N(HC382)-N(HB382)))</f>
        <v/>
      </c>
      <c r="HH382">
        <f>IF(OR(HF$3="",HF$3&gt;TODAY()),"",IF(AND(HF382="",HG382=""),"",N(HG382)-N(HF382)))</f>
        <v/>
      </c>
      <c r="HK382">
        <f>IF(OR(HF$3="",HF$3&gt;TODAY()),"",IF(AND(HI382="",HJ382=""),"",N(HJ382)-N(HI382)))</f>
        <v/>
      </c>
      <c r="HO382">
        <f>IF(OR(HM$3="",HM$3&gt;TODAY()),"",IF(AND(HM382="",HN382=""),"",N(HN382)-N(HM382)))</f>
        <v/>
      </c>
      <c r="HR382">
        <f>IF(OR(HM$3="",HM$3&gt;TODAY()),"",IF(AND(HP382="",HQ382=""),"",N(HQ382)-N(HP382)))</f>
        <v/>
      </c>
      <c r="HV382">
        <f>IF(OR(HT$3="",HT$3&gt;TODAY()),"",IF(AND(HT382="",HU382=""),"",N(HU382)-N(HT382)))</f>
        <v/>
      </c>
      <c r="HY382">
        <f>IF(OR(HT$3="",HT$3&gt;TODAY()),"",IF(AND(HW382="",HX382=""),"",N(HX382)-N(HW382)))</f>
        <v/>
      </c>
      <c r="IC382">
        <f>IF(OR(IA$3="",IA$3&gt;TODAY()),"",IF(AND(IA382="",IB382=""),"",N(IB382)-N(IA382)))</f>
        <v/>
      </c>
      <c r="IF382">
        <f>IF(OR(IA$3="",IA$3&gt;TODAY()),"",IF(AND(ID382="",IE382=""),"",N(IE382)-N(ID382)))</f>
        <v/>
      </c>
      <c r="IJ382">
        <f>IF(OR(IH$3="",IH$3&gt;TODAY()),"",IF(AND(IH382="",II382=""),"",N(II382)-N(IH382)))</f>
        <v/>
      </c>
      <c r="IM382">
        <f>IF(OR(IH$3="",IH$3&gt;TODAY()),"",IF(AND(IK382="",IL382=""),"",N(IL382)-N(IK382)))</f>
        <v/>
      </c>
    </row>
    <row r="383">
      <c r="A383" s="21" t="n"/>
      <c r="B383" s="21" t="n"/>
      <c r="C383" s="21" t="n"/>
      <c r="D383" s="21" t="n"/>
      <c r="E383" s="21" t="n"/>
      <c r="F383" s="21" t="n"/>
      <c r="G383" s="21" t="n"/>
      <c r="H383" s="21" t="n"/>
      <c r="I383" s="22" t="n"/>
      <c r="J383" s="22" t="n"/>
      <c r="K383" s="23" t="n"/>
      <c r="L383" s="22" t="n"/>
      <c r="M383" s="22" t="n"/>
      <c r="N383" s="21" t="n"/>
      <c r="O383" s="23" t="n"/>
      <c r="P383" s="23" t="n"/>
      <c r="Q383" s="23" t="n"/>
      <c r="R383" s="23" t="n"/>
      <c r="S383" s="22" t="n"/>
      <c r="T383" s="23" t="n"/>
      <c r="U383" s="23" t="n"/>
      <c r="V383" s="24">
        <f>IF(J383&lt;&gt;"",J383,IF(I383&lt;&gt;"",I383,""))</f>
        <v/>
      </c>
      <c r="W383" s="25">
        <f>IF($E383="","",N(O383)+SUMIFS($AF383:$IN383,$AF$4:$IN$4,"SEW_ACT"))</f>
        <v/>
      </c>
      <c r="X383" s="25">
        <f>IF($E383="","",N(P383)+SUMIFS($AF383:$IN383,$AF$4:$IN$4,"WASH_ACT"))</f>
        <v/>
      </c>
      <c r="Y383" s="25">
        <f>IF($E383="","",W383-X383-N(T383)-N(U383))</f>
        <v/>
      </c>
      <c r="Z383" s="25">
        <f>IF($E383="","",IF(N(K383)-X383&lt;=0.02*N(K383),0,N(K383)-X383))</f>
        <v/>
      </c>
      <c r="AA383" s="24">
        <f>IF($E383="","",IF(S383&lt;&gt;"",S383,IF(N(O383)&gt;0,IF(L383&lt;&gt;"",L383,99999),IFERROR(1/(1/_xlfn.MINIFS($AF$3:$IN$3,$AF$4:$IN$4,"SEW_ACT",$AF383:$IN383,"&gt;0")),99999))))</f>
        <v/>
      </c>
      <c r="AB383" s="26">
        <f>IF(OR($E383="",Z383=0,V383=""),"",1+COUNTIFS(Z$8:Z$707,"&gt;0",V$8:V$707,"&lt;"&amp;V383)+COUNTIFS(Z$8:Z$707,"&gt;0",V$8:V$707,V383,AA$8:AA$707,"&lt;"&amp;AA383)+COUNTIFS(Z$8:Z$707,"&gt;0",V$8:V$707,V383,AA$8:AA$707,AA383,E$8:E$707,"&lt;"&amp;$E383))</f>
        <v/>
      </c>
      <c r="AC383" s="24">
        <f>IF(OR($E383="",Z383=0),"",IFERROR(TODAY()+ROUNDUP(Z383/(SUMIFS($AF383:$IN383,$AF$4:$IN$4,"WASH_ACT")/COUNTIFS($AF$4:$IN$4,"WASH_ACT",$AF383:$IN383,"&gt;0")),0),"no output yet"))</f>
        <v/>
      </c>
      <c r="AD383" s="26">
        <f>IF($E383="","",IFERROR(ROUND(MAX(0,SUMIFS($AF383:$IN383,$AF$4:$IN$4,"SEW_PLAN",$AF$3:$IN$3,"&lt;="&amp;TODAY())-SUMIFS($AF383:$IN383,$AF$4:$IN$4,"SEW_ACT",$AF$3:$IN$3,"&lt;="&amp;TODAY())+N(Q383))/(SUMIFS($AF383:$IN383,$AF$4:$IN$4,"SEW_PLAN")/COUNTIFS($AF$4:$IN$4,"SEW_PLAN",$AF383:$IN383,"&gt;0")),1),0))</f>
        <v/>
      </c>
      <c r="AE383" s="26">
        <f>IF($E383="","",IF(AND(Z383&gt;0,OR(AND(M383&lt;&gt;"",TODAY()&gt;M383),AND(V383&lt;&gt;"",V383-TODAY()&lt;=7))),"Yes","No"))</f>
        <v/>
      </c>
      <c r="AH383">
        <f>IF(OR(AF$3="",AF$3&gt;TODAY()),"",IF(AND(AF383="",AG383=""),"",N(AG383)-N(AF383)))</f>
        <v/>
      </c>
      <c r="AK383">
        <f>IF(OR(AF$3="",AF$3&gt;TODAY()),"",IF(AND(AI383="",AJ383=""),"",N(AJ383)-N(AI383)))</f>
        <v/>
      </c>
      <c r="AO383">
        <f>IF(OR(AM$3="",AM$3&gt;TODAY()),"",IF(AND(AM383="",AN383=""),"",N(AN383)-N(AM383)))</f>
        <v/>
      </c>
      <c r="AR383">
        <f>IF(OR(AM$3="",AM$3&gt;TODAY()),"",IF(AND(AP383="",AQ383=""),"",N(AQ383)-N(AP383)))</f>
        <v/>
      </c>
      <c r="AV383">
        <f>IF(OR(AT$3="",AT$3&gt;TODAY()),"",IF(AND(AT383="",AU383=""),"",N(AU383)-N(AT383)))</f>
        <v/>
      </c>
      <c r="AY383">
        <f>IF(OR(AT$3="",AT$3&gt;TODAY()),"",IF(AND(AW383="",AX383=""),"",N(AX383)-N(AW383)))</f>
        <v/>
      </c>
      <c r="BC383">
        <f>IF(OR(BA$3="",BA$3&gt;TODAY()),"",IF(AND(BA383="",BB383=""),"",N(BB383)-N(BA383)))</f>
        <v/>
      </c>
      <c r="BF383">
        <f>IF(OR(BA$3="",BA$3&gt;TODAY()),"",IF(AND(BD383="",BE383=""),"",N(BE383)-N(BD383)))</f>
        <v/>
      </c>
      <c r="BJ383">
        <f>IF(OR(BH$3="",BH$3&gt;TODAY()),"",IF(AND(BH383="",BI383=""),"",N(BI383)-N(BH383)))</f>
        <v/>
      </c>
      <c r="BM383">
        <f>IF(OR(BH$3="",BH$3&gt;TODAY()),"",IF(AND(BK383="",BL383=""),"",N(BL383)-N(BK383)))</f>
        <v/>
      </c>
      <c r="BQ383">
        <f>IF(OR(BO$3="",BO$3&gt;TODAY()),"",IF(AND(BO383="",BP383=""),"",N(BP383)-N(BO383)))</f>
        <v/>
      </c>
      <c r="BT383">
        <f>IF(OR(BO$3="",BO$3&gt;TODAY()),"",IF(AND(BR383="",BS383=""),"",N(BS383)-N(BR383)))</f>
        <v/>
      </c>
      <c r="BX383">
        <f>IF(OR(BV$3="",BV$3&gt;TODAY()),"",IF(AND(BV383="",BW383=""),"",N(BW383)-N(BV383)))</f>
        <v/>
      </c>
      <c r="CA383">
        <f>IF(OR(BV$3="",BV$3&gt;TODAY()),"",IF(AND(BY383="",BZ383=""),"",N(BZ383)-N(BY383)))</f>
        <v/>
      </c>
      <c r="CE383">
        <f>IF(OR(CC$3="",CC$3&gt;TODAY()),"",IF(AND(CC383="",CD383=""),"",N(CD383)-N(CC383)))</f>
        <v/>
      </c>
      <c r="CH383">
        <f>IF(OR(CC$3="",CC$3&gt;TODAY()),"",IF(AND(CF383="",CG383=""),"",N(CG383)-N(CF383)))</f>
        <v/>
      </c>
      <c r="CL383">
        <f>IF(OR(CJ$3="",CJ$3&gt;TODAY()),"",IF(AND(CJ383="",CK383=""),"",N(CK383)-N(CJ383)))</f>
        <v/>
      </c>
      <c r="CO383">
        <f>IF(OR(CJ$3="",CJ$3&gt;TODAY()),"",IF(AND(CM383="",CN383=""),"",N(CN383)-N(CM383)))</f>
        <v/>
      </c>
      <c r="CS383">
        <f>IF(OR(CQ$3="",CQ$3&gt;TODAY()),"",IF(AND(CQ383="",CR383=""),"",N(CR383)-N(CQ383)))</f>
        <v/>
      </c>
      <c r="CV383">
        <f>IF(OR(CQ$3="",CQ$3&gt;TODAY()),"",IF(AND(CT383="",CU383=""),"",N(CU383)-N(CT383)))</f>
        <v/>
      </c>
      <c r="CZ383">
        <f>IF(OR(CX$3="",CX$3&gt;TODAY()),"",IF(AND(CX383="",CY383=""),"",N(CY383)-N(CX383)))</f>
        <v/>
      </c>
      <c r="DC383">
        <f>IF(OR(CX$3="",CX$3&gt;TODAY()),"",IF(AND(DA383="",DB383=""),"",N(DB383)-N(DA383)))</f>
        <v/>
      </c>
      <c r="DG383">
        <f>IF(OR(DE$3="",DE$3&gt;TODAY()),"",IF(AND(DE383="",DF383=""),"",N(DF383)-N(DE383)))</f>
        <v/>
      </c>
      <c r="DJ383">
        <f>IF(OR(DE$3="",DE$3&gt;TODAY()),"",IF(AND(DH383="",DI383=""),"",N(DI383)-N(DH383)))</f>
        <v/>
      </c>
      <c r="DN383">
        <f>IF(OR(DL$3="",DL$3&gt;TODAY()),"",IF(AND(DL383="",DM383=""),"",N(DM383)-N(DL383)))</f>
        <v/>
      </c>
      <c r="DQ383">
        <f>IF(OR(DL$3="",DL$3&gt;TODAY()),"",IF(AND(DO383="",DP383=""),"",N(DP383)-N(DO383)))</f>
        <v/>
      </c>
      <c r="DU383">
        <f>IF(OR(DS$3="",DS$3&gt;TODAY()),"",IF(AND(DS383="",DT383=""),"",N(DT383)-N(DS383)))</f>
        <v/>
      </c>
      <c r="DX383">
        <f>IF(OR(DS$3="",DS$3&gt;TODAY()),"",IF(AND(DV383="",DW383=""),"",N(DW383)-N(DV383)))</f>
        <v/>
      </c>
      <c r="EB383">
        <f>IF(OR(DZ$3="",DZ$3&gt;TODAY()),"",IF(AND(DZ383="",EA383=""),"",N(EA383)-N(DZ383)))</f>
        <v/>
      </c>
      <c r="EE383">
        <f>IF(OR(DZ$3="",DZ$3&gt;TODAY()),"",IF(AND(EC383="",ED383=""),"",N(ED383)-N(EC383)))</f>
        <v/>
      </c>
      <c r="EI383">
        <f>IF(OR(EG$3="",EG$3&gt;TODAY()),"",IF(AND(EG383="",EH383=""),"",N(EH383)-N(EG383)))</f>
        <v/>
      </c>
      <c r="EL383">
        <f>IF(OR(EG$3="",EG$3&gt;TODAY()),"",IF(AND(EJ383="",EK383=""),"",N(EK383)-N(EJ383)))</f>
        <v/>
      </c>
      <c r="EP383">
        <f>IF(OR(EN$3="",EN$3&gt;TODAY()),"",IF(AND(EN383="",EO383=""),"",N(EO383)-N(EN383)))</f>
        <v/>
      </c>
      <c r="ES383">
        <f>IF(OR(EN$3="",EN$3&gt;TODAY()),"",IF(AND(EQ383="",ER383=""),"",N(ER383)-N(EQ383)))</f>
        <v/>
      </c>
      <c r="EW383">
        <f>IF(OR(EU$3="",EU$3&gt;TODAY()),"",IF(AND(EU383="",EV383=""),"",N(EV383)-N(EU383)))</f>
        <v/>
      </c>
      <c r="EZ383">
        <f>IF(OR(EU$3="",EU$3&gt;TODAY()),"",IF(AND(EX383="",EY383=""),"",N(EY383)-N(EX383)))</f>
        <v/>
      </c>
      <c r="FD383">
        <f>IF(OR(FB$3="",FB$3&gt;TODAY()),"",IF(AND(FB383="",FC383=""),"",N(FC383)-N(FB383)))</f>
        <v/>
      </c>
      <c r="FG383">
        <f>IF(OR(FB$3="",FB$3&gt;TODAY()),"",IF(AND(FE383="",FF383=""),"",N(FF383)-N(FE383)))</f>
        <v/>
      </c>
      <c r="FK383">
        <f>IF(OR(FI$3="",FI$3&gt;TODAY()),"",IF(AND(FI383="",FJ383=""),"",N(FJ383)-N(FI383)))</f>
        <v/>
      </c>
      <c r="FN383">
        <f>IF(OR(FI$3="",FI$3&gt;TODAY()),"",IF(AND(FL383="",FM383=""),"",N(FM383)-N(FL383)))</f>
        <v/>
      </c>
      <c r="FR383">
        <f>IF(OR(FP$3="",FP$3&gt;TODAY()),"",IF(AND(FP383="",FQ383=""),"",N(FQ383)-N(FP383)))</f>
        <v/>
      </c>
      <c r="FU383">
        <f>IF(OR(FP$3="",FP$3&gt;TODAY()),"",IF(AND(FS383="",FT383=""),"",N(FT383)-N(FS383)))</f>
        <v/>
      </c>
      <c r="FY383">
        <f>IF(OR(FW$3="",FW$3&gt;TODAY()),"",IF(AND(FW383="",FX383=""),"",N(FX383)-N(FW383)))</f>
        <v/>
      </c>
      <c r="GB383">
        <f>IF(OR(FW$3="",FW$3&gt;TODAY()),"",IF(AND(FZ383="",GA383=""),"",N(GA383)-N(FZ383)))</f>
        <v/>
      </c>
      <c r="GF383">
        <f>IF(OR(GD$3="",GD$3&gt;TODAY()),"",IF(AND(GD383="",GE383=""),"",N(GE383)-N(GD383)))</f>
        <v/>
      </c>
      <c r="GI383">
        <f>IF(OR(GD$3="",GD$3&gt;TODAY()),"",IF(AND(GG383="",GH383=""),"",N(GH383)-N(GG383)))</f>
        <v/>
      </c>
      <c r="GM383">
        <f>IF(OR(GK$3="",GK$3&gt;TODAY()),"",IF(AND(GK383="",GL383=""),"",N(GL383)-N(GK383)))</f>
        <v/>
      </c>
      <c r="GP383">
        <f>IF(OR(GK$3="",GK$3&gt;TODAY()),"",IF(AND(GN383="",GO383=""),"",N(GO383)-N(GN383)))</f>
        <v/>
      </c>
      <c r="GT383">
        <f>IF(OR(GR$3="",GR$3&gt;TODAY()),"",IF(AND(GR383="",GS383=""),"",N(GS383)-N(GR383)))</f>
        <v/>
      </c>
      <c r="GW383">
        <f>IF(OR(GR$3="",GR$3&gt;TODAY()),"",IF(AND(GU383="",GV383=""),"",N(GV383)-N(GU383)))</f>
        <v/>
      </c>
      <c r="HA383">
        <f>IF(OR(GY$3="",GY$3&gt;TODAY()),"",IF(AND(GY383="",GZ383=""),"",N(GZ383)-N(GY383)))</f>
        <v/>
      </c>
      <c r="HD383">
        <f>IF(OR(GY$3="",GY$3&gt;TODAY()),"",IF(AND(HB383="",HC383=""),"",N(HC383)-N(HB383)))</f>
        <v/>
      </c>
      <c r="HH383">
        <f>IF(OR(HF$3="",HF$3&gt;TODAY()),"",IF(AND(HF383="",HG383=""),"",N(HG383)-N(HF383)))</f>
        <v/>
      </c>
      <c r="HK383">
        <f>IF(OR(HF$3="",HF$3&gt;TODAY()),"",IF(AND(HI383="",HJ383=""),"",N(HJ383)-N(HI383)))</f>
        <v/>
      </c>
      <c r="HO383">
        <f>IF(OR(HM$3="",HM$3&gt;TODAY()),"",IF(AND(HM383="",HN383=""),"",N(HN383)-N(HM383)))</f>
        <v/>
      </c>
      <c r="HR383">
        <f>IF(OR(HM$3="",HM$3&gt;TODAY()),"",IF(AND(HP383="",HQ383=""),"",N(HQ383)-N(HP383)))</f>
        <v/>
      </c>
      <c r="HV383">
        <f>IF(OR(HT$3="",HT$3&gt;TODAY()),"",IF(AND(HT383="",HU383=""),"",N(HU383)-N(HT383)))</f>
        <v/>
      </c>
      <c r="HY383">
        <f>IF(OR(HT$3="",HT$3&gt;TODAY()),"",IF(AND(HW383="",HX383=""),"",N(HX383)-N(HW383)))</f>
        <v/>
      </c>
      <c r="IC383">
        <f>IF(OR(IA$3="",IA$3&gt;TODAY()),"",IF(AND(IA383="",IB383=""),"",N(IB383)-N(IA383)))</f>
        <v/>
      </c>
      <c r="IF383">
        <f>IF(OR(IA$3="",IA$3&gt;TODAY()),"",IF(AND(ID383="",IE383=""),"",N(IE383)-N(ID383)))</f>
        <v/>
      </c>
      <c r="IJ383">
        <f>IF(OR(IH$3="",IH$3&gt;TODAY()),"",IF(AND(IH383="",II383=""),"",N(II383)-N(IH383)))</f>
        <v/>
      </c>
      <c r="IM383">
        <f>IF(OR(IH$3="",IH$3&gt;TODAY()),"",IF(AND(IK383="",IL383=""),"",N(IL383)-N(IK383)))</f>
        <v/>
      </c>
    </row>
    <row r="384">
      <c r="A384" s="21" t="n"/>
      <c r="B384" s="21" t="n"/>
      <c r="C384" s="21" t="n"/>
      <c r="D384" s="21" t="n"/>
      <c r="E384" s="21" t="n"/>
      <c r="F384" s="21" t="n"/>
      <c r="G384" s="21" t="n"/>
      <c r="H384" s="21" t="n"/>
      <c r="I384" s="22" t="n"/>
      <c r="J384" s="22" t="n"/>
      <c r="K384" s="23" t="n"/>
      <c r="L384" s="22" t="n"/>
      <c r="M384" s="22" t="n"/>
      <c r="N384" s="21" t="n"/>
      <c r="O384" s="23" t="n"/>
      <c r="P384" s="23" t="n"/>
      <c r="Q384" s="23" t="n"/>
      <c r="R384" s="23" t="n"/>
      <c r="S384" s="22" t="n"/>
      <c r="T384" s="23" t="n"/>
      <c r="U384" s="23" t="n"/>
      <c r="V384" s="24">
        <f>IF(J384&lt;&gt;"",J384,IF(I384&lt;&gt;"",I384,""))</f>
        <v/>
      </c>
      <c r="W384" s="25">
        <f>IF($E384="","",N(O384)+SUMIFS($AF384:$IN384,$AF$4:$IN$4,"SEW_ACT"))</f>
        <v/>
      </c>
      <c r="X384" s="25">
        <f>IF($E384="","",N(P384)+SUMIFS($AF384:$IN384,$AF$4:$IN$4,"WASH_ACT"))</f>
        <v/>
      </c>
      <c r="Y384" s="25">
        <f>IF($E384="","",W384-X384-N(T384)-N(U384))</f>
        <v/>
      </c>
      <c r="Z384" s="25">
        <f>IF($E384="","",IF(N(K384)-X384&lt;=0.02*N(K384),0,N(K384)-X384))</f>
        <v/>
      </c>
      <c r="AA384" s="24">
        <f>IF($E384="","",IF(S384&lt;&gt;"",S384,IF(N(O384)&gt;0,IF(L384&lt;&gt;"",L384,99999),IFERROR(1/(1/_xlfn.MINIFS($AF$3:$IN$3,$AF$4:$IN$4,"SEW_ACT",$AF384:$IN384,"&gt;0")),99999))))</f>
        <v/>
      </c>
      <c r="AB384" s="26">
        <f>IF(OR($E384="",Z384=0,V384=""),"",1+COUNTIFS(Z$8:Z$707,"&gt;0",V$8:V$707,"&lt;"&amp;V384)+COUNTIFS(Z$8:Z$707,"&gt;0",V$8:V$707,V384,AA$8:AA$707,"&lt;"&amp;AA384)+COUNTIFS(Z$8:Z$707,"&gt;0",V$8:V$707,V384,AA$8:AA$707,AA384,E$8:E$707,"&lt;"&amp;$E384))</f>
        <v/>
      </c>
      <c r="AC384" s="24">
        <f>IF(OR($E384="",Z384=0),"",IFERROR(TODAY()+ROUNDUP(Z384/(SUMIFS($AF384:$IN384,$AF$4:$IN$4,"WASH_ACT")/COUNTIFS($AF$4:$IN$4,"WASH_ACT",$AF384:$IN384,"&gt;0")),0),"no output yet"))</f>
        <v/>
      </c>
      <c r="AD384" s="26">
        <f>IF($E384="","",IFERROR(ROUND(MAX(0,SUMIFS($AF384:$IN384,$AF$4:$IN$4,"SEW_PLAN",$AF$3:$IN$3,"&lt;="&amp;TODAY())-SUMIFS($AF384:$IN384,$AF$4:$IN$4,"SEW_ACT",$AF$3:$IN$3,"&lt;="&amp;TODAY())+N(Q384))/(SUMIFS($AF384:$IN384,$AF$4:$IN$4,"SEW_PLAN")/COUNTIFS($AF$4:$IN$4,"SEW_PLAN",$AF384:$IN384,"&gt;0")),1),0))</f>
        <v/>
      </c>
      <c r="AE384" s="26">
        <f>IF($E384="","",IF(AND(Z384&gt;0,OR(AND(M384&lt;&gt;"",TODAY()&gt;M384),AND(V384&lt;&gt;"",V384-TODAY()&lt;=7))),"Yes","No"))</f>
        <v/>
      </c>
      <c r="AH384">
        <f>IF(OR(AF$3="",AF$3&gt;TODAY()),"",IF(AND(AF384="",AG384=""),"",N(AG384)-N(AF384)))</f>
        <v/>
      </c>
      <c r="AK384">
        <f>IF(OR(AF$3="",AF$3&gt;TODAY()),"",IF(AND(AI384="",AJ384=""),"",N(AJ384)-N(AI384)))</f>
        <v/>
      </c>
      <c r="AO384">
        <f>IF(OR(AM$3="",AM$3&gt;TODAY()),"",IF(AND(AM384="",AN384=""),"",N(AN384)-N(AM384)))</f>
        <v/>
      </c>
      <c r="AR384">
        <f>IF(OR(AM$3="",AM$3&gt;TODAY()),"",IF(AND(AP384="",AQ384=""),"",N(AQ384)-N(AP384)))</f>
        <v/>
      </c>
      <c r="AV384">
        <f>IF(OR(AT$3="",AT$3&gt;TODAY()),"",IF(AND(AT384="",AU384=""),"",N(AU384)-N(AT384)))</f>
        <v/>
      </c>
      <c r="AY384">
        <f>IF(OR(AT$3="",AT$3&gt;TODAY()),"",IF(AND(AW384="",AX384=""),"",N(AX384)-N(AW384)))</f>
        <v/>
      </c>
      <c r="BC384">
        <f>IF(OR(BA$3="",BA$3&gt;TODAY()),"",IF(AND(BA384="",BB384=""),"",N(BB384)-N(BA384)))</f>
        <v/>
      </c>
      <c r="BF384">
        <f>IF(OR(BA$3="",BA$3&gt;TODAY()),"",IF(AND(BD384="",BE384=""),"",N(BE384)-N(BD384)))</f>
        <v/>
      </c>
      <c r="BJ384">
        <f>IF(OR(BH$3="",BH$3&gt;TODAY()),"",IF(AND(BH384="",BI384=""),"",N(BI384)-N(BH384)))</f>
        <v/>
      </c>
      <c r="BM384">
        <f>IF(OR(BH$3="",BH$3&gt;TODAY()),"",IF(AND(BK384="",BL384=""),"",N(BL384)-N(BK384)))</f>
        <v/>
      </c>
      <c r="BQ384">
        <f>IF(OR(BO$3="",BO$3&gt;TODAY()),"",IF(AND(BO384="",BP384=""),"",N(BP384)-N(BO384)))</f>
        <v/>
      </c>
      <c r="BT384">
        <f>IF(OR(BO$3="",BO$3&gt;TODAY()),"",IF(AND(BR384="",BS384=""),"",N(BS384)-N(BR384)))</f>
        <v/>
      </c>
      <c r="BX384">
        <f>IF(OR(BV$3="",BV$3&gt;TODAY()),"",IF(AND(BV384="",BW384=""),"",N(BW384)-N(BV384)))</f>
        <v/>
      </c>
      <c r="CA384">
        <f>IF(OR(BV$3="",BV$3&gt;TODAY()),"",IF(AND(BY384="",BZ384=""),"",N(BZ384)-N(BY384)))</f>
        <v/>
      </c>
      <c r="CE384">
        <f>IF(OR(CC$3="",CC$3&gt;TODAY()),"",IF(AND(CC384="",CD384=""),"",N(CD384)-N(CC384)))</f>
        <v/>
      </c>
      <c r="CH384">
        <f>IF(OR(CC$3="",CC$3&gt;TODAY()),"",IF(AND(CF384="",CG384=""),"",N(CG384)-N(CF384)))</f>
        <v/>
      </c>
      <c r="CL384">
        <f>IF(OR(CJ$3="",CJ$3&gt;TODAY()),"",IF(AND(CJ384="",CK384=""),"",N(CK384)-N(CJ384)))</f>
        <v/>
      </c>
      <c r="CO384">
        <f>IF(OR(CJ$3="",CJ$3&gt;TODAY()),"",IF(AND(CM384="",CN384=""),"",N(CN384)-N(CM384)))</f>
        <v/>
      </c>
      <c r="CS384">
        <f>IF(OR(CQ$3="",CQ$3&gt;TODAY()),"",IF(AND(CQ384="",CR384=""),"",N(CR384)-N(CQ384)))</f>
        <v/>
      </c>
      <c r="CV384">
        <f>IF(OR(CQ$3="",CQ$3&gt;TODAY()),"",IF(AND(CT384="",CU384=""),"",N(CU384)-N(CT384)))</f>
        <v/>
      </c>
      <c r="CZ384">
        <f>IF(OR(CX$3="",CX$3&gt;TODAY()),"",IF(AND(CX384="",CY384=""),"",N(CY384)-N(CX384)))</f>
        <v/>
      </c>
      <c r="DC384">
        <f>IF(OR(CX$3="",CX$3&gt;TODAY()),"",IF(AND(DA384="",DB384=""),"",N(DB384)-N(DA384)))</f>
        <v/>
      </c>
      <c r="DG384">
        <f>IF(OR(DE$3="",DE$3&gt;TODAY()),"",IF(AND(DE384="",DF384=""),"",N(DF384)-N(DE384)))</f>
        <v/>
      </c>
      <c r="DJ384">
        <f>IF(OR(DE$3="",DE$3&gt;TODAY()),"",IF(AND(DH384="",DI384=""),"",N(DI384)-N(DH384)))</f>
        <v/>
      </c>
      <c r="DN384">
        <f>IF(OR(DL$3="",DL$3&gt;TODAY()),"",IF(AND(DL384="",DM384=""),"",N(DM384)-N(DL384)))</f>
        <v/>
      </c>
      <c r="DQ384">
        <f>IF(OR(DL$3="",DL$3&gt;TODAY()),"",IF(AND(DO384="",DP384=""),"",N(DP384)-N(DO384)))</f>
        <v/>
      </c>
      <c r="DU384">
        <f>IF(OR(DS$3="",DS$3&gt;TODAY()),"",IF(AND(DS384="",DT384=""),"",N(DT384)-N(DS384)))</f>
        <v/>
      </c>
      <c r="DX384">
        <f>IF(OR(DS$3="",DS$3&gt;TODAY()),"",IF(AND(DV384="",DW384=""),"",N(DW384)-N(DV384)))</f>
        <v/>
      </c>
      <c r="EB384">
        <f>IF(OR(DZ$3="",DZ$3&gt;TODAY()),"",IF(AND(DZ384="",EA384=""),"",N(EA384)-N(DZ384)))</f>
        <v/>
      </c>
      <c r="EE384">
        <f>IF(OR(DZ$3="",DZ$3&gt;TODAY()),"",IF(AND(EC384="",ED384=""),"",N(ED384)-N(EC384)))</f>
        <v/>
      </c>
      <c r="EI384">
        <f>IF(OR(EG$3="",EG$3&gt;TODAY()),"",IF(AND(EG384="",EH384=""),"",N(EH384)-N(EG384)))</f>
        <v/>
      </c>
      <c r="EL384">
        <f>IF(OR(EG$3="",EG$3&gt;TODAY()),"",IF(AND(EJ384="",EK384=""),"",N(EK384)-N(EJ384)))</f>
        <v/>
      </c>
      <c r="EP384">
        <f>IF(OR(EN$3="",EN$3&gt;TODAY()),"",IF(AND(EN384="",EO384=""),"",N(EO384)-N(EN384)))</f>
        <v/>
      </c>
      <c r="ES384">
        <f>IF(OR(EN$3="",EN$3&gt;TODAY()),"",IF(AND(EQ384="",ER384=""),"",N(ER384)-N(EQ384)))</f>
        <v/>
      </c>
      <c r="EW384">
        <f>IF(OR(EU$3="",EU$3&gt;TODAY()),"",IF(AND(EU384="",EV384=""),"",N(EV384)-N(EU384)))</f>
        <v/>
      </c>
      <c r="EZ384">
        <f>IF(OR(EU$3="",EU$3&gt;TODAY()),"",IF(AND(EX384="",EY384=""),"",N(EY384)-N(EX384)))</f>
        <v/>
      </c>
      <c r="FD384">
        <f>IF(OR(FB$3="",FB$3&gt;TODAY()),"",IF(AND(FB384="",FC384=""),"",N(FC384)-N(FB384)))</f>
        <v/>
      </c>
      <c r="FG384">
        <f>IF(OR(FB$3="",FB$3&gt;TODAY()),"",IF(AND(FE384="",FF384=""),"",N(FF384)-N(FE384)))</f>
        <v/>
      </c>
      <c r="FK384">
        <f>IF(OR(FI$3="",FI$3&gt;TODAY()),"",IF(AND(FI384="",FJ384=""),"",N(FJ384)-N(FI384)))</f>
        <v/>
      </c>
      <c r="FN384">
        <f>IF(OR(FI$3="",FI$3&gt;TODAY()),"",IF(AND(FL384="",FM384=""),"",N(FM384)-N(FL384)))</f>
        <v/>
      </c>
      <c r="FR384">
        <f>IF(OR(FP$3="",FP$3&gt;TODAY()),"",IF(AND(FP384="",FQ384=""),"",N(FQ384)-N(FP384)))</f>
        <v/>
      </c>
      <c r="FU384">
        <f>IF(OR(FP$3="",FP$3&gt;TODAY()),"",IF(AND(FS384="",FT384=""),"",N(FT384)-N(FS384)))</f>
        <v/>
      </c>
      <c r="FY384">
        <f>IF(OR(FW$3="",FW$3&gt;TODAY()),"",IF(AND(FW384="",FX384=""),"",N(FX384)-N(FW384)))</f>
        <v/>
      </c>
      <c r="GB384">
        <f>IF(OR(FW$3="",FW$3&gt;TODAY()),"",IF(AND(FZ384="",GA384=""),"",N(GA384)-N(FZ384)))</f>
        <v/>
      </c>
      <c r="GF384">
        <f>IF(OR(GD$3="",GD$3&gt;TODAY()),"",IF(AND(GD384="",GE384=""),"",N(GE384)-N(GD384)))</f>
        <v/>
      </c>
      <c r="GI384">
        <f>IF(OR(GD$3="",GD$3&gt;TODAY()),"",IF(AND(GG384="",GH384=""),"",N(GH384)-N(GG384)))</f>
        <v/>
      </c>
      <c r="GM384">
        <f>IF(OR(GK$3="",GK$3&gt;TODAY()),"",IF(AND(GK384="",GL384=""),"",N(GL384)-N(GK384)))</f>
        <v/>
      </c>
      <c r="GP384">
        <f>IF(OR(GK$3="",GK$3&gt;TODAY()),"",IF(AND(GN384="",GO384=""),"",N(GO384)-N(GN384)))</f>
        <v/>
      </c>
      <c r="GT384">
        <f>IF(OR(GR$3="",GR$3&gt;TODAY()),"",IF(AND(GR384="",GS384=""),"",N(GS384)-N(GR384)))</f>
        <v/>
      </c>
      <c r="GW384">
        <f>IF(OR(GR$3="",GR$3&gt;TODAY()),"",IF(AND(GU384="",GV384=""),"",N(GV384)-N(GU384)))</f>
        <v/>
      </c>
      <c r="HA384">
        <f>IF(OR(GY$3="",GY$3&gt;TODAY()),"",IF(AND(GY384="",GZ384=""),"",N(GZ384)-N(GY384)))</f>
        <v/>
      </c>
      <c r="HD384">
        <f>IF(OR(GY$3="",GY$3&gt;TODAY()),"",IF(AND(HB384="",HC384=""),"",N(HC384)-N(HB384)))</f>
        <v/>
      </c>
      <c r="HH384">
        <f>IF(OR(HF$3="",HF$3&gt;TODAY()),"",IF(AND(HF384="",HG384=""),"",N(HG384)-N(HF384)))</f>
        <v/>
      </c>
      <c r="HK384">
        <f>IF(OR(HF$3="",HF$3&gt;TODAY()),"",IF(AND(HI384="",HJ384=""),"",N(HJ384)-N(HI384)))</f>
        <v/>
      </c>
      <c r="HO384">
        <f>IF(OR(HM$3="",HM$3&gt;TODAY()),"",IF(AND(HM384="",HN384=""),"",N(HN384)-N(HM384)))</f>
        <v/>
      </c>
      <c r="HR384">
        <f>IF(OR(HM$3="",HM$3&gt;TODAY()),"",IF(AND(HP384="",HQ384=""),"",N(HQ384)-N(HP384)))</f>
        <v/>
      </c>
      <c r="HV384">
        <f>IF(OR(HT$3="",HT$3&gt;TODAY()),"",IF(AND(HT384="",HU384=""),"",N(HU384)-N(HT384)))</f>
        <v/>
      </c>
      <c r="HY384">
        <f>IF(OR(HT$3="",HT$3&gt;TODAY()),"",IF(AND(HW384="",HX384=""),"",N(HX384)-N(HW384)))</f>
        <v/>
      </c>
      <c r="IC384">
        <f>IF(OR(IA$3="",IA$3&gt;TODAY()),"",IF(AND(IA384="",IB384=""),"",N(IB384)-N(IA384)))</f>
        <v/>
      </c>
      <c r="IF384">
        <f>IF(OR(IA$3="",IA$3&gt;TODAY()),"",IF(AND(ID384="",IE384=""),"",N(IE384)-N(ID384)))</f>
        <v/>
      </c>
      <c r="IJ384">
        <f>IF(OR(IH$3="",IH$3&gt;TODAY()),"",IF(AND(IH384="",II384=""),"",N(II384)-N(IH384)))</f>
        <v/>
      </c>
      <c r="IM384">
        <f>IF(OR(IH$3="",IH$3&gt;TODAY()),"",IF(AND(IK384="",IL384=""),"",N(IL384)-N(IK384)))</f>
        <v/>
      </c>
    </row>
    <row r="385">
      <c r="A385" s="21" t="n"/>
      <c r="B385" s="21" t="n"/>
      <c r="C385" s="21" t="n"/>
      <c r="D385" s="21" t="n"/>
      <c r="E385" s="21" t="n"/>
      <c r="F385" s="21" t="n"/>
      <c r="G385" s="21" t="n"/>
      <c r="H385" s="21" t="n"/>
      <c r="I385" s="22" t="n"/>
      <c r="J385" s="22" t="n"/>
      <c r="K385" s="23" t="n"/>
      <c r="L385" s="22" t="n"/>
      <c r="M385" s="22" t="n"/>
      <c r="N385" s="21" t="n"/>
      <c r="O385" s="23" t="n"/>
      <c r="P385" s="23" t="n"/>
      <c r="Q385" s="23" t="n"/>
      <c r="R385" s="23" t="n"/>
      <c r="S385" s="22" t="n"/>
      <c r="T385" s="23" t="n"/>
      <c r="U385" s="23" t="n"/>
      <c r="V385" s="24">
        <f>IF(J385&lt;&gt;"",J385,IF(I385&lt;&gt;"",I385,""))</f>
        <v/>
      </c>
      <c r="W385" s="25">
        <f>IF($E385="","",N(O385)+SUMIFS($AF385:$IN385,$AF$4:$IN$4,"SEW_ACT"))</f>
        <v/>
      </c>
      <c r="X385" s="25">
        <f>IF($E385="","",N(P385)+SUMIFS($AF385:$IN385,$AF$4:$IN$4,"WASH_ACT"))</f>
        <v/>
      </c>
      <c r="Y385" s="25">
        <f>IF($E385="","",W385-X385-N(T385)-N(U385))</f>
        <v/>
      </c>
      <c r="Z385" s="25">
        <f>IF($E385="","",IF(N(K385)-X385&lt;=0.02*N(K385),0,N(K385)-X385))</f>
        <v/>
      </c>
      <c r="AA385" s="24">
        <f>IF($E385="","",IF(S385&lt;&gt;"",S385,IF(N(O385)&gt;0,IF(L385&lt;&gt;"",L385,99999),IFERROR(1/(1/_xlfn.MINIFS($AF$3:$IN$3,$AF$4:$IN$4,"SEW_ACT",$AF385:$IN385,"&gt;0")),99999))))</f>
        <v/>
      </c>
      <c r="AB385" s="26">
        <f>IF(OR($E385="",Z385=0,V385=""),"",1+COUNTIFS(Z$8:Z$707,"&gt;0",V$8:V$707,"&lt;"&amp;V385)+COUNTIFS(Z$8:Z$707,"&gt;0",V$8:V$707,V385,AA$8:AA$707,"&lt;"&amp;AA385)+COUNTIFS(Z$8:Z$707,"&gt;0",V$8:V$707,V385,AA$8:AA$707,AA385,E$8:E$707,"&lt;"&amp;$E385))</f>
        <v/>
      </c>
      <c r="AC385" s="24">
        <f>IF(OR($E385="",Z385=0),"",IFERROR(TODAY()+ROUNDUP(Z385/(SUMIFS($AF385:$IN385,$AF$4:$IN$4,"WASH_ACT")/COUNTIFS($AF$4:$IN$4,"WASH_ACT",$AF385:$IN385,"&gt;0")),0),"no output yet"))</f>
        <v/>
      </c>
      <c r="AD385" s="26">
        <f>IF($E385="","",IFERROR(ROUND(MAX(0,SUMIFS($AF385:$IN385,$AF$4:$IN$4,"SEW_PLAN",$AF$3:$IN$3,"&lt;="&amp;TODAY())-SUMIFS($AF385:$IN385,$AF$4:$IN$4,"SEW_ACT",$AF$3:$IN$3,"&lt;="&amp;TODAY())+N(Q385))/(SUMIFS($AF385:$IN385,$AF$4:$IN$4,"SEW_PLAN")/COUNTIFS($AF$4:$IN$4,"SEW_PLAN",$AF385:$IN385,"&gt;0")),1),0))</f>
        <v/>
      </c>
      <c r="AE385" s="26">
        <f>IF($E385="","",IF(AND(Z385&gt;0,OR(AND(M385&lt;&gt;"",TODAY()&gt;M385),AND(V385&lt;&gt;"",V385-TODAY()&lt;=7))),"Yes","No"))</f>
        <v/>
      </c>
      <c r="AH385">
        <f>IF(OR(AF$3="",AF$3&gt;TODAY()),"",IF(AND(AF385="",AG385=""),"",N(AG385)-N(AF385)))</f>
        <v/>
      </c>
      <c r="AK385">
        <f>IF(OR(AF$3="",AF$3&gt;TODAY()),"",IF(AND(AI385="",AJ385=""),"",N(AJ385)-N(AI385)))</f>
        <v/>
      </c>
      <c r="AO385">
        <f>IF(OR(AM$3="",AM$3&gt;TODAY()),"",IF(AND(AM385="",AN385=""),"",N(AN385)-N(AM385)))</f>
        <v/>
      </c>
      <c r="AR385">
        <f>IF(OR(AM$3="",AM$3&gt;TODAY()),"",IF(AND(AP385="",AQ385=""),"",N(AQ385)-N(AP385)))</f>
        <v/>
      </c>
      <c r="AV385">
        <f>IF(OR(AT$3="",AT$3&gt;TODAY()),"",IF(AND(AT385="",AU385=""),"",N(AU385)-N(AT385)))</f>
        <v/>
      </c>
      <c r="AY385">
        <f>IF(OR(AT$3="",AT$3&gt;TODAY()),"",IF(AND(AW385="",AX385=""),"",N(AX385)-N(AW385)))</f>
        <v/>
      </c>
      <c r="BC385">
        <f>IF(OR(BA$3="",BA$3&gt;TODAY()),"",IF(AND(BA385="",BB385=""),"",N(BB385)-N(BA385)))</f>
        <v/>
      </c>
      <c r="BF385">
        <f>IF(OR(BA$3="",BA$3&gt;TODAY()),"",IF(AND(BD385="",BE385=""),"",N(BE385)-N(BD385)))</f>
        <v/>
      </c>
      <c r="BJ385">
        <f>IF(OR(BH$3="",BH$3&gt;TODAY()),"",IF(AND(BH385="",BI385=""),"",N(BI385)-N(BH385)))</f>
        <v/>
      </c>
      <c r="BM385">
        <f>IF(OR(BH$3="",BH$3&gt;TODAY()),"",IF(AND(BK385="",BL385=""),"",N(BL385)-N(BK385)))</f>
        <v/>
      </c>
      <c r="BQ385">
        <f>IF(OR(BO$3="",BO$3&gt;TODAY()),"",IF(AND(BO385="",BP385=""),"",N(BP385)-N(BO385)))</f>
        <v/>
      </c>
      <c r="BT385">
        <f>IF(OR(BO$3="",BO$3&gt;TODAY()),"",IF(AND(BR385="",BS385=""),"",N(BS385)-N(BR385)))</f>
        <v/>
      </c>
      <c r="BX385">
        <f>IF(OR(BV$3="",BV$3&gt;TODAY()),"",IF(AND(BV385="",BW385=""),"",N(BW385)-N(BV385)))</f>
        <v/>
      </c>
      <c r="CA385">
        <f>IF(OR(BV$3="",BV$3&gt;TODAY()),"",IF(AND(BY385="",BZ385=""),"",N(BZ385)-N(BY385)))</f>
        <v/>
      </c>
      <c r="CE385">
        <f>IF(OR(CC$3="",CC$3&gt;TODAY()),"",IF(AND(CC385="",CD385=""),"",N(CD385)-N(CC385)))</f>
        <v/>
      </c>
      <c r="CH385">
        <f>IF(OR(CC$3="",CC$3&gt;TODAY()),"",IF(AND(CF385="",CG385=""),"",N(CG385)-N(CF385)))</f>
        <v/>
      </c>
      <c r="CL385">
        <f>IF(OR(CJ$3="",CJ$3&gt;TODAY()),"",IF(AND(CJ385="",CK385=""),"",N(CK385)-N(CJ385)))</f>
        <v/>
      </c>
      <c r="CO385">
        <f>IF(OR(CJ$3="",CJ$3&gt;TODAY()),"",IF(AND(CM385="",CN385=""),"",N(CN385)-N(CM385)))</f>
        <v/>
      </c>
      <c r="CS385">
        <f>IF(OR(CQ$3="",CQ$3&gt;TODAY()),"",IF(AND(CQ385="",CR385=""),"",N(CR385)-N(CQ385)))</f>
        <v/>
      </c>
      <c r="CV385">
        <f>IF(OR(CQ$3="",CQ$3&gt;TODAY()),"",IF(AND(CT385="",CU385=""),"",N(CU385)-N(CT385)))</f>
        <v/>
      </c>
      <c r="CZ385">
        <f>IF(OR(CX$3="",CX$3&gt;TODAY()),"",IF(AND(CX385="",CY385=""),"",N(CY385)-N(CX385)))</f>
        <v/>
      </c>
      <c r="DC385">
        <f>IF(OR(CX$3="",CX$3&gt;TODAY()),"",IF(AND(DA385="",DB385=""),"",N(DB385)-N(DA385)))</f>
        <v/>
      </c>
      <c r="DG385">
        <f>IF(OR(DE$3="",DE$3&gt;TODAY()),"",IF(AND(DE385="",DF385=""),"",N(DF385)-N(DE385)))</f>
        <v/>
      </c>
      <c r="DJ385">
        <f>IF(OR(DE$3="",DE$3&gt;TODAY()),"",IF(AND(DH385="",DI385=""),"",N(DI385)-N(DH385)))</f>
        <v/>
      </c>
      <c r="DN385">
        <f>IF(OR(DL$3="",DL$3&gt;TODAY()),"",IF(AND(DL385="",DM385=""),"",N(DM385)-N(DL385)))</f>
        <v/>
      </c>
      <c r="DQ385">
        <f>IF(OR(DL$3="",DL$3&gt;TODAY()),"",IF(AND(DO385="",DP385=""),"",N(DP385)-N(DO385)))</f>
        <v/>
      </c>
      <c r="DU385">
        <f>IF(OR(DS$3="",DS$3&gt;TODAY()),"",IF(AND(DS385="",DT385=""),"",N(DT385)-N(DS385)))</f>
        <v/>
      </c>
      <c r="DX385">
        <f>IF(OR(DS$3="",DS$3&gt;TODAY()),"",IF(AND(DV385="",DW385=""),"",N(DW385)-N(DV385)))</f>
        <v/>
      </c>
      <c r="EB385">
        <f>IF(OR(DZ$3="",DZ$3&gt;TODAY()),"",IF(AND(DZ385="",EA385=""),"",N(EA385)-N(DZ385)))</f>
        <v/>
      </c>
      <c r="EE385">
        <f>IF(OR(DZ$3="",DZ$3&gt;TODAY()),"",IF(AND(EC385="",ED385=""),"",N(ED385)-N(EC385)))</f>
        <v/>
      </c>
      <c r="EI385">
        <f>IF(OR(EG$3="",EG$3&gt;TODAY()),"",IF(AND(EG385="",EH385=""),"",N(EH385)-N(EG385)))</f>
        <v/>
      </c>
      <c r="EL385">
        <f>IF(OR(EG$3="",EG$3&gt;TODAY()),"",IF(AND(EJ385="",EK385=""),"",N(EK385)-N(EJ385)))</f>
        <v/>
      </c>
      <c r="EP385">
        <f>IF(OR(EN$3="",EN$3&gt;TODAY()),"",IF(AND(EN385="",EO385=""),"",N(EO385)-N(EN385)))</f>
        <v/>
      </c>
      <c r="ES385">
        <f>IF(OR(EN$3="",EN$3&gt;TODAY()),"",IF(AND(EQ385="",ER385=""),"",N(ER385)-N(EQ385)))</f>
        <v/>
      </c>
      <c r="EW385">
        <f>IF(OR(EU$3="",EU$3&gt;TODAY()),"",IF(AND(EU385="",EV385=""),"",N(EV385)-N(EU385)))</f>
        <v/>
      </c>
      <c r="EZ385">
        <f>IF(OR(EU$3="",EU$3&gt;TODAY()),"",IF(AND(EX385="",EY385=""),"",N(EY385)-N(EX385)))</f>
        <v/>
      </c>
      <c r="FD385">
        <f>IF(OR(FB$3="",FB$3&gt;TODAY()),"",IF(AND(FB385="",FC385=""),"",N(FC385)-N(FB385)))</f>
        <v/>
      </c>
      <c r="FG385">
        <f>IF(OR(FB$3="",FB$3&gt;TODAY()),"",IF(AND(FE385="",FF385=""),"",N(FF385)-N(FE385)))</f>
        <v/>
      </c>
      <c r="FK385">
        <f>IF(OR(FI$3="",FI$3&gt;TODAY()),"",IF(AND(FI385="",FJ385=""),"",N(FJ385)-N(FI385)))</f>
        <v/>
      </c>
      <c r="FN385">
        <f>IF(OR(FI$3="",FI$3&gt;TODAY()),"",IF(AND(FL385="",FM385=""),"",N(FM385)-N(FL385)))</f>
        <v/>
      </c>
      <c r="FR385">
        <f>IF(OR(FP$3="",FP$3&gt;TODAY()),"",IF(AND(FP385="",FQ385=""),"",N(FQ385)-N(FP385)))</f>
        <v/>
      </c>
      <c r="FU385">
        <f>IF(OR(FP$3="",FP$3&gt;TODAY()),"",IF(AND(FS385="",FT385=""),"",N(FT385)-N(FS385)))</f>
        <v/>
      </c>
      <c r="FY385">
        <f>IF(OR(FW$3="",FW$3&gt;TODAY()),"",IF(AND(FW385="",FX385=""),"",N(FX385)-N(FW385)))</f>
        <v/>
      </c>
      <c r="GB385">
        <f>IF(OR(FW$3="",FW$3&gt;TODAY()),"",IF(AND(FZ385="",GA385=""),"",N(GA385)-N(FZ385)))</f>
        <v/>
      </c>
      <c r="GF385">
        <f>IF(OR(GD$3="",GD$3&gt;TODAY()),"",IF(AND(GD385="",GE385=""),"",N(GE385)-N(GD385)))</f>
        <v/>
      </c>
      <c r="GI385">
        <f>IF(OR(GD$3="",GD$3&gt;TODAY()),"",IF(AND(GG385="",GH385=""),"",N(GH385)-N(GG385)))</f>
        <v/>
      </c>
      <c r="GM385">
        <f>IF(OR(GK$3="",GK$3&gt;TODAY()),"",IF(AND(GK385="",GL385=""),"",N(GL385)-N(GK385)))</f>
        <v/>
      </c>
      <c r="GP385">
        <f>IF(OR(GK$3="",GK$3&gt;TODAY()),"",IF(AND(GN385="",GO385=""),"",N(GO385)-N(GN385)))</f>
        <v/>
      </c>
      <c r="GT385">
        <f>IF(OR(GR$3="",GR$3&gt;TODAY()),"",IF(AND(GR385="",GS385=""),"",N(GS385)-N(GR385)))</f>
        <v/>
      </c>
      <c r="GW385">
        <f>IF(OR(GR$3="",GR$3&gt;TODAY()),"",IF(AND(GU385="",GV385=""),"",N(GV385)-N(GU385)))</f>
        <v/>
      </c>
      <c r="HA385">
        <f>IF(OR(GY$3="",GY$3&gt;TODAY()),"",IF(AND(GY385="",GZ385=""),"",N(GZ385)-N(GY385)))</f>
        <v/>
      </c>
      <c r="HD385">
        <f>IF(OR(GY$3="",GY$3&gt;TODAY()),"",IF(AND(HB385="",HC385=""),"",N(HC385)-N(HB385)))</f>
        <v/>
      </c>
      <c r="HH385">
        <f>IF(OR(HF$3="",HF$3&gt;TODAY()),"",IF(AND(HF385="",HG385=""),"",N(HG385)-N(HF385)))</f>
        <v/>
      </c>
      <c r="HK385">
        <f>IF(OR(HF$3="",HF$3&gt;TODAY()),"",IF(AND(HI385="",HJ385=""),"",N(HJ385)-N(HI385)))</f>
        <v/>
      </c>
      <c r="HO385">
        <f>IF(OR(HM$3="",HM$3&gt;TODAY()),"",IF(AND(HM385="",HN385=""),"",N(HN385)-N(HM385)))</f>
        <v/>
      </c>
      <c r="HR385">
        <f>IF(OR(HM$3="",HM$3&gt;TODAY()),"",IF(AND(HP385="",HQ385=""),"",N(HQ385)-N(HP385)))</f>
        <v/>
      </c>
      <c r="HV385">
        <f>IF(OR(HT$3="",HT$3&gt;TODAY()),"",IF(AND(HT385="",HU385=""),"",N(HU385)-N(HT385)))</f>
        <v/>
      </c>
      <c r="HY385">
        <f>IF(OR(HT$3="",HT$3&gt;TODAY()),"",IF(AND(HW385="",HX385=""),"",N(HX385)-N(HW385)))</f>
        <v/>
      </c>
      <c r="IC385">
        <f>IF(OR(IA$3="",IA$3&gt;TODAY()),"",IF(AND(IA385="",IB385=""),"",N(IB385)-N(IA385)))</f>
        <v/>
      </c>
      <c r="IF385">
        <f>IF(OR(IA$3="",IA$3&gt;TODAY()),"",IF(AND(ID385="",IE385=""),"",N(IE385)-N(ID385)))</f>
        <v/>
      </c>
      <c r="IJ385">
        <f>IF(OR(IH$3="",IH$3&gt;TODAY()),"",IF(AND(IH385="",II385=""),"",N(II385)-N(IH385)))</f>
        <v/>
      </c>
      <c r="IM385">
        <f>IF(OR(IH$3="",IH$3&gt;TODAY()),"",IF(AND(IK385="",IL385=""),"",N(IL385)-N(IK385)))</f>
        <v/>
      </c>
    </row>
    <row r="386">
      <c r="A386" s="21" t="n"/>
      <c r="B386" s="21" t="n"/>
      <c r="C386" s="21" t="n"/>
      <c r="D386" s="21" t="n"/>
      <c r="E386" s="21" t="n"/>
      <c r="F386" s="21" t="n"/>
      <c r="G386" s="21" t="n"/>
      <c r="H386" s="21" t="n"/>
      <c r="I386" s="22" t="n"/>
      <c r="J386" s="22" t="n"/>
      <c r="K386" s="23" t="n"/>
      <c r="L386" s="22" t="n"/>
      <c r="M386" s="22" t="n"/>
      <c r="N386" s="21" t="n"/>
      <c r="O386" s="23" t="n"/>
      <c r="P386" s="23" t="n"/>
      <c r="Q386" s="23" t="n"/>
      <c r="R386" s="23" t="n"/>
      <c r="S386" s="22" t="n"/>
      <c r="T386" s="23" t="n"/>
      <c r="U386" s="23" t="n"/>
      <c r="V386" s="24">
        <f>IF(J386&lt;&gt;"",J386,IF(I386&lt;&gt;"",I386,""))</f>
        <v/>
      </c>
      <c r="W386" s="25">
        <f>IF($E386="","",N(O386)+SUMIFS($AF386:$IN386,$AF$4:$IN$4,"SEW_ACT"))</f>
        <v/>
      </c>
      <c r="X386" s="25">
        <f>IF($E386="","",N(P386)+SUMIFS($AF386:$IN386,$AF$4:$IN$4,"WASH_ACT"))</f>
        <v/>
      </c>
      <c r="Y386" s="25">
        <f>IF($E386="","",W386-X386-N(T386)-N(U386))</f>
        <v/>
      </c>
      <c r="Z386" s="25">
        <f>IF($E386="","",IF(N(K386)-X386&lt;=0.02*N(K386),0,N(K386)-X386))</f>
        <v/>
      </c>
      <c r="AA386" s="24">
        <f>IF($E386="","",IF(S386&lt;&gt;"",S386,IF(N(O386)&gt;0,IF(L386&lt;&gt;"",L386,99999),IFERROR(1/(1/_xlfn.MINIFS($AF$3:$IN$3,$AF$4:$IN$4,"SEW_ACT",$AF386:$IN386,"&gt;0")),99999))))</f>
        <v/>
      </c>
      <c r="AB386" s="26">
        <f>IF(OR($E386="",Z386=0,V386=""),"",1+COUNTIFS(Z$8:Z$707,"&gt;0",V$8:V$707,"&lt;"&amp;V386)+COUNTIFS(Z$8:Z$707,"&gt;0",V$8:V$707,V386,AA$8:AA$707,"&lt;"&amp;AA386)+COUNTIFS(Z$8:Z$707,"&gt;0",V$8:V$707,V386,AA$8:AA$707,AA386,E$8:E$707,"&lt;"&amp;$E386))</f>
        <v/>
      </c>
      <c r="AC386" s="24">
        <f>IF(OR($E386="",Z386=0),"",IFERROR(TODAY()+ROUNDUP(Z386/(SUMIFS($AF386:$IN386,$AF$4:$IN$4,"WASH_ACT")/COUNTIFS($AF$4:$IN$4,"WASH_ACT",$AF386:$IN386,"&gt;0")),0),"no output yet"))</f>
        <v/>
      </c>
      <c r="AD386" s="26">
        <f>IF($E386="","",IFERROR(ROUND(MAX(0,SUMIFS($AF386:$IN386,$AF$4:$IN$4,"SEW_PLAN",$AF$3:$IN$3,"&lt;="&amp;TODAY())-SUMIFS($AF386:$IN386,$AF$4:$IN$4,"SEW_ACT",$AF$3:$IN$3,"&lt;="&amp;TODAY())+N(Q386))/(SUMIFS($AF386:$IN386,$AF$4:$IN$4,"SEW_PLAN")/COUNTIFS($AF$4:$IN$4,"SEW_PLAN",$AF386:$IN386,"&gt;0")),1),0))</f>
        <v/>
      </c>
      <c r="AE386" s="26">
        <f>IF($E386="","",IF(AND(Z386&gt;0,OR(AND(M386&lt;&gt;"",TODAY()&gt;M386),AND(V386&lt;&gt;"",V386-TODAY()&lt;=7))),"Yes","No"))</f>
        <v/>
      </c>
      <c r="AH386">
        <f>IF(OR(AF$3="",AF$3&gt;TODAY()),"",IF(AND(AF386="",AG386=""),"",N(AG386)-N(AF386)))</f>
        <v/>
      </c>
      <c r="AK386">
        <f>IF(OR(AF$3="",AF$3&gt;TODAY()),"",IF(AND(AI386="",AJ386=""),"",N(AJ386)-N(AI386)))</f>
        <v/>
      </c>
      <c r="AO386">
        <f>IF(OR(AM$3="",AM$3&gt;TODAY()),"",IF(AND(AM386="",AN386=""),"",N(AN386)-N(AM386)))</f>
        <v/>
      </c>
      <c r="AR386">
        <f>IF(OR(AM$3="",AM$3&gt;TODAY()),"",IF(AND(AP386="",AQ386=""),"",N(AQ386)-N(AP386)))</f>
        <v/>
      </c>
      <c r="AV386">
        <f>IF(OR(AT$3="",AT$3&gt;TODAY()),"",IF(AND(AT386="",AU386=""),"",N(AU386)-N(AT386)))</f>
        <v/>
      </c>
      <c r="AY386">
        <f>IF(OR(AT$3="",AT$3&gt;TODAY()),"",IF(AND(AW386="",AX386=""),"",N(AX386)-N(AW386)))</f>
        <v/>
      </c>
      <c r="BC386">
        <f>IF(OR(BA$3="",BA$3&gt;TODAY()),"",IF(AND(BA386="",BB386=""),"",N(BB386)-N(BA386)))</f>
        <v/>
      </c>
      <c r="BF386">
        <f>IF(OR(BA$3="",BA$3&gt;TODAY()),"",IF(AND(BD386="",BE386=""),"",N(BE386)-N(BD386)))</f>
        <v/>
      </c>
      <c r="BJ386">
        <f>IF(OR(BH$3="",BH$3&gt;TODAY()),"",IF(AND(BH386="",BI386=""),"",N(BI386)-N(BH386)))</f>
        <v/>
      </c>
      <c r="BM386">
        <f>IF(OR(BH$3="",BH$3&gt;TODAY()),"",IF(AND(BK386="",BL386=""),"",N(BL386)-N(BK386)))</f>
        <v/>
      </c>
      <c r="BQ386">
        <f>IF(OR(BO$3="",BO$3&gt;TODAY()),"",IF(AND(BO386="",BP386=""),"",N(BP386)-N(BO386)))</f>
        <v/>
      </c>
      <c r="BT386">
        <f>IF(OR(BO$3="",BO$3&gt;TODAY()),"",IF(AND(BR386="",BS386=""),"",N(BS386)-N(BR386)))</f>
        <v/>
      </c>
      <c r="BX386">
        <f>IF(OR(BV$3="",BV$3&gt;TODAY()),"",IF(AND(BV386="",BW386=""),"",N(BW386)-N(BV386)))</f>
        <v/>
      </c>
      <c r="CA386">
        <f>IF(OR(BV$3="",BV$3&gt;TODAY()),"",IF(AND(BY386="",BZ386=""),"",N(BZ386)-N(BY386)))</f>
        <v/>
      </c>
      <c r="CE386">
        <f>IF(OR(CC$3="",CC$3&gt;TODAY()),"",IF(AND(CC386="",CD386=""),"",N(CD386)-N(CC386)))</f>
        <v/>
      </c>
      <c r="CH386">
        <f>IF(OR(CC$3="",CC$3&gt;TODAY()),"",IF(AND(CF386="",CG386=""),"",N(CG386)-N(CF386)))</f>
        <v/>
      </c>
      <c r="CL386">
        <f>IF(OR(CJ$3="",CJ$3&gt;TODAY()),"",IF(AND(CJ386="",CK386=""),"",N(CK386)-N(CJ386)))</f>
        <v/>
      </c>
      <c r="CO386">
        <f>IF(OR(CJ$3="",CJ$3&gt;TODAY()),"",IF(AND(CM386="",CN386=""),"",N(CN386)-N(CM386)))</f>
        <v/>
      </c>
      <c r="CS386">
        <f>IF(OR(CQ$3="",CQ$3&gt;TODAY()),"",IF(AND(CQ386="",CR386=""),"",N(CR386)-N(CQ386)))</f>
        <v/>
      </c>
      <c r="CV386">
        <f>IF(OR(CQ$3="",CQ$3&gt;TODAY()),"",IF(AND(CT386="",CU386=""),"",N(CU386)-N(CT386)))</f>
        <v/>
      </c>
      <c r="CZ386">
        <f>IF(OR(CX$3="",CX$3&gt;TODAY()),"",IF(AND(CX386="",CY386=""),"",N(CY386)-N(CX386)))</f>
        <v/>
      </c>
      <c r="DC386">
        <f>IF(OR(CX$3="",CX$3&gt;TODAY()),"",IF(AND(DA386="",DB386=""),"",N(DB386)-N(DA386)))</f>
        <v/>
      </c>
      <c r="DG386">
        <f>IF(OR(DE$3="",DE$3&gt;TODAY()),"",IF(AND(DE386="",DF386=""),"",N(DF386)-N(DE386)))</f>
        <v/>
      </c>
      <c r="DJ386">
        <f>IF(OR(DE$3="",DE$3&gt;TODAY()),"",IF(AND(DH386="",DI386=""),"",N(DI386)-N(DH386)))</f>
        <v/>
      </c>
      <c r="DN386">
        <f>IF(OR(DL$3="",DL$3&gt;TODAY()),"",IF(AND(DL386="",DM386=""),"",N(DM386)-N(DL386)))</f>
        <v/>
      </c>
      <c r="DQ386">
        <f>IF(OR(DL$3="",DL$3&gt;TODAY()),"",IF(AND(DO386="",DP386=""),"",N(DP386)-N(DO386)))</f>
        <v/>
      </c>
      <c r="DU386">
        <f>IF(OR(DS$3="",DS$3&gt;TODAY()),"",IF(AND(DS386="",DT386=""),"",N(DT386)-N(DS386)))</f>
        <v/>
      </c>
      <c r="DX386">
        <f>IF(OR(DS$3="",DS$3&gt;TODAY()),"",IF(AND(DV386="",DW386=""),"",N(DW386)-N(DV386)))</f>
        <v/>
      </c>
      <c r="EB386">
        <f>IF(OR(DZ$3="",DZ$3&gt;TODAY()),"",IF(AND(DZ386="",EA386=""),"",N(EA386)-N(DZ386)))</f>
        <v/>
      </c>
      <c r="EE386">
        <f>IF(OR(DZ$3="",DZ$3&gt;TODAY()),"",IF(AND(EC386="",ED386=""),"",N(ED386)-N(EC386)))</f>
        <v/>
      </c>
      <c r="EI386">
        <f>IF(OR(EG$3="",EG$3&gt;TODAY()),"",IF(AND(EG386="",EH386=""),"",N(EH386)-N(EG386)))</f>
        <v/>
      </c>
      <c r="EL386">
        <f>IF(OR(EG$3="",EG$3&gt;TODAY()),"",IF(AND(EJ386="",EK386=""),"",N(EK386)-N(EJ386)))</f>
        <v/>
      </c>
      <c r="EP386">
        <f>IF(OR(EN$3="",EN$3&gt;TODAY()),"",IF(AND(EN386="",EO386=""),"",N(EO386)-N(EN386)))</f>
        <v/>
      </c>
      <c r="ES386">
        <f>IF(OR(EN$3="",EN$3&gt;TODAY()),"",IF(AND(EQ386="",ER386=""),"",N(ER386)-N(EQ386)))</f>
        <v/>
      </c>
      <c r="EW386">
        <f>IF(OR(EU$3="",EU$3&gt;TODAY()),"",IF(AND(EU386="",EV386=""),"",N(EV386)-N(EU386)))</f>
        <v/>
      </c>
      <c r="EZ386">
        <f>IF(OR(EU$3="",EU$3&gt;TODAY()),"",IF(AND(EX386="",EY386=""),"",N(EY386)-N(EX386)))</f>
        <v/>
      </c>
      <c r="FD386">
        <f>IF(OR(FB$3="",FB$3&gt;TODAY()),"",IF(AND(FB386="",FC386=""),"",N(FC386)-N(FB386)))</f>
        <v/>
      </c>
      <c r="FG386">
        <f>IF(OR(FB$3="",FB$3&gt;TODAY()),"",IF(AND(FE386="",FF386=""),"",N(FF386)-N(FE386)))</f>
        <v/>
      </c>
      <c r="FK386">
        <f>IF(OR(FI$3="",FI$3&gt;TODAY()),"",IF(AND(FI386="",FJ386=""),"",N(FJ386)-N(FI386)))</f>
        <v/>
      </c>
      <c r="FN386">
        <f>IF(OR(FI$3="",FI$3&gt;TODAY()),"",IF(AND(FL386="",FM386=""),"",N(FM386)-N(FL386)))</f>
        <v/>
      </c>
      <c r="FR386">
        <f>IF(OR(FP$3="",FP$3&gt;TODAY()),"",IF(AND(FP386="",FQ386=""),"",N(FQ386)-N(FP386)))</f>
        <v/>
      </c>
      <c r="FU386">
        <f>IF(OR(FP$3="",FP$3&gt;TODAY()),"",IF(AND(FS386="",FT386=""),"",N(FT386)-N(FS386)))</f>
        <v/>
      </c>
      <c r="FY386">
        <f>IF(OR(FW$3="",FW$3&gt;TODAY()),"",IF(AND(FW386="",FX386=""),"",N(FX386)-N(FW386)))</f>
        <v/>
      </c>
      <c r="GB386">
        <f>IF(OR(FW$3="",FW$3&gt;TODAY()),"",IF(AND(FZ386="",GA386=""),"",N(GA386)-N(FZ386)))</f>
        <v/>
      </c>
      <c r="GF386">
        <f>IF(OR(GD$3="",GD$3&gt;TODAY()),"",IF(AND(GD386="",GE386=""),"",N(GE386)-N(GD386)))</f>
        <v/>
      </c>
      <c r="GI386">
        <f>IF(OR(GD$3="",GD$3&gt;TODAY()),"",IF(AND(GG386="",GH386=""),"",N(GH386)-N(GG386)))</f>
        <v/>
      </c>
      <c r="GM386">
        <f>IF(OR(GK$3="",GK$3&gt;TODAY()),"",IF(AND(GK386="",GL386=""),"",N(GL386)-N(GK386)))</f>
        <v/>
      </c>
      <c r="GP386">
        <f>IF(OR(GK$3="",GK$3&gt;TODAY()),"",IF(AND(GN386="",GO386=""),"",N(GO386)-N(GN386)))</f>
        <v/>
      </c>
      <c r="GT386">
        <f>IF(OR(GR$3="",GR$3&gt;TODAY()),"",IF(AND(GR386="",GS386=""),"",N(GS386)-N(GR386)))</f>
        <v/>
      </c>
      <c r="GW386">
        <f>IF(OR(GR$3="",GR$3&gt;TODAY()),"",IF(AND(GU386="",GV386=""),"",N(GV386)-N(GU386)))</f>
        <v/>
      </c>
      <c r="HA386">
        <f>IF(OR(GY$3="",GY$3&gt;TODAY()),"",IF(AND(GY386="",GZ386=""),"",N(GZ386)-N(GY386)))</f>
        <v/>
      </c>
      <c r="HD386">
        <f>IF(OR(GY$3="",GY$3&gt;TODAY()),"",IF(AND(HB386="",HC386=""),"",N(HC386)-N(HB386)))</f>
        <v/>
      </c>
      <c r="HH386">
        <f>IF(OR(HF$3="",HF$3&gt;TODAY()),"",IF(AND(HF386="",HG386=""),"",N(HG386)-N(HF386)))</f>
        <v/>
      </c>
      <c r="HK386">
        <f>IF(OR(HF$3="",HF$3&gt;TODAY()),"",IF(AND(HI386="",HJ386=""),"",N(HJ386)-N(HI386)))</f>
        <v/>
      </c>
      <c r="HO386">
        <f>IF(OR(HM$3="",HM$3&gt;TODAY()),"",IF(AND(HM386="",HN386=""),"",N(HN386)-N(HM386)))</f>
        <v/>
      </c>
      <c r="HR386">
        <f>IF(OR(HM$3="",HM$3&gt;TODAY()),"",IF(AND(HP386="",HQ386=""),"",N(HQ386)-N(HP386)))</f>
        <v/>
      </c>
      <c r="HV386">
        <f>IF(OR(HT$3="",HT$3&gt;TODAY()),"",IF(AND(HT386="",HU386=""),"",N(HU386)-N(HT386)))</f>
        <v/>
      </c>
      <c r="HY386">
        <f>IF(OR(HT$3="",HT$3&gt;TODAY()),"",IF(AND(HW386="",HX386=""),"",N(HX386)-N(HW386)))</f>
        <v/>
      </c>
      <c r="IC386">
        <f>IF(OR(IA$3="",IA$3&gt;TODAY()),"",IF(AND(IA386="",IB386=""),"",N(IB386)-N(IA386)))</f>
        <v/>
      </c>
      <c r="IF386">
        <f>IF(OR(IA$3="",IA$3&gt;TODAY()),"",IF(AND(ID386="",IE386=""),"",N(IE386)-N(ID386)))</f>
        <v/>
      </c>
      <c r="IJ386">
        <f>IF(OR(IH$3="",IH$3&gt;TODAY()),"",IF(AND(IH386="",II386=""),"",N(II386)-N(IH386)))</f>
        <v/>
      </c>
      <c r="IM386">
        <f>IF(OR(IH$3="",IH$3&gt;TODAY()),"",IF(AND(IK386="",IL386=""),"",N(IL386)-N(IK386)))</f>
        <v/>
      </c>
    </row>
    <row r="387">
      <c r="A387" s="21" t="n"/>
      <c r="B387" s="21" t="n"/>
      <c r="C387" s="21" t="n"/>
      <c r="D387" s="21" t="n"/>
      <c r="E387" s="21" t="n"/>
      <c r="F387" s="21" t="n"/>
      <c r="G387" s="21" t="n"/>
      <c r="H387" s="21" t="n"/>
      <c r="I387" s="22" t="n"/>
      <c r="J387" s="22" t="n"/>
      <c r="K387" s="23" t="n"/>
      <c r="L387" s="22" t="n"/>
      <c r="M387" s="22" t="n"/>
      <c r="N387" s="21" t="n"/>
      <c r="O387" s="23" t="n"/>
      <c r="P387" s="23" t="n"/>
      <c r="Q387" s="23" t="n"/>
      <c r="R387" s="23" t="n"/>
      <c r="S387" s="22" t="n"/>
      <c r="T387" s="23" t="n"/>
      <c r="U387" s="23" t="n"/>
      <c r="V387" s="24">
        <f>IF(J387&lt;&gt;"",J387,IF(I387&lt;&gt;"",I387,""))</f>
        <v/>
      </c>
      <c r="W387" s="25">
        <f>IF($E387="","",N(O387)+SUMIFS($AF387:$IN387,$AF$4:$IN$4,"SEW_ACT"))</f>
        <v/>
      </c>
      <c r="X387" s="25">
        <f>IF($E387="","",N(P387)+SUMIFS($AF387:$IN387,$AF$4:$IN$4,"WASH_ACT"))</f>
        <v/>
      </c>
      <c r="Y387" s="25">
        <f>IF($E387="","",W387-X387-N(T387)-N(U387))</f>
        <v/>
      </c>
      <c r="Z387" s="25">
        <f>IF($E387="","",IF(N(K387)-X387&lt;=0.02*N(K387),0,N(K387)-X387))</f>
        <v/>
      </c>
      <c r="AA387" s="24">
        <f>IF($E387="","",IF(S387&lt;&gt;"",S387,IF(N(O387)&gt;0,IF(L387&lt;&gt;"",L387,99999),IFERROR(1/(1/_xlfn.MINIFS($AF$3:$IN$3,$AF$4:$IN$4,"SEW_ACT",$AF387:$IN387,"&gt;0")),99999))))</f>
        <v/>
      </c>
      <c r="AB387" s="26">
        <f>IF(OR($E387="",Z387=0,V387=""),"",1+COUNTIFS(Z$8:Z$707,"&gt;0",V$8:V$707,"&lt;"&amp;V387)+COUNTIFS(Z$8:Z$707,"&gt;0",V$8:V$707,V387,AA$8:AA$707,"&lt;"&amp;AA387)+COUNTIFS(Z$8:Z$707,"&gt;0",V$8:V$707,V387,AA$8:AA$707,AA387,E$8:E$707,"&lt;"&amp;$E387))</f>
        <v/>
      </c>
      <c r="AC387" s="24">
        <f>IF(OR($E387="",Z387=0),"",IFERROR(TODAY()+ROUNDUP(Z387/(SUMIFS($AF387:$IN387,$AF$4:$IN$4,"WASH_ACT")/COUNTIFS($AF$4:$IN$4,"WASH_ACT",$AF387:$IN387,"&gt;0")),0),"no output yet"))</f>
        <v/>
      </c>
      <c r="AD387" s="26">
        <f>IF($E387="","",IFERROR(ROUND(MAX(0,SUMIFS($AF387:$IN387,$AF$4:$IN$4,"SEW_PLAN",$AF$3:$IN$3,"&lt;="&amp;TODAY())-SUMIFS($AF387:$IN387,$AF$4:$IN$4,"SEW_ACT",$AF$3:$IN$3,"&lt;="&amp;TODAY())+N(Q387))/(SUMIFS($AF387:$IN387,$AF$4:$IN$4,"SEW_PLAN")/COUNTIFS($AF$4:$IN$4,"SEW_PLAN",$AF387:$IN387,"&gt;0")),1),0))</f>
        <v/>
      </c>
      <c r="AE387" s="26">
        <f>IF($E387="","",IF(AND(Z387&gt;0,OR(AND(M387&lt;&gt;"",TODAY()&gt;M387),AND(V387&lt;&gt;"",V387-TODAY()&lt;=7))),"Yes","No"))</f>
        <v/>
      </c>
      <c r="AH387">
        <f>IF(OR(AF$3="",AF$3&gt;TODAY()),"",IF(AND(AF387="",AG387=""),"",N(AG387)-N(AF387)))</f>
        <v/>
      </c>
      <c r="AK387">
        <f>IF(OR(AF$3="",AF$3&gt;TODAY()),"",IF(AND(AI387="",AJ387=""),"",N(AJ387)-N(AI387)))</f>
        <v/>
      </c>
      <c r="AO387">
        <f>IF(OR(AM$3="",AM$3&gt;TODAY()),"",IF(AND(AM387="",AN387=""),"",N(AN387)-N(AM387)))</f>
        <v/>
      </c>
      <c r="AR387">
        <f>IF(OR(AM$3="",AM$3&gt;TODAY()),"",IF(AND(AP387="",AQ387=""),"",N(AQ387)-N(AP387)))</f>
        <v/>
      </c>
      <c r="AV387">
        <f>IF(OR(AT$3="",AT$3&gt;TODAY()),"",IF(AND(AT387="",AU387=""),"",N(AU387)-N(AT387)))</f>
        <v/>
      </c>
      <c r="AY387">
        <f>IF(OR(AT$3="",AT$3&gt;TODAY()),"",IF(AND(AW387="",AX387=""),"",N(AX387)-N(AW387)))</f>
        <v/>
      </c>
      <c r="BC387">
        <f>IF(OR(BA$3="",BA$3&gt;TODAY()),"",IF(AND(BA387="",BB387=""),"",N(BB387)-N(BA387)))</f>
        <v/>
      </c>
      <c r="BF387">
        <f>IF(OR(BA$3="",BA$3&gt;TODAY()),"",IF(AND(BD387="",BE387=""),"",N(BE387)-N(BD387)))</f>
        <v/>
      </c>
      <c r="BJ387">
        <f>IF(OR(BH$3="",BH$3&gt;TODAY()),"",IF(AND(BH387="",BI387=""),"",N(BI387)-N(BH387)))</f>
        <v/>
      </c>
      <c r="BM387">
        <f>IF(OR(BH$3="",BH$3&gt;TODAY()),"",IF(AND(BK387="",BL387=""),"",N(BL387)-N(BK387)))</f>
        <v/>
      </c>
      <c r="BQ387">
        <f>IF(OR(BO$3="",BO$3&gt;TODAY()),"",IF(AND(BO387="",BP387=""),"",N(BP387)-N(BO387)))</f>
        <v/>
      </c>
      <c r="BT387">
        <f>IF(OR(BO$3="",BO$3&gt;TODAY()),"",IF(AND(BR387="",BS387=""),"",N(BS387)-N(BR387)))</f>
        <v/>
      </c>
      <c r="BX387">
        <f>IF(OR(BV$3="",BV$3&gt;TODAY()),"",IF(AND(BV387="",BW387=""),"",N(BW387)-N(BV387)))</f>
        <v/>
      </c>
      <c r="CA387">
        <f>IF(OR(BV$3="",BV$3&gt;TODAY()),"",IF(AND(BY387="",BZ387=""),"",N(BZ387)-N(BY387)))</f>
        <v/>
      </c>
      <c r="CE387">
        <f>IF(OR(CC$3="",CC$3&gt;TODAY()),"",IF(AND(CC387="",CD387=""),"",N(CD387)-N(CC387)))</f>
        <v/>
      </c>
      <c r="CH387">
        <f>IF(OR(CC$3="",CC$3&gt;TODAY()),"",IF(AND(CF387="",CG387=""),"",N(CG387)-N(CF387)))</f>
        <v/>
      </c>
      <c r="CL387">
        <f>IF(OR(CJ$3="",CJ$3&gt;TODAY()),"",IF(AND(CJ387="",CK387=""),"",N(CK387)-N(CJ387)))</f>
        <v/>
      </c>
      <c r="CO387">
        <f>IF(OR(CJ$3="",CJ$3&gt;TODAY()),"",IF(AND(CM387="",CN387=""),"",N(CN387)-N(CM387)))</f>
        <v/>
      </c>
      <c r="CS387">
        <f>IF(OR(CQ$3="",CQ$3&gt;TODAY()),"",IF(AND(CQ387="",CR387=""),"",N(CR387)-N(CQ387)))</f>
        <v/>
      </c>
      <c r="CV387">
        <f>IF(OR(CQ$3="",CQ$3&gt;TODAY()),"",IF(AND(CT387="",CU387=""),"",N(CU387)-N(CT387)))</f>
        <v/>
      </c>
      <c r="CZ387">
        <f>IF(OR(CX$3="",CX$3&gt;TODAY()),"",IF(AND(CX387="",CY387=""),"",N(CY387)-N(CX387)))</f>
        <v/>
      </c>
      <c r="DC387">
        <f>IF(OR(CX$3="",CX$3&gt;TODAY()),"",IF(AND(DA387="",DB387=""),"",N(DB387)-N(DA387)))</f>
        <v/>
      </c>
      <c r="DG387">
        <f>IF(OR(DE$3="",DE$3&gt;TODAY()),"",IF(AND(DE387="",DF387=""),"",N(DF387)-N(DE387)))</f>
        <v/>
      </c>
      <c r="DJ387">
        <f>IF(OR(DE$3="",DE$3&gt;TODAY()),"",IF(AND(DH387="",DI387=""),"",N(DI387)-N(DH387)))</f>
        <v/>
      </c>
      <c r="DN387">
        <f>IF(OR(DL$3="",DL$3&gt;TODAY()),"",IF(AND(DL387="",DM387=""),"",N(DM387)-N(DL387)))</f>
        <v/>
      </c>
      <c r="DQ387">
        <f>IF(OR(DL$3="",DL$3&gt;TODAY()),"",IF(AND(DO387="",DP387=""),"",N(DP387)-N(DO387)))</f>
        <v/>
      </c>
      <c r="DU387">
        <f>IF(OR(DS$3="",DS$3&gt;TODAY()),"",IF(AND(DS387="",DT387=""),"",N(DT387)-N(DS387)))</f>
        <v/>
      </c>
      <c r="DX387">
        <f>IF(OR(DS$3="",DS$3&gt;TODAY()),"",IF(AND(DV387="",DW387=""),"",N(DW387)-N(DV387)))</f>
        <v/>
      </c>
      <c r="EB387">
        <f>IF(OR(DZ$3="",DZ$3&gt;TODAY()),"",IF(AND(DZ387="",EA387=""),"",N(EA387)-N(DZ387)))</f>
        <v/>
      </c>
      <c r="EE387">
        <f>IF(OR(DZ$3="",DZ$3&gt;TODAY()),"",IF(AND(EC387="",ED387=""),"",N(ED387)-N(EC387)))</f>
        <v/>
      </c>
      <c r="EI387">
        <f>IF(OR(EG$3="",EG$3&gt;TODAY()),"",IF(AND(EG387="",EH387=""),"",N(EH387)-N(EG387)))</f>
        <v/>
      </c>
      <c r="EL387">
        <f>IF(OR(EG$3="",EG$3&gt;TODAY()),"",IF(AND(EJ387="",EK387=""),"",N(EK387)-N(EJ387)))</f>
        <v/>
      </c>
      <c r="EP387">
        <f>IF(OR(EN$3="",EN$3&gt;TODAY()),"",IF(AND(EN387="",EO387=""),"",N(EO387)-N(EN387)))</f>
        <v/>
      </c>
      <c r="ES387">
        <f>IF(OR(EN$3="",EN$3&gt;TODAY()),"",IF(AND(EQ387="",ER387=""),"",N(ER387)-N(EQ387)))</f>
        <v/>
      </c>
      <c r="EW387">
        <f>IF(OR(EU$3="",EU$3&gt;TODAY()),"",IF(AND(EU387="",EV387=""),"",N(EV387)-N(EU387)))</f>
        <v/>
      </c>
      <c r="EZ387">
        <f>IF(OR(EU$3="",EU$3&gt;TODAY()),"",IF(AND(EX387="",EY387=""),"",N(EY387)-N(EX387)))</f>
        <v/>
      </c>
      <c r="FD387">
        <f>IF(OR(FB$3="",FB$3&gt;TODAY()),"",IF(AND(FB387="",FC387=""),"",N(FC387)-N(FB387)))</f>
        <v/>
      </c>
      <c r="FG387">
        <f>IF(OR(FB$3="",FB$3&gt;TODAY()),"",IF(AND(FE387="",FF387=""),"",N(FF387)-N(FE387)))</f>
        <v/>
      </c>
      <c r="FK387">
        <f>IF(OR(FI$3="",FI$3&gt;TODAY()),"",IF(AND(FI387="",FJ387=""),"",N(FJ387)-N(FI387)))</f>
        <v/>
      </c>
      <c r="FN387">
        <f>IF(OR(FI$3="",FI$3&gt;TODAY()),"",IF(AND(FL387="",FM387=""),"",N(FM387)-N(FL387)))</f>
        <v/>
      </c>
      <c r="FR387">
        <f>IF(OR(FP$3="",FP$3&gt;TODAY()),"",IF(AND(FP387="",FQ387=""),"",N(FQ387)-N(FP387)))</f>
        <v/>
      </c>
      <c r="FU387">
        <f>IF(OR(FP$3="",FP$3&gt;TODAY()),"",IF(AND(FS387="",FT387=""),"",N(FT387)-N(FS387)))</f>
        <v/>
      </c>
      <c r="FY387">
        <f>IF(OR(FW$3="",FW$3&gt;TODAY()),"",IF(AND(FW387="",FX387=""),"",N(FX387)-N(FW387)))</f>
        <v/>
      </c>
      <c r="GB387">
        <f>IF(OR(FW$3="",FW$3&gt;TODAY()),"",IF(AND(FZ387="",GA387=""),"",N(GA387)-N(FZ387)))</f>
        <v/>
      </c>
      <c r="GF387">
        <f>IF(OR(GD$3="",GD$3&gt;TODAY()),"",IF(AND(GD387="",GE387=""),"",N(GE387)-N(GD387)))</f>
        <v/>
      </c>
      <c r="GI387">
        <f>IF(OR(GD$3="",GD$3&gt;TODAY()),"",IF(AND(GG387="",GH387=""),"",N(GH387)-N(GG387)))</f>
        <v/>
      </c>
      <c r="GM387">
        <f>IF(OR(GK$3="",GK$3&gt;TODAY()),"",IF(AND(GK387="",GL387=""),"",N(GL387)-N(GK387)))</f>
        <v/>
      </c>
      <c r="GP387">
        <f>IF(OR(GK$3="",GK$3&gt;TODAY()),"",IF(AND(GN387="",GO387=""),"",N(GO387)-N(GN387)))</f>
        <v/>
      </c>
      <c r="GT387">
        <f>IF(OR(GR$3="",GR$3&gt;TODAY()),"",IF(AND(GR387="",GS387=""),"",N(GS387)-N(GR387)))</f>
        <v/>
      </c>
      <c r="GW387">
        <f>IF(OR(GR$3="",GR$3&gt;TODAY()),"",IF(AND(GU387="",GV387=""),"",N(GV387)-N(GU387)))</f>
        <v/>
      </c>
      <c r="HA387">
        <f>IF(OR(GY$3="",GY$3&gt;TODAY()),"",IF(AND(GY387="",GZ387=""),"",N(GZ387)-N(GY387)))</f>
        <v/>
      </c>
      <c r="HD387">
        <f>IF(OR(GY$3="",GY$3&gt;TODAY()),"",IF(AND(HB387="",HC387=""),"",N(HC387)-N(HB387)))</f>
        <v/>
      </c>
      <c r="HH387">
        <f>IF(OR(HF$3="",HF$3&gt;TODAY()),"",IF(AND(HF387="",HG387=""),"",N(HG387)-N(HF387)))</f>
        <v/>
      </c>
      <c r="HK387">
        <f>IF(OR(HF$3="",HF$3&gt;TODAY()),"",IF(AND(HI387="",HJ387=""),"",N(HJ387)-N(HI387)))</f>
        <v/>
      </c>
      <c r="HO387">
        <f>IF(OR(HM$3="",HM$3&gt;TODAY()),"",IF(AND(HM387="",HN387=""),"",N(HN387)-N(HM387)))</f>
        <v/>
      </c>
      <c r="HR387">
        <f>IF(OR(HM$3="",HM$3&gt;TODAY()),"",IF(AND(HP387="",HQ387=""),"",N(HQ387)-N(HP387)))</f>
        <v/>
      </c>
      <c r="HV387">
        <f>IF(OR(HT$3="",HT$3&gt;TODAY()),"",IF(AND(HT387="",HU387=""),"",N(HU387)-N(HT387)))</f>
        <v/>
      </c>
      <c r="HY387">
        <f>IF(OR(HT$3="",HT$3&gt;TODAY()),"",IF(AND(HW387="",HX387=""),"",N(HX387)-N(HW387)))</f>
        <v/>
      </c>
      <c r="IC387">
        <f>IF(OR(IA$3="",IA$3&gt;TODAY()),"",IF(AND(IA387="",IB387=""),"",N(IB387)-N(IA387)))</f>
        <v/>
      </c>
      <c r="IF387">
        <f>IF(OR(IA$3="",IA$3&gt;TODAY()),"",IF(AND(ID387="",IE387=""),"",N(IE387)-N(ID387)))</f>
        <v/>
      </c>
      <c r="IJ387">
        <f>IF(OR(IH$3="",IH$3&gt;TODAY()),"",IF(AND(IH387="",II387=""),"",N(II387)-N(IH387)))</f>
        <v/>
      </c>
      <c r="IM387">
        <f>IF(OR(IH$3="",IH$3&gt;TODAY()),"",IF(AND(IK387="",IL387=""),"",N(IL387)-N(IK387)))</f>
        <v/>
      </c>
    </row>
    <row r="388">
      <c r="A388" s="21" t="n"/>
      <c r="B388" s="21" t="n"/>
      <c r="C388" s="21" t="n"/>
      <c r="D388" s="21" t="n"/>
      <c r="E388" s="21" t="n"/>
      <c r="F388" s="21" t="n"/>
      <c r="G388" s="21" t="n"/>
      <c r="H388" s="21" t="n"/>
      <c r="I388" s="22" t="n"/>
      <c r="J388" s="22" t="n"/>
      <c r="K388" s="23" t="n"/>
      <c r="L388" s="22" t="n"/>
      <c r="M388" s="22" t="n"/>
      <c r="N388" s="21" t="n"/>
      <c r="O388" s="23" t="n"/>
      <c r="P388" s="23" t="n"/>
      <c r="Q388" s="23" t="n"/>
      <c r="R388" s="23" t="n"/>
      <c r="S388" s="22" t="n"/>
      <c r="T388" s="23" t="n"/>
      <c r="U388" s="23" t="n"/>
      <c r="V388" s="24">
        <f>IF(J388&lt;&gt;"",J388,IF(I388&lt;&gt;"",I388,""))</f>
        <v/>
      </c>
      <c r="W388" s="25">
        <f>IF($E388="","",N(O388)+SUMIFS($AF388:$IN388,$AF$4:$IN$4,"SEW_ACT"))</f>
        <v/>
      </c>
      <c r="X388" s="25">
        <f>IF($E388="","",N(P388)+SUMIFS($AF388:$IN388,$AF$4:$IN$4,"WASH_ACT"))</f>
        <v/>
      </c>
      <c r="Y388" s="25">
        <f>IF($E388="","",W388-X388-N(T388)-N(U388))</f>
        <v/>
      </c>
      <c r="Z388" s="25">
        <f>IF($E388="","",IF(N(K388)-X388&lt;=0.02*N(K388),0,N(K388)-X388))</f>
        <v/>
      </c>
      <c r="AA388" s="24">
        <f>IF($E388="","",IF(S388&lt;&gt;"",S388,IF(N(O388)&gt;0,IF(L388&lt;&gt;"",L388,99999),IFERROR(1/(1/_xlfn.MINIFS($AF$3:$IN$3,$AF$4:$IN$4,"SEW_ACT",$AF388:$IN388,"&gt;0")),99999))))</f>
        <v/>
      </c>
      <c r="AB388" s="26">
        <f>IF(OR($E388="",Z388=0,V388=""),"",1+COUNTIFS(Z$8:Z$707,"&gt;0",V$8:V$707,"&lt;"&amp;V388)+COUNTIFS(Z$8:Z$707,"&gt;0",V$8:V$707,V388,AA$8:AA$707,"&lt;"&amp;AA388)+COUNTIFS(Z$8:Z$707,"&gt;0",V$8:V$707,V388,AA$8:AA$707,AA388,E$8:E$707,"&lt;"&amp;$E388))</f>
        <v/>
      </c>
      <c r="AC388" s="24">
        <f>IF(OR($E388="",Z388=0),"",IFERROR(TODAY()+ROUNDUP(Z388/(SUMIFS($AF388:$IN388,$AF$4:$IN$4,"WASH_ACT")/COUNTIFS($AF$4:$IN$4,"WASH_ACT",$AF388:$IN388,"&gt;0")),0),"no output yet"))</f>
        <v/>
      </c>
      <c r="AD388" s="26">
        <f>IF($E388="","",IFERROR(ROUND(MAX(0,SUMIFS($AF388:$IN388,$AF$4:$IN$4,"SEW_PLAN",$AF$3:$IN$3,"&lt;="&amp;TODAY())-SUMIFS($AF388:$IN388,$AF$4:$IN$4,"SEW_ACT",$AF$3:$IN$3,"&lt;="&amp;TODAY())+N(Q388))/(SUMIFS($AF388:$IN388,$AF$4:$IN$4,"SEW_PLAN")/COUNTIFS($AF$4:$IN$4,"SEW_PLAN",$AF388:$IN388,"&gt;0")),1),0))</f>
        <v/>
      </c>
      <c r="AE388" s="26">
        <f>IF($E388="","",IF(AND(Z388&gt;0,OR(AND(M388&lt;&gt;"",TODAY()&gt;M388),AND(V388&lt;&gt;"",V388-TODAY()&lt;=7))),"Yes","No"))</f>
        <v/>
      </c>
      <c r="AH388">
        <f>IF(OR(AF$3="",AF$3&gt;TODAY()),"",IF(AND(AF388="",AG388=""),"",N(AG388)-N(AF388)))</f>
        <v/>
      </c>
      <c r="AK388">
        <f>IF(OR(AF$3="",AF$3&gt;TODAY()),"",IF(AND(AI388="",AJ388=""),"",N(AJ388)-N(AI388)))</f>
        <v/>
      </c>
      <c r="AO388">
        <f>IF(OR(AM$3="",AM$3&gt;TODAY()),"",IF(AND(AM388="",AN388=""),"",N(AN388)-N(AM388)))</f>
        <v/>
      </c>
      <c r="AR388">
        <f>IF(OR(AM$3="",AM$3&gt;TODAY()),"",IF(AND(AP388="",AQ388=""),"",N(AQ388)-N(AP388)))</f>
        <v/>
      </c>
      <c r="AV388">
        <f>IF(OR(AT$3="",AT$3&gt;TODAY()),"",IF(AND(AT388="",AU388=""),"",N(AU388)-N(AT388)))</f>
        <v/>
      </c>
      <c r="AY388">
        <f>IF(OR(AT$3="",AT$3&gt;TODAY()),"",IF(AND(AW388="",AX388=""),"",N(AX388)-N(AW388)))</f>
        <v/>
      </c>
      <c r="BC388">
        <f>IF(OR(BA$3="",BA$3&gt;TODAY()),"",IF(AND(BA388="",BB388=""),"",N(BB388)-N(BA388)))</f>
        <v/>
      </c>
      <c r="BF388">
        <f>IF(OR(BA$3="",BA$3&gt;TODAY()),"",IF(AND(BD388="",BE388=""),"",N(BE388)-N(BD388)))</f>
        <v/>
      </c>
      <c r="BJ388">
        <f>IF(OR(BH$3="",BH$3&gt;TODAY()),"",IF(AND(BH388="",BI388=""),"",N(BI388)-N(BH388)))</f>
        <v/>
      </c>
      <c r="BM388">
        <f>IF(OR(BH$3="",BH$3&gt;TODAY()),"",IF(AND(BK388="",BL388=""),"",N(BL388)-N(BK388)))</f>
        <v/>
      </c>
      <c r="BQ388">
        <f>IF(OR(BO$3="",BO$3&gt;TODAY()),"",IF(AND(BO388="",BP388=""),"",N(BP388)-N(BO388)))</f>
        <v/>
      </c>
      <c r="BT388">
        <f>IF(OR(BO$3="",BO$3&gt;TODAY()),"",IF(AND(BR388="",BS388=""),"",N(BS388)-N(BR388)))</f>
        <v/>
      </c>
      <c r="BX388">
        <f>IF(OR(BV$3="",BV$3&gt;TODAY()),"",IF(AND(BV388="",BW388=""),"",N(BW388)-N(BV388)))</f>
        <v/>
      </c>
      <c r="CA388">
        <f>IF(OR(BV$3="",BV$3&gt;TODAY()),"",IF(AND(BY388="",BZ388=""),"",N(BZ388)-N(BY388)))</f>
        <v/>
      </c>
      <c r="CE388">
        <f>IF(OR(CC$3="",CC$3&gt;TODAY()),"",IF(AND(CC388="",CD388=""),"",N(CD388)-N(CC388)))</f>
        <v/>
      </c>
      <c r="CH388">
        <f>IF(OR(CC$3="",CC$3&gt;TODAY()),"",IF(AND(CF388="",CG388=""),"",N(CG388)-N(CF388)))</f>
        <v/>
      </c>
      <c r="CL388">
        <f>IF(OR(CJ$3="",CJ$3&gt;TODAY()),"",IF(AND(CJ388="",CK388=""),"",N(CK388)-N(CJ388)))</f>
        <v/>
      </c>
      <c r="CO388">
        <f>IF(OR(CJ$3="",CJ$3&gt;TODAY()),"",IF(AND(CM388="",CN388=""),"",N(CN388)-N(CM388)))</f>
        <v/>
      </c>
      <c r="CS388">
        <f>IF(OR(CQ$3="",CQ$3&gt;TODAY()),"",IF(AND(CQ388="",CR388=""),"",N(CR388)-N(CQ388)))</f>
        <v/>
      </c>
      <c r="CV388">
        <f>IF(OR(CQ$3="",CQ$3&gt;TODAY()),"",IF(AND(CT388="",CU388=""),"",N(CU388)-N(CT388)))</f>
        <v/>
      </c>
      <c r="CZ388">
        <f>IF(OR(CX$3="",CX$3&gt;TODAY()),"",IF(AND(CX388="",CY388=""),"",N(CY388)-N(CX388)))</f>
        <v/>
      </c>
      <c r="DC388">
        <f>IF(OR(CX$3="",CX$3&gt;TODAY()),"",IF(AND(DA388="",DB388=""),"",N(DB388)-N(DA388)))</f>
        <v/>
      </c>
      <c r="DG388">
        <f>IF(OR(DE$3="",DE$3&gt;TODAY()),"",IF(AND(DE388="",DF388=""),"",N(DF388)-N(DE388)))</f>
        <v/>
      </c>
      <c r="DJ388">
        <f>IF(OR(DE$3="",DE$3&gt;TODAY()),"",IF(AND(DH388="",DI388=""),"",N(DI388)-N(DH388)))</f>
        <v/>
      </c>
      <c r="DN388">
        <f>IF(OR(DL$3="",DL$3&gt;TODAY()),"",IF(AND(DL388="",DM388=""),"",N(DM388)-N(DL388)))</f>
        <v/>
      </c>
      <c r="DQ388">
        <f>IF(OR(DL$3="",DL$3&gt;TODAY()),"",IF(AND(DO388="",DP388=""),"",N(DP388)-N(DO388)))</f>
        <v/>
      </c>
      <c r="DU388">
        <f>IF(OR(DS$3="",DS$3&gt;TODAY()),"",IF(AND(DS388="",DT388=""),"",N(DT388)-N(DS388)))</f>
        <v/>
      </c>
      <c r="DX388">
        <f>IF(OR(DS$3="",DS$3&gt;TODAY()),"",IF(AND(DV388="",DW388=""),"",N(DW388)-N(DV388)))</f>
        <v/>
      </c>
      <c r="EB388">
        <f>IF(OR(DZ$3="",DZ$3&gt;TODAY()),"",IF(AND(DZ388="",EA388=""),"",N(EA388)-N(DZ388)))</f>
        <v/>
      </c>
      <c r="EE388">
        <f>IF(OR(DZ$3="",DZ$3&gt;TODAY()),"",IF(AND(EC388="",ED388=""),"",N(ED388)-N(EC388)))</f>
        <v/>
      </c>
      <c r="EI388">
        <f>IF(OR(EG$3="",EG$3&gt;TODAY()),"",IF(AND(EG388="",EH388=""),"",N(EH388)-N(EG388)))</f>
        <v/>
      </c>
      <c r="EL388">
        <f>IF(OR(EG$3="",EG$3&gt;TODAY()),"",IF(AND(EJ388="",EK388=""),"",N(EK388)-N(EJ388)))</f>
        <v/>
      </c>
      <c r="EP388">
        <f>IF(OR(EN$3="",EN$3&gt;TODAY()),"",IF(AND(EN388="",EO388=""),"",N(EO388)-N(EN388)))</f>
        <v/>
      </c>
      <c r="ES388">
        <f>IF(OR(EN$3="",EN$3&gt;TODAY()),"",IF(AND(EQ388="",ER388=""),"",N(ER388)-N(EQ388)))</f>
        <v/>
      </c>
      <c r="EW388">
        <f>IF(OR(EU$3="",EU$3&gt;TODAY()),"",IF(AND(EU388="",EV388=""),"",N(EV388)-N(EU388)))</f>
        <v/>
      </c>
      <c r="EZ388">
        <f>IF(OR(EU$3="",EU$3&gt;TODAY()),"",IF(AND(EX388="",EY388=""),"",N(EY388)-N(EX388)))</f>
        <v/>
      </c>
      <c r="FD388">
        <f>IF(OR(FB$3="",FB$3&gt;TODAY()),"",IF(AND(FB388="",FC388=""),"",N(FC388)-N(FB388)))</f>
        <v/>
      </c>
      <c r="FG388">
        <f>IF(OR(FB$3="",FB$3&gt;TODAY()),"",IF(AND(FE388="",FF388=""),"",N(FF388)-N(FE388)))</f>
        <v/>
      </c>
      <c r="FK388">
        <f>IF(OR(FI$3="",FI$3&gt;TODAY()),"",IF(AND(FI388="",FJ388=""),"",N(FJ388)-N(FI388)))</f>
        <v/>
      </c>
      <c r="FN388">
        <f>IF(OR(FI$3="",FI$3&gt;TODAY()),"",IF(AND(FL388="",FM388=""),"",N(FM388)-N(FL388)))</f>
        <v/>
      </c>
      <c r="FR388">
        <f>IF(OR(FP$3="",FP$3&gt;TODAY()),"",IF(AND(FP388="",FQ388=""),"",N(FQ388)-N(FP388)))</f>
        <v/>
      </c>
      <c r="FU388">
        <f>IF(OR(FP$3="",FP$3&gt;TODAY()),"",IF(AND(FS388="",FT388=""),"",N(FT388)-N(FS388)))</f>
        <v/>
      </c>
      <c r="FY388">
        <f>IF(OR(FW$3="",FW$3&gt;TODAY()),"",IF(AND(FW388="",FX388=""),"",N(FX388)-N(FW388)))</f>
        <v/>
      </c>
      <c r="GB388">
        <f>IF(OR(FW$3="",FW$3&gt;TODAY()),"",IF(AND(FZ388="",GA388=""),"",N(GA388)-N(FZ388)))</f>
        <v/>
      </c>
      <c r="GF388">
        <f>IF(OR(GD$3="",GD$3&gt;TODAY()),"",IF(AND(GD388="",GE388=""),"",N(GE388)-N(GD388)))</f>
        <v/>
      </c>
      <c r="GI388">
        <f>IF(OR(GD$3="",GD$3&gt;TODAY()),"",IF(AND(GG388="",GH388=""),"",N(GH388)-N(GG388)))</f>
        <v/>
      </c>
      <c r="GM388">
        <f>IF(OR(GK$3="",GK$3&gt;TODAY()),"",IF(AND(GK388="",GL388=""),"",N(GL388)-N(GK388)))</f>
        <v/>
      </c>
      <c r="GP388">
        <f>IF(OR(GK$3="",GK$3&gt;TODAY()),"",IF(AND(GN388="",GO388=""),"",N(GO388)-N(GN388)))</f>
        <v/>
      </c>
      <c r="GT388">
        <f>IF(OR(GR$3="",GR$3&gt;TODAY()),"",IF(AND(GR388="",GS388=""),"",N(GS388)-N(GR388)))</f>
        <v/>
      </c>
      <c r="GW388">
        <f>IF(OR(GR$3="",GR$3&gt;TODAY()),"",IF(AND(GU388="",GV388=""),"",N(GV388)-N(GU388)))</f>
        <v/>
      </c>
      <c r="HA388">
        <f>IF(OR(GY$3="",GY$3&gt;TODAY()),"",IF(AND(GY388="",GZ388=""),"",N(GZ388)-N(GY388)))</f>
        <v/>
      </c>
      <c r="HD388">
        <f>IF(OR(GY$3="",GY$3&gt;TODAY()),"",IF(AND(HB388="",HC388=""),"",N(HC388)-N(HB388)))</f>
        <v/>
      </c>
      <c r="HH388">
        <f>IF(OR(HF$3="",HF$3&gt;TODAY()),"",IF(AND(HF388="",HG388=""),"",N(HG388)-N(HF388)))</f>
        <v/>
      </c>
      <c r="HK388">
        <f>IF(OR(HF$3="",HF$3&gt;TODAY()),"",IF(AND(HI388="",HJ388=""),"",N(HJ388)-N(HI388)))</f>
        <v/>
      </c>
      <c r="HO388">
        <f>IF(OR(HM$3="",HM$3&gt;TODAY()),"",IF(AND(HM388="",HN388=""),"",N(HN388)-N(HM388)))</f>
        <v/>
      </c>
      <c r="HR388">
        <f>IF(OR(HM$3="",HM$3&gt;TODAY()),"",IF(AND(HP388="",HQ388=""),"",N(HQ388)-N(HP388)))</f>
        <v/>
      </c>
      <c r="HV388">
        <f>IF(OR(HT$3="",HT$3&gt;TODAY()),"",IF(AND(HT388="",HU388=""),"",N(HU388)-N(HT388)))</f>
        <v/>
      </c>
      <c r="HY388">
        <f>IF(OR(HT$3="",HT$3&gt;TODAY()),"",IF(AND(HW388="",HX388=""),"",N(HX388)-N(HW388)))</f>
        <v/>
      </c>
      <c r="IC388">
        <f>IF(OR(IA$3="",IA$3&gt;TODAY()),"",IF(AND(IA388="",IB388=""),"",N(IB388)-N(IA388)))</f>
        <v/>
      </c>
      <c r="IF388">
        <f>IF(OR(IA$3="",IA$3&gt;TODAY()),"",IF(AND(ID388="",IE388=""),"",N(IE388)-N(ID388)))</f>
        <v/>
      </c>
      <c r="IJ388">
        <f>IF(OR(IH$3="",IH$3&gt;TODAY()),"",IF(AND(IH388="",II388=""),"",N(II388)-N(IH388)))</f>
        <v/>
      </c>
      <c r="IM388">
        <f>IF(OR(IH$3="",IH$3&gt;TODAY()),"",IF(AND(IK388="",IL388=""),"",N(IL388)-N(IK388)))</f>
        <v/>
      </c>
    </row>
    <row r="389">
      <c r="A389" s="21" t="n"/>
      <c r="B389" s="21" t="n"/>
      <c r="C389" s="21" t="n"/>
      <c r="D389" s="21" t="n"/>
      <c r="E389" s="21" t="n"/>
      <c r="F389" s="21" t="n"/>
      <c r="G389" s="21" t="n"/>
      <c r="H389" s="21" t="n"/>
      <c r="I389" s="22" t="n"/>
      <c r="J389" s="22" t="n"/>
      <c r="K389" s="23" t="n"/>
      <c r="L389" s="22" t="n"/>
      <c r="M389" s="22" t="n"/>
      <c r="N389" s="21" t="n"/>
      <c r="O389" s="23" t="n"/>
      <c r="P389" s="23" t="n"/>
      <c r="Q389" s="23" t="n"/>
      <c r="R389" s="23" t="n"/>
      <c r="S389" s="22" t="n"/>
      <c r="T389" s="23" t="n"/>
      <c r="U389" s="23" t="n"/>
      <c r="V389" s="24">
        <f>IF(J389&lt;&gt;"",J389,IF(I389&lt;&gt;"",I389,""))</f>
        <v/>
      </c>
      <c r="W389" s="25">
        <f>IF($E389="","",N(O389)+SUMIFS($AF389:$IN389,$AF$4:$IN$4,"SEW_ACT"))</f>
        <v/>
      </c>
      <c r="X389" s="25">
        <f>IF($E389="","",N(P389)+SUMIFS($AF389:$IN389,$AF$4:$IN$4,"WASH_ACT"))</f>
        <v/>
      </c>
      <c r="Y389" s="25">
        <f>IF($E389="","",W389-X389-N(T389)-N(U389))</f>
        <v/>
      </c>
      <c r="Z389" s="25">
        <f>IF($E389="","",IF(N(K389)-X389&lt;=0.02*N(K389),0,N(K389)-X389))</f>
        <v/>
      </c>
      <c r="AA389" s="24">
        <f>IF($E389="","",IF(S389&lt;&gt;"",S389,IF(N(O389)&gt;0,IF(L389&lt;&gt;"",L389,99999),IFERROR(1/(1/_xlfn.MINIFS($AF$3:$IN$3,$AF$4:$IN$4,"SEW_ACT",$AF389:$IN389,"&gt;0")),99999))))</f>
        <v/>
      </c>
      <c r="AB389" s="26">
        <f>IF(OR($E389="",Z389=0,V389=""),"",1+COUNTIFS(Z$8:Z$707,"&gt;0",V$8:V$707,"&lt;"&amp;V389)+COUNTIFS(Z$8:Z$707,"&gt;0",V$8:V$707,V389,AA$8:AA$707,"&lt;"&amp;AA389)+COUNTIFS(Z$8:Z$707,"&gt;0",V$8:V$707,V389,AA$8:AA$707,AA389,E$8:E$707,"&lt;"&amp;$E389))</f>
        <v/>
      </c>
      <c r="AC389" s="24">
        <f>IF(OR($E389="",Z389=0),"",IFERROR(TODAY()+ROUNDUP(Z389/(SUMIFS($AF389:$IN389,$AF$4:$IN$4,"WASH_ACT")/COUNTIFS($AF$4:$IN$4,"WASH_ACT",$AF389:$IN389,"&gt;0")),0),"no output yet"))</f>
        <v/>
      </c>
      <c r="AD389" s="26">
        <f>IF($E389="","",IFERROR(ROUND(MAX(0,SUMIFS($AF389:$IN389,$AF$4:$IN$4,"SEW_PLAN",$AF$3:$IN$3,"&lt;="&amp;TODAY())-SUMIFS($AF389:$IN389,$AF$4:$IN$4,"SEW_ACT",$AF$3:$IN$3,"&lt;="&amp;TODAY())+N(Q389))/(SUMIFS($AF389:$IN389,$AF$4:$IN$4,"SEW_PLAN")/COUNTIFS($AF$4:$IN$4,"SEW_PLAN",$AF389:$IN389,"&gt;0")),1),0))</f>
        <v/>
      </c>
      <c r="AE389" s="26">
        <f>IF($E389="","",IF(AND(Z389&gt;0,OR(AND(M389&lt;&gt;"",TODAY()&gt;M389),AND(V389&lt;&gt;"",V389-TODAY()&lt;=7))),"Yes","No"))</f>
        <v/>
      </c>
      <c r="AH389">
        <f>IF(OR(AF$3="",AF$3&gt;TODAY()),"",IF(AND(AF389="",AG389=""),"",N(AG389)-N(AF389)))</f>
        <v/>
      </c>
      <c r="AK389">
        <f>IF(OR(AF$3="",AF$3&gt;TODAY()),"",IF(AND(AI389="",AJ389=""),"",N(AJ389)-N(AI389)))</f>
        <v/>
      </c>
      <c r="AO389">
        <f>IF(OR(AM$3="",AM$3&gt;TODAY()),"",IF(AND(AM389="",AN389=""),"",N(AN389)-N(AM389)))</f>
        <v/>
      </c>
      <c r="AR389">
        <f>IF(OR(AM$3="",AM$3&gt;TODAY()),"",IF(AND(AP389="",AQ389=""),"",N(AQ389)-N(AP389)))</f>
        <v/>
      </c>
      <c r="AV389">
        <f>IF(OR(AT$3="",AT$3&gt;TODAY()),"",IF(AND(AT389="",AU389=""),"",N(AU389)-N(AT389)))</f>
        <v/>
      </c>
      <c r="AY389">
        <f>IF(OR(AT$3="",AT$3&gt;TODAY()),"",IF(AND(AW389="",AX389=""),"",N(AX389)-N(AW389)))</f>
        <v/>
      </c>
      <c r="BC389">
        <f>IF(OR(BA$3="",BA$3&gt;TODAY()),"",IF(AND(BA389="",BB389=""),"",N(BB389)-N(BA389)))</f>
        <v/>
      </c>
      <c r="BF389">
        <f>IF(OR(BA$3="",BA$3&gt;TODAY()),"",IF(AND(BD389="",BE389=""),"",N(BE389)-N(BD389)))</f>
        <v/>
      </c>
      <c r="BJ389">
        <f>IF(OR(BH$3="",BH$3&gt;TODAY()),"",IF(AND(BH389="",BI389=""),"",N(BI389)-N(BH389)))</f>
        <v/>
      </c>
      <c r="BM389">
        <f>IF(OR(BH$3="",BH$3&gt;TODAY()),"",IF(AND(BK389="",BL389=""),"",N(BL389)-N(BK389)))</f>
        <v/>
      </c>
      <c r="BQ389">
        <f>IF(OR(BO$3="",BO$3&gt;TODAY()),"",IF(AND(BO389="",BP389=""),"",N(BP389)-N(BO389)))</f>
        <v/>
      </c>
      <c r="BT389">
        <f>IF(OR(BO$3="",BO$3&gt;TODAY()),"",IF(AND(BR389="",BS389=""),"",N(BS389)-N(BR389)))</f>
        <v/>
      </c>
      <c r="BX389">
        <f>IF(OR(BV$3="",BV$3&gt;TODAY()),"",IF(AND(BV389="",BW389=""),"",N(BW389)-N(BV389)))</f>
        <v/>
      </c>
      <c r="CA389">
        <f>IF(OR(BV$3="",BV$3&gt;TODAY()),"",IF(AND(BY389="",BZ389=""),"",N(BZ389)-N(BY389)))</f>
        <v/>
      </c>
      <c r="CE389">
        <f>IF(OR(CC$3="",CC$3&gt;TODAY()),"",IF(AND(CC389="",CD389=""),"",N(CD389)-N(CC389)))</f>
        <v/>
      </c>
      <c r="CH389">
        <f>IF(OR(CC$3="",CC$3&gt;TODAY()),"",IF(AND(CF389="",CG389=""),"",N(CG389)-N(CF389)))</f>
        <v/>
      </c>
      <c r="CL389">
        <f>IF(OR(CJ$3="",CJ$3&gt;TODAY()),"",IF(AND(CJ389="",CK389=""),"",N(CK389)-N(CJ389)))</f>
        <v/>
      </c>
      <c r="CO389">
        <f>IF(OR(CJ$3="",CJ$3&gt;TODAY()),"",IF(AND(CM389="",CN389=""),"",N(CN389)-N(CM389)))</f>
        <v/>
      </c>
      <c r="CS389">
        <f>IF(OR(CQ$3="",CQ$3&gt;TODAY()),"",IF(AND(CQ389="",CR389=""),"",N(CR389)-N(CQ389)))</f>
        <v/>
      </c>
      <c r="CV389">
        <f>IF(OR(CQ$3="",CQ$3&gt;TODAY()),"",IF(AND(CT389="",CU389=""),"",N(CU389)-N(CT389)))</f>
        <v/>
      </c>
      <c r="CZ389">
        <f>IF(OR(CX$3="",CX$3&gt;TODAY()),"",IF(AND(CX389="",CY389=""),"",N(CY389)-N(CX389)))</f>
        <v/>
      </c>
      <c r="DC389">
        <f>IF(OR(CX$3="",CX$3&gt;TODAY()),"",IF(AND(DA389="",DB389=""),"",N(DB389)-N(DA389)))</f>
        <v/>
      </c>
      <c r="DG389">
        <f>IF(OR(DE$3="",DE$3&gt;TODAY()),"",IF(AND(DE389="",DF389=""),"",N(DF389)-N(DE389)))</f>
        <v/>
      </c>
      <c r="DJ389">
        <f>IF(OR(DE$3="",DE$3&gt;TODAY()),"",IF(AND(DH389="",DI389=""),"",N(DI389)-N(DH389)))</f>
        <v/>
      </c>
      <c r="DN389">
        <f>IF(OR(DL$3="",DL$3&gt;TODAY()),"",IF(AND(DL389="",DM389=""),"",N(DM389)-N(DL389)))</f>
        <v/>
      </c>
      <c r="DQ389">
        <f>IF(OR(DL$3="",DL$3&gt;TODAY()),"",IF(AND(DO389="",DP389=""),"",N(DP389)-N(DO389)))</f>
        <v/>
      </c>
      <c r="DU389">
        <f>IF(OR(DS$3="",DS$3&gt;TODAY()),"",IF(AND(DS389="",DT389=""),"",N(DT389)-N(DS389)))</f>
        <v/>
      </c>
      <c r="DX389">
        <f>IF(OR(DS$3="",DS$3&gt;TODAY()),"",IF(AND(DV389="",DW389=""),"",N(DW389)-N(DV389)))</f>
        <v/>
      </c>
      <c r="EB389">
        <f>IF(OR(DZ$3="",DZ$3&gt;TODAY()),"",IF(AND(DZ389="",EA389=""),"",N(EA389)-N(DZ389)))</f>
        <v/>
      </c>
      <c r="EE389">
        <f>IF(OR(DZ$3="",DZ$3&gt;TODAY()),"",IF(AND(EC389="",ED389=""),"",N(ED389)-N(EC389)))</f>
        <v/>
      </c>
      <c r="EI389">
        <f>IF(OR(EG$3="",EG$3&gt;TODAY()),"",IF(AND(EG389="",EH389=""),"",N(EH389)-N(EG389)))</f>
        <v/>
      </c>
      <c r="EL389">
        <f>IF(OR(EG$3="",EG$3&gt;TODAY()),"",IF(AND(EJ389="",EK389=""),"",N(EK389)-N(EJ389)))</f>
        <v/>
      </c>
      <c r="EP389">
        <f>IF(OR(EN$3="",EN$3&gt;TODAY()),"",IF(AND(EN389="",EO389=""),"",N(EO389)-N(EN389)))</f>
        <v/>
      </c>
      <c r="ES389">
        <f>IF(OR(EN$3="",EN$3&gt;TODAY()),"",IF(AND(EQ389="",ER389=""),"",N(ER389)-N(EQ389)))</f>
        <v/>
      </c>
      <c r="EW389">
        <f>IF(OR(EU$3="",EU$3&gt;TODAY()),"",IF(AND(EU389="",EV389=""),"",N(EV389)-N(EU389)))</f>
        <v/>
      </c>
      <c r="EZ389">
        <f>IF(OR(EU$3="",EU$3&gt;TODAY()),"",IF(AND(EX389="",EY389=""),"",N(EY389)-N(EX389)))</f>
        <v/>
      </c>
      <c r="FD389">
        <f>IF(OR(FB$3="",FB$3&gt;TODAY()),"",IF(AND(FB389="",FC389=""),"",N(FC389)-N(FB389)))</f>
        <v/>
      </c>
      <c r="FG389">
        <f>IF(OR(FB$3="",FB$3&gt;TODAY()),"",IF(AND(FE389="",FF389=""),"",N(FF389)-N(FE389)))</f>
        <v/>
      </c>
      <c r="FK389">
        <f>IF(OR(FI$3="",FI$3&gt;TODAY()),"",IF(AND(FI389="",FJ389=""),"",N(FJ389)-N(FI389)))</f>
        <v/>
      </c>
      <c r="FN389">
        <f>IF(OR(FI$3="",FI$3&gt;TODAY()),"",IF(AND(FL389="",FM389=""),"",N(FM389)-N(FL389)))</f>
        <v/>
      </c>
      <c r="FR389">
        <f>IF(OR(FP$3="",FP$3&gt;TODAY()),"",IF(AND(FP389="",FQ389=""),"",N(FQ389)-N(FP389)))</f>
        <v/>
      </c>
      <c r="FU389">
        <f>IF(OR(FP$3="",FP$3&gt;TODAY()),"",IF(AND(FS389="",FT389=""),"",N(FT389)-N(FS389)))</f>
        <v/>
      </c>
      <c r="FY389">
        <f>IF(OR(FW$3="",FW$3&gt;TODAY()),"",IF(AND(FW389="",FX389=""),"",N(FX389)-N(FW389)))</f>
        <v/>
      </c>
      <c r="GB389">
        <f>IF(OR(FW$3="",FW$3&gt;TODAY()),"",IF(AND(FZ389="",GA389=""),"",N(GA389)-N(FZ389)))</f>
        <v/>
      </c>
      <c r="GF389">
        <f>IF(OR(GD$3="",GD$3&gt;TODAY()),"",IF(AND(GD389="",GE389=""),"",N(GE389)-N(GD389)))</f>
        <v/>
      </c>
      <c r="GI389">
        <f>IF(OR(GD$3="",GD$3&gt;TODAY()),"",IF(AND(GG389="",GH389=""),"",N(GH389)-N(GG389)))</f>
        <v/>
      </c>
      <c r="GM389">
        <f>IF(OR(GK$3="",GK$3&gt;TODAY()),"",IF(AND(GK389="",GL389=""),"",N(GL389)-N(GK389)))</f>
        <v/>
      </c>
      <c r="GP389">
        <f>IF(OR(GK$3="",GK$3&gt;TODAY()),"",IF(AND(GN389="",GO389=""),"",N(GO389)-N(GN389)))</f>
        <v/>
      </c>
      <c r="GT389">
        <f>IF(OR(GR$3="",GR$3&gt;TODAY()),"",IF(AND(GR389="",GS389=""),"",N(GS389)-N(GR389)))</f>
        <v/>
      </c>
      <c r="GW389">
        <f>IF(OR(GR$3="",GR$3&gt;TODAY()),"",IF(AND(GU389="",GV389=""),"",N(GV389)-N(GU389)))</f>
        <v/>
      </c>
      <c r="HA389">
        <f>IF(OR(GY$3="",GY$3&gt;TODAY()),"",IF(AND(GY389="",GZ389=""),"",N(GZ389)-N(GY389)))</f>
        <v/>
      </c>
      <c r="HD389">
        <f>IF(OR(GY$3="",GY$3&gt;TODAY()),"",IF(AND(HB389="",HC389=""),"",N(HC389)-N(HB389)))</f>
        <v/>
      </c>
      <c r="HH389">
        <f>IF(OR(HF$3="",HF$3&gt;TODAY()),"",IF(AND(HF389="",HG389=""),"",N(HG389)-N(HF389)))</f>
        <v/>
      </c>
      <c r="HK389">
        <f>IF(OR(HF$3="",HF$3&gt;TODAY()),"",IF(AND(HI389="",HJ389=""),"",N(HJ389)-N(HI389)))</f>
        <v/>
      </c>
      <c r="HO389">
        <f>IF(OR(HM$3="",HM$3&gt;TODAY()),"",IF(AND(HM389="",HN389=""),"",N(HN389)-N(HM389)))</f>
        <v/>
      </c>
      <c r="HR389">
        <f>IF(OR(HM$3="",HM$3&gt;TODAY()),"",IF(AND(HP389="",HQ389=""),"",N(HQ389)-N(HP389)))</f>
        <v/>
      </c>
      <c r="HV389">
        <f>IF(OR(HT$3="",HT$3&gt;TODAY()),"",IF(AND(HT389="",HU389=""),"",N(HU389)-N(HT389)))</f>
        <v/>
      </c>
      <c r="HY389">
        <f>IF(OR(HT$3="",HT$3&gt;TODAY()),"",IF(AND(HW389="",HX389=""),"",N(HX389)-N(HW389)))</f>
        <v/>
      </c>
      <c r="IC389">
        <f>IF(OR(IA$3="",IA$3&gt;TODAY()),"",IF(AND(IA389="",IB389=""),"",N(IB389)-N(IA389)))</f>
        <v/>
      </c>
      <c r="IF389">
        <f>IF(OR(IA$3="",IA$3&gt;TODAY()),"",IF(AND(ID389="",IE389=""),"",N(IE389)-N(ID389)))</f>
        <v/>
      </c>
      <c r="IJ389">
        <f>IF(OR(IH$3="",IH$3&gt;TODAY()),"",IF(AND(IH389="",II389=""),"",N(II389)-N(IH389)))</f>
        <v/>
      </c>
      <c r="IM389">
        <f>IF(OR(IH$3="",IH$3&gt;TODAY()),"",IF(AND(IK389="",IL389=""),"",N(IL389)-N(IK389)))</f>
        <v/>
      </c>
    </row>
    <row r="390">
      <c r="A390" s="21" t="n"/>
      <c r="B390" s="21" t="n"/>
      <c r="C390" s="21" t="n"/>
      <c r="D390" s="21" t="n"/>
      <c r="E390" s="21" t="n"/>
      <c r="F390" s="21" t="n"/>
      <c r="G390" s="21" t="n"/>
      <c r="H390" s="21" t="n"/>
      <c r="I390" s="22" t="n"/>
      <c r="J390" s="22" t="n"/>
      <c r="K390" s="23" t="n"/>
      <c r="L390" s="22" t="n"/>
      <c r="M390" s="22" t="n"/>
      <c r="N390" s="21" t="n"/>
      <c r="O390" s="23" t="n"/>
      <c r="P390" s="23" t="n"/>
      <c r="Q390" s="23" t="n"/>
      <c r="R390" s="23" t="n"/>
      <c r="S390" s="22" t="n"/>
      <c r="T390" s="23" t="n"/>
      <c r="U390" s="23" t="n"/>
      <c r="V390" s="24">
        <f>IF(J390&lt;&gt;"",J390,IF(I390&lt;&gt;"",I390,""))</f>
        <v/>
      </c>
      <c r="W390" s="25">
        <f>IF($E390="","",N(O390)+SUMIFS($AF390:$IN390,$AF$4:$IN$4,"SEW_ACT"))</f>
        <v/>
      </c>
      <c r="X390" s="25">
        <f>IF($E390="","",N(P390)+SUMIFS($AF390:$IN390,$AF$4:$IN$4,"WASH_ACT"))</f>
        <v/>
      </c>
      <c r="Y390" s="25">
        <f>IF($E390="","",W390-X390-N(T390)-N(U390))</f>
        <v/>
      </c>
      <c r="Z390" s="25">
        <f>IF($E390="","",IF(N(K390)-X390&lt;=0.02*N(K390),0,N(K390)-X390))</f>
        <v/>
      </c>
      <c r="AA390" s="24">
        <f>IF($E390="","",IF(S390&lt;&gt;"",S390,IF(N(O390)&gt;0,IF(L390&lt;&gt;"",L390,99999),IFERROR(1/(1/_xlfn.MINIFS($AF$3:$IN$3,$AF$4:$IN$4,"SEW_ACT",$AF390:$IN390,"&gt;0")),99999))))</f>
        <v/>
      </c>
      <c r="AB390" s="26">
        <f>IF(OR($E390="",Z390=0,V390=""),"",1+COUNTIFS(Z$8:Z$707,"&gt;0",V$8:V$707,"&lt;"&amp;V390)+COUNTIFS(Z$8:Z$707,"&gt;0",V$8:V$707,V390,AA$8:AA$707,"&lt;"&amp;AA390)+COUNTIFS(Z$8:Z$707,"&gt;0",V$8:V$707,V390,AA$8:AA$707,AA390,E$8:E$707,"&lt;"&amp;$E390))</f>
        <v/>
      </c>
      <c r="AC390" s="24">
        <f>IF(OR($E390="",Z390=0),"",IFERROR(TODAY()+ROUNDUP(Z390/(SUMIFS($AF390:$IN390,$AF$4:$IN$4,"WASH_ACT")/COUNTIFS($AF$4:$IN$4,"WASH_ACT",$AF390:$IN390,"&gt;0")),0),"no output yet"))</f>
        <v/>
      </c>
      <c r="AD390" s="26">
        <f>IF($E390="","",IFERROR(ROUND(MAX(0,SUMIFS($AF390:$IN390,$AF$4:$IN$4,"SEW_PLAN",$AF$3:$IN$3,"&lt;="&amp;TODAY())-SUMIFS($AF390:$IN390,$AF$4:$IN$4,"SEW_ACT",$AF$3:$IN$3,"&lt;="&amp;TODAY())+N(Q390))/(SUMIFS($AF390:$IN390,$AF$4:$IN$4,"SEW_PLAN")/COUNTIFS($AF$4:$IN$4,"SEW_PLAN",$AF390:$IN390,"&gt;0")),1),0))</f>
        <v/>
      </c>
      <c r="AE390" s="26">
        <f>IF($E390="","",IF(AND(Z390&gt;0,OR(AND(M390&lt;&gt;"",TODAY()&gt;M390),AND(V390&lt;&gt;"",V390-TODAY()&lt;=7))),"Yes","No"))</f>
        <v/>
      </c>
      <c r="AH390">
        <f>IF(OR(AF$3="",AF$3&gt;TODAY()),"",IF(AND(AF390="",AG390=""),"",N(AG390)-N(AF390)))</f>
        <v/>
      </c>
      <c r="AK390">
        <f>IF(OR(AF$3="",AF$3&gt;TODAY()),"",IF(AND(AI390="",AJ390=""),"",N(AJ390)-N(AI390)))</f>
        <v/>
      </c>
      <c r="AO390">
        <f>IF(OR(AM$3="",AM$3&gt;TODAY()),"",IF(AND(AM390="",AN390=""),"",N(AN390)-N(AM390)))</f>
        <v/>
      </c>
      <c r="AR390">
        <f>IF(OR(AM$3="",AM$3&gt;TODAY()),"",IF(AND(AP390="",AQ390=""),"",N(AQ390)-N(AP390)))</f>
        <v/>
      </c>
      <c r="AV390">
        <f>IF(OR(AT$3="",AT$3&gt;TODAY()),"",IF(AND(AT390="",AU390=""),"",N(AU390)-N(AT390)))</f>
        <v/>
      </c>
      <c r="AY390">
        <f>IF(OR(AT$3="",AT$3&gt;TODAY()),"",IF(AND(AW390="",AX390=""),"",N(AX390)-N(AW390)))</f>
        <v/>
      </c>
      <c r="BC390">
        <f>IF(OR(BA$3="",BA$3&gt;TODAY()),"",IF(AND(BA390="",BB390=""),"",N(BB390)-N(BA390)))</f>
        <v/>
      </c>
      <c r="BF390">
        <f>IF(OR(BA$3="",BA$3&gt;TODAY()),"",IF(AND(BD390="",BE390=""),"",N(BE390)-N(BD390)))</f>
        <v/>
      </c>
      <c r="BJ390">
        <f>IF(OR(BH$3="",BH$3&gt;TODAY()),"",IF(AND(BH390="",BI390=""),"",N(BI390)-N(BH390)))</f>
        <v/>
      </c>
      <c r="BM390">
        <f>IF(OR(BH$3="",BH$3&gt;TODAY()),"",IF(AND(BK390="",BL390=""),"",N(BL390)-N(BK390)))</f>
        <v/>
      </c>
      <c r="BQ390">
        <f>IF(OR(BO$3="",BO$3&gt;TODAY()),"",IF(AND(BO390="",BP390=""),"",N(BP390)-N(BO390)))</f>
        <v/>
      </c>
      <c r="BT390">
        <f>IF(OR(BO$3="",BO$3&gt;TODAY()),"",IF(AND(BR390="",BS390=""),"",N(BS390)-N(BR390)))</f>
        <v/>
      </c>
      <c r="BX390">
        <f>IF(OR(BV$3="",BV$3&gt;TODAY()),"",IF(AND(BV390="",BW390=""),"",N(BW390)-N(BV390)))</f>
        <v/>
      </c>
      <c r="CA390">
        <f>IF(OR(BV$3="",BV$3&gt;TODAY()),"",IF(AND(BY390="",BZ390=""),"",N(BZ390)-N(BY390)))</f>
        <v/>
      </c>
      <c r="CE390">
        <f>IF(OR(CC$3="",CC$3&gt;TODAY()),"",IF(AND(CC390="",CD390=""),"",N(CD390)-N(CC390)))</f>
        <v/>
      </c>
      <c r="CH390">
        <f>IF(OR(CC$3="",CC$3&gt;TODAY()),"",IF(AND(CF390="",CG390=""),"",N(CG390)-N(CF390)))</f>
        <v/>
      </c>
      <c r="CL390">
        <f>IF(OR(CJ$3="",CJ$3&gt;TODAY()),"",IF(AND(CJ390="",CK390=""),"",N(CK390)-N(CJ390)))</f>
        <v/>
      </c>
      <c r="CO390">
        <f>IF(OR(CJ$3="",CJ$3&gt;TODAY()),"",IF(AND(CM390="",CN390=""),"",N(CN390)-N(CM390)))</f>
        <v/>
      </c>
      <c r="CS390">
        <f>IF(OR(CQ$3="",CQ$3&gt;TODAY()),"",IF(AND(CQ390="",CR390=""),"",N(CR390)-N(CQ390)))</f>
        <v/>
      </c>
      <c r="CV390">
        <f>IF(OR(CQ$3="",CQ$3&gt;TODAY()),"",IF(AND(CT390="",CU390=""),"",N(CU390)-N(CT390)))</f>
        <v/>
      </c>
      <c r="CZ390">
        <f>IF(OR(CX$3="",CX$3&gt;TODAY()),"",IF(AND(CX390="",CY390=""),"",N(CY390)-N(CX390)))</f>
        <v/>
      </c>
      <c r="DC390">
        <f>IF(OR(CX$3="",CX$3&gt;TODAY()),"",IF(AND(DA390="",DB390=""),"",N(DB390)-N(DA390)))</f>
        <v/>
      </c>
      <c r="DG390">
        <f>IF(OR(DE$3="",DE$3&gt;TODAY()),"",IF(AND(DE390="",DF390=""),"",N(DF390)-N(DE390)))</f>
        <v/>
      </c>
      <c r="DJ390">
        <f>IF(OR(DE$3="",DE$3&gt;TODAY()),"",IF(AND(DH390="",DI390=""),"",N(DI390)-N(DH390)))</f>
        <v/>
      </c>
      <c r="DN390">
        <f>IF(OR(DL$3="",DL$3&gt;TODAY()),"",IF(AND(DL390="",DM390=""),"",N(DM390)-N(DL390)))</f>
        <v/>
      </c>
      <c r="DQ390">
        <f>IF(OR(DL$3="",DL$3&gt;TODAY()),"",IF(AND(DO390="",DP390=""),"",N(DP390)-N(DO390)))</f>
        <v/>
      </c>
      <c r="DU390">
        <f>IF(OR(DS$3="",DS$3&gt;TODAY()),"",IF(AND(DS390="",DT390=""),"",N(DT390)-N(DS390)))</f>
        <v/>
      </c>
      <c r="DX390">
        <f>IF(OR(DS$3="",DS$3&gt;TODAY()),"",IF(AND(DV390="",DW390=""),"",N(DW390)-N(DV390)))</f>
        <v/>
      </c>
      <c r="EB390">
        <f>IF(OR(DZ$3="",DZ$3&gt;TODAY()),"",IF(AND(DZ390="",EA390=""),"",N(EA390)-N(DZ390)))</f>
        <v/>
      </c>
      <c r="EE390">
        <f>IF(OR(DZ$3="",DZ$3&gt;TODAY()),"",IF(AND(EC390="",ED390=""),"",N(ED390)-N(EC390)))</f>
        <v/>
      </c>
      <c r="EI390">
        <f>IF(OR(EG$3="",EG$3&gt;TODAY()),"",IF(AND(EG390="",EH390=""),"",N(EH390)-N(EG390)))</f>
        <v/>
      </c>
      <c r="EL390">
        <f>IF(OR(EG$3="",EG$3&gt;TODAY()),"",IF(AND(EJ390="",EK390=""),"",N(EK390)-N(EJ390)))</f>
        <v/>
      </c>
      <c r="EP390">
        <f>IF(OR(EN$3="",EN$3&gt;TODAY()),"",IF(AND(EN390="",EO390=""),"",N(EO390)-N(EN390)))</f>
        <v/>
      </c>
      <c r="ES390">
        <f>IF(OR(EN$3="",EN$3&gt;TODAY()),"",IF(AND(EQ390="",ER390=""),"",N(ER390)-N(EQ390)))</f>
        <v/>
      </c>
      <c r="EW390">
        <f>IF(OR(EU$3="",EU$3&gt;TODAY()),"",IF(AND(EU390="",EV390=""),"",N(EV390)-N(EU390)))</f>
        <v/>
      </c>
      <c r="EZ390">
        <f>IF(OR(EU$3="",EU$3&gt;TODAY()),"",IF(AND(EX390="",EY390=""),"",N(EY390)-N(EX390)))</f>
        <v/>
      </c>
      <c r="FD390">
        <f>IF(OR(FB$3="",FB$3&gt;TODAY()),"",IF(AND(FB390="",FC390=""),"",N(FC390)-N(FB390)))</f>
        <v/>
      </c>
      <c r="FG390">
        <f>IF(OR(FB$3="",FB$3&gt;TODAY()),"",IF(AND(FE390="",FF390=""),"",N(FF390)-N(FE390)))</f>
        <v/>
      </c>
      <c r="FK390">
        <f>IF(OR(FI$3="",FI$3&gt;TODAY()),"",IF(AND(FI390="",FJ390=""),"",N(FJ390)-N(FI390)))</f>
        <v/>
      </c>
      <c r="FN390">
        <f>IF(OR(FI$3="",FI$3&gt;TODAY()),"",IF(AND(FL390="",FM390=""),"",N(FM390)-N(FL390)))</f>
        <v/>
      </c>
      <c r="FR390">
        <f>IF(OR(FP$3="",FP$3&gt;TODAY()),"",IF(AND(FP390="",FQ390=""),"",N(FQ390)-N(FP390)))</f>
        <v/>
      </c>
      <c r="FU390">
        <f>IF(OR(FP$3="",FP$3&gt;TODAY()),"",IF(AND(FS390="",FT390=""),"",N(FT390)-N(FS390)))</f>
        <v/>
      </c>
      <c r="FY390">
        <f>IF(OR(FW$3="",FW$3&gt;TODAY()),"",IF(AND(FW390="",FX390=""),"",N(FX390)-N(FW390)))</f>
        <v/>
      </c>
      <c r="GB390">
        <f>IF(OR(FW$3="",FW$3&gt;TODAY()),"",IF(AND(FZ390="",GA390=""),"",N(GA390)-N(FZ390)))</f>
        <v/>
      </c>
      <c r="GF390">
        <f>IF(OR(GD$3="",GD$3&gt;TODAY()),"",IF(AND(GD390="",GE390=""),"",N(GE390)-N(GD390)))</f>
        <v/>
      </c>
      <c r="GI390">
        <f>IF(OR(GD$3="",GD$3&gt;TODAY()),"",IF(AND(GG390="",GH390=""),"",N(GH390)-N(GG390)))</f>
        <v/>
      </c>
      <c r="GM390">
        <f>IF(OR(GK$3="",GK$3&gt;TODAY()),"",IF(AND(GK390="",GL390=""),"",N(GL390)-N(GK390)))</f>
        <v/>
      </c>
      <c r="GP390">
        <f>IF(OR(GK$3="",GK$3&gt;TODAY()),"",IF(AND(GN390="",GO390=""),"",N(GO390)-N(GN390)))</f>
        <v/>
      </c>
      <c r="GT390">
        <f>IF(OR(GR$3="",GR$3&gt;TODAY()),"",IF(AND(GR390="",GS390=""),"",N(GS390)-N(GR390)))</f>
        <v/>
      </c>
      <c r="GW390">
        <f>IF(OR(GR$3="",GR$3&gt;TODAY()),"",IF(AND(GU390="",GV390=""),"",N(GV390)-N(GU390)))</f>
        <v/>
      </c>
      <c r="HA390">
        <f>IF(OR(GY$3="",GY$3&gt;TODAY()),"",IF(AND(GY390="",GZ390=""),"",N(GZ390)-N(GY390)))</f>
        <v/>
      </c>
      <c r="HD390">
        <f>IF(OR(GY$3="",GY$3&gt;TODAY()),"",IF(AND(HB390="",HC390=""),"",N(HC390)-N(HB390)))</f>
        <v/>
      </c>
      <c r="HH390">
        <f>IF(OR(HF$3="",HF$3&gt;TODAY()),"",IF(AND(HF390="",HG390=""),"",N(HG390)-N(HF390)))</f>
        <v/>
      </c>
      <c r="HK390">
        <f>IF(OR(HF$3="",HF$3&gt;TODAY()),"",IF(AND(HI390="",HJ390=""),"",N(HJ390)-N(HI390)))</f>
        <v/>
      </c>
      <c r="HO390">
        <f>IF(OR(HM$3="",HM$3&gt;TODAY()),"",IF(AND(HM390="",HN390=""),"",N(HN390)-N(HM390)))</f>
        <v/>
      </c>
      <c r="HR390">
        <f>IF(OR(HM$3="",HM$3&gt;TODAY()),"",IF(AND(HP390="",HQ390=""),"",N(HQ390)-N(HP390)))</f>
        <v/>
      </c>
      <c r="HV390">
        <f>IF(OR(HT$3="",HT$3&gt;TODAY()),"",IF(AND(HT390="",HU390=""),"",N(HU390)-N(HT390)))</f>
        <v/>
      </c>
      <c r="HY390">
        <f>IF(OR(HT$3="",HT$3&gt;TODAY()),"",IF(AND(HW390="",HX390=""),"",N(HX390)-N(HW390)))</f>
        <v/>
      </c>
      <c r="IC390">
        <f>IF(OR(IA$3="",IA$3&gt;TODAY()),"",IF(AND(IA390="",IB390=""),"",N(IB390)-N(IA390)))</f>
        <v/>
      </c>
      <c r="IF390">
        <f>IF(OR(IA$3="",IA$3&gt;TODAY()),"",IF(AND(ID390="",IE390=""),"",N(IE390)-N(ID390)))</f>
        <v/>
      </c>
      <c r="IJ390">
        <f>IF(OR(IH$3="",IH$3&gt;TODAY()),"",IF(AND(IH390="",II390=""),"",N(II390)-N(IH390)))</f>
        <v/>
      </c>
      <c r="IM390">
        <f>IF(OR(IH$3="",IH$3&gt;TODAY()),"",IF(AND(IK390="",IL390=""),"",N(IL390)-N(IK390)))</f>
        <v/>
      </c>
    </row>
    <row r="391">
      <c r="A391" s="21" t="n"/>
      <c r="B391" s="21" t="n"/>
      <c r="C391" s="21" t="n"/>
      <c r="D391" s="21" t="n"/>
      <c r="E391" s="21" t="n"/>
      <c r="F391" s="21" t="n"/>
      <c r="G391" s="21" t="n"/>
      <c r="H391" s="21" t="n"/>
      <c r="I391" s="22" t="n"/>
      <c r="J391" s="22" t="n"/>
      <c r="K391" s="23" t="n"/>
      <c r="L391" s="22" t="n"/>
      <c r="M391" s="22" t="n"/>
      <c r="N391" s="21" t="n"/>
      <c r="O391" s="23" t="n"/>
      <c r="P391" s="23" t="n"/>
      <c r="Q391" s="23" t="n"/>
      <c r="R391" s="23" t="n"/>
      <c r="S391" s="22" t="n"/>
      <c r="T391" s="23" t="n"/>
      <c r="U391" s="23" t="n"/>
      <c r="V391" s="24">
        <f>IF(J391&lt;&gt;"",J391,IF(I391&lt;&gt;"",I391,""))</f>
        <v/>
      </c>
      <c r="W391" s="25">
        <f>IF($E391="","",N(O391)+SUMIFS($AF391:$IN391,$AF$4:$IN$4,"SEW_ACT"))</f>
        <v/>
      </c>
      <c r="X391" s="25">
        <f>IF($E391="","",N(P391)+SUMIFS($AF391:$IN391,$AF$4:$IN$4,"WASH_ACT"))</f>
        <v/>
      </c>
      <c r="Y391" s="25">
        <f>IF($E391="","",W391-X391-N(T391)-N(U391))</f>
        <v/>
      </c>
      <c r="Z391" s="25">
        <f>IF($E391="","",IF(N(K391)-X391&lt;=0.02*N(K391),0,N(K391)-X391))</f>
        <v/>
      </c>
      <c r="AA391" s="24">
        <f>IF($E391="","",IF(S391&lt;&gt;"",S391,IF(N(O391)&gt;0,IF(L391&lt;&gt;"",L391,99999),IFERROR(1/(1/_xlfn.MINIFS($AF$3:$IN$3,$AF$4:$IN$4,"SEW_ACT",$AF391:$IN391,"&gt;0")),99999))))</f>
        <v/>
      </c>
      <c r="AB391" s="26">
        <f>IF(OR($E391="",Z391=0,V391=""),"",1+COUNTIFS(Z$8:Z$707,"&gt;0",V$8:V$707,"&lt;"&amp;V391)+COUNTIFS(Z$8:Z$707,"&gt;0",V$8:V$707,V391,AA$8:AA$707,"&lt;"&amp;AA391)+COUNTIFS(Z$8:Z$707,"&gt;0",V$8:V$707,V391,AA$8:AA$707,AA391,E$8:E$707,"&lt;"&amp;$E391))</f>
        <v/>
      </c>
      <c r="AC391" s="24">
        <f>IF(OR($E391="",Z391=0),"",IFERROR(TODAY()+ROUNDUP(Z391/(SUMIFS($AF391:$IN391,$AF$4:$IN$4,"WASH_ACT")/COUNTIFS($AF$4:$IN$4,"WASH_ACT",$AF391:$IN391,"&gt;0")),0),"no output yet"))</f>
        <v/>
      </c>
      <c r="AD391" s="26">
        <f>IF($E391="","",IFERROR(ROUND(MAX(0,SUMIFS($AF391:$IN391,$AF$4:$IN$4,"SEW_PLAN",$AF$3:$IN$3,"&lt;="&amp;TODAY())-SUMIFS($AF391:$IN391,$AF$4:$IN$4,"SEW_ACT",$AF$3:$IN$3,"&lt;="&amp;TODAY())+N(Q391))/(SUMIFS($AF391:$IN391,$AF$4:$IN$4,"SEW_PLAN")/COUNTIFS($AF$4:$IN$4,"SEW_PLAN",$AF391:$IN391,"&gt;0")),1),0))</f>
        <v/>
      </c>
      <c r="AE391" s="26">
        <f>IF($E391="","",IF(AND(Z391&gt;0,OR(AND(M391&lt;&gt;"",TODAY()&gt;M391),AND(V391&lt;&gt;"",V391-TODAY()&lt;=7))),"Yes","No"))</f>
        <v/>
      </c>
      <c r="AH391">
        <f>IF(OR(AF$3="",AF$3&gt;TODAY()),"",IF(AND(AF391="",AG391=""),"",N(AG391)-N(AF391)))</f>
        <v/>
      </c>
      <c r="AK391">
        <f>IF(OR(AF$3="",AF$3&gt;TODAY()),"",IF(AND(AI391="",AJ391=""),"",N(AJ391)-N(AI391)))</f>
        <v/>
      </c>
      <c r="AO391">
        <f>IF(OR(AM$3="",AM$3&gt;TODAY()),"",IF(AND(AM391="",AN391=""),"",N(AN391)-N(AM391)))</f>
        <v/>
      </c>
      <c r="AR391">
        <f>IF(OR(AM$3="",AM$3&gt;TODAY()),"",IF(AND(AP391="",AQ391=""),"",N(AQ391)-N(AP391)))</f>
        <v/>
      </c>
      <c r="AV391">
        <f>IF(OR(AT$3="",AT$3&gt;TODAY()),"",IF(AND(AT391="",AU391=""),"",N(AU391)-N(AT391)))</f>
        <v/>
      </c>
      <c r="AY391">
        <f>IF(OR(AT$3="",AT$3&gt;TODAY()),"",IF(AND(AW391="",AX391=""),"",N(AX391)-N(AW391)))</f>
        <v/>
      </c>
      <c r="BC391">
        <f>IF(OR(BA$3="",BA$3&gt;TODAY()),"",IF(AND(BA391="",BB391=""),"",N(BB391)-N(BA391)))</f>
        <v/>
      </c>
      <c r="BF391">
        <f>IF(OR(BA$3="",BA$3&gt;TODAY()),"",IF(AND(BD391="",BE391=""),"",N(BE391)-N(BD391)))</f>
        <v/>
      </c>
      <c r="BJ391">
        <f>IF(OR(BH$3="",BH$3&gt;TODAY()),"",IF(AND(BH391="",BI391=""),"",N(BI391)-N(BH391)))</f>
        <v/>
      </c>
      <c r="BM391">
        <f>IF(OR(BH$3="",BH$3&gt;TODAY()),"",IF(AND(BK391="",BL391=""),"",N(BL391)-N(BK391)))</f>
        <v/>
      </c>
      <c r="BQ391">
        <f>IF(OR(BO$3="",BO$3&gt;TODAY()),"",IF(AND(BO391="",BP391=""),"",N(BP391)-N(BO391)))</f>
        <v/>
      </c>
      <c r="BT391">
        <f>IF(OR(BO$3="",BO$3&gt;TODAY()),"",IF(AND(BR391="",BS391=""),"",N(BS391)-N(BR391)))</f>
        <v/>
      </c>
      <c r="BX391">
        <f>IF(OR(BV$3="",BV$3&gt;TODAY()),"",IF(AND(BV391="",BW391=""),"",N(BW391)-N(BV391)))</f>
        <v/>
      </c>
      <c r="CA391">
        <f>IF(OR(BV$3="",BV$3&gt;TODAY()),"",IF(AND(BY391="",BZ391=""),"",N(BZ391)-N(BY391)))</f>
        <v/>
      </c>
      <c r="CE391">
        <f>IF(OR(CC$3="",CC$3&gt;TODAY()),"",IF(AND(CC391="",CD391=""),"",N(CD391)-N(CC391)))</f>
        <v/>
      </c>
      <c r="CH391">
        <f>IF(OR(CC$3="",CC$3&gt;TODAY()),"",IF(AND(CF391="",CG391=""),"",N(CG391)-N(CF391)))</f>
        <v/>
      </c>
      <c r="CL391">
        <f>IF(OR(CJ$3="",CJ$3&gt;TODAY()),"",IF(AND(CJ391="",CK391=""),"",N(CK391)-N(CJ391)))</f>
        <v/>
      </c>
      <c r="CO391">
        <f>IF(OR(CJ$3="",CJ$3&gt;TODAY()),"",IF(AND(CM391="",CN391=""),"",N(CN391)-N(CM391)))</f>
        <v/>
      </c>
      <c r="CS391">
        <f>IF(OR(CQ$3="",CQ$3&gt;TODAY()),"",IF(AND(CQ391="",CR391=""),"",N(CR391)-N(CQ391)))</f>
        <v/>
      </c>
      <c r="CV391">
        <f>IF(OR(CQ$3="",CQ$3&gt;TODAY()),"",IF(AND(CT391="",CU391=""),"",N(CU391)-N(CT391)))</f>
        <v/>
      </c>
      <c r="CZ391">
        <f>IF(OR(CX$3="",CX$3&gt;TODAY()),"",IF(AND(CX391="",CY391=""),"",N(CY391)-N(CX391)))</f>
        <v/>
      </c>
      <c r="DC391">
        <f>IF(OR(CX$3="",CX$3&gt;TODAY()),"",IF(AND(DA391="",DB391=""),"",N(DB391)-N(DA391)))</f>
        <v/>
      </c>
      <c r="DG391">
        <f>IF(OR(DE$3="",DE$3&gt;TODAY()),"",IF(AND(DE391="",DF391=""),"",N(DF391)-N(DE391)))</f>
        <v/>
      </c>
      <c r="DJ391">
        <f>IF(OR(DE$3="",DE$3&gt;TODAY()),"",IF(AND(DH391="",DI391=""),"",N(DI391)-N(DH391)))</f>
        <v/>
      </c>
      <c r="DN391">
        <f>IF(OR(DL$3="",DL$3&gt;TODAY()),"",IF(AND(DL391="",DM391=""),"",N(DM391)-N(DL391)))</f>
        <v/>
      </c>
      <c r="DQ391">
        <f>IF(OR(DL$3="",DL$3&gt;TODAY()),"",IF(AND(DO391="",DP391=""),"",N(DP391)-N(DO391)))</f>
        <v/>
      </c>
      <c r="DU391">
        <f>IF(OR(DS$3="",DS$3&gt;TODAY()),"",IF(AND(DS391="",DT391=""),"",N(DT391)-N(DS391)))</f>
        <v/>
      </c>
      <c r="DX391">
        <f>IF(OR(DS$3="",DS$3&gt;TODAY()),"",IF(AND(DV391="",DW391=""),"",N(DW391)-N(DV391)))</f>
        <v/>
      </c>
      <c r="EB391">
        <f>IF(OR(DZ$3="",DZ$3&gt;TODAY()),"",IF(AND(DZ391="",EA391=""),"",N(EA391)-N(DZ391)))</f>
        <v/>
      </c>
      <c r="EE391">
        <f>IF(OR(DZ$3="",DZ$3&gt;TODAY()),"",IF(AND(EC391="",ED391=""),"",N(ED391)-N(EC391)))</f>
        <v/>
      </c>
      <c r="EI391">
        <f>IF(OR(EG$3="",EG$3&gt;TODAY()),"",IF(AND(EG391="",EH391=""),"",N(EH391)-N(EG391)))</f>
        <v/>
      </c>
      <c r="EL391">
        <f>IF(OR(EG$3="",EG$3&gt;TODAY()),"",IF(AND(EJ391="",EK391=""),"",N(EK391)-N(EJ391)))</f>
        <v/>
      </c>
      <c r="EP391">
        <f>IF(OR(EN$3="",EN$3&gt;TODAY()),"",IF(AND(EN391="",EO391=""),"",N(EO391)-N(EN391)))</f>
        <v/>
      </c>
      <c r="ES391">
        <f>IF(OR(EN$3="",EN$3&gt;TODAY()),"",IF(AND(EQ391="",ER391=""),"",N(ER391)-N(EQ391)))</f>
        <v/>
      </c>
      <c r="EW391">
        <f>IF(OR(EU$3="",EU$3&gt;TODAY()),"",IF(AND(EU391="",EV391=""),"",N(EV391)-N(EU391)))</f>
        <v/>
      </c>
      <c r="EZ391">
        <f>IF(OR(EU$3="",EU$3&gt;TODAY()),"",IF(AND(EX391="",EY391=""),"",N(EY391)-N(EX391)))</f>
        <v/>
      </c>
      <c r="FD391">
        <f>IF(OR(FB$3="",FB$3&gt;TODAY()),"",IF(AND(FB391="",FC391=""),"",N(FC391)-N(FB391)))</f>
        <v/>
      </c>
      <c r="FG391">
        <f>IF(OR(FB$3="",FB$3&gt;TODAY()),"",IF(AND(FE391="",FF391=""),"",N(FF391)-N(FE391)))</f>
        <v/>
      </c>
      <c r="FK391">
        <f>IF(OR(FI$3="",FI$3&gt;TODAY()),"",IF(AND(FI391="",FJ391=""),"",N(FJ391)-N(FI391)))</f>
        <v/>
      </c>
      <c r="FN391">
        <f>IF(OR(FI$3="",FI$3&gt;TODAY()),"",IF(AND(FL391="",FM391=""),"",N(FM391)-N(FL391)))</f>
        <v/>
      </c>
      <c r="FR391">
        <f>IF(OR(FP$3="",FP$3&gt;TODAY()),"",IF(AND(FP391="",FQ391=""),"",N(FQ391)-N(FP391)))</f>
        <v/>
      </c>
      <c r="FU391">
        <f>IF(OR(FP$3="",FP$3&gt;TODAY()),"",IF(AND(FS391="",FT391=""),"",N(FT391)-N(FS391)))</f>
        <v/>
      </c>
      <c r="FY391">
        <f>IF(OR(FW$3="",FW$3&gt;TODAY()),"",IF(AND(FW391="",FX391=""),"",N(FX391)-N(FW391)))</f>
        <v/>
      </c>
      <c r="GB391">
        <f>IF(OR(FW$3="",FW$3&gt;TODAY()),"",IF(AND(FZ391="",GA391=""),"",N(GA391)-N(FZ391)))</f>
        <v/>
      </c>
      <c r="GF391">
        <f>IF(OR(GD$3="",GD$3&gt;TODAY()),"",IF(AND(GD391="",GE391=""),"",N(GE391)-N(GD391)))</f>
        <v/>
      </c>
      <c r="GI391">
        <f>IF(OR(GD$3="",GD$3&gt;TODAY()),"",IF(AND(GG391="",GH391=""),"",N(GH391)-N(GG391)))</f>
        <v/>
      </c>
      <c r="GM391">
        <f>IF(OR(GK$3="",GK$3&gt;TODAY()),"",IF(AND(GK391="",GL391=""),"",N(GL391)-N(GK391)))</f>
        <v/>
      </c>
      <c r="GP391">
        <f>IF(OR(GK$3="",GK$3&gt;TODAY()),"",IF(AND(GN391="",GO391=""),"",N(GO391)-N(GN391)))</f>
        <v/>
      </c>
      <c r="GT391">
        <f>IF(OR(GR$3="",GR$3&gt;TODAY()),"",IF(AND(GR391="",GS391=""),"",N(GS391)-N(GR391)))</f>
        <v/>
      </c>
      <c r="GW391">
        <f>IF(OR(GR$3="",GR$3&gt;TODAY()),"",IF(AND(GU391="",GV391=""),"",N(GV391)-N(GU391)))</f>
        <v/>
      </c>
      <c r="HA391">
        <f>IF(OR(GY$3="",GY$3&gt;TODAY()),"",IF(AND(GY391="",GZ391=""),"",N(GZ391)-N(GY391)))</f>
        <v/>
      </c>
      <c r="HD391">
        <f>IF(OR(GY$3="",GY$3&gt;TODAY()),"",IF(AND(HB391="",HC391=""),"",N(HC391)-N(HB391)))</f>
        <v/>
      </c>
      <c r="HH391">
        <f>IF(OR(HF$3="",HF$3&gt;TODAY()),"",IF(AND(HF391="",HG391=""),"",N(HG391)-N(HF391)))</f>
        <v/>
      </c>
      <c r="HK391">
        <f>IF(OR(HF$3="",HF$3&gt;TODAY()),"",IF(AND(HI391="",HJ391=""),"",N(HJ391)-N(HI391)))</f>
        <v/>
      </c>
      <c r="HO391">
        <f>IF(OR(HM$3="",HM$3&gt;TODAY()),"",IF(AND(HM391="",HN391=""),"",N(HN391)-N(HM391)))</f>
        <v/>
      </c>
      <c r="HR391">
        <f>IF(OR(HM$3="",HM$3&gt;TODAY()),"",IF(AND(HP391="",HQ391=""),"",N(HQ391)-N(HP391)))</f>
        <v/>
      </c>
      <c r="HV391">
        <f>IF(OR(HT$3="",HT$3&gt;TODAY()),"",IF(AND(HT391="",HU391=""),"",N(HU391)-N(HT391)))</f>
        <v/>
      </c>
      <c r="HY391">
        <f>IF(OR(HT$3="",HT$3&gt;TODAY()),"",IF(AND(HW391="",HX391=""),"",N(HX391)-N(HW391)))</f>
        <v/>
      </c>
      <c r="IC391">
        <f>IF(OR(IA$3="",IA$3&gt;TODAY()),"",IF(AND(IA391="",IB391=""),"",N(IB391)-N(IA391)))</f>
        <v/>
      </c>
      <c r="IF391">
        <f>IF(OR(IA$3="",IA$3&gt;TODAY()),"",IF(AND(ID391="",IE391=""),"",N(IE391)-N(ID391)))</f>
        <v/>
      </c>
      <c r="IJ391">
        <f>IF(OR(IH$3="",IH$3&gt;TODAY()),"",IF(AND(IH391="",II391=""),"",N(II391)-N(IH391)))</f>
        <v/>
      </c>
      <c r="IM391">
        <f>IF(OR(IH$3="",IH$3&gt;TODAY()),"",IF(AND(IK391="",IL391=""),"",N(IL391)-N(IK391)))</f>
        <v/>
      </c>
    </row>
    <row r="392">
      <c r="A392" s="21" t="n"/>
      <c r="B392" s="21" t="n"/>
      <c r="C392" s="21" t="n"/>
      <c r="D392" s="21" t="n"/>
      <c r="E392" s="21" t="n"/>
      <c r="F392" s="21" t="n"/>
      <c r="G392" s="21" t="n"/>
      <c r="H392" s="21" t="n"/>
      <c r="I392" s="22" t="n"/>
      <c r="J392" s="22" t="n"/>
      <c r="K392" s="23" t="n"/>
      <c r="L392" s="22" t="n"/>
      <c r="M392" s="22" t="n"/>
      <c r="N392" s="21" t="n"/>
      <c r="O392" s="23" t="n"/>
      <c r="P392" s="23" t="n"/>
      <c r="Q392" s="23" t="n"/>
      <c r="R392" s="23" t="n"/>
      <c r="S392" s="22" t="n"/>
      <c r="T392" s="23" t="n"/>
      <c r="U392" s="23" t="n"/>
      <c r="V392" s="24">
        <f>IF(J392&lt;&gt;"",J392,IF(I392&lt;&gt;"",I392,""))</f>
        <v/>
      </c>
      <c r="W392" s="25">
        <f>IF($E392="","",N(O392)+SUMIFS($AF392:$IN392,$AF$4:$IN$4,"SEW_ACT"))</f>
        <v/>
      </c>
      <c r="X392" s="25">
        <f>IF($E392="","",N(P392)+SUMIFS($AF392:$IN392,$AF$4:$IN$4,"WASH_ACT"))</f>
        <v/>
      </c>
      <c r="Y392" s="25">
        <f>IF($E392="","",W392-X392-N(T392)-N(U392))</f>
        <v/>
      </c>
      <c r="Z392" s="25">
        <f>IF($E392="","",IF(N(K392)-X392&lt;=0.02*N(K392),0,N(K392)-X392))</f>
        <v/>
      </c>
      <c r="AA392" s="24">
        <f>IF($E392="","",IF(S392&lt;&gt;"",S392,IF(N(O392)&gt;0,IF(L392&lt;&gt;"",L392,99999),IFERROR(1/(1/_xlfn.MINIFS($AF$3:$IN$3,$AF$4:$IN$4,"SEW_ACT",$AF392:$IN392,"&gt;0")),99999))))</f>
        <v/>
      </c>
      <c r="AB392" s="26">
        <f>IF(OR($E392="",Z392=0,V392=""),"",1+COUNTIFS(Z$8:Z$707,"&gt;0",V$8:V$707,"&lt;"&amp;V392)+COUNTIFS(Z$8:Z$707,"&gt;0",V$8:V$707,V392,AA$8:AA$707,"&lt;"&amp;AA392)+COUNTIFS(Z$8:Z$707,"&gt;0",V$8:V$707,V392,AA$8:AA$707,AA392,E$8:E$707,"&lt;"&amp;$E392))</f>
        <v/>
      </c>
      <c r="AC392" s="24">
        <f>IF(OR($E392="",Z392=0),"",IFERROR(TODAY()+ROUNDUP(Z392/(SUMIFS($AF392:$IN392,$AF$4:$IN$4,"WASH_ACT")/COUNTIFS($AF$4:$IN$4,"WASH_ACT",$AF392:$IN392,"&gt;0")),0),"no output yet"))</f>
        <v/>
      </c>
      <c r="AD392" s="26">
        <f>IF($E392="","",IFERROR(ROUND(MAX(0,SUMIFS($AF392:$IN392,$AF$4:$IN$4,"SEW_PLAN",$AF$3:$IN$3,"&lt;="&amp;TODAY())-SUMIFS($AF392:$IN392,$AF$4:$IN$4,"SEW_ACT",$AF$3:$IN$3,"&lt;="&amp;TODAY())+N(Q392))/(SUMIFS($AF392:$IN392,$AF$4:$IN$4,"SEW_PLAN")/COUNTIFS($AF$4:$IN$4,"SEW_PLAN",$AF392:$IN392,"&gt;0")),1),0))</f>
        <v/>
      </c>
      <c r="AE392" s="26">
        <f>IF($E392="","",IF(AND(Z392&gt;0,OR(AND(M392&lt;&gt;"",TODAY()&gt;M392),AND(V392&lt;&gt;"",V392-TODAY()&lt;=7))),"Yes","No"))</f>
        <v/>
      </c>
      <c r="AH392">
        <f>IF(OR(AF$3="",AF$3&gt;TODAY()),"",IF(AND(AF392="",AG392=""),"",N(AG392)-N(AF392)))</f>
        <v/>
      </c>
      <c r="AK392">
        <f>IF(OR(AF$3="",AF$3&gt;TODAY()),"",IF(AND(AI392="",AJ392=""),"",N(AJ392)-N(AI392)))</f>
        <v/>
      </c>
      <c r="AO392">
        <f>IF(OR(AM$3="",AM$3&gt;TODAY()),"",IF(AND(AM392="",AN392=""),"",N(AN392)-N(AM392)))</f>
        <v/>
      </c>
      <c r="AR392">
        <f>IF(OR(AM$3="",AM$3&gt;TODAY()),"",IF(AND(AP392="",AQ392=""),"",N(AQ392)-N(AP392)))</f>
        <v/>
      </c>
      <c r="AV392">
        <f>IF(OR(AT$3="",AT$3&gt;TODAY()),"",IF(AND(AT392="",AU392=""),"",N(AU392)-N(AT392)))</f>
        <v/>
      </c>
      <c r="AY392">
        <f>IF(OR(AT$3="",AT$3&gt;TODAY()),"",IF(AND(AW392="",AX392=""),"",N(AX392)-N(AW392)))</f>
        <v/>
      </c>
      <c r="BC392">
        <f>IF(OR(BA$3="",BA$3&gt;TODAY()),"",IF(AND(BA392="",BB392=""),"",N(BB392)-N(BA392)))</f>
        <v/>
      </c>
      <c r="BF392">
        <f>IF(OR(BA$3="",BA$3&gt;TODAY()),"",IF(AND(BD392="",BE392=""),"",N(BE392)-N(BD392)))</f>
        <v/>
      </c>
      <c r="BJ392">
        <f>IF(OR(BH$3="",BH$3&gt;TODAY()),"",IF(AND(BH392="",BI392=""),"",N(BI392)-N(BH392)))</f>
        <v/>
      </c>
      <c r="BM392">
        <f>IF(OR(BH$3="",BH$3&gt;TODAY()),"",IF(AND(BK392="",BL392=""),"",N(BL392)-N(BK392)))</f>
        <v/>
      </c>
      <c r="BQ392">
        <f>IF(OR(BO$3="",BO$3&gt;TODAY()),"",IF(AND(BO392="",BP392=""),"",N(BP392)-N(BO392)))</f>
        <v/>
      </c>
      <c r="BT392">
        <f>IF(OR(BO$3="",BO$3&gt;TODAY()),"",IF(AND(BR392="",BS392=""),"",N(BS392)-N(BR392)))</f>
        <v/>
      </c>
      <c r="BX392">
        <f>IF(OR(BV$3="",BV$3&gt;TODAY()),"",IF(AND(BV392="",BW392=""),"",N(BW392)-N(BV392)))</f>
        <v/>
      </c>
      <c r="CA392">
        <f>IF(OR(BV$3="",BV$3&gt;TODAY()),"",IF(AND(BY392="",BZ392=""),"",N(BZ392)-N(BY392)))</f>
        <v/>
      </c>
      <c r="CE392">
        <f>IF(OR(CC$3="",CC$3&gt;TODAY()),"",IF(AND(CC392="",CD392=""),"",N(CD392)-N(CC392)))</f>
        <v/>
      </c>
      <c r="CH392">
        <f>IF(OR(CC$3="",CC$3&gt;TODAY()),"",IF(AND(CF392="",CG392=""),"",N(CG392)-N(CF392)))</f>
        <v/>
      </c>
      <c r="CL392">
        <f>IF(OR(CJ$3="",CJ$3&gt;TODAY()),"",IF(AND(CJ392="",CK392=""),"",N(CK392)-N(CJ392)))</f>
        <v/>
      </c>
      <c r="CO392">
        <f>IF(OR(CJ$3="",CJ$3&gt;TODAY()),"",IF(AND(CM392="",CN392=""),"",N(CN392)-N(CM392)))</f>
        <v/>
      </c>
      <c r="CS392">
        <f>IF(OR(CQ$3="",CQ$3&gt;TODAY()),"",IF(AND(CQ392="",CR392=""),"",N(CR392)-N(CQ392)))</f>
        <v/>
      </c>
      <c r="CV392">
        <f>IF(OR(CQ$3="",CQ$3&gt;TODAY()),"",IF(AND(CT392="",CU392=""),"",N(CU392)-N(CT392)))</f>
        <v/>
      </c>
      <c r="CZ392">
        <f>IF(OR(CX$3="",CX$3&gt;TODAY()),"",IF(AND(CX392="",CY392=""),"",N(CY392)-N(CX392)))</f>
        <v/>
      </c>
      <c r="DC392">
        <f>IF(OR(CX$3="",CX$3&gt;TODAY()),"",IF(AND(DA392="",DB392=""),"",N(DB392)-N(DA392)))</f>
        <v/>
      </c>
      <c r="DG392">
        <f>IF(OR(DE$3="",DE$3&gt;TODAY()),"",IF(AND(DE392="",DF392=""),"",N(DF392)-N(DE392)))</f>
        <v/>
      </c>
      <c r="DJ392">
        <f>IF(OR(DE$3="",DE$3&gt;TODAY()),"",IF(AND(DH392="",DI392=""),"",N(DI392)-N(DH392)))</f>
        <v/>
      </c>
      <c r="DN392">
        <f>IF(OR(DL$3="",DL$3&gt;TODAY()),"",IF(AND(DL392="",DM392=""),"",N(DM392)-N(DL392)))</f>
        <v/>
      </c>
      <c r="DQ392">
        <f>IF(OR(DL$3="",DL$3&gt;TODAY()),"",IF(AND(DO392="",DP392=""),"",N(DP392)-N(DO392)))</f>
        <v/>
      </c>
      <c r="DU392">
        <f>IF(OR(DS$3="",DS$3&gt;TODAY()),"",IF(AND(DS392="",DT392=""),"",N(DT392)-N(DS392)))</f>
        <v/>
      </c>
      <c r="DX392">
        <f>IF(OR(DS$3="",DS$3&gt;TODAY()),"",IF(AND(DV392="",DW392=""),"",N(DW392)-N(DV392)))</f>
        <v/>
      </c>
      <c r="EB392">
        <f>IF(OR(DZ$3="",DZ$3&gt;TODAY()),"",IF(AND(DZ392="",EA392=""),"",N(EA392)-N(DZ392)))</f>
        <v/>
      </c>
      <c r="EE392">
        <f>IF(OR(DZ$3="",DZ$3&gt;TODAY()),"",IF(AND(EC392="",ED392=""),"",N(ED392)-N(EC392)))</f>
        <v/>
      </c>
      <c r="EI392">
        <f>IF(OR(EG$3="",EG$3&gt;TODAY()),"",IF(AND(EG392="",EH392=""),"",N(EH392)-N(EG392)))</f>
        <v/>
      </c>
      <c r="EL392">
        <f>IF(OR(EG$3="",EG$3&gt;TODAY()),"",IF(AND(EJ392="",EK392=""),"",N(EK392)-N(EJ392)))</f>
        <v/>
      </c>
      <c r="EP392">
        <f>IF(OR(EN$3="",EN$3&gt;TODAY()),"",IF(AND(EN392="",EO392=""),"",N(EO392)-N(EN392)))</f>
        <v/>
      </c>
      <c r="ES392">
        <f>IF(OR(EN$3="",EN$3&gt;TODAY()),"",IF(AND(EQ392="",ER392=""),"",N(ER392)-N(EQ392)))</f>
        <v/>
      </c>
      <c r="EW392">
        <f>IF(OR(EU$3="",EU$3&gt;TODAY()),"",IF(AND(EU392="",EV392=""),"",N(EV392)-N(EU392)))</f>
        <v/>
      </c>
      <c r="EZ392">
        <f>IF(OR(EU$3="",EU$3&gt;TODAY()),"",IF(AND(EX392="",EY392=""),"",N(EY392)-N(EX392)))</f>
        <v/>
      </c>
      <c r="FD392">
        <f>IF(OR(FB$3="",FB$3&gt;TODAY()),"",IF(AND(FB392="",FC392=""),"",N(FC392)-N(FB392)))</f>
        <v/>
      </c>
      <c r="FG392">
        <f>IF(OR(FB$3="",FB$3&gt;TODAY()),"",IF(AND(FE392="",FF392=""),"",N(FF392)-N(FE392)))</f>
        <v/>
      </c>
      <c r="FK392">
        <f>IF(OR(FI$3="",FI$3&gt;TODAY()),"",IF(AND(FI392="",FJ392=""),"",N(FJ392)-N(FI392)))</f>
        <v/>
      </c>
      <c r="FN392">
        <f>IF(OR(FI$3="",FI$3&gt;TODAY()),"",IF(AND(FL392="",FM392=""),"",N(FM392)-N(FL392)))</f>
        <v/>
      </c>
      <c r="FR392">
        <f>IF(OR(FP$3="",FP$3&gt;TODAY()),"",IF(AND(FP392="",FQ392=""),"",N(FQ392)-N(FP392)))</f>
        <v/>
      </c>
      <c r="FU392">
        <f>IF(OR(FP$3="",FP$3&gt;TODAY()),"",IF(AND(FS392="",FT392=""),"",N(FT392)-N(FS392)))</f>
        <v/>
      </c>
      <c r="FY392">
        <f>IF(OR(FW$3="",FW$3&gt;TODAY()),"",IF(AND(FW392="",FX392=""),"",N(FX392)-N(FW392)))</f>
        <v/>
      </c>
      <c r="GB392">
        <f>IF(OR(FW$3="",FW$3&gt;TODAY()),"",IF(AND(FZ392="",GA392=""),"",N(GA392)-N(FZ392)))</f>
        <v/>
      </c>
      <c r="GF392">
        <f>IF(OR(GD$3="",GD$3&gt;TODAY()),"",IF(AND(GD392="",GE392=""),"",N(GE392)-N(GD392)))</f>
        <v/>
      </c>
      <c r="GI392">
        <f>IF(OR(GD$3="",GD$3&gt;TODAY()),"",IF(AND(GG392="",GH392=""),"",N(GH392)-N(GG392)))</f>
        <v/>
      </c>
      <c r="GM392">
        <f>IF(OR(GK$3="",GK$3&gt;TODAY()),"",IF(AND(GK392="",GL392=""),"",N(GL392)-N(GK392)))</f>
        <v/>
      </c>
      <c r="GP392">
        <f>IF(OR(GK$3="",GK$3&gt;TODAY()),"",IF(AND(GN392="",GO392=""),"",N(GO392)-N(GN392)))</f>
        <v/>
      </c>
      <c r="GT392">
        <f>IF(OR(GR$3="",GR$3&gt;TODAY()),"",IF(AND(GR392="",GS392=""),"",N(GS392)-N(GR392)))</f>
        <v/>
      </c>
      <c r="GW392">
        <f>IF(OR(GR$3="",GR$3&gt;TODAY()),"",IF(AND(GU392="",GV392=""),"",N(GV392)-N(GU392)))</f>
        <v/>
      </c>
      <c r="HA392">
        <f>IF(OR(GY$3="",GY$3&gt;TODAY()),"",IF(AND(GY392="",GZ392=""),"",N(GZ392)-N(GY392)))</f>
        <v/>
      </c>
      <c r="HD392">
        <f>IF(OR(GY$3="",GY$3&gt;TODAY()),"",IF(AND(HB392="",HC392=""),"",N(HC392)-N(HB392)))</f>
        <v/>
      </c>
      <c r="HH392">
        <f>IF(OR(HF$3="",HF$3&gt;TODAY()),"",IF(AND(HF392="",HG392=""),"",N(HG392)-N(HF392)))</f>
        <v/>
      </c>
      <c r="HK392">
        <f>IF(OR(HF$3="",HF$3&gt;TODAY()),"",IF(AND(HI392="",HJ392=""),"",N(HJ392)-N(HI392)))</f>
        <v/>
      </c>
      <c r="HO392">
        <f>IF(OR(HM$3="",HM$3&gt;TODAY()),"",IF(AND(HM392="",HN392=""),"",N(HN392)-N(HM392)))</f>
        <v/>
      </c>
      <c r="HR392">
        <f>IF(OR(HM$3="",HM$3&gt;TODAY()),"",IF(AND(HP392="",HQ392=""),"",N(HQ392)-N(HP392)))</f>
        <v/>
      </c>
      <c r="HV392">
        <f>IF(OR(HT$3="",HT$3&gt;TODAY()),"",IF(AND(HT392="",HU392=""),"",N(HU392)-N(HT392)))</f>
        <v/>
      </c>
      <c r="HY392">
        <f>IF(OR(HT$3="",HT$3&gt;TODAY()),"",IF(AND(HW392="",HX392=""),"",N(HX392)-N(HW392)))</f>
        <v/>
      </c>
      <c r="IC392">
        <f>IF(OR(IA$3="",IA$3&gt;TODAY()),"",IF(AND(IA392="",IB392=""),"",N(IB392)-N(IA392)))</f>
        <v/>
      </c>
      <c r="IF392">
        <f>IF(OR(IA$3="",IA$3&gt;TODAY()),"",IF(AND(ID392="",IE392=""),"",N(IE392)-N(ID392)))</f>
        <v/>
      </c>
      <c r="IJ392">
        <f>IF(OR(IH$3="",IH$3&gt;TODAY()),"",IF(AND(IH392="",II392=""),"",N(II392)-N(IH392)))</f>
        <v/>
      </c>
      <c r="IM392">
        <f>IF(OR(IH$3="",IH$3&gt;TODAY()),"",IF(AND(IK392="",IL392=""),"",N(IL392)-N(IK392)))</f>
        <v/>
      </c>
    </row>
    <row r="393">
      <c r="A393" s="21" t="n"/>
      <c r="B393" s="21" t="n"/>
      <c r="C393" s="21" t="n"/>
      <c r="D393" s="21" t="n"/>
      <c r="E393" s="21" t="n"/>
      <c r="F393" s="21" t="n"/>
      <c r="G393" s="21" t="n"/>
      <c r="H393" s="21" t="n"/>
      <c r="I393" s="22" t="n"/>
      <c r="J393" s="22" t="n"/>
      <c r="K393" s="23" t="n"/>
      <c r="L393" s="22" t="n"/>
      <c r="M393" s="22" t="n"/>
      <c r="N393" s="21" t="n"/>
      <c r="O393" s="23" t="n"/>
      <c r="P393" s="23" t="n"/>
      <c r="Q393" s="23" t="n"/>
      <c r="R393" s="23" t="n"/>
      <c r="S393" s="22" t="n"/>
      <c r="T393" s="23" t="n"/>
      <c r="U393" s="23" t="n"/>
      <c r="V393" s="24">
        <f>IF(J393&lt;&gt;"",J393,IF(I393&lt;&gt;"",I393,""))</f>
        <v/>
      </c>
      <c r="W393" s="25">
        <f>IF($E393="","",N(O393)+SUMIFS($AF393:$IN393,$AF$4:$IN$4,"SEW_ACT"))</f>
        <v/>
      </c>
      <c r="X393" s="25">
        <f>IF($E393="","",N(P393)+SUMIFS($AF393:$IN393,$AF$4:$IN$4,"WASH_ACT"))</f>
        <v/>
      </c>
      <c r="Y393" s="25">
        <f>IF($E393="","",W393-X393-N(T393)-N(U393))</f>
        <v/>
      </c>
      <c r="Z393" s="25">
        <f>IF($E393="","",IF(N(K393)-X393&lt;=0.02*N(K393),0,N(K393)-X393))</f>
        <v/>
      </c>
      <c r="AA393" s="24">
        <f>IF($E393="","",IF(S393&lt;&gt;"",S393,IF(N(O393)&gt;0,IF(L393&lt;&gt;"",L393,99999),IFERROR(1/(1/_xlfn.MINIFS($AF$3:$IN$3,$AF$4:$IN$4,"SEW_ACT",$AF393:$IN393,"&gt;0")),99999))))</f>
        <v/>
      </c>
      <c r="AB393" s="26">
        <f>IF(OR($E393="",Z393=0,V393=""),"",1+COUNTIFS(Z$8:Z$707,"&gt;0",V$8:V$707,"&lt;"&amp;V393)+COUNTIFS(Z$8:Z$707,"&gt;0",V$8:V$707,V393,AA$8:AA$707,"&lt;"&amp;AA393)+COUNTIFS(Z$8:Z$707,"&gt;0",V$8:V$707,V393,AA$8:AA$707,AA393,E$8:E$707,"&lt;"&amp;$E393))</f>
        <v/>
      </c>
      <c r="AC393" s="24">
        <f>IF(OR($E393="",Z393=0),"",IFERROR(TODAY()+ROUNDUP(Z393/(SUMIFS($AF393:$IN393,$AF$4:$IN$4,"WASH_ACT")/COUNTIFS($AF$4:$IN$4,"WASH_ACT",$AF393:$IN393,"&gt;0")),0),"no output yet"))</f>
        <v/>
      </c>
      <c r="AD393" s="26">
        <f>IF($E393="","",IFERROR(ROUND(MAX(0,SUMIFS($AF393:$IN393,$AF$4:$IN$4,"SEW_PLAN",$AF$3:$IN$3,"&lt;="&amp;TODAY())-SUMIFS($AF393:$IN393,$AF$4:$IN$4,"SEW_ACT",$AF$3:$IN$3,"&lt;="&amp;TODAY())+N(Q393))/(SUMIFS($AF393:$IN393,$AF$4:$IN$4,"SEW_PLAN")/COUNTIFS($AF$4:$IN$4,"SEW_PLAN",$AF393:$IN393,"&gt;0")),1),0))</f>
        <v/>
      </c>
      <c r="AE393" s="26">
        <f>IF($E393="","",IF(AND(Z393&gt;0,OR(AND(M393&lt;&gt;"",TODAY()&gt;M393),AND(V393&lt;&gt;"",V393-TODAY()&lt;=7))),"Yes","No"))</f>
        <v/>
      </c>
      <c r="AH393">
        <f>IF(OR(AF$3="",AF$3&gt;TODAY()),"",IF(AND(AF393="",AG393=""),"",N(AG393)-N(AF393)))</f>
        <v/>
      </c>
      <c r="AK393">
        <f>IF(OR(AF$3="",AF$3&gt;TODAY()),"",IF(AND(AI393="",AJ393=""),"",N(AJ393)-N(AI393)))</f>
        <v/>
      </c>
      <c r="AO393">
        <f>IF(OR(AM$3="",AM$3&gt;TODAY()),"",IF(AND(AM393="",AN393=""),"",N(AN393)-N(AM393)))</f>
        <v/>
      </c>
      <c r="AR393">
        <f>IF(OR(AM$3="",AM$3&gt;TODAY()),"",IF(AND(AP393="",AQ393=""),"",N(AQ393)-N(AP393)))</f>
        <v/>
      </c>
      <c r="AV393">
        <f>IF(OR(AT$3="",AT$3&gt;TODAY()),"",IF(AND(AT393="",AU393=""),"",N(AU393)-N(AT393)))</f>
        <v/>
      </c>
      <c r="AY393">
        <f>IF(OR(AT$3="",AT$3&gt;TODAY()),"",IF(AND(AW393="",AX393=""),"",N(AX393)-N(AW393)))</f>
        <v/>
      </c>
      <c r="BC393">
        <f>IF(OR(BA$3="",BA$3&gt;TODAY()),"",IF(AND(BA393="",BB393=""),"",N(BB393)-N(BA393)))</f>
        <v/>
      </c>
      <c r="BF393">
        <f>IF(OR(BA$3="",BA$3&gt;TODAY()),"",IF(AND(BD393="",BE393=""),"",N(BE393)-N(BD393)))</f>
        <v/>
      </c>
      <c r="BJ393">
        <f>IF(OR(BH$3="",BH$3&gt;TODAY()),"",IF(AND(BH393="",BI393=""),"",N(BI393)-N(BH393)))</f>
        <v/>
      </c>
      <c r="BM393">
        <f>IF(OR(BH$3="",BH$3&gt;TODAY()),"",IF(AND(BK393="",BL393=""),"",N(BL393)-N(BK393)))</f>
        <v/>
      </c>
      <c r="BQ393">
        <f>IF(OR(BO$3="",BO$3&gt;TODAY()),"",IF(AND(BO393="",BP393=""),"",N(BP393)-N(BO393)))</f>
        <v/>
      </c>
      <c r="BT393">
        <f>IF(OR(BO$3="",BO$3&gt;TODAY()),"",IF(AND(BR393="",BS393=""),"",N(BS393)-N(BR393)))</f>
        <v/>
      </c>
      <c r="BX393">
        <f>IF(OR(BV$3="",BV$3&gt;TODAY()),"",IF(AND(BV393="",BW393=""),"",N(BW393)-N(BV393)))</f>
        <v/>
      </c>
      <c r="CA393">
        <f>IF(OR(BV$3="",BV$3&gt;TODAY()),"",IF(AND(BY393="",BZ393=""),"",N(BZ393)-N(BY393)))</f>
        <v/>
      </c>
      <c r="CE393">
        <f>IF(OR(CC$3="",CC$3&gt;TODAY()),"",IF(AND(CC393="",CD393=""),"",N(CD393)-N(CC393)))</f>
        <v/>
      </c>
      <c r="CH393">
        <f>IF(OR(CC$3="",CC$3&gt;TODAY()),"",IF(AND(CF393="",CG393=""),"",N(CG393)-N(CF393)))</f>
        <v/>
      </c>
      <c r="CL393">
        <f>IF(OR(CJ$3="",CJ$3&gt;TODAY()),"",IF(AND(CJ393="",CK393=""),"",N(CK393)-N(CJ393)))</f>
        <v/>
      </c>
      <c r="CO393">
        <f>IF(OR(CJ$3="",CJ$3&gt;TODAY()),"",IF(AND(CM393="",CN393=""),"",N(CN393)-N(CM393)))</f>
        <v/>
      </c>
      <c r="CS393">
        <f>IF(OR(CQ$3="",CQ$3&gt;TODAY()),"",IF(AND(CQ393="",CR393=""),"",N(CR393)-N(CQ393)))</f>
        <v/>
      </c>
      <c r="CV393">
        <f>IF(OR(CQ$3="",CQ$3&gt;TODAY()),"",IF(AND(CT393="",CU393=""),"",N(CU393)-N(CT393)))</f>
        <v/>
      </c>
      <c r="CZ393">
        <f>IF(OR(CX$3="",CX$3&gt;TODAY()),"",IF(AND(CX393="",CY393=""),"",N(CY393)-N(CX393)))</f>
        <v/>
      </c>
      <c r="DC393">
        <f>IF(OR(CX$3="",CX$3&gt;TODAY()),"",IF(AND(DA393="",DB393=""),"",N(DB393)-N(DA393)))</f>
        <v/>
      </c>
      <c r="DG393">
        <f>IF(OR(DE$3="",DE$3&gt;TODAY()),"",IF(AND(DE393="",DF393=""),"",N(DF393)-N(DE393)))</f>
        <v/>
      </c>
      <c r="DJ393">
        <f>IF(OR(DE$3="",DE$3&gt;TODAY()),"",IF(AND(DH393="",DI393=""),"",N(DI393)-N(DH393)))</f>
        <v/>
      </c>
      <c r="DN393">
        <f>IF(OR(DL$3="",DL$3&gt;TODAY()),"",IF(AND(DL393="",DM393=""),"",N(DM393)-N(DL393)))</f>
        <v/>
      </c>
      <c r="DQ393">
        <f>IF(OR(DL$3="",DL$3&gt;TODAY()),"",IF(AND(DO393="",DP393=""),"",N(DP393)-N(DO393)))</f>
        <v/>
      </c>
      <c r="DU393">
        <f>IF(OR(DS$3="",DS$3&gt;TODAY()),"",IF(AND(DS393="",DT393=""),"",N(DT393)-N(DS393)))</f>
        <v/>
      </c>
      <c r="DX393">
        <f>IF(OR(DS$3="",DS$3&gt;TODAY()),"",IF(AND(DV393="",DW393=""),"",N(DW393)-N(DV393)))</f>
        <v/>
      </c>
      <c r="EB393">
        <f>IF(OR(DZ$3="",DZ$3&gt;TODAY()),"",IF(AND(DZ393="",EA393=""),"",N(EA393)-N(DZ393)))</f>
        <v/>
      </c>
      <c r="EE393">
        <f>IF(OR(DZ$3="",DZ$3&gt;TODAY()),"",IF(AND(EC393="",ED393=""),"",N(ED393)-N(EC393)))</f>
        <v/>
      </c>
      <c r="EI393">
        <f>IF(OR(EG$3="",EG$3&gt;TODAY()),"",IF(AND(EG393="",EH393=""),"",N(EH393)-N(EG393)))</f>
        <v/>
      </c>
      <c r="EL393">
        <f>IF(OR(EG$3="",EG$3&gt;TODAY()),"",IF(AND(EJ393="",EK393=""),"",N(EK393)-N(EJ393)))</f>
        <v/>
      </c>
      <c r="EP393">
        <f>IF(OR(EN$3="",EN$3&gt;TODAY()),"",IF(AND(EN393="",EO393=""),"",N(EO393)-N(EN393)))</f>
        <v/>
      </c>
      <c r="ES393">
        <f>IF(OR(EN$3="",EN$3&gt;TODAY()),"",IF(AND(EQ393="",ER393=""),"",N(ER393)-N(EQ393)))</f>
        <v/>
      </c>
      <c r="EW393">
        <f>IF(OR(EU$3="",EU$3&gt;TODAY()),"",IF(AND(EU393="",EV393=""),"",N(EV393)-N(EU393)))</f>
        <v/>
      </c>
      <c r="EZ393">
        <f>IF(OR(EU$3="",EU$3&gt;TODAY()),"",IF(AND(EX393="",EY393=""),"",N(EY393)-N(EX393)))</f>
        <v/>
      </c>
      <c r="FD393">
        <f>IF(OR(FB$3="",FB$3&gt;TODAY()),"",IF(AND(FB393="",FC393=""),"",N(FC393)-N(FB393)))</f>
        <v/>
      </c>
      <c r="FG393">
        <f>IF(OR(FB$3="",FB$3&gt;TODAY()),"",IF(AND(FE393="",FF393=""),"",N(FF393)-N(FE393)))</f>
        <v/>
      </c>
      <c r="FK393">
        <f>IF(OR(FI$3="",FI$3&gt;TODAY()),"",IF(AND(FI393="",FJ393=""),"",N(FJ393)-N(FI393)))</f>
        <v/>
      </c>
      <c r="FN393">
        <f>IF(OR(FI$3="",FI$3&gt;TODAY()),"",IF(AND(FL393="",FM393=""),"",N(FM393)-N(FL393)))</f>
        <v/>
      </c>
      <c r="FR393">
        <f>IF(OR(FP$3="",FP$3&gt;TODAY()),"",IF(AND(FP393="",FQ393=""),"",N(FQ393)-N(FP393)))</f>
        <v/>
      </c>
      <c r="FU393">
        <f>IF(OR(FP$3="",FP$3&gt;TODAY()),"",IF(AND(FS393="",FT393=""),"",N(FT393)-N(FS393)))</f>
        <v/>
      </c>
      <c r="FY393">
        <f>IF(OR(FW$3="",FW$3&gt;TODAY()),"",IF(AND(FW393="",FX393=""),"",N(FX393)-N(FW393)))</f>
        <v/>
      </c>
      <c r="GB393">
        <f>IF(OR(FW$3="",FW$3&gt;TODAY()),"",IF(AND(FZ393="",GA393=""),"",N(GA393)-N(FZ393)))</f>
        <v/>
      </c>
      <c r="GF393">
        <f>IF(OR(GD$3="",GD$3&gt;TODAY()),"",IF(AND(GD393="",GE393=""),"",N(GE393)-N(GD393)))</f>
        <v/>
      </c>
      <c r="GI393">
        <f>IF(OR(GD$3="",GD$3&gt;TODAY()),"",IF(AND(GG393="",GH393=""),"",N(GH393)-N(GG393)))</f>
        <v/>
      </c>
      <c r="GM393">
        <f>IF(OR(GK$3="",GK$3&gt;TODAY()),"",IF(AND(GK393="",GL393=""),"",N(GL393)-N(GK393)))</f>
        <v/>
      </c>
      <c r="GP393">
        <f>IF(OR(GK$3="",GK$3&gt;TODAY()),"",IF(AND(GN393="",GO393=""),"",N(GO393)-N(GN393)))</f>
        <v/>
      </c>
      <c r="GT393">
        <f>IF(OR(GR$3="",GR$3&gt;TODAY()),"",IF(AND(GR393="",GS393=""),"",N(GS393)-N(GR393)))</f>
        <v/>
      </c>
      <c r="GW393">
        <f>IF(OR(GR$3="",GR$3&gt;TODAY()),"",IF(AND(GU393="",GV393=""),"",N(GV393)-N(GU393)))</f>
        <v/>
      </c>
      <c r="HA393">
        <f>IF(OR(GY$3="",GY$3&gt;TODAY()),"",IF(AND(GY393="",GZ393=""),"",N(GZ393)-N(GY393)))</f>
        <v/>
      </c>
      <c r="HD393">
        <f>IF(OR(GY$3="",GY$3&gt;TODAY()),"",IF(AND(HB393="",HC393=""),"",N(HC393)-N(HB393)))</f>
        <v/>
      </c>
      <c r="HH393">
        <f>IF(OR(HF$3="",HF$3&gt;TODAY()),"",IF(AND(HF393="",HG393=""),"",N(HG393)-N(HF393)))</f>
        <v/>
      </c>
      <c r="HK393">
        <f>IF(OR(HF$3="",HF$3&gt;TODAY()),"",IF(AND(HI393="",HJ393=""),"",N(HJ393)-N(HI393)))</f>
        <v/>
      </c>
      <c r="HO393">
        <f>IF(OR(HM$3="",HM$3&gt;TODAY()),"",IF(AND(HM393="",HN393=""),"",N(HN393)-N(HM393)))</f>
        <v/>
      </c>
      <c r="HR393">
        <f>IF(OR(HM$3="",HM$3&gt;TODAY()),"",IF(AND(HP393="",HQ393=""),"",N(HQ393)-N(HP393)))</f>
        <v/>
      </c>
      <c r="HV393">
        <f>IF(OR(HT$3="",HT$3&gt;TODAY()),"",IF(AND(HT393="",HU393=""),"",N(HU393)-N(HT393)))</f>
        <v/>
      </c>
      <c r="HY393">
        <f>IF(OR(HT$3="",HT$3&gt;TODAY()),"",IF(AND(HW393="",HX393=""),"",N(HX393)-N(HW393)))</f>
        <v/>
      </c>
      <c r="IC393">
        <f>IF(OR(IA$3="",IA$3&gt;TODAY()),"",IF(AND(IA393="",IB393=""),"",N(IB393)-N(IA393)))</f>
        <v/>
      </c>
      <c r="IF393">
        <f>IF(OR(IA$3="",IA$3&gt;TODAY()),"",IF(AND(ID393="",IE393=""),"",N(IE393)-N(ID393)))</f>
        <v/>
      </c>
      <c r="IJ393">
        <f>IF(OR(IH$3="",IH$3&gt;TODAY()),"",IF(AND(IH393="",II393=""),"",N(II393)-N(IH393)))</f>
        <v/>
      </c>
      <c r="IM393">
        <f>IF(OR(IH$3="",IH$3&gt;TODAY()),"",IF(AND(IK393="",IL393=""),"",N(IL393)-N(IK393)))</f>
        <v/>
      </c>
    </row>
    <row r="394">
      <c r="A394" s="21" t="n"/>
      <c r="B394" s="21" t="n"/>
      <c r="C394" s="21" t="n"/>
      <c r="D394" s="21" t="n"/>
      <c r="E394" s="21" t="n"/>
      <c r="F394" s="21" t="n"/>
      <c r="G394" s="21" t="n"/>
      <c r="H394" s="21" t="n"/>
      <c r="I394" s="22" t="n"/>
      <c r="J394" s="22" t="n"/>
      <c r="K394" s="23" t="n"/>
      <c r="L394" s="22" t="n"/>
      <c r="M394" s="22" t="n"/>
      <c r="N394" s="21" t="n"/>
      <c r="O394" s="23" t="n"/>
      <c r="P394" s="23" t="n"/>
      <c r="Q394" s="23" t="n"/>
      <c r="R394" s="23" t="n"/>
      <c r="S394" s="22" t="n"/>
      <c r="T394" s="23" t="n"/>
      <c r="U394" s="23" t="n"/>
      <c r="V394" s="24">
        <f>IF(J394&lt;&gt;"",J394,IF(I394&lt;&gt;"",I394,""))</f>
        <v/>
      </c>
      <c r="W394" s="25">
        <f>IF($E394="","",N(O394)+SUMIFS($AF394:$IN394,$AF$4:$IN$4,"SEW_ACT"))</f>
        <v/>
      </c>
      <c r="X394" s="25">
        <f>IF($E394="","",N(P394)+SUMIFS($AF394:$IN394,$AF$4:$IN$4,"WASH_ACT"))</f>
        <v/>
      </c>
      <c r="Y394" s="25">
        <f>IF($E394="","",W394-X394-N(T394)-N(U394))</f>
        <v/>
      </c>
      <c r="Z394" s="25">
        <f>IF($E394="","",IF(N(K394)-X394&lt;=0.02*N(K394),0,N(K394)-X394))</f>
        <v/>
      </c>
      <c r="AA394" s="24">
        <f>IF($E394="","",IF(S394&lt;&gt;"",S394,IF(N(O394)&gt;0,IF(L394&lt;&gt;"",L394,99999),IFERROR(1/(1/_xlfn.MINIFS($AF$3:$IN$3,$AF$4:$IN$4,"SEW_ACT",$AF394:$IN394,"&gt;0")),99999))))</f>
        <v/>
      </c>
      <c r="AB394" s="26">
        <f>IF(OR($E394="",Z394=0,V394=""),"",1+COUNTIFS(Z$8:Z$707,"&gt;0",V$8:V$707,"&lt;"&amp;V394)+COUNTIFS(Z$8:Z$707,"&gt;0",V$8:V$707,V394,AA$8:AA$707,"&lt;"&amp;AA394)+COUNTIFS(Z$8:Z$707,"&gt;0",V$8:V$707,V394,AA$8:AA$707,AA394,E$8:E$707,"&lt;"&amp;$E394))</f>
        <v/>
      </c>
      <c r="AC394" s="24">
        <f>IF(OR($E394="",Z394=0),"",IFERROR(TODAY()+ROUNDUP(Z394/(SUMIFS($AF394:$IN394,$AF$4:$IN$4,"WASH_ACT")/COUNTIFS($AF$4:$IN$4,"WASH_ACT",$AF394:$IN394,"&gt;0")),0),"no output yet"))</f>
        <v/>
      </c>
      <c r="AD394" s="26">
        <f>IF($E394="","",IFERROR(ROUND(MAX(0,SUMIFS($AF394:$IN394,$AF$4:$IN$4,"SEW_PLAN",$AF$3:$IN$3,"&lt;="&amp;TODAY())-SUMIFS($AF394:$IN394,$AF$4:$IN$4,"SEW_ACT",$AF$3:$IN$3,"&lt;="&amp;TODAY())+N(Q394))/(SUMIFS($AF394:$IN394,$AF$4:$IN$4,"SEW_PLAN")/COUNTIFS($AF$4:$IN$4,"SEW_PLAN",$AF394:$IN394,"&gt;0")),1),0))</f>
        <v/>
      </c>
      <c r="AE394" s="26">
        <f>IF($E394="","",IF(AND(Z394&gt;0,OR(AND(M394&lt;&gt;"",TODAY()&gt;M394),AND(V394&lt;&gt;"",V394-TODAY()&lt;=7))),"Yes","No"))</f>
        <v/>
      </c>
      <c r="AH394">
        <f>IF(OR(AF$3="",AF$3&gt;TODAY()),"",IF(AND(AF394="",AG394=""),"",N(AG394)-N(AF394)))</f>
        <v/>
      </c>
      <c r="AK394">
        <f>IF(OR(AF$3="",AF$3&gt;TODAY()),"",IF(AND(AI394="",AJ394=""),"",N(AJ394)-N(AI394)))</f>
        <v/>
      </c>
      <c r="AO394">
        <f>IF(OR(AM$3="",AM$3&gt;TODAY()),"",IF(AND(AM394="",AN394=""),"",N(AN394)-N(AM394)))</f>
        <v/>
      </c>
      <c r="AR394">
        <f>IF(OR(AM$3="",AM$3&gt;TODAY()),"",IF(AND(AP394="",AQ394=""),"",N(AQ394)-N(AP394)))</f>
        <v/>
      </c>
      <c r="AV394">
        <f>IF(OR(AT$3="",AT$3&gt;TODAY()),"",IF(AND(AT394="",AU394=""),"",N(AU394)-N(AT394)))</f>
        <v/>
      </c>
      <c r="AY394">
        <f>IF(OR(AT$3="",AT$3&gt;TODAY()),"",IF(AND(AW394="",AX394=""),"",N(AX394)-N(AW394)))</f>
        <v/>
      </c>
      <c r="BC394">
        <f>IF(OR(BA$3="",BA$3&gt;TODAY()),"",IF(AND(BA394="",BB394=""),"",N(BB394)-N(BA394)))</f>
        <v/>
      </c>
      <c r="BF394">
        <f>IF(OR(BA$3="",BA$3&gt;TODAY()),"",IF(AND(BD394="",BE394=""),"",N(BE394)-N(BD394)))</f>
        <v/>
      </c>
      <c r="BJ394">
        <f>IF(OR(BH$3="",BH$3&gt;TODAY()),"",IF(AND(BH394="",BI394=""),"",N(BI394)-N(BH394)))</f>
        <v/>
      </c>
      <c r="BM394">
        <f>IF(OR(BH$3="",BH$3&gt;TODAY()),"",IF(AND(BK394="",BL394=""),"",N(BL394)-N(BK394)))</f>
        <v/>
      </c>
      <c r="BQ394">
        <f>IF(OR(BO$3="",BO$3&gt;TODAY()),"",IF(AND(BO394="",BP394=""),"",N(BP394)-N(BO394)))</f>
        <v/>
      </c>
      <c r="BT394">
        <f>IF(OR(BO$3="",BO$3&gt;TODAY()),"",IF(AND(BR394="",BS394=""),"",N(BS394)-N(BR394)))</f>
        <v/>
      </c>
      <c r="BX394">
        <f>IF(OR(BV$3="",BV$3&gt;TODAY()),"",IF(AND(BV394="",BW394=""),"",N(BW394)-N(BV394)))</f>
        <v/>
      </c>
      <c r="CA394">
        <f>IF(OR(BV$3="",BV$3&gt;TODAY()),"",IF(AND(BY394="",BZ394=""),"",N(BZ394)-N(BY394)))</f>
        <v/>
      </c>
      <c r="CE394">
        <f>IF(OR(CC$3="",CC$3&gt;TODAY()),"",IF(AND(CC394="",CD394=""),"",N(CD394)-N(CC394)))</f>
        <v/>
      </c>
      <c r="CH394">
        <f>IF(OR(CC$3="",CC$3&gt;TODAY()),"",IF(AND(CF394="",CG394=""),"",N(CG394)-N(CF394)))</f>
        <v/>
      </c>
      <c r="CL394">
        <f>IF(OR(CJ$3="",CJ$3&gt;TODAY()),"",IF(AND(CJ394="",CK394=""),"",N(CK394)-N(CJ394)))</f>
        <v/>
      </c>
      <c r="CO394">
        <f>IF(OR(CJ$3="",CJ$3&gt;TODAY()),"",IF(AND(CM394="",CN394=""),"",N(CN394)-N(CM394)))</f>
        <v/>
      </c>
      <c r="CS394">
        <f>IF(OR(CQ$3="",CQ$3&gt;TODAY()),"",IF(AND(CQ394="",CR394=""),"",N(CR394)-N(CQ394)))</f>
        <v/>
      </c>
      <c r="CV394">
        <f>IF(OR(CQ$3="",CQ$3&gt;TODAY()),"",IF(AND(CT394="",CU394=""),"",N(CU394)-N(CT394)))</f>
        <v/>
      </c>
      <c r="CZ394">
        <f>IF(OR(CX$3="",CX$3&gt;TODAY()),"",IF(AND(CX394="",CY394=""),"",N(CY394)-N(CX394)))</f>
        <v/>
      </c>
      <c r="DC394">
        <f>IF(OR(CX$3="",CX$3&gt;TODAY()),"",IF(AND(DA394="",DB394=""),"",N(DB394)-N(DA394)))</f>
        <v/>
      </c>
      <c r="DG394">
        <f>IF(OR(DE$3="",DE$3&gt;TODAY()),"",IF(AND(DE394="",DF394=""),"",N(DF394)-N(DE394)))</f>
        <v/>
      </c>
      <c r="DJ394">
        <f>IF(OR(DE$3="",DE$3&gt;TODAY()),"",IF(AND(DH394="",DI394=""),"",N(DI394)-N(DH394)))</f>
        <v/>
      </c>
      <c r="DN394">
        <f>IF(OR(DL$3="",DL$3&gt;TODAY()),"",IF(AND(DL394="",DM394=""),"",N(DM394)-N(DL394)))</f>
        <v/>
      </c>
      <c r="DQ394">
        <f>IF(OR(DL$3="",DL$3&gt;TODAY()),"",IF(AND(DO394="",DP394=""),"",N(DP394)-N(DO394)))</f>
        <v/>
      </c>
      <c r="DU394">
        <f>IF(OR(DS$3="",DS$3&gt;TODAY()),"",IF(AND(DS394="",DT394=""),"",N(DT394)-N(DS394)))</f>
        <v/>
      </c>
      <c r="DX394">
        <f>IF(OR(DS$3="",DS$3&gt;TODAY()),"",IF(AND(DV394="",DW394=""),"",N(DW394)-N(DV394)))</f>
        <v/>
      </c>
      <c r="EB394">
        <f>IF(OR(DZ$3="",DZ$3&gt;TODAY()),"",IF(AND(DZ394="",EA394=""),"",N(EA394)-N(DZ394)))</f>
        <v/>
      </c>
      <c r="EE394">
        <f>IF(OR(DZ$3="",DZ$3&gt;TODAY()),"",IF(AND(EC394="",ED394=""),"",N(ED394)-N(EC394)))</f>
        <v/>
      </c>
      <c r="EI394">
        <f>IF(OR(EG$3="",EG$3&gt;TODAY()),"",IF(AND(EG394="",EH394=""),"",N(EH394)-N(EG394)))</f>
        <v/>
      </c>
      <c r="EL394">
        <f>IF(OR(EG$3="",EG$3&gt;TODAY()),"",IF(AND(EJ394="",EK394=""),"",N(EK394)-N(EJ394)))</f>
        <v/>
      </c>
      <c r="EP394">
        <f>IF(OR(EN$3="",EN$3&gt;TODAY()),"",IF(AND(EN394="",EO394=""),"",N(EO394)-N(EN394)))</f>
        <v/>
      </c>
      <c r="ES394">
        <f>IF(OR(EN$3="",EN$3&gt;TODAY()),"",IF(AND(EQ394="",ER394=""),"",N(ER394)-N(EQ394)))</f>
        <v/>
      </c>
      <c r="EW394">
        <f>IF(OR(EU$3="",EU$3&gt;TODAY()),"",IF(AND(EU394="",EV394=""),"",N(EV394)-N(EU394)))</f>
        <v/>
      </c>
      <c r="EZ394">
        <f>IF(OR(EU$3="",EU$3&gt;TODAY()),"",IF(AND(EX394="",EY394=""),"",N(EY394)-N(EX394)))</f>
        <v/>
      </c>
      <c r="FD394">
        <f>IF(OR(FB$3="",FB$3&gt;TODAY()),"",IF(AND(FB394="",FC394=""),"",N(FC394)-N(FB394)))</f>
        <v/>
      </c>
      <c r="FG394">
        <f>IF(OR(FB$3="",FB$3&gt;TODAY()),"",IF(AND(FE394="",FF394=""),"",N(FF394)-N(FE394)))</f>
        <v/>
      </c>
      <c r="FK394">
        <f>IF(OR(FI$3="",FI$3&gt;TODAY()),"",IF(AND(FI394="",FJ394=""),"",N(FJ394)-N(FI394)))</f>
        <v/>
      </c>
      <c r="FN394">
        <f>IF(OR(FI$3="",FI$3&gt;TODAY()),"",IF(AND(FL394="",FM394=""),"",N(FM394)-N(FL394)))</f>
        <v/>
      </c>
      <c r="FR394">
        <f>IF(OR(FP$3="",FP$3&gt;TODAY()),"",IF(AND(FP394="",FQ394=""),"",N(FQ394)-N(FP394)))</f>
        <v/>
      </c>
      <c r="FU394">
        <f>IF(OR(FP$3="",FP$3&gt;TODAY()),"",IF(AND(FS394="",FT394=""),"",N(FT394)-N(FS394)))</f>
        <v/>
      </c>
      <c r="FY394">
        <f>IF(OR(FW$3="",FW$3&gt;TODAY()),"",IF(AND(FW394="",FX394=""),"",N(FX394)-N(FW394)))</f>
        <v/>
      </c>
      <c r="GB394">
        <f>IF(OR(FW$3="",FW$3&gt;TODAY()),"",IF(AND(FZ394="",GA394=""),"",N(GA394)-N(FZ394)))</f>
        <v/>
      </c>
      <c r="GF394">
        <f>IF(OR(GD$3="",GD$3&gt;TODAY()),"",IF(AND(GD394="",GE394=""),"",N(GE394)-N(GD394)))</f>
        <v/>
      </c>
      <c r="GI394">
        <f>IF(OR(GD$3="",GD$3&gt;TODAY()),"",IF(AND(GG394="",GH394=""),"",N(GH394)-N(GG394)))</f>
        <v/>
      </c>
      <c r="GM394">
        <f>IF(OR(GK$3="",GK$3&gt;TODAY()),"",IF(AND(GK394="",GL394=""),"",N(GL394)-N(GK394)))</f>
        <v/>
      </c>
      <c r="GP394">
        <f>IF(OR(GK$3="",GK$3&gt;TODAY()),"",IF(AND(GN394="",GO394=""),"",N(GO394)-N(GN394)))</f>
        <v/>
      </c>
      <c r="GT394">
        <f>IF(OR(GR$3="",GR$3&gt;TODAY()),"",IF(AND(GR394="",GS394=""),"",N(GS394)-N(GR394)))</f>
        <v/>
      </c>
      <c r="GW394">
        <f>IF(OR(GR$3="",GR$3&gt;TODAY()),"",IF(AND(GU394="",GV394=""),"",N(GV394)-N(GU394)))</f>
        <v/>
      </c>
      <c r="HA394">
        <f>IF(OR(GY$3="",GY$3&gt;TODAY()),"",IF(AND(GY394="",GZ394=""),"",N(GZ394)-N(GY394)))</f>
        <v/>
      </c>
      <c r="HD394">
        <f>IF(OR(GY$3="",GY$3&gt;TODAY()),"",IF(AND(HB394="",HC394=""),"",N(HC394)-N(HB394)))</f>
        <v/>
      </c>
      <c r="HH394">
        <f>IF(OR(HF$3="",HF$3&gt;TODAY()),"",IF(AND(HF394="",HG394=""),"",N(HG394)-N(HF394)))</f>
        <v/>
      </c>
      <c r="HK394">
        <f>IF(OR(HF$3="",HF$3&gt;TODAY()),"",IF(AND(HI394="",HJ394=""),"",N(HJ394)-N(HI394)))</f>
        <v/>
      </c>
      <c r="HO394">
        <f>IF(OR(HM$3="",HM$3&gt;TODAY()),"",IF(AND(HM394="",HN394=""),"",N(HN394)-N(HM394)))</f>
        <v/>
      </c>
      <c r="HR394">
        <f>IF(OR(HM$3="",HM$3&gt;TODAY()),"",IF(AND(HP394="",HQ394=""),"",N(HQ394)-N(HP394)))</f>
        <v/>
      </c>
      <c r="HV394">
        <f>IF(OR(HT$3="",HT$3&gt;TODAY()),"",IF(AND(HT394="",HU394=""),"",N(HU394)-N(HT394)))</f>
        <v/>
      </c>
      <c r="HY394">
        <f>IF(OR(HT$3="",HT$3&gt;TODAY()),"",IF(AND(HW394="",HX394=""),"",N(HX394)-N(HW394)))</f>
        <v/>
      </c>
      <c r="IC394">
        <f>IF(OR(IA$3="",IA$3&gt;TODAY()),"",IF(AND(IA394="",IB394=""),"",N(IB394)-N(IA394)))</f>
        <v/>
      </c>
      <c r="IF394">
        <f>IF(OR(IA$3="",IA$3&gt;TODAY()),"",IF(AND(ID394="",IE394=""),"",N(IE394)-N(ID394)))</f>
        <v/>
      </c>
      <c r="IJ394">
        <f>IF(OR(IH$3="",IH$3&gt;TODAY()),"",IF(AND(IH394="",II394=""),"",N(II394)-N(IH394)))</f>
        <v/>
      </c>
      <c r="IM394">
        <f>IF(OR(IH$3="",IH$3&gt;TODAY()),"",IF(AND(IK394="",IL394=""),"",N(IL394)-N(IK394)))</f>
        <v/>
      </c>
    </row>
    <row r="395">
      <c r="A395" s="21" t="n"/>
      <c r="B395" s="21" t="n"/>
      <c r="C395" s="21" t="n"/>
      <c r="D395" s="21" t="n"/>
      <c r="E395" s="21" t="n"/>
      <c r="F395" s="21" t="n"/>
      <c r="G395" s="21" t="n"/>
      <c r="H395" s="21" t="n"/>
      <c r="I395" s="22" t="n"/>
      <c r="J395" s="22" t="n"/>
      <c r="K395" s="23" t="n"/>
      <c r="L395" s="22" t="n"/>
      <c r="M395" s="22" t="n"/>
      <c r="N395" s="21" t="n"/>
      <c r="O395" s="23" t="n"/>
      <c r="P395" s="23" t="n"/>
      <c r="Q395" s="23" t="n"/>
      <c r="R395" s="23" t="n"/>
      <c r="S395" s="22" t="n"/>
      <c r="T395" s="23" t="n"/>
      <c r="U395" s="23" t="n"/>
      <c r="V395" s="24">
        <f>IF(J395&lt;&gt;"",J395,IF(I395&lt;&gt;"",I395,""))</f>
        <v/>
      </c>
      <c r="W395" s="25">
        <f>IF($E395="","",N(O395)+SUMIFS($AF395:$IN395,$AF$4:$IN$4,"SEW_ACT"))</f>
        <v/>
      </c>
      <c r="X395" s="25">
        <f>IF($E395="","",N(P395)+SUMIFS($AF395:$IN395,$AF$4:$IN$4,"WASH_ACT"))</f>
        <v/>
      </c>
      <c r="Y395" s="25">
        <f>IF($E395="","",W395-X395-N(T395)-N(U395))</f>
        <v/>
      </c>
      <c r="Z395" s="25">
        <f>IF($E395="","",IF(N(K395)-X395&lt;=0.02*N(K395),0,N(K395)-X395))</f>
        <v/>
      </c>
      <c r="AA395" s="24">
        <f>IF($E395="","",IF(S395&lt;&gt;"",S395,IF(N(O395)&gt;0,IF(L395&lt;&gt;"",L395,99999),IFERROR(1/(1/_xlfn.MINIFS($AF$3:$IN$3,$AF$4:$IN$4,"SEW_ACT",$AF395:$IN395,"&gt;0")),99999))))</f>
        <v/>
      </c>
      <c r="AB395" s="26">
        <f>IF(OR($E395="",Z395=0,V395=""),"",1+COUNTIFS(Z$8:Z$707,"&gt;0",V$8:V$707,"&lt;"&amp;V395)+COUNTIFS(Z$8:Z$707,"&gt;0",V$8:V$707,V395,AA$8:AA$707,"&lt;"&amp;AA395)+COUNTIFS(Z$8:Z$707,"&gt;0",V$8:V$707,V395,AA$8:AA$707,AA395,E$8:E$707,"&lt;"&amp;$E395))</f>
        <v/>
      </c>
      <c r="AC395" s="24">
        <f>IF(OR($E395="",Z395=0),"",IFERROR(TODAY()+ROUNDUP(Z395/(SUMIFS($AF395:$IN395,$AF$4:$IN$4,"WASH_ACT")/COUNTIFS($AF$4:$IN$4,"WASH_ACT",$AF395:$IN395,"&gt;0")),0),"no output yet"))</f>
        <v/>
      </c>
      <c r="AD395" s="26">
        <f>IF($E395="","",IFERROR(ROUND(MAX(0,SUMIFS($AF395:$IN395,$AF$4:$IN$4,"SEW_PLAN",$AF$3:$IN$3,"&lt;="&amp;TODAY())-SUMIFS($AF395:$IN395,$AF$4:$IN$4,"SEW_ACT",$AF$3:$IN$3,"&lt;="&amp;TODAY())+N(Q395))/(SUMIFS($AF395:$IN395,$AF$4:$IN$4,"SEW_PLAN")/COUNTIFS($AF$4:$IN$4,"SEW_PLAN",$AF395:$IN395,"&gt;0")),1),0))</f>
        <v/>
      </c>
      <c r="AE395" s="26">
        <f>IF($E395="","",IF(AND(Z395&gt;0,OR(AND(M395&lt;&gt;"",TODAY()&gt;M395),AND(V395&lt;&gt;"",V395-TODAY()&lt;=7))),"Yes","No"))</f>
        <v/>
      </c>
      <c r="AH395">
        <f>IF(OR(AF$3="",AF$3&gt;TODAY()),"",IF(AND(AF395="",AG395=""),"",N(AG395)-N(AF395)))</f>
        <v/>
      </c>
      <c r="AK395">
        <f>IF(OR(AF$3="",AF$3&gt;TODAY()),"",IF(AND(AI395="",AJ395=""),"",N(AJ395)-N(AI395)))</f>
        <v/>
      </c>
      <c r="AO395">
        <f>IF(OR(AM$3="",AM$3&gt;TODAY()),"",IF(AND(AM395="",AN395=""),"",N(AN395)-N(AM395)))</f>
        <v/>
      </c>
      <c r="AR395">
        <f>IF(OR(AM$3="",AM$3&gt;TODAY()),"",IF(AND(AP395="",AQ395=""),"",N(AQ395)-N(AP395)))</f>
        <v/>
      </c>
      <c r="AV395">
        <f>IF(OR(AT$3="",AT$3&gt;TODAY()),"",IF(AND(AT395="",AU395=""),"",N(AU395)-N(AT395)))</f>
        <v/>
      </c>
      <c r="AY395">
        <f>IF(OR(AT$3="",AT$3&gt;TODAY()),"",IF(AND(AW395="",AX395=""),"",N(AX395)-N(AW395)))</f>
        <v/>
      </c>
      <c r="BC395">
        <f>IF(OR(BA$3="",BA$3&gt;TODAY()),"",IF(AND(BA395="",BB395=""),"",N(BB395)-N(BA395)))</f>
        <v/>
      </c>
      <c r="BF395">
        <f>IF(OR(BA$3="",BA$3&gt;TODAY()),"",IF(AND(BD395="",BE395=""),"",N(BE395)-N(BD395)))</f>
        <v/>
      </c>
      <c r="BJ395">
        <f>IF(OR(BH$3="",BH$3&gt;TODAY()),"",IF(AND(BH395="",BI395=""),"",N(BI395)-N(BH395)))</f>
        <v/>
      </c>
      <c r="BM395">
        <f>IF(OR(BH$3="",BH$3&gt;TODAY()),"",IF(AND(BK395="",BL395=""),"",N(BL395)-N(BK395)))</f>
        <v/>
      </c>
      <c r="BQ395">
        <f>IF(OR(BO$3="",BO$3&gt;TODAY()),"",IF(AND(BO395="",BP395=""),"",N(BP395)-N(BO395)))</f>
        <v/>
      </c>
      <c r="BT395">
        <f>IF(OR(BO$3="",BO$3&gt;TODAY()),"",IF(AND(BR395="",BS395=""),"",N(BS395)-N(BR395)))</f>
        <v/>
      </c>
      <c r="BX395">
        <f>IF(OR(BV$3="",BV$3&gt;TODAY()),"",IF(AND(BV395="",BW395=""),"",N(BW395)-N(BV395)))</f>
        <v/>
      </c>
      <c r="CA395">
        <f>IF(OR(BV$3="",BV$3&gt;TODAY()),"",IF(AND(BY395="",BZ395=""),"",N(BZ395)-N(BY395)))</f>
        <v/>
      </c>
      <c r="CE395">
        <f>IF(OR(CC$3="",CC$3&gt;TODAY()),"",IF(AND(CC395="",CD395=""),"",N(CD395)-N(CC395)))</f>
        <v/>
      </c>
      <c r="CH395">
        <f>IF(OR(CC$3="",CC$3&gt;TODAY()),"",IF(AND(CF395="",CG395=""),"",N(CG395)-N(CF395)))</f>
        <v/>
      </c>
      <c r="CL395">
        <f>IF(OR(CJ$3="",CJ$3&gt;TODAY()),"",IF(AND(CJ395="",CK395=""),"",N(CK395)-N(CJ395)))</f>
        <v/>
      </c>
      <c r="CO395">
        <f>IF(OR(CJ$3="",CJ$3&gt;TODAY()),"",IF(AND(CM395="",CN395=""),"",N(CN395)-N(CM395)))</f>
        <v/>
      </c>
      <c r="CS395">
        <f>IF(OR(CQ$3="",CQ$3&gt;TODAY()),"",IF(AND(CQ395="",CR395=""),"",N(CR395)-N(CQ395)))</f>
        <v/>
      </c>
      <c r="CV395">
        <f>IF(OR(CQ$3="",CQ$3&gt;TODAY()),"",IF(AND(CT395="",CU395=""),"",N(CU395)-N(CT395)))</f>
        <v/>
      </c>
      <c r="CZ395">
        <f>IF(OR(CX$3="",CX$3&gt;TODAY()),"",IF(AND(CX395="",CY395=""),"",N(CY395)-N(CX395)))</f>
        <v/>
      </c>
      <c r="DC395">
        <f>IF(OR(CX$3="",CX$3&gt;TODAY()),"",IF(AND(DA395="",DB395=""),"",N(DB395)-N(DA395)))</f>
        <v/>
      </c>
      <c r="DG395">
        <f>IF(OR(DE$3="",DE$3&gt;TODAY()),"",IF(AND(DE395="",DF395=""),"",N(DF395)-N(DE395)))</f>
        <v/>
      </c>
      <c r="DJ395">
        <f>IF(OR(DE$3="",DE$3&gt;TODAY()),"",IF(AND(DH395="",DI395=""),"",N(DI395)-N(DH395)))</f>
        <v/>
      </c>
      <c r="DN395">
        <f>IF(OR(DL$3="",DL$3&gt;TODAY()),"",IF(AND(DL395="",DM395=""),"",N(DM395)-N(DL395)))</f>
        <v/>
      </c>
      <c r="DQ395">
        <f>IF(OR(DL$3="",DL$3&gt;TODAY()),"",IF(AND(DO395="",DP395=""),"",N(DP395)-N(DO395)))</f>
        <v/>
      </c>
      <c r="DU395">
        <f>IF(OR(DS$3="",DS$3&gt;TODAY()),"",IF(AND(DS395="",DT395=""),"",N(DT395)-N(DS395)))</f>
        <v/>
      </c>
      <c r="DX395">
        <f>IF(OR(DS$3="",DS$3&gt;TODAY()),"",IF(AND(DV395="",DW395=""),"",N(DW395)-N(DV395)))</f>
        <v/>
      </c>
      <c r="EB395">
        <f>IF(OR(DZ$3="",DZ$3&gt;TODAY()),"",IF(AND(DZ395="",EA395=""),"",N(EA395)-N(DZ395)))</f>
        <v/>
      </c>
      <c r="EE395">
        <f>IF(OR(DZ$3="",DZ$3&gt;TODAY()),"",IF(AND(EC395="",ED395=""),"",N(ED395)-N(EC395)))</f>
        <v/>
      </c>
      <c r="EI395">
        <f>IF(OR(EG$3="",EG$3&gt;TODAY()),"",IF(AND(EG395="",EH395=""),"",N(EH395)-N(EG395)))</f>
        <v/>
      </c>
      <c r="EL395">
        <f>IF(OR(EG$3="",EG$3&gt;TODAY()),"",IF(AND(EJ395="",EK395=""),"",N(EK395)-N(EJ395)))</f>
        <v/>
      </c>
      <c r="EP395">
        <f>IF(OR(EN$3="",EN$3&gt;TODAY()),"",IF(AND(EN395="",EO395=""),"",N(EO395)-N(EN395)))</f>
        <v/>
      </c>
      <c r="ES395">
        <f>IF(OR(EN$3="",EN$3&gt;TODAY()),"",IF(AND(EQ395="",ER395=""),"",N(ER395)-N(EQ395)))</f>
        <v/>
      </c>
      <c r="EW395">
        <f>IF(OR(EU$3="",EU$3&gt;TODAY()),"",IF(AND(EU395="",EV395=""),"",N(EV395)-N(EU395)))</f>
        <v/>
      </c>
      <c r="EZ395">
        <f>IF(OR(EU$3="",EU$3&gt;TODAY()),"",IF(AND(EX395="",EY395=""),"",N(EY395)-N(EX395)))</f>
        <v/>
      </c>
      <c r="FD395">
        <f>IF(OR(FB$3="",FB$3&gt;TODAY()),"",IF(AND(FB395="",FC395=""),"",N(FC395)-N(FB395)))</f>
        <v/>
      </c>
      <c r="FG395">
        <f>IF(OR(FB$3="",FB$3&gt;TODAY()),"",IF(AND(FE395="",FF395=""),"",N(FF395)-N(FE395)))</f>
        <v/>
      </c>
      <c r="FK395">
        <f>IF(OR(FI$3="",FI$3&gt;TODAY()),"",IF(AND(FI395="",FJ395=""),"",N(FJ395)-N(FI395)))</f>
        <v/>
      </c>
      <c r="FN395">
        <f>IF(OR(FI$3="",FI$3&gt;TODAY()),"",IF(AND(FL395="",FM395=""),"",N(FM395)-N(FL395)))</f>
        <v/>
      </c>
      <c r="FR395">
        <f>IF(OR(FP$3="",FP$3&gt;TODAY()),"",IF(AND(FP395="",FQ395=""),"",N(FQ395)-N(FP395)))</f>
        <v/>
      </c>
      <c r="FU395">
        <f>IF(OR(FP$3="",FP$3&gt;TODAY()),"",IF(AND(FS395="",FT395=""),"",N(FT395)-N(FS395)))</f>
        <v/>
      </c>
      <c r="FY395">
        <f>IF(OR(FW$3="",FW$3&gt;TODAY()),"",IF(AND(FW395="",FX395=""),"",N(FX395)-N(FW395)))</f>
        <v/>
      </c>
      <c r="GB395">
        <f>IF(OR(FW$3="",FW$3&gt;TODAY()),"",IF(AND(FZ395="",GA395=""),"",N(GA395)-N(FZ395)))</f>
        <v/>
      </c>
      <c r="GF395">
        <f>IF(OR(GD$3="",GD$3&gt;TODAY()),"",IF(AND(GD395="",GE395=""),"",N(GE395)-N(GD395)))</f>
        <v/>
      </c>
      <c r="GI395">
        <f>IF(OR(GD$3="",GD$3&gt;TODAY()),"",IF(AND(GG395="",GH395=""),"",N(GH395)-N(GG395)))</f>
        <v/>
      </c>
      <c r="GM395">
        <f>IF(OR(GK$3="",GK$3&gt;TODAY()),"",IF(AND(GK395="",GL395=""),"",N(GL395)-N(GK395)))</f>
        <v/>
      </c>
      <c r="GP395">
        <f>IF(OR(GK$3="",GK$3&gt;TODAY()),"",IF(AND(GN395="",GO395=""),"",N(GO395)-N(GN395)))</f>
        <v/>
      </c>
      <c r="GT395">
        <f>IF(OR(GR$3="",GR$3&gt;TODAY()),"",IF(AND(GR395="",GS395=""),"",N(GS395)-N(GR395)))</f>
        <v/>
      </c>
      <c r="GW395">
        <f>IF(OR(GR$3="",GR$3&gt;TODAY()),"",IF(AND(GU395="",GV395=""),"",N(GV395)-N(GU395)))</f>
        <v/>
      </c>
      <c r="HA395">
        <f>IF(OR(GY$3="",GY$3&gt;TODAY()),"",IF(AND(GY395="",GZ395=""),"",N(GZ395)-N(GY395)))</f>
        <v/>
      </c>
      <c r="HD395">
        <f>IF(OR(GY$3="",GY$3&gt;TODAY()),"",IF(AND(HB395="",HC395=""),"",N(HC395)-N(HB395)))</f>
        <v/>
      </c>
      <c r="HH395">
        <f>IF(OR(HF$3="",HF$3&gt;TODAY()),"",IF(AND(HF395="",HG395=""),"",N(HG395)-N(HF395)))</f>
        <v/>
      </c>
      <c r="HK395">
        <f>IF(OR(HF$3="",HF$3&gt;TODAY()),"",IF(AND(HI395="",HJ395=""),"",N(HJ395)-N(HI395)))</f>
        <v/>
      </c>
      <c r="HO395">
        <f>IF(OR(HM$3="",HM$3&gt;TODAY()),"",IF(AND(HM395="",HN395=""),"",N(HN395)-N(HM395)))</f>
        <v/>
      </c>
      <c r="HR395">
        <f>IF(OR(HM$3="",HM$3&gt;TODAY()),"",IF(AND(HP395="",HQ395=""),"",N(HQ395)-N(HP395)))</f>
        <v/>
      </c>
      <c r="HV395">
        <f>IF(OR(HT$3="",HT$3&gt;TODAY()),"",IF(AND(HT395="",HU395=""),"",N(HU395)-N(HT395)))</f>
        <v/>
      </c>
      <c r="HY395">
        <f>IF(OR(HT$3="",HT$3&gt;TODAY()),"",IF(AND(HW395="",HX395=""),"",N(HX395)-N(HW395)))</f>
        <v/>
      </c>
      <c r="IC395">
        <f>IF(OR(IA$3="",IA$3&gt;TODAY()),"",IF(AND(IA395="",IB395=""),"",N(IB395)-N(IA395)))</f>
        <v/>
      </c>
      <c r="IF395">
        <f>IF(OR(IA$3="",IA$3&gt;TODAY()),"",IF(AND(ID395="",IE395=""),"",N(IE395)-N(ID395)))</f>
        <v/>
      </c>
      <c r="IJ395">
        <f>IF(OR(IH$3="",IH$3&gt;TODAY()),"",IF(AND(IH395="",II395=""),"",N(II395)-N(IH395)))</f>
        <v/>
      </c>
      <c r="IM395">
        <f>IF(OR(IH$3="",IH$3&gt;TODAY()),"",IF(AND(IK395="",IL395=""),"",N(IL395)-N(IK395)))</f>
        <v/>
      </c>
    </row>
    <row r="396">
      <c r="A396" s="21" t="n"/>
      <c r="B396" s="21" t="n"/>
      <c r="C396" s="21" t="n"/>
      <c r="D396" s="21" t="n"/>
      <c r="E396" s="21" t="n"/>
      <c r="F396" s="21" t="n"/>
      <c r="G396" s="21" t="n"/>
      <c r="H396" s="21" t="n"/>
      <c r="I396" s="22" t="n"/>
      <c r="J396" s="22" t="n"/>
      <c r="K396" s="23" t="n"/>
      <c r="L396" s="22" t="n"/>
      <c r="M396" s="22" t="n"/>
      <c r="N396" s="21" t="n"/>
      <c r="O396" s="23" t="n"/>
      <c r="P396" s="23" t="n"/>
      <c r="Q396" s="23" t="n"/>
      <c r="R396" s="23" t="n"/>
      <c r="S396" s="22" t="n"/>
      <c r="T396" s="23" t="n"/>
      <c r="U396" s="23" t="n"/>
      <c r="V396" s="24">
        <f>IF(J396&lt;&gt;"",J396,IF(I396&lt;&gt;"",I396,""))</f>
        <v/>
      </c>
      <c r="W396" s="25">
        <f>IF($E396="","",N(O396)+SUMIFS($AF396:$IN396,$AF$4:$IN$4,"SEW_ACT"))</f>
        <v/>
      </c>
      <c r="X396" s="25">
        <f>IF($E396="","",N(P396)+SUMIFS($AF396:$IN396,$AF$4:$IN$4,"WASH_ACT"))</f>
        <v/>
      </c>
      <c r="Y396" s="25">
        <f>IF($E396="","",W396-X396-N(T396)-N(U396))</f>
        <v/>
      </c>
      <c r="Z396" s="25">
        <f>IF($E396="","",IF(N(K396)-X396&lt;=0.02*N(K396),0,N(K396)-X396))</f>
        <v/>
      </c>
      <c r="AA396" s="24">
        <f>IF($E396="","",IF(S396&lt;&gt;"",S396,IF(N(O396)&gt;0,IF(L396&lt;&gt;"",L396,99999),IFERROR(1/(1/_xlfn.MINIFS($AF$3:$IN$3,$AF$4:$IN$4,"SEW_ACT",$AF396:$IN396,"&gt;0")),99999))))</f>
        <v/>
      </c>
      <c r="AB396" s="26">
        <f>IF(OR($E396="",Z396=0,V396=""),"",1+COUNTIFS(Z$8:Z$707,"&gt;0",V$8:V$707,"&lt;"&amp;V396)+COUNTIFS(Z$8:Z$707,"&gt;0",V$8:V$707,V396,AA$8:AA$707,"&lt;"&amp;AA396)+COUNTIFS(Z$8:Z$707,"&gt;0",V$8:V$707,V396,AA$8:AA$707,AA396,E$8:E$707,"&lt;"&amp;$E396))</f>
        <v/>
      </c>
      <c r="AC396" s="24">
        <f>IF(OR($E396="",Z396=0),"",IFERROR(TODAY()+ROUNDUP(Z396/(SUMIFS($AF396:$IN396,$AF$4:$IN$4,"WASH_ACT")/COUNTIFS($AF$4:$IN$4,"WASH_ACT",$AF396:$IN396,"&gt;0")),0),"no output yet"))</f>
        <v/>
      </c>
      <c r="AD396" s="26">
        <f>IF($E396="","",IFERROR(ROUND(MAX(0,SUMIFS($AF396:$IN396,$AF$4:$IN$4,"SEW_PLAN",$AF$3:$IN$3,"&lt;="&amp;TODAY())-SUMIFS($AF396:$IN396,$AF$4:$IN$4,"SEW_ACT",$AF$3:$IN$3,"&lt;="&amp;TODAY())+N(Q396))/(SUMIFS($AF396:$IN396,$AF$4:$IN$4,"SEW_PLAN")/COUNTIFS($AF$4:$IN$4,"SEW_PLAN",$AF396:$IN396,"&gt;0")),1),0))</f>
        <v/>
      </c>
      <c r="AE396" s="26">
        <f>IF($E396="","",IF(AND(Z396&gt;0,OR(AND(M396&lt;&gt;"",TODAY()&gt;M396),AND(V396&lt;&gt;"",V396-TODAY()&lt;=7))),"Yes","No"))</f>
        <v/>
      </c>
      <c r="AH396">
        <f>IF(OR(AF$3="",AF$3&gt;TODAY()),"",IF(AND(AF396="",AG396=""),"",N(AG396)-N(AF396)))</f>
        <v/>
      </c>
      <c r="AK396">
        <f>IF(OR(AF$3="",AF$3&gt;TODAY()),"",IF(AND(AI396="",AJ396=""),"",N(AJ396)-N(AI396)))</f>
        <v/>
      </c>
      <c r="AO396">
        <f>IF(OR(AM$3="",AM$3&gt;TODAY()),"",IF(AND(AM396="",AN396=""),"",N(AN396)-N(AM396)))</f>
        <v/>
      </c>
      <c r="AR396">
        <f>IF(OR(AM$3="",AM$3&gt;TODAY()),"",IF(AND(AP396="",AQ396=""),"",N(AQ396)-N(AP396)))</f>
        <v/>
      </c>
      <c r="AV396">
        <f>IF(OR(AT$3="",AT$3&gt;TODAY()),"",IF(AND(AT396="",AU396=""),"",N(AU396)-N(AT396)))</f>
        <v/>
      </c>
      <c r="AY396">
        <f>IF(OR(AT$3="",AT$3&gt;TODAY()),"",IF(AND(AW396="",AX396=""),"",N(AX396)-N(AW396)))</f>
        <v/>
      </c>
      <c r="BC396">
        <f>IF(OR(BA$3="",BA$3&gt;TODAY()),"",IF(AND(BA396="",BB396=""),"",N(BB396)-N(BA396)))</f>
        <v/>
      </c>
      <c r="BF396">
        <f>IF(OR(BA$3="",BA$3&gt;TODAY()),"",IF(AND(BD396="",BE396=""),"",N(BE396)-N(BD396)))</f>
        <v/>
      </c>
      <c r="BJ396">
        <f>IF(OR(BH$3="",BH$3&gt;TODAY()),"",IF(AND(BH396="",BI396=""),"",N(BI396)-N(BH396)))</f>
        <v/>
      </c>
      <c r="BM396">
        <f>IF(OR(BH$3="",BH$3&gt;TODAY()),"",IF(AND(BK396="",BL396=""),"",N(BL396)-N(BK396)))</f>
        <v/>
      </c>
      <c r="BQ396">
        <f>IF(OR(BO$3="",BO$3&gt;TODAY()),"",IF(AND(BO396="",BP396=""),"",N(BP396)-N(BO396)))</f>
        <v/>
      </c>
      <c r="BT396">
        <f>IF(OR(BO$3="",BO$3&gt;TODAY()),"",IF(AND(BR396="",BS396=""),"",N(BS396)-N(BR396)))</f>
        <v/>
      </c>
      <c r="BX396">
        <f>IF(OR(BV$3="",BV$3&gt;TODAY()),"",IF(AND(BV396="",BW396=""),"",N(BW396)-N(BV396)))</f>
        <v/>
      </c>
      <c r="CA396">
        <f>IF(OR(BV$3="",BV$3&gt;TODAY()),"",IF(AND(BY396="",BZ396=""),"",N(BZ396)-N(BY396)))</f>
        <v/>
      </c>
      <c r="CE396">
        <f>IF(OR(CC$3="",CC$3&gt;TODAY()),"",IF(AND(CC396="",CD396=""),"",N(CD396)-N(CC396)))</f>
        <v/>
      </c>
      <c r="CH396">
        <f>IF(OR(CC$3="",CC$3&gt;TODAY()),"",IF(AND(CF396="",CG396=""),"",N(CG396)-N(CF396)))</f>
        <v/>
      </c>
      <c r="CL396">
        <f>IF(OR(CJ$3="",CJ$3&gt;TODAY()),"",IF(AND(CJ396="",CK396=""),"",N(CK396)-N(CJ396)))</f>
        <v/>
      </c>
      <c r="CO396">
        <f>IF(OR(CJ$3="",CJ$3&gt;TODAY()),"",IF(AND(CM396="",CN396=""),"",N(CN396)-N(CM396)))</f>
        <v/>
      </c>
      <c r="CS396">
        <f>IF(OR(CQ$3="",CQ$3&gt;TODAY()),"",IF(AND(CQ396="",CR396=""),"",N(CR396)-N(CQ396)))</f>
        <v/>
      </c>
      <c r="CV396">
        <f>IF(OR(CQ$3="",CQ$3&gt;TODAY()),"",IF(AND(CT396="",CU396=""),"",N(CU396)-N(CT396)))</f>
        <v/>
      </c>
      <c r="CZ396">
        <f>IF(OR(CX$3="",CX$3&gt;TODAY()),"",IF(AND(CX396="",CY396=""),"",N(CY396)-N(CX396)))</f>
        <v/>
      </c>
      <c r="DC396">
        <f>IF(OR(CX$3="",CX$3&gt;TODAY()),"",IF(AND(DA396="",DB396=""),"",N(DB396)-N(DA396)))</f>
        <v/>
      </c>
      <c r="DG396">
        <f>IF(OR(DE$3="",DE$3&gt;TODAY()),"",IF(AND(DE396="",DF396=""),"",N(DF396)-N(DE396)))</f>
        <v/>
      </c>
      <c r="DJ396">
        <f>IF(OR(DE$3="",DE$3&gt;TODAY()),"",IF(AND(DH396="",DI396=""),"",N(DI396)-N(DH396)))</f>
        <v/>
      </c>
      <c r="DN396">
        <f>IF(OR(DL$3="",DL$3&gt;TODAY()),"",IF(AND(DL396="",DM396=""),"",N(DM396)-N(DL396)))</f>
        <v/>
      </c>
      <c r="DQ396">
        <f>IF(OR(DL$3="",DL$3&gt;TODAY()),"",IF(AND(DO396="",DP396=""),"",N(DP396)-N(DO396)))</f>
        <v/>
      </c>
      <c r="DU396">
        <f>IF(OR(DS$3="",DS$3&gt;TODAY()),"",IF(AND(DS396="",DT396=""),"",N(DT396)-N(DS396)))</f>
        <v/>
      </c>
      <c r="DX396">
        <f>IF(OR(DS$3="",DS$3&gt;TODAY()),"",IF(AND(DV396="",DW396=""),"",N(DW396)-N(DV396)))</f>
        <v/>
      </c>
      <c r="EB396">
        <f>IF(OR(DZ$3="",DZ$3&gt;TODAY()),"",IF(AND(DZ396="",EA396=""),"",N(EA396)-N(DZ396)))</f>
        <v/>
      </c>
      <c r="EE396">
        <f>IF(OR(DZ$3="",DZ$3&gt;TODAY()),"",IF(AND(EC396="",ED396=""),"",N(ED396)-N(EC396)))</f>
        <v/>
      </c>
      <c r="EI396">
        <f>IF(OR(EG$3="",EG$3&gt;TODAY()),"",IF(AND(EG396="",EH396=""),"",N(EH396)-N(EG396)))</f>
        <v/>
      </c>
      <c r="EL396">
        <f>IF(OR(EG$3="",EG$3&gt;TODAY()),"",IF(AND(EJ396="",EK396=""),"",N(EK396)-N(EJ396)))</f>
        <v/>
      </c>
      <c r="EP396">
        <f>IF(OR(EN$3="",EN$3&gt;TODAY()),"",IF(AND(EN396="",EO396=""),"",N(EO396)-N(EN396)))</f>
        <v/>
      </c>
      <c r="ES396">
        <f>IF(OR(EN$3="",EN$3&gt;TODAY()),"",IF(AND(EQ396="",ER396=""),"",N(ER396)-N(EQ396)))</f>
        <v/>
      </c>
      <c r="EW396">
        <f>IF(OR(EU$3="",EU$3&gt;TODAY()),"",IF(AND(EU396="",EV396=""),"",N(EV396)-N(EU396)))</f>
        <v/>
      </c>
      <c r="EZ396">
        <f>IF(OR(EU$3="",EU$3&gt;TODAY()),"",IF(AND(EX396="",EY396=""),"",N(EY396)-N(EX396)))</f>
        <v/>
      </c>
      <c r="FD396">
        <f>IF(OR(FB$3="",FB$3&gt;TODAY()),"",IF(AND(FB396="",FC396=""),"",N(FC396)-N(FB396)))</f>
        <v/>
      </c>
      <c r="FG396">
        <f>IF(OR(FB$3="",FB$3&gt;TODAY()),"",IF(AND(FE396="",FF396=""),"",N(FF396)-N(FE396)))</f>
        <v/>
      </c>
      <c r="FK396">
        <f>IF(OR(FI$3="",FI$3&gt;TODAY()),"",IF(AND(FI396="",FJ396=""),"",N(FJ396)-N(FI396)))</f>
        <v/>
      </c>
      <c r="FN396">
        <f>IF(OR(FI$3="",FI$3&gt;TODAY()),"",IF(AND(FL396="",FM396=""),"",N(FM396)-N(FL396)))</f>
        <v/>
      </c>
      <c r="FR396">
        <f>IF(OR(FP$3="",FP$3&gt;TODAY()),"",IF(AND(FP396="",FQ396=""),"",N(FQ396)-N(FP396)))</f>
        <v/>
      </c>
      <c r="FU396">
        <f>IF(OR(FP$3="",FP$3&gt;TODAY()),"",IF(AND(FS396="",FT396=""),"",N(FT396)-N(FS396)))</f>
        <v/>
      </c>
      <c r="FY396">
        <f>IF(OR(FW$3="",FW$3&gt;TODAY()),"",IF(AND(FW396="",FX396=""),"",N(FX396)-N(FW396)))</f>
        <v/>
      </c>
      <c r="GB396">
        <f>IF(OR(FW$3="",FW$3&gt;TODAY()),"",IF(AND(FZ396="",GA396=""),"",N(GA396)-N(FZ396)))</f>
        <v/>
      </c>
      <c r="GF396">
        <f>IF(OR(GD$3="",GD$3&gt;TODAY()),"",IF(AND(GD396="",GE396=""),"",N(GE396)-N(GD396)))</f>
        <v/>
      </c>
      <c r="GI396">
        <f>IF(OR(GD$3="",GD$3&gt;TODAY()),"",IF(AND(GG396="",GH396=""),"",N(GH396)-N(GG396)))</f>
        <v/>
      </c>
      <c r="GM396">
        <f>IF(OR(GK$3="",GK$3&gt;TODAY()),"",IF(AND(GK396="",GL396=""),"",N(GL396)-N(GK396)))</f>
        <v/>
      </c>
      <c r="GP396">
        <f>IF(OR(GK$3="",GK$3&gt;TODAY()),"",IF(AND(GN396="",GO396=""),"",N(GO396)-N(GN396)))</f>
        <v/>
      </c>
      <c r="GT396">
        <f>IF(OR(GR$3="",GR$3&gt;TODAY()),"",IF(AND(GR396="",GS396=""),"",N(GS396)-N(GR396)))</f>
        <v/>
      </c>
      <c r="GW396">
        <f>IF(OR(GR$3="",GR$3&gt;TODAY()),"",IF(AND(GU396="",GV396=""),"",N(GV396)-N(GU396)))</f>
        <v/>
      </c>
      <c r="HA396">
        <f>IF(OR(GY$3="",GY$3&gt;TODAY()),"",IF(AND(GY396="",GZ396=""),"",N(GZ396)-N(GY396)))</f>
        <v/>
      </c>
      <c r="HD396">
        <f>IF(OR(GY$3="",GY$3&gt;TODAY()),"",IF(AND(HB396="",HC396=""),"",N(HC396)-N(HB396)))</f>
        <v/>
      </c>
      <c r="HH396">
        <f>IF(OR(HF$3="",HF$3&gt;TODAY()),"",IF(AND(HF396="",HG396=""),"",N(HG396)-N(HF396)))</f>
        <v/>
      </c>
      <c r="HK396">
        <f>IF(OR(HF$3="",HF$3&gt;TODAY()),"",IF(AND(HI396="",HJ396=""),"",N(HJ396)-N(HI396)))</f>
        <v/>
      </c>
      <c r="HO396">
        <f>IF(OR(HM$3="",HM$3&gt;TODAY()),"",IF(AND(HM396="",HN396=""),"",N(HN396)-N(HM396)))</f>
        <v/>
      </c>
      <c r="HR396">
        <f>IF(OR(HM$3="",HM$3&gt;TODAY()),"",IF(AND(HP396="",HQ396=""),"",N(HQ396)-N(HP396)))</f>
        <v/>
      </c>
      <c r="HV396">
        <f>IF(OR(HT$3="",HT$3&gt;TODAY()),"",IF(AND(HT396="",HU396=""),"",N(HU396)-N(HT396)))</f>
        <v/>
      </c>
      <c r="HY396">
        <f>IF(OR(HT$3="",HT$3&gt;TODAY()),"",IF(AND(HW396="",HX396=""),"",N(HX396)-N(HW396)))</f>
        <v/>
      </c>
      <c r="IC396">
        <f>IF(OR(IA$3="",IA$3&gt;TODAY()),"",IF(AND(IA396="",IB396=""),"",N(IB396)-N(IA396)))</f>
        <v/>
      </c>
      <c r="IF396">
        <f>IF(OR(IA$3="",IA$3&gt;TODAY()),"",IF(AND(ID396="",IE396=""),"",N(IE396)-N(ID396)))</f>
        <v/>
      </c>
      <c r="IJ396">
        <f>IF(OR(IH$3="",IH$3&gt;TODAY()),"",IF(AND(IH396="",II396=""),"",N(II396)-N(IH396)))</f>
        <v/>
      </c>
      <c r="IM396">
        <f>IF(OR(IH$3="",IH$3&gt;TODAY()),"",IF(AND(IK396="",IL396=""),"",N(IL396)-N(IK396)))</f>
        <v/>
      </c>
    </row>
    <row r="397">
      <c r="A397" s="21" t="n"/>
      <c r="B397" s="21" t="n"/>
      <c r="C397" s="21" t="n"/>
      <c r="D397" s="21" t="n"/>
      <c r="E397" s="21" t="n"/>
      <c r="F397" s="21" t="n"/>
      <c r="G397" s="21" t="n"/>
      <c r="H397" s="21" t="n"/>
      <c r="I397" s="22" t="n"/>
      <c r="J397" s="22" t="n"/>
      <c r="K397" s="23" t="n"/>
      <c r="L397" s="22" t="n"/>
      <c r="M397" s="22" t="n"/>
      <c r="N397" s="21" t="n"/>
      <c r="O397" s="23" t="n"/>
      <c r="P397" s="23" t="n"/>
      <c r="Q397" s="23" t="n"/>
      <c r="R397" s="23" t="n"/>
      <c r="S397" s="22" t="n"/>
      <c r="T397" s="23" t="n"/>
      <c r="U397" s="23" t="n"/>
      <c r="V397" s="24">
        <f>IF(J397&lt;&gt;"",J397,IF(I397&lt;&gt;"",I397,""))</f>
        <v/>
      </c>
      <c r="W397" s="25">
        <f>IF($E397="","",N(O397)+SUMIFS($AF397:$IN397,$AF$4:$IN$4,"SEW_ACT"))</f>
        <v/>
      </c>
      <c r="X397" s="25">
        <f>IF($E397="","",N(P397)+SUMIFS($AF397:$IN397,$AF$4:$IN$4,"WASH_ACT"))</f>
        <v/>
      </c>
      <c r="Y397" s="25">
        <f>IF($E397="","",W397-X397-N(T397)-N(U397))</f>
        <v/>
      </c>
      <c r="Z397" s="25">
        <f>IF($E397="","",IF(N(K397)-X397&lt;=0.02*N(K397),0,N(K397)-X397))</f>
        <v/>
      </c>
      <c r="AA397" s="24">
        <f>IF($E397="","",IF(S397&lt;&gt;"",S397,IF(N(O397)&gt;0,IF(L397&lt;&gt;"",L397,99999),IFERROR(1/(1/_xlfn.MINIFS($AF$3:$IN$3,$AF$4:$IN$4,"SEW_ACT",$AF397:$IN397,"&gt;0")),99999))))</f>
        <v/>
      </c>
      <c r="AB397" s="26">
        <f>IF(OR($E397="",Z397=0,V397=""),"",1+COUNTIFS(Z$8:Z$707,"&gt;0",V$8:V$707,"&lt;"&amp;V397)+COUNTIFS(Z$8:Z$707,"&gt;0",V$8:V$707,V397,AA$8:AA$707,"&lt;"&amp;AA397)+COUNTIFS(Z$8:Z$707,"&gt;0",V$8:V$707,V397,AA$8:AA$707,AA397,E$8:E$707,"&lt;"&amp;$E397))</f>
        <v/>
      </c>
      <c r="AC397" s="24">
        <f>IF(OR($E397="",Z397=0),"",IFERROR(TODAY()+ROUNDUP(Z397/(SUMIFS($AF397:$IN397,$AF$4:$IN$4,"WASH_ACT")/COUNTIFS($AF$4:$IN$4,"WASH_ACT",$AF397:$IN397,"&gt;0")),0),"no output yet"))</f>
        <v/>
      </c>
      <c r="AD397" s="26">
        <f>IF($E397="","",IFERROR(ROUND(MAX(0,SUMIFS($AF397:$IN397,$AF$4:$IN$4,"SEW_PLAN",$AF$3:$IN$3,"&lt;="&amp;TODAY())-SUMIFS($AF397:$IN397,$AF$4:$IN$4,"SEW_ACT",$AF$3:$IN$3,"&lt;="&amp;TODAY())+N(Q397))/(SUMIFS($AF397:$IN397,$AF$4:$IN$4,"SEW_PLAN")/COUNTIFS($AF$4:$IN$4,"SEW_PLAN",$AF397:$IN397,"&gt;0")),1),0))</f>
        <v/>
      </c>
      <c r="AE397" s="26">
        <f>IF($E397="","",IF(AND(Z397&gt;0,OR(AND(M397&lt;&gt;"",TODAY()&gt;M397),AND(V397&lt;&gt;"",V397-TODAY()&lt;=7))),"Yes","No"))</f>
        <v/>
      </c>
      <c r="AH397">
        <f>IF(OR(AF$3="",AF$3&gt;TODAY()),"",IF(AND(AF397="",AG397=""),"",N(AG397)-N(AF397)))</f>
        <v/>
      </c>
      <c r="AK397">
        <f>IF(OR(AF$3="",AF$3&gt;TODAY()),"",IF(AND(AI397="",AJ397=""),"",N(AJ397)-N(AI397)))</f>
        <v/>
      </c>
      <c r="AO397">
        <f>IF(OR(AM$3="",AM$3&gt;TODAY()),"",IF(AND(AM397="",AN397=""),"",N(AN397)-N(AM397)))</f>
        <v/>
      </c>
      <c r="AR397">
        <f>IF(OR(AM$3="",AM$3&gt;TODAY()),"",IF(AND(AP397="",AQ397=""),"",N(AQ397)-N(AP397)))</f>
        <v/>
      </c>
      <c r="AV397">
        <f>IF(OR(AT$3="",AT$3&gt;TODAY()),"",IF(AND(AT397="",AU397=""),"",N(AU397)-N(AT397)))</f>
        <v/>
      </c>
      <c r="AY397">
        <f>IF(OR(AT$3="",AT$3&gt;TODAY()),"",IF(AND(AW397="",AX397=""),"",N(AX397)-N(AW397)))</f>
        <v/>
      </c>
      <c r="BC397">
        <f>IF(OR(BA$3="",BA$3&gt;TODAY()),"",IF(AND(BA397="",BB397=""),"",N(BB397)-N(BA397)))</f>
        <v/>
      </c>
      <c r="BF397">
        <f>IF(OR(BA$3="",BA$3&gt;TODAY()),"",IF(AND(BD397="",BE397=""),"",N(BE397)-N(BD397)))</f>
        <v/>
      </c>
      <c r="BJ397">
        <f>IF(OR(BH$3="",BH$3&gt;TODAY()),"",IF(AND(BH397="",BI397=""),"",N(BI397)-N(BH397)))</f>
        <v/>
      </c>
      <c r="BM397">
        <f>IF(OR(BH$3="",BH$3&gt;TODAY()),"",IF(AND(BK397="",BL397=""),"",N(BL397)-N(BK397)))</f>
        <v/>
      </c>
      <c r="BQ397">
        <f>IF(OR(BO$3="",BO$3&gt;TODAY()),"",IF(AND(BO397="",BP397=""),"",N(BP397)-N(BO397)))</f>
        <v/>
      </c>
      <c r="BT397">
        <f>IF(OR(BO$3="",BO$3&gt;TODAY()),"",IF(AND(BR397="",BS397=""),"",N(BS397)-N(BR397)))</f>
        <v/>
      </c>
      <c r="BX397">
        <f>IF(OR(BV$3="",BV$3&gt;TODAY()),"",IF(AND(BV397="",BW397=""),"",N(BW397)-N(BV397)))</f>
        <v/>
      </c>
      <c r="CA397">
        <f>IF(OR(BV$3="",BV$3&gt;TODAY()),"",IF(AND(BY397="",BZ397=""),"",N(BZ397)-N(BY397)))</f>
        <v/>
      </c>
      <c r="CE397">
        <f>IF(OR(CC$3="",CC$3&gt;TODAY()),"",IF(AND(CC397="",CD397=""),"",N(CD397)-N(CC397)))</f>
        <v/>
      </c>
      <c r="CH397">
        <f>IF(OR(CC$3="",CC$3&gt;TODAY()),"",IF(AND(CF397="",CG397=""),"",N(CG397)-N(CF397)))</f>
        <v/>
      </c>
      <c r="CL397">
        <f>IF(OR(CJ$3="",CJ$3&gt;TODAY()),"",IF(AND(CJ397="",CK397=""),"",N(CK397)-N(CJ397)))</f>
        <v/>
      </c>
      <c r="CO397">
        <f>IF(OR(CJ$3="",CJ$3&gt;TODAY()),"",IF(AND(CM397="",CN397=""),"",N(CN397)-N(CM397)))</f>
        <v/>
      </c>
      <c r="CS397">
        <f>IF(OR(CQ$3="",CQ$3&gt;TODAY()),"",IF(AND(CQ397="",CR397=""),"",N(CR397)-N(CQ397)))</f>
        <v/>
      </c>
      <c r="CV397">
        <f>IF(OR(CQ$3="",CQ$3&gt;TODAY()),"",IF(AND(CT397="",CU397=""),"",N(CU397)-N(CT397)))</f>
        <v/>
      </c>
      <c r="CZ397">
        <f>IF(OR(CX$3="",CX$3&gt;TODAY()),"",IF(AND(CX397="",CY397=""),"",N(CY397)-N(CX397)))</f>
        <v/>
      </c>
      <c r="DC397">
        <f>IF(OR(CX$3="",CX$3&gt;TODAY()),"",IF(AND(DA397="",DB397=""),"",N(DB397)-N(DA397)))</f>
        <v/>
      </c>
      <c r="DG397">
        <f>IF(OR(DE$3="",DE$3&gt;TODAY()),"",IF(AND(DE397="",DF397=""),"",N(DF397)-N(DE397)))</f>
        <v/>
      </c>
      <c r="DJ397">
        <f>IF(OR(DE$3="",DE$3&gt;TODAY()),"",IF(AND(DH397="",DI397=""),"",N(DI397)-N(DH397)))</f>
        <v/>
      </c>
      <c r="DN397">
        <f>IF(OR(DL$3="",DL$3&gt;TODAY()),"",IF(AND(DL397="",DM397=""),"",N(DM397)-N(DL397)))</f>
        <v/>
      </c>
      <c r="DQ397">
        <f>IF(OR(DL$3="",DL$3&gt;TODAY()),"",IF(AND(DO397="",DP397=""),"",N(DP397)-N(DO397)))</f>
        <v/>
      </c>
      <c r="DU397">
        <f>IF(OR(DS$3="",DS$3&gt;TODAY()),"",IF(AND(DS397="",DT397=""),"",N(DT397)-N(DS397)))</f>
        <v/>
      </c>
      <c r="DX397">
        <f>IF(OR(DS$3="",DS$3&gt;TODAY()),"",IF(AND(DV397="",DW397=""),"",N(DW397)-N(DV397)))</f>
        <v/>
      </c>
      <c r="EB397">
        <f>IF(OR(DZ$3="",DZ$3&gt;TODAY()),"",IF(AND(DZ397="",EA397=""),"",N(EA397)-N(DZ397)))</f>
        <v/>
      </c>
      <c r="EE397">
        <f>IF(OR(DZ$3="",DZ$3&gt;TODAY()),"",IF(AND(EC397="",ED397=""),"",N(ED397)-N(EC397)))</f>
        <v/>
      </c>
      <c r="EI397">
        <f>IF(OR(EG$3="",EG$3&gt;TODAY()),"",IF(AND(EG397="",EH397=""),"",N(EH397)-N(EG397)))</f>
        <v/>
      </c>
      <c r="EL397">
        <f>IF(OR(EG$3="",EG$3&gt;TODAY()),"",IF(AND(EJ397="",EK397=""),"",N(EK397)-N(EJ397)))</f>
        <v/>
      </c>
      <c r="EP397">
        <f>IF(OR(EN$3="",EN$3&gt;TODAY()),"",IF(AND(EN397="",EO397=""),"",N(EO397)-N(EN397)))</f>
        <v/>
      </c>
      <c r="ES397">
        <f>IF(OR(EN$3="",EN$3&gt;TODAY()),"",IF(AND(EQ397="",ER397=""),"",N(ER397)-N(EQ397)))</f>
        <v/>
      </c>
      <c r="EW397">
        <f>IF(OR(EU$3="",EU$3&gt;TODAY()),"",IF(AND(EU397="",EV397=""),"",N(EV397)-N(EU397)))</f>
        <v/>
      </c>
      <c r="EZ397">
        <f>IF(OR(EU$3="",EU$3&gt;TODAY()),"",IF(AND(EX397="",EY397=""),"",N(EY397)-N(EX397)))</f>
        <v/>
      </c>
      <c r="FD397">
        <f>IF(OR(FB$3="",FB$3&gt;TODAY()),"",IF(AND(FB397="",FC397=""),"",N(FC397)-N(FB397)))</f>
        <v/>
      </c>
      <c r="FG397">
        <f>IF(OR(FB$3="",FB$3&gt;TODAY()),"",IF(AND(FE397="",FF397=""),"",N(FF397)-N(FE397)))</f>
        <v/>
      </c>
      <c r="FK397">
        <f>IF(OR(FI$3="",FI$3&gt;TODAY()),"",IF(AND(FI397="",FJ397=""),"",N(FJ397)-N(FI397)))</f>
        <v/>
      </c>
      <c r="FN397">
        <f>IF(OR(FI$3="",FI$3&gt;TODAY()),"",IF(AND(FL397="",FM397=""),"",N(FM397)-N(FL397)))</f>
        <v/>
      </c>
      <c r="FR397">
        <f>IF(OR(FP$3="",FP$3&gt;TODAY()),"",IF(AND(FP397="",FQ397=""),"",N(FQ397)-N(FP397)))</f>
        <v/>
      </c>
      <c r="FU397">
        <f>IF(OR(FP$3="",FP$3&gt;TODAY()),"",IF(AND(FS397="",FT397=""),"",N(FT397)-N(FS397)))</f>
        <v/>
      </c>
      <c r="FY397">
        <f>IF(OR(FW$3="",FW$3&gt;TODAY()),"",IF(AND(FW397="",FX397=""),"",N(FX397)-N(FW397)))</f>
        <v/>
      </c>
      <c r="GB397">
        <f>IF(OR(FW$3="",FW$3&gt;TODAY()),"",IF(AND(FZ397="",GA397=""),"",N(GA397)-N(FZ397)))</f>
        <v/>
      </c>
      <c r="GF397">
        <f>IF(OR(GD$3="",GD$3&gt;TODAY()),"",IF(AND(GD397="",GE397=""),"",N(GE397)-N(GD397)))</f>
        <v/>
      </c>
      <c r="GI397">
        <f>IF(OR(GD$3="",GD$3&gt;TODAY()),"",IF(AND(GG397="",GH397=""),"",N(GH397)-N(GG397)))</f>
        <v/>
      </c>
      <c r="GM397">
        <f>IF(OR(GK$3="",GK$3&gt;TODAY()),"",IF(AND(GK397="",GL397=""),"",N(GL397)-N(GK397)))</f>
        <v/>
      </c>
      <c r="GP397">
        <f>IF(OR(GK$3="",GK$3&gt;TODAY()),"",IF(AND(GN397="",GO397=""),"",N(GO397)-N(GN397)))</f>
        <v/>
      </c>
      <c r="GT397">
        <f>IF(OR(GR$3="",GR$3&gt;TODAY()),"",IF(AND(GR397="",GS397=""),"",N(GS397)-N(GR397)))</f>
        <v/>
      </c>
      <c r="GW397">
        <f>IF(OR(GR$3="",GR$3&gt;TODAY()),"",IF(AND(GU397="",GV397=""),"",N(GV397)-N(GU397)))</f>
        <v/>
      </c>
      <c r="HA397">
        <f>IF(OR(GY$3="",GY$3&gt;TODAY()),"",IF(AND(GY397="",GZ397=""),"",N(GZ397)-N(GY397)))</f>
        <v/>
      </c>
      <c r="HD397">
        <f>IF(OR(GY$3="",GY$3&gt;TODAY()),"",IF(AND(HB397="",HC397=""),"",N(HC397)-N(HB397)))</f>
        <v/>
      </c>
      <c r="HH397">
        <f>IF(OR(HF$3="",HF$3&gt;TODAY()),"",IF(AND(HF397="",HG397=""),"",N(HG397)-N(HF397)))</f>
        <v/>
      </c>
      <c r="HK397">
        <f>IF(OR(HF$3="",HF$3&gt;TODAY()),"",IF(AND(HI397="",HJ397=""),"",N(HJ397)-N(HI397)))</f>
        <v/>
      </c>
      <c r="HO397">
        <f>IF(OR(HM$3="",HM$3&gt;TODAY()),"",IF(AND(HM397="",HN397=""),"",N(HN397)-N(HM397)))</f>
        <v/>
      </c>
      <c r="HR397">
        <f>IF(OR(HM$3="",HM$3&gt;TODAY()),"",IF(AND(HP397="",HQ397=""),"",N(HQ397)-N(HP397)))</f>
        <v/>
      </c>
      <c r="HV397">
        <f>IF(OR(HT$3="",HT$3&gt;TODAY()),"",IF(AND(HT397="",HU397=""),"",N(HU397)-N(HT397)))</f>
        <v/>
      </c>
      <c r="HY397">
        <f>IF(OR(HT$3="",HT$3&gt;TODAY()),"",IF(AND(HW397="",HX397=""),"",N(HX397)-N(HW397)))</f>
        <v/>
      </c>
      <c r="IC397">
        <f>IF(OR(IA$3="",IA$3&gt;TODAY()),"",IF(AND(IA397="",IB397=""),"",N(IB397)-N(IA397)))</f>
        <v/>
      </c>
      <c r="IF397">
        <f>IF(OR(IA$3="",IA$3&gt;TODAY()),"",IF(AND(ID397="",IE397=""),"",N(IE397)-N(ID397)))</f>
        <v/>
      </c>
      <c r="IJ397">
        <f>IF(OR(IH$3="",IH$3&gt;TODAY()),"",IF(AND(IH397="",II397=""),"",N(II397)-N(IH397)))</f>
        <v/>
      </c>
      <c r="IM397">
        <f>IF(OR(IH$3="",IH$3&gt;TODAY()),"",IF(AND(IK397="",IL397=""),"",N(IL397)-N(IK397)))</f>
        <v/>
      </c>
    </row>
    <row r="398">
      <c r="A398" s="21" t="n"/>
      <c r="B398" s="21" t="n"/>
      <c r="C398" s="21" t="n"/>
      <c r="D398" s="21" t="n"/>
      <c r="E398" s="21" t="n"/>
      <c r="F398" s="21" t="n"/>
      <c r="G398" s="21" t="n"/>
      <c r="H398" s="21" t="n"/>
      <c r="I398" s="22" t="n"/>
      <c r="J398" s="22" t="n"/>
      <c r="K398" s="23" t="n"/>
      <c r="L398" s="22" t="n"/>
      <c r="M398" s="22" t="n"/>
      <c r="N398" s="21" t="n"/>
      <c r="O398" s="23" t="n"/>
      <c r="P398" s="23" t="n"/>
      <c r="Q398" s="23" t="n"/>
      <c r="R398" s="23" t="n"/>
      <c r="S398" s="22" t="n"/>
      <c r="T398" s="23" t="n"/>
      <c r="U398" s="23" t="n"/>
      <c r="V398" s="24">
        <f>IF(J398&lt;&gt;"",J398,IF(I398&lt;&gt;"",I398,""))</f>
        <v/>
      </c>
      <c r="W398" s="25">
        <f>IF($E398="","",N(O398)+SUMIFS($AF398:$IN398,$AF$4:$IN$4,"SEW_ACT"))</f>
        <v/>
      </c>
      <c r="X398" s="25">
        <f>IF($E398="","",N(P398)+SUMIFS($AF398:$IN398,$AF$4:$IN$4,"WASH_ACT"))</f>
        <v/>
      </c>
      <c r="Y398" s="25">
        <f>IF($E398="","",W398-X398-N(T398)-N(U398))</f>
        <v/>
      </c>
      <c r="Z398" s="25">
        <f>IF($E398="","",IF(N(K398)-X398&lt;=0.02*N(K398),0,N(K398)-X398))</f>
        <v/>
      </c>
      <c r="AA398" s="24">
        <f>IF($E398="","",IF(S398&lt;&gt;"",S398,IF(N(O398)&gt;0,IF(L398&lt;&gt;"",L398,99999),IFERROR(1/(1/_xlfn.MINIFS($AF$3:$IN$3,$AF$4:$IN$4,"SEW_ACT",$AF398:$IN398,"&gt;0")),99999))))</f>
        <v/>
      </c>
      <c r="AB398" s="26">
        <f>IF(OR($E398="",Z398=0,V398=""),"",1+COUNTIFS(Z$8:Z$707,"&gt;0",V$8:V$707,"&lt;"&amp;V398)+COUNTIFS(Z$8:Z$707,"&gt;0",V$8:V$707,V398,AA$8:AA$707,"&lt;"&amp;AA398)+COUNTIFS(Z$8:Z$707,"&gt;0",V$8:V$707,V398,AA$8:AA$707,AA398,E$8:E$707,"&lt;"&amp;$E398))</f>
        <v/>
      </c>
      <c r="AC398" s="24">
        <f>IF(OR($E398="",Z398=0),"",IFERROR(TODAY()+ROUNDUP(Z398/(SUMIFS($AF398:$IN398,$AF$4:$IN$4,"WASH_ACT")/COUNTIFS($AF$4:$IN$4,"WASH_ACT",$AF398:$IN398,"&gt;0")),0),"no output yet"))</f>
        <v/>
      </c>
      <c r="AD398" s="26">
        <f>IF($E398="","",IFERROR(ROUND(MAX(0,SUMIFS($AF398:$IN398,$AF$4:$IN$4,"SEW_PLAN",$AF$3:$IN$3,"&lt;="&amp;TODAY())-SUMIFS($AF398:$IN398,$AF$4:$IN$4,"SEW_ACT",$AF$3:$IN$3,"&lt;="&amp;TODAY())+N(Q398))/(SUMIFS($AF398:$IN398,$AF$4:$IN$4,"SEW_PLAN")/COUNTIFS($AF$4:$IN$4,"SEW_PLAN",$AF398:$IN398,"&gt;0")),1),0))</f>
        <v/>
      </c>
      <c r="AE398" s="26">
        <f>IF($E398="","",IF(AND(Z398&gt;0,OR(AND(M398&lt;&gt;"",TODAY()&gt;M398),AND(V398&lt;&gt;"",V398-TODAY()&lt;=7))),"Yes","No"))</f>
        <v/>
      </c>
      <c r="AH398">
        <f>IF(OR(AF$3="",AF$3&gt;TODAY()),"",IF(AND(AF398="",AG398=""),"",N(AG398)-N(AF398)))</f>
        <v/>
      </c>
      <c r="AK398">
        <f>IF(OR(AF$3="",AF$3&gt;TODAY()),"",IF(AND(AI398="",AJ398=""),"",N(AJ398)-N(AI398)))</f>
        <v/>
      </c>
      <c r="AO398">
        <f>IF(OR(AM$3="",AM$3&gt;TODAY()),"",IF(AND(AM398="",AN398=""),"",N(AN398)-N(AM398)))</f>
        <v/>
      </c>
      <c r="AR398">
        <f>IF(OR(AM$3="",AM$3&gt;TODAY()),"",IF(AND(AP398="",AQ398=""),"",N(AQ398)-N(AP398)))</f>
        <v/>
      </c>
      <c r="AV398">
        <f>IF(OR(AT$3="",AT$3&gt;TODAY()),"",IF(AND(AT398="",AU398=""),"",N(AU398)-N(AT398)))</f>
        <v/>
      </c>
      <c r="AY398">
        <f>IF(OR(AT$3="",AT$3&gt;TODAY()),"",IF(AND(AW398="",AX398=""),"",N(AX398)-N(AW398)))</f>
        <v/>
      </c>
      <c r="BC398">
        <f>IF(OR(BA$3="",BA$3&gt;TODAY()),"",IF(AND(BA398="",BB398=""),"",N(BB398)-N(BA398)))</f>
        <v/>
      </c>
      <c r="BF398">
        <f>IF(OR(BA$3="",BA$3&gt;TODAY()),"",IF(AND(BD398="",BE398=""),"",N(BE398)-N(BD398)))</f>
        <v/>
      </c>
      <c r="BJ398">
        <f>IF(OR(BH$3="",BH$3&gt;TODAY()),"",IF(AND(BH398="",BI398=""),"",N(BI398)-N(BH398)))</f>
        <v/>
      </c>
      <c r="BM398">
        <f>IF(OR(BH$3="",BH$3&gt;TODAY()),"",IF(AND(BK398="",BL398=""),"",N(BL398)-N(BK398)))</f>
        <v/>
      </c>
      <c r="BQ398">
        <f>IF(OR(BO$3="",BO$3&gt;TODAY()),"",IF(AND(BO398="",BP398=""),"",N(BP398)-N(BO398)))</f>
        <v/>
      </c>
      <c r="BT398">
        <f>IF(OR(BO$3="",BO$3&gt;TODAY()),"",IF(AND(BR398="",BS398=""),"",N(BS398)-N(BR398)))</f>
        <v/>
      </c>
      <c r="BX398">
        <f>IF(OR(BV$3="",BV$3&gt;TODAY()),"",IF(AND(BV398="",BW398=""),"",N(BW398)-N(BV398)))</f>
        <v/>
      </c>
      <c r="CA398">
        <f>IF(OR(BV$3="",BV$3&gt;TODAY()),"",IF(AND(BY398="",BZ398=""),"",N(BZ398)-N(BY398)))</f>
        <v/>
      </c>
      <c r="CE398">
        <f>IF(OR(CC$3="",CC$3&gt;TODAY()),"",IF(AND(CC398="",CD398=""),"",N(CD398)-N(CC398)))</f>
        <v/>
      </c>
      <c r="CH398">
        <f>IF(OR(CC$3="",CC$3&gt;TODAY()),"",IF(AND(CF398="",CG398=""),"",N(CG398)-N(CF398)))</f>
        <v/>
      </c>
      <c r="CL398">
        <f>IF(OR(CJ$3="",CJ$3&gt;TODAY()),"",IF(AND(CJ398="",CK398=""),"",N(CK398)-N(CJ398)))</f>
        <v/>
      </c>
      <c r="CO398">
        <f>IF(OR(CJ$3="",CJ$3&gt;TODAY()),"",IF(AND(CM398="",CN398=""),"",N(CN398)-N(CM398)))</f>
        <v/>
      </c>
      <c r="CS398">
        <f>IF(OR(CQ$3="",CQ$3&gt;TODAY()),"",IF(AND(CQ398="",CR398=""),"",N(CR398)-N(CQ398)))</f>
        <v/>
      </c>
      <c r="CV398">
        <f>IF(OR(CQ$3="",CQ$3&gt;TODAY()),"",IF(AND(CT398="",CU398=""),"",N(CU398)-N(CT398)))</f>
        <v/>
      </c>
      <c r="CZ398">
        <f>IF(OR(CX$3="",CX$3&gt;TODAY()),"",IF(AND(CX398="",CY398=""),"",N(CY398)-N(CX398)))</f>
        <v/>
      </c>
      <c r="DC398">
        <f>IF(OR(CX$3="",CX$3&gt;TODAY()),"",IF(AND(DA398="",DB398=""),"",N(DB398)-N(DA398)))</f>
        <v/>
      </c>
      <c r="DG398">
        <f>IF(OR(DE$3="",DE$3&gt;TODAY()),"",IF(AND(DE398="",DF398=""),"",N(DF398)-N(DE398)))</f>
        <v/>
      </c>
      <c r="DJ398">
        <f>IF(OR(DE$3="",DE$3&gt;TODAY()),"",IF(AND(DH398="",DI398=""),"",N(DI398)-N(DH398)))</f>
        <v/>
      </c>
      <c r="DN398">
        <f>IF(OR(DL$3="",DL$3&gt;TODAY()),"",IF(AND(DL398="",DM398=""),"",N(DM398)-N(DL398)))</f>
        <v/>
      </c>
      <c r="DQ398">
        <f>IF(OR(DL$3="",DL$3&gt;TODAY()),"",IF(AND(DO398="",DP398=""),"",N(DP398)-N(DO398)))</f>
        <v/>
      </c>
      <c r="DU398">
        <f>IF(OR(DS$3="",DS$3&gt;TODAY()),"",IF(AND(DS398="",DT398=""),"",N(DT398)-N(DS398)))</f>
        <v/>
      </c>
      <c r="DX398">
        <f>IF(OR(DS$3="",DS$3&gt;TODAY()),"",IF(AND(DV398="",DW398=""),"",N(DW398)-N(DV398)))</f>
        <v/>
      </c>
      <c r="EB398">
        <f>IF(OR(DZ$3="",DZ$3&gt;TODAY()),"",IF(AND(DZ398="",EA398=""),"",N(EA398)-N(DZ398)))</f>
        <v/>
      </c>
      <c r="EE398">
        <f>IF(OR(DZ$3="",DZ$3&gt;TODAY()),"",IF(AND(EC398="",ED398=""),"",N(ED398)-N(EC398)))</f>
        <v/>
      </c>
      <c r="EI398">
        <f>IF(OR(EG$3="",EG$3&gt;TODAY()),"",IF(AND(EG398="",EH398=""),"",N(EH398)-N(EG398)))</f>
        <v/>
      </c>
      <c r="EL398">
        <f>IF(OR(EG$3="",EG$3&gt;TODAY()),"",IF(AND(EJ398="",EK398=""),"",N(EK398)-N(EJ398)))</f>
        <v/>
      </c>
      <c r="EP398">
        <f>IF(OR(EN$3="",EN$3&gt;TODAY()),"",IF(AND(EN398="",EO398=""),"",N(EO398)-N(EN398)))</f>
        <v/>
      </c>
      <c r="ES398">
        <f>IF(OR(EN$3="",EN$3&gt;TODAY()),"",IF(AND(EQ398="",ER398=""),"",N(ER398)-N(EQ398)))</f>
        <v/>
      </c>
      <c r="EW398">
        <f>IF(OR(EU$3="",EU$3&gt;TODAY()),"",IF(AND(EU398="",EV398=""),"",N(EV398)-N(EU398)))</f>
        <v/>
      </c>
      <c r="EZ398">
        <f>IF(OR(EU$3="",EU$3&gt;TODAY()),"",IF(AND(EX398="",EY398=""),"",N(EY398)-N(EX398)))</f>
        <v/>
      </c>
      <c r="FD398">
        <f>IF(OR(FB$3="",FB$3&gt;TODAY()),"",IF(AND(FB398="",FC398=""),"",N(FC398)-N(FB398)))</f>
        <v/>
      </c>
      <c r="FG398">
        <f>IF(OR(FB$3="",FB$3&gt;TODAY()),"",IF(AND(FE398="",FF398=""),"",N(FF398)-N(FE398)))</f>
        <v/>
      </c>
      <c r="FK398">
        <f>IF(OR(FI$3="",FI$3&gt;TODAY()),"",IF(AND(FI398="",FJ398=""),"",N(FJ398)-N(FI398)))</f>
        <v/>
      </c>
      <c r="FN398">
        <f>IF(OR(FI$3="",FI$3&gt;TODAY()),"",IF(AND(FL398="",FM398=""),"",N(FM398)-N(FL398)))</f>
        <v/>
      </c>
      <c r="FR398">
        <f>IF(OR(FP$3="",FP$3&gt;TODAY()),"",IF(AND(FP398="",FQ398=""),"",N(FQ398)-N(FP398)))</f>
        <v/>
      </c>
      <c r="FU398">
        <f>IF(OR(FP$3="",FP$3&gt;TODAY()),"",IF(AND(FS398="",FT398=""),"",N(FT398)-N(FS398)))</f>
        <v/>
      </c>
      <c r="FY398">
        <f>IF(OR(FW$3="",FW$3&gt;TODAY()),"",IF(AND(FW398="",FX398=""),"",N(FX398)-N(FW398)))</f>
        <v/>
      </c>
      <c r="GB398">
        <f>IF(OR(FW$3="",FW$3&gt;TODAY()),"",IF(AND(FZ398="",GA398=""),"",N(GA398)-N(FZ398)))</f>
        <v/>
      </c>
      <c r="GF398">
        <f>IF(OR(GD$3="",GD$3&gt;TODAY()),"",IF(AND(GD398="",GE398=""),"",N(GE398)-N(GD398)))</f>
        <v/>
      </c>
      <c r="GI398">
        <f>IF(OR(GD$3="",GD$3&gt;TODAY()),"",IF(AND(GG398="",GH398=""),"",N(GH398)-N(GG398)))</f>
        <v/>
      </c>
      <c r="GM398">
        <f>IF(OR(GK$3="",GK$3&gt;TODAY()),"",IF(AND(GK398="",GL398=""),"",N(GL398)-N(GK398)))</f>
        <v/>
      </c>
      <c r="GP398">
        <f>IF(OR(GK$3="",GK$3&gt;TODAY()),"",IF(AND(GN398="",GO398=""),"",N(GO398)-N(GN398)))</f>
        <v/>
      </c>
      <c r="GT398">
        <f>IF(OR(GR$3="",GR$3&gt;TODAY()),"",IF(AND(GR398="",GS398=""),"",N(GS398)-N(GR398)))</f>
        <v/>
      </c>
      <c r="GW398">
        <f>IF(OR(GR$3="",GR$3&gt;TODAY()),"",IF(AND(GU398="",GV398=""),"",N(GV398)-N(GU398)))</f>
        <v/>
      </c>
      <c r="HA398">
        <f>IF(OR(GY$3="",GY$3&gt;TODAY()),"",IF(AND(GY398="",GZ398=""),"",N(GZ398)-N(GY398)))</f>
        <v/>
      </c>
      <c r="HD398">
        <f>IF(OR(GY$3="",GY$3&gt;TODAY()),"",IF(AND(HB398="",HC398=""),"",N(HC398)-N(HB398)))</f>
        <v/>
      </c>
      <c r="HH398">
        <f>IF(OR(HF$3="",HF$3&gt;TODAY()),"",IF(AND(HF398="",HG398=""),"",N(HG398)-N(HF398)))</f>
        <v/>
      </c>
      <c r="HK398">
        <f>IF(OR(HF$3="",HF$3&gt;TODAY()),"",IF(AND(HI398="",HJ398=""),"",N(HJ398)-N(HI398)))</f>
        <v/>
      </c>
      <c r="HO398">
        <f>IF(OR(HM$3="",HM$3&gt;TODAY()),"",IF(AND(HM398="",HN398=""),"",N(HN398)-N(HM398)))</f>
        <v/>
      </c>
      <c r="HR398">
        <f>IF(OR(HM$3="",HM$3&gt;TODAY()),"",IF(AND(HP398="",HQ398=""),"",N(HQ398)-N(HP398)))</f>
        <v/>
      </c>
      <c r="HV398">
        <f>IF(OR(HT$3="",HT$3&gt;TODAY()),"",IF(AND(HT398="",HU398=""),"",N(HU398)-N(HT398)))</f>
        <v/>
      </c>
      <c r="HY398">
        <f>IF(OR(HT$3="",HT$3&gt;TODAY()),"",IF(AND(HW398="",HX398=""),"",N(HX398)-N(HW398)))</f>
        <v/>
      </c>
      <c r="IC398">
        <f>IF(OR(IA$3="",IA$3&gt;TODAY()),"",IF(AND(IA398="",IB398=""),"",N(IB398)-N(IA398)))</f>
        <v/>
      </c>
      <c r="IF398">
        <f>IF(OR(IA$3="",IA$3&gt;TODAY()),"",IF(AND(ID398="",IE398=""),"",N(IE398)-N(ID398)))</f>
        <v/>
      </c>
      <c r="IJ398">
        <f>IF(OR(IH$3="",IH$3&gt;TODAY()),"",IF(AND(IH398="",II398=""),"",N(II398)-N(IH398)))</f>
        <v/>
      </c>
      <c r="IM398">
        <f>IF(OR(IH$3="",IH$3&gt;TODAY()),"",IF(AND(IK398="",IL398=""),"",N(IL398)-N(IK398)))</f>
        <v/>
      </c>
    </row>
    <row r="399">
      <c r="A399" s="21" t="n"/>
      <c r="B399" s="21" t="n"/>
      <c r="C399" s="21" t="n"/>
      <c r="D399" s="21" t="n"/>
      <c r="E399" s="21" t="n"/>
      <c r="F399" s="21" t="n"/>
      <c r="G399" s="21" t="n"/>
      <c r="H399" s="21" t="n"/>
      <c r="I399" s="22" t="n"/>
      <c r="J399" s="22" t="n"/>
      <c r="K399" s="23" t="n"/>
      <c r="L399" s="22" t="n"/>
      <c r="M399" s="22" t="n"/>
      <c r="N399" s="21" t="n"/>
      <c r="O399" s="23" t="n"/>
      <c r="P399" s="23" t="n"/>
      <c r="Q399" s="23" t="n"/>
      <c r="R399" s="23" t="n"/>
      <c r="S399" s="22" t="n"/>
      <c r="T399" s="23" t="n"/>
      <c r="U399" s="23" t="n"/>
      <c r="V399" s="24">
        <f>IF(J399&lt;&gt;"",J399,IF(I399&lt;&gt;"",I399,""))</f>
        <v/>
      </c>
      <c r="W399" s="25">
        <f>IF($E399="","",N(O399)+SUMIFS($AF399:$IN399,$AF$4:$IN$4,"SEW_ACT"))</f>
        <v/>
      </c>
      <c r="X399" s="25">
        <f>IF($E399="","",N(P399)+SUMIFS($AF399:$IN399,$AF$4:$IN$4,"WASH_ACT"))</f>
        <v/>
      </c>
      <c r="Y399" s="25">
        <f>IF($E399="","",W399-X399-N(T399)-N(U399))</f>
        <v/>
      </c>
      <c r="Z399" s="25">
        <f>IF($E399="","",IF(N(K399)-X399&lt;=0.02*N(K399),0,N(K399)-X399))</f>
        <v/>
      </c>
      <c r="AA399" s="24">
        <f>IF($E399="","",IF(S399&lt;&gt;"",S399,IF(N(O399)&gt;0,IF(L399&lt;&gt;"",L399,99999),IFERROR(1/(1/_xlfn.MINIFS($AF$3:$IN$3,$AF$4:$IN$4,"SEW_ACT",$AF399:$IN399,"&gt;0")),99999))))</f>
        <v/>
      </c>
      <c r="AB399" s="26">
        <f>IF(OR($E399="",Z399=0,V399=""),"",1+COUNTIFS(Z$8:Z$707,"&gt;0",V$8:V$707,"&lt;"&amp;V399)+COUNTIFS(Z$8:Z$707,"&gt;0",V$8:V$707,V399,AA$8:AA$707,"&lt;"&amp;AA399)+COUNTIFS(Z$8:Z$707,"&gt;0",V$8:V$707,V399,AA$8:AA$707,AA399,E$8:E$707,"&lt;"&amp;$E399))</f>
        <v/>
      </c>
      <c r="AC399" s="24">
        <f>IF(OR($E399="",Z399=0),"",IFERROR(TODAY()+ROUNDUP(Z399/(SUMIFS($AF399:$IN399,$AF$4:$IN$4,"WASH_ACT")/COUNTIFS($AF$4:$IN$4,"WASH_ACT",$AF399:$IN399,"&gt;0")),0),"no output yet"))</f>
        <v/>
      </c>
      <c r="AD399" s="26">
        <f>IF($E399="","",IFERROR(ROUND(MAX(0,SUMIFS($AF399:$IN399,$AF$4:$IN$4,"SEW_PLAN",$AF$3:$IN$3,"&lt;="&amp;TODAY())-SUMIFS($AF399:$IN399,$AF$4:$IN$4,"SEW_ACT",$AF$3:$IN$3,"&lt;="&amp;TODAY())+N(Q399))/(SUMIFS($AF399:$IN399,$AF$4:$IN$4,"SEW_PLAN")/COUNTIFS($AF$4:$IN$4,"SEW_PLAN",$AF399:$IN399,"&gt;0")),1),0))</f>
        <v/>
      </c>
      <c r="AE399" s="26">
        <f>IF($E399="","",IF(AND(Z399&gt;0,OR(AND(M399&lt;&gt;"",TODAY()&gt;M399),AND(V399&lt;&gt;"",V399-TODAY()&lt;=7))),"Yes","No"))</f>
        <v/>
      </c>
      <c r="AH399">
        <f>IF(OR(AF$3="",AF$3&gt;TODAY()),"",IF(AND(AF399="",AG399=""),"",N(AG399)-N(AF399)))</f>
        <v/>
      </c>
      <c r="AK399">
        <f>IF(OR(AF$3="",AF$3&gt;TODAY()),"",IF(AND(AI399="",AJ399=""),"",N(AJ399)-N(AI399)))</f>
        <v/>
      </c>
      <c r="AO399">
        <f>IF(OR(AM$3="",AM$3&gt;TODAY()),"",IF(AND(AM399="",AN399=""),"",N(AN399)-N(AM399)))</f>
        <v/>
      </c>
      <c r="AR399">
        <f>IF(OR(AM$3="",AM$3&gt;TODAY()),"",IF(AND(AP399="",AQ399=""),"",N(AQ399)-N(AP399)))</f>
        <v/>
      </c>
      <c r="AV399">
        <f>IF(OR(AT$3="",AT$3&gt;TODAY()),"",IF(AND(AT399="",AU399=""),"",N(AU399)-N(AT399)))</f>
        <v/>
      </c>
      <c r="AY399">
        <f>IF(OR(AT$3="",AT$3&gt;TODAY()),"",IF(AND(AW399="",AX399=""),"",N(AX399)-N(AW399)))</f>
        <v/>
      </c>
      <c r="BC399">
        <f>IF(OR(BA$3="",BA$3&gt;TODAY()),"",IF(AND(BA399="",BB399=""),"",N(BB399)-N(BA399)))</f>
        <v/>
      </c>
      <c r="BF399">
        <f>IF(OR(BA$3="",BA$3&gt;TODAY()),"",IF(AND(BD399="",BE399=""),"",N(BE399)-N(BD399)))</f>
        <v/>
      </c>
      <c r="BJ399">
        <f>IF(OR(BH$3="",BH$3&gt;TODAY()),"",IF(AND(BH399="",BI399=""),"",N(BI399)-N(BH399)))</f>
        <v/>
      </c>
      <c r="BM399">
        <f>IF(OR(BH$3="",BH$3&gt;TODAY()),"",IF(AND(BK399="",BL399=""),"",N(BL399)-N(BK399)))</f>
        <v/>
      </c>
      <c r="BQ399">
        <f>IF(OR(BO$3="",BO$3&gt;TODAY()),"",IF(AND(BO399="",BP399=""),"",N(BP399)-N(BO399)))</f>
        <v/>
      </c>
      <c r="BT399">
        <f>IF(OR(BO$3="",BO$3&gt;TODAY()),"",IF(AND(BR399="",BS399=""),"",N(BS399)-N(BR399)))</f>
        <v/>
      </c>
      <c r="BX399">
        <f>IF(OR(BV$3="",BV$3&gt;TODAY()),"",IF(AND(BV399="",BW399=""),"",N(BW399)-N(BV399)))</f>
        <v/>
      </c>
      <c r="CA399">
        <f>IF(OR(BV$3="",BV$3&gt;TODAY()),"",IF(AND(BY399="",BZ399=""),"",N(BZ399)-N(BY399)))</f>
        <v/>
      </c>
      <c r="CE399">
        <f>IF(OR(CC$3="",CC$3&gt;TODAY()),"",IF(AND(CC399="",CD399=""),"",N(CD399)-N(CC399)))</f>
        <v/>
      </c>
      <c r="CH399">
        <f>IF(OR(CC$3="",CC$3&gt;TODAY()),"",IF(AND(CF399="",CG399=""),"",N(CG399)-N(CF399)))</f>
        <v/>
      </c>
      <c r="CL399">
        <f>IF(OR(CJ$3="",CJ$3&gt;TODAY()),"",IF(AND(CJ399="",CK399=""),"",N(CK399)-N(CJ399)))</f>
        <v/>
      </c>
      <c r="CO399">
        <f>IF(OR(CJ$3="",CJ$3&gt;TODAY()),"",IF(AND(CM399="",CN399=""),"",N(CN399)-N(CM399)))</f>
        <v/>
      </c>
      <c r="CS399">
        <f>IF(OR(CQ$3="",CQ$3&gt;TODAY()),"",IF(AND(CQ399="",CR399=""),"",N(CR399)-N(CQ399)))</f>
        <v/>
      </c>
      <c r="CV399">
        <f>IF(OR(CQ$3="",CQ$3&gt;TODAY()),"",IF(AND(CT399="",CU399=""),"",N(CU399)-N(CT399)))</f>
        <v/>
      </c>
      <c r="CZ399">
        <f>IF(OR(CX$3="",CX$3&gt;TODAY()),"",IF(AND(CX399="",CY399=""),"",N(CY399)-N(CX399)))</f>
        <v/>
      </c>
      <c r="DC399">
        <f>IF(OR(CX$3="",CX$3&gt;TODAY()),"",IF(AND(DA399="",DB399=""),"",N(DB399)-N(DA399)))</f>
        <v/>
      </c>
      <c r="DG399">
        <f>IF(OR(DE$3="",DE$3&gt;TODAY()),"",IF(AND(DE399="",DF399=""),"",N(DF399)-N(DE399)))</f>
        <v/>
      </c>
      <c r="DJ399">
        <f>IF(OR(DE$3="",DE$3&gt;TODAY()),"",IF(AND(DH399="",DI399=""),"",N(DI399)-N(DH399)))</f>
        <v/>
      </c>
      <c r="DN399">
        <f>IF(OR(DL$3="",DL$3&gt;TODAY()),"",IF(AND(DL399="",DM399=""),"",N(DM399)-N(DL399)))</f>
        <v/>
      </c>
      <c r="DQ399">
        <f>IF(OR(DL$3="",DL$3&gt;TODAY()),"",IF(AND(DO399="",DP399=""),"",N(DP399)-N(DO399)))</f>
        <v/>
      </c>
      <c r="DU399">
        <f>IF(OR(DS$3="",DS$3&gt;TODAY()),"",IF(AND(DS399="",DT399=""),"",N(DT399)-N(DS399)))</f>
        <v/>
      </c>
      <c r="DX399">
        <f>IF(OR(DS$3="",DS$3&gt;TODAY()),"",IF(AND(DV399="",DW399=""),"",N(DW399)-N(DV399)))</f>
        <v/>
      </c>
      <c r="EB399">
        <f>IF(OR(DZ$3="",DZ$3&gt;TODAY()),"",IF(AND(DZ399="",EA399=""),"",N(EA399)-N(DZ399)))</f>
        <v/>
      </c>
      <c r="EE399">
        <f>IF(OR(DZ$3="",DZ$3&gt;TODAY()),"",IF(AND(EC399="",ED399=""),"",N(ED399)-N(EC399)))</f>
        <v/>
      </c>
      <c r="EI399">
        <f>IF(OR(EG$3="",EG$3&gt;TODAY()),"",IF(AND(EG399="",EH399=""),"",N(EH399)-N(EG399)))</f>
        <v/>
      </c>
      <c r="EL399">
        <f>IF(OR(EG$3="",EG$3&gt;TODAY()),"",IF(AND(EJ399="",EK399=""),"",N(EK399)-N(EJ399)))</f>
        <v/>
      </c>
      <c r="EP399">
        <f>IF(OR(EN$3="",EN$3&gt;TODAY()),"",IF(AND(EN399="",EO399=""),"",N(EO399)-N(EN399)))</f>
        <v/>
      </c>
      <c r="ES399">
        <f>IF(OR(EN$3="",EN$3&gt;TODAY()),"",IF(AND(EQ399="",ER399=""),"",N(ER399)-N(EQ399)))</f>
        <v/>
      </c>
      <c r="EW399">
        <f>IF(OR(EU$3="",EU$3&gt;TODAY()),"",IF(AND(EU399="",EV399=""),"",N(EV399)-N(EU399)))</f>
        <v/>
      </c>
      <c r="EZ399">
        <f>IF(OR(EU$3="",EU$3&gt;TODAY()),"",IF(AND(EX399="",EY399=""),"",N(EY399)-N(EX399)))</f>
        <v/>
      </c>
      <c r="FD399">
        <f>IF(OR(FB$3="",FB$3&gt;TODAY()),"",IF(AND(FB399="",FC399=""),"",N(FC399)-N(FB399)))</f>
        <v/>
      </c>
      <c r="FG399">
        <f>IF(OR(FB$3="",FB$3&gt;TODAY()),"",IF(AND(FE399="",FF399=""),"",N(FF399)-N(FE399)))</f>
        <v/>
      </c>
      <c r="FK399">
        <f>IF(OR(FI$3="",FI$3&gt;TODAY()),"",IF(AND(FI399="",FJ399=""),"",N(FJ399)-N(FI399)))</f>
        <v/>
      </c>
      <c r="FN399">
        <f>IF(OR(FI$3="",FI$3&gt;TODAY()),"",IF(AND(FL399="",FM399=""),"",N(FM399)-N(FL399)))</f>
        <v/>
      </c>
      <c r="FR399">
        <f>IF(OR(FP$3="",FP$3&gt;TODAY()),"",IF(AND(FP399="",FQ399=""),"",N(FQ399)-N(FP399)))</f>
        <v/>
      </c>
      <c r="FU399">
        <f>IF(OR(FP$3="",FP$3&gt;TODAY()),"",IF(AND(FS399="",FT399=""),"",N(FT399)-N(FS399)))</f>
        <v/>
      </c>
      <c r="FY399">
        <f>IF(OR(FW$3="",FW$3&gt;TODAY()),"",IF(AND(FW399="",FX399=""),"",N(FX399)-N(FW399)))</f>
        <v/>
      </c>
      <c r="GB399">
        <f>IF(OR(FW$3="",FW$3&gt;TODAY()),"",IF(AND(FZ399="",GA399=""),"",N(GA399)-N(FZ399)))</f>
        <v/>
      </c>
      <c r="GF399">
        <f>IF(OR(GD$3="",GD$3&gt;TODAY()),"",IF(AND(GD399="",GE399=""),"",N(GE399)-N(GD399)))</f>
        <v/>
      </c>
      <c r="GI399">
        <f>IF(OR(GD$3="",GD$3&gt;TODAY()),"",IF(AND(GG399="",GH399=""),"",N(GH399)-N(GG399)))</f>
        <v/>
      </c>
      <c r="GM399">
        <f>IF(OR(GK$3="",GK$3&gt;TODAY()),"",IF(AND(GK399="",GL399=""),"",N(GL399)-N(GK399)))</f>
        <v/>
      </c>
      <c r="GP399">
        <f>IF(OR(GK$3="",GK$3&gt;TODAY()),"",IF(AND(GN399="",GO399=""),"",N(GO399)-N(GN399)))</f>
        <v/>
      </c>
      <c r="GT399">
        <f>IF(OR(GR$3="",GR$3&gt;TODAY()),"",IF(AND(GR399="",GS399=""),"",N(GS399)-N(GR399)))</f>
        <v/>
      </c>
      <c r="GW399">
        <f>IF(OR(GR$3="",GR$3&gt;TODAY()),"",IF(AND(GU399="",GV399=""),"",N(GV399)-N(GU399)))</f>
        <v/>
      </c>
      <c r="HA399">
        <f>IF(OR(GY$3="",GY$3&gt;TODAY()),"",IF(AND(GY399="",GZ399=""),"",N(GZ399)-N(GY399)))</f>
        <v/>
      </c>
      <c r="HD399">
        <f>IF(OR(GY$3="",GY$3&gt;TODAY()),"",IF(AND(HB399="",HC399=""),"",N(HC399)-N(HB399)))</f>
        <v/>
      </c>
      <c r="HH399">
        <f>IF(OR(HF$3="",HF$3&gt;TODAY()),"",IF(AND(HF399="",HG399=""),"",N(HG399)-N(HF399)))</f>
        <v/>
      </c>
      <c r="HK399">
        <f>IF(OR(HF$3="",HF$3&gt;TODAY()),"",IF(AND(HI399="",HJ399=""),"",N(HJ399)-N(HI399)))</f>
        <v/>
      </c>
      <c r="HO399">
        <f>IF(OR(HM$3="",HM$3&gt;TODAY()),"",IF(AND(HM399="",HN399=""),"",N(HN399)-N(HM399)))</f>
        <v/>
      </c>
      <c r="HR399">
        <f>IF(OR(HM$3="",HM$3&gt;TODAY()),"",IF(AND(HP399="",HQ399=""),"",N(HQ399)-N(HP399)))</f>
        <v/>
      </c>
      <c r="HV399">
        <f>IF(OR(HT$3="",HT$3&gt;TODAY()),"",IF(AND(HT399="",HU399=""),"",N(HU399)-N(HT399)))</f>
        <v/>
      </c>
      <c r="HY399">
        <f>IF(OR(HT$3="",HT$3&gt;TODAY()),"",IF(AND(HW399="",HX399=""),"",N(HX399)-N(HW399)))</f>
        <v/>
      </c>
      <c r="IC399">
        <f>IF(OR(IA$3="",IA$3&gt;TODAY()),"",IF(AND(IA399="",IB399=""),"",N(IB399)-N(IA399)))</f>
        <v/>
      </c>
      <c r="IF399">
        <f>IF(OR(IA$3="",IA$3&gt;TODAY()),"",IF(AND(ID399="",IE399=""),"",N(IE399)-N(ID399)))</f>
        <v/>
      </c>
      <c r="IJ399">
        <f>IF(OR(IH$3="",IH$3&gt;TODAY()),"",IF(AND(IH399="",II399=""),"",N(II399)-N(IH399)))</f>
        <v/>
      </c>
      <c r="IM399">
        <f>IF(OR(IH$3="",IH$3&gt;TODAY()),"",IF(AND(IK399="",IL399=""),"",N(IL399)-N(IK399)))</f>
        <v/>
      </c>
    </row>
    <row r="400">
      <c r="A400" s="21" t="n"/>
      <c r="B400" s="21" t="n"/>
      <c r="C400" s="21" t="n"/>
      <c r="D400" s="21" t="n"/>
      <c r="E400" s="21" t="n"/>
      <c r="F400" s="21" t="n"/>
      <c r="G400" s="21" t="n"/>
      <c r="H400" s="21" t="n"/>
      <c r="I400" s="22" t="n"/>
      <c r="J400" s="22" t="n"/>
      <c r="K400" s="23" t="n"/>
      <c r="L400" s="22" t="n"/>
      <c r="M400" s="22" t="n"/>
      <c r="N400" s="21" t="n"/>
      <c r="O400" s="23" t="n"/>
      <c r="P400" s="23" t="n"/>
      <c r="Q400" s="23" t="n"/>
      <c r="R400" s="23" t="n"/>
      <c r="S400" s="22" t="n"/>
      <c r="T400" s="23" t="n"/>
      <c r="U400" s="23" t="n"/>
      <c r="V400" s="24">
        <f>IF(J400&lt;&gt;"",J400,IF(I400&lt;&gt;"",I400,""))</f>
        <v/>
      </c>
      <c r="W400" s="25">
        <f>IF($E400="","",N(O400)+SUMIFS($AF400:$IN400,$AF$4:$IN$4,"SEW_ACT"))</f>
        <v/>
      </c>
      <c r="X400" s="25">
        <f>IF($E400="","",N(P400)+SUMIFS($AF400:$IN400,$AF$4:$IN$4,"WASH_ACT"))</f>
        <v/>
      </c>
      <c r="Y400" s="25">
        <f>IF($E400="","",W400-X400-N(T400)-N(U400))</f>
        <v/>
      </c>
      <c r="Z400" s="25">
        <f>IF($E400="","",IF(N(K400)-X400&lt;=0.02*N(K400),0,N(K400)-X400))</f>
        <v/>
      </c>
      <c r="AA400" s="24">
        <f>IF($E400="","",IF(S400&lt;&gt;"",S400,IF(N(O400)&gt;0,IF(L400&lt;&gt;"",L400,99999),IFERROR(1/(1/_xlfn.MINIFS($AF$3:$IN$3,$AF$4:$IN$4,"SEW_ACT",$AF400:$IN400,"&gt;0")),99999))))</f>
        <v/>
      </c>
      <c r="AB400" s="26">
        <f>IF(OR($E400="",Z400=0,V400=""),"",1+COUNTIFS(Z$8:Z$707,"&gt;0",V$8:V$707,"&lt;"&amp;V400)+COUNTIFS(Z$8:Z$707,"&gt;0",V$8:V$707,V400,AA$8:AA$707,"&lt;"&amp;AA400)+COUNTIFS(Z$8:Z$707,"&gt;0",V$8:V$707,V400,AA$8:AA$707,AA400,E$8:E$707,"&lt;"&amp;$E400))</f>
        <v/>
      </c>
      <c r="AC400" s="24">
        <f>IF(OR($E400="",Z400=0),"",IFERROR(TODAY()+ROUNDUP(Z400/(SUMIFS($AF400:$IN400,$AF$4:$IN$4,"WASH_ACT")/COUNTIFS($AF$4:$IN$4,"WASH_ACT",$AF400:$IN400,"&gt;0")),0),"no output yet"))</f>
        <v/>
      </c>
      <c r="AD400" s="26">
        <f>IF($E400="","",IFERROR(ROUND(MAX(0,SUMIFS($AF400:$IN400,$AF$4:$IN$4,"SEW_PLAN",$AF$3:$IN$3,"&lt;="&amp;TODAY())-SUMIFS($AF400:$IN400,$AF$4:$IN$4,"SEW_ACT",$AF$3:$IN$3,"&lt;="&amp;TODAY())+N(Q400))/(SUMIFS($AF400:$IN400,$AF$4:$IN$4,"SEW_PLAN")/COUNTIFS($AF$4:$IN$4,"SEW_PLAN",$AF400:$IN400,"&gt;0")),1),0))</f>
        <v/>
      </c>
      <c r="AE400" s="26">
        <f>IF($E400="","",IF(AND(Z400&gt;0,OR(AND(M400&lt;&gt;"",TODAY()&gt;M400),AND(V400&lt;&gt;"",V400-TODAY()&lt;=7))),"Yes","No"))</f>
        <v/>
      </c>
      <c r="AH400">
        <f>IF(OR(AF$3="",AF$3&gt;TODAY()),"",IF(AND(AF400="",AG400=""),"",N(AG400)-N(AF400)))</f>
        <v/>
      </c>
      <c r="AK400">
        <f>IF(OR(AF$3="",AF$3&gt;TODAY()),"",IF(AND(AI400="",AJ400=""),"",N(AJ400)-N(AI400)))</f>
        <v/>
      </c>
      <c r="AO400">
        <f>IF(OR(AM$3="",AM$3&gt;TODAY()),"",IF(AND(AM400="",AN400=""),"",N(AN400)-N(AM400)))</f>
        <v/>
      </c>
      <c r="AR400">
        <f>IF(OR(AM$3="",AM$3&gt;TODAY()),"",IF(AND(AP400="",AQ400=""),"",N(AQ400)-N(AP400)))</f>
        <v/>
      </c>
      <c r="AV400">
        <f>IF(OR(AT$3="",AT$3&gt;TODAY()),"",IF(AND(AT400="",AU400=""),"",N(AU400)-N(AT400)))</f>
        <v/>
      </c>
      <c r="AY400">
        <f>IF(OR(AT$3="",AT$3&gt;TODAY()),"",IF(AND(AW400="",AX400=""),"",N(AX400)-N(AW400)))</f>
        <v/>
      </c>
      <c r="BC400">
        <f>IF(OR(BA$3="",BA$3&gt;TODAY()),"",IF(AND(BA400="",BB400=""),"",N(BB400)-N(BA400)))</f>
        <v/>
      </c>
      <c r="BF400">
        <f>IF(OR(BA$3="",BA$3&gt;TODAY()),"",IF(AND(BD400="",BE400=""),"",N(BE400)-N(BD400)))</f>
        <v/>
      </c>
      <c r="BJ400">
        <f>IF(OR(BH$3="",BH$3&gt;TODAY()),"",IF(AND(BH400="",BI400=""),"",N(BI400)-N(BH400)))</f>
        <v/>
      </c>
      <c r="BM400">
        <f>IF(OR(BH$3="",BH$3&gt;TODAY()),"",IF(AND(BK400="",BL400=""),"",N(BL400)-N(BK400)))</f>
        <v/>
      </c>
      <c r="BQ400">
        <f>IF(OR(BO$3="",BO$3&gt;TODAY()),"",IF(AND(BO400="",BP400=""),"",N(BP400)-N(BO400)))</f>
        <v/>
      </c>
      <c r="BT400">
        <f>IF(OR(BO$3="",BO$3&gt;TODAY()),"",IF(AND(BR400="",BS400=""),"",N(BS400)-N(BR400)))</f>
        <v/>
      </c>
      <c r="BX400">
        <f>IF(OR(BV$3="",BV$3&gt;TODAY()),"",IF(AND(BV400="",BW400=""),"",N(BW400)-N(BV400)))</f>
        <v/>
      </c>
      <c r="CA400">
        <f>IF(OR(BV$3="",BV$3&gt;TODAY()),"",IF(AND(BY400="",BZ400=""),"",N(BZ400)-N(BY400)))</f>
        <v/>
      </c>
      <c r="CE400">
        <f>IF(OR(CC$3="",CC$3&gt;TODAY()),"",IF(AND(CC400="",CD400=""),"",N(CD400)-N(CC400)))</f>
        <v/>
      </c>
      <c r="CH400">
        <f>IF(OR(CC$3="",CC$3&gt;TODAY()),"",IF(AND(CF400="",CG400=""),"",N(CG400)-N(CF400)))</f>
        <v/>
      </c>
      <c r="CL400">
        <f>IF(OR(CJ$3="",CJ$3&gt;TODAY()),"",IF(AND(CJ400="",CK400=""),"",N(CK400)-N(CJ400)))</f>
        <v/>
      </c>
      <c r="CO400">
        <f>IF(OR(CJ$3="",CJ$3&gt;TODAY()),"",IF(AND(CM400="",CN400=""),"",N(CN400)-N(CM400)))</f>
        <v/>
      </c>
      <c r="CS400">
        <f>IF(OR(CQ$3="",CQ$3&gt;TODAY()),"",IF(AND(CQ400="",CR400=""),"",N(CR400)-N(CQ400)))</f>
        <v/>
      </c>
      <c r="CV400">
        <f>IF(OR(CQ$3="",CQ$3&gt;TODAY()),"",IF(AND(CT400="",CU400=""),"",N(CU400)-N(CT400)))</f>
        <v/>
      </c>
      <c r="CZ400">
        <f>IF(OR(CX$3="",CX$3&gt;TODAY()),"",IF(AND(CX400="",CY400=""),"",N(CY400)-N(CX400)))</f>
        <v/>
      </c>
      <c r="DC400">
        <f>IF(OR(CX$3="",CX$3&gt;TODAY()),"",IF(AND(DA400="",DB400=""),"",N(DB400)-N(DA400)))</f>
        <v/>
      </c>
      <c r="DG400">
        <f>IF(OR(DE$3="",DE$3&gt;TODAY()),"",IF(AND(DE400="",DF400=""),"",N(DF400)-N(DE400)))</f>
        <v/>
      </c>
      <c r="DJ400">
        <f>IF(OR(DE$3="",DE$3&gt;TODAY()),"",IF(AND(DH400="",DI400=""),"",N(DI400)-N(DH400)))</f>
        <v/>
      </c>
      <c r="DN400">
        <f>IF(OR(DL$3="",DL$3&gt;TODAY()),"",IF(AND(DL400="",DM400=""),"",N(DM400)-N(DL400)))</f>
        <v/>
      </c>
      <c r="DQ400">
        <f>IF(OR(DL$3="",DL$3&gt;TODAY()),"",IF(AND(DO400="",DP400=""),"",N(DP400)-N(DO400)))</f>
        <v/>
      </c>
      <c r="DU400">
        <f>IF(OR(DS$3="",DS$3&gt;TODAY()),"",IF(AND(DS400="",DT400=""),"",N(DT400)-N(DS400)))</f>
        <v/>
      </c>
      <c r="DX400">
        <f>IF(OR(DS$3="",DS$3&gt;TODAY()),"",IF(AND(DV400="",DW400=""),"",N(DW400)-N(DV400)))</f>
        <v/>
      </c>
      <c r="EB400">
        <f>IF(OR(DZ$3="",DZ$3&gt;TODAY()),"",IF(AND(DZ400="",EA400=""),"",N(EA400)-N(DZ400)))</f>
        <v/>
      </c>
      <c r="EE400">
        <f>IF(OR(DZ$3="",DZ$3&gt;TODAY()),"",IF(AND(EC400="",ED400=""),"",N(ED400)-N(EC400)))</f>
        <v/>
      </c>
      <c r="EI400">
        <f>IF(OR(EG$3="",EG$3&gt;TODAY()),"",IF(AND(EG400="",EH400=""),"",N(EH400)-N(EG400)))</f>
        <v/>
      </c>
      <c r="EL400">
        <f>IF(OR(EG$3="",EG$3&gt;TODAY()),"",IF(AND(EJ400="",EK400=""),"",N(EK400)-N(EJ400)))</f>
        <v/>
      </c>
      <c r="EP400">
        <f>IF(OR(EN$3="",EN$3&gt;TODAY()),"",IF(AND(EN400="",EO400=""),"",N(EO400)-N(EN400)))</f>
        <v/>
      </c>
      <c r="ES400">
        <f>IF(OR(EN$3="",EN$3&gt;TODAY()),"",IF(AND(EQ400="",ER400=""),"",N(ER400)-N(EQ400)))</f>
        <v/>
      </c>
      <c r="EW400">
        <f>IF(OR(EU$3="",EU$3&gt;TODAY()),"",IF(AND(EU400="",EV400=""),"",N(EV400)-N(EU400)))</f>
        <v/>
      </c>
      <c r="EZ400">
        <f>IF(OR(EU$3="",EU$3&gt;TODAY()),"",IF(AND(EX400="",EY400=""),"",N(EY400)-N(EX400)))</f>
        <v/>
      </c>
      <c r="FD400">
        <f>IF(OR(FB$3="",FB$3&gt;TODAY()),"",IF(AND(FB400="",FC400=""),"",N(FC400)-N(FB400)))</f>
        <v/>
      </c>
      <c r="FG400">
        <f>IF(OR(FB$3="",FB$3&gt;TODAY()),"",IF(AND(FE400="",FF400=""),"",N(FF400)-N(FE400)))</f>
        <v/>
      </c>
      <c r="FK400">
        <f>IF(OR(FI$3="",FI$3&gt;TODAY()),"",IF(AND(FI400="",FJ400=""),"",N(FJ400)-N(FI400)))</f>
        <v/>
      </c>
      <c r="FN400">
        <f>IF(OR(FI$3="",FI$3&gt;TODAY()),"",IF(AND(FL400="",FM400=""),"",N(FM400)-N(FL400)))</f>
        <v/>
      </c>
      <c r="FR400">
        <f>IF(OR(FP$3="",FP$3&gt;TODAY()),"",IF(AND(FP400="",FQ400=""),"",N(FQ400)-N(FP400)))</f>
        <v/>
      </c>
      <c r="FU400">
        <f>IF(OR(FP$3="",FP$3&gt;TODAY()),"",IF(AND(FS400="",FT400=""),"",N(FT400)-N(FS400)))</f>
        <v/>
      </c>
      <c r="FY400">
        <f>IF(OR(FW$3="",FW$3&gt;TODAY()),"",IF(AND(FW400="",FX400=""),"",N(FX400)-N(FW400)))</f>
        <v/>
      </c>
      <c r="GB400">
        <f>IF(OR(FW$3="",FW$3&gt;TODAY()),"",IF(AND(FZ400="",GA400=""),"",N(GA400)-N(FZ400)))</f>
        <v/>
      </c>
      <c r="GF400">
        <f>IF(OR(GD$3="",GD$3&gt;TODAY()),"",IF(AND(GD400="",GE400=""),"",N(GE400)-N(GD400)))</f>
        <v/>
      </c>
      <c r="GI400">
        <f>IF(OR(GD$3="",GD$3&gt;TODAY()),"",IF(AND(GG400="",GH400=""),"",N(GH400)-N(GG400)))</f>
        <v/>
      </c>
      <c r="GM400">
        <f>IF(OR(GK$3="",GK$3&gt;TODAY()),"",IF(AND(GK400="",GL400=""),"",N(GL400)-N(GK400)))</f>
        <v/>
      </c>
      <c r="GP400">
        <f>IF(OR(GK$3="",GK$3&gt;TODAY()),"",IF(AND(GN400="",GO400=""),"",N(GO400)-N(GN400)))</f>
        <v/>
      </c>
      <c r="GT400">
        <f>IF(OR(GR$3="",GR$3&gt;TODAY()),"",IF(AND(GR400="",GS400=""),"",N(GS400)-N(GR400)))</f>
        <v/>
      </c>
      <c r="GW400">
        <f>IF(OR(GR$3="",GR$3&gt;TODAY()),"",IF(AND(GU400="",GV400=""),"",N(GV400)-N(GU400)))</f>
        <v/>
      </c>
      <c r="HA400">
        <f>IF(OR(GY$3="",GY$3&gt;TODAY()),"",IF(AND(GY400="",GZ400=""),"",N(GZ400)-N(GY400)))</f>
        <v/>
      </c>
      <c r="HD400">
        <f>IF(OR(GY$3="",GY$3&gt;TODAY()),"",IF(AND(HB400="",HC400=""),"",N(HC400)-N(HB400)))</f>
        <v/>
      </c>
      <c r="HH400">
        <f>IF(OR(HF$3="",HF$3&gt;TODAY()),"",IF(AND(HF400="",HG400=""),"",N(HG400)-N(HF400)))</f>
        <v/>
      </c>
      <c r="HK400">
        <f>IF(OR(HF$3="",HF$3&gt;TODAY()),"",IF(AND(HI400="",HJ400=""),"",N(HJ400)-N(HI400)))</f>
        <v/>
      </c>
      <c r="HO400">
        <f>IF(OR(HM$3="",HM$3&gt;TODAY()),"",IF(AND(HM400="",HN400=""),"",N(HN400)-N(HM400)))</f>
        <v/>
      </c>
      <c r="HR400">
        <f>IF(OR(HM$3="",HM$3&gt;TODAY()),"",IF(AND(HP400="",HQ400=""),"",N(HQ400)-N(HP400)))</f>
        <v/>
      </c>
      <c r="HV400">
        <f>IF(OR(HT$3="",HT$3&gt;TODAY()),"",IF(AND(HT400="",HU400=""),"",N(HU400)-N(HT400)))</f>
        <v/>
      </c>
      <c r="HY400">
        <f>IF(OR(HT$3="",HT$3&gt;TODAY()),"",IF(AND(HW400="",HX400=""),"",N(HX400)-N(HW400)))</f>
        <v/>
      </c>
      <c r="IC400">
        <f>IF(OR(IA$3="",IA$3&gt;TODAY()),"",IF(AND(IA400="",IB400=""),"",N(IB400)-N(IA400)))</f>
        <v/>
      </c>
      <c r="IF400">
        <f>IF(OR(IA$3="",IA$3&gt;TODAY()),"",IF(AND(ID400="",IE400=""),"",N(IE400)-N(ID400)))</f>
        <v/>
      </c>
      <c r="IJ400">
        <f>IF(OR(IH$3="",IH$3&gt;TODAY()),"",IF(AND(IH400="",II400=""),"",N(II400)-N(IH400)))</f>
        <v/>
      </c>
      <c r="IM400">
        <f>IF(OR(IH$3="",IH$3&gt;TODAY()),"",IF(AND(IK400="",IL400=""),"",N(IL400)-N(IK400)))</f>
        <v/>
      </c>
    </row>
    <row r="401">
      <c r="A401" s="21" t="n"/>
      <c r="B401" s="21" t="n"/>
      <c r="C401" s="21" t="n"/>
      <c r="D401" s="21" t="n"/>
      <c r="E401" s="21" t="n"/>
      <c r="F401" s="21" t="n"/>
      <c r="G401" s="21" t="n"/>
      <c r="H401" s="21" t="n"/>
      <c r="I401" s="22" t="n"/>
      <c r="J401" s="22" t="n"/>
      <c r="K401" s="23" t="n"/>
      <c r="L401" s="22" t="n"/>
      <c r="M401" s="22" t="n"/>
      <c r="N401" s="21" t="n"/>
      <c r="O401" s="23" t="n"/>
      <c r="P401" s="23" t="n"/>
      <c r="Q401" s="23" t="n"/>
      <c r="R401" s="23" t="n"/>
      <c r="S401" s="22" t="n"/>
      <c r="T401" s="23" t="n"/>
      <c r="U401" s="23" t="n"/>
      <c r="V401" s="24">
        <f>IF(J401&lt;&gt;"",J401,IF(I401&lt;&gt;"",I401,""))</f>
        <v/>
      </c>
      <c r="W401" s="25">
        <f>IF($E401="","",N(O401)+SUMIFS($AF401:$IN401,$AF$4:$IN$4,"SEW_ACT"))</f>
        <v/>
      </c>
      <c r="X401" s="25">
        <f>IF($E401="","",N(P401)+SUMIFS($AF401:$IN401,$AF$4:$IN$4,"WASH_ACT"))</f>
        <v/>
      </c>
      <c r="Y401" s="25">
        <f>IF($E401="","",W401-X401-N(T401)-N(U401))</f>
        <v/>
      </c>
      <c r="Z401" s="25">
        <f>IF($E401="","",IF(N(K401)-X401&lt;=0.02*N(K401),0,N(K401)-X401))</f>
        <v/>
      </c>
      <c r="AA401" s="24">
        <f>IF($E401="","",IF(S401&lt;&gt;"",S401,IF(N(O401)&gt;0,IF(L401&lt;&gt;"",L401,99999),IFERROR(1/(1/_xlfn.MINIFS($AF$3:$IN$3,$AF$4:$IN$4,"SEW_ACT",$AF401:$IN401,"&gt;0")),99999))))</f>
        <v/>
      </c>
      <c r="AB401" s="26">
        <f>IF(OR($E401="",Z401=0,V401=""),"",1+COUNTIFS(Z$8:Z$707,"&gt;0",V$8:V$707,"&lt;"&amp;V401)+COUNTIFS(Z$8:Z$707,"&gt;0",V$8:V$707,V401,AA$8:AA$707,"&lt;"&amp;AA401)+COUNTIFS(Z$8:Z$707,"&gt;0",V$8:V$707,V401,AA$8:AA$707,AA401,E$8:E$707,"&lt;"&amp;$E401))</f>
        <v/>
      </c>
      <c r="AC401" s="24">
        <f>IF(OR($E401="",Z401=0),"",IFERROR(TODAY()+ROUNDUP(Z401/(SUMIFS($AF401:$IN401,$AF$4:$IN$4,"WASH_ACT")/COUNTIFS($AF$4:$IN$4,"WASH_ACT",$AF401:$IN401,"&gt;0")),0),"no output yet"))</f>
        <v/>
      </c>
      <c r="AD401" s="26">
        <f>IF($E401="","",IFERROR(ROUND(MAX(0,SUMIFS($AF401:$IN401,$AF$4:$IN$4,"SEW_PLAN",$AF$3:$IN$3,"&lt;="&amp;TODAY())-SUMIFS($AF401:$IN401,$AF$4:$IN$4,"SEW_ACT",$AF$3:$IN$3,"&lt;="&amp;TODAY())+N(Q401))/(SUMIFS($AF401:$IN401,$AF$4:$IN$4,"SEW_PLAN")/COUNTIFS($AF$4:$IN$4,"SEW_PLAN",$AF401:$IN401,"&gt;0")),1),0))</f>
        <v/>
      </c>
      <c r="AE401" s="26">
        <f>IF($E401="","",IF(AND(Z401&gt;0,OR(AND(M401&lt;&gt;"",TODAY()&gt;M401),AND(V401&lt;&gt;"",V401-TODAY()&lt;=7))),"Yes","No"))</f>
        <v/>
      </c>
      <c r="AH401">
        <f>IF(OR(AF$3="",AF$3&gt;TODAY()),"",IF(AND(AF401="",AG401=""),"",N(AG401)-N(AF401)))</f>
        <v/>
      </c>
      <c r="AK401">
        <f>IF(OR(AF$3="",AF$3&gt;TODAY()),"",IF(AND(AI401="",AJ401=""),"",N(AJ401)-N(AI401)))</f>
        <v/>
      </c>
      <c r="AO401">
        <f>IF(OR(AM$3="",AM$3&gt;TODAY()),"",IF(AND(AM401="",AN401=""),"",N(AN401)-N(AM401)))</f>
        <v/>
      </c>
      <c r="AR401">
        <f>IF(OR(AM$3="",AM$3&gt;TODAY()),"",IF(AND(AP401="",AQ401=""),"",N(AQ401)-N(AP401)))</f>
        <v/>
      </c>
      <c r="AV401">
        <f>IF(OR(AT$3="",AT$3&gt;TODAY()),"",IF(AND(AT401="",AU401=""),"",N(AU401)-N(AT401)))</f>
        <v/>
      </c>
      <c r="AY401">
        <f>IF(OR(AT$3="",AT$3&gt;TODAY()),"",IF(AND(AW401="",AX401=""),"",N(AX401)-N(AW401)))</f>
        <v/>
      </c>
      <c r="BC401">
        <f>IF(OR(BA$3="",BA$3&gt;TODAY()),"",IF(AND(BA401="",BB401=""),"",N(BB401)-N(BA401)))</f>
        <v/>
      </c>
      <c r="BF401">
        <f>IF(OR(BA$3="",BA$3&gt;TODAY()),"",IF(AND(BD401="",BE401=""),"",N(BE401)-N(BD401)))</f>
        <v/>
      </c>
      <c r="BJ401">
        <f>IF(OR(BH$3="",BH$3&gt;TODAY()),"",IF(AND(BH401="",BI401=""),"",N(BI401)-N(BH401)))</f>
        <v/>
      </c>
      <c r="BM401">
        <f>IF(OR(BH$3="",BH$3&gt;TODAY()),"",IF(AND(BK401="",BL401=""),"",N(BL401)-N(BK401)))</f>
        <v/>
      </c>
      <c r="BQ401">
        <f>IF(OR(BO$3="",BO$3&gt;TODAY()),"",IF(AND(BO401="",BP401=""),"",N(BP401)-N(BO401)))</f>
        <v/>
      </c>
      <c r="BT401">
        <f>IF(OR(BO$3="",BO$3&gt;TODAY()),"",IF(AND(BR401="",BS401=""),"",N(BS401)-N(BR401)))</f>
        <v/>
      </c>
      <c r="BX401">
        <f>IF(OR(BV$3="",BV$3&gt;TODAY()),"",IF(AND(BV401="",BW401=""),"",N(BW401)-N(BV401)))</f>
        <v/>
      </c>
      <c r="CA401">
        <f>IF(OR(BV$3="",BV$3&gt;TODAY()),"",IF(AND(BY401="",BZ401=""),"",N(BZ401)-N(BY401)))</f>
        <v/>
      </c>
      <c r="CE401">
        <f>IF(OR(CC$3="",CC$3&gt;TODAY()),"",IF(AND(CC401="",CD401=""),"",N(CD401)-N(CC401)))</f>
        <v/>
      </c>
      <c r="CH401">
        <f>IF(OR(CC$3="",CC$3&gt;TODAY()),"",IF(AND(CF401="",CG401=""),"",N(CG401)-N(CF401)))</f>
        <v/>
      </c>
      <c r="CL401">
        <f>IF(OR(CJ$3="",CJ$3&gt;TODAY()),"",IF(AND(CJ401="",CK401=""),"",N(CK401)-N(CJ401)))</f>
        <v/>
      </c>
      <c r="CO401">
        <f>IF(OR(CJ$3="",CJ$3&gt;TODAY()),"",IF(AND(CM401="",CN401=""),"",N(CN401)-N(CM401)))</f>
        <v/>
      </c>
      <c r="CS401">
        <f>IF(OR(CQ$3="",CQ$3&gt;TODAY()),"",IF(AND(CQ401="",CR401=""),"",N(CR401)-N(CQ401)))</f>
        <v/>
      </c>
      <c r="CV401">
        <f>IF(OR(CQ$3="",CQ$3&gt;TODAY()),"",IF(AND(CT401="",CU401=""),"",N(CU401)-N(CT401)))</f>
        <v/>
      </c>
      <c r="CZ401">
        <f>IF(OR(CX$3="",CX$3&gt;TODAY()),"",IF(AND(CX401="",CY401=""),"",N(CY401)-N(CX401)))</f>
        <v/>
      </c>
      <c r="DC401">
        <f>IF(OR(CX$3="",CX$3&gt;TODAY()),"",IF(AND(DA401="",DB401=""),"",N(DB401)-N(DA401)))</f>
        <v/>
      </c>
      <c r="DG401">
        <f>IF(OR(DE$3="",DE$3&gt;TODAY()),"",IF(AND(DE401="",DF401=""),"",N(DF401)-N(DE401)))</f>
        <v/>
      </c>
      <c r="DJ401">
        <f>IF(OR(DE$3="",DE$3&gt;TODAY()),"",IF(AND(DH401="",DI401=""),"",N(DI401)-N(DH401)))</f>
        <v/>
      </c>
      <c r="DN401">
        <f>IF(OR(DL$3="",DL$3&gt;TODAY()),"",IF(AND(DL401="",DM401=""),"",N(DM401)-N(DL401)))</f>
        <v/>
      </c>
      <c r="DQ401">
        <f>IF(OR(DL$3="",DL$3&gt;TODAY()),"",IF(AND(DO401="",DP401=""),"",N(DP401)-N(DO401)))</f>
        <v/>
      </c>
      <c r="DU401">
        <f>IF(OR(DS$3="",DS$3&gt;TODAY()),"",IF(AND(DS401="",DT401=""),"",N(DT401)-N(DS401)))</f>
        <v/>
      </c>
      <c r="DX401">
        <f>IF(OR(DS$3="",DS$3&gt;TODAY()),"",IF(AND(DV401="",DW401=""),"",N(DW401)-N(DV401)))</f>
        <v/>
      </c>
      <c r="EB401">
        <f>IF(OR(DZ$3="",DZ$3&gt;TODAY()),"",IF(AND(DZ401="",EA401=""),"",N(EA401)-N(DZ401)))</f>
        <v/>
      </c>
      <c r="EE401">
        <f>IF(OR(DZ$3="",DZ$3&gt;TODAY()),"",IF(AND(EC401="",ED401=""),"",N(ED401)-N(EC401)))</f>
        <v/>
      </c>
      <c r="EI401">
        <f>IF(OR(EG$3="",EG$3&gt;TODAY()),"",IF(AND(EG401="",EH401=""),"",N(EH401)-N(EG401)))</f>
        <v/>
      </c>
      <c r="EL401">
        <f>IF(OR(EG$3="",EG$3&gt;TODAY()),"",IF(AND(EJ401="",EK401=""),"",N(EK401)-N(EJ401)))</f>
        <v/>
      </c>
      <c r="EP401">
        <f>IF(OR(EN$3="",EN$3&gt;TODAY()),"",IF(AND(EN401="",EO401=""),"",N(EO401)-N(EN401)))</f>
        <v/>
      </c>
      <c r="ES401">
        <f>IF(OR(EN$3="",EN$3&gt;TODAY()),"",IF(AND(EQ401="",ER401=""),"",N(ER401)-N(EQ401)))</f>
        <v/>
      </c>
      <c r="EW401">
        <f>IF(OR(EU$3="",EU$3&gt;TODAY()),"",IF(AND(EU401="",EV401=""),"",N(EV401)-N(EU401)))</f>
        <v/>
      </c>
      <c r="EZ401">
        <f>IF(OR(EU$3="",EU$3&gt;TODAY()),"",IF(AND(EX401="",EY401=""),"",N(EY401)-N(EX401)))</f>
        <v/>
      </c>
      <c r="FD401">
        <f>IF(OR(FB$3="",FB$3&gt;TODAY()),"",IF(AND(FB401="",FC401=""),"",N(FC401)-N(FB401)))</f>
        <v/>
      </c>
      <c r="FG401">
        <f>IF(OR(FB$3="",FB$3&gt;TODAY()),"",IF(AND(FE401="",FF401=""),"",N(FF401)-N(FE401)))</f>
        <v/>
      </c>
      <c r="FK401">
        <f>IF(OR(FI$3="",FI$3&gt;TODAY()),"",IF(AND(FI401="",FJ401=""),"",N(FJ401)-N(FI401)))</f>
        <v/>
      </c>
      <c r="FN401">
        <f>IF(OR(FI$3="",FI$3&gt;TODAY()),"",IF(AND(FL401="",FM401=""),"",N(FM401)-N(FL401)))</f>
        <v/>
      </c>
      <c r="FR401">
        <f>IF(OR(FP$3="",FP$3&gt;TODAY()),"",IF(AND(FP401="",FQ401=""),"",N(FQ401)-N(FP401)))</f>
        <v/>
      </c>
      <c r="FU401">
        <f>IF(OR(FP$3="",FP$3&gt;TODAY()),"",IF(AND(FS401="",FT401=""),"",N(FT401)-N(FS401)))</f>
        <v/>
      </c>
      <c r="FY401">
        <f>IF(OR(FW$3="",FW$3&gt;TODAY()),"",IF(AND(FW401="",FX401=""),"",N(FX401)-N(FW401)))</f>
        <v/>
      </c>
      <c r="GB401">
        <f>IF(OR(FW$3="",FW$3&gt;TODAY()),"",IF(AND(FZ401="",GA401=""),"",N(GA401)-N(FZ401)))</f>
        <v/>
      </c>
      <c r="GF401">
        <f>IF(OR(GD$3="",GD$3&gt;TODAY()),"",IF(AND(GD401="",GE401=""),"",N(GE401)-N(GD401)))</f>
        <v/>
      </c>
      <c r="GI401">
        <f>IF(OR(GD$3="",GD$3&gt;TODAY()),"",IF(AND(GG401="",GH401=""),"",N(GH401)-N(GG401)))</f>
        <v/>
      </c>
      <c r="GM401">
        <f>IF(OR(GK$3="",GK$3&gt;TODAY()),"",IF(AND(GK401="",GL401=""),"",N(GL401)-N(GK401)))</f>
        <v/>
      </c>
      <c r="GP401">
        <f>IF(OR(GK$3="",GK$3&gt;TODAY()),"",IF(AND(GN401="",GO401=""),"",N(GO401)-N(GN401)))</f>
        <v/>
      </c>
      <c r="GT401">
        <f>IF(OR(GR$3="",GR$3&gt;TODAY()),"",IF(AND(GR401="",GS401=""),"",N(GS401)-N(GR401)))</f>
        <v/>
      </c>
      <c r="GW401">
        <f>IF(OR(GR$3="",GR$3&gt;TODAY()),"",IF(AND(GU401="",GV401=""),"",N(GV401)-N(GU401)))</f>
        <v/>
      </c>
      <c r="HA401">
        <f>IF(OR(GY$3="",GY$3&gt;TODAY()),"",IF(AND(GY401="",GZ401=""),"",N(GZ401)-N(GY401)))</f>
        <v/>
      </c>
      <c r="HD401">
        <f>IF(OR(GY$3="",GY$3&gt;TODAY()),"",IF(AND(HB401="",HC401=""),"",N(HC401)-N(HB401)))</f>
        <v/>
      </c>
      <c r="HH401">
        <f>IF(OR(HF$3="",HF$3&gt;TODAY()),"",IF(AND(HF401="",HG401=""),"",N(HG401)-N(HF401)))</f>
        <v/>
      </c>
      <c r="HK401">
        <f>IF(OR(HF$3="",HF$3&gt;TODAY()),"",IF(AND(HI401="",HJ401=""),"",N(HJ401)-N(HI401)))</f>
        <v/>
      </c>
      <c r="HO401">
        <f>IF(OR(HM$3="",HM$3&gt;TODAY()),"",IF(AND(HM401="",HN401=""),"",N(HN401)-N(HM401)))</f>
        <v/>
      </c>
      <c r="HR401">
        <f>IF(OR(HM$3="",HM$3&gt;TODAY()),"",IF(AND(HP401="",HQ401=""),"",N(HQ401)-N(HP401)))</f>
        <v/>
      </c>
      <c r="HV401">
        <f>IF(OR(HT$3="",HT$3&gt;TODAY()),"",IF(AND(HT401="",HU401=""),"",N(HU401)-N(HT401)))</f>
        <v/>
      </c>
      <c r="HY401">
        <f>IF(OR(HT$3="",HT$3&gt;TODAY()),"",IF(AND(HW401="",HX401=""),"",N(HX401)-N(HW401)))</f>
        <v/>
      </c>
      <c r="IC401">
        <f>IF(OR(IA$3="",IA$3&gt;TODAY()),"",IF(AND(IA401="",IB401=""),"",N(IB401)-N(IA401)))</f>
        <v/>
      </c>
      <c r="IF401">
        <f>IF(OR(IA$3="",IA$3&gt;TODAY()),"",IF(AND(ID401="",IE401=""),"",N(IE401)-N(ID401)))</f>
        <v/>
      </c>
      <c r="IJ401">
        <f>IF(OR(IH$3="",IH$3&gt;TODAY()),"",IF(AND(IH401="",II401=""),"",N(II401)-N(IH401)))</f>
        <v/>
      </c>
      <c r="IM401">
        <f>IF(OR(IH$3="",IH$3&gt;TODAY()),"",IF(AND(IK401="",IL401=""),"",N(IL401)-N(IK401)))</f>
        <v/>
      </c>
    </row>
    <row r="402">
      <c r="A402" s="21" t="n"/>
      <c r="B402" s="21" t="n"/>
      <c r="C402" s="21" t="n"/>
      <c r="D402" s="21" t="n"/>
      <c r="E402" s="21" t="n"/>
      <c r="F402" s="21" t="n"/>
      <c r="G402" s="21" t="n"/>
      <c r="H402" s="21" t="n"/>
      <c r="I402" s="22" t="n"/>
      <c r="J402" s="22" t="n"/>
      <c r="K402" s="23" t="n"/>
      <c r="L402" s="22" t="n"/>
      <c r="M402" s="22" t="n"/>
      <c r="N402" s="21" t="n"/>
      <c r="O402" s="23" t="n"/>
      <c r="P402" s="23" t="n"/>
      <c r="Q402" s="23" t="n"/>
      <c r="R402" s="23" t="n"/>
      <c r="S402" s="22" t="n"/>
      <c r="T402" s="23" t="n"/>
      <c r="U402" s="23" t="n"/>
      <c r="V402" s="24">
        <f>IF(J402&lt;&gt;"",J402,IF(I402&lt;&gt;"",I402,""))</f>
        <v/>
      </c>
      <c r="W402" s="25">
        <f>IF($E402="","",N(O402)+SUMIFS($AF402:$IN402,$AF$4:$IN$4,"SEW_ACT"))</f>
        <v/>
      </c>
      <c r="X402" s="25">
        <f>IF($E402="","",N(P402)+SUMIFS($AF402:$IN402,$AF$4:$IN$4,"WASH_ACT"))</f>
        <v/>
      </c>
      <c r="Y402" s="25">
        <f>IF($E402="","",W402-X402-N(T402)-N(U402))</f>
        <v/>
      </c>
      <c r="Z402" s="25">
        <f>IF($E402="","",IF(N(K402)-X402&lt;=0.02*N(K402),0,N(K402)-X402))</f>
        <v/>
      </c>
      <c r="AA402" s="24">
        <f>IF($E402="","",IF(S402&lt;&gt;"",S402,IF(N(O402)&gt;0,IF(L402&lt;&gt;"",L402,99999),IFERROR(1/(1/_xlfn.MINIFS($AF$3:$IN$3,$AF$4:$IN$4,"SEW_ACT",$AF402:$IN402,"&gt;0")),99999))))</f>
        <v/>
      </c>
      <c r="AB402" s="26">
        <f>IF(OR($E402="",Z402=0,V402=""),"",1+COUNTIFS(Z$8:Z$707,"&gt;0",V$8:V$707,"&lt;"&amp;V402)+COUNTIFS(Z$8:Z$707,"&gt;0",V$8:V$707,V402,AA$8:AA$707,"&lt;"&amp;AA402)+COUNTIFS(Z$8:Z$707,"&gt;0",V$8:V$707,V402,AA$8:AA$707,AA402,E$8:E$707,"&lt;"&amp;$E402))</f>
        <v/>
      </c>
      <c r="AC402" s="24">
        <f>IF(OR($E402="",Z402=0),"",IFERROR(TODAY()+ROUNDUP(Z402/(SUMIFS($AF402:$IN402,$AF$4:$IN$4,"WASH_ACT")/COUNTIFS($AF$4:$IN$4,"WASH_ACT",$AF402:$IN402,"&gt;0")),0),"no output yet"))</f>
        <v/>
      </c>
      <c r="AD402" s="26">
        <f>IF($E402="","",IFERROR(ROUND(MAX(0,SUMIFS($AF402:$IN402,$AF$4:$IN$4,"SEW_PLAN",$AF$3:$IN$3,"&lt;="&amp;TODAY())-SUMIFS($AF402:$IN402,$AF$4:$IN$4,"SEW_ACT",$AF$3:$IN$3,"&lt;="&amp;TODAY())+N(Q402))/(SUMIFS($AF402:$IN402,$AF$4:$IN$4,"SEW_PLAN")/COUNTIFS($AF$4:$IN$4,"SEW_PLAN",$AF402:$IN402,"&gt;0")),1),0))</f>
        <v/>
      </c>
      <c r="AE402" s="26">
        <f>IF($E402="","",IF(AND(Z402&gt;0,OR(AND(M402&lt;&gt;"",TODAY()&gt;M402),AND(V402&lt;&gt;"",V402-TODAY()&lt;=7))),"Yes","No"))</f>
        <v/>
      </c>
      <c r="AH402">
        <f>IF(OR(AF$3="",AF$3&gt;TODAY()),"",IF(AND(AF402="",AG402=""),"",N(AG402)-N(AF402)))</f>
        <v/>
      </c>
      <c r="AK402">
        <f>IF(OR(AF$3="",AF$3&gt;TODAY()),"",IF(AND(AI402="",AJ402=""),"",N(AJ402)-N(AI402)))</f>
        <v/>
      </c>
      <c r="AO402">
        <f>IF(OR(AM$3="",AM$3&gt;TODAY()),"",IF(AND(AM402="",AN402=""),"",N(AN402)-N(AM402)))</f>
        <v/>
      </c>
      <c r="AR402">
        <f>IF(OR(AM$3="",AM$3&gt;TODAY()),"",IF(AND(AP402="",AQ402=""),"",N(AQ402)-N(AP402)))</f>
        <v/>
      </c>
      <c r="AV402">
        <f>IF(OR(AT$3="",AT$3&gt;TODAY()),"",IF(AND(AT402="",AU402=""),"",N(AU402)-N(AT402)))</f>
        <v/>
      </c>
      <c r="AY402">
        <f>IF(OR(AT$3="",AT$3&gt;TODAY()),"",IF(AND(AW402="",AX402=""),"",N(AX402)-N(AW402)))</f>
        <v/>
      </c>
      <c r="BC402">
        <f>IF(OR(BA$3="",BA$3&gt;TODAY()),"",IF(AND(BA402="",BB402=""),"",N(BB402)-N(BA402)))</f>
        <v/>
      </c>
      <c r="BF402">
        <f>IF(OR(BA$3="",BA$3&gt;TODAY()),"",IF(AND(BD402="",BE402=""),"",N(BE402)-N(BD402)))</f>
        <v/>
      </c>
      <c r="BJ402">
        <f>IF(OR(BH$3="",BH$3&gt;TODAY()),"",IF(AND(BH402="",BI402=""),"",N(BI402)-N(BH402)))</f>
        <v/>
      </c>
      <c r="BM402">
        <f>IF(OR(BH$3="",BH$3&gt;TODAY()),"",IF(AND(BK402="",BL402=""),"",N(BL402)-N(BK402)))</f>
        <v/>
      </c>
      <c r="BQ402">
        <f>IF(OR(BO$3="",BO$3&gt;TODAY()),"",IF(AND(BO402="",BP402=""),"",N(BP402)-N(BO402)))</f>
        <v/>
      </c>
      <c r="BT402">
        <f>IF(OR(BO$3="",BO$3&gt;TODAY()),"",IF(AND(BR402="",BS402=""),"",N(BS402)-N(BR402)))</f>
        <v/>
      </c>
      <c r="BX402">
        <f>IF(OR(BV$3="",BV$3&gt;TODAY()),"",IF(AND(BV402="",BW402=""),"",N(BW402)-N(BV402)))</f>
        <v/>
      </c>
      <c r="CA402">
        <f>IF(OR(BV$3="",BV$3&gt;TODAY()),"",IF(AND(BY402="",BZ402=""),"",N(BZ402)-N(BY402)))</f>
        <v/>
      </c>
      <c r="CE402">
        <f>IF(OR(CC$3="",CC$3&gt;TODAY()),"",IF(AND(CC402="",CD402=""),"",N(CD402)-N(CC402)))</f>
        <v/>
      </c>
      <c r="CH402">
        <f>IF(OR(CC$3="",CC$3&gt;TODAY()),"",IF(AND(CF402="",CG402=""),"",N(CG402)-N(CF402)))</f>
        <v/>
      </c>
      <c r="CL402">
        <f>IF(OR(CJ$3="",CJ$3&gt;TODAY()),"",IF(AND(CJ402="",CK402=""),"",N(CK402)-N(CJ402)))</f>
        <v/>
      </c>
      <c r="CO402">
        <f>IF(OR(CJ$3="",CJ$3&gt;TODAY()),"",IF(AND(CM402="",CN402=""),"",N(CN402)-N(CM402)))</f>
        <v/>
      </c>
      <c r="CS402">
        <f>IF(OR(CQ$3="",CQ$3&gt;TODAY()),"",IF(AND(CQ402="",CR402=""),"",N(CR402)-N(CQ402)))</f>
        <v/>
      </c>
      <c r="CV402">
        <f>IF(OR(CQ$3="",CQ$3&gt;TODAY()),"",IF(AND(CT402="",CU402=""),"",N(CU402)-N(CT402)))</f>
        <v/>
      </c>
      <c r="CZ402">
        <f>IF(OR(CX$3="",CX$3&gt;TODAY()),"",IF(AND(CX402="",CY402=""),"",N(CY402)-N(CX402)))</f>
        <v/>
      </c>
      <c r="DC402">
        <f>IF(OR(CX$3="",CX$3&gt;TODAY()),"",IF(AND(DA402="",DB402=""),"",N(DB402)-N(DA402)))</f>
        <v/>
      </c>
      <c r="DG402">
        <f>IF(OR(DE$3="",DE$3&gt;TODAY()),"",IF(AND(DE402="",DF402=""),"",N(DF402)-N(DE402)))</f>
        <v/>
      </c>
      <c r="DJ402">
        <f>IF(OR(DE$3="",DE$3&gt;TODAY()),"",IF(AND(DH402="",DI402=""),"",N(DI402)-N(DH402)))</f>
        <v/>
      </c>
      <c r="DN402">
        <f>IF(OR(DL$3="",DL$3&gt;TODAY()),"",IF(AND(DL402="",DM402=""),"",N(DM402)-N(DL402)))</f>
        <v/>
      </c>
      <c r="DQ402">
        <f>IF(OR(DL$3="",DL$3&gt;TODAY()),"",IF(AND(DO402="",DP402=""),"",N(DP402)-N(DO402)))</f>
        <v/>
      </c>
      <c r="DU402">
        <f>IF(OR(DS$3="",DS$3&gt;TODAY()),"",IF(AND(DS402="",DT402=""),"",N(DT402)-N(DS402)))</f>
        <v/>
      </c>
      <c r="DX402">
        <f>IF(OR(DS$3="",DS$3&gt;TODAY()),"",IF(AND(DV402="",DW402=""),"",N(DW402)-N(DV402)))</f>
        <v/>
      </c>
      <c r="EB402">
        <f>IF(OR(DZ$3="",DZ$3&gt;TODAY()),"",IF(AND(DZ402="",EA402=""),"",N(EA402)-N(DZ402)))</f>
        <v/>
      </c>
      <c r="EE402">
        <f>IF(OR(DZ$3="",DZ$3&gt;TODAY()),"",IF(AND(EC402="",ED402=""),"",N(ED402)-N(EC402)))</f>
        <v/>
      </c>
      <c r="EI402">
        <f>IF(OR(EG$3="",EG$3&gt;TODAY()),"",IF(AND(EG402="",EH402=""),"",N(EH402)-N(EG402)))</f>
        <v/>
      </c>
      <c r="EL402">
        <f>IF(OR(EG$3="",EG$3&gt;TODAY()),"",IF(AND(EJ402="",EK402=""),"",N(EK402)-N(EJ402)))</f>
        <v/>
      </c>
      <c r="EP402">
        <f>IF(OR(EN$3="",EN$3&gt;TODAY()),"",IF(AND(EN402="",EO402=""),"",N(EO402)-N(EN402)))</f>
        <v/>
      </c>
      <c r="ES402">
        <f>IF(OR(EN$3="",EN$3&gt;TODAY()),"",IF(AND(EQ402="",ER402=""),"",N(ER402)-N(EQ402)))</f>
        <v/>
      </c>
      <c r="EW402">
        <f>IF(OR(EU$3="",EU$3&gt;TODAY()),"",IF(AND(EU402="",EV402=""),"",N(EV402)-N(EU402)))</f>
        <v/>
      </c>
      <c r="EZ402">
        <f>IF(OR(EU$3="",EU$3&gt;TODAY()),"",IF(AND(EX402="",EY402=""),"",N(EY402)-N(EX402)))</f>
        <v/>
      </c>
      <c r="FD402">
        <f>IF(OR(FB$3="",FB$3&gt;TODAY()),"",IF(AND(FB402="",FC402=""),"",N(FC402)-N(FB402)))</f>
        <v/>
      </c>
      <c r="FG402">
        <f>IF(OR(FB$3="",FB$3&gt;TODAY()),"",IF(AND(FE402="",FF402=""),"",N(FF402)-N(FE402)))</f>
        <v/>
      </c>
      <c r="FK402">
        <f>IF(OR(FI$3="",FI$3&gt;TODAY()),"",IF(AND(FI402="",FJ402=""),"",N(FJ402)-N(FI402)))</f>
        <v/>
      </c>
      <c r="FN402">
        <f>IF(OR(FI$3="",FI$3&gt;TODAY()),"",IF(AND(FL402="",FM402=""),"",N(FM402)-N(FL402)))</f>
        <v/>
      </c>
      <c r="FR402">
        <f>IF(OR(FP$3="",FP$3&gt;TODAY()),"",IF(AND(FP402="",FQ402=""),"",N(FQ402)-N(FP402)))</f>
        <v/>
      </c>
      <c r="FU402">
        <f>IF(OR(FP$3="",FP$3&gt;TODAY()),"",IF(AND(FS402="",FT402=""),"",N(FT402)-N(FS402)))</f>
        <v/>
      </c>
      <c r="FY402">
        <f>IF(OR(FW$3="",FW$3&gt;TODAY()),"",IF(AND(FW402="",FX402=""),"",N(FX402)-N(FW402)))</f>
        <v/>
      </c>
      <c r="GB402">
        <f>IF(OR(FW$3="",FW$3&gt;TODAY()),"",IF(AND(FZ402="",GA402=""),"",N(GA402)-N(FZ402)))</f>
        <v/>
      </c>
      <c r="GF402">
        <f>IF(OR(GD$3="",GD$3&gt;TODAY()),"",IF(AND(GD402="",GE402=""),"",N(GE402)-N(GD402)))</f>
        <v/>
      </c>
      <c r="GI402">
        <f>IF(OR(GD$3="",GD$3&gt;TODAY()),"",IF(AND(GG402="",GH402=""),"",N(GH402)-N(GG402)))</f>
        <v/>
      </c>
      <c r="GM402">
        <f>IF(OR(GK$3="",GK$3&gt;TODAY()),"",IF(AND(GK402="",GL402=""),"",N(GL402)-N(GK402)))</f>
        <v/>
      </c>
      <c r="GP402">
        <f>IF(OR(GK$3="",GK$3&gt;TODAY()),"",IF(AND(GN402="",GO402=""),"",N(GO402)-N(GN402)))</f>
        <v/>
      </c>
      <c r="GT402">
        <f>IF(OR(GR$3="",GR$3&gt;TODAY()),"",IF(AND(GR402="",GS402=""),"",N(GS402)-N(GR402)))</f>
        <v/>
      </c>
      <c r="GW402">
        <f>IF(OR(GR$3="",GR$3&gt;TODAY()),"",IF(AND(GU402="",GV402=""),"",N(GV402)-N(GU402)))</f>
        <v/>
      </c>
      <c r="HA402">
        <f>IF(OR(GY$3="",GY$3&gt;TODAY()),"",IF(AND(GY402="",GZ402=""),"",N(GZ402)-N(GY402)))</f>
        <v/>
      </c>
      <c r="HD402">
        <f>IF(OR(GY$3="",GY$3&gt;TODAY()),"",IF(AND(HB402="",HC402=""),"",N(HC402)-N(HB402)))</f>
        <v/>
      </c>
      <c r="HH402">
        <f>IF(OR(HF$3="",HF$3&gt;TODAY()),"",IF(AND(HF402="",HG402=""),"",N(HG402)-N(HF402)))</f>
        <v/>
      </c>
      <c r="HK402">
        <f>IF(OR(HF$3="",HF$3&gt;TODAY()),"",IF(AND(HI402="",HJ402=""),"",N(HJ402)-N(HI402)))</f>
        <v/>
      </c>
      <c r="HO402">
        <f>IF(OR(HM$3="",HM$3&gt;TODAY()),"",IF(AND(HM402="",HN402=""),"",N(HN402)-N(HM402)))</f>
        <v/>
      </c>
      <c r="HR402">
        <f>IF(OR(HM$3="",HM$3&gt;TODAY()),"",IF(AND(HP402="",HQ402=""),"",N(HQ402)-N(HP402)))</f>
        <v/>
      </c>
      <c r="HV402">
        <f>IF(OR(HT$3="",HT$3&gt;TODAY()),"",IF(AND(HT402="",HU402=""),"",N(HU402)-N(HT402)))</f>
        <v/>
      </c>
      <c r="HY402">
        <f>IF(OR(HT$3="",HT$3&gt;TODAY()),"",IF(AND(HW402="",HX402=""),"",N(HX402)-N(HW402)))</f>
        <v/>
      </c>
      <c r="IC402">
        <f>IF(OR(IA$3="",IA$3&gt;TODAY()),"",IF(AND(IA402="",IB402=""),"",N(IB402)-N(IA402)))</f>
        <v/>
      </c>
      <c r="IF402">
        <f>IF(OR(IA$3="",IA$3&gt;TODAY()),"",IF(AND(ID402="",IE402=""),"",N(IE402)-N(ID402)))</f>
        <v/>
      </c>
      <c r="IJ402">
        <f>IF(OR(IH$3="",IH$3&gt;TODAY()),"",IF(AND(IH402="",II402=""),"",N(II402)-N(IH402)))</f>
        <v/>
      </c>
      <c r="IM402">
        <f>IF(OR(IH$3="",IH$3&gt;TODAY()),"",IF(AND(IK402="",IL402=""),"",N(IL402)-N(IK402)))</f>
        <v/>
      </c>
    </row>
    <row r="403">
      <c r="A403" s="21" t="n"/>
      <c r="B403" s="21" t="n"/>
      <c r="C403" s="21" t="n"/>
      <c r="D403" s="21" t="n"/>
      <c r="E403" s="21" t="n"/>
      <c r="F403" s="21" t="n"/>
      <c r="G403" s="21" t="n"/>
      <c r="H403" s="21" t="n"/>
      <c r="I403" s="22" t="n"/>
      <c r="J403" s="22" t="n"/>
      <c r="K403" s="23" t="n"/>
      <c r="L403" s="22" t="n"/>
      <c r="M403" s="22" t="n"/>
      <c r="N403" s="21" t="n"/>
      <c r="O403" s="23" t="n"/>
      <c r="P403" s="23" t="n"/>
      <c r="Q403" s="23" t="n"/>
      <c r="R403" s="23" t="n"/>
      <c r="S403" s="22" t="n"/>
      <c r="T403" s="23" t="n"/>
      <c r="U403" s="23" t="n"/>
      <c r="V403" s="24">
        <f>IF(J403&lt;&gt;"",J403,IF(I403&lt;&gt;"",I403,""))</f>
        <v/>
      </c>
      <c r="W403" s="25">
        <f>IF($E403="","",N(O403)+SUMIFS($AF403:$IN403,$AF$4:$IN$4,"SEW_ACT"))</f>
        <v/>
      </c>
      <c r="X403" s="25">
        <f>IF($E403="","",N(P403)+SUMIFS($AF403:$IN403,$AF$4:$IN$4,"WASH_ACT"))</f>
        <v/>
      </c>
      <c r="Y403" s="25">
        <f>IF($E403="","",W403-X403-N(T403)-N(U403))</f>
        <v/>
      </c>
      <c r="Z403" s="25">
        <f>IF($E403="","",IF(N(K403)-X403&lt;=0.02*N(K403),0,N(K403)-X403))</f>
        <v/>
      </c>
      <c r="AA403" s="24">
        <f>IF($E403="","",IF(S403&lt;&gt;"",S403,IF(N(O403)&gt;0,IF(L403&lt;&gt;"",L403,99999),IFERROR(1/(1/_xlfn.MINIFS($AF$3:$IN$3,$AF$4:$IN$4,"SEW_ACT",$AF403:$IN403,"&gt;0")),99999))))</f>
        <v/>
      </c>
      <c r="AB403" s="26">
        <f>IF(OR($E403="",Z403=0,V403=""),"",1+COUNTIFS(Z$8:Z$707,"&gt;0",V$8:V$707,"&lt;"&amp;V403)+COUNTIFS(Z$8:Z$707,"&gt;0",V$8:V$707,V403,AA$8:AA$707,"&lt;"&amp;AA403)+COUNTIFS(Z$8:Z$707,"&gt;0",V$8:V$707,V403,AA$8:AA$707,AA403,E$8:E$707,"&lt;"&amp;$E403))</f>
        <v/>
      </c>
      <c r="AC403" s="24">
        <f>IF(OR($E403="",Z403=0),"",IFERROR(TODAY()+ROUNDUP(Z403/(SUMIFS($AF403:$IN403,$AF$4:$IN$4,"WASH_ACT")/COUNTIFS($AF$4:$IN$4,"WASH_ACT",$AF403:$IN403,"&gt;0")),0),"no output yet"))</f>
        <v/>
      </c>
      <c r="AD403" s="26">
        <f>IF($E403="","",IFERROR(ROUND(MAX(0,SUMIFS($AF403:$IN403,$AF$4:$IN$4,"SEW_PLAN",$AF$3:$IN$3,"&lt;="&amp;TODAY())-SUMIFS($AF403:$IN403,$AF$4:$IN$4,"SEW_ACT",$AF$3:$IN$3,"&lt;="&amp;TODAY())+N(Q403))/(SUMIFS($AF403:$IN403,$AF$4:$IN$4,"SEW_PLAN")/COUNTIFS($AF$4:$IN$4,"SEW_PLAN",$AF403:$IN403,"&gt;0")),1),0))</f>
        <v/>
      </c>
      <c r="AE403" s="26">
        <f>IF($E403="","",IF(AND(Z403&gt;0,OR(AND(M403&lt;&gt;"",TODAY()&gt;M403),AND(V403&lt;&gt;"",V403-TODAY()&lt;=7))),"Yes","No"))</f>
        <v/>
      </c>
      <c r="AH403">
        <f>IF(OR(AF$3="",AF$3&gt;TODAY()),"",IF(AND(AF403="",AG403=""),"",N(AG403)-N(AF403)))</f>
        <v/>
      </c>
      <c r="AK403">
        <f>IF(OR(AF$3="",AF$3&gt;TODAY()),"",IF(AND(AI403="",AJ403=""),"",N(AJ403)-N(AI403)))</f>
        <v/>
      </c>
      <c r="AO403">
        <f>IF(OR(AM$3="",AM$3&gt;TODAY()),"",IF(AND(AM403="",AN403=""),"",N(AN403)-N(AM403)))</f>
        <v/>
      </c>
      <c r="AR403">
        <f>IF(OR(AM$3="",AM$3&gt;TODAY()),"",IF(AND(AP403="",AQ403=""),"",N(AQ403)-N(AP403)))</f>
        <v/>
      </c>
      <c r="AV403">
        <f>IF(OR(AT$3="",AT$3&gt;TODAY()),"",IF(AND(AT403="",AU403=""),"",N(AU403)-N(AT403)))</f>
        <v/>
      </c>
      <c r="AY403">
        <f>IF(OR(AT$3="",AT$3&gt;TODAY()),"",IF(AND(AW403="",AX403=""),"",N(AX403)-N(AW403)))</f>
        <v/>
      </c>
      <c r="BC403">
        <f>IF(OR(BA$3="",BA$3&gt;TODAY()),"",IF(AND(BA403="",BB403=""),"",N(BB403)-N(BA403)))</f>
        <v/>
      </c>
      <c r="BF403">
        <f>IF(OR(BA$3="",BA$3&gt;TODAY()),"",IF(AND(BD403="",BE403=""),"",N(BE403)-N(BD403)))</f>
        <v/>
      </c>
      <c r="BJ403">
        <f>IF(OR(BH$3="",BH$3&gt;TODAY()),"",IF(AND(BH403="",BI403=""),"",N(BI403)-N(BH403)))</f>
        <v/>
      </c>
      <c r="BM403">
        <f>IF(OR(BH$3="",BH$3&gt;TODAY()),"",IF(AND(BK403="",BL403=""),"",N(BL403)-N(BK403)))</f>
        <v/>
      </c>
      <c r="BQ403">
        <f>IF(OR(BO$3="",BO$3&gt;TODAY()),"",IF(AND(BO403="",BP403=""),"",N(BP403)-N(BO403)))</f>
        <v/>
      </c>
      <c r="BT403">
        <f>IF(OR(BO$3="",BO$3&gt;TODAY()),"",IF(AND(BR403="",BS403=""),"",N(BS403)-N(BR403)))</f>
        <v/>
      </c>
      <c r="BX403">
        <f>IF(OR(BV$3="",BV$3&gt;TODAY()),"",IF(AND(BV403="",BW403=""),"",N(BW403)-N(BV403)))</f>
        <v/>
      </c>
      <c r="CA403">
        <f>IF(OR(BV$3="",BV$3&gt;TODAY()),"",IF(AND(BY403="",BZ403=""),"",N(BZ403)-N(BY403)))</f>
        <v/>
      </c>
      <c r="CE403">
        <f>IF(OR(CC$3="",CC$3&gt;TODAY()),"",IF(AND(CC403="",CD403=""),"",N(CD403)-N(CC403)))</f>
        <v/>
      </c>
      <c r="CH403">
        <f>IF(OR(CC$3="",CC$3&gt;TODAY()),"",IF(AND(CF403="",CG403=""),"",N(CG403)-N(CF403)))</f>
        <v/>
      </c>
      <c r="CL403">
        <f>IF(OR(CJ$3="",CJ$3&gt;TODAY()),"",IF(AND(CJ403="",CK403=""),"",N(CK403)-N(CJ403)))</f>
        <v/>
      </c>
      <c r="CO403">
        <f>IF(OR(CJ$3="",CJ$3&gt;TODAY()),"",IF(AND(CM403="",CN403=""),"",N(CN403)-N(CM403)))</f>
        <v/>
      </c>
      <c r="CS403">
        <f>IF(OR(CQ$3="",CQ$3&gt;TODAY()),"",IF(AND(CQ403="",CR403=""),"",N(CR403)-N(CQ403)))</f>
        <v/>
      </c>
      <c r="CV403">
        <f>IF(OR(CQ$3="",CQ$3&gt;TODAY()),"",IF(AND(CT403="",CU403=""),"",N(CU403)-N(CT403)))</f>
        <v/>
      </c>
      <c r="CZ403">
        <f>IF(OR(CX$3="",CX$3&gt;TODAY()),"",IF(AND(CX403="",CY403=""),"",N(CY403)-N(CX403)))</f>
        <v/>
      </c>
      <c r="DC403">
        <f>IF(OR(CX$3="",CX$3&gt;TODAY()),"",IF(AND(DA403="",DB403=""),"",N(DB403)-N(DA403)))</f>
        <v/>
      </c>
      <c r="DG403">
        <f>IF(OR(DE$3="",DE$3&gt;TODAY()),"",IF(AND(DE403="",DF403=""),"",N(DF403)-N(DE403)))</f>
        <v/>
      </c>
      <c r="DJ403">
        <f>IF(OR(DE$3="",DE$3&gt;TODAY()),"",IF(AND(DH403="",DI403=""),"",N(DI403)-N(DH403)))</f>
        <v/>
      </c>
      <c r="DN403">
        <f>IF(OR(DL$3="",DL$3&gt;TODAY()),"",IF(AND(DL403="",DM403=""),"",N(DM403)-N(DL403)))</f>
        <v/>
      </c>
      <c r="DQ403">
        <f>IF(OR(DL$3="",DL$3&gt;TODAY()),"",IF(AND(DO403="",DP403=""),"",N(DP403)-N(DO403)))</f>
        <v/>
      </c>
      <c r="DU403">
        <f>IF(OR(DS$3="",DS$3&gt;TODAY()),"",IF(AND(DS403="",DT403=""),"",N(DT403)-N(DS403)))</f>
        <v/>
      </c>
      <c r="DX403">
        <f>IF(OR(DS$3="",DS$3&gt;TODAY()),"",IF(AND(DV403="",DW403=""),"",N(DW403)-N(DV403)))</f>
        <v/>
      </c>
      <c r="EB403">
        <f>IF(OR(DZ$3="",DZ$3&gt;TODAY()),"",IF(AND(DZ403="",EA403=""),"",N(EA403)-N(DZ403)))</f>
        <v/>
      </c>
      <c r="EE403">
        <f>IF(OR(DZ$3="",DZ$3&gt;TODAY()),"",IF(AND(EC403="",ED403=""),"",N(ED403)-N(EC403)))</f>
        <v/>
      </c>
      <c r="EI403">
        <f>IF(OR(EG$3="",EG$3&gt;TODAY()),"",IF(AND(EG403="",EH403=""),"",N(EH403)-N(EG403)))</f>
        <v/>
      </c>
      <c r="EL403">
        <f>IF(OR(EG$3="",EG$3&gt;TODAY()),"",IF(AND(EJ403="",EK403=""),"",N(EK403)-N(EJ403)))</f>
        <v/>
      </c>
      <c r="EP403">
        <f>IF(OR(EN$3="",EN$3&gt;TODAY()),"",IF(AND(EN403="",EO403=""),"",N(EO403)-N(EN403)))</f>
        <v/>
      </c>
      <c r="ES403">
        <f>IF(OR(EN$3="",EN$3&gt;TODAY()),"",IF(AND(EQ403="",ER403=""),"",N(ER403)-N(EQ403)))</f>
        <v/>
      </c>
      <c r="EW403">
        <f>IF(OR(EU$3="",EU$3&gt;TODAY()),"",IF(AND(EU403="",EV403=""),"",N(EV403)-N(EU403)))</f>
        <v/>
      </c>
      <c r="EZ403">
        <f>IF(OR(EU$3="",EU$3&gt;TODAY()),"",IF(AND(EX403="",EY403=""),"",N(EY403)-N(EX403)))</f>
        <v/>
      </c>
      <c r="FD403">
        <f>IF(OR(FB$3="",FB$3&gt;TODAY()),"",IF(AND(FB403="",FC403=""),"",N(FC403)-N(FB403)))</f>
        <v/>
      </c>
      <c r="FG403">
        <f>IF(OR(FB$3="",FB$3&gt;TODAY()),"",IF(AND(FE403="",FF403=""),"",N(FF403)-N(FE403)))</f>
        <v/>
      </c>
      <c r="FK403">
        <f>IF(OR(FI$3="",FI$3&gt;TODAY()),"",IF(AND(FI403="",FJ403=""),"",N(FJ403)-N(FI403)))</f>
        <v/>
      </c>
      <c r="FN403">
        <f>IF(OR(FI$3="",FI$3&gt;TODAY()),"",IF(AND(FL403="",FM403=""),"",N(FM403)-N(FL403)))</f>
        <v/>
      </c>
      <c r="FR403">
        <f>IF(OR(FP$3="",FP$3&gt;TODAY()),"",IF(AND(FP403="",FQ403=""),"",N(FQ403)-N(FP403)))</f>
        <v/>
      </c>
      <c r="FU403">
        <f>IF(OR(FP$3="",FP$3&gt;TODAY()),"",IF(AND(FS403="",FT403=""),"",N(FT403)-N(FS403)))</f>
        <v/>
      </c>
      <c r="FY403">
        <f>IF(OR(FW$3="",FW$3&gt;TODAY()),"",IF(AND(FW403="",FX403=""),"",N(FX403)-N(FW403)))</f>
        <v/>
      </c>
      <c r="GB403">
        <f>IF(OR(FW$3="",FW$3&gt;TODAY()),"",IF(AND(FZ403="",GA403=""),"",N(GA403)-N(FZ403)))</f>
        <v/>
      </c>
      <c r="GF403">
        <f>IF(OR(GD$3="",GD$3&gt;TODAY()),"",IF(AND(GD403="",GE403=""),"",N(GE403)-N(GD403)))</f>
        <v/>
      </c>
      <c r="GI403">
        <f>IF(OR(GD$3="",GD$3&gt;TODAY()),"",IF(AND(GG403="",GH403=""),"",N(GH403)-N(GG403)))</f>
        <v/>
      </c>
      <c r="GM403">
        <f>IF(OR(GK$3="",GK$3&gt;TODAY()),"",IF(AND(GK403="",GL403=""),"",N(GL403)-N(GK403)))</f>
        <v/>
      </c>
      <c r="GP403">
        <f>IF(OR(GK$3="",GK$3&gt;TODAY()),"",IF(AND(GN403="",GO403=""),"",N(GO403)-N(GN403)))</f>
        <v/>
      </c>
      <c r="GT403">
        <f>IF(OR(GR$3="",GR$3&gt;TODAY()),"",IF(AND(GR403="",GS403=""),"",N(GS403)-N(GR403)))</f>
        <v/>
      </c>
      <c r="GW403">
        <f>IF(OR(GR$3="",GR$3&gt;TODAY()),"",IF(AND(GU403="",GV403=""),"",N(GV403)-N(GU403)))</f>
        <v/>
      </c>
      <c r="HA403">
        <f>IF(OR(GY$3="",GY$3&gt;TODAY()),"",IF(AND(GY403="",GZ403=""),"",N(GZ403)-N(GY403)))</f>
        <v/>
      </c>
      <c r="HD403">
        <f>IF(OR(GY$3="",GY$3&gt;TODAY()),"",IF(AND(HB403="",HC403=""),"",N(HC403)-N(HB403)))</f>
        <v/>
      </c>
      <c r="HH403">
        <f>IF(OR(HF$3="",HF$3&gt;TODAY()),"",IF(AND(HF403="",HG403=""),"",N(HG403)-N(HF403)))</f>
        <v/>
      </c>
      <c r="HK403">
        <f>IF(OR(HF$3="",HF$3&gt;TODAY()),"",IF(AND(HI403="",HJ403=""),"",N(HJ403)-N(HI403)))</f>
        <v/>
      </c>
      <c r="HO403">
        <f>IF(OR(HM$3="",HM$3&gt;TODAY()),"",IF(AND(HM403="",HN403=""),"",N(HN403)-N(HM403)))</f>
        <v/>
      </c>
      <c r="HR403">
        <f>IF(OR(HM$3="",HM$3&gt;TODAY()),"",IF(AND(HP403="",HQ403=""),"",N(HQ403)-N(HP403)))</f>
        <v/>
      </c>
      <c r="HV403">
        <f>IF(OR(HT$3="",HT$3&gt;TODAY()),"",IF(AND(HT403="",HU403=""),"",N(HU403)-N(HT403)))</f>
        <v/>
      </c>
      <c r="HY403">
        <f>IF(OR(HT$3="",HT$3&gt;TODAY()),"",IF(AND(HW403="",HX403=""),"",N(HX403)-N(HW403)))</f>
        <v/>
      </c>
      <c r="IC403">
        <f>IF(OR(IA$3="",IA$3&gt;TODAY()),"",IF(AND(IA403="",IB403=""),"",N(IB403)-N(IA403)))</f>
        <v/>
      </c>
      <c r="IF403">
        <f>IF(OR(IA$3="",IA$3&gt;TODAY()),"",IF(AND(ID403="",IE403=""),"",N(IE403)-N(ID403)))</f>
        <v/>
      </c>
      <c r="IJ403">
        <f>IF(OR(IH$3="",IH$3&gt;TODAY()),"",IF(AND(IH403="",II403=""),"",N(II403)-N(IH403)))</f>
        <v/>
      </c>
      <c r="IM403">
        <f>IF(OR(IH$3="",IH$3&gt;TODAY()),"",IF(AND(IK403="",IL403=""),"",N(IL403)-N(IK403)))</f>
        <v/>
      </c>
    </row>
    <row r="404">
      <c r="A404" s="21" t="n"/>
      <c r="B404" s="21" t="n"/>
      <c r="C404" s="21" t="n"/>
      <c r="D404" s="21" t="n"/>
      <c r="E404" s="21" t="n"/>
      <c r="F404" s="21" t="n"/>
      <c r="G404" s="21" t="n"/>
      <c r="H404" s="21" t="n"/>
      <c r="I404" s="22" t="n"/>
      <c r="J404" s="22" t="n"/>
      <c r="K404" s="23" t="n"/>
      <c r="L404" s="22" t="n"/>
      <c r="M404" s="22" t="n"/>
      <c r="N404" s="21" t="n"/>
      <c r="O404" s="23" t="n"/>
      <c r="P404" s="23" t="n"/>
      <c r="Q404" s="23" t="n"/>
      <c r="R404" s="23" t="n"/>
      <c r="S404" s="22" t="n"/>
      <c r="T404" s="23" t="n"/>
      <c r="U404" s="23" t="n"/>
      <c r="V404" s="24">
        <f>IF(J404&lt;&gt;"",J404,IF(I404&lt;&gt;"",I404,""))</f>
        <v/>
      </c>
      <c r="W404" s="25">
        <f>IF($E404="","",N(O404)+SUMIFS($AF404:$IN404,$AF$4:$IN$4,"SEW_ACT"))</f>
        <v/>
      </c>
      <c r="X404" s="25">
        <f>IF($E404="","",N(P404)+SUMIFS($AF404:$IN404,$AF$4:$IN$4,"WASH_ACT"))</f>
        <v/>
      </c>
      <c r="Y404" s="25">
        <f>IF($E404="","",W404-X404-N(T404)-N(U404))</f>
        <v/>
      </c>
      <c r="Z404" s="25">
        <f>IF($E404="","",IF(N(K404)-X404&lt;=0.02*N(K404),0,N(K404)-X404))</f>
        <v/>
      </c>
      <c r="AA404" s="24">
        <f>IF($E404="","",IF(S404&lt;&gt;"",S404,IF(N(O404)&gt;0,IF(L404&lt;&gt;"",L404,99999),IFERROR(1/(1/_xlfn.MINIFS($AF$3:$IN$3,$AF$4:$IN$4,"SEW_ACT",$AF404:$IN404,"&gt;0")),99999))))</f>
        <v/>
      </c>
      <c r="AB404" s="26">
        <f>IF(OR($E404="",Z404=0,V404=""),"",1+COUNTIFS(Z$8:Z$707,"&gt;0",V$8:V$707,"&lt;"&amp;V404)+COUNTIFS(Z$8:Z$707,"&gt;0",V$8:V$707,V404,AA$8:AA$707,"&lt;"&amp;AA404)+COUNTIFS(Z$8:Z$707,"&gt;0",V$8:V$707,V404,AA$8:AA$707,AA404,E$8:E$707,"&lt;"&amp;$E404))</f>
        <v/>
      </c>
      <c r="AC404" s="24">
        <f>IF(OR($E404="",Z404=0),"",IFERROR(TODAY()+ROUNDUP(Z404/(SUMIFS($AF404:$IN404,$AF$4:$IN$4,"WASH_ACT")/COUNTIFS($AF$4:$IN$4,"WASH_ACT",$AF404:$IN404,"&gt;0")),0),"no output yet"))</f>
        <v/>
      </c>
      <c r="AD404" s="26">
        <f>IF($E404="","",IFERROR(ROUND(MAX(0,SUMIFS($AF404:$IN404,$AF$4:$IN$4,"SEW_PLAN",$AF$3:$IN$3,"&lt;="&amp;TODAY())-SUMIFS($AF404:$IN404,$AF$4:$IN$4,"SEW_ACT",$AF$3:$IN$3,"&lt;="&amp;TODAY())+N(Q404))/(SUMIFS($AF404:$IN404,$AF$4:$IN$4,"SEW_PLAN")/COUNTIFS($AF$4:$IN$4,"SEW_PLAN",$AF404:$IN404,"&gt;0")),1),0))</f>
        <v/>
      </c>
      <c r="AE404" s="26">
        <f>IF($E404="","",IF(AND(Z404&gt;0,OR(AND(M404&lt;&gt;"",TODAY()&gt;M404),AND(V404&lt;&gt;"",V404-TODAY()&lt;=7))),"Yes","No"))</f>
        <v/>
      </c>
      <c r="AH404">
        <f>IF(OR(AF$3="",AF$3&gt;TODAY()),"",IF(AND(AF404="",AG404=""),"",N(AG404)-N(AF404)))</f>
        <v/>
      </c>
      <c r="AK404">
        <f>IF(OR(AF$3="",AF$3&gt;TODAY()),"",IF(AND(AI404="",AJ404=""),"",N(AJ404)-N(AI404)))</f>
        <v/>
      </c>
      <c r="AO404">
        <f>IF(OR(AM$3="",AM$3&gt;TODAY()),"",IF(AND(AM404="",AN404=""),"",N(AN404)-N(AM404)))</f>
        <v/>
      </c>
      <c r="AR404">
        <f>IF(OR(AM$3="",AM$3&gt;TODAY()),"",IF(AND(AP404="",AQ404=""),"",N(AQ404)-N(AP404)))</f>
        <v/>
      </c>
      <c r="AV404">
        <f>IF(OR(AT$3="",AT$3&gt;TODAY()),"",IF(AND(AT404="",AU404=""),"",N(AU404)-N(AT404)))</f>
        <v/>
      </c>
      <c r="AY404">
        <f>IF(OR(AT$3="",AT$3&gt;TODAY()),"",IF(AND(AW404="",AX404=""),"",N(AX404)-N(AW404)))</f>
        <v/>
      </c>
      <c r="BC404">
        <f>IF(OR(BA$3="",BA$3&gt;TODAY()),"",IF(AND(BA404="",BB404=""),"",N(BB404)-N(BA404)))</f>
        <v/>
      </c>
      <c r="BF404">
        <f>IF(OR(BA$3="",BA$3&gt;TODAY()),"",IF(AND(BD404="",BE404=""),"",N(BE404)-N(BD404)))</f>
        <v/>
      </c>
      <c r="BJ404">
        <f>IF(OR(BH$3="",BH$3&gt;TODAY()),"",IF(AND(BH404="",BI404=""),"",N(BI404)-N(BH404)))</f>
        <v/>
      </c>
      <c r="BM404">
        <f>IF(OR(BH$3="",BH$3&gt;TODAY()),"",IF(AND(BK404="",BL404=""),"",N(BL404)-N(BK404)))</f>
        <v/>
      </c>
      <c r="BQ404">
        <f>IF(OR(BO$3="",BO$3&gt;TODAY()),"",IF(AND(BO404="",BP404=""),"",N(BP404)-N(BO404)))</f>
        <v/>
      </c>
      <c r="BT404">
        <f>IF(OR(BO$3="",BO$3&gt;TODAY()),"",IF(AND(BR404="",BS404=""),"",N(BS404)-N(BR404)))</f>
        <v/>
      </c>
      <c r="BX404">
        <f>IF(OR(BV$3="",BV$3&gt;TODAY()),"",IF(AND(BV404="",BW404=""),"",N(BW404)-N(BV404)))</f>
        <v/>
      </c>
      <c r="CA404">
        <f>IF(OR(BV$3="",BV$3&gt;TODAY()),"",IF(AND(BY404="",BZ404=""),"",N(BZ404)-N(BY404)))</f>
        <v/>
      </c>
      <c r="CE404">
        <f>IF(OR(CC$3="",CC$3&gt;TODAY()),"",IF(AND(CC404="",CD404=""),"",N(CD404)-N(CC404)))</f>
        <v/>
      </c>
      <c r="CH404">
        <f>IF(OR(CC$3="",CC$3&gt;TODAY()),"",IF(AND(CF404="",CG404=""),"",N(CG404)-N(CF404)))</f>
        <v/>
      </c>
      <c r="CL404">
        <f>IF(OR(CJ$3="",CJ$3&gt;TODAY()),"",IF(AND(CJ404="",CK404=""),"",N(CK404)-N(CJ404)))</f>
        <v/>
      </c>
      <c r="CO404">
        <f>IF(OR(CJ$3="",CJ$3&gt;TODAY()),"",IF(AND(CM404="",CN404=""),"",N(CN404)-N(CM404)))</f>
        <v/>
      </c>
      <c r="CS404">
        <f>IF(OR(CQ$3="",CQ$3&gt;TODAY()),"",IF(AND(CQ404="",CR404=""),"",N(CR404)-N(CQ404)))</f>
        <v/>
      </c>
      <c r="CV404">
        <f>IF(OR(CQ$3="",CQ$3&gt;TODAY()),"",IF(AND(CT404="",CU404=""),"",N(CU404)-N(CT404)))</f>
        <v/>
      </c>
      <c r="CZ404">
        <f>IF(OR(CX$3="",CX$3&gt;TODAY()),"",IF(AND(CX404="",CY404=""),"",N(CY404)-N(CX404)))</f>
        <v/>
      </c>
      <c r="DC404">
        <f>IF(OR(CX$3="",CX$3&gt;TODAY()),"",IF(AND(DA404="",DB404=""),"",N(DB404)-N(DA404)))</f>
        <v/>
      </c>
      <c r="DG404">
        <f>IF(OR(DE$3="",DE$3&gt;TODAY()),"",IF(AND(DE404="",DF404=""),"",N(DF404)-N(DE404)))</f>
        <v/>
      </c>
      <c r="DJ404">
        <f>IF(OR(DE$3="",DE$3&gt;TODAY()),"",IF(AND(DH404="",DI404=""),"",N(DI404)-N(DH404)))</f>
        <v/>
      </c>
      <c r="DN404">
        <f>IF(OR(DL$3="",DL$3&gt;TODAY()),"",IF(AND(DL404="",DM404=""),"",N(DM404)-N(DL404)))</f>
        <v/>
      </c>
      <c r="DQ404">
        <f>IF(OR(DL$3="",DL$3&gt;TODAY()),"",IF(AND(DO404="",DP404=""),"",N(DP404)-N(DO404)))</f>
        <v/>
      </c>
      <c r="DU404">
        <f>IF(OR(DS$3="",DS$3&gt;TODAY()),"",IF(AND(DS404="",DT404=""),"",N(DT404)-N(DS404)))</f>
        <v/>
      </c>
      <c r="DX404">
        <f>IF(OR(DS$3="",DS$3&gt;TODAY()),"",IF(AND(DV404="",DW404=""),"",N(DW404)-N(DV404)))</f>
        <v/>
      </c>
      <c r="EB404">
        <f>IF(OR(DZ$3="",DZ$3&gt;TODAY()),"",IF(AND(DZ404="",EA404=""),"",N(EA404)-N(DZ404)))</f>
        <v/>
      </c>
      <c r="EE404">
        <f>IF(OR(DZ$3="",DZ$3&gt;TODAY()),"",IF(AND(EC404="",ED404=""),"",N(ED404)-N(EC404)))</f>
        <v/>
      </c>
      <c r="EI404">
        <f>IF(OR(EG$3="",EG$3&gt;TODAY()),"",IF(AND(EG404="",EH404=""),"",N(EH404)-N(EG404)))</f>
        <v/>
      </c>
      <c r="EL404">
        <f>IF(OR(EG$3="",EG$3&gt;TODAY()),"",IF(AND(EJ404="",EK404=""),"",N(EK404)-N(EJ404)))</f>
        <v/>
      </c>
      <c r="EP404">
        <f>IF(OR(EN$3="",EN$3&gt;TODAY()),"",IF(AND(EN404="",EO404=""),"",N(EO404)-N(EN404)))</f>
        <v/>
      </c>
      <c r="ES404">
        <f>IF(OR(EN$3="",EN$3&gt;TODAY()),"",IF(AND(EQ404="",ER404=""),"",N(ER404)-N(EQ404)))</f>
        <v/>
      </c>
      <c r="EW404">
        <f>IF(OR(EU$3="",EU$3&gt;TODAY()),"",IF(AND(EU404="",EV404=""),"",N(EV404)-N(EU404)))</f>
        <v/>
      </c>
      <c r="EZ404">
        <f>IF(OR(EU$3="",EU$3&gt;TODAY()),"",IF(AND(EX404="",EY404=""),"",N(EY404)-N(EX404)))</f>
        <v/>
      </c>
      <c r="FD404">
        <f>IF(OR(FB$3="",FB$3&gt;TODAY()),"",IF(AND(FB404="",FC404=""),"",N(FC404)-N(FB404)))</f>
        <v/>
      </c>
      <c r="FG404">
        <f>IF(OR(FB$3="",FB$3&gt;TODAY()),"",IF(AND(FE404="",FF404=""),"",N(FF404)-N(FE404)))</f>
        <v/>
      </c>
      <c r="FK404">
        <f>IF(OR(FI$3="",FI$3&gt;TODAY()),"",IF(AND(FI404="",FJ404=""),"",N(FJ404)-N(FI404)))</f>
        <v/>
      </c>
      <c r="FN404">
        <f>IF(OR(FI$3="",FI$3&gt;TODAY()),"",IF(AND(FL404="",FM404=""),"",N(FM404)-N(FL404)))</f>
        <v/>
      </c>
      <c r="FR404">
        <f>IF(OR(FP$3="",FP$3&gt;TODAY()),"",IF(AND(FP404="",FQ404=""),"",N(FQ404)-N(FP404)))</f>
        <v/>
      </c>
      <c r="FU404">
        <f>IF(OR(FP$3="",FP$3&gt;TODAY()),"",IF(AND(FS404="",FT404=""),"",N(FT404)-N(FS404)))</f>
        <v/>
      </c>
      <c r="FY404">
        <f>IF(OR(FW$3="",FW$3&gt;TODAY()),"",IF(AND(FW404="",FX404=""),"",N(FX404)-N(FW404)))</f>
        <v/>
      </c>
      <c r="GB404">
        <f>IF(OR(FW$3="",FW$3&gt;TODAY()),"",IF(AND(FZ404="",GA404=""),"",N(GA404)-N(FZ404)))</f>
        <v/>
      </c>
      <c r="GF404">
        <f>IF(OR(GD$3="",GD$3&gt;TODAY()),"",IF(AND(GD404="",GE404=""),"",N(GE404)-N(GD404)))</f>
        <v/>
      </c>
      <c r="GI404">
        <f>IF(OR(GD$3="",GD$3&gt;TODAY()),"",IF(AND(GG404="",GH404=""),"",N(GH404)-N(GG404)))</f>
        <v/>
      </c>
      <c r="GM404">
        <f>IF(OR(GK$3="",GK$3&gt;TODAY()),"",IF(AND(GK404="",GL404=""),"",N(GL404)-N(GK404)))</f>
        <v/>
      </c>
      <c r="GP404">
        <f>IF(OR(GK$3="",GK$3&gt;TODAY()),"",IF(AND(GN404="",GO404=""),"",N(GO404)-N(GN404)))</f>
        <v/>
      </c>
      <c r="GT404">
        <f>IF(OR(GR$3="",GR$3&gt;TODAY()),"",IF(AND(GR404="",GS404=""),"",N(GS404)-N(GR404)))</f>
        <v/>
      </c>
      <c r="GW404">
        <f>IF(OR(GR$3="",GR$3&gt;TODAY()),"",IF(AND(GU404="",GV404=""),"",N(GV404)-N(GU404)))</f>
        <v/>
      </c>
      <c r="HA404">
        <f>IF(OR(GY$3="",GY$3&gt;TODAY()),"",IF(AND(GY404="",GZ404=""),"",N(GZ404)-N(GY404)))</f>
        <v/>
      </c>
      <c r="HD404">
        <f>IF(OR(GY$3="",GY$3&gt;TODAY()),"",IF(AND(HB404="",HC404=""),"",N(HC404)-N(HB404)))</f>
        <v/>
      </c>
      <c r="HH404">
        <f>IF(OR(HF$3="",HF$3&gt;TODAY()),"",IF(AND(HF404="",HG404=""),"",N(HG404)-N(HF404)))</f>
        <v/>
      </c>
      <c r="HK404">
        <f>IF(OR(HF$3="",HF$3&gt;TODAY()),"",IF(AND(HI404="",HJ404=""),"",N(HJ404)-N(HI404)))</f>
        <v/>
      </c>
      <c r="HO404">
        <f>IF(OR(HM$3="",HM$3&gt;TODAY()),"",IF(AND(HM404="",HN404=""),"",N(HN404)-N(HM404)))</f>
        <v/>
      </c>
      <c r="HR404">
        <f>IF(OR(HM$3="",HM$3&gt;TODAY()),"",IF(AND(HP404="",HQ404=""),"",N(HQ404)-N(HP404)))</f>
        <v/>
      </c>
      <c r="HV404">
        <f>IF(OR(HT$3="",HT$3&gt;TODAY()),"",IF(AND(HT404="",HU404=""),"",N(HU404)-N(HT404)))</f>
        <v/>
      </c>
      <c r="HY404">
        <f>IF(OR(HT$3="",HT$3&gt;TODAY()),"",IF(AND(HW404="",HX404=""),"",N(HX404)-N(HW404)))</f>
        <v/>
      </c>
      <c r="IC404">
        <f>IF(OR(IA$3="",IA$3&gt;TODAY()),"",IF(AND(IA404="",IB404=""),"",N(IB404)-N(IA404)))</f>
        <v/>
      </c>
      <c r="IF404">
        <f>IF(OR(IA$3="",IA$3&gt;TODAY()),"",IF(AND(ID404="",IE404=""),"",N(IE404)-N(ID404)))</f>
        <v/>
      </c>
      <c r="IJ404">
        <f>IF(OR(IH$3="",IH$3&gt;TODAY()),"",IF(AND(IH404="",II404=""),"",N(II404)-N(IH404)))</f>
        <v/>
      </c>
      <c r="IM404">
        <f>IF(OR(IH$3="",IH$3&gt;TODAY()),"",IF(AND(IK404="",IL404=""),"",N(IL404)-N(IK404)))</f>
        <v/>
      </c>
    </row>
    <row r="405">
      <c r="A405" s="21" t="n"/>
      <c r="B405" s="21" t="n"/>
      <c r="C405" s="21" t="n"/>
      <c r="D405" s="21" t="n"/>
      <c r="E405" s="21" t="n"/>
      <c r="F405" s="21" t="n"/>
      <c r="G405" s="21" t="n"/>
      <c r="H405" s="21" t="n"/>
      <c r="I405" s="22" t="n"/>
      <c r="J405" s="22" t="n"/>
      <c r="K405" s="23" t="n"/>
      <c r="L405" s="22" t="n"/>
      <c r="M405" s="22" t="n"/>
      <c r="N405" s="21" t="n"/>
      <c r="O405" s="23" t="n"/>
      <c r="P405" s="23" t="n"/>
      <c r="Q405" s="23" t="n"/>
      <c r="R405" s="23" t="n"/>
      <c r="S405" s="22" t="n"/>
      <c r="T405" s="23" t="n"/>
      <c r="U405" s="23" t="n"/>
      <c r="V405" s="24">
        <f>IF(J405&lt;&gt;"",J405,IF(I405&lt;&gt;"",I405,""))</f>
        <v/>
      </c>
      <c r="W405" s="25">
        <f>IF($E405="","",N(O405)+SUMIFS($AF405:$IN405,$AF$4:$IN$4,"SEW_ACT"))</f>
        <v/>
      </c>
      <c r="X405" s="25">
        <f>IF($E405="","",N(P405)+SUMIFS($AF405:$IN405,$AF$4:$IN$4,"WASH_ACT"))</f>
        <v/>
      </c>
      <c r="Y405" s="25">
        <f>IF($E405="","",W405-X405-N(T405)-N(U405))</f>
        <v/>
      </c>
      <c r="Z405" s="25">
        <f>IF($E405="","",IF(N(K405)-X405&lt;=0.02*N(K405),0,N(K405)-X405))</f>
        <v/>
      </c>
      <c r="AA405" s="24">
        <f>IF($E405="","",IF(S405&lt;&gt;"",S405,IF(N(O405)&gt;0,IF(L405&lt;&gt;"",L405,99999),IFERROR(1/(1/_xlfn.MINIFS($AF$3:$IN$3,$AF$4:$IN$4,"SEW_ACT",$AF405:$IN405,"&gt;0")),99999))))</f>
        <v/>
      </c>
      <c r="AB405" s="26">
        <f>IF(OR($E405="",Z405=0,V405=""),"",1+COUNTIFS(Z$8:Z$707,"&gt;0",V$8:V$707,"&lt;"&amp;V405)+COUNTIFS(Z$8:Z$707,"&gt;0",V$8:V$707,V405,AA$8:AA$707,"&lt;"&amp;AA405)+COUNTIFS(Z$8:Z$707,"&gt;0",V$8:V$707,V405,AA$8:AA$707,AA405,E$8:E$707,"&lt;"&amp;$E405))</f>
        <v/>
      </c>
      <c r="AC405" s="24">
        <f>IF(OR($E405="",Z405=0),"",IFERROR(TODAY()+ROUNDUP(Z405/(SUMIFS($AF405:$IN405,$AF$4:$IN$4,"WASH_ACT")/COUNTIFS($AF$4:$IN$4,"WASH_ACT",$AF405:$IN405,"&gt;0")),0),"no output yet"))</f>
        <v/>
      </c>
      <c r="AD405" s="26">
        <f>IF($E405="","",IFERROR(ROUND(MAX(0,SUMIFS($AF405:$IN405,$AF$4:$IN$4,"SEW_PLAN",$AF$3:$IN$3,"&lt;="&amp;TODAY())-SUMIFS($AF405:$IN405,$AF$4:$IN$4,"SEW_ACT",$AF$3:$IN$3,"&lt;="&amp;TODAY())+N(Q405))/(SUMIFS($AF405:$IN405,$AF$4:$IN$4,"SEW_PLAN")/COUNTIFS($AF$4:$IN$4,"SEW_PLAN",$AF405:$IN405,"&gt;0")),1),0))</f>
        <v/>
      </c>
      <c r="AE405" s="26">
        <f>IF($E405="","",IF(AND(Z405&gt;0,OR(AND(M405&lt;&gt;"",TODAY()&gt;M405),AND(V405&lt;&gt;"",V405-TODAY()&lt;=7))),"Yes","No"))</f>
        <v/>
      </c>
      <c r="AH405">
        <f>IF(OR(AF$3="",AF$3&gt;TODAY()),"",IF(AND(AF405="",AG405=""),"",N(AG405)-N(AF405)))</f>
        <v/>
      </c>
      <c r="AK405">
        <f>IF(OR(AF$3="",AF$3&gt;TODAY()),"",IF(AND(AI405="",AJ405=""),"",N(AJ405)-N(AI405)))</f>
        <v/>
      </c>
      <c r="AO405">
        <f>IF(OR(AM$3="",AM$3&gt;TODAY()),"",IF(AND(AM405="",AN405=""),"",N(AN405)-N(AM405)))</f>
        <v/>
      </c>
      <c r="AR405">
        <f>IF(OR(AM$3="",AM$3&gt;TODAY()),"",IF(AND(AP405="",AQ405=""),"",N(AQ405)-N(AP405)))</f>
        <v/>
      </c>
      <c r="AV405">
        <f>IF(OR(AT$3="",AT$3&gt;TODAY()),"",IF(AND(AT405="",AU405=""),"",N(AU405)-N(AT405)))</f>
        <v/>
      </c>
      <c r="AY405">
        <f>IF(OR(AT$3="",AT$3&gt;TODAY()),"",IF(AND(AW405="",AX405=""),"",N(AX405)-N(AW405)))</f>
        <v/>
      </c>
      <c r="BC405">
        <f>IF(OR(BA$3="",BA$3&gt;TODAY()),"",IF(AND(BA405="",BB405=""),"",N(BB405)-N(BA405)))</f>
        <v/>
      </c>
      <c r="BF405">
        <f>IF(OR(BA$3="",BA$3&gt;TODAY()),"",IF(AND(BD405="",BE405=""),"",N(BE405)-N(BD405)))</f>
        <v/>
      </c>
      <c r="BJ405">
        <f>IF(OR(BH$3="",BH$3&gt;TODAY()),"",IF(AND(BH405="",BI405=""),"",N(BI405)-N(BH405)))</f>
        <v/>
      </c>
      <c r="BM405">
        <f>IF(OR(BH$3="",BH$3&gt;TODAY()),"",IF(AND(BK405="",BL405=""),"",N(BL405)-N(BK405)))</f>
        <v/>
      </c>
      <c r="BQ405">
        <f>IF(OR(BO$3="",BO$3&gt;TODAY()),"",IF(AND(BO405="",BP405=""),"",N(BP405)-N(BO405)))</f>
        <v/>
      </c>
      <c r="BT405">
        <f>IF(OR(BO$3="",BO$3&gt;TODAY()),"",IF(AND(BR405="",BS405=""),"",N(BS405)-N(BR405)))</f>
        <v/>
      </c>
      <c r="BX405">
        <f>IF(OR(BV$3="",BV$3&gt;TODAY()),"",IF(AND(BV405="",BW405=""),"",N(BW405)-N(BV405)))</f>
        <v/>
      </c>
      <c r="CA405">
        <f>IF(OR(BV$3="",BV$3&gt;TODAY()),"",IF(AND(BY405="",BZ405=""),"",N(BZ405)-N(BY405)))</f>
        <v/>
      </c>
      <c r="CE405">
        <f>IF(OR(CC$3="",CC$3&gt;TODAY()),"",IF(AND(CC405="",CD405=""),"",N(CD405)-N(CC405)))</f>
        <v/>
      </c>
      <c r="CH405">
        <f>IF(OR(CC$3="",CC$3&gt;TODAY()),"",IF(AND(CF405="",CG405=""),"",N(CG405)-N(CF405)))</f>
        <v/>
      </c>
      <c r="CL405">
        <f>IF(OR(CJ$3="",CJ$3&gt;TODAY()),"",IF(AND(CJ405="",CK405=""),"",N(CK405)-N(CJ405)))</f>
        <v/>
      </c>
      <c r="CO405">
        <f>IF(OR(CJ$3="",CJ$3&gt;TODAY()),"",IF(AND(CM405="",CN405=""),"",N(CN405)-N(CM405)))</f>
        <v/>
      </c>
      <c r="CS405">
        <f>IF(OR(CQ$3="",CQ$3&gt;TODAY()),"",IF(AND(CQ405="",CR405=""),"",N(CR405)-N(CQ405)))</f>
        <v/>
      </c>
      <c r="CV405">
        <f>IF(OR(CQ$3="",CQ$3&gt;TODAY()),"",IF(AND(CT405="",CU405=""),"",N(CU405)-N(CT405)))</f>
        <v/>
      </c>
      <c r="CZ405">
        <f>IF(OR(CX$3="",CX$3&gt;TODAY()),"",IF(AND(CX405="",CY405=""),"",N(CY405)-N(CX405)))</f>
        <v/>
      </c>
      <c r="DC405">
        <f>IF(OR(CX$3="",CX$3&gt;TODAY()),"",IF(AND(DA405="",DB405=""),"",N(DB405)-N(DA405)))</f>
        <v/>
      </c>
      <c r="DG405">
        <f>IF(OR(DE$3="",DE$3&gt;TODAY()),"",IF(AND(DE405="",DF405=""),"",N(DF405)-N(DE405)))</f>
        <v/>
      </c>
      <c r="DJ405">
        <f>IF(OR(DE$3="",DE$3&gt;TODAY()),"",IF(AND(DH405="",DI405=""),"",N(DI405)-N(DH405)))</f>
        <v/>
      </c>
      <c r="DN405">
        <f>IF(OR(DL$3="",DL$3&gt;TODAY()),"",IF(AND(DL405="",DM405=""),"",N(DM405)-N(DL405)))</f>
        <v/>
      </c>
      <c r="DQ405">
        <f>IF(OR(DL$3="",DL$3&gt;TODAY()),"",IF(AND(DO405="",DP405=""),"",N(DP405)-N(DO405)))</f>
        <v/>
      </c>
      <c r="DU405">
        <f>IF(OR(DS$3="",DS$3&gt;TODAY()),"",IF(AND(DS405="",DT405=""),"",N(DT405)-N(DS405)))</f>
        <v/>
      </c>
      <c r="DX405">
        <f>IF(OR(DS$3="",DS$3&gt;TODAY()),"",IF(AND(DV405="",DW405=""),"",N(DW405)-N(DV405)))</f>
        <v/>
      </c>
      <c r="EB405">
        <f>IF(OR(DZ$3="",DZ$3&gt;TODAY()),"",IF(AND(DZ405="",EA405=""),"",N(EA405)-N(DZ405)))</f>
        <v/>
      </c>
      <c r="EE405">
        <f>IF(OR(DZ$3="",DZ$3&gt;TODAY()),"",IF(AND(EC405="",ED405=""),"",N(ED405)-N(EC405)))</f>
        <v/>
      </c>
      <c r="EI405">
        <f>IF(OR(EG$3="",EG$3&gt;TODAY()),"",IF(AND(EG405="",EH405=""),"",N(EH405)-N(EG405)))</f>
        <v/>
      </c>
      <c r="EL405">
        <f>IF(OR(EG$3="",EG$3&gt;TODAY()),"",IF(AND(EJ405="",EK405=""),"",N(EK405)-N(EJ405)))</f>
        <v/>
      </c>
      <c r="EP405">
        <f>IF(OR(EN$3="",EN$3&gt;TODAY()),"",IF(AND(EN405="",EO405=""),"",N(EO405)-N(EN405)))</f>
        <v/>
      </c>
      <c r="ES405">
        <f>IF(OR(EN$3="",EN$3&gt;TODAY()),"",IF(AND(EQ405="",ER405=""),"",N(ER405)-N(EQ405)))</f>
        <v/>
      </c>
      <c r="EW405">
        <f>IF(OR(EU$3="",EU$3&gt;TODAY()),"",IF(AND(EU405="",EV405=""),"",N(EV405)-N(EU405)))</f>
        <v/>
      </c>
      <c r="EZ405">
        <f>IF(OR(EU$3="",EU$3&gt;TODAY()),"",IF(AND(EX405="",EY405=""),"",N(EY405)-N(EX405)))</f>
        <v/>
      </c>
      <c r="FD405">
        <f>IF(OR(FB$3="",FB$3&gt;TODAY()),"",IF(AND(FB405="",FC405=""),"",N(FC405)-N(FB405)))</f>
        <v/>
      </c>
      <c r="FG405">
        <f>IF(OR(FB$3="",FB$3&gt;TODAY()),"",IF(AND(FE405="",FF405=""),"",N(FF405)-N(FE405)))</f>
        <v/>
      </c>
      <c r="FK405">
        <f>IF(OR(FI$3="",FI$3&gt;TODAY()),"",IF(AND(FI405="",FJ405=""),"",N(FJ405)-N(FI405)))</f>
        <v/>
      </c>
      <c r="FN405">
        <f>IF(OR(FI$3="",FI$3&gt;TODAY()),"",IF(AND(FL405="",FM405=""),"",N(FM405)-N(FL405)))</f>
        <v/>
      </c>
      <c r="FR405">
        <f>IF(OR(FP$3="",FP$3&gt;TODAY()),"",IF(AND(FP405="",FQ405=""),"",N(FQ405)-N(FP405)))</f>
        <v/>
      </c>
      <c r="FU405">
        <f>IF(OR(FP$3="",FP$3&gt;TODAY()),"",IF(AND(FS405="",FT405=""),"",N(FT405)-N(FS405)))</f>
        <v/>
      </c>
      <c r="FY405">
        <f>IF(OR(FW$3="",FW$3&gt;TODAY()),"",IF(AND(FW405="",FX405=""),"",N(FX405)-N(FW405)))</f>
        <v/>
      </c>
      <c r="GB405">
        <f>IF(OR(FW$3="",FW$3&gt;TODAY()),"",IF(AND(FZ405="",GA405=""),"",N(GA405)-N(FZ405)))</f>
        <v/>
      </c>
      <c r="GF405">
        <f>IF(OR(GD$3="",GD$3&gt;TODAY()),"",IF(AND(GD405="",GE405=""),"",N(GE405)-N(GD405)))</f>
        <v/>
      </c>
      <c r="GI405">
        <f>IF(OR(GD$3="",GD$3&gt;TODAY()),"",IF(AND(GG405="",GH405=""),"",N(GH405)-N(GG405)))</f>
        <v/>
      </c>
      <c r="GM405">
        <f>IF(OR(GK$3="",GK$3&gt;TODAY()),"",IF(AND(GK405="",GL405=""),"",N(GL405)-N(GK405)))</f>
        <v/>
      </c>
      <c r="GP405">
        <f>IF(OR(GK$3="",GK$3&gt;TODAY()),"",IF(AND(GN405="",GO405=""),"",N(GO405)-N(GN405)))</f>
        <v/>
      </c>
      <c r="GT405">
        <f>IF(OR(GR$3="",GR$3&gt;TODAY()),"",IF(AND(GR405="",GS405=""),"",N(GS405)-N(GR405)))</f>
        <v/>
      </c>
      <c r="GW405">
        <f>IF(OR(GR$3="",GR$3&gt;TODAY()),"",IF(AND(GU405="",GV405=""),"",N(GV405)-N(GU405)))</f>
        <v/>
      </c>
      <c r="HA405">
        <f>IF(OR(GY$3="",GY$3&gt;TODAY()),"",IF(AND(GY405="",GZ405=""),"",N(GZ405)-N(GY405)))</f>
        <v/>
      </c>
      <c r="HD405">
        <f>IF(OR(GY$3="",GY$3&gt;TODAY()),"",IF(AND(HB405="",HC405=""),"",N(HC405)-N(HB405)))</f>
        <v/>
      </c>
      <c r="HH405">
        <f>IF(OR(HF$3="",HF$3&gt;TODAY()),"",IF(AND(HF405="",HG405=""),"",N(HG405)-N(HF405)))</f>
        <v/>
      </c>
      <c r="HK405">
        <f>IF(OR(HF$3="",HF$3&gt;TODAY()),"",IF(AND(HI405="",HJ405=""),"",N(HJ405)-N(HI405)))</f>
        <v/>
      </c>
      <c r="HO405">
        <f>IF(OR(HM$3="",HM$3&gt;TODAY()),"",IF(AND(HM405="",HN405=""),"",N(HN405)-N(HM405)))</f>
        <v/>
      </c>
      <c r="HR405">
        <f>IF(OR(HM$3="",HM$3&gt;TODAY()),"",IF(AND(HP405="",HQ405=""),"",N(HQ405)-N(HP405)))</f>
        <v/>
      </c>
      <c r="HV405">
        <f>IF(OR(HT$3="",HT$3&gt;TODAY()),"",IF(AND(HT405="",HU405=""),"",N(HU405)-N(HT405)))</f>
        <v/>
      </c>
      <c r="HY405">
        <f>IF(OR(HT$3="",HT$3&gt;TODAY()),"",IF(AND(HW405="",HX405=""),"",N(HX405)-N(HW405)))</f>
        <v/>
      </c>
      <c r="IC405">
        <f>IF(OR(IA$3="",IA$3&gt;TODAY()),"",IF(AND(IA405="",IB405=""),"",N(IB405)-N(IA405)))</f>
        <v/>
      </c>
      <c r="IF405">
        <f>IF(OR(IA$3="",IA$3&gt;TODAY()),"",IF(AND(ID405="",IE405=""),"",N(IE405)-N(ID405)))</f>
        <v/>
      </c>
      <c r="IJ405">
        <f>IF(OR(IH$3="",IH$3&gt;TODAY()),"",IF(AND(IH405="",II405=""),"",N(II405)-N(IH405)))</f>
        <v/>
      </c>
      <c r="IM405">
        <f>IF(OR(IH$3="",IH$3&gt;TODAY()),"",IF(AND(IK405="",IL405=""),"",N(IL405)-N(IK405)))</f>
        <v/>
      </c>
    </row>
    <row r="406">
      <c r="A406" s="21" t="n"/>
      <c r="B406" s="21" t="n"/>
      <c r="C406" s="21" t="n"/>
      <c r="D406" s="21" t="n"/>
      <c r="E406" s="21" t="n"/>
      <c r="F406" s="21" t="n"/>
      <c r="G406" s="21" t="n"/>
      <c r="H406" s="21" t="n"/>
      <c r="I406" s="22" t="n"/>
      <c r="J406" s="22" t="n"/>
      <c r="K406" s="23" t="n"/>
      <c r="L406" s="22" t="n"/>
      <c r="M406" s="22" t="n"/>
      <c r="N406" s="21" t="n"/>
      <c r="O406" s="23" t="n"/>
      <c r="P406" s="23" t="n"/>
      <c r="Q406" s="23" t="n"/>
      <c r="R406" s="23" t="n"/>
      <c r="S406" s="22" t="n"/>
      <c r="T406" s="23" t="n"/>
      <c r="U406" s="23" t="n"/>
      <c r="V406" s="24">
        <f>IF(J406&lt;&gt;"",J406,IF(I406&lt;&gt;"",I406,""))</f>
        <v/>
      </c>
      <c r="W406" s="25">
        <f>IF($E406="","",N(O406)+SUMIFS($AF406:$IN406,$AF$4:$IN$4,"SEW_ACT"))</f>
        <v/>
      </c>
      <c r="X406" s="25">
        <f>IF($E406="","",N(P406)+SUMIFS($AF406:$IN406,$AF$4:$IN$4,"WASH_ACT"))</f>
        <v/>
      </c>
      <c r="Y406" s="25">
        <f>IF($E406="","",W406-X406-N(T406)-N(U406))</f>
        <v/>
      </c>
      <c r="Z406" s="25">
        <f>IF($E406="","",IF(N(K406)-X406&lt;=0.02*N(K406),0,N(K406)-X406))</f>
        <v/>
      </c>
      <c r="AA406" s="24">
        <f>IF($E406="","",IF(S406&lt;&gt;"",S406,IF(N(O406)&gt;0,IF(L406&lt;&gt;"",L406,99999),IFERROR(1/(1/_xlfn.MINIFS($AF$3:$IN$3,$AF$4:$IN$4,"SEW_ACT",$AF406:$IN406,"&gt;0")),99999))))</f>
        <v/>
      </c>
      <c r="AB406" s="26">
        <f>IF(OR($E406="",Z406=0,V406=""),"",1+COUNTIFS(Z$8:Z$707,"&gt;0",V$8:V$707,"&lt;"&amp;V406)+COUNTIFS(Z$8:Z$707,"&gt;0",V$8:V$707,V406,AA$8:AA$707,"&lt;"&amp;AA406)+COUNTIFS(Z$8:Z$707,"&gt;0",V$8:V$707,V406,AA$8:AA$707,AA406,E$8:E$707,"&lt;"&amp;$E406))</f>
        <v/>
      </c>
      <c r="AC406" s="24">
        <f>IF(OR($E406="",Z406=0),"",IFERROR(TODAY()+ROUNDUP(Z406/(SUMIFS($AF406:$IN406,$AF$4:$IN$4,"WASH_ACT")/COUNTIFS($AF$4:$IN$4,"WASH_ACT",$AF406:$IN406,"&gt;0")),0),"no output yet"))</f>
        <v/>
      </c>
      <c r="AD406" s="26">
        <f>IF($E406="","",IFERROR(ROUND(MAX(0,SUMIFS($AF406:$IN406,$AF$4:$IN$4,"SEW_PLAN",$AF$3:$IN$3,"&lt;="&amp;TODAY())-SUMIFS($AF406:$IN406,$AF$4:$IN$4,"SEW_ACT",$AF$3:$IN$3,"&lt;="&amp;TODAY())+N(Q406))/(SUMIFS($AF406:$IN406,$AF$4:$IN$4,"SEW_PLAN")/COUNTIFS($AF$4:$IN$4,"SEW_PLAN",$AF406:$IN406,"&gt;0")),1),0))</f>
        <v/>
      </c>
      <c r="AE406" s="26">
        <f>IF($E406="","",IF(AND(Z406&gt;0,OR(AND(M406&lt;&gt;"",TODAY()&gt;M406),AND(V406&lt;&gt;"",V406-TODAY()&lt;=7))),"Yes","No"))</f>
        <v/>
      </c>
      <c r="AH406">
        <f>IF(OR(AF$3="",AF$3&gt;TODAY()),"",IF(AND(AF406="",AG406=""),"",N(AG406)-N(AF406)))</f>
        <v/>
      </c>
      <c r="AK406">
        <f>IF(OR(AF$3="",AF$3&gt;TODAY()),"",IF(AND(AI406="",AJ406=""),"",N(AJ406)-N(AI406)))</f>
        <v/>
      </c>
      <c r="AO406">
        <f>IF(OR(AM$3="",AM$3&gt;TODAY()),"",IF(AND(AM406="",AN406=""),"",N(AN406)-N(AM406)))</f>
        <v/>
      </c>
      <c r="AR406">
        <f>IF(OR(AM$3="",AM$3&gt;TODAY()),"",IF(AND(AP406="",AQ406=""),"",N(AQ406)-N(AP406)))</f>
        <v/>
      </c>
      <c r="AV406">
        <f>IF(OR(AT$3="",AT$3&gt;TODAY()),"",IF(AND(AT406="",AU406=""),"",N(AU406)-N(AT406)))</f>
        <v/>
      </c>
      <c r="AY406">
        <f>IF(OR(AT$3="",AT$3&gt;TODAY()),"",IF(AND(AW406="",AX406=""),"",N(AX406)-N(AW406)))</f>
        <v/>
      </c>
      <c r="BC406">
        <f>IF(OR(BA$3="",BA$3&gt;TODAY()),"",IF(AND(BA406="",BB406=""),"",N(BB406)-N(BA406)))</f>
        <v/>
      </c>
      <c r="BF406">
        <f>IF(OR(BA$3="",BA$3&gt;TODAY()),"",IF(AND(BD406="",BE406=""),"",N(BE406)-N(BD406)))</f>
        <v/>
      </c>
      <c r="BJ406">
        <f>IF(OR(BH$3="",BH$3&gt;TODAY()),"",IF(AND(BH406="",BI406=""),"",N(BI406)-N(BH406)))</f>
        <v/>
      </c>
      <c r="BM406">
        <f>IF(OR(BH$3="",BH$3&gt;TODAY()),"",IF(AND(BK406="",BL406=""),"",N(BL406)-N(BK406)))</f>
        <v/>
      </c>
      <c r="BQ406">
        <f>IF(OR(BO$3="",BO$3&gt;TODAY()),"",IF(AND(BO406="",BP406=""),"",N(BP406)-N(BO406)))</f>
        <v/>
      </c>
      <c r="BT406">
        <f>IF(OR(BO$3="",BO$3&gt;TODAY()),"",IF(AND(BR406="",BS406=""),"",N(BS406)-N(BR406)))</f>
        <v/>
      </c>
      <c r="BX406">
        <f>IF(OR(BV$3="",BV$3&gt;TODAY()),"",IF(AND(BV406="",BW406=""),"",N(BW406)-N(BV406)))</f>
        <v/>
      </c>
      <c r="CA406">
        <f>IF(OR(BV$3="",BV$3&gt;TODAY()),"",IF(AND(BY406="",BZ406=""),"",N(BZ406)-N(BY406)))</f>
        <v/>
      </c>
      <c r="CE406">
        <f>IF(OR(CC$3="",CC$3&gt;TODAY()),"",IF(AND(CC406="",CD406=""),"",N(CD406)-N(CC406)))</f>
        <v/>
      </c>
      <c r="CH406">
        <f>IF(OR(CC$3="",CC$3&gt;TODAY()),"",IF(AND(CF406="",CG406=""),"",N(CG406)-N(CF406)))</f>
        <v/>
      </c>
      <c r="CL406">
        <f>IF(OR(CJ$3="",CJ$3&gt;TODAY()),"",IF(AND(CJ406="",CK406=""),"",N(CK406)-N(CJ406)))</f>
        <v/>
      </c>
      <c r="CO406">
        <f>IF(OR(CJ$3="",CJ$3&gt;TODAY()),"",IF(AND(CM406="",CN406=""),"",N(CN406)-N(CM406)))</f>
        <v/>
      </c>
      <c r="CS406">
        <f>IF(OR(CQ$3="",CQ$3&gt;TODAY()),"",IF(AND(CQ406="",CR406=""),"",N(CR406)-N(CQ406)))</f>
        <v/>
      </c>
      <c r="CV406">
        <f>IF(OR(CQ$3="",CQ$3&gt;TODAY()),"",IF(AND(CT406="",CU406=""),"",N(CU406)-N(CT406)))</f>
        <v/>
      </c>
      <c r="CZ406">
        <f>IF(OR(CX$3="",CX$3&gt;TODAY()),"",IF(AND(CX406="",CY406=""),"",N(CY406)-N(CX406)))</f>
        <v/>
      </c>
      <c r="DC406">
        <f>IF(OR(CX$3="",CX$3&gt;TODAY()),"",IF(AND(DA406="",DB406=""),"",N(DB406)-N(DA406)))</f>
        <v/>
      </c>
      <c r="DG406">
        <f>IF(OR(DE$3="",DE$3&gt;TODAY()),"",IF(AND(DE406="",DF406=""),"",N(DF406)-N(DE406)))</f>
        <v/>
      </c>
      <c r="DJ406">
        <f>IF(OR(DE$3="",DE$3&gt;TODAY()),"",IF(AND(DH406="",DI406=""),"",N(DI406)-N(DH406)))</f>
        <v/>
      </c>
      <c r="DN406">
        <f>IF(OR(DL$3="",DL$3&gt;TODAY()),"",IF(AND(DL406="",DM406=""),"",N(DM406)-N(DL406)))</f>
        <v/>
      </c>
      <c r="DQ406">
        <f>IF(OR(DL$3="",DL$3&gt;TODAY()),"",IF(AND(DO406="",DP406=""),"",N(DP406)-N(DO406)))</f>
        <v/>
      </c>
      <c r="DU406">
        <f>IF(OR(DS$3="",DS$3&gt;TODAY()),"",IF(AND(DS406="",DT406=""),"",N(DT406)-N(DS406)))</f>
        <v/>
      </c>
      <c r="DX406">
        <f>IF(OR(DS$3="",DS$3&gt;TODAY()),"",IF(AND(DV406="",DW406=""),"",N(DW406)-N(DV406)))</f>
        <v/>
      </c>
      <c r="EB406">
        <f>IF(OR(DZ$3="",DZ$3&gt;TODAY()),"",IF(AND(DZ406="",EA406=""),"",N(EA406)-N(DZ406)))</f>
        <v/>
      </c>
      <c r="EE406">
        <f>IF(OR(DZ$3="",DZ$3&gt;TODAY()),"",IF(AND(EC406="",ED406=""),"",N(ED406)-N(EC406)))</f>
        <v/>
      </c>
      <c r="EI406">
        <f>IF(OR(EG$3="",EG$3&gt;TODAY()),"",IF(AND(EG406="",EH406=""),"",N(EH406)-N(EG406)))</f>
        <v/>
      </c>
      <c r="EL406">
        <f>IF(OR(EG$3="",EG$3&gt;TODAY()),"",IF(AND(EJ406="",EK406=""),"",N(EK406)-N(EJ406)))</f>
        <v/>
      </c>
      <c r="EP406">
        <f>IF(OR(EN$3="",EN$3&gt;TODAY()),"",IF(AND(EN406="",EO406=""),"",N(EO406)-N(EN406)))</f>
        <v/>
      </c>
      <c r="ES406">
        <f>IF(OR(EN$3="",EN$3&gt;TODAY()),"",IF(AND(EQ406="",ER406=""),"",N(ER406)-N(EQ406)))</f>
        <v/>
      </c>
      <c r="EW406">
        <f>IF(OR(EU$3="",EU$3&gt;TODAY()),"",IF(AND(EU406="",EV406=""),"",N(EV406)-N(EU406)))</f>
        <v/>
      </c>
      <c r="EZ406">
        <f>IF(OR(EU$3="",EU$3&gt;TODAY()),"",IF(AND(EX406="",EY406=""),"",N(EY406)-N(EX406)))</f>
        <v/>
      </c>
      <c r="FD406">
        <f>IF(OR(FB$3="",FB$3&gt;TODAY()),"",IF(AND(FB406="",FC406=""),"",N(FC406)-N(FB406)))</f>
        <v/>
      </c>
      <c r="FG406">
        <f>IF(OR(FB$3="",FB$3&gt;TODAY()),"",IF(AND(FE406="",FF406=""),"",N(FF406)-N(FE406)))</f>
        <v/>
      </c>
      <c r="FK406">
        <f>IF(OR(FI$3="",FI$3&gt;TODAY()),"",IF(AND(FI406="",FJ406=""),"",N(FJ406)-N(FI406)))</f>
        <v/>
      </c>
      <c r="FN406">
        <f>IF(OR(FI$3="",FI$3&gt;TODAY()),"",IF(AND(FL406="",FM406=""),"",N(FM406)-N(FL406)))</f>
        <v/>
      </c>
      <c r="FR406">
        <f>IF(OR(FP$3="",FP$3&gt;TODAY()),"",IF(AND(FP406="",FQ406=""),"",N(FQ406)-N(FP406)))</f>
        <v/>
      </c>
      <c r="FU406">
        <f>IF(OR(FP$3="",FP$3&gt;TODAY()),"",IF(AND(FS406="",FT406=""),"",N(FT406)-N(FS406)))</f>
        <v/>
      </c>
      <c r="FY406">
        <f>IF(OR(FW$3="",FW$3&gt;TODAY()),"",IF(AND(FW406="",FX406=""),"",N(FX406)-N(FW406)))</f>
        <v/>
      </c>
      <c r="GB406">
        <f>IF(OR(FW$3="",FW$3&gt;TODAY()),"",IF(AND(FZ406="",GA406=""),"",N(GA406)-N(FZ406)))</f>
        <v/>
      </c>
      <c r="GF406">
        <f>IF(OR(GD$3="",GD$3&gt;TODAY()),"",IF(AND(GD406="",GE406=""),"",N(GE406)-N(GD406)))</f>
        <v/>
      </c>
      <c r="GI406">
        <f>IF(OR(GD$3="",GD$3&gt;TODAY()),"",IF(AND(GG406="",GH406=""),"",N(GH406)-N(GG406)))</f>
        <v/>
      </c>
      <c r="GM406">
        <f>IF(OR(GK$3="",GK$3&gt;TODAY()),"",IF(AND(GK406="",GL406=""),"",N(GL406)-N(GK406)))</f>
        <v/>
      </c>
      <c r="GP406">
        <f>IF(OR(GK$3="",GK$3&gt;TODAY()),"",IF(AND(GN406="",GO406=""),"",N(GO406)-N(GN406)))</f>
        <v/>
      </c>
      <c r="GT406">
        <f>IF(OR(GR$3="",GR$3&gt;TODAY()),"",IF(AND(GR406="",GS406=""),"",N(GS406)-N(GR406)))</f>
        <v/>
      </c>
      <c r="GW406">
        <f>IF(OR(GR$3="",GR$3&gt;TODAY()),"",IF(AND(GU406="",GV406=""),"",N(GV406)-N(GU406)))</f>
        <v/>
      </c>
      <c r="HA406">
        <f>IF(OR(GY$3="",GY$3&gt;TODAY()),"",IF(AND(GY406="",GZ406=""),"",N(GZ406)-N(GY406)))</f>
        <v/>
      </c>
      <c r="HD406">
        <f>IF(OR(GY$3="",GY$3&gt;TODAY()),"",IF(AND(HB406="",HC406=""),"",N(HC406)-N(HB406)))</f>
        <v/>
      </c>
      <c r="HH406">
        <f>IF(OR(HF$3="",HF$3&gt;TODAY()),"",IF(AND(HF406="",HG406=""),"",N(HG406)-N(HF406)))</f>
        <v/>
      </c>
      <c r="HK406">
        <f>IF(OR(HF$3="",HF$3&gt;TODAY()),"",IF(AND(HI406="",HJ406=""),"",N(HJ406)-N(HI406)))</f>
        <v/>
      </c>
      <c r="HO406">
        <f>IF(OR(HM$3="",HM$3&gt;TODAY()),"",IF(AND(HM406="",HN406=""),"",N(HN406)-N(HM406)))</f>
        <v/>
      </c>
      <c r="HR406">
        <f>IF(OR(HM$3="",HM$3&gt;TODAY()),"",IF(AND(HP406="",HQ406=""),"",N(HQ406)-N(HP406)))</f>
        <v/>
      </c>
      <c r="HV406">
        <f>IF(OR(HT$3="",HT$3&gt;TODAY()),"",IF(AND(HT406="",HU406=""),"",N(HU406)-N(HT406)))</f>
        <v/>
      </c>
      <c r="HY406">
        <f>IF(OR(HT$3="",HT$3&gt;TODAY()),"",IF(AND(HW406="",HX406=""),"",N(HX406)-N(HW406)))</f>
        <v/>
      </c>
      <c r="IC406">
        <f>IF(OR(IA$3="",IA$3&gt;TODAY()),"",IF(AND(IA406="",IB406=""),"",N(IB406)-N(IA406)))</f>
        <v/>
      </c>
      <c r="IF406">
        <f>IF(OR(IA$3="",IA$3&gt;TODAY()),"",IF(AND(ID406="",IE406=""),"",N(IE406)-N(ID406)))</f>
        <v/>
      </c>
      <c r="IJ406">
        <f>IF(OR(IH$3="",IH$3&gt;TODAY()),"",IF(AND(IH406="",II406=""),"",N(II406)-N(IH406)))</f>
        <v/>
      </c>
      <c r="IM406">
        <f>IF(OR(IH$3="",IH$3&gt;TODAY()),"",IF(AND(IK406="",IL406=""),"",N(IL406)-N(IK406)))</f>
        <v/>
      </c>
    </row>
    <row r="407">
      <c r="A407" s="21" t="n"/>
      <c r="B407" s="21" t="n"/>
      <c r="C407" s="21" t="n"/>
      <c r="D407" s="21" t="n"/>
      <c r="E407" s="21" t="n"/>
      <c r="F407" s="21" t="n"/>
      <c r="G407" s="21" t="n"/>
      <c r="H407" s="21" t="n"/>
      <c r="I407" s="22" t="n"/>
      <c r="J407" s="22" t="n"/>
      <c r="K407" s="23" t="n"/>
      <c r="L407" s="22" t="n"/>
      <c r="M407" s="22" t="n"/>
      <c r="N407" s="21" t="n"/>
      <c r="O407" s="23" t="n"/>
      <c r="P407" s="23" t="n"/>
      <c r="Q407" s="23" t="n"/>
      <c r="R407" s="23" t="n"/>
      <c r="S407" s="22" t="n"/>
      <c r="T407" s="23" t="n"/>
      <c r="U407" s="23" t="n"/>
      <c r="V407" s="24">
        <f>IF(J407&lt;&gt;"",J407,IF(I407&lt;&gt;"",I407,""))</f>
        <v/>
      </c>
      <c r="W407" s="25">
        <f>IF($E407="","",N(O407)+SUMIFS($AF407:$IN407,$AF$4:$IN$4,"SEW_ACT"))</f>
        <v/>
      </c>
      <c r="X407" s="25">
        <f>IF($E407="","",N(P407)+SUMIFS($AF407:$IN407,$AF$4:$IN$4,"WASH_ACT"))</f>
        <v/>
      </c>
      <c r="Y407" s="25">
        <f>IF($E407="","",W407-X407-N(T407)-N(U407))</f>
        <v/>
      </c>
      <c r="Z407" s="25">
        <f>IF($E407="","",IF(N(K407)-X407&lt;=0.02*N(K407),0,N(K407)-X407))</f>
        <v/>
      </c>
      <c r="AA407" s="24">
        <f>IF($E407="","",IF(S407&lt;&gt;"",S407,IF(N(O407)&gt;0,IF(L407&lt;&gt;"",L407,99999),IFERROR(1/(1/_xlfn.MINIFS($AF$3:$IN$3,$AF$4:$IN$4,"SEW_ACT",$AF407:$IN407,"&gt;0")),99999))))</f>
        <v/>
      </c>
      <c r="AB407" s="26">
        <f>IF(OR($E407="",Z407=0,V407=""),"",1+COUNTIFS(Z$8:Z$707,"&gt;0",V$8:V$707,"&lt;"&amp;V407)+COUNTIFS(Z$8:Z$707,"&gt;0",V$8:V$707,V407,AA$8:AA$707,"&lt;"&amp;AA407)+COUNTIFS(Z$8:Z$707,"&gt;0",V$8:V$707,V407,AA$8:AA$707,AA407,E$8:E$707,"&lt;"&amp;$E407))</f>
        <v/>
      </c>
      <c r="AC407" s="24">
        <f>IF(OR($E407="",Z407=0),"",IFERROR(TODAY()+ROUNDUP(Z407/(SUMIFS($AF407:$IN407,$AF$4:$IN$4,"WASH_ACT")/COUNTIFS($AF$4:$IN$4,"WASH_ACT",$AF407:$IN407,"&gt;0")),0),"no output yet"))</f>
        <v/>
      </c>
      <c r="AD407" s="26">
        <f>IF($E407="","",IFERROR(ROUND(MAX(0,SUMIFS($AF407:$IN407,$AF$4:$IN$4,"SEW_PLAN",$AF$3:$IN$3,"&lt;="&amp;TODAY())-SUMIFS($AF407:$IN407,$AF$4:$IN$4,"SEW_ACT",$AF$3:$IN$3,"&lt;="&amp;TODAY())+N(Q407))/(SUMIFS($AF407:$IN407,$AF$4:$IN$4,"SEW_PLAN")/COUNTIFS($AF$4:$IN$4,"SEW_PLAN",$AF407:$IN407,"&gt;0")),1),0))</f>
        <v/>
      </c>
      <c r="AE407" s="26">
        <f>IF($E407="","",IF(AND(Z407&gt;0,OR(AND(M407&lt;&gt;"",TODAY()&gt;M407),AND(V407&lt;&gt;"",V407-TODAY()&lt;=7))),"Yes","No"))</f>
        <v/>
      </c>
      <c r="AH407">
        <f>IF(OR(AF$3="",AF$3&gt;TODAY()),"",IF(AND(AF407="",AG407=""),"",N(AG407)-N(AF407)))</f>
        <v/>
      </c>
      <c r="AK407">
        <f>IF(OR(AF$3="",AF$3&gt;TODAY()),"",IF(AND(AI407="",AJ407=""),"",N(AJ407)-N(AI407)))</f>
        <v/>
      </c>
      <c r="AO407">
        <f>IF(OR(AM$3="",AM$3&gt;TODAY()),"",IF(AND(AM407="",AN407=""),"",N(AN407)-N(AM407)))</f>
        <v/>
      </c>
      <c r="AR407">
        <f>IF(OR(AM$3="",AM$3&gt;TODAY()),"",IF(AND(AP407="",AQ407=""),"",N(AQ407)-N(AP407)))</f>
        <v/>
      </c>
      <c r="AV407">
        <f>IF(OR(AT$3="",AT$3&gt;TODAY()),"",IF(AND(AT407="",AU407=""),"",N(AU407)-N(AT407)))</f>
        <v/>
      </c>
      <c r="AY407">
        <f>IF(OR(AT$3="",AT$3&gt;TODAY()),"",IF(AND(AW407="",AX407=""),"",N(AX407)-N(AW407)))</f>
        <v/>
      </c>
      <c r="BC407">
        <f>IF(OR(BA$3="",BA$3&gt;TODAY()),"",IF(AND(BA407="",BB407=""),"",N(BB407)-N(BA407)))</f>
        <v/>
      </c>
      <c r="BF407">
        <f>IF(OR(BA$3="",BA$3&gt;TODAY()),"",IF(AND(BD407="",BE407=""),"",N(BE407)-N(BD407)))</f>
        <v/>
      </c>
      <c r="BJ407">
        <f>IF(OR(BH$3="",BH$3&gt;TODAY()),"",IF(AND(BH407="",BI407=""),"",N(BI407)-N(BH407)))</f>
        <v/>
      </c>
      <c r="BM407">
        <f>IF(OR(BH$3="",BH$3&gt;TODAY()),"",IF(AND(BK407="",BL407=""),"",N(BL407)-N(BK407)))</f>
        <v/>
      </c>
      <c r="BQ407">
        <f>IF(OR(BO$3="",BO$3&gt;TODAY()),"",IF(AND(BO407="",BP407=""),"",N(BP407)-N(BO407)))</f>
        <v/>
      </c>
      <c r="BT407">
        <f>IF(OR(BO$3="",BO$3&gt;TODAY()),"",IF(AND(BR407="",BS407=""),"",N(BS407)-N(BR407)))</f>
        <v/>
      </c>
      <c r="BX407">
        <f>IF(OR(BV$3="",BV$3&gt;TODAY()),"",IF(AND(BV407="",BW407=""),"",N(BW407)-N(BV407)))</f>
        <v/>
      </c>
      <c r="CA407">
        <f>IF(OR(BV$3="",BV$3&gt;TODAY()),"",IF(AND(BY407="",BZ407=""),"",N(BZ407)-N(BY407)))</f>
        <v/>
      </c>
      <c r="CE407">
        <f>IF(OR(CC$3="",CC$3&gt;TODAY()),"",IF(AND(CC407="",CD407=""),"",N(CD407)-N(CC407)))</f>
        <v/>
      </c>
      <c r="CH407">
        <f>IF(OR(CC$3="",CC$3&gt;TODAY()),"",IF(AND(CF407="",CG407=""),"",N(CG407)-N(CF407)))</f>
        <v/>
      </c>
      <c r="CL407">
        <f>IF(OR(CJ$3="",CJ$3&gt;TODAY()),"",IF(AND(CJ407="",CK407=""),"",N(CK407)-N(CJ407)))</f>
        <v/>
      </c>
      <c r="CO407">
        <f>IF(OR(CJ$3="",CJ$3&gt;TODAY()),"",IF(AND(CM407="",CN407=""),"",N(CN407)-N(CM407)))</f>
        <v/>
      </c>
      <c r="CS407">
        <f>IF(OR(CQ$3="",CQ$3&gt;TODAY()),"",IF(AND(CQ407="",CR407=""),"",N(CR407)-N(CQ407)))</f>
        <v/>
      </c>
      <c r="CV407">
        <f>IF(OR(CQ$3="",CQ$3&gt;TODAY()),"",IF(AND(CT407="",CU407=""),"",N(CU407)-N(CT407)))</f>
        <v/>
      </c>
      <c r="CZ407">
        <f>IF(OR(CX$3="",CX$3&gt;TODAY()),"",IF(AND(CX407="",CY407=""),"",N(CY407)-N(CX407)))</f>
        <v/>
      </c>
      <c r="DC407">
        <f>IF(OR(CX$3="",CX$3&gt;TODAY()),"",IF(AND(DA407="",DB407=""),"",N(DB407)-N(DA407)))</f>
        <v/>
      </c>
      <c r="DG407">
        <f>IF(OR(DE$3="",DE$3&gt;TODAY()),"",IF(AND(DE407="",DF407=""),"",N(DF407)-N(DE407)))</f>
        <v/>
      </c>
      <c r="DJ407">
        <f>IF(OR(DE$3="",DE$3&gt;TODAY()),"",IF(AND(DH407="",DI407=""),"",N(DI407)-N(DH407)))</f>
        <v/>
      </c>
      <c r="DN407">
        <f>IF(OR(DL$3="",DL$3&gt;TODAY()),"",IF(AND(DL407="",DM407=""),"",N(DM407)-N(DL407)))</f>
        <v/>
      </c>
      <c r="DQ407">
        <f>IF(OR(DL$3="",DL$3&gt;TODAY()),"",IF(AND(DO407="",DP407=""),"",N(DP407)-N(DO407)))</f>
        <v/>
      </c>
      <c r="DU407">
        <f>IF(OR(DS$3="",DS$3&gt;TODAY()),"",IF(AND(DS407="",DT407=""),"",N(DT407)-N(DS407)))</f>
        <v/>
      </c>
      <c r="DX407">
        <f>IF(OR(DS$3="",DS$3&gt;TODAY()),"",IF(AND(DV407="",DW407=""),"",N(DW407)-N(DV407)))</f>
        <v/>
      </c>
      <c r="EB407">
        <f>IF(OR(DZ$3="",DZ$3&gt;TODAY()),"",IF(AND(DZ407="",EA407=""),"",N(EA407)-N(DZ407)))</f>
        <v/>
      </c>
      <c r="EE407">
        <f>IF(OR(DZ$3="",DZ$3&gt;TODAY()),"",IF(AND(EC407="",ED407=""),"",N(ED407)-N(EC407)))</f>
        <v/>
      </c>
      <c r="EI407">
        <f>IF(OR(EG$3="",EG$3&gt;TODAY()),"",IF(AND(EG407="",EH407=""),"",N(EH407)-N(EG407)))</f>
        <v/>
      </c>
      <c r="EL407">
        <f>IF(OR(EG$3="",EG$3&gt;TODAY()),"",IF(AND(EJ407="",EK407=""),"",N(EK407)-N(EJ407)))</f>
        <v/>
      </c>
      <c r="EP407">
        <f>IF(OR(EN$3="",EN$3&gt;TODAY()),"",IF(AND(EN407="",EO407=""),"",N(EO407)-N(EN407)))</f>
        <v/>
      </c>
      <c r="ES407">
        <f>IF(OR(EN$3="",EN$3&gt;TODAY()),"",IF(AND(EQ407="",ER407=""),"",N(ER407)-N(EQ407)))</f>
        <v/>
      </c>
      <c r="EW407">
        <f>IF(OR(EU$3="",EU$3&gt;TODAY()),"",IF(AND(EU407="",EV407=""),"",N(EV407)-N(EU407)))</f>
        <v/>
      </c>
      <c r="EZ407">
        <f>IF(OR(EU$3="",EU$3&gt;TODAY()),"",IF(AND(EX407="",EY407=""),"",N(EY407)-N(EX407)))</f>
        <v/>
      </c>
      <c r="FD407">
        <f>IF(OR(FB$3="",FB$3&gt;TODAY()),"",IF(AND(FB407="",FC407=""),"",N(FC407)-N(FB407)))</f>
        <v/>
      </c>
      <c r="FG407">
        <f>IF(OR(FB$3="",FB$3&gt;TODAY()),"",IF(AND(FE407="",FF407=""),"",N(FF407)-N(FE407)))</f>
        <v/>
      </c>
      <c r="FK407">
        <f>IF(OR(FI$3="",FI$3&gt;TODAY()),"",IF(AND(FI407="",FJ407=""),"",N(FJ407)-N(FI407)))</f>
        <v/>
      </c>
      <c r="FN407">
        <f>IF(OR(FI$3="",FI$3&gt;TODAY()),"",IF(AND(FL407="",FM407=""),"",N(FM407)-N(FL407)))</f>
        <v/>
      </c>
      <c r="FR407">
        <f>IF(OR(FP$3="",FP$3&gt;TODAY()),"",IF(AND(FP407="",FQ407=""),"",N(FQ407)-N(FP407)))</f>
        <v/>
      </c>
      <c r="FU407">
        <f>IF(OR(FP$3="",FP$3&gt;TODAY()),"",IF(AND(FS407="",FT407=""),"",N(FT407)-N(FS407)))</f>
        <v/>
      </c>
      <c r="FY407">
        <f>IF(OR(FW$3="",FW$3&gt;TODAY()),"",IF(AND(FW407="",FX407=""),"",N(FX407)-N(FW407)))</f>
        <v/>
      </c>
      <c r="GB407">
        <f>IF(OR(FW$3="",FW$3&gt;TODAY()),"",IF(AND(FZ407="",GA407=""),"",N(GA407)-N(FZ407)))</f>
        <v/>
      </c>
      <c r="GF407">
        <f>IF(OR(GD$3="",GD$3&gt;TODAY()),"",IF(AND(GD407="",GE407=""),"",N(GE407)-N(GD407)))</f>
        <v/>
      </c>
      <c r="GI407">
        <f>IF(OR(GD$3="",GD$3&gt;TODAY()),"",IF(AND(GG407="",GH407=""),"",N(GH407)-N(GG407)))</f>
        <v/>
      </c>
      <c r="GM407">
        <f>IF(OR(GK$3="",GK$3&gt;TODAY()),"",IF(AND(GK407="",GL407=""),"",N(GL407)-N(GK407)))</f>
        <v/>
      </c>
      <c r="GP407">
        <f>IF(OR(GK$3="",GK$3&gt;TODAY()),"",IF(AND(GN407="",GO407=""),"",N(GO407)-N(GN407)))</f>
        <v/>
      </c>
      <c r="GT407">
        <f>IF(OR(GR$3="",GR$3&gt;TODAY()),"",IF(AND(GR407="",GS407=""),"",N(GS407)-N(GR407)))</f>
        <v/>
      </c>
      <c r="GW407">
        <f>IF(OR(GR$3="",GR$3&gt;TODAY()),"",IF(AND(GU407="",GV407=""),"",N(GV407)-N(GU407)))</f>
        <v/>
      </c>
      <c r="HA407">
        <f>IF(OR(GY$3="",GY$3&gt;TODAY()),"",IF(AND(GY407="",GZ407=""),"",N(GZ407)-N(GY407)))</f>
        <v/>
      </c>
      <c r="HD407">
        <f>IF(OR(GY$3="",GY$3&gt;TODAY()),"",IF(AND(HB407="",HC407=""),"",N(HC407)-N(HB407)))</f>
        <v/>
      </c>
      <c r="HH407">
        <f>IF(OR(HF$3="",HF$3&gt;TODAY()),"",IF(AND(HF407="",HG407=""),"",N(HG407)-N(HF407)))</f>
        <v/>
      </c>
      <c r="HK407">
        <f>IF(OR(HF$3="",HF$3&gt;TODAY()),"",IF(AND(HI407="",HJ407=""),"",N(HJ407)-N(HI407)))</f>
        <v/>
      </c>
      <c r="HO407">
        <f>IF(OR(HM$3="",HM$3&gt;TODAY()),"",IF(AND(HM407="",HN407=""),"",N(HN407)-N(HM407)))</f>
        <v/>
      </c>
      <c r="HR407">
        <f>IF(OR(HM$3="",HM$3&gt;TODAY()),"",IF(AND(HP407="",HQ407=""),"",N(HQ407)-N(HP407)))</f>
        <v/>
      </c>
      <c r="HV407">
        <f>IF(OR(HT$3="",HT$3&gt;TODAY()),"",IF(AND(HT407="",HU407=""),"",N(HU407)-N(HT407)))</f>
        <v/>
      </c>
      <c r="HY407">
        <f>IF(OR(HT$3="",HT$3&gt;TODAY()),"",IF(AND(HW407="",HX407=""),"",N(HX407)-N(HW407)))</f>
        <v/>
      </c>
      <c r="IC407">
        <f>IF(OR(IA$3="",IA$3&gt;TODAY()),"",IF(AND(IA407="",IB407=""),"",N(IB407)-N(IA407)))</f>
        <v/>
      </c>
      <c r="IF407">
        <f>IF(OR(IA$3="",IA$3&gt;TODAY()),"",IF(AND(ID407="",IE407=""),"",N(IE407)-N(ID407)))</f>
        <v/>
      </c>
      <c r="IJ407">
        <f>IF(OR(IH$3="",IH$3&gt;TODAY()),"",IF(AND(IH407="",II407=""),"",N(II407)-N(IH407)))</f>
        <v/>
      </c>
      <c r="IM407">
        <f>IF(OR(IH$3="",IH$3&gt;TODAY()),"",IF(AND(IK407="",IL407=""),"",N(IL407)-N(IK407)))</f>
        <v/>
      </c>
    </row>
    <row r="408">
      <c r="A408" s="21" t="n"/>
      <c r="B408" s="21" t="n"/>
      <c r="C408" s="21" t="n"/>
      <c r="D408" s="21" t="n"/>
      <c r="E408" s="21" t="n"/>
      <c r="F408" s="21" t="n"/>
      <c r="G408" s="21" t="n"/>
      <c r="H408" s="21" t="n"/>
      <c r="I408" s="22" t="n"/>
      <c r="J408" s="22" t="n"/>
      <c r="K408" s="23" t="n"/>
      <c r="L408" s="22" t="n"/>
      <c r="M408" s="22" t="n"/>
      <c r="N408" s="21" t="n"/>
      <c r="O408" s="23" t="n"/>
      <c r="P408" s="23" t="n"/>
      <c r="Q408" s="23" t="n"/>
      <c r="R408" s="23" t="n"/>
      <c r="S408" s="22" t="n"/>
      <c r="T408" s="23" t="n"/>
      <c r="U408" s="23" t="n"/>
      <c r="V408" s="24">
        <f>IF(J408&lt;&gt;"",J408,IF(I408&lt;&gt;"",I408,""))</f>
        <v/>
      </c>
      <c r="W408" s="25">
        <f>IF($E408="","",N(O408)+SUMIFS($AF408:$IN408,$AF$4:$IN$4,"SEW_ACT"))</f>
        <v/>
      </c>
      <c r="X408" s="25">
        <f>IF($E408="","",N(P408)+SUMIFS($AF408:$IN408,$AF$4:$IN$4,"WASH_ACT"))</f>
        <v/>
      </c>
      <c r="Y408" s="25">
        <f>IF($E408="","",W408-X408-N(T408)-N(U408))</f>
        <v/>
      </c>
      <c r="Z408" s="25">
        <f>IF($E408="","",IF(N(K408)-X408&lt;=0.02*N(K408),0,N(K408)-X408))</f>
        <v/>
      </c>
      <c r="AA408" s="24">
        <f>IF($E408="","",IF(S408&lt;&gt;"",S408,IF(N(O408)&gt;0,IF(L408&lt;&gt;"",L408,99999),IFERROR(1/(1/_xlfn.MINIFS($AF$3:$IN$3,$AF$4:$IN$4,"SEW_ACT",$AF408:$IN408,"&gt;0")),99999))))</f>
        <v/>
      </c>
      <c r="AB408" s="26">
        <f>IF(OR($E408="",Z408=0,V408=""),"",1+COUNTIFS(Z$8:Z$707,"&gt;0",V$8:V$707,"&lt;"&amp;V408)+COUNTIFS(Z$8:Z$707,"&gt;0",V$8:V$707,V408,AA$8:AA$707,"&lt;"&amp;AA408)+COUNTIFS(Z$8:Z$707,"&gt;0",V$8:V$707,V408,AA$8:AA$707,AA408,E$8:E$707,"&lt;"&amp;$E408))</f>
        <v/>
      </c>
      <c r="AC408" s="24">
        <f>IF(OR($E408="",Z408=0),"",IFERROR(TODAY()+ROUNDUP(Z408/(SUMIFS($AF408:$IN408,$AF$4:$IN$4,"WASH_ACT")/COUNTIFS($AF$4:$IN$4,"WASH_ACT",$AF408:$IN408,"&gt;0")),0),"no output yet"))</f>
        <v/>
      </c>
      <c r="AD408" s="26">
        <f>IF($E408="","",IFERROR(ROUND(MAX(0,SUMIFS($AF408:$IN408,$AF$4:$IN$4,"SEW_PLAN",$AF$3:$IN$3,"&lt;="&amp;TODAY())-SUMIFS($AF408:$IN408,$AF$4:$IN$4,"SEW_ACT",$AF$3:$IN$3,"&lt;="&amp;TODAY())+N(Q408))/(SUMIFS($AF408:$IN408,$AF$4:$IN$4,"SEW_PLAN")/COUNTIFS($AF$4:$IN$4,"SEW_PLAN",$AF408:$IN408,"&gt;0")),1),0))</f>
        <v/>
      </c>
      <c r="AE408" s="26">
        <f>IF($E408="","",IF(AND(Z408&gt;0,OR(AND(M408&lt;&gt;"",TODAY()&gt;M408),AND(V408&lt;&gt;"",V408-TODAY()&lt;=7))),"Yes","No"))</f>
        <v/>
      </c>
      <c r="AH408">
        <f>IF(OR(AF$3="",AF$3&gt;TODAY()),"",IF(AND(AF408="",AG408=""),"",N(AG408)-N(AF408)))</f>
        <v/>
      </c>
      <c r="AK408">
        <f>IF(OR(AF$3="",AF$3&gt;TODAY()),"",IF(AND(AI408="",AJ408=""),"",N(AJ408)-N(AI408)))</f>
        <v/>
      </c>
      <c r="AO408">
        <f>IF(OR(AM$3="",AM$3&gt;TODAY()),"",IF(AND(AM408="",AN408=""),"",N(AN408)-N(AM408)))</f>
        <v/>
      </c>
      <c r="AR408">
        <f>IF(OR(AM$3="",AM$3&gt;TODAY()),"",IF(AND(AP408="",AQ408=""),"",N(AQ408)-N(AP408)))</f>
        <v/>
      </c>
      <c r="AV408">
        <f>IF(OR(AT$3="",AT$3&gt;TODAY()),"",IF(AND(AT408="",AU408=""),"",N(AU408)-N(AT408)))</f>
        <v/>
      </c>
      <c r="AY408">
        <f>IF(OR(AT$3="",AT$3&gt;TODAY()),"",IF(AND(AW408="",AX408=""),"",N(AX408)-N(AW408)))</f>
        <v/>
      </c>
      <c r="BC408">
        <f>IF(OR(BA$3="",BA$3&gt;TODAY()),"",IF(AND(BA408="",BB408=""),"",N(BB408)-N(BA408)))</f>
        <v/>
      </c>
      <c r="BF408">
        <f>IF(OR(BA$3="",BA$3&gt;TODAY()),"",IF(AND(BD408="",BE408=""),"",N(BE408)-N(BD408)))</f>
        <v/>
      </c>
      <c r="BJ408">
        <f>IF(OR(BH$3="",BH$3&gt;TODAY()),"",IF(AND(BH408="",BI408=""),"",N(BI408)-N(BH408)))</f>
        <v/>
      </c>
      <c r="BM408">
        <f>IF(OR(BH$3="",BH$3&gt;TODAY()),"",IF(AND(BK408="",BL408=""),"",N(BL408)-N(BK408)))</f>
        <v/>
      </c>
      <c r="BQ408">
        <f>IF(OR(BO$3="",BO$3&gt;TODAY()),"",IF(AND(BO408="",BP408=""),"",N(BP408)-N(BO408)))</f>
        <v/>
      </c>
      <c r="BT408">
        <f>IF(OR(BO$3="",BO$3&gt;TODAY()),"",IF(AND(BR408="",BS408=""),"",N(BS408)-N(BR408)))</f>
        <v/>
      </c>
      <c r="BX408">
        <f>IF(OR(BV$3="",BV$3&gt;TODAY()),"",IF(AND(BV408="",BW408=""),"",N(BW408)-N(BV408)))</f>
        <v/>
      </c>
      <c r="CA408">
        <f>IF(OR(BV$3="",BV$3&gt;TODAY()),"",IF(AND(BY408="",BZ408=""),"",N(BZ408)-N(BY408)))</f>
        <v/>
      </c>
      <c r="CE408">
        <f>IF(OR(CC$3="",CC$3&gt;TODAY()),"",IF(AND(CC408="",CD408=""),"",N(CD408)-N(CC408)))</f>
        <v/>
      </c>
      <c r="CH408">
        <f>IF(OR(CC$3="",CC$3&gt;TODAY()),"",IF(AND(CF408="",CG408=""),"",N(CG408)-N(CF408)))</f>
        <v/>
      </c>
      <c r="CL408">
        <f>IF(OR(CJ$3="",CJ$3&gt;TODAY()),"",IF(AND(CJ408="",CK408=""),"",N(CK408)-N(CJ408)))</f>
        <v/>
      </c>
      <c r="CO408">
        <f>IF(OR(CJ$3="",CJ$3&gt;TODAY()),"",IF(AND(CM408="",CN408=""),"",N(CN408)-N(CM408)))</f>
        <v/>
      </c>
      <c r="CS408">
        <f>IF(OR(CQ$3="",CQ$3&gt;TODAY()),"",IF(AND(CQ408="",CR408=""),"",N(CR408)-N(CQ408)))</f>
        <v/>
      </c>
      <c r="CV408">
        <f>IF(OR(CQ$3="",CQ$3&gt;TODAY()),"",IF(AND(CT408="",CU408=""),"",N(CU408)-N(CT408)))</f>
        <v/>
      </c>
      <c r="CZ408">
        <f>IF(OR(CX$3="",CX$3&gt;TODAY()),"",IF(AND(CX408="",CY408=""),"",N(CY408)-N(CX408)))</f>
        <v/>
      </c>
      <c r="DC408">
        <f>IF(OR(CX$3="",CX$3&gt;TODAY()),"",IF(AND(DA408="",DB408=""),"",N(DB408)-N(DA408)))</f>
        <v/>
      </c>
      <c r="DG408">
        <f>IF(OR(DE$3="",DE$3&gt;TODAY()),"",IF(AND(DE408="",DF408=""),"",N(DF408)-N(DE408)))</f>
        <v/>
      </c>
      <c r="DJ408">
        <f>IF(OR(DE$3="",DE$3&gt;TODAY()),"",IF(AND(DH408="",DI408=""),"",N(DI408)-N(DH408)))</f>
        <v/>
      </c>
      <c r="DN408">
        <f>IF(OR(DL$3="",DL$3&gt;TODAY()),"",IF(AND(DL408="",DM408=""),"",N(DM408)-N(DL408)))</f>
        <v/>
      </c>
      <c r="DQ408">
        <f>IF(OR(DL$3="",DL$3&gt;TODAY()),"",IF(AND(DO408="",DP408=""),"",N(DP408)-N(DO408)))</f>
        <v/>
      </c>
      <c r="DU408">
        <f>IF(OR(DS$3="",DS$3&gt;TODAY()),"",IF(AND(DS408="",DT408=""),"",N(DT408)-N(DS408)))</f>
        <v/>
      </c>
      <c r="DX408">
        <f>IF(OR(DS$3="",DS$3&gt;TODAY()),"",IF(AND(DV408="",DW408=""),"",N(DW408)-N(DV408)))</f>
        <v/>
      </c>
      <c r="EB408">
        <f>IF(OR(DZ$3="",DZ$3&gt;TODAY()),"",IF(AND(DZ408="",EA408=""),"",N(EA408)-N(DZ408)))</f>
        <v/>
      </c>
      <c r="EE408">
        <f>IF(OR(DZ$3="",DZ$3&gt;TODAY()),"",IF(AND(EC408="",ED408=""),"",N(ED408)-N(EC408)))</f>
        <v/>
      </c>
      <c r="EI408">
        <f>IF(OR(EG$3="",EG$3&gt;TODAY()),"",IF(AND(EG408="",EH408=""),"",N(EH408)-N(EG408)))</f>
        <v/>
      </c>
      <c r="EL408">
        <f>IF(OR(EG$3="",EG$3&gt;TODAY()),"",IF(AND(EJ408="",EK408=""),"",N(EK408)-N(EJ408)))</f>
        <v/>
      </c>
      <c r="EP408">
        <f>IF(OR(EN$3="",EN$3&gt;TODAY()),"",IF(AND(EN408="",EO408=""),"",N(EO408)-N(EN408)))</f>
        <v/>
      </c>
      <c r="ES408">
        <f>IF(OR(EN$3="",EN$3&gt;TODAY()),"",IF(AND(EQ408="",ER408=""),"",N(ER408)-N(EQ408)))</f>
        <v/>
      </c>
      <c r="EW408">
        <f>IF(OR(EU$3="",EU$3&gt;TODAY()),"",IF(AND(EU408="",EV408=""),"",N(EV408)-N(EU408)))</f>
        <v/>
      </c>
      <c r="EZ408">
        <f>IF(OR(EU$3="",EU$3&gt;TODAY()),"",IF(AND(EX408="",EY408=""),"",N(EY408)-N(EX408)))</f>
        <v/>
      </c>
      <c r="FD408">
        <f>IF(OR(FB$3="",FB$3&gt;TODAY()),"",IF(AND(FB408="",FC408=""),"",N(FC408)-N(FB408)))</f>
        <v/>
      </c>
      <c r="FG408">
        <f>IF(OR(FB$3="",FB$3&gt;TODAY()),"",IF(AND(FE408="",FF408=""),"",N(FF408)-N(FE408)))</f>
        <v/>
      </c>
      <c r="FK408">
        <f>IF(OR(FI$3="",FI$3&gt;TODAY()),"",IF(AND(FI408="",FJ408=""),"",N(FJ408)-N(FI408)))</f>
        <v/>
      </c>
      <c r="FN408">
        <f>IF(OR(FI$3="",FI$3&gt;TODAY()),"",IF(AND(FL408="",FM408=""),"",N(FM408)-N(FL408)))</f>
        <v/>
      </c>
      <c r="FR408">
        <f>IF(OR(FP$3="",FP$3&gt;TODAY()),"",IF(AND(FP408="",FQ408=""),"",N(FQ408)-N(FP408)))</f>
        <v/>
      </c>
      <c r="FU408">
        <f>IF(OR(FP$3="",FP$3&gt;TODAY()),"",IF(AND(FS408="",FT408=""),"",N(FT408)-N(FS408)))</f>
        <v/>
      </c>
      <c r="FY408">
        <f>IF(OR(FW$3="",FW$3&gt;TODAY()),"",IF(AND(FW408="",FX408=""),"",N(FX408)-N(FW408)))</f>
        <v/>
      </c>
      <c r="GB408">
        <f>IF(OR(FW$3="",FW$3&gt;TODAY()),"",IF(AND(FZ408="",GA408=""),"",N(GA408)-N(FZ408)))</f>
        <v/>
      </c>
      <c r="GF408">
        <f>IF(OR(GD$3="",GD$3&gt;TODAY()),"",IF(AND(GD408="",GE408=""),"",N(GE408)-N(GD408)))</f>
        <v/>
      </c>
      <c r="GI408">
        <f>IF(OR(GD$3="",GD$3&gt;TODAY()),"",IF(AND(GG408="",GH408=""),"",N(GH408)-N(GG408)))</f>
        <v/>
      </c>
      <c r="GM408">
        <f>IF(OR(GK$3="",GK$3&gt;TODAY()),"",IF(AND(GK408="",GL408=""),"",N(GL408)-N(GK408)))</f>
        <v/>
      </c>
      <c r="GP408">
        <f>IF(OR(GK$3="",GK$3&gt;TODAY()),"",IF(AND(GN408="",GO408=""),"",N(GO408)-N(GN408)))</f>
        <v/>
      </c>
      <c r="GT408">
        <f>IF(OR(GR$3="",GR$3&gt;TODAY()),"",IF(AND(GR408="",GS408=""),"",N(GS408)-N(GR408)))</f>
        <v/>
      </c>
      <c r="GW408">
        <f>IF(OR(GR$3="",GR$3&gt;TODAY()),"",IF(AND(GU408="",GV408=""),"",N(GV408)-N(GU408)))</f>
        <v/>
      </c>
      <c r="HA408">
        <f>IF(OR(GY$3="",GY$3&gt;TODAY()),"",IF(AND(GY408="",GZ408=""),"",N(GZ408)-N(GY408)))</f>
        <v/>
      </c>
      <c r="HD408">
        <f>IF(OR(GY$3="",GY$3&gt;TODAY()),"",IF(AND(HB408="",HC408=""),"",N(HC408)-N(HB408)))</f>
        <v/>
      </c>
      <c r="HH408">
        <f>IF(OR(HF$3="",HF$3&gt;TODAY()),"",IF(AND(HF408="",HG408=""),"",N(HG408)-N(HF408)))</f>
        <v/>
      </c>
      <c r="HK408">
        <f>IF(OR(HF$3="",HF$3&gt;TODAY()),"",IF(AND(HI408="",HJ408=""),"",N(HJ408)-N(HI408)))</f>
        <v/>
      </c>
      <c r="HO408">
        <f>IF(OR(HM$3="",HM$3&gt;TODAY()),"",IF(AND(HM408="",HN408=""),"",N(HN408)-N(HM408)))</f>
        <v/>
      </c>
      <c r="HR408">
        <f>IF(OR(HM$3="",HM$3&gt;TODAY()),"",IF(AND(HP408="",HQ408=""),"",N(HQ408)-N(HP408)))</f>
        <v/>
      </c>
      <c r="HV408">
        <f>IF(OR(HT$3="",HT$3&gt;TODAY()),"",IF(AND(HT408="",HU408=""),"",N(HU408)-N(HT408)))</f>
        <v/>
      </c>
      <c r="HY408">
        <f>IF(OR(HT$3="",HT$3&gt;TODAY()),"",IF(AND(HW408="",HX408=""),"",N(HX408)-N(HW408)))</f>
        <v/>
      </c>
      <c r="IC408">
        <f>IF(OR(IA$3="",IA$3&gt;TODAY()),"",IF(AND(IA408="",IB408=""),"",N(IB408)-N(IA408)))</f>
        <v/>
      </c>
      <c r="IF408">
        <f>IF(OR(IA$3="",IA$3&gt;TODAY()),"",IF(AND(ID408="",IE408=""),"",N(IE408)-N(ID408)))</f>
        <v/>
      </c>
      <c r="IJ408">
        <f>IF(OR(IH$3="",IH$3&gt;TODAY()),"",IF(AND(IH408="",II408=""),"",N(II408)-N(IH408)))</f>
        <v/>
      </c>
      <c r="IM408">
        <f>IF(OR(IH$3="",IH$3&gt;TODAY()),"",IF(AND(IK408="",IL408=""),"",N(IL408)-N(IK408)))</f>
        <v/>
      </c>
    </row>
    <row r="409">
      <c r="A409" s="21" t="n"/>
      <c r="B409" s="21" t="n"/>
      <c r="C409" s="21" t="n"/>
      <c r="D409" s="21" t="n"/>
      <c r="E409" s="21" t="n"/>
      <c r="F409" s="21" t="n"/>
      <c r="G409" s="21" t="n"/>
      <c r="H409" s="21" t="n"/>
      <c r="I409" s="22" t="n"/>
      <c r="J409" s="22" t="n"/>
      <c r="K409" s="23" t="n"/>
      <c r="L409" s="22" t="n"/>
      <c r="M409" s="22" t="n"/>
      <c r="N409" s="21" t="n"/>
      <c r="O409" s="23" t="n"/>
      <c r="P409" s="23" t="n"/>
      <c r="Q409" s="23" t="n"/>
      <c r="R409" s="23" t="n"/>
      <c r="S409" s="22" t="n"/>
      <c r="T409" s="23" t="n"/>
      <c r="U409" s="23" t="n"/>
      <c r="V409" s="24">
        <f>IF(J409&lt;&gt;"",J409,IF(I409&lt;&gt;"",I409,""))</f>
        <v/>
      </c>
      <c r="W409" s="25">
        <f>IF($E409="","",N(O409)+SUMIFS($AF409:$IN409,$AF$4:$IN$4,"SEW_ACT"))</f>
        <v/>
      </c>
      <c r="X409" s="25">
        <f>IF($E409="","",N(P409)+SUMIFS($AF409:$IN409,$AF$4:$IN$4,"WASH_ACT"))</f>
        <v/>
      </c>
      <c r="Y409" s="25">
        <f>IF($E409="","",W409-X409-N(T409)-N(U409))</f>
        <v/>
      </c>
      <c r="Z409" s="25">
        <f>IF($E409="","",IF(N(K409)-X409&lt;=0.02*N(K409),0,N(K409)-X409))</f>
        <v/>
      </c>
      <c r="AA409" s="24">
        <f>IF($E409="","",IF(S409&lt;&gt;"",S409,IF(N(O409)&gt;0,IF(L409&lt;&gt;"",L409,99999),IFERROR(1/(1/_xlfn.MINIFS($AF$3:$IN$3,$AF$4:$IN$4,"SEW_ACT",$AF409:$IN409,"&gt;0")),99999))))</f>
        <v/>
      </c>
      <c r="AB409" s="26">
        <f>IF(OR($E409="",Z409=0,V409=""),"",1+COUNTIFS(Z$8:Z$707,"&gt;0",V$8:V$707,"&lt;"&amp;V409)+COUNTIFS(Z$8:Z$707,"&gt;0",V$8:V$707,V409,AA$8:AA$707,"&lt;"&amp;AA409)+COUNTIFS(Z$8:Z$707,"&gt;0",V$8:V$707,V409,AA$8:AA$707,AA409,E$8:E$707,"&lt;"&amp;$E409))</f>
        <v/>
      </c>
      <c r="AC409" s="24">
        <f>IF(OR($E409="",Z409=0),"",IFERROR(TODAY()+ROUNDUP(Z409/(SUMIFS($AF409:$IN409,$AF$4:$IN$4,"WASH_ACT")/COUNTIFS($AF$4:$IN$4,"WASH_ACT",$AF409:$IN409,"&gt;0")),0),"no output yet"))</f>
        <v/>
      </c>
      <c r="AD409" s="26">
        <f>IF($E409="","",IFERROR(ROUND(MAX(0,SUMIFS($AF409:$IN409,$AF$4:$IN$4,"SEW_PLAN",$AF$3:$IN$3,"&lt;="&amp;TODAY())-SUMIFS($AF409:$IN409,$AF$4:$IN$4,"SEW_ACT",$AF$3:$IN$3,"&lt;="&amp;TODAY())+N(Q409))/(SUMIFS($AF409:$IN409,$AF$4:$IN$4,"SEW_PLAN")/COUNTIFS($AF$4:$IN$4,"SEW_PLAN",$AF409:$IN409,"&gt;0")),1),0))</f>
        <v/>
      </c>
      <c r="AE409" s="26">
        <f>IF($E409="","",IF(AND(Z409&gt;0,OR(AND(M409&lt;&gt;"",TODAY()&gt;M409),AND(V409&lt;&gt;"",V409-TODAY()&lt;=7))),"Yes","No"))</f>
        <v/>
      </c>
      <c r="AH409">
        <f>IF(OR(AF$3="",AF$3&gt;TODAY()),"",IF(AND(AF409="",AG409=""),"",N(AG409)-N(AF409)))</f>
        <v/>
      </c>
      <c r="AK409">
        <f>IF(OR(AF$3="",AF$3&gt;TODAY()),"",IF(AND(AI409="",AJ409=""),"",N(AJ409)-N(AI409)))</f>
        <v/>
      </c>
      <c r="AO409">
        <f>IF(OR(AM$3="",AM$3&gt;TODAY()),"",IF(AND(AM409="",AN409=""),"",N(AN409)-N(AM409)))</f>
        <v/>
      </c>
      <c r="AR409">
        <f>IF(OR(AM$3="",AM$3&gt;TODAY()),"",IF(AND(AP409="",AQ409=""),"",N(AQ409)-N(AP409)))</f>
        <v/>
      </c>
      <c r="AV409">
        <f>IF(OR(AT$3="",AT$3&gt;TODAY()),"",IF(AND(AT409="",AU409=""),"",N(AU409)-N(AT409)))</f>
        <v/>
      </c>
      <c r="AY409">
        <f>IF(OR(AT$3="",AT$3&gt;TODAY()),"",IF(AND(AW409="",AX409=""),"",N(AX409)-N(AW409)))</f>
        <v/>
      </c>
      <c r="BC409">
        <f>IF(OR(BA$3="",BA$3&gt;TODAY()),"",IF(AND(BA409="",BB409=""),"",N(BB409)-N(BA409)))</f>
        <v/>
      </c>
      <c r="BF409">
        <f>IF(OR(BA$3="",BA$3&gt;TODAY()),"",IF(AND(BD409="",BE409=""),"",N(BE409)-N(BD409)))</f>
        <v/>
      </c>
      <c r="BJ409">
        <f>IF(OR(BH$3="",BH$3&gt;TODAY()),"",IF(AND(BH409="",BI409=""),"",N(BI409)-N(BH409)))</f>
        <v/>
      </c>
      <c r="BM409">
        <f>IF(OR(BH$3="",BH$3&gt;TODAY()),"",IF(AND(BK409="",BL409=""),"",N(BL409)-N(BK409)))</f>
        <v/>
      </c>
      <c r="BQ409">
        <f>IF(OR(BO$3="",BO$3&gt;TODAY()),"",IF(AND(BO409="",BP409=""),"",N(BP409)-N(BO409)))</f>
        <v/>
      </c>
      <c r="BT409">
        <f>IF(OR(BO$3="",BO$3&gt;TODAY()),"",IF(AND(BR409="",BS409=""),"",N(BS409)-N(BR409)))</f>
        <v/>
      </c>
      <c r="BX409">
        <f>IF(OR(BV$3="",BV$3&gt;TODAY()),"",IF(AND(BV409="",BW409=""),"",N(BW409)-N(BV409)))</f>
        <v/>
      </c>
      <c r="CA409">
        <f>IF(OR(BV$3="",BV$3&gt;TODAY()),"",IF(AND(BY409="",BZ409=""),"",N(BZ409)-N(BY409)))</f>
        <v/>
      </c>
      <c r="CE409">
        <f>IF(OR(CC$3="",CC$3&gt;TODAY()),"",IF(AND(CC409="",CD409=""),"",N(CD409)-N(CC409)))</f>
        <v/>
      </c>
      <c r="CH409">
        <f>IF(OR(CC$3="",CC$3&gt;TODAY()),"",IF(AND(CF409="",CG409=""),"",N(CG409)-N(CF409)))</f>
        <v/>
      </c>
      <c r="CL409">
        <f>IF(OR(CJ$3="",CJ$3&gt;TODAY()),"",IF(AND(CJ409="",CK409=""),"",N(CK409)-N(CJ409)))</f>
        <v/>
      </c>
      <c r="CO409">
        <f>IF(OR(CJ$3="",CJ$3&gt;TODAY()),"",IF(AND(CM409="",CN409=""),"",N(CN409)-N(CM409)))</f>
        <v/>
      </c>
      <c r="CS409">
        <f>IF(OR(CQ$3="",CQ$3&gt;TODAY()),"",IF(AND(CQ409="",CR409=""),"",N(CR409)-N(CQ409)))</f>
        <v/>
      </c>
      <c r="CV409">
        <f>IF(OR(CQ$3="",CQ$3&gt;TODAY()),"",IF(AND(CT409="",CU409=""),"",N(CU409)-N(CT409)))</f>
        <v/>
      </c>
      <c r="CZ409">
        <f>IF(OR(CX$3="",CX$3&gt;TODAY()),"",IF(AND(CX409="",CY409=""),"",N(CY409)-N(CX409)))</f>
        <v/>
      </c>
      <c r="DC409">
        <f>IF(OR(CX$3="",CX$3&gt;TODAY()),"",IF(AND(DA409="",DB409=""),"",N(DB409)-N(DA409)))</f>
        <v/>
      </c>
      <c r="DG409">
        <f>IF(OR(DE$3="",DE$3&gt;TODAY()),"",IF(AND(DE409="",DF409=""),"",N(DF409)-N(DE409)))</f>
        <v/>
      </c>
      <c r="DJ409">
        <f>IF(OR(DE$3="",DE$3&gt;TODAY()),"",IF(AND(DH409="",DI409=""),"",N(DI409)-N(DH409)))</f>
        <v/>
      </c>
      <c r="DN409">
        <f>IF(OR(DL$3="",DL$3&gt;TODAY()),"",IF(AND(DL409="",DM409=""),"",N(DM409)-N(DL409)))</f>
        <v/>
      </c>
      <c r="DQ409">
        <f>IF(OR(DL$3="",DL$3&gt;TODAY()),"",IF(AND(DO409="",DP409=""),"",N(DP409)-N(DO409)))</f>
        <v/>
      </c>
      <c r="DU409">
        <f>IF(OR(DS$3="",DS$3&gt;TODAY()),"",IF(AND(DS409="",DT409=""),"",N(DT409)-N(DS409)))</f>
        <v/>
      </c>
      <c r="DX409">
        <f>IF(OR(DS$3="",DS$3&gt;TODAY()),"",IF(AND(DV409="",DW409=""),"",N(DW409)-N(DV409)))</f>
        <v/>
      </c>
      <c r="EB409">
        <f>IF(OR(DZ$3="",DZ$3&gt;TODAY()),"",IF(AND(DZ409="",EA409=""),"",N(EA409)-N(DZ409)))</f>
        <v/>
      </c>
      <c r="EE409">
        <f>IF(OR(DZ$3="",DZ$3&gt;TODAY()),"",IF(AND(EC409="",ED409=""),"",N(ED409)-N(EC409)))</f>
        <v/>
      </c>
      <c r="EI409">
        <f>IF(OR(EG$3="",EG$3&gt;TODAY()),"",IF(AND(EG409="",EH409=""),"",N(EH409)-N(EG409)))</f>
        <v/>
      </c>
      <c r="EL409">
        <f>IF(OR(EG$3="",EG$3&gt;TODAY()),"",IF(AND(EJ409="",EK409=""),"",N(EK409)-N(EJ409)))</f>
        <v/>
      </c>
      <c r="EP409">
        <f>IF(OR(EN$3="",EN$3&gt;TODAY()),"",IF(AND(EN409="",EO409=""),"",N(EO409)-N(EN409)))</f>
        <v/>
      </c>
      <c r="ES409">
        <f>IF(OR(EN$3="",EN$3&gt;TODAY()),"",IF(AND(EQ409="",ER409=""),"",N(ER409)-N(EQ409)))</f>
        <v/>
      </c>
      <c r="EW409">
        <f>IF(OR(EU$3="",EU$3&gt;TODAY()),"",IF(AND(EU409="",EV409=""),"",N(EV409)-N(EU409)))</f>
        <v/>
      </c>
      <c r="EZ409">
        <f>IF(OR(EU$3="",EU$3&gt;TODAY()),"",IF(AND(EX409="",EY409=""),"",N(EY409)-N(EX409)))</f>
        <v/>
      </c>
      <c r="FD409">
        <f>IF(OR(FB$3="",FB$3&gt;TODAY()),"",IF(AND(FB409="",FC409=""),"",N(FC409)-N(FB409)))</f>
        <v/>
      </c>
      <c r="FG409">
        <f>IF(OR(FB$3="",FB$3&gt;TODAY()),"",IF(AND(FE409="",FF409=""),"",N(FF409)-N(FE409)))</f>
        <v/>
      </c>
      <c r="FK409">
        <f>IF(OR(FI$3="",FI$3&gt;TODAY()),"",IF(AND(FI409="",FJ409=""),"",N(FJ409)-N(FI409)))</f>
        <v/>
      </c>
      <c r="FN409">
        <f>IF(OR(FI$3="",FI$3&gt;TODAY()),"",IF(AND(FL409="",FM409=""),"",N(FM409)-N(FL409)))</f>
        <v/>
      </c>
      <c r="FR409">
        <f>IF(OR(FP$3="",FP$3&gt;TODAY()),"",IF(AND(FP409="",FQ409=""),"",N(FQ409)-N(FP409)))</f>
        <v/>
      </c>
      <c r="FU409">
        <f>IF(OR(FP$3="",FP$3&gt;TODAY()),"",IF(AND(FS409="",FT409=""),"",N(FT409)-N(FS409)))</f>
        <v/>
      </c>
      <c r="FY409">
        <f>IF(OR(FW$3="",FW$3&gt;TODAY()),"",IF(AND(FW409="",FX409=""),"",N(FX409)-N(FW409)))</f>
        <v/>
      </c>
      <c r="GB409">
        <f>IF(OR(FW$3="",FW$3&gt;TODAY()),"",IF(AND(FZ409="",GA409=""),"",N(GA409)-N(FZ409)))</f>
        <v/>
      </c>
      <c r="GF409">
        <f>IF(OR(GD$3="",GD$3&gt;TODAY()),"",IF(AND(GD409="",GE409=""),"",N(GE409)-N(GD409)))</f>
        <v/>
      </c>
      <c r="GI409">
        <f>IF(OR(GD$3="",GD$3&gt;TODAY()),"",IF(AND(GG409="",GH409=""),"",N(GH409)-N(GG409)))</f>
        <v/>
      </c>
      <c r="GM409">
        <f>IF(OR(GK$3="",GK$3&gt;TODAY()),"",IF(AND(GK409="",GL409=""),"",N(GL409)-N(GK409)))</f>
        <v/>
      </c>
      <c r="GP409">
        <f>IF(OR(GK$3="",GK$3&gt;TODAY()),"",IF(AND(GN409="",GO409=""),"",N(GO409)-N(GN409)))</f>
        <v/>
      </c>
      <c r="GT409">
        <f>IF(OR(GR$3="",GR$3&gt;TODAY()),"",IF(AND(GR409="",GS409=""),"",N(GS409)-N(GR409)))</f>
        <v/>
      </c>
      <c r="GW409">
        <f>IF(OR(GR$3="",GR$3&gt;TODAY()),"",IF(AND(GU409="",GV409=""),"",N(GV409)-N(GU409)))</f>
        <v/>
      </c>
      <c r="HA409">
        <f>IF(OR(GY$3="",GY$3&gt;TODAY()),"",IF(AND(GY409="",GZ409=""),"",N(GZ409)-N(GY409)))</f>
        <v/>
      </c>
      <c r="HD409">
        <f>IF(OR(GY$3="",GY$3&gt;TODAY()),"",IF(AND(HB409="",HC409=""),"",N(HC409)-N(HB409)))</f>
        <v/>
      </c>
      <c r="HH409">
        <f>IF(OR(HF$3="",HF$3&gt;TODAY()),"",IF(AND(HF409="",HG409=""),"",N(HG409)-N(HF409)))</f>
        <v/>
      </c>
      <c r="HK409">
        <f>IF(OR(HF$3="",HF$3&gt;TODAY()),"",IF(AND(HI409="",HJ409=""),"",N(HJ409)-N(HI409)))</f>
        <v/>
      </c>
      <c r="HO409">
        <f>IF(OR(HM$3="",HM$3&gt;TODAY()),"",IF(AND(HM409="",HN409=""),"",N(HN409)-N(HM409)))</f>
        <v/>
      </c>
      <c r="HR409">
        <f>IF(OR(HM$3="",HM$3&gt;TODAY()),"",IF(AND(HP409="",HQ409=""),"",N(HQ409)-N(HP409)))</f>
        <v/>
      </c>
      <c r="HV409">
        <f>IF(OR(HT$3="",HT$3&gt;TODAY()),"",IF(AND(HT409="",HU409=""),"",N(HU409)-N(HT409)))</f>
        <v/>
      </c>
      <c r="HY409">
        <f>IF(OR(HT$3="",HT$3&gt;TODAY()),"",IF(AND(HW409="",HX409=""),"",N(HX409)-N(HW409)))</f>
        <v/>
      </c>
      <c r="IC409">
        <f>IF(OR(IA$3="",IA$3&gt;TODAY()),"",IF(AND(IA409="",IB409=""),"",N(IB409)-N(IA409)))</f>
        <v/>
      </c>
      <c r="IF409">
        <f>IF(OR(IA$3="",IA$3&gt;TODAY()),"",IF(AND(ID409="",IE409=""),"",N(IE409)-N(ID409)))</f>
        <v/>
      </c>
      <c r="IJ409">
        <f>IF(OR(IH$3="",IH$3&gt;TODAY()),"",IF(AND(IH409="",II409=""),"",N(II409)-N(IH409)))</f>
        <v/>
      </c>
      <c r="IM409">
        <f>IF(OR(IH$3="",IH$3&gt;TODAY()),"",IF(AND(IK409="",IL409=""),"",N(IL409)-N(IK409)))</f>
        <v/>
      </c>
    </row>
    <row r="410">
      <c r="A410" s="21" t="n"/>
      <c r="B410" s="21" t="n"/>
      <c r="C410" s="21" t="n"/>
      <c r="D410" s="21" t="n"/>
      <c r="E410" s="21" t="n"/>
      <c r="F410" s="21" t="n"/>
      <c r="G410" s="21" t="n"/>
      <c r="H410" s="21" t="n"/>
      <c r="I410" s="22" t="n"/>
      <c r="J410" s="22" t="n"/>
      <c r="K410" s="23" t="n"/>
      <c r="L410" s="22" t="n"/>
      <c r="M410" s="22" t="n"/>
      <c r="N410" s="21" t="n"/>
      <c r="O410" s="23" t="n"/>
      <c r="P410" s="23" t="n"/>
      <c r="Q410" s="23" t="n"/>
      <c r="R410" s="23" t="n"/>
      <c r="S410" s="22" t="n"/>
      <c r="T410" s="23" t="n"/>
      <c r="U410" s="23" t="n"/>
      <c r="V410" s="24">
        <f>IF(J410&lt;&gt;"",J410,IF(I410&lt;&gt;"",I410,""))</f>
        <v/>
      </c>
      <c r="W410" s="25">
        <f>IF($E410="","",N(O410)+SUMIFS($AF410:$IN410,$AF$4:$IN$4,"SEW_ACT"))</f>
        <v/>
      </c>
      <c r="X410" s="25">
        <f>IF($E410="","",N(P410)+SUMIFS($AF410:$IN410,$AF$4:$IN$4,"WASH_ACT"))</f>
        <v/>
      </c>
      <c r="Y410" s="25">
        <f>IF($E410="","",W410-X410-N(T410)-N(U410))</f>
        <v/>
      </c>
      <c r="Z410" s="25">
        <f>IF($E410="","",IF(N(K410)-X410&lt;=0.02*N(K410),0,N(K410)-X410))</f>
        <v/>
      </c>
      <c r="AA410" s="24">
        <f>IF($E410="","",IF(S410&lt;&gt;"",S410,IF(N(O410)&gt;0,IF(L410&lt;&gt;"",L410,99999),IFERROR(1/(1/_xlfn.MINIFS($AF$3:$IN$3,$AF$4:$IN$4,"SEW_ACT",$AF410:$IN410,"&gt;0")),99999))))</f>
        <v/>
      </c>
      <c r="AB410" s="26">
        <f>IF(OR($E410="",Z410=0,V410=""),"",1+COUNTIFS(Z$8:Z$707,"&gt;0",V$8:V$707,"&lt;"&amp;V410)+COUNTIFS(Z$8:Z$707,"&gt;0",V$8:V$707,V410,AA$8:AA$707,"&lt;"&amp;AA410)+COUNTIFS(Z$8:Z$707,"&gt;0",V$8:V$707,V410,AA$8:AA$707,AA410,E$8:E$707,"&lt;"&amp;$E410))</f>
        <v/>
      </c>
      <c r="AC410" s="24">
        <f>IF(OR($E410="",Z410=0),"",IFERROR(TODAY()+ROUNDUP(Z410/(SUMIFS($AF410:$IN410,$AF$4:$IN$4,"WASH_ACT")/COUNTIFS($AF$4:$IN$4,"WASH_ACT",$AF410:$IN410,"&gt;0")),0),"no output yet"))</f>
        <v/>
      </c>
      <c r="AD410" s="26">
        <f>IF($E410="","",IFERROR(ROUND(MAX(0,SUMIFS($AF410:$IN410,$AF$4:$IN$4,"SEW_PLAN",$AF$3:$IN$3,"&lt;="&amp;TODAY())-SUMIFS($AF410:$IN410,$AF$4:$IN$4,"SEW_ACT",$AF$3:$IN$3,"&lt;="&amp;TODAY())+N(Q410))/(SUMIFS($AF410:$IN410,$AF$4:$IN$4,"SEW_PLAN")/COUNTIFS($AF$4:$IN$4,"SEW_PLAN",$AF410:$IN410,"&gt;0")),1),0))</f>
        <v/>
      </c>
      <c r="AE410" s="26">
        <f>IF($E410="","",IF(AND(Z410&gt;0,OR(AND(M410&lt;&gt;"",TODAY()&gt;M410),AND(V410&lt;&gt;"",V410-TODAY()&lt;=7))),"Yes","No"))</f>
        <v/>
      </c>
      <c r="AH410">
        <f>IF(OR(AF$3="",AF$3&gt;TODAY()),"",IF(AND(AF410="",AG410=""),"",N(AG410)-N(AF410)))</f>
        <v/>
      </c>
      <c r="AK410">
        <f>IF(OR(AF$3="",AF$3&gt;TODAY()),"",IF(AND(AI410="",AJ410=""),"",N(AJ410)-N(AI410)))</f>
        <v/>
      </c>
      <c r="AO410">
        <f>IF(OR(AM$3="",AM$3&gt;TODAY()),"",IF(AND(AM410="",AN410=""),"",N(AN410)-N(AM410)))</f>
        <v/>
      </c>
      <c r="AR410">
        <f>IF(OR(AM$3="",AM$3&gt;TODAY()),"",IF(AND(AP410="",AQ410=""),"",N(AQ410)-N(AP410)))</f>
        <v/>
      </c>
      <c r="AV410">
        <f>IF(OR(AT$3="",AT$3&gt;TODAY()),"",IF(AND(AT410="",AU410=""),"",N(AU410)-N(AT410)))</f>
        <v/>
      </c>
      <c r="AY410">
        <f>IF(OR(AT$3="",AT$3&gt;TODAY()),"",IF(AND(AW410="",AX410=""),"",N(AX410)-N(AW410)))</f>
        <v/>
      </c>
      <c r="BC410">
        <f>IF(OR(BA$3="",BA$3&gt;TODAY()),"",IF(AND(BA410="",BB410=""),"",N(BB410)-N(BA410)))</f>
        <v/>
      </c>
      <c r="BF410">
        <f>IF(OR(BA$3="",BA$3&gt;TODAY()),"",IF(AND(BD410="",BE410=""),"",N(BE410)-N(BD410)))</f>
        <v/>
      </c>
      <c r="BJ410">
        <f>IF(OR(BH$3="",BH$3&gt;TODAY()),"",IF(AND(BH410="",BI410=""),"",N(BI410)-N(BH410)))</f>
        <v/>
      </c>
      <c r="BM410">
        <f>IF(OR(BH$3="",BH$3&gt;TODAY()),"",IF(AND(BK410="",BL410=""),"",N(BL410)-N(BK410)))</f>
        <v/>
      </c>
      <c r="BQ410">
        <f>IF(OR(BO$3="",BO$3&gt;TODAY()),"",IF(AND(BO410="",BP410=""),"",N(BP410)-N(BO410)))</f>
        <v/>
      </c>
      <c r="BT410">
        <f>IF(OR(BO$3="",BO$3&gt;TODAY()),"",IF(AND(BR410="",BS410=""),"",N(BS410)-N(BR410)))</f>
        <v/>
      </c>
      <c r="BX410">
        <f>IF(OR(BV$3="",BV$3&gt;TODAY()),"",IF(AND(BV410="",BW410=""),"",N(BW410)-N(BV410)))</f>
        <v/>
      </c>
      <c r="CA410">
        <f>IF(OR(BV$3="",BV$3&gt;TODAY()),"",IF(AND(BY410="",BZ410=""),"",N(BZ410)-N(BY410)))</f>
        <v/>
      </c>
      <c r="CE410">
        <f>IF(OR(CC$3="",CC$3&gt;TODAY()),"",IF(AND(CC410="",CD410=""),"",N(CD410)-N(CC410)))</f>
        <v/>
      </c>
      <c r="CH410">
        <f>IF(OR(CC$3="",CC$3&gt;TODAY()),"",IF(AND(CF410="",CG410=""),"",N(CG410)-N(CF410)))</f>
        <v/>
      </c>
      <c r="CL410">
        <f>IF(OR(CJ$3="",CJ$3&gt;TODAY()),"",IF(AND(CJ410="",CK410=""),"",N(CK410)-N(CJ410)))</f>
        <v/>
      </c>
      <c r="CO410">
        <f>IF(OR(CJ$3="",CJ$3&gt;TODAY()),"",IF(AND(CM410="",CN410=""),"",N(CN410)-N(CM410)))</f>
        <v/>
      </c>
      <c r="CS410">
        <f>IF(OR(CQ$3="",CQ$3&gt;TODAY()),"",IF(AND(CQ410="",CR410=""),"",N(CR410)-N(CQ410)))</f>
        <v/>
      </c>
      <c r="CV410">
        <f>IF(OR(CQ$3="",CQ$3&gt;TODAY()),"",IF(AND(CT410="",CU410=""),"",N(CU410)-N(CT410)))</f>
        <v/>
      </c>
      <c r="CZ410">
        <f>IF(OR(CX$3="",CX$3&gt;TODAY()),"",IF(AND(CX410="",CY410=""),"",N(CY410)-N(CX410)))</f>
        <v/>
      </c>
      <c r="DC410">
        <f>IF(OR(CX$3="",CX$3&gt;TODAY()),"",IF(AND(DA410="",DB410=""),"",N(DB410)-N(DA410)))</f>
        <v/>
      </c>
      <c r="DG410">
        <f>IF(OR(DE$3="",DE$3&gt;TODAY()),"",IF(AND(DE410="",DF410=""),"",N(DF410)-N(DE410)))</f>
        <v/>
      </c>
      <c r="DJ410">
        <f>IF(OR(DE$3="",DE$3&gt;TODAY()),"",IF(AND(DH410="",DI410=""),"",N(DI410)-N(DH410)))</f>
        <v/>
      </c>
      <c r="DN410">
        <f>IF(OR(DL$3="",DL$3&gt;TODAY()),"",IF(AND(DL410="",DM410=""),"",N(DM410)-N(DL410)))</f>
        <v/>
      </c>
      <c r="DQ410">
        <f>IF(OR(DL$3="",DL$3&gt;TODAY()),"",IF(AND(DO410="",DP410=""),"",N(DP410)-N(DO410)))</f>
        <v/>
      </c>
      <c r="DU410">
        <f>IF(OR(DS$3="",DS$3&gt;TODAY()),"",IF(AND(DS410="",DT410=""),"",N(DT410)-N(DS410)))</f>
        <v/>
      </c>
      <c r="DX410">
        <f>IF(OR(DS$3="",DS$3&gt;TODAY()),"",IF(AND(DV410="",DW410=""),"",N(DW410)-N(DV410)))</f>
        <v/>
      </c>
      <c r="EB410">
        <f>IF(OR(DZ$3="",DZ$3&gt;TODAY()),"",IF(AND(DZ410="",EA410=""),"",N(EA410)-N(DZ410)))</f>
        <v/>
      </c>
      <c r="EE410">
        <f>IF(OR(DZ$3="",DZ$3&gt;TODAY()),"",IF(AND(EC410="",ED410=""),"",N(ED410)-N(EC410)))</f>
        <v/>
      </c>
      <c r="EI410">
        <f>IF(OR(EG$3="",EG$3&gt;TODAY()),"",IF(AND(EG410="",EH410=""),"",N(EH410)-N(EG410)))</f>
        <v/>
      </c>
      <c r="EL410">
        <f>IF(OR(EG$3="",EG$3&gt;TODAY()),"",IF(AND(EJ410="",EK410=""),"",N(EK410)-N(EJ410)))</f>
        <v/>
      </c>
      <c r="EP410">
        <f>IF(OR(EN$3="",EN$3&gt;TODAY()),"",IF(AND(EN410="",EO410=""),"",N(EO410)-N(EN410)))</f>
        <v/>
      </c>
      <c r="ES410">
        <f>IF(OR(EN$3="",EN$3&gt;TODAY()),"",IF(AND(EQ410="",ER410=""),"",N(ER410)-N(EQ410)))</f>
        <v/>
      </c>
      <c r="EW410">
        <f>IF(OR(EU$3="",EU$3&gt;TODAY()),"",IF(AND(EU410="",EV410=""),"",N(EV410)-N(EU410)))</f>
        <v/>
      </c>
      <c r="EZ410">
        <f>IF(OR(EU$3="",EU$3&gt;TODAY()),"",IF(AND(EX410="",EY410=""),"",N(EY410)-N(EX410)))</f>
        <v/>
      </c>
      <c r="FD410">
        <f>IF(OR(FB$3="",FB$3&gt;TODAY()),"",IF(AND(FB410="",FC410=""),"",N(FC410)-N(FB410)))</f>
        <v/>
      </c>
      <c r="FG410">
        <f>IF(OR(FB$3="",FB$3&gt;TODAY()),"",IF(AND(FE410="",FF410=""),"",N(FF410)-N(FE410)))</f>
        <v/>
      </c>
      <c r="FK410">
        <f>IF(OR(FI$3="",FI$3&gt;TODAY()),"",IF(AND(FI410="",FJ410=""),"",N(FJ410)-N(FI410)))</f>
        <v/>
      </c>
      <c r="FN410">
        <f>IF(OR(FI$3="",FI$3&gt;TODAY()),"",IF(AND(FL410="",FM410=""),"",N(FM410)-N(FL410)))</f>
        <v/>
      </c>
      <c r="FR410">
        <f>IF(OR(FP$3="",FP$3&gt;TODAY()),"",IF(AND(FP410="",FQ410=""),"",N(FQ410)-N(FP410)))</f>
        <v/>
      </c>
      <c r="FU410">
        <f>IF(OR(FP$3="",FP$3&gt;TODAY()),"",IF(AND(FS410="",FT410=""),"",N(FT410)-N(FS410)))</f>
        <v/>
      </c>
      <c r="FY410">
        <f>IF(OR(FW$3="",FW$3&gt;TODAY()),"",IF(AND(FW410="",FX410=""),"",N(FX410)-N(FW410)))</f>
        <v/>
      </c>
      <c r="GB410">
        <f>IF(OR(FW$3="",FW$3&gt;TODAY()),"",IF(AND(FZ410="",GA410=""),"",N(GA410)-N(FZ410)))</f>
        <v/>
      </c>
      <c r="GF410">
        <f>IF(OR(GD$3="",GD$3&gt;TODAY()),"",IF(AND(GD410="",GE410=""),"",N(GE410)-N(GD410)))</f>
        <v/>
      </c>
      <c r="GI410">
        <f>IF(OR(GD$3="",GD$3&gt;TODAY()),"",IF(AND(GG410="",GH410=""),"",N(GH410)-N(GG410)))</f>
        <v/>
      </c>
      <c r="GM410">
        <f>IF(OR(GK$3="",GK$3&gt;TODAY()),"",IF(AND(GK410="",GL410=""),"",N(GL410)-N(GK410)))</f>
        <v/>
      </c>
      <c r="GP410">
        <f>IF(OR(GK$3="",GK$3&gt;TODAY()),"",IF(AND(GN410="",GO410=""),"",N(GO410)-N(GN410)))</f>
        <v/>
      </c>
      <c r="GT410">
        <f>IF(OR(GR$3="",GR$3&gt;TODAY()),"",IF(AND(GR410="",GS410=""),"",N(GS410)-N(GR410)))</f>
        <v/>
      </c>
      <c r="GW410">
        <f>IF(OR(GR$3="",GR$3&gt;TODAY()),"",IF(AND(GU410="",GV410=""),"",N(GV410)-N(GU410)))</f>
        <v/>
      </c>
      <c r="HA410">
        <f>IF(OR(GY$3="",GY$3&gt;TODAY()),"",IF(AND(GY410="",GZ410=""),"",N(GZ410)-N(GY410)))</f>
        <v/>
      </c>
      <c r="HD410">
        <f>IF(OR(GY$3="",GY$3&gt;TODAY()),"",IF(AND(HB410="",HC410=""),"",N(HC410)-N(HB410)))</f>
        <v/>
      </c>
      <c r="HH410">
        <f>IF(OR(HF$3="",HF$3&gt;TODAY()),"",IF(AND(HF410="",HG410=""),"",N(HG410)-N(HF410)))</f>
        <v/>
      </c>
      <c r="HK410">
        <f>IF(OR(HF$3="",HF$3&gt;TODAY()),"",IF(AND(HI410="",HJ410=""),"",N(HJ410)-N(HI410)))</f>
        <v/>
      </c>
      <c r="HO410">
        <f>IF(OR(HM$3="",HM$3&gt;TODAY()),"",IF(AND(HM410="",HN410=""),"",N(HN410)-N(HM410)))</f>
        <v/>
      </c>
      <c r="HR410">
        <f>IF(OR(HM$3="",HM$3&gt;TODAY()),"",IF(AND(HP410="",HQ410=""),"",N(HQ410)-N(HP410)))</f>
        <v/>
      </c>
      <c r="HV410">
        <f>IF(OR(HT$3="",HT$3&gt;TODAY()),"",IF(AND(HT410="",HU410=""),"",N(HU410)-N(HT410)))</f>
        <v/>
      </c>
      <c r="HY410">
        <f>IF(OR(HT$3="",HT$3&gt;TODAY()),"",IF(AND(HW410="",HX410=""),"",N(HX410)-N(HW410)))</f>
        <v/>
      </c>
      <c r="IC410">
        <f>IF(OR(IA$3="",IA$3&gt;TODAY()),"",IF(AND(IA410="",IB410=""),"",N(IB410)-N(IA410)))</f>
        <v/>
      </c>
      <c r="IF410">
        <f>IF(OR(IA$3="",IA$3&gt;TODAY()),"",IF(AND(ID410="",IE410=""),"",N(IE410)-N(ID410)))</f>
        <v/>
      </c>
      <c r="IJ410">
        <f>IF(OR(IH$3="",IH$3&gt;TODAY()),"",IF(AND(IH410="",II410=""),"",N(II410)-N(IH410)))</f>
        <v/>
      </c>
      <c r="IM410">
        <f>IF(OR(IH$3="",IH$3&gt;TODAY()),"",IF(AND(IK410="",IL410=""),"",N(IL410)-N(IK410)))</f>
        <v/>
      </c>
    </row>
    <row r="411">
      <c r="A411" s="21" t="n"/>
      <c r="B411" s="21" t="n"/>
      <c r="C411" s="21" t="n"/>
      <c r="D411" s="21" t="n"/>
      <c r="E411" s="21" t="n"/>
      <c r="F411" s="21" t="n"/>
      <c r="G411" s="21" t="n"/>
      <c r="H411" s="21" t="n"/>
      <c r="I411" s="22" t="n"/>
      <c r="J411" s="22" t="n"/>
      <c r="K411" s="23" t="n"/>
      <c r="L411" s="22" t="n"/>
      <c r="M411" s="22" t="n"/>
      <c r="N411" s="21" t="n"/>
      <c r="O411" s="23" t="n"/>
      <c r="P411" s="23" t="n"/>
      <c r="Q411" s="23" t="n"/>
      <c r="R411" s="23" t="n"/>
      <c r="S411" s="22" t="n"/>
      <c r="T411" s="23" t="n"/>
      <c r="U411" s="23" t="n"/>
      <c r="V411" s="24">
        <f>IF(J411&lt;&gt;"",J411,IF(I411&lt;&gt;"",I411,""))</f>
        <v/>
      </c>
      <c r="W411" s="25">
        <f>IF($E411="","",N(O411)+SUMIFS($AF411:$IN411,$AF$4:$IN$4,"SEW_ACT"))</f>
        <v/>
      </c>
      <c r="X411" s="25">
        <f>IF($E411="","",N(P411)+SUMIFS($AF411:$IN411,$AF$4:$IN$4,"WASH_ACT"))</f>
        <v/>
      </c>
      <c r="Y411" s="25">
        <f>IF($E411="","",W411-X411-N(T411)-N(U411))</f>
        <v/>
      </c>
      <c r="Z411" s="25">
        <f>IF($E411="","",IF(N(K411)-X411&lt;=0.02*N(K411),0,N(K411)-X411))</f>
        <v/>
      </c>
      <c r="AA411" s="24">
        <f>IF($E411="","",IF(S411&lt;&gt;"",S411,IF(N(O411)&gt;0,IF(L411&lt;&gt;"",L411,99999),IFERROR(1/(1/_xlfn.MINIFS($AF$3:$IN$3,$AF$4:$IN$4,"SEW_ACT",$AF411:$IN411,"&gt;0")),99999))))</f>
        <v/>
      </c>
      <c r="AB411" s="26">
        <f>IF(OR($E411="",Z411=0,V411=""),"",1+COUNTIFS(Z$8:Z$707,"&gt;0",V$8:V$707,"&lt;"&amp;V411)+COUNTIFS(Z$8:Z$707,"&gt;0",V$8:V$707,V411,AA$8:AA$707,"&lt;"&amp;AA411)+COUNTIFS(Z$8:Z$707,"&gt;0",V$8:V$707,V411,AA$8:AA$707,AA411,E$8:E$707,"&lt;"&amp;$E411))</f>
        <v/>
      </c>
      <c r="AC411" s="24">
        <f>IF(OR($E411="",Z411=0),"",IFERROR(TODAY()+ROUNDUP(Z411/(SUMIFS($AF411:$IN411,$AF$4:$IN$4,"WASH_ACT")/COUNTIFS($AF$4:$IN$4,"WASH_ACT",$AF411:$IN411,"&gt;0")),0),"no output yet"))</f>
        <v/>
      </c>
      <c r="AD411" s="26">
        <f>IF($E411="","",IFERROR(ROUND(MAX(0,SUMIFS($AF411:$IN411,$AF$4:$IN$4,"SEW_PLAN",$AF$3:$IN$3,"&lt;="&amp;TODAY())-SUMIFS($AF411:$IN411,$AF$4:$IN$4,"SEW_ACT",$AF$3:$IN$3,"&lt;="&amp;TODAY())+N(Q411))/(SUMIFS($AF411:$IN411,$AF$4:$IN$4,"SEW_PLAN")/COUNTIFS($AF$4:$IN$4,"SEW_PLAN",$AF411:$IN411,"&gt;0")),1),0))</f>
        <v/>
      </c>
      <c r="AE411" s="26">
        <f>IF($E411="","",IF(AND(Z411&gt;0,OR(AND(M411&lt;&gt;"",TODAY()&gt;M411),AND(V411&lt;&gt;"",V411-TODAY()&lt;=7))),"Yes","No"))</f>
        <v/>
      </c>
      <c r="AH411">
        <f>IF(OR(AF$3="",AF$3&gt;TODAY()),"",IF(AND(AF411="",AG411=""),"",N(AG411)-N(AF411)))</f>
        <v/>
      </c>
      <c r="AK411">
        <f>IF(OR(AF$3="",AF$3&gt;TODAY()),"",IF(AND(AI411="",AJ411=""),"",N(AJ411)-N(AI411)))</f>
        <v/>
      </c>
      <c r="AO411">
        <f>IF(OR(AM$3="",AM$3&gt;TODAY()),"",IF(AND(AM411="",AN411=""),"",N(AN411)-N(AM411)))</f>
        <v/>
      </c>
      <c r="AR411">
        <f>IF(OR(AM$3="",AM$3&gt;TODAY()),"",IF(AND(AP411="",AQ411=""),"",N(AQ411)-N(AP411)))</f>
        <v/>
      </c>
      <c r="AV411">
        <f>IF(OR(AT$3="",AT$3&gt;TODAY()),"",IF(AND(AT411="",AU411=""),"",N(AU411)-N(AT411)))</f>
        <v/>
      </c>
      <c r="AY411">
        <f>IF(OR(AT$3="",AT$3&gt;TODAY()),"",IF(AND(AW411="",AX411=""),"",N(AX411)-N(AW411)))</f>
        <v/>
      </c>
      <c r="BC411">
        <f>IF(OR(BA$3="",BA$3&gt;TODAY()),"",IF(AND(BA411="",BB411=""),"",N(BB411)-N(BA411)))</f>
        <v/>
      </c>
      <c r="BF411">
        <f>IF(OR(BA$3="",BA$3&gt;TODAY()),"",IF(AND(BD411="",BE411=""),"",N(BE411)-N(BD411)))</f>
        <v/>
      </c>
      <c r="BJ411">
        <f>IF(OR(BH$3="",BH$3&gt;TODAY()),"",IF(AND(BH411="",BI411=""),"",N(BI411)-N(BH411)))</f>
        <v/>
      </c>
      <c r="BM411">
        <f>IF(OR(BH$3="",BH$3&gt;TODAY()),"",IF(AND(BK411="",BL411=""),"",N(BL411)-N(BK411)))</f>
        <v/>
      </c>
      <c r="BQ411">
        <f>IF(OR(BO$3="",BO$3&gt;TODAY()),"",IF(AND(BO411="",BP411=""),"",N(BP411)-N(BO411)))</f>
        <v/>
      </c>
      <c r="BT411">
        <f>IF(OR(BO$3="",BO$3&gt;TODAY()),"",IF(AND(BR411="",BS411=""),"",N(BS411)-N(BR411)))</f>
        <v/>
      </c>
      <c r="BX411">
        <f>IF(OR(BV$3="",BV$3&gt;TODAY()),"",IF(AND(BV411="",BW411=""),"",N(BW411)-N(BV411)))</f>
        <v/>
      </c>
      <c r="CA411">
        <f>IF(OR(BV$3="",BV$3&gt;TODAY()),"",IF(AND(BY411="",BZ411=""),"",N(BZ411)-N(BY411)))</f>
        <v/>
      </c>
      <c r="CE411">
        <f>IF(OR(CC$3="",CC$3&gt;TODAY()),"",IF(AND(CC411="",CD411=""),"",N(CD411)-N(CC411)))</f>
        <v/>
      </c>
      <c r="CH411">
        <f>IF(OR(CC$3="",CC$3&gt;TODAY()),"",IF(AND(CF411="",CG411=""),"",N(CG411)-N(CF411)))</f>
        <v/>
      </c>
      <c r="CL411">
        <f>IF(OR(CJ$3="",CJ$3&gt;TODAY()),"",IF(AND(CJ411="",CK411=""),"",N(CK411)-N(CJ411)))</f>
        <v/>
      </c>
      <c r="CO411">
        <f>IF(OR(CJ$3="",CJ$3&gt;TODAY()),"",IF(AND(CM411="",CN411=""),"",N(CN411)-N(CM411)))</f>
        <v/>
      </c>
      <c r="CS411">
        <f>IF(OR(CQ$3="",CQ$3&gt;TODAY()),"",IF(AND(CQ411="",CR411=""),"",N(CR411)-N(CQ411)))</f>
        <v/>
      </c>
      <c r="CV411">
        <f>IF(OR(CQ$3="",CQ$3&gt;TODAY()),"",IF(AND(CT411="",CU411=""),"",N(CU411)-N(CT411)))</f>
        <v/>
      </c>
      <c r="CZ411">
        <f>IF(OR(CX$3="",CX$3&gt;TODAY()),"",IF(AND(CX411="",CY411=""),"",N(CY411)-N(CX411)))</f>
        <v/>
      </c>
      <c r="DC411">
        <f>IF(OR(CX$3="",CX$3&gt;TODAY()),"",IF(AND(DA411="",DB411=""),"",N(DB411)-N(DA411)))</f>
        <v/>
      </c>
      <c r="DG411">
        <f>IF(OR(DE$3="",DE$3&gt;TODAY()),"",IF(AND(DE411="",DF411=""),"",N(DF411)-N(DE411)))</f>
        <v/>
      </c>
      <c r="DJ411">
        <f>IF(OR(DE$3="",DE$3&gt;TODAY()),"",IF(AND(DH411="",DI411=""),"",N(DI411)-N(DH411)))</f>
        <v/>
      </c>
      <c r="DN411">
        <f>IF(OR(DL$3="",DL$3&gt;TODAY()),"",IF(AND(DL411="",DM411=""),"",N(DM411)-N(DL411)))</f>
        <v/>
      </c>
      <c r="DQ411">
        <f>IF(OR(DL$3="",DL$3&gt;TODAY()),"",IF(AND(DO411="",DP411=""),"",N(DP411)-N(DO411)))</f>
        <v/>
      </c>
      <c r="DU411">
        <f>IF(OR(DS$3="",DS$3&gt;TODAY()),"",IF(AND(DS411="",DT411=""),"",N(DT411)-N(DS411)))</f>
        <v/>
      </c>
      <c r="DX411">
        <f>IF(OR(DS$3="",DS$3&gt;TODAY()),"",IF(AND(DV411="",DW411=""),"",N(DW411)-N(DV411)))</f>
        <v/>
      </c>
      <c r="EB411">
        <f>IF(OR(DZ$3="",DZ$3&gt;TODAY()),"",IF(AND(DZ411="",EA411=""),"",N(EA411)-N(DZ411)))</f>
        <v/>
      </c>
      <c r="EE411">
        <f>IF(OR(DZ$3="",DZ$3&gt;TODAY()),"",IF(AND(EC411="",ED411=""),"",N(ED411)-N(EC411)))</f>
        <v/>
      </c>
      <c r="EI411">
        <f>IF(OR(EG$3="",EG$3&gt;TODAY()),"",IF(AND(EG411="",EH411=""),"",N(EH411)-N(EG411)))</f>
        <v/>
      </c>
      <c r="EL411">
        <f>IF(OR(EG$3="",EG$3&gt;TODAY()),"",IF(AND(EJ411="",EK411=""),"",N(EK411)-N(EJ411)))</f>
        <v/>
      </c>
      <c r="EP411">
        <f>IF(OR(EN$3="",EN$3&gt;TODAY()),"",IF(AND(EN411="",EO411=""),"",N(EO411)-N(EN411)))</f>
        <v/>
      </c>
      <c r="ES411">
        <f>IF(OR(EN$3="",EN$3&gt;TODAY()),"",IF(AND(EQ411="",ER411=""),"",N(ER411)-N(EQ411)))</f>
        <v/>
      </c>
      <c r="EW411">
        <f>IF(OR(EU$3="",EU$3&gt;TODAY()),"",IF(AND(EU411="",EV411=""),"",N(EV411)-N(EU411)))</f>
        <v/>
      </c>
      <c r="EZ411">
        <f>IF(OR(EU$3="",EU$3&gt;TODAY()),"",IF(AND(EX411="",EY411=""),"",N(EY411)-N(EX411)))</f>
        <v/>
      </c>
      <c r="FD411">
        <f>IF(OR(FB$3="",FB$3&gt;TODAY()),"",IF(AND(FB411="",FC411=""),"",N(FC411)-N(FB411)))</f>
        <v/>
      </c>
      <c r="FG411">
        <f>IF(OR(FB$3="",FB$3&gt;TODAY()),"",IF(AND(FE411="",FF411=""),"",N(FF411)-N(FE411)))</f>
        <v/>
      </c>
      <c r="FK411">
        <f>IF(OR(FI$3="",FI$3&gt;TODAY()),"",IF(AND(FI411="",FJ411=""),"",N(FJ411)-N(FI411)))</f>
        <v/>
      </c>
      <c r="FN411">
        <f>IF(OR(FI$3="",FI$3&gt;TODAY()),"",IF(AND(FL411="",FM411=""),"",N(FM411)-N(FL411)))</f>
        <v/>
      </c>
      <c r="FR411">
        <f>IF(OR(FP$3="",FP$3&gt;TODAY()),"",IF(AND(FP411="",FQ411=""),"",N(FQ411)-N(FP411)))</f>
        <v/>
      </c>
      <c r="FU411">
        <f>IF(OR(FP$3="",FP$3&gt;TODAY()),"",IF(AND(FS411="",FT411=""),"",N(FT411)-N(FS411)))</f>
        <v/>
      </c>
      <c r="FY411">
        <f>IF(OR(FW$3="",FW$3&gt;TODAY()),"",IF(AND(FW411="",FX411=""),"",N(FX411)-N(FW411)))</f>
        <v/>
      </c>
      <c r="GB411">
        <f>IF(OR(FW$3="",FW$3&gt;TODAY()),"",IF(AND(FZ411="",GA411=""),"",N(GA411)-N(FZ411)))</f>
        <v/>
      </c>
      <c r="GF411">
        <f>IF(OR(GD$3="",GD$3&gt;TODAY()),"",IF(AND(GD411="",GE411=""),"",N(GE411)-N(GD411)))</f>
        <v/>
      </c>
      <c r="GI411">
        <f>IF(OR(GD$3="",GD$3&gt;TODAY()),"",IF(AND(GG411="",GH411=""),"",N(GH411)-N(GG411)))</f>
        <v/>
      </c>
      <c r="GM411">
        <f>IF(OR(GK$3="",GK$3&gt;TODAY()),"",IF(AND(GK411="",GL411=""),"",N(GL411)-N(GK411)))</f>
        <v/>
      </c>
      <c r="GP411">
        <f>IF(OR(GK$3="",GK$3&gt;TODAY()),"",IF(AND(GN411="",GO411=""),"",N(GO411)-N(GN411)))</f>
        <v/>
      </c>
      <c r="GT411">
        <f>IF(OR(GR$3="",GR$3&gt;TODAY()),"",IF(AND(GR411="",GS411=""),"",N(GS411)-N(GR411)))</f>
        <v/>
      </c>
      <c r="GW411">
        <f>IF(OR(GR$3="",GR$3&gt;TODAY()),"",IF(AND(GU411="",GV411=""),"",N(GV411)-N(GU411)))</f>
        <v/>
      </c>
      <c r="HA411">
        <f>IF(OR(GY$3="",GY$3&gt;TODAY()),"",IF(AND(GY411="",GZ411=""),"",N(GZ411)-N(GY411)))</f>
        <v/>
      </c>
      <c r="HD411">
        <f>IF(OR(GY$3="",GY$3&gt;TODAY()),"",IF(AND(HB411="",HC411=""),"",N(HC411)-N(HB411)))</f>
        <v/>
      </c>
      <c r="HH411">
        <f>IF(OR(HF$3="",HF$3&gt;TODAY()),"",IF(AND(HF411="",HG411=""),"",N(HG411)-N(HF411)))</f>
        <v/>
      </c>
      <c r="HK411">
        <f>IF(OR(HF$3="",HF$3&gt;TODAY()),"",IF(AND(HI411="",HJ411=""),"",N(HJ411)-N(HI411)))</f>
        <v/>
      </c>
      <c r="HO411">
        <f>IF(OR(HM$3="",HM$3&gt;TODAY()),"",IF(AND(HM411="",HN411=""),"",N(HN411)-N(HM411)))</f>
        <v/>
      </c>
      <c r="HR411">
        <f>IF(OR(HM$3="",HM$3&gt;TODAY()),"",IF(AND(HP411="",HQ411=""),"",N(HQ411)-N(HP411)))</f>
        <v/>
      </c>
      <c r="HV411">
        <f>IF(OR(HT$3="",HT$3&gt;TODAY()),"",IF(AND(HT411="",HU411=""),"",N(HU411)-N(HT411)))</f>
        <v/>
      </c>
      <c r="HY411">
        <f>IF(OR(HT$3="",HT$3&gt;TODAY()),"",IF(AND(HW411="",HX411=""),"",N(HX411)-N(HW411)))</f>
        <v/>
      </c>
      <c r="IC411">
        <f>IF(OR(IA$3="",IA$3&gt;TODAY()),"",IF(AND(IA411="",IB411=""),"",N(IB411)-N(IA411)))</f>
        <v/>
      </c>
      <c r="IF411">
        <f>IF(OR(IA$3="",IA$3&gt;TODAY()),"",IF(AND(ID411="",IE411=""),"",N(IE411)-N(ID411)))</f>
        <v/>
      </c>
      <c r="IJ411">
        <f>IF(OR(IH$3="",IH$3&gt;TODAY()),"",IF(AND(IH411="",II411=""),"",N(II411)-N(IH411)))</f>
        <v/>
      </c>
      <c r="IM411">
        <f>IF(OR(IH$3="",IH$3&gt;TODAY()),"",IF(AND(IK411="",IL411=""),"",N(IL411)-N(IK411)))</f>
        <v/>
      </c>
    </row>
    <row r="412">
      <c r="A412" s="21" t="n"/>
      <c r="B412" s="21" t="n"/>
      <c r="C412" s="21" t="n"/>
      <c r="D412" s="21" t="n"/>
      <c r="E412" s="21" t="n"/>
      <c r="F412" s="21" t="n"/>
      <c r="G412" s="21" t="n"/>
      <c r="H412" s="21" t="n"/>
      <c r="I412" s="22" t="n"/>
      <c r="J412" s="22" t="n"/>
      <c r="K412" s="23" t="n"/>
      <c r="L412" s="22" t="n"/>
      <c r="M412" s="22" t="n"/>
      <c r="N412" s="21" t="n"/>
      <c r="O412" s="23" t="n"/>
      <c r="P412" s="23" t="n"/>
      <c r="Q412" s="23" t="n"/>
      <c r="R412" s="23" t="n"/>
      <c r="S412" s="22" t="n"/>
      <c r="T412" s="23" t="n"/>
      <c r="U412" s="23" t="n"/>
      <c r="V412" s="24">
        <f>IF(J412&lt;&gt;"",J412,IF(I412&lt;&gt;"",I412,""))</f>
        <v/>
      </c>
      <c r="W412" s="25">
        <f>IF($E412="","",N(O412)+SUMIFS($AF412:$IN412,$AF$4:$IN$4,"SEW_ACT"))</f>
        <v/>
      </c>
      <c r="X412" s="25">
        <f>IF($E412="","",N(P412)+SUMIFS($AF412:$IN412,$AF$4:$IN$4,"WASH_ACT"))</f>
        <v/>
      </c>
      <c r="Y412" s="25">
        <f>IF($E412="","",W412-X412-N(T412)-N(U412))</f>
        <v/>
      </c>
      <c r="Z412" s="25">
        <f>IF($E412="","",IF(N(K412)-X412&lt;=0.02*N(K412),0,N(K412)-X412))</f>
        <v/>
      </c>
      <c r="AA412" s="24">
        <f>IF($E412="","",IF(S412&lt;&gt;"",S412,IF(N(O412)&gt;0,IF(L412&lt;&gt;"",L412,99999),IFERROR(1/(1/_xlfn.MINIFS($AF$3:$IN$3,$AF$4:$IN$4,"SEW_ACT",$AF412:$IN412,"&gt;0")),99999))))</f>
        <v/>
      </c>
      <c r="AB412" s="26">
        <f>IF(OR($E412="",Z412=0,V412=""),"",1+COUNTIFS(Z$8:Z$707,"&gt;0",V$8:V$707,"&lt;"&amp;V412)+COUNTIFS(Z$8:Z$707,"&gt;0",V$8:V$707,V412,AA$8:AA$707,"&lt;"&amp;AA412)+COUNTIFS(Z$8:Z$707,"&gt;0",V$8:V$707,V412,AA$8:AA$707,AA412,E$8:E$707,"&lt;"&amp;$E412))</f>
        <v/>
      </c>
      <c r="AC412" s="24">
        <f>IF(OR($E412="",Z412=0),"",IFERROR(TODAY()+ROUNDUP(Z412/(SUMIFS($AF412:$IN412,$AF$4:$IN$4,"WASH_ACT")/COUNTIFS($AF$4:$IN$4,"WASH_ACT",$AF412:$IN412,"&gt;0")),0),"no output yet"))</f>
        <v/>
      </c>
      <c r="AD412" s="26">
        <f>IF($E412="","",IFERROR(ROUND(MAX(0,SUMIFS($AF412:$IN412,$AF$4:$IN$4,"SEW_PLAN",$AF$3:$IN$3,"&lt;="&amp;TODAY())-SUMIFS($AF412:$IN412,$AF$4:$IN$4,"SEW_ACT",$AF$3:$IN$3,"&lt;="&amp;TODAY())+N(Q412))/(SUMIFS($AF412:$IN412,$AF$4:$IN$4,"SEW_PLAN")/COUNTIFS($AF$4:$IN$4,"SEW_PLAN",$AF412:$IN412,"&gt;0")),1),0))</f>
        <v/>
      </c>
      <c r="AE412" s="26">
        <f>IF($E412="","",IF(AND(Z412&gt;0,OR(AND(M412&lt;&gt;"",TODAY()&gt;M412),AND(V412&lt;&gt;"",V412-TODAY()&lt;=7))),"Yes","No"))</f>
        <v/>
      </c>
      <c r="AH412">
        <f>IF(OR(AF$3="",AF$3&gt;TODAY()),"",IF(AND(AF412="",AG412=""),"",N(AG412)-N(AF412)))</f>
        <v/>
      </c>
      <c r="AK412">
        <f>IF(OR(AF$3="",AF$3&gt;TODAY()),"",IF(AND(AI412="",AJ412=""),"",N(AJ412)-N(AI412)))</f>
        <v/>
      </c>
      <c r="AO412">
        <f>IF(OR(AM$3="",AM$3&gt;TODAY()),"",IF(AND(AM412="",AN412=""),"",N(AN412)-N(AM412)))</f>
        <v/>
      </c>
      <c r="AR412">
        <f>IF(OR(AM$3="",AM$3&gt;TODAY()),"",IF(AND(AP412="",AQ412=""),"",N(AQ412)-N(AP412)))</f>
        <v/>
      </c>
      <c r="AV412">
        <f>IF(OR(AT$3="",AT$3&gt;TODAY()),"",IF(AND(AT412="",AU412=""),"",N(AU412)-N(AT412)))</f>
        <v/>
      </c>
      <c r="AY412">
        <f>IF(OR(AT$3="",AT$3&gt;TODAY()),"",IF(AND(AW412="",AX412=""),"",N(AX412)-N(AW412)))</f>
        <v/>
      </c>
      <c r="BC412">
        <f>IF(OR(BA$3="",BA$3&gt;TODAY()),"",IF(AND(BA412="",BB412=""),"",N(BB412)-N(BA412)))</f>
        <v/>
      </c>
      <c r="BF412">
        <f>IF(OR(BA$3="",BA$3&gt;TODAY()),"",IF(AND(BD412="",BE412=""),"",N(BE412)-N(BD412)))</f>
        <v/>
      </c>
      <c r="BJ412">
        <f>IF(OR(BH$3="",BH$3&gt;TODAY()),"",IF(AND(BH412="",BI412=""),"",N(BI412)-N(BH412)))</f>
        <v/>
      </c>
      <c r="BM412">
        <f>IF(OR(BH$3="",BH$3&gt;TODAY()),"",IF(AND(BK412="",BL412=""),"",N(BL412)-N(BK412)))</f>
        <v/>
      </c>
      <c r="BQ412">
        <f>IF(OR(BO$3="",BO$3&gt;TODAY()),"",IF(AND(BO412="",BP412=""),"",N(BP412)-N(BO412)))</f>
        <v/>
      </c>
      <c r="BT412">
        <f>IF(OR(BO$3="",BO$3&gt;TODAY()),"",IF(AND(BR412="",BS412=""),"",N(BS412)-N(BR412)))</f>
        <v/>
      </c>
      <c r="BX412">
        <f>IF(OR(BV$3="",BV$3&gt;TODAY()),"",IF(AND(BV412="",BW412=""),"",N(BW412)-N(BV412)))</f>
        <v/>
      </c>
      <c r="CA412">
        <f>IF(OR(BV$3="",BV$3&gt;TODAY()),"",IF(AND(BY412="",BZ412=""),"",N(BZ412)-N(BY412)))</f>
        <v/>
      </c>
      <c r="CE412">
        <f>IF(OR(CC$3="",CC$3&gt;TODAY()),"",IF(AND(CC412="",CD412=""),"",N(CD412)-N(CC412)))</f>
        <v/>
      </c>
      <c r="CH412">
        <f>IF(OR(CC$3="",CC$3&gt;TODAY()),"",IF(AND(CF412="",CG412=""),"",N(CG412)-N(CF412)))</f>
        <v/>
      </c>
      <c r="CL412">
        <f>IF(OR(CJ$3="",CJ$3&gt;TODAY()),"",IF(AND(CJ412="",CK412=""),"",N(CK412)-N(CJ412)))</f>
        <v/>
      </c>
      <c r="CO412">
        <f>IF(OR(CJ$3="",CJ$3&gt;TODAY()),"",IF(AND(CM412="",CN412=""),"",N(CN412)-N(CM412)))</f>
        <v/>
      </c>
      <c r="CS412">
        <f>IF(OR(CQ$3="",CQ$3&gt;TODAY()),"",IF(AND(CQ412="",CR412=""),"",N(CR412)-N(CQ412)))</f>
        <v/>
      </c>
      <c r="CV412">
        <f>IF(OR(CQ$3="",CQ$3&gt;TODAY()),"",IF(AND(CT412="",CU412=""),"",N(CU412)-N(CT412)))</f>
        <v/>
      </c>
      <c r="CZ412">
        <f>IF(OR(CX$3="",CX$3&gt;TODAY()),"",IF(AND(CX412="",CY412=""),"",N(CY412)-N(CX412)))</f>
        <v/>
      </c>
      <c r="DC412">
        <f>IF(OR(CX$3="",CX$3&gt;TODAY()),"",IF(AND(DA412="",DB412=""),"",N(DB412)-N(DA412)))</f>
        <v/>
      </c>
      <c r="DG412">
        <f>IF(OR(DE$3="",DE$3&gt;TODAY()),"",IF(AND(DE412="",DF412=""),"",N(DF412)-N(DE412)))</f>
        <v/>
      </c>
      <c r="DJ412">
        <f>IF(OR(DE$3="",DE$3&gt;TODAY()),"",IF(AND(DH412="",DI412=""),"",N(DI412)-N(DH412)))</f>
        <v/>
      </c>
      <c r="DN412">
        <f>IF(OR(DL$3="",DL$3&gt;TODAY()),"",IF(AND(DL412="",DM412=""),"",N(DM412)-N(DL412)))</f>
        <v/>
      </c>
      <c r="DQ412">
        <f>IF(OR(DL$3="",DL$3&gt;TODAY()),"",IF(AND(DO412="",DP412=""),"",N(DP412)-N(DO412)))</f>
        <v/>
      </c>
      <c r="DU412">
        <f>IF(OR(DS$3="",DS$3&gt;TODAY()),"",IF(AND(DS412="",DT412=""),"",N(DT412)-N(DS412)))</f>
        <v/>
      </c>
      <c r="DX412">
        <f>IF(OR(DS$3="",DS$3&gt;TODAY()),"",IF(AND(DV412="",DW412=""),"",N(DW412)-N(DV412)))</f>
        <v/>
      </c>
      <c r="EB412">
        <f>IF(OR(DZ$3="",DZ$3&gt;TODAY()),"",IF(AND(DZ412="",EA412=""),"",N(EA412)-N(DZ412)))</f>
        <v/>
      </c>
      <c r="EE412">
        <f>IF(OR(DZ$3="",DZ$3&gt;TODAY()),"",IF(AND(EC412="",ED412=""),"",N(ED412)-N(EC412)))</f>
        <v/>
      </c>
      <c r="EI412">
        <f>IF(OR(EG$3="",EG$3&gt;TODAY()),"",IF(AND(EG412="",EH412=""),"",N(EH412)-N(EG412)))</f>
        <v/>
      </c>
      <c r="EL412">
        <f>IF(OR(EG$3="",EG$3&gt;TODAY()),"",IF(AND(EJ412="",EK412=""),"",N(EK412)-N(EJ412)))</f>
        <v/>
      </c>
      <c r="EP412">
        <f>IF(OR(EN$3="",EN$3&gt;TODAY()),"",IF(AND(EN412="",EO412=""),"",N(EO412)-N(EN412)))</f>
        <v/>
      </c>
      <c r="ES412">
        <f>IF(OR(EN$3="",EN$3&gt;TODAY()),"",IF(AND(EQ412="",ER412=""),"",N(ER412)-N(EQ412)))</f>
        <v/>
      </c>
      <c r="EW412">
        <f>IF(OR(EU$3="",EU$3&gt;TODAY()),"",IF(AND(EU412="",EV412=""),"",N(EV412)-N(EU412)))</f>
        <v/>
      </c>
      <c r="EZ412">
        <f>IF(OR(EU$3="",EU$3&gt;TODAY()),"",IF(AND(EX412="",EY412=""),"",N(EY412)-N(EX412)))</f>
        <v/>
      </c>
      <c r="FD412">
        <f>IF(OR(FB$3="",FB$3&gt;TODAY()),"",IF(AND(FB412="",FC412=""),"",N(FC412)-N(FB412)))</f>
        <v/>
      </c>
      <c r="FG412">
        <f>IF(OR(FB$3="",FB$3&gt;TODAY()),"",IF(AND(FE412="",FF412=""),"",N(FF412)-N(FE412)))</f>
        <v/>
      </c>
      <c r="FK412">
        <f>IF(OR(FI$3="",FI$3&gt;TODAY()),"",IF(AND(FI412="",FJ412=""),"",N(FJ412)-N(FI412)))</f>
        <v/>
      </c>
      <c r="FN412">
        <f>IF(OR(FI$3="",FI$3&gt;TODAY()),"",IF(AND(FL412="",FM412=""),"",N(FM412)-N(FL412)))</f>
        <v/>
      </c>
      <c r="FR412">
        <f>IF(OR(FP$3="",FP$3&gt;TODAY()),"",IF(AND(FP412="",FQ412=""),"",N(FQ412)-N(FP412)))</f>
        <v/>
      </c>
      <c r="FU412">
        <f>IF(OR(FP$3="",FP$3&gt;TODAY()),"",IF(AND(FS412="",FT412=""),"",N(FT412)-N(FS412)))</f>
        <v/>
      </c>
      <c r="FY412">
        <f>IF(OR(FW$3="",FW$3&gt;TODAY()),"",IF(AND(FW412="",FX412=""),"",N(FX412)-N(FW412)))</f>
        <v/>
      </c>
      <c r="GB412">
        <f>IF(OR(FW$3="",FW$3&gt;TODAY()),"",IF(AND(FZ412="",GA412=""),"",N(GA412)-N(FZ412)))</f>
        <v/>
      </c>
      <c r="GF412">
        <f>IF(OR(GD$3="",GD$3&gt;TODAY()),"",IF(AND(GD412="",GE412=""),"",N(GE412)-N(GD412)))</f>
        <v/>
      </c>
      <c r="GI412">
        <f>IF(OR(GD$3="",GD$3&gt;TODAY()),"",IF(AND(GG412="",GH412=""),"",N(GH412)-N(GG412)))</f>
        <v/>
      </c>
      <c r="GM412">
        <f>IF(OR(GK$3="",GK$3&gt;TODAY()),"",IF(AND(GK412="",GL412=""),"",N(GL412)-N(GK412)))</f>
        <v/>
      </c>
      <c r="GP412">
        <f>IF(OR(GK$3="",GK$3&gt;TODAY()),"",IF(AND(GN412="",GO412=""),"",N(GO412)-N(GN412)))</f>
        <v/>
      </c>
      <c r="GT412">
        <f>IF(OR(GR$3="",GR$3&gt;TODAY()),"",IF(AND(GR412="",GS412=""),"",N(GS412)-N(GR412)))</f>
        <v/>
      </c>
      <c r="GW412">
        <f>IF(OR(GR$3="",GR$3&gt;TODAY()),"",IF(AND(GU412="",GV412=""),"",N(GV412)-N(GU412)))</f>
        <v/>
      </c>
      <c r="HA412">
        <f>IF(OR(GY$3="",GY$3&gt;TODAY()),"",IF(AND(GY412="",GZ412=""),"",N(GZ412)-N(GY412)))</f>
        <v/>
      </c>
      <c r="HD412">
        <f>IF(OR(GY$3="",GY$3&gt;TODAY()),"",IF(AND(HB412="",HC412=""),"",N(HC412)-N(HB412)))</f>
        <v/>
      </c>
      <c r="HH412">
        <f>IF(OR(HF$3="",HF$3&gt;TODAY()),"",IF(AND(HF412="",HG412=""),"",N(HG412)-N(HF412)))</f>
        <v/>
      </c>
      <c r="HK412">
        <f>IF(OR(HF$3="",HF$3&gt;TODAY()),"",IF(AND(HI412="",HJ412=""),"",N(HJ412)-N(HI412)))</f>
        <v/>
      </c>
      <c r="HO412">
        <f>IF(OR(HM$3="",HM$3&gt;TODAY()),"",IF(AND(HM412="",HN412=""),"",N(HN412)-N(HM412)))</f>
        <v/>
      </c>
      <c r="HR412">
        <f>IF(OR(HM$3="",HM$3&gt;TODAY()),"",IF(AND(HP412="",HQ412=""),"",N(HQ412)-N(HP412)))</f>
        <v/>
      </c>
      <c r="HV412">
        <f>IF(OR(HT$3="",HT$3&gt;TODAY()),"",IF(AND(HT412="",HU412=""),"",N(HU412)-N(HT412)))</f>
        <v/>
      </c>
      <c r="HY412">
        <f>IF(OR(HT$3="",HT$3&gt;TODAY()),"",IF(AND(HW412="",HX412=""),"",N(HX412)-N(HW412)))</f>
        <v/>
      </c>
      <c r="IC412">
        <f>IF(OR(IA$3="",IA$3&gt;TODAY()),"",IF(AND(IA412="",IB412=""),"",N(IB412)-N(IA412)))</f>
        <v/>
      </c>
      <c r="IF412">
        <f>IF(OR(IA$3="",IA$3&gt;TODAY()),"",IF(AND(ID412="",IE412=""),"",N(IE412)-N(ID412)))</f>
        <v/>
      </c>
      <c r="IJ412">
        <f>IF(OR(IH$3="",IH$3&gt;TODAY()),"",IF(AND(IH412="",II412=""),"",N(II412)-N(IH412)))</f>
        <v/>
      </c>
      <c r="IM412">
        <f>IF(OR(IH$3="",IH$3&gt;TODAY()),"",IF(AND(IK412="",IL412=""),"",N(IL412)-N(IK412)))</f>
        <v/>
      </c>
    </row>
    <row r="413">
      <c r="A413" s="21" t="n"/>
      <c r="B413" s="21" t="n"/>
      <c r="C413" s="21" t="n"/>
      <c r="D413" s="21" t="n"/>
      <c r="E413" s="21" t="n"/>
      <c r="F413" s="21" t="n"/>
      <c r="G413" s="21" t="n"/>
      <c r="H413" s="21" t="n"/>
      <c r="I413" s="22" t="n"/>
      <c r="J413" s="22" t="n"/>
      <c r="K413" s="23" t="n"/>
      <c r="L413" s="22" t="n"/>
      <c r="M413" s="22" t="n"/>
      <c r="N413" s="21" t="n"/>
      <c r="O413" s="23" t="n"/>
      <c r="P413" s="23" t="n"/>
      <c r="Q413" s="23" t="n"/>
      <c r="R413" s="23" t="n"/>
      <c r="S413" s="22" t="n"/>
      <c r="T413" s="23" t="n"/>
      <c r="U413" s="23" t="n"/>
      <c r="V413" s="24">
        <f>IF(J413&lt;&gt;"",J413,IF(I413&lt;&gt;"",I413,""))</f>
        <v/>
      </c>
      <c r="W413" s="25">
        <f>IF($E413="","",N(O413)+SUMIFS($AF413:$IN413,$AF$4:$IN$4,"SEW_ACT"))</f>
        <v/>
      </c>
      <c r="X413" s="25">
        <f>IF($E413="","",N(P413)+SUMIFS($AF413:$IN413,$AF$4:$IN$4,"WASH_ACT"))</f>
        <v/>
      </c>
      <c r="Y413" s="25">
        <f>IF($E413="","",W413-X413-N(T413)-N(U413))</f>
        <v/>
      </c>
      <c r="Z413" s="25">
        <f>IF($E413="","",IF(N(K413)-X413&lt;=0.02*N(K413),0,N(K413)-X413))</f>
        <v/>
      </c>
      <c r="AA413" s="24">
        <f>IF($E413="","",IF(S413&lt;&gt;"",S413,IF(N(O413)&gt;0,IF(L413&lt;&gt;"",L413,99999),IFERROR(1/(1/_xlfn.MINIFS($AF$3:$IN$3,$AF$4:$IN$4,"SEW_ACT",$AF413:$IN413,"&gt;0")),99999))))</f>
        <v/>
      </c>
      <c r="AB413" s="26">
        <f>IF(OR($E413="",Z413=0,V413=""),"",1+COUNTIFS(Z$8:Z$707,"&gt;0",V$8:V$707,"&lt;"&amp;V413)+COUNTIFS(Z$8:Z$707,"&gt;0",V$8:V$707,V413,AA$8:AA$707,"&lt;"&amp;AA413)+COUNTIFS(Z$8:Z$707,"&gt;0",V$8:V$707,V413,AA$8:AA$707,AA413,E$8:E$707,"&lt;"&amp;$E413))</f>
        <v/>
      </c>
      <c r="AC413" s="24">
        <f>IF(OR($E413="",Z413=0),"",IFERROR(TODAY()+ROUNDUP(Z413/(SUMIFS($AF413:$IN413,$AF$4:$IN$4,"WASH_ACT")/COUNTIFS($AF$4:$IN$4,"WASH_ACT",$AF413:$IN413,"&gt;0")),0),"no output yet"))</f>
        <v/>
      </c>
      <c r="AD413" s="26">
        <f>IF($E413="","",IFERROR(ROUND(MAX(0,SUMIFS($AF413:$IN413,$AF$4:$IN$4,"SEW_PLAN",$AF$3:$IN$3,"&lt;="&amp;TODAY())-SUMIFS($AF413:$IN413,$AF$4:$IN$4,"SEW_ACT",$AF$3:$IN$3,"&lt;="&amp;TODAY())+N(Q413))/(SUMIFS($AF413:$IN413,$AF$4:$IN$4,"SEW_PLAN")/COUNTIFS($AF$4:$IN$4,"SEW_PLAN",$AF413:$IN413,"&gt;0")),1),0))</f>
        <v/>
      </c>
      <c r="AE413" s="26">
        <f>IF($E413="","",IF(AND(Z413&gt;0,OR(AND(M413&lt;&gt;"",TODAY()&gt;M413),AND(V413&lt;&gt;"",V413-TODAY()&lt;=7))),"Yes","No"))</f>
        <v/>
      </c>
      <c r="AH413">
        <f>IF(OR(AF$3="",AF$3&gt;TODAY()),"",IF(AND(AF413="",AG413=""),"",N(AG413)-N(AF413)))</f>
        <v/>
      </c>
      <c r="AK413">
        <f>IF(OR(AF$3="",AF$3&gt;TODAY()),"",IF(AND(AI413="",AJ413=""),"",N(AJ413)-N(AI413)))</f>
        <v/>
      </c>
      <c r="AO413">
        <f>IF(OR(AM$3="",AM$3&gt;TODAY()),"",IF(AND(AM413="",AN413=""),"",N(AN413)-N(AM413)))</f>
        <v/>
      </c>
      <c r="AR413">
        <f>IF(OR(AM$3="",AM$3&gt;TODAY()),"",IF(AND(AP413="",AQ413=""),"",N(AQ413)-N(AP413)))</f>
        <v/>
      </c>
      <c r="AV413">
        <f>IF(OR(AT$3="",AT$3&gt;TODAY()),"",IF(AND(AT413="",AU413=""),"",N(AU413)-N(AT413)))</f>
        <v/>
      </c>
      <c r="AY413">
        <f>IF(OR(AT$3="",AT$3&gt;TODAY()),"",IF(AND(AW413="",AX413=""),"",N(AX413)-N(AW413)))</f>
        <v/>
      </c>
      <c r="BC413">
        <f>IF(OR(BA$3="",BA$3&gt;TODAY()),"",IF(AND(BA413="",BB413=""),"",N(BB413)-N(BA413)))</f>
        <v/>
      </c>
      <c r="BF413">
        <f>IF(OR(BA$3="",BA$3&gt;TODAY()),"",IF(AND(BD413="",BE413=""),"",N(BE413)-N(BD413)))</f>
        <v/>
      </c>
      <c r="BJ413">
        <f>IF(OR(BH$3="",BH$3&gt;TODAY()),"",IF(AND(BH413="",BI413=""),"",N(BI413)-N(BH413)))</f>
        <v/>
      </c>
      <c r="BM413">
        <f>IF(OR(BH$3="",BH$3&gt;TODAY()),"",IF(AND(BK413="",BL413=""),"",N(BL413)-N(BK413)))</f>
        <v/>
      </c>
      <c r="BQ413">
        <f>IF(OR(BO$3="",BO$3&gt;TODAY()),"",IF(AND(BO413="",BP413=""),"",N(BP413)-N(BO413)))</f>
        <v/>
      </c>
      <c r="BT413">
        <f>IF(OR(BO$3="",BO$3&gt;TODAY()),"",IF(AND(BR413="",BS413=""),"",N(BS413)-N(BR413)))</f>
        <v/>
      </c>
      <c r="BX413">
        <f>IF(OR(BV$3="",BV$3&gt;TODAY()),"",IF(AND(BV413="",BW413=""),"",N(BW413)-N(BV413)))</f>
        <v/>
      </c>
      <c r="CA413">
        <f>IF(OR(BV$3="",BV$3&gt;TODAY()),"",IF(AND(BY413="",BZ413=""),"",N(BZ413)-N(BY413)))</f>
        <v/>
      </c>
      <c r="CE413">
        <f>IF(OR(CC$3="",CC$3&gt;TODAY()),"",IF(AND(CC413="",CD413=""),"",N(CD413)-N(CC413)))</f>
        <v/>
      </c>
      <c r="CH413">
        <f>IF(OR(CC$3="",CC$3&gt;TODAY()),"",IF(AND(CF413="",CG413=""),"",N(CG413)-N(CF413)))</f>
        <v/>
      </c>
      <c r="CL413">
        <f>IF(OR(CJ$3="",CJ$3&gt;TODAY()),"",IF(AND(CJ413="",CK413=""),"",N(CK413)-N(CJ413)))</f>
        <v/>
      </c>
      <c r="CO413">
        <f>IF(OR(CJ$3="",CJ$3&gt;TODAY()),"",IF(AND(CM413="",CN413=""),"",N(CN413)-N(CM413)))</f>
        <v/>
      </c>
      <c r="CS413">
        <f>IF(OR(CQ$3="",CQ$3&gt;TODAY()),"",IF(AND(CQ413="",CR413=""),"",N(CR413)-N(CQ413)))</f>
        <v/>
      </c>
      <c r="CV413">
        <f>IF(OR(CQ$3="",CQ$3&gt;TODAY()),"",IF(AND(CT413="",CU413=""),"",N(CU413)-N(CT413)))</f>
        <v/>
      </c>
      <c r="CZ413">
        <f>IF(OR(CX$3="",CX$3&gt;TODAY()),"",IF(AND(CX413="",CY413=""),"",N(CY413)-N(CX413)))</f>
        <v/>
      </c>
      <c r="DC413">
        <f>IF(OR(CX$3="",CX$3&gt;TODAY()),"",IF(AND(DA413="",DB413=""),"",N(DB413)-N(DA413)))</f>
        <v/>
      </c>
      <c r="DG413">
        <f>IF(OR(DE$3="",DE$3&gt;TODAY()),"",IF(AND(DE413="",DF413=""),"",N(DF413)-N(DE413)))</f>
        <v/>
      </c>
      <c r="DJ413">
        <f>IF(OR(DE$3="",DE$3&gt;TODAY()),"",IF(AND(DH413="",DI413=""),"",N(DI413)-N(DH413)))</f>
        <v/>
      </c>
      <c r="DN413">
        <f>IF(OR(DL$3="",DL$3&gt;TODAY()),"",IF(AND(DL413="",DM413=""),"",N(DM413)-N(DL413)))</f>
        <v/>
      </c>
      <c r="DQ413">
        <f>IF(OR(DL$3="",DL$3&gt;TODAY()),"",IF(AND(DO413="",DP413=""),"",N(DP413)-N(DO413)))</f>
        <v/>
      </c>
      <c r="DU413">
        <f>IF(OR(DS$3="",DS$3&gt;TODAY()),"",IF(AND(DS413="",DT413=""),"",N(DT413)-N(DS413)))</f>
        <v/>
      </c>
      <c r="DX413">
        <f>IF(OR(DS$3="",DS$3&gt;TODAY()),"",IF(AND(DV413="",DW413=""),"",N(DW413)-N(DV413)))</f>
        <v/>
      </c>
      <c r="EB413">
        <f>IF(OR(DZ$3="",DZ$3&gt;TODAY()),"",IF(AND(DZ413="",EA413=""),"",N(EA413)-N(DZ413)))</f>
        <v/>
      </c>
      <c r="EE413">
        <f>IF(OR(DZ$3="",DZ$3&gt;TODAY()),"",IF(AND(EC413="",ED413=""),"",N(ED413)-N(EC413)))</f>
        <v/>
      </c>
      <c r="EI413">
        <f>IF(OR(EG$3="",EG$3&gt;TODAY()),"",IF(AND(EG413="",EH413=""),"",N(EH413)-N(EG413)))</f>
        <v/>
      </c>
      <c r="EL413">
        <f>IF(OR(EG$3="",EG$3&gt;TODAY()),"",IF(AND(EJ413="",EK413=""),"",N(EK413)-N(EJ413)))</f>
        <v/>
      </c>
      <c r="EP413">
        <f>IF(OR(EN$3="",EN$3&gt;TODAY()),"",IF(AND(EN413="",EO413=""),"",N(EO413)-N(EN413)))</f>
        <v/>
      </c>
      <c r="ES413">
        <f>IF(OR(EN$3="",EN$3&gt;TODAY()),"",IF(AND(EQ413="",ER413=""),"",N(ER413)-N(EQ413)))</f>
        <v/>
      </c>
      <c r="EW413">
        <f>IF(OR(EU$3="",EU$3&gt;TODAY()),"",IF(AND(EU413="",EV413=""),"",N(EV413)-N(EU413)))</f>
        <v/>
      </c>
      <c r="EZ413">
        <f>IF(OR(EU$3="",EU$3&gt;TODAY()),"",IF(AND(EX413="",EY413=""),"",N(EY413)-N(EX413)))</f>
        <v/>
      </c>
      <c r="FD413">
        <f>IF(OR(FB$3="",FB$3&gt;TODAY()),"",IF(AND(FB413="",FC413=""),"",N(FC413)-N(FB413)))</f>
        <v/>
      </c>
      <c r="FG413">
        <f>IF(OR(FB$3="",FB$3&gt;TODAY()),"",IF(AND(FE413="",FF413=""),"",N(FF413)-N(FE413)))</f>
        <v/>
      </c>
      <c r="FK413">
        <f>IF(OR(FI$3="",FI$3&gt;TODAY()),"",IF(AND(FI413="",FJ413=""),"",N(FJ413)-N(FI413)))</f>
        <v/>
      </c>
      <c r="FN413">
        <f>IF(OR(FI$3="",FI$3&gt;TODAY()),"",IF(AND(FL413="",FM413=""),"",N(FM413)-N(FL413)))</f>
        <v/>
      </c>
      <c r="FR413">
        <f>IF(OR(FP$3="",FP$3&gt;TODAY()),"",IF(AND(FP413="",FQ413=""),"",N(FQ413)-N(FP413)))</f>
        <v/>
      </c>
      <c r="FU413">
        <f>IF(OR(FP$3="",FP$3&gt;TODAY()),"",IF(AND(FS413="",FT413=""),"",N(FT413)-N(FS413)))</f>
        <v/>
      </c>
      <c r="FY413">
        <f>IF(OR(FW$3="",FW$3&gt;TODAY()),"",IF(AND(FW413="",FX413=""),"",N(FX413)-N(FW413)))</f>
        <v/>
      </c>
      <c r="GB413">
        <f>IF(OR(FW$3="",FW$3&gt;TODAY()),"",IF(AND(FZ413="",GA413=""),"",N(GA413)-N(FZ413)))</f>
        <v/>
      </c>
      <c r="GF413">
        <f>IF(OR(GD$3="",GD$3&gt;TODAY()),"",IF(AND(GD413="",GE413=""),"",N(GE413)-N(GD413)))</f>
        <v/>
      </c>
      <c r="GI413">
        <f>IF(OR(GD$3="",GD$3&gt;TODAY()),"",IF(AND(GG413="",GH413=""),"",N(GH413)-N(GG413)))</f>
        <v/>
      </c>
      <c r="GM413">
        <f>IF(OR(GK$3="",GK$3&gt;TODAY()),"",IF(AND(GK413="",GL413=""),"",N(GL413)-N(GK413)))</f>
        <v/>
      </c>
      <c r="GP413">
        <f>IF(OR(GK$3="",GK$3&gt;TODAY()),"",IF(AND(GN413="",GO413=""),"",N(GO413)-N(GN413)))</f>
        <v/>
      </c>
      <c r="GT413">
        <f>IF(OR(GR$3="",GR$3&gt;TODAY()),"",IF(AND(GR413="",GS413=""),"",N(GS413)-N(GR413)))</f>
        <v/>
      </c>
      <c r="GW413">
        <f>IF(OR(GR$3="",GR$3&gt;TODAY()),"",IF(AND(GU413="",GV413=""),"",N(GV413)-N(GU413)))</f>
        <v/>
      </c>
      <c r="HA413">
        <f>IF(OR(GY$3="",GY$3&gt;TODAY()),"",IF(AND(GY413="",GZ413=""),"",N(GZ413)-N(GY413)))</f>
        <v/>
      </c>
      <c r="HD413">
        <f>IF(OR(GY$3="",GY$3&gt;TODAY()),"",IF(AND(HB413="",HC413=""),"",N(HC413)-N(HB413)))</f>
        <v/>
      </c>
      <c r="HH413">
        <f>IF(OR(HF$3="",HF$3&gt;TODAY()),"",IF(AND(HF413="",HG413=""),"",N(HG413)-N(HF413)))</f>
        <v/>
      </c>
      <c r="HK413">
        <f>IF(OR(HF$3="",HF$3&gt;TODAY()),"",IF(AND(HI413="",HJ413=""),"",N(HJ413)-N(HI413)))</f>
        <v/>
      </c>
      <c r="HO413">
        <f>IF(OR(HM$3="",HM$3&gt;TODAY()),"",IF(AND(HM413="",HN413=""),"",N(HN413)-N(HM413)))</f>
        <v/>
      </c>
      <c r="HR413">
        <f>IF(OR(HM$3="",HM$3&gt;TODAY()),"",IF(AND(HP413="",HQ413=""),"",N(HQ413)-N(HP413)))</f>
        <v/>
      </c>
      <c r="HV413">
        <f>IF(OR(HT$3="",HT$3&gt;TODAY()),"",IF(AND(HT413="",HU413=""),"",N(HU413)-N(HT413)))</f>
        <v/>
      </c>
      <c r="HY413">
        <f>IF(OR(HT$3="",HT$3&gt;TODAY()),"",IF(AND(HW413="",HX413=""),"",N(HX413)-N(HW413)))</f>
        <v/>
      </c>
      <c r="IC413">
        <f>IF(OR(IA$3="",IA$3&gt;TODAY()),"",IF(AND(IA413="",IB413=""),"",N(IB413)-N(IA413)))</f>
        <v/>
      </c>
      <c r="IF413">
        <f>IF(OR(IA$3="",IA$3&gt;TODAY()),"",IF(AND(ID413="",IE413=""),"",N(IE413)-N(ID413)))</f>
        <v/>
      </c>
      <c r="IJ413">
        <f>IF(OR(IH$3="",IH$3&gt;TODAY()),"",IF(AND(IH413="",II413=""),"",N(II413)-N(IH413)))</f>
        <v/>
      </c>
      <c r="IM413">
        <f>IF(OR(IH$3="",IH$3&gt;TODAY()),"",IF(AND(IK413="",IL413=""),"",N(IL413)-N(IK413)))</f>
        <v/>
      </c>
    </row>
    <row r="414">
      <c r="A414" s="21" t="n"/>
      <c r="B414" s="21" t="n"/>
      <c r="C414" s="21" t="n"/>
      <c r="D414" s="21" t="n"/>
      <c r="E414" s="21" t="n"/>
      <c r="F414" s="21" t="n"/>
      <c r="G414" s="21" t="n"/>
      <c r="H414" s="21" t="n"/>
      <c r="I414" s="22" t="n"/>
      <c r="J414" s="22" t="n"/>
      <c r="K414" s="23" t="n"/>
      <c r="L414" s="22" t="n"/>
      <c r="M414" s="22" t="n"/>
      <c r="N414" s="21" t="n"/>
      <c r="O414" s="23" t="n"/>
      <c r="P414" s="23" t="n"/>
      <c r="Q414" s="23" t="n"/>
      <c r="R414" s="23" t="n"/>
      <c r="S414" s="22" t="n"/>
      <c r="T414" s="23" t="n"/>
      <c r="U414" s="23" t="n"/>
      <c r="V414" s="24">
        <f>IF(J414&lt;&gt;"",J414,IF(I414&lt;&gt;"",I414,""))</f>
        <v/>
      </c>
      <c r="W414" s="25">
        <f>IF($E414="","",N(O414)+SUMIFS($AF414:$IN414,$AF$4:$IN$4,"SEW_ACT"))</f>
        <v/>
      </c>
      <c r="X414" s="25">
        <f>IF($E414="","",N(P414)+SUMIFS($AF414:$IN414,$AF$4:$IN$4,"WASH_ACT"))</f>
        <v/>
      </c>
      <c r="Y414" s="25">
        <f>IF($E414="","",W414-X414-N(T414)-N(U414))</f>
        <v/>
      </c>
      <c r="Z414" s="25">
        <f>IF($E414="","",IF(N(K414)-X414&lt;=0.02*N(K414),0,N(K414)-X414))</f>
        <v/>
      </c>
      <c r="AA414" s="24">
        <f>IF($E414="","",IF(S414&lt;&gt;"",S414,IF(N(O414)&gt;0,IF(L414&lt;&gt;"",L414,99999),IFERROR(1/(1/_xlfn.MINIFS($AF$3:$IN$3,$AF$4:$IN$4,"SEW_ACT",$AF414:$IN414,"&gt;0")),99999))))</f>
        <v/>
      </c>
      <c r="AB414" s="26">
        <f>IF(OR($E414="",Z414=0,V414=""),"",1+COUNTIFS(Z$8:Z$707,"&gt;0",V$8:V$707,"&lt;"&amp;V414)+COUNTIFS(Z$8:Z$707,"&gt;0",V$8:V$707,V414,AA$8:AA$707,"&lt;"&amp;AA414)+COUNTIFS(Z$8:Z$707,"&gt;0",V$8:V$707,V414,AA$8:AA$707,AA414,E$8:E$707,"&lt;"&amp;$E414))</f>
        <v/>
      </c>
      <c r="AC414" s="24">
        <f>IF(OR($E414="",Z414=0),"",IFERROR(TODAY()+ROUNDUP(Z414/(SUMIFS($AF414:$IN414,$AF$4:$IN$4,"WASH_ACT")/COUNTIFS($AF$4:$IN$4,"WASH_ACT",$AF414:$IN414,"&gt;0")),0),"no output yet"))</f>
        <v/>
      </c>
      <c r="AD414" s="26">
        <f>IF($E414="","",IFERROR(ROUND(MAX(0,SUMIFS($AF414:$IN414,$AF$4:$IN$4,"SEW_PLAN",$AF$3:$IN$3,"&lt;="&amp;TODAY())-SUMIFS($AF414:$IN414,$AF$4:$IN$4,"SEW_ACT",$AF$3:$IN$3,"&lt;="&amp;TODAY())+N(Q414))/(SUMIFS($AF414:$IN414,$AF$4:$IN$4,"SEW_PLAN")/COUNTIFS($AF$4:$IN$4,"SEW_PLAN",$AF414:$IN414,"&gt;0")),1),0))</f>
        <v/>
      </c>
      <c r="AE414" s="26">
        <f>IF($E414="","",IF(AND(Z414&gt;0,OR(AND(M414&lt;&gt;"",TODAY()&gt;M414),AND(V414&lt;&gt;"",V414-TODAY()&lt;=7))),"Yes","No"))</f>
        <v/>
      </c>
      <c r="AH414">
        <f>IF(OR(AF$3="",AF$3&gt;TODAY()),"",IF(AND(AF414="",AG414=""),"",N(AG414)-N(AF414)))</f>
        <v/>
      </c>
      <c r="AK414">
        <f>IF(OR(AF$3="",AF$3&gt;TODAY()),"",IF(AND(AI414="",AJ414=""),"",N(AJ414)-N(AI414)))</f>
        <v/>
      </c>
      <c r="AO414">
        <f>IF(OR(AM$3="",AM$3&gt;TODAY()),"",IF(AND(AM414="",AN414=""),"",N(AN414)-N(AM414)))</f>
        <v/>
      </c>
      <c r="AR414">
        <f>IF(OR(AM$3="",AM$3&gt;TODAY()),"",IF(AND(AP414="",AQ414=""),"",N(AQ414)-N(AP414)))</f>
        <v/>
      </c>
      <c r="AV414">
        <f>IF(OR(AT$3="",AT$3&gt;TODAY()),"",IF(AND(AT414="",AU414=""),"",N(AU414)-N(AT414)))</f>
        <v/>
      </c>
      <c r="AY414">
        <f>IF(OR(AT$3="",AT$3&gt;TODAY()),"",IF(AND(AW414="",AX414=""),"",N(AX414)-N(AW414)))</f>
        <v/>
      </c>
      <c r="BC414">
        <f>IF(OR(BA$3="",BA$3&gt;TODAY()),"",IF(AND(BA414="",BB414=""),"",N(BB414)-N(BA414)))</f>
        <v/>
      </c>
      <c r="BF414">
        <f>IF(OR(BA$3="",BA$3&gt;TODAY()),"",IF(AND(BD414="",BE414=""),"",N(BE414)-N(BD414)))</f>
        <v/>
      </c>
      <c r="BJ414">
        <f>IF(OR(BH$3="",BH$3&gt;TODAY()),"",IF(AND(BH414="",BI414=""),"",N(BI414)-N(BH414)))</f>
        <v/>
      </c>
      <c r="BM414">
        <f>IF(OR(BH$3="",BH$3&gt;TODAY()),"",IF(AND(BK414="",BL414=""),"",N(BL414)-N(BK414)))</f>
        <v/>
      </c>
      <c r="BQ414">
        <f>IF(OR(BO$3="",BO$3&gt;TODAY()),"",IF(AND(BO414="",BP414=""),"",N(BP414)-N(BO414)))</f>
        <v/>
      </c>
      <c r="BT414">
        <f>IF(OR(BO$3="",BO$3&gt;TODAY()),"",IF(AND(BR414="",BS414=""),"",N(BS414)-N(BR414)))</f>
        <v/>
      </c>
      <c r="BX414">
        <f>IF(OR(BV$3="",BV$3&gt;TODAY()),"",IF(AND(BV414="",BW414=""),"",N(BW414)-N(BV414)))</f>
        <v/>
      </c>
      <c r="CA414">
        <f>IF(OR(BV$3="",BV$3&gt;TODAY()),"",IF(AND(BY414="",BZ414=""),"",N(BZ414)-N(BY414)))</f>
        <v/>
      </c>
      <c r="CE414">
        <f>IF(OR(CC$3="",CC$3&gt;TODAY()),"",IF(AND(CC414="",CD414=""),"",N(CD414)-N(CC414)))</f>
        <v/>
      </c>
      <c r="CH414">
        <f>IF(OR(CC$3="",CC$3&gt;TODAY()),"",IF(AND(CF414="",CG414=""),"",N(CG414)-N(CF414)))</f>
        <v/>
      </c>
      <c r="CL414">
        <f>IF(OR(CJ$3="",CJ$3&gt;TODAY()),"",IF(AND(CJ414="",CK414=""),"",N(CK414)-N(CJ414)))</f>
        <v/>
      </c>
      <c r="CO414">
        <f>IF(OR(CJ$3="",CJ$3&gt;TODAY()),"",IF(AND(CM414="",CN414=""),"",N(CN414)-N(CM414)))</f>
        <v/>
      </c>
      <c r="CS414">
        <f>IF(OR(CQ$3="",CQ$3&gt;TODAY()),"",IF(AND(CQ414="",CR414=""),"",N(CR414)-N(CQ414)))</f>
        <v/>
      </c>
      <c r="CV414">
        <f>IF(OR(CQ$3="",CQ$3&gt;TODAY()),"",IF(AND(CT414="",CU414=""),"",N(CU414)-N(CT414)))</f>
        <v/>
      </c>
      <c r="CZ414">
        <f>IF(OR(CX$3="",CX$3&gt;TODAY()),"",IF(AND(CX414="",CY414=""),"",N(CY414)-N(CX414)))</f>
        <v/>
      </c>
      <c r="DC414">
        <f>IF(OR(CX$3="",CX$3&gt;TODAY()),"",IF(AND(DA414="",DB414=""),"",N(DB414)-N(DA414)))</f>
        <v/>
      </c>
      <c r="DG414">
        <f>IF(OR(DE$3="",DE$3&gt;TODAY()),"",IF(AND(DE414="",DF414=""),"",N(DF414)-N(DE414)))</f>
        <v/>
      </c>
      <c r="DJ414">
        <f>IF(OR(DE$3="",DE$3&gt;TODAY()),"",IF(AND(DH414="",DI414=""),"",N(DI414)-N(DH414)))</f>
        <v/>
      </c>
      <c r="DN414">
        <f>IF(OR(DL$3="",DL$3&gt;TODAY()),"",IF(AND(DL414="",DM414=""),"",N(DM414)-N(DL414)))</f>
        <v/>
      </c>
      <c r="DQ414">
        <f>IF(OR(DL$3="",DL$3&gt;TODAY()),"",IF(AND(DO414="",DP414=""),"",N(DP414)-N(DO414)))</f>
        <v/>
      </c>
      <c r="DU414">
        <f>IF(OR(DS$3="",DS$3&gt;TODAY()),"",IF(AND(DS414="",DT414=""),"",N(DT414)-N(DS414)))</f>
        <v/>
      </c>
      <c r="DX414">
        <f>IF(OR(DS$3="",DS$3&gt;TODAY()),"",IF(AND(DV414="",DW414=""),"",N(DW414)-N(DV414)))</f>
        <v/>
      </c>
      <c r="EB414">
        <f>IF(OR(DZ$3="",DZ$3&gt;TODAY()),"",IF(AND(DZ414="",EA414=""),"",N(EA414)-N(DZ414)))</f>
        <v/>
      </c>
      <c r="EE414">
        <f>IF(OR(DZ$3="",DZ$3&gt;TODAY()),"",IF(AND(EC414="",ED414=""),"",N(ED414)-N(EC414)))</f>
        <v/>
      </c>
      <c r="EI414">
        <f>IF(OR(EG$3="",EG$3&gt;TODAY()),"",IF(AND(EG414="",EH414=""),"",N(EH414)-N(EG414)))</f>
        <v/>
      </c>
      <c r="EL414">
        <f>IF(OR(EG$3="",EG$3&gt;TODAY()),"",IF(AND(EJ414="",EK414=""),"",N(EK414)-N(EJ414)))</f>
        <v/>
      </c>
      <c r="EP414">
        <f>IF(OR(EN$3="",EN$3&gt;TODAY()),"",IF(AND(EN414="",EO414=""),"",N(EO414)-N(EN414)))</f>
        <v/>
      </c>
      <c r="ES414">
        <f>IF(OR(EN$3="",EN$3&gt;TODAY()),"",IF(AND(EQ414="",ER414=""),"",N(ER414)-N(EQ414)))</f>
        <v/>
      </c>
      <c r="EW414">
        <f>IF(OR(EU$3="",EU$3&gt;TODAY()),"",IF(AND(EU414="",EV414=""),"",N(EV414)-N(EU414)))</f>
        <v/>
      </c>
      <c r="EZ414">
        <f>IF(OR(EU$3="",EU$3&gt;TODAY()),"",IF(AND(EX414="",EY414=""),"",N(EY414)-N(EX414)))</f>
        <v/>
      </c>
      <c r="FD414">
        <f>IF(OR(FB$3="",FB$3&gt;TODAY()),"",IF(AND(FB414="",FC414=""),"",N(FC414)-N(FB414)))</f>
        <v/>
      </c>
      <c r="FG414">
        <f>IF(OR(FB$3="",FB$3&gt;TODAY()),"",IF(AND(FE414="",FF414=""),"",N(FF414)-N(FE414)))</f>
        <v/>
      </c>
      <c r="FK414">
        <f>IF(OR(FI$3="",FI$3&gt;TODAY()),"",IF(AND(FI414="",FJ414=""),"",N(FJ414)-N(FI414)))</f>
        <v/>
      </c>
      <c r="FN414">
        <f>IF(OR(FI$3="",FI$3&gt;TODAY()),"",IF(AND(FL414="",FM414=""),"",N(FM414)-N(FL414)))</f>
        <v/>
      </c>
      <c r="FR414">
        <f>IF(OR(FP$3="",FP$3&gt;TODAY()),"",IF(AND(FP414="",FQ414=""),"",N(FQ414)-N(FP414)))</f>
        <v/>
      </c>
      <c r="FU414">
        <f>IF(OR(FP$3="",FP$3&gt;TODAY()),"",IF(AND(FS414="",FT414=""),"",N(FT414)-N(FS414)))</f>
        <v/>
      </c>
      <c r="FY414">
        <f>IF(OR(FW$3="",FW$3&gt;TODAY()),"",IF(AND(FW414="",FX414=""),"",N(FX414)-N(FW414)))</f>
        <v/>
      </c>
      <c r="GB414">
        <f>IF(OR(FW$3="",FW$3&gt;TODAY()),"",IF(AND(FZ414="",GA414=""),"",N(GA414)-N(FZ414)))</f>
        <v/>
      </c>
      <c r="GF414">
        <f>IF(OR(GD$3="",GD$3&gt;TODAY()),"",IF(AND(GD414="",GE414=""),"",N(GE414)-N(GD414)))</f>
        <v/>
      </c>
      <c r="GI414">
        <f>IF(OR(GD$3="",GD$3&gt;TODAY()),"",IF(AND(GG414="",GH414=""),"",N(GH414)-N(GG414)))</f>
        <v/>
      </c>
      <c r="GM414">
        <f>IF(OR(GK$3="",GK$3&gt;TODAY()),"",IF(AND(GK414="",GL414=""),"",N(GL414)-N(GK414)))</f>
        <v/>
      </c>
      <c r="GP414">
        <f>IF(OR(GK$3="",GK$3&gt;TODAY()),"",IF(AND(GN414="",GO414=""),"",N(GO414)-N(GN414)))</f>
        <v/>
      </c>
      <c r="GT414">
        <f>IF(OR(GR$3="",GR$3&gt;TODAY()),"",IF(AND(GR414="",GS414=""),"",N(GS414)-N(GR414)))</f>
        <v/>
      </c>
      <c r="GW414">
        <f>IF(OR(GR$3="",GR$3&gt;TODAY()),"",IF(AND(GU414="",GV414=""),"",N(GV414)-N(GU414)))</f>
        <v/>
      </c>
      <c r="HA414">
        <f>IF(OR(GY$3="",GY$3&gt;TODAY()),"",IF(AND(GY414="",GZ414=""),"",N(GZ414)-N(GY414)))</f>
        <v/>
      </c>
      <c r="HD414">
        <f>IF(OR(GY$3="",GY$3&gt;TODAY()),"",IF(AND(HB414="",HC414=""),"",N(HC414)-N(HB414)))</f>
        <v/>
      </c>
      <c r="HH414">
        <f>IF(OR(HF$3="",HF$3&gt;TODAY()),"",IF(AND(HF414="",HG414=""),"",N(HG414)-N(HF414)))</f>
        <v/>
      </c>
      <c r="HK414">
        <f>IF(OR(HF$3="",HF$3&gt;TODAY()),"",IF(AND(HI414="",HJ414=""),"",N(HJ414)-N(HI414)))</f>
        <v/>
      </c>
      <c r="HO414">
        <f>IF(OR(HM$3="",HM$3&gt;TODAY()),"",IF(AND(HM414="",HN414=""),"",N(HN414)-N(HM414)))</f>
        <v/>
      </c>
      <c r="HR414">
        <f>IF(OR(HM$3="",HM$3&gt;TODAY()),"",IF(AND(HP414="",HQ414=""),"",N(HQ414)-N(HP414)))</f>
        <v/>
      </c>
      <c r="HV414">
        <f>IF(OR(HT$3="",HT$3&gt;TODAY()),"",IF(AND(HT414="",HU414=""),"",N(HU414)-N(HT414)))</f>
        <v/>
      </c>
      <c r="HY414">
        <f>IF(OR(HT$3="",HT$3&gt;TODAY()),"",IF(AND(HW414="",HX414=""),"",N(HX414)-N(HW414)))</f>
        <v/>
      </c>
      <c r="IC414">
        <f>IF(OR(IA$3="",IA$3&gt;TODAY()),"",IF(AND(IA414="",IB414=""),"",N(IB414)-N(IA414)))</f>
        <v/>
      </c>
      <c r="IF414">
        <f>IF(OR(IA$3="",IA$3&gt;TODAY()),"",IF(AND(ID414="",IE414=""),"",N(IE414)-N(ID414)))</f>
        <v/>
      </c>
      <c r="IJ414">
        <f>IF(OR(IH$3="",IH$3&gt;TODAY()),"",IF(AND(IH414="",II414=""),"",N(II414)-N(IH414)))</f>
        <v/>
      </c>
      <c r="IM414">
        <f>IF(OR(IH$3="",IH$3&gt;TODAY()),"",IF(AND(IK414="",IL414=""),"",N(IL414)-N(IK414)))</f>
        <v/>
      </c>
    </row>
    <row r="415">
      <c r="A415" s="21" t="n"/>
      <c r="B415" s="21" t="n"/>
      <c r="C415" s="21" t="n"/>
      <c r="D415" s="21" t="n"/>
      <c r="E415" s="21" t="n"/>
      <c r="F415" s="21" t="n"/>
      <c r="G415" s="21" t="n"/>
      <c r="H415" s="21" t="n"/>
      <c r="I415" s="22" t="n"/>
      <c r="J415" s="22" t="n"/>
      <c r="K415" s="23" t="n"/>
      <c r="L415" s="22" t="n"/>
      <c r="M415" s="22" t="n"/>
      <c r="N415" s="21" t="n"/>
      <c r="O415" s="23" t="n"/>
      <c r="P415" s="23" t="n"/>
      <c r="Q415" s="23" t="n"/>
      <c r="R415" s="23" t="n"/>
      <c r="S415" s="22" t="n"/>
      <c r="T415" s="23" t="n"/>
      <c r="U415" s="23" t="n"/>
      <c r="V415" s="24">
        <f>IF(J415&lt;&gt;"",J415,IF(I415&lt;&gt;"",I415,""))</f>
        <v/>
      </c>
      <c r="W415" s="25">
        <f>IF($E415="","",N(O415)+SUMIFS($AF415:$IN415,$AF$4:$IN$4,"SEW_ACT"))</f>
        <v/>
      </c>
      <c r="X415" s="25">
        <f>IF($E415="","",N(P415)+SUMIFS($AF415:$IN415,$AF$4:$IN$4,"WASH_ACT"))</f>
        <v/>
      </c>
      <c r="Y415" s="25">
        <f>IF($E415="","",W415-X415-N(T415)-N(U415))</f>
        <v/>
      </c>
      <c r="Z415" s="25">
        <f>IF($E415="","",IF(N(K415)-X415&lt;=0.02*N(K415),0,N(K415)-X415))</f>
        <v/>
      </c>
      <c r="AA415" s="24">
        <f>IF($E415="","",IF(S415&lt;&gt;"",S415,IF(N(O415)&gt;0,IF(L415&lt;&gt;"",L415,99999),IFERROR(1/(1/_xlfn.MINIFS($AF$3:$IN$3,$AF$4:$IN$4,"SEW_ACT",$AF415:$IN415,"&gt;0")),99999))))</f>
        <v/>
      </c>
      <c r="AB415" s="26">
        <f>IF(OR($E415="",Z415=0,V415=""),"",1+COUNTIFS(Z$8:Z$707,"&gt;0",V$8:V$707,"&lt;"&amp;V415)+COUNTIFS(Z$8:Z$707,"&gt;0",V$8:V$707,V415,AA$8:AA$707,"&lt;"&amp;AA415)+COUNTIFS(Z$8:Z$707,"&gt;0",V$8:V$707,V415,AA$8:AA$707,AA415,E$8:E$707,"&lt;"&amp;$E415))</f>
        <v/>
      </c>
      <c r="AC415" s="24">
        <f>IF(OR($E415="",Z415=0),"",IFERROR(TODAY()+ROUNDUP(Z415/(SUMIFS($AF415:$IN415,$AF$4:$IN$4,"WASH_ACT")/COUNTIFS($AF$4:$IN$4,"WASH_ACT",$AF415:$IN415,"&gt;0")),0),"no output yet"))</f>
        <v/>
      </c>
      <c r="AD415" s="26">
        <f>IF($E415="","",IFERROR(ROUND(MAX(0,SUMIFS($AF415:$IN415,$AF$4:$IN$4,"SEW_PLAN",$AF$3:$IN$3,"&lt;="&amp;TODAY())-SUMIFS($AF415:$IN415,$AF$4:$IN$4,"SEW_ACT",$AF$3:$IN$3,"&lt;="&amp;TODAY())+N(Q415))/(SUMIFS($AF415:$IN415,$AF$4:$IN$4,"SEW_PLAN")/COUNTIFS($AF$4:$IN$4,"SEW_PLAN",$AF415:$IN415,"&gt;0")),1),0))</f>
        <v/>
      </c>
      <c r="AE415" s="26">
        <f>IF($E415="","",IF(AND(Z415&gt;0,OR(AND(M415&lt;&gt;"",TODAY()&gt;M415),AND(V415&lt;&gt;"",V415-TODAY()&lt;=7))),"Yes","No"))</f>
        <v/>
      </c>
      <c r="AH415">
        <f>IF(OR(AF$3="",AF$3&gt;TODAY()),"",IF(AND(AF415="",AG415=""),"",N(AG415)-N(AF415)))</f>
        <v/>
      </c>
      <c r="AK415">
        <f>IF(OR(AF$3="",AF$3&gt;TODAY()),"",IF(AND(AI415="",AJ415=""),"",N(AJ415)-N(AI415)))</f>
        <v/>
      </c>
      <c r="AO415">
        <f>IF(OR(AM$3="",AM$3&gt;TODAY()),"",IF(AND(AM415="",AN415=""),"",N(AN415)-N(AM415)))</f>
        <v/>
      </c>
      <c r="AR415">
        <f>IF(OR(AM$3="",AM$3&gt;TODAY()),"",IF(AND(AP415="",AQ415=""),"",N(AQ415)-N(AP415)))</f>
        <v/>
      </c>
      <c r="AV415">
        <f>IF(OR(AT$3="",AT$3&gt;TODAY()),"",IF(AND(AT415="",AU415=""),"",N(AU415)-N(AT415)))</f>
        <v/>
      </c>
      <c r="AY415">
        <f>IF(OR(AT$3="",AT$3&gt;TODAY()),"",IF(AND(AW415="",AX415=""),"",N(AX415)-N(AW415)))</f>
        <v/>
      </c>
      <c r="BC415">
        <f>IF(OR(BA$3="",BA$3&gt;TODAY()),"",IF(AND(BA415="",BB415=""),"",N(BB415)-N(BA415)))</f>
        <v/>
      </c>
      <c r="BF415">
        <f>IF(OR(BA$3="",BA$3&gt;TODAY()),"",IF(AND(BD415="",BE415=""),"",N(BE415)-N(BD415)))</f>
        <v/>
      </c>
      <c r="BJ415">
        <f>IF(OR(BH$3="",BH$3&gt;TODAY()),"",IF(AND(BH415="",BI415=""),"",N(BI415)-N(BH415)))</f>
        <v/>
      </c>
      <c r="BM415">
        <f>IF(OR(BH$3="",BH$3&gt;TODAY()),"",IF(AND(BK415="",BL415=""),"",N(BL415)-N(BK415)))</f>
        <v/>
      </c>
      <c r="BQ415">
        <f>IF(OR(BO$3="",BO$3&gt;TODAY()),"",IF(AND(BO415="",BP415=""),"",N(BP415)-N(BO415)))</f>
        <v/>
      </c>
      <c r="BT415">
        <f>IF(OR(BO$3="",BO$3&gt;TODAY()),"",IF(AND(BR415="",BS415=""),"",N(BS415)-N(BR415)))</f>
        <v/>
      </c>
      <c r="BX415">
        <f>IF(OR(BV$3="",BV$3&gt;TODAY()),"",IF(AND(BV415="",BW415=""),"",N(BW415)-N(BV415)))</f>
        <v/>
      </c>
      <c r="CA415">
        <f>IF(OR(BV$3="",BV$3&gt;TODAY()),"",IF(AND(BY415="",BZ415=""),"",N(BZ415)-N(BY415)))</f>
        <v/>
      </c>
      <c r="CE415">
        <f>IF(OR(CC$3="",CC$3&gt;TODAY()),"",IF(AND(CC415="",CD415=""),"",N(CD415)-N(CC415)))</f>
        <v/>
      </c>
      <c r="CH415">
        <f>IF(OR(CC$3="",CC$3&gt;TODAY()),"",IF(AND(CF415="",CG415=""),"",N(CG415)-N(CF415)))</f>
        <v/>
      </c>
      <c r="CL415">
        <f>IF(OR(CJ$3="",CJ$3&gt;TODAY()),"",IF(AND(CJ415="",CK415=""),"",N(CK415)-N(CJ415)))</f>
        <v/>
      </c>
      <c r="CO415">
        <f>IF(OR(CJ$3="",CJ$3&gt;TODAY()),"",IF(AND(CM415="",CN415=""),"",N(CN415)-N(CM415)))</f>
        <v/>
      </c>
      <c r="CS415">
        <f>IF(OR(CQ$3="",CQ$3&gt;TODAY()),"",IF(AND(CQ415="",CR415=""),"",N(CR415)-N(CQ415)))</f>
        <v/>
      </c>
      <c r="CV415">
        <f>IF(OR(CQ$3="",CQ$3&gt;TODAY()),"",IF(AND(CT415="",CU415=""),"",N(CU415)-N(CT415)))</f>
        <v/>
      </c>
      <c r="CZ415">
        <f>IF(OR(CX$3="",CX$3&gt;TODAY()),"",IF(AND(CX415="",CY415=""),"",N(CY415)-N(CX415)))</f>
        <v/>
      </c>
      <c r="DC415">
        <f>IF(OR(CX$3="",CX$3&gt;TODAY()),"",IF(AND(DA415="",DB415=""),"",N(DB415)-N(DA415)))</f>
        <v/>
      </c>
      <c r="DG415">
        <f>IF(OR(DE$3="",DE$3&gt;TODAY()),"",IF(AND(DE415="",DF415=""),"",N(DF415)-N(DE415)))</f>
        <v/>
      </c>
      <c r="DJ415">
        <f>IF(OR(DE$3="",DE$3&gt;TODAY()),"",IF(AND(DH415="",DI415=""),"",N(DI415)-N(DH415)))</f>
        <v/>
      </c>
      <c r="DN415">
        <f>IF(OR(DL$3="",DL$3&gt;TODAY()),"",IF(AND(DL415="",DM415=""),"",N(DM415)-N(DL415)))</f>
        <v/>
      </c>
      <c r="DQ415">
        <f>IF(OR(DL$3="",DL$3&gt;TODAY()),"",IF(AND(DO415="",DP415=""),"",N(DP415)-N(DO415)))</f>
        <v/>
      </c>
      <c r="DU415">
        <f>IF(OR(DS$3="",DS$3&gt;TODAY()),"",IF(AND(DS415="",DT415=""),"",N(DT415)-N(DS415)))</f>
        <v/>
      </c>
      <c r="DX415">
        <f>IF(OR(DS$3="",DS$3&gt;TODAY()),"",IF(AND(DV415="",DW415=""),"",N(DW415)-N(DV415)))</f>
        <v/>
      </c>
      <c r="EB415">
        <f>IF(OR(DZ$3="",DZ$3&gt;TODAY()),"",IF(AND(DZ415="",EA415=""),"",N(EA415)-N(DZ415)))</f>
        <v/>
      </c>
      <c r="EE415">
        <f>IF(OR(DZ$3="",DZ$3&gt;TODAY()),"",IF(AND(EC415="",ED415=""),"",N(ED415)-N(EC415)))</f>
        <v/>
      </c>
      <c r="EI415">
        <f>IF(OR(EG$3="",EG$3&gt;TODAY()),"",IF(AND(EG415="",EH415=""),"",N(EH415)-N(EG415)))</f>
        <v/>
      </c>
      <c r="EL415">
        <f>IF(OR(EG$3="",EG$3&gt;TODAY()),"",IF(AND(EJ415="",EK415=""),"",N(EK415)-N(EJ415)))</f>
        <v/>
      </c>
      <c r="EP415">
        <f>IF(OR(EN$3="",EN$3&gt;TODAY()),"",IF(AND(EN415="",EO415=""),"",N(EO415)-N(EN415)))</f>
        <v/>
      </c>
      <c r="ES415">
        <f>IF(OR(EN$3="",EN$3&gt;TODAY()),"",IF(AND(EQ415="",ER415=""),"",N(ER415)-N(EQ415)))</f>
        <v/>
      </c>
      <c r="EW415">
        <f>IF(OR(EU$3="",EU$3&gt;TODAY()),"",IF(AND(EU415="",EV415=""),"",N(EV415)-N(EU415)))</f>
        <v/>
      </c>
      <c r="EZ415">
        <f>IF(OR(EU$3="",EU$3&gt;TODAY()),"",IF(AND(EX415="",EY415=""),"",N(EY415)-N(EX415)))</f>
        <v/>
      </c>
      <c r="FD415">
        <f>IF(OR(FB$3="",FB$3&gt;TODAY()),"",IF(AND(FB415="",FC415=""),"",N(FC415)-N(FB415)))</f>
        <v/>
      </c>
      <c r="FG415">
        <f>IF(OR(FB$3="",FB$3&gt;TODAY()),"",IF(AND(FE415="",FF415=""),"",N(FF415)-N(FE415)))</f>
        <v/>
      </c>
      <c r="FK415">
        <f>IF(OR(FI$3="",FI$3&gt;TODAY()),"",IF(AND(FI415="",FJ415=""),"",N(FJ415)-N(FI415)))</f>
        <v/>
      </c>
      <c r="FN415">
        <f>IF(OR(FI$3="",FI$3&gt;TODAY()),"",IF(AND(FL415="",FM415=""),"",N(FM415)-N(FL415)))</f>
        <v/>
      </c>
      <c r="FR415">
        <f>IF(OR(FP$3="",FP$3&gt;TODAY()),"",IF(AND(FP415="",FQ415=""),"",N(FQ415)-N(FP415)))</f>
        <v/>
      </c>
      <c r="FU415">
        <f>IF(OR(FP$3="",FP$3&gt;TODAY()),"",IF(AND(FS415="",FT415=""),"",N(FT415)-N(FS415)))</f>
        <v/>
      </c>
      <c r="FY415">
        <f>IF(OR(FW$3="",FW$3&gt;TODAY()),"",IF(AND(FW415="",FX415=""),"",N(FX415)-N(FW415)))</f>
        <v/>
      </c>
      <c r="GB415">
        <f>IF(OR(FW$3="",FW$3&gt;TODAY()),"",IF(AND(FZ415="",GA415=""),"",N(GA415)-N(FZ415)))</f>
        <v/>
      </c>
      <c r="GF415">
        <f>IF(OR(GD$3="",GD$3&gt;TODAY()),"",IF(AND(GD415="",GE415=""),"",N(GE415)-N(GD415)))</f>
        <v/>
      </c>
      <c r="GI415">
        <f>IF(OR(GD$3="",GD$3&gt;TODAY()),"",IF(AND(GG415="",GH415=""),"",N(GH415)-N(GG415)))</f>
        <v/>
      </c>
      <c r="GM415">
        <f>IF(OR(GK$3="",GK$3&gt;TODAY()),"",IF(AND(GK415="",GL415=""),"",N(GL415)-N(GK415)))</f>
        <v/>
      </c>
      <c r="GP415">
        <f>IF(OR(GK$3="",GK$3&gt;TODAY()),"",IF(AND(GN415="",GO415=""),"",N(GO415)-N(GN415)))</f>
        <v/>
      </c>
      <c r="GT415">
        <f>IF(OR(GR$3="",GR$3&gt;TODAY()),"",IF(AND(GR415="",GS415=""),"",N(GS415)-N(GR415)))</f>
        <v/>
      </c>
      <c r="GW415">
        <f>IF(OR(GR$3="",GR$3&gt;TODAY()),"",IF(AND(GU415="",GV415=""),"",N(GV415)-N(GU415)))</f>
        <v/>
      </c>
      <c r="HA415">
        <f>IF(OR(GY$3="",GY$3&gt;TODAY()),"",IF(AND(GY415="",GZ415=""),"",N(GZ415)-N(GY415)))</f>
        <v/>
      </c>
      <c r="HD415">
        <f>IF(OR(GY$3="",GY$3&gt;TODAY()),"",IF(AND(HB415="",HC415=""),"",N(HC415)-N(HB415)))</f>
        <v/>
      </c>
      <c r="HH415">
        <f>IF(OR(HF$3="",HF$3&gt;TODAY()),"",IF(AND(HF415="",HG415=""),"",N(HG415)-N(HF415)))</f>
        <v/>
      </c>
      <c r="HK415">
        <f>IF(OR(HF$3="",HF$3&gt;TODAY()),"",IF(AND(HI415="",HJ415=""),"",N(HJ415)-N(HI415)))</f>
        <v/>
      </c>
      <c r="HO415">
        <f>IF(OR(HM$3="",HM$3&gt;TODAY()),"",IF(AND(HM415="",HN415=""),"",N(HN415)-N(HM415)))</f>
        <v/>
      </c>
      <c r="HR415">
        <f>IF(OR(HM$3="",HM$3&gt;TODAY()),"",IF(AND(HP415="",HQ415=""),"",N(HQ415)-N(HP415)))</f>
        <v/>
      </c>
      <c r="HV415">
        <f>IF(OR(HT$3="",HT$3&gt;TODAY()),"",IF(AND(HT415="",HU415=""),"",N(HU415)-N(HT415)))</f>
        <v/>
      </c>
      <c r="HY415">
        <f>IF(OR(HT$3="",HT$3&gt;TODAY()),"",IF(AND(HW415="",HX415=""),"",N(HX415)-N(HW415)))</f>
        <v/>
      </c>
      <c r="IC415">
        <f>IF(OR(IA$3="",IA$3&gt;TODAY()),"",IF(AND(IA415="",IB415=""),"",N(IB415)-N(IA415)))</f>
        <v/>
      </c>
      <c r="IF415">
        <f>IF(OR(IA$3="",IA$3&gt;TODAY()),"",IF(AND(ID415="",IE415=""),"",N(IE415)-N(ID415)))</f>
        <v/>
      </c>
      <c r="IJ415">
        <f>IF(OR(IH$3="",IH$3&gt;TODAY()),"",IF(AND(IH415="",II415=""),"",N(II415)-N(IH415)))</f>
        <v/>
      </c>
      <c r="IM415">
        <f>IF(OR(IH$3="",IH$3&gt;TODAY()),"",IF(AND(IK415="",IL415=""),"",N(IL415)-N(IK415)))</f>
        <v/>
      </c>
    </row>
    <row r="416">
      <c r="A416" s="21" t="n"/>
      <c r="B416" s="21" t="n"/>
      <c r="C416" s="21" t="n"/>
      <c r="D416" s="21" t="n"/>
      <c r="E416" s="21" t="n"/>
      <c r="F416" s="21" t="n"/>
      <c r="G416" s="21" t="n"/>
      <c r="H416" s="21" t="n"/>
      <c r="I416" s="22" t="n"/>
      <c r="J416" s="22" t="n"/>
      <c r="K416" s="23" t="n"/>
      <c r="L416" s="22" t="n"/>
      <c r="M416" s="22" t="n"/>
      <c r="N416" s="21" t="n"/>
      <c r="O416" s="23" t="n"/>
      <c r="P416" s="23" t="n"/>
      <c r="Q416" s="23" t="n"/>
      <c r="R416" s="23" t="n"/>
      <c r="S416" s="22" t="n"/>
      <c r="T416" s="23" t="n"/>
      <c r="U416" s="23" t="n"/>
      <c r="V416" s="24">
        <f>IF(J416&lt;&gt;"",J416,IF(I416&lt;&gt;"",I416,""))</f>
        <v/>
      </c>
      <c r="W416" s="25">
        <f>IF($E416="","",N(O416)+SUMIFS($AF416:$IN416,$AF$4:$IN$4,"SEW_ACT"))</f>
        <v/>
      </c>
      <c r="X416" s="25">
        <f>IF($E416="","",N(P416)+SUMIFS($AF416:$IN416,$AF$4:$IN$4,"WASH_ACT"))</f>
        <v/>
      </c>
      <c r="Y416" s="25">
        <f>IF($E416="","",W416-X416-N(T416)-N(U416))</f>
        <v/>
      </c>
      <c r="Z416" s="25">
        <f>IF($E416="","",IF(N(K416)-X416&lt;=0.02*N(K416),0,N(K416)-X416))</f>
        <v/>
      </c>
      <c r="AA416" s="24">
        <f>IF($E416="","",IF(S416&lt;&gt;"",S416,IF(N(O416)&gt;0,IF(L416&lt;&gt;"",L416,99999),IFERROR(1/(1/_xlfn.MINIFS($AF$3:$IN$3,$AF$4:$IN$4,"SEW_ACT",$AF416:$IN416,"&gt;0")),99999))))</f>
        <v/>
      </c>
      <c r="AB416" s="26">
        <f>IF(OR($E416="",Z416=0,V416=""),"",1+COUNTIFS(Z$8:Z$707,"&gt;0",V$8:V$707,"&lt;"&amp;V416)+COUNTIFS(Z$8:Z$707,"&gt;0",V$8:V$707,V416,AA$8:AA$707,"&lt;"&amp;AA416)+COUNTIFS(Z$8:Z$707,"&gt;0",V$8:V$707,V416,AA$8:AA$707,AA416,E$8:E$707,"&lt;"&amp;$E416))</f>
        <v/>
      </c>
      <c r="AC416" s="24">
        <f>IF(OR($E416="",Z416=0),"",IFERROR(TODAY()+ROUNDUP(Z416/(SUMIFS($AF416:$IN416,$AF$4:$IN$4,"WASH_ACT")/COUNTIFS($AF$4:$IN$4,"WASH_ACT",$AF416:$IN416,"&gt;0")),0),"no output yet"))</f>
        <v/>
      </c>
      <c r="AD416" s="26">
        <f>IF($E416="","",IFERROR(ROUND(MAX(0,SUMIFS($AF416:$IN416,$AF$4:$IN$4,"SEW_PLAN",$AF$3:$IN$3,"&lt;="&amp;TODAY())-SUMIFS($AF416:$IN416,$AF$4:$IN$4,"SEW_ACT",$AF$3:$IN$3,"&lt;="&amp;TODAY())+N(Q416))/(SUMIFS($AF416:$IN416,$AF$4:$IN$4,"SEW_PLAN")/COUNTIFS($AF$4:$IN$4,"SEW_PLAN",$AF416:$IN416,"&gt;0")),1),0))</f>
        <v/>
      </c>
      <c r="AE416" s="26">
        <f>IF($E416="","",IF(AND(Z416&gt;0,OR(AND(M416&lt;&gt;"",TODAY()&gt;M416),AND(V416&lt;&gt;"",V416-TODAY()&lt;=7))),"Yes","No"))</f>
        <v/>
      </c>
      <c r="AH416">
        <f>IF(OR(AF$3="",AF$3&gt;TODAY()),"",IF(AND(AF416="",AG416=""),"",N(AG416)-N(AF416)))</f>
        <v/>
      </c>
      <c r="AK416">
        <f>IF(OR(AF$3="",AF$3&gt;TODAY()),"",IF(AND(AI416="",AJ416=""),"",N(AJ416)-N(AI416)))</f>
        <v/>
      </c>
      <c r="AO416">
        <f>IF(OR(AM$3="",AM$3&gt;TODAY()),"",IF(AND(AM416="",AN416=""),"",N(AN416)-N(AM416)))</f>
        <v/>
      </c>
      <c r="AR416">
        <f>IF(OR(AM$3="",AM$3&gt;TODAY()),"",IF(AND(AP416="",AQ416=""),"",N(AQ416)-N(AP416)))</f>
        <v/>
      </c>
      <c r="AV416">
        <f>IF(OR(AT$3="",AT$3&gt;TODAY()),"",IF(AND(AT416="",AU416=""),"",N(AU416)-N(AT416)))</f>
        <v/>
      </c>
      <c r="AY416">
        <f>IF(OR(AT$3="",AT$3&gt;TODAY()),"",IF(AND(AW416="",AX416=""),"",N(AX416)-N(AW416)))</f>
        <v/>
      </c>
      <c r="BC416">
        <f>IF(OR(BA$3="",BA$3&gt;TODAY()),"",IF(AND(BA416="",BB416=""),"",N(BB416)-N(BA416)))</f>
        <v/>
      </c>
      <c r="BF416">
        <f>IF(OR(BA$3="",BA$3&gt;TODAY()),"",IF(AND(BD416="",BE416=""),"",N(BE416)-N(BD416)))</f>
        <v/>
      </c>
      <c r="BJ416">
        <f>IF(OR(BH$3="",BH$3&gt;TODAY()),"",IF(AND(BH416="",BI416=""),"",N(BI416)-N(BH416)))</f>
        <v/>
      </c>
      <c r="BM416">
        <f>IF(OR(BH$3="",BH$3&gt;TODAY()),"",IF(AND(BK416="",BL416=""),"",N(BL416)-N(BK416)))</f>
        <v/>
      </c>
      <c r="BQ416">
        <f>IF(OR(BO$3="",BO$3&gt;TODAY()),"",IF(AND(BO416="",BP416=""),"",N(BP416)-N(BO416)))</f>
        <v/>
      </c>
      <c r="BT416">
        <f>IF(OR(BO$3="",BO$3&gt;TODAY()),"",IF(AND(BR416="",BS416=""),"",N(BS416)-N(BR416)))</f>
        <v/>
      </c>
      <c r="BX416">
        <f>IF(OR(BV$3="",BV$3&gt;TODAY()),"",IF(AND(BV416="",BW416=""),"",N(BW416)-N(BV416)))</f>
        <v/>
      </c>
      <c r="CA416">
        <f>IF(OR(BV$3="",BV$3&gt;TODAY()),"",IF(AND(BY416="",BZ416=""),"",N(BZ416)-N(BY416)))</f>
        <v/>
      </c>
      <c r="CE416">
        <f>IF(OR(CC$3="",CC$3&gt;TODAY()),"",IF(AND(CC416="",CD416=""),"",N(CD416)-N(CC416)))</f>
        <v/>
      </c>
      <c r="CH416">
        <f>IF(OR(CC$3="",CC$3&gt;TODAY()),"",IF(AND(CF416="",CG416=""),"",N(CG416)-N(CF416)))</f>
        <v/>
      </c>
      <c r="CL416">
        <f>IF(OR(CJ$3="",CJ$3&gt;TODAY()),"",IF(AND(CJ416="",CK416=""),"",N(CK416)-N(CJ416)))</f>
        <v/>
      </c>
      <c r="CO416">
        <f>IF(OR(CJ$3="",CJ$3&gt;TODAY()),"",IF(AND(CM416="",CN416=""),"",N(CN416)-N(CM416)))</f>
        <v/>
      </c>
      <c r="CS416">
        <f>IF(OR(CQ$3="",CQ$3&gt;TODAY()),"",IF(AND(CQ416="",CR416=""),"",N(CR416)-N(CQ416)))</f>
        <v/>
      </c>
      <c r="CV416">
        <f>IF(OR(CQ$3="",CQ$3&gt;TODAY()),"",IF(AND(CT416="",CU416=""),"",N(CU416)-N(CT416)))</f>
        <v/>
      </c>
      <c r="CZ416">
        <f>IF(OR(CX$3="",CX$3&gt;TODAY()),"",IF(AND(CX416="",CY416=""),"",N(CY416)-N(CX416)))</f>
        <v/>
      </c>
      <c r="DC416">
        <f>IF(OR(CX$3="",CX$3&gt;TODAY()),"",IF(AND(DA416="",DB416=""),"",N(DB416)-N(DA416)))</f>
        <v/>
      </c>
      <c r="DG416">
        <f>IF(OR(DE$3="",DE$3&gt;TODAY()),"",IF(AND(DE416="",DF416=""),"",N(DF416)-N(DE416)))</f>
        <v/>
      </c>
      <c r="DJ416">
        <f>IF(OR(DE$3="",DE$3&gt;TODAY()),"",IF(AND(DH416="",DI416=""),"",N(DI416)-N(DH416)))</f>
        <v/>
      </c>
      <c r="DN416">
        <f>IF(OR(DL$3="",DL$3&gt;TODAY()),"",IF(AND(DL416="",DM416=""),"",N(DM416)-N(DL416)))</f>
        <v/>
      </c>
      <c r="DQ416">
        <f>IF(OR(DL$3="",DL$3&gt;TODAY()),"",IF(AND(DO416="",DP416=""),"",N(DP416)-N(DO416)))</f>
        <v/>
      </c>
      <c r="DU416">
        <f>IF(OR(DS$3="",DS$3&gt;TODAY()),"",IF(AND(DS416="",DT416=""),"",N(DT416)-N(DS416)))</f>
        <v/>
      </c>
      <c r="DX416">
        <f>IF(OR(DS$3="",DS$3&gt;TODAY()),"",IF(AND(DV416="",DW416=""),"",N(DW416)-N(DV416)))</f>
        <v/>
      </c>
      <c r="EB416">
        <f>IF(OR(DZ$3="",DZ$3&gt;TODAY()),"",IF(AND(DZ416="",EA416=""),"",N(EA416)-N(DZ416)))</f>
        <v/>
      </c>
      <c r="EE416">
        <f>IF(OR(DZ$3="",DZ$3&gt;TODAY()),"",IF(AND(EC416="",ED416=""),"",N(ED416)-N(EC416)))</f>
        <v/>
      </c>
      <c r="EI416">
        <f>IF(OR(EG$3="",EG$3&gt;TODAY()),"",IF(AND(EG416="",EH416=""),"",N(EH416)-N(EG416)))</f>
        <v/>
      </c>
      <c r="EL416">
        <f>IF(OR(EG$3="",EG$3&gt;TODAY()),"",IF(AND(EJ416="",EK416=""),"",N(EK416)-N(EJ416)))</f>
        <v/>
      </c>
      <c r="EP416">
        <f>IF(OR(EN$3="",EN$3&gt;TODAY()),"",IF(AND(EN416="",EO416=""),"",N(EO416)-N(EN416)))</f>
        <v/>
      </c>
      <c r="ES416">
        <f>IF(OR(EN$3="",EN$3&gt;TODAY()),"",IF(AND(EQ416="",ER416=""),"",N(ER416)-N(EQ416)))</f>
        <v/>
      </c>
      <c r="EW416">
        <f>IF(OR(EU$3="",EU$3&gt;TODAY()),"",IF(AND(EU416="",EV416=""),"",N(EV416)-N(EU416)))</f>
        <v/>
      </c>
      <c r="EZ416">
        <f>IF(OR(EU$3="",EU$3&gt;TODAY()),"",IF(AND(EX416="",EY416=""),"",N(EY416)-N(EX416)))</f>
        <v/>
      </c>
      <c r="FD416">
        <f>IF(OR(FB$3="",FB$3&gt;TODAY()),"",IF(AND(FB416="",FC416=""),"",N(FC416)-N(FB416)))</f>
        <v/>
      </c>
      <c r="FG416">
        <f>IF(OR(FB$3="",FB$3&gt;TODAY()),"",IF(AND(FE416="",FF416=""),"",N(FF416)-N(FE416)))</f>
        <v/>
      </c>
      <c r="FK416">
        <f>IF(OR(FI$3="",FI$3&gt;TODAY()),"",IF(AND(FI416="",FJ416=""),"",N(FJ416)-N(FI416)))</f>
        <v/>
      </c>
      <c r="FN416">
        <f>IF(OR(FI$3="",FI$3&gt;TODAY()),"",IF(AND(FL416="",FM416=""),"",N(FM416)-N(FL416)))</f>
        <v/>
      </c>
      <c r="FR416">
        <f>IF(OR(FP$3="",FP$3&gt;TODAY()),"",IF(AND(FP416="",FQ416=""),"",N(FQ416)-N(FP416)))</f>
        <v/>
      </c>
      <c r="FU416">
        <f>IF(OR(FP$3="",FP$3&gt;TODAY()),"",IF(AND(FS416="",FT416=""),"",N(FT416)-N(FS416)))</f>
        <v/>
      </c>
      <c r="FY416">
        <f>IF(OR(FW$3="",FW$3&gt;TODAY()),"",IF(AND(FW416="",FX416=""),"",N(FX416)-N(FW416)))</f>
        <v/>
      </c>
      <c r="GB416">
        <f>IF(OR(FW$3="",FW$3&gt;TODAY()),"",IF(AND(FZ416="",GA416=""),"",N(GA416)-N(FZ416)))</f>
        <v/>
      </c>
      <c r="GF416">
        <f>IF(OR(GD$3="",GD$3&gt;TODAY()),"",IF(AND(GD416="",GE416=""),"",N(GE416)-N(GD416)))</f>
        <v/>
      </c>
      <c r="GI416">
        <f>IF(OR(GD$3="",GD$3&gt;TODAY()),"",IF(AND(GG416="",GH416=""),"",N(GH416)-N(GG416)))</f>
        <v/>
      </c>
      <c r="GM416">
        <f>IF(OR(GK$3="",GK$3&gt;TODAY()),"",IF(AND(GK416="",GL416=""),"",N(GL416)-N(GK416)))</f>
        <v/>
      </c>
      <c r="GP416">
        <f>IF(OR(GK$3="",GK$3&gt;TODAY()),"",IF(AND(GN416="",GO416=""),"",N(GO416)-N(GN416)))</f>
        <v/>
      </c>
      <c r="GT416">
        <f>IF(OR(GR$3="",GR$3&gt;TODAY()),"",IF(AND(GR416="",GS416=""),"",N(GS416)-N(GR416)))</f>
        <v/>
      </c>
      <c r="GW416">
        <f>IF(OR(GR$3="",GR$3&gt;TODAY()),"",IF(AND(GU416="",GV416=""),"",N(GV416)-N(GU416)))</f>
        <v/>
      </c>
      <c r="HA416">
        <f>IF(OR(GY$3="",GY$3&gt;TODAY()),"",IF(AND(GY416="",GZ416=""),"",N(GZ416)-N(GY416)))</f>
        <v/>
      </c>
      <c r="HD416">
        <f>IF(OR(GY$3="",GY$3&gt;TODAY()),"",IF(AND(HB416="",HC416=""),"",N(HC416)-N(HB416)))</f>
        <v/>
      </c>
      <c r="HH416">
        <f>IF(OR(HF$3="",HF$3&gt;TODAY()),"",IF(AND(HF416="",HG416=""),"",N(HG416)-N(HF416)))</f>
        <v/>
      </c>
      <c r="HK416">
        <f>IF(OR(HF$3="",HF$3&gt;TODAY()),"",IF(AND(HI416="",HJ416=""),"",N(HJ416)-N(HI416)))</f>
        <v/>
      </c>
      <c r="HO416">
        <f>IF(OR(HM$3="",HM$3&gt;TODAY()),"",IF(AND(HM416="",HN416=""),"",N(HN416)-N(HM416)))</f>
        <v/>
      </c>
      <c r="HR416">
        <f>IF(OR(HM$3="",HM$3&gt;TODAY()),"",IF(AND(HP416="",HQ416=""),"",N(HQ416)-N(HP416)))</f>
        <v/>
      </c>
      <c r="HV416">
        <f>IF(OR(HT$3="",HT$3&gt;TODAY()),"",IF(AND(HT416="",HU416=""),"",N(HU416)-N(HT416)))</f>
        <v/>
      </c>
      <c r="HY416">
        <f>IF(OR(HT$3="",HT$3&gt;TODAY()),"",IF(AND(HW416="",HX416=""),"",N(HX416)-N(HW416)))</f>
        <v/>
      </c>
      <c r="IC416">
        <f>IF(OR(IA$3="",IA$3&gt;TODAY()),"",IF(AND(IA416="",IB416=""),"",N(IB416)-N(IA416)))</f>
        <v/>
      </c>
      <c r="IF416">
        <f>IF(OR(IA$3="",IA$3&gt;TODAY()),"",IF(AND(ID416="",IE416=""),"",N(IE416)-N(ID416)))</f>
        <v/>
      </c>
      <c r="IJ416">
        <f>IF(OR(IH$3="",IH$3&gt;TODAY()),"",IF(AND(IH416="",II416=""),"",N(II416)-N(IH416)))</f>
        <v/>
      </c>
      <c r="IM416">
        <f>IF(OR(IH$3="",IH$3&gt;TODAY()),"",IF(AND(IK416="",IL416=""),"",N(IL416)-N(IK416)))</f>
        <v/>
      </c>
    </row>
    <row r="417">
      <c r="A417" s="21" t="n"/>
      <c r="B417" s="21" t="n"/>
      <c r="C417" s="21" t="n"/>
      <c r="D417" s="21" t="n"/>
      <c r="E417" s="21" t="n"/>
      <c r="F417" s="21" t="n"/>
      <c r="G417" s="21" t="n"/>
      <c r="H417" s="21" t="n"/>
      <c r="I417" s="22" t="n"/>
      <c r="J417" s="22" t="n"/>
      <c r="K417" s="23" t="n"/>
      <c r="L417" s="22" t="n"/>
      <c r="M417" s="22" t="n"/>
      <c r="N417" s="21" t="n"/>
      <c r="O417" s="23" t="n"/>
      <c r="P417" s="23" t="n"/>
      <c r="Q417" s="23" t="n"/>
      <c r="R417" s="23" t="n"/>
      <c r="S417" s="22" t="n"/>
      <c r="T417" s="23" t="n"/>
      <c r="U417" s="23" t="n"/>
      <c r="V417" s="24">
        <f>IF(J417&lt;&gt;"",J417,IF(I417&lt;&gt;"",I417,""))</f>
        <v/>
      </c>
      <c r="W417" s="25">
        <f>IF($E417="","",N(O417)+SUMIFS($AF417:$IN417,$AF$4:$IN$4,"SEW_ACT"))</f>
        <v/>
      </c>
      <c r="X417" s="25">
        <f>IF($E417="","",N(P417)+SUMIFS($AF417:$IN417,$AF$4:$IN$4,"WASH_ACT"))</f>
        <v/>
      </c>
      <c r="Y417" s="25">
        <f>IF($E417="","",W417-X417-N(T417)-N(U417))</f>
        <v/>
      </c>
      <c r="Z417" s="25">
        <f>IF($E417="","",IF(N(K417)-X417&lt;=0.02*N(K417),0,N(K417)-X417))</f>
        <v/>
      </c>
      <c r="AA417" s="24">
        <f>IF($E417="","",IF(S417&lt;&gt;"",S417,IF(N(O417)&gt;0,IF(L417&lt;&gt;"",L417,99999),IFERROR(1/(1/_xlfn.MINIFS($AF$3:$IN$3,$AF$4:$IN$4,"SEW_ACT",$AF417:$IN417,"&gt;0")),99999))))</f>
        <v/>
      </c>
      <c r="AB417" s="26">
        <f>IF(OR($E417="",Z417=0,V417=""),"",1+COUNTIFS(Z$8:Z$707,"&gt;0",V$8:V$707,"&lt;"&amp;V417)+COUNTIFS(Z$8:Z$707,"&gt;0",V$8:V$707,V417,AA$8:AA$707,"&lt;"&amp;AA417)+COUNTIFS(Z$8:Z$707,"&gt;0",V$8:V$707,V417,AA$8:AA$707,AA417,E$8:E$707,"&lt;"&amp;$E417))</f>
        <v/>
      </c>
      <c r="AC417" s="24">
        <f>IF(OR($E417="",Z417=0),"",IFERROR(TODAY()+ROUNDUP(Z417/(SUMIFS($AF417:$IN417,$AF$4:$IN$4,"WASH_ACT")/COUNTIFS($AF$4:$IN$4,"WASH_ACT",$AF417:$IN417,"&gt;0")),0),"no output yet"))</f>
        <v/>
      </c>
      <c r="AD417" s="26">
        <f>IF($E417="","",IFERROR(ROUND(MAX(0,SUMIFS($AF417:$IN417,$AF$4:$IN$4,"SEW_PLAN",$AF$3:$IN$3,"&lt;="&amp;TODAY())-SUMIFS($AF417:$IN417,$AF$4:$IN$4,"SEW_ACT",$AF$3:$IN$3,"&lt;="&amp;TODAY())+N(Q417))/(SUMIFS($AF417:$IN417,$AF$4:$IN$4,"SEW_PLAN")/COUNTIFS($AF$4:$IN$4,"SEW_PLAN",$AF417:$IN417,"&gt;0")),1),0))</f>
        <v/>
      </c>
      <c r="AE417" s="26">
        <f>IF($E417="","",IF(AND(Z417&gt;0,OR(AND(M417&lt;&gt;"",TODAY()&gt;M417),AND(V417&lt;&gt;"",V417-TODAY()&lt;=7))),"Yes","No"))</f>
        <v/>
      </c>
      <c r="AH417">
        <f>IF(OR(AF$3="",AF$3&gt;TODAY()),"",IF(AND(AF417="",AG417=""),"",N(AG417)-N(AF417)))</f>
        <v/>
      </c>
      <c r="AK417">
        <f>IF(OR(AF$3="",AF$3&gt;TODAY()),"",IF(AND(AI417="",AJ417=""),"",N(AJ417)-N(AI417)))</f>
        <v/>
      </c>
      <c r="AO417">
        <f>IF(OR(AM$3="",AM$3&gt;TODAY()),"",IF(AND(AM417="",AN417=""),"",N(AN417)-N(AM417)))</f>
        <v/>
      </c>
      <c r="AR417">
        <f>IF(OR(AM$3="",AM$3&gt;TODAY()),"",IF(AND(AP417="",AQ417=""),"",N(AQ417)-N(AP417)))</f>
        <v/>
      </c>
      <c r="AV417">
        <f>IF(OR(AT$3="",AT$3&gt;TODAY()),"",IF(AND(AT417="",AU417=""),"",N(AU417)-N(AT417)))</f>
        <v/>
      </c>
      <c r="AY417">
        <f>IF(OR(AT$3="",AT$3&gt;TODAY()),"",IF(AND(AW417="",AX417=""),"",N(AX417)-N(AW417)))</f>
        <v/>
      </c>
      <c r="BC417">
        <f>IF(OR(BA$3="",BA$3&gt;TODAY()),"",IF(AND(BA417="",BB417=""),"",N(BB417)-N(BA417)))</f>
        <v/>
      </c>
      <c r="BF417">
        <f>IF(OR(BA$3="",BA$3&gt;TODAY()),"",IF(AND(BD417="",BE417=""),"",N(BE417)-N(BD417)))</f>
        <v/>
      </c>
      <c r="BJ417">
        <f>IF(OR(BH$3="",BH$3&gt;TODAY()),"",IF(AND(BH417="",BI417=""),"",N(BI417)-N(BH417)))</f>
        <v/>
      </c>
      <c r="BM417">
        <f>IF(OR(BH$3="",BH$3&gt;TODAY()),"",IF(AND(BK417="",BL417=""),"",N(BL417)-N(BK417)))</f>
        <v/>
      </c>
      <c r="BQ417">
        <f>IF(OR(BO$3="",BO$3&gt;TODAY()),"",IF(AND(BO417="",BP417=""),"",N(BP417)-N(BO417)))</f>
        <v/>
      </c>
      <c r="BT417">
        <f>IF(OR(BO$3="",BO$3&gt;TODAY()),"",IF(AND(BR417="",BS417=""),"",N(BS417)-N(BR417)))</f>
        <v/>
      </c>
      <c r="BX417">
        <f>IF(OR(BV$3="",BV$3&gt;TODAY()),"",IF(AND(BV417="",BW417=""),"",N(BW417)-N(BV417)))</f>
        <v/>
      </c>
      <c r="CA417">
        <f>IF(OR(BV$3="",BV$3&gt;TODAY()),"",IF(AND(BY417="",BZ417=""),"",N(BZ417)-N(BY417)))</f>
        <v/>
      </c>
      <c r="CE417">
        <f>IF(OR(CC$3="",CC$3&gt;TODAY()),"",IF(AND(CC417="",CD417=""),"",N(CD417)-N(CC417)))</f>
        <v/>
      </c>
      <c r="CH417">
        <f>IF(OR(CC$3="",CC$3&gt;TODAY()),"",IF(AND(CF417="",CG417=""),"",N(CG417)-N(CF417)))</f>
        <v/>
      </c>
      <c r="CL417">
        <f>IF(OR(CJ$3="",CJ$3&gt;TODAY()),"",IF(AND(CJ417="",CK417=""),"",N(CK417)-N(CJ417)))</f>
        <v/>
      </c>
      <c r="CO417">
        <f>IF(OR(CJ$3="",CJ$3&gt;TODAY()),"",IF(AND(CM417="",CN417=""),"",N(CN417)-N(CM417)))</f>
        <v/>
      </c>
      <c r="CS417">
        <f>IF(OR(CQ$3="",CQ$3&gt;TODAY()),"",IF(AND(CQ417="",CR417=""),"",N(CR417)-N(CQ417)))</f>
        <v/>
      </c>
      <c r="CV417">
        <f>IF(OR(CQ$3="",CQ$3&gt;TODAY()),"",IF(AND(CT417="",CU417=""),"",N(CU417)-N(CT417)))</f>
        <v/>
      </c>
      <c r="CZ417">
        <f>IF(OR(CX$3="",CX$3&gt;TODAY()),"",IF(AND(CX417="",CY417=""),"",N(CY417)-N(CX417)))</f>
        <v/>
      </c>
      <c r="DC417">
        <f>IF(OR(CX$3="",CX$3&gt;TODAY()),"",IF(AND(DA417="",DB417=""),"",N(DB417)-N(DA417)))</f>
        <v/>
      </c>
      <c r="DG417">
        <f>IF(OR(DE$3="",DE$3&gt;TODAY()),"",IF(AND(DE417="",DF417=""),"",N(DF417)-N(DE417)))</f>
        <v/>
      </c>
      <c r="DJ417">
        <f>IF(OR(DE$3="",DE$3&gt;TODAY()),"",IF(AND(DH417="",DI417=""),"",N(DI417)-N(DH417)))</f>
        <v/>
      </c>
      <c r="DN417">
        <f>IF(OR(DL$3="",DL$3&gt;TODAY()),"",IF(AND(DL417="",DM417=""),"",N(DM417)-N(DL417)))</f>
        <v/>
      </c>
      <c r="DQ417">
        <f>IF(OR(DL$3="",DL$3&gt;TODAY()),"",IF(AND(DO417="",DP417=""),"",N(DP417)-N(DO417)))</f>
        <v/>
      </c>
      <c r="DU417">
        <f>IF(OR(DS$3="",DS$3&gt;TODAY()),"",IF(AND(DS417="",DT417=""),"",N(DT417)-N(DS417)))</f>
        <v/>
      </c>
      <c r="DX417">
        <f>IF(OR(DS$3="",DS$3&gt;TODAY()),"",IF(AND(DV417="",DW417=""),"",N(DW417)-N(DV417)))</f>
        <v/>
      </c>
      <c r="EB417">
        <f>IF(OR(DZ$3="",DZ$3&gt;TODAY()),"",IF(AND(DZ417="",EA417=""),"",N(EA417)-N(DZ417)))</f>
        <v/>
      </c>
      <c r="EE417">
        <f>IF(OR(DZ$3="",DZ$3&gt;TODAY()),"",IF(AND(EC417="",ED417=""),"",N(ED417)-N(EC417)))</f>
        <v/>
      </c>
      <c r="EI417">
        <f>IF(OR(EG$3="",EG$3&gt;TODAY()),"",IF(AND(EG417="",EH417=""),"",N(EH417)-N(EG417)))</f>
        <v/>
      </c>
      <c r="EL417">
        <f>IF(OR(EG$3="",EG$3&gt;TODAY()),"",IF(AND(EJ417="",EK417=""),"",N(EK417)-N(EJ417)))</f>
        <v/>
      </c>
      <c r="EP417">
        <f>IF(OR(EN$3="",EN$3&gt;TODAY()),"",IF(AND(EN417="",EO417=""),"",N(EO417)-N(EN417)))</f>
        <v/>
      </c>
      <c r="ES417">
        <f>IF(OR(EN$3="",EN$3&gt;TODAY()),"",IF(AND(EQ417="",ER417=""),"",N(ER417)-N(EQ417)))</f>
        <v/>
      </c>
      <c r="EW417">
        <f>IF(OR(EU$3="",EU$3&gt;TODAY()),"",IF(AND(EU417="",EV417=""),"",N(EV417)-N(EU417)))</f>
        <v/>
      </c>
      <c r="EZ417">
        <f>IF(OR(EU$3="",EU$3&gt;TODAY()),"",IF(AND(EX417="",EY417=""),"",N(EY417)-N(EX417)))</f>
        <v/>
      </c>
      <c r="FD417">
        <f>IF(OR(FB$3="",FB$3&gt;TODAY()),"",IF(AND(FB417="",FC417=""),"",N(FC417)-N(FB417)))</f>
        <v/>
      </c>
      <c r="FG417">
        <f>IF(OR(FB$3="",FB$3&gt;TODAY()),"",IF(AND(FE417="",FF417=""),"",N(FF417)-N(FE417)))</f>
        <v/>
      </c>
      <c r="FK417">
        <f>IF(OR(FI$3="",FI$3&gt;TODAY()),"",IF(AND(FI417="",FJ417=""),"",N(FJ417)-N(FI417)))</f>
        <v/>
      </c>
      <c r="FN417">
        <f>IF(OR(FI$3="",FI$3&gt;TODAY()),"",IF(AND(FL417="",FM417=""),"",N(FM417)-N(FL417)))</f>
        <v/>
      </c>
      <c r="FR417">
        <f>IF(OR(FP$3="",FP$3&gt;TODAY()),"",IF(AND(FP417="",FQ417=""),"",N(FQ417)-N(FP417)))</f>
        <v/>
      </c>
      <c r="FU417">
        <f>IF(OR(FP$3="",FP$3&gt;TODAY()),"",IF(AND(FS417="",FT417=""),"",N(FT417)-N(FS417)))</f>
        <v/>
      </c>
      <c r="FY417">
        <f>IF(OR(FW$3="",FW$3&gt;TODAY()),"",IF(AND(FW417="",FX417=""),"",N(FX417)-N(FW417)))</f>
        <v/>
      </c>
      <c r="GB417">
        <f>IF(OR(FW$3="",FW$3&gt;TODAY()),"",IF(AND(FZ417="",GA417=""),"",N(GA417)-N(FZ417)))</f>
        <v/>
      </c>
      <c r="GF417">
        <f>IF(OR(GD$3="",GD$3&gt;TODAY()),"",IF(AND(GD417="",GE417=""),"",N(GE417)-N(GD417)))</f>
        <v/>
      </c>
      <c r="GI417">
        <f>IF(OR(GD$3="",GD$3&gt;TODAY()),"",IF(AND(GG417="",GH417=""),"",N(GH417)-N(GG417)))</f>
        <v/>
      </c>
      <c r="GM417">
        <f>IF(OR(GK$3="",GK$3&gt;TODAY()),"",IF(AND(GK417="",GL417=""),"",N(GL417)-N(GK417)))</f>
        <v/>
      </c>
      <c r="GP417">
        <f>IF(OR(GK$3="",GK$3&gt;TODAY()),"",IF(AND(GN417="",GO417=""),"",N(GO417)-N(GN417)))</f>
        <v/>
      </c>
      <c r="GT417">
        <f>IF(OR(GR$3="",GR$3&gt;TODAY()),"",IF(AND(GR417="",GS417=""),"",N(GS417)-N(GR417)))</f>
        <v/>
      </c>
      <c r="GW417">
        <f>IF(OR(GR$3="",GR$3&gt;TODAY()),"",IF(AND(GU417="",GV417=""),"",N(GV417)-N(GU417)))</f>
        <v/>
      </c>
      <c r="HA417">
        <f>IF(OR(GY$3="",GY$3&gt;TODAY()),"",IF(AND(GY417="",GZ417=""),"",N(GZ417)-N(GY417)))</f>
        <v/>
      </c>
      <c r="HD417">
        <f>IF(OR(GY$3="",GY$3&gt;TODAY()),"",IF(AND(HB417="",HC417=""),"",N(HC417)-N(HB417)))</f>
        <v/>
      </c>
      <c r="HH417">
        <f>IF(OR(HF$3="",HF$3&gt;TODAY()),"",IF(AND(HF417="",HG417=""),"",N(HG417)-N(HF417)))</f>
        <v/>
      </c>
      <c r="HK417">
        <f>IF(OR(HF$3="",HF$3&gt;TODAY()),"",IF(AND(HI417="",HJ417=""),"",N(HJ417)-N(HI417)))</f>
        <v/>
      </c>
      <c r="HO417">
        <f>IF(OR(HM$3="",HM$3&gt;TODAY()),"",IF(AND(HM417="",HN417=""),"",N(HN417)-N(HM417)))</f>
        <v/>
      </c>
      <c r="HR417">
        <f>IF(OR(HM$3="",HM$3&gt;TODAY()),"",IF(AND(HP417="",HQ417=""),"",N(HQ417)-N(HP417)))</f>
        <v/>
      </c>
      <c r="HV417">
        <f>IF(OR(HT$3="",HT$3&gt;TODAY()),"",IF(AND(HT417="",HU417=""),"",N(HU417)-N(HT417)))</f>
        <v/>
      </c>
      <c r="HY417">
        <f>IF(OR(HT$3="",HT$3&gt;TODAY()),"",IF(AND(HW417="",HX417=""),"",N(HX417)-N(HW417)))</f>
        <v/>
      </c>
      <c r="IC417">
        <f>IF(OR(IA$3="",IA$3&gt;TODAY()),"",IF(AND(IA417="",IB417=""),"",N(IB417)-N(IA417)))</f>
        <v/>
      </c>
      <c r="IF417">
        <f>IF(OR(IA$3="",IA$3&gt;TODAY()),"",IF(AND(ID417="",IE417=""),"",N(IE417)-N(ID417)))</f>
        <v/>
      </c>
      <c r="IJ417">
        <f>IF(OR(IH$3="",IH$3&gt;TODAY()),"",IF(AND(IH417="",II417=""),"",N(II417)-N(IH417)))</f>
        <v/>
      </c>
      <c r="IM417">
        <f>IF(OR(IH$3="",IH$3&gt;TODAY()),"",IF(AND(IK417="",IL417=""),"",N(IL417)-N(IK417)))</f>
        <v/>
      </c>
    </row>
    <row r="418">
      <c r="A418" s="21" t="n"/>
      <c r="B418" s="21" t="n"/>
      <c r="C418" s="21" t="n"/>
      <c r="D418" s="21" t="n"/>
      <c r="E418" s="21" t="n"/>
      <c r="F418" s="21" t="n"/>
      <c r="G418" s="21" t="n"/>
      <c r="H418" s="21" t="n"/>
      <c r="I418" s="22" t="n"/>
      <c r="J418" s="22" t="n"/>
      <c r="K418" s="23" t="n"/>
      <c r="L418" s="22" t="n"/>
      <c r="M418" s="22" t="n"/>
      <c r="N418" s="21" t="n"/>
      <c r="O418" s="23" t="n"/>
      <c r="P418" s="23" t="n"/>
      <c r="Q418" s="23" t="n"/>
      <c r="R418" s="23" t="n"/>
      <c r="S418" s="22" t="n"/>
      <c r="T418" s="23" t="n"/>
      <c r="U418" s="23" t="n"/>
      <c r="V418" s="24">
        <f>IF(J418&lt;&gt;"",J418,IF(I418&lt;&gt;"",I418,""))</f>
        <v/>
      </c>
      <c r="W418" s="25">
        <f>IF($E418="","",N(O418)+SUMIFS($AF418:$IN418,$AF$4:$IN$4,"SEW_ACT"))</f>
        <v/>
      </c>
      <c r="X418" s="25">
        <f>IF($E418="","",N(P418)+SUMIFS($AF418:$IN418,$AF$4:$IN$4,"WASH_ACT"))</f>
        <v/>
      </c>
      <c r="Y418" s="25">
        <f>IF($E418="","",W418-X418-N(T418)-N(U418))</f>
        <v/>
      </c>
      <c r="Z418" s="25">
        <f>IF($E418="","",IF(N(K418)-X418&lt;=0.02*N(K418),0,N(K418)-X418))</f>
        <v/>
      </c>
      <c r="AA418" s="24">
        <f>IF($E418="","",IF(S418&lt;&gt;"",S418,IF(N(O418)&gt;0,IF(L418&lt;&gt;"",L418,99999),IFERROR(1/(1/_xlfn.MINIFS($AF$3:$IN$3,$AF$4:$IN$4,"SEW_ACT",$AF418:$IN418,"&gt;0")),99999))))</f>
        <v/>
      </c>
      <c r="AB418" s="26">
        <f>IF(OR($E418="",Z418=0,V418=""),"",1+COUNTIFS(Z$8:Z$707,"&gt;0",V$8:V$707,"&lt;"&amp;V418)+COUNTIFS(Z$8:Z$707,"&gt;0",V$8:V$707,V418,AA$8:AA$707,"&lt;"&amp;AA418)+COUNTIFS(Z$8:Z$707,"&gt;0",V$8:V$707,V418,AA$8:AA$707,AA418,E$8:E$707,"&lt;"&amp;$E418))</f>
        <v/>
      </c>
      <c r="AC418" s="24">
        <f>IF(OR($E418="",Z418=0),"",IFERROR(TODAY()+ROUNDUP(Z418/(SUMIFS($AF418:$IN418,$AF$4:$IN$4,"WASH_ACT")/COUNTIFS($AF$4:$IN$4,"WASH_ACT",$AF418:$IN418,"&gt;0")),0),"no output yet"))</f>
        <v/>
      </c>
      <c r="AD418" s="26">
        <f>IF($E418="","",IFERROR(ROUND(MAX(0,SUMIFS($AF418:$IN418,$AF$4:$IN$4,"SEW_PLAN",$AF$3:$IN$3,"&lt;="&amp;TODAY())-SUMIFS($AF418:$IN418,$AF$4:$IN$4,"SEW_ACT",$AF$3:$IN$3,"&lt;="&amp;TODAY())+N(Q418))/(SUMIFS($AF418:$IN418,$AF$4:$IN$4,"SEW_PLAN")/COUNTIFS($AF$4:$IN$4,"SEW_PLAN",$AF418:$IN418,"&gt;0")),1),0))</f>
        <v/>
      </c>
      <c r="AE418" s="26">
        <f>IF($E418="","",IF(AND(Z418&gt;0,OR(AND(M418&lt;&gt;"",TODAY()&gt;M418),AND(V418&lt;&gt;"",V418-TODAY()&lt;=7))),"Yes","No"))</f>
        <v/>
      </c>
      <c r="AH418">
        <f>IF(OR(AF$3="",AF$3&gt;TODAY()),"",IF(AND(AF418="",AG418=""),"",N(AG418)-N(AF418)))</f>
        <v/>
      </c>
      <c r="AK418">
        <f>IF(OR(AF$3="",AF$3&gt;TODAY()),"",IF(AND(AI418="",AJ418=""),"",N(AJ418)-N(AI418)))</f>
        <v/>
      </c>
      <c r="AO418">
        <f>IF(OR(AM$3="",AM$3&gt;TODAY()),"",IF(AND(AM418="",AN418=""),"",N(AN418)-N(AM418)))</f>
        <v/>
      </c>
      <c r="AR418">
        <f>IF(OR(AM$3="",AM$3&gt;TODAY()),"",IF(AND(AP418="",AQ418=""),"",N(AQ418)-N(AP418)))</f>
        <v/>
      </c>
      <c r="AV418">
        <f>IF(OR(AT$3="",AT$3&gt;TODAY()),"",IF(AND(AT418="",AU418=""),"",N(AU418)-N(AT418)))</f>
        <v/>
      </c>
      <c r="AY418">
        <f>IF(OR(AT$3="",AT$3&gt;TODAY()),"",IF(AND(AW418="",AX418=""),"",N(AX418)-N(AW418)))</f>
        <v/>
      </c>
      <c r="BC418">
        <f>IF(OR(BA$3="",BA$3&gt;TODAY()),"",IF(AND(BA418="",BB418=""),"",N(BB418)-N(BA418)))</f>
        <v/>
      </c>
      <c r="BF418">
        <f>IF(OR(BA$3="",BA$3&gt;TODAY()),"",IF(AND(BD418="",BE418=""),"",N(BE418)-N(BD418)))</f>
        <v/>
      </c>
      <c r="BJ418">
        <f>IF(OR(BH$3="",BH$3&gt;TODAY()),"",IF(AND(BH418="",BI418=""),"",N(BI418)-N(BH418)))</f>
        <v/>
      </c>
      <c r="BM418">
        <f>IF(OR(BH$3="",BH$3&gt;TODAY()),"",IF(AND(BK418="",BL418=""),"",N(BL418)-N(BK418)))</f>
        <v/>
      </c>
      <c r="BQ418">
        <f>IF(OR(BO$3="",BO$3&gt;TODAY()),"",IF(AND(BO418="",BP418=""),"",N(BP418)-N(BO418)))</f>
        <v/>
      </c>
      <c r="BT418">
        <f>IF(OR(BO$3="",BO$3&gt;TODAY()),"",IF(AND(BR418="",BS418=""),"",N(BS418)-N(BR418)))</f>
        <v/>
      </c>
      <c r="BX418">
        <f>IF(OR(BV$3="",BV$3&gt;TODAY()),"",IF(AND(BV418="",BW418=""),"",N(BW418)-N(BV418)))</f>
        <v/>
      </c>
      <c r="CA418">
        <f>IF(OR(BV$3="",BV$3&gt;TODAY()),"",IF(AND(BY418="",BZ418=""),"",N(BZ418)-N(BY418)))</f>
        <v/>
      </c>
      <c r="CE418">
        <f>IF(OR(CC$3="",CC$3&gt;TODAY()),"",IF(AND(CC418="",CD418=""),"",N(CD418)-N(CC418)))</f>
        <v/>
      </c>
      <c r="CH418">
        <f>IF(OR(CC$3="",CC$3&gt;TODAY()),"",IF(AND(CF418="",CG418=""),"",N(CG418)-N(CF418)))</f>
        <v/>
      </c>
      <c r="CL418">
        <f>IF(OR(CJ$3="",CJ$3&gt;TODAY()),"",IF(AND(CJ418="",CK418=""),"",N(CK418)-N(CJ418)))</f>
        <v/>
      </c>
      <c r="CO418">
        <f>IF(OR(CJ$3="",CJ$3&gt;TODAY()),"",IF(AND(CM418="",CN418=""),"",N(CN418)-N(CM418)))</f>
        <v/>
      </c>
      <c r="CS418">
        <f>IF(OR(CQ$3="",CQ$3&gt;TODAY()),"",IF(AND(CQ418="",CR418=""),"",N(CR418)-N(CQ418)))</f>
        <v/>
      </c>
      <c r="CV418">
        <f>IF(OR(CQ$3="",CQ$3&gt;TODAY()),"",IF(AND(CT418="",CU418=""),"",N(CU418)-N(CT418)))</f>
        <v/>
      </c>
      <c r="CZ418">
        <f>IF(OR(CX$3="",CX$3&gt;TODAY()),"",IF(AND(CX418="",CY418=""),"",N(CY418)-N(CX418)))</f>
        <v/>
      </c>
      <c r="DC418">
        <f>IF(OR(CX$3="",CX$3&gt;TODAY()),"",IF(AND(DA418="",DB418=""),"",N(DB418)-N(DA418)))</f>
        <v/>
      </c>
      <c r="DG418">
        <f>IF(OR(DE$3="",DE$3&gt;TODAY()),"",IF(AND(DE418="",DF418=""),"",N(DF418)-N(DE418)))</f>
        <v/>
      </c>
      <c r="DJ418">
        <f>IF(OR(DE$3="",DE$3&gt;TODAY()),"",IF(AND(DH418="",DI418=""),"",N(DI418)-N(DH418)))</f>
        <v/>
      </c>
      <c r="DN418">
        <f>IF(OR(DL$3="",DL$3&gt;TODAY()),"",IF(AND(DL418="",DM418=""),"",N(DM418)-N(DL418)))</f>
        <v/>
      </c>
      <c r="DQ418">
        <f>IF(OR(DL$3="",DL$3&gt;TODAY()),"",IF(AND(DO418="",DP418=""),"",N(DP418)-N(DO418)))</f>
        <v/>
      </c>
      <c r="DU418">
        <f>IF(OR(DS$3="",DS$3&gt;TODAY()),"",IF(AND(DS418="",DT418=""),"",N(DT418)-N(DS418)))</f>
        <v/>
      </c>
      <c r="DX418">
        <f>IF(OR(DS$3="",DS$3&gt;TODAY()),"",IF(AND(DV418="",DW418=""),"",N(DW418)-N(DV418)))</f>
        <v/>
      </c>
      <c r="EB418">
        <f>IF(OR(DZ$3="",DZ$3&gt;TODAY()),"",IF(AND(DZ418="",EA418=""),"",N(EA418)-N(DZ418)))</f>
        <v/>
      </c>
      <c r="EE418">
        <f>IF(OR(DZ$3="",DZ$3&gt;TODAY()),"",IF(AND(EC418="",ED418=""),"",N(ED418)-N(EC418)))</f>
        <v/>
      </c>
      <c r="EI418">
        <f>IF(OR(EG$3="",EG$3&gt;TODAY()),"",IF(AND(EG418="",EH418=""),"",N(EH418)-N(EG418)))</f>
        <v/>
      </c>
      <c r="EL418">
        <f>IF(OR(EG$3="",EG$3&gt;TODAY()),"",IF(AND(EJ418="",EK418=""),"",N(EK418)-N(EJ418)))</f>
        <v/>
      </c>
      <c r="EP418">
        <f>IF(OR(EN$3="",EN$3&gt;TODAY()),"",IF(AND(EN418="",EO418=""),"",N(EO418)-N(EN418)))</f>
        <v/>
      </c>
      <c r="ES418">
        <f>IF(OR(EN$3="",EN$3&gt;TODAY()),"",IF(AND(EQ418="",ER418=""),"",N(ER418)-N(EQ418)))</f>
        <v/>
      </c>
      <c r="EW418">
        <f>IF(OR(EU$3="",EU$3&gt;TODAY()),"",IF(AND(EU418="",EV418=""),"",N(EV418)-N(EU418)))</f>
        <v/>
      </c>
      <c r="EZ418">
        <f>IF(OR(EU$3="",EU$3&gt;TODAY()),"",IF(AND(EX418="",EY418=""),"",N(EY418)-N(EX418)))</f>
        <v/>
      </c>
      <c r="FD418">
        <f>IF(OR(FB$3="",FB$3&gt;TODAY()),"",IF(AND(FB418="",FC418=""),"",N(FC418)-N(FB418)))</f>
        <v/>
      </c>
      <c r="FG418">
        <f>IF(OR(FB$3="",FB$3&gt;TODAY()),"",IF(AND(FE418="",FF418=""),"",N(FF418)-N(FE418)))</f>
        <v/>
      </c>
      <c r="FK418">
        <f>IF(OR(FI$3="",FI$3&gt;TODAY()),"",IF(AND(FI418="",FJ418=""),"",N(FJ418)-N(FI418)))</f>
        <v/>
      </c>
      <c r="FN418">
        <f>IF(OR(FI$3="",FI$3&gt;TODAY()),"",IF(AND(FL418="",FM418=""),"",N(FM418)-N(FL418)))</f>
        <v/>
      </c>
      <c r="FR418">
        <f>IF(OR(FP$3="",FP$3&gt;TODAY()),"",IF(AND(FP418="",FQ418=""),"",N(FQ418)-N(FP418)))</f>
        <v/>
      </c>
      <c r="FU418">
        <f>IF(OR(FP$3="",FP$3&gt;TODAY()),"",IF(AND(FS418="",FT418=""),"",N(FT418)-N(FS418)))</f>
        <v/>
      </c>
      <c r="FY418">
        <f>IF(OR(FW$3="",FW$3&gt;TODAY()),"",IF(AND(FW418="",FX418=""),"",N(FX418)-N(FW418)))</f>
        <v/>
      </c>
      <c r="GB418">
        <f>IF(OR(FW$3="",FW$3&gt;TODAY()),"",IF(AND(FZ418="",GA418=""),"",N(GA418)-N(FZ418)))</f>
        <v/>
      </c>
      <c r="GF418">
        <f>IF(OR(GD$3="",GD$3&gt;TODAY()),"",IF(AND(GD418="",GE418=""),"",N(GE418)-N(GD418)))</f>
        <v/>
      </c>
      <c r="GI418">
        <f>IF(OR(GD$3="",GD$3&gt;TODAY()),"",IF(AND(GG418="",GH418=""),"",N(GH418)-N(GG418)))</f>
        <v/>
      </c>
      <c r="GM418">
        <f>IF(OR(GK$3="",GK$3&gt;TODAY()),"",IF(AND(GK418="",GL418=""),"",N(GL418)-N(GK418)))</f>
        <v/>
      </c>
      <c r="GP418">
        <f>IF(OR(GK$3="",GK$3&gt;TODAY()),"",IF(AND(GN418="",GO418=""),"",N(GO418)-N(GN418)))</f>
        <v/>
      </c>
      <c r="GT418">
        <f>IF(OR(GR$3="",GR$3&gt;TODAY()),"",IF(AND(GR418="",GS418=""),"",N(GS418)-N(GR418)))</f>
        <v/>
      </c>
      <c r="GW418">
        <f>IF(OR(GR$3="",GR$3&gt;TODAY()),"",IF(AND(GU418="",GV418=""),"",N(GV418)-N(GU418)))</f>
        <v/>
      </c>
      <c r="HA418">
        <f>IF(OR(GY$3="",GY$3&gt;TODAY()),"",IF(AND(GY418="",GZ418=""),"",N(GZ418)-N(GY418)))</f>
        <v/>
      </c>
      <c r="HD418">
        <f>IF(OR(GY$3="",GY$3&gt;TODAY()),"",IF(AND(HB418="",HC418=""),"",N(HC418)-N(HB418)))</f>
        <v/>
      </c>
      <c r="HH418">
        <f>IF(OR(HF$3="",HF$3&gt;TODAY()),"",IF(AND(HF418="",HG418=""),"",N(HG418)-N(HF418)))</f>
        <v/>
      </c>
      <c r="HK418">
        <f>IF(OR(HF$3="",HF$3&gt;TODAY()),"",IF(AND(HI418="",HJ418=""),"",N(HJ418)-N(HI418)))</f>
        <v/>
      </c>
      <c r="HO418">
        <f>IF(OR(HM$3="",HM$3&gt;TODAY()),"",IF(AND(HM418="",HN418=""),"",N(HN418)-N(HM418)))</f>
        <v/>
      </c>
      <c r="HR418">
        <f>IF(OR(HM$3="",HM$3&gt;TODAY()),"",IF(AND(HP418="",HQ418=""),"",N(HQ418)-N(HP418)))</f>
        <v/>
      </c>
      <c r="HV418">
        <f>IF(OR(HT$3="",HT$3&gt;TODAY()),"",IF(AND(HT418="",HU418=""),"",N(HU418)-N(HT418)))</f>
        <v/>
      </c>
      <c r="HY418">
        <f>IF(OR(HT$3="",HT$3&gt;TODAY()),"",IF(AND(HW418="",HX418=""),"",N(HX418)-N(HW418)))</f>
        <v/>
      </c>
      <c r="IC418">
        <f>IF(OR(IA$3="",IA$3&gt;TODAY()),"",IF(AND(IA418="",IB418=""),"",N(IB418)-N(IA418)))</f>
        <v/>
      </c>
      <c r="IF418">
        <f>IF(OR(IA$3="",IA$3&gt;TODAY()),"",IF(AND(ID418="",IE418=""),"",N(IE418)-N(ID418)))</f>
        <v/>
      </c>
      <c r="IJ418">
        <f>IF(OR(IH$3="",IH$3&gt;TODAY()),"",IF(AND(IH418="",II418=""),"",N(II418)-N(IH418)))</f>
        <v/>
      </c>
      <c r="IM418">
        <f>IF(OR(IH$3="",IH$3&gt;TODAY()),"",IF(AND(IK418="",IL418=""),"",N(IL418)-N(IK418)))</f>
        <v/>
      </c>
    </row>
    <row r="419">
      <c r="A419" s="21" t="n"/>
      <c r="B419" s="21" t="n"/>
      <c r="C419" s="21" t="n"/>
      <c r="D419" s="21" t="n"/>
      <c r="E419" s="21" t="n"/>
      <c r="F419" s="21" t="n"/>
      <c r="G419" s="21" t="n"/>
      <c r="H419" s="21" t="n"/>
      <c r="I419" s="22" t="n"/>
      <c r="J419" s="22" t="n"/>
      <c r="K419" s="23" t="n"/>
      <c r="L419" s="22" t="n"/>
      <c r="M419" s="22" t="n"/>
      <c r="N419" s="21" t="n"/>
      <c r="O419" s="23" t="n"/>
      <c r="P419" s="23" t="n"/>
      <c r="Q419" s="23" t="n"/>
      <c r="R419" s="23" t="n"/>
      <c r="S419" s="22" t="n"/>
      <c r="T419" s="23" t="n"/>
      <c r="U419" s="23" t="n"/>
      <c r="V419" s="24">
        <f>IF(J419&lt;&gt;"",J419,IF(I419&lt;&gt;"",I419,""))</f>
        <v/>
      </c>
      <c r="W419" s="25">
        <f>IF($E419="","",N(O419)+SUMIFS($AF419:$IN419,$AF$4:$IN$4,"SEW_ACT"))</f>
        <v/>
      </c>
      <c r="X419" s="25">
        <f>IF($E419="","",N(P419)+SUMIFS($AF419:$IN419,$AF$4:$IN$4,"WASH_ACT"))</f>
        <v/>
      </c>
      <c r="Y419" s="25">
        <f>IF($E419="","",W419-X419-N(T419)-N(U419))</f>
        <v/>
      </c>
      <c r="Z419" s="25">
        <f>IF($E419="","",IF(N(K419)-X419&lt;=0.02*N(K419),0,N(K419)-X419))</f>
        <v/>
      </c>
      <c r="AA419" s="24">
        <f>IF($E419="","",IF(S419&lt;&gt;"",S419,IF(N(O419)&gt;0,IF(L419&lt;&gt;"",L419,99999),IFERROR(1/(1/_xlfn.MINIFS($AF$3:$IN$3,$AF$4:$IN$4,"SEW_ACT",$AF419:$IN419,"&gt;0")),99999))))</f>
        <v/>
      </c>
      <c r="AB419" s="26">
        <f>IF(OR($E419="",Z419=0,V419=""),"",1+COUNTIFS(Z$8:Z$707,"&gt;0",V$8:V$707,"&lt;"&amp;V419)+COUNTIFS(Z$8:Z$707,"&gt;0",V$8:V$707,V419,AA$8:AA$707,"&lt;"&amp;AA419)+COUNTIFS(Z$8:Z$707,"&gt;0",V$8:V$707,V419,AA$8:AA$707,AA419,E$8:E$707,"&lt;"&amp;$E419))</f>
        <v/>
      </c>
      <c r="AC419" s="24">
        <f>IF(OR($E419="",Z419=0),"",IFERROR(TODAY()+ROUNDUP(Z419/(SUMIFS($AF419:$IN419,$AF$4:$IN$4,"WASH_ACT")/COUNTIFS($AF$4:$IN$4,"WASH_ACT",$AF419:$IN419,"&gt;0")),0),"no output yet"))</f>
        <v/>
      </c>
      <c r="AD419" s="26">
        <f>IF($E419="","",IFERROR(ROUND(MAX(0,SUMIFS($AF419:$IN419,$AF$4:$IN$4,"SEW_PLAN",$AF$3:$IN$3,"&lt;="&amp;TODAY())-SUMIFS($AF419:$IN419,$AF$4:$IN$4,"SEW_ACT",$AF$3:$IN$3,"&lt;="&amp;TODAY())+N(Q419))/(SUMIFS($AF419:$IN419,$AF$4:$IN$4,"SEW_PLAN")/COUNTIFS($AF$4:$IN$4,"SEW_PLAN",$AF419:$IN419,"&gt;0")),1),0))</f>
        <v/>
      </c>
      <c r="AE419" s="26">
        <f>IF($E419="","",IF(AND(Z419&gt;0,OR(AND(M419&lt;&gt;"",TODAY()&gt;M419),AND(V419&lt;&gt;"",V419-TODAY()&lt;=7))),"Yes","No"))</f>
        <v/>
      </c>
      <c r="AH419">
        <f>IF(OR(AF$3="",AF$3&gt;TODAY()),"",IF(AND(AF419="",AG419=""),"",N(AG419)-N(AF419)))</f>
        <v/>
      </c>
      <c r="AK419">
        <f>IF(OR(AF$3="",AF$3&gt;TODAY()),"",IF(AND(AI419="",AJ419=""),"",N(AJ419)-N(AI419)))</f>
        <v/>
      </c>
      <c r="AO419">
        <f>IF(OR(AM$3="",AM$3&gt;TODAY()),"",IF(AND(AM419="",AN419=""),"",N(AN419)-N(AM419)))</f>
        <v/>
      </c>
      <c r="AR419">
        <f>IF(OR(AM$3="",AM$3&gt;TODAY()),"",IF(AND(AP419="",AQ419=""),"",N(AQ419)-N(AP419)))</f>
        <v/>
      </c>
      <c r="AV419">
        <f>IF(OR(AT$3="",AT$3&gt;TODAY()),"",IF(AND(AT419="",AU419=""),"",N(AU419)-N(AT419)))</f>
        <v/>
      </c>
      <c r="AY419">
        <f>IF(OR(AT$3="",AT$3&gt;TODAY()),"",IF(AND(AW419="",AX419=""),"",N(AX419)-N(AW419)))</f>
        <v/>
      </c>
      <c r="BC419">
        <f>IF(OR(BA$3="",BA$3&gt;TODAY()),"",IF(AND(BA419="",BB419=""),"",N(BB419)-N(BA419)))</f>
        <v/>
      </c>
      <c r="BF419">
        <f>IF(OR(BA$3="",BA$3&gt;TODAY()),"",IF(AND(BD419="",BE419=""),"",N(BE419)-N(BD419)))</f>
        <v/>
      </c>
      <c r="BJ419">
        <f>IF(OR(BH$3="",BH$3&gt;TODAY()),"",IF(AND(BH419="",BI419=""),"",N(BI419)-N(BH419)))</f>
        <v/>
      </c>
      <c r="BM419">
        <f>IF(OR(BH$3="",BH$3&gt;TODAY()),"",IF(AND(BK419="",BL419=""),"",N(BL419)-N(BK419)))</f>
        <v/>
      </c>
      <c r="BQ419">
        <f>IF(OR(BO$3="",BO$3&gt;TODAY()),"",IF(AND(BO419="",BP419=""),"",N(BP419)-N(BO419)))</f>
        <v/>
      </c>
      <c r="BT419">
        <f>IF(OR(BO$3="",BO$3&gt;TODAY()),"",IF(AND(BR419="",BS419=""),"",N(BS419)-N(BR419)))</f>
        <v/>
      </c>
      <c r="BX419">
        <f>IF(OR(BV$3="",BV$3&gt;TODAY()),"",IF(AND(BV419="",BW419=""),"",N(BW419)-N(BV419)))</f>
        <v/>
      </c>
      <c r="CA419">
        <f>IF(OR(BV$3="",BV$3&gt;TODAY()),"",IF(AND(BY419="",BZ419=""),"",N(BZ419)-N(BY419)))</f>
        <v/>
      </c>
      <c r="CE419">
        <f>IF(OR(CC$3="",CC$3&gt;TODAY()),"",IF(AND(CC419="",CD419=""),"",N(CD419)-N(CC419)))</f>
        <v/>
      </c>
      <c r="CH419">
        <f>IF(OR(CC$3="",CC$3&gt;TODAY()),"",IF(AND(CF419="",CG419=""),"",N(CG419)-N(CF419)))</f>
        <v/>
      </c>
      <c r="CL419">
        <f>IF(OR(CJ$3="",CJ$3&gt;TODAY()),"",IF(AND(CJ419="",CK419=""),"",N(CK419)-N(CJ419)))</f>
        <v/>
      </c>
      <c r="CO419">
        <f>IF(OR(CJ$3="",CJ$3&gt;TODAY()),"",IF(AND(CM419="",CN419=""),"",N(CN419)-N(CM419)))</f>
        <v/>
      </c>
      <c r="CS419">
        <f>IF(OR(CQ$3="",CQ$3&gt;TODAY()),"",IF(AND(CQ419="",CR419=""),"",N(CR419)-N(CQ419)))</f>
        <v/>
      </c>
      <c r="CV419">
        <f>IF(OR(CQ$3="",CQ$3&gt;TODAY()),"",IF(AND(CT419="",CU419=""),"",N(CU419)-N(CT419)))</f>
        <v/>
      </c>
      <c r="CZ419">
        <f>IF(OR(CX$3="",CX$3&gt;TODAY()),"",IF(AND(CX419="",CY419=""),"",N(CY419)-N(CX419)))</f>
        <v/>
      </c>
      <c r="DC419">
        <f>IF(OR(CX$3="",CX$3&gt;TODAY()),"",IF(AND(DA419="",DB419=""),"",N(DB419)-N(DA419)))</f>
        <v/>
      </c>
      <c r="DG419">
        <f>IF(OR(DE$3="",DE$3&gt;TODAY()),"",IF(AND(DE419="",DF419=""),"",N(DF419)-N(DE419)))</f>
        <v/>
      </c>
      <c r="DJ419">
        <f>IF(OR(DE$3="",DE$3&gt;TODAY()),"",IF(AND(DH419="",DI419=""),"",N(DI419)-N(DH419)))</f>
        <v/>
      </c>
      <c r="DN419">
        <f>IF(OR(DL$3="",DL$3&gt;TODAY()),"",IF(AND(DL419="",DM419=""),"",N(DM419)-N(DL419)))</f>
        <v/>
      </c>
      <c r="DQ419">
        <f>IF(OR(DL$3="",DL$3&gt;TODAY()),"",IF(AND(DO419="",DP419=""),"",N(DP419)-N(DO419)))</f>
        <v/>
      </c>
      <c r="DU419">
        <f>IF(OR(DS$3="",DS$3&gt;TODAY()),"",IF(AND(DS419="",DT419=""),"",N(DT419)-N(DS419)))</f>
        <v/>
      </c>
      <c r="DX419">
        <f>IF(OR(DS$3="",DS$3&gt;TODAY()),"",IF(AND(DV419="",DW419=""),"",N(DW419)-N(DV419)))</f>
        <v/>
      </c>
      <c r="EB419">
        <f>IF(OR(DZ$3="",DZ$3&gt;TODAY()),"",IF(AND(DZ419="",EA419=""),"",N(EA419)-N(DZ419)))</f>
        <v/>
      </c>
      <c r="EE419">
        <f>IF(OR(DZ$3="",DZ$3&gt;TODAY()),"",IF(AND(EC419="",ED419=""),"",N(ED419)-N(EC419)))</f>
        <v/>
      </c>
      <c r="EI419">
        <f>IF(OR(EG$3="",EG$3&gt;TODAY()),"",IF(AND(EG419="",EH419=""),"",N(EH419)-N(EG419)))</f>
        <v/>
      </c>
      <c r="EL419">
        <f>IF(OR(EG$3="",EG$3&gt;TODAY()),"",IF(AND(EJ419="",EK419=""),"",N(EK419)-N(EJ419)))</f>
        <v/>
      </c>
      <c r="EP419">
        <f>IF(OR(EN$3="",EN$3&gt;TODAY()),"",IF(AND(EN419="",EO419=""),"",N(EO419)-N(EN419)))</f>
        <v/>
      </c>
      <c r="ES419">
        <f>IF(OR(EN$3="",EN$3&gt;TODAY()),"",IF(AND(EQ419="",ER419=""),"",N(ER419)-N(EQ419)))</f>
        <v/>
      </c>
      <c r="EW419">
        <f>IF(OR(EU$3="",EU$3&gt;TODAY()),"",IF(AND(EU419="",EV419=""),"",N(EV419)-N(EU419)))</f>
        <v/>
      </c>
      <c r="EZ419">
        <f>IF(OR(EU$3="",EU$3&gt;TODAY()),"",IF(AND(EX419="",EY419=""),"",N(EY419)-N(EX419)))</f>
        <v/>
      </c>
      <c r="FD419">
        <f>IF(OR(FB$3="",FB$3&gt;TODAY()),"",IF(AND(FB419="",FC419=""),"",N(FC419)-N(FB419)))</f>
        <v/>
      </c>
      <c r="FG419">
        <f>IF(OR(FB$3="",FB$3&gt;TODAY()),"",IF(AND(FE419="",FF419=""),"",N(FF419)-N(FE419)))</f>
        <v/>
      </c>
      <c r="FK419">
        <f>IF(OR(FI$3="",FI$3&gt;TODAY()),"",IF(AND(FI419="",FJ419=""),"",N(FJ419)-N(FI419)))</f>
        <v/>
      </c>
      <c r="FN419">
        <f>IF(OR(FI$3="",FI$3&gt;TODAY()),"",IF(AND(FL419="",FM419=""),"",N(FM419)-N(FL419)))</f>
        <v/>
      </c>
      <c r="FR419">
        <f>IF(OR(FP$3="",FP$3&gt;TODAY()),"",IF(AND(FP419="",FQ419=""),"",N(FQ419)-N(FP419)))</f>
        <v/>
      </c>
      <c r="FU419">
        <f>IF(OR(FP$3="",FP$3&gt;TODAY()),"",IF(AND(FS419="",FT419=""),"",N(FT419)-N(FS419)))</f>
        <v/>
      </c>
      <c r="FY419">
        <f>IF(OR(FW$3="",FW$3&gt;TODAY()),"",IF(AND(FW419="",FX419=""),"",N(FX419)-N(FW419)))</f>
        <v/>
      </c>
      <c r="GB419">
        <f>IF(OR(FW$3="",FW$3&gt;TODAY()),"",IF(AND(FZ419="",GA419=""),"",N(GA419)-N(FZ419)))</f>
        <v/>
      </c>
      <c r="GF419">
        <f>IF(OR(GD$3="",GD$3&gt;TODAY()),"",IF(AND(GD419="",GE419=""),"",N(GE419)-N(GD419)))</f>
        <v/>
      </c>
      <c r="GI419">
        <f>IF(OR(GD$3="",GD$3&gt;TODAY()),"",IF(AND(GG419="",GH419=""),"",N(GH419)-N(GG419)))</f>
        <v/>
      </c>
      <c r="GM419">
        <f>IF(OR(GK$3="",GK$3&gt;TODAY()),"",IF(AND(GK419="",GL419=""),"",N(GL419)-N(GK419)))</f>
        <v/>
      </c>
      <c r="GP419">
        <f>IF(OR(GK$3="",GK$3&gt;TODAY()),"",IF(AND(GN419="",GO419=""),"",N(GO419)-N(GN419)))</f>
        <v/>
      </c>
      <c r="GT419">
        <f>IF(OR(GR$3="",GR$3&gt;TODAY()),"",IF(AND(GR419="",GS419=""),"",N(GS419)-N(GR419)))</f>
        <v/>
      </c>
      <c r="GW419">
        <f>IF(OR(GR$3="",GR$3&gt;TODAY()),"",IF(AND(GU419="",GV419=""),"",N(GV419)-N(GU419)))</f>
        <v/>
      </c>
      <c r="HA419">
        <f>IF(OR(GY$3="",GY$3&gt;TODAY()),"",IF(AND(GY419="",GZ419=""),"",N(GZ419)-N(GY419)))</f>
        <v/>
      </c>
      <c r="HD419">
        <f>IF(OR(GY$3="",GY$3&gt;TODAY()),"",IF(AND(HB419="",HC419=""),"",N(HC419)-N(HB419)))</f>
        <v/>
      </c>
      <c r="HH419">
        <f>IF(OR(HF$3="",HF$3&gt;TODAY()),"",IF(AND(HF419="",HG419=""),"",N(HG419)-N(HF419)))</f>
        <v/>
      </c>
      <c r="HK419">
        <f>IF(OR(HF$3="",HF$3&gt;TODAY()),"",IF(AND(HI419="",HJ419=""),"",N(HJ419)-N(HI419)))</f>
        <v/>
      </c>
      <c r="HO419">
        <f>IF(OR(HM$3="",HM$3&gt;TODAY()),"",IF(AND(HM419="",HN419=""),"",N(HN419)-N(HM419)))</f>
        <v/>
      </c>
      <c r="HR419">
        <f>IF(OR(HM$3="",HM$3&gt;TODAY()),"",IF(AND(HP419="",HQ419=""),"",N(HQ419)-N(HP419)))</f>
        <v/>
      </c>
      <c r="HV419">
        <f>IF(OR(HT$3="",HT$3&gt;TODAY()),"",IF(AND(HT419="",HU419=""),"",N(HU419)-N(HT419)))</f>
        <v/>
      </c>
      <c r="HY419">
        <f>IF(OR(HT$3="",HT$3&gt;TODAY()),"",IF(AND(HW419="",HX419=""),"",N(HX419)-N(HW419)))</f>
        <v/>
      </c>
      <c r="IC419">
        <f>IF(OR(IA$3="",IA$3&gt;TODAY()),"",IF(AND(IA419="",IB419=""),"",N(IB419)-N(IA419)))</f>
        <v/>
      </c>
      <c r="IF419">
        <f>IF(OR(IA$3="",IA$3&gt;TODAY()),"",IF(AND(ID419="",IE419=""),"",N(IE419)-N(ID419)))</f>
        <v/>
      </c>
      <c r="IJ419">
        <f>IF(OR(IH$3="",IH$3&gt;TODAY()),"",IF(AND(IH419="",II419=""),"",N(II419)-N(IH419)))</f>
        <v/>
      </c>
      <c r="IM419">
        <f>IF(OR(IH$3="",IH$3&gt;TODAY()),"",IF(AND(IK419="",IL419=""),"",N(IL419)-N(IK419)))</f>
        <v/>
      </c>
    </row>
    <row r="420">
      <c r="A420" s="21" t="n"/>
      <c r="B420" s="21" t="n"/>
      <c r="C420" s="21" t="n"/>
      <c r="D420" s="21" t="n"/>
      <c r="E420" s="21" t="n"/>
      <c r="F420" s="21" t="n"/>
      <c r="G420" s="21" t="n"/>
      <c r="H420" s="21" t="n"/>
      <c r="I420" s="22" t="n"/>
      <c r="J420" s="22" t="n"/>
      <c r="K420" s="23" t="n"/>
      <c r="L420" s="22" t="n"/>
      <c r="M420" s="22" t="n"/>
      <c r="N420" s="21" t="n"/>
      <c r="O420" s="23" t="n"/>
      <c r="P420" s="23" t="n"/>
      <c r="Q420" s="23" t="n"/>
      <c r="R420" s="23" t="n"/>
      <c r="S420" s="22" t="n"/>
      <c r="T420" s="23" t="n"/>
      <c r="U420" s="23" t="n"/>
      <c r="V420" s="24">
        <f>IF(J420&lt;&gt;"",J420,IF(I420&lt;&gt;"",I420,""))</f>
        <v/>
      </c>
      <c r="W420" s="25">
        <f>IF($E420="","",N(O420)+SUMIFS($AF420:$IN420,$AF$4:$IN$4,"SEW_ACT"))</f>
        <v/>
      </c>
      <c r="X420" s="25">
        <f>IF($E420="","",N(P420)+SUMIFS($AF420:$IN420,$AF$4:$IN$4,"WASH_ACT"))</f>
        <v/>
      </c>
      <c r="Y420" s="25">
        <f>IF($E420="","",W420-X420-N(T420)-N(U420))</f>
        <v/>
      </c>
      <c r="Z420" s="25">
        <f>IF($E420="","",IF(N(K420)-X420&lt;=0.02*N(K420),0,N(K420)-X420))</f>
        <v/>
      </c>
      <c r="AA420" s="24">
        <f>IF($E420="","",IF(S420&lt;&gt;"",S420,IF(N(O420)&gt;0,IF(L420&lt;&gt;"",L420,99999),IFERROR(1/(1/_xlfn.MINIFS($AF$3:$IN$3,$AF$4:$IN$4,"SEW_ACT",$AF420:$IN420,"&gt;0")),99999))))</f>
        <v/>
      </c>
      <c r="AB420" s="26">
        <f>IF(OR($E420="",Z420=0,V420=""),"",1+COUNTIFS(Z$8:Z$707,"&gt;0",V$8:V$707,"&lt;"&amp;V420)+COUNTIFS(Z$8:Z$707,"&gt;0",V$8:V$707,V420,AA$8:AA$707,"&lt;"&amp;AA420)+COUNTIFS(Z$8:Z$707,"&gt;0",V$8:V$707,V420,AA$8:AA$707,AA420,E$8:E$707,"&lt;"&amp;$E420))</f>
        <v/>
      </c>
      <c r="AC420" s="24">
        <f>IF(OR($E420="",Z420=0),"",IFERROR(TODAY()+ROUNDUP(Z420/(SUMIFS($AF420:$IN420,$AF$4:$IN$4,"WASH_ACT")/COUNTIFS($AF$4:$IN$4,"WASH_ACT",$AF420:$IN420,"&gt;0")),0),"no output yet"))</f>
        <v/>
      </c>
      <c r="AD420" s="26">
        <f>IF($E420="","",IFERROR(ROUND(MAX(0,SUMIFS($AF420:$IN420,$AF$4:$IN$4,"SEW_PLAN",$AF$3:$IN$3,"&lt;="&amp;TODAY())-SUMIFS($AF420:$IN420,$AF$4:$IN$4,"SEW_ACT",$AF$3:$IN$3,"&lt;="&amp;TODAY())+N(Q420))/(SUMIFS($AF420:$IN420,$AF$4:$IN$4,"SEW_PLAN")/COUNTIFS($AF$4:$IN$4,"SEW_PLAN",$AF420:$IN420,"&gt;0")),1),0))</f>
        <v/>
      </c>
      <c r="AE420" s="26">
        <f>IF($E420="","",IF(AND(Z420&gt;0,OR(AND(M420&lt;&gt;"",TODAY()&gt;M420),AND(V420&lt;&gt;"",V420-TODAY()&lt;=7))),"Yes","No"))</f>
        <v/>
      </c>
      <c r="AH420">
        <f>IF(OR(AF$3="",AF$3&gt;TODAY()),"",IF(AND(AF420="",AG420=""),"",N(AG420)-N(AF420)))</f>
        <v/>
      </c>
      <c r="AK420">
        <f>IF(OR(AF$3="",AF$3&gt;TODAY()),"",IF(AND(AI420="",AJ420=""),"",N(AJ420)-N(AI420)))</f>
        <v/>
      </c>
      <c r="AO420">
        <f>IF(OR(AM$3="",AM$3&gt;TODAY()),"",IF(AND(AM420="",AN420=""),"",N(AN420)-N(AM420)))</f>
        <v/>
      </c>
      <c r="AR420">
        <f>IF(OR(AM$3="",AM$3&gt;TODAY()),"",IF(AND(AP420="",AQ420=""),"",N(AQ420)-N(AP420)))</f>
        <v/>
      </c>
      <c r="AV420">
        <f>IF(OR(AT$3="",AT$3&gt;TODAY()),"",IF(AND(AT420="",AU420=""),"",N(AU420)-N(AT420)))</f>
        <v/>
      </c>
      <c r="AY420">
        <f>IF(OR(AT$3="",AT$3&gt;TODAY()),"",IF(AND(AW420="",AX420=""),"",N(AX420)-N(AW420)))</f>
        <v/>
      </c>
      <c r="BC420">
        <f>IF(OR(BA$3="",BA$3&gt;TODAY()),"",IF(AND(BA420="",BB420=""),"",N(BB420)-N(BA420)))</f>
        <v/>
      </c>
      <c r="BF420">
        <f>IF(OR(BA$3="",BA$3&gt;TODAY()),"",IF(AND(BD420="",BE420=""),"",N(BE420)-N(BD420)))</f>
        <v/>
      </c>
      <c r="BJ420">
        <f>IF(OR(BH$3="",BH$3&gt;TODAY()),"",IF(AND(BH420="",BI420=""),"",N(BI420)-N(BH420)))</f>
        <v/>
      </c>
      <c r="BM420">
        <f>IF(OR(BH$3="",BH$3&gt;TODAY()),"",IF(AND(BK420="",BL420=""),"",N(BL420)-N(BK420)))</f>
        <v/>
      </c>
      <c r="BQ420">
        <f>IF(OR(BO$3="",BO$3&gt;TODAY()),"",IF(AND(BO420="",BP420=""),"",N(BP420)-N(BO420)))</f>
        <v/>
      </c>
      <c r="BT420">
        <f>IF(OR(BO$3="",BO$3&gt;TODAY()),"",IF(AND(BR420="",BS420=""),"",N(BS420)-N(BR420)))</f>
        <v/>
      </c>
      <c r="BX420">
        <f>IF(OR(BV$3="",BV$3&gt;TODAY()),"",IF(AND(BV420="",BW420=""),"",N(BW420)-N(BV420)))</f>
        <v/>
      </c>
      <c r="CA420">
        <f>IF(OR(BV$3="",BV$3&gt;TODAY()),"",IF(AND(BY420="",BZ420=""),"",N(BZ420)-N(BY420)))</f>
        <v/>
      </c>
      <c r="CE420">
        <f>IF(OR(CC$3="",CC$3&gt;TODAY()),"",IF(AND(CC420="",CD420=""),"",N(CD420)-N(CC420)))</f>
        <v/>
      </c>
      <c r="CH420">
        <f>IF(OR(CC$3="",CC$3&gt;TODAY()),"",IF(AND(CF420="",CG420=""),"",N(CG420)-N(CF420)))</f>
        <v/>
      </c>
      <c r="CL420">
        <f>IF(OR(CJ$3="",CJ$3&gt;TODAY()),"",IF(AND(CJ420="",CK420=""),"",N(CK420)-N(CJ420)))</f>
        <v/>
      </c>
      <c r="CO420">
        <f>IF(OR(CJ$3="",CJ$3&gt;TODAY()),"",IF(AND(CM420="",CN420=""),"",N(CN420)-N(CM420)))</f>
        <v/>
      </c>
      <c r="CS420">
        <f>IF(OR(CQ$3="",CQ$3&gt;TODAY()),"",IF(AND(CQ420="",CR420=""),"",N(CR420)-N(CQ420)))</f>
        <v/>
      </c>
      <c r="CV420">
        <f>IF(OR(CQ$3="",CQ$3&gt;TODAY()),"",IF(AND(CT420="",CU420=""),"",N(CU420)-N(CT420)))</f>
        <v/>
      </c>
      <c r="CZ420">
        <f>IF(OR(CX$3="",CX$3&gt;TODAY()),"",IF(AND(CX420="",CY420=""),"",N(CY420)-N(CX420)))</f>
        <v/>
      </c>
      <c r="DC420">
        <f>IF(OR(CX$3="",CX$3&gt;TODAY()),"",IF(AND(DA420="",DB420=""),"",N(DB420)-N(DA420)))</f>
        <v/>
      </c>
      <c r="DG420">
        <f>IF(OR(DE$3="",DE$3&gt;TODAY()),"",IF(AND(DE420="",DF420=""),"",N(DF420)-N(DE420)))</f>
        <v/>
      </c>
      <c r="DJ420">
        <f>IF(OR(DE$3="",DE$3&gt;TODAY()),"",IF(AND(DH420="",DI420=""),"",N(DI420)-N(DH420)))</f>
        <v/>
      </c>
      <c r="DN420">
        <f>IF(OR(DL$3="",DL$3&gt;TODAY()),"",IF(AND(DL420="",DM420=""),"",N(DM420)-N(DL420)))</f>
        <v/>
      </c>
      <c r="DQ420">
        <f>IF(OR(DL$3="",DL$3&gt;TODAY()),"",IF(AND(DO420="",DP420=""),"",N(DP420)-N(DO420)))</f>
        <v/>
      </c>
      <c r="DU420">
        <f>IF(OR(DS$3="",DS$3&gt;TODAY()),"",IF(AND(DS420="",DT420=""),"",N(DT420)-N(DS420)))</f>
        <v/>
      </c>
      <c r="DX420">
        <f>IF(OR(DS$3="",DS$3&gt;TODAY()),"",IF(AND(DV420="",DW420=""),"",N(DW420)-N(DV420)))</f>
        <v/>
      </c>
      <c r="EB420">
        <f>IF(OR(DZ$3="",DZ$3&gt;TODAY()),"",IF(AND(DZ420="",EA420=""),"",N(EA420)-N(DZ420)))</f>
        <v/>
      </c>
      <c r="EE420">
        <f>IF(OR(DZ$3="",DZ$3&gt;TODAY()),"",IF(AND(EC420="",ED420=""),"",N(ED420)-N(EC420)))</f>
        <v/>
      </c>
      <c r="EI420">
        <f>IF(OR(EG$3="",EG$3&gt;TODAY()),"",IF(AND(EG420="",EH420=""),"",N(EH420)-N(EG420)))</f>
        <v/>
      </c>
      <c r="EL420">
        <f>IF(OR(EG$3="",EG$3&gt;TODAY()),"",IF(AND(EJ420="",EK420=""),"",N(EK420)-N(EJ420)))</f>
        <v/>
      </c>
      <c r="EP420">
        <f>IF(OR(EN$3="",EN$3&gt;TODAY()),"",IF(AND(EN420="",EO420=""),"",N(EO420)-N(EN420)))</f>
        <v/>
      </c>
      <c r="ES420">
        <f>IF(OR(EN$3="",EN$3&gt;TODAY()),"",IF(AND(EQ420="",ER420=""),"",N(ER420)-N(EQ420)))</f>
        <v/>
      </c>
      <c r="EW420">
        <f>IF(OR(EU$3="",EU$3&gt;TODAY()),"",IF(AND(EU420="",EV420=""),"",N(EV420)-N(EU420)))</f>
        <v/>
      </c>
      <c r="EZ420">
        <f>IF(OR(EU$3="",EU$3&gt;TODAY()),"",IF(AND(EX420="",EY420=""),"",N(EY420)-N(EX420)))</f>
        <v/>
      </c>
      <c r="FD420">
        <f>IF(OR(FB$3="",FB$3&gt;TODAY()),"",IF(AND(FB420="",FC420=""),"",N(FC420)-N(FB420)))</f>
        <v/>
      </c>
      <c r="FG420">
        <f>IF(OR(FB$3="",FB$3&gt;TODAY()),"",IF(AND(FE420="",FF420=""),"",N(FF420)-N(FE420)))</f>
        <v/>
      </c>
      <c r="FK420">
        <f>IF(OR(FI$3="",FI$3&gt;TODAY()),"",IF(AND(FI420="",FJ420=""),"",N(FJ420)-N(FI420)))</f>
        <v/>
      </c>
      <c r="FN420">
        <f>IF(OR(FI$3="",FI$3&gt;TODAY()),"",IF(AND(FL420="",FM420=""),"",N(FM420)-N(FL420)))</f>
        <v/>
      </c>
      <c r="FR420">
        <f>IF(OR(FP$3="",FP$3&gt;TODAY()),"",IF(AND(FP420="",FQ420=""),"",N(FQ420)-N(FP420)))</f>
        <v/>
      </c>
      <c r="FU420">
        <f>IF(OR(FP$3="",FP$3&gt;TODAY()),"",IF(AND(FS420="",FT420=""),"",N(FT420)-N(FS420)))</f>
        <v/>
      </c>
      <c r="FY420">
        <f>IF(OR(FW$3="",FW$3&gt;TODAY()),"",IF(AND(FW420="",FX420=""),"",N(FX420)-N(FW420)))</f>
        <v/>
      </c>
      <c r="GB420">
        <f>IF(OR(FW$3="",FW$3&gt;TODAY()),"",IF(AND(FZ420="",GA420=""),"",N(GA420)-N(FZ420)))</f>
        <v/>
      </c>
      <c r="GF420">
        <f>IF(OR(GD$3="",GD$3&gt;TODAY()),"",IF(AND(GD420="",GE420=""),"",N(GE420)-N(GD420)))</f>
        <v/>
      </c>
      <c r="GI420">
        <f>IF(OR(GD$3="",GD$3&gt;TODAY()),"",IF(AND(GG420="",GH420=""),"",N(GH420)-N(GG420)))</f>
        <v/>
      </c>
      <c r="GM420">
        <f>IF(OR(GK$3="",GK$3&gt;TODAY()),"",IF(AND(GK420="",GL420=""),"",N(GL420)-N(GK420)))</f>
        <v/>
      </c>
      <c r="GP420">
        <f>IF(OR(GK$3="",GK$3&gt;TODAY()),"",IF(AND(GN420="",GO420=""),"",N(GO420)-N(GN420)))</f>
        <v/>
      </c>
      <c r="GT420">
        <f>IF(OR(GR$3="",GR$3&gt;TODAY()),"",IF(AND(GR420="",GS420=""),"",N(GS420)-N(GR420)))</f>
        <v/>
      </c>
      <c r="GW420">
        <f>IF(OR(GR$3="",GR$3&gt;TODAY()),"",IF(AND(GU420="",GV420=""),"",N(GV420)-N(GU420)))</f>
        <v/>
      </c>
      <c r="HA420">
        <f>IF(OR(GY$3="",GY$3&gt;TODAY()),"",IF(AND(GY420="",GZ420=""),"",N(GZ420)-N(GY420)))</f>
        <v/>
      </c>
      <c r="HD420">
        <f>IF(OR(GY$3="",GY$3&gt;TODAY()),"",IF(AND(HB420="",HC420=""),"",N(HC420)-N(HB420)))</f>
        <v/>
      </c>
      <c r="HH420">
        <f>IF(OR(HF$3="",HF$3&gt;TODAY()),"",IF(AND(HF420="",HG420=""),"",N(HG420)-N(HF420)))</f>
        <v/>
      </c>
      <c r="HK420">
        <f>IF(OR(HF$3="",HF$3&gt;TODAY()),"",IF(AND(HI420="",HJ420=""),"",N(HJ420)-N(HI420)))</f>
        <v/>
      </c>
      <c r="HO420">
        <f>IF(OR(HM$3="",HM$3&gt;TODAY()),"",IF(AND(HM420="",HN420=""),"",N(HN420)-N(HM420)))</f>
        <v/>
      </c>
      <c r="HR420">
        <f>IF(OR(HM$3="",HM$3&gt;TODAY()),"",IF(AND(HP420="",HQ420=""),"",N(HQ420)-N(HP420)))</f>
        <v/>
      </c>
      <c r="HV420">
        <f>IF(OR(HT$3="",HT$3&gt;TODAY()),"",IF(AND(HT420="",HU420=""),"",N(HU420)-N(HT420)))</f>
        <v/>
      </c>
      <c r="HY420">
        <f>IF(OR(HT$3="",HT$3&gt;TODAY()),"",IF(AND(HW420="",HX420=""),"",N(HX420)-N(HW420)))</f>
        <v/>
      </c>
      <c r="IC420">
        <f>IF(OR(IA$3="",IA$3&gt;TODAY()),"",IF(AND(IA420="",IB420=""),"",N(IB420)-N(IA420)))</f>
        <v/>
      </c>
      <c r="IF420">
        <f>IF(OR(IA$3="",IA$3&gt;TODAY()),"",IF(AND(ID420="",IE420=""),"",N(IE420)-N(ID420)))</f>
        <v/>
      </c>
      <c r="IJ420">
        <f>IF(OR(IH$3="",IH$3&gt;TODAY()),"",IF(AND(IH420="",II420=""),"",N(II420)-N(IH420)))</f>
        <v/>
      </c>
      <c r="IM420">
        <f>IF(OR(IH$3="",IH$3&gt;TODAY()),"",IF(AND(IK420="",IL420=""),"",N(IL420)-N(IK420)))</f>
        <v/>
      </c>
    </row>
    <row r="421">
      <c r="A421" s="21" t="n"/>
      <c r="B421" s="21" t="n"/>
      <c r="C421" s="21" t="n"/>
      <c r="D421" s="21" t="n"/>
      <c r="E421" s="21" t="n"/>
      <c r="F421" s="21" t="n"/>
      <c r="G421" s="21" t="n"/>
      <c r="H421" s="21" t="n"/>
      <c r="I421" s="22" t="n"/>
      <c r="J421" s="22" t="n"/>
      <c r="K421" s="23" t="n"/>
      <c r="L421" s="22" t="n"/>
      <c r="M421" s="22" t="n"/>
      <c r="N421" s="21" t="n"/>
      <c r="O421" s="23" t="n"/>
      <c r="P421" s="23" t="n"/>
      <c r="Q421" s="23" t="n"/>
      <c r="R421" s="23" t="n"/>
      <c r="S421" s="22" t="n"/>
      <c r="T421" s="23" t="n"/>
      <c r="U421" s="23" t="n"/>
      <c r="V421" s="24">
        <f>IF(J421&lt;&gt;"",J421,IF(I421&lt;&gt;"",I421,""))</f>
        <v/>
      </c>
      <c r="W421" s="25">
        <f>IF($E421="","",N(O421)+SUMIFS($AF421:$IN421,$AF$4:$IN$4,"SEW_ACT"))</f>
        <v/>
      </c>
      <c r="X421" s="25">
        <f>IF($E421="","",N(P421)+SUMIFS($AF421:$IN421,$AF$4:$IN$4,"WASH_ACT"))</f>
        <v/>
      </c>
      <c r="Y421" s="25">
        <f>IF($E421="","",W421-X421-N(T421)-N(U421))</f>
        <v/>
      </c>
      <c r="Z421" s="25">
        <f>IF($E421="","",IF(N(K421)-X421&lt;=0.02*N(K421),0,N(K421)-X421))</f>
        <v/>
      </c>
      <c r="AA421" s="24">
        <f>IF($E421="","",IF(S421&lt;&gt;"",S421,IF(N(O421)&gt;0,IF(L421&lt;&gt;"",L421,99999),IFERROR(1/(1/_xlfn.MINIFS($AF$3:$IN$3,$AF$4:$IN$4,"SEW_ACT",$AF421:$IN421,"&gt;0")),99999))))</f>
        <v/>
      </c>
      <c r="AB421" s="26">
        <f>IF(OR($E421="",Z421=0,V421=""),"",1+COUNTIFS(Z$8:Z$707,"&gt;0",V$8:V$707,"&lt;"&amp;V421)+COUNTIFS(Z$8:Z$707,"&gt;0",V$8:V$707,V421,AA$8:AA$707,"&lt;"&amp;AA421)+COUNTIFS(Z$8:Z$707,"&gt;0",V$8:V$707,V421,AA$8:AA$707,AA421,E$8:E$707,"&lt;"&amp;$E421))</f>
        <v/>
      </c>
      <c r="AC421" s="24">
        <f>IF(OR($E421="",Z421=0),"",IFERROR(TODAY()+ROUNDUP(Z421/(SUMIFS($AF421:$IN421,$AF$4:$IN$4,"WASH_ACT")/COUNTIFS($AF$4:$IN$4,"WASH_ACT",$AF421:$IN421,"&gt;0")),0),"no output yet"))</f>
        <v/>
      </c>
      <c r="AD421" s="26">
        <f>IF($E421="","",IFERROR(ROUND(MAX(0,SUMIFS($AF421:$IN421,$AF$4:$IN$4,"SEW_PLAN",$AF$3:$IN$3,"&lt;="&amp;TODAY())-SUMIFS($AF421:$IN421,$AF$4:$IN$4,"SEW_ACT",$AF$3:$IN$3,"&lt;="&amp;TODAY())+N(Q421))/(SUMIFS($AF421:$IN421,$AF$4:$IN$4,"SEW_PLAN")/COUNTIFS($AF$4:$IN$4,"SEW_PLAN",$AF421:$IN421,"&gt;0")),1),0))</f>
        <v/>
      </c>
      <c r="AE421" s="26">
        <f>IF($E421="","",IF(AND(Z421&gt;0,OR(AND(M421&lt;&gt;"",TODAY()&gt;M421),AND(V421&lt;&gt;"",V421-TODAY()&lt;=7))),"Yes","No"))</f>
        <v/>
      </c>
      <c r="AH421">
        <f>IF(OR(AF$3="",AF$3&gt;TODAY()),"",IF(AND(AF421="",AG421=""),"",N(AG421)-N(AF421)))</f>
        <v/>
      </c>
      <c r="AK421">
        <f>IF(OR(AF$3="",AF$3&gt;TODAY()),"",IF(AND(AI421="",AJ421=""),"",N(AJ421)-N(AI421)))</f>
        <v/>
      </c>
      <c r="AO421">
        <f>IF(OR(AM$3="",AM$3&gt;TODAY()),"",IF(AND(AM421="",AN421=""),"",N(AN421)-N(AM421)))</f>
        <v/>
      </c>
      <c r="AR421">
        <f>IF(OR(AM$3="",AM$3&gt;TODAY()),"",IF(AND(AP421="",AQ421=""),"",N(AQ421)-N(AP421)))</f>
        <v/>
      </c>
      <c r="AV421">
        <f>IF(OR(AT$3="",AT$3&gt;TODAY()),"",IF(AND(AT421="",AU421=""),"",N(AU421)-N(AT421)))</f>
        <v/>
      </c>
      <c r="AY421">
        <f>IF(OR(AT$3="",AT$3&gt;TODAY()),"",IF(AND(AW421="",AX421=""),"",N(AX421)-N(AW421)))</f>
        <v/>
      </c>
      <c r="BC421">
        <f>IF(OR(BA$3="",BA$3&gt;TODAY()),"",IF(AND(BA421="",BB421=""),"",N(BB421)-N(BA421)))</f>
        <v/>
      </c>
      <c r="BF421">
        <f>IF(OR(BA$3="",BA$3&gt;TODAY()),"",IF(AND(BD421="",BE421=""),"",N(BE421)-N(BD421)))</f>
        <v/>
      </c>
      <c r="BJ421">
        <f>IF(OR(BH$3="",BH$3&gt;TODAY()),"",IF(AND(BH421="",BI421=""),"",N(BI421)-N(BH421)))</f>
        <v/>
      </c>
      <c r="BM421">
        <f>IF(OR(BH$3="",BH$3&gt;TODAY()),"",IF(AND(BK421="",BL421=""),"",N(BL421)-N(BK421)))</f>
        <v/>
      </c>
      <c r="BQ421">
        <f>IF(OR(BO$3="",BO$3&gt;TODAY()),"",IF(AND(BO421="",BP421=""),"",N(BP421)-N(BO421)))</f>
        <v/>
      </c>
      <c r="BT421">
        <f>IF(OR(BO$3="",BO$3&gt;TODAY()),"",IF(AND(BR421="",BS421=""),"",N(BS421)-N(BR421)))</f>
        <v/>
      </c>
      <c r="BX421">
        <f>IF(OR(BV$3="",BV$3&gt;TODAY()),"",IF(AND(BV421="",BW421=""),"",N(BW421)-N(BV421)))</f>
        <v/>
      </c>
      <c r="CA421">
        <f>IF(OR(BV$3="",BV$3&gt;TODAY()),"",IF(AND(BY421="",BZ421=""),"",N(BZ421)-N(BY421)))</f>
        <v/>
      </c>
      <c r="CE421">
        <f>IF(OR(CC$3="",CC$3&gt;TODAY()),"",IF(AND(CC421="",CD421=""),"",N(CD421)-N(CC421)))</f>
        <v/>
      </c>
      <c r="CH421">
        <f>IF(OR(CC$3="",CC$3&gt;TODAY()),"",IF(AND(CF421="",CG421=""),"",N(CG421)-N(CF421)))</f>
        <v/>
      </c>
      <c r="CL421">
        <f>IF(OR(CJ$3="",CJ$3&gt;TODAY()),"",IF(AND(CJ421="",CK421=""),"",N(CK421)-N(CJ421)))</f>
        <v/>
      </c>
      <c r="CO421">
        <f>IF(OR(CJ$3="",CJ$3&gt;TODAY()),"",IF(AND(CM421="",CN421=""),"",N(CN421)-N(CM421)))</f>
        <v/>
      </c>
      <c r="CS421">
        <f>IF(OR(CQ$3="",CQ$3&gt;TODAY()),"",IF(AND(CQ421="",CR421=""),"",N(CR421)-N(CQ421)))</f>
        <v/>
      </c>
      <c r="CV421">
        <f>IF(OR(CQ$3="",CQ$3&gt;TODAY()),"",IF(AND(CT421="",CU421=""),"",N(CU421)-N(CT421)))</f>
        <v/>
      </c>
      <c r="CZ421">
        <f>IF(OR(CX$3="",CX$3&gt;TODAY()),"",IF(AND(CX421="",CY421=""),"",N(CY421)-N(CX421)))</f>
        <v/>
      </c>
      <c r="DC421">
        <f>IF(OR(CX$3="",CX$3&gt;TODAY()),"",IF(AND(DA421="",DB421=""),"",N(DB421)-N(DA421)))</f>
        <v/>
      </c>
      <c r="DG421">
        <f>IF(OR(DE$3="",DE$3&gt;TODAY()),"",IF(AND(DE421="",DF421=""),"",N(DF421)-N(DE421)))</f>
        <v/>
      </c>
      <c r="DJ421">
        <f>IF(OR(DE$3="",DE$3&gt;TODAY()),"",IF(AND(DH421="",DI421=""),"",N(DI421)-N(DH421)))</f>
        <v/>
      </c>
      <c r="DN421">
        <f>IF(OR(DL$3="",DL$3&gt;TODAY()),"",IF(AND(DL421="",DM421=""),"",N(DM421)-N(DL421)))</f>
        <v/>
      </c>
      <c r="DQ421">
        <f>IF(OR(DL$3="",DL$3&gt;TODAY()),"",IF(AND(DO421="",DP421=""),"",N(DP421)-N(DO421)))</f>
        <v/>
      </c>
      <c r="DU421">
        <f>IF(OR(DS$3="",DS$3&gt;TODAY()),"",IF(AND(DS421="",DT421=""),"",N(DT421)-N(DS421)))</f>
        <v/>
      </c>
      <c r="DX421">
        <f>IF(OR(DS$3="",DS$3&gt;TODAY()),"",IF(AND(DV421="",DW421=""),"",N(DW421)-N(DV421)))</f>
        <v/>
      </c>
      <c r="EB421">
        <f>IF(OR(DZ$3="",DZ$3&gt;TODAY()),"",IF(AND(DZ421="",EA421=""),"",N(EA421)-N(DZ421)))</f>
        <v/>
      </c>
      <c r="EE421">
        <f>IF(OR(DZ$3="",DZ$3&gt;TODAY()),"",IF(AND(EC421="",ED421=""),"",N(ED421)-N(EC421)))</f>
        <v/>
      </c>
      <c r="EI421">
        <f>IF(OR(EG$3="",EG$3&gt;TODAY()),"",IF(AND(EG421="",EH421=""),"",N(EH421)-N(EG421)))</f>
        <v/>
      </c>
      <c r="EL421">
        <f>IF(OR(EG$3="",EG$3&gt;TODAY()),"",IF(AND(EJ421="",EK421=""),"",N(EK421)-N(EJ421)))</f>
        <v/>
      </c>
      <c r="EP421">
        <f>IF(OR(EN$3="",EN$3&gt;TODAY()),"",IF(AND(EN421="",EO421=""),"",N(EO421)-N(EN421)))</f>
        <v/>
      </c>
      <c r="ES421">
        <f>IF(OR(EN$3="",EN$3&gt;TODAY()),"",IF(AND(EQ421="",ER421=""),"",N(ER421)-N(EQ421)))</f>
        <v/>
      </c>
      <c r="EW421">
        <f>IF(OR(EU$3="",EU$3&gt;TODAY()),"",IF(AND(EU421="",EV421=""),"",N(EV421)-N(EU421)))</f>
        <v/>
      </c>
      <c r="EZ421">
        <f>IF(OR(EU$3="",EU$3&gt;TODAY()),"",IF(AND(EX421="",EY421=""),"",N(EY421)-N(EX421)))</f>
        <v/>
      </c>
      <c r="FD421">
        <f>IF(OR(FB$3="",FB$3&gt;TODAY()),"",IF(AND(FB421="",FC421=""),"",N(FC421)-N(FB421)))</f>
        <v/>
      </c>
      <c r="FG421">
        <f>IF(OR(FB$3="",FB$3&gt;TODAY()),"",IF(AND(FE421="",FF421=""),"",N(FF421)-N(FE421)))</f>
        <v/>
      </c>
      <c r="FK421">
        <f>IF(OR(FI$3="",FI$3&gt;TODAY()),"",IF(AND(FI421="",FJ421=""),"",N(FJ421)-N(FI421)))</f>
        <v/>
      </c>
      <c r="FN421">
        <f>IF(OR(FI$3="",FI$3&gt;TODAY()),"",IF(AND(FL421="",FM421=""),"",N(FM421)-N(FL421)))</f>
        <v/>
      </c>
      <c r="FR421">
        <f>IF(OR(FP$3="",FP$3&gt;TODAY()),"",IF(AND(FP421="",FQ421=""),"",N(FQ421)-N(FP421)))</f>
        <v/>
      </c>
      <c r="FU421">
        <f>IF(OR(FP$3="",FP$3&gt;TODAY()),"",IF(AND(FS421="",FT421=""),"",N(FT421)-N(FS421)))</f>
        <v/>
      </c>
      <c r="FY421">
        <f>IF(OR(FW$3="",FW$3&gt;TODAY()),"",IF(AND(FW421="",FX421=""),"",N(FX421)-N(FW421)))</f>
        <v/>
      </c>
      <c r="GB421">
        <f>IF(OR(FW$3="",FW$3&gt;TODAY()),"",IF(AND(FZ421="",GA421=""),"",N(GA421)-N(FZ421)))</f>
        <v/>
      </c>
      <c r="GF421">
        <f>IF(OR(GD$3="",GD$3&gt;TODAY()),"",IF(AND(GD421="",GE421=""),"",N(GE421)-N(GD421)))</f>
        <v/>
      </c>
      <c r="GI421">
        <f>IF(OR(GD$3="",GD$3&gt;TODAY()),"",IF(AND(GG421="",GH421=""),"",N(GH421)-N(GG421)))</f>
        <v/>
      </c>
      <c r="GM421">
        <f>IF(OR(GK$3="",GK$3&gt;TODAY()),"",IF(AND(GK421="",GL421=""),"",N(GL421)-N(GK421)))</f>
        <v/>
      </c>
      <c r="GP421">
        <f>IF(OR(GK$3="",GK$3&gt;TODAY()),"",IF(AND(GN421="",GO421=""),"",N(GO421)-N(GN421)))</f>
        <v/>
      </c>
      <c r="GT421">
        <f>IF(OR(GR$3="",GR$3&gt;TODAY()),"",IF(AND(GR421="",GS421=""),"",N(GS421)-N(GR421)))</f>
        <v/>
      </c>
      <c r="GW421">
        <f>IF(OR(GR$3="",GR$3&gt;TODAY()),"",IF(AND(GU421="",GV421=""),"",N(GV421)-N(GU421)))</f>
        <v/>
      </c>
      <c r="HA421">
        <f>IF(OR(GY$3="",GY$3&gt;TODAY()),"",IF(AND(GY421="",GZ421=""),"",N(GZ421)-N(GY421)))</f>
        <v/>
      </c>
      <c r="HD421">
        <f>IF(OR(GY$3="",GY$3&gt;TODAY()),"",IF(AND(HB421="",HC421=""),"",N(HC421)-N(HB421)))</f>
        <v/>
      </c>
      <c r="HH421">
        <f>IF(OR(HF$3="",HF$3&gt;TODAY()),"",IF(AND(HF421="",HG421=""),"",N(HG421)-N(HF421)))</f>
        <v/>
      </c>
      <c r="HK421">
        <f>IF(OR(HF$3="",HF$3&gt;TODAY()),"",IF(AND(HI421="",HJ421=""),"",N(HJ421)-N(HI421)))</f>
        <v/>
      </c>
      <c r="HO421">
        <f>IF(OR(HM$3="",HM$3&gt;TODAY()),"",IF(AND(HM421="",HN421=""),"",N(HN421)-N(HM421)))</f>
        <v/>
      </c>
      <c r="HR421">
        <f>IF(OR(HM$3="",HM$3&gt;TODAY()),"",IF(AND(HP421="",HQ421=""),"",N(HQ421)-N(HP421)))</f>
        <v/>
      </c>
      <c r="HV421">
        <f>IF(OR(HT$3="",HT$3&gt;TODAY()),"",IF(AND(HT421="",HU421=""),"",N(HU421)-N(HT421)))</f>
        <v/>
      </c>
      <c r="HY421">
        <f>IF(OR(HT$3="",HT$3&gt;TODAY()),"",IF(AND(HW421="",HX421=""),"",N(HX421)-N(HW421)))</f>
        <v/>
      </c>
      <c r="IC421">
        <f>IF(OR(IA$3="",IA$3&gt;TODAY()),"",IF(AND(IA421="",IB421=""),"",N(IB421)-N(IA421)))</f>
        <v/>
      </c>
      <c r="IF421">
        <f>IF(OR(IA$3="",IA$3&gt;TODAY()),"",IF(AND(ID421="",IE421=""),"",N(IE421)-N(ID421)))</f>
        <v/>
      </c>
      <c r="IJ421">
        <f>IF(OR(IH$3="",IH$3&gt;TODAY()),"",IF(AND(IH421="",II421=""),"",N(II421)-N(IH421)))</f>
        <v/>
      </c>
      <c r="IM421">
        <f>IF(OR(IH$3="",IH$3&gt;TODAY()),"",IF(AND(IK421="",IL421=""),"",N(IL421)-N(IK421)))</f>
        <v/>
      </c>
    </row>
    <row r="422">
      <c r="A422" s="21" t="n"/>
      <c r="B422" s="21" t="n"/>
      <c r="C422" s="21" t="n"/>
      <c r="D422" s="21" t="n"/>
      <c r="E422" s="21" t="n"/>
      <c r="F422" s="21" t="n"/>
      <c r="G422" s="21" t="n"/>
      <c r="H422" s="21" t="n"/>
      <c r="I422" s="22" t="n"/>
      <c r="J422" s="22" t="n"/>
      <c r="K422" s="23" t="n"/>
      <c r="L422" s="22" t="n"/>
      <c r="M422" s="22" t="n"/>
      <c r="N422" s="21" t="n"/>
      <c r="O422" s="23" t="n"/>
      <c r="P422" s="23" t="n"/>
      <c r="Q422" s="23" t="n"/>
      <c r="R422" s="23" t="n"/>
      <c r="S422" s="22" t="n"/>
      <c r="T422" s="23" t="n"/>
      <c r="U422" s="23" t="n"/>
      <c r="V422" s="24">
        <f>IF(J422&lt;&gt;"",J422,IF(I422&lt;&gt;"",I422,""))</f>
        <v/>
      </c>
      <c r="W422" s="25">
        <f>IF($E422="","",N(O422)+SUMIFS($AF422:$IN422,$AF$4:$IN$4,"SEW_ACT"))</f>
        <v/>
      </c>
      <c r="X422" s="25">
        <f>IF($E422="","",N(P422)+SUMIFS($AF422:$IN422,$AF$4:$IN$4,"WASH_ACT"))</f>
        <v/>
      </c>
      <c r="Y422" s="25">
        <f>IF($E422="","",W422-X422-N(T422)-N(U422))</f>
        <v/>
      </c>
      <c r="Z422" s="25">
        <f>IF($E422="","",IF(N(K422)-X422&lt;=0.02*N(K422),0,N(K422)-X422))</f>
        <v/>
      </c>
      <c r="AA422" s="24">
        <f>IF($E422="","",IF(S422&lt;&gt;"",S422,IF(N(O422)&gt;0,IF(L422&lt;&gt;"",L422,99999),IFERROR(1/(1/_xlfn.MINIFS($AF$3:$IN$3,$AF$4:$IN$4,"SEW_ACT",$AF422:$IN422,"&gt;0")),99999))))</f>
        <v/>
      </c>
      <c r="AB422" s="26">
        <f>IF(OR($E422="",Z422=0,V422=""),"",1+COUNTIFS(Z$8:Z$707,"&gt;0",V$8:V$707,"&lt;"&amp;V422)+COUNTIFS(Z$8:Z$707,"&gt;0",V$8:V$707,V422,AA$8:AA$707,"&lt;"&amp;AA422)+COUNTIFS(Z$8:Z$707,"&gt;0",V$8:V$707,V422,AA$8:AA$707,AA422,E$8:E$707,"&lt;"&amp;$E422))</f>
        <v/>
      </c>
      <c r="AC422" s="24">
        <f>IF(OR($E422="",Z422=0),"",IFERROR(TODAY()+ROUNDUP(Z422/(SUMIFS($AF422:$IN422,$AF$4:$IN$4,"WASH_ACT")/COUNTIFS($AF$4:$IN$4,"WASH_ACT",$AF422:$IN422,"&gt;0")),0),"no output yet"))</f>
        <v/>
      </c>
      <c r="AD422" s="26">
        <f>IF($E422="","",IFERROR(ROUND(MAX(0,SUMIFS($AF422:$IN422,$AF$4:$IN$4,"SEW_PLAN",$AF$3:$IN$3,"&lt;="&amp;TODAY())-SUMIFS($AF422:$IN422,$AF$4:$IN$4,"SEW_ACT",$AF$3:$IN$3,"&lt;="&amp;TODAY())+N(Q422))/(SUMIFS($AF422:$IN422,$AF$4:$IN$4,"SEW_PLAN")/COUNTIFS($AF$4:$IN$4,"SEW_PLAN",$AF422:$IN422,"&gt;0")),1),0))</f>
        <v/>
      </c>
      <c r="AE422" s="26">
        <f>IF($E422="","",IF(AND(Z422&gt;0,OR(AND(M422&lt;&gt;"",TODAY()&gt;M422),AND(V422&lt;&gt;"",V422-TODAY()&lt;=7))),"Yes","No"))</f>
        <v/>
      </c>
      <c r="AH422">
        <f>IF(OR(AF$3="",AF$3&gt;TODAY()),"",IF(AND(AF422="",AG422=""),"",N(AG422)-N(AF422)))</f>
        <v/>
      </c>
      <c r="AK422">
        <f>IF(OR(AF$3="",AF$3&gt;TODAY()),"",IF(AND(AI422="",AJ422=""),"",N(AJ422)-N(AI422)))</f>
        <v/>
      </c>
      <c r="AO422">
        <f>IF(OR(AM$3="",AM$3&gt;TODAY()),"",IF(AND(AM422="",AN422=""),"",N(AN422)-N(AM422)))</f>
        <v/>
      </c>
      <c r="AR422">
        <f>IF(OR(AM$3="",AM$3&gt;TODAY()),"",IF(AND(AP422="",AQ422=""),"",N(AQ422)-N(AP422)))</f>
        <v/>
      </c>
      <c r="AV422">
        <f>IF(OR(AT$3="",AT$3&gt;TODAY()),"",IF(AND(AT422="",AU422=""),"",N(AU422)-N(AT422)))</f>
        <v/>
      </c>
      <c r="AY422">
        <f>IF(OR(AT$3="",AT$3&gt;TODAY()),"",IF(AND(AW422="",AX422=""),"",N(AX422)-N(AW422)))</f>
        <v/>
      </c>
      <c r="BC422">
        <f>IF(OR(BA$3="",BA$3&gt;TODAY()),"",IF(AND(BA422="",BB422=""),"",N(BB422)-N(BA422)))</f>
        <v/>
      </c>
      <c r="BF422">
        <f>IF(OR(BA$3="",BA$3&gt;TODAY()),"",IF(AND(BD422="",BE422=""),"",N(BE422)-N(BD422)))</f>
        <v/>
      </c>
      <c r="BJ422">
        <f>IF(OR(BH$3="",BH$3&gt;TODAY()),"",IF(AND(BH422="",BI422=""),"",N(BI422)-N(BH422)))</f>
        <v/>
      </c>
      <c r="BM422">
        <f>IF(OR(BH$3="",BH$3&gt;TODAY()),"",IF(AND(BK422="",BL422=""),"",N(BL422)-N(BK422)))</f>
        <v/>
      </c>
      <c r="BQ422">
        <f>IF(OR(BO$3="",BO$3&gt;TODAY()),"",IF(AND(BO422="",BP422=""),"",N(BP422)-N(BO422)))</f>
        <v/>
      </c>
      <c r="BT422">
        <f>IF(OR(BO$3="",BO$3&gt;TODAY()),"",IF(AND(BR422="",BS422=""),"",N(BS422)-N(BR422)))</f>
        <v/>
      </c>
      <c r="BX422">
        <f>IF(OR(BV$3="",BV$3&gt;TODAY()),"",IF(AND(BV422="",BW422=""),"",N(BW422)-N(BV422)))</f>
        <v/>
      </c>
      <c r="CA422">
        <f>IF(OR(BV$3="",BV$3&gt;TODAY()),"",IF(AND(BY422="",BZ422=""),"",N(BZ422)-N(BY422)))</f>
        <v/>
      </c>
      <c r="CE422">
        <f>IF(OR(CC$3="",CC$3&gt;TODAY()),"",IF(AND(CC422="",CD422=""),"",N(CD422)-N(CC422)))</f>
        <v/>
      </c>
      <c r="CH422">
        <f>IF(OR(CC$3="",CC$3&gt;TODAY()),"",IF(AND(CF422="",CG422=""),"",N(CG422)-N(CF422)))</f>
        <v/>
      </c>
      <c r="CL422">
        <f>IF(OR(CJ$3="",CJ$3&gt;TODAY()),"",IF(AND(CJ422="",CK422=""),"",N(CK422)-N(CJ422)))</f>
        <v/>
      </c>
      <c r="CO422">
        <f>IF(OR(CJ$3="",CJ$3&gt;TODAY()),"",IF(AND(CM422="",CN422=""),"",N(CN422)-N(CM422)))</f>
        <v/>
      </c>
      <c r="CS422">
        <f>IF(OR(CQ$3="",CQ$3&gt;TODAY()),"",IF(AND(CQ422="",CR422=""),"",N(CR422)-N(CQ422)))</f>
        <v/>
      </c>
      <c r="CV422">
        <f>IF(OR(CQ$3="",CQ$3&gt;TODAY()),"",IF(AND(CT422="",CU422=""),"",N(CU422)-N(CT422)))</f>
        <v/>
      </c>
      <c r="CZ422">
        <f>IF(OR(CX$3="",CX$3&gt;TODAY()),"",IF(AND(CX422="",CY422=""),"",N(CY422)-N(CX422)))</f>
        <v/>
      </c>
      <c r="DC422">
        <f>IF(OR(CX$3="",CX$3&gt;TODAY()),"",IF(AND(DA422="",DB422=""),"",N(DB422)-N(DA422)))</f>
        <v/>
      </c>
      <c r="DG422">
        <f>IF(OR(DE$3="",DE$3&gt;TODAY()),"",IF(AND(DE422="",DF422=""),"",N(DF422)-N(DE422)))</f>
        <v/>
      </c>
      <c r="DJ422">
        <f>IF(OR(DE$3="",DE$3&gt;TODAY()),"",IF(AND(DH422="",DI422=""),"",N(DI422)-N(DH422)))</f>
        <v/>
      </c>
      <c r="DN422">
        <f>IF(OR(DL$3="",DL$3&gt;TODAY()),"",IF(AND(DL422="",DM422=""),"",N(DM422)-N(DL422)))</f>
        <v/>
      </c>
      <c r="DQ422">
        <f>IF(OR(DL$3="",DL$3&gt;TODAY()),"",IF(AND(DO422="",DP422=""),"",N(DP422)-N(DO422)))</f>
        <v/>
      </c>
      <c r="DU422">
        <f>IF(OR(DS$3="",DS$3&gt;TODAY()),"",IF(AND(DS422="",DT422=""),"",N(DT422)-N(DS422)))</f>
        <v/>
      </c>
      <c r="DX422">
        <f>IF(OR(DS$3="",DS$3&gt;TODAY()),"",IF(AND(DV422="",DW422=""),"",N(DW422)-N(DV422)))</f>
        <v/>
      </c>
      <c r="EB422">
        <f>IF(OR(DZ$3="",DZ$3&gt;TODAY()),"",IF(AND(DZ422="",EA422=""),"",N(EA422)-N(DZ422)))</f>
        <v/>
      </c>
      <c r="EE422">
        <f>IF(OR(DZ$3="",DZ$3&gt;TODAY()),"",IF(AND(EC422="",ED422=""),"",N(ED422)-N(EC422)))</f>
        <v/>
      </c>
      <c r="EI422">
        <f>IF(OR(EG$3="",EG$3&gt;TODAY()),"",IF(AND(EG422="",EH422=""),"",N(EH422)-N(EG422)))</f>
        <v/>
      </c>
      <c r="EL422">
        <f>IF(OR(EG$3="",EG$3&gt;TODAY()),"",IF(AND(EJ422="",EK422=""),"",N(EK422)-N(EJ422)))</f>
        <v/>
      </c>
      <c r="EP422">
        <f>IF(OR(EN$3="",EN$3&gt;TODAY()),"",IF(AND(EN422="",EO422=""),"",N(EO422)-N(EN422)))</f>
        <v/>
      </c>
      <c r="ES422">
        <f>IF(OR(EN$3="",EN$3&gt;TODAY()),"",IF(AND(EQ422="",ER422=""),"",N(ER422)-N(EQ422)))</f>
        <v/>
      </c>
      <c r="EW422">
        <f>IF(OR(EU$3="",EU$3&gt;TODAY()),"",IF(AND(EU422="",EV422=""),"",N(EV422)-N(EU422)))</f>
        <v/>
      </c>
      <c r="EZ422">
        <f>IF(OR(EU$3="",EU$3&gt;TODAY()),"",IF(AND(EX422="",EY422=""),"",N(EY422)-N(EX422)))</f>
        <v/>
      </c>
      <c r="FD422">
        <f>IF(OR(FB$3="",FB$3&gt;TODAY()),"",IF(AND(FB422="",FC422=""),"",N(FC422)-N(FB422)))</f>
        <v/>
      </c>
      <c r="FG422">
        <f>IF(OR(FB$3="",FB$3&gt;TODAY()),"",IF(AND(FE422="",FF422=""),"",N(FF422)-N(FE422)))</f>
        <v/>
      </c>
      <c r="FK422">
        <f>IF(OR(FI$3="",FI$3&gt;TODAY()),"",IF(AND(FI422="",FJ422=""),"",N(FJ422)-N(FI422)))</f>
        <v/>
      </c>
      <c r="FN422">
        <f>IF(OR(FI$3="",FI$3&gt;TODAY()),"",IF(AND(FL422="",FM422=""),"",N(FM422)-N(FL422)))</f>
        <v/>
      </c>
      <c r="FR422">
        <f>IF(OR(FP$3="",FP$3&gt;TODAY()),"",IF(AND(FP422="",FQ422=""),"",N(FQ422)-N(FP422)))</f>
        <v/>
      </c>
      <c r="FU422">
        <f>IF(OR(FP$3="",FP$3&gt;TODAY()),"",IF(AND(FS422="",FT422=""),"",N(FT422)-N(FS422)))</f>
        <v/>
      </c>
      <c r="FY422">
        <f>IF(OR(FW$3="",FW$3&gt;TODAY()),"",IF(AND(FW422="",FX422=""),"",N(FX422)-N(FW422)))</f>
        <v/>
      </c>
      <c r="GB422">
        <f>IF(OR(FW$3="",FW$3&gt;TODAY()),"",IF(AND(FZ422="",GA422=""),"",N(GA422)-N(FZ422)))</f>
        <v/>
      </c>
      <c r="GF422">
        <f>IF(OR(GD$3="",GD$3&gt;TODAY()),"",IF(AND(GD422="",GE422=""),"",N(GE422)-N(GD422)))</f>
        <v/>
      </c>
      <c r="GI422">
        <f>IF(OR(GD$3="",GD$3&gt;TODAY()),"",IF(AND(GG422="",GH422=""),"",N(GH422)-N(GG422)))</f>
        <v/>
      </c>
      <c r="GM422">
        <f>IF(OR(GK$3="",GK$3&gt;TODAY()),"",IF(AND(GK422="",GL422=""),"",N(GL422)-N(GK422)))</f>
        <v/>
      </c>
      <c r="GP422">
        <f>IF(OR(GK$3="",GK$3&gt;TODAY()),"",IF(AND(GN422="",GO422=""),"",N(GO422)-N(GN422)))</f>
        <v/>
      </c>
      <c r="GT422">
        <f>IF(OR(GR$3="",GR$3&gt;TODAY()),"",IF(AND(GR422="",GS422=""),"",N(GS422)-N(GR422)))</f>
        <v/>
      </c>
      <c r="GW422">
        <f>IF(OR(GR$3="",GR$3&gt;TODAY()),"",IF(AND(GU422="",GV422=""),"",N(GV422)-N(GU422)))</f>
        <v/>
      </c>
      <c r="HA422">
        <f>IF(OR(GY$3="",GY$3&gt;TODAY()),"",IF(AND(GY422="",GZ422=""),"",N(GZ422)-N(GY422)))</f>
        <v/>
      </c>
      <c r="HD422">
        <f>IF(OR(GY$3="",GY$3&gt;TODAY()),"",IF(AND(HB422="",HC422=""),"",N(HC422)-N(HB422)))</f>
        <v/>
      </c>
      <c r="HH422">
        <f>IF(OR(HF$3="",HF$3&gt;TODAY()),"",IF(AND(HF422="",HG422=""),"",N(HG422)-N(HF422)))</f>
        <v/>
      </c>
      <c r="HK422">
        <f>IF(OR(HF$3="",HF$3&gt;TODAY()),"",IF(AND(HI422="",HJ422=""),"",N(HJ422)-N(HI422)))</f>
        <v/>
      </c>
      <c r="HO422">
        <f>IF(OR(HM$3="",HM$3&gt;TODAY()),"",IF(AND(HM422="",HN422=""),"",N(HN422)-N(HM422)))</f>
        <v/>
      </c>
      <c r="HR422">
        <f>IF(OR(HM$3="",HM$3&gt;TODAY()),"",IF(AND(HP422="",HQ422=""),"",N(HQ422)-N(HP422)))</f>
        <v/>
      </c>
      <c r="HV422">
        <f>IF(OR(HT$3="",HT$3&gt;TODAY()),"",IF(AND(HT422="",HU422=""),"",N(HU422)-N(HT422)))</f>
        <v/>
      </c>
      <c r="HY422">
        <f>IF(OR(HT$3="",HT$3&gt;TODAY()),"",IF(AND(HW422="",HX422=""),"",N(HX422)-N(HW422)))</f>
        <v/>
      </c>
      <c r="IC422">
        <f>IF(OR(IA$3="",IA$3&gt;TODAY()),"",IF(AND(IA422="",IB422=""),"",N(IB422)-N(IA422)))</f>
        <v/>
      </c>
      <c r="IF422">
        <f>IF(OR(IA$3="",IA$3&gt;TODAY()),"",IF(AND(ID422="",IE422=""),"",N(IE422)-N(ID422)))</f>
        <v/>
      </c>
      <c r="IJ422">
        <f>IF(OR(IH$3="",IH$3&gt;TODAY()),"",IF(AND(IH422="",II422=""),"",N(II422)-N(IH422)))</f>
        <v/>
      </c>
      <c r="IM422">
        <f>IF(OR(IH$3="",IH$3&gt;TODAY()),"",IF(AND(IK422="",IL422=""),"",N(IL422)-N(IK422)))</f>
        <v/>
      </c>
    </row>
    <row r="423">
      <c r="A423" s="21" t="n"/>
      <c r="B423" s="21" t="n"/>
      <c r="C423" s="21" t="n"/>
      <c r="D423" s="21" t="n"/>
      <c r="E423" s="21" t="n"/>
      <c r="F423" s="21" t="n"/>
      <c r="G423" s="21" t="n"/>
      <c r="H423" s="21" t="n"/>
      <c r="I423" s="22" t="n"/>
      <c r="J423" s="22" t="n"/>
      <c r="K423" s="23" t="n"/>
      <c r="L423" s="22" t="n"/>
      <c r="M423" s="22" t="n"/>
      <c r="N423" s="21" t="n"/>
      <c r="O423" s="23" t="n"/>
      <c r="P423" s="23" t="n"/>
      <c r="Q423" s="23" t="n"/>
      <c r="R423" s="23" t="n"/>
      <c r="S423" s="22" t="n"/>
      <c r="T423" s="23" t="n"/>
      <c r="U423" s="23" t="n"/>
      <c r="V423" s="24">
        <f>IF(J423&lt;&gt;"",J423,IF(I423&lt;&gt;"",I423,""))</f>
        <v/>
      </c>
      <c r="W423" s="25">
        <f>IF($E423="","",N(O423)+SUMIFS($AF423:$IN423,$AF$4:$IN$4,"SEW_ACT"))</f>
        <v/>
      </c>
      <c r="X423" s="25">
        <f>IF($E423="","",N(P423)+SUMIFS($AF423:$IN423,$AF$4:$IN$4,"WASH_ACT"))</f>
        <v/>
      </c>
      <c r="Y423" s="25">
        <f>IF($E423="","",W423-X423-N(T423)-N(U423))</f>
        <v/>
      </c>
      <c r="Z423" s="25">
        <f>IF($E423="","",IF(N(K423)-X423&lt;=0.02*N(K423),0,N(K423)-X423))</f>
        <v/>
      </c>
      <c r="AA423" s="24">
        <f>IF($E423="","",IF(S423&lt;&gt;"",S423,IF(N(O423)&gt;0,IF(L423&lt;&gt;"",L423,99999),IFERROR(1/(1/_xlfn.MINIFS($AF$3:$IN$3,$AF$4:$IN$4,"SEW_ACT",$AF423:$IN423,"&gt;0")),99999))))</f>
        <v/>
      </c>
      <c r="AB423" s="26">
        <f>IF(OR($E423="",Z423=0,V423=""),"",1+COUNTIFS(Z$8:Z$707,"&gt;0",V$8:V$707,"&lt;"&amp;V423)+COUNTIFS(Z$8:Z$707,"&gt;0",V$8:V$707,V423,AA$8:AA$707,"&lt;"&amp;AA423)+COUNTIFS(Z$8:Z$707,"&gt;0",V$8:V$707,V423,AA$8:AA$707,AA423,E$8:E$707,"&lt;"&amp;$E423))</f>
        <v/>
      </c>
      <c r="AC423" s="24">
        <f>IF(OR($E423="",Z423=0),"",IFERROR(TODAY()+ROUNDUP(Z423/(SUMIFS($AF423:$IN423,$AF$4:$IN$4,"WASH_ACT")/COUNTIFS($AF$4:$IN$4,"WASH_ACT",$AF423:$IN423,"&gt;0")),0),"no output yet"))</f>
        <v/>
      </c>
      <c r="AD423" s="26">
        <f>IF($E423="","",IFERROR(ROUND(MAX(0,SUMIFS($AF423:$IN423,$AF$4:$IN$4,"SEW_PLAN",$AF$3:$IN$3,"&lt;="&amp;TODAY())-SUMIFS($AF423:$IN423,$AF$4:$IN$4,"SEW_ACT",$AF$3:$IN$3,"&lt;="&amp;TODAY())+N(Q423))/(SUMIFS($AF423:$IN423,$AF$4:$IN$4,"SEW_PLAN")/COUNTIFS($AF$4:$IN$4,"SEW_PLAN",$AF423:$IN423,"&gt;0")),1),0))</f>
        <v/>
      </c>
      <c r="AE423" s="26">
        <f>IF($E423="","",IF(AND(Z423&gt;0,OR(AND(M423&lt;&gt;"",TODAY()&gt;M423),AND(V423&lt;&gt;"",V423-TODAY()&lt;=7))),"Yes","No"))</f>
        <v/>
      </c>
      <c r="AH423">
        <f>IF(OR(AF$3="",AF$3&gt;TODAY()),"",IF(AND(AF423="",AG423=""),"",N(AG423)-N(AF423)))</f>
        <v/>
      </c>
      <c r="AK423">
        <f>IF(OR(AF$3="",AF$3&gt;TODAY()),"",IF(AND(AI423="",AJ423=""),"",N(AJ423)-N(AI423)))</f>
        <v/>
      </c>
      <c r="AO423">
        <f>IF(OR(AM$3="",AM$3&gt;TODAY()),"",IF(AND(AM423="",AN423=""),"",N(AN423)-N(AM423)))</f>
        <v/>
      </c>
      <c r="AR423">
        <f>IF(OR(AM$3="",AM$3&gt;TODAY()),"",IF(AND(AP423="",AQ423=""),"",N(AQ423)-N(AP423)))</f>
        <v/>
      </c>
      <c r="AV423">
        <f>IF(OR(AT$3="",AT$3&gt;TODAY()),"",IF(AND(AT423="",AU423=""),"",N(AU423)-N(AT423)))</f>
        <v/>
      </c>
      <c r="AY423">
        <f>IF(OR(AT$3="",AT$3&gt;TODAY()),"",IF(AND(AW423="",AX423=""),"",N(AX423)-N(AW423)))</f>
        <v/>
      </c>
      <c r="BC423">
        <f>IF(OR(BA$3="",BA$3&gt;TODAY()),"",IF(AND(BA423="",BB423=""),"",N(BB423)-N(BA423)))</f>
        <v/>
      </c>
      <c r="BF423">
        <f>IF(OR(BA$3="",BA$3&gt;TODAY()),"",IF(AND(BD423="",BE423=""),"",N(BE423)-N(BD423)))</f>
        <v/>
      </c>
      <c r="BJ423">
        <f>IF(OR(BH$3="",BH$3&gt;TODAY()),"",IF(AND(BH423="",BI423=""),"",N(BI423)-N(BH423)))</f>
        <v/>
      </c>
      <c r="BM423">
        <f>IF(OR(BH$3="",BH$3&gt;TODAY()),"",IF(AND(BK423="",BL423=""),"",N(BL423)-N(BK423)))</f>
        <v/>
      </c>
      <c r="BQ423">
        <f>IF(OR(BO$3="",BO$3&gt;TODAY()),"",IF(AND(BO423="",BP423=""),"",N(BP423)-N(BO423)))</f>
        <v/>
      </c>
      <c r="BT423">
        <f>IF(OR(BO$3="",BO$3&gt;TODAY()),"",IF(AND(BR423="",BS423=""),"",N(BS423)-N(BR423)))</f>
        <v/>
      </c>
      <c r="BX423">
        <f>IF(OR(BV$3="",BV$3&gt;TODAY()),"",IF(AND(BV423="",BW423=""),"",N(BW423)-N(BV423)))</f>
        <v/>
      </c>
      <c r="CA423">
        <f>IF(OR(BV$3="",BV$3&gt;TODAY()),"",IF(AND(BY423="",BZ423=""),"",N(BZ423)-N(BY423)))</f>
        <v/>
      </c>
      <c r="CE423">
        <f>IF(OR(CC$3="",CC$3&gt;TODAY()),"",IF(AND(CC423="",CD423=""),"",N(CD423)-N(CC423)))</f>
        <v/>
      </c>
      <c r="CH423">
        <f>IF(OR(CC$3="",CC$3&gt;TODAY()),"",IF(AND(CF423="",CG423=""),"",N(CG423)-N(CF423)))</f>
        <v/>
      </c>
      <c r="CL423">
        <f>IF(OR(CJ$3="",CJ$3&gt;TODAY()),"",IF(AND(CJ423="",CK423=""),"",N(CK423)-N(CJ423)))</f>
        <v/>
      </c>
      <c r="CO423">
        <f>IF(OR(CJ$3="",CJ$3&gt;TODAY()),"",IF(AND(CM423="",CN423=""),"",N(CN423)-N(CM423)))</f>
        <v/>
      </c>
      <c r="CS423">
        <f>IF(OR(CQ$3="",CQ$3&gt;TODAY()),"",IF(AND(CQ423="",CR423=""),"",N(CR423)-N(CQ423)))</f>
        <v/>
      </c>
      <c r="CV423">
        <f>IF(OR(CQ$3="",CQ$3&gt;TODAY()),"",IF(AND(CT423="",CU423=""),"",N(CU423)-N(CT423)))</f>
        <v/>
      </c>
      <c r="CZ423">
        <f>IF(OR(CX$3="",CX$3&gt;TODAY()),"",IF(AND(CX423="",CY423=""),"",N(CY423)-N(CX423)))</f>
        <v/>
      </c>
      <c r="DC423">
        <f>IF(OR(CX$3="",CX$3&gt;TODAY()),"",IF(AND(DA423="",DB423=""),"",N(DB423)-N(DA423)))</f>
        <v/>
      </c>
      <c r="DG423">
        <f>IF(OR(DE$3="",DE$3&gt;TODAY()),"",IF(AND(DE423="",DF423=""),"",N(DF423)-N(DE423)))</f>
        <v/>
      </c>
      <c r="DJ423">
        <f>IF(OR(DE$3="",DE$3&gt;TODAY()),"",IF(AND(DH423="",DI423=""),"",N(DI423)-N(DH423)))</f>
        <v/>
      </c>
      <c r="DN423">
        <f>IF(OR(DL$3="",DL$3&gt;TODAY()),"",IF(AND(DL423="",DM423=""),"",N(DM423)-N(DL423)))</f>
        <v/>
      </c>
      <c r="DQ423">
        <f>IF(OR(DL$3="",DL$3&gt;TODAY()),"",IF(AND(DO423="",DP423=""),"",N(DP423)-N(DO423)))</f>
        <v/>
      </c>
      <c r="DU423">
        <f>IF(OR(DS$3="",DS$3&gt;TODAY()),"",IF(AND(DS423="",DT423=""),"",N(DT423)-N(DS423)))</f>
        <v/>
      </c>
      <c r="DX423">
        <f>IF(OR(DS$3="",DS$3&gt;TODAY()),"",IF(AND(DV423="",DW423=""),"",N(DW423)-N(DV423)))</f>
        <v/>
      </c>
      <c r="EB423">
        <f>IF(OR(DZ$3="",DZ$3&gt;TODAY()),"",IF(AND(DZ423="",EA423=""),"",N(EA423)-N(DZ423)))</f>
        <v/>
      </c>
      <c r="EE423">
        <f>IF(OR(DZ$3="",DZ$3&gt;TODAY()),"",IF(AND(EC423="",ED423=""),"",N(ED423)-N(EC423)))</f>
        <v/>
      </c>
      <c r="EI423">
        <f>IF(OR(EG$3="",EG$3&gt;TODAY()),"",IF(AND(EG423="",EH423=""),"",N(EH423)-N(EG423)))</f>
        <v/>
      </c>
      <c r="EL423">
        <f>IF(OR(EG$3="",EG$3&gt;TODAY()),"",IF(AND(EJ423="",EK423=""),"",N(EK423)-N(EJ423)))</f>
        <v/>
      </c>
      <c r="EP423">
        <f>IF(OR(EN$3="",EN$3&gt;TODAY()),"",IF(AND(EN423="",EO423=""),"",N(EO423)-N(EN423)))</f>
        <v/>
      </c>
      <c r="ES423">
        <f>IF(OR(EN$3="",EN$3&gt;TODAY()),"",IF(AND(EQ423="",ER423=""),"",N(ER423)-N(EQ423)))</f>
        <v/>
      </c>
      <c r="EW423">
        <f>IF(OR(EU$3="",EU$3&gt;TODAY()),"",IF(AND(EU423="",EV423=""),"",N(EV423)-N(EU423)))</f>
        <v/>
      </c>
      <c r="EZ423">
        <f>IF(OR(EU$3="",EU$3&gt;TODAY()),"",IF(AND(EX423="",EY423=""),"",N(EY423)-N(EX423)))</f>
        <v/>
      </c>
      <c r="FD423">
        <f>IF(OR(FB$3="",FB$3&gt;TODAY()),"",IF(AND(FB423="",FC423=""),"",N(FC423)-N(FB423)))</f>
        <v/>
      </c>
      <c r="FG423">
        <f>IF(OR(FB$3="",FB$3&gt;TODAY()),"",IF(AND(FE423="",FF423=""),"",N(FF423)-N(FE423)))</f>
        <v/>
      </c>
      <c r="FK423">
        <f>IF(OR(FI$3="",FI$3&gt;TODAY()),"",IF(AND(FI423="",FJ423=""),"",N(FJ423)-N(FI423)))</f>
        <v/>
      </c>
      <c r="FN423">
        <f>IF(OR(FI$3="",FI$3&gt;TODAY()),"",IF(AND(FL423="",FM423=""),"",N(FM423)-N(FL423)))</f>
        <v/>
      </c>
      <c r="FR423">
        <f>IF(OR(FP$3="",FP$3&gt;TODAY()),"",IF(AND(FP423="",FQ423=""),"",N(FQ423)-N(FP423)))</f>
        <v/>
      </c>
      <c r="FU423">
        <f>IF(OR(FP$3="",FP$3&gt;TODAY()),"",IF(AND(FS423="",FT423=""),"",N(FT423)-N(FS423)))</f>
        <v/>
      </c>
      <c r="FY423">
        <f>IF(OR(FW$3="",FW$3&gt;TODAY()),"",IF(AND(FW423="",FX423=""),"",N(FX423)-N(FW423)))</f>
        <v/>
      </c>
      <c r="GB423">
        <f>IF(OR(FW$3="",FW$3&gt;TODAY()),"",IF(AND(FZ423="",GA423=""),"",N(GA423)-N(FZ423)))</f>
        <v/>
      </c>
      <c r="GF423">
        <f>IF(OR(GD$3="",GD$3&gt;TODAY()),"",IF(AND(GD423="",GE423=""),"",N(GE423)-N(GD423)))</f>
        <v/>
      </c>
      <c r="GI423">
        <f>IF(OR(GD$3="",GD$3&gt;TODAY()),"",IF(AND(GG423="",GH423=""),"",N(GH423)-N(GG423)))</f>
        <v/>
      </c>
      <c r="GM423">
        <f>IF(OR(GK$3="",GK$3&gt;TODAY()),"",IF(AND(GK423="",GL423=""),"",N(GL423)-N(GK423)))</f>
        <v/>
      </c>
      <c r="GP423">
        <f>IF(OR(GK$3="",GK$3&gt;TODAY()),"",IF(AND(GN423="",GO423=""),"",N(GO423)-N(GN423)))</f>
        <v/>
      </c>
      <c r="GT423">
        <f>IF(OR(GR$3="",GR$3&gt;TODAY()),"",IF(AND(GR423="",GS423=""),"",N(GS423)-N(GR423)))</f>
        <v/>
      </c>
      <c r="GW423">
        <f>IF(OR(GR$3="",GR$3&gt;TODAY()),"",IF(AND(GU423="",GV423=""),"",N(GV423)-N(GU423)))</f>
        <v/>
      </c>
      <c r="HA423">
        <f>IF(OR(GY$3="",GY$3&gt;TODAY()),"",IF(AND(GY423="",GZ423=""),"",N(GZ423)-N(GY423)))</f>
        <v/>
      </c>
      <c r="HD423">
        <f>IF(OR(GY$3="",GY$3&gt;TODAY()),"",IF(AND(HB423="",HC423=""),"",N(HC423)-N(HB423)))</f>
        <v/>
      </c>
      <c r="HH423">
        <f>IF(OR(HF$3="",HF$3&gt;TODAY()),"",IF(AND(HF423="",HG423=""),"",N(HG423)-N(HF423)))</f>
        <v/>
      </c>
      <c r="HK423">
        <f>IF(OR(HF$3="",HF$3&gt;TODAY()),"",IF(AND(HI423="",HJ423=""),"",N(HJ423)-N(HI423)))</f>
        <v/>
      </c>
      <c r="HO423">
        <f>IF(OR(HM$3="",HM$3&gt;TODAY()),"",IF(AND(HM423="",HN423=""),"",N(HN423)-N(HM423)))</f>
        <v/>
      </c>
      <c r="HR423">
        <f>IF(OR(HM$3="",HM$3&gt;TODAY()),"",IF(AND(HP423="",HQ423=""),"",N(HQ423)-N(HP423)))</f>
        <v/>
      </c>
      <c r="HV423">
        <f>IF(OR(HT$3="",HT$3&gt;TODAY()),"",IF(AND(HT423="",HU423=""),"",N(HU423)-N(HT423)))</f>
        <v/>
      </c>
      <c r="HY423">
        <f>IF(OR(HT$3="",HT$3&gt;TODAY()),"",IF(AND(HW423="",HX423=""),"",N(HX423)-N(HW423)))</f>
        <v/>
      </c>
      <c r="IC423">
        <f>IF(OR(IA$3="",IA$3&gt;TODAY()),"",IF(AND(IA423="",IB423=""),"",N(IB423)-N(IA423)))</f>
        <v/>
      </c>
      <c r="IF423">
        <f>IF(OR(IA$3="",IA$3&gt;TODAY()),"",IF(AND(ID423="",IE423=""),"",N(IE423)-N(ID423)))</f>
        <v/>
      </c>
      <c r="IJ423">
        <f>IF(OR(IH$3="",IH$3&gt;TODAY()),"",IF(AND(IH423="",II423=""),"",N(II423)-N(IH423)))</f>
        <v/>
      </c>
      <c r="IM423">
        <f>IF(OR(IH$3="",IH$3&gt;TODAY()),"",IF(AND(IK423="",IL423=""),"",N(IL423)-N(IK423)))</f>
        <v/>
      </c>
    </row>
    <row r="424">
      <c r="A424" s="21" t="n"/>
      <c r="B424" s="21" t="n"/>
      <c r="C424" s="21" t="n"/>
      <c r="D424" s="21" t="n"/>
      <c r="E424" s="21" t="n"/>
      <c r="F424" s="21" t="n"/>
      <c r="G424" s="21" t="n"/>
      <c r="H424" s="21" t="n"/>
      <c r="I424" s="22" t="n"/>
      <c r="J424" s="22" t="n"/>
      <c r="K424" s="23" t="n"/>
      <c r="L424" s="22" t="n"/>
      <c r="M424" s="22" t="n"/>
      <c r="N424" s="21" t="n"/>
      <c r="O424" s="23" t="n"/>
      <c r="P424" s="23" t="n"/>
      <c r="Q424" s="23" t="n"/>
      <c r="R424" s="23" t="n"/>
      <c r="S424" s="22" t="n"/>
      <c r="T424" s="23" t="n"/>
      <c r="U424" s="23" t="n"/>
      <c r="V424" s="24">
        <f>IF(J424&lt;&gt;"",J424,IF(I424&lt;&gt;"",I424,""))</f>
        <v/>
      </c>
      <c r="W424" s="25">
        <f>IF($E424="","",N(O424)+SUMIFS($AF424:$IN424,$AF$4:$IN$4,"SEW_ACT"))</f>
        <v/>
      </c>
      <c r="X424" s="25">
        <f>IF($E424="","",N(P424)+SUMIFS($AF424:$IN424,$AF$4:$IN$4,"WASH_ACT"))</f>
        <v/>
      </c>
      <c r="Y424" s="25">
        <f>IF($E424="","",W424-X424-N(T424)-N(U424))</f>
        <v/>
      </c>
      <c r="Z424" s="25">
        <f>IF($E424="","",IF(N(K424)-X424&lt;=0.02*N(K424),0,N(K424)-X424))</f>
        <v/>
      </c>
      <c r="AA424" s="24">
        <f>IF($E424="","",IF(S424&lt;&gt;"",S424,IF(N(O424)&gt;0,IF(L424&lt;&gt;"",L424,99999),IFERROR(1/(1/_xlfn.MINIFS($AF$3:$IN$3,$AF$4:$IN$4,"SEW_ACT",$AF424:$IN424,"&gt;0")),99999))))</f>
        <v/>
      </c>
      <c r="AB424" s="26">
        <f>IF(OR($E424="",Z424=0,V424=""),"",1+COUNTIFS(Z$8:Z$707,"&gt;0",V$8:V$707,"&lt;"&amp;V424)+COUNTIFS(Z$8:Z$707,"&gt;0",V$8:V$707,V424,AA$8:AA$707,"&lt;"&amp;AA424)+COUNTIFS(Z$8:Z$707,"&gt;0",V$8:V$707,V424,AA$8:AA$707,AA424,E$8:E$707,"&lt;"&amp;$E424))</f>
        <v/>
      </c>
      <c r="AC424" s="24">
        <f>IF(OR($E424="",Z424=0),"",IFERROR(TODAY()+ROUNDUP(Z424/(SUMIFS($AF424:$IN424,$AF$4:$IN$4,"WASH_ACT")/COUNTIFS($AF$4:$IN$4,"WASH_ACT",$AF424:$IN424,"&gt;0")),0),"no output yet"))</f>
        <v/>
      </c>
      <c r="AD424" s="26">
        <f>IF($E424="","",IFERROR(ROUND(MAX(0,SUMIFS($AF424:$IN424,$AF$4:$IN$4,"SEW_PLAN",$AF$3:$IN$3,"&lt;="&amp;TODAY())-SUMIFS($AF424:$IN424,$AF$4:$IN$4,"SEW_ACT",$AF$3:$IN$3,"&lt;="&amp;TODAY())+N(Q424))/(SUMIFS($AF424:$IN424,$AF$4:$IN$4,"SEW_PLAN")/COUNTIFS($AF$4:$IN$4,"SEW_PLAN",$AF424:$IN424,"&gt;0")),1),0))</f>
        <v/>
      </c>
      <c r="AE424" s="26">
        <f>IF($E424="","",IF(AND(Z424&gt;0,OR(AND(M424&lt;&gt;"",TODAY()&gt;M424),AND(V424&lt;&gt;"",V424-TODAY()&lt;=7))),"Yes","No"))</f>
        <v/>
      </c>
      <c r="AH424">
        <f>IF(OR(AF$3="",AF$3&gt;TODAY()),"",IF(AND(AF424="",AG424=""),"",N(AG424)-N(AF424)))</f>
        <v/>
      </c>
      <c r="AK424">
        <f>IF(OR(AF$3="",AF$3&gt;TODAY()),"",IF(AND(AI424="",AJ424=""),"",N(AJ424)-N(AI424)))</f>
        <v/>
      </c>
      <c r="AO424">
        <f>IF(OR(AM$3="",AM$3&gt;TODAY()),"",IF(AND(AM424="",AN424=""),"",N(AN424)-N(AM424)))</f>
        <v/>
      </c>
      <c r="AR424">
        <f>IF(OR(AM$3="",AM$3&gt;TODAY()),"",IF(AND(AP424="",AQ424=""),"",N(AQ424)-N(AP424)))</f>
        <v/>
      </c>
      <c r="AV424">
        <f>IF(OR(AT$3="",AT$3&gt;TODAY()),"",IF(AND(AT424="",AU424=""),"",N(AU424)-N(AT424)))</f>
        <v/>
      </c>
      <c r="AY424">
        <f>IF(OR(AT$3="",AT$3&gt;TODAY()),"",IF(AND(AW424="",AX424=""),"",N(AX424)-N(AW424)))</f>
        <v/>
      </c>
      <c r="BC424">
        <f>IF(OR(BA$3="",BA$3&gt;TODAY()),"",IF(AND(BA424="",BB424=""),"",N(BB424)-N(BA424)))</f>
        <v/>
      </c>
      <c r="BF424">
        <f>IF(OR(BA$3="",BA$3&gt;TODAY()),"",IF(AND(BD424="",BE424=""),"",N(BE424)-N(BD424)))</f>
        <v/>
      </c>
      <c r="BJ424">
        <f>IF(OR(BH$3="",BH$3&gt;TODAY()),"",IF(AND(BH424="",BI424=""),"",N(BI424)-N(BH424)))</f>
        <v/>
      </c>
      <c r="BM424">
        <f>IF(OR(BH$3="",BH$3&gt;TODAY()),"",IF(AND(BK424="",BL424=""),"",N(BL424)-N(BK424)))</f>
        <v/>
      </c>
      <c r="BQ424">
        <f>IF(OR(BO$3="",BO$3&gt;TODAY()),"",IF(AND(BO424="",BP424=""),"",N(BP424)-N(BO424)))</f>
        <v/>
      </c>
      <c r="BT424">
        <f>IF(OR(BO$3="",BO$3&gt;TODAY()),"",IF(AND(BR424="",BS424=""),"",N(BS424)-N(BR424)))</f>
        <v/>
      </c>
      <c r="BX424">
        <f>IF(OR(BV$3="",BV$3&gt;TODAY()),"",IF(AND(BV424="",BW424=""),"",N(BW424)-N(BV424)))</f>
        <v/>
      </c>
      <c r="CA424">
        <f>IF(OR(BV$3="",BV$3&gt;TODAY()),"",IF(AND(BY424="",BZ424=""),"",N(BZ424)-N(BY424)))</f>
        <v/>
      </c>
      <c r="CE424">
        <f>IF(OR(CC$3="",CC$3&gt;TODAY()),"",IF(AND(CC424="",CD424=""),"",N(CD424)-N(CC424)))</f>
        <v/>
      </c>
      <c r="CH424">
        <f>IF(OR(CC$3="",CC$3&gt;TODAY()),"",IF(AND(CF424="",CG424=""),"",N(CG424)-N(CF424)))</f>
        <v/>
      </c>
      <c r="CL424">
        <f>IF(OR(CJ$3="",CJ$3&gt;TODAY()),"",IF(AND(CJ424="",CK424=""),"",N(CK424)-N(CJ424)))</f>
        <v/>
      </c>
      <c r="CO424">
        <f>IF(OR(CJ$3="",CJ$3&gt;TODAY()),"",IF(AND(CM424="",CN424=""),"",N(CN424)-N(CM424)))</f>
        <v/>
      </c>
      <c r="CS424">
        <f>IF(OR(CQ$3="",CQ$3&gt;TODAY()),"",IF(AND(CQ424="",CR424=""),"",N(CR424)-N(CQ424)))</f>
        <v/>
      </c>
      <c r="CV424">
        <f>IF(OR(CQ$3="",CQ$3&gt;TODAY()),"",IF(AND(CT424="",CU424=""),"",N(CU424)-N(CT424)))</f>
        <v/>
      </c>
      <c r="CZ424">
        <f>IF(OR(CX$3="",CX$3&gt;TODAY()),"",IF(AND(CX424="",CY424=""),"",N(CY424)-N(CX424)))</f>
        <v/>
      </c>
      <c r="DC424">
        <f>IF(OR(CX$3="",CX$3&gt;TODAY()),"",IF(AND(DA424="",DB424=""),"",N(DB424)-N(DA424)))</f>
        <v/>
      </c>
      <c r="DG424">
        <f>IF(OR(DE$3="",DE$3&gt;TODAY()),"",IF(AND(DE424="",DF424=""),"",N(DF424)-N(DE424)))</f>
        <v/>
      </c>
      <c r="DJ424">
        <f>IF(OR(DE$3="",DE$3&gt;TODAY()),"",IF(AND(DH424="",DI424=""),"",N(DI424)-N(DH424)))</f>
        <v/>
      </c>
      <c r="DN424">
        <f>IF(OR(DL$3="",DL$3&gt;TODAY()),"",IF(AND(DL424="",DM424=""),"",N(DM424)-N(DL424)))</f>
        <v/>
      </c>
      <c r="DQ424">
        <f>IF(OR(DL$3="",DL$3&gt;TODAY()),"",IF(AND(DO424="",DP424=""),"",N(DP424)-N(DO424)))</f>
        <v/>
      </c>
      <c r="DU424">
        <f>IF(OR(DS$3="",DS$3&gt;TODAY()),"",IF(AND(DS424="",DT424=""),"",N(DT424)-N(DS424)))</f>
        <v/>
      </c>
      <c r="DX424">
        <f>IF(OR(DS$3="",DS$3&gt;TODAY()),"",IF(AND(DV424="",DW424=""),"",N(DW424)-N(DV424)))</f>
        <v/>
      </c>
      <c r="EB424">
        <f>IF(OR(DZ$3="",DZ$3&gt;TODAY()),"",IF(AND(DZ424="",EA424=""),"",N(EA424)-N(DZ424)))</f>
        <v/>
      </c>
      <c r="EE424">
        <f>IF(OR(DZ$3="",DZ$3&gt;TODAY()),"",IF(AND(EC424="",ED424=""),"",N(ED424)-N(EC424)))</f>
        <v/>
      </c>
      <c r="EI424">
        <f>IF(OR(EG$3="",EG$3&gt;TODAY()),"",IF(AND(EG424="",EH424=""),"",N(EH424)-N(EG424)))</f>
        <v/>
      </c>
      <c r="EL424">
        <f>IF(OR(EG$3="",EG$3&gt;TODAY()),"",IF(AND(EJ424="",EK424=""),"",N(EK424)-N(EJ424)))</f>
        <v/>
      </c>
      <c r="EP424">
        <f>IF(OR(EN$3="",EN$3&gt;TODAY()),"",IF(AND(EN424="",EO424=""),"",N(EO424)-N(EN424)))</f>
        <v/>
      </c>
      <c r="ES424">
        <f>IF(OR(EN$3="",EN$3&gt;TODAY()),"",IF(AND(EQ424="",ER424=""),"",N(ER424)-N(EQ424)))</f>
        <v/>
      </c>
      <c r="EW424">
        <f>IF(OR(EU$3="",EU$3&gt;TODAY()),"",IF(AND(EU424="",EV424=""),"",N(EV424)-N(EU424)))</f>
        <v/>
      </c>
      <c r="EZ424">
        <f>IF(OR(EU$3="",EU$3&gt;TODAY()),"",IF(AND(EX424="",EY424=""),"",N(EY424)-N(EX424)))</f>
        <v/>
      </c>
      <c r="FD424">
        <f>IF(OR(FB$3="",FB$3&gt;TODAY()),"",IF(AND(FB424="",FC424=""),"",N(FC424)-N(FB424)))</f>
        <v/>
      </c>
      <c r="FG424">
        <f>IF(OR(FB$3="",FB$3&gt;TODAY()),"",IF(AND(FE424="",FF424=""),"",N(FF424)-N(FE424)))</f>
        <v/>
      </c>
      <c r="FK424">
        <f>IF(OR(FI$3="",FI$3&gt;TODAY()),"",IF(AND(FI424="",FJ424=""),"",N(FJ424)-N(FI424)))</f>
        <v/>
      </c>
      <c r="FN424">
        <f>IF(OR(FI$3="",FI$3&gt;TODAY()),"",IF(AND(FL424="",FM424=""),"",N(FM424)-N(FL424)))</f>
        <v/>
      </c>
      <c r="FR424">
        <f>IF(OR(FP$3="",FP$3&gt;TODAY()),"",IF(AND(FP424="",FQ424=""),"",N(FQ424)-N(FP424)))</f>
        <v/>
      </c>
      <c r="FU424">
        <f>IF(OR(FP$3="",FP$3&gt;TODAY()),"",IF(AND(FS424="",FT424=""),"",N(FT424)-N(FS424)))</f>
        <v/>
      </c>
      <c r="FY424">
        <f>IF(OR(FW$3="",FW$3&gt;TODAY()),"",IF(AND(FW424="",FX424=""),"",N(FX424)-N(FW424)))</f>
        <v/>
      </c>
      <c r="GB424">
        <f>IF(OR(FW$3="",FW$3&gt;TODAY()),"",IF(AND(FZ424="",GA424=""),"",N(GA424)-N(FZ424)))</f>
        <v/>
      </c>
      <c r="GF424">
        <f>IF(OR(GD$3="",GD$3&gt;TODAY()),"",IF(AND(GD424="",GE424=""),"",N(GE424)-N(GD424)))</f>
        <v/>
      </c>
      <c r="GI424">
        <f>IF(OR(GD$3="",GD$3&gt;TODAY()),"",IF(AND(GG424="",GH424=""),"",N(GH424)-N(GG424)))</f>
        <v/>
      </c>
      <c r="GM424">
        <f>IF(OR(GK$3="",GK$3&gt;TODAY()),"",IF(AND(GK424="",GL424=""),"",N(GL424)-N(GK424)))</f>
        <v/>
      </c>
      <c r="GP424">
        <f>IF(OR(GK$3="",GK$3&gt;TODAY()),"",IF(AND(GN424="",GO424=""),"",N(GO424)-N(GN424)))</f>
        <v/>
      </c>
      <c r="GT424">
        <f>IF(OR(GR$3="",GR$3&gt;TODAY()),"",IF(AND(GR424="",GS424=""),"",N(GS424)-N(GR424)))</f>
        <v/>
      </c>
      <c r="GW424">
        <f>IF(OR(GR$3="",GR$3&gt;TODAY()),"",IF(AND(GU424="",GV424=""),"",N(GV424)-N(GU424)))</f>
        <v/>
      </c>
      <c r="HA424">
        <f>IF(OR(GY$3="",GY$3&gt;TODAY()),"",IF(AND(GY424="",GZ424=""),"",N(GZ424)-N(GY424)))</f>
        <v/>
      </c>
      <c r="HD424">
        <f>IF(OR(GY$3="",GY$3&gt;TODAY()),"",IF(AND(HB424="",HC424=""),"",N(HC424)-N(HB424)))</f>
        <v/>
      </c>
      <c r="HH424">
        <f>IF(OR(HF$3="",HF$3&gt;TODAY()),"",IF(AND(HF424="",HG424=""),"",N(HG424)-N(HF424)))</f>
        <v/>
      </c>
      <c r="HK424">
        <f>IF(OR(HF$3="",HF$3&gt;TODAY()),"",IF(AND(HI424="",HJ424=""),"",N(HJ424)-N(HI424)))</f>
        <v/>
      </c>
      <c r="HO424">
        <f>IF(OR(HM$3="",HM$3&gt;TODAY()),"",IF(AND(HM424="",HN424=""),"",N(HN424)-N(HM424)))</f>
        <v/>
      </c>
      <c r="HR424">
        <f>IF(OR(HM$3="",HM$3&gt;TODAY()),"",IF(AND(HP424="",HQ424=""),"",N(HQ424)-N(HP424)))</f>
        <v/>
      </c>
      <c r="HV424">
        <f>IF(OR(HT$3="",HT$3&gt;TODAY()),"",IF(AND(HT424="",HU424=""),"",N(HU424)-N(HT424)))</f>
        <v/>
      </c>
      <c r="HY424">
        <f>IF(OR(HT$3="",HT$3&gt;TODAY()),"",IF(AND(HW424="",HX424=""),"",N(HX424)-N(HW424)))</f>
        <v/>
      </c>
      <c r="IC424">
        <f>IF(OR(IA$3="",IA$3&gt;TODAY()),"",IF(AND(IA424="",IB424=""),"",N(IB424)-N(IA424)))</f>
        <v/>
      </c>
      <c r="IF424">
        <f>IF(OR(IA$3="",IA$3&gt;TODAY()),"",IF(AND(ID424="",IE424=""),"",N(IE424)-N(ID424)))</f>
        <v/>
      </c>
      <c r="IJ424">
        <f>IF(OR(IH$3="",IH$3&gt;TODAY()),"",IF(AND(IH424="",II424=""),"",N(II424)-N(IH424)))</f>
        <v/>
      </c>
      <c r="IM424">
        <f>IF(OR(IH$3="",IH$3&gt;TODAY()),"",IF(AND(IK424="",IL424=""),"",N(IL424)-N(IK424)))</f>
        <v/>
      </c>
    </row>
    <row r="425">
      <c r="A425" s="21" t="n"/>
      <c r="B425" s="21" t="n"/>
      <c r="C425" s="21" t="n"/>
      <c r="D425" s="21" t="n"/>
      <c r="E425" s="21" t="n"/>
      <c r="F425" s="21" t="n"/>
      <c r="G425" s="21" t="n"/>
      <c r="H425" s="21" t="n"/>
      <c r="I425" s="22" t="n"/>
      <c r="J425" s="22" t="n"/>
      <c r="K425" s="23" t="n"/>
      <c r="L425" s="22" t="n"/>
      <c r="M425" s="22" t="n"/>
      <c r="N425" s="21" t="n"/>
      <c r="O425" s="23" t="n"/>
      <c r="P425" s="23" t="n"/>
      <c r="Q425" s="23" t="n"/>
      <c r="R425" s="23" t="n"/>
      <c r="S425" s="22" t="n"/>
      <c r="T425" s="23" t="n"/>
      <c r="U425" s="23" t="n"/>
      <c r="V425" s="24">
        <f>IF(J425&lt;&gt;"",J425,IF(I425&lt;&gt;"",I425,""))</f>
        <v/>
      </c>
      <c r="W425" s="25">
        <f>IF($E425="","",N(O425)+SUMIFS($AF425:$IN425,$AF$4:$IN$4,"SEW_ACT"))</f>
        <v/>
      </c>
      <c r="X425" s="25">
        <f>IF($E425="","",N(P425)+SUMIFS($AF425:$IN425,$AF$4:$IN$4,"WASH_ACT"))</f>
        <v/>
      </c>
      <c r="Y425" s="25">
        <f>IF($E425="","",W425-X425-N(T425)-N(U425))</f>
        <v/>
      </c>
      <c r="Z425" s="25">
        <f>IF($E425="","",IF(N(K425)-X425&lt;=0.02*N(K425),0,N(K425)-X425))</f>
        <v/>
      </c>
      <c r="AA425" s="24">
        <f>IF($E425="","",IF(S425&lt;&gt;"",S425,IF(N(O425)&gt;0,IF(L425&lt;&gt;"",L425,99999),IFERROR(1/(1/_xlfn.MINIFS($AF$3:$IN$3,$AF$4:$IN$4,"SEW_ACT",$AF425:$IN425,"&gt;0")),99999))))</f>
        <v/>
      </c>
      <c r="AB425" s="26">
        <f>IF(OR($E425="",Z425=0,V425=""),"",1+COUNTIFS(Z$8:Z$707,"&gt;0",V$8:V$707,"&lt;"&amp;V425)+COUNTIFS(Z$8:Z$707,"&gt;0",V$8:V$707,V425,AA$8:AA$707,"&lt;"&amp;AA425)+COUNTIFS(Z$8:Z$707,"&gt;0",V$8:V$707,V425,AA$8:AA$707,AA425,E$8:E$707,"&lt;"&amp;$E425))</f>
        <v/>
      </c>
      <c r="AC425" s="24">
        <f>IF(OR($E425="",Z425=0),"",IFERROR(TODAY()+ROUNDUP(Z425/(SUMIFS($AF425:$IN425,$AF$4:$IN$4,"WASH_ACT")/COUNTIFS($AF$4:$IN$4,"WASH_ACT",$AF425:$IN425,"&gt;0")),0),"no output yet"))</f>
        <v/>
      </c>
      <c r="AD425" s="26">
        <f>IF($E425="","",IFERROR(ROUND(MAX(0,SUMIFS($AF425:$IN425,$AF$4:$IN$4,"SEW_PLAN",$AF$3:$IN$3,"&lt;="&amp;TODAY())-SUMIFS($AF425:$IN425,$AF$4:$IN$4,"SEW_ACT",$AF$3:$IN$3,"&lt;="&amp;TODAY())+N(Q425))/(SUMIFS($AF425:$IN425,$AF$4:$IN$4,"SEW_PLAN")/COUNTIFS($AF$4:$IN$4,"SEW_PLAN",$AF425:$IN425,"&gt;0")),1),0))</f>
        <v/>
      </c>
      <c r="AE425" s="26">
        <f>IF($E425="","",IF(AND(Z425&gt;0,OR(AND(M425&lt;&gt;"",TODAY()&gt;M425),AND(V425&lt;&gt;"",V425-TODAY()&lt;=7))),"Yes","No"))</f>
        <v/>
      </c>
      <c r="AH425">
        <f>IF(OR(AF$3="",AF$3&gt;TODAY()),"",IF(AND(AF425="",AG425=""),"",N(AG425)-N(AF425)))</f>
        <v/>
      </c>
      <c r="AK425">
        <f>IF(OR(AF$3="",AF$3&gt;TODAY()),"",IF(AND(AI425="",AJ425=""),"",N(AJ425)-N(AI425)))</f>
        <v/>
      </c>
      <c r="AO425">
        <f>IF(OR(AM$3="",AM$3&gt;TODAY()),"",IF(AND(AM425="",AN425=""),"",N(AN425)-N(AM425)))</f>
        <v/>
      </c>
      <c r="AR425">
        <f>IF(OR(AM$3="",AM$3&gt;TODAY()),"",IF(AND(AP425="",AQ425=""),"",N(AQ425)-N(AP425)))</f>
        <v/>
      </c>
      <c r="AV425">
        <f>IF(OR(AT$3="",AT$3&gt;TODAY()),"",IF(AND(AT425="",AU425=""),"",N(AU425)-N(AT425)))</f>
        <v/>
      </c>
      <c r="AY425">
        <f>IF(OR(AT$3="",AT$3&gt;TODAY()),"",IF(AND(AW425="",AX425=""),"",N(AX425)-N(AW425)))</f>
        <v/>
      </c>
      <c r="BC425">
        <f>IF(OR(BA$3="",BA$3&gt;TODAY()),"",IF(AND(BA425="",BB425=""),"",N(BB425)-N(BA425)))</f>
        <v/>
      </c>
      <c r="BF425">
        <f>IF(OR(BA$3="",BA$3&gt;TODAY()),"",IF(AND(BD425="",BE425=""),"",N(BE425)-N(BD425)))</f>
        <v/>
      </c>
      <c r="BJ425">
        <f>IF(OR(BH$3="",BH$3&gt;TODAY()),"",IF(AND(BH425="",BI425=""),"",N(BI425)-N(BH425)))</f>
        <v/>
      </c>
      <c r="BM425">
        <f>IF(OR(BH$3="",BH$3&gt;TODAY()),"",IF(AND(BK425="",BL425=""),"",N(BL425)-N(BK425)))</f>
        <v/>
      </c>
      <c r="BQ425">
        <f>IF(OR(BO$3="",BO$3&gt;TODAY()),"",IF(AND(BO425="",BP425=""),"",N(BP425)-N(BO425)))</f>
        <v/>
      </c>
      <c r="BT425">
        <f>IF(OR(BO$3="",BO$3&gt;TODAY()),"",IF(AND(BR425="",BS425=""),"",N(BS425)-N(BR425)))</f>
        <v/>
      </c>
      <c r="BX425">
        <f>IF(OR(BV$3="",BV$3&gt;TODAY()),"",IF(AND(BV425="",BW425=""),"",N(BW425)-N(BV425)))</f>
        <v/>
      </c>
      <c r="CA425">
        <f>IF(OR(BV$3="",BV$3&gt;TODAY()),"",IF(AND(BY425="",BZ425=""),"",N(BZ425)-N(BY425)))</f>
        <v/>
      </c>
      <c r="CE425">
        <f>IF(OR(CC$3="",CC$3&gt;TODAY()),"",IF(AND(CC425="",CD425=""),"",N(CD425)-N(CC425)))</f>
        <v/>
      </c>
      <c r="CH425">
        <f>IF(OR(CC$3="",CC$3&gt;TODAY()),"",IF(AND(CF425="",CG425=""),"",N(CG425)-N(CF425)))</f>
        <v/>
      </c>
      <c r="CL425">
        <f>IF(OR(CJ$3="",CJ$3&gt;TODAY()),"",IF(AND(CJ425="",CK425=""),"",N(CK425)-N(CJ425)))</f>
        <v/>
      </c>
      <c r="CO425">
        <f>IF(OR(CJ$3="",CJ$3&gt;TODAY()),"",IF(AND(CM425="",CN425=""),"",N(CN425)-N(CM425)))</f>
        <v/>
      </c>
      <c r="CS425">
        <f>IF(OR(CQ$3="",CQ$3&gt;TODAY()),"",IF(AND(CQ425="",CR425=""),"",N(CR425)-N(CQ425)))</f>
        <v/>
      </c>
      <c r="CV425">
        <f>IF(OR(CQ$3="",CQ$3&gt;TODAY()),"",IF(AND(CT425="",CU425=""),"",N(CU425)-N(CT425)))</f>
        <v/>
      </c>
      <c r="CZ425">
        <f>IF(OR(CX$3="",CX$3&gt;TODAY()),"",IF(AND(CX425="",CY425=""),"",N(CY425)-N(CX425)))</f>
        <v/>
      </c>
      <c r="DC425">
        <f>IF(OR(CX$3="",CX$3&gt;TODAY()),"",IF(AND(DA425="",DB425=""),"",N(DB425)-N(DA425)))</f>
        <v/>
      </c>
      <c r="DG425">
        <f>IF(OR(DE$3="",DE$3&gt;TODAY()),"",IF(AND(DE425="",DF425=""),"",N(DF425)-N(DE425)))</f>
        <v/>
      </c>
      <c r="DJ425">
        <f>IF(OR(DE$3="",DE$3&gt;TODAY()),"",IF(AND(DH425="",DI425=""),"",N(DI425)-N(DH425)))</f>
        <v/>
      </c>
      <c r="DN425">
        <f>IF(OR(DL$3="",DL$3&gt;TODAY()),"",IF(AND(DL425="",DM425=""),"",N(DM425)-N(DL425)))</f>
        <v/>
      </c>
      <c r="DQ425">
        <f>IF(OR(DL$3="",DL$3&gt;TODAY()),"",IF(AND(DO425="",DP425=""),"",N(DP425)-N(DO425)))</f>
        <v/>
      </c>
      <c r="DU425">
        <f>IF(OR(DS$3="",DS$3&gt;TODAY()),"",IF(AND(DS425="",DT425=""),"",N(DT425)-N(DS425)))</f>
        <v/>
      </c>
      <c r="DX425">
        <f>IF(OR(DS$3="",DS$3&gt;TODAY()),"",IF(AND(DV425="",DW425=""),"",N(DW425)-N(DV425)))</f>
        <v/>
      </c>
      <c r="EB425">
        <f>IF(OR(DZ$3="",DZ$3&gt;TODAY()),"",IF(AND(DZ425="",EA425=""),"",N(EA425)-N(DZ425)))</f>
        <v/>
      </c>
      <c r="EE425">
        <f>IF(OR(DZ$3="",DZ$3&gt;TODAY()),"",IF(AND(EC425="",ED425=""),"",N(ED425)-N(EC425)))</f>
        <v/>
      </c>
      <c r="EI425">
        <f>IF(OR(EG$3="",EG$3&gt;TODAY()),"",IF(AND(EG425="",EH425=""),"",N(EH425)-N(EG425)))</f>
        <v/>
      </c>
      <c r="EL425">
        <f>IF(OR(EG$3="",EG$3&gt;TODAY()),"",IF(AND(EJ425="",EK425=""),"",N(EK425)-N(EJ425)))</f>
        <v/>
      </c>
      <c r="EP425">
        <f>IF(OR(EN$3="",EN$3&gt;TODAY()),"",IF(AND(EN425="",EO425=""),"",N(EO425)-N(EN425)))</f>
        <v/>
      </c>
      <c r="ES425">
        <f>IF(OR(EN$3="",EN$3&gt;TODAY()),"",IF(AND(EQ425="",ER425=""),"",N(ER425)-N(EQ425)))</f>
        <v/>
      </c>
      <c r="EW425">
        <f>IF(OR(EU$3="",EU$3&gt;TODAY()),"",IF(AND(EU425="",EV425=""),"",N(EV425)-N(EU425)))</f>
        <v/>
      </c>
      <c r="EZ425">
        <f>IF(OR(EU$3="",EU$3&gt;TODAY()),"",IF(AND(EX425="",EY425=""),"",N(EY425)-N(EX425)))</f>
        <v/>
      </c>
      <c r="FD425">
        <f>IF(OR(FB$3="",FB$3&gt;TODAY()),"",IF(AND(FB425="",FC425=""),"",N(FC425)-N(FB425)))</f>
        <v/>
      </c>
      <c r="FG425">
        <f>IF(OR(FB$3="",FB$3&gt;TODAY()),"",IF(AND(FE425="",FF425=""),"",N(FF425)-N(FE425)))</f>
        <v/>
      </c>
      <c r="FK425">
        <f>IF(OR(FI$3="",FI$3&gt;TODAY()),"",IF(AND(FI425="",FJ425=""),"",N(FJ425)-N(FI425)))</f>
        <v/>
      </c>
      <c r="FN425">
        <f>IF(OR(FI$3="",FI$3&gt;TODAY()),"",IF(AND(FL425="",FM425=""),"",N(FM425)-N(FL425)))</f>
        <v/>
      </c>
      <c r="FR425">
        <f>IF(OR(FP$3="",FP$3&gt;TODAY()),"",IF(AND(FP425="",FQ425=""),"",N(FQ425)-N(FP425)))</f>
        <v/>
      </c>
      <c r="FU425">
        <f>IF(OR(FP$3="",FP$3&gt;TODAY()),"",IF(AND(FS425="",FT425=""),"",N(FT425)-N(FS425)))</f>
        <v/>
      </c>
      <c r="FY425">
        <f>IF(OR(FW$3="",FW$3&gt;TODAY()),"",IF(AND(FW425="",FX425=""),"",N(FX425)-N(FW425)))</f>
        <v/>
      </c>
      <c r="GB425">
        <f>IF(OR(FW$3="",FW$3&gt;TODAY()),"",IF(AND(FZ425="",GA425=""),"",N(GA425)-N(FZ425)))</f>
        <v/>
      </c>
      <c r="GF425">
        <f>IF(OR(GD$3="",GD$3&gt;TODAY()),"",IF(AND(GD425="",GE425=""),"",N(GE425)-N(GD425)))</f>
        <v/>
      </c>
      <c r="GI425">
        <f>IF(OR(GD$3="",GD$3&gt;TODAY()),"",IF(AND(GG425="",GH425=""),"",N(GH425)-N(GG425)))</f>
        <v/>
      </c>
      <c r="GM425">
        <f>IF(OR(GK$3="",GK$3&gt;TODAY()),"",IF(AND(GK425="",GL425=""),"",N(GL425)-N(GK425)))</f>
        <v/>
      </c>
      <c r="GP425">
        <f>IF(OR(GK$3="",GK$3&gt;TODAY()),"",IF(AND(GN425="",GO425=""),"",N(GO425)-N(GN425)))</f>
        <v/>
      </c>
      <c r="GT425">
        <f>IF(OR(GR$3="",GR$3&gt;TODAY()),"",IF(AND(GR425="",GS425=""),"",N(GS425)-N(GR425)))</f>
        <v/>
      </c>
      <c r="GW425">
        <f>IF(OR(GR$3="",GR$3&gt;TODAY()),"",IF(AND(GU425="",GV425=""),"",N(GV425)-N(GU425)))</f>
        <v/>
      </c>
      <c r="HA425">
        <f>IF(OR(GY$3="",GY$3&gt;TODAY()),"",IF(AND(GY425="",GZ425=""),"",N(GZ425)-N(GY425)))</f>
        <v/>
      </c>
      <c r="HD425">
        <f>IF(OR(GY$3="",GY$3&gt;TODAY()),"",IF(AND(HB425="",HC425=""),"",N(HC425)-N(HB425)))</f>
        <v/>
      </c>
      <c r="HH425">
        <f>IF(OR(HF$3="",HF$3&gt;TODAY()),"",IF(AND(HF425="",HG425=""),"",N(HG425)-N(HF425)))</f>
        <v/>
      </c>
      <c r="HK425">
        <f>IF(OR(HF$3="",HF$3&gt;TODAY()),"",IF(AND(HI425="",HJ425=""),"",N(HJ425)-N(HI425)))</f>
        <v/>
      </c>
      <c r="HO425">
        <f>IF(OR(HM$3="",HM$3&gt;TODAY()),"",IF(AND(HM425="",HN425=""),"",N(HN425)-N(HM425)))</f>
        <v/>
      </c>
      <c r="HR425">
        <f>IF(OR(HM$3="",HM$3&gt;TODAY()),"",IF(AND(HP425="",HQ425=""),"",N(HQ425)-N(HP425)))</f>
        <v/>
      </c>
      <c r="HV425">
        <f>IF(OR(HT$3="",HT$3&gt;TODAY()),"",IF(AND(HT425="",HU425=""),"",N(HU425)-N(HT425)))</f>
        <v/>
      </c>
      <c r="HY425">
        <f>IF(OR(HT$3="",HT$3&gt;TODAY()),"",IF(AND(HW425="",HX425=""),"",N(HX425)-N(HW425)))</f>
        <v/>
      </c>
      <c r="IC425">
        <f>IF(OR(IA$3="",IA$3&gt;TODAY()),"",IF(AND(IA425="",IB425=""),"",N(IB425)-N(IA425)))</f>
        <v/>
      </c>
      <c r="IF425">
        <f>IF(OR(IA$3="",IA$3&gt;TODAY()),"",IF(AND(ID425="",IE425=""),"",N(IE425)-N(ID425)))</f>
        <v/>
      </c>
      <c r="IJ425">
        <f>IF(OR(IH$3="",IH$3&gt;TODAY()),"",IF(AND(IH425="",II425=""),"",N(II425)-N(IH425)))</f>
        <v/>
      </c>
      <c r="IM425">
        <f>IF(OR(IH$3="",IH$3&gt;TODAY()),"",IF(AND(IK425="",IL425=""),"",N(IL425)-N(IK425)))</f>
        <v/>
      </c>
    </row>
    <row r="426">
      <c r="A426" s="21" t="n"/>
      <c r="B426" s="21" t="n"/>
      <c r="C426" s="21" t="n"/>
      <c r="D426" s="21" t="n"/>
      <c r="E426" s="21" t="n"/>
      <c r="F426" s="21" t="n"/>
      <c r="G426" s="21" t="n"/>
      <c r="H426" s="21" t="n"/>
      <c r="I426" s="22" t="n"/>
      <c r="J426" s="22" t="n"/>
      <c r="K426" s="23" t="n"/>
      <c r="L426" s="22" t="n"/>
      <c r="M426" s="22" t="n"/>
      <c r="N426" s="21" t="n"/>
      <c r="O426" s="23" t="n"/>
      <c r="P426" s="23" t="n"/>
      <c r="Q426" s="23" t="n"/>
      <c r="R426" s="23" t="n"/>
      <c r="S426" s="22" t="n"/>
      <c r="T426" s="23" t="n"/>
      <c r="U426" s="23" t="n"/>
      <c r="V426" s="24">
        <f>IF(J426&lt;&gt;"",J426,IF(I426&lt;&gt;"",I426,""))</f>
        <v/>
      </c>
      <c r="W426" s="25">
        <f>IF($E426="","",N(O426)+SUMIFS($AF426:$IN426,$AF$4:$IN$4,"SEW_ACT"))</f>
        <v/>
      </c>
      <c r="X426" s="25">
        <f>IF($E426="","",N(P426)+SUMIFS($AF426:$IN426,$AF$4:$IN$4,"WASH_ACT"))</f>
        <v/>
      </c>
      <c r="Y426" s="25">
        <f>IF($E426="","",W426-X426-N(T426)-N(U426))</f>
        <v/>
      </c>
      <c r="Z426" s="25">
        <f>IF($E426="","",IF(N(K426)-X426&lt;=0.02*N(K426),0,N(K426)-X426))</f>
        <v/>
      </c>
      <c r="AA426" s="24">
        <f>IF($E426="","",IF(S426&lt;&gt;"",S426,IF(N(O426)&gt;0,IF(L426&lt;&gt;"",L426,99999),IFERROR(1/(1/_xlfn.MINIFS($AF$3:$IN$3,$AF$4:$IN$4,"SEW_ACT",$AF426:$IN426,"&gt;0")),99999))))</f>
        <v/>
      </c>
      <c r="AB426" s="26">
        <f>IF(OR($E426="",Z426=0,V426=""),"",1+COUNTIFS(Z$8:Z$707,"&gt;0",V$8:V$707,"&lt;"&amp;V426)+COUNTIFS(Z$8:Z$707,"&gt;0",V$8:V$707,V426,AA$8:AA$707,"&lt;"&amp;AA426)+COUNTIFS(Z$8:Z$707,"&gt;0",V$8:V$707,V426,AA$8:AA$707,AA426,E$8:E$707,"&lt;"&amp;$E426))</f>
        <v/>
      </c>
      <c r="AC426" s="24">
        <f>IF(OR($E426="",Z426=0),"",IFERROR(TODAY()+ROUNDUP(Z426/(SUMIFS($AF426:$IN426,$AF$4:$IN$4,"WASH_ACT")/COUNTIFS($AF$4:$IN$4,"WASH_ACT",$AF426:$IN426,"&gt;0")),0),"no output yet"))</f>
        <v/>
      </c>
      <c r="AD426" s="26">
        <f>IF($E426="","",IFERROR(ROUND(MAX(0,SUMIFS($AF426:$IN426,$AF$4:$IN$4,"SEW_PLAN",$AF$3:$IN$3,"&lt;="&amp;TODAY())-SUMIFS($AF426:$IN426,$AF$4:$IN$4,"SEW_ACT",$AF$3:$IN$3,"&lt;="&amp;TODAY())+N(Q426))/(SUMIFS($AF426:$IN426,$AF$4:$IN$4,"SEW_PLAN")/COUNTIFS($AF$4:$IN$4,"SEW_PLAN",$AF426:$IN426,"&gt;0")),1),0))</f>
        <v/>
      </c>
      <c r="AE426" s="26">
        <f>IF($E426="","",IF(AND(Z426&gt;0,OR(AND(M426&lt;&gt;"",TODAY()&gt;M426),AND(V426&lt;&gt;"",V426-TODAY()&lt;=7))),"Yes","No"))</f>
        <v/>
      </c>
      <c r="AH426">
        <f>IF(OR(AF$3="",AF$3&gt;TODAY()),"",IF(AND(AF426="",AG426=""),"",N(AG426)-N(AF426)))</f>
        <v/>
      </c>
      <c r="AK426">
        <f>IF(OR(AF$3="",AF$3&gt;TODAY()),"",IF(AND(AI426="",AJ426=""),"",N(AJ426)-N(AI426)))</f>
        <v/>
      </c>
      <c r="AO426">
        <f>IF(OR(AM$3="",AM$3&gt;TODAY()),"",IF(AND(AM426="",AN426=""),"",N(AN426)-N(AM426)))</f>
        <v/>
      </c>
      <c r="AR426">
        <f>IF(OR(AM$3="",AM$3&gt;TODAY()),"",IF(AND(AP426="",AQ426=""),"",N(AQ426)-N(AP426)))</f>
        <v/>
      </c>
      <c r="AV426">
        <f>IF(OR(AT$3="",AT$3&gt;TODAY()),"",IF(AND(AT426="",AU426=""),"",N(AU426)-N(AT426)))</f>
        <v/>
      </c>
      <c r="AY426">
        <f>IF(OR(AT$3="",AT$3&gt;TODAY()),"",IF(AND(AW426="",AX426=""),"",N(AX426)-N(AW426)))</f>
        <v/>
      </c>
      <c r="BC426">
        <f>IF(OR(BA$3="",BA$3&gt;TODAY()),"",IF(AND(BA426="",BB426=""),"",N(BB426)-N(BA426)))</f>
        <v/>
      </c>
      <c r="BF426">
        <f>IF(OR(BA$3="",BA$3&gt;TODAY()),"",IF(AND(BD426="",BE426=""),"",N(BE426)-N(BD426)))</f>
        <v/>
      </c>
      <c r="BJ426">
        <f>IF(OR(BH$3="",BH$3&gt;TODAY()),"",IF(AND(BH426="",BI426=""),"",N(BI426)-N(BH426)))</f>
        <v/>
      </c>
      <c r="BM426">
        <f>IF(OR(BH$3="",BH$3&gt;TODAY()),"",IF(AND(BK426="",BL426=""),"",N(BL426)-N(BK426)))</f>
        <v/>
      </c>
      <c r="BQ426">
        <f>IF(OR(BO$3="",BO$3&gt;TODAY()),"",IF(AND(BO426="",BP426=""),"",N(BP426)-N(BO426)))</f>
        <v/>
      </c>
      <c r="BT426">
        <f>IF(OR(BO$3="",BO$3&gt;TODAY()),"",IF(AND(BR426="",BS426=""),"",N(BS426)-N(BR426)))</f>
        <v/>
      </c>
      <c r="BX426">
        <f>IF(OR(BV$3="",BV$3&gt;TODAY()),"",IF(AND(BV426="",BW426=""),"",N(BW426)-N(BV426)))</f>
        <v/>
      </c>
      <c r="CA426">
        <f>IF(OR(BV$3="",BV$3&gt;TODAY()),"",IF(AND(BY426="",BZ426=""),"",N(BZ426)-N(BY426)))</f>
        <v/>
      </c>
      <c r="CE426">
        <f>IF(OR(CC$3="",CC$3&gt;TODAY()),"",IF(AND(CC426="",CD426=""),"",N(CD426)-N(CC426)))</f>
        <v/>
      </c>
      <c r="CH426">
        <f>IF(OR(CC$3="",CC$3&gt;TODAY()),"",IF(AND(CF426="",CG426=""),"",N(CG426)-N(CF426)))</f>
        <v/>
      </c>
      <c r="CL426">
        <f>IF(OR(CJ$3="",CJ$3&gt;TODAY()),"",IF(AND(CJ426="",CK426=""),"",N(CK426)-N(CJ426)))</f>
        <v/>
      </c>
      <c r="CO426">
        <f>IF(OR(CJ$3="",CJ$3&gt;TODAY()),"",IF(AND(CM426="",CN426=""),"",N(CN426)-N(CM426)))</f>
        <v/>
      </c>
      <c r="CS426">
        <f>IF(OR(CQ$3="",CQ$3&gt;TODAY()),"",IF(AND(CQ426="",CR426=""),"",N(CR426)-N(CQ426)))</f>
        <v/>
      </c>
      <c r="CV426">
        <f>IF(OR(CQ$3="",CQ$3&gt;TODAY()),"",IF(AND(CT426="",CU426=""),"",N(CU426)-N(CT426)))</f>
        <v/>
      </c>
      <c r="CZ426">
        <f>IF(OR(CX$3="",CX$3&gt;TODAY()),"",IF(AND(CX426="",CY426=""),"",N(CY426)-N(CX426)))</f>
        <v/>
      </c>
      <c r="DC426">
        <f>IF(OR(CX$3="",CX$3&gt;TODAY()),"",IF(AND(DA426="",DB426=""),"",N(DB426)-N(DA426)))</f>
        <v/>
      </c>
      <c r="DG426">
        <f>IF(OR(DE$3="",DE$3&gt;TODAY()),"",IF(AND(DE426="",DF426=""),"",N(DF426)-N(DE426)))</f>
        <v/>
      </c>
      <c r="DJ426">
        <f>IF(OR(DE$3="",DE$3&gt;TODAY()),"",IF(AND(DH426="",DI426=""),"",N(DI426)-N(DH426)))</f>
        <v/>
      </c>
      <c r="DN426">
        <f>IF(OR(DL$3="",DL$3&gt;TODAY()),"",IF(AND(DL426="",DM426=""),"",N(DM426)-N(DL426)))</f>
        <v/>
      </c>
      <c r="DQ426">
        <f>IF(OR(DL$3="",DL$3&gt;TODAY()),"",IF(AND(DO426="",DP426=""),"",N(DP426)-N(DO426)))</f>
        <v/>
      </c>
      <c r="DU426">
        <f>IF(OR(DS$3="",DS$3&gt;TODAY()),"",IF(AND(DS426="",DT426=""),"",N(DT426)-N(DS426)))</f>
        <v/>
      </c>
      <c r="DX426">
        <f>IF(OR(DS$3="",DS$3&gt;TODAY()),"",IF(AND(DV426="",DW426=""),"",N(DW426)-N(DV426)))</f>
        <v/>
      </c>
      <c r="EB426">
        <f>IF(OR(DZ$3="",DZ$3&gt;TODAY()),"",IF(AND(DZ426="",EA426=""),"",N(EA426)-N(DZ426)))</f>
        <v/>
      </c>
      <c r="EE426">
        <f>IF(OR(DZ$3="",DZ$3&gt;TODAY()),"",IF(AND(EC426="",ED426=""),"",N(ED426)-N(EC426)))</f>
        <v/>
      </c>
      <c r="EI426">
        <f>IF(OR(EG$3="",EG$3&gt;TODAY()),"",IF(AND(EG426="",EH426=""),"",N(EH426)-N(EG426)))</f>
        <v/>
      </c>
      <c r="EL426">
        <f>IF(OR(EG$3="",EG$3&gt;TODAY()),"",IF(AND(EJ426="",EK426=""),"",N(EK426)-N(EJ426)))</f>
        <v/>
      </c>
      <c r="EP426">
        <f>IF(OR(EN$3="",EN$3&gt;TODAY()),"",IF(AND(EN426="",EO426=""),"",N(EO426)-N(EN426)))</f>
        <v/>
      </c>
      <c r="ES426">
        <f>IF(OR(EN$3="",EN$3&gt;TODAY()),"",IF(AND(EQ426="",ER426=""),"",N(ER426)-N(EQ426)))</f>
        <v/>
      </c>
      <c r="EW426">
        <f>IF(OR(EU$3="",EU$3&gt;TODAY()),"",IF(AND(EU426="",EV426=""),"",N(EV426)-N(EU426)))</f>
        <v/>
      </c>
      <c r="EZ426">
        <f>IF(OR(EU$3="",EU$3&gt;TODAY()),"",IF(AND(EX426="",EY426=""),"",N(EY426)-N(EX426)))</f>
        <v/>
      </c>
      <c r="FD426">
        <f>IF(OR(FB$3="",FB$3&gt;TODAY()),"",IF(AND(FB426="",FC426=""),"",N(FC426)-N(FB426)))</f>
        <v/>
      </c>
      <c r="FG426">
        <f>IF(OR(FB$3="",FB$3&gt;TODAY()),"",IF(AND(FE426="",FF426=""),"",N(FF426)-N(FE426)))</f>
        <v/>
      </c>
      <c r="FK426">
        <f>IF(OR(FI$3="",FI$3&gt;TODAY()),"",IF(AND(FI426="",FJ426=""),"",N(FJ426)-N(FI426)))</f>
        <v/>
      </c>
      <c r="FN426">
        <f>IF(OR(FI$3="",FI$3&gt;TODAY()),"",IF(AND(FL426="",FM426=""),"",N(FM426)-N(FL426)))</f>
        <v/>
      </c>
      <c r="FR426">
        <f>IF(OR(FP$3="",FP$3&gt;TODAY()),"",IF(AND(FP426="",FQ426=""),"",N(FQ426)-N(FP426)))</f>
        <v/>
      </c>
      <c r="FU426">
        <f>IF(OR(FP$3="",FP$3&gt;TODAY()),"",IF(AND(FS426="",FT426=""),"",N(FT426)-N(FS426)))</f>
        <v/>
      </c>
      <c r="FY426">
        <f>IF(OR(FW$3="",FW$3&gt;TODAY()),"",IF(AND(FW426="",FX426=""),"",N(FX426)-N(FW426)))</f>
        <v/>
      </c>
      <c r="GB426">
        <f>IF(OR(FW$3="",FW$3&gt;TODAY()),"",IF(AND(FZ426="",GA426=""),"",N(GA426)-N(FZ426)))</f>
        <v/>
      </c>
      <c r="GF426">
        <f>IF(OR(GD$3="",GD$3&gt;TODAY()),"",IF(AND(GD426="",GE426=""),"",N(GE426)-N(GD426)))</f>
        <v/>
      </c>
      <c r="GI426">
        <f>IF(OR(GD$3="",GD$3&gt;TODAY()),"",IF(AND(GG426="",GH426=""),"",N(GH426)-N(GG426)))</f>
        <v/>
      </c>
      <c r="GM426">
        <f>IF(OR(GK$3="",GK$3&gt;TODAY()),"",IF(AND(GK426="",GL426=""),"",N(GL426)-N(GK426)))</f>
        <v/>
      </c>
      <c r="GP426">
        <f>IF(OR(GK$3="",GK$3&gt;TODAY()),"",IF(AND(GN426="",GO426=""),"",N(GO426)-N(GN426)))</f>
        <v/>
      </c>
      <c r="GT426">
        <f>IF(OR(GR$3="",GR$3&gt;TODAY()),"",IF(AND(GR426="",GS426=""),"",N(GS426)-N(GR426)))</f>
        <v/>
      </c>
      <c r="GW426">
        <f>IF(OR(GR$3="",GR$3&gt;TODAY()),"",IF(AND(GU426="",GV426=""),"",N(GV426)-N(GU426)))</f>
        <v/>
      </c>
      <c r="HA426">
        <f>IF(OR(GY$3="",GY$3&gt;TODAY()),"",IF(AND(GY426="",GZ426=""),"",N(GZ426)-N(GY426)))</f>
        <v/>
      </c>
      <c r="HD426">
        <f>IF(OR(GY$3="",GY$3&gt;TODAY()),"",IF(AND(HB426="",HC426=""),"",N(HC426)-N(HB426)))</f>
        <v/>
      </c>
      <c r="HH426">
        <f>IF(OR(HF$3="",HF$3&gt;TODAY()),"",IF(AND(HF426="",HG426=""),"",N(HG426)-N(HF426)))</f>
        <v/>
      </c>
      <c r="HK426">
        <f>IF(OR(HF$3="",HF$3&gt;TODAY()),"",IF(AND(HI426="",HJ426=""),"",N(HJ426)-N(HI426)))</f>
        <v/>
      </c>
      <c r="HO426">
        <f>IF(OR(HM$3="",HM$3&gt;TODAY()),"",IF(AND(HM426="",HN426=""),"",N(HN426)-N(HM426)))</f>
        <v/>
      </c>
      <c r="HR426">
        <f>IF(OR(HM$3="",HM$3&gt;TODAY()),"",IF(AND(HP426="",HQ426=""),"",N(HQ426)-N(HP426)))</f>
        <v/>
      </c>
      <c r="HV426">
        <f>IF(OR(HT$3="",HT$3&gt;TODAY()),"",IF(AND(HT426="",HU426=""),"",N(HU426)-N(HT426)))</f>
        <v/>
      </c>
      <c r="HY426">
        <f>IF(OR(HT$3="",HT$3&gt;TODAY()),"",IF(AND(HW426="",HX426=""),"",N(HX426)-N(HW426)))</f>
        <v/>
      </c>
      <c r="IC426">
        <f>IF(OR(IA$3="",IA$3&gt;TODAY()),"",IF(AND(IA426="",IB426=""),"",N(IB426)-N(IA426)))</f>
        <v/>
      </c>
      <c r="IF426">
        <f>IF(OR(IA$3="",IA$3&gt;TODAY()),"",IF(AND(ID426="",IE426=""),"",N(IE426)-N(ID426)))</f>
        <v/>
      </c>
      <c r="IJ426">
        <f>IF(OR(IH$3="",IH$3&gt;TODAY()),"",IF(AND(IH426="",II426=""),"",N(II426)-N(IH426)))</f>
        <v/>
      </c>
      <c r="IM426">
        <f>IF(OR(IH$3="",IH$3&gt;TODAY()),"",IF(AND(IK426="",IL426=""),"",N(IL426)-N(IK426)))</f>
        <v/>
      </c>
    </row>
    <row r="427">
      <c r="A427" s="21" t="n"/>
      <c r="B427" s="21" t="n"/>
      <c r="C427" s="21" t="n"/>
      <c r="D427" s="21" t="n"/>
      <c r="E427" s="21" t="n"/>
      <c r="F427" s="21" t="n"/>
      <c r="G427" s="21" t="n"/>
      <c r="H427" s="21" t="n"/>
      <c r="I427" s="22" t="n"/>
      <c r="J427" s="22" t="n"/>
      <c r="K427" s="23" t="n"/>
      <c r="L427" s="22" t="n"/>
      <c r="M427" s="22" t="n"/>
      <c r="N427" s="21" t="n"/>
      <c r="O427" s="23" t="n"/>
      <c r="P427" s="23" t="n"/>
      <c r="Q427" s="23" t="n"/>
      <c r="R427" s="23" t="n"/>
      <c r="S427" s="22" t="n"/>
      <c r="T427" s="23" t="n"/>
      <c r="U427" s="23" t="n"/>
      <c r="V427" s="24">
        <f>IF(J427&lt;&gt;"",J427,IF(I427&lt;&gt;"",I427,""))</f>
        <v/>
      </c>
      <c r="W427" s="25">
        <f>IF($E427="","",N(O427)+SUMIFS($AF427:$IN427,$AF$4:$IN$4,"SEW_ACT"))</f>
        <v/>
      </c>
      <c r="X427" s="25">
        <f>IF($E427="","",N(P427)+SUMIFS($AF427:$IN427,$AF$4:$IN$4,"WASH_ACT"))</f>
        <v/>
      </c>
      <c r="Y427" s="25">
        <f>IF($E427="","",W427-X427-N(T427)-N(U427))</f>
        <v/>
      </c>
      <c r="Z427" s="25">
        <f>IF($E427="","",IF(N(K427)-X427&lt;=0.02*N(K427),0,N(K427)-X427))</f>
        <v/>
      </c>
      <c r="AA427" s="24">
        <f>IF($E427="","",IF(S427&lt;&gt;"",S427,IF(N(O427)&gt;0,IF(L427&lt;&gt;"",L427,99999),IFERROR(1/(1/_xlfn.MINIFS($AF$3:$IN$3,$AF$4:$IN$4,"SEW_ACT",$AF427:$IN427,"&gt;0")),99999))))</f>
        <v/>
      </c>
      <c r="AB427" s="26">
        <f>IF(OR($E427="",Z427=0,V427=""),"",1+COUNTIFS(Z$8:Z$707,"&gt;0",V$8:V$707,"&lt;"&amp;V427)+COUNTIFS(Z$8:Z$707,"&gt;0",V$8:V$707,V427,AA$8:AA$707,"&lt;"&amp;AA427)+COUNTIFS(Z$8:Z$707,"&gt;0",V$8:V$707,V427,AA$8:AA$707,AA427,E$8:E$707,"&lt;"&amp;$E427))</f>
        <v/>
      </c>
      <c r="AC427" s="24">
        <f>IF(OR($E427="",Z427=0),"",IFERROR(TODAY()+ROUNDUP(Z427/(SUMIFS($AF427:$IN427,$AF$4:$IN$4,"WASH_ACT")/COUNTIFS($AF$4:$IN$4,"WASH_ACT",$AF427:$IN427,"&gt;0")),0),"no output yet"))</f>
        <v/>
      </c>
      <c r="AD427" s="26">
        <f>IF($E427="","",IFERROR(ROUND(MAX(0,SUMIFS($AF427:$IN427,$AF$4:$IN$4,"SEW_PLAN",$AF$3:$IN$3,"&lt;="&amp;TODAY())-SUMIFS($AF427:$IN427,$AF$4:$IN$4,"SEW_ACT",$AF$3:$IN$3,"&lt;="&amp;TODAY())+N(Q427))/(SUMIFS($AF427:$IN427,$AF$4:$IN$4,"SEW_PLAN")/COUNTIFS($AF$4:$IN$4,"SEW_PLAN",$AF427:$IN427,"&gt;0")),1),0))</f>
        <v/>
      </c>
      <c r="AE427" s="26">
        <f>IF($E427="","",IF(AND(Z427&gt;0,OR(AND(M427&lt;&gt;"",TODAY()&gt;M427),AND(V427&lt;&gt;"",V427-TODAY()&lt;=7))),"Yes","No"))</f>
        <v/>
      </c>
      <c r="AH427">
        <f>IF(OR(AF$3="",AF$3&gt;TODAY()),"",IF(AND(AF427="",AG427=""),"",N(AG427)-N(AF427)))</f>
        <v/>
      </c>
      <c r="AK427">
        <f>IF(OR(AF$3="",AF$3&gt;TODAY()),"",IF(AND(AI427="",AJ427=""),"",N(AJ427)-N(AI427)))</f>
        <v/>
      </c>
      <c r="AO427">
        <f>IF(OR(AM$3="",AM$3&gt;TODAY()),"",IF(AND(AM427="",AN427=""),"",N(AN427)-N(AM427)))</f>
        <v/>
      </c>
      <c r="AR427">
        <f>IF(OR(AM$3="",AM$3&gt;TODAY()),"",IF(AND(AP427="",AQ427=""),"",N(AQ427)-N(AP427)))</f>
        <v/>
      </c>
      <c r="AV427">
        <f>IF(OR(AT$3="",AT$3&gt;TODAY()),"",IF(AND(AT427="",AU427=""),"",N(AU427)-N(AT427)))</f>
        <v/>
      </c>
      <c r="AY427">
        <f>IF(OR(AT$3="",AT$3&gt;TODAY()),"",IF(AND(AW427="",AX427=""),"",N(AX427)-N(AW427)))</f>
        <v/>
      </c>
      <c r="BC427">
        <f>IF(OR(BA$3="",BA$3&gt;TODAY()),"",IF(AND(BA427="",BB427=""),"",N(BB427)-N(BA427)))</f>
        <v/>
      </c>
      <c r="BF427">
        <f>IF(OR(BA$3="",BA$3&gt;TODAY()),"",IF(AND(BD427="",BE427=""),"",N(BE427)-N(BD427)))</f>
        <v/>
      </c>
      <c r="BJ427">
        <f>IF(OR(BH$3="",BH$3&gt;TODAY()),"",IF(AND(BH427="",BI427=""),"",N(BI427)-N(BH427)))</f>
        <v/>
      </c>
      <c r="BM427">
        <f>IF(OR(BH$3="",BH$3&gt;TODAY()),"",IF(AND(BK427="",BL427=""),"",N(BL427)-N(BK427)))</f>
        <v/>
      </c>
      <c r="BQ427">
        <f>IF(OR(BO$3="",BO$3&gt;TODAY()),"",IF(AND(BO427="",BP427=""),"",N(BP427)-N(BO427)))</f>
        <v/>
      </c>
      <c r="BT427">
        <f>IF(OR(BO$3="",BO$3&gt;TODAY()),"",IF(AND(BR427="",BS427=""),"",N(BS427)-N(BR427)))</f>
        <v/>
      </c>
      <c r="BX427">
        <f>IF(OR(BV$3="",BV$3&gt;TODAY()),"",IF(AND(BV427="",BW427=""),"",N(BW427)-N(BV427)))</f>
        <v/>
      </c>
      <c r="CA427">
        <f>IF(OR(BV$3="",BV$3&gt;TODAY()),"",IF(AND(BY427="",BZ427=""),"",N(BZ427)-N(BY427)))</f>
        <v/>
      </c>
      <c r="CE427">
        <f>IF(OR(CC$3="",CC$3&gt;TODAY()),"",IF(AND(CC427="",CD427=""),"",N(CD427)-N(CC427)))</f>
        <v/>
      </c>
      <c r="CH427">
        <f>IF(OR(CC$3="",CC$3&gt;TODAY()),"",IF(AND(CF427="",CG427=""),"",N(CG427)-N(CF427)))</f>
        <v/>
      </c>
      <c r="CL427">
        <f>IF(OR(CJ$3="",CJ$3&gt;TODAY()),"",IF(AND(CJ427="",CK427=""),"",N(CK427)-N(CJ427)))</f>
        <v/>
      </c>
      <c r="CO427">
        <f>IF(OR(CJ$3="",CJ$3&gt;TODAY()),"",IF(AND(CM427="",CN427=""),"",N(CN427)-N(CM427)))</f>
        <v/>
      </c>
      <c r="CS427">
        <f>IF(OR(CQ$3="",CQ$3&gt;TODAY()),"",IF(AND(CQ427="",CR427=""),"",N(CR427)-N(CQ427)))</f>
        <v/>
      </c>
      <c r="CV427">
        <f>IF(OR(CQ$3="",CQ$3&gt;TODAY()),"",IF(AND(CT427="",CU427=""),"",N(CU427)-N(CT427)))</f>
        <v/>
      </c>
      <c r="CZ427">
        <f>IF(OR(CX$3="",CX$3&gt;TODAY()),"",IF(AND(CX427="",CY427=""),"",N(CY427)-N(CX427)))</f>
        <v/>
      </c>
      <c r="DC427">
        <f>IF(OR(CX$3="",CX$3&gt;TODAY()),"",IF(AND(DA427="",DB427=""),"",N(DB427)-N(DA427)))</f>
        <v/>
      </c>
      <c r="DG427">
        <f>IF(OR(DE$3="",DE$3&gt;TODAY()),"",IF(AND(DE427="",DF427=""),"",N(DF427)-N(DE427)))</f>
        <v/>
      </c>
      <c r="DJ427">
        <f>IF(OR(DE$3="",DE$3&gt;TODAY()),"",IF(AND(DH427="",DI427=""),"",N(DI427)-N(DH427)))</f>
        <v/>
      </c>
      <c r="DN427">
        <f>IF(OR(DL$3="",DL$3&gt;TODAY()),"",IF(AND(DL427="",DM427=""),"",N(DM427)-N(DL427)))</f>
        <v/>
      </c>
      <c r="DQ427">
        <f>IF(OR(DL$3="",DL$3&gt;TODAY()),"",IF(AND(DO427="",DP427=""),"",N(DP427)-N(DO427)))</f>
        <v/>
      </c>
      <c r="DU427">
        <f>IF(OR(DS$3="",DS$3&gt;TODAY()),"",IF(AND(DS427="",DT427=""),"",N(DT427)-N(DS427)))</f>
        <v/>
      </c>
      <c r="DX427">
        <f>IF(OR(DS$3="",DS$3&gt;TODAY()),"",IF(AND(DV427="",DW427=""),"",N(DW427)-N(DV427)))</f>
        <v/>
      </c>
      <c r="EB427">
        <f>IF(OR(DZ$3="",DZ$3&gt;TODAY()),"",IF(AND(DZ427="",EA427=""),"",N(EA427)-N(DZ427)))</f>
        <v/>
      </c>
      <c r="EE427">
        <f>IF(OR(DZ$3="",DZ$3&gt;TODAY()),"",IF(AND(EC427="",ED427=""),"",N(ED427)-N(EC427)))</f>
        <v/>
      </c>
      <c r="EI427">
        <f>IF(OR(EG$3="",EG$3&gt;TODAY()),"",IF(AND(EG427="",EH427=""),"",N(EH427)-N(EG427)))</f>
        <v/>
      </c>
      <c r="EL427">
        <f>IF(OR(EG$3="",EG$3&gt;TODAY()),"",IF(AND(EJ427="",EK427=""),"",N(EK427)-N(EJ427)))</f>
        <v/>
      </c>
      <c r="EP427">
        <f>IF(OR(EN$3="",EN$3&gt;TODAY()),"",IF(AND(EN427="",EO427=""),"",N(EO427)-N(EN427)))</f>
        <v/>
      </c>
      <c r="ES427">
        <f>IF(OR(EN$3="",EN$3&gt;TODAY()),"",IF(AND(EQ427="",ER427=""),"",N(ER427)-N(EQ427)))</f>
        <v/>
      </c>
      <c r="EW427">
        <f>IF(OR(EU$3="",EU$3&gt;TODAY()),"",IF(AND(EU427="",EV427=""),"",N(EV427)-N(EU427)))</f>
        <v/>
      </c>
      <c r="EZ427">
        <f>IF(OR(EU$3="",EU$3&gt;TODAY()),"",IF(AND(EX427="",EY427=""),"",N(EY427)-N(EX427)))</f>
        <v/>
      </c>
      <c r="FD427">
        <f>IF(OR(FB$3="",FB$3&gt;TODAY()),"",IF(AND(FB427="",FC427=""),"",N(FC427)-N(FB427)))</f>
        <v/>
      </c>
      <c r="FG427">
        <f>IF(OR(FB$3="",FB$3&gt;TODAY()),"",IF(AND(FE427="",FF427=""),"",N(FF427)-N(FE427)))</f>
        <v/>
      </c>
      <c r="FK427">
        <f>IF(OR(FI$3="",FI$3&gt;TODAY()),"",IF(AND(FI427="",FJ427=""),"",N(FJ427)-N(FI427)))</f>
        <v/>
      </c>
      <c r="FN427">
        <f>IF(OR(FI$3="",FI$3&gt;TODAY()),"",IF(AND(FL427="",FM427=""),"",N(FM427)-N(FL427)))</f>
        <v/>
      </c>
      <c r="FR427">
        <f>IF(OR(FP$3="",FP$3&gt;TODAY()),"",IF(AND(FP427="",FQ427=""),"",N(FQ427)-N(FP427)))</f>
        <v/>
      </c>
      <c r="FU427">
        <f>IF(OR(FP$3="",FP$3&gt;TODAY()),"",IF(AND(FS427="",FT427=""),"",N(FT427)-N(FS427)))</f>
        <v/>
      </c>
      <c r="FY427">
        <f>IF(OR(FW$3="",FW$3&gt;TODAY()),"",IF(AND(FW427="",FX427=""),"",N(FX427)-N(FW427)))</f>
        <v/>
      </c>
      <c r="GB427">
        <f>IF(OR(FW$3="",FW$3&gt;TODAY()),"",IF(AND(FZ427="",GA427=""),"",N(GA427)-N(FZ427)))</f>
        <v/>
      </c>
      <c r="GF427">
        <f>IF(OR(GD$3="",GD$3&gt;TODAY()),"",IF(AND(GD427="",GE427=""),"",N(GE427)-N(GD427)))</f>
        <v/>
      </c>
      <c r="GI427">
        <f>IF(OR(GD$3="",GD$3&gt;TODAY()),"",IF(AND(GG427="",GH427=""),"",N(GH427)-N(GG427)))</f>
        <v/>
      </c>
      <c r="GM427">
        <f>IF(OR(GK$3="",GK$3&gt;TODAY()),"",IF(AND(GK427="",GL427=""),"",N(GL427)-N(GK427)))</f>
        <v/>
      </c>
      <c r="GP427">
        <f>IF(OR(GK$3="",GK$3&gt;TODAY()),"",IF(AND(GN427="",GO427=""),"",N(GO427)-N(GN427)))</f>
        <v/>
      </c>
      <c r="GT427">
        <f>IF(OR(GR$3="",GR$3&gt;TODAY()),"",IF(AND(GR427="",GS427=""),"",N(GS427)-N(GR427)))</f>
        <v/>
      </c>
      <c r="GW427">
        <f>IF(OR(GR$3="",GR$3&gt;TODAY()),"",IF(AND(GU427="",GV427=""),"",N(GV427)-N(GU427)))</f>
        <v/>
      </c>
      <c r="HA427">
        <f>IF(OR(GY$3="",GY$3&gt;TODAY()),"",IF(AND(GY427="",GZ427=""),"",N(GZ427)-N(GY427)))</f>
        <v/>
      </c>
      <c r="HD427">
        <f>IF(OR(GY$3="",GY$3&gt;TODAY()),"",IF(AND(HB427="",HC427=""),"",N(HC427)-N(HB427)))</f>
        <v/>
      </c>
      <c r="HH427">
        <f>IF(OR(HF$3="",HF$3&gt;TODAY()),"",IF(AND(HF427="",HG427=""),"",N(HG427)-N(HF427)))</f>
        <v/>
      </c>
      <c r="HK427">
        <f>IF(OR(HF$3="",HF$3&gt;TODAY()),"",IF(AND(HI427="",HJ427=""),"",N(HJ427)-N(HI427)))</f>
        <v/>
      </c>
      <c r="HO427">
        <f>IF(OR(HM$3="",HM$3&gt;TODAY()),"",IF(AND(HM427="",HN427=""),"",N(HN427)-N(HM427)))</f>
        <v/>
      </c>
      <c r="HR427">
        <f>IF(OR(HM$3="",HM$3&gt;TODAY()),"",IF(AND(HP427="",HQ427=""),"",N(HQ427)-N(HP427)))</f>
        <v/>
      </c>
      <c r="HV427">
        <f>IF(OR(HT$3="",HT$3&gt;TODAY()),"",IF(AND(HT427="",HU427=""),"",N(HU427)-N(HT427)))</f>
        <v/>
      </c>
      <c r="HY427">
        <f>IF(OR(HT$3="",HT$3&gt;TODAY()),"",IF(AND(HW427="",HX427=""),"",N(HX427)-N(HW427)))</f>
        <v/>
      </c>
      <c r="IC427">
        <f>IF(OR(IA$3="",IA$3&gt;TODAY()),"",IF(AND(IA427="",IB427=""),"",N(IB427)-N(IA427)))</f>
        <v/>
      </c>
      <c r="IF427">
        <f>IF(OR(IA$3="",IA$3&gt;TODAY()),"",IF(AND(ID427="",IE427=""),"",N(IE427)-N(ID427)))</f>
        <v/>
      </c>
      <c r="IJ427">
        <f>IF(OR(IH$3="",IH$3&gt;TODAY()),"",IF(AND(IH427="",II427=""),"",N(II427)-N(IH427)))</f>
        <v/>
      </c>
      <c r="IM427">
        <f>IF(OR(IH$3="",IH$3&gt;TODAY()),"",IF(AND(IK427="",IL427=""),"",N(IL427)-N(IK427)))</f>
        <v/>
      </c>
    </row>
    <row r="428">
      <c r="A428" s="21" t="n"/>
      <c r="B428" s="21" t="n"/>
      <c r="C428" s="21" t="n"/>
      <c r="D428" s="21" t="n"/>
      <c r="E428" s="21" t="n"/>
      <c r="F428" s="21" t="n"/>
      <c r="G428" s="21" t="n"/>
      <c r="H428" s="21" t="n"/>
      <c r="I428" s="22" t="n"/>
      <c r="J428" s="22" t="n"/>
      <c r="K428" s="23" t="n"/>
      <c r="L428" s="22" t="n"/>
      <c r="M428" s="22" t="n"/>
      <c r="N428" s="21" t="n"/>
      <c r="O428" s="23" t="n"/>
      <c r="P428" s="23" t="n"/>
      <c r="Q428" s="23" t="n"/>
      <c r="R428" s="23" t="n"/>
      <c r="S428" s="22" t="n"/>
      <c r="T428" s="23" t="n"/>
      <c r="U428" s="23" t="n"/>
      <c r="V428" s="24">
        <f>IF(J428&lt;&gt;"",J428,IF(I428&lt;&gt;"",I428,""))</f>
        <v/>
      </c>
      <c r="W428" s="25">
        <f>IF($E428="","",N(O428)+SUMIFS($AF428:$IN428,$AF$4:$IN$4,"SEW_ACT"))</f>
        <v/>
      </c>
      <c r="X428" s="25">
        <f>IF($E428="","",N(P428)+SUMIFS($AF428:$IN428,$AF$4:$IN$4,"WASH_ACT"))</f>
        <v/>
      </c>
      <c r="Y428" s="25">
        <f>IF($E428="","",W428-X428-N(T428)-N(U428))</f>
        <v/>
      </c>
      <c r="Z428" s="25">
        <f>IF($E428="","",IF(N(K428)-X428&lt;=0.02*N(K428),0,N(K428)-X428))</f>
        <v/>
      </c>
      <c r="AA428" s="24">
        <f>IF($E428="","",IF(S428&lt;&gt;"",S428,IF(N(O428)&gt;0,IF(L428&lt;&gt;"",L428,99999),IFERROR(1/(1/_xlfn.MINIFS($AF$3:$IN$3,$AF$4:$IN$4,"SEW_ACT",$AF428:$IN428,"&gt;0")),99999))))</f>
        <v/>
      </c>
      <c r="AB428" s="26">
        <f>IF(OR($E428="",Z428=0,V428=""),"",1+COUNTIFS(Z$8:Z$707,"&gt;0",V$8:V$707,"&lt;"&amp;V428)+COUNTIFS(Z$8:Z$707,"&gt;0",V$8:V$707,V428,AA$8:AA$707,"&lt;"&amp;AA428)+COUNTIFS(Z$8:Z$707,"&gt;0",V$8:V$707,V428,AA$8:AA$707,AA428,E$8:E$707,"&lt;"&amp;$E428))</f>
        <v/>
      </c>
      <c r="AC428" s="24">
        <f>IF(OR($E428="",Z428=0),"",IFERROR(TODAY()+ROUNDUP(Z428/(SUMIFS($AF428:$IN428,$AF$4:$IN$4,"WASH_ACT")/COUNTIFS($AF$4:$IN$4,"WASH_ACT",$AF428:$IN428,"&gt;0")),0),"no output yet"))</f>
        <v/>
      </c>
      <c r="AD428" s="26">
        <f>IF($E428="","",IFERROR(ROUND(MAX(0,SUMIFS($AF428:$IN428,$AF$4:$IN$4,"SEW_PLAN",$AF$3:$IN$3,"&lt;="&amp;TODAY())-SUMIFS($AF428:$IN428,$AF$4:$IN$4,"SEW_ACT",$AF$3:$IN$3,"&lt;="&amp;TODAY())+N(Q428))/(SUMIFS($AF428:$IN428,$AF$4:$IN$4,"SEW_PLAN")/COUNTIFS($AF$4:$IN$4,"SEW_PLAN",$AF428:$IN428,"&gt;0")),1),0))</f>
        <v/>
      </c>
      <c r="AE428" s="26">
        <f>IF($E428="","",IF(AND(Z428&gt;0,OR(AND(M428&lt;&gt;"",TODAY()&gt;M428),AND(V428&lt;&gt;"",V428-TODAY()&lt;=7))),"Yes","No"))</f>
        <v/>
      </c>
      <c r="AH428">
        <f>IF(OR(AF$3="",AF$3&gt;TODAY()),"",IF(AND(AF428="",AG428=""),"",N(AG428)-N(AF428)))</f>
        <v/>
      </c>
      <c r="AK428">
        <f>IF(OR(AF$3="",AF$3&gt;TODAY()),"",IF(AND(AI428="",AJ428=""),"",N(AJ428)-N(AI428)))</f>
        <v/>
      </c>
      <c r="AO428">
        <f>IF(OR(AM$3="",AM$3&gt;TODAY()),"",IF(AND(AM428="",AN428=""),"",N(AN428)-N(AM428)))</f>
        <v/>
      </c>
      <c r="AR428">
        <f>IF(OR(AM$3="",AM$3&gt;TODAY()),"",IF(AND(AP428="",AQ428=""),"",N(AQ428)-N(AP428)))</f>
        <v/>
      </c>
      <c r="AV428">
        <f>IF(OR(AT$3="",AT$3&gt;TODAY()),"",IF(AND(AT428="",AU428=""),"",N(AU428)-N(AT428)))</f>
        <v/>
      </c>
      <c r="AY428">
        <f>IF(OR(AT$3="",AT$3&gt;TODAY()),"",IF(AND(AW428="",AX428=""),"",N(AX428)-N(AW428)))</f>
        <v/>
      </c>
      <c r="BC428">
        <f>IF(OR(BA$3="",BA$3&gt;TODAY()),"",IF(AND(BA428="",BB428=""),"",N(BB428)-N(BA428)))</f>
        <v/>
      </c>
      <c r="BF428">
        <f>IF(OR(BA$3="",BA$3&gt;TODAY()),"",IF(AND(BD428="",BE428=""),"",N(BE428)-N(BD428)))</f>
        <v/>
      </c>
      <c r="BJ428">
        <f>IF(OR(BH$3="",BH$3&gt;TODAY()),"",IF(AND(BH428="",BI428=""),"",N(BI428)-N(BH428)))</f>
        <v/>
      </c>
      <c r="BM428">
        <f>IF(OR(BH$3="",BH$3&gt;TODAY()),"",IF(AND(BK428="",BL428=""),"",N(BL428)-N(BK428)))</f>
        <v/>
      </c>
      <c r="BQ428">
        <f>IF(OR(BO$3="",BO$3&gt;TODAY()),"",IF(AND(BO428="",BP428=""),"",N(BP428)-N(BO428)))</f>
        <v/>
      </c>
      <c r="BT428">
        <f>IF(OR(BO$3="",BO$3&gt;TODAY()),"",IF(AND(BR428="",BS428=""),"",N(BS428)-N(BR428)))</f>
        <v/>
      </c>
      <c r="BX428">
        <f>IF(OR(BV$3="",BV$3&gt;TODAY()),"",IF(AND(BV428="",BW428=""),"",N(BW428)-N(BV428)))</f>
        <v/>
      </c>
      <c r="CA428">
        <f>IF(OR(BV$3="",BV$3&gt;TODAY()),"",IF(AND(BY428="",BZ428=""),"",N(BZ428)-N(BY428)))</f>
        <v/>
      </c>
      <c r="CE428">
        <f>IF(OR(CC$3="",CC$3&gt;TODAY()),"",IF(AND(CC428="",CD428=""),"",N(CD428)-N(CC428)))</f>
        <v/>
      </c>
      <c r="CH428">
        <f>IF(OR(CC$3="",CC$3&gt;TODAY()),"",IF(AND(CF428="",CG428=""),"",N(CG428)-N(CF428)))</f>
        <v/>
      </c>
      <c r="CL428">
        <f>IF(OR(CJ$3="",CJ$3&gt;TODAY()),"",IF(AND(CJ428="",CK428=""),"",N(CK428)-N(CJ428)))</f>
        <v/>
      </c>
      <c r="CO428">
        <f>IF(OR(CJ$3="",CJ$3&gt;TODAY()),"",IF(AND(CM428="",CN428=""),"",N(CN428)-N(CM428)))</f>
        <v/>
      </c>
      <c r="CS428">
        <f>IF(OR(CQ$3="",CQ$3&gt;TODAY()),"",IF(AND(CQ428="",CR428=""),"",N(CR428)-N(CQ428)))</f>
        <v/>
      </c>
      <c r="CV428">
        <f>IF(OR(CQ$3="",CQ$3&gt;TODAY()),"",IF(AND(CT428="",CU428=""),"",N(CU428)-N(CT428)))</f>
        <v/>
      </c>
      <c r="CZ428">
        <f>IF(OR(CX$3="",CX$3&gt;TODAY()),"",IF(AND(CX428="",CY428=""),"",N(CY428)-N(CX428)))</f>
        <v/>
      </c>
      <c r="DC428">
        <f>IF(OR(CX$3="",CX$3&gt;TODAY()),"",IF(AND(DA428="",DB428=""),"",N(DB428)-N(DA428)))</f>
        <v/>
      </c>
      <c r="DG428">
        <f>IF(OR(DE$3="",DE$3&gt;TODAY()),"",IF(AND(DE428="",DF428=""),"",N(DF428)-N(DE428)))</f>
        <v/>
      </c>
      <c r="DJ428">
        <f>IF(OR(DE$3="",DE$3&gt;TODAY()),"",IF(AND(DH428="",DI428=""),"",N(DI428)-N(DH428)))</f>
        <v/>
      </c>
      <c r="DN428">
        <f>IF(OR(DL$3="",DL$3&gt;TODAY()),"",IF(AND(DL428="",DM428=""),"",N(DM428)-N(DL428)))</f>
        <v/>
      </c>
      <c r="DQ428">
        <f>IF(OR(DL$3="",DL$3&gt;TODAY()),"",IF(AND(DO428="",DP428=""),"",N(DP428)-N(DO428)))</f>
        <v/>
      </c>
      <c r="DU428">
        <f>IF(OR(DS$3="",DS$3&gt;TODAY()),"",IF(AND(DS428="",DT428=""),"",N(DT428)-N(DS428)))</f>
        <v/>
      </c>
      <c r="DX428">
        <f>IF(OR(DS$3="",DS$3&gt;TODAY()),"",IF(AND(DV428="",DW428=""),"",N(DW428)-N(DV428)))</f>
        <v/>
      </c>
      <c r="EB428">
        <f>IF(OR(DZ$3="",DZ$3&gt;TODAY()),"",IF(AND(DZ428="",EA428=""),"",N(EA428)-N(DZ428)))</f>
        <v/>
      </c>
      <c r="EE428">
        <f>IF(OR(DZ$3="",DZ$3&gt;TODAY()),"",IF(AND(EC428="",ED428=""),"",N(ED428)-N(EC428)))</f>
        <v/>
      </c>
      <c r="EI428">
        <f>IF(OR(EG$3="",EG$3&gt;TODAY()),"",IF(AND(EG428="",EH428=""),"",N(EH428)-N(EG428)))</f>
        <v/>
      </c>
      <c r="EL428">
        <f>IF(OR(EG$3="",EG$3&gt;TODAY()),"",IF(AND(EJ428="",EK428=""),"",N(EK428)-N(EJ428)))</f>
        <v/>
      </c>
      <c r="EP428">
        <f>IF(OR(EN$3="",EN$3&gt;TODAY()),"",IF(AND(EN428="",EO428=""),"",N(EO428)-N(EN428)))</f>
        <v/>
      </c>
      <c r="ES428">
        <f>IF(OR(EN$3="",EN$3&gt;TODAY()),"",IF(AND(EQ428="",ER428=""),"",N(ER428)-N(EQ428)))</f>
        <v/>
      </c>
      <c r="EW428">
        <f>IF(OR(EU$3="",EU$3&gt;TODAY()),"",IF(AND(EU428="",EV428=""),"",N(EV428)-N(EU428)))</f>
        <v/>
      </c>
      <c r="EZ428">
        <f>IF(OR(EU$3="",EU$3&gt;TODAY()),"",IF(AND(EX428="",EY428=""),"",N(EY428)-N(EX428)))</f>
        <v/>
      </c>
      <c r="FD428">
        <f>IF(OR(FB$3="",FB$3&gt;TODAY()),"",IF(AND(FB428="",FC428=""),"",N(FC428)-N(FB428)))</f>
        <v/>
      </c>
      <c r="FG428">
        <f>IF(OR(FB$3="",FB$3&gt;TODAY()),"",IF(AND(FE428="",FF428=""),"",N(FF428)-N(FE428)))</f>
        <v/>
      </c>
      <c r="FK428">
        <f>IF(OR(FI$3="",FI$3&gt;TODAY()),"",IF(AND(FI428="",FJ428=""),"",N(FJ428)-N(FI428)))</f>
        <v/>
      </c>
      <c r="FN428">
        <f>IF(OR(FI$3="",FI$3&gt;TODAY()),"",IF(AND(FL428="",FM428=""),"",N(FM428)-N(FL428)))</f>
        <v/>
      </c>
      <c r="FR428">
        <f>IF(OR(FP$3="",FP$3&gt;TODAY()),"",IF(AND(FP428="",FQ428=""),"",N(FQ428)-N(FP428)))</f>
        <v/>
      </c>
      <c r="FU428">
        <f>IF(OR(FP$3="",FP$3&gt;TODAY()),"",IF(AND(FS428="",FT428=""),"",N(FT428)-N(FS428)))</f>
        <v/>
      </c>
      <c r="FY428">
        <f>IF(OR(FW$3="",FW$3&gt;TODAY()),"",IF(AND(FW428="",FX428=""),"",N(FX428)-N(FW428)))</f>
        <v/>
      </c>
      <c r="GB428">
        <f>IF(OR(FW$3="",FW$3&gt;TODAY()),"",IF(AND(FZ428="",GA428=""),"",N(GA428)-N(FZ428)))</f>
        <v/>
      </c>
      <c r="GF428">
        <f>IF(OR(GD$3="",GD$3&gt;TODAY()),"",IF(AND(GD428="",GE428=""),"",N(GE428)-N(GD428)))</f>
        <v/>
      </c>
      <c r="GI428">
        <f>IF(OR(GD$3="",GD$3&gt;TODAY()),"",IF(AND(GG428="",GH428=""),"",N(GH428)-N(GG428)))</f>
        <v/>
      </c>
      <c r="GM428">
        <f>IF(OR(GK$3="",GK$3&gt;TODAY()),"",IF(AND(GK428="",GL428=""),"",N(GL428)-N(GK428)))</f>
        <v/>
      </c>
      <c r="GP428">
        <f>IF(OR(GK$3="",GK$3&gt;TODAY()),"",IF(AND(GN428="",GO428=""),"",N(GO428)-N(GN428)))</f>
        <v/>
      </c>
      <c r="GT428">
        <f>IF(OR(GR$3="",GR$3&gt;TODAY()),"",IF(AND(GR428="",GS428=""),"",N(GS428)-N(GR428)))</f>
        <v/>
      </c>
      <c r="GW428">
        <f>IF(OR(GR$3="",GR$3&gt;TODAY()),"",IF(AND(GU428="",GV428=""),"",N(GV428)-N(GU428)))</f>
        <v/>
      </c>
      <c r="HA428">
        <f>IF(OR(GY$3="",GY$3&gt;TODAY()),"",IF(AND(GY428="",GZ428=""),"",N(GZ428)-N(GY428)))</f>
        <v/>
      </c>
      <c r="HD428">
        <f>IF(OR(GY$3="",GY$3&gt;TODAY()),"",IF(AND(HB428="",HC428=""),"",N(HC428)-N(HB428)))</f>
        <v/>
      </c>
      <c r="HH428">
        <f>IF(OR(HF$3="",HF$3&gt;TODAY()),"",IF(AND(HF428="",HG428=""),"",N(HG428)-N(HF428)))</f>
        <v/>
      </c>
      <c r="HK428">
        <f>IF(OR(HF$3="",HF$3&gt;TODAY()),"",IF(AND(HI428="",HJ428=""),"",N(HJ428)-N(HI428)))</f>
        <v/>
      </c>
      <c r="HO428">
        <f>IF(OR(HM$3="",HM$3&gt;TODAY()),"",IF(AND(HM428="",HN428=""),"",N(HN428)-N(HM428)))</f>
        <v/>
      </c>
      <c r="HR428">
        <f>IF(OR(HM$3="",HM$3&gt;TODAY()),"",IF(AND(HP428="",HQ428=""),"",N(HQ428)-N(HP428)))</f>
        <v/>
      </c>
      <c r="HV428">
        <f>IF(OR(HT$3="",HT$3&gt;TODAY()),"",IF(AND(HT428="",HU428=""),"",N(HU428)-N(HT428)))</f>
        <v/>
      </c>
      <c r="HY428">
        <f>IF(OR(HT$3="",HT$3&gt;TODAY()),"",IF(AND(HW428="",HX428=""),"",N(HX428)-N(HW428)))</f>
        <v/>
      </c>
      <c r="IC428">
        <f>IF(OR(IA$3="",IA$3&gt;TODAY()),"",IF(AND(IA428="",IB428=""),"",N(IB428)-N(IA428)))</f>
        <v/>
      </c>
      <c r="IF428">
        <f>IF(OR(IA$3="",IA$3&gt;TODAY()),"",IF(AND(ID428="",IE428=""),"",N(IE428)-N(ID428)))</f>
        <v/>
      </c>
      <c r="IJ428">
        <f>IF(OR(IH$3="",IH$3&gt;TODAY()),"",IF(AND(IH428="",II428=""),"",N(II428)-N(IH428)))</f>
        <v/>
      </c>
      <c r="IM428">
        <f>IF(OR(IH$3="",IH$3&gt;TODAY()),"",IF(AND(IK428="",IL428=""),"",N(IL428)-N(IK428)))</f>
        <v/>
      </c>
    </row>
    <row r="429">
      <c r="A429" s="21" t="n"/>
      <c r="B429" s="21" t="n"/>
      <c r="C429" s="21" t="n"/>
      <c r="D429" s="21" t="n"/>
      <c r="E429" s="21" t="n"/>
      <c r="F429" s="21" t="n"/>
      <c r="G429" s="21" t="n"/>
      <c r="H429" s="21" t="n"/>
      <c r="I429" s="22" t="n"/>
      <c r="J429" s="22" t="n"/>
      <c r="K429" s="23" t="n"/>
      <c r="L429" s="22" t="n"/>
      <c r="M429" s="22" t="n"/>
      <c r="N429" s="21" t="n"/>
      <c r="O429" s="23" t="n"/>
      <c r="P429" s="23" t="n"/>
      <c r="Q429" s="23" t="n"/>
      <c r="R429" s="23" t="n"/>
      <c r="S429" s="22" t="n"/>
      <c r="T429" s="23" t="n"/>
      <c r="U429" s="23" t="n"/>
      <c r="V429" s="24">
        <f>IF(J429&lt;&gt;"",J429,IF(I429&lt;&gt;"",I429,""))</f>
        <v/>
      </c>
      <c r="W429" s="25">
        <f>IF($E429="","",N(O429)+SUMIFS($AF429:$IN429,$AF$4:$IN$4,"SEW_ACT"))</f>
        <v/>
      </c>
      <c r="X429" s="25">
        <f>IF($E429="","",N(P429)+SUMIFS($AF429:$IN429,$AF$4:$IN$4,"WASH_ACT"))</f>
        <v/>
      </c>
      <c r="Y429" s="25">
        <f>IF($E429="","",W429-X429-N(T429)-N(U429))</f>
        <v/>
      </c>
      <c r="Z429" s="25">
        <f>IF($E429="","",IF(N(K429)-X429&lt;=0.02*N(K429),0,N(K429)-X429))</f>
        <v/>
      </c>
      <c r="AA429" s="24">
        <f>IF($E429="","",IF(S429&lt;&gt;"",S429,IF(N(O429)&gt;0,IF(L429&lt;&gt;"",L429,99999),IFERROR(1/(1/_xlfn.MINIFS($AF$3:$IN$3,$AF$4:$IN$4,"SEW_ACT",$AF429:$IN429,"&gt;0")),99999))))</f>
        <v/>
      </c>
      <c r="AB429" s="26">
        <f>IF(OR($E429="",Z429=0,V429=""),"",1+COUNTIFS(Z$8:Z$707,"&gt;0",V$8:V$707,"&lt;"&amp;V429)+COUNTIFS(Z$8:Z$707,"&gt;0",V$8:V$707,V429,AA$8:AA$707,"&lt;"&amp;AA429)+COUNTIFS(Z$8:Z$707,"&gt;0",V$8:V$707,V429,AA$8:AA$707,AA429,E$8:E$707,"&lt;"&amp;$E429))</f>
        <v/>
      </c>
      <c r="AC429" s="24">
        <f>IF(OR($E429="",Z429=0),"",IFERROR(TODAY()+ROUNDUP(Z429/(SUMIFS($AF429:$IN429,$AF$4:$IN$4,"WASH_ACT")/COUNTIFS($AF$4:$IN$4,"WASH_ACT",$AF429:$IN429,"&gt;0")),0),"no output yet"))</f>
        <v/>
      </c>
      <c r="AD429" s="26">
        <f>IF($E429="","",IFERROR(ROUND(MAX(0,SUMIFS($AF429:$IN429,$AF$4:$IN$4,"SEW_PLAN",$AF$3:$IN$3,"&lt;="&amp;TODAY())-SUMIFS($AF429:$IN429,$AF$4:$IN$4,"SEW_ACT",$AF$3:$IN$3,"&lt;="&amp;TODAY())+N(Q429))/(SUMIFS($AF429:$IN429,$AF$4:$IN$4,"SEW_PLAN")/COUNTIFS($AF$4:$IN$4,"SEW_PLAN",$AF429:$IN429,"&gt;0")),1),0))</f>
        <v/>
      </c>
      <c r="AE429" s="26">
        <f>IF($E429="","",IF(AND(Z429&gt;0,OR(AND(M429&lt;&gt;"",TODAY()&gt;M429),AND(V429&lt;&gt;"",V429-TODAY()&lt;=7))),"Yes","No"))</f>
        <v/>
      </c>
      <c r="AH429">
        <f>IF(OR(AF$3="",AF$3&gt;TODAY()),"",IF(AND(AF429="",AG429=""),"",N(AG429)-N(AF429)))</f>
        <v/>
      </c>
      <c r="AK429">
        <f>IF(OR(AF$3="",AF$3&gt;TODAY()),"",IF(AND(AI429="",AJ429=""),"",N(AJ429)-N(AI429)))</f>
        <v/>
      </c>
      <c r="AO429">
        <f>IF(OR(AM$3="",AM$3&gt;TODAY()),"",IF(AND(AM429="",AN429=""),"",N(AN429)-N(AM429)))</f>
        <v/>
      </c>
      <c r="AR429">
        <f>IF(OR(AM$3="",AM$3&gt;TODAY()),"",IF(AND(AP429="",AQ429=""),"",N(AQ429)-N(AP429)))</f>
        <v/>
      </c>
      <c r="AV429">
        <f>IF(OR(AT$3="",AT$3&gt;TODAY()),"",IF(AND(AT429="",AU429=""),"",N(AU429)-N(AT429)))</f>
        <v/>
      </c>
      <c r="AY429">
        <f>IF(OR(AT$3="",AT$3&gt;TODAY()),"",IF(AND(AW429="",AX429=""),"",N(AX429)-N(AW429)))</f>
        <v/>
      </c>
      <c r="BC429">
        <f>IF(OR(BA$3="",BA$3&gt;TODAY()),"",IF(AND(BA429="",BB429=""),"",N(BB429)-N(BA429)))</f>
        <v/>
      </c>
      <c r="BF429">
        <f>IF(OR(BA$3="",BA$3&gt;TODAY()),"",IF(AND(BD429="",BE429=""),"",N(BE429)-N(BD429)))</f>
        <v/>
      </c>
      <c r="BJ429">
        <f>IF(OR(BH$3="",BH$3&gt;TODAY()),"",IF(AND(BH429="",BI429=""),"",N(BI429)-N(BH429)))</f>
        <v/>
      </c>
      <c r="BM429">
        <f>IF(OR(BH$3="",BH$3&gt;TODAY()),"",IF(AND(BK429="",BL429=""),"",N(BL429)-N(BK429)))</f>
        <v/>
      </c>
      <c r="BQ429">
        <f>IF(OR(BO$3="",BO$3&gt;TODAY()),"",IF(AND(BO429="",BP429=""),"",N(BP429)-N(BO429)))</f>
        <v/>
      </c>
      <c r="BT429">
        <f>IF(OR(BO$3="",BO$3&gt;TODAY()),"",IF(AND(BR429="",BS429=""),"",N(BS429)-N(BR429)))</f>
        <v/>
      </c>
      <c r="BX429">
        <f>IF(OR(BV$3="",BV$3&gt;TODAY()),"",IF(AND(BV429="",BW429=""),"",N(BW429)-N(BV429)))</f>
        <v/>
      </c>
      <c r="CA429">
        <f>IF(OR(BV$3="",BV$3&gt;TODAY()),"",IF(AND(BY429="",BZ429=""),"",N(BZ429)-N(BY429)))</f>
        <v/>
      </c>
      <c r="CE429">
        <f>IF(OR(CC$3="",CC$3&gt;TODAY()),"",IF(AND(CC429="",CD429=""),"",N(CD429)-N(CC429)))</f>
        <v/>
      </c>
      <c r="CH429">
        <f>IF(OR(CC$3="",CC$3&gt;TODAY()),"",IF(AND(CF429="",CG429=""),"",N(CG429)-N(CF429)))</f>
        <v/>
      </c>
      <c r="CL429">
        <f>IF(OR(CJ$3="",CJ$3&gt;TODAY()),"",IF(AND(CJ429="",CK429=""),"",N(CK429)-N(CJ429)))</f>
        <v/>
      </c>
      <c r="CO429">
        <f>IF(OR(CJ$3="",CJ$3&gt;TODAY()),"",IF(AND(CM429="",CN429=""),"",N(CN429)-N(CM429)))</f>
        <v/>
      </c>
      <c r="CS429">
        <f>IF(OR(CQ$3="",CQ$3&gt;TODAY()),"",IF(AND(CQ429="",CR429=""),"",N(CR429)-N(CQ429)))</f>
        <v/>
      </c>
      <c r="CV429">
        <f>IF(OR(CQ$3="",CQ$3&gt;TODAY()),"",IF(AND(CT429="",CU429=""),"",N(CU429)-N(CT429)))</f>
        <v/>
      </c>
      <c r="CZ429">
        <f>IF(OR(CX$3="",CX$3&gt;TODAY()),"",IF(AND(CX429="",CY429=""),"",N(CY429)-N(CX429)))</f>
        <v/>
      </c>
      <c r="DC429">
        <f>IF(OR(CX$3="",CX$3&gt;TODAY()),"",IF(AND(DA429="",DB429=""),"",N(DB429)-N(DA429)))</f>
        <v/>
      </c>
      <c r="DG429">
        <f>IF(OR(DE$3="",DE$3&gt;TODAY()),"",IF(AND(DE429="",DF429=""),"",N(DF429)-N(DE429)))</f>
        <v/>
      </c>
      <c r="DJ429">
        <f>IF(OR(DE$3="",DE$3&gt;TODAY()),"",IF(AND(DH429="",DI429=""),"",N(DI429)-N(DH429)))</f>
        <v/>
      </c>
      <c r="DN429">
        <f>IF(OR(DL$3="",DL$3&gt;TODAY()),"",IF(AND(DL429="",DM429=""),"",N(DM429)-N(DL429)))</f>
        <v/>
      </c>
      <c r="DQ429">
        <f>IF(OR(DL$3="",DL$3&gt;TODAY()),"",IF(AND(DO429="",DP429=""),"",N(DP429)-N(DO429)))</f>
        <v/>
      </c>
      <c r="DU429">
        <f>IF(OR(DS$3="",DS$3&gt;TODAY()),"",IF(AND(DS429="",DT429=""),"",N(DT429)-N(DS429)))</f>
        <v/>
      </c>
      <c r="DX429">
        <f>IF(OR(DS$3="",DS$3&gt;TODAY()),"",IF(AND(DV429="",DW429=""),"",N(DW429)-N(DV429)))</f>
        <v/>
      </c>
      <c r="EB429">
        <f>IF(OR(DZ$3="",DZ$3&gt;TODAY()),"",IF(AND(DZ429="",EA429=""),"",N(EA429)-N(DZ429)))</f>
        <v/>
      </c>
      <c r="EE429">
        <f>IF(OR(DZ$3="",DZ$3&gt;TODAY()),"",IF(AND(EC429="",ED429=""),"",N(ED429)-N(EC429)))</f>
        <v/>
      </c>
      <c r="EI429">
        <f>IF(OR(EG$3="",EG$3&gt;TODAY()),"",IF(AND(EG429="",EH429=""),"",N(EH429)-N(EG429)))</f>
        <v/>
      </c>
      <c r="EL429">
        <f>IF(OR(EG$3="",EG$3&gt;TODAY()),"",IF(AND(EJ429="",EK429=""),"",N(EK429)-N(EJ429)))</f>
        <v/>
      </c>
      <c r="EP429">
        <f>IF(OR(EN$3="",EN$3&gt;TODAY()),"",IF(AND(EN429="",EO429=""),"",N(EO429)-N(EN429)))</f>
        <v/>
      </c>
      <c r="ES429">
        <f>IF(OR(EN$3="",EN$3&gt;TODAY()),"",IF(AND(EQ429="",ER429=""),"",N(ER429)-N(EQ429)))</f>
        <v/>
      </c>
      <c r="EW429">
        <f>IF(OR(EU$3="",EU$3&gt;TODAY()),"",IF(AND(EU429="",EV429=""),"",N(EV429)-N(EU429)))</f>
        <v/>
      </c>
      <c r="EZ429">
        <f>IF(OR(EU$3="",EU$3&gt;TODAY()),"",IF(AND(EX429="",EY429=""),"",N(EY429)-N(EX429)))</f>
        <v/>
      </c>
      <c r="FD429">
        <f>IF(OR(FB$3="",FB$3&gt;TODAY()),"",IF(AND(FB429="",FC429=""),"",N(FC429)-N(FB429)))</f>
        <v/>
      </c>
      <c r="FG429">
        <f>IF(OR(FB$3="",FB$3&gt;TODAY()),"",IF(AND(FE429="",FF429=""),"",N(FF429)-N(FE429)))</f>
        <v/>
      </c>
      <c r="FK429">
        <f>IF(OR(FI$3="",FI$3&gt;TODAY()),"",IF(AND(FI429="",FJ429=""),"",N(FJ429)-N(FI429)))</f>
        <v/>
      </c>
      <c r="FN429">
        <f>IF(OR(FI$3="",FI$3&gt;TODAY()),"",IF(AND(FL429="",FM429=""),"",N(FM429)-N(FL429)))</f>
        <v/>
      </c>
      <c r="FR429">
        <f>IF(OR(FP$3="",FP$3&gt;TODAY()),"",IF(AND(FP429="",FQ429=""),"",N(FQ429)-N(FP429)))</f>
        <v/>
      </c>
      <c r="FU429">
        <f>IF(OR(FP$3="",FP$3&gt;TODAY()),"",IF(AND(FS429="",FT429=""),"",N(FT429)-N(FS429)))</f>
        <v/>
      </c>
      <c r="FY429">
        <f>IF(OR(FW$3="",FW$3&gt;TODAY()),"",IF(AND(FW429="",FX429=""),"",N(FX429)-N(FW429)))</f>
        <v/>
      </c>
      <c r="GB429">
        <f>IF(OR(FW$3="",FW$3&gt;TODAY()),"",IF(AND(FZ429="",GA429=""),"",N(GA429)-N(FZ429)))</f>
        <v/>
      </c>
      <c r="GF429">
        <f>IF(OR(GD$3="",GD$3&gt;TODAY()),"",IF(AND(GD429="",GE429=""),"",N(GE429)-N(GD429)))</f>
        <v/>
      </c>
      <c r="GI429">
        <f>IF(OR(GD$3="",GD$3&gt;TODAY()),"",IF(AND(GG429="",GH429=""),"",N(GH429)-N(GG429)))</f>
        <v/>
      </c>
      <c r="GM429">
        <f>IF(OR(GK$3="",GK$3&gt;TODAY()),"",IF(AND(GK429="",GL429=""),"",N(GL429)-N(GK429)))</f>
        <v/>
      </c>
      <c r="GP429">
        <f>IF(OR(GK$3="",GK$3&gt;TODAY()),"",IF(AND(GN429="",GO429=""),"",N(GO429)-N(GN429)))</f>
        <v/>
      </c>
      <c r="GT429">
        <f>IF(OR(GR$3="",GR$3&gt;TODAY()),"",IF(AND(GR429="",GS429=""),"",N(GS429)-N(GR429)))</f>
        <v/>
      </c>
      <c r="GW429">
        <f>IF(OR(GR$3="",GR$3&gt;TODAY()),"",IF(AND(GU429="",GV429=""),"",N(GV429)-N(GU429)))</f>
        <v/>
      </c>
      <c r="HA429">
        <f>IF(OR(GY$3="",GY$3&gt;TODAY()),"",IF(AND(GY429="",GZ429=""),"",N(GZ429)-N(GY429)))</f>
        <v/>
      </c>
      <c r="HD429">
        <f>IF(OR(GY$3="",GY$3&gt;TODAY()),"",IF(AND(HB429="",HC429=""),"",N(HC429)-N(HB429)))</f>
        <v/>
      </c>
      <c r="HH429">
        <f>IF(OR(HF$3="",HF$3&gt;TODAY()),"",IF(AND(HF429="",HG429=""),"",N(HG429)-N(HF429)))</f>
        <v/>
      </c>
      <c r="HK429">
        <f>IF(OR(HF$3="",HF$3&gt;TODAY()),"",IF(AND(HI429="",HJ429=""),"",N(HJ429)-N(HI429)))</f>
        <v/>
      </c>
      <c r="HO429">
        <f>IF(OR(HM$3="",HM$3&gt;TODAY()),"",IF(AND(HM429="",HN429=""),"",N(HN429)-N(HM429)))</f>
        <v/>
      </c>
      <c r="HR429">
        <f>IF(OR(HM$3="",HM$3&gt;TODAY()),"",IF(AND(HP429="",HQ429=""),"",N(HQ429)-N(HP429)))</f>
        <v/>
      </c>
      <c r="HV429">
        <f>IF(OR(HT$3="",HT$3&gt;TODAY()),"",IF(AND(HT429="",HU429=""),"",N(HU429)-N(HT429)))</f>
        <v/>
      </c>
      <c r="HY429">
        <f>IF(OR(HT$3="",HT$3&gt;TODAY()),"",IF(AND(HW429="",HX429=""),"",N(HX429)-N(HW429)))</f>
        <v/>
      </c>
      <c r="IC429">
        <f>IF(OR(IA$3="",IA$3&gt;TODAY()),"",IF(AND(IA429="",IB429=""),"",N(IB429)-N(IA429)))</f>
        <v/>
      </c>
      <c r="IF429">
        <f>IF(OR(IA$3="",IA$3&gt;TODAY()),"",IF(AND(ID429="",IE429=""),"",N(IE429)-N(ID429)))</f>
        <v/>
      </c>
      <c r="IJ429">
        <f>IF(OR(IH$3="",IH$3&gt;TODAY()),"",IF(AND(IH429="",II429=""),"",N(II429)-N(IH429)))</f>
        <v/>
      </c>
      <c r="IM429">
        <f>IF(OR(IH$3="",IH$3&gt;TODAY()),"",IF(AND(IK429="",IL429=""),"",N(IL429)-N(IK429)))</f>
        <v/>
      </c>
    </row>
    <row r="430">
      <c r="A430" s="21" t="n"/>
      <c r="B430" s="21" t="n"/>
      <c r="C430" s="21" t="n"/>
      <c r="D430" s="21" t="n"/>
      <c r="E430" s="21" t="n"/>
      <c r="F430" s="21" t="n"/>
      <c r="G430" s="21" t="n"/>
      <c r="H430" s="21" t="n"/>
      <c r="I430" s="22" t="n"/>
      <c r="J430" s="22" t="n"/>
      <c r="K430" s="23" t="n"/>
      <c r="L430" s="22" t="n"/>
      <c r="M430" s="22" t="n"/>
      <c r="N430" s="21" t="n"/>
      <c r="O430" s="23" t="n"/>
      <c r="P430" s="23" t="n"/>
      <c r="Q430" s="23" t="n"/>
      <c r="R430" s="23" t="n"/>
      <c r="S430" s="22" t="n"/>
      <c r="T430" s="23" t="n"/>
      <c r="U430" s="23" t="n"/>
      <c r="V430" s="24">
        <f>IF(J430&lt;&gt;"",J430,IF(I430&lt;&gt;"",I430,""))</f>
        <v/>
      </c>
      <c r="W430" s="25">
        <f>IF($E430="","",N(O430)+SUMIFS($AF430:$IN430,$AF$4:$IN$4,"SEW_ACT"))</f>
        <v/>
      </c>
      <c r="X430" s="25">
        <f>IF($E430="","",N(P430)+SUMIFS($AF430:$IN430,$AF$4:$IN$4,"WASH_ACT"))</f>
        <v/>
      </c>
      <c r="Y430" s="25">
        <f>IF($E430="","",W430-X430-N(T430)-N(U430))</f>
        <v/>
      </c>
      <c r="Z430" s="25">
        <f>IF($E430="","",IF(N(K430)-X430&lt;=0.02*N(K430),0,N(K430)-X430))</f>
        <v/>
      </c>
      <c r="AA430" s="24">
        <f>IF($E430="","",IF(S430&lt;&gt;"",S430,IF(N(O430)&gt;0,IF(L430&lt;&gt;"",L430,99999),IFERROR(1/(1/_xlfn.MINIFS($AF$3:$IN$3,$AF$4:$IN$4,"SEW_ACT",$AF430:$IN430,"&gt;0")),99999))))</f>
        <v/>
      </c>
      <c r="AB430" s="26">
        <f>IF(OR($E430="",Z430=0,V430=""),"",1+COUNTIFS(Z$8:Z$707,"&gt;0",V$8:V$707,"&lt;"&amp;V430)+COUNTIFS(Z$8:Z$707,"&gt;0",V$8:V$707,V430,AA$8:AA$707,"&lt;"&amp;AA430)+COUNTIFS(Z$8:Z$707,"&gt;0",V$8:V$707,V430,AA$8:AA$707,AA430,E$8:E$707,"&lt;"&amp;$E430))</f>
        <v/>
      </c>
      <c r="AC430" s="24">
        <f>IF(OR($E430="",Z430=0),"",IFERROR(TODAY()+ROUNDUP(Z430/(SUMIFS($AF430:$IN430,$AF$4:$IN$4,"WASH_ACT")/COUNTIFS($AF$4:$IN$4,"WASH_ACT",$AF430:$IN430,"&gt;0")),0),"no output yet"))</f>
        <v/>
      </c>
      <c r="AD430" s="26">
        <f>IF($E430="","",IFERROR(ROUND(MAX(0,SUMIFS($AF430:$IN430,$AF$4:$IN$4,"SEW_PLAN",$AF$3:$IN$3,"&lt;="&amp;TODAY())-SUMIFS($AF430:$IN430,$AF$4:$IN$4,"SEW_ACT",$AF$3:$IN$3,"&lt;="&amp;TODAY())+N(Q430))/(SUMIFS($AF430:$IN430,$AF$4:$IN$4,"SEW_PLAN")/COUNTIFS($AF$4:$IN$4,"SEW_PLAN",$AF430:$IN430,"&gt;0")),1),0))</f>
        <v/>
      </c>
      <c r="AE430" s="26">
        <f>IF($E430="","",IF(AND(Z430&gt;0,OR(AND(M430&lt;&gt;"",TODAY()&gt;M430),AND(V430&lt;&gt;"",V430-TODAY()&lt;=7))),"Yes","No"))</f>
        <v/>
      </c>
      <c r="AH430">
        <f>IF(OR(AF$3="",AF$3&gt;TODAY()),"",IF(AND(AF430="",AG430=""),"",N(AG430)-N(AF430)))</f>
        <v/>
      </c>
      <c r="AK430">
        <f>IF(OR(AF$3="",AF$3&gt;TODAY()),"",IF(AND(AI430="",AJ430=""),"",N(AJ430)-N(AI430)))</f>
        <v/>
      </c>
      <c r="AO430">
        <f>IF(OR(AM$3="",AM$3&gt;TODAY()),"",IF(AND(AM430="",AN430=""),"",N(AN430)-N(AM430)))</f>
        <v/>
      </c>
      <c r="AR430">
        <f>IF(OR(AM$3="",AM$3&gt;TODAY()),"",IF(AND(AP430="",AQ430=""),"",N(AQ430)-N(AP430)))</f>
        <v/>
      </c>
      <c r="AV430">
        <f>IF(OR(AT$3="",AT$3&gt;TODAY()),"",IF(AND(AT430="",AU430=""),"",N(AU430)-N(AT430)))</f>
        <v/>
      </c>
      <c r="AY430">
        <f>IF(OR(AT$3="",AT$3&gt;TODAY()),"",IF(AND(AW430="",AX430=""),"",N(AX430)-N(AW430)))</f>
        <v/>
      </c>
      <c r="BC430">
        <f>IF(OR(BA$3="",BA$3&gt;TODAY()),"",IF(AND(BA430="",BB430=""),"",N(BB430)-N(BA430)))</f>
        <v/>
      </c>
      <c r="BF430">
        <f>IF(OR(BA$3="",BA$3&gt;TODAY()),"",IF(AND(BD430="",BE430=""),"",N(BE430)-N(BD430)))</f>
        <v/>
      </c>
      <c r="BJ430">
        <f>IF(OR(BH$3="",BH$3&gt;TODAY()),"",IF(AND(BH430="",BI430=""),"",N(BI430)-N(BH430)))</f>
        <v/>
      </c>
      <c r="BM430">
        <f>IF(OR(BH$3="",BH$3&gt;TODAY()),"",IF(AND(BK430="",BL430=""),"",N(BL430)-N(BK430)))</f>
        <v/>
      </c>
      <c r="BQ430">
        <f>IF(OR(BO$3="",BO$3&gt;TODAY()),"",IF(AND(BO430="",BP430=""),"",N(BP430)-N(BO430)))</f>
        <v/>
      </c>
      <c r="BT430">
        <f>IF(OR(BO$3="",BO$3&gt;TODAY()),"",IF(AND(BR430="",BS430=""),"",N(BS430)-N(BR430)))</f>
        <v/>
      </c>
      <c r="BX430">
        <f>IF(OR(BV$3="",BV$3&gt;TODAY()),"",IF(AND(BV430="",BW430=""),"",N(BW430)-N(BV430)))</f>
        <v/>
      </c>
      <c r="CA430">
        <f>IF(OR(BV$3="",BV$3&gt;TODAY()),"",IF(AND(BY430="",BZ430=""),"",N(BZ430)-N(BY430)))</f>
        <v/>
      </c>
      <c r="CE430">
        <f>IF(OR(CC$3="",CC$3&gt;TODAY()),"",IF(AND(CC430="",CD430=""),"",N(CD430)-N(CC430)))</f>
        <v/>
      </c>
      <c r="CH430">
        <f>IF(OR(CC$3="",CC$3&gt;TODAY()),"",IF(AND(CF430="",CG430=""),"",N(CG430)-N(CF430)))</f>
        <v/>
      </c>
      <c r="CL430">
        <f>IF(OR(CJ$3="",CJ$3&gt;TODAY()),"",IF(AND(CJ430="",CK430=""),"",N(CK430)-N(CJ430)))</f>
        <v/>
      </c>
      <c r="CO430">
        <f>IF(OR(CJ$3="",CJ$3&gt;TODAY()),"",IF(AND(CM430="",CN430=""),"",N(CN430)-N(CM430)))</f>
        <v/>
      </c>
      <c r="CS430">
        <f>IF(OR(CQ$3="",CQ$3&gt;TODAY()),"",IF(AND(CQ430="",CR430=""),"",N(CR430)-N(CQ430)))</f>
        <v/>
      </c>
      <c r="CV430">
        <f>IF(OR(CQ$3="",CQ$3&gt;TODAY()),"",IF(AND(CT430="",CU430=""),"",N(CU430)-N(CT430)))</f>
        <v/>
      </c>
      <c r="CZ430">
        <f>IF(OR(CX$3="",CX$3&gt;TODAY()),"",IF(AND(CX430="",CY430=""),"",N(CY430)-N(CX430)))</f>
        <v/>
      </c>
      <c r="DC430">
        <f>IF(OR(CX$3="",CX$3&gt;TODAY()),"",IF(AND(DA430="",DB430=""),"",N(DB430)-N(DA430)))</f>
        <v/>
      </c>
      <c r="DG430">
        <f>IF(OR(DE$3="",DE$3&gt;TODAY()),"",IF(AND(DE430="",DF430=""),"",N(DF430)-N(DE430)))</f>
        <v/>
      </c>
      <c r="DJ430">
        <f>IF(OR(DE$3="",DE$3&gt;TODAY()),"",IF(AND(DH430="",DI430=""),"",N(DI430)-N(DH430)))</f>
        <v/>
      </c>
      <c r="DN430">
        <f>IF(OR(DL$3="",DL$3&gt;TODAY()),"",IF(AND(DL430="",DM430=""),"",N(DM430)-N(DL430)))</f>
        <v/>
      </c>
      <c r="DQ430">
        <f>IF(OR(DL$3="",DL$3&gt;TODAY()),"",IF(AND(DO430="",DP430=""),"",N(DP430)-N(DO430)))</f>
        <v/>
      </c>
      <c r="DU430">
        <f>IF(OR(DS$3="",DS$3&gt;TODAY()),"",IF(AND(DS430="",DT430=""),"",N(DT430)-N(DS430)))</f>
        <v/>
      </c>
      <c r="DX430">
        <f>IF(OR(DS$3="",DS$3&gt;TODAY()),"",IF(AND(DV430="",DW430=""),"",N(DW430)-N(DV430)))</f>
        <v/>
      </c>
      <c r="EB430">
        <f>IF(OR(DZ$3="",DZ$3&gt;TODAY()),"",IF(AND(DZ430="",EA430=""),"",N(EA430)-N(DZ430)))</f>
        <v/>
      </c>
      <c r="EE430">
        <f>IF(OR(DZ$3="",DZ$3&gt;TODAY()),"",IF(AND(EC430="",ED430=""),"",N(ED430)-N(EC430)))</f>
        <v/>
      </c>
      <c r="EI430">
        <f>IF(OR(EG$3="",EG$3&gt;TODAY()),"",IF(AND(EG430="",EH430=""),"",N(EH430)-N(EG430)))</f>
        <v/>
      </c>
      <c r="EL430">
        <f>IF(OR(EG$3="",EG$3&gt;TODAY()),"",IF(AND(EJ430="",EK430=""),"",N(EK430)-N(EJ430)))</f>
        <v/>
      </c>
      <c r="EP430">
        <f>IF(OR(EN$3="",EN$3&gt;TODAY()),"",IF(AND(EN430="",EO430=""),"",N(EO430)-N(EN430)))</f>
        <v/>
      </c>
      <c r="ES430">
        <f>IF(OR(EN$3="",EN$3&gt;TODAY()),"",IF(AND(EQ430="",ER430=""),"",N(ER430)-N(EQ430)))</f>
        <v/>
      </c>
      <c r="EW430">
        <f>IF(OR(EU$3="",EU$3&gt;TODAY()),"",IF(AND(EU430="",EV430=""),"",N(EV430)-N(EU430)))</f>
        <v/>
      </c>
      <c r="EZ430">
        <f>IF(OR(EU$3="",EU$3&gt;TODAY()),"",IF(AND(EX430="",EY430=""),"",N(EY430)-N(EX430)))</f>
        <v/>
      </c>
      <c r="FD430">
        <f>IF(OR(FB$3="",FB$3&gt;TODAY()),"",IF(AND(FB430="",FC430=""),"",N(FC430)-N(FB430)))</f>
        <v/>
      </c>
      <c r="FG430">
        <f>IF(OR(FB$3="",FB$3&gt;TODAY()),"",IF(AND(FE430="",FF430=""),"",N(FF430)-N(FE430)))</f>
        <v/>
      </c>
      <c r="FK430">
        <f>IF(OR(FI$3="",FI$3&gt;TODAY()),"",IF(AND(FI430="",FJ430=""),"",N(FJ430)-N(FI430)))</f>
        <v/>
      </c>
      <c r="FN430">
        <f>IF(OR(FI$3="",FI$3&gt;TODAY()),"",IF(AND(FL430="",FM430=""),"",N(FM430)-N(FL430)))</f>
        <v/>
      </c>
      <c r="FR430">
        <f>IF(OR(FP$3="",FP$3&gt;TODAY()),"",IF(AND(FP430="",FQ430=""),"",N(FQ430)-N(FP430)))</f>
        <v/>
      </c>
      <c r="FU430">
        <f>IF(OR(FP$3="",FP$3&gt;TODAY()),"",IF(AND(FS430="",FT430=""),"",N(FT430)-N(FS430)))</f>
        <v/>
      </c>
      <c r="FY430">
        <f>IF(OR(FW$3="",FW$3&gt;TODAY()),"",IF(AND(FW430="",FX430=""),"",N(FX430)-N(FW430)))</f>
        <v/>
      </c>
      <c r="GB430">
        <f>IF(OR(FW$3="",FW$3&gt;TODAY()),"",IF(AND(FZ430="",GA430=""),"",N(GA430)-N(FZ430)))</f>
        <v/>
      </c>
      <c r="GF430">
        <f>IF(OR(GD$3="",GD$3&gt;TODAY()),"",IF(AND(GD430="",GE430=""),"",N(GE430)-N(GD430)))</f>
        <v/>
      </c>
      <c r="GI430">
        <f>IF(OR(GD$3="",GD$3&gt;TODAY()),"",IF(AND(GG430="",GH430=""),"",N(GH430)-N(GG430)))</f>
        <v/>
      </c>
      <c r="GM430">
        <f>IF(OR(GK$3="",GK$3&gt;TODAY()),"",IF(AND(GK430="",GL430=""),"",N(GL430)-N(GK430)))</f>
        <v/>
      </c>
      <c r="GP430">
        <f>IF(OR(GK$3="",GK$3&gt;TODAY()),"",IF(AND(GN430="",GO430=""),"",N(GO430)-N(GN430)))</f>
        <v/>
      </c>
      <c r="GT430">
        <f>IF(OR(GR$3="",GR$3&gt;TODAY()),"",IF(AND(GR430="",GS430=""),"",N(GS430)-N(GR430)))</f>
        <v/>
      </c>
      <c r="GW430">
        <f>IF(OR(GR$3="",GR$3&gt;TODAY()),"",IF(AND(GU430="",GV430=""),"",N(GV430)-N(GU430)))</f>
        <v/>
      </c>
      <c r="HA430">
        <f>IF(OR(GY$3="",GY$3&gt;TODAY()),"",IF(AND(GY430="",GZ430=""),"",N(GZ430)-N(GY430)))</f>
        <v/>
      </c>
      <c r="HD430">
        <f>IF(OR(GY$3="",GY$3&gt;TODAY()),"",IF(AND(HB430="",HC430=""),"",N(HC430)-N(HB430)))</f>
        <v/>
      </c>
      <c r="HH430">
        <f>IF(OR(HF$3="",HF$3&gt;TODAY()),"",IF(AND(HF430="",HG430=""),"",N(HG430)-N(HF430)))</f>
        <v/>
      </c>
      <c r="HK430">
        <f>IF(OR(HF$3="",HF$3&gt;TODAY()),"",IF(AND(HI430="",HJ430=""),"",N(HJ430)-N(HI430)))</f>
        <v/>
      </c>
      <c r="HO430">
        <f>IF(OR(HM$3="",HM$3&gt;TODAY()),"",IF(AND(HM430="",HN430=""),"",N(HN430)-N(HM430)))</f>
        <v/>
      </c>
      <c r="HR430">
        <f>IF(OR(HM$3="",HM$3&gt;TODAY()),"",IF(AND(HP430="",HQ430=""),"",N(HQ430)-N(HP430)))</f>
        <v/>
      </c>
      <c r="HV430">
        <f>IF(OR(HT$3="",HT$3&gt;TODAY()),"",IF(AND(HT430="",HU430=""),"",N(HU430)-N(HT430)))</f>
        <v/>
      </c>
      <c r="HY430">
        <f>IF(OR(HT$3="",HT$3&gt;TODAY()),"",IF(AND(HW430="",HX430=""),"",N(HX430)-N(HW430)))</f>
        <v/>
      </c>
      <c r="IC430">
        <f>IF(OR(IA$3="",IA$3&gt;TODAY()),"",IF(AND(IA430="",IB430=""),"",N(IB430)-N(IA430)))</f>
        <v/>
      </c>
      <c r="IF430">
        <f>IF(OR(IA$3="",IA$3&gt;TODAY()),"",IF(AND(ID430="",IE430=""),"",N(IE430)-N(ID430)))</f>
        <v/>
      </c>
      <c r="IJ430">
        <f>IF(OR(IH$3="",IH$3&gt;TODAY()),"",IF(AND(IH430="",II430=""),"",N(II430)-N(IH430)))</f>
        <v/>
      </c>
      <c r="IM430">
        <f>IF(OR(IH$3="",IH$3&gt;TODAY()),"",IF(AND(IK430="",IL430=""),"",N(IL430)-N(IK430)))</f>
        <v/>
      </c>
    </row>
    <row r="431">
      <c r="A431" s="21" t="n"/>
      <c r="B431" s="21" t="n"/>
      <c r="C431" s="21" t="n"/>
      <c r="D431" s="21" t="n"/>
      <c r="E431" s="21" t="n"/>
      <c r="F431" s="21" t="n"/>
      <c r="G431" s="21" t="n"/>
      <c r="H431" s="21" t="n"/>
      <c r="I431" s="22" t="n"/>
      <c r="J431" s="22" t="n"/>
      <c r="K431" s="23" t="n"/>
      <c r="L431" s="22" t="n"/>
      <c r="M431" s="22" t="n"/>
      <c r="N431" s="21" t="n"/>
      <c r="O431" s="23" t="n"/>
      <c r="P431" s="23" t="n"/>
      <c r="Q431" s="23" t="n"/>
      <c r="R431" s="23" t="n"/>
      <c r="S431" s="22" t="n"/>
      <c r="T431" s="23" t="n"/>
      <c r="U431" s="23" t="n"/>
      <c r="V431" s="24">
        <f>IF(J431&lt;&gt;"",J431,IF(I431&lt;&gt;"",I431,""))</f>
        <v/>
      </c>
      <c r="W431" s="25">
        <f>IF($E431="","",N(O431)+SUMIFS($AF431:$IN431,$AF$4:$IN$4,"SEW_ACT"))</f>
        <v/>
      </c>
      <c r="X431" s="25">
        <f>IF($E431="","",N(P431)+SUMIFS($AF431:$IN431,$AF$4:$IN$4,"WASH_ACT"))</f>
        <v/>
      </c>
      <c r="Y431" s="25">
        <f>IF($E431="","",W431-X431-N(T431)-N(U431))</f>
        <v/>
      </c>
      <c r="Z431" s="25">
        <f>IF($E431="","",IF(N(K431)-X431&lt;=0.02*N(K431),0,N(K431)-X431))</f>
        <v/>
      </c>
      <c r="AA431" s="24">
        <f>IF($E431="","",IF(S431&lt;&gt;"",S431,IF(N(O431)&gt;0,IF(L431&lt;&gt;"",L431,99999),IFERROR(1/(1/_xlfn.MINIFS($AF$3:$IN$3,$AF$4:$IN$4,"SEW_ACT",$AF431:$IN431,"&gt;0")),99999))))</f>
        <v/>
      </c>
      <c r="AB431" s="26">
        <f>IF(OR($E431="",Z431=0,V431=""),"",1+COUNTIFS(Z$8:Z$707,"&gt;0",V$8:V$707,"&lt;"&amp;V431)+COUNTIFS(Z$8:Z$707,"&gt;0",V$8:V$707,V431,AA$8:AA$707,"&lt;"&amp;AA431)+COUNTIFS(Z$8:Z$707,"&gt;0",V$8:V$707,V431,AA$8:AA$707,AA431,E$8:E$707,"&lt;"&amp;$E431))</f>
        <v/>
      </c>
      <c r="AC431" s="24">
        <f>IF(OR($E431="",Z431=0),"",IFERROR(TODAY()+ROUNDUP(Z431/(SUMIFS($AF431:$IN431,$AF$4:$IN$4,"WASH_ACT")/COUNTIFS($AF$4:$IN$4,"WASH_ACT",$AF431:$IN431,"&gt;0")),0),"no output yet"))</f>
        <v/>
      </c>
      <c r="AD431" s="26">
        <f>IF($E431="","",IFERROR(ROUND(MAX(0,SUMIFS($AF431:$IN431,$AF$4:$IN$4,"SEW_PLAN",$AF$3:$IN$3,"&lt;="&amp;TODAY())-SUMIFS($AF431:$IN431,$AF$4:$IN$4,"SEW_ACT",$AF$3:$IN$3,"&lt;="&amp;TODAY())+N(Q431))/(SUMIFS($AF431:$IN431,$AF$4:$IN$4,"SEW_PLAN")/COUNTIFS($AF$4:$IN$4,"SEW_PLAN",$AF431:$IN431,"&gt;0")),1),0))</f>
        <v/>
      </c>
      <c r="AE431" s="26">
        <f>IF($E431="","",IF(AND(Z431&gt;0,OR(AND(M431&lt;&gt;"",TODAY()&gt;M431),AND(V431&lt;&gt;"",V431-TODAY()&lt;=7))),"Yes","No"))</f>
        <v/>
      </c>
      <c r="AH431">
        <f>IF(OR(AF$3="",AF$3&gt;TODAY()),"",IF(AND(AF431="",AG431=""),"",N(AG431)-N(AF431)))</f>
        <v/>
      </c>
      <c r="AK431">
        <f>IF(OR(AF$3="",AF$3&gt;TODAY()),"",IF(AND(AI431="",AJ431=""),"",N(AJ431)-N(AI431)))</f>
        <v/>
      </c>
      <c r="AO431">
        <f>IF(OR(AM$3="",AM$3&gt;TODAY()),"",IF(AND(AM431="",AN431=""),"",N(AN431)-N(AM431)))</f>
        <v/>
      </c>
      <c r="AR431">
        <f>IF(OR(AM$3="",AM$3&gt;TODAY()),"",IF(AND(AP431="",AQ431=""),"",N(AQ431)-N(AP431)))</f>
        <v/>
      </c>
      <c r="AV431">
        <f>IF(OR(AT$3="",AT$3&gt;TODAY()),"",IF(AND(AT431="",AU431=""),"",N(AU431)-N(AT431)))</f>
        <v/>
      </c>
      <c r="AY431">
        <f>IF(OR(AT$3="",AT$3&gt;TODAY()),"",IF(AND(AW431="",AX431=""),"",N(AX431)-N(AW431)))</f>
        <v/>
      </c>
      <c r="BC431">
        <f>IF(OR(BA$3="",BA$3&gt;TODAY()),"",IF(AND(BA431="",BB431=""),"",N(BB431)-N(BA431)))</f>
        <v/>
      </c>
      <c r="BF431">
        <f>IF(OR(BA$3="",BA$3&gt;TODAY()),"",IF(AND(BD431="",BE431=""),"",N(BE431)-N(BD431)))</f>
        <v/>
      </c>
      <c r="BJ431">
        <f>IF(OR(BH$3="",BH$3&gt;TODAY()),"",IF(AND(BH431="",BI431=""),"",N(BI431)-N(BH431)))</f>
        <v/>
      </c>
      <c r="BM431">
        <f>IF(OR(BH$3="",BH$3&gt;TODAY()),"",IF(AND(BK431="",BL431=""),"",N(BL431)-N(BK431)))</f>
        <v/>
      </c>
      <c r="BQ431">
        <f>IF(OR(BO$3="",BO$3&gt;TODAY()),"",IF(AND(BO431="",BP431=""),"",N(BP431)-N(BO431)))</f>
        <v/>
      </c>
      <c r="BT431">
        <f>IF(OR(BO$3="",BO$3&gt;TODAY()),"",IF(AND(BR431="",BS431=""),"",N(BS431)-N(BR431)))</f>
        <v/>
      </c>
      <c r="BX431">
        <f>IF(OR(BV$3="",BV$3&gt;TODAY()),"",IF(AND(BV431="",BW431=""),"",N(BW431)-N(BV431)))</f>
        <v/>
      </c>
      <c r="CA431">
        <f>IF(OR(BV$3="",BV$3&gt;TODAY()),"",IF(AND(BY431="",BZ431=""),"",N(BZ431)-N(BY431)))</f>
        <v/>
      </c>
      <c r="CE431">
        <f>IF(OR(CC$3="",CC$3&gt;TODAY()),"",IF(AND(CC431="",CD431=""),"",N(CD431)-N(CC431)))</f>
        <v/>
      </c>
      <c r="CH431">
        <f>IF(OR(CC$3="",CC$3&gt;TODAY()),"",IF(AND(CF431="",CG431=""),"",N(CG431)-N(CF431)))</f>
        <v/>
      </c>
      <c r="CL431">
        <f>IF(OR(CJ$3="",CJ$3&gt;TODAY()),"",IF(AND(CJ431="",CK431=""),"",N(CK431)-N(CJ431)))</f>
        <v/>
      </c>
      <c r="CO431">
        <f>IF(OR(CJ$3="",CJ$3&gt;TODAY()),"",IF(AND(CM431="",CN431=""),"",N(CN431)-N(CM431)))</f>
        <v/>
      </c>
      <c r="CS431">
        <f>IF(OR(CQ$3="",CQ$3&gt;TODAY()),"",IF(AND(CQ431="",CR431=""),"",N(CR431)-N(CQ431)))</f>
        <v/>
      </c>
      <c r="CV431">
        <f>IF(OR(CQ$3="",CQ$3&gt;TODAY()),"",IF(AND(CT431="",CU431=""),"",N(CU431)-N(CT431)))</f>
        <v/>
      </c>
      <c r="CZ431">
        <f>IF(OR(CX$3="",CX$3&gt;TODAY()),"",IF(AND(CX431="",CY431=""),"",N(CY431)-N(CX431)))</f>
        <v/>
      </c>
      <c r="DC431">
        <f>IF(OR(CX$3="",CX$3&gt;TODAY()),"",IF(AND(DA431="",DB431=""),"",N(DB431)-N(DA431)))</f>
        <v/>
      </c>
      <c r="DG431">
        <f>IF(OR(DE$3="",DE$3&gt;TODAY()),"",IF(AND(DE431="",DF431=""),"",N(DF431)-N(DE431)))</f>
        <v/>
      </c>
      <c r="DJ431">
        <f>IF(OR(DE$3="",DE$3&gt;TODAY()),"",IF(AND(DH431="",DI431=""),"",N(DI431)-N(DH431)))</f>
        <v/>
      </c>
      <c r="DN431">
        <f>IF(OR(DL$3="",DL$3&gt;TODAY()),"",IF(AND(DL431="",DM431=""),"",N(DM431)-N(DL431)))</f>
        <v/>
      </c>
      <c r="DQ431">
        <f>IF(OR(DL$3="",DL$3&gt;TODAY()),"",IF(AND(DO431="",DP431=""),"",N(DP431)-N(DO431)))</f>
        <v/>
      </c>
      <c r="DU431">
        <f>IF(OR(DS$3="",DS$3&gt;TODAY()),"",IF(AND(DS431="",DT431=""),"",N(DT431)-N(DS431)))</f>
        <v/>
      </c>
      <c r="DX431">
        <f>IF(OR(DS$3="",DS$3&gt;TODAY()),"",IF(AND(DV431="",DW431=""),"",N(DW431)-N(DV431)))</f>
        <v/>
      </c>
      <c r="EB431">
        <f>IF(OR(DZ$3="",DZ$3&gt;TODAY()),"",IF(AND(DZ431="",EA431=""),"",N(EA431)-N(DZ431)))</f>
        <v/>
      </c>
      <c r="EE431">
        <f>IF(OR(DZ$3="",DZ$3&gt;TODAY()),"",IF(AND(EC431="",ED431=""),"",N(ED431)-N(EC431)))</f>
        <v/>
      </c>
      <c r="EI431">
        <f>IF(OR(EG$3="",EG$3&gt;TODAY()),"",IF(AND(EG431="",EH431=""),"",N(EH431)-N(EG431)))</f>
        <v/>
      </c>
      <c r="EL431">
        <f>IF(OR(EG$3="",EG$3&gt;TODAY()),"",IF(AND(EJ431="",EK431=""),"",N(EK431)-N(EJ431)))</f>
        <v/>
      </c>
      <c r="EP431">
        <f>IF(OR(EN$3="",EN$3&gt;TODAY()),"",IF(AND(EN431="",EO431=""),"",N(EO431)-N(EN431)))</f>
        <v/>
      </c>
      <c r="ES431">
        <f>IF(OR(EN$3="",EN$3&gt;TODAY()),"",IF(AND(EQ431="",ER431=""),"",N(ER431)-N(EQ431)))</f>
        <v/>
      </c>
      <c r="EW431">
        <f>IF(OR(EU$3="",EU$3&gt;TODAY()),"",IF(AND(EU431="",EV431=""),"",N(EV431)-N(EU431)))</f>
        <v/>
      </c>
      <c r="EZ431">
        <f>IF(OR(EU$3="",EU$3&gt;TODAY()),"",IF(AND(EX431="",EY431=""),"",N(EY431)-N(EX431)))</f>
        <v/>
      </c>
      <c r="FD431">
        <f>IF(OR(FB$3="",FB$3&gt;TODAY()),"",IF(AND(FB431="",FC431=""),"",N(FC431)-N(FB431)))</f>
        <v/>
      </c>
      <c r="FG431">
        <f>IF(OR(FB$3="",FB$3&gt;TODAY()),"",IF(AND(FE431="",FF431=""),"",N(FF431)-N(FE431)))</f>
        <v/>
      </c>
      <c r="FK431">
        <f>IF(OR(FI$3="",FI$3&gt;TODAY()),"",IF(AND(FI431="",FJ431=""),"",N(FJ431)-N(FI431)))</f>
        <v/>
      </c>
      <c r="FN431">
        <f>IF(OR(FI$3="",FI$3&gt;TODAY()),"",IF(AND(FL431="",FM431=""),"",N(FM431)-N(FL431)))</f>
        <v/>
      </c>
      <c r="FR431">
        <f>IF(OR(FP$3="",FP$3&gt;TODAY()),"",IF(AND(FP431="",FQ431=""),"",N(FQ431)-N(FP431)))</f>
        <v/>
      </c>
      <c r="FU431">
        <f>IF(OR(FP$3="",FP$3&gt;TODAY()),"",IF(AND(FS431="",FT431=""),"",N(FT431)-N(FS431)))</f>
        <v/>
      </c>
      <c r="FY431">
        <f>IF(OR(FW$3="",FW$3&gt;TODAY()),"",IF(AND(FW431="",FX431=""),"",N(FX431)-N(FW431)))</f>
        <v/>
      </c>
      <c r="GB431">
        <f>IF(OR(FW$3="",FW$3&gt;TODAY()),"",IF(AND(FZ431="",GA431=""),"",N(GA431)-N(FZ431)))</f>
        <v/>
      </c>
      <c r="GF431">
        <f>IF(OR(GD$3="",GD$3&gt;TODAY()),"",IF(AND(GD431="",GE431=""),"",N(GE431)-N(GD431)))</f>
        <v/>
      </c>
      <c r="GI431">
        <f>IF(OR(GD$3="",GD$3&gt;TODAY()),"",IF(AND(GG431="",GH431=""),"",N(GH431)-N(GG431)))</f>
        <v/>
      </c>
      <c r="GM431">
        <f>IF(OR(GK$3="",GK$3&gt;TODAY()),"",IF(AND(GK431="",GL431=""),"",N(GL431)-N(GK431)))</f>
        <v/>
      </c>
      <c r="GP431">
        <f>IF(OR(GK$3="",GK$3&gt;TODAY()),"",IF(AND(GN431="",GO431=""),"",N(GO431)-N(GN431)))</f>
        <v/>
      </c>
      <c r="GT431">
        <f>IF(OR(GR$3="",GR$3&gt;TODAY()),"",IF(AND(GR431="",GS431=""),"",N(GS431)-N(GR431)))</f>
        <v/>
      </c>
      <c r="GW431">
        <f>IF(OR(GR$3="",GR$3&gt;TODAY()),"",IF(AND(GU431="",GV431=""),"",N(GV431)-N(GU431)))</f>
        <v/>
      </c>
      <c r="HA431">
        <f>IF(OR(GY$3="",GY$3&gt;TODAY()),"",IF(AND(GY431="",GZ431=""),"",N(GZ431)-N(GY431)))</f>
        <v/>
      </c>
      <c r="HD431">
        <f>IF(OR(GY$3="",GY$3&gt;TODAY()),"",IF(AND(HB431="",HC431=""),"",N(HC431)-N(HB431)))</f>
        <v/>
      </c>
      <c r="HH431">
        <f>IF(OR(HF$3="",HF$3&gt;TODAY()),"",IF(AND(HF431="",HG431=""),"",N(HG431)-N(HF431)))</f>
        <v/>
      </c>
      <c r="HK431">
        <f>IF(OR(HF$3="",HF$3&gt;TODAY()),"",IF(AND(HI431="",HJ431=""),"",N(HJ431)-N(HI431)))</f>
        <v/>
      </c>
      <c r="HO431">
        <f>IF(OR(HM$3="",HM$3&gt;TODAY()),"",IF(AND(HM431="",HN431=""),"",N(HN431)-N(HM431)))</f>
        <v/>
      </c>
      <c r="HR431">
        <f>IF(OR(HM$3="",HM$3&gt;TODAY()),"",IF(AND(HP431="",HQ431=""),"",N(HQ431)-N(HP431)))</f>
        <v/>
      </c>
      <c r="HV431">
        <f>IF(OR(HT$3="",HT$3&gt;TODAY()),"",IF(AND(HT431="",HU431=""),"",N(HU431)-N(HT431)))</f>
        <v/>
      </c>
      <c r="HY431">
        <f>IF(OR(HT$3="",HT$3&gt;TODAY()),"",IF(AND(HW431="",HX431=""),"",N(HX431)-N(HW431)))</f>
        <v/>
      </c>
      <c r="IC431">
        <f>IF(OR(IA$3="",IA$3&gt;TODAY()),"",IF(AND(IA431="",IB431=""),"",N(IB431)-N(IA431)))</f>
        <v/>
      </c>
      <c r="IF431">
        <f>IF(OR(IA$3="",IA$3&gt;TODAY()),"",IF(AND(ID431="",IE431=""),"",N(IE431)-N(ID431)))</f>
        <v/>
      </c>
      <c r="IJ431">
        <f>IF(OR(IH$3="",IH$3&gt;TODAY()),"",IF(AND(IH431="",II431=""),"",N(II431)-N(IH431)))</f>
        <v/>
      </c>
      <c r="IM431">
        <f>IF(OR(IH$3="",IH$3&gt;TODAY()),"",IF(AND(IK431="",IL431=""),"",N(IL431)-N(IK431)))</f>
        <v/>
      </c>
    </row>
    <row r="432">
      <c r="A432" s="21" t="n"/>
      <c r="B432" s="21" t="n"/>
      <c r="C432" s="21" t="n"/>
      <c r="D432" s="21" t="n"/>
      <c r="E432" s="21" t="n"/>
      <c r="F432" s="21" t="n"/>
      <c r="G432" s="21" t="n"/>
      <c r="H432" s="21" t="n"/>
      <c r="I432" s="22" t="n"/>
      <c r="J432" s="22" t="n"/>
      <c r="K432" s="23" t="n"/>
      <c r="L432" s="22" t="n"/>
      <c r="M432" s="22" t="n"/>
      <c r="N432" s="21" t="n"/>
      <c r="O432" s="23" t="n"/>
      <c r="P432" s="23" t="n"/>
      <c r="Q432" s="23" t="n"/>
      <c r="R432" s="23" t="n"/>
      <c r="S432" s="22" t="n"/>
      <c r="T432" s="23" t="n"/>
      <c r="U432" s="23" t="n"/>
      <c r="V432" s="24">
        <f>IF(J432&lt;&gt;"",J432,IF(I432&lt;&gt;"",I432,""))</f>
        <v/>
      </c>
      <c r="W432" s="25">
        <f>IF($E432="","",N(O432)+SUMIFS($AF432:$IN432,$AF$4:$IN$4,"SEW_ACT"))</f>
        <v/>
      </c>
      <c r="X432" s="25">
        <f>IF($E432="","",N(P432)+SUMIFS($AF432:$IN432,$AF$4:$IN$4,"WASH_ACT"))</f>
        <v/>
      </c>
      <c r="Y432" s="25">
        <f>IF($E432="","",W432-X432-N(T432)-N(U432))</f>
        <v/>
      </c>
      <c r="Z432" s="25">
        <f>IF($E432="","",IF(N(K432)-X432&lt;=0.02*N(K432),0,N(K432)-X432))</f>
        <v/>
      </c>
      <c r="AA432" s="24">
        <f>IF($E432="","",IF(S432&lt;&gt;"",S432,IF(N(O432)&gt;0,IF(L432&lt;&gt;"",L432,99999),IFERROR(1/(1/_xlfn.MINIFS($AF$3:$IN$3,$AF$4:$IN$4,"SEW_ACT",$AF432:$IN432,"&gt;0")),99999))))</f>
        <v/>
      </c>
      <c r="AB432" s="26">
        <f>IF(OR($E432="",Z432=0,V432=""),"",1+COUNTIFS(Z$8:Z$707,"&gt;0",V$8:V$707,"&lt;"&amp;V432)+COUNTIFS(Z$8:Z$707,"&gt;0",V$8:V$707,V432,AA$8:AA$707,"&lt;"&amp;AA432)+COUNTIFS(Z$8:Z$707,"&gt;0",V$8:V$707,V432,AA$8:AA$707,AA432,E$8:E$707,"&lt;"&amp;$E432))</f>
        <v/>
      </c>
      <c r="AC432" s="24">
        <f>IF(OR($E432="",Z432=0),"",IFERROR(TODAY()+ROUNDUP(Z432/(SUMIFS($AF432:$IN432,$AF$4:$IN$4,"WASH_ACT")/COUNTIFS($AF$4:$IN$4,"WASH_ACT",$AF432:$IN432,"&gt;0")),0),"no output yet"))</f>
        <v/>
      </c>
      <c r="AD432" s="26">
        <f>IF($E432="","",IFERROR(ROUND(MAX(0,SUMIFS($AF432:$IN432,$AF$4:$IN$4,"SEW_PLAN",$AF$3:$IN$3,"&lt;="&amp;TODAY())-SUMIFS($AF432:$IN432,$AF$4:$IN$4,"SEW_ACT",$AF$3:$IN$3,"&lt;="&amp;TODAY())+N(Q432))/(SUMIFS($AF432:$IN432,$AF$4:$IN$4,"SEW_PLAN")/COUNTIFS($AF$4:$IN$4,"SEW_PLAN",$AF432:$IN432,"&gt;0")),1),0))</f>
        <v/>
      </c>
      <c r="AE432" s="26">
        <f>IF($E432="","",IF(AND(Z432&gt;0,OR(AND(M432&lt;&gt;"",TODAY()&gt;M432),AND(V432&lt;&gt;"",V432-TODAY()&lt;=7))),"Yes","No"))</f>
        <v/>
      </c>
      <c r="AH432">
        <f>IF(OR(AF$3="",AF$3&gt;TODAY()),"",IF(AND(AF432="",AG432=""),"",N(AG432)-N(AF432)))</f>
        <v/>
      </c>
      <c r="AK432">
        <f>IF(OR(AF$3="",AF$3&gt;TODAY()),"",IF(AND(AI432="",AJ432=""),"",N(AJ432)-N(AI432)))</f>
        <v/>
      </c>
      <c r="AO432">
        <f>IF(OR(AM$3="",AM$3&gt;TODAY()),"",IF(AND(AM432="",AN432=""),"",N(AN432)-N(AM432)))</f>
        <v/>
      </c>
      <c r="AR432">
        <f>IF(OR(AM$3="",AM$3&gt;TODAY()),"",IF(AND(AP432="",AQ432=""),"",N(AQ432)-N(AP432)))</f>
        <v/>
      </c>
      <c r="AV432">
        <f>IF(OR(AT$3="",AT$3&gt;TODAY()),"",IF(AND(AT432="",AU432=""),"",N(AU432)-N(AT432)))</f>
        <v/>
      </c>
      <c r="AY432">
        <f>IF(OR(AT$3="",AT$3&gt;TODAY()),"",IF(AND(AW432="",AX432=""),"",N(AX432)-N(AW432)))</f>
        <v/>
      </c>
      <c r="BC432">
        <f>IF(OR(BA$3="",BA$3&gt;TODAY()),"",IF(AND(BA432="",BB432=""),"",N(BB432)-N(BA432)))</f>
        <v/>
      </c>
      <c r="BF432">
        <f>IF(OR(BA$3="",BA$3&gt;TODAY()),"",IF(AND(BD432="",BE432=""),"",N(BE432)-N(BD432)))</f>
        <v/>
      </c>
      <c r="BJ432">
        <f>IF(OR(BH$3="",BH$3&gt;TODAY()),"",IF(AND(BH432="",BI432=""),"",N(BI432)-N(BH432)))</f>
        <v/>
      </c>
      <c r="BM432">
        <f>IF(OR(BH$3="",BH$3&gt;TODAY()),"",IF(AND(BK432="",BL432=""),"",N(BL432)-N(BK432)))</f>
        <v/>
      </c>
      <c r="BQ432">
        <f>IF(OR(BO$3="",BO$3&gt;TODAY()),"",IF(AND(BO432="",BP432=""),"",N(BP432)-N(BO432)))</f>
        <v/>
      </c>
      <c r="BT432">
        <f>IF(OR(BO$3="",BO$3&gt;TODAY()),"",IF(AND(BR432="",BS432=""),"",N(BS432)-N(BR432)))</f>
        <v/>
      </c>
      <c r="BX432">
        <f>IF(OR(BV$3="",BV$3&gt;TODAY()),"",IF(AND(BV432="",BW432=""),"",N(BW432)-N(BV432)))</f>
        <v/>
      </c>
      <c r="CA432">
        <f>IF(OR(BV$3="",BV$3&gt;TODAY()),"",IF(AND(BY432="",BZ432=""),"",N(BZ432)-N(BY432)))</f>
        <v/>
      </c>
      <c r="CE432">
        <f>IF(OR(CC$3="",CC$3&gt;TODAY()),"",IF(AND(CC432="",CD432=""),"",N(CD432)-N(CC432)))</f>
        <v/>
      </c>
      <c r="CH432">
        <f>IF(OR(CC$3="",CC$3&gt;TODAY()),"",IF(AND(CF432="",CG432=""),"",N(CG432)-N(CF432)))</f>
        <v/>
      </c>
      <c r="CL432">
        <f>IF(OR(CJ$3="",CJ$3&gt;TODAY()),"",IF(AND(CJ432="",CK432=""),"",N(CK432)-N(CJ432)))</f>
        <v/>
      </c>
      <c r="CO432">
        <f>IF(OR(CJ$3="",CJ$3&gt;TODAY()),"",IF(AND(CM432="",CN432=""),"",N(CN432)-N(CM432)))</f>
        <v/>
      </c>
      <c r="CS432">
        <f>IF(OR(CQ$3="",CQ$3&gt;TODAY()),"",IF(AND(CQ432="",CR432=""),"",N(CR432)-N(CQ432)))</f>
        <v/>
      </c>
      <c r="CV432">
        <f>IF(OR(CQ$3="",CQ$3&gt;TODAY()),"",IF(AND(CT432="",CU432=""),"",N(CU432)-N(CT432)))</f>
        <v/>
      </c>
      <c r="CZ432">
        <f>IF(OR(CX$3="",CX$3&gt;TODAY()),"",IF(AND(CX432="",CY432=""),"",N(CY432)-N(CX432)))</f>
        <v/>
      </c>
      <c r="DC432">
        <f>IF(OR(CX$3="",CX$3&gt;TODAY()),"",IF(AND(DA432="",DB432=""),"",N(DB432)-N(DA432)))</f>
        <v/>
      </c>
      <c r="DG432">
        <f>IF(OR(DE$3="",DE$3&gt;TODAY()),"",IF(AND(DE432="",DF432=""),"",N(DF432)-N(DE432)))</f>
        <v/>
      </c>
      <c r="DJ432">
        <f>IF(OR(DE$3="",DE$3&gt;TODAY()),"",IF(AND(DH432="",DI432=""),"",N(DI432)-N(DH432)))</f>
        <v/>
      </c>
      <c r="DN432">
        <f>IF(OR(DL$3="",DL$3&gt;TODAY()),"",IF(AND(DL432="",DM432=""),"",N(DM432)-N(DL432)))</f>
        <v/>
      </c>
      <c r="DQ432">
        <f>IF(OR(DL$3="",DL$3&gt;TODAY()),"",IF(AND(DO432="",DP432=""),"",N(DP432)-N(DO432)))</f>
        <v/>
      </c>
      <c r="DU432">
        <f>IF(OR(DS$3="",DS$3&gt;TODAY()),"",IF(AND(DS432="",DT432=""),"",N(DT432)-N(DS432)))</f>
        <v/>
      </c>
      <c r="DX432">
        <f>IF(OR(DS$3="",DS$3&gt;TODAY()),"",IF(AND(DV432="",DW432=""),"",N(DW432)-N(DV432)))</f>
        <v/>
      </c>
      <c r="EB432">
        <f>IF(OR(DZ$3="",DZ$3&gt;TODAY()),"",IF(AND(DZ432="",EA432=""),"",N(EA432)-N(DZ432)))</f>
        <v/>
      </c>
      <c r="EE432">
        <f>IF(OR(DZ$3="",DZ$3&gt;TODAY()),"",IF(AND(EC432="",ED432=""),"",N(ED432)-N(EC432)))</f>
        <v/>
      </c>
      <c r="EI432">
        <f>IF(OR(EG$3="",EG$3&gt;TODAY()),"",IF(AND(EG432="",EH432=""),"",N(EH432)-N(EG432)))</f>
        <v/>
      </c>
      <c r="EL432">
        <f>IF(OR(EG$3="",EG$3&gt;TODAY()),"",IF(AND(EJ432="",EK432=""),"",N(EK432)-N(EJ432)))</f>
        <v/>
      </c>
      <c r="EP432">
        <f>IF(OR(EN$3="",EN$3&gt;TODAY()),"",IF(AND(EN432="",EO432=""),"",N(EO432)-N(EN432)))</f>
        <v/>
      </c>
      <c r="ES432">
        <f>IF(OR(EN$3="",EN$3&gt;TODAY()),"",IF(AND(EQ432="",ER432=""),"",N(ER432)-N(EQ432)))</f>
        <v/>
      </c>
      <c r="EW432">
        <f>IF(OR(EU$3="",EU$3&gt;TODAY()),"",IF(AND(EU432="",EV432=""),"",N(EV432)-N(EU432)))</f>
        <v/>
      </c>
      <c r="EZ432">
        <f>IF(OR(EU$3="",EU$3&gt;TODAY()),"",IF(AND(EX432="",EY432=""),"",N(EY432)-N(EX432)))</f>
        <v/>
      </c>
      <c r="FD432">
        <f>IF(OR(FB$3="",FB$3&gt;TODAY()),"",IF(AND(FB432="",FC432=""),"",N(FC432)-N(FB432)))</f>
        <v/>
      </c>
      <c r="FG432">
        <f>IF(OR(FB$3="",FB$3&gt;TODAY()),"",IF(AND(FE432="",FF432=""),"",N(FF432)-N(FE432)))</f>
        <v/>
      </c>
      <c r="FK432">
        <f>IF(OR(FI$3="",FI$3&gt;TODAY()),"",IF(AND(FI432="",FJ432=""),"",N(FJ432)-N(FI432)))</f>
        <v/>
      </c>
      <c r="FN432">
        <f>IF(OR(FI$3="",FI$3&gt;TODAY()),"",IF(AND(FL432="",FM432=""),"",N(FM432)-N(FL432)))</f>
        <v/>
      </c>
      <c r="FR432">
        <f>IF(OR(FP$3="",FP$3&gt;TODAY()),"",IF(AND(FP432="",FQ432=""),"",N(FQ432)-N(FP432)))</f>
        <v/>
      </c>
      <c r="FU432">
        <f>IF(OR(FP$3="",FP$3&gt;TODAY()),"",IF(AND(FS432="",FT432=""),"",N(FT432)-N(FS432)))</f>
        <v/>
      </c>
      <c r="FY432">
        <f>IF(OR(FW$3="",FW$3&gt;TODAY()),"",IF(AND(FW432="",FX432=""),"",N(FX432)-N(FW432)))</f>
        <v/>
      </c>
      <c r="GB432">
        <f>IF(OR(FW$3="",FW$3&gt;TODAY()),"",IF(AND(FZ432="",GA432=""),"",N(GA432)-N(FZ432)))</f>
        <v/>
      </c>
      <c r="GF432">
        <f>IF(OR(GD$3="",GD$3&gt;TODAY()),"",IF(AND(GD432="",GE432=""),"",N(GE432)-N(GD432)))</f>
        <v/>
      </c>
      <c r="GI432">
        <f>IF(OR(GD$3="",GD$3&gt;TODAY()),"",IF(AND(GG432="",GH432=""),"",N(GH432)-N(GG432)))</f>
        <v/>
      </c>
      <c r="GM432">
        <f>IF(OR(GK$3="",GK$3&gt;TODAY()),"",IF(AND(GK432="",GL432=""),"",N(GL432)-N(GK432)))</f>
        <v/>
      </c>
      <c r="GP432">
        <f>IF(OR(GK$3="",GK$3&gt;TODAY()),"",IF(AND(GN432="",GO432=""),"",N(GO432)-N(GN432)))</f>
        <v/>
      </c>
      <c r="GT432">
        <f>IF(OR(GR$3="",GR$3&gt;TODAY()),"",IF(AND(GR432="",GS432=""),"",N(GS432)-N(GR432)))</f>
        <v/>
      </c>
      <c r="GW432">
        <f>IF(OR(GR$3="",GR$3&gt;TODAY()),"",IF(AND(GU432="",GV432=""),"",N(GV432)-N(GU432)))</f>
        <v/>
      </c>
      <c r="HA432">
        <f>IF(OR(GY$3="",GY$3&gt;TODAY()),"",IF(AND(GY432="",GZ432=""),"",N(GZ432)-N(GY432)))</f>
        <v/>
      </c>
      <c r="HD432">
        <f>IF(OR(GY$3="",GY$3&gt;TODAY()),"",IF(AND(HB432="",HC432=""),"",N(HC432)-N(HB432)))</f>
        <v/>
      </c>
      <c r="HH432">
        <f>IF(OR(HF$3="",HF$3&gt;TODAY()),"",IF(AND(HF432="",HG432=""),"",N(HG432)-N(HF432)))</f>
        <v/>
      </c>
      <c r="HK432">
        <f>IF(OR(HF$3="",HF$3&gt;TODAY()),"",IF(AND(HI432="",HJ432=""),"",N(HJ432)-N(HI432)))</f>
        <v/>
      </c>
      <c r="HO432">
        <f>IF(OR(HM$3="",HM$3&gt;TODAY()),"",IF(AND(HM432="",HN432=""),"",N(HN432)-N(HM432)))</f>
        <v/>
      </c>
      <c r="HR432">
        <f>IF(OR(HM$3="",HM$3&gt;TODAY()),"",IF(AND(HP432="",HQ432=""),"",N(HQ432)-N(HP432)))</f>
        <v/>
      </c>
      <c r="HV432">
        <f>IF(OR(HT$3="",HT$3&gt;TODAY()),"",IF(AND(HT432="",HU432=""),"",N(HU432)-N(HT432)))</f>
        <v/>
      </c>
      <c r="HY432">
        <f>IF(OR(HT$3="",HT$3&gt;TODAY()),"",IF(AND(HW432="",HX432=""),"",N(HX432)-N(HW432)))</f>
        <v/>
      </c>
      <c r="IC432">
        <f>IF(OR(IA$3="",IA$3&gt;TODAY()),"",IF(AND(IA432="",IB432=""),"",N(IB432)-N(IA432)))</f>
        <v/>
      </c>
      <c r="IF432">
        <f>IF(OR(IA$3="",IA$3&gt;TODAY()),"",IF(AND(ID432="",IE432=""),"",N(IE432)-N(ID432)))</f>
        <v/>
      </c>
      <c r="IJ432">
        <f>IF(OR(IH$3="",IH$3&gt;TODAY()),"",IF(AND(IH432="",II432=""),"",N(II432)-N(IH432)))</f>
        <v/>
      </c>
      <c r="IM432">
        <f>IF(OR(IH$3="",IH$3&gt;TODAY()),"",IF(AND(IK432="",IL432=""),"",N(IL432)-N(IK432)))</f>
        <v/>
      </c>
    </row>
    <row r="433">
      <c r="A433" s="21" t="n"/>
      <c r="B433" s="21" t="n"/>
      <c r="C433" s="21" t="n"/>
      <c r="D433" s="21" t="n"/>
      <c r="E433" s="21" t="n"/>
      <c r="F433" s="21" t="n"/>
      <c r="G433" s="21" t="n"/>
      <c r="H433" s="21" t="n"/>
      <c r="I433" s="22" t="n"/>
      <c r="J433" s="22" t="n"/>
      <c r="K433" s="23" t="n"/>
      <c r="L433" s="22" t="n"/>
      <c r="M433" s="22" t="n"/>
      <c r="N433" s="21" t="n"/>
      <c r="O433" s="23" t="n"/>
      <c r="P433" s="23" t="n"/>
      <c r="Q433" s="23" t="n"/>
      <c r="R433" s="23" t="n"/>
      <c r="S433" s="22" t="n"/>
      <c r="T433" s="23" t="n"/>
      <c r="U433" s="23" t="n"/>
      <c r="V433" s="24">
        <f>IF(J433&lt;&gt;"",J433,IF(I433&lt;&gt;"",I433,""))</f>
        <v/>
      </c>
      <c r="W433" s="25">
        <f>IF($E433="","",N(O433)+SUMIFS($AF433:$IN433,$AF$4:$IN$4,"SEW_ACT"))</f>
        <v/>
      </c>
      <c r="X433" s="25">
        <f>IF($E433="","",N(P433)+SUMIFS($AF433:$IN433,$AF$4:$IN$4,"WASH_ACT"))</f>
        <v/>
      </c>
      <c r="Y433" s="25">
        <f>IF($E433="","",W433-X433-N(T433)-N(U433))</f>
        <v/>
      </c>
      <c r="Z433" s="25">
        <f>IF($E433="","",IF(N(K433)-X433&lt;=0.02*N(K433),0,N(K433)-X433))</f>
        <v/>
      </c>
      <c r="AA433" s="24">
        <f>IF($E433="","",IF(S433&lt;&gt;"",S433,IF(N(O433)&gt;0,IF(L433&lt;&gt;"",L433,99999),IFERROR(1/(1/_xlfn.MINIFS($AF$3:$IN$3,$AF$4:$IN$4,"SEW_ACT",$AF433:$IN433,"&gt;0")),99999))))</f>
        <v/>
      </c>
      <c r="AB433" s="26">
        <f>IF(OR($E433="",Z433=0,V433=""),"",1+COUNTIFS(Z$8:Z$707,"&gt;0",V$8:V$707,"&lt;"&amp;V433)+COUNTIFS(Z$8:Z$707,"&gt;0",V$8:V$707,V433,AA$8:AA$707,"&lt;"&amp;AA433)+COUNTIFS(Z$8:Z$707,"&gt;0",V$8:V$707,V433,AA$8:AA$707,AA433,E$8:E$707,"&lt;"&amp;$E433))</f>
        <v/>
      </c>
      <c r="AC433" s="24">
        <f>IF(OR($E433="",Z433=0),"",IFERROR(TODAY()+ROUNDUP(Z433/(SUMIFS($AF433:$IN433,$AF$4:$IN$4,"WASH_ACT")/COUNTIFS($AF$4:$IN$4,"WASH_ACT",$AF433:$IN433,"&gt;0")),0),"no output yet"))</f>
        <v/>
      </c>
      <c r="AD433" s="26">
        <f>IF($E433="","",IFERROR(ROUND(MAX(0,SUMIFS($AF433:$IN433,$AF$4:$IN$4,"SEW_PLAN",$AF$3:$IN$3,"&lt;="&amp;TODAY())-SUMIFS($AF433:$IN433,$AF$4:$IN$4,"SEW_ACT",$AF$3:$IN$3,"&lt;="&amp;TODAY())+N(Q433))/(SUMIFS($AF433:$IN433,$AF$4:$IN$4,"SEW_PLAN")/COUNTIFS($AF$4:$IN$4,"SEW_PLAN",$AF433:$IN433,"&gt;0")),1),0))</f>
        <v/>
      </c>
      <c r="AE433" s="26">
        <f>IF($E433="","",IF(AND(Z433&gt;0,OR(AND(M433&lt;&gt;"",TODAY()&gt;M433),AND(V433&lt;&gt;"",V433-TODAY()&lt;=7))),"Yes","No"))</f>
        <v/>
      </c>
      <c r="AH433">
        <f>IF(OR(AF$3="",AF$3&gt;TODAY()),"",IF(AND(AF433="",AG433=""),"",N(AG433)-N(AF433)))</f>
        <v/>
      </c>
      <c r="AK433">
        <f>IF(OR(AF$3="",AF$3&gt;TODAY()),"",IF(AND(AI433="",AJ433=""),"",N(AJ433)-N(AI433)))</f>
        <v/>
      </c>
      <c r="AO433">
        <f>IF(OR(AM$3="",AM$3&gt;TODAY()),"",IF(AND(AM433="",AN433=""),"",N(AN433)-N(AM433)))</f>
        <v/>
      </c>
      <c r="AR433">
        <f>IF(OR(AM$3="",AM$3&gt;TODAY()),"",IF(AND(AP433="",AQ433=""),"",N(AQ433)-N(AP433)))</f>
        <v/>
      </c>
      <c r="AV433">
        <f>IF(OR(AT$3="",AT$3&gt;TODAY()),"",IF(AND(AT433="",AU433=""),"",N(AU433)-N(AT433)))</f>
        <v/>
      </c>
      <c r="AY433">
        <f>IF(OR(AT$3="",AT$3&gt;TODAY()),"",IF(AND(AW433="",AX433=""),"",N(AX433)-N(AW433)))</f>
        <v/>
      </c>
      <c r="BC433">
        <f>IF(OR(BA$3="",BA$3&gt;TODAY()),"",IF(AND(BA433="",BB433=""),"",N(BB433)-N(BA433)))</f>
        <v/>
      </c>
      <c r="BF433">
        <f>IF(OR(BA$3="",BA$3&gt;TODAY()),"",IF(AND(BD433="",BE433=""),"",N(BE433)-N(BD433)))</f>
        <v/>
      </c>
      <c r="BJ433">
        <f>IF(OR(BH$3="",BH$3&gt;TODAY()),"",IF(AND(BH433="",BI433=""),"",N(BI433)-N(BH433)))</f>
        <v/>
      </c>
      <c r="BM433">
        <f>IF(OR(BH$3="",BH$3&gt;TODAY()),"",IF(AND(BK433="",BL433=""),"",N(BL433)-N(BK433)))</f>
        <v/>
      </c>
      <c r="BQ433">
        <f>IF(OR(BO$3="",BO$3&gt;TODAY()),"",IF(AND(BO433="",BP433=""),"",N(BP433)-N(BO433)))</f>
        <v/>
      </c>
      <c r="BT433">
        <f>IF(OR(BO$3="",BO$3&gt;TODAY()),"",IF(AND(BR433="",BS433=""),"",N(BS433)-N(BR433)))</f>
        <v/>
      </c>
      <c r="BX433">
        <f>IF(OR(BV$3="",BV$3&gt;TODAY()),"",IF(AND(BV433="",BW433=""),"",N(BW433)-N(BV433)))</f>
        <v/>
      </c>
      <c r="CA433">
        <f>IF(OR(BV$3="",BV$3&gt;TODAY()),"",IF(AND(BY433="",BZ433=""),"",N(BZ433)-N(BY433)))</f>
        <v/>
      </c>
      <c r="CE433">
        <f>IF(OR(CC$3="",CC$3&gt;TODAY()),"",IF(AND(CC433="",CD433=""),"",N(CD433)-N(CC433)))</f>
        <v/>
      </c>
      <c r="CH433">
        <f>IF(OR(CC$3="",CC$3&gt;TODAY()),"",IF(AND(CF433="",CG433=""),"",N(CG433)-N(CF433)))</f>
        <v/>
      </c>
      <c r="CL433">
        <f>IF(OR(CJ$3="",CJ$3&gt;TODAY()),"",IF(AND(CJ433="",CK433=""),"",N(CK433)-N(CJ433)))</f>
        <v/>
      </c>
      <c r="CO433">
        <f>IF(OR(CJ$3="",CJ$3&gt;TODAY()),"",IF(AND(CM433="",CN433=""),"",N(CN433)-N(CM433)))</f>
        <v/>
      </c>
      <c r="CS433">
        <f>IF(OR(CQ$3="",CQ$3&gt;TODAY()),"",IF(AND(CQ433="",CR433=""),"",N(CR433)-N(CQ433)))</f>
        <v/>
      </c>
      <c r="CV433">
        <f>IF(OR(CQ$3="",CQ$3&gt;TODAY()),"",IF(AND(CT433="",CU433=""),"",N(CU433)-N(CT433)))</f>
        <v/>
      </c>
      <c r="CZ433">
        <f>IF(OR(CX$3="",CX$3&gt;TODAY()),"",IF(AND(CX433="",CY433=""),"",N(CY433)-N(CX433)))</f>
        <v/>
      </c>
      <c r="DC433">
        <f>IF(OR(CX$3="",CX$3&gt;TODAY()),"",IF(AND(DA433="",DB433=""),"",N(DB433)-N(DA433)))</f>
        <v/>
      </c>
      <c r="DG433">
        <f>IF(OR(DE$3="",DE$3&gt;TODAY()),"",IF(AND(DE433="",DF433=""),"",N(DF433)-N(DE433)))</f>
        <v/>
      </c>
      <c r="DJ433">
        <f>IF(OR(DE$3="",DE$3&gt;TODAY()),"",IF(AND(DH433="",DI433=""),"",N(DI433)-N(DH433)))</f>
        <v/>
      </c>
      <c r="DN433">
        <f>IF(OR(DL$3="",DL$3&gt;TODAY()),"",IF(AND(DL433="",DM433=""),"",N(DM433)-N(DL433)))</f>
        <v/>
      </c>
      <c r="DQ433">
        <f>IF(OR(DL$3="",DL$3&gt;TODAY()),"",IF(AND(DO433="",DP433=""),"",N(DP433)-N(DO433)))</f>
        <v/>
      </c>
      <c r="DU433">
        <f>IF(OR(DS$3="",DS$3&gt;TODAY()),"",IF(AND(DS433="",DT433=""),"",N(DT433)-N(DS433)))</f>
        <v/>
      </c>
      <c r="DX433">
        <f>IF(OR(DS$3="",DS$3&gt;TODAY()),"",IF(AND(DV433="",DW433=""),"",N(DW433)-N(DV433)))</f>
        <v/>
      </c>
      <c r="EB433">
        <f>IF(OR(DZ$3="",DZ$3&gt;TODAY()),"",IF(AND(DZ433="",EA433=""),"",N(EA433)-N(DZ433)))</f>
        <v/>
      </c>
      <c r="EE433">
        <f>IF(OR(DZ$3="",DZ$3&gt;TODAY()),"",IF(AND(EC433="",ED433=""),"",N(ED433)-N(EC433)))</f>
        <v/>
      </c>
      <c r="EI433">
        <f>IF(OR(EG$3="",EG$3&gt;TODAY()),"",IF(AND(EG433="",EH433=""),"",N(EH433)-N(EG433)))</f>
        <v/>
      </c>
      <c r="EL433">
        <f>IF(OR(EG$3="",EG$3&gt;TODAY()),"",IF(AND(EJ433="",EK433=""),"",N(EK433)-N(EJ433)))</f>
        <v/>
      </c>
      <c r="EP433">
        <f>IF(OR(EN$3="",EN$3&gt;TODAY()),"",IF(AND(EN433="",EO433=""),"",N(EO433)-N(EN433)))</f>
        <v/>
      </c>
      <c r="ES433">
        <f>IF(OR(EN$3="",EN$3&gt;TODAY()),"",IF(AND(EQ433="",ER433=""),"",N(ER433)-N(EQ433)))</f>
        <v/>
      </c>
      <c r="EW433">
        <f>IF(OR(EU$3="",EU$3&gt;TODAY()),"",IF(AND(EU433="",EV433=""),"",N(EV433)-N(EU433)))</f>
        <v/>
      </c>
      <c r="EZ433">
        <f>IF(OR(EU$3="",EU$3&gt;TODAY()),"",IF(AND(EX433="",EY433=""),"",N(EY433)-N(EX433)))</f>
        <v/>
      </c>
      <c r="FD433">
        <f>IF(OR(FB$3="",FB$3&gt;TODAY()),"",IF(AND(FB433="",FC433=""),"",N(FC433)-N(FB433)))</f>
        <v/>
      </c>
      <c r="FG433">
        <f>IF(OR(FB$3="",FB$3&gt;TODAY()),"",IF(AND(FE433="",FF433=""),"",N(FF433)-N(FE433)))</f>
        <v/>
      </c>
      <c r="FK433">
        <f>IF(OR(FI$3="",FI$3&gt;TODAY()),"",IF(AND(FI433="",FJ433=""),"",N(FJ433)-N(FI433)))</f>
        <v/>
      </c>
      <c r="FN433">
        <f>IF(OR(FI$3="",FI$3&gt;TODAY()),"",IF(AND(FL433="",FM433=""),"",N(FM433)-N(FL433)))</f>
        <v/>
      </c>
      <c r="FR433">
        <f>IF(OR(FP$3="",FP$3&gt;TODAY()),"",IF(AND(FP433="",FQ433=""),"",N(FQ433)-N(FP433)))</f>
        <v/>
      </c>
      <c r="FU433">
        <f>IF(OR(FP$3="",FP$3&gt;TODAY()),"",IF(AND(FS433="",FT433=""),"",N(FT433)-N(FS433)))</f>
        <v/>
      </c>
      <c r="FY433">
        <f>IF(OR(FW$3="",FW$3&gt;TODAY()),"",IF(AND(FW433="",FX433=""),"",N(FX433)-N(FW433)))</f>
        <v/>
      </c>
      <c r="GB433">
        <f>IF(OR(FW$3="",FW$3&gt;TODAY()),"",IF(AND(FZ433="",GA433=""),"",N(GA433)-N(FZ433)))</f>
        <v/>
      </c>
      <c r="GF433">
        <f>IF(OR(GD$3="",GD$3&gt;TODAY()),"",IF(AND(GD433="",GE433=""),"",N(GE433)-N(GD433)))</f>
        <v/>
      </c>
      <c r="GI433">
        <f>IF(OR(GD$3="",GD$3&gt;TODAY()),"",IF(AND(GG433="",GH433=""),"",N(GH433)-N(GG433)))</f>
        <v/>
      </c>
      <c r="GM433">
        <f>IF(OR(GK$3="",GK$3&gt;TODAY()),"",IF(AND(GK433="",GL433=""),"",N(GL433)-N(GK433)))</f>
        <v/>
      </c>
      <c r="GP433">
        <f>IF(OR(GK$3="",GK$3&gt;TODAY()),"",IF(AND(GN433="",GO433=""),"",N(GO433)-N(GN433)))</f>
        <v/>
      </c>
      <c r="GT433">
        <f>IF(OR(GR$3="",GR$3&gt;TODAY()),"",IF(AND(GR433="",GS433=""),"",N(GS433)-N(GR433)))</f>
        <v/>
      </c>
      <c r="GW433">
        <f>IF(OR(GR$3="",GR$3&gt;TODAY()),"",IF(AND(GU433="",GV433=""),"",N(GV433)-N(GU433)))</f>
        <v/>
      </c>
      <c r="HA433">
        <f>IF(OR(GY$3="",GY$3&gt;TODAY()),"",IF(AND(GY433="",GZ433=""),"",N(GZ433)-N(GY433)))</f>
        <v/>
      </c>
      <c r="HD433">
        <f>IF(OR(GY$3="",GY$3&gt;TODAY()),"",IF(AND(HB433="",HC433=""),"",N(HC433)-N(HB433)))</f>
        <v/>
      </c>
      <c r="HH433">
        <f>IF(OR(HF$3="",HF$3&gt;TODAY()),"",IF(AND(HF433="",HG433=""),"",N(HG433)-N(HF433)))</f>
        <v/>
      </c>
      <c r="HK433">
        <f>IF(OR(HF$3="",HF$3&gt;TODAY()),"",IF(AND(HI433="",HJ433=""),"",N(HJ433)-N(HI433)))</f>
        <v/>
      </c>
      <c r="HO433">
        <f>IF(OR(HM$3="",HM$3&gt;TODAY()),"",IF(AND(HM433="",HN433=""),"",N(HN433)-N(HM433)))</f>
        <v/>
      </c>
      <c r="HR433">
        <f>IF(OR(HM$3="",HM$3&gt;TODAY()),"",IF(AND(HP433="",HQ433=""),"",N(HQ433)-N(HP433)))</f>
        <v/>
      </c>
      <c r="HV433">
        <f>IF(OR(HT$3="",HT$3&gt;TODAY()),"",IF(AND(HT433="",HU433=""),"",N(HU433)-N(HT433)))</f>
        <v/>
      </c>
      <c r="HY433">
        <f>IF(OR(HT$3="",HT$3&gt;TODAY()),"",IF(AND(HW433="",HX433=""),"",N(HX433)-N(HW433)))</f>
        <v/>
      </c>
      <c r="IC433">
        <f>IF(OR(IA$3="",IA$3&gt;TODAY()),"",IF(AND(IA433="",IB433=""),"",N(IB433)-N(IA433)))</f>
        <v/>
      </c>
      <c r="IF433">
        <f>IF(OR(IA$3="",IA$3&gt;TODAY()),"",IF(AND(ID433="",IE433=""),"",N(IE433)-N(ID433)))</f>
        <v/>
      </c>
      <c r="IJ433">
        <f>IF(OR(IH$3="",IH$3&gt;TODAY()),"",IF(AND(IH433="",II433=""),"",N(II433)-N(IH433)))</f>
        <v/>
      </c>
      <c r="IM433">
        <f>IF(OR(IH$3="",IH$3&gt;TODAY()),"",IF(AND(IK433="",IL433=""),"",N(IL433)-N(IK433)))</f>
        <v/>
      </c>
    </row>
    <row r="434">
      <c r="A434" s="21" t="n"/>
      <c r="B434" s="21" t="n"/>
      <c r="C434" s="21" t="n"/>
      <c r="D434" s="21" t="n"/>
      <c r="E434" s="21" t="n"/>
      <c r="F434" s="21" t="n"/>
      <c r="G434" s="21" t="n"/>
      <c r="H434" s="21" t="n"/>
      <c r="I434" s="22" t="n"/>
      <c r="J434" s="22" t="n"/>
      <c r="K434" s="23" t="n"/>
      <c r="L434" s="22" t="n"/>
      <c r="M434" s="22" t="n"/>
      <c r="N434" s="21" t="n"/>
      <c r="O434" s="23" t="n"/>
      <c r="P434" s="23" t="n"/>
      <c r="Q434" s="23" t="n"/>
      <c r="R434" s="23" t="n"/>
      <c r="S434" s="22" t="n"/>
      <c r="T434" s="23" t="n"/>
      <c r="U434" s="23" t="n"/>
      <c r="V434" s="24">
        <f>IF(J434&lt;&gt;"",J434,IF(I434&lt;&gt;"",I434,""))</f>
        <v/>
      </c>
      <c r="W434" s="25">
        <f>IF($E434="","",N(O434)+SUMIFS($AF434:$IN434,$AF$4:$IN$4,"SEW_ACT"))</f>
        <v/>
      </c>
      <c r="X434" s="25">
        <f>IF($E434="","",N(P434)+SUMIFS($AF434:$IN434,$AF$4:$IN$4,"WASH_ACT"))</f>
        <v/>
      </c>
      <c r="Y434" s="25">
        <f>IF($E434="","",W434-X434-N(T434)-N(U434))</f>
        <v/>
      </c>
      <c r="Z434" s="25">
        <f>IF($E434="","",IF(N(K434)-X434&lt;=0.02*N(K434),0,N(K434)-X434))</f>
        <v/>
      </c>
      <c r="AA434" s="24">
        <f>IF($E434="","",IF(S434&lt;&gt;"",S434,IF(N(O434)&gt;0,IF(L434&lt;&gt;"",L434,99999),IFERROR(1/(1/_xlfn.MINIFS($AF$3:$IN$3,$AF$4:$IN$4,"SEW_ACT",$AF434:$IN434,"&gt;0")),99999))))</f>
        <v/>
      </c>
      <c r="AB434" s="26">
        <f>IF(OR($E434="",Z434=0,V434=""),"",1+COUNTIFS(Z$8:Z$707,"&gt;0",V$8:V$707,"&lt;"&amp;V434)+COUNTIFS(Z$8:Z$707,"&gt;0",V$8:V$707,V434,AA$8:AA$707,"&lt;"&amp;AA434)+COUNTIFS(Z$8:Z$707,"&gt;0",V$8:V$707,V434,AA$8:AA$707,AA434,E$8:E$707,"&lt;"&amp;$E434))</f>
        <v/>
      </c>
      <c r="AC434" s="24">
        <f>IF(OR($E434="",Z434=0),"",IFERROR(TODAY()+ROUNDUP(Z434/(SUMIFS($AF434:$IN434,$AF$4:$IN$4,"WASH_ACT")/COUNTIFS($AF$4:$IN$4,"WASH_ACT",$AF434:$IN434,"&gt;0")),0),"no output yet"))</f>
        <v/>
      </c>
      <c r="AD434" s="26">
        <f>IF($E434="","",IFERROR(ROUND(MAX(0,SUMIFS($AF434:$IN434,$AF$4:$IN$4,"SEW_PLAN",$AF$3:$IN$3,"&lt;="&amp;TODAY())-SUMIFS($AF434:$IN434,$AF$4:$IN$4,"SEW_ACT",$AF$3:$IN$3,"&lt;="&amp;TODAY())+N(Q434))/(SUMIFS($AF434:$IN434,$AF$4:$IN$4,"SEW_PLAN")/COUNTIFS($AF$4:$IN$4,"SEW_PLAN",$AF434:$IN434,"&gt;0")),1),0))</f>
        <v/>
      </c>
      <c r="AE434" s="26">
        <f>IF($E434="","",IF(AND(Z434&gt;0,OR(AND(M434&lt;&gt;"",TODAY()&gt;M434),AND(V434&lt;&gt;"",V434-TODAY()&lt;=7))),"Yes","No"))</f>
        <v/>
      </c>
      <c r="AH434">
        <f>IF(OR(AF$3="",AF$3&gt;TODAY()),"",IF(AND(AF434="",AG434=""),"",N(AG434)-N(AF434)))</f>
        <v/>
      </c>
      <c r="AK434">
        <f>IF(OR(AF$3="",AF$3&gt;TODAY()),"",IF(AND(AI434="",AJ434=""),"",N(AJ434)-N(AI434)))</f>
        <v/>
      </c>
      <c r="AO434">
        <f>IF(OR(AM$3="",AM$3&gt;TODAY()),"",IF(AND(AM434="",AN434=""),"",N(AN434)-N(AM434)))</f>
        <v/>
      </c>
      <c r="AR434">
        <f>IF(OR(AM$3="",AM$3&gt;TODAY()),"",IF(AND(AP434="",AQ434=""),"",N(AQ434)-N(AP434)))</f>
        <v/>
      </c>
      <c r="AV434">
        <f>IF(OR(AT$3="",AT$3&gt;TODAY()),"",IF(AND(AT434="",AU434=""),"",N(AU434)-N(AT434)))</f>
        <v/>
      </c>
      <c r="AY434">
        <f>IF(OR(AT$3="",AT$3&gt;TODAY()),"",IF(AND(AW434="",AX434=""),"",N(AX434)-N(AW434)))</f>
        <v/>
      </c>
      <c r="BC434">
        <f>IF(OR(BA$3="",BA$3&gt;TODAY()),"",IF(AND(BA434="",BB434=""),"",N(BB434)-N(BA434)))</f>
        <v/>
      </c>
      <c r="BF434">
        <f>IF(OR(BA$3="",BA$3&gt;TODAY()),"",IF(AND(BD434="",BE434=""),"",N(BE434)-N(BD434)))</f>
        <v/>
      </c>
      <c r="BJ434">
        <f>IF(OR(BH$3="",BH$3&gt;TODAY()),"",IF(AND(BH434="",BI434=""),"",N(BI434)-N(BH434)))</f>
        <v/>
      </c>
      <c r="BM434">
        <f>IF(OR(BH$3="",BH$3&gt;TODAY()),"",IF(AND(BK434="",BL434=""),"",N(BL434)-N(BK434)))</f>
        <v/>
      </c>
      <c r="BQ434">
        <f>IF(OR(BO$3="",BO$3&gt;TODAY()),"",IF(AND(BO434="",BP434=""),"",N(BP434)-N(BO434)))</f>
        <v/>
      </c>
      <c r="BT434">
        <f>IF(OR(BO$3="",BO$3&gt;TODAY()),"",IF(AND(BR434="",BS434=""),"",N(BS434)-N(BR434)))</f>
        <v/>
      </c>
      <c r="BX434">
        <f>IF(OR(BV$3="",BV$3&gt;TODAY()),"",IF(AND(BV434="",BW434=""),"",N(BW434)-N(BV434)))</f>
        <v/>
      </c>
      <c r="CA434">
        <f>IF(OR(BV$3="",BV$3&gt;TODAY()),"",IF(AND(BY434="",BZ434=""),"",N(BZ434)-N(BY434)))</f>
        <v/>
      </c>
      <c r="CE434">
        <f>IF(OR(CC$3="",CC$3&gt;TODAY()),"",IF(AND(CC434="",CD434=""),"",N(CD434)-N(CC434)))</f>
        <v/>
      </c>
      <c r="CH434">
        <f>IF(OR(CC$3="",CC$3&gt;TODAY()),"",IF(AND(CF434="",CG434=""),"",N(CG434)-N(CF434)))</f>
        <v/>
      </c>
      <c r="CL434">
        <f>IF(OR(CJ$3="",CJ$3&gt;TODAY()),"",IF(AND(CJ434="",CK434=""),"",N(CK434)-N(CJ434)))</f>
        <v/>
      </c>
      <c r="CO434">
        <f>IF(OR(CJ$3="",CJ$3&gt;TODAY()),"",IF(AND(CM434="",CN434=""),"",N(CN434)-N(CM434)))</f>
        <v/>
      </c>
      <c r="CS434">
        <f>IF(OR(CQ$3="",CQ$3&gt;TODAY()),"",IF(AND(CQ434="",CR434=""),"",N(CR434)-N(CQ434)))</f>
        <v/>
      </c>
      <c r="CV434">
        <f>IF(OR(CQ$3="",CQ$3&gt;TODAY()),"",IF(AND(CT434="",CU434=""),"",N(CU434)-N(CT434)))</f>
        <v/>
      </c>
      <c r="CZ434">
        <f>IF(OR(CX$3="",CX$3&gt;TODAY()),"",IF(AND(CX434="",CY434=""),"",N(CY434)-N(CX434)))</f>
        <v/>
      </c>
      <c r="DC434">
        <f>IF(OR(CX$3="",CX$3&gt;TODAY()),"",IF(AND(DA434="",DB434=""),"",N(DB434)-N(DA434)))</f>
        <v/>
      </c>
      <c r="DG434">
        <f>IF(OR(DE$3="",DE$3&gt;TODAY()),"",IF(AND(DE434="",DF434=""),"",N(DF434)-N(DE434)))</f>
        <v/>
      </c>
      <c r="DJ434">
        <f>IF(OR(DE$3="",DE$3&gt;TODAY()),"",IF(AND(DH434="",DI434=""),"",N(DI434)-N(DH434)))</f>
        <v/>
      </c>
      <c r="DN434">
        <f>IF(OR(DL$3="",DL$3&gt;TODAY()),"",IF(AND(DL434="",DM434=""),"",N(DM434)-N(DL434)))</f>
        <v/>
      </c>
      <c r="DQ434">
        <f>IF(OR(DL$3="",DL$3&gt;TODAY()),"",IF(AND(DO434="",DP434=""),"",N(DP434)-N(DO434)))</f>
        <v/>
      </c>
      <c r="DU434">
        <f>IF(OR(DS$3="",DS$3&gt;TODAY()),"",IF(AND(DS434="",DT434=""),"",N(DT434)-N(DS434)))</f>
        <v/>
      </c>
      <c r="DX434">
        <f>IF(OR(DS$3="",DS$3&gt;TODAY()),"",IF(AND(DV434="",DW434=""),"",N(DW434)-N(DV434)))</f>
        <v/>
      </c>
      <c r="EB434">
        <f>IF(OR(DZ$3="",DZ$3&gt;TODAY()),"",IF(AND(DZ434="",EA434=""),"",N(EA434)-N(DZ434)))</f>
        <v/>
      </c>
      <c r="EE434">
        <f>IF(OR(DZ$3="",DZ$3&gt;TODAY()),"",IF(AND(EC434="",ED434=""),"",N(ED434)-N(EC434)))</f>
        <v/>
      </c>
      <c r="EI434">
        <f>IF(OR(EG$3="",EG$3&gt;TODAY()),"",IF(AND(EG434="",EH434=""),"",N(EH434)-N(EG434)))</f>
        <v/>
      </c>
      <c r="EL434">
        <f>IF(OR(EG$3="",EG$3&gt;TODAY()),"",IF(AND(EJ434="",EK434=""),"",N(EK434)-N(EJ434)))</f>
        <v/>
      </c>
      <c r="EP434">
        <f>IF(OR(EN$3="",EN$3&gt;TODAY()),"",IF(AND(EN434="",EO434=""),"",N(EO434)-N(EN434)))</f>
        <v/>
      </c>
      <c r="ES434">
        <f>IF(OR(EN$3="",EN$3&gt;TODAY()),"",IF(AND(EQ434="",ER434=""),"",N(ER434)-N(EQ434)))</f>
        <v/>
      </c>
      <c r="EW434">
        <f>IF(OR(EU$3="",EU$3&gt;TODAY()),"",IF(AND(EU434="",EV434=""),"",N(EV434)-N(EU434)))</f>
        <v/>
      </c>
      <c r="EZ434">
        <f>IF(OR(EU$3="",EU$3&gt;TODAY()),"",IF(AND(EX434="",EY434=""),"",N(EY434)-N(EX434)))</f>
        <v/>
      </c>
      <c r="FD434">
        <f>IF(OR(FB$3="",FB$3&gt;TODAY()),"",IF(AND(FB434="",FC434=""),"",N(FC434)-N(FB434)))</f>
        <v/>
      </c>
      <c r="FG434">
        <f>IF(OR(FB$3="",FB$3&gt;TODAY()),"",IF(AND(FE434="",FF434=""),"",N(FF434)-N(FE434)))</f>
        <v/>
      </c>
      <c r="FK434">
        <f>IF(OR(FI$3="",FI$3&gt;TODAY()),"",IF(AND(FI434="",FJ434=""),"",N(FJ434)-N(FI434)))</f>
        <v/>
      </c>
      <c r="FN434">
        <f>IF(OR(FI$3="",FI$3&gt;TODAY()),"",IF(AND(FL434="",FM434=""),"",N(FM434)-N(FL434)))</f>
        <v/>
      </c>
      <c r="FR434">
        <f>IF(OR(FP$3="",FP$3&gt;TODAY()),"",IF(AND(FP434="",FQ434=""),"",N(FQ434)-N(FP434)))</f>
        <v/>
      </c>
      <c r="FU434">
        <f>IF(OR(FP$3="",FP$3&gt;TODAY()),"",IF(AND(FS434="",FT434=""),"",N(FT434)-N(FS434)))</f>
        <v/>
      </c>
      <c r="FY434">
        <f>IF(OR(FW$3="",FW$3&gt;TODAY()),"",IF(AND(FW434="",FX434=""),"",N(FX434)-N(FW434)))</f>
        <v/>
      </c>
      <c r="GB434">
        <f>IF(OR(FW$3="",FW$3&gt;TODAY()),"",IF(AND(FZ434="",GA434=""),"",N(GA434)-N(FZ434)))</f>
        <v/>
      </c>
      <c r="GF434">
        <f>IF(OR(GD$3="",GD$3&gt;TODAY()),"",IF(AND(GD434="",GE434=""),"",N(GE434)-N(GD434)))</f>
        <v/>
      </c>
      <c r="GI434">
        <f>IF(OR(GD$3="",GD$3&gt;TODAY()),"",IF(AND(GG434="",GH434=""),"",N(GH434)-N(GG434)))</f>
        <v/>
      </c>
      <c r="GM434">
        <f>IF(OR(GK$3="",GK$3&gt;TODAY()),"",IF(AND(GK434="",GL434=""),"",N(GL434)-N(GK434)))</f>
        <v/>
      </c>
      <c r="GP434">
        <f>IF(OR(GK$3="",GK$3&gt;TODAY()),"",IF(AND(GN434="",GO434=""),"",N(GO434)-N(GN434)))</f>
        <v/>
      </c>
      <c r="GT434">
        <f>IF(OR(GR$3="",GR$3&gt;TODAY()),"",IF(AND(GR434="",GS434=""),"",N(GS434)-N(GR434)))</f>
        <v/>
      </c>
      <c r="GW434">
        <f>IF(OR(GR$3="",GR$3&gt;TODAY()),"",IF(AND(GU434="",GV434=""),"",N(GV434)-N(GU434)))</f>
        <v/>
      </c>
      <c r="HA434">
        <f>IF(OR(GY$3="",GY$3&gt;TODAY()),"",IF(AND(GY434="",GZ434=""),"",N(GZ434)-N(GY434)))</f>
        <v/>
      </c>
      <c r="HD434">
        <f>IF(OR(GY$3="",GY$3&gt;TODAY()),"",IF(AND(HB434="",HC434=""),"",N(HC434)-N(HB434)))</f>
        <v/>
      </c>
      <c r="HH434">
        <f>IF(OR(HF$3="",HF$3&gt;TODAY()),"",IF(AND(HF434="",HG434=""),"",N(HG434)-N(HF434)))</f>
        <v/>
      </c>
      <c r="HK434">
        <f>IF(OR(HF$3="",HF$3&gt;TODAY()),"",IF(AND(HI434="",HJ434=""),"",N(HJ434)-N(HI434)))</f>
        <v/>
      </c>
      <c r="HO434">
        <f>IF(OR(HM$3="",HM$3&gt;TODAY()),"",IF(AND(HM434="",HN434=""),"",N(HN434)-N(HM434)))</f>
        <v/>
      </c>
      <c r="HR434">
        <f>IF(OR(HM$3="",HM$3&gt;TODAY()),"",IF(AND(HP434="",HQ434=""),"",N(HQ434)-N(HP434)))</f>
        <v/>
      </c>
      <c r="HV434">
        <f>IF(OR(HT$3="",HT$3&gt;TODAY()),"",IF(AND(HT434="",HU434=""),"",N(HU434)-N(HT434)))</f>
        <v/>
      </c>
      <c r="HY434">
        <f>IF(OR(HT$3="",HT$3&gt;TODAY()),"",IF(AND(HW434="",HX434=""),"",N(HX434)-N(HW434)))</f>
        <v/>
      </c>
      <c r="IC434">
        <f>IF(OR(IA$3="",IA$3&gt;TODAY()),"",IF(AND(IA434="",IB434=""),"",N(IB434)-N(IA434)))</f>
        <v/>
      </c>
      <c r="IF434">
        <f>IF(OR(IA$3="",IA$3&gt;TODAY()),"",IF(AND(ID434="",IE434=""),"",N(IE434)-N(ID434)))</f>
        <v/>
      </c>
      <c r="IJ434">
        <f>IF(OR(IH$3="",IH$3&gt;TODAY()),"",IF(AND(IH434="",II434=""),"",N(II434)-N(IH434)))</f>
        <v/>
      </c>
      <c r="IM434">
        <f>IF(OR(IH$3="",IH$3&gt;TODAY()),"",IF(AND(IK434="",IL434=""),"",N(IL434)-N(IK434)))</f>
        <v/>
      </c>
    </row>
    <row r="435">
      <c r="A435" s="21" t="n"/>
      <c r="B435" s="21" t="n"/>
      <c r="C435" s="21" t="n"/>
      <c r="D435" s="21" t="n"/>
      <c r="E435" s="21" t="n"/>
      <c r="F435" s="21" t="n"/>
      <c r="G435" s="21" t="n"/>
      <c r="H435" s="21" t="n"/>
      <c r="I435" s="22" t="n"/>
      <c r="J435" s="22" t="n"/>
      <c r="K435" s="23" t="n"/>
      <c r="L435" s="22" t="n"/>
      <c r="M435" s="22" t="n"/>
      <c r="N435" s="21" t="n"/>
      <c r="O435" s="23" t="n"/>
      <c r="P435" s="23" t="n"/>
      <c r="Q435" s="23" t="n"/>
      <c r="R435" s="23" t="n"/>
      <c r="S435" s="22" t="n"/>
      <c r="T435" s="23" t="n"/>
      <c r="U435" s="23" t="n"/>
      <c r="V435" s="24">
        <f>IF(J435&lt;&gt;"",J435,IF(I435&lt;&gt;"",I435,""))</f>
        <v/>
      </c>
      <c r="W435" s="25">
        <f>IF($E435="","",N(O435)+SUMIFS($AF435:$IN435,$AF$4:$IN$4,"SEW_ACT"))</f>
        <v/>
      </c>
      <c r="X435" s="25">
        <f>IF($E435="","",N(P435)+SUMIFS($AF435:$IN435,$AF$4:$IN$4,"WASH_ACT"))</f>
        <v/>
      </c>
      <c r="Y435" s="25">
        <f>IF($E435="","",W435-X435-N(T435)-N(U435))</f>
        <v/>
      </c>
      <c r="Z435" s="25">
        <f>IF($E435="","",IF(N(K435)-X435&lt;=0.02*N(K435),0,N(K435)-X435))</f>
        <v/>
      </c>
      <c r="AA435" s="24">
        <f>IF($E435="","",IF(S435&lt;&gt;"",S435,IF(N(O435)&gt;0,IF(L435&lt;&gt;"",L435,99999),IFERROR(1/(1/_xlfn.MINIFS($AF$3:$IN$3,$AF$4:$IN$4,"SEW_ACT",$AF435:$IN435,"&gt;0")),99999))))</f>
        <v/>
      </c>
      <c r="AB435" s="26">
        <f>IF(OR($E435="",Z435=0,V435=""),"",1+COUNTIFS(Z$8:Z$707,"&gt;0",V$8:V$707,"&lt;"&amp;V435)+COUNTIFS(Z$8:Z$707,"&gt;0",V$8:V$707,V435,AA$8:AA$707,"&lt;"&amp;AA435)+COUNTIFS(Z$8:Z$707,"&gt;0",V$8:V$707,V435,AA$8:AA$707,AA435,E$8:E$707,"&lt;"&amp;$E435))</f>
        <v/>
      </c>
      <c r="AC435" s="24">
        <f>IF(OR($E435="",Z435=0),"",IFERROR(TODAY()+ROUNDUP(Z435/(SUMIFS($AF435:$IN435,$AF$4:$IN$4,"WASH_ACT")/COUNTIFS($AF$4:$IN$4,"WASH_ACT",$AF435:$IN435,"&gt;0")),0),"no output yet"))</f>
        <v/>
      </c>
      <c r="AD435" s="26">
        <f>IF($E435="","",IFERROR(ROUND(MAX(0,SUMIFS($AF435:$IN435,$AF$4:$IN$4,"SEW_PLAN",$AF$3:$IN$3,"&lt;="&amp;TODAY())-SUMIFS($AF435:$IN435,$AF$4:$IN$4,"SEW_ACT",$AF$3:$IN$3,"&lt;="&amp;TODAY())+N(Q435))/(SUMIFS($AF435:$IN435,$AF$4:$IN$4,"SEW_PLAN")/COUNTIFS($AF$4:$IN$4,"SEW_PLAN",$AF435:$IN435,"&gt;0")),1),0))</f>
        <v/>
      </c>
      <c r="AE435" s="26">
        <f>IF($E435="","",IF(AND(Z435&gt;0,OR(AND(M435&lt;&gt;"",TODAY()&gt;M435),AND(V435&lt;&gt;"",V435-TODAY()&lt;=7))),"Yes","No"))</f>
        <v/>
      </c>
      <c r="AH435">
        <f>IF(OR(AF$3="",AF$3&gt;TODAY()),"",IF(AND(AF435="",AG435=""),"",N(AG435)-N(AF435)))</f>
        <v/>
      </c>
      <c r="AK435">
        <f>IF(OR(AF$3="",AF$3&gt;TODAY()),"",IF(AND(AI435="",AJ435=""),"",N(AJ435)-N(AI435)))</f>
        <v/>
      </c>
      <c r="AO435">
        <f>IF(OR(AM$3="",AM$3&gt;TODAY()),"",IF(AND(AM435="",AN435=""),"",N(AN435)-N(AM435)))</f>
        <v/>
      </c>
      <c r="AR435">
        <f>IF(OR(AM$3="",AM$3&gt;TODAY()),"",IF(AND(AP435="",AQ435=""),"",N(AQ435)-N(AP435)))</f>
        <v/>
      </c>
      <c r="AV435">
        <f>IF(OR(AT$3="",AT$3&gt;TODAY()),"",IF(AND(AT435="",AU435=""),"",N(AU435)-N(AT435)))</f>
        <v/>
      </c>
      <c r="AY435">
        <f>IF(OR(AT$3="",AT$3&gt;TODAY()),"",IF(AND(AW435="",AX435=""),"",N(AX435)-N(AW435)))</f>
        <v/>
      </c>
      <c r="BC435">
        <f>IF(OR(BA$3="",BA$3&gt;TODAY()),"",IF(AND(BA435="",BB435=""),"",N(BB435)-N(BA435)))</f>
        <v/>
      </c>
      <c r="BF435">
        <f>IF(OR(BA$3="",BA$3&gt;TODAY()),"",IF(AND(BD435="",BE435=""),"",N(BE435)-N(BD435)))</f>
        <v/>
      </c>
      <c r="BJ435">
        <f>IF(OR(BH$3="",BH$3&gt;TODAY()),"",IF(AND(BH435="",BI435=""),"",N(BI435)-N(BH435)))</f>
        <v/>
      </c>
      <c r="BM435">
        <f>IF(OR(BH$3="",BH$3&gt;TODAY()),"",IF(AND(BK435="",BL435=""),"",N(BL435)-N(BK435)))</f>
        <v/>
      </c>
      <c r="BQ435">
        <f>IF(OR(BO$3="",BO$3&gt;TODAY()),"",IF(AND(BO435="",BP435=""),"",N(BP435)-N(BO435)))</f>
        <v/>
      </c>
      <c r="BT435">
        <f>IF(OR(BO$3="",BO$3&gt;TODAY()),"",IF(AND(BR435="",BS435=""),"",N(BS435)-N(BR435)))</f>
        <v/>
      </c>
      <c r="BX435">
        <f>IF(OR(BV$3="",BV$3&gt;TODAY()),"",IF(AND(BV435="",BW435=""),"",N(BW435)-N(BV435)))</f>
        <v/>
      </c>
      <c r="CA435">
        <f>IF(OR(BV$3="",BV$3&gt;TODAY()),"",IF(AND(BY435="",BZ435=""),"",N(BZ435)-N(BY435)))</f>
        <v/>
      </c>
      <c r="CE435">
        <f>IF(OR(CC$3="",CC$3&gt;TODAY()),"",IF(AND(CC435="",CD435=""),"",N(CD435)-N(CC435)))</f>
        <v/>
      </c>
      <c r="CH435">
        <f>IF(OR(CC$3="",CC$3&gt;TODAY()),"",IF(AND(CF435="",CG435=""),"",N(CG435)-N(CF435)))</f>
        <v/>
      </c>
      <c r="CL435">
        <f>IF(OR(CJ$3="",CJ$3&gt;TODAY()),"",IF(AND(CJ435="",CK435=""),"",N(CK435)-N(CJ435)))</f>
        <v/>
      </c>
      <c r="CO435">
        <f>IF(OR(CJ$3="",CJ$3&gt;TODAY()),"",IF(AND(CM435="",CN435=""),"",N(CN435)-N(CM435)))</f>
        <v/>
      </c>
      <c r="CS435">
        <f>IF(OR(CQ$3="",CQ$3&gt;TODAY()),"",IF(AND(CQ435="",CR435=""),"",N(CR435)-N(CQ435)))</f>
        <v/>
      </c>
      <c r="CV435">
        <f>IF(OR(CQ$3="",CQ$3&gt;TODAY()),"",IF(AND(CT435="",CU435=""),"",N(CU435)-N(CT435)))</f>
        <v/>
      </c>
      <c r="CZ435">
        <f>IF(OR(CX$3="",CX$3&gt;TODAY()),"",IF(AND(CX435="",CY435=""),"",N(CY435)-N(CX435)))</f>
        <v/>
      </c>
      <c r="DC435">
        <f>IF(OR(CX$3="",CX$3&gt;TODAY()),"",IF(AND(DA435="",DB435=""),"",N(DB435)-N(DA435)))</f>
        <v/>
      </c>
      <c r="DG435">
        <f>IF(OR(DE$3="",DE$3&gt;TODAY()),"",IF(AND(DE435="",DF435=""),"",N(DF435)-N(DE435)))</f>
        <v/>
      </c>
      <c r="DJ435">
        <f>IF(OR(DE$3="",DE$3&gt;TODAY()),"",IF(AND(DH435="",DI435=""),"",N(DI435)-N(DH435)))</f>
        <v/>
      </c>
      <c r="DN435">
        <f>IF(OR(DL$3="",DL$3&gt;TODAY()),"",IF(AND(DL435="",DM435=""),"",N(DM435)-N(DL435)))</f>
        <v/>
      </c>
      <c r="DQ435">
        <f>IF(OR(DL$3="",DL$3&gt;TODAY()),"",IF(AND(DO435="",DP435=""),"",N(DP435)-N(DO435)))</f>
        <v/>
      </c>
      <c r="DU435">
        <f>IF(OR(DS$3="",DS$3&gt;TODAY()),"",IF(AND(DS435="",DT435=""),"",N(DT435)-N(DS435)))</f>
        <v/>
      </c>
      <c r="DX435">
        <f>IF(OR(DS$3="",DS$3&gt;TODAY()),"",IF(AND(DV435="",DW435=""),"",N(DW435)-N(DV435)))</f>
        <v/>
      </c>
      <c r="EB435">
        <f>IF(OR(DZ$3="",DZ$3&gt;TODAY()),"",IF(AND(DZ435="",EA435=""),"",N(EA435)-N(DZ435)))</f>
        <v/>
      </c>
      <c r="EE435">
        <f>IF(OR(DZ$3="",DZ$3&gt;TODAY()),"",IF(AND(EC435="",ED435=""),"",N(ED435)-N(EC435)))</f>
        <v/>
      </c>
      <c r="EI435">
        <f>IF(OR(EG$3="",EG$3&gt;TODAY()),"",IF(AND(EG435="",EH435=""),"",N(EH435)-N(EG435)))</f>
        <v/>
      </c>
      <c r="EL435">
        <f>IF(OR(EG$3="",EG$3&gt;TODAY()),"",IF(AND(EJ435="",EK435=""),"",N(EK435)-N(EJ435)))</f>
        <v/>
      </c>
      <c r="EP435">
        <f>IF(OR(EN$3="",EN$3&gt;TODAY()),"",IF(AND(EN435="",EO435=""),"",N(EO435)-N(EN435)))</f>
        <v/>
      </c>
      <c r="ES435">
        <f>IF(OR(EN$3="",EN$3&gt;TODAY()),"",IF(AND(EQ435="",ER435=""),"",N(ER435)-N(EQ435)))</f>
        <v/>
      </c>
      <c r="EW435">
        <f>IF(OR(EU$3="",EU$3&gt;TODAY()),"",IF(AND(EU435="",EV435=""),"",N(EV435)-N(EU435)))</f>
        <v/>
      </c>
      <c r="EZ435">
        <f>IF(OR(EU$3="",EU$3&gt;TODAY()),"",IF(AND(EX435="",EY435=""),"",N(EY435)-N(EX435)))</f>
        <v/>
      </c>
      <c r="FD435">
        <f>IF(OR(FB$3="",FB$3&gt;TODAY()),"",IF(AND(FB435="",FC435=""),"",N(FC435)-N(FB435)))</f>
        <v/>
      </c>
      <c r="FG435">
        <f>IF(OR(FB$3="",FB$3&gt;TODAY()),"",IF(AND(FE435="",FF435=""),"",N(FF435)-N(FE435)))</f>
        <v/>
      </c>
      <c r="FK435">
        <f>IF(OR(FI$3="",FI$3&gt;TODAY()),"",IF(AND(FI435="",FJ435=""),"",N(FJ435)-N(FI435)))</f>
        <v/>
      </c>
      <c r="FN435">
        <f>IF(OR(FI$3="",FI$3&gt;TODAY()),"",IF(AND(FL435="",FM435=""),"",N(FM435)-N(FL435)))</f>
        <v/>
      </c>
      <c r="FR435">
        <f>IF(OR(FP$3="",FP$3&gt;TODAY()),"",IF(AND(FP435="",FQ435=""),"",N(FQ435)-N(FP435)))</f>
        <v/>
      </c>
      <c r="FU435">
        <f>IF(OR(FP$3="",FP$3&gt;TODAY()),"",IF(AND(FS435="",FT435=""),"",N(FT435)-N(FS435)))</f>
        <v/>
      </c>
      <c r="FY435">
        <f>IF(OR(FW$3="",FW$3&gt;TODAY()),"",IF(AND(FW435="",FX435=""),"",N(FX435)-N(FW435)))</f>
        <v/>
      </c>
      <c r="GB435">
        <f>IF(OR(FW$3="",FW$3&gt;TODAY()),"",IF(AND(FZ435="",GA435=""),"",N(GA435)-N(FZ435)))</f>
        <v/>
      </c>
      <c r="GF435">
        <f>IF(OR(GD$3="",GD$3&gt;TODAY()),"",IF(AND(GD435="",GE435=""),"",N(GE435)-N(GD435)))</f>
        <v/>
      </c>
      <c r="GI435">
        <f>IF(OR(GD$3="",GD$3&gt;TODAY()),"",IF(AND(GG435="",GH435=""),"",N(GH435)-N(GG435)))</f>
        <v/>
      </c>
      <c r="GM435">
        <f>IF(OR(GK$3="",GK$3&gt;TODAY()),"",IF(AND(GK435="",GL435=""),"",N(GL435)-N(GK435)))</f>
        <v/>
      </c>
      <c r="GP435">
        <f>IF(OR(GK$3="",GK$3&gt;TODAY()),"",IF(AND(GN435="",GO435=""),"",N(GO435)-N(GN435)))</f>
        <v/>
      </c>
      <c r="GT435">
        <f>IF(OR(GR$3="",GR$3&gt;TODAY()),"",IF(AND(GR435="",GS435=""),"",N(GS435)-N(GR435)))</f>
        <v/>
      </c>
      <c r="GW435">
        <f>IF(OR(GR$3="",GR$3&gt;TODAY()),"",IF(AND(GU435="",GV435=""),"",N(GV435)-N(GU435)))</f>
        <v/>
      </c>
      <c r="HA435">
        <f>IF(OR(GY$3="",GY$3&gt;TODAY()),"",IF(AND(GY435="",GZ435=""),"",N(GZ435)-N(GY435)))</f>
        <v/>
      </c>
      <c r="HD435">
        <f>IF(OR(GY$3="",GY$3&gt;TODAY()),"",IF(AND(HB435="",HC435=""),"",N(HC435)-N(HB435)))</f>
        <v/>
      </c>
      <c r="HH435">
        <f>IF(OR(HF$3="",HF$3&gt;TODAY()),"",IF(AND(HF435="",HG435=""),"",N(HG435)-N(HF435)))</f>
        <v/>
      </c>
      <c r="HK435">
        <f>IF(OR(HF$3="",HF$3&gt;TODAY()),"",IF(AND(HI435="",HJ435=""),"",N(HJ435)-N(HI435)))</f>
        <v/>
      </c>
      <c r="HO435">
        <f>IF(OR(HM$3="",HM$3&gt;TODAY()),"",IF(AND(HM435="",HN435=""),"",N(HN435)-N(HM435)))</f>
        <v/>
      </c>
      <c r="HR435">
        <f>IF(OR(HM$3="",HM$3&gt;TODAY()),"",IF(AND(HP435="",HQ435=""),"",N(HQ435)-N(HP435)))</f>
        <v/>
      </c>
      <c r="HV435">
        <f>IF(OR(HT$3="",HT$3&gt;TODAY()),"",IF(AND(HT435="",HU435=""),"",N(HU435)-N(HT435)))</f>
        <v/>
      </c>
      <c r="HY435">
        <f>IF(OR(HT$3="",HT$3&gt;TODAY()),"",IF(AND(HW435="",HX435=""),"",N(HX435)-N(HW435)))</f>
        <v/>
      </c>
      <c r="IC435">
        <f>IF(OR(IA$3="",IA$3&gt;TODAY()),"",IF(AND(IA435="",IB435=""),"",N(IB435)-N(IA435)))</f>
        <v/>
      </c>
      <c r="IF435">
        <f>IF(OR(IA$3="",IA$3&gt;TODAY()),"",IF(AND(ID435="",IE435=""),"",N(IE435)-N(ID435)))</f>
        <v/>
      </c>
      <c r="IJ435">
        <f>IF(OR(IH$3="",IH$3&gt;TODAY()),"",IF(AND(IH435="",II435=""),"",N(II435)-N(IH435)))</f>
        <v/>
      </c>
      <c r="IM435">
        <f>IF(OR(IH$3="",IH$3&gt;TODAY()),"",IF(AND(IK435="",IL435=""),"",N(IL435)-N(IK435)))</f>
        <v/>
      </c>
    </row>
    <row r="436">
      <c r="A436" s="21" t="n"/>
      <c r="B436" s="21" t="n"/>
      <c r="C436" s="21" t="n"/>
      <c r="D436" s="21" t="n"/>
      <c r="E436" s="21" t="n"/>
      <c r="F436" s="21" t="n"/>
      <c r="G436" s="21" t="n"/>
      <c r="H436" s="21" t="n"/>
      <c r="I436" s="22" t="n"/>
      <c r="J436" s="22" t="n"/>
      <c r="K436" s="23" t="n"/>
      <c r="L436" s="22" t="n"/>
      <c r="M436" s="22" t="n"/>
      <c r="N436" s="21" t="n"/>
      <c r="O436" s="23" t="n"/>
      <c r="P436" s="23" t="n"/>
      <c r="Q436" s="23" t="n"/>
      <c r="R436" s="23" t="n"/>
      <c r="S436" s="22" t="n"/>
      <c r="T436" s="23" t="n"/>
      <c r="U436" s="23" t="n"/>
      <c r="V436" s="24">
        <f>IF(J436&lt;&gt;"",J436,IF(I436&lt;&gt;"",I436,""))</f>
        <v/>
      </c>
      <c r="W436" s="25">
        <f>IF($E436="","",N(O436)+SUMIFS($AF436:$IN436,$AF$4:$IN$4,"SEW_ACT"))</f>
        <v/>
      </c>
      <c r="X436" s="25">
        <f>IF($E436="","",N(P436)+SUMIFS($AF436:$IN436,$AF$4:$IN$4,"WASH_ACT"))</f>
        <v/>
      </c>
      <c r="Y436" s="25">
        <f>IF($E436="","",W436-X436-N(T436)-N(U436))</f>
        <v/>
      </c>
      <c r="Z436" s="25">
        <f>IF($E436="","",IF(N(K436)-X436&lt;=0.02*N(K436),0,N(K436)-X436))</f>
        <v/>
      </c>
      <c r="AA436" s="24">
        <f>IF($E436="","",IF(S436&lt;&gt;"",S436,IF(N(O436)&gt;0,IF(L436&lt;&gt;"",L436,99999),IFERROR(1/(1/_xlfn.MINIFS($AF$3:$IN$3,$AF$4:$IN$4,"SEW_ACT",$AF436:$IN436,"&gt;0")),99999))))</f>
        <v/>
      </c>
      <c r="AB436" s="26">
        <f>IF(OR($E436="",Z436=0,V436=""),"",1+COUNTIFS(Z$8:Z$707,"&gt;0",V$8:V$707,"&lt;"&amp;V436)+COUNTIFS(Z$8:Z$707,"&gt;0",V$8:V$707,V436,AA$8:AA$707,"&lt;"&amp;AA436)+COUNTIFS(Z$8:Z$707,"&gt;0",V$8:V$707,V436,AA$8:AA$707,AA436,E$8:E$707,"&lt;"&amp;$E436))</f>
        <v/>
      </c>
      <c r="AC436" s="24">
        <f>IF(OR($E436="",Z436=0),"",IFERROR(TODAY()+ROUNDUP(Z436/(SUMIFS($AF436:$IN436,$AF$4:$IN$4,"WASH_ACT")/COUNTIFS($AF$4:$IN$4,"WASH_ACT",$AF436:$IN436,"&gt;0")),0),"no output yet"))</f>
        <v/>
      </c>
      <c r="AD436" s="26">
        <f>IF($E436="","",IFERROR(ROUND(MAX(0,SUMIFS($AF436:$IN436,$AF$4:$IN$4,"SEW_PLAN",$AF$3:$IN$3,"&lt;="&amp;TODAY())-SUMIFS($AF436:$IN436,$AF$4:$IN$4,"SEW_ACT",$AF$3:$IN$3,"&lt;="&amp;TODAY())+N(Q436))/(SUMIFS($AF436:$IN436,$AF$4:$IN$4,"SEW_PLAN")/COUNTIFS($AF$4:$IN$4,"SEW_PLAN",$AF436:$IN436,"&gt;0")),1),0))</f>
        <v/>
      </c>
      <c r="AE436" s="26">
        <f>IF($E436="","",IF(AND(Z436&gt;0,OR(AND(M436&lt;&gt;"",TODAY()&gt;M436),AND(V436&lt;&gt;"",V436-TODAY()&lt;=7))),"Yes","No"))</f>
        <v/>
      </c>
      <c r="AH436">
        <f>IF(OR(AF$3="",AF$3&gt;TODAY()),"",IF(AND(AF436="",AG436=""),"",N(AG436)-N(AF436)))</f>
        <v/>
      </c>
      <c r="AK436">
        <f>IF(OR(AF$3="",AF$3&gt;TODAY()),"",IF(AND(AI436="",AJ436=""),"",N(AJ436)-N(AI436)))</f>
        <v/>
      </c>
      <c r="AO436">
        <f>IF(OR(AM$3="",AM$3&gt;TODAY()),"",IF(AND(AM436="",AN436=""),"",N(AN436)-N(AM436)))</f>
        <v/>
      </c>
      <c r="AR436">
        <f>IF(OR(AM$3="",AM$3&gt;TODAY()),"",IF(AND(AP436="",AQ436=""),"",N(AQ436)-N(AP436)))</f>
        <v/>
      </c>
      <c r="AV436">
        <f>IF(OR(AT$3="",AT$3&gt;TODAY()),"",IF(AND(AT436="",AU436=""),"",N(AU436)-N(AT436)))</f>
        <v/>
      </c>
      <c r="AY436">
        <f>IF(OR(AT$3="",AT$3&gt;TODAY()),"",IF(AND(AW436="",AX436=""),"",N(AX436)-N(AW436)))</f>
        <v/>
      </c>
      <c r="BC436">
        <f>IF(OR(BA$3="",BA$3&gt;TODAY()),"",IF(AND(BA436="",BB436=""),"",N(BB436)-N(BA436)))</f>
        <v/>
      </c>
      <c r="BF436">
        <f>IF(OR(BA$3="",BA$3&gt;TODAY()),"",IF(AND(BD436="",BE436=""),"",N(BE436)-N(BD436)))</f>
        <v/>
      </c>
      <c r="BJ436">
        <f>IF(OR(BH$3="",BH$3&gt;TODAY()),"",IF(AND(BH436="",BI436=""),"",N(BI436)-N(BH436)))</f>
        <v/>
      </c>
      <c r="BM436">
        <f>IF(OR(BH$3="",BH$3&gt;TODAY()),"",IF(AND(BK436="",BL436=""),"",N(BL436)-N(BK436)))</f>
        <v/>
      </c>
      <c r="BQ436">
        <f>IF(OR(BO$3="",BO$3&gt;TODAY()),"",IF(AND(BO436="",BP436=""),"",N(BP436)-N(BO436)))</f>
        <v/>
      </c>
      <c r="BT436">
        <f>IF(OR(BO$3="",BO$3&gt;TODAY()),"",IF(AND(BR436="",BS436=""),"",N(BS436)-N(BR436)))</f>
        <v/>
      </c>
      <c r="BX436">
        <f>IF(OR(BV$3="",BV$3&gt;TODAY()),"",IF(AND(BV436="",BW436=""),"",N(BW436)-N(BV436)))</f>
        <v/>
      </c>
      <c r="CA436">
        <f>IF(OR(BV$3="",BV$3&gt;TODAY()),"",IF(AND(BY436="",BZ436=""),"",N(BZ436)-N(BY436)))</f>
        <v/>
      </c>
      <c r="CE436">
        <f>IF(OR(CC$3="",CC$3&gt;TODAY()),"",IF(AND(CC436="",CD436=""),"",N(CD436)-N(CC436)))</f>
        <v/>
      </c>
      <c r="CH436">
        <f>IF(OR(CC$3="",CC$3&gt;TODAY()),"",IF(AND(CF436="",CG436=""),"",N(CG436)-N(CF436)))</f>
        <v/>
      </c>
      <c r="CL436">
        <f>IF(OR(CJ$3="",CJ$3&gt;TODAY()),"",IF(AND(CJ436="",CK436=""),"",N(CK436)-N(CJ436)))</f>
        <v/>
      </c>
      <c r="CO436">
        <f>IF(OR(CJ$3="",CJ$3&gt;TODAY()),"",IF(AND(CM436="",CN436=""),"",N(CN436)-N(CM436)))</f>
        <v/>
      </c>
      <c r="CS436">
        <f>IF(OR(CQ$3="",CQ$3&gt;TODAY()),"",IF(AND(CQ436="",CR436=""),"",N(CR436)-N(CQ436)))</f>
        <v/>
      </c>
      <c r="CV436">
        <f>IF(OR(CQ$3="",CQ$3&gt;TODAY()),"",IF(AND(CT436="",CU436=""),"",N(CU436)-N(CT436)))</f>
        <v/>
      </c>
      <c r="CZ436">
        <f>IF(OR(CX$3="",CX$3&gt;TODAY()),"",IF(AND(CX436="",CY436=""),"",N(CY436)-N(CX436)))</f>
        <v/>
      </c>
      <c r="DC436">
        <f>IF(OR(CX$3="",CX$3&gt;TODAY()),"",IF(AND(DA436="",DB436=""),"",N(DB436)-N(DA436)))</f>
        <v/>
      </c>
      <c r="DG436">
        <f>IF(OR(DE$3="",DE$3&gt;TODAY()),"",IF(AND(DE436="",DF436=""),"",N(DF436)-N(DE436)))</f>
        <v/>
      </c>
      <c r="DJ436">
        <f>IF(OR(DE$3="",DE$3&gt;TODAY()),"",IF(AND(DH436="",DI436=""),"",N(DI436)-N(DH436)))</f>
        <v/>
      </c>
      <c r="DN436">
        <f>IF(OR(DL$3="",DL$3&gt;TODAY()),"",IF(AND(DL436="",DM436=""),"",N(DM436)-N(DL436)))</f>
        <v/>
      </c>
      <c r="DQ436">
        <f>IF(OR(DL$3="",DL$3&gt;TODAY()),"",IF(AND(DO436="",DP436=""),"",N(DP436)-N(DO436)))</f>
        <v/>
      </c>
      <c r="DU436">
        <f>IF(OR(DS$3="",DS$3&gt;TODAY()),"",IF(AND(DS436="",DT436=""),"",N(DT436)-N(DS436)))</f>
        <v/>
      </c>
      <c r="DX436">
        <f>IF(OR(DS$3="",DS$3&gt;TODAY()),"",IF(AND(DV436="",DW436=""),"",N(DW436)-N(DV436)))</f>
        <v/>
      </c>
      <c r="EB436">
        <f>IF(OR(DZ$3="",DZ$3&gt;TODAY()),"",IF(AND(DZ436="",EA436=""),"",N(EA436)-N(DZ436)))</f>
        <v/>
      </c>
      <c r="EE436">
        <f>IF(OR(DZ$3="",DZ$3&gt;TODAY()),"",IF(AND(EC436="",ED436=""),"",N(ED436)-N(EC436)))</f>
        <v/>
      </c>
      <c r="EI436">
        <f>IF(OR(EG$3="",EG$3&gt;TODAY()),"",IF(AND(EG436="",EH436=""),"",N(EH436)-N(EG436)))</f>
        <v/>
      </c>
      <c r="EL436">
        <f>IF(OR(EG$3="",EG$3&gt;TODAY()),"",IF(AND(EJ436="",EK436=""),"",N(EK436)-N(EJ436)))</f>
        <v/>
      </c>
      <c r="EP436">
        <f>IF(OR(EN$3="",EN$3&gt;TODAY()),"",IF(AND(EN436="",EO436=""),"",N(EO436)-N(EN436)))</f>
        <v/>
      </c>
      <c r="ES436">
        <f>IF(OR(EN$3="",EN$3&gt;TODAY()),"",IF(AND(EQ436="",ER436=""),"",N(ER436)-N(EQ436)))</f>
        <v/>
      </c>
      <c r="EW436">
        <f>IF(OR(EU$3="",EU$3&gt;TODAY()),"",IF(AND(EU436="",EV436=""),"",N(EV436)-N(EU436)))</f>
        <v/>
      </c>
      <c r="EZ436">
        <f>IF(OR(EU$3="",EU$3&gt;TODAY()),"",IF(AND(EX436="",EY436=""),"",N(EY436)-N(EX436)))</f>
        <v/>
      </c>
      <c r="FD436">
        <f>IF(OR(FB$3="",FB$3&gt;TODAY()),"",IF(AND(FB436="",FC436=""),"",N(FC436)-N(FB436)))</f>
        <v/>
      </c>
      <c r="FG436">
        <f>IF(OR(FB$3="",FB$3&gt;TODAY()),"",IF(AND(FE436="",FF436=""),"",N(FF436)-N(FE436)))</f>
        <v/>
      </c>
      <c r="FK436">
        <f>IF(OR(FI$3="",FI$3&gt;TODAY()),"",IF(AND(FI436="",FJ436=""),"",N(FJ436)-N(FI436)))</f>
        <v/>
      </c>
      <c r="FN436">
        <f>IF(OR(FI$3="",FI$3&gt;TODAY()),"",IF(AND(FL436="",FM436=""),"",N(FM436)-N(FL436)))</f>
        <v/>
      </c>
      <c r="FR436">
        <f>IF(OR(FP$3="",FP$3&gt;TODAY()),"",IF(AND(FP436="",FQ436=""),"",N(FQ436)-N(FP436)))</f>
        <v/>
      </c>
      <c r="FU436">
        <f>IF(OR(FP$3="",FP$3&gt;TODAY()),"",IF(AND(FS436="",FT436=""),"",N(FT436)-N(FS436)))</f>
        <v/>
      </c>
      <c r="FY436">
        <f>IF(OR(FW$3="",FW$3&gt;TODAY()),"",IF(AND(FW436="",FX436=""),"",N(FX436)-N(FW436)))</f>
        <v/>
      </c>
      <c r="GB436">
        <f>IF(OR(FW$3="",FW$3&gt;TODAY()),"",IF(AND(FZ436="",GA436=""),"",N(GA436)-N(FZ436)))</f>
        <v/>
      </c>
      <c r="GF436">
        <f>IF(OR(GD$3="",GD$3&gt;TODAY()),"",IF(AND(GD436="",GE436=""),"",N(GE436)-N(GD436)))</f>
        <v/>
      </c>
      <c r="GI436">
        <f>IF(OR(GD$3="",GD$3&gt;TODAY()),"",IF(AND(GG436="",GH436=""),"",N(GH436)-N(GG436)))</f>
        <v/>
      </c>
      <c r="GM436">
        <f>IF(OR(GK$3="",GK$3&gt;TODAY()),"",IF(AND(GK436="",GL436=""),"",N(GL436)-N(GK436)))</f>
        <v/>
      </c>
      <c r="GP436">
        <f>IF(OR(GK$3="",GK$3&gt;TODAY()),"",IF(AND(GN436="",GO436=""),"",N(GO436)-N(GN436)))</f>
        <v/>
      </c>
      <c r="GT436">
        <f>IF(OR(GR$3="",GR$3&gt;TODAY()),"",IF(AND(GR436="",GS436=""),"",N(GS436)-N(GR436)))</f>
        <v/>
      </c>
      <c r="GW436">
        <f>IF(OR(GR$3="",GR$3&gt;TODAY()),"",IF(AND(GU436="",GV436=""),"",N(GV436)-N(GU436)))</f>
        <v/>
      </c>
      <c r="HA436">
        <f>IF(OR(GY$3="",GY$3&gt;TODAY()),"",IF(AND(GY436="",GZ436=""),"",N(GZ436)-N(GY436)))</f>
        <v/>
      </c>
      <c r="HD436">
        <f>IF(OR(GY$3="",GY$3&gt;TODAY()),"",IF(AND(HB436="",HC436=""),"",N(HC436)-N(HB436)))</f>
        <v/>
      </c>
      <c r="HH436">
        <f>IF(OR(HF$3="",HF$3&gt;TODAY()),"",IF(AND(HF436="",HG436=""),"",N(HG436)-N(HF436)))</f>
        <v/>
      </c>
      <c r="HK436">
        <f>IF(OR(HF$3="",HF$3&gt;TODAY()),"",IF(AND(HI436="",HJ436=""),"",N(HJ436)-N(HI436)))</f>
        <v/>
      </c>
      <c r="HO436">
        <f>IF(OR(HM$3="",HM$3&gt;TODAY()),"",IF(AND(HM436="",HN436=""),"",N(HN436)-N(HM436)))</f>
        <v/>
      </c>
      <c r="HR436">
        <f>IF(OR(HM$3="",HM$3&gt;TODAY()),"",IF(AND(HP436="",HQ436=""),"",N(HQ436)-N(HP436)))</f>
        <v/>
      </c>
      <c r="HV436">
        <f>IF(OR(HT$3="",HT$3&gt;TODAY()),"",IF(AND(HT436="",HU436=""),"",N(HU436)-N(HT436)))</f>
        <v/>
      </c>
      <c r="HY436">
        <f>IF(OR(HT$3="",HT$3&gt;TODAY()),"",IF(AND(HW436="",HX436=""),"",N(HX436)-N(HW436)))</f>
        <v/>
      </c>
      <c r="IC436">
        <f>IF(OR(IA$3="",IA$3&gt;TODAY()),"",IF(AND(IA436="",IB436=""),"",N(IB436)-N(IA436)))</f>
        <v/>
      </c>
      <c r="IF436">
        <f>IF(OR(IA$3="",IA$3&gt;TODAY()),"",IF(AND(ID436="",IE436=""),"",N(IE436)-N(ID436)))</f>
        <v/>
      </c>
      <c r="IJ436">
        <f>IF(OR(IH$3="",IH$3&gt;TODAY()),"",IF(AND(IH436="",II436=""),"",N(II436)-N(IH436)))</f>
        <v/>
      </c>
      <c r="IM436">
        <f>IF(OR(IH$3="",IH$3&gt;TODAY()),"",IF(AND(IK436="",IL436=""),"",N(IL436)-N(IK436)))</f>
        <v/>
      </c>
    </row>
    <row r="437">
      <c r="A437" s="21" t="n"/>
      <c r="B437" s="21" t="n"/>
      <c r="C437" s="21" t="n"/>
      <c r="D437" s="21" t="n"/>
      <c r="E437" s="21" t="n"/>
      <c r="F437" s="21" t="n"/>
      <c r="G437" s="21" t="n"/>
      <c r="H437" s="21" t="n"/>
      <c r="I437" s="22" t="n"/>
      <c r="J437" s="22" t="n"/>
      <c r="K437" s="23" t="n"/>
      <c r="L437" s="22" t="n"/>
      <c r="M437" s="22" t="n"/>
      <c r="N437" s="21" t="n"/>
      <c r="O437" s="23" t="n"/>
      <c r="P437" s="23" t="n"/>
      <c r="Q437" s="23" t="n"/>
      <c r="R437" s="23" t="n"/>
      <c r="S437" s="22" t="n"/>
      <c r="T437" s="23" t="n"/>
      <c r="U437" s="23" t="n"/>
      <c r="V437" s="24">
        <f>IF(J437&lt;&gt;"",J437,IF(I437&lt;&gt;"",I437,""))</f>
        <v/>
      </c>
      <c r="W437" s="25">
        <f>IF($E437="","",N(O437)+SUMIFS($AF437:$IN437,$AF$4:$IN$4,"SEW_ACT"))</f>
        <v/>
      </c>
      <c r="X437" s="25">
        <f>IF($E437="","",N(P437)+SUMIFS($AF437:$IN437,$AF$4:$IN$4,"WASH_ACT"))</f>
        <v/>
      </c>
      <c r="Y437" s="25">
        <f>IF($E437="","",W437-X437-N(T437)-N(U437))</f>
        <v/>
      </c>
      <c r="Z437" s="25">
        <f>IF($E437="","",IF(N(K437)-X437&lt;=0.02*N(K437),0,N(K437)-X437))</f>
        <v/>
      </c>
      <c r="AA437" s="24">
        <f>IF($E437="","",IF(S437&lt;&gt;"",S437,IF(N(O437)&gt;0,IF(L437&lt;&gt;"",L437,99999),IFERROR(1/(1/_xlfn.MINIFS($AF$3:$IN$3,$AF$4:$IN$4,"SEW_ACT",$AF437:$IN437,"&gt;0")),99999))))</f>
        <v/>
      </c>
      <c r="AB437" s="26">
        <f>IF(OR($E437="",Z437=0,V437=""),"",1+COUNTIFS(Z$8:Z$707,"&gt;0",V$8:V$707,"&lt;"&amp;V437)+COUNTIFS(Z$8:Z$707,"&gt;0",V$8:V$707,V437,AA$8:AA$707,"&lt;"&amp;AA437)+COUNTIFS(Z$8:Z$707,"&gt;0",V$8:V$707,V437,AA$8:AA$707,AA437,E$8:E$707,"&lt;"&amp;$E437))</f>
        <v/>
      </c>
      <c r="AC437" s="24">
        <f>IF(OR($E437="",Z437=0),"",IFERROR(TODAY()+ROUNDUP(Z437/(SUMIFS($AF437:$IN437,$AF$4:$IN$4,"WASH_ACT")/COUNTIFS($AF$4:$IN$4,"WASH_ACT",$AF437:$IN437,"&gt;0")),0),"no output yet"))</f>
        <v/>
      </c>
      <c r="AD437" s="26">
        <f>IF($E437="","",IFERROR(ROUND(MAX(0,SUMIFS($AF437:$IN437,$AF$4:$IN$4,"SEW_PLAN",$AF$3:$IN$3,"&lt;="&amp;TODAY())-SUMIFS($AF437:$IN437,$AF$4:$IN$4,"SEW_ACT",$AF$3:$IN$3,"&lt;="&amp;TODAY())+N(Q437))/(SUMIFS($AF437:$IN437,$AF$4:$IN$4,"SEW_PLAN")/COUNTIFS($AF$4:$IN$4,"SEW_PLAN",$AF437:$IN437,"&gt;0")),1),0))</f>
        <v/>
      </c>
      <c r="AE437" s="26">
        <f>IF($E437="","",IF(AND(Z437&gt;0,OR(AND(M437&lt;&gt;"",TODAY()&gt;M437),AND(V437&lt;&gt;"",V437-TODAY()&lt;=7))),"Yes","No"))</f>
        <v/>
      </c>
      <c r="AH437">
        <f>IF(OR(AF$3="",AF$3&gt;TODAY()),"",IF(AND(AF437="",AG437=""),"",N(AG437)-N(AF437)))</f>
        <v/>
      </c>
      <c r="AK437">
        <f>IF(OR(AF$3="",AF$3&gt;TODAY()),"",IF(AND(AI437="",AJ437=""),"",N(AJ437)-N(AI437)))</f>
        <v/>
      </c>
      <c r="AO437">
        <f>IF(OR(AM$3="",AM$3&gt;TODAY()),"",IF(AND(AM437="",AN437=""),"",N(AN437)-N(AM437)))</f>
        <v/>
      </c>
      <c r="AR437">
        <f>IF(OR(AM$3="",AM$3&gt;TODAY()),"",IF(AND(AP437="",AQ437=""),"",N(AQ437)-N(AP437)))</f>
        <v/>
      </c>
      <c r="AV437">
        <f>IF(OR(AT$3="",AT$3&gt;TODAY()),"",IF(AND(AT437="",AU437=""),"",N(AU437)-N(AT437)))</f>
        <v/>
      </c>
      <c r="AY437">
        <f>IF(OR(AT$3="",AT$3&gt;TODAY()),"",IF(AND(AW437="",AX437=""),"",N(AX437)-N(AW437)))</f>
        <v/>
      </c>
      <c r="BC437">
        <f>IF(OR(BA$3="",BA$3&gt;TODAY()),"",IF(AND(BA437="",BB437=""),"",N(BB437)-N(BA437)))</f>
        <v/>
      </c>
      <c r="BF437">
        <f>IF(OR(BA$3="",BA$3&gt;TODAY()),"",IF(AND(BD437="",BE437=""),"",N(BE437)-N(BD437)))</f>
        <v/>
      </c>
      <c r="BJ437">
        <f>IF(OR(BH$3="",BH$3&gt;TODAY()),"",IF(AND(BH437="",BI437=""),"",N(BI437)-N(BH437)))</f>
        <v/>
      </c>
      <c r="BM437">
        <f>IF(OR(BH$3="",BH$3&gt;TODAY()),"",IF(AND(BK437="",BL437=""),"",N(BL437)-N(BK437)))</f>
        <v/>
      </c>
      <c r="BQ437">
        <f>IF(OR(BO$3="",BO$3&gt;TODAY()),"",IF(AND(BO437="",BP437=""),"",N(BP437)-N(BO437)))</f>
        <v/>
      </c>
      <c r="BT437">
        <f>IF(OR(BO$3="",BO$3&gt;TODAY()),"",IF(AND(BR437="",BS437=""),"",N(BS437)-N(BR437)))</f>
        <v/>
      </c>
      <c r="BX437">
        <f>IF(OR(BV$3="",BV$3&gt;TODAY()),"",IF(AND(BV437="",BW437=""),"",N(BW437)-N(BV437)))</f>
        <v/>
      </c>
      <c r="CA437">
        <f>IF(OR(BV$3="",BV$3&gt;TODAY()),"",IF(AND(BY437="",BZ437=""),"",N(BZ437)-N(BY437)))</f>
        <v/>
      </c>
      <c r="CE437">
        <f>IF(OR(CC$3="",CC$3&gt;TODAY()),"",IF(AND(CC437="",CD437=""),"",N(CD437)-N(CC437)))</f>
        <v/>
      </c>
      <c r="CH437">
        <f>IF(OR(CC$3="",CC$3&gt;TODAY()),"",IF(AND(CF437="",CG437=""),"",N(CG437)-N(CF437)))</f>
        <v/>
      </c>
      <c r="CL437">
        <f>IF(OR(CJ$3="",CJ$3&gt;TODAY()),"",IF(AND(CJ437="",CK437=""),"",N(CK437)-N(CJ437)))</f>
        <v/>
      </c>
      <c r="CO437">
        <f>IF(OR(CJ$3="",CJ$3&gt;TODAY()),"",IF(AND(CM437="",CN437=""),"",N(CN437)-N(CM437)))</f>
        <v/>
      </c>
      <c r="CS437">
        <f>IF(OR(CQ$3="",CQ$3&gt;TODAY()),"",IF(AND(CQ437="",CR437=""),"",N(CR437)-N(CQ437)))</f>
        <v/>
      </c>
      <c r="CV437">
        <f>IF(OR(CQ$3="",CQ$3&gt;TODAY()),"",IF(AND(CT437="",CU437=""),"",N(CU437)-N(CT437)))</f>
        <v/>
      </c>
      <c r="CZ437">
        <f>IF(OR(CX$3="",CX$3&gt;TODAY()),"",IF(AND(CX437="",CY437=""),"",N(CY437)-N(CX437)))</f>
        <v/>
      </c>
      <c r="DC437">
        <f>IF(OR(CX$3="",CX$3&gt;TODAY()),"",IF(AND(DA437="",DB437=""),"",N(DB437)-N(DA437)))</f>
        <v/>
      </c>
      <c r="DG437">
        <f>IF(OR(DE$3="",DE$3&gt;TODAY()),"",IF(AND(DE437="",DF437=""),"",N(DF437)-N(DE437)))</f>
        <v/>
      </c>
      <c r="DJ437">
        <f>IF(OR(DE$3="",DE$3&gt;TODAY()),"",IF(AND(DH437="",DI437=""),"",N(DI437)-N(DH437)))</f>
        <v/>
      </c>
      <c r="DN437">
        <f>IF(OR(DL$3="",DL$3&gt;TODAY()),"",IF(AND(DL437="",DM437=""),"",N(DM437)-N(DL437)))</f>
        <v/>
      </c>
      <c r="DQ437">
        <f>IF(OR(DL$3="",DL$3&gt;TODAY()),"",IF(AND(DO437="",DP437=""),"",N(DP437)-N(DO437)))</f>
        <v/>
      </c>
      <c r="DU437">
        <f>IF(OR(DS$3="",DS$3&gt;TODAY()),"",IF(AND(DS437="",DT437=""),"",N(DT437)-N(DS437)))</f>
        <v/>
      </c>
      <c r="DX437">
        <f>IF(OR(DS$3="",DS$3&gt;TODAY()),"",IF(AND(DV437="",DW437=""),"",N(DW437)-N(DV437)))</f>
        <v/>
      </c>
      <c r="EB437">
        <f>IF(OR(DZ$3="",DZ$3&gt;TODAY()),"",IF(AND(DZ437="",EA437=""),"",N(EA437)-N(DZ437)))</f>
        <v/>
      </c>
      <c r="EE437">
        <f>IF(OR(DZ$3="",DZ$3&gt;TODAY()),"",IF(AND(EC437="",ED437=""),"",N(ED437)-N(EC437)))</f>
        <v/>
      </c>
      <c r="EI437">
        <f>IF(OR(EG$3="",EG$3&gt;TODAY()),"",IF(AND(EG437="",EH437=""),"",N(EH437)-N(EG437)))</f>
        <v/>
      </c>
      <c r="EL437">
        <f>IF(OR(EG$3="",EG$3&gt;TODAY()),"",IF(AND(EJ437="",EK437=""),"",N(EK437)-N(EJ437)))</f>
        <v/>
      </c>
      <c r="EP437">
        <f>IF(OR(EN$3="",EN$3&gt;TODAY()),"",IF(AND(EN437="",EO437=""),"",N(EO437)-N(EN437)))</f>
        <v/>
      </c>
      <c r="ES437">
        <f>IF(OR(EN$3="",EN$3&gt;TODAY()),"",IF(AND(EQ437="",ER437=""),"",N(ER437)-N(EQ437)))</f>
        <v/>
      </c>
      <c r="EW437">
        <f>IF(OR(EU$3="",EU$3&gt;TODAY()),"",IF(AND(EU437="",EV437=""),"",N(EV437)-N(EU437)))</f>
        <v/>
      </c>
      <c r="EZ437">
        <f>IF(OR(EU$3="",EU$3&gt;TODAY()),"",IF(AND(EX437="",EY437=""),"",N(EY437)-N(EX437)))</f>
        <v/>
      </c>
      <c r="FD437">
        <f>IF(OR(FB$3="",FB$3&gt;TODAY()),"",IF(AND(FB437="",FC437=""),"",N(FC437)-N(FB437)))</f>
        <v/>
      </c>
      <c r="FG437">
        <f>IF(OR(FB$3="",FB$3&gt;TODAY()),"",IF(AND(FE437="",FF437=""),"",N(FF437)-N(FE437)))</f>
        <v/>
      </c>
      <c r="FK437">
        <f>IF(OR(FI$3="",FI$3&gt;TODAY()),"",IF(AND(FI437="",FJ437=""),"",N(FJ437)-N(FI437)))</f>
        <v/>
      </c>
      <c r="FN437">
        <f>IF(OR(FI$3="",FI$3&gt;TODAY()),"",IF(AND(FL437="",FM437=""),"",N(FM437)-N(FL437)))</f>
        <v/>
      </c>
      <c r="FR437">
        <f>IF(OR(FP$3="",FP$3&gt;TODAY()),"",IF(AND(FP437="",FQ437=""),"",N(FQ437)-N(FP437)))</f>
        <v/>
      </c>
      <c r="FU437">
        <f>IF(OR(FP$3="",FP$3&gt;TODAY()),"",IF(AND(FS437="",FT437=""),"",N(FT437)-N(FS437)))</f>
        <v/>
      </c>
      <c r="FY437">
        <f>IF(OR(FW$3="",FW$3&gt;TODAY()),"",IF(AND(FW437="",FX437=""),"",N(FX437)-N(FW437)))</f>
        <v/>
      </c>
      <c r="GB437">
        <f>IF(OR(FW$3="",FW$3&gt;TODAY()),"",IF(AND(FZ437="",GA437=""),"",N(GA437)-N(FZ437)))</f>
        <v/>
      </c>
      <c r="GF437">
        <f>IF(OR(GD$3="",GD$3&gt;TODAY()),"",IF(AND(GD437="",GE437=""),"",N(GE437)-N(GD437)))</f>
        <v/>
      </c>
      <c r="GI437">
        <f>IF(OR(GD$3="",GD$3&gt;TODAY()),"",IF(AND(GG437="",GH437=""),"",N(GH437)-N(GG437)))</f>
        <v/>
      </c>
      <c r="GM437">
        <f>IF(OR(GK$3="",GK$3&gt;TODAY()),"",IF(AND(GK437="",GL437=""),"",N(GL437)-N(GK437)))</f>
        <v/>
      </c>
      <c r="GP437">
        <f>IF(OR(GK$3="",GK$3&gt;TODAY()),"",IF(AND(GN437="",GO437=""),"",N(GO437)-N(GN437)))</f>
        <v/>
      </c>
      <c r="GT437">
        <f>IF(OR(GR$3="",GR$3&gt;TODAY()),"",IF(AND(GR437="",GS437=""),"",N(GS437)-N(GR437)))</f>
        <v/>
      </c>
      <c r="GW437">
        <f>IF(OR(GR$3="",GR$3&gt;TODAY()),"",IF(AND(GU437="",GV437=""),"",N(GV437)-N(GU437)))</f>
        <v/>
      </c>
      <c r="HA437">
        <f>IF(OR(GY$3="",GY$3&gt;TODAY()),"",IF(AND(GY437="",GZ437=""),"",N(GZ437)-N(GY437)))</f>
        <v/>
      </c>
      <c r="HD437">
        <f>IF(OR(GY$3="",GY$3&gt;TODAY()),"",IF(AND(HB437="",HC437=""),"",N(HC437)-N(HB437)))</f>
        <v/>
      </c>
      <c r="HH437">
        <f>IF(OR(HF$3="",HF$3&gt;TODAY()),"",IF(AND(HF437="",HG437=""),"",N(HG437)-N(HF437)))</f>
        <v/>
      </c>
      <c r="HK437">
        <f>IF(OR(HF$3="",HF$3&gt;TODAY()),"",IF(AND(HI437="",HJ437=""),"",N(HJ437)-N(HI437)))</f>
        <v/>
      </c>
      <c r="HO437">
        <f>IF(OR(HM$3="",HM$3&gt;TODAY()),"",IF(AND(HM437="",HN437=""),"",N(HN437)-N(HM437)))</f>
        <v/>
      </c>
      <c r="HR437">
        <f>IF(OR(HM$3="",HM$3&gt;TODAY()),"",IF(AND(HP437="",HQ437=""),"",N(HQ437)-N(HP437)))</f>
        <v/>
      </c>
      <c r="HV437">
        <f>IF(OR(HT$3="",HT$3&gt;TODAY()),"",IF(AND(HT437="",HU437=""),"",N(HU437)-N(HT437)))</f>
        <v/>
      </c>
      <c r="HY437">
        <f>IF(OR(HT$3="",HT$3&gt;TODAY()),"",IF(AND(HW437="",HX437=""),"",N(HX437)-N(HW437)))</f>
        <v/>
      </c>
      <c r="IC437">
        <f>IF(OR(IA$3="",IA$3&gt;TODAY()),"",IF(AND(IA437="",IB437=""),"",N(IB437)-N(IA437)))</f>
        <v/>
      </c>
      <c r="IF437">
        <f>IF(OR(IA$3="",IA$3&gt;TODAY()),"",IF(AND(ID437="",IE437=""),"",N(IE437)-N(ID437)))</f>
        <v/>
      </c>
      <c r="IJ437">
        <f>IF(OR(IH$3="",IH$3&gt;TODAY()),"",IF(AND(IH437="",II437=""),"",N(II437)-N(IH437)))</f>
        <v/>
      </c>
      <c r="IM437">
        <f>IF(OR(IH$3="",IH$3&gt;TODAY()),"",IF(AND(IK437="",IL437=""),"",N(IL437)-N(IK437)))</f>
        <v/>
      </c>
    </row>
    <row r="438">
      <c r="A438" s="21" t="n"/>
      <c r="B438" s="21" t="n"/>
      <c r="C438" s="21" t="n"/>
      <c r="D438" s="21" t="n"/>
      <c r="E438" s="21" t="n"/>
      <c r="F438" s="21" t="n"/>
      <c r="G438" s="21" t="n"/>
      <c r="H438" s="21" t="n"/>
      <c r="I438" s="22" t="n"/>
      <c r="J438" s="22" t="n"/>
      <c r="K438" s="23" t="n"/>
      <c r="L438" s="22" t="n"/>
      <c r="M438" s="22" t="n"/>
      <c r="N438" s="21" t="n"/>
      <c r="O438" s="23" t="n"/>
      <c r="P438" s="23" t="n"/>
      <c r="Q438" s="23" t="n"/>
      <c r="R438" s="23" t="n"/>
      <c r="S438" s="22" t="n"/>
      <c r="T438" s="23" t="n"/>
      <c r="U438" s="23" t="n"/>
      <c r="V438" s="24">
        <f>IF(J438&lt;&gt;"",J438,IF(I438&lt;&gt;"",I438,""))</f>
        <v/>
      </c>
      <c r="W438" s="25">
        <f>IF($E438="","",N(O438)+SUMIFS($AF438:$IN438,$AF$4:$IN$4,"SEW_ACT"))</f>
        <v/>
      </c>
      <c r="X438" s="25">
        <f>IF($E438="","",N(P438)+SUMIFS($AF438:$IN438,$AF$4:$IN$4,"WASH_ACT"))</f>
        <v/>
      </c>
      <c r="Y438" s="25">
        <f>IF($E438="","",W438-X438-N(T438)-N(U438))</f>
        <v/>
      </c>
      <c r="Z438" s="25">
        <f>IF($E438="","",IF(N(K438)-X438&lt;=0.02*N(K438),0,N(K438)-X438))</f>
        <v/>
      </c>
      <c r="AA438" s="24">
        <f>IF($E438="","",IF(S438&lt;&gt;"",S438,IF(N(O438)&gt;0,IF(L438&lt;&gt;"",L438,99999),IFERROR(1/(1/_xlfn.MINIFS($AF$3:$IN$3,$AF$4:$IN$4,"SEW_ACT",$AF438:$IN438,"&gt;0")),99999))))</f>
        <v/>
      </c>
      <c r="AB438" s="26">
        <f>IF(OR($E438="",Z438=0,V438=""),"",1+COUNTIFS(Z$8:Z$707,"&gt;0",V$8:V$707,"&lt;"&amp;V438)+COUNTIFS(Z$8:Z$707,"&gt;0",V$8:V$707,V438,AA$8:AA$707,"&lt;"&amp;AA438)+COUNTIFS(Z$8:Z$707,"&gt;0",V$8:V$707,V438,AA$8:AA$707,AA438,E$8:E$707,"&lt;"&amp;$E438))</f>
        <v/>
      </c>
      <c r="AC438" s="24">
        <f>IF(OR($E438="",Z438=0),"",IFERROR(TODAY()+ROUNDUP(Z438/(SUMIFS($AF438:$IN438,$AF$4:$IN$4,"WASH_ACT")/COUNTIFS($AF$4:$IN$4,"WASH_ACT",$AF438:$IN438,"&gt;0")),0),"no output yet"))</f>
        <v/>
      </c>
      <c r="AD438" s="26">
        <f>IF($E438="","",IFERROR(ROUND(MAX(0,SUMIFS($AF438:$IN438,$AF$4:$IN$4,"SEW_PLAN",$AF$3:$IN$3,"&lt;="&amp;TODAY())-SUMIFS($AF438:$IN438,$AF$4:$IN$4,"SEW_ACT",$AF$3:$IN$3,"&lt;="&amp;TODAY())+N(Q438))/(SUMIFS($AF438:$IN438,$AF$4:$IN$4,"SEW_PLAN")/COUNTIFS($AF$4:$IN$4,"SEW_PLAN",$AF438:$IN438,"&gt;0")),1),0))</f>
        <v/>
      </c>
      <c r="AE438" s="26">
        <f>IF($E438="","",IF(AND(Z438&gt;0,OR(AND(M438&lt;&gt;"",TODAY()&gt;M438),AND(V438&lt;&gt;"",V438-TODAY()&lt;=7))),"Yes","No"))</f>
        <v/>
      </c>
      <c r="AH438">
        <f>IF(OR(AF$3="",AF$3&gt;TODAY()),"",IF(AND(AF438="",AG438=""),"",N(AG438)-N(AF438)))</f>
        <v/>
      </c>
      <c r="AK438">
        <f>IF(OR(AF$3="",AF$3&gt;TODAY()),"",IF(AND(AI438="",AJ438=""),"",N(AJ438)-N(AI438)))</f>
        <v/>
      </c>
      <c r="AO438">
        <f>IF(OR(AM$3="",AM$3&gt;TODAY()),"",IF(AND(AM438="",AN438=""),"",N(AN438)-N(AM438)))</f>
        <v/>
      </c>
      <c r="AR438">
        <f>IF(OR(AM$3="",AM$3&gt;TODAY()),"",IF(AND(AP438="",AQ438=""),"",N(AQ438)-N(AP438)))</f>
        <v/>
      </c>
      <c r="AV438">
        <f>IF(OR(AT$3="",AT$3&gt;TODAY()),"",IF(AND(AT438="",AU438=""),"",N(AU438)-N(AT438)))</f>
        <v/>
      </c>
      <c r="AY438">
        <f>IF(OR(AT$3="",AT$3&gt;TODAY()),"",IF(AND(AW438="",AX438=""),"",N(AX438)-N(AW438)))</f>
        <v/>
      </c>
      <c r="BC438">
        <f>IF(OR(BA$3="",BA$3&gt;TODAY()),"",IF(AND(BA438="",BB438=""),"",N(BB438)-N(BA438)))</f>
        <v/>
      </c>
      <c r="BF438">
        <f>IF(OR(BA$3="",BA$3&gt;TODAY()),"",IF(AND(BD438="",BE438=""),"",N(BE438)-N(BD438)))</f>
        <v/>
      </c>
      <c r="BJ438">
        <f>IF(OR(BH$3="",BH$3&gt;TODAY()),"",IF(AND(BH438="",BI438=""),"",N(BI438)-N(BH438)))</f>
        <v/>
      </c>
      <c r="BM438">
        <f>IF(OR(BH$3="",BH$3&gt;TODAY()),"",IF(AND(BK438="",BL438=""),"",N(BL438)-N(BK438)))</f>
        <v/>
      </c>
      <c r="BQ438">
        <f>IF(OR(BO$3="",BO$3&gt;TODAY()),"",IF(AND(BO438="",BP438=""),"",N(BP438)-N(BO438)))</f>
        <v/>
      </c>
      <c r="BT438">
        <f>IF(OR(BO$3="",BO$3&gt;TODAY()),"",IF(AND(BR438="",BS438=""),"",N(BS438)-N(BR438)))</f>
        <v/>
      </c>
      <c r="BX438">
        <f>IF(OR(BV$3="",BV$3&gt;TODAY()),"",IF(AND(BV438="",BW438=""),"",N(BW438)-N(BV438)))</f>
        <v/>
      </c>
      <c r="CA438">
        <f>IF(OR(BV$3="",BV$3&gt;TODAY()),"",IF(AND(BY438="",BZ438=""),"",N(BZ438)-N(BY438)))</f>
        <v/>
      </c>
      <c r="CE438">
        <f>IF(OR(CC$3="",CC$3&gt;TODAY()),"",IF(AND(CC438="",CD438=""),"",N(CD438)-N(CC438)))</f>
        <v/>
      </c>
      <c r="CH438">
        <f>IF(OR(CC$3="",CC$3&gt;TODAY()),"",IF(AND(CF438="",CG438=""),"",N(CG438)-N(CF438)))</f>
        <v/>
      </c>
      <c r="CL438">
        <f>IF(OR(CJ$3="",CJ$3&gt;TODAY()),"",IF(AND(CJ438="",CK438=""),"",N(CK438)-N(CJ438)))</f>
        <v/>
      </c>
      <c r="CO438">
        <f>IF(OR(CJ$3="",CJ$3&gt;TODAY()),"",IF(AND(CM438="",CN438=""),"",N(CN438)-N(CM438)))</f>
        <v/>
      </c>
      <c r="CS438">
        <f>IF(OR(CQ$3="",CQ$3&gt;TODAY()),"",IF(AND(CQ438="",CR438=""),"",N(CR438)-N(CQ438)))</f>
        <v/>
      </c>
      <c r="CV438">
        <f>IF(OR(CQ$3="",CQ$3&gt;TODAY()),"",IF(AND(CT438="",CU438=""),"",N(CU438)-N(CT438)))</f>
        <v/>
      </c>
      <c r="CZ438">
        <f>IF(OR(CX$3="",CX$3&gt;TODAY()),"",IF(AND(CX438="",CY438=""),"",N(CY438)-N(CX438)))</f>
        <v/>
      </c>
      <c r="DC438">
        <f>IF(OR(CX$3="",CX$3&gt;TODAY()),"",IF(AND(DA438="",DB438=""),"",N(DB438)-N(DA438)))</f>
        <v/>
      </c>
      <c r="DG438">
        <f>IF(OR(DE$3="",DE$3&gt;TODAY()),"",IF(AND(DE438="",DF438=""),"",N(DF438)-N(DE438)))</f>
        <v/>
      </c>
      <c r="DJ438">
        <f>IF(OR(DE$3="",DE$3&gt;TODAY()),"",IF(AND(DH438="",DI438=""),"",N(DI438)-N(DH438)))</f>
        <v/>
      </c>
      <c r="DN438">
        <f>IF(OR(DL$3="",DL$3&gt;TODAY()),"",IF(AND(DL438="",DM438=""),"",N(DM438)-N(DL438)))</f>
        <v/>
      </c>
      <c r="DQ438">
        <f>IF(OR(DL$3="",DL$3&gt;TODAY()),"",IF(AND(DO438="",DP438=""),"",N(DP438)-N(DO438)))</f>
        <v/>
      </c>
      <c r="DU438">
        <f>IF(OR(DS$3="",DS$3&gt;TODAY()),"",IF(AND(DS438="",DT438=""),"",N(DT438)-N(DS438)))</f>
        <v/>
      </c>
      <c r="DX438">
        <f>IF(OR(DS$3="",DS$3&gt;TODAY()),"",IF(AND(DV438="",DW438=""),"",N(DW438)-N(DV438)))</f>
        <v/>
      </c>
      <c r="EB438">
        <f>IF(OR(DZ$3="",DZ$3&gt;TODAY()),"",IF(AND(DZ438="",EA438=""),"",N(EA438)-N(DZ438)))</f>
        <v/>
      </c>
      <c r="EE438">
        <f>IF(OR(DZ$3="",DZ$3&gt;TODAY()),"",IF(AND(EC438="",ED438=""),"",N(ED438)-N(EC438)))</f>
        <v/>
      </c>
      <c r="EI438">
        <f>IF(OR(EG$3="",EG$3&gt;TODAY()),"",IF(AND(EG438="",EH438=""),"",N(EH438)-N(EG438)))</f>
        <v/>
      </c>
      <c r="EL438">
        <f>IF(OR(EG$3="",EG$3&gt;TODAY()),"",IF(AND(EJ438="",EK438=""),"",N(EK438)-N(EJ438)))</f>
        <v/>
      </c>
      <c r="EP438">
        <f>IF(OR(EN$3="",EN$3&gt;TODAY()),"",IF(AND(EN438="",EO438=""),"",N(EO438)-N(EN438)))</f>
        <v/>
      </c>
      <c r="ES438">
        <f>IF(OR(EN$3="",EN$3&gt;TODAY()),"",IF(AND(EQ438="",ER438=""),"",N(ER438)-N(EQ438)))</f>
        <v/>
      </c>
      <c r="EW438">
        <f>IF(OR(EU$3="",EU$3&gt;TODAY()),"",IF(AND(EU438="",EV438=""),"",N(EV438)-N(EU438)))</f>
        <v/>
      </c>
      <c r="EZ438">
        <f>IF(OR(EU$3="",EU$3&gt;TODAY()),"",IF(AND(EX438="",EY438=""),"",N(EY438)-N(EX438)))</f>
        <v/>
      </c>
      <c r="FD438">
        <f>IF(OR(FB$3="",FB$3&gt;TODAY()),"",IF(AND(FB438="",FC438=""),"",N(FC438)-N(FB438)))</f>
        <v/>
      </c>
      <c r="FG438">
        <f>IF(OR(FB$3="",FB$3&gt;TODAY()),"",IF(AND(FE438="",FF438=""),"",N(FF438)-N(FE438)))</f>
        <v/>
      </c>
      <c r="FK438">
        <f>IF(OR(FI$3="",FI$3&gt;TODAY()),"",IF(AND(FI438="",FJ438=""),"",N(FJ438)-N(FI438)))</f>
        <v/>
      </c>
      <c r="FN438">
        <f>IF(OR(FI$3="",FI$3&gt;TODAY()),"",IF(AND(FL438="",FM438=""),"",N(FM438)-N(FL438)))</f>
        <v/>
      </c>
      <c r="FR438">
        <f>IF(OR(FP$3="",FP$3&gt;TODAY()),"",IF(AND(FP438="",FQ438=""),"",N(FQ438)-N(FP438)))</f>
        <v/>
      </c>
      <c r="FU438">
        <f>IF(OR(FP$3="",FP$3&gt;TODAY()),"",IF(AND(FS438="",FT438=""),"",N(FT438)-N(FS438)))</f>
        <v/>
      </c>
      <c r="FY438">
        <f>IF(OR(FW$3="",FW$3&gt;TODAY()),"",IF(AND(FW438="",FX438=""),"",N(FX438)-N(FW438)))</f>
        <v/>
      </c>
      <c r="GB438">
        <f>IF(OR(FW$3="",FW$3&gt;TODAY()),"",IF(AND(FZ438="",GA438=""),"",N(GA438)-N(FZ438)))</f>
        <v/>
      </c>
      <c r="GF438">
        <f>IF(OR(GD$3="",GD$3&gt;TODAY()),"",IF(AND(GD438="",GE438=""),"",N(GE438)-N(GD438)))</f>
        <v/>
      </c>
      <c r="GI438">
        <f>IF(OR(GD$3="",GD$3&gt;TODAY()),"",IF(AND(GG438="",GH438=""),"",N(GH438)-N(GG438)))</f>
        <v/>
      </c>
      <c r="GM438">
        <f>IF(OR(GK$3="",GK$3&gt;TODAY()),"",IF(AND(GK438="",GL438=""),"",N(GL438)-N(GK438)))</f>
        <v/>
      </c>
      <c r="GP438">
        <f>IF(OR(GK$3="",GK$3&gt;TODAY()),"",IF(AND(GN438="",GO438=""),"",N(GO438)-N(GN438)))</f>
        <v/>
      </c>
      <c r="GT438">
        <f>IF(OR(GR$3="",GR$3&gt;TODAY()),"",IF(AND(GR438="",GS438=""),"",N(GS438)-N(GR438)))</f>
        <v/>
      </c>
      <c r="GW438">
        <f>IF(OR(GR$3="",GR$3&gt;TODAY()),"",IF(AND(GU438="",GV438=""),"",N(GV438)-N(GU438)))</f>
        <v/>
      </c>
      <c r="HA438">
        <f>IF(OR(GY$3="",GY$3&gt;TODAY()),"",IF(AND(GY438="",GZ438=""),"",N(GZ438)-N(GY438)))</f>
        <v/>
      </c>
      <c r="HD438">
        <f>IF(OR(GY$3="",GY$3&gt;TODAY()),"",IF(AND(HB438="",HC438=""),"",N(HC438)-N(HB438)))</f>
        <v/>
      </c>
      <c r="HH438">
        <f>IF(OR(HF$3="",HF$3&gt;TODAY()),"",IF(AND(HF438="",HG438=""),"",N(HG438)-N(HF438)))</f>
        <v/>
      </c>
      <c r="HK438">
        <f>IF(OR(HF$3="",HF$3&gt;TODAY()),"",IF(AND(HI438="",HJ438=""),"",N(HJ438)-N(HI438)))</f>
        <v/>
      </c>
      <c r="HO438">
        <f>IF(OR(HM$3="",HM$3&gt;TODAY()),"",IF(AND(HM438="",HN438=""),"",N(HN438)-N(HM438)))</f>
        <v/>
      </c>
      <c r="HR438">
        <f>IF(OR(HM$3="",HM$3&gt;TODAY()),"",IF(AND(HP438="",HQ438=""),"",N(HQ438)-N(HP438)))</f>
        <v/>
      </c>
      <c r="HV438">
        <f>IF(OR(HT$3="",HT$3&gt;TODAY()),"",IF(AND(HT438="",HU438=""),"",N(HU438)-N(HT438)))</f>
        <v/>
      </c>
      <c r="HY438">
        <f>IF(OR(HT$3="",HT$3&gt;TODAY()),"",IF(AND(HW438="",HX438=""),"",N(HX438)-N(HW438)))</f>
        <v/>
      </c>
      <c r="IC438">
        <f>IF(OR(IA$3="",IA$3&gt;TODAY()),"",IF(AND(IA438="",IB438=""),"",N(IB438)-N(IA438)))</f>
        <v/>
      </c>
      <c r="IF438">
        <f>IF(OR(IA$3="",IA$3&gt;TODAY()),"",IF(AND(ID438="",IE438=""),"",N(IE438)-N(ID438)))</f>
        <v/>
      </c>
      <c r="IJ438">
        <f>IF(OR(IH$3="",IH$3&gt;TODAY()),"",IF(AND(IH438="",II438=""),"",N(II438)-N(IH438)))</f>
        <v/>
      </c>
      <c r="IM438">
        <f>IF(OR(IH$3="",IH$3&gt;TODAY()),"",IF(AND(IK438="",IL438=""),"",N(IL438)-N(IK438)))</f>
        <v/>
      </c>
    </row>
    <row r="439">
      <c r="A439" s="21" t="n"/>
      <c r="B439" s="21" t="n"/>
      <c r="C439" s="21" t="n"/>
      <c r="D439" s="21" t="n"/>
      <c r="E439" s="21" t="n"/>
      <c r="F439" s="21" t="n"/>
      <c r="G439" s="21" t="n"/>
      <c r="H439" s="21" t="n"/>
      <c r="I439" s="22" t="n"/>
      <c r="J439" s="22" t="n"/>
      <c r="K439" s="23" t="n"/>
      <c r="L439" s="22" t="n"/>
      <c r="M439" s="22" t="n"/>
      <c r="N439" s="21" t="n"/>
      <c r="O439" s="23" t="n"/>
      <c r="P439" s="23" t="n"/>
      <c r="Q439" s="23" t="n"/>
      <c r="R439" s="23" t="n"/>
      <c r="S439" s="22" t="n"/>
      <c r="T439" s="23" t="n"/>
      <c r="U439" s="23" t="n"/>
      <c r="V439" s="24">
        <f>IF(J439&lt;&gt;"",J439,IF(I439&lt;&gt;"",I439,""))</f>
        <v/>
      </c>
      <c r="W439" s="25">
        <f>IF($E439="","",N(O439)+SUMIFS($AF439:$IN439,$AF$4:$IN$4,"SEW_ACT"))</f>
        <v/>
      </c>
      <c r="X439" s="25">
        <f>IF($E439="","",N(P439)+SUMIFS($AF439:$IN439,$AF$4:$IN$4,"WASH_ACT"))</f>
        <v/>
      </c>
      <c r="Y439" s="25">
        <f>IF($E439="","",W439-X439-N(T439)-N(U439))</f>
        <v/>
      </c>
      <c r="Z439" s="25">
        <f>IF($E439="","",IF(N(K439)-X439&lt;=0.02*N(K439),0,N(K439)-X439))</f>
        <v/>
      </c>
      <c r="AA439" s="24">
        <f>IF($E439="","",IF(S439&lt;&gt;"",S439,IF(N(O439)&gt;0,IF(L439&lt;&gt;"",L439,99999),IFERROR(1/(1/_xlfn.MINIFS($AF$3:$IN$3,$AF$4:$IN$4,"SEW_ACT",$AF439:$IN439,"&gt;0")),99999))))</f>
        <v/>
      </c>
      <c r="AB439" s="26">
        <f>IF(OR($E439="",Z439=0,V439=""),"",1+COUNTIFS(Z$8:Z$707,"&gt;0",V$8:V$707,"&lt;"&amp;V439)+COUNTIFS(Z$8:Z$707,"&gt;0",V$8:V$707,V439,AA$8:AA$707,"&lt;"&amp;AA439)+COUNTIFS(Z$8:Z$707,"&gt;0",V$8:V$707,V439,AA$8:AA$707,AA439,E$8:E$707,"&lt;"&amp;$E439))</f>
        <v/>
      </c>
      <c r="AC439" s="24">
        <f>IF(OR($E439="",Z439=0),"",IFERROR(TODAY()+ROUNDUP(Z439/(SUMIFS($AF439:$IN439,$AF$4:$IN$4,"WASH_ACT")/COUNTIFS($AF$4:$IN$4,"WASH_ACT",$AF439:$IN439,"&gt;0")),0),"no output yet"))</f>
        <v/>
      </c>
      <c r="AD439" s="26">
        <f>IF($E439="","",IFERROR(ROUND(MAX(0,SUMIFS($AF439:$IN439,$AF$4:$IN$4,"SEW_PLAN",$AF$3:$IN$3,"&lt;="&amp;TODAY())-SUMIFS($AF439:$IN439,$AF$4:$IN$4,"SEW_ACT",$AF$3:$IN$3,"&lt;="&amp;TODAY())+N(Q439))/(SUMIFS($AF439:$IN439,$AF$4:$IN$4,"SEW_PLAN")/COUNTIFS($AF$4:$IN$4,"SEW_PLAN",$AF439:$IN439,"&gt;0")),1),0))</f>
        <v/>
      </c>
      <c r="AE439" s="26">
        <f>IF($E439="","",IF(AND(Z439&gt;0,OR(AND(M439&lt;&gt;"",TODAY()&gt;M439),AND(V439&lt;&gt;"",V439-TODAY()&lt;=7))),"Yes","No"))</f>
        <v/>
      </c>
      <c r="AH439">
        <f>IF(OR(AF$3="",AF$3&gt;TODAY()),"",IF(AND(AF439="",AG439=""),"",N(AG439)-N(AF439)))</f>
        <v/>
      </c>
      <c r="AK439">
        <f>IF(OR(AF$3="",AF$3&gt;TODAY()),"",IF(AND(AI439="",AJ439=""),"",N(AJ439)-N(AI439)))</f>
        <v/>
      </c>
      <c r="AO439">
        <f>IF(OR(AM$3="",AM$3&gt;TODAY()),"",IF(AND(AM439="",AN439=""),"",N(AN439)-N(AM439)))</f>
        <v/>
      </c>
      <c r="AR439">
        <f>IF(OR(AM$3="",AM$3&gt;TODAY()),"",IF(AND(AP439="",AQ439=""),"",N(AQ439)-N(AP439)))</f>
        <v/>
      </c>
      <c r="AV439">
        <f>IF(OR(AT$3="",AT$3&gt;TODAY()),"",IF(AND(AT439="",AU439=""),"",N(AU439)-N(AT439)))</f>
        <v/>
      </c>
      <c r="AY439">
        <f>IF(OR(AT$3="",AT$3&gt;TODAY()),"",IF(AND(AW439="",AX439=""),"",N(AX439)-N(AW439)))</f>
        <v/>
      </c>
      <c r="BC439">
        <f>IF(OR(BA$3="",BA$3&gt;TODAY()),"",IF(AND(BA439="",BB439=""),"",N(BB439)-N(BA439)))</f>
        <v/>
      </c>
      <c r="BF439">
        <f>IF(OR(BA$3="",BA$3&gt;TODAY()),"",IF(AND(BD439="",BE439=""),"",N(BE439)-N(BD439)))</f>
        <v/>
      </c>
      <c r="BJ439">
        <f>IF(OR(BH$3="",BH$3&gt;TODAY()),"",IF(AND(BH439="",BI439=""),"",N(BI439)-N(BH439)))</f>
        <v/>
      </c>
      <c r="BM439">
        <f>IF(OR(BH$3="",BH$3&gt;TODAY()),"",IF(AND(BK439="",BL439=""),"",N(BL439)-N(BK439)))</f>
        <v/>
      </c>
      <c r="BQ439">
        <f>IF(OR(BO$3="",BO$3&gt;TODAY()),"",IF(AND(BO439="",BP439=""),"",N(BP439)-N(BO439)))</f>
        <v/>
      </c>
      <c r="BT439">
        <f>IF(OR(BO$3="",BO$3&gt;TODAY()),"",IF(AND(BR439="",BS439=""),"",N(BS439)-N(BR439)))</f>
        <v/>
      </c>
      <c r="BX439">
        <f>IF(OR(BV$3="",BV$3&gt;TODAY()),"",IF(AND(BV439="",BW439=""),"",N(BW439)-N(BV439)))</f>
        <v/>
      </c>
      <c r="CA439">
        <f>IF(OR(BV$3="",BV$3&gt;TODAY()),"",IF(AND(BY439="",BZ439=""),"",N(BZ439)-N(BY439)))</f>
        <v/>
      </c>
      <c r="CE439">
        <f>IF(OR(CC$3="",CC$3&gt;TODAY()),"",IF(AND(CC439="",CD439=""),"",N(CD439)-N(CC439)))</f>
        <v/>
      </c>
      <c r="CH439">
        <f>IF(OR(CC$3="",CC$3&gt;TODAY()),"",IF(AND(CF439="",CG439=""),"",N(CG439)-N(CF439)))</f>
        <v/>
      </c>
      <c r="CL439">
        <f>IF(OR(CJ$3="",CJ$3&gt;TODAY()),"",IF(AND(CJ439="",CK439=""),"",N(CK439)-N(CJ439)))</f>
        <v/>
      </c>
      <c r="CO439">
        <f>IF(OR(CJ$3="",CJ$3&gt;TODAY()),"",IF(AND(CM439="",CN439=""),"",N(CN439)-N(CM439)))</f>
        <v/>
      </c>
      <c r="CS439">
        <f>IF(OR(CQ$3="",CQ$3&gt;TODAY()),"",IF(AND(CQ439="",CR439=""),"",N(CR439)-N(CQ439)))</f>
        <v/>
      </c>
      <c r="CV439">
        <f>IF(OR(CQ$3="",CQ$3&gt;TODAY()),"",IF(AND(CT439="",CU439=""),"",N(CU439)-N(CT439)))</f>
        <v/>
      </c>
      <c r="CZ439">
        <f>IF(OR(CX$3="",CX$3&gt;TODAY()),"",IF(AND(CX439="",CY439=""),"",N(CY439)-N(CX439)))</f>
        <v/>
      </c>
      <c r="DC439">
        <f>IF(OR(CX$3="",CX$3&gt;TODAY()),"",IF(AND(DA439="",DB439=""),"",N(DB439)-N(DA439)))</f>
        <v/>
      </c>
      <c r="DG439">
        <f>IF(OR(DE$3="",DE$3&gt;TODAY()),"",IF(AND(DE439="",DF439=""),"",N(DF439)-N(DE439)))</f>
        <v/>
      </c>
      <c r="DJ439">
        <f>IF(OR(DE$3="",DE$3&gt;TODAY()),"",IF(AND(DH439="",DI439=""),"",N(DI439)-N(DH439)))</f>
        <v/>
      </c>
      <c r="DN439">
        <f>IF(OR(DL$3="",DL$3&gt;TODAY()),"",IF(AND(DL439="",DM439=""),"",N(DM439)-N(DL439)))</f>
        <v/>
      </c>
      <c r="DQ439">
        <f>IF(OR(DL$3="",DL$3&gt;TODAY()),"",IF(AND(DO439="",DP439=""),"",N(DP439)-N(DO439)))</f>
        <v/>
      </c>
      <c r="DU439">
        <f>IF(OR(DS$3="",DS$3&gt;TODAY()),"",IF(AND(DS439="",DT439=""),"",N(DT439)-N(DS439)))</f>
        <v/>
      </c>
      <c r="DX439">
        <f>IF(OR(DS$3="",DS$3&gt;TODAY()),"",IF(AND(DV439="",DW439=""),"",N(DW439)-N(DV439)))</f>
        <v/>
      </c>
      <c r="EB439">
        <f>IF(OR(DZ$3="",DZ$3&gt;TODAY()),"",IF(AND(DZ439="",EA439=""),"",N(EA439)-N(DZ439)))</f>
        <v/>
      </c>
      <c r="EE439">
        <f>IF(OR(DZ$3="",DZ$3&gt;TODAY()),"",IF(AND(EC439="",ED439=""),"",N(ED439)-N(EC439)))</f>
        <v/>
      </c>
      <c r="EI439">
        <f>IF(OR(EG$3="",EG$3&gt;TODAY()),"",IF(AND(EG439="",EH439=""),"",N(EH439)-N(EG439)))</f>
        <v/>
      </c>
      <c r="EL439">
        <f>IF(OR(EG$3="",EG$3&gt;TODAY()),"",IF(AND(EJ439="",EK439=""),"",N(EK439)-N(EJ439)))</f>
        <v/>
      </c>
      <c r="EP439">
        <f>IF(OR(EN$3="",EN$3&gt;TODAY()),"",IF(AND(EN439="",EO439=""),"",N(EO439)-N(EN439)))</f>
        <v/>
      </c>
      <c r="ES439">
        <f>IF(OR(EN$3="",EN$3&gt;TODAY()),"",IF(AND(EQ439="",ER439=""),"",N(ER439)-N(EQ439)))</f>
        <v/>
      </c>
      <c r="EW439">
        <f>IF(OR(EU$3="",EU$3&gt;TODAY()),"",IF(AND(EU439="",EV439=""),"",N(EV439)-N(EU439)))</f>
        <v/>
      </c>
      <c r="EZ439">
        <f>IF(OR(EU$3="",EU$3&gt;TODAY()),"",IF(AND(EX439="",EY439=""),"",N(EY439)-N(EX439)))</f>
        <v/>
      </c>
      <c r="FD439">
        <f>IF(OR(FB$3="",FB$3&gt;TODAY()),"",IF(AND(FB439="",FC439=""),"",N(FC439)-N(FB439)))</f>
        <v/>
      </c>
      <c r="FG439">
        <f>IF(OR(FB$3="",FB$3&gt;TODAY()),"",IF(AND(FE439="",FF439=""),"",N(FF439)-N(FE439)))</f>
        <v/>
      </c>
      <c r="FK439">
        <f>IF(OR(FI$3="",FI$3&gt;TODAY()),"",IF(AND(FI439="",FJ439=""),"",N(FJ439)-N(FI439)))</f>
        <v/>
      </c>
      <c r="FN439">
        <f>IF(OR(FI$3="",FI$3&gt;TODAY()),"",IF(AND(FL439="",FM439=""),"",N(FM439)-N(FL439)))</f>
        <v/>
      </c>
      <c r="FR439">
        <f>IF(OR(FP$3="",FP$3&gt;TODAY()),"",IF(AND(FP439="",FQ439=""),"",N(FQ439)-N(FP439)))</f>
        <v/>
      </c>
      <c r="FU439">
        <f>IF(OR(FP$3="",FP$3&gt;TODAY()),"",IF(AND(FS439="",FT439=""),"",N(FT439)-N(FS439)))</f>
        <v/>
      </c>
      <c r="FY439">
        <f>IF(OR(FW$3="",FW$3&gt;TODAY()),"",IF(AND(FW439="",FX439=""),"",N(FX439)-N(FW439)))</f>
        <v/>
      </c>
      <c r="GB439">
        <f>IF(OR(FW$3="",FW$3&gt;TODAY()),"",IF(AND(FZ439="",GA439=""),"",N(GA439)-N(FZ439)))</f>
        <v/>
      </c>
      <c r="GF439">
        <f>IF(OR(GD$3="",GD$3&gt;TODAY()),"",IF(AND(GD439="",GE439=""),"",N(GE439)-N(GD439)))</f>
        <v/>
      </c>
      <c r="GI439">
        <f>IF(OR(GD$3="",GD$3&gt;TODAY()),"",IF(AND(GG439="",GH439=""),"",N(GH439)-N(GG439)))</f>
        <v/>
      </c>
      <c r="GM439">
        <f>IF(OR(GK$3="",GK$3&gt;TODAY()),"",IF(AND(GK439="",GL439=""),"",N(GL439)-N(GK439)))</f>
        <v/>
      </c>
      <c r="GP439">
        <f>IF(OR(GK$3="",GK$3&gt;TODAY()),"",IF(AND(GN439="",GO439=""),"",N(GO439)-N(GN439)))</f>
        <v/>
      </c>
      <c r="GT439">
        <f>IF(OR(GR$3="",GR$3&gt;TODAY()),"",IF(AND(GR439="",GS439=""),"",N(GS439)-N(GR439)))</f>
        <v/>
      </c>
      <c r="GW439">
        <f>IF(OR(GR$3="",GR$3&gt;TODAY()),"",IF(AND(GU439="",GV439=""),"",N(GV439)-N(GU439)))</f>
        <v/>
      </c>
      <c r="HA439">
        <f>IF(OR(GY$3="",GY$3&gt;TODAY()),"",IF(AND(GY439="",GZ439=""),"",N(GZ439)-N(GY439)))</f>
        <v/>
      </c>
      <c r="HD439">
        <f>IF(OR(GY$3="",GY$3&gt;TODAY()),"",IF(AND(HB439="",HC439=""),"",N(HC439)-N(HB439)))</f>
        <v/>
      </c>
      <c r="HH439">
        <f>IF(OR(HF$3="",HF$3&gt;TODAY()),"",IF(AND(HF439="",HG439=""),"",N(HG439)-N(HF439)))</f>
        <v/>
      </c>
      <c r="HK439">
        <f>IF(OR(HF$3="",HF$3&gt;TODAY()),"",IF(AND(HI439="",HJ439=""),"",N(HJ439)-N(HI439)))</f>
        <v/>
      </c>
      <c r="HO439">
        <f>IF(OR(HM$3="",HM$3&gt;TODAY()),"",IF(AND(HM439="",HN439=""),"",N(HN439)-N(HM439)))</f>
        <v/>
      </c>
      <c r="HR439">
        <f>IF(OR(HM$3="",HM$3&gt;TODAY()),"",IF(AND(HP439="",HQ439=""),"",N(HQ439)-N(HP439)))</f>
        <v/>
      </c>
      <c r="HV439">
        <f>IF(OR(HT$3="",HT$3&gt;TODAY()),"",IF(AND(HT439="",HU439=""),"",N(HU439)-N(HT439)))</f>
        <v/>
      </c>
      <c r="HY439">
        <f>IF(OR(HT$3="",HT$3&gt;TODAY()),"",IF(AND(HW439="",HX439=""),"",N(HX439)-N(HW439)))</f>
        <v/>
      </c>
      <c r="IC439">
        <f>IF(OR(IA$3="",IA$3&gt;TODAY()),"",IF(AND(IA439="",IB439=""),"",N(IB439)-N(IA439)))</f>
        <v/>
      </c>
      <c r="IF439">
        <f>IF(OR(IA$3="",IA$3&gt;TODAY()),"",IF(AND(ID439="",IE439=""),"",N(IE439)-N(ID439)))</f>
        <v/>
      </c>
      <c r="IJ439">
        <f>IF(OR(IH$3="",IH$3&gt;TODAY()),"",IF(AND(IH439="",II439=""),"",N(II439)-N(IH439)))</f>
        <v/>
      </c>
      <c r="IM439">
        <f>IF(OR(IH$3="",IH$3&gt;TODAY()),"",IF(AND(IK439="",IL439=""),"",N(IL439)-N(IK439)))</f>
        <v/>
      </c>
    </row>
    <row r="440">
      <c r="A440" s="21" t="n"/>
      <c r="B440" s="21" t="n"/>
      <c r="C440" s="21" t="n"/>
      <c r="D440" s="21" t="n"/>
      <c r="E440" s="21" t="n"/>
      <c r="F440" s="21" t="n"/>
      <c r="G440" s="21" t="n"/>
      <c r="H440" s="21" t="n"/>
      <c r="I440" s="22" t="n"/>
      <c r="J440" s="22" t="n"/>
      <c r="K440" s="23" t="n"/>
      <c r="L440" s="22" t="n"/>
      <c r="M440" s="22" t="n"/>
      <c r="N440" s="21" t="n"/>
      <c r="O440" s="23" t="n"/>
      <c r="P440" s="23" t="n"/>
      <c r="Q440" s="23" t="n"/>
      <c r="R440" s="23" t="n"/>
      <c r="S440" s="22" t="n"/>
      <c r="T440" s="23" t="n"/>
      <c r="U440" s="23" t="n"/>
      <c r="V440" s="24">
        <f>IF(J440&lt;&gt;"",J440,IF(I440&lt;&gt;"",I440,""))</f>
        <v/>
      </c>
      <c r="W440" s="25">
        <f>IF($E440="","",N(O440)+SUMIFS($AF440:$IN440,$AF$4:$IN$4,"SEW_ACT"))</f>
        <v/>
      </c>
      <c r="X440" s="25">
        <f>IF($E440="","",N(P440)+SUMIFS($AF440:$IN440,$AF$4:$IN$4,"WASH_ACT"))</f>
        <v/>
      </c>
      <c r="Y440" s="25">
        <f>IF($E440="","",W440-X440-N(T440)-N(U440))</f>
        <v/>
      </c>
      <c r="Z440" s="25">
        <f>IF($E440="","",IF(N(K440)-X440&lt;=0.02*N(K440),0,N(K440)-X440))</f>
        <v/>
      </c>
      <c r="AA440" s="24">
        <f>IF($E440="","",IF(S440&lt;&gt;"",S440,IF(N(O440)&gt;0,IF(L440&lt;&gt;"",L440,99999),IFERROR(1/(1/_xlfn.MINIFS($AF$3:$IN$3,$AF$4:$IN$4,"SEW_ACT",$AF440:$IN440,"&gt;0")),99999))))</f>
        <v/>
      </c>
      <c r="AB440" s="26">
        <f>IF(OR($E440="",Z440=0,V440=""),"",1+COUNTIFS(Z$8:Z$707,"&gt;0",V$8:V$707,"&lt;"&amp;V440)+COUNTIFS(Z$8:Z$707,"&gt;0",V$8:V$707,V440,AA$8:AA$707,"&lt;"&amp;AA440)+COUNTIFS(Z$8:Z$707,"&gt;0",V$8:V$707,V440,AA$8:AA$707,AA440,E$8:E$707,"&lt;"&amp;$E440))</f>
        <v/>
      </c>
      <c r="AC440" s="24">
        <f>IF(OR($E440="",Z440=0),"",IFERROR(TODAY()+ROUNDUP(Z440/(SUMIFS($AF440:$IN440,$AF$4:$IN$4,"WASH_ACT")/COUNTIFS($AF$4:$IN$4,"WASH_ACT",$AF440:$IN440,"&gt;0")),0),"no output yet"))</f>
        <v/>
      </c>
      <c r="AD440" s="26">
        <f>IF($E440="","",IFERROR(ROUND(MAX(0,SUMIFS($AF440:$IN440,$AF$4:$IN$4,"SEW_PLAN",$AF$3:$IN$3,"&lt;="&amp;TODAY())-SUMIFS($AF440:$IN440,$AF$4:$IN$4,"SEW_ACT",$AF$3:$IN$3,"&lt;="&amp;TODAY())+N(Q440))/(SUMIFS($AF440:$IN440,$AF$4:$IN$4,"SEW_PLAN")/COUNTIFS($AF$4:$IN$4,"SEW_PLAN",$AF440:$IN440,"&gt;0")),1),0))</f>
        <v/>
      </c>
      <c r="AE440" s="26">
        <f>IF($E440="","",IF(AND(Z440&gt;0,OR(AND(M440&lt;&gt;"",TODAY()&gt;M440),AND(V440&lt;&gt;"",V440-TODAY()&lt;=7))),"Yes","No"))</f>
        <v/>
      </c>
      <c r="AH440">
        <f>IF(OR(AF$3="",AF$3&gt;TODAY()),"",IF(AND(AF440="",AG440=""),"",N(AG440)-N(AF440)))</f>
        <v/>
      </c>
      <c r="AK440">
        <f>IF(OR(AF$3="",AF$3&gt;TODAY()),"",IF(AND(AI440="",AJ440=""),"",N(AJ440)-N(AI440)))</f>
        <v/>
      </c>
      <c r="AO440">
        <f>IF(OR(AM$3="",AM$3&gt;TODAY()),"",IF(AND(AM440="",AN440=""),"",N(AN440)-N(AM440)))</f>
        <v/>
      </c>
      <c r="AR440">
        <f>IF(OR(AM$3="",AM$3&gt;TODAY()),"",IF(AND(AP440="",AQ440=""),"",N(AQ440)-N(AP440)))</f>
        <v/>
      </c>
      <c r="AV440">
        <f>IF(OR(AT$3="",AT$3&gt;TODAY()),"",IF(AND(AT440="",AU440=""),"",N(AU440)-N(AT440)))</f>
        <v/>
      </c>
      <c r="AY440">
        <f>IF(OR(AT$3="",AT$3&gt;TODAY()),"",IF(AND(AW440="",AX440=""),"",N(AX440)-N(AW440)))</f>
        <v/>
      </c>
      <c r="BC440">
        <f>IF(OR(BA$3="",BA$3&gt;TODAY()),"",IF(AND(BA440="",BB440=""),"",N(BB440)-N(BA440)))</f>
        <v/>
      </c>
      <c r="BF440">
        <f>IF(OR(BA$3="",BA$3&gt;TODAY()),"",IF(AND(BD440="",BE440=""),"",N(BE440)-N(BD440)))</f>
        <v/>
      </c>
      <c r="BJ440">
        <f>IF(OR(BH$3="",BH$3&gt;TODAY()),"",IF(AND(BH440="",BI440=""),"",N(BI440)-N(BH440)))</f>
        <v/>
      </c>
      <c r="BM440">
        <f>IF(OR(BH$3="",BH$3&gt;TODAY()),"",IF(AND(BK440="",BL440=""),"",N(BL440)-N(BK440)))</f>
        <v/>
      </c>
      <c r="BQ440">
        <f>IF(OR(BO$3="",BO$3&gt;TODAY()),"",IF(AND(BO440="",BP440=""),"",N(BP440)-N(BO440)))</f>
        <v/>
      </c>
      <c r="BT440">
        <f>IF(OR(BO$3="",BO$3&gt;TODAY()),"",IF(AND(BR440="",BS440=""),"",N(BS440)-N(BR440)))</f>
        <v/>
      </c>
      <c r="BX440">
        <f>IF(OR(BV$3="",BV$3&gt;TODAY()),"",IF(AND(BV440="",BW440=""),"",N(BW440)-N(BV440)))</f>
        <v/>
      </c>
      <c r="CA440">
        <f>IF(OR(BV$3="",BV$3&gt;TODAY()),"",IF(AND(BY440="",BZ440=""),"",N(BZ440)-N(BY440)))</f>
        <v/>
      </c>
      <c r="CE440">
        <f>IF(OR(CC$3="",CC$3&gt;TODAY()),"",IF(AND(CC440="",CD440=""),"",N(CD440)-N(CC440)))</f>
        <v/>
      </c>
      <c r="CH440">
        <f>IF(OR(CC$3="",CC$3&gt;TODAY()),"",IF(AND(CF440="",CG440=""),"",N(CG440)-N(CF440)))</f>
        <v/>
      </c>
      <c r="CL440">
        <f>IF(OR(CJ$3="",CJ$3&gt;TODAY()),"",IF(AND(CJ440="",CK440=""),"",N(CK440)-N(CJ440)))</f>
        <v/>
      </c>
      <c r="CO440">
        <f>IF(OR(CJ$3="",CJ$3&gt;TODAY()),"",IF(AND(CM440="",CN440=""),"",N(CN440)-N(CM440)))</f>
        <v/>
      </c>
      <c r="CS440">
        <f>IF(OR(CQ$3="",CQ$3&gt;TODAY()),"",IF(AND(CQ440="",CR440=""),"",N(CR440)-N(CQ440)))</f>
        <v/>
      </c>
      <c r="CV440">
        <f>IF(OR(CQ$3="",CQ$3&gt;TODAY()),"",IF(AND(CT440="",CU440=""),"",N(CU440)-N(CT440)))</f>
        <v/>
      </c>
      <c r="CZ440">
        <f>IF(OR(CX$3="",CX$3&gt;TODAY()),"",IF(AND(CX440="",CY440=""),"",N(CY440)-N(CX440)))</f>
        <v/>
      </c>
      <c r="DC440">
        <f>IF(OR(CX$3="",CX$3&gt;TODAY()),"",IF(AND(DA440="",DB440=""),"",N(DB440)-N(DA440)))</f>
        <v/>
      </c>
      <c r="DG440">
        <f>IF(OR(DE$3="",DE$3&gt;TODAY()),"",IF(AND(DE440="",DF440=""),"",N(DF440)-N(DE440)))</f>
        <v/>
      </c>
      <c r="DJ440">
        <f>IF(OR(DE$3="",DE$3&gt;TODAY()),"",IF(AND(DH440="",DI440=""),"",N(DI440)-N(DH440)))</f>
        <v/>
      </c>
      <c r="DN440">
        <f>IF(OR(DL$3="",DL$3&gt;TODAY()),"",IF(AND(DL440="",DM440=""),"",N(DM440)-N(DL440)))</f>
        <v/>
      </c>
      <c r="DQ440">
        <f>IF(OR(DL$3="",DL$3&gt;TODAY()),"",IF(AND(DO440="",DP440=""),"",N(DP440)-N(DO440)))</f>
        <v/>
      </c>
      <c r="DU440">
        <f>IF(OR(DS$3="",DS$3&gt;TODAY()),"",IF(AND(DS440="",DT440=""),"",N(DT440)-N(DS440)))</f>
        <v/>
      </c>
      <c r="DX440">
        <f>IF(OR(DS$3="",DS$3&gt;TODAY()),"",IF(AND(DV440="",DW440=""),"",N(DW440)-N(DV440)))</f>
        <v/>
      </c>
      <c r="EB440">
        <f>IF(OR(DZ$3="",DZ$3&gt;TODAY()),"",IF(AND(DZ440="",EA440=""),"",N(EA440)-N(DZ440)))</f>
        <v/>
      </c>
      <c r="EE440">
        <f>IF(OR(DZ$3="",DZ$3&gt;TODAY()),"",IF(AND(EC440="",ED440=""),"",N(ED440)-N(EC440)))</f>
        <v/>
      </c>
      <c r="EI440">
        <f>IF(OR(EG$3="",EG$3&gt;TODAY()),"",IF(AND(EG440="",EH440=""),"",N(EH440)-N(EG440)))</f>
        <v/>
      </c>
      <c r="EL440">
        <f>IF(OR(EG$3="",EG$3&gt;TODAY()),"",IF(AND(EJ440="",EK440=""),"",N(EK440)-N(EJ440)))</f>
        <v/>
      </c>
      <c r="EP440">
        <f>IF(OR(EN$3="",EN$3&gt;TODAY()),"",IF(AND(EN440="",EO440=""),"",N(EO440)-N(EN440)))</f>
        <v/>
      </c>
      <c r="ES440">
        <f>IF(OR(EN$3="",EN$3&gt;TODAY()),"",IF(AND(EQ440="",ER440=""),"",N(ER440)-N(EQ440)))</f>
        <v/>
      </c>
      <c r="EW440">
        <f>IF(OR(EU$3="",EU$3&gt;TODAY()),"",IF(AND(EU440="",EV440=""),"",N(EV440)-N(EU440)))</f>
        <v/>
      </c>
      <c r="EZ440">
        <f>IF(OR(EU$3="",EU$3&gt;TODAY()),"",IF(AND(EX440="",EY440=""),"",N(EY440)-N(EX440)))</f>
        <v/>
      </c>
      <c r="FD440">
        <f>IF(OR(FB$3="",FB$3&gt;TODAY()),"",IF(AND(FB440="",FC440=""),"",N(FC440)-N(FB440)))</f>
        <v/>
      </c>
      <c r="FG440">
        <f>IF(OR(FB$3="",FB$3&gt;TODAY()),"",IF(AND(FE440="",FF440=""),"",N(FF440)-N(FE440)))</f>
        <v/>
      </c>
      <c r="FK440">
        <f>IF(OR(FI$3="",FI$3&gt;TODAY()),"",IF(AND(FI440="",FJ440=""),"",N(FJ440)-N(FI440)))</f>
        <v/>
      </c>
      <c r="FN440">
        <f>IF(OR(FI$3="",FI$3&gt;TODAY()),"",IF(AND(FL440="",FM440=""),"",N(FM440)-N(FL440)))</f>
        <v/>
      </c>
      <c r="FR440">
        <f>IF(OR(FP$3="",FP$3&gt;TODAY()),"",IF(AND(FP440="",FQ440=""),"",N(FQ440)-N(FP440)))</f>
        <v/>
      </c>
      <c r="FU440">
        <f>IF(OR(FP$3="",FP$3&gt;TODAY()),"",IF(AND(FS440="",FT440=""),"",N(FT440)-N(FS440)))</f>
        <v/>
      </c>
      <c r="FY440">
        <f>IF(OR(FW$3="",FW$3&gt;TODAY()),"",IF(AND(FW440="",FX440=""),"",N(FX440)-N(FW440)))</f>
        <v/>
      </c>
      <c r="GB440">
        <f>IF(OR(FW$3="",FW$3&gt;TODAY()),"",IF(AND(FZ440="",GA440=""),"",N(GA440)-N(FZ440)))</f>
        <v/>
      </c>
      <c r="GF440">
        <f>IF(OR(GD$3="",GD$3&gt;TODAY()),"",IF(AND(GD440="",GE440=""),"",N(GE440)-N(GD440)))</f>
        <v/>
      </c>
      <c r="GI440">
        <f>IF(OR(GD$3="",GD$3&gt;TODAY()),"",IF(AND(GG440="",GH440=""),"",N(GH440)-N(GG440)))</f>
        <v/>
      </c>
      <c r="GM440">
        <f>IF(OR(GK$3="",GK$3&gt;TODAY()),"",IF(AND(GK440="",GL440=""),"",N(GL440)-N(GK440)))</f>
        <v/>
      </c>
      <c r="GP440">
        <f>IF(OR(GK$3="",GK$3&gt;TODAY()),"",IF(AND(GN440="",GO440=""),"",N(GO440)-N(GN440)))</f>
        <v/>
      </c>
      <c r="GT440">
        <f>IF(OR(GR$3="",GR$3&gt;TODAY()),"",IF(AND(GR440="",GS440=""),"",N(GS440)-N(GR440)))</f>
        <v/>
      </c>
      <c r="GW440">
        <f>IF(OR(GR$3="",GR$3&gt;TODAY()),"",IF(AND(GU440="",GV440=""),"",N(GV440)-N(GU440)))</f>
        <v/>
      </c>
      <c r="HA440">
        <f>IF(OR(GY$3="",GY$3&gt;TODAY()),"",IF(AND(GY440="",GZ440=""),"",N(GZ440)-N(GY440)))</f>
        <v/>
      </c>
      <c r="HD440">
        <f>IF(OR(GY$3="",GY$3&gt;TODAY()),"",IF(AND(HB440="",HC440=""),"",N(HC440)-N(HB440)))</f>
        <v/>
      </c>
      <c r="HH440">
        <f>IF(OR(HF$3="",HF$3&gt;TODAY()),"",IF(AND(HF440="",HG440=""),"",N(HG440)-N(HF440)))</f>
        <v/>
      </c>
      <c r="HK440">
        <f>IF(OR(HF$3="",HF$3&gt;TODAY()),"",IF(AND(HI440="",HJ440=""),"",N(HJ440)-N(HI440)))</f>
        <v/>
      </c>
      <c r="HO440">
        <f>IF(OR(HM$3="",HM$3&gt;TODAY()),"",IF(AND(HM440="",HN440=""),"",N(HN440)-N(HM440)))</f>
        <v/>
      </c>
      <c r="HR440">
        <f>IF(OR(HM$3="",HM$3&gt;TODAY()),"",IF(AND(HP440="",HQ440=""),"",N(HQ440)-N(HP440)))</f>
        <v/>
      </c>
      <c r="HV440">
        <f>IF(OR(HT$3="",HT$3&gt;TODAY()),"",IF(AND(HT440="",HU440=""),"",N(HU440)-N(HT440)))</f>
        <v/>
      </c>
      <c r="HY440">
        <f>IF(OR(HT$3="",HT$3&gt;TODAY()),"",IF(AND(HW440="",HX440=""),"",N(HX440)-N(HW440)))</f>
        <v/>
      </c>
      <c r="IC440">
        <f>IF(OR(IA$3="",IA$3&gt;TODAY()),"",IF(AND(IA440="",IB440=""),"",N(IB440)-N(IA440)))</f>
        <v/>
      </c>
      <c r="IF440">
        <f>IF(OR(IA$3="",IA$3&gt;TODAY()),"",IF(AND(ID440="",IE440=""),"",N(IE440)-N(ID440)))</f>
        <v/>
      </c>
      <c r="IJ440">
        <f>IF(OR(IH$3="",IH$3&gt;TODAY()),"",IF(AND(IH440="",II440=""),"",N(II440)-N(IH440)))</f>
        <v/>
      </c>
      <c r="IM440">
        <f>IF(OR(IH$3="",IH$3&gt;TODAY()),"",IF(AND(IK440="",IL440=""),"",N(IL440)-N(IK440)))</f>
        <v/>
      </c>
    </row>
    <row r="441">
      <c r="A441" s="21" t="n"/>
      <c r="B441" s="21" t="n"/>
      <c r="C441" s="21" t="n"/>
      <c r="D441" s="21" t="n"/>
      <c r="E441" s="21" t="n"/>
      <c r="F441" s="21" t="n"/>
      <c r="G441" s="21" t="n"/>
      <c r="H441" s="21" t="n"/>
      <c r="I441" s="22" t="n"/>
      <c r="J441" s="22" t="n"/>
      <c r="K441" s="23" t="n"/>
      <c r="L441" s="22" t="n"/>
      <c r="M441" s="22" t="n"/>
      <c r="N441" s="21" t="n"/>
      <c r="O441" s="23" t="n"/>
      <c r="P441" s="23" t="n"/>
      <c r="Q441" s="23" t="n"/>
      <c r="R441" s="23" t="n"/>
      <c r="S441" s="22" t="n"/>
      <c r="T441" s="23" t="n"/>
      <c r="U441" s="23" t="n"/>
      <c r="V441" s="24">
        <f>IF(J441&lt;&gt;"",J441,IF(I441&lt;&gt;"",I441,""))</f>
        <v/>
      </c>
      <c r="W441" s="25">
        <f>IF($E441="","",N(O441)+SUMIFS($AF441:$IN441,$AF$4:$IN$4,"SEW_ACT"))</f>
        <v/>
      </c>
      <c r="X441" s="25">
        <f>IF($E441="","",N(P441)+SUMIFS($AF441:$IN441,$AF$4:$IN$4,"WASH_ACT"))</f>
        <v/>
      </c>
      <c r="Y441" s="25">
        <f>IF($E441="","",W441-X441-N(T441)-N(U441))</f>
        <v/>
      </c>
      <c r="Z441" s="25">
        <f>IF($E441="","",IF(N(K441)-X441&lt;=0.02*N(K441),0,N(K441)-X441))</f>
        <v/>
      </c>
      <c r="AA441" s="24">
        <f>IF($E441="","",IF(S441&lt;&gt;"",S441,IF(N(O441)&gt;0,IF(L441&lt;&gt;"",L441,99999),IFERROR(1/(1/_xlfn.MINIFS($AF$3:$IN$3,$AF$4:$IN$4,"SEW_ACT",$AF441:$IN441,"&gt;0")),99999))))</f>
        <v/>
      </c>
      <c r="AB441" s="26">
        <f>IF(OR($E441="",Z441=0,V441=""),"",1+COUNTIFS(Z$8:Z$707,"&gt;0",V$8:V$707,"&lt;"&amp;V441)+COUNTIFS(Z$8:Z$707,"&gt;0",V$8:V$707,V441,AA$8:AA$707,"&lt;"&amp;AA441)+COUNTIFS(Z$8:Z$707,"&gt;0",V$8:V$707,V441,AA$8:AA$707,AA441,E$8:E$707,"&lt;"&amp;$E441))</f>
        <v/>
      </c>
      <c r="AC441" s="24">
        <f>IF(OR($E441="",Z441=0),"",IFERROR(TODAY()+ROUNDUP(Z441/(SUMIFS($AF441:$IN441,$AF$4:$IN$4,"WASH_ACT")/COUNTIFS($AF$4:$IN$4,"WASH_ACT",$AF441:$IN441,"&gt;0")),0),"no output yet"))</f>
        <v/>
      </c>
      <c r="AD441" s="26">
        <f>IF($E441="","",IFERROR(ROUND(MAX(0,SUMIFS($AF441:$IN441,$AF$4:$IN$4,"SEW_PLAN",$AF$3:$IN$3,"&lt;="&amp;TODAY())-SUMIFS($AF441:$IN441,$AF$4:$IN$4,"SEW_ACT",$AF$3:$IN$3,"&lt;="&amp;TODAY())+N(Q441))/(SUMIFS($AF441:$IN441,$AF$4:$IN$4,"SEW_PLAN")/COUNTIFS($AF$4:$IN$4,"SEW_PLAN",$AF441:$IN441,"&gt;0")),1),0))</f>
        <v/>
      </c>
      <c r="AE441" s="26">
        <f>IF($E441="","",IF(AND(Z441&gt;0,OR(AND(M441&lt;&gt;"",TODAY()&gt;M441),AND(V441&lt;&gt;"",V441-TODAY()&lt;=7))),"Yes","No"))</f>
        <v/>
      </c>
      <c r="AH441">
        <f>IF(OR(AF$3="",AF$3&gt;TODAY()),"",IF(AND(AF441="",AG441=""),"",N(AG441)-N(AF441)))</f>
        <v/>
      </c>
      <c r="AK441">
        <f>IF(OR(AF$3="",AF$3&gt;TODAY()),"",IF(AND(AI441="",AJ441=""),"",N(AJ441)-N(AI441)))</f>
        <v/>
      </c>
      <c r="AO441">
        <f>IF(OR(AM$3="",AM$3&gt;TODAY()),"",IF(AND(AM441="",AN441=""),"",N(AN441)-N(AM441)))</f>
        <v/>
      </c>
      <c r="AR441">
        <f>IF(OR(AM$3="",AM$3&gt;TODAY()),"",IF(AND(AP441="",AQ441=""),"",N(AQ441)-N(AP441)))</f>
        <v/>
      </c>
      <c r="AV441">
        <f>IF(OR(AT$3="",AT$3&gt;TODAY()),"",IF(AND(AT441="",AU441=""),"",N(AU441)-N(AT441)))</f>
        <v/>
      </c>
      <c r="AY441">
        <f>IF(OR(AT$3="",AT$3&gt;TODAY()),"",IF(AND(AW441="",AX441=""),"",N(AX441)-N(AW441)))</f>
        <v/>
      </c>
      <c r="BC441">
        <f>IF(OR(BA$3="",BA$3&gt;TODAY()),"",IF(AND(BA441="",BB441=""),"",N(BB441)-N(BA441)))</f>
        <v/>
      </c>
      <c r="BF441">
        <f>IF(OR(BA$3="",BA$3&gt;TODAY()),"",IF(AND(BD441="",BE441=""),"",N(BE441)-N(BD441)))</f>
        <v/>
      </c>
      <c r="BJ441">
        <f>IF(OR(BH$3="",BH$3&gt;TODAY()),"",IF(AND(BH441="",BI441=""),"",N(BI441)-N(BH441)))</f>
        <v/>
      </c>
      <c r="BM441">
        <f>IF(OR(BH$3="",BH$3&gt;TODAY()),"",IF(AND(BK441="",BL441=""),"",N(BL441)-N(BK441)))</f>
        <v/>
      </c>
      <c r="BQ441">
        <f>IF(OR(BO$3="",BO$3&gt;TODAY()),"",IF(AND(BO441="",BP441=""),"",N(BP441)-N(BO441)))</f>
        <v/>
      </c>
      <c r="BT441">
        <f>IF(OR(BO$3="",BO$3&gt;TODAY()),"",IF(AND(BR441="",BS441=""),"",N(BS441)-N(BR441)))</f>
        <v/>
      </c>
      <c r="BX441">
        <f>IF(OR(BV$3="",BV$3&gt;TODAY()),"",IF(AND(BV441="",BW441=""),"",N(BW441)-N(BV441)))</f>
        <v/>
      </c>
      <c r="CA441">
        <f>IF(OR(BV$3="",BV$3&gt;TODAY()),"",IF(AND(BY441="",BZ441=""),"",N(BZ441)-N(BY441)))</f>
        <v/>
      </c>
      <c r="CE441">
        <f>IF(OR(CC$3="",CC$3&gt;TODAY()),"",IF(AND(CC441="",CD441=""),"",N(CD441)-N(CC441)))</f>
        <v/>
      </c>
      <c r="CH441">
        <f>IF(OR(CC$3="",CC$3&gt;TODAY()),"",IF(AND(CF441="",CG441=""),"",N(CG441)-N(CF441)))</f>
        <v/>
      </c>
      <c r="CL441">
        <f>IF(OR(CJ$3="",CJ$3&gt;TODAY()),"",IF(AND(CJ441="",CK441=""),"",N(CK441)-N(CJ441)))</f>
        <v/>
      </c>
      <c r="CO441">
        <f>IF(OR(CJ$3="",CJ$3&gt;TODAY()),"",IF(AND(CM441="",CN441=""),"",N(CN441)-N(CM441)))</f>
        <v/>
      </c>
      <c r="CS441">
        <f>IF(OR(CQ$3="",CQ$3&gt;TODAY()),"",IF(AND(CQ441="",CR441=""),"",N(CR441)-N(CQ441)))</f>
        <v/>
      </c>
      <c r="CV441">
        <f>IF(OR(CQ$3="",CQ$3&gt;TODAY()),"",IF(AND(CT441="",CU441=""),"",N(CU441)-N(CT441)))</f>
        <v/>
      </c>
      <c r="CZ441">
        <f>IF(OR(CX$3="",CX$3&gt;TODAY()),"",IF(AND(CX441="",CY441=""),"",N(CY441)-N(CX441)))</f>
        <v/>
      </c>
      <c r="DC441">
        <f>IF(OR(CX$3="",CX$3&gt;TODAY()),"",IF(AND(DA441="",DB441=""),"",N(DB441)-N(DA441)))</f>
        <v/>
      </c>
      <c r="DG441">
        <f>IF(OR(DE$3="",DE$3&gt;TODAY()),"",IF(AND(DE441="",DF441=""),"",N(DF441)-N(DE441)))</f>
        <v/>
      </c>
      <c r="DJ441">
        <f>IF(OR(DE$3="",DE$3&gt;TODAY()),"",IF(AND(DH441="",DI441=""),"",N(DI441)-N(DH441)))</f>
        <v/>
      </c>
      <c r="DN441">
        <f>IF(OR(DL$3="",DL$3&gt;TODAY()),"",IF(AND(DL441="",DM441=""),"",N(DM441)-N(DL441)))</f>
        <v/>
      </c>
      <c r="DQ441">
        <f>IF(OR(DL$3="",DL$3&gt;TODAY()),"",IF(AND(DO441="",DP441=""),"",N(DP441)-N(DO441)))</f>
        <v/>
      </c>
      <c r="DU441">
        <f>IF(OR(DS$3="",DS$3&gt;TODAY()),"",IF(AND(DS441="",DT441=""),"",N(DT441)-N(DS441)))</f>
        <v/>
      </c>
      <c r="DX441">
        <f>IF(OR(DS$3="",DS$3&gt;TODAY()),"",IF(AND(DV441="",DW441=""),"",N(DW441)-N(DV441)))</f>
        <v/>
      </c>
      <c r="EB441">
        <f>IF(OR(DZ$3="",DZ$3&gt;TODAY()),"",IF(AND(DZ441="",EA441=""),"",N(EA441)-N(DZ441)))</f>
        <v/>
      </c>
      <c r="EE441">
        <f>IF(OR(DZ$3="",DZ$3&gt;TODAY()),"",IF(AND(EC441="",ED441=""),"",N(ED441)-N(EC441)))</f>
        <v/>
      </c>
      <c r="EI441">
        <f>IF(OR(EG$3="",EG$3&gt;TODAY()),"",IF(AND(EG441="",EH441=""),"",N(EH441)-N(EG441)))</f>
        <v/>
      </c>
      <c r="EL441">
        <f>IF(OR(EG$3="",EG$3&gt;TODAY()),"",IF(AND(EJ441="",EK441=""),"",N(EK441)-N(EJ441)))</f>
        <v/>
      </c>
      <c r="EP441">
        <f>IF(OR(EN$3="",EN$3&gt;TODAY()),"",IF(AND(EN441="",EO441=""),"",N(EO441)-N(EN441)))</f>
        <v/>
      </c>
      <c r="ES441">
        <f>IF(OR(EN$3="",EN$3&gt;TODAY()),"",IF(AND(EQ441="",ER441=""),"",N(ER441)-N(EQ441)))</f>
        <v/>
      </c>
      <c r="EW441">
        <f>IF(OR(EU$3="",EU$3&gt;TODAY()),"",IF(AND(EU441="",EV441=""),"",N(EV441)-N(EU441)))</f>
        <v/>
      </c>
      <c r="EZ441">
        <f>IF(OR(EU$3="",EU$3&gt;TODAY()),"",IF(AND(EX441="",EY441=""),"",N(EY441)-N(EX441)))</f>
        <v/>
      </c>
      <c r="FD441">
        <f>IF(OR(FB$3="",FB$3&gt;TODAY()),"",IF(AND(FB441="",FC441=""),"",N(FC441)-N(FB441)))</f>
        <v/>
      </c>
      <c r="FG441">
        <f>IF(OR(FB$3="",FB$3&gt;TODAY()),"",IF(AND(FE441="",FF441=""),"",N(FF441)-N(FE441)))</f>
        <v/>
      </c>
      <c r="FK441">
        <f>IF(OR(FI$3="",FI$3&gt;TODAY()),"",IF(AND(FI441="",FJ441=""),"",N(FJ441)-N(FI441)))</f>
        <v/>
      </c>
      <c r="FN441">
        <f>IF(OR(FI$3="",FI$3&gt;TODAY()),"",IF(AND(FL441="",FM441=""),"",N(FM441)-N(FL441)))</f>
        <v/>
      </c>
      <c r="FR441">
        <f>IF(OR(FP$3="",FP$3&gt;TODAY()),"",IF(AND(FP441="",FQ441=""),"",N(FQ441)-N(FP441)))</f>
        <v/>
      </c>
      <c r="FU441">
        <f>IF(OR(FP$3="",FP$3&gt;TODAY()),"",IF(AND(FS441="",FT441=""),"",N(FT441)-N(FS441)))</f>
        <v/>
      </c>
      <c r="FY441">
        <f>IF(OR(FW$3="",FW$3&gt;TODAY()),"",IF(AND(FW441="",FX441=""),"",N(FX441)-N(FW441)))</f>
        <v/>
      </c>
      <c r="GB441">
        <f>IF(OR(FW$3="",FW$3&gt;TODAY()),"",IF(AND(FZ441="",GA441=""),"",N(GA441)-N(FZ441)))</f>
        <v/>
      </c>
      <c r="GF441">
        <f>IF(OR(GD$3="",GD$3&gt;TODAY()),"",IF(AND(GD441="",GE441=""),"",N(GE441)-N(GD441)))</f>
        <v/>
      </c>
      <c r="GI441">
        <f>IF(OR(GD$3="",GD$3&gt;TODAY()),"",IF(AND(GG441="",GH441=""),"",N(GH441)-N(GG441)))</f>
        <v/>
      </c>
      <c r="GM441">
        <f>IF(OR(GK$3="",GK$3&gt;TODAY()),"",IF(AND(GK441="",GL441=""),"",N(GL441)-N(GK441)))</f>
        <v/>
      </c>
      <c r="GP441">
        <f>IF(OR(GK$3="",GK$3&gt;TODAY()),"",IF(AND(GN441="",GO441=""),"",N(GO441)-N(GN441)))</f>
        <v/>
      </c>
      <c r="GT441">
        <f>IF(OR(GR$3="",GR$3&gt;TODAY()),"",IF(AND(GR441="",GS441=""),"",N(GS441)-N(GR441)))</f>
        <v/>
      </c>
      <c r="GW441">
        <f>IF(OR(GR$3="",GR$3&gt;TODAY()),"",IF(AND(GU441="",GV441=""),"",N(GV441)-N(GU441)))</f>
        <v/>
      </c>
      <c r="HA441">
        <f>IF(OR(GY$3="",GY$3&gt;TODAY()),"",IF(AND(GY441="",GZ441=""),"",N(GZ441)-N(GY441)))</f>
        <v/>
      </c>
      <c r="HD441">
        <f>IF(OR(GY$3="",GY$3&gt;TODAY()),"",IF(AND(HB441="",HC441=""),"",N(HC441)-N(HB441)))</f>
        <v/>
      </c>
      <c r="HH441">
        <f>IF(OR(HF$3="",HF$3&gt;TODAY()),"",IF(AND(HF441="",HG441=""),"",N(HG441)-N(HF441)))</f>
        <v/>
      </c>
      <c r="HK441">
        <f>IF(OR(HF$3="",HF$3&gt;TODAY()),"",IF(AND(HI441="",HJ441=""),"",N(HJ441)-N(HI441)))</f>
        <v/>
      </c>
      <c r="HO441">
        <f>IF(OR(HM$3="",HM$3&gt;TODAY()),"",IF(AND(HM441="",HN441=""),"",N(HN441)-N(HM441)))</f>
        <v/>
      </c>
      <c r="HR441">
        <f>IF(OR(HM$3="",HM$3&gt;TODAY()),"",IF(AND(HP441="",HQ441=""),"",N(HQ441)-N(HP441)))</f>
        <v/>
      </c>
      <c r="HV441">
        <f>IF(OR(HT$3="",HT$3&gt;TODAY()),"",IF(AND(HT441="",HU441=""),"",N(HU441)-N(HT441)))</f>
        <v/>
      </c>
      <c r="HY441">
        <f>IF(OR(HT$3="",HT$3&gt;TODAY()),"",IF(AND(HW441="",HX441=""),"",N(HX441)-N(HW441)))</f>
        <v/>
      </c>
      <c r="IC441">
        <f>IF(OR(IA$3="",IA$3&gt;TODAY()),"",IF(AND(IA441="",IB441=""),"",N(IB441)-N(IA441)))</f>
        <v/>
      </c>
      <c r="IF441">
        <f>IF(OR(IA$3="",IA$3&gt;TODAY()),"",IF(AND(ID441="",IE441=""),"",N(IE441)-N(ID441)))</f>
        <v/>
      </c>
      <c r="IJ441">
        <f>IF(OR(IH$3="",IH$3&gt;TODAY()),"",IF(AND(IH441="",II441=""),"",N(II441)-N(IH441)))</f>
        <v/>
      </c>
      <c r="IM441">
        <f>IF(OR(IH$3="",IH$3&gt;TODAY()),"",IF(AND(IK441="",IL441=""),"",N(IL441)-N(IK441)))</f>
        <v/>
      </c>
    </row>
    <row r="442">
      <c r="A442" s="21" t="n"/>
      <c r="B442" s="21" t="n"/>
      <c r="C442" s="21" t="n"/>
      <c r="D442" s="21" t="n"/>
      <c r="E442" s="21" t="n"/>
      <c r="F442" s="21" t="n"/>
      <c r="G442" s="21" t="n"/>
      <c r="H442" s="21" t="n"/>
      <c r="I442" s="22" t="n"/>
      <c r="J442" s="22" t="n"/>
      <c r="K442" s="23" t="n"/>
      <c r="L442" s="22" t="n"/>
      <c r="M442" s="22" t="n"/>
      <c r="N442" s="21" t="n"/>
      <c r="O442" s="23" t="n"/>
      <c r="P442" s="23" t="n"/>
      <c r="Q442" s="23" t="n"/>
      <c r="R442" s="23" t="n"/>
      <c r="S442" s="22" t="n"/>
      <c r="T442" s="23" t="n"/>
      <c r="U442" s="23" t="n"/>
      <c r="V442" s="24">
        <f>IF(J442&lt;&gt;"",J442,IF(I442&lt;&gt;"",I442,""))</f>
        <v/>
      </c>
      <c r="W442" s="25">
        <f>IF($E442="","",N(O442)+SUMIFS($AF442:$IN442,$AF$4:$IN$4,"SEW_ACT"))</f>
        <v/>
      </c>
      <c r="X442" s="25">
        <f>IF($E442="","",N(P442)+SUMIFS($AF442:$IN442,$AF$4:$IN$4,"WASH_ACT"))</f>
        <v/>
      </c>
      <c r="Y442" s="25">
        <f>IF($E442="","",W442-X442-N(T442)-N(U442))</f>
        <v/>
      </c>
      <c r="Z442" s="25">
        <f>IF($E442="","",IF(N(K442)-X442&lt;=0.02*N(K442),0,N(K442)-X442))</f>
        <v/>
      </c>
      <c r="AA442" s="24">
        <f>IF($E442="","",IF(S442&lt;&gt;"",S442,IF(N(O442)&gt;0,IF(L442&lt;&gt;"",L442,99999),IFERROR(1/(1/_xlfn.MINIFS($AF$3:$IN$3,$AF$4:$IN$4,"SEW_ACT",$AF442:$IN442,"&gt;0")),99999))))</f>
        <v/>
      </c>
      <c r="AB442" s="26">
        <f>IF(OR($E442="",Z442=0,V442=""),"",1+COUNTIFS(Z$8:Z$707,"&gt;0",V$8:V$707,"&lt;"&amp;V442)+COUNTIFS(Z$8:Z$707,"&gt;0",V$8:V$707,V442,AA$8:AA$707,"&lt;"&amp;AA442)+COUNTIFS(Z$8:Z$707,"&gt;0",V$8:V$707,V442,AA$8:AA$707,AA442,E$8:E$707,"&lt;"&amp;$E442))</f>
        <v/>
      </c>
      <c r="AC442" s="24">
        <f>IF(OR($E442="",Z442=0),"",IFERROR(TODAY()+ROUNDUP(Z442/(SUMIFS($AF442:$IN442,$AF$4:$IN$4,"WASH_ACT")/COUNTIFS($AF$4:$IN$4,"WASH_ACT",$AF442:$IN442,"&gt;0")),0),"no output yet"))</f>
        <v/>
      </c>
      <c r="AD442" s="26">
        <f>IF($E442="","",IFERROR(ROUND(MAX(0,SUMIFS($AF442:$IN442,$AF$4:$IN$4,"SEW_PLAN",$AF$3:$IN$3,"&lt;="&amp;TODAY())-SUMIFS($AF442:$IN442,$AF$4:$IN$4,"SEW_ACT",$AF$3:$IN$3,"&lt;="&amp;TODAY())+N(Q442))/(SUMIFS($AF442:$IN442,$AF$4:$IN$4,"SEW_PLAN")/COUNTIFS($AF$4:$IN$4,"SEW_PLAN",$AF442:$IN442,"&gt;0")),1),0))</f>
        <v/>
      </c>
      <c r="AE442" s="26">
        <f>IF($E442="","",IF(AND(Z442&gt;0,OR(AND(M442&lt;&gt;"",TODAY()&gt;M442),AND(V442&lt;&gt;"",V442-TODAY()&lt;=7))),"Yes","No"))</f>
        <v/>
      </c>
      <c r="AH442">
        <f>IF(OR(AF$3="",AF$3&gt;TODAY()),"",IF(AND(AF442="",AG442=""),"",N(AG442)-N(AF442)))</f>
        <v/>
      </c>
      <c r="AK442">
        <f>IF(OR(AF$3="",AF$3&gt;TODAY()),"",IF(AND(AI442="",AJ442=""),"",N(AJ442)-N(AI442)))</f>
        <v/>
      </c>
      <c r="AO442">
        <f>IF(OR(AM$3="",AM$3&gt;TODAY()),"",IF(AND(AM442="",AN442=""),"",N(AN442)-N(AM442)))</f>
        <v/>
      </c>
      <c r="AR442">
        <f>IF(OR(AM$3="",AM$3&gt;TODAY()),"",IF(AND(AP442="",AQ442=""),"",N(AQ442)-N(AP442)))</f>
        <v/>
      </c>
      <c r="AV442">
        <f>IF(OR(AT$3="",AT$3&gt;TODAY()),"",IF(AND(AT442="",AU442=""),"",N(AU442)-N(AT442)))</f>
        <v/>
      </c>
      <c r="AY442">
        <f>IF(OR(AT$3="",AT$3&gt;TODAY()),"",IF(AND(AW442="",AX442=""),"",N(AX442)-N(AW442)))</f>
        <v/>
      </c>
      <c r="BC442">
        <f>IF(OR(BA$3="",BA$3&gt;TODAY()),"",IF(AND(BA442="",BB442=""),"",N(BB442)-N(BA442)))</f>
        <v/>
      </c>
      <c r="BF442">
        <f>IF(OR(BA$3="",BA$3&gt;TODAY()),"",IF(AND(BD442="",BE442=""),"",N(BE442)-N(BD442)))</f>
        <v/>
      </c>
      <c r="BJ442">
        <f>IF(OR(BH$3="",BH$3&gt;TODAY()),"",IF(AND(BH442="",BI442=""),"",N(BI442)-N(BH442)))</f>
        <v/>
      </c>
      <c r="BM442">
        <f>IF(OR(BH$3="",BH$3&gt;TODAY()),"",IF(AND(BK442="",BL442=""),"",N(BL442)-N(BK442)))</f>
        <v/>
      </c>
      <c r="BQ442">
        <f>IF(OR(BO$3="",BO$3&gt;TODAY()),"",IF(AND(BO442="",BP442=""),"",N(BP442)-N(BO442)))</f>
        <v/>
      </c>
      <c r="BT442">
        <f>IF(OR(BO$3="",BO$3&gt;TODAY()),"",IF(AND(BR442="",BS442=""),"",N(BS442)-N(BR442)))</f>
        <v/>
      </c>
      <c r="BX442">
        <f>IF(OR(BV$3="",BV$3&gt;TODAY()),"",IF(AND(BV442="",BW442=""),"",N(BW442)-N(BV442)))</f>
        <v/>
      </c>
      <c r="CA442">
        <f>IF(OR(BV$3="",BV$3&gt;TODAY()),"",IF(AND(BY442="",BZ442=""),"",N(BZ442)-N(BY442)))</f>
        <v/>
      </c>
      <c r="CE442">
        <f>IF(OR(CC$3="",CC$3&gt;TODAY()),"",IF(AND(CC442="",CD442=""),"",N(CD442)-N(CC442)))</f>
        <v/>
      </c>
      <c r="CH442">
        <f>IF(OR(CC$3="",CC$3&gt;TODAY()),"",IF(AND(CF442="",CG442=""),"",N(CG442)-N(CF442)))</f>
        <v/>
      </c>
      <c r="CL442">
        <f>IF(OR(CJ$3="",CJ$3&gt;TODAY()),"",IF(AND(CJ442="",CK442=""),"",N(CK442)-N(CJ442)))</f>
        <v/>
      </c>
      <c r="CO442">
        <f>IF(OR(CJ$3="",CJ$3&gt;TODAY()),"",IF(AND(CM442="",CN442=""),"",N(CN442)-N(CM442)))</f>
        <v/>
      </c>
      <c r="CS442">
        <f>IF(OR(CQ$3="",CQ$3&gt;TODAY()),"",IF(AND(CQ442="",CR442=""),"",N(CR442)-N(CQ442)))</f>
        <v/>
      </c>
      <c r="CV442">
        <f>IF(OR(CQ$3="",CQ$3&gt;TODAY()),"",IF(AND(CT442="",CU442=""),"",N(CU442)-N(CT442)))</f>
        <v/>
      </c>
      <c r="CZ442">
        <f>IF(OR(CX$3="",CX$3&gt;TODAY()),"",IF(AND(CX442="",CY442=""),"",N(CY442)-N(CX442)))</f>
        <v/>
      </c>
      <c r="DC442">
        <f>IF(OR(CX$3="",CX$3&gt;TODAY()),"",IF(AND(DA442="",DB442=""),"",N(DB442)-N(DA442)))</f>
        <v/>
      </c>
      <c r="DG442">
        <f>IF(OR(DE$3="",DE$3&gt;TODAY()),"",IF(AND(DE442="",DF442=""),"",N(DF442)-N(DE442)))</f>
        <v/>
      </c>
      <c r="DJ442">
        <f>IF(OR(DE$3="",DE$3&gt;TODAY()),"",IF(AND(DH442="",DI442=""),"",N(DI442)-N(DH442)))</f>
        <v/>
      </c>
      <c r="DN442">
        <f>IF(OR(DL$3="",DL$3&gt;TODAY()),"",IF(AND(DL442="",DM442=""),"",N(DM442)-N(DL442)))</f>
        <v/>
      </c>
      <c r="DQ442">
        <f>IF(OR(DL$3="",DL$3&gt;TODAY()),"",IF(AND(DO442="",DP442=""),"",N(DP442)-N(DO442)))</f>
        <v/>
      </c>
      <c r="DU442">
        <f>IF(OR(DS$3="",DS$3&gt;TODAY()),"",IF(AND(DS442="",DT442=""),"",N(DT442)-N(DS442)))</f>
        <v/>
      </c>
      <c r="DX442">
        <f>IF(OR(DS$3="",DS$3&gt;TODAY()),"",IF(AND(DV442="",DW442=""),"",N(DW442)-N(DV442)))</f>
        <v/>
      </c>
      <c r="EB442">
        <f>IF(OR(DZ$3="",DZ$3&gt;TODAY()),"",IF(AND(DZ442="",EA442=""),"",N(EA442)-N(DZ442)))</f>
        <v/>
      </c>
      <c r="EE442">
        <f>IF(OR(DZ$3="",DZ$3&gt;TODAY()),"",IF(AND(EC442="",ED442=""),"",N(ED442)-N(EC442)))</f>
        <v/>
      </c>
      <c r="EI442">
        <f>IF(OR(EG$3="",EG$3&gt;TODAY()),"",IF(AND(EG442="",EH442=""),"",N(EH442)-N(EG442)))</f>
        <v/>
      </c>
      <c r="EL442">
        <f>IF(OR(EG$3="",EG$3&gt;TODAY()),"",IF(AND(EJ442="",EK442=""),"",N(EK442)-N(EJ442)))</f>
        <v/>
      </c>
      <c r="EP442">
        <f>IF(OR(EN$3="",EN$3&gt;TODAY()),"",IF(AND(EN442="",EO442=""),"",N(EO442)-N(EN442)))</f>
        <v/>
      </c>
      <c r="ES442">
        <f>IF(OR(EN$3="",EN$3&gt;TODAY()),"",IF(AND(EQ442="",ER442=""),"",N(ER442)-N(EQ442)))</f>
        <v/>
      </c>
      <c r="EW442">
        <f>IF(OR(EU$3="",EU$3&gt;TODAY()),"",IF(AND(EU442="",EV442=""),"",N(EV442)-N(EU442)))</f>
        <v/>
      </c>
      <c r="EZ442">
        <f>IF(OR(EU$3="",EU$3&gt;TODAY()),"",IF(AND(EX442="",EY442=""),"",N(EY442)-N(EX442)))</f>
        <v/>
      </c>
      <c r="FD442">
        <f>IF(OR(FB$3="",FB$3&gt;TODAY()),"",IF(AND(FB442="",FC442=""),"",N(FC442)-N(FB442)))</f>
        <v/>
      </c>
      <c r="FG442">
        <f>IF(OR(FB$3="",FB$3&gt;TODAY()),"",IF(AND(FE442="",FF442=""),"",N(FF442)-N(FE442)))</f>
        <v/>
      </c>
      <c r="FK442">
        <f>IF(OR(FI$3="",FI$3&gt;TODAY()),"",IF(AND(FI442="",FJ442=""),"",N(FJ442)-N(FI442)))</f>
        <v/>
      </c>
      <c r="FN442">
        <f>IF(OR(FI$3="",FI$3&gt;TODAY()),"",IF(AND(FL442="",FM442=""),"",N(FM442)-N(FL442)))</f>
        <v/>
      </c>
      <c r="FR442">
        <f>IF(OR(FP$3="",FP$3&gt;TODAY()),"",IF(AND(FP442="",FQ442=""),"",N(FQ442)-N(FP442)))</f>
        <v/>
      </c>
      <c r="FU442">
        <f>IF(OR(FP$3="",FP$3&gt;TODAY()),"",IF(AND(FS442="",FT442=""),"",N(FT442)-N(FS442)))</f>
        <v/>
      </c>
      <c r="FY442">
        <f>IF(OR(FW$3="",FW$3&gt;TODAY()),"",IF(AND(FW442="",FX442=""),"",N(FX442)-N(FW442)))</f>
        <v/>
      </c>
      <c r="GB442">
        <f>IF(OR(FW$3="",FW$3&gt;TODAY()),"",IF(AND(FZ442="",GA442=""),"",N(GA442)-N(FZ442)))</f>
        <v/>
      </c>
      <c r="GF442">
        <f>IF(OR(GD$3="",GD$3&gt;TODAY()),"",IF(AND(GD442="",GE442=""),"",N(GE442)-N(GD442)))</f>
        <v/>
      </c>
      <c r="GI442">
        <f>IF(OR(GD$3="",GD$3&gt;TODAY()),"",IF(AND(GG442="",GH442=""),"",N(GH442)-N(GG442)))</f>
        <v/>
      </c>
      <c r="GM442">
        <f>IF(OR(GK$3="",GK$3&gt;TODAY()),"",IF(AND(GK442="",GL442=""),"",N(GL442)-N(GK442)))</f>
        <v/>
      </c>
      <c r="GP442">
        <f>IF(OR(GK$3="",GK$3&gt;TODAY()),"",IF(AND(GN442="",GO442=""),"",N(GO442)-N(GN442)))</f>
        <v/>
      </c>
      <c r="GT442">
        <f>IF(OR(GR$3="",GR$3&gt;TODAY()),"",IF(AND(GR442="",GS442=""),"",N(GS442)-N(GR442)))</f>
        <v/>
      </c>
      <c r="GW442">
        <f>IF(OR(GR$3="",GR$3&gt;TODAY()),"",IF(AND(GU442="",GV442=""),"",N(GV442)-N(GU442)))</f>
        <v/>
      </c>
      <c r="HA442">
        <f>IF(OR(GY$3="",GY$3&gt;TODAY()),"",IF(AND(GY442="",GZ442=""),"",N(GZ442)-N(GY442)))</f>
        <v/>
      </c>
      <c r="HD442">
        <f>IF(OR(GY$3="",GY$3&gt;TODAY()),"",IF(AND(HB442="",HC442=""),"",N(HC442)-N(HB442)))</f>
        <v/>
      </c>
      <c r="HH442">
        <f>IF(OR(HF$3="",HF$3&gt;TODAY()),"",IF(AND(HF442="",HG442=""),"",N(HG442)-N(HF442)))</f>
        <v/>
      </c>
      <c r="HK442">
        <f>IF(OR(HF$3="",HF$3&gt;TODAY()),"",IF(AND(HI442="",HJ442=""),"",N(HJ442)-N(HI442)))</f>
        <v/>
      </c>
      <c r="HO442">
        <f>IF(OR(HM$3="",HM$3&gt;TODAY()),"",IF(AND(HM442="",HN442=""),"",N(HN442)-N(HM442)))</f>
        <v/>
      </c>
      <c r="HR442">
        <f>IF(OR(HM$3="",HM$3&gt;TODAY()),"",IF(AND(HP442="",HQ442=""),"",N(HQ442)-N(HP442)))</f>
        <v/>
      </c>
      <c r="HV442">
        <f>IF(OR(HT$3="",HT$3&gt;TODAY()),"",IF(AND(HT442="",HU442=""),"",N(HU442)-N(HT442)))</f>
        <v/>
      </c>
      <c r="HY442">
        <f>IF(OR(HT$3="",HT$3&gt;TODAY()),"",IF(AND(HW442="",HX442=""),"",N(HX442)-N(HW442)))</f>
        <v/>
      </c>
      <c r="IC442">
        <f>IF(OR(IA$3="",IA$3&gt;TODAY()),"",IF(AND(IA442="",IB442=""),"",N(IB442)-N(IA442)))</f>
        <v/>
      </c>
      <c r="IF442">
        <f>IF(OR(IA$3="",IA$3&gt;TODAY()),"",IF(AND(ID442="",IE442=""),"",N(IE442)-N(ID442)))</f>
        <v/>
      </c>
      <c r="IJ442">
        <f>IF(OR(IH$3="",IH$3&gt;TODAY()),"",IF(AND(IH442="",II442=""),"",N(II442)-N(IH442)))</f>
        <v/>
      </c>
      <c r="IM442">
        <f>IF(OR(IH$3="",IH$3&gt;TODAY()),"",IF(AND(IK442="",IL442=""),"",N(IL442)-N(IK442)))</f>
        <v/>
      </c>
    </row>
    <row r="443">
      <c r="A443" s="21" t="n"/>
      <c r="B443" s="21" t="n"/>
      <c r="C443" s="21" t="n"/>
      <c r="D443" s="21" t="n"/>
      <c r="E443" s="21" t="n"/>
      <c r="F443" s="21" t="n"/>
      <c r="G443" s="21" t="n"/>
      <c r="H443" s="21" t="n"/>
      <c r="I443" s="22" t="n"/>
      <c r="J443" s="22" t="n"/>
      <c r="K443" s="23" t="n"/>
      <c r="L443" s="22" t="n"/>
      <c r="M443" s="22" t="n"/>
      <c r="N443" s="21" t="n"/>
      <c r="O443" s="23" t="n"/>
      <c r="P443" s="23" t="n"/>
      <c r="Q443" s="23" t="n"/>
      <c r="R443" s="23" t="n"/>
      <c r="S443" s="22" t="n"/>
      <c r="T443" s="23" t="n"/>
      <c r="U443" s="23" t="n"/>
      <c r="V443" s="24">
        <f>IF(J443&lt;&gt;"",J443,IF(I443&lt;&gt;"",I443,""))</f>
        <v/>
      </c>
      <c r="W443" s="25">
        <f>IF($E443="","",N(O443)+SUMIFS($AF443:$IN443,$AF$4:$IN$4,"SEW_ACT"))</f>
        <v/>
      </c>
      <c r="X443" s="25">
        <f>IF($E443="","",N(P443)+SUMIFS($AF443:$IN443,$AF$4:$IN$4,"WASH_ACT"))</f>
        <v/>
      </c>
      <c r="Y443" s="25">
        <f>IF($E443="","",W443-X443-N(T443)-N(U443))</f>
        <v/>
      </c>
      <c r="Z443" s="25">
        <f>IF($E443="","",IF(N(K443)-X443&lt;=0.02*N(K443),0,N(K443)-X443))</f>
        <v/>
      </c>
      <c r="AA443" s="24">
        <f>IF($E443="","",IF(S443&lt;&gt;"",S443,IF(N(O443)&gt;0,IF(L443&lt;&gt;"",L443,99999),IFERROR(1/(1/_xlfn.MINIFS($AF$3:$IN$3,$AF$4:$IN$4,"SEW_ACT",$AF443:$IN443,"&gt;0")),99999))))</f>
        <v/>
      </c>
      <c r="AB443" s="26">
        <f>IF(OR($E443="",Z443=0,V443=""),"",1+COUNTIFS(Z$8:Z$707,"&gt;0",V$8:V$707,"&lt;"&amp;V443)+COUNTIFS(Z$8:Z$707,"&gt;0",V$8:V$707,V443,AA$8:AA$707,"&lt;"&amp;AA443)+COUNTIFS(Z$8:Z$707,"&gt;0",V$8:V$707,V443,AA$8:AA$707,AA443,E$8:E$707,"&lt;"&amp;$E443))</f>
        <v/>
      </c>
      <c r="AC443" s="24">
        <f>IF(OR($E443="",Z443=0),"",IFERROR(TODAY()+ROUNDUP(Z443/(SUMIFS($AF443:$IN443,$AF$4:$IN$4,"WASH_ACT")/COUNTIFS($AF$4:$IN$4,"WASH_ACT",$AF443:$IN443,"&gt;0")),0),"no output yet"))</f>
        <v/>
      </c>
      <c r="AD443" s="26">
        <f>IF($E443="","",IFERROR(ROUND(MAX(0,SUMIFS($AF443:$IN443,$AF$4:$IN$4,"SEW_PLAN",$AF$3:$IN$3,"&lt;="&amp;TODAY())-SUMIFS($AF443:$IN443,$AF$4:$IN$4,"SEW_ACT",$AF$3:$IN$3,"&lt;="&amp;TODAY())+N(Q443))/(SUMIFS($AF443:$IN443,$AF$4:$IN$4,"SEW_PLAN")/COUNTIFS($AF$4:$IN$4,"SEW_PLAN",$AF443:$IN443,"&gt;0")),1),0))</f>
        <v/>
      </c>
      <c r="AE443" s="26">
        <f>IF($E443="","",IF(AND(Z443&gt;0,OR(AND(M443&lt;&gt;"",TODAY()&gt;M443),AND(V443&lt;&gt;"",V443-TODAY()&lt;=7))),"Yes","No"))</f>
        <v/>
      </c>
      <c r="AH443">
        <f>IF(OR(AF$3="",AF$3&gt;TODAY()),"",IF(AND(AF443="",AG443=""),"",N(AG443)-N(AF443)))</f>
        <v/>
      </c>
      <c r="AK443">
        <f>IF(OR(AF$3="",AF$3&gt;TODAY()),"",IF(AND(AI443="",AJ443=""),"",N(AJ443)-N(AI443)))</f>
        <v/>
      </c>
      <c r="AO443">
        <f>IF(OR(AM$3="",AM$3&gt;TODAY()),"",IF(AND(AM443="",AN443=""),"",N(AN443)-N(AM443)))</f>
        <v/>
      </c>
      <c r="AR443">
        <f>IF(OR(AM$3="",AM$3&gt;TODAY()),"",IF(AND(AP443="",AQ443=""),"",N(AQ443)-N(AP443)))</f>
        <v/>
      </c>
      <c r="AV443">
        <f>IF(OR(AT$3="",AT$3&gt;TODAY()),"",IF(AND(AT443="",AU443=""),"",N(AU443)-N(AT443)))</f>
        <v/>
      </c>
      <c r="AY443">
        <f>IF(OR(AT$3="",AT$3&gt;TODAY()),"",IF(AND(AW443="",AX443=""),"",N(AX443)-N(AW443)))</f>
        <v/>
      </c>
      <c r="BC443">
        <f>IF(OR(BA$3="",BA$3&gt;TODAY()),"",IF(AND(BA443="",BB443=""),"",N(BB443)-N(BA443)))</f>
        <v/>
      </c>
      <c r="BF443">
        <f>IF(OR(BA$3="",BA$3&gt;TODAY()),"",IF(AND(BD443="",BE443=""),"",N(BE443)-N(BD443)))</f>
        <v/>
      </c>
      <c r="BJ443">
        <f>IF(OR(BH$3="",BH$3&gt;TODAY()),"",IF(AND(BH443="",BI443=""),"",N(BI443)-N(BH443)))</f>
        <v/>
      </c>
      <c r="BM443">
        <f>IF(OR(BH$3="",BH$3&gt;TODAY()),"",IF(AND(BK443="",BL443=""),"",N(BL443)-N(BK443)))</f>
        <v/>
      </c>
      <c r="BQ443">
        <f>IF(OR(BO$3="",BO$3&gt;TODAY()),"",IF(AND(BO443="",BP443=""),"",N(BP443)-N(BO443)))</f>
        <v/>
      </c>
      <c r="BT443">
        <f>IF(OR(BO$3="",BO$3&gt;TODAY()),"",IF(AND(BR443="",BS443=""),"",N(BS443)-N(BR443)))</f>
        <v/>
      </c>
      <c r="BX443">
        <f>IF(OR(BV$3="",BV$3&gt;TODAY()),"",IF(AND(BV443="",BW443=""),"",N(BW443)-N(BV443)))</f>
        <v/>
      </c>
      <c r="CA443">
        <f>IF(OR(BV$3="",BV$3&gt;TODAY()),"",IF(AND(BY443="",BZ443=""),"",N(BZ443)-N(BY443)))</f>
        <v/>
      </c>
      <c r="CE443">
        <f>IF(OR(CC$3="",CC$3&gt;TODAY()),"",IF(AND(CC443="",CD443=""),"",N(CD443)-N(CC443)))</f>
        <v/>
      </c>
      <c r="CH443">
        <f>IF(OR(CC$3="",CC$3&gt;TODAY()),"",IF(AND(CF443="",CG443=""),"",N(CG443)-N(CF443)))</f>
        <v/>
      </c>
      <c r="CL443">
        <f>IF(OR(CJ$3="",CJ$3&gt;TODAY()),"",IF(AND(CJ443="",CK443=""),"",N(CK443)-N(CJ443)))</f>
        <v/>
      </c>
      <c r="CO443">
        <f>IF(OR(CJ$3="",CJ$3&gt;TODAY()),"",IF(AND(CM443="",CN443=""),"",N(CN443)-N(CM443)))</f>
        <v/>
      </c>
      <c r="CS443">
        <f>IF(OR(CQ$3="",CQ$3&gt;TODAY()),"",IF(AND(CQ443="",CR443=""),"",N(CR443)-N(CQ443)))</f>
        <v/>
      </c>
      <c r="CV443">
        <f>IF(OR(CQ$3="",CQ$3&gt;TODAY()),"",IF(AND(CT443="",CU443=""),"",N(CU443)-N(CT443)))</f>
        <v/>
      </c>
      <c r="CZ443">
        <f>IF(OR(CX$3="",CX$3&gt;TODAY()),"",IF(AND(CX443="",CY443=""),"",N(CY443)-N(CX443)))</f>
        <v/>
      </c>
      <c r="DC443">
        <f>IF(OR(CX$3="",CX$3&gt;TODAY()),"",IF(AND(DA443="",DB443=""),"",N(DB443)-N(DA443)))</f>
        <v/>
      </c>
      <c r="DG443">
        <f>IF(OR(DE$3="",DE$3&gt;TODAY()),"",IF(AND(DE443="",DF443=""),"",N(DF443)-N(DE443)))</f>
        <v/>
      </c>
      <c r="DJ443">
        <f>IF(OR(DE$3="",DE$3&gt;TODAY()),"",IF(AND(DH443="",DI443=""),"",N(DI443)-N(DH443)))</f>
        <v/>
      </c>
      <c r="DN443">
        <f>IF(OR(DL$3="",DL$3&gt;TODAY()),"",IF(AND(DL443="",DM443=""),"",N(DM443)-N(DL443)))</f>
        <v/>
      </c>
      <c r="DQ443">
        <f>IF(OR(DL$3="",DL$3&gt;TODAY()),"",IF(AND(DO443="",DP443=""),"",N(DP443)-N(DO443)))</f>
        <v/>
      </c>
      <c r="DU443">
        <f>IF(OR(DS$3="",DS$3&gt;TODAY()),"",IF(AND(DS443="",DT443=""),"",N(DT443)-N(DS443)))</f>
        <v/>
      </c>
      <c r="DX443">
        <f>IF(OR(DS$3="",DS$3&gt;TODAY()),"",IF(AND(DV443="",DW443=""),"",N(DW443)-N(DV443)))</f>
        <v/>
      </c>
      <c r="EB443">
        <f>IF(OR(DZ$3="",DZ$3&gt;TODAY()),"",IF(AND(DZ443="",EA443=""),"",N(EA443)-N(DZ443)))</f>
        <v/>
      </c>
      <c r="EE443">
        <f>IF(OR(DZ$3="",DZ$3&gt;TODAY()),"",IF(AND(EC443="",ED443=""),"",N(ED443)-N(EC443)))</f>
        <v/>
      </c>
      <c r="EI443">
        <f>IF(OR(EG$3="",EG$3&gt;TODAY()),"",IF(AND(EG443="",EH443=""),"",N(EH443)-N(EG443)))</f>
        <v/>
      </c>
      <c r="EL443">
        <f>IF(OR(EG$3="",EG$3&gt;TODAY()),"",IF(AND(EJ443="",EK443=""),"",N(EK443)-N(EJ443)))</f>
        <v/>
      </c>
      <c r="EP443">
        <f>IF(OR(EN$3="",EN$3&gt;TODAY()),"",IF(AND(EN443="",EO443=""),"",N(EO443)-N(EN443)))</f>
        <v/>
      </c>
      <c r="ES443">
        <f>IF(OR(EN$3="",EN$3&gt;TODAY()),"",IF(AND(EQ443="",ER443=""),"",N(ER443)-N(EQ443)))</f>
        <v/>
      </c>
      <c r="EW443">
        <f>IF(OR(EU$3="",EU$3&gt;TODAY()),"",IF(AND(EU443="",EV443=""),"",N(EV443)-N(EU443)))</f>
        <v/>
      </c>
      <c r="EZ443">
        <f>IF(OR(EU$3="",EU$3&gt;TODAY()),"",IF(AND(EX443="",EY443=""),"",N(EY443)-N(EX443)))</f>
        <v/>
      </c>
      <c r="FD443">
        <f>IF(OR(FB$3="",FB$3&gt;TODAY()),"",IF(AND(FB443="",FC443=""),"",N(FC443)-N(FB443)))</f>
        <v/>
      </c>
      <c r="FG443">
        <f>IF(OR(FB$3="",FB$3&gt;TODAY()),"",IF(AND(FE443="",FF443=""),"",N(FF443)-N(FE443)))</f>
        <v/>
      </c>
      <c r="FK443">
        <f>IF(OR(FI$3="",FI$3&gt;TODAY()),"",IF(AND(FI443="",FJ443=""),"",N(FJ443)-N(FI443)))</f>
        <v/>
      </c>
      <c r="FN443">
        <f>IF(OR(FI$3="",FI$3&gt;TODAY()),"",IF(AND(FL443="",FM443=""),"",N(FM443)-N(FL443)))</f>
        <v/>
      </c>
      <c r="FR443">
        <f>IF(OR(FP$3="",FP$3&gt;TODAY()),"",IF(AND(FP443="",FQ443=""),"",N(FQ443)-N(FP443)))</f>
        <v/>
      </c>
      <c r="FU443">
        <f>IF(OR(FP$3="",FP$3&gt;TODAY()),"",IF(AND(FS443="",FT443=""),"",N(FT443)-N(FS443)))</f>
        <v/>
      </c>
      <c r="FY443">
        <f>IF(OR(FW$3="",FW$3&gt;TODAY()),"",IF(AND(FW443="",FX443=""),"",N(FX443)-N(FW443)))</f>
        <v/>
      </c>
      <c r="GB443">
        <f>IF(OR(FW$3="",FW$3&gt;TODAY()),"",IF(AND(FZ443="",GA443=""),"",N(GA443)-N(FZ443)))</f>
        <v/>
      </c>
      <c r="GF443">
        <f>IF(OR(GD$3="",GD$3&gt;TODAY()),"",IF(AND(GD443="",GE443=""),"",N(GE443)-N(GD443)))</f>
        <v/>
      </c>
      <c r="GI443">
        <f>IF(OR(GD$3="",GD$3&gt;TODAY()),"",IF(AND(GG443="",GH443=""),"",N(GH443)-N(GG443)))</f>
        <v/>
      </c>
      <c r="GM443">
        <f>IF(OR(GK$3="",GK$3&gt;TODAY()),"",IF(AND(GK443="",GL443=""),"",N(GL443)-N(GK443)))</f>
        <v/>
      </c>
      <c r="GP443">
        <f>IF(OR(GK$3="",GK$3&gt;TODAY()),"",IF(AND(GN443="",GO443=""),"",N(GO443)-N(GN443)))</f>
        <v/>
      </c>
      <c r="GT443">
        <f>IF(OR(GR$3="",GR$3&gt;TODAY()),"",IF(AND(GR443="",GS443=""),"",N(GS443)-N(GR443)))</f>
        <v/>
      </c>
      <c r="GW443">
        <f>IF(OR(GR$3="",GR$3&gt;TODAY()),"",IF(AND(GU443="",GV443=""),"",N(GV443)-N(GU443)))</f>
        <v/>
      </c>
      <c r="HA443">
        <f>IF(OR(GY$3="",GY$3&gt;TODAY()),"",IF(AND(GY443="",GZ443=""),"",N(GZ443)-N(GY443)))</f>
        <v/>
      </c>
      <c r="HD443">
        <f>IF(OR(GY$3="",GY$3&gt;TODAY()),"",IF(AND(HB443="",HC443=""),"",N(HC443)-N(HB443)))</f>
        <v/>
      </c>
      <c r="HH443">
        <f>IF(OR(HF$3="",HF$3&gt;TODAY()),"",IF(AND(HF443="",HG443=""),"",N(HG443)-N(HF443)))</f>
        <v/>
      </c>
      <c r="HK443">
        <f>IF(OR(HF$3="",HF$3&gt;TODAY()),"",IF(AND(HI443="",HJ443=""),"",N(HJ443)-N(HI443)))</f>
        <v/>
      </c>
      <c r="HO443">
        <f>IF(OR(HM$3="",HM$3&gt;TODAY()),"",IF(AND(HM443="",HN443=""),"",N(HN443)-N(HM443)))</f>
        <v/>
      </c>
      <c r="HR443">
        <f>IF(OR(HM$3="",HM$3&gt;TODAY()),"",IF(AND(HP443="",HQ443=""),"",N(HQ443)-N(HP443)))</f>
        <v/>
      </c>
      <c r="HV443">
        <f>IF(OR(HT$3="",HT$3&gt;TODAY()),"",IF(AND(HT443="",HU443=""),"",N(HU443)-N(HT443)))</f>
        <v/>
      </c>
      <c r="HY443">
        <f>IF(OR(HT$3="",HT$3&gt;TODAY()),"",IF(AND(HW443="",HX443=""),"",N(HX443)-N(HW443)))</f>
        <v/>
      </c>
      <c r="IC443">
        <f>IF(OR(IA$3="",IA$3&gt;TODAY()),"",IF(AND(IA443="",IB443=""),"",N(IB443)-N(IA443)))</f>
        <v/>
      </c>
      <c r="IF443">
        <f>IF(OR(IA$3="",IA$3&gt;TODAY()),"",IF(AND(ID443="",IE443=""),"",N(IE443)-N(ID443)))</f>
        <v/>
      </c>
      <c r="IJ443">
        <f>IF(OR(IH$3="",IH$3&gt;TODAY()),"",IF(AND(IH443="",II443=""),"",N(II443)-N(IH443)))</f>
        <v/>
      </c>
      <c r="IM443">
        <f>IF(OR(IH$3="",IH$3&gt;TODAY()),"",IF(AND(IK443="",IL443=""),"",N(IL443)-N(IK443)))</f>
        <v/>
      </c>
    </row>
    <row r="444">
      <c r="A444" s="21" t="n"/>
      <c r="B444" s="21" t="n"/>
      <c r="C444" s="21" t="n"/>
      <c r="D444" s="21" t="n"/>
      <c r="E444" s="21" t="n"/>
      <c r="F444" s="21" t="n"/>
      <c r="G444" s="21" t="n"/>
      <c r="H444" s="21" t="n"/>
      <c r="I444" s="22" t="n"/>
      <c r="J444" s="22" t="n"/>
      <c r="K444" s="23" t="n"/>
      <c r="L444" s="22" t="n"/>
      <c r="M444" s="22" t="n"/>
      <c r="N444" s="21" t="n"/>
      <c r="O444" s="23" t="n"/>
      <c r="P444" s="23" t="n"/>
      <c r="Q444" s="23" t="n"/>
      <c r="R444" s="23" t="n"/>
      <c r="S444" s="22" t="n"/>
      <c r="T444" s="23" t="n"/>
      <c r="U444" s="23" t="n"/>
      <c r="V444" s="24">
        <f>IF(J444&lt;&gt;"",J444,IF(I444&lt;&gt;"",I444,""))</f>
        <v/>
      </c>
      <c r="W444" s="25">
        <f>IF($E444="","",N(O444)+SUMIFS($AF444:$IN444,$AF$4:$IN$4,"SEW_ACT"))</f>
        <v/>
      </c>
      <c r="X444" s="25">
        <f>IF($E444="","",N(P444)+SUMIFS($AF444:$IN444,$AF$4:$IN$4,"WASH_ACT"))</f>
        <v/>
      </c>
      <c r="Y444" s="25">
        <f>IF($E444="","",W444-X444-N(T444)-N(U444))</f>
        <v/>
      </c>
      <c r="Z444" s="25">
        <f>IF($E444="","",IF(N(K444)-X444&lt;=0.02*N(K444),0,N(K444)-X444))</f>
        <v/>
      </c>
      <c r="AA444" s="24">
        <f>IF($E444="","",IF(S444&lt;&gt;"",S444,IF(N(O444)&gt;0,IF(L444&lt;&gt;"",L444,99999),IFERROR(1/(1/_xlfn.MINIFS($AF$3:$IN$3,$AF$4:$IN$4,"SEW_ACT",$AF444:$IN444,"&gt;0")),99999))))</f>
        <v/>
      </c>
      <c r="AB444" s="26">
        <f>IF(OR($E444="",Z444=0,V444=""),"",1+COUNTIFS(Z$8:Z$707,"&gt;0",V$8:V$707,"&lt;"&amp;V444)+COUNTIFS(Z$8:Z$707,"&gt;0",V$8:V$707,V444,AA$8:AA$707,"&lt;"&amp;AA444)+COUNTIFS(Z$8:Z$707,"&gt;0",V$8:V$707,V444,AA$8:AA$707,AA444,E$8:E$707,"&lt;"&amp;$E444))</f>
        <v/>
      </c>
      <c r="AC444" s="24">
        <f>IF(OR($E444="",Z444=0),"",IFERROR(TODAY()+ROUNDUP(Z444/(SUMIFS($AF444:$IN444,$AF$4:$IN$4,"WASH_ACT")/COUNTIFS($AF$4:$IN$4,"WASH_ACT",$AF444:$IN444,"&gt;0")),0),"no output yet"))</f>
        <v/>
      </c>
      <c r="AD444" s="26">
        <f>IF($E444="","",IFERROR(ROUND(MAX(0,SUMIFS($AF444:$IN444,$AF$4:$IN$4,"SEW_PLAN",$AF$3:$IN$3,"&lt;="&amp;TODAY())-SUMIFS($AF444:$IN444,$AF$4:$IN$4,"SEW_ACT",$AF$3:$IN$3,"&lt;="&amp;TODAY())+N(Q444))/(SUMIFS($AF444:$IN444,$AF$4:$IN$4,"SEW_PLAN")/COUNTIFS($AF$4:$IN$4,"SEW_PLAN",$AF444:$IN444,"&gt;0")),1),0))</f>
        <v/>
      </c>
      <c r="AE444" s="26">
        <f>IF($E444="","",IF(AND(Z444&gt;0,OR(AND(M444&lt;&gt;"",TODAY()&gt;M444),AND(V444&lt;&gt;"",V444-TODAY()&lt;=7))),"Yes","No"))</f>
        <v/>
      </c>
      <c r="AH444">
        <f>IF(OR(AF$3="",AF$3&gt;TODAY()),"",IF(AND(AF444="",AG444=""),"",N(AG444)-N(AF444)))</f>
        <v/>
      </c>
      <c r="AK444">
        <f>IF(OR(AF$3="",AF$3&gt;TODAY()),"",IF(AND(AI444="",AJ444=""),"",N(AJ444)-N(AI444)))</f>
        <v/>
      </c>
      <c r="AO444">
        <f>IF(OR(AM$3="",AM$3&gt;TODAY()),"",IF(AND(AM444="",AN444=""),"",N(AN444)-N(AM444)))</f>
        <v/>
      </c>
      <c r="AR444">
        <f>IF(OR(AM$3="",AM$3&gt;TODAY()),"",IF(AND(AP444="",AQ444=""),"",N(AQ444)-N(AP444)))</f>
        <v/>
      </c>
      <c r="AV444">
        <f>IF(OR(AT$3="",AT$3&gt;TODAY()),"",IF(AND(AT444="",AU444=""),"",N(AU444)-N(AT444)))</f>
        <v/>
      </c>
      <c r="AY444">
        <f>IF(OR(AT$3="",AT$3&gt;TODAY()),"",IF(AND(AW444="",AX444=""),"",N(AX444)-N(AW444)))</f>
        <v/>
      </c>
      <c r="BC444">
        <f>IF(OR(BA$3="",BA$3&gt;TODAY()),"",IF(AND(BA444="",BB444=""),"",N(BB444)-N(BA444)))</f>
        <v/>
      </c>
      <c r="BF444">
        <f>IF(OR(BA$3="",BA$3&gt;TODAY()),"",IF(AND(BD444="",BE444=""),"",N(BE444)-N(BD444)))</f>
        <v/>
      </c>
      <c r="BJ444">
        <f>IF(OR(BH$3="",BH$3&gt;TODAY()),"",IF(AND(BH444="",BI444=""),"",N(BI444)-N(BH444)))</f>
        <v/>
      </c>
      <c r="BM444">
        <f>IF(OR(BH$3="",BH$3&gt;TODAY()),"",IF(AND(BK444="",BL444=""),"",N(BL444)-N(BK444)))</f>
        <v/>
      </c>
      <c r="BQ444">
        <f>IF(OR(BO$3="",BO$3&gt;TODAY()),"",IF(AND(BO444="",BP444=""),"",N(BP444)-N(BO444)))</f>
        <v/>
      </c>
      <c r="BT444">
        <f>IF(OR(BO$3="",BO$3&gt;TODAY()),"",IF(AND(BR444="",BS444=""),"",N(BS444)-N(BR444)))</f>
        <v/>
      </c>
      <c r="BX444">
        <f>IF(OR(BV$3="",BV$3&gt;TODAY()),"",IF(AND(BV444="",BW444=""),"",N(BW444)-N(BV444)))</f>
        <v/>
      </c>
      <c r="CA444">
        <f>IF(OR(BV$3="",BV$3&gt;TODAY()),"",IF(AND(BY444="",BZ444=""),"",N(BZ444)-N(BY444)))</f>
        <v/>
      </c>
      <c r="CE444">
        <f>IF(OR(CC$3="",CC$3&gt;TODAY()),"",IF(AND(CC444="",CD444=""),"",N(CD444)-N(CC444)))</f>
        <v/>
      </c>
      <c r="CH444">
        <f>IF(OR(CC$3="",CC$3&gt;TODAY()),"",IF(AND(CF444="",CG444=""),"",N(CG444)-N(CF444)))</f>
        <v/>
      </c>
      <c r="CL444">
        <f>IF(OR(CJ$3="",CJ$3&gt;TODAY()),"",IF(AND(CJ444="",CK444=""),"",N(CK444)-N(CJ444)))</f>
        <v/>
      </c>
      <c r="CO444">
        <f>IF(OR(CJ$3="",CJ$3&gt;TODAY()),"",IF(AND(CM444="",CN444=""),"",N(CN444)-N(CM444)))</f>
        <v/>
      </c>
      <c r="CS444">
        <f>IF(OR(CQ$3="",CQ$3&gt;TODAY()),"",IF(AND(CQ444="",CR444=""),"",N(CR444)-N(CQ444)))</f>
        <v/>
      </c>
      <c r="CV444">
        <f>IF(OR(CQ$3="",CQ$3&gt;TODAY()),"",IF(AND(CT444="",CU444=""),"",N(CU444)-N(CT444)))</f>
        <v/>
      </c>
      <c r="CZ444">
        <f>IF(OR(CX$3="",CX$3&gt;TODAY()),"",IF(AND(CX444="",CY444=""),"",N(CY444)-N(CX444)))</f>
        <v/>
      </c>
      <c r="DC444">
        <f>IF(OR(CX$3="",CX$3&gt;TODAY()),"",IF(AND(DA444="",DB444=""),"",N(DB444)-N(DA444)))</f>
        <v/>
      </c>
      <c r="DG444">
        <f>IF(OR(DE$3="",DE$3&gt;TODAY()),"",IF(AND(DE444="",DF444=""),"",N(DF444)-N(DE444)))</f>
        <v/>
      </c>
      <c r="DJ444">
        <f>IF(OR(DE$3="",DE$3&gt;TODAY()),"",IF(AND(DH444="",DI444=""),"",N(DI444)-N(DH444)))</f>
        <v/>
      </c>
      <c r="DN444">
        <f>IF(OR(DL$3="",DL$3&gt;TODAY()),"",IF(AND(DL444="",DM444=""),"",N(DM444)-N(DL444)))</f>
        <v/>
      </c>
      <c r="DQ444">
        <f>IF(OR(DL$3="",DL$3&gt;TODAY()),"",IF(AND(DO444="",DP444=""),"",N(DP444)-N(DO444)))</f>
        <v/>
      </c>
      <c r="DU444">
        <f>IF(OR(DS$3="",DS$3&gt;TODAY()),"",IF(AND(DS444="",DT444=""),"",N(DT444)-N(DS444)))</f>
        <v/>
      </c>
      <c r="DX444">
        <f>IF(OR(DS$3="",DS$3&gt;TODAY()),"",IF(AND(DV444="",DW444=""),"",N(DW444)-N(DV444)))</f>
        <v/>
      </c>
      <c r="EB444">
        <f>IF(OR(DZ$3="",DZ$3&gt;TODAY()),"",IF(AND(DZ444="",EA444=""),"",N(EA444)-N(DZ444)))</f>
        <v/>
      </c>
      <c r="EE444">
        <f>IF(OR(DZ$3="",DZ$3&gt;TODAY()),"",IF(AND(EC444="",ED444=""),"",N(ED444)-N(EC444)))</f>
        <v/>
      </c>
      <c r="EI444">
        <f>IF(OR(EG$3="",EG$3&gt;TODAY()),"",IF(AND(EG444="",EH444=""),"",N(EH444)-N(EG444)))</f>
        <v/>
      </c>
      <c r="EL444">
        <f>IF(OR(EG$3="",EG$3&gt;TODAY()),"",IF(AND(EJ444="",EK444=""),"",N(EK444)-N(EJ444)))</f>
        <v/>
      </c>
      <c r="EP444">
        <f>IF(OR(EN$3="",EN$3&gt;TODAY()),"",IF(AND(EN444="",EO444=""),"",N(EO444)-N(EN444)))</f>
        <v/>
      </c>
      <c r="ES444">
        <f>IF(OR(EN$3="",EN$3&gt;TODAY()),"",IF(AND(EQ444="",ER444=""),"",N(ER444)-N(EQ444)))</f>
        <v/>
      </c>
      <c r="EW444">
        <f>IF(OR(EU$3="",EU$3&gt;TODAY()),"",IF(AND(EU444="",EV444=""),"",N(EV444)-N(EU444)))</f>
        <v/>
      </c>
      <c r="EZ444">
        <f>IF(OR(EU$3="",EU$3&gt;TODAY()),"",IF(AND(EX444="",EY444=""),"",N(EY444)-N(EX444)))</f>
        <v/>
      </c>
      <c r="FD444">
        <f>IF(OR(FB$3="",FB$3&gt;TODAY()),"",IF(AND(FB444="",FC444=""),"",N(FC444)-N(FB444)))</f>
        <v/>
      </c>
      <c r="FG444">
        <f>IF(OR(FB$3="",FB$3&gt;TODAY()),"",IF(AND(FE444="",FF444=""),"",N(FF444)-N(FE444)))</f>
        <v/>
      </c>
      <c r="FK444">
        <f>IF(OR(FI$3="",FI$3&gt;TODAY()),"",IF(AND(FI444="",FJ444=""),"",N(FJ444)-N(FI444)))</f>
        <v/>
      </c>
      <c r="FN444">
        <f>IF(OR(FI$3="",FI$3&gt;TODAY()),"",IF(AND(FL444="",FM444=""),"",N(FM444)-N(FL444)))</f>
        <v/>
      </c>
      <c r="FR444">
        <f>IF(OR(FP$3="",FP$3&gt;TODAY()),"",IF(AND(FP444="",FQ444=""),"",N(FQ444)-N(FP444)))</f>
        <v/>
      </c>
      <c r="FU444">
        <f>IF(OR(FP$3="",FP$3&gt;TODAY()),"",IF(AND(FS444="",FT444=""),"",N(FT444)-N(FS444)))</f>
        <v/>
      </c>
      <c r="FY444">
        <f>IF(OR(FW$3="",FW$3&gt;TODAY()),"",IF(AND(FW444="",FX444=""),"",N(FX444)-N(FW444)))</f>
        <v/>
      </c>
      <c r="GB444">
        <f>IF(OR(FW$3="",FW$3&gt;TODAY()),"",IF(AND(FZ444="",GA444=""),"",N(GA444)-N(FZ444)))</f>
        <v/>
      </c>
      <c r="GF444">
        <f>IF(OR(GD$3="",GD$3&gt;TODAY()),"",IF(AND(GD444="",GE444=""),"",N(GE444)-N(GD444)))</f>
        <v/>
      </c>
      <c r="GI444">
        <f>IF(OR(GD$3="",GD$3&gt;TODAY()),"",IF(AND(GG444="",GH444=""),"",N(GH444)-N(GG444)))</f>
        <v/>
      </c>
      <c r="GM444">
        <f>IF(OR(GK$3="",GK$3&gt;TODAY()),"",IF(AND(GK444="",GL444=""),"",N(GL444)-N(GK444)))</f>
        <v/>
      </c>
      <c r="GP444">
        <f>IF(OR(GK$3="",GK$3&gt;TODAY()),"",IF(AND(GN444="",GO444=""),"",N(GO444)-N(GN444)))</f>
        <v/>
      </c>
      <c r="GT444">
        <f>IF(OR(GR$3="",GR$3&gt;TODAY()),"",IF(AND(GR444="",GS444=""),"",N(GS444)-N(GR444)))</f>
        <v/>
      </c>
      <c r="GW444">
        <f>IF(OR(GR$3="",GR$3&gt;TODAY()),"",IF(AND(GU444="",GV444=""),"",N(GV444)-N(GU444)))</f>
        <v/>
      </c>
      <c r="HA444">
        <f>IF(OR(GY$3="",GY$3&gt;TODAY()),"",IF(AND(GY444="",GZ444=""),"",N(GZ444)-N(GY444)))</f>
        <v/>
      </c>
      <c r="HD444">
        <f>IF(OR(GY$3="",GY$3&gt;TODAY()),"",IF(AND(HB444="",HC444=""),"",N(HC444)-N(HB444)))</f>
        <v/>
      </c>
      <c r="HH444">
        <f>IF(OR(HF$3="",HF$3&gt;TODAY()),"",IF(AND(HF444="",HG444=""),"",N(HG444)-N(HF444)))</f>
        <v/>
      </c>
      <c r="HK444">
        <f>IF(OR(HF$3="",HF$3&gt;TODAY()),"",IF(AND(HI444="",HJ444=""),"",N(HJ444)-N(HI444)))</f>
        <v/>
      </c>
      <c r="HO444">
        <f>IF(OR(HM$3="",HM$3&gt;TODAY()),"",IF(AND(HM444="",HN444=""),"",N(HN444)-N(HM444)))</f>
        <v/>
      </c>
      <c r="HR444">
        <f>IF(OR(HM$3="",HM$3&gt;TODAY()),"",IF(AND(HP444="",HQ444=""),"",N(HQ444)-N(HP444)))</f>
        <v/>
      </c>
      <c r="HV444">
        <f>IF(OR(HT$3="",HT$3&gt;TODAY()),"",IF(AND(HT444="",HU444=""),"",N(HU444)-N(HT444)))</f>
        <v/>
      </c>
      <c r="HY444">
        <f>IF(OR(HT$3="",HT$3&gt;TODAY()),"",IF(AND(HW444="",HX444=""),"",N(HX444)-N(HW444)))</f>
        <v/>
      </c>
      <c r="IC444">
        <f>IF(OR(IA$3="",IA$3&gt;TODAY()),"",IF(AND(IA444="",IB444=""),"",N(IB444)-N(IA444)))</f>
        <v/>
      </c>
      <c r="IF444">
        <f>IF(OR(IA$3="",IA$3&gt;TODAY()),"",IF(AND(ID444="",IE444=""),"",N(IE444)-N(ID444)))</f>
        <v/>
      </c>
      <c r="IJ444">
        <f>IF(OR(IH$3="",IH$3&gt;TODAY()),"",IF(AND(IH444="",II444=""),"",N(II444)-N(IH444)))</f>
        <v/>
      </c>
      <c r="IM444">
        <f>IF(OR(IH$3="",IH$3&gt;TODAY()),"",IF(AND(IK444="",IL444=""),"",N(IL444)-N(IK444)))</f>
        <v/>
      </c>
    </row>
    <row r="445">
      <c r="A445" s="21" t="n"/>
      <c r="B445" s="21" t="n"/>
      <c r="C445" s="21" t="n"/>
      <c r="D445" s="21" t="n"/>
      <c r="E445" s="21" t="n"/>
      <c r="F445" s="21" t="n"/>
      <c r="G445" s="21" t="n"/>
      <c r="H445" s="21" t="n"/>
      <c r="I445" s="22" t="n"/>
      <c r="J445" s="22" t="n"/>
      <c r="K445" s="23" t="n"/>
      <c r="L445" s="22" t="n"/>
      <c r="M445" s="22" t="n"/>
      <c r="N445" s="21" t="n"/>
      <c r="O445" s="23" t="n"/>
      <c r="P445" s="23" t="n"/>
      <c r="Q445" s="23" t="n"/>
      <c r="R445" s="23" t="n"/>
      <c r="S445" s="22" t="n"/>
      <c r="T445" s="23" t="n"/>
      <c r="U445" s="23" t="n"/>
      <c r="V445" s="24">
        <f>IF(J445&lt;&gt;"",J445,IF(I445&lt;&gt;"",I445,""))</f>
        <v/>
      </c>
      <c r="W445" s="25">
        <f>IF($E445="","",N(O445)+SUMIFS($AF445:$IN445,$AF$4:$IN$4,"SEW_ACT"))</f>
        <v/>
      </c>
      <c r="X445" s="25">
        <f>IF($E445="","",N(P445)+SUMIFS($AF445:$IN445,$AF$4:$IN$4,"WASH_ACT"))</f>
        <v/>
      </c>
      <c r="Y445" s="25">
        <f>IF($E445="","",W445-X445-N(T445)-N(U445))</f>
        <v/>
      </c>
      <c r="Z445" s="25">
        <f>IF($E445="","",IF(N(K445)-X445&lt;=0.02*N(K445),0,N(K445)-X445))</f>
        <v/>
      </c>
      <c r="AA445" s="24">
        <f>IF($E445="","",IF(S445&lt;&gt;"",S445,IF(N(O445)&gt;0,IF(L445&lt;&gt;"",L445,99999),IFERROR(1/(1/_xlfn.MINIFS($AF$3:$IN$3,$AF$4:$IN$4,"SEW_ACT",$AF445:$IN445,"&gt;0")),99999))))</f>
        <v/>
      </c>
      <c r="AB445" s="26">
        <f>IF(OR($E445="",Z445=0,V445=""),"",1+COUNTIFS(Z$8:Z$707,"&gt;0",V$8:V$707,"&lt;"&amp;V445)+COUNTIFS(Z$8:Z$707,"&gt;0",V$8:V$707,V445,AA$8:AA$707,"&lt;"&amp;AA445)+COUNTIFS(Z$8:Z$707,"&gt;0",V$8:V$707,V445,AA$8:AA$707,AA445,E$8:E$707,"&lt;"&amp;$E445))</f>
        <v/>
      </c>
      <c r="AC445" s="24">
        <f>IF(OR($E445="",Z445=0),"",IFERROR(TODAY()+ROUNDUP(Z445/(SUMIFS($AF445:$IN445,$AF$4:$IN$4,"WASH_ACT")/COUNTIFS($AF$4:$IN$4,"WASH_ACT",$AF445:$IN445,"&gt;0")),0),"no output yet"))</f>
        <v/>
      </c>
      <c r="AD445" s="26">
        <f>IF($E445="","",IFERROR(ROUND(MAX(0,SUMIFS($AF445:$IN445,$AF$4:$IN$4,"SEW_PLAN",$AF$3:$IN$3,"&lt;="&amp;TODAY())-SUMIFS($AF445:$IN445,$AF$4:$IN$4,"SEW_ACT",$AF$3:$IN$3,"&lt;="&amp;TODAY())+N(Q445))/(SUMIFS($AF445:$IN445,$AF$4:$IN$4,"SEW_PLAN")/COUNTIFS($AF$4:$IN$4,"SEW_PLAN",$AF445:$IN445,"&gt;0")),1),0))</f>
        <v/>
      </c>
      <c r="AE445" s="26">
        <f>IF($E445="","",IF(AND(Z445&gt;0,OR(AND(M445&lt;&gt;"",TODAY()&gt;M445),AND(V445&lt;&gt;"",V445-TODAY()&lt;=7))),"Yes","No"))</f>
        <v/>
      </c>
      <c r="AH445">
        <f>IF(OR(AF$3="",AF$3&gt;TODAY()),"",IF(AND(AF445="",AG445=""),"",N(AG445)-N(AF445)))</f>
        <v/>
      </c>
      <c r="AK445">
        <f>IF(OR(AF$3="",AF$3&gt;TODAY()),"",IF(AND(AI445="",AJ445=""),"",N(AJ445)-N(AI445)))</f>
        <v/>
      </c>
      <c r="AO445">
        <f>IF(OR(AM$3="",AM$3&gt;TODAY()),"",IF(AND(AM445="",AN445=""),"",N(AN445)-N(AM445)))</f>
        <v/>
      </c>
      <c r="AR445">
        <f>IF(OR(AM$3="",AM$3&gt;TODAY()),"",IF(AND(AP445="",AQ445=""),"",N(AQ445)-N(AP445)))</f>
        <v/>
      </c>
      <c r="AV445">
        <f>IF(OR(AT$3="",AT$3&gt;TODAY()),"",IF(AND(AT445="",AU445=""),"",N(AU445)-N(AT445)))</f>
        <v/>
      </c>
      <c r="AY445">
        <f>IF(OR(AT$3="",AT$3&gt;TODAY()),"",IF(AND(AW445="",AX445=""),"",N(AX445)-N(AW445)))</f>
        <v/>
      </c>
      <c r="BC445">
        <f>IF(OR(BA$3="",BA$3&gt;TODAY()),"",IF(AND(BA445="",BB445=""),"",N(BB445)-N(BA445)))</f>
        <v/>
      </c>
      <c r="BF445">
        <f>IF(OR(BA$3="",BA$3&gt;TODAY()),"",IF(AND(BD445="",BE445=""),"",N(BE445)-N(BD445)))</f>
        <v/>
      </c>
      <c r="BJ445">
        <f>IF(OR(BH$3="",BH$3&gt;TODAY()),"",IF(AND(BH445="",BI445=""),"",N(BI445)-N(BH445)))</f>
        <v/>
      </c>
      <c r="BM445">
        <f>IF(OR(BH$3="",BH$3&gt;TODAY()),"",IF(AND(BK445="",BL445=""),"",N(BL445)-N(BK445)))</f>
        <v/>
      </c>
      <c r="BQ445">
        <f>IF(OR(BO$3="",BO$3&gt;TODAY()),"",IF(AND(BO445="",BP445=""),"",N(BP445)-N(BO445)))</f>
        <v/>
      </c>
      <c r="BT445">
        <f>IF(OR(BO$3="",BO$3&gt;TODAY()),"",IF(AND(BR445="",BS445=""),"",N(BS445)-N(BR445)))</f>
        <v/>
      </c>
      <c r="BX445">
        <f>IF(OR(BV$3="",BV$3&gt;TODAY()),"",IF(AND(BV445="",BW445=""),"",N(BW445)-N(BV445)))</f>
        <v/>
      </c>
      <c r="CA445">
        <f>IF(OR(BV$3="",BV$3&gt;TODAY()),"",IF(AND(BY445="",BZ445=""),"",N(BZ445)-N(BY445)))</f>
        <v/>
      </c>
      <c r="CE445">
        <f>IF(OR(CC$3="",CC$3&gt;TODAY()),"",IF(AND(CC445="",CD445=""),"",N(CD445)-N(CC445)))</f>
        <v/>
      </c>
      <c r="CH445">
        <f>IF(OR(CC$3="",CC$3&gt;TODAY()),"",IF(AND(CF445="",CG445=""),"",N(CG445)-N(CF445)))</f>
        <v/>
      </c>
      <c r="CL445">
        <f>IF(OR(CJ$3="",CJ$3&gt;TODAY()),"",IF(AND(CJ445="",CK445=""),"",N(CK445)-N(CJ445)))</f>
        <v/>
      </c>
      <c r="CO445">
        <f>IF(OR(CJ$3="",CJ$3&gt;TODAY()),"",IF(AND(CM445="",CN445=""),"",N(CN445)-N(CM445)))</f>
        <v/>
      </c>
      <c r="CS445">
        <f>IF(OR(CQ$3="",CQ$3&gt;TODAY()),"",IF(AND(CQ445="",CR445=""),"",N(CR445)-N(CQ445)))</f>
        <v/>
      </c>
      <c r="CV445">
        <f>IF(OR(CQ$3="",CQ$3&gt;TODAY()),"",IF(AND(CT445="",CU445=""),"",N(CU445)-N(CT445)))</f>
        <v/>
      </c>
      <c r="CZ445">
        <f>IF(OR(CX$3="",CX$3&gt;TODAY()),"",IF(AND(CX445="",CY445=""),"",N(CY445)-N(CX445)))</f>
        <v/>
      </c>
      <c r="DC445">
        <f>IF(OR(CX$3="",CX$3&gt;TODAY()),"",IF(AND(DA445="",DB445=""),"",N(DB445)-N(DA445)))</f>
        <v/>
      </c>
      <c r="DG445">
        <f>IF(OR(DE$3="",DE$3&gt;TODAY()),"",IF(AND(DE445="",DF445=""),"",N(DF445)-N(DE445)))</f>
        <v/>
      </c>
      <c r="DJ445">
        <f>IF(OR(DE$3="",DE$3&gt;TODAY()),"",IF(AND(DH445="",DI445=""),"",N(DI445)-N(DH445)))</f>
        <v/>
      </c>
      <c r="DN445">
        <f>IF(OR(DL$3="",DL$3&gt;TODAY()),"",IF(AND(DL445="",DM445=""),"",N(DM445)-N(DL445)))</f>
        <v/>
      </c>
      <c r="DQ445">
        <f>IF(OR(DL$3="",DL$3&gt;TODAY()),"",IF(AND(DO445="",DP445=""),"",N(DP445)-N(DO445)))</f>
        <v/>
      </c>
      <c r="DU445">
        <f>IF(OR(DS$3="",DS$3&gt;TODAY()),"",IF(AND(DS445="",DT445=""),"",N(DT445)-N(DS445)))</f>
        <v/>
      </c>
      <c r="DX445">
        <f>IF(OR(DS$3="",DS$3&gt;TODAY()),"",IF(AND(DV445="",DW445=""),"",N(DW445)-N(DV445)))</f>
        <v/>
      </c>
      <c r="EB445">
        <f>IF(OR(DZ$3="",DZ$3&gt;TODAY()),"",IF(AND(DZ445="",EA445=""),"",N(EA445)-N(DZ445)))</f>
        <v/>
      </c>
      <c r="EE445">
        <f>IF(OR(DZ$3="",DZ$3&gt;TODAY()),"",IF(AND(EC445="",ED445=""),"",N(ED445)-N(EC445)))</f>
        <v/>
      </c>
      <c r="EI445">
        <f>IF(OR(EG$3="",EG$3&gt;TODAY()),"",IF(AND(EG445="",EH445=""),"",N(EH445)-N(EG445)))</f>
        <v/>
      </c>
      <c r="EL445">
        <f>IF(OR(EG$3="",EG$3&gt;TODAY()),"",IF(AND(EJ445="",EK445=""),"",N(EK445)-N(EJ445)))</f>
        <v/>
      </c>
      <c r="EP445">
        <f>IF(OR(EN$3="",EN$3&gt;TODAY()),"",IF(AND(EN445="",EO445=""),"",N(EO445)-N(EN445)))</f>
        <v/>
      </c>
      <c r="ES445">
        <f>IF(OR(EN$3="",EN$3&gt;TODAY()),"",IF(AND(EQ445="",ER445=""),"",N(ER445)-N(EQ445)))</f>
        <v/>
      </c>
      <c r="EW445">
        <f>IF(OR(EU$3="",EU$3&gt;TODAY()),"",IF(AND(EU445="",EV445=""),"",N(EV445)-N(EU445)))</f>
        <v/>
      </c>
      <c r="EZ445">
        <f>IF(OR(EU$3="",EU$3&gt;TODAY()),"",IF(AND(EX445="",EY445=""),"",N(EY445)-N(EX445)))</f>
        <v/>
      </c>
      <c r="FD445">
        <f>IF(OR(FB$3="",FB$3&gt;TODAY()),"",IF(AND(FB445="",FC445=""),"",N(FC445)-N(FB445)))</f>
        <v/>
      </c>
      <c r="FG445">
        <f>IF(OR(FB$3="",FB$3&gt;TODAY()),"",IF(AND(FE445="",FF445=""),"",N(FF445)-N(FE445)))</f>
        <v/>
      </c>
      <c r="FK445">
        <f>IF(OR(FI$3="",FI$3&gt;TODAY()),"",IF(AND(FI445="",FJ445=""),"",N(FJ445)-N(FI445)))</f>
        <v/>
      </c>
      <c r="FN445">
        <f>IF(OR(FI$3="",FI$3&gt;TODAY()),"",IF(AND(FL445="",FM445=""),"",N(FM445)-N(FL445)))</f>
        <v/>
      </c>
      <c r="FR445">
        <f>IF(OR(FP$3="",FP$3&gt;TODAY()),"",IF(AND(FP445="",FQ445=""),"",N(FQ445)-N(FP445)))</f>
        <v/>
      </c>
      <c r="FU445">
        <f>IF(OR(FP$3="",FP$3&gt;TODAY()),"",IF(AND(FS445="",FT445=""),"",N(FT445)-N(FS445)))</f>
        <v/>
      </c>
      <c r="FY445">
        <f>IF(OR(FW$3="",FW$3&gt;TODAY()),"",IF(AND(FW445="",FX445=""),"",N(FX445)-N(FW445)))</f>
        <v/>
      </c>
      <c r="GB445">
        <f>IF(OR(FW$3="",FW$3&gt;TODAY()),"",IF(AND(FZ445="",GA445=""),"",N(GA445)-N(FZ445)))</f>
        <v/>
      </c>
      <c r="GF445">
        <f>IF(OR(GD$3="",GD$3&gt;TODAY()),"",IF(AND(GD445="",GE445=""),"",N(GE445)-N(GD445)))</f>
        <v/>
      </c>
      <c r="GI445">
        <f>IF(OR(GD$3="",GD$3&gt;TODAY()),"",IF(AND(GG445="",GH445=""),"",N(GH445)-N(GG445)))</f>
        <v/>
      </c>
      <c r="GM445">
        <f>IF(OR(GK$3="",GK$3&gt;TODAY()),"",IF(AND(GK445="",GL445=""),"",N(GL445)-N(GK445)))</f>
        <v/>
      </c>
      <c r="GP445">
        <f>IF(OR(GK$3="",GK$3&gt;TODAY()),"",IF(AND(GN445="",GO445=""),"",N(GO445)-N(GN445)))</f>
        <v/>
      </c>
      <c r="GT445">
        <f>IF(OR(GR$3="",GR$3&gt;TODAY()),"",IF(AND(GR445="",GS445=""),"",N(GS445)-N(GR445)))</f>
        <v/>
      </c>
      <c r="GW445">
        <f>IF(OR(GR$3="",GR$3&gt;TODAY()),"",IF(AND(GU445="",GV445=""),"",N(GV445)-N(GU445)))</f>
        <v/>
      </c>
      <c r="HA445">
        <f>IF(OR(GY$3="",GY$3&gt;TODAY()),"",IF(AND(GY445="",GZ445=""),"",N(GZ445)-N(GY445)))</f>
        <v/>
      </c>
      <c r="HD445">
        <f>IF(OR(GY$3="",GY$3&gt;TODAY()),"",IF(AND(HB445="",HC445=""),"",N(HC445)-N(HB445)))</f>
        <v/>
      </c>
      <c r="HH445">
        <f>IF(OR(HF$3="",HF$3&gt;TODAY()),"",IF(AND(HF445="",HG445=""),"",N(HG445)-N(HF445)))</f>
        <v/>
      </c>
      <c r="HK445">
        <f>IF(OR(HF$3="",HF$3&gt;TODAY()),"",IF(AND(HI445="",HJ445=""),"",N(HJ445)-N(HI445)))</f>
        <v/>
      </c>
      <c r="HO445">
        <f>IF(OR(HM$3="",HM$3&gt;TODAY()),"",IF(AND(HM445="",HN445=""),"",N(HN445)-N(HM445)))</f>
        <v/>
      </c>
      <c r="HR445">
        <f>IF(OR(HM$3="",HM$3&gt;TODAY()),"",IF(AND(HP445="",HQ445=""),"",N(HQ445)-N(HP445)))</f>
        <v/>
      </c>
      <c r="HV445">
        <f>IF(OR(HT$3="",HT$3&gt;TODAY()),"",IF(AND(HT445="",HU445=""),"",N(HU445)-N(HT445)))</f>
        <v/>
      </c>
      <c r="HY445">
        <f>IF(OR(HT$3="",HT$3&gt;TODAY()),"",IF(AND(HW445="",HX445=""),"",N(HX445)-N(HW445)))</f>
        <v/>
      </c>
      <c r="IC445">
        <f>IF(OR(IA$3="",IA$3&gt;TODAY()),"",IF(AND(IA445="",IB445=""),"",N(IB445)-N(IA445)))</f>
        <v/>
      </c>
      <c r="IF445">
        <f>IF(OR(IA$3="",IA$3&gt;TODAY()),"",IF(AND(ID445="",IE445=""),"",N(IE445)-N(ID445)))</f>
        <v/>
      </c>
      <c r="IJ445">
        <f>IF(OR(IH$3="",IH$3&gt;TODAY()),"",IF(AND(IH445="",II445=""),"",N(II445)-N(IH445)))</f>
        <v/>
      </c>
      <c r="IM445">
        <f>IF(OR(IH$3="",IH$3&gt;TODAY()),"",IF(AND(IK445="",IL445=""),"",N(IL445)-N(IK445)))</f>
        <v/>
      </c>
    </row>
    <row r="446">
      <c r="A446" s="21" t="n"/>
      <c r="B446" s="21" t="n"/>
      <c r="C446" s="21" t="n"/>
      <c r="D446" s="21" t="n"/>
      <c r="E446" s="21" t="n"/>
      <c r="F446" s="21" t="n"/>
      <c r="G446" s="21" t="n"/>
      <c r="H446" s="21" t="n"/>
      <c r="I446" s="22" t="n"/>
      <c r="J446" s="22" t="n"/>
      <c r="K446" s="23" t="n"/>
      <c r="L446" s="22" t="n"/>
      <c r="M446" s="22" t="n"/>
      <c r="N446" s="21" t="n"/>
      <c r="O446" s="23" t="n"/>
      <c r="P446" s="23" t="n"/>
      <c r="Q446" s="23" t="n"/>
      <c r="R446" s="23" t="n"/>
      <c r="S446" s="22" t="n"/>
      <c r="T446" s="23" t="n"/>
      <c r="U446" s="23" t="n"/>
      <c r="V446" s="24">
        <f>IF(J446&lt;&gt;"",J446,IF(I446&lt;&gt;"",I446,""))</f>
        <v/>
      </c>
      <c r="W446" s="25">
        <f>IF($E446="","",N(O446)+SUMIFS($AF446:$IN446,$AF$4:$IN$4,"SEW_ACT"))</f>
        <v/>
      </c>
      <c r="X446" s="25">
        <f>IF($E446="","",N(P446)+SUMIFS($AF446:$IN446,$AF$4:$IN$4,"WASH_ACT"))</f>
        <v/>
      </c>
      <c r="Y446" s="25">
        <f>IF($E446="","",W446-X446-N(T446)-N(U446))</f>
        <v/>
      </c>
      <c r="Z446" s="25">
        <f>IF($E446="","",IF(N(K446)-X446&lt;=0.02*N(K446),0,N(K446)-X446))</f>
        <v/>
      </c>
      <c r="AA446" s="24">
        <f>IF($E446="","",IF(S446&lt;&gt;"",S446,IF(N(O446)&gt;0,IF(L446&lt;&gt;"",L446,99999),IFERROR(1/(1/_xlfn.MINIFS($AF$3:$IN$3,$AF$4:$IN$4,"SEW_ACT",$AF446:$IN446,"&gt;0")),99999))))</f>
        <v/>
      </c>
      <c r="AB446" s="26">
        <f>IF(OR($E446="",Z446=0,V446=""),"",1+COUNTIFS(Z$8:Z$707,"&gt;0",V$8:V$707,"&lt;"&amp;V446)+COUNTIFS(Z$8:Z$707,"&gt;0",V$8:V$707,V446,AA$8:AA$707,"&lt;"&amp;AA446)+COUNTIFS(Z$8:Z$707,"&gt;0",V$8:V$707,V446,AA$8:AA$707,AA446,E$8:E$707,"&lt;"&amp;$E446))</f>
        <v/>
      </c>
      <c r="AC446" s="24">
        <f>IF(OR($E446="",Z446=0),"",IFERROR(TODAY()+ROUNDUP(Z446/(SUMIFS($AF446:$IN446,$AF$4:$IN$4,"WASH_ACT")/COUNTIFS($AF$4:$IN$4,"WASH_ACT",$AF446:$IN446,"&gt;0")),0),"no output yet"))</f>
        <v/>
      </c>
      <c r="AD446" s="26">
        <f>IF($E446="","",IFERROR(ROUND(MAX(0,SUMIFS($AF446:$IN446,$AF$4:$IN$4,"SEW_PLAN",$AF$3:$IN$3,"&lt;="&amp;TODAY())-SUMIFS($AF446:$IN446,$AF$4:$IN$4,"SEW_ACT",$AF$3:$IN$3,"&lt;="&amp;TODAY())+N(Q446))/(SUMIFS($AF446:$IN446,$AF$4:$IN$4,"SEW_PLAN")/COUNTIFS($AF$4:$IN$4,"SEW_PLAN",$AF446:$IN446,"&gt;0")),1),0))</f>
        <v/>
      </c>
      <c r="AE446" s="26">
        <f>IF($E446="","",IF(AND(Z446&gt;0,OR(AND(M446&lt;&gt;"",TODAY()&gt;M446),AND(V446&lt;&gt;"",V446-TODAY()&lt;=7))),"Yes","No"))</f>
        <v/>
      </c>
      <c r="AH446">
        <f>IF(OR(AF$3="",AF$3&gt;TODAY()),"",IF(AND(AF446="",AG446=""),"",N(AG446)-N(AF446)))</f>
        <v/>
      </c>
      <c r="AK446">
        <f>IF(OR(AF$3="",AF$3&gt;TODAY()),"",IF(AND(AI446="",AJ446=""),"",N(AJ446)-N(AI446)))</f>
        <v/>
      </c>
      <c r="AO446">
        <f>IF(OR(AM$3="",AM$3&gt;TODAY()),"",IF(AND(AM446="",AN446=""),"",N(AN446)-N(AM446)))</f>
        <v/>
      </c>
      <c r="AR446">
        <f>IF(OR(AM$3="",AM$3&gt;TODAY()),"",IF(AND(AP446="",AQ446=""),"",N(AQ446)-N(AP446)))</f>
        <v/>
      </c>
      <c r="AV446">
        <f>IF(OR(AT$3="",AT$3&gt;TODAY()),"",IF(AND(AT446="",AU446=""),"",N(AU446)-N(AT446)))</f>
        <v/>
      </c>
      <c r="AY446">
        <f>IF(OR(AT$3="",AT$3&gt;TODAY()),"",IF(AND(AW446="",AX446=""),"",N(AX446)-N(AW446)))</f>
        <v/>
      </c>
      <c r="BC446">
        <f>IF(OR(BA$3="",BA$3&gt;TODAY()),"",IF(AND(BA446="",BB446=""),"",N(BB446)-N(BA446)))</f>
        <v/>
      </c>
      <c r="BF446">
        <f>IF(OR(BA$3="",BA$3&gt;TODAY()),"",IF(AND(BD446="",BE446=""),"",N(BE446)-N(BD446)))</f>
        <v/>
      </c>
      <c r="BJ446">
        <f>IF(OR(BH$3="",BH$3&gt;TODAY()),"",IF(AND(BH446="",BI446=""),"",N(BI446)-N(BH446)))</f>
        <v/>
      </c>
      <c r="BM446">
        <f>IF(OR(BH$3="",BH$3&gt;TODAY()),"",IF(AND(BK446="",BL446=""),"",N(BL446)-N(BK446)))</f>
        <v/>
      </c>
      <c r="BQ446">
        <f>IF(OR(BO$3="",BO$3&gt;TODAY()),"",IF(AND(BO446="",BP446=""),"",N(BP446)-N(BO446)))</f>
        <v/>
      </c>
      <c r="BT446">
        <f>IF(OR(BO$3="",BO$3&gt;TODAY()),"",IF(AND(BR446="",BS446=""),"",N(BS446)-N(BR446)))</f>
        <v/>
      </c>
      <c r="BX446">
        <f>IF(OR(BV$3="",BV$3&gt;TODAY()),"",IF(AND(BV446="",BW446=""),"",N(BW446)-N(BV446)))</f>
        <v/>
      </c>
      <c r="CA446">
        <f>IF(OR(BV$3="",BV$3&gt;TODAY()),"",IF(AND(BY446="",BZ446=""),"",N(BZ446)-N(BY446)))</f>
        <v/>
      </c>
      <c r="CE446">
        <f>IF(OR(CC$3="",CC$3&gt;TODAY()),"",IF(AND(CC446="",CD446=""),"",N(CD446)-N(CC446)))</f>
        <v/>
      </c>
      <c r="CH446">
        <f>IF(OR(CC$3="",CC$3&gt;TODAY()),"",IF(AND(CF446="",CG446=""),"",N(CG446)-N(CF446)))</f>
        <v/>
      </c>
      <c r="CL446">
        <f>IF(OR(CJ$3="",CJ$3&gt;TODAY()),"",IF(AND(CJ446="",CK446=""),"",N(CK446)-N(CJ446)))</f>
        <v/>
      </c>
      <c r="CO446">
        <f>IF(OR(CJ$3="",CJ$3&gt;TODAY()),"",IF(AND(CM446="",CN446=""),"",N(CN446)-N(CM446)))</f>
        <v/>
      </c>
      <c r="CS446">
        <f>IF(OR(CQ$3="",CQ$3&gt;TODAY()),"",IF(AND(CQ446="",CR446=""),"",N(CR446)-N(CQ446)))</f>
        <v/>
      </c>
      <c r="CV446">
        <f>IF(OR(CQ$3="",CQ$3&gt;TODAY()),"",IF(AND(CT446="",CU446=""),"",N(CU446)-N(CT446)))</f>
        <v/>
      </c>
      <c r="CZ446">
        <f>IF(OR(CX$3="",CX$3&gt;TODAY()),"",IF(AND(CX446="",CY446=""),"",N(CY446)-N(CX446)))</f>
        <v/>
      </c>
      <c r="DC446">
        <f>IF(OR(CX$3="",CX$3&gt;TODAY()),"",IF(AND(DA446="",DB446=""),"",N(DB446)-N(DA446)))</f>
        <v/>
      </c>
      <c r="DG446">
        <f>IF(OR(DE$3="",DE$3&gt;TODAY()),"",IF(AND(DE446="",DF446=""),"",N(DF446)-N(DE446)))</f>
        <v/>
      </c>
      <c r="DJ446">
        <f>IF(OR(DE$3="",DE$3&gt;TODAY()),"",IF(AND(DH446="",DI446=""),"",N(DI446)-N(DH446)))</f>
        <v/>
      </c>
      <c r="DN446">
        <f>IF(OR(DL$3="",DL$3&gt;TODAY()),"",IF(AND(DL446="",DM446=""),"",N(DM446)-N(DL446)))</f>
        <v/>
      </c>
      <c r="DQ446">
        <f>IF(OR(DL$3="",DL$3&gt;TODAY()),"",IF(AND(DO446="",DP446=""),"",N(DP446)-N(DO446)))</f>
        <v/>
      </c>
      <c r="DU446">
        <f>IF(OR(DS$3="",DS$3&gt;TODAY()),"",IF(AND(DS446="",DT446=""),"",N(DT446)-N(DS446)))</f>
        <v/>
      </c>
      <c r="DX446">
        <f>IF(OR(DS$3="",DS$3&gt;TODAY()),"",IF(AND(DV446="",DW446=""),"",N(DW446)-N(DV446)))</f>
        <v/>
      </c>
      <c r="EB446">
        <f>IF(OR(DZ$3="",DZ$3&gt;TODAY()),"",IF(AND(DZ446="",EA446=""),"",N(EA446)-N(DZ446)))</f>
        <v/>
      </c>
      <c r="EE446">
        <f>IF(OR(DZ$3="",DZ$3&gt;TODAY()),"",IF(AND(EC446="",ED446=""),"",N(ED446)-N(EC446)))</f>
        <v/>
      </c>
      <c r="EI446">
        <f>IF(OR(EG$3="",EG$3&gt;TODAY()),"",IF(AND(EG446="",EH446=""),"",N(EH446)-N(EG446)))</f>
        <v/>
      </c>
      <c r="EL446">
        <f>IF(OR(EG$3="",EG$3&gt;TODAY()),"",IF(AND(EJ446="",EK446=""),"",N(EK446)-N(EJ446)))</f>
        <v/>
      </c>
      <c r="EP446">
        <f>IF(OR(EN$3="",EN$3&gt;TODAY()),"",IF(AND(EN446="",EO446=""),"",N(EO446)-N(EN446)))</f>
        <v/>
      </c>
      <c r="ES446">
        <f>IF(OR(EN$3="",EN$3&gt;TODAY()),"",IF(AND(EQ446="",ER446=""),"",N(ER446)-N(EQ446)))</f>
        <v/>
      </c>
      <c r="EW446">
        <f>IF(OR(EU$3="",EU$3&gt;TODAY()),"",IF(AND(EU446="",EV446=""),"",N(EV446)-N(EU446)))</f>
        <v/>
      </c>
      <c r="EZ446">
        <f>IF(OR(EU$3="",EU$3&gt;TODAY()),"",IF(AND(EX446="",EY446=""),"",N(EY446)-N(EX446)))</f>
        <v/>
      </c>
      <c r="FD446">
        <f>IF(OR(FB$3="",FB$3&gt;TODAY()),"",IF(AND(FB446="",FC446=""),"",N(FC446)-N(FB446)))</f>
        <v/>
      </c>
      <c r="FG446">
        <f>IF(OR(FB$3="",FB$3&gt;TODAY()),"",IF(AND(FE446="",FF446=""),"",N(FF446)-N(FE446)))</f>
        <v/>
      </c>
      <c r="FK446">
        <f>IF(OR(FI$3="",FI$3&gt;TODAY()),"",IF(AND(FI446="",FJ446=""),"",N(FJ446)-N(FI446)))</f>
        <v/>
      </c>
      <c r="FN446">
        <f>IF(OR(FI$3="",FI$3&gt;TODAY()),"",IF(AND(FL446="",FM446=""),"",N(FM446)-N(FL446)))</f>
        <v/>
      </c>
      <c r="FR446">
        <f>IF(OR(FP$3="",FP$3&gt;TODAY()),"",IF(AND(FP446="",FQ446=""),"",N(FQ446)-N(FP446)))</f>
        <v/>
      </c>
      <c r="FU446">
        <f>IF(OR(FP$3="",FP$3&gt;TODAY()),"",IF(AND(FS446="",FT446=""),"",N(FT446)-N(FS446)))</f>
        <v/>
      </c>
      <c r="FY446">
        <f>IF(OR(FW$3="",FW$3&gt;TODAY()),"",IF(AND(FW446="",FX446=""),"",N(FX446)-N(FW446)))</f>
        <v/>
      </c>
      <c r="GB446">
        <f>IF(OR(FW$3="",FW$3&gt;TODAY()),"",IF(AND(FZ446="",GA446=""),"",N(GA446)-N(FZ446)))</f>
        <v/>
      </c>
      <c r="GF446">
        <f>IF(OR(GD$3="",GD$3&gt;TODAY()),"",IF(AND(GD446="",GE446=""),"",N(GE446)-N(GD446)))</f>
        <v/>
      </c>
      <c r="GI446">
        <f>IF(OR(GD$3="",GD$3&gt;TODAY()),"",IF(AND(GG446="",GH446=""),"",N(GH446)-N(GG446)))</f>
        <v/>
      </c>
      <c r="GM446">
        <f>IF(OR(GK$3="",GK$3&gt;TODAY()),"",IF(AND(GK446="",GL446=""),"",N(GL446)-N(GK446)))</f>
        <v/>
      </c>
      <c r="GP446">
        <f>IF(OR(GK$3="",GK$3&gt;TODAY()),"",IF(AND(GN446="",GO446=""),"",N(GO446)-N(GN446)))</f>
        <v/>
      </c>
      <c r="GT446">
        <f>IF(OR(GR$3="",GR$3&gt;TODAY()),"",IF(AND(GR446="",GS446=""),"",N(GS446)-N(GR446)))</f>
        <v/>
      </c>
      <c r="GW446">
        <f>IF(OR(GR$3="",GR$3&gt;TODAY()),"",IF(AND(GU446="",GV446=""),"",N(GV446)-N(GU446)))</f>
        <v/>
      </c>
      <c r="HA446">
        <f>IF(OR(GY$3="",GY$3&gt;TODAY()),"",IF(AND(GY446="",GZ446=""),"",N(GZ446)-N(GY446)))</f>
        <v/>
      </c>
      <c r="HD446">
        <f>IF(OR(GY$3="",GY$3&gt;TODAY()),"",IF(AND(HB446="",HC446=""),"",N(HC446)-N(HB446)))</f>
        <v/>
      </c>
      <c r="HH446">
        <f>IF(OR(HF$3="",HF$3&gt;TODAY()),"",IF(AND(HF446="",HG446=""),"",N(HG446)-N(HF446)))</f>
        <v/>
      </c>
      <c r="HK446">
        <f>IF(OR(HF$3="",HF$3&gt;TODAY()),"",IF(AND(HI446="",HJ446=""),"",N(HJ446)-N(HI446)))</f>
        <v/>
      </c>
      <c r="HO446">
        <f>IF(OR(HM$3="",HM$3&gt;TODAY()),"",IF(AND(HM446="",HN446=""),"",N(HN446)-N(HM446)))</f>
        <v/>
      </c>
      <c r="HR446">
        <f>IF(OR(HM$3="",HM$3&gt;TODAY()),"",IF(AND(HP446="",HQ446=""),"",N(HQ446)-N(HP446)))</f>
        <v/>
      </c>
      <c r="HV446">
        <f>IF(OR(HT$3="",HT$3&gt;TODAY()),"",IF(AND(HT446="",HU446=""),"",N(HU446)-N(HT446)))</f>
        <v/>
      </c>
      <c r="HY446">
        <f>IF(OR(HT$3="",HT$3&gt;TODAY()),"",IF(AND(HW446="",HX446=""),"",N(HX446)-N(HW446)))</f>
        <v/>
      </c>
      <c r="IC446">
        <f>IF(OR(IA$3="",IA$3&gt;TODAY()),"",IF(AND(IA446="",IB446=""),"",N(IB446)-N(IA446)))</f>
        <v/>
      </c>
      <c r="IF446">
        <f>IF(OR(IA$3="",IA$3&gt;TODAY()),"",IF(AND(ID446="",IE446=""),"",N(IE446)-N(ID446)))</f>
        <v/>
      </c>
      <c r="IJ446">
        <f>IF(OR(IH$3="",IH$3&gt;TODAY()),"",IF(AND(IH446="",II446=""),"",N(II446)-N(IH446)))</f>
        <v/>
      </c>
      <c r="IM446">
        <f>IF(OR(IH$3="",IH$3&gt;TODAY()),"",IF(AND(IK446="",IL446=""),"",N(IL446)-N(IK446)))</f>
        <v/>
      </c>
    </row>
    <row r="447">
      <c r="A447" s="21" t="n"/>
      <c r="B447" s="21" t="n"/>
      <c r="C447" s="21" t="n"/>
      <c r="D447" s="21" t="n"/>
      <c r="E447" s="21" t="n"/>
      <c r="F447" s="21" t="n"/>
      <c r="G447" s="21" t="n"/>
      <c r="H447" s="21" t="n"/>
      <c r="I447" s="22" t="n"/>
      <c r="J447" s="22" t="n"/>
      <c r="K447" s="23" t="n"/>
      <c r="L447" s="22" t="n"/>
      <c r="M447" s="22" t="n"/>
      <c r="N447" s="21" t="n"/>
      <c r="O447" s="23" t="n"/>
      <c r="P447" s="23" t="n"/>
      <c r="Q447" s="23" t="n"/>
      <c r="R447" s="23" t="n"/>
      <c r="S447" s="22" t="n"/>
      <c r="T447" s="23" t="n"/>
      <c r="U447" s="23" t="n"/>
      <c r="V447" s="24">
        <f>IF(J447&lt;&gt;"",J447,IF(I447&lt;&gt;"",I447,""))</f>
        <v/>
      </c>
      <c r="W447" s="25">
        <f>IF($E447="","",N(O447)+SUMIFS($AF447:$IN447,$AF$4:$IN$4,"SEW_ACT"))</f>
        <v/>
      </c>
      <c r="X447" s="25">
        <f>IF($E447="","",N(P447)+SUMIFS($AF447:$IN447,$AF$4:$IN$4,"WASH_ACT"))</f>
        <v/>
      </c>
      <c r="Y447" s="25">
        <f>IF($E447="","",W447-X447-N(T447)-N(U447))</f>
        <v/>
      </c>
      <c r="Z447" s="25">
        <f>IF($E447="","",IF(N(K447)-X447&lt;=0.02*N(K447),0,N(K447)-X447))</f>
        <v/>
      </c>
      <c r="AA447" s="24">
        <f>IF($E447="","",IF(S447&lt;&gt;"",S447,IF(N(O447)&gt;0,IF(L447&lt;&gt;"",L447,99999),IFERROR(1/(1/_xlfn.MINIFS($AF$3:$IN$3,$AF$4:$IN$4,"SEW_ACT",$AF447:$IN447,"&gt;0")),99999))))</f>
        <v/>
      </c>
      <c r="AB447" s="26">
        <f>IF(OR($E447="",Z447=0,V447=""),"",1+COUNTIFS(Z$8:Z$707,"&gt;0",V$8:V$707,"&lt;"&amp;V447)+COUNTIFS(Z$8:Z$707,"&gt;0",V$8:V$707,V447,AA$8:AA$707,"&lt;"&amp;AA447)+COUNTIFS(Z$8:Z$707,"&gt;0",V$8:V$707,V447,AA$8:AA$707,AA447,E$8:E$707,"&lt;"&amp;$E447))</f>
        <v/>
      </c>
      <c r="AC447" s="24">
        <f>IF(OR($E447="",Z447=0),"",IFERROR(TODAY()+ROUNDUP(Z447/(SUMIFS($AF447:$IN447,$AF$4:$IN$4,"WASH_ACT")/COUNTIFS($AF$4:$IN$4,"WASH_ACT",$AF447:$IN447,"&gt;0")),0),"no output yet"))</f>
        <v/>
      </c>
      <c r="AD447" s="26">
        <f>IF($E447="","",IFERROR(ROUND(MAX(0,SUMIFS($AF447:$IN447,$AF$4:$IN$4,"SEW_PLAN",$AF$3:$IN$3,"&lt;="&amp;TODAY())-SUMIFS($AF447:$IN447,$AF$4:$IN$4,"SEW_ACT",$AF$3:$IN$3,"&lt;="&amp;TODAY())+N(Q447))/(SUMIFS($AF447:$IN447,$AF$4:$IN$4,"SEW_PLAN")/COUNTIFS($AF$4:$IN$4,"SEW_PLAN",$AF447:$IN447,"&gt;0")),1),0))</f>
        <v/>
      </c>
      <c r="AE447" s="26">
        <f>IF($E447="","",IF(AND(Z447&gt;0,OR(AND(M447&lt;&gt;"",TODAY()&gt;M447),AND(V447&lt;&gt;"",V447-TODAY()&lt;=7))),"Yes","No"))</f>
        <v/>
      </c>
      <c r="AH447">
        <f>IF(OR(AF$3="",AF$3&gt;TODAY()),"",IF(AND(AF447="",AG447=""),"",N(AG447)-N(AF447)))</f>
        <v/>
      </c>
      <c r="AK447">
        <f>IF(OR(AF$3="",AF$3&gt;TODAY()),"",IF(AND(AI447="",AJ447=""),"",N(AJ447)-N(AI447)))</f>
        <v/>
      </c>
      <c r="AO447">
        <f>IF(OR(AM$3="",AM$3&gt;TODAY()),"",IF(AND(AM447="",AN447=""),"",N(AN447)-N(AM447)))</f>
        <v/>
      </c>
      <c r="AR447">
        <f>IF(OR(AM$3="",AM$3&gt;TODAY()),"",IF(AND(AP447="",AQ447=""),"",N(AQ447)-N(AP447)))</f>
        <v/>
      </c>
      <c r="AV447">
        <f>IF(OR(AT$3="",AT$3&gt;TODAY()),"",IF(AND(AT447="",AU447=""),"",N(AU447)-N(AT447)))</f>
        <v/>
      </c>
      <c r="AY447">
        <f>IF(OR(AT$3="",AT$3&gt;TODAY()),"",IF(AND(AW447="",AX447=""),"",N(AX447)-N(AW447)))</f>
        <v/>
      </c>
      <c r="BC447">
        <f>IF(OR(BA$3="",BA$3&gt;TODAY()),"",IF(AND(BA447="",BB447=""),"",N(BB447)-N(BA447)))</f>
        <v/>
      </c>
      <c r="BF447">
        <f>IF(OR(BA$3="",BA$3&gt;TODAY()),"",IF(AND(BD447="",BE447=""),"",N(BE447)-N(BD447)))</f>
        <v/>
      </c>
      <c r="BJ447">
        <f>IF(OR(BH$3="",BH$3&gt;TODAY()),"",IF(AND(BH447="",BI447=""),"",N(BI447)-N(BH447)))</f>
        <v/>
      </c>
      <c r="BM447">
        <f>IF(OR(BH$3="",BH$3&gt;TODAY()),"",IF(AND(BK447="",BL447=""),"",N(BL447)-N(BK447)))</f>
        <v/>
      </c>
      <c r="BQ447">
        <f>IF(OR(BO$3="",BO$3&gt;TODAY()),"",IF(AND(BO447="",BP447=""),"",N(BP447)-N(BO447)))</f>
        <v/>
      </c>
      <c r="BT447">
        <f>IF(OR(BO$3="",BO$3&gt;TODAY()),"",IF(AND(BR447="",BS447=""),"",N(BS447)-N(BR447)))</f>
        <v/>
      </c>
      <c r="BX447">
        <f>IF(OR(BV$3="",BV$3&gt;TODAY()),"",IF(AND(BV447="",BW447=""),"",N(BW447)-N(BV447)))</f>
        <v/>
      </c>
      <c r="CA447">
        <f>IF(OR(BV$3="",BV$3&gt;TODAY()),"",IF(AND(BY447="",BZ447=""),"",N(BZ447)-N(BY447)))</f>
        <v/>
      </c>
      <c r="CE447">
        <f>IF(OR(CC$3="",CC$3&gt;TODAY()),"",IF(AND(CC447="",CD447=""),"",N(CD447)-N(CC447)))</f>
        <v/>
      </c>
      <c r="CH447">
        <f>IF(OR(CC$3="",CC$3&gt;TODAY()),"",IF(AND(CF447="",CG447=""),"",N(CG447)-N(CF447)))</f>
        <v/>
      </c>
      <c r="CL447">
        <f>IF(OR(CJ$3="",CJ$3&gt;TODAY()),"",IF(AND(CJ447="",CK447=""),"",N(CK447)-N(CJ447)))</f>
        <v/>
      </c>
      <c r="CO447">
        <f>IF(OR(CJ$3="",CJ$3&gt;TODAY()),"",IF(AND(CM447="",CN447=""),"",N(CN447)-N(CM447)))</f>
        <v/>
      </c>
      <c r="CS447">
        <f>IF(OR(CQ$3="",CQ$3&gt;TODAY()),"",IF(AND(CQ447="",CR447=""),"",N(CR447)-N(CQ447)))</f>
        <v/>
      </c>
      <c r="CV447">
        <f>IF(OR(CQ$3="",CQ$3&gt;TODAY()),"",IF(AND(CT447="",CU447=""),"",N(CU447)-N(CT447)))</f>
        <v/>
      </c>
      <c r="CZ447">
        <f>IF(OR(CX$3="",CX$3&gt;TODAY()),"",IF(AND(CX447="",CY447=""),"",N(CY447)-N(CX447)))</f>
        <v/>
      </c>
      <c r="DC447">
        <f>IF(OR(CX$3="",CX$3&gt;TODAY()),"",IF(AND(DA447="",DB447=""),"",N(DB447)-N(DA447)))</f>
        <v/>
      </c>
      <c r="DG447">
        <f>IF(OR(DE$3="",DE$3&gt;TODAY()),"",IF(AND(DE447="",DF447=""),"",N(DF447)-N(DE447)))</f>
        <v/>
      </c>
      <c r="DJ447">
        <f>IF(OR(DE$3="",DE$3&gt;TODAY()),"",IF(AND(DH447="",DI447=""),"",N(DI447)-N(DH447)))</f>
        <v/>
      </c>
      <c r="DN447">
        <f>IF(OR(DL$3="",DL$3&gt;TODAY()),"",IF(AND(DL447="",DM447=""),"",N(DM447)-N(DL447)))</f>
        <v/>
      </c>
      <c r="DQ447">
        <f>IF(OR(DL$3="",DL$3&gt;TODAY()),"",IF(AND(DO447="",DP447=""),"",N(DP447)-N(DO447)))</f>
        <v/>
      </c>
      <c r="DU447">
        <f>IF(OR(DS$3="",DS$3&gt;TODAY()),"",IF(AND(DS447="",DT447=""),"",N(DT447)-N(DS447)))</f>
        <v/>
      </c>
      <c r="DX447">
        <f>IF(OR(DS$3="",DS$3&gt;TODAY()),"",IF(AND(DV447="",DW447=""),"",N(DW447)-N(DV447)))</f>
        <v/>
      </c>
      <c r="EB447">
        <f>IF(OR(DZ$3="",DZ$3&gt;TODAY()),"",IF(AND(DZ447="",EA447=""),"",N(EA447)-N(DZ447)))</f>
        <v/>
      </c>
      <c r="EE447">
        <f>IF(OR(DZ$3="",DZ$3&gt;TODAY()),"",IF(AND(EC447="",ED447=""),"",N(ED447)-N(EC447)))</f>
        <v/>
      </c>
      <c r="EI447">
        <f>IF(OR(EG$3="",EG$3&gt;TODAY()),"",IF(AND(EG447="",EH447=""),"",N(EH447)-N(EG447)))</f>
        <v/>
      </c>
      <c r="EL447">
        <f>IF(OR(EG$3="",EG$3&gt;TODAY()),"",IF(AND(EJ447="",EK447=""),"",N(EK447)-N(EJ447)))</f>
        <v/>
      </c>
      <c r="EP447">
        <f>IF(OR(EN$3="",EN$3&gt;TODAY()),"",IF(AND(EN447="",EO447=""),"",N(EO447)-N(EN447)))</f>
        <v/>
      </c>
      <c r="ES447">
        <f>IF(OR(EN$3="",EN$3&gt;TODAY()),"",IF(AND(EQ447="",ER447=""),"",N(ER447)-N(EQ447)))</f>
        <v/>
      </c>
      <c r="EW447">
        <f>IF(OR(EU$3="",EU$3&gt;TODAY()),"",IF(AND(EU447="",EV447=""),"",N(EV447)-N(EU447)))</f>
        <v/>
      </c>
      <c r="EZ447">
        <f>IF(OR(EU$3="",EU$3&gt;TODAY()),"",IF(AND(EX447="",EY447=""),"",N(EY447)-N(EX447)))</f>
        <v/>
      </c>
      <c r="FD447">
        <f>IF(OR(FB$3="",FB$3&gt;TODAY()),"",IF(AND(FB447="",FC447=""),"",N(FC447)-N(FB447)))</f>
        <v/>
      </c>
      <c r="FG447">
        <f>IF(OR(FB$3="",FB$3&gt;TODAY()),"",IF(AND(FE447="",FF447=""),"",N(FF447)-N(FE447)))</f>
        <v/>
      </c>
      <c r="FK447">
        <f>IF(OR(FI$3="",FI$3&gt;TODAY()),"",IF(AND(FI447="",FJ447=""),"",N(FJ447)-N(FI447)))</f>
        <v/>
      </c>
      <c r="FN447">
        <f>IF(OR(FI$3="",FI$3&gt;TODAY()),"",IF(AND(FL447="",FM447=""),"",N(FM447)-N(FL447)))</f>
        <v/>
      </c>
      <c r="FR447">
        <f>IF(OR(FP$3="",FP$3&gt;TODAY()),"",IF(AND(FP447="",FQ447=""),"",N(FQ447)-N(FP447)))</f>
        <v/>
      </c>
      <c r="FU447">
        <f>IF(OR(FP$3="",FP$3&gt;TODAY()),"",IF(AND(FS447="",FT447=""),"",N(FT447)-N(FS447)))</f>
        <v/>
      </c>
      <c r="FY447">
        <f>IF(OR(FW$3="",FW$3&gt;TODAY()),"",IF(AND(FW447="",FX447=""),"",N(FX447)-N(FW447)))</f>
        <v/>
      </c>
      <c r="GB447">
        <f>IF(OR(FW$3="",FW$3&gt;TODAY()),"",IF(AND(FZ447="",GA447=""),"",N(GA447)-N(FZ447)))</f>
        <v/>
      </c>
      <c r="GF447">
        <f>IF(OR(GD$3="",GD$3&gt;TODAY()),"",IF(AND(GD447="",GE447=""),"",N(GE447)-N(GD447)))</f>
        <v/>
      </c>
      <c r="GI447">
        <f>IF(OR(GD$3="",GD$3&gt;TODAY()),"",IF(AND(GG447="",GH447=""),"",N(GH447)-N(GG447)))</f>
        <v/>
      </c>
      <c r="GM447">
        <f>IF(OR(GK$3="",GK$3&gt;TODAY()),"",IF(AND(GK447="",GL447=""),"",N(GL447)-N(GK447)))</f>
        <v/>
      </c>
      <c r="GP447">
        <f>IF(OR(GK$3="",GK$3&gt;TODAY()),"",IF(AND(GN447="",GO447=""),"",N(GO447)-N(GN447)))</f>
        <v/>
      </c>
      <c r="GT447">
        <f>IF(OR(GR$3="",GR$3&gt;TODAY()),"",IF(AND(GR447="",GS447=""),"",N(GS447)-N(GR447)))</f>
        <v/>
      </c>
      <c r="GW447">
        <f>IF(OR(GR$3="",GR$3&gt;TODAY()),"",IF(AND(GU447="",GV447=""),"",N(GV447)-N(GU447)))</f>
        <v/>
      </c>
      <c r="HA447">
        <f>IF(OR(GY$3="",GY$3&gt;TODAY()),"",IF(AND(GY447="",GZ447=""),"",N(GZ447)-N(GY447)))</f>
        <v/>
      </c>
      <c r="HD447">
        <f>IF(OR(GY$3="",GY$3&gt;TODAY()),"",IF(AND(HB447="",HC447=""),"",N(HC447)-N(HB447)))</f>
        <v/>
      </c>
      <c r="HH447">
        <f>IF(OR(HF$3="",HF$3&gt;TODAY()),"",IF(AND(HF447="",HG447=""),"",N(HG447)-N(HF447)))</f>
        <v/>
      </c>
      <c r="HK447">
        <f>IF(OR(HF$3="",HF$3&gt;TODAY()),"",IF(AND(HI447="",HJ447=""),"",N(HJ447)-N(HI447)))</f>
        <v/>
      </c>
      <c r="HO447">
        <f>IF(OR(HM$3="",HM$3&gt;TODAY()),"",IF(AND(HM447="",HN447=""),"",N(HN447)-N(HM447)))</f>
        <v/>
      </c>
      <c r="HR447">
        <f>IF(OR(HM$3="",HM$3&gt;TODAY()),"",IF(AND(HP447="",HQ447=""),"",N(HQ447)-N(HP447)))</f>
        <v/>
      </c>
      <c r="HV447">
        <f>IF(OR(HT$3="",HT$3&gt;TODAY()),"",IF(AND(HT447="",HU447=""),"",N(HU447)-N(HT447)))</f>
        <v/>
      </c>
      <c r="HY447">
        <f>IF(OR(HT$3="",HT$3&gt;TODAY()),"",IF(AND(HW447="",HX447=""),"",N(HX447)-N(HW447)))</f>
        <v/>
      </c>
      <c r="IC447">
        <f>IF(OR(IA$3="",IA$3&gt;TODAY()),"",IF(AND(IA447="",IB447=""),"",N(IB447)-N(IA447)))</f>
        <v/>
      </c>
      <c r="IF447">
        <f>IF(OR(IA$3="",IA$3&gt;TODAY()),"",IF(AND(ID447="",IE447=""),"",N(IE447)-N(ID447)))</f>
        <v/>
      </c>
      <c r="IJ447">
        <f>IF(OR(IH$3="",IH$3&gt;TODAY()),"",IF(AND(IH447="",II447=""),"",N(II447)-N(IH447)))</f>
        <v/>
      </c>
      <c r="IM447">
        <f>IF(OR(IH$3="",IH$3&gt;TODAY()),"",IF(AND(IK447="",IL447=""),"",N(IL447)-N(IK447)))</f>
        <v/>
      </c>
    </row>
    <row r="448">
      <c r="A448" s="21" t="n"/>
      <c r="B448" s="21" t="n"/>
      <c r="C448" s="21" t="n"/>
      <c r="D448" s="21" t="n"/>
      <c r="E448" s="21" t="n"/>
      <c r="F448" s="21" t="n"/>
      <c r="G448" s="21" t="n"/>
      <c r="H448" s="21" t="n"/>
      <c r="I448" s="22" t="n"/>
      <c r="J448" s="22" t="n"/>
      <c r="K448" s="23" t="n"/>
      <c r="L448" s="22" t="n"/>
      <c r="M448" s="22" t="n"/>
      <c r="N448" s="21" t="n"/>
      <c r="O448" s="23" t="n"/>
      <c r="P448" s="23" t="n"/>
      <c r="Q448" s="23" t="n"/>
      <c r="R448" s="23" t="n"/>
      <c r="S448" s="22" t="n"/>
      <c r="T448" s="23" t="n"/>
      <c r="U448" s="23" t="n"/>
      <c r="V448" s="24">
        <f>IF(J448&lt;&gt;"",J448,IF(I448&lt;&gt;"",I448,""))</f>
        <v/>
      </c>
      <c r="W448" s="25">
        <f>IF($E448="","",N(O448)+SUMIFS($AF448:$IN448,$AF$4:$IN$4,"SEW_ACT"))</f>
        <v/>
      </c>
      <c r="X448" s="25">
        <f>IF($E448="","",N(P448)+SUMIFS($AF448:$IN448,$AF$4:$IN$4,"WASH_ACT"))</f>
        <v/>
      </c>
      <c r="Y448" s="25">
        <f>IF($E448="","",W448-X448-N(T448)-N(U448))</f>
        <v/>
      </c>
      <c r="Z448" s="25">
        <f>IF($E448="","",IF(N(K448)-X448&lt;=0.02*N(K448),0,N(K448)-X448))</f>
        <v/>
      </c>
      <c r="AA448" s="24">
        <f>IF($E448="","",IF(S448&lt;&gt;"",S448,IF(N(O448)&gt;0,IF(L448&lt;&gt;"",L448,99999),IFERROR(1/(1/_xlfn.MINIFS($AF$3:$IN$3,$AF$4:$IN$4,"SEW_ACT",$AF448:$IN448,"&gt;0")),99999))))</f>
        <v/>
      </c>
      <c r="AB448" s="26">
        <f>IF(OR($E448="",Z448=0,V448=""),"",1+COUNTIFS(Z$8:Z$707,"&gt;0",V$8:V$707,"&lt;"&amp;V448)+COUNTIFS(Z$8:Z$707,"&gt;0",V$8:V$707,V448,AA$8:AA$707,"&lt;"&amp;AA448)+COUNTIFS(Z$8:Z$707,"&gt;0",V$8:V$707,V448,AA$8:AA$707,AA448,E$8:E$707,"&lt;"&amp;$E448))</f>
        <v/>
      </c>
      <c r="AC448" s="24">
        <f>IF(OR($E448="",Z448=0),"",IFERROR(TODAY()+ROUNDUP(Z448/(SUMIFS($AF448:$IN448,$AF$4:$IN$4,"WASH_ACT")/COUNTIFS($AF$4:$IN$4,"WASH_ACT",$AF448:$IN448,"&gt;0")),0),"no output yet"))</f>
        <v/>
      </c>
      <c r="AD448" s="26">
        <f>IF($E448="","",IFERROR(ROUND(MAX(0,SUMIFS($AF448:$IN448,$AF$4:$IN$4,"SEW_PLAN",$AF$3:$IN$3,"&lt;="&amp;TODAY())-SUMIFS($AF448:$IN448,$AF$4:$IN$4,"SEW_ACT",$AF$3:$IN$3,"&lt;="&amp;TODAY())+N(Q448))/(SUMIFS($AF448:$IN448,$AF$4:$IN$4,"SEW_PLAN")/COUNTIFS($AF$4:$IN$4,"SEW_PLAN",$AF448:$IN448,"&gt;0")),1),0))</f>
        <v/>
      </c>
      <c r="AE448" s="26">
        <f>IF($E448="","",IF(AND(Z448&gt;0,OR(AND(M448&lt;&gt;"",TODAY()&gt;M448),AND(V448&lt;&gt;"",V448-TODAY()&lt;=7))),"Yes","No"))</f>
        <v/>
      </c>
      <c r="AH448">
        <f>IF(OR(AF$3="",AF$3&gt;TODAY()),"",IF(AND(AF448="",AG448=""),"",N(AG448)-N(AF448)))</f>
        <v/>
      </c>
      <c r="AK448">
        <f>IF(OR(AF$3="",AF$3&gt;TODAY()),"",IF(AND(AI448="",AJ448=""),"",N(AJ448)-N(AI448)))</f>
        <v/>
      </c>
      <c r="AO448">
        <f>IF(OR(AM$3="",AM$3&gt;TODAY()),"",IF(AND(AM448="",AN448=""),"",N(AN448)-N(AM448)))</f>
        <v/>
      </c>
      <c r="AR448">
        <f>IF(OR(AM$3="",AM$3&gt;TODAY()),"",IF(AND(AP448="",AQ448=""),"",N(AQ448)-N(AP448)))</f>
        <v/>
      </c>
      <c r="AV448">
        <f>IF(OR(AT$3="",AT$3&gt;TODAY()),"",IF(AND(AT448="",AU448=""),"",N(AU448)-N(AT448)))</f>
        <v/>
      </c>
      <c r="AY448">
        <f>IF(OR(AT$3="",AT$3&gt;TODAY()),"",IF(AND(AW448="",AX448=""),"",N(AX448)-N(AW448)))</f>
        <v/>
      </c>
      <c r="BC448">
        <f>IF(OR(BA$3="",BA$3&gt;TODAY()),"",IF(AND(BA448="",BB448=""),"",N(BB448)-N(BA448)))</f>
        <v/>
      </c>
      <c r="BF448">
        <f>IF(OR(BA$3="",BA$3&gt;TODAY()),"",IF(AND(BD448="",BE448=""),"",N(BE448)-N(BD448)))</f>
        <v/>
      </c>
      <c r="BJ448">
        <f>IF(OR(BH$3="",BH$3&gt;TODAY()),"",IF(AND(BH448="",BI448=""),"",N(BI448)-N(BH448)))</f>
        <v/>
      </c>
      <c r="BM448">
        <f>IF(OR(BH$3="",BH$3&gt;TODAY()),"",IF(AND(BK448="",BL448=""),"",N(BL448)-N(BK448)))</f>
        <v/>
      </c>
      <c r="BQ448">
        <f>IF(OR(BO$3="",BO$3&gt;TODAY()),"",IF(AND(BO448="",BP448=""),"",N(BP448)-N(BO448)))</f>
        <v/>
      </c>
      <c r="BT448">
        <f>IF(OR(BO$3="",BO$3&gt;TODAY()),"",IF(AND(BR448="",BS448=""),"",N(BS448)-N(BR448)))</f>
        <v/>
      </c>
      <c r="BX448">
        <f>IF(OR(BV$3="",BV$3&gt;TODAY()),"",IF(AND(BV448="",BW448=""),"",N(BW448)-N(BV448)))</f>
        <v/>
      </c>
      <c r="CA448">
        <f>IF(OR(BV$3="",BV$3&gt;TODAY()),"",IF(AND(BY448="",BZ448=""),"",N(BZ448)-N(BY448)))</f>
        <v/>
      </c>
      <c r="CE448">
        <f>IF(OR(CC$3="",CC$3&gt;TODAY()),"",IF(AND(CC448="",CD448=""),"",N(CD448)-N(CC448)))</f>
        <v/>
      </c>
      <c r="CH448">
        <f>IF(OR(CC$3="",CC$3&gt;TODAY()),"",IF(AND(CF448="",CG448=""),"",N(CG448)-N(CF448)))</f>
        <v/>
      </c>
      <c r="CL448">
        <f>IF(OR(CJ$3="",CJ$3&gt;TODAY()),"",IF(AND(CJ448="",CK448=""),"",N(CK448)-N(CJ448)))</f>
        <v/>
      </c>
      <c r="CO448">
        <f>IF(OR(CJ$3="",CJ$3&gt;TODAY()),"",IF(AND(CM448="",CN448=""),"",N(CN448)-N(CM448)))</f>
        <v/>
      </c>
      <c r="CS448">
        <f>IF(OR(CQ$3="",CQ$3&gt;TODAY()),"",IF(AND(CQ448="",CR448=""),"",N(CR448)-N(CQ448)))</f>
        <v/>
      </c>
      <c r="CV448">
        <f>IF(OR(CQ$3="",CQ$3&gt;TODAY()),"",IF(AND(CT448="",CU448=""),"",N(CU448)-N(CT448)))</f>
        <v/>
      </c>
      <c r="CZ448">
        <f>IF(OR(CX$3="",CX$3&gt;TODAY()),"",IF(AND(CX448="",CY448=""),"",N(CY448)-N(CX448)))</f>
        <v/>
      </c>
      <c r="DC448">
        <f>IF(OR(CX$3="",CX$3&gt;TODAY()),"",IF(AND(DA448="",DB448=""),"",N(DB448)-N(DA448)))</f>
        <v/>
      </c>
      <c r="DG448">
        <f>IF(OR(DE$3="",DE$3&gt;TODAY()),"",IF(AND(DE448="",DF448=""),"",N(DF448)-N(DE448)))</f>
        <v/>
      </c>
      <c r="DJ448">
        <f>IF(OR(DE$3="",DE$3&gt;TODAY()),"",IF(AND(DH448="",DI448=""),"",N(DI448)-N(DH448)))</f>
        <v/>
      </c>
      <c r="DN448">
        <f>IF(OR(DL$3="",DL$3&gt;TODAY()),"",IF(AND(DL448="",DM448=""),"",N(DM448)-N(DL448)))</f>
        <v/>
      </c>
      <c r="DQ448">
        <f>IF(OR(DL$3="",DL$3&gt;TODAY()),"",IF(AND(DO448="",DP448=""),"",N(DP448)-N(DO448)))</f>
        <v/>
      </c>
      <c r="DU448">
        <f>IF(OR(DS$3="",DS$3&gt;TODAY()),"",IF(AND(DS448="",DT448=""),"",N(DT448)-N(DS448)))</f>
        <v/>
      </c>
      <c r="DX448">
        <f>IF(OR(DS$3="",DS$3&gt;TODAY()),"",IF(AND(DV448="",DW448=""),"",N(DW448)-N(DV448)))</f>
        <v/>
      </c>
      <c r="EB448">
        <f>IF(OR(DZ$3="",DZ$3&gt;TODAY()),"",IF(AND(DZ448="",EA448=""),"",N(EA448)-N(DZ448)))</f>
        <v/>
      </c>
      <c r="EE448">
        <f>IF(OR(DZ$3="",DZ$3&gt;TODAY()),"",IF(AND(EC448="",ED448=""),"",N(ED448)-N(EC448)))</f>
        <v/>
      </c>
      <c r="EI448">
        <f>IF(OR(EG$3="",EG$3&gt;TODAY()),"",IF(AND(EG448="",EH448=""),"",N(EH448)-N(EG448)))</f>
        <v/>
      </c>
      <c r="EL448">
        <f>IF(OR(EG$3="",EG$3&gt;TODAY()),"",IF(AND(EJ448="",EK448=""),"",N(EK448)-N(EJ448)))</f>
        <v/>
      </c>
      <c r="EP448">
        <f>IF(OR(EN$3="",EN$3&gt;TODAY()),"",IF(AND(EN448="",EO448=""),"",N(EO448)-N(EN448)))</f>
        <v/>
      </c>
      <c r="ES448">
        <f>IF(OR(EN$3="",EN$3&gt;TODAY()),"",IF(AND(EQ448="",ER448=""),"",N(ER448)-N(EQ448)))</f>
        <v/>
      </c>
      <c r="EW448">
        <f>IF(OR(EU$3="",EU$3&gt;TODAY()),"",IF(AND(EU448="",EV448=""),"",N(EV448)-N(EU448)))</f>
        <v/>
      </c>
      <c r="EZ448">
        <f>IF(OR(EU$3="",EU$3&gt;TODAY()),"",IF(AND(EX448="",EY448=""),"",N(EY448)-N(EX448)))</f>
        <v/>
      </c>
      <c r="FD448">
        <f>IF(OR(FB$3="",FB$3&gt;TODAY()),"",IF(AND(FB448="",FC448=""),"",N(FC448)-N(FB448)))</f>
        <v/>
      </c>
      <c r="FG448">
        <f>IF(OR(FB$3="",FB$3&gt;TODAY()),"",IF(AND(FE448="",FF448=""),"",N(FF448)-N(FE448)))</f>
        <v/>
      </c>
      <c r="FK448">
        <f>IF(OR(FI$3="",FI$3&gt;TODAY()),"",IF(AND(FI448="",FJ448=""),"",N(FJ448)-N(FI448)))</f>
        <v/>
      </c>
      <c r="FN448">
        <f>IF(OR(FI$3="",FI$3&gt;TODAY()),"",IF(AND(FL448="",FM448=""),"",N(FM448)-N(FL448)))</f>
        <v/>
      </c>
      <c r="FR448">
        <f>IF(OR(FP$3="",FP$3&gt;TODAY()),"",IF(AND(FP448="",FQ448=""),"",N(FQ448)-N(FP448)))</f>
        <v/>
      </c>
      <c r="FU448">
        <f>IF(OR(FP$3="",FP$3&gt;TODAY()),"",IF(AND(FS448="",FT448=""),"",N(FT448)-N(FS448)))</f>
        <v/>
      </c>
      <c r="FY448">
        <f>IF(OR(FW$3="",FW$3&gt;TODAY()),"",IF(AND(FW448="",FX448=""),"",N(FX448)-N(FW448)))</f>
        <v/>
      </c>
      <c r="GB448">
        <f>IF(OR(FW$3="",FW$3&gt;TODAY()),"",IF(AND(FZ448="",GA448=""),"",N(GA448)-N(FZ448)))</f>
        <v/>
      </c>
      <c r="GF448">
        <f>IF(OR(GD$3="",GD$3&gt;TODAY()),"",IF(AND(GD448="",GE448=""),"",N(GE448)-N(GD448)))</f>
        <v/>
      </c>
      <c r="GI448">
        <f>IF(OR(GD$3="",GD$3&gt;TODAY()),"",IF(AND(GG448="",GH448=""),"",N(GH448)-N(GG448)))</f>
        <v/>
      </c>
      <c r="GM448">
        <f>IF(OR(GK$3="",GK$3&gt;TODAY()),"",IF(AND(GK448="",GL448=""),"",N(GL448)-N(GK448)))</f>
        <v/>
      </c>
      <c r="GP448">
        <f>IF(OR(GK$3="",GK$3&gt;TODAY()),"",IF(AND(GN448="",GO448=""),"",N(GO448)-N(GN448)))</f>
        <v/>
      </c>
      <c r="GT448">
        <f>IF(OR(GR$3="",GR$3&gt;TODAY()),"",IF(AND(GR448="",GS448=""),"",N(GS448)-N(GR448)))</f>
        <v/>
      </c>
      <c r="GW448">
        <f>IF(OR(GR$3="",GR$3&gt;TODAY()),"",IF(AND(GU448="",GV448=""),"",N(GV448)-N(GU448)))</f>
        <v/>
      </c>
      <c r="HA448">
        <f>IF(OR(GY$3="",GY$3&gt;TODAY()),"",IF(AND(GY448="",GZ448=""),"",N(GZ448)-N(GY448)))</f>
        <v/>
      </c>
      <c r="HD448">
        <f>IF(OR(GY$3="",GY$3&gt;TODAY()),"",IF(AND(HB448="",HC448=""),"",N(HC448)-N(HB448)))</f>
        <v/>
      </c>
      <c r="HH448">
        <f>IF(OR(HF$3="",HF$3&gt;TODAY()),"",IF(AND(HF448="",HG448=""),"",N(HG448)-N(HF448)))</f>
        <v/>
      </c>
      <c r="HK448">
        <f>IF(OR(HF$3="",HF$3&gt;TODAY()),"",IF(AND(HI448="",HJ448=""),"",N(HJ448)-N(HI448)))</f>
        <v/>
      </c>
      <c r="HO448">
        <f>IF(OR(HM$3="",HM$3&gt;TODAY()),"",IF(AND(HM448="",HN448=""),"",N(HN448)-N(HM448)))</f>
        <v/>
      </c>
      <c r="HR448">
        <f>IF(OR(HM$3="",HM$3&gt;TODAY()),"",IF(AND(HP448="",HQ448=""),"",N(HQ448)-N(HP448)))</f>
        <v/>
      </c>
      <c r="HV448">
        <f>IF(OR(HT$3="",HT$3&gt;TODAY()),"",IF(AND(HT448="",HU448=""),"",N(HU448)-N(HT448)))</f>
        <v/>
      </c>
      <c r="HY448">
        <f>IF(OR(HT$3="",HT$3&gt;TODAY()),"",IF(AND(HW448="",HX448=""),"",N(HX448)-N(HW448)))</f>
        <v/>
      </c>
      <c r="IC448">
        <f>IF(OR(IA$3="",IA$3&gt;TODAY()),"",IF(AND(IA448="",IB448=""),"",N(IB448)-N(IA448)))</f>
        <v/>
      </c>
      <c r="IF448">
        <f>IF(OR(IA$3="",IA$3&gt;TODAY()),"",IF(AND(ID448="",IE448=""),"",N(IE448)-N(ID448)))</f>
        <v/>
      </c>
      <c r="IJ448">
        <f>IF(OR(IH$3="",IH$3&gt;TODAY()),"",IF(AND(IH448="",II448=""),"",N(II448)-N(IH448)))</f>
        <v/>
      </c>
      <c r="IM448">
        <f>IF(OR(IH$3="",IH$3&gt;TODAY()),"",IF(AND(IK448="",IL448=""),"",N(IL448)-N(IK448)))</f>
        <v/>
      </c>
    </row>
    <row r="449">
      <c r="A449" s="21" t="n"/>
      <c r="B449" s="21" t="n"/>
      <c r="C449" s="21" t="n"/>
      <c r="D449" s="21" t="n"/>
      <c r="E449" s="21" t="n"/>
      <c r="F449" s="21" t="n"/>
      <c r="G449" s="21" t="n"/>
      <c r="H449" s="21" t="n"/>
      <c r="I449" s="22" t="n"/>
      <c r="J449" s="22" t="n"/>
      <c r="K449" s="23" t="n"/>
      <c r="L449" s="22" t="n"/>
      <c r="M449" s="22" t="n"/>
      <c r="N449" s="21" t="n"/>
      <c r="O449" s="23" t="n"/>
      <c r="P449" s="23" t="n"/>
      <c r="Q449" s="23" t="n"/>
      <c r="R449" s="23" t="n"/>
      <c r="S449" s="22" t="n"/>
      <c r="T449" s="23" t="n"/>
      <c r="U449" s="23" t="n"/>
      <c r="V449" s="24">
        <f>IF(J449&lt;&gt;"",J449,IF(I449&lt;&gt;"",I449,""))</f>
        <v/>
      </c>
      <c r="W449" s="25">
        <f>IF($E449="","",N(O449)+SUMIFS($AF449:$IN449,$AF$4:$IN$4,"SEW_ACT"))</f>
        <v/>
      </c>
      <c r="X449" s="25">
        <f>IF($E449="","",N(P449)+SUMIFS($AF449:$IN449,$AF$4:$IN$4,"WASH_ACT"))</f>
        <v/>
      </c>
      <c r="Y449" s="25">
        <f>IF($E449="","",W449-X449-N(T449)-N(U449))</f>
        <v/>
      </c>
      <c r="Z449" s="25">
        <f>IF($E449="","",IF(N(K449)-X449&lt;=0.02*N(K449),0,N(K449)-X449))</f>
        <v/>
      </c>
      <c r="AA449" s="24">
        <f>IF($E449="","",IF(S449&lt;&gt;"",S449,IF(N(O449)&gt;0,IF(L449&lt;&gt;"",L449,99999),IFERROR(1/(1/_xlfn.MINIFS($AF$3:$IN$3,$AF$4:$IN$4,"SEW_ACT",$AF449:$IN449,"&gt;0")),99999))))</f>
        <v/>
      </c>
      <c r="AB449" s="26">
        <f>IF(OR($E449="",Z449=0,V449=""),"",1+COUNTIFS(Z$8:Z$707,"&gt;0",V$8:V$707,"&lt;"&amp;V449)+COUNTIFS(Z$8:Z$707,"&gt;0",V$8:V$707,V449,AA$8:AA$707,"&lt;"&amp;AA449)+COUNTIFS(Z$8:Z$707,"&gt;0",V$8:V$707,V449,AA$8:AA$707,AA449,E$8:E$707,"&lt;"&amp;$E449))</f>
        <v/>
      </c>
      <c r="AC449" s="24">
        <f>IF(OR($E449="",Z449=0),"",IFERROR(TODAY()+ROUNDUP(Z449/(SUMIFS($AF449:$IN449,$AF$4:$IN$4,"WASH_ACT")/COUNTIFS($AF$4:$IN$4,"WASH_ACT",$AF449:$IN449,"&gt;0")),0),"no output yet"))</f>
        <v/>
      </c>
      <c r="AD449" s="26">
        <f>IF($E449="","",IFERROR(ROUND(MAX(0,SUMIFS($AF449:$IN449,$AF$4:$IN$4,"SEW_PLAN",$AF$3:$IN$3,"&lt;="&amp;TODAY())-SUMIFS($AF449:$IN449,$AF$4:$IN$4,"SEW_ACT",$AF$3:$IN$3,"&lt;="&amp;TODAY())+N(Q449))/(SUMIFS($AF449:$IN449,$AF$4:$IN$4,"SEW_PLAN")/COUNTIFS($AF$4:$IN$4,"SEW_PLAN",$AF449:$IN449,"&gt;0")),1),0))</f>
        <v/>
      </c>
      <c r="AE449" s="26">
        <f>IF($E449="","",IF(AND(Z449&gt;0,OR(AND(M449&lt;&gt;"",TODAY()&gt;M449),AND(V449&lt;&gt;"",V449-TODAY()&lt;=7))),"Yes","No"))</f>
        <v/>
      </c>
      <c r="AH449">
        <f>IF(OR(AF$3="",AF$3&gt;TODAY()),"",IF(AND(AF449="",AG449=""),"",N(AG449)-N(AF449)))</f>
        <v/>
      </c>
      <c r="AK449">
        <f>IF(OR(AF$3="",AF$3&gt;TODAY()),"",IF(AND(AI449="",AJ449=""),"",N(AJ449)-N(AI449)))</f>
        <v/>
      </c>
      <c r="AO449">
        <f>IF(OR(AM$3="",AM$3&gt;TODAY()),"",IF(AND(AM449="",AN449=""),"",N(AN449)-N(AM449)))</f>
        <v/>
      </c>
      <c r="AR449">
        <f>IF(OR(AM$3="",AM$3&gt;TODAY()),"",IF(AND(AP449="",AQ449=""),"",N(AQ449)-N(AP449)))</f>
        <v/>
      </c>
      <c r="AV449">
        <f>IF(OR(AT$3="",AT$3&gt;TODAY()),"",IF(AND(AT449="",AU449=""),"",N(AU449)-N(AT449)))</f>
        <v/>
      </c>
      <c r="AY449">
        <f>IF(OR(AT$3="",AT$3&gt;TODAY()),"",IF(AND(AW449="",AX449=""),"",N(AX449)-N(AW449)))</f>
        <v/>
      </c>
      <c r="BC449">
        <f>IF(OR(BA$3="",BA$3&gt;TODAY()),"",IF(AND(BA449="",BB449=""),"",N(BB449)-N(BA449)))</f>
        <v/>
      </c>
      <c r="BF449">
        <f>IF(OR(BA$3="",BA$3&gt;TODAY()),"",IF(AND(BD449="",BE449=""),"",N(BE449)-N(BD449)))</f>
        <v/>
      </c>
      <c r="BJ449">
        <f>IF(OR(BH$3="",BH$3&gt;TODAY()),"",IF(AND(BH449="",BI449=""),"",N(BI449)-N(BH449)))</f>
        <v/>
      </c>
      <c r="BM449">
        <f>IF(OR(BH$3="",BH$3&gt;TODAY()),"",IF(AND(BK449="",BL449=""),"",N(BL449)-N(BK449)))</f>
        <v/>
      </c>
      <c r="BQ449">
        <f>IF(OR(BO$3="",BO$3&gt;TODAY()),"",IF(AND(BO449="",BP449=""),"",N(BP449)-N(BO449)))</f>
        <v/>
      </c>
      <c r="BT449">
        <f>IF(OR(BO$3="",BO$3&gt;TODAY()),"",IF(AND(BR449="",BS449=""),"",N(BS449)-N(BR449)))</f>
        <v/>
      </c>
      <c r="BX449">
        <f>IF(OR(BV$3="",BV$3&gt;TODAY()),"",IF(AND(BV449="",BW449=""),"",N(BW449)-N(BV449)))</f>
        <v/>
      </c>
      <c r="CA449">
        <f>IF(OR(BV$3="",BV$3&gt;TODAY()),"",IF(AND(BY449="",BZ449=""),"",N(BZ449)-N(BY449)))</f>
        <v/>
      </c>
      <c r="CE449">
        <f>IF(OR(CC$3="",CC$3&gt;TODAY()),"",IF(AND(CC449="",CD449=""),"",N(CD449)-N(CC449)))</f>
        <v/>
      </c>
      <c r="CH449">
        <f>IF(OR(CC$3="",CC$3&gt;TODAY()),"",IF(AND(CF449="",CG449=""),"",N(CG449)-N(CF449)))</f>
        <v/>
      </c>
      <c r="CL449">
        <f>IF(OR(CJ$3="",CJ$3&gt;TODAY()),"",IF(AND(CJ449="",CK449=""),"",N(CK449)-N(CJ449)))</f>
        <v/>
      </c>
      <c r="CO449">
        <f>IF(OR(CJ$3="",CJ$3&gt;TODAY()),"",IF(AND(CM449="",CN449=""),"",N(CN449)-N(CM449)))</f>
        <v/>
      </c>
      <c r="CS449">
        <f>IF(OR(CQ$3="",CQ$3&gt;TODAY()),"",IF(AND(CQ449="",CR449=""),"",N(CR449)-N(CQ449)))</f>
        <v/>
      </c>
      <c r="CV449">
        <f>IF(OR(CQ$3="",CQ$3&gt;TODAY()),"",IF(AND(CT449="",CU449=""),"",N(CU449)-N(CT449)))</f>
        <v/>
      </c>
      <c r="CZ449">
        <f>IF(OR(CX$3="",CX$3&gt;TODAY()),"",IF(AND(CX449="",CY449=""),"",N(CY449)-N(CX449)))</f>
        <v/>
      </c>
      <c r="DC449">
        <f>IF(OR(CX$3="",CX$3&gt;TODAY()),"",IF(AND(DA449="",DB449=""),"",N(DB449)-N(DA449)))</f>
        <v/>
      </c>
      <c r="DG449">
        <f>IF(OR(DE$3="",DE$3&gt;TODAY()),"",IF(AND(DE449="",DF449=""),"",N(DF449)-N(DE449)))</f>
        <v/>
      </c>
      <c r="DJ449">
        <f>IF(OR(DE$3="",DE$3&gt;TODAY()),"",IF(AND(DH449="",DI449=""),"",N(DI449)-N(DH449)))</f>
        <v/>
      </c>
      <c r="DN449">
        <f>IF(OR(DL$3="",DL$3&gt;TODAY()),"",IF(AND(DL449="",DM449=""),"",N(DM449)-N(DL449)))</f>
        <v/>
      </c>
      <c r="DQ449">
        <f>IF(OR(DL$3="",DL$3&gt;TODAY()),"",IF(AND(DO449="",DP449=""),"",N(DP449)-N(DO449)))</f>
        <v/>
      </c>
      <c r="DU449">
        <f>IF(OR(DS$3="",DS$3&gt;TODAY()),"",IF(AND(DS449="",DT449=""),"",N(DT449)-N(DS449)))</f>
        <v/>
      </c>
      <c r="DX449">
        <f>IF(OR(DS$3="",DS$3&gt;TODAY()),"",IF(AND(DV449="",DW449=""),"",N(DW449)-N(DV449)))</f>
        <v/>
      </c>
      <c r="EB449">
        <f>IF(OR(DZ$3="",DZ$3&gt;TODAY()),"",IF(AND(DZ449="",EA449=""),"",N(EA449)-N(DZ449)))</f>
        <v/>
      </c>
      <c r="EE449">
        <f>IF(OR(DZ$3="",DZ$3&gt;TODAY()),"",IF(AND(EC449="",ED449=""),"",N(ED449)-N(EC449)))</f>
        <v/>
      </c>
      <c r="EI449">
        <f>IF(OR(EG$3="",EG$3&gt;TODAY()),"",IF(AND(EG449="",EH449=""),"",N(EH449)-N(EG449)))</f>
        <v/>
      </c>
      <c r="EL449">
        <f>IF(OR(EG$3="",EG$3&gt;TODAY()),"",IF(AND(EJ449="",EK449=""),"",N(EK449)-N(EJ449)))</f>
        <v/>
      </c>
      <c r="EP449">
        <f>IF(OR(EN$3="",EN$3&gt;TODAY()),"",IF(AND(EN449="",EO449=""),"",N(EO449)-N(EN449)))</f>
        <v/>
      </c>
      <c r="ES449">
        <f>IF(OR(EN$3="",EN$3&gt;TODAY()),"",IF(AND(EQ449="",ER449=""),"",N(ER449)-N(EQ449)))</f>
        <v/>
      </c>
      <c r="EW449">
        <f>IF(OR(EU$3="",EU$3&gt;TODAY()),"",IF(AND(EU449="",EV449=""),"",N(EV449)-N(EU449)))</f>
        <v/>
      </c>
      <c r="EZ449">
        <f>IF(OR(EU$3="",EU$3&gt;TODAY()),"",IF(AND(EX449="",EY449=""),"",N(EY449)-N(EX449)))</f>
        <v/>
      </c>
      <c r="FD449">
        <f>IF(OR(FB$3="",FB$3&gt;TODAY()),"",IF(AND(FB449="",FC449=""),"",N(FC449)-N(FB449)))</f>
        <v/>
      </c>
      <c r="FG449">
        <f>IF(OR(FB$3="",FB$3&gt;TODAY()),"",IF(AND(FE449="",FF449=""),"",N(FF449)-N(FE449)))</f>
        <v/>
      </c>
      <c r="FK449">
        <f>IF(OR(FI$3="",FI$3&gt;TODAY()),"",IF(AND(FI449="",FJ449=""),"",N(FJ449)-N(FI449)))</f>
        <v/>
      </c>
      <c r="FN449">
        <f>IF(OR(FI$3="",FI$3&gt;TODAY()),"",IF(AND(FL449="",FM449=""),"",N(FM449)-N(FL449)))</f>
        <v/>
      </c>
      <c r="FR449">
        <f>IF(OR(FP$3="",FP$3&gt;TODAY()),"",IF(AND(FP449="",FQ449=""),"",N(FQ449)-N(FP449)))</f>
        <v/>
      </c>
      <c r="FU449">
        <f>IF(OR(FP$3="",FP$3&gt;TODAY()),"",IF(AND(FS449="",FT449=""),"",N(FT449)-N(FS449)))</f>
        <v/>
      </c>
      <c r="FY449">
        <f>IF(OR(FW$3="",FW$3&gt;TODAY()),"",IF(AND(FW449="",FX449=""),"",N(FX449)-N(FW449)))</f>
        <v/>
      </c>
      <c r="GB449">
        <f>IF(OR(FW$3="",FW$3&gt;TODAY()),"",IF(AND(FZ449="",GA449=""),"",N(GA449)-N(FZ449)))</f>
        <v/>
      </c>
      <c r="GF449">
        <f>IF(OR(GD$3="",GD$3&gt;TODAY()),"",IF(AND(GD449="",GE449=""),"",N(GE449)-N(GD449)))</f>
        <v/>
      </c>
      <c r="GI449">
        <f>IF(OR(GD$3="",GD$3&gt;TODAY()),"",IF(AND(GG449="",GH449=""),"",N(GH449)-N(GG449)))</f>
        <v/>
      </c>
      <c r="GM449">
        <f>IF(OR(GK$3="",GK$3&gt;TODAY()),"",IF(AND(GK449="",GL449=""),"",N(GL449)-N(GK449)))</f>
        <v/>
      </c>
      <c r="GP449">
        <f>IF(OR(GK$3="",GK$3&gt;TODAY()),"",IF(AND(GN449="",GO449=""),"",N(GO449)-N(GN449)))</f>
        <v/>
      </c>
      <c r="GT449">
        <f>IF(OR(GR$3="",GR$3&gt;TODAY()),"",IF(AND(GR449="",GS449=""),"",N(GS449)-N(GR449)))</f>
        <v/>
      </c>
      <c r="GW449">
        <f>IF(OR(GR$3="",GR$3&gt;TODAY()),"",IF(AND(GU449="",GV449=""),"",N(GV449)-N(GU449)))</f>
        <v/>
      </c>
      <c r="HA449">
        <f>IF(OR(GY$3="",GY$3&gt;TODAY()),"",IF(AND(GY449="",GZ449=""),"",N(GZ449)-N(GY449)))</f>
        <v/>
      </c>
      <c r="HD449">
        <f>IF(OR(GY$3="",GY$3&gt;TODAY()),"",IF(AND(HB449="",HC449=""),"",N(HC449)-N(HB449)))</f>
        <v/>
      </c>
      <c r="HH449">
        <f>IF(OR(HF$3="",HF$3&gt;TODAY()),"",IF(AND(HF449="",HG449=""),"",N(HG449)-N(HF449)))</f>
        <v/>
      </c>
      <c r="HK449">
        <f>IF(OR(HF$3="",HF$3&gt;TODAY()),"",IF(AND(HI449="",HJ449=""),"",N(HJ449)-N(HI449)))</f>
        <v/>
      </c>
      <c r="HO449">
        <f>IF(OR(HM$3="",HM$3&gt;TODAY()),"",IF(AND(HM449="",HN449=""),"",N(HN449)-N(HM449)))</f>
        <v/>
      </c>
      <c r="HR449">
        <f>IF(OR(HM$3="",HM$3&gt;TODAY()),"",IF(AND(HP449="",HQ449=""),"",N(HQ449)-N(HP449)))</f>
        <v/>
      </c>
      <c r="HV449">
        <f>IF(OR(HT$3="",HT$3&gt;TODAY()),"",IF(AND(HT449="",HU449=""),"",N(HU449)-N(HT449)))</f>
        <v/>
      </c>
      <c r="HY449">
        <f>IF(OR(HT$3="",HT$3&gt;TODAY()),"",IF(AND(HW449="",HX449=""),"",N(HX449)-N(HW449)))</f>
        <v/>
      </c>
      <c r="IC449">
        <f>IF(OR(IA$3="",IA$3&gt;TODAY()),"",IF(AND(IA449="",IB449=""),"",N(IB449)-N(IA449)))</f>
        <v/>
      </c>
      <c r="IF449">
        <f>IF(OR(IA$3="",IA$3&gt;TODAY()),"",IF(AND(ID449="",IE449=""),"",N(IE449)-N(ID449)))</f>
        <v/>
      </c>
      <c r="IJ449">
        <f>IF(OR(IH$3="",IH$3&gt;TODAY()),"",IF(AND(IH449="",II449=""),"",N(II449)-N(IH449)))</f>
        <v/>
      </c>
      <c r="IM449">
        <f>IF(OR(IH$3="",IH$3&gt;TODAY()),"",IF(AND(IK449="",IL449=""),"",N(IL449)-N(IK449)))</f>
        <v/>
      </c>
    </row>
    <row r="450">
      <c r="A450" s="21" t="n"/>
      <c r="B450" s="21" t="n"/>
      <c r="C450" s="21" t="n"/>
      <c r="D450" s="21" t="n"/>
      <c r="E450" s="21" t="n"/>
      <c r="F450" s="21" t="n"/>
      <c r="G450" s="21" t="n"/>
      <c r="H450" s="21" t="n"/>
      <c r="I450" s="22" t="n"/>
      <c r="J450" s="22" t="n"/>
      <c r="K450" s="23" t="n"/>
      <c r="L450" s="22" t="n"/>
      <c r="M450" s="22" t="n"/>
      <c r="N450" s="21" t="n"/>
      <c r="O450" s="23" t="n"/>
      <c r="P450" s="23" t="n"/>
      <c r="Q450" s="23" t="n"/>
      <c r="R450" s="23" t="n"/>
      <c r="S450" s="22" t="n"/>
      <c r="T450" s="23" t="n"/>
      <c r="U450" s="23" t="n"/>
      <c r="V450" s="24">
        <f>IF(J450&lt;&gt;"",J450,IF(I450&lt;&gt;"",I450,""))</f>
        <v/>
      </c>
      <c r="W450" s="25">
        <f>IF($E450="","",N(O450)+SUMIFS($AF450:$IN450,$AF$4:$IN$4,"SEW_ACT"))</f>
        <v/>
      </c>
      <c r="X450" s="25">
        <f>IF($E450="","",N(P450)+SUMIFS($AF450:$IN450,$AF$4:$IN$4,"WASH_ACT"))</f>
        <v/>
      </c>
      <c r="Y450" s="25">
        <f>IF($E450="","",W450-X450-N(T450)-N(U450))</f>
        <v/>
      </c>
      <c r="Z450" s="25">
        <f>IF($E450="","",IF(N(K450)-X450&lt;=0.02*N(K450),0,N(K450)-X450))</f>
        <v/>
      </c>
      <c r="AA450" s="24">
        <f>IF($E450="","",IF(S450&lt;&gt;"",S450,IF(N(O450)&gt;0,IF(L450&lt;&gt;"",L450,99999),IFERROR(1/(1/_xlfn.MINIFS($AF$3:$IN$3,$AF$4:$IN$4,"SEW_ACT",$AF450:$IN450,"&gt;0")),99999))))</f>
        <v/>
      </c>
      <c r="AB450" s="26">
        <f>IF(OR($E450="",Z450=0,V450=""),"",1+COUNTIFS(Z$8:Z$707,"&gt;0",V$8:V$707,"&lt;"&amp;V450)+COUNTIFS(Z$8:Z$707,"&gt;0",V$8:V$707,V450,AA$8:AA$707,"&lt;"&amp;AA450)+COUNTIFS(Z$8:Z$707,"&gt;0",V$8:V$707,V450,AA$8:AA$707,AA450,E$8:E$707,"&lt;"&amp;$E450))</f>
        <v/>
      </c>
      <c r="AC450" s="24">
        <f>IF(OR($E450="",Z450=0),"",IFERROR(TODAY()+ROUNDUP(Z450/(SUMIFS($AF450:$IN450,$AF$4:$IN$4,"WASH_ACT")/COUNTIFS($AF$4:$IN$4,"WASH_ACT",$AF450:$IN450,"&gt;0")),0),"no output yet"))</f>
        <v/>
      </c>
      <c r="AD450" s="26">
        <f>IF($E450="","",IFERROR(ROUND(MAX(0,SUMIFS($AF450:$IN450,$AF$4:$IN$4,"SEW_PLAN",$AF$3:$IN$3,"&lt;="&amp;TODAY())-SUMIFS($AF450:$IN450,$AF$4:$IN$4,"SEW_ACT",$AF$3:$IN$3,"&lt;="&amp;TODAY())+N(Q450))/(SUMIFS($AF450:$IN450,$AF$4:$IN$4,"SEW_PLAN")/COUNTIFS($AF$4:$IN$4,"SEW_PLAN",$AF450:$IN450,"&gt;0")),1),0))</f>
        <v/>
      </c>
      <c r="AE450" s="26">
        <f>IF($E450="","",IF(AND(Z450&gt;0,OR(AND(M450&lt;&gt;"",TODAY()&gt;M450),AND(V450&lt;&gt;"",V450-TODAY()&lt;=7))),"Yes","No"))</f>
        <v/>
      </c>
      <c r="AH450">
        <f>IF(OR(AF$3="",AF$3&gt;TODAY()),"",IF(AND(AF450="",AG450=""),"",N(AG450)-N(AF450)))</f>
        <v/>
      </c>
      <c r="AK450">
        <f>IF(OR(AF$3="",AF$3&gt;TODAY()),"",IF(AND(AI450="",AJ450=""),"",N(AJ450)-N(AI450)))</f>
        <v/>
      </c>
      <c r="AO450">
        <f>IF(OR(AM$3="",AM$3&gt;TODAY()),"",IF(AND(AM450="",AN450=""),"",N(AN450)-N(AM450)))</f>
        <v/>
      </c>
      <c r="AR450">
        <f>IF(OR(AM$3="",AM$3&gt;TODAY()),"",IF(AND(AP450="",AQ450=""),"",N(AQ450)-N(AP450)))</f>
        <v/>
      </c>
      <c r="AV450">
        <f>IF(OR(AT$3="",AT$3&gt;TODAY()),"",IF(AND(AT450="",AU450=""),"",N(AU450)-N(AT450)))</f>
        <v/>
      </c>
      <c r="AY450">
        <f>IF(OR(AT$3="",AT$3&gt;TODAY()),"",IF(AND(AW450="",AX450=""),"",N(AX450)-N(AW450)))</f>
        <v/>
      </c>
      <c r="BC450">
        <f>IF(OR(BA$3="",BA$3&gt;TODAY()),"",IF(AND(BA450="",BB450=""),"",N(BB450)-N(BA450)))</f>
        <v/>
      </c>
      <c r="BF450">
        <f>IF(OR(BA$3="",BA$3&gt;TODAY()),"",IF(AND(BD450="",BE450=""),"",N(BE450)-N(BD450)))</f>
        <v/>
      </c>
      <c r="BJ450">
        <f>IF(OR(BH$3="",BH$3&gt;TODAY()),"",IF(AND(BH450="",BI450=""),"",N(BI450)-N(BH450)))</f>
        <v/>
      </c>
      <c r="BM450">
        <f>IF(OR(BH$3="",BH$3&gt;TODAY()),"",IF(AND(BK450="",BL450=""),"",N(BL450)-N(BK450)))</f>
        <v/>
      </c>
      <c r="BQ450">
        <f>IF(OR(BO$3="",BO$3&gt;TODAY()),"",IF(AND(BO450="",BP450=""),"",N(BP450)-N(BO450)))</f>
        <v/>
      </c>
      <c r="BT450">
        <f>IF(OR(BO$3="",BO$3&gt;TODAY()),"",IF(AND(BR450="",BS450=""),"",N(BS450)-N(BR450)))</f>
        <v/>
      </c>
      <c r="BX450">
        <f>IF(OR(BV$3="",BV$3&gt;TODAY()),"",IF(AND(BV450="",BW450=""),"",N(BW450)-N(BV450)))</f>
        <v/>
      </c>
      <c r="CA450">
        <f>IF(OR(BV$3="",BV$3&gt;TODAY()),"",IF(AND(BY450="",BZ450=""),"",N(BZ450)-N(BY450)))</f>
        <v/>
      </c>
      <c r="CE450">
        <f>IF(OR(CC$3="",CC$3&gt;TODAY()),"",IF(AND(CC450="",CD450=""),"",N(CD450)-N(CC450)))</f>
        <v/>
      </c>
      <c r="CH450">
        <f>IF(OR(CC$3="",CC$3&gt;TODAY()),"",IF(AND(CF450="",CG450=""),"",N(CG450)-N(CF450)))</f>
        <v/>
      </c>
      <c r="CL450">
        <f>IF(OR(CJ$3="",CJ$3&gt;TODAY()),"",IF(AND(CJ450="",CK450=""),"",N(CK450)-N(CJ450)))</f>
        <v/>
      </c>
      <c r="CO450">
        <f>IF(OR(CJ$3="",CJ$3&gt;TODAY()),"",IF(AND(CM450="",CN450=""),"",N(CN450)-N(CM450)))</f>
        <v/>
      </c>
      <c r="CS450">
        <f>IF(OR(CQ$3="",CQ$3&gt;TODAY()),"",IF(AND(CQ450="",CR450=""),"",N(CR450)-N(CQ450)))</f>
        <v/>
      </c>
      <c r="CV450">
        <f>IF(OR(CQ$3="",CQ$3&gt;TODAY()),"",IF(AND(CT450="",CU450=""),"",N(CU450)-N(CT450)))</f>
        <v/>
      </c>
      <c r="CZ450">
        <f>IF(OR(CX$3="",CX$3&gt;TODAY()),"",IF(AND(CX450="",CY450=""),"",N(CY450)-N(CX450)))</f>
        <v/>
      </c>
      <c r="DC450">
        <f>IF(OR(CX$3="",CX$3&gt;TODAY()),"",IF(AND(DA450="",DB450=""),"",N(DB450)-N(DA450)))</f>
        <v/>
      </c>
      <c r="DG450">
        <f>IF(OR(DE$3="",DE$3&gt;TODAY()),"",IF(AND(DE450="",DF450=""),"",N(DF450)-N(DE450)))</f>
        <v/>
      </c>
      <c r="DJ450">
        <f>IF(OR(DE$3="",DE$3&gt;TODAY()),"",IF(AND(DH450="",DI450=""),"",N(DI450)-N(DH450)))</f>
        <v/>
      </c>
      <c r="DN450">
        <f>IF(OR(DL$3="",DL$3&gt;TODAY()),"",IF(AND(DL450="",DM450=""),"",N(DM450)-N(DL450)))</f>
        <v/>
      </c>
      <c r="DQ450">
        <f>IF(OR(DL$3="",DL$3&gt;TODAY()),"",IF(AND(DO450="",DP450=""),"",N(DP450)-N(DO450)))</f>
        <v/>
      </c>
      <c r="DU450">
        <f>IF(OR(DS$3="",DS$3&gt;TODAY()),"",IF(AND(DS450="",DT450=""),"",N(DT450)-N(DS450)))</f>
        <v/>
      </c>
      <c r="DX450">
        <f>IF(OR(DS$3="",DS$3&gt;TODAY()),"",IF(AND(DV450="",DW450=""),"",N(DW450)-N(DV450)))</f>
        <v/>
      </c>
      <c r="EB450">
        <f>IF(OR(DZ$3="",DZ$3&gt;TODAY()),"",IF(AND(DZ450="",EA450=""),"",N(EA450)-N(DZ450)))</f>
        <v/>
      </c>
      <c r="EE450">
        <f>IF(OR(DZ$3="",DZ$3&gt;TODAY()),"",IF(AND(EC450="",ED450=""),"",N(ED450)-N(EC450)))</f>
        <v/>
      </c>
      <c r="EI450">
        <f>IF(OR(EG$3="",EG$3&gt;TODAY()),"",IF(AND(EG450="",EH450=""),"",N(EH450)-N(EG450)))</f>
        <v/>
      </c>
      <c r="EL450">
        <f>IF(OR(EG$3="",EG$3&gt;TODAY()),"",IF(AND(EJ450="",EK450=""),"",N(EK450)-N(EJ450)))</f>
        <v/>
      </c>
      <c r="EP450">
        <f>IF(OR(EN$3="",EN$3&gt;TODAY()),"",IF(AND(EN450="",EO450=""),"",N(EO450)-N(EN450)))</f>
        <v/>
      </c>
      <c r="ES450">
        <f>IF(OR(EN$3="",EN$3&gt;TODAY()),"",IF(AND(EQ450="",ER450=""),"",N(ER450)-N(EQ450)))</f>
        <v/>
      </c>
      <c r="EW450">
        <f>IF(OR(EU$3="",EU$3&gt;TODAY()),"",IF(AND(EU450="",EV450=""),"",N(EV450)-N(EU450)))</f>
        <v/>
      </c>
      <c r="EZ450">
        <f>IF(OR(EU$3="",EU$3&gt;TODAY()),"",IF(AND(EX450="",EY450=""),"",N(EY450)-N(EX450)))</f>
        <v/>
      </c>
      <c r="FD450">
        <f>IF(OR(FB$3="",FB$3&gt;TODAY()),"",IF(AND(FB450="",FC450=""),"",N(FC450)-N(FB450)))</f>
        <v/>
      </c>
      <c r="FG450">
        <f>IF(OR(FB$3="",FB$3&gt;TODAY()),"",IF(AND(FE450="",FF450=""),"",N(FF450)-N(FE450)))</f>
        <v/>
      </c>
      <c r="FK450">
        <f>IF(OR(FI$3="",FI$3&gt;TODAY()),"",IF(AND(FI450="",FJ450=""),"",N(FJ450)-N(FI450)))</f>
        <v/>
      </c>
      <c r="FN450">
        <f>IF(OR(FI$3="",FI$3&gt;TODAY()),"",IF(AND(FL450="",FM450=""),"",N(FM450)-N(FL450)))</f>
        <v/>
      </c>
      <c r="FR450">
        <f>IF(OR(FP$3="",FP$3&gt;TODAY()),"",IF(AND(FP450="",FQ450=""),"",N(FQ450)-N(FP450)))</f>
        <v/>
      </c>
      <c r="FU450">
        <f>IF(OR(FP$3="",FP$3&gt;TODAY()),"",IF(AND(FS450="",FT450=""),"",N(FT450)-N(FS450)))</f>
        <v/>
      </c>
      <c r="FY450">
        <f>IF(OR(FW$3="",FW$3&gt;TODAY()),"",IF(AND(FW450="",FX450=""),"",N(FX450)-N(FW450)))</f>
        <v/>
      </c>
      <c r="GB450">
        <f>IF(OR(FW$3="",FW$3&gt;TODAY()),"",IF(AND(FZ450="",GA450=""),"",N(GA450)-N(FZ450)))</f>
        <v/>
      </c>
      <c r="GF450">
        <f>IF(OR(GD$3="",GD$3&gt;TODAY()),"",IF(AND(GD450="",GE450=""),"",N(GE450)-N(GD450)))</f>
        <v/>
      </c>
      <c r="GI450">
        <f>IF(OR(GD$3="",GD$3&gt;TODAY()),"",IF(AND(GG450="",GH450=""),"",N(GH450)-N(GG450)))</f>
        <v/>
      </c>
      <c r="GM450">
        <f>IF(OR(GK$3="",GK$3&gt;TODAY()),"",IF(AND(GK450="",GL450=""),"",N(GL450)-N(GK450)))</f>
        <v/>
      </c>
      <c r="GP450">
        <f>IF(OR(GK$3="",GK$3&gt;TODAY()),"",IF(AND(GN450="",GO450=""),"",N(GO450)-N(GN450)))</f>
        <v/>
      </c>
      <c r="GT450">
        <f>IF(OR(GR$3="",GR$3&gt;TODAY()),"",IF(AND(GR450="",GS450=""),"",N(GS450)-N(GR450)))</f>
        <v/>
      </c>
      <c r="GW450">
        <f>IF(OR(GR$3="",GR$3&gt;TODAY()),"",IF(AND(GU450="",GV450=""),"",N(GV450)-N(GU450)))</f>
        <v/>
      </c>
      <c r="HA450">
        <f>IF(OR(GY$3="",GY$3&gt;TODAY()),"",IF(AND(GY450="",GZ450=""),"",N(GZ450)-N(GY450)))</f>
        <v/>
      </c>
      <c r="HD450">
        <f>IF(OR(GY$3="",GY$3&gt;TODAY()),"",IF(AND(HB450="",HC450=""),"",N(HC450)-N(HB450)))</f>
        <v/>
      </c>
      <c r="HH450">
        <f>IF(OR(HF$3="",HF$3&gt;TODAY()),"",IF(AND(HF450="",HG450=""),"",N(HG450)-N(HF450)))</f>
        <v/>
      </c>
      <c r="HK450">
        <f>IF(OR(HF$3="",HF$3&gt;TODAY()),"",IF(AND(HI450="",HJ450=""),"",N(HJ450)-N(HI450)))</f>
        <v/>
      </c>
      <c r="HO450">
        <f>IF(OR(HM$3="",HM$3&gt;TODAY()),"",IF(AND(HM450="",HN450=""),"",N(HN450)-N(HM450)))</f>
        <v/>
      </c>
      <c r="HR450">
        <f>IF(OR(HM$3="",HM$3&gt;TODAY()),"",IF(AND(HP450="",HQ450=""),"",N(HQ450)-N(HP450)))</f>
        <v/>
      </c>
      <c r="HV450">
        <f>IF(OR(HT$3="",HT$3&gt;TODAY()),"",IF(AND(HT450="",HU450=""),"",N(HU450)-N(HT450)))</f>
        <v/>
      </c>
      <c r="HY450">
        <f>IF(OR(HT$3="",HT$3&gt;TODAY()),"",IF(AND(HW450="",HX450=""),"",N(HX450)-N(HW450)))</f>
        <v/>
      </c>
      <c r="IC450">
        <f>IF(OR(IA$3="",IA$3&gt;TODAY()),"",IF(AND(IA450="",IB450=""),"",N(IB450)-N(IA450)))</f>
        <v/>
      </c>
      <c r="IF450">
        <f>IF(OR(IA$3="",IA$3&gt;TODAY()),"",IF(AND(ID450="",IE450=""),"",N(IE450)-N(ID450)))</f>
        <v/>
      </c>
      <c r="IJ450">
        <f>IF(OR(IH$3="",IH$3&gt;TODAY()),"",IF(AND(IH450="",II450=""),"",N(II450)-N(IH450)))</f>
        <v/>
      </c>
      <c r="IM450">
        <f>IF(OR(IH$3="",IH$3&gt;TODAY()),"",IF(AND(IK450="",IL450=""),"",N(IL450)-N(IK450)))</f>
        <v/>
      </c>
    </row>
    <row r="451">
      <c r="A451" s="21" t="n"/>
      <c r="B451" s="21" t="n"/>
      <c r="C451" s="21" t="n"/>
      <c r="D451" s="21" t="n"/>
      <c r="E451" s="21" t="n"/>
      <c r="F451" s="21" t="n"/>
      <c r="G451" s="21" t="n"/>
      <c r="H451" s="21" t="n"/>
      <c r="I451" s="22" t="n"/>
      <c r="J451" s="22" t="n"/>
      <c r="K451" s="23" t="n"/>
      <c r="L451" s="22" t="n"/>
      <c r="M451" s="22" t="n"/>
      <c r="N451" s="21" t="n"/>
      <c r="O451" s="23" t="n"/>
      <c r="P451" s="23" t="n"/>
      <c r="Q451" s="23" t="n"/>
      <c r="R451" s="23" t="n"/>
      <c r="S451" s="22" t="n"/>
      <c r="T451" s="23" t="n"/>
      <c r="U451" s="23" t="n"/>
      <c r="V451" s="24">
        <f>IF(J451&lt;&gt;"",J451,IF(I451&lt;&gt;"",I451,""))</f>
        <v/>
      </c>
      <c r="W451" s="25">
        <f>IF($E451="","",N(O451)+SUMIFS($AF451:$IN451,$AF$4:$IN$4,"SEW_ACT"))</f>
        <v/>
      </c>
      <c r="X451" s="25">
        <f>IF($E451="","",N(P451)+SUMIFS($AF451:$IN451,$AF$4:$IN$4,"WASH_ACT"))</f>
        <v/>
      </c>
      <c r="Y451" s="25">
        <f>IF($E451="","",W451-X451-N(T451)-N(U451))</f>
        <v/>
      </c>
      <c r="Z451" s="25">
        <f>IF($E451="","",IF(N(K451)-X451&lt;=0.02*N(K451),0,N(K451)-X451))</f>
        <v/>
      </c>
      <c r="AA451" s="24">
        <f>IF($E451="","",IF(S451&lt;&gt;"",S451,IF(N(O451)&gt;0,IF(L451&lt;&gt;"",L451,99999),IFERROR(1/(1/_xlfn.MINIFS($AF$3:$IN$3,$AF$4:$IN$4,"SEW_ACT",$AF451:$IN451,"&gt;0")),99999))))</f>
        <v/>
      </c>
      <c r="AB451" s="26">
        <f>IF(OR($E451="",Z451=0,V451=""),"",1+COUNTIFS(Z$8:Z$707,"&gt;0",V$8:V$707,"&lt;"&amp;V451)+COUNTIFS(Z$8:Z$707,"&gt;0",V$8:V$707,V451,AA$8:AA$707,"&lt;"&amp;AA451)+COUNTIFS(Z$8:Z$707,"&gt;0",V$8:V$707,V451,AA$8:AA$707,AA451,E$8:E$707,"&lt;"&amp;$E451))</f>
        <v/>
      </c>
      <c r="AC451" s="24">
        <f>IF(OR($E451="",Z451=0),"",IFERROR(TODAY()+ROUNDUP(Z451/(SUMIFS($AF451:$IN451,$AF$4:$IN$4,"WASH_ACT")/COUNTIFS($AF$4:$IN$4,"WASH_ACT",$AF451:$IN451,"&gt;0")),0),"no output yet"))</f>
        <v/>
      </c>
      <c r="AD451" s="26">
        <f>IF($E451="","",IFERROR(ROUND(MAX(0,SUMIFS($AF451:$IN451,$AF$4:$IN$4,"SEW_PLAN",$AF$3:$IN$3,"&lt;="&amp;TODAY())-SUMIFS($AF451:$IN451,$AF$4:$IN$4,"SEW_ACT",$AF$3:$IN$3,"&lt;="&amp;TODAY())+N(Q451))/(SUMIFS($AF451:$IN451,$AF$4:$IN$4,"SEW_PLAN")/COUNTIFS($AF$4:$IN$4,"SEW_PLAN",$AF451:$IN451,"&gt;0")),1),0))</f>
        <v/>
      </c>
      <c r="AE451" s="26">
        <f>IF($E451="","",IF(AND(Z451&gt;0,OR(AND(M451&lt;&gt;"",TODAY()&gt;M451),AND(V451&lt;&gt;"",V451-TODAY()&lt;=7))),"Yes","No"))</f>
        <v/>
      </c>
      <c r="AH451">
        <f>IF(OR(AF$3="",AF$3&gt;TODAY()),"",IF(AND(AF451="",AG451=""),"",N(AG451)-N(AF451)))</f>
        <v/>
      </c>
      <c r="AK451">
        <f>IF(OR(AF$3="",AF$3&gt;TODAY()),"",IF(AND(AI451="",AJ451=""),"",N(AJ451)-N(AI451)))</f>
        <v/>
      </c>
      <c r="AO451">
        <f>IF(OR(AM$3="",AM$3&gt;TODAY()),"",IF(AND(AM451="",AN451=""),"",N(AN451)-N(AM451)))</f>
        <v/>
      </c>
      <c r="AR451">
        <f>IF(OR(AM$3="",AM$3&gt;TODAY()),"",IF(AND(AP451="",AQ451=""),"",N(AQ451)-N(AP451)))</f>
        <v/>
      </c>
      <c r="AV451">
        <f>IF(OR(AT$3="",AT$3&gt;TODAY()),"",IF(AND(AT451="",AU451=""),"",N(AU451)-N(AT451)))</f>
        <v/>
      </c>
      <c r="AY451">
        <f>IF(OR(AT$3="",AT$3&gt;TODAY()),"",IF(AND(AW451="",AX451=""),"",N(AX451)-N(AW451)))</f>
        <v/>
      </c>
      <c r="BC451">
        <f>IF(OR(BA$3="",BA$3&gt;TODAY()),"",IF(AND(BA451="",BB451=""),"",N(BB451)-N(BA451)))</f>
        <v/>
      </c>
      <c r="BF451">
        <f>IF(OR(BA$3="",BA$3&gt;TODAY()),"",IF(AND(BD451="",BE451=""),"",N(BE451)-N(BD451)))</f>
        <v/>
      </c>
      <c r="BJ451">
        <f>IF(OR(BH$3="",BH$3&gt;TODAY()),"",IF(AND(BH451="",BI451=""),"",N(BI451)-N(BH451)))</f>
        <v/>
      </c>
      <c r="BM451">
        <f>IF(OR(BH$3="",BH$3&gt;TODAY()),"",IF(AND(BK451="",BL451=""),"",N(BL451)-N(BK451)))</f>
        <v/>
      </c>
      <c r="BQ451">
        <f>IF(OR(BO$3="",BO$3&gt;TODAY()),"",IF(AND(BO451="",BP451=""),"",N(BP451)-N(BO451)))</f>
        <v/>
      </c>
      <c r="BT451">
        <f>IF(OR(BO$3="",BO$3&gt;TODAY()),"",IF(AND(BR451="",BS451=""),"",N(BS451)-N(BR451)))</f>
        <v/>
      </c>
      <c r="BX451">
        <f>IF(OR(BV$3="",BV$3&gt;TODAY()),"",IF(AND(BV451="",BW451=""),"",N(BW451)-N(BV451)))</f>
        <v/>
      </c>
      <c r="CA451">
        <f>IF(OR(BV$3="",BV$3&gt;TODAY()),"",IF(AND(BY451="",BZ451=""),"",N(BZ451)-N(BY451)))</f>
        <v/>
      </c>
      <c r="CE451">
        <f>IF(OR(CC$3="",CC$3&gt;TODAY()),"",IF(AND(CC451="",CD451=""),"",N(CD451)-N(CC451)))</f>
        <v/>
      </c>
      <c r="CH451">
        <f>IF(OR(CC$3="",CC$3&gt;TODAY()),"",IF(AND(CF451="",CG451=""),"",N(CG451)-N(CF451)))</f>
        <v/>
      </c>
      <c r="CL451">
        <f>IF(OR(CJ$3="",CJ$3&gt;TODAY()),"",IF(AND(CJ451="",CK451=""),"",N(CK451)-N(CJ451)))</f>
        <v/>
      </c>
      <c r="CO451">
        <f>IF(OR(CJ$3="",CJ$3&gt;TODAY()),"",IF(AND(CM451="",CN451=""),"",N(CN451)-N(CM451)))</f>
        <v/>
      </c>
      <c r="CS451">
        <f>IF(OR(CQ$3="",CQ$3&gt;TODAY()),"",IF(AND(CQ451="",CR451=""),"",N(CR451)-N(CQ451)))</f>
        <v/>
      </c>
      <c r="CV451">
        <f>IF(OR(CQ$3="",CQ$3&gt;TODAY()),"",IF(AND(CT451="",CU451=""),"",N(CU451)-N(CT451)))</f>
        <v/>
      </c>
      <c r="CZ451">
        <f>IF(OR(CX$3="",CX$3&gt;TODAY()),"",IF(AND(CX451="",CY451=""),"",N(CY451)-N(CX451)))</f>
        <v/>
      </c>
      <c r="DC451">
        <f>IF(OR(CX$3="",CX$3&gt;TODAY()),"",IF(AND(DA451="",DB451=""),"",N(DB451)-N(DA451)))</f>
        <v/>
      </c>
      <c r="DG451">
        <f>IF(OR(DE$3="",DE$3&gt;TODAY()),"",IF(AND(DE451="",DF451=""),"",N(DF451)-N(DE451)))</f>
        <v/>
      </c>
      <c r="DJ451">
        <f>IF(OR(DE$3="",DE$3&gt;TODAY()),"",IF(AND(DH451="",DI451=""),"",N(DI451)-N(DH451)))</f>
        <v/>
      </c>
      <c r="DN451">
        <f>IF(OR(DL$3="",DL$3&gt;TODAY()),"",IF(AND(DL451="",DM451=""),"",N(DM451)-N(DL451)))</f>
        <v/>
      </c>
      <c r="DQ451">
        <f>IF(OR(DL$3="",DL$3&gt;TODAY()),"",IF(AND(DO451="",DP451=""),"",N(DP451)-N(DO451)))</f>
        <v/>
      </c>
      <c r="DU451">
        <f>IF(OR(DS$3="",DS$3&gt;TODAY()),"",IF(AND(DS451="",DT451=""),"",N(DT451)-N(DS451)))</f>
        <v/>
      </c>
      <c r="DX451">
        <f>IF(OR(DS$3="",DS$3&gt;TODAY()),"",IF(AND(DV451="",DW451=""),"",N(DW451)-N(DV451)))</f>
        <v/>
      </c>
      <c r="EB451">
        <f>IF(OR(DZ$3="",DZ$3&gt;TODAY()),"",IF(AND(DZ451="",EA451=""),"",N(EA451)-N(DZ451)))</f>
        <v/>
      </c>
      <c r="EE451">
        <f>IF(OR(DZ$3="",DZ$3&gt;TODAY()),"",IF(AND(EC451="",ED451=""),"",N(ED451)-N(EC451)))</f>
        <v/>
      </c>
      <c r="EI451">
        <f>IF(OR(EG$3="",EG$3&gt;TODAY()),"",IF(AND(EG451="",EH451=""),"",N(EH451)-N(EG451)))</f>
        <v/>
      </c>
      <c r="EL451">
        <f>IF(OR(EG$3="",EG$3&gt;TODAY()),"",IF(AND(EJ451="",EK451=""),"",N(EK451)-N(EJ451)))</f>
        <v/>
      </c>
      <c r="EP451">
        <f>IF(OR(EN$3="",EN$3&gt;TODAY()),"",IF(AND(EN451="",EO451=""),"",N(EO451)-N(EN451)))</f>
        <v/>
      </c>
      <c r="ES451">
        <f>IF(OR(EN$3="",EN$3&gt;TODAY()),"",IF(AND(EQ451="",ER451=""),"",N(ER451)-N(EQ451)))</f>
        <v/>
      </c>
      <c r="EW451">
        <f>IF(OR(EU$3="",EU$3&gt;TODAY()),"",IF(AND(EU451="",EV451=""),"",N(EV451)-N(EU451)))</f>
        <v/>
      </c>
      <c r="EZ451">
        <f>IF(OR(EU$3="",EU$3&gt;TODAY()),"",IF(AND(EX451="",EY451=""),"",N(EY451)-N(EX451)))</f>
        <v/>
      </c>
      <c r="FD451">
        <f>IF(OR(FB$3="",FB$3&gt;TODAY()),"",IF(AND(FB451="",FC451=""),"",N(FC451)-N(FB451)))</f>
        <v/>
      </c>
      <c r="FG451">
        <f>IF(OR(FB$3="",FB$3&gt;TODAY()),"",IF(AND(FE451="",FF451=""),"",N(FF451)-N(FE451)))</f>
        <v/>
      </c>
      <c r="FK451">
        <f>IF(OR(FI$3="",FI$3&gt;TODAY()),"",IF(AND(FI451="",FJ451=""),"",N(FJ451)-N(FI451)))</f>
        <v/>
      </c>
      <c r="FN451">
        <f>IF(OR(FI$3="",FI$3&gt;TODAY()),"",IF(AND(FL451="",FM451=""),"",N(FM451)-N(FL451)))</f>
        <v/>
      </c>
      <c r="FR451">
        <f>IF(OR(FP$3="",FP$3&gt;TODAY()),"",IF(AND(FP451="",FQ451=""),"",N(FQ451)-N(FP451)))</f>
        <v/>
      </c>
      <c r="FU451">
        <f>IF(OR(FP$3="",FP$3&gt;TODAY()),"",IF(AND(FS451="",FT451=""),"",N(FT451)-N(FS451)))</f>
        <v/>
      </c>
      <c r="FY451">
        <f>IF(OR(FW$3="",FW$3&gt;TODAY()),"",IF(AND(FW451="",FX451=""),"",N(FX451)-N(FW451)))</f>
        <v/>
      </c>
      <c r="GB451">
        <f>IF(OR(FW$3="",FW$3&gt;TODAY()),"",IF(AND(FZ451="",GA451=""),"",N(GA451)-N(FZ451)))</f>
        <v/>
      </c>
      <c r="GF451">
        <f>IF(OR(GD$3="",GD$3&gt;TODAY()),"",IF(AND(GD451="",GE451=""),"",N(GE451)-N(GD451)))</f>
        <v/>
      </c>
      <c r="GI451">
        <f>IF(OR(GD$3="",GD$3&gt;TODAY()),"",IF(AND(GG451="",GH451=""),"",N(GH451)-N(GG451)))</f>
        <v/>
      </c>
      <c r="GM451">
        <f>IF(OR(GK$3="",GK$3&gt;TODAY()),"",IF(AND(GK451="",GL451=""),"",N(GL451)-N(GK451)))</f>
        <v/>
      </c>
      <c r="GP451">
        <f>IF(OR(GK$3="",GK$3&gt;TODAY()),"",IF(AND(GN451="",GO451=""),"",N(GO451)-N(GN451)))</f>
        <v/>
      </c>
      <c r="GT451">
        <f>IF(OR(GR$3="",GR$3&gt;TODAY()),"",IF(AND(GR451="",GS451=""),"",N(GS451)-N(GR451)))</f>
        <v/>
      </c>
      <c r="GW451">
        <f>IF(OR(GR$3="",GR$3&gt;TODAY()),"",IF(AND(GU451="",GV451=""),"",N(GV451)-N(GU451)))</f>
        <v/>
      </c>
      <c r="HA451">
        <f>IF(OR(GY$3="",GY$3&gt;TODAY()),"",IF(AND(GY451="",GZ451=""),"",N(GZ451)-N(GY451)))</f>
        <v/>
      </c>
      <c r="HD451">
        <f>IF(OR(GY$3="",GY$3&gt;TODAY()),"",IF(AND(HB451="",HC451=""),"",N(HC451)-N(HB451)))</f>
        <v/>
      </c>
      <c r="HH451">
        <f>IF(OR(HF$3="",HF$3&gt;TODAY()),"",IF(AND(HF451="",HG451=""),"",N(HG451)-N(HF451)))</f>
        <v/>
      </c>
      <c r="HK451">
        <f>IF(OR(HF$3="",HF$3&gt;TODAY()),"",IF(AND(HI451="",HJ451=""),"",N(HJ451)-N(HI451)))</f>
        <v/>
      </c>
      <c r="HO451">
        <f>IF(OR(HM$3="",HM$3&gt;TODAY()),"",IF(AND(HM451="",HN451=""),"",N(HN451)-N(HM451)))</f>
        <v/>
      </c>
      <c r="HR451">
        <f>IF(OR(HM$3="",HM$3&gt;TODAY()),"",IF(AND(HP451="",HQ451=""),"",N(HQ451)-N(HP451)))</f>
        <v/>
      </c>
      <c r="HV451">
        <f>IF(OR(HT$3="",HT$3&gt;TODAY()),"",IF(AND(HT451="",HU451=""),"",N(HU451)-N(HT451)))</f>
        <v/>
      </c>
      <c r="HY451">
        <f>IF(OR(HT$3="",HT$3&gt;TODAY()),"",IF(AND(HW451="",HX451=""),"",N(HX451)-N(HW451)))</f>
        <v/>
      </c>
      <c r="IC451">
        <f>IF(OR(IA$3="",IA$3&gt;TODAY()),"",IF(AND(IA451="",IB451=""),"",N(IB451)-N(IA451)))</f>
        <v/>
      </c>
      <c r="IF451">
        <f>IF(OR(IA$3="",IA$3&gt;TODAY()),"",IF(AND(ID451="",IE451=""),"",N(IE451)-N(ID451)))</f>
        <v/>
      </c>
      <c r="IJ451">
        <f>IF(OR(IH$3="",IH$3&gt;TODAY()),"",IF(AND(IH451="",II451=""),"",N(II451)-N(IH451)))</f>
        <v/>
      </c>
      <c r="IM451">
        <f>IF(OR(IH$3="",IH$3&gt;TODAY()),"",IF(AND(IK451="",IL451=""),"",N(IL451)-N(IK451)))</f>
        <v/>
      </c>
    </row>
    <row r="452">
      <c r="A452" s="21" t="n"/>
      <c r="B452" s="21" t="n"/>
      <c r="C452" s="21" t="n"/>
      <c r="D452" s="21" t="n"/>
      <c r="E452" s="21" t="n"/>
      <c r="F452" s="21" t="n"/>
      <c r="G452" s="21" t="n"/>
      <c r="H452" s="21" t="n"/>
      <c r="I452" s="22" t="n"/>
      <c r="J452" s="22" t="n"/>
      <c r="K452" s="23" t="n"/>
      <c r="L452" s="22" t="n"/>
      <c r="M452" s="22" t="n"/>
      <c r="N452" s="21" t="n"/>
      <c r="O452" s="23" t="n"/>
      <c r="P452" s="23" t="n"/>
      <c r="Q452" s="23" t="n"/>
      <c r="R452" s="23" t="n"/>
      <c r="S452" s="22" t="n"/>
      <c r="T452" s="23" t="n"/>
      <c r="U452" s="23" t="n"/>
      <c r="V452" s="24">
        <f>IF(J452&lt;&gt;"",J452,IF(I452&lt;&gt;"",I452,""))</f>
        <v/>
      </c>
      <c r="W452" s="25">
        <f>IF($E452="","",N(O452)+SUMIFS($AF452:$IN452,$AF$4:$IN$4,"SEW_ACT"))</f>
        <v/>
      </c>
      <c r="X452" s="25">
        <f>IF($E452="","",N(P452)+SUMIFS($AF452:$IN452,$AF$4:$IN$4,"WASH_ACT"))</f>
        <v/>
      </c>
      <c r="Y452" s="25">
        <f>IF($E452="","",W452-X452-N(T452)-N(U452))</f>
        <v/>
      </c>
      <c r="Z452" s="25">
        <f>IF($E452="","",IF(N(K452)-X452&lt;=0.02*N(K452),0,N(K452)-X452))</f>
        <v/>
      </c>
      <c r="AA452" s="24">
        <f>IF($E452="","",IF(S452&lt;&gt;"",S452,IF(N(O452)&gt;0,IF(L452&lt;&gt;"",L452,99999),IFERROR(1/(1/_xlfn.MINIFS($AF$3:$IN$3,$AF$4:$IN$4,"SEW_ACT",$AF452:$IN452,"&gt;0")),99999))))</f>
        <v/>
      </c>
      <c r="AB452" s="26">
        <f>IF(OR($E452="",Z452=0,V452=""),"",1+COUNTIFS(Z$8:Z$707,"&gt;0",V$8:V$707,"&lt;"&amp;V452)+COUNTIFS(Z$8:Z$707,"&gt;0",V$8:V$707,V452,AA$8:AA$707,"&lt;"&amp;AA452)+COUNTIFS(Z$8:Z$707,"&gt;0",V$8:V$707,V452,AA$8:AA$707,AA452,E$8:E$707,"&lt;"&amp;$E452))</f>
        <v/>
      </c>
      <c r="AC452" s="24">
        <f>IF(OR($E452="",Z452=0),"",IFERROR(TODAY()+ROUNDUP(Z452/(SUMIFS($AF452:$IN452,$AF$4:$IN$4,"WASH_ACT")/COUNTIFS($AF$4:$IN$4,"WASH_ACT",$AF452:$IN452,"&gt;0")),0),"no output yet"))</f>
        <v/>
      </c>
      <c r="AD452" s="26">
        <f>IF($E452="","",IFERROR(ROUND(MAX(0,SUMIFS($AF452:$IN452,$AF$4:$IN$4,"SEW_PLAN",$AF$3:$IN$3,"&lt;="&amp;TODAY())-SUMIFS($AF452:$IN452,$AF$4:$IN$4,"SEW_ACT",$AF$3:$IN$3,"&lt;="&amp;TODAY())+N(Q452))/(SUMIFS($AF452:$IN452,$AF$4:$IN$4,"SEW_PLAN")/COUNTIFS($AF$4:$IN$4,"SEW_PLAN",$AF452:$IN452,"&gt;0")),1),0))</f>
        <v/>
      </c>
      <c r="AE452" s="26">
        <f>IF($E452="","",IF(AND(Z452&gt;0,OR(AND(M452&lt;&gt;"",TODAY()&gt;M452),AND(V452&lt;&gt;"",V452-TODAY()&lt;=7))),"Yes","No"))</f>
        <v/>
      </c>
      <c r="AH452">
        <f>IF(OR(AF$3="",AF$3&gt;TODAY()),"",IF(AND(AF452="",AG452=""),"",N(AG452)-N(AF452)))</f>
        <v/>
      </c>
      <c r="AK452">
        <f>IF(OR(AF$3="",AF$3&gt;TODAY()),"",IF(AND(AI452="",AJ452=""),"",N(AJ452)-N(AI452)))</f>
        <v/>
      </c>
      <c r="AO452">
        <f>IF(OR(AM$3="",AM$3&gt;TODAY()),"",IF(AND(AM452="",AN452=""),"",N(AN452)-N(AM452)))</f>
        <v/>
      </c>
      <c r="AR452">
        <f>IF(OR(AM$3="",AM$3&gt;TODAY()),"",IF(AND(AP452="",AQ452=""),"",N(AQ452)-N(AP452)))</f>
        <v/>
      </c>
      <c r="AV452">
        <f>IF(OR(AT$3="",AT$3&gt;TODAY()),"",IF(AND(AT452="",AU452=""),"",N(AU452)-N(AT452)))</f>
        <v/>
      </c>
      <c r="AY452">
        <f>IF(OR(AT$3="",AT$3&gt;TODAY()),"",IF(AND(AW452="",AX452=""),"",N(AX452)-N(AW452)))</f>
        <v/>
      </c>
      <c r="BC452">
        <f>IF(OR(BA$3="",BA$3&gt;TODAY()),"",IF(AND(BA452="",BB452=""),"",N(BB452)-N(BA452)))</f>
        <v/>
      </c>
      <c r="BF452">
        <f>IF(OR(BA$3="",BA$3&gt;TODAY()),"",IF(AND(BD452="",BE452=""),"",N(BE452)-N(BD452)))</f>
        <v/>
      </c>
      <c r="BJ452">
        <f>IF(OR(BH$3="",BH$3&gt;TODAY()),"",IF(AND(BH452="",BI452=""),"",N(BI452)-N(BH452)))</f>
        <v/>
      </c>
      <c r="BM452">
        <f>IF(OR(BH$3="",BH$3&gt;TODAY()),"",IF(AND(BK452="",BL452=""),"",N(BL452)-N(BK452)))</f>
        <v/>
      </c>
      <c r="BQ452">
        <f>IF(OR(BO$3="",BO$3&gt;TODAY()),"",IF(AND(BO452="",BP452=""),"",N(BP452)-N(BO452)))</f>
        <v/>
      </c>
      <c r="BT452">
        <f>IF(OR(BO$3="",BO$3&gt;TODAY()),"",IF(AND(BR452="",BS452=""),"",N(BS452)-N(BR452)))</f>
        <v/>
      </c>
      <c r="BX452">
        <f>IF(OR(BV$3="",BV$3&gt;TODAY()),"",IF(AND(BV452="",BW452=""),"",N(BW452)-N(BV452)))</f>
        <v/>
      </c>
      <c r="CA452">
        <f>IF(OR(BV$3="",BV$3&gt;TODAY()),"",IF(AND(BY452="",BZ452=""),"",N(BZ452)-N(BY452)))</f>
        <v/>
      </c>
      <c r="CE452">
        <f>IF(OR(CC$3="",CC$3&gt;TODAY()),"",IF(AND(CC452="",CD452=""),"",N(CD452)-N(CC452)))</f>
        <v/>
      </c>
      <c r="CH452">
        <f>IF(OR(CC$3="",CC$3&gt;TODAY()),"",IF(AND(CF452="",CG452=""),"",N(CG452)-N(CF452)))</f>
        <v/>
      </c>
      <c r="CL452">
        <f>IF(OR(CJ$3="",CJ$3&gt;TODAY()),"",IF(AND(CJ452="",CK452=""),"",N(CK452)-N(CJ452)))</f>
        <v/>
      </c>
      <c r="CO452">
        <f>IF(OR(CJ$3="",CJ$3&gt;TODAY()),"",IF(AND(CM452="",CN452=""),"",N(CN452)-N(CM452)))</f>
        <v/>
      </c>
      <c r="CS452">
        <f>IF(OR(CQ$3="",CQ$3&gt;TODAY()),"",IF(AND(CQ452="",CR452=""),"",N(CR452)-N(CQ452)))</f>
        <v/>
      </c>
      <c r="CV452">
        <f>IF(OR(CQ$3="",CQ$3&gt;TODAY()),"",IF(AND(CT452="",CU452=""),"",N(CU452)-N(CT452)))</f>
        <v/>
      </c>
      <c r="CZ452">
        <f>IF(OR(CX$3="",CX$3&gt;TODAY()),"",IF(AND(CX452="",CY452=""),"",N(CY452)-N(CX452)))</f>
        <v/>
      </c>
      <c r="DC452">
        <f>IF(OR(CX$3="",CX$3&gt;TODAY()),"",IF(AND(DA452="",DB452=""),"",N(DB452)-N(DA452)))</f>
        <v/>
      </c>
      <c r="DG452">
        <f>IF(OR(DE$3="",DE$3&gt;TODAY()),"",IF(AND(DE452="",DF452=""),"",N(DF452)-N(DE452)))</f>
        <v/>
      </c>
      <c r="DJ452">
        <f>IF(OR(DE$3="",DE$3&gt;TODAY()),"",IF(AND(DH452="",DI452=""),"",N(DI452)-N(DH452)))</f>
        <v/>
      </c>
      <c r="DN452">
        <f>IF(OR(DL$3="",DL$3&gt;TODAY()),"",IF(AND(DL452="",DM452=""),"",N(DM452)-N(DL452)))</f>
        <v/>
      </c>
      <c r="DQ452">
        <f>IF(OR(DL$3="",DL$3&gt;TODAY()),"",IF(AND(DO452="",DP452=""),"",N(DP452)-N(DO452)))</f>
        <v/>
      </c>
      <c r="DU452">
        <f>IF(OR(DS$3="",DS$3&gt;TODAY()),"",IF(AND(DS452="",DT452=""),"",N(DT452)-N(DS452)))</f>
        <v/>
      </c>
      <c r="DX452">
        <f>IF(OR(DS$3="",DS$3&gt;TODAY()),"",IF(AND(DV452="",DW452=""),"",N(DW452)-N(DV452)))</f>
        <v/>
      </c>
      <c r="EB452">
        <f>IF(OR(DZ$3="",DZ$3&gt;TODAY()),"",IF(AND(DZ452="",EA452=""),"",N(EA452)-N(DZ452)))</f>
        <v/>
      </c>
      <c r="EE452">
        <f>IF(OR(DZ$3="",DZ$3&gt;TODAY()),"",IF(AND(EC452="",ED452=""),"",N(ED452)-N(EC452)))</f>
        <v/>
      </c>
      <c r="EI452">
        <f>IF(OR(EG$3="",EG$3&gt;TODAY()),"",IF(AND(EG452="",EH452=""),"",N(EH452)-N(EG452)))</f>
        <v/>
      </c>
      <c r="EL452">
        <f>IF(OR(EG$3="",EG$3&gt;TODAY()),"",IF(AND(EJ452="",EK452=""),"",N(EK452)-N(EJ452)))</f>
        <v/>
      </c>
      <c r="EP452">
        <f>IF(OR(EN$3="",EN$3&gt;TODAY()),"",IF(AND(EN452="",EO452=""),"",N(EO452)-N(EN452)))</f>
        <v/>
      </c>
      <c r="ES452">
        <f>IF(OR(EN$3="",EN$3&gt;TODAY()),"",IF(AND(EQ452="",ER452=""),"",N(ER452)-N(EQ452)))</f>
        <v/>
      </c>
      <c r="EW452">
        <f>IF(OR(EU$3="",EU$3&gt;TODAY()),"",IF(AND(EU452="",EV452=""),"",N(EV452)-N(EU452)))</f>
        <v/>
      </c>
      <c r="EZ452">
        <f>IF(OR(EU$3="",EU$3&gt;TODAY()),"",IF(AND(EX452="",EY452=""),"",N(EY452)-N(EX452)))</f>
        <v/>
      </c>
      <c r="FD452">
        <f>IF(OR(FB$3="",FB$3&gt;TODAY()),"",IF(AND(FB452="",FC452=""),"",N(FC452)-N(FB452)))</f>
        <v/>
      </c>
      <c r="FG452">
        <f>IF(OR(FB$3="",FB$3&gt;TODAY()),"",IF(AND(FE452="",FF452=""),"",N(FF452)-N(FE452)))</f>
        <v/>
      </c>
      <c r="FK452">
        <f>IF(OR(FI$3="",FI$3&gt;TODAY()),"",IF(AND(FI452="",FJ452=""),"",N(FJ452)-N(FI452)))</f>
        <v/>
      </c>
      <c r="FN452">
        <f>IF(OR(FI$3="",FI$3&gt;TODAY()),"",IF(AND(FL452="",FM452=""),"",N(FM452)-N(FL452)))</f>
        <v/>
      </c>
      <c r="FR452">
        <f>IF(OR(FP$3="",FP$3&gt;TODAY()),"",IF(AND(FP452="",FQ452=""),"",N(FQ452)-N(FP452)))</f>
        <v/>
      </c>
      <c r="FU452">
        <f>IF(OR(FP$3="",FP$3&gt;TODAY()),"",IF(AND(FS452="",FT452=""),"",N(FT452)-N(FS452)))</f>
        <v/>
      </c>
      <c r="FY452">
        <f>IF(OR(FW$3="",FW$3&gt;TODAY()),"",IF(AND(FW452="",FX452=""),"",N(FX452)-N(FW452)))</f>
        <v/>
      </c>
      <c r="GB452">
        <f>IF(OR(FW$3="",FW$3&gt;TODAY()),"",IF(AND(FZ452="",GA452=""),"",N(GA452)-N(FZ452)))</f>
        <v/>
      </c>
      <c r="GF452">
        <f>IF(OR(GD$3="",GD$3&gt;TODAY()),"",IF(AND(GD452="",GE452=""),"",N(GE452)-N(GD452)))</f>
        <v/>
      </c>
      <c r="GI452">
        <f>IF(OR(GD$3="",GD$3&gt;TODAY()),"",IF(AND(GG452="",GH452=""),"",N(GH452)-N(GG452)))</f>
        <v/>
      </c>
      <c r="GM452">
        <f>IF(OR(GK$3="",GK$3&gt;TODAY()),"",IF(AND(GK452="",GL452=""),"",N(GL452)-N(GK452)))</f>
        <v/>
      </c>
      <c r="GP452">
        <f>IF(OR(GK$3="",GK$3&gt;TODAY()),"",IF(AND(GN452="",GO452=""),"",N(GO452)-N(GN452)))</f>
        <v/>
      </c>
      <c r="GT452">
        <f>IF(OR(GR$3="",GR$3&gt;TODAY()),"",IF(AND(GR452="",GS452=""),"",N(GS452)-N(GR452)))</f>
        <v/>
      </c>
      <c r="GW452">
        <f>IF(OR(GR$3="",GR$3&gt;TODAY()),"",IF(AND(GU452="",GV452=""),"",N(GV452)-N(GU452)))</f>
        <v/>
      </c>
      <c r="HA452">
        <f>IF(OR(GY$3="",GY$3&gt;TODAY()),"",IF(AND(GY452="",GZ452=""),"",N(GZ452)-N(GY452)))</f>
        <v/>
      </c>
      <c r="HD452">
        <f>IF(OR(GY$3="",GY$3&gt;TODAY()),"",IF(AND(HB452="",HC452=""),"",N(HC452)-N(HB452)))</f>
        <v/>
      </c>
      <c r="HH452">
        <f>IF(OR(HF$3="",HF$3&gt;TODAY()),"",IF(AND(HF452="",HG452=""),"",N(HG452)-N(HF452)))</f>
        <v/>
      </c>
      <c r="HK452">
        <f>IF(OR(HF$3="",HF$3&gt;TODAY()),"",IF(AND(HI452="",HJ452=""),"",N(HJ452)-N(HI452)))</f>
        <v/>
      </c>
      <c r="HO452">
        <f>IF(OR(HM$3="",HM$3&gt;TODAY()),"",IF(AND(HM452="",HN452=""),"",N(HN452)-N(HM452)))</f>
        <v/>
      </c>
      <c r="HR452">
        <f>IF(OR(HM$3="",HM$3&gt;TODAY()),"",IF(AND(HP452="",HQ452=""),"",N(HQ452)-N(HP452)))</f>
        <v/>
      </c>
      <c r="HV452">
        <f>IF(OR(HT$3="",HT$3&gt;TODAY()),"",IF(AND(HT452="",HU452=""),"",N(HU452)-N(HT452)))</f>
        <v/>
      </c>
      <c r="HY452">
        <f>IF(OR(HT$3="",HT$3&gt;TODAY()),"",IF(AND(HW452="",HX452=""),"",N(HX452)-N(HW452)))</f>
        <v/>
      </c>
      <c r="IC452">
        <f>IF(OR(IA$3="",IA$3&gt;TODAY()),"",IF(AND(IA452="",IB452=""),"",N(IB452)-N(IA452)))</f>
        <v/>
      </c>
      <c r="IF452">
        <f>IF(OR(IA$3="",IA$3&gt;TODAY()),"",IF(AND(ID452="",IE452=""),"",N(IE452)-N(ID452)))</f>
        <v/>
      </c>
      <c r="IJ452">
        <f>IF(OR(IH$3="",IH$3&gt;TODAY()),"",IF(AND(IH452="",II452=""),"",N(II452)-N(IH452)))</f>
        <v/>
      </c>
      <c r="IM452">
        <f>IF(OR(IH$3="",IH$3&gt;TODAY()),"",IF(AND(IK452="",IL452=""),"",N(IL452)-N(IK452)))</f>
        <v/>
      </c>
    </row>
    <row r="453">
      <c r="A453" s="21" t="n"/>
      <c r="B453" s="21" t="n"/>
      <c r="C453" s="21" t="n"/>
      <c r="D453" s="21" t="n"/>
      <c r="E453" s="21" t="n"/>
      <c r="F453" s="21" t="n"/>
      <c r="G453" s="21" t="n"/>
      <c r="H453" s="21" t="n"/>
      <c r="I453" s="22" t="n"/>
      <c r="J453" s="22" t="n"/>
      <c r="K453" s="23" t="n"/>
      <c r="L453" s="22" t="n"/>
      <c r="M453" s="22" t="n"/>
      <c r="N453" s="21" t="n"/>
      <c r="O453" s="23" t="n"/>
      <c r="P453" s="23" t="n"/>
      <c r="Q453" s="23" t="n"/>
      <c r="R453" s="23" t="n"/>
      <c r="S453" s="22" t="n"/>
      <c r="T453" s="23" t="n"/>
      <c r="U453" s="23" t="n"/>
      <c r="V453" s="24">
        <f>IF(J453&lt;&gt;"",J453,IF(I453&lt;&gt;"",I453,""))</f>
        <v/>
      </c>
      <c r="W453" s="25">
        <f>IF($E453="","",N(O453)+SUMIFS($AF453:$IN453,$AF$4:$IN$4,"SEW_ACT"))</f>
        <v/>
      </c>
      <c r="X453" s="25">
        <f>IF($E453="","",N(P453)+SUMIFS($AF453:$IN453,$AF$4:$IN$4,"WASH_ACT"))</f>
        <v/>
      </c>
      <c r="Y453" s="25">
        <f>IF($E453="","",W453-X453-N(T453)-N(U453))</f>
        <v/>
      </c>
      <c r="Z453" s="25">
        <f>IF($E453="","",IF(N(K453)-X453&lt;=0.02*N(K453),0,N(K453)-X453))</f>
        <v/>
      </c>
      <c r="AA453" s="24">
        <f>IF($E453="","",IF(S453&lt;&gt;"",S453,IF(N(O453)&gt;0,IF(L453&lt;&gt;"",L453,99999),IFERROR(1/(1/_xlfn.MINIFS($AF$3:$IN$3,$AF$4:$IN$4,"SEW_ACT",$AF453:$IN453,"&gt;0")),99999))))</f>
        <v/>
      </c>
      <c r="AB453" s="26">
        <f>IF(OR($E453="",Z453=0,V453=""),"",1+COUNTIFS(Z$8:Z$707,"&gt;0",V$8:V$707,"&lt;"&amp;V453)+COUNTIFS(Z$8:Z$707,"&gt;0",V$8:V$707,V453,AA$8:AA$707,"&lt;"&amp;AA453)+COUNTIFS(Z$8:Z$707,"&gt;0",V$8:V$707,V453,AA$8:AA$707,AA453,E$8:E$707,"&lt;"&amp;$E453))</f>
        <v/>
      </c>
      <c r="AC453" s="24">
        <f>IF(OR($E453="",Z453=0),"",IFERROR(TODAY()+ROUNDUP(Z453/(SUMIFS($AF453:$IN453,$AF$4:$IN$4,"WASH_ACT")/COUNTIFS($AF$4:$IN$4,"WASH_ACT",$AF453:$IN453,"&gt;0")),0),"no output yet"))</f>
        <v/>
      </c>
      <c r="AD453" s="26">
        <f>IF($E453="","",IFERROR(ROUND(MAX(0,SUMIFS($AF453:$IN453,$AF$4:$IN$4,"SEW_PLAN",$AF$3:$IN$3,"&lt;="&amp;TODAY())-SUMIFS($AF453:$IN453,$AF$4:$IN$4,"SEW_ACT",$AF$3:$IN$3,"&lt;="&amp;TODAY())+N(Q453))/(SUMIFS($AF453:$IN453,$AF$4:$IN$4,"SEW_PLAN")/COUNTIFS($AF$4:$IN$4,"SEW_PLAN",$AF453:$IN453,"&gt;0")),1),0))</f>
        <v/>
      </c>
      <c r="AE453" s="26">
        <f>IF($E453="","",IF(AND(Z453&gt;0,OR(AND(M453&lt;&gt;"",TODAY()&gt;M453),AND(V453&lt;&gt;"",V453-TODAY()&lt;=7))),"Yes","No"))</f>
        <v/>
      </c>
      <c r="AH453">
        <f>IF(OR(AF$3="",AF$3&gt;TODAY()),"",IF(AND(AF453="",AG453=""),"",N(AG453)-N(AF453)))</f>
        <v/>
      </c>
      <c r="AK453">
        <f>IF(OR(AF$3="",AF$3&gt;TODAY()),"",IF(AND(AI453="",AJ453=""),"",N(AJ453)-N(AI453)))</f>
        <v/>
      </c>
      <c r="AO453">
        <f>IF(OR(AM$3="",AM$3&gt;TODAY()),"",IF(AND(AM453="",AN453=""),"",N(AN453)-N(AM453)))</f>
        <v/>
      </c>
      <c r="AR453">
        <f>IF(OR(AM$3="",AM$3&gt;TODAY()),"",IF(AND(AP453="",AQ453=""),"",N(AQ453)-N(AP453)))</f>
        <v/>
      </c>
      <c r="AV453">
        <f>IF(OR(AT$3="",AT$3&gt;TODAY()),"",IF(AND(AT453="",AU453=""),"",N(AU453)-N(AT453)))</f>
        <v/>
      </c>
      <c r="AY453">
        <f>IF(OR(AT$3="",AT$3&gt;TODAY()),"",IF(AND(AW453="",AX453=""),"",N(AX453)-N(AW453)))</f>
        <v/>
      </c>
      <c r="BC453">
        <f>IF(OR(BA$3="",BA$3&gt;TODAY()),"",IF(AND(BA453="",BB453=""),"",N(BB453)-N(BA453)))</f>
        <v/>
      </c>
      <c r="BF453">
        <f>IF(OR(BA$3="",BA$3&gt;TODAY()),"",IF(AND(BD453="",BE453=""),"",N(BE453)-N(BD453)))</f>
        <v/>
      </c>
      <c r="BJ453">
        <f>IF(OR(BH$3="",BH$3&gt;TODAY()),"",IF(AND(BH453="",BI453=""),"",N(BI453)-N(BH453)))</f>
        <v/>
      </c>
      <c r="BM453">
        <f>IF(OR(BH$3="",BH$3&gt;TODAY()),"",IF(AND(BK453="",BL453=""),"",N(BL453)-N(BK453)))</f>
        <v/>
      </c>
      <c r="BQ453">
        <f>IF(OR(BO$3="",BO$3&gt;TODAY()),"",IF(AND(BO453="",BP453=""),"",N(BP453)-N(BO453)))</f>
        <v/>
      </c>
      <c r="BT453">
        <f>IF(OR(BO$3="",BO$3&gt;TODAY()),"",IF(AND(BR453="",BS453=""),"",N(BS453)-N(BR453)))</f>
        <v/>
      </c>
      <c r="BX453">
        <f>IF(OR(BV$3="",BV$3&gt;TODAY()),"",IF(AND(BV453="",BW453=""),"",N(BW453)-N(BV453)))</f>
        <v/>
      </c>
      <c r="CA453">
        <f>IF(OR(BV$3="",BV$3&gt;TODAY()),"",IF(AND(BY453="",BZ453=""),"",N(BZ453)-N(BY453)))</f>
        <v/>
      </c>
      <c r="CE453">
        <f>IF(OR(CC$3="",CC$3&gt;TODAY()),"",IF(AND(CC453="",CD453=""),"",N(CD453)-N(CC453)))</f>
        <v/>
      </c>
      <c r="CH453">
        <f>IF(OR(CC$3="",CC$3&gt;TODAY()),"",IF(AND(CF453="",CG453=""),"",N(CG453)-N(CF453)))</f>
        <v/>
      </c>
      <c r="CL453">
        <f>IF(OR(CJ$3="",CJ$3&gt;TODAY()),"",IF(AND(CJ453="",CK453=""),"",N(CK453)-N(CJ453)))</f>
        <v/>
      </c>
      <c r="CO453">
        <f>IF(OR(CJ$3="",CJ$3&gt;TODAY()),"",IF(AND(CM453="",CN453=""),"",N(CN453)-N(CM453)))</f>
        <v/>
      </c>
      <c r="CS453">
        <f>IF(OR(CQ$3="",CQ$3&gt;TODAY()),"",IF(AND(CQ453="",CR453=""),"",N(CR453)-N(CQ453)))</f>
        <v/>
      </c>
      <c r="CV453">
        <f>IF(OR(CQ$3="",CQ$3&gt;TODAY()),"",IF(AND(CT453="",CU453=""),"",N(CU453)-N(CT453)))</f>
        <v/>
      </c>
      <c r="CZ453">
        <f>IF(OR(CX$3="",CX$3&gt;TODAY()),"",IF(AND(CX453="",CY453=""),"",N(CY453)-N(CX453)))</f>
        <v/>
      </c>
      <c r="DC453">
        <f>IF(OR(CX$3="",CX$3&gt;TODAY()),"",IF(AND(DA453="",DB453=""),"",N(DB453)-N(DA453)))</f>
        <v/>
      </c>
      <c r="DG453">
        <f>IF(OR(DE$3="",DE$3&gt;TODAY()),"",IF(AND(DE453="",DF453=""),"",N(DF453)-N(DE453)))</f>
        <v/>
      </c>
      <c r="DJ453">
        <f>IF(OR(DE$3="",DE$3&gt;TODAY()),"",IF(AND(DH453="",DI453=""),"",N(DI453)-N(DH453)))</f>
        <v/>
      </c>
      <c r="DN453">
        <f>IF(OR(DL$3="",DL$3&gt;TODAY()),"",IF(AND(DL453="",DM453=""),"",N(DM453)-N(DL453)))</f>
        <v/>
      </c>
      <c r="DQ453">
        <f>IF(OR(DL$3="",DL$3&gt;TODAY()),"",IF(AND(DO453="",DP453=""),"",N(DP453)-N(DO453)))</f>
        <v/>
      </c>
      <c r="DU453">
        <f>IF(OR(DS$3="",DS$3&gt;TODAY()),"",IF(AND(DS453="",DT453=""),"",N(DT453)-N(DS453)))</f>
        <v/>
      </c>
      <c r="DX453">
        <f>IF(OR(DS$3="",DS$3&gt;TODAY()),"",IF(AND(DV453="",DW453=""),"",N(DW453)-N(DV453)))</f>
        <v/>
      </c>
      <c r="EB453">
        <f>IF(OR(DZ$3="",DZ$3&gt;TODAY()),"",IF(AND(DZ453="",EA453=""),"",N(EA453)-N(DZ453)))</f>
        <v/>
      </c>
      <c r="EE453">
        <f>IF(OR(DZ$3="",DZ$3&gt;TODAY()),"",IF(AND(EC453="",ED453=""),"",N(ED453)-N(EC453)))</f>
        <v/>
      </c>
      <c r="EI453">
        <f>IF(OR(EG$3="",EG$3&gt;TODAY()),"",IF(AND(EG453="",EH453=""),"",N(EH453)-N(EG453)))</f>
        <v/>
      </c>
      <c r="EL453">
        <f>IF(OR(EG$3="",EG$3&gt;TODAY()),"",IF(AND(EJ453="",EK453=""),"",N(EK453)-N(EJ453)))</f>
        <v/>
      </c>
      <c r="EP453">
        <f>IF(OR(EN$3="",EN$3&gt;TODAY()),"",IF(AND(EN453="",EO453=""),"",N(EO453)-N(EN453)))</f>
        <v/>
      </c>
      <c r="ES453">
        <f>IF(OR(EN$3="",EN$3&gt;TODAY()),"",IF(AND(EQ453="",ER453=""),"",N(ER453)-N(EQ453)))</f>
        <v/>
      </c>
      <c r="EW453">
        <f>IF(OR(EU$3="",EU$3&gt;TODAY()),"",IF(AND(EU453="",EV453=""),"",N(EV453)-N(EU453)))</f>
        <v/>
      </c>
      <c r="EZ453">
        <f>IF(OR(EU$3="",EU$3&gt;TODAY()),"",IF(AND(EX453="",EY453=""),"",N(EY453)-N(EX453)))</f>
        <v/>
      </c>
      <c r="FD453">
        <f>IF(OR(FB$3="",FB$3&gt;TODAY()),"",IF(AND(FB453="",FC453=""),"",N(FC453)-N(FB453)))</f>
        <v/>
      </c>
      <c r="FG453">
        <f>IF(OR(FB$3="",FB$3&gt;TODAY()),"",IF(AND(FE453="",FF453=""),"",N(FF453)-N(FE453)))</f>
        <v/>
      </c>
      <c r="FK453">
        <f>IF(OR(FI$3="",FI$3&gt;TODAY()),"",IF(AND(FI453="",FJ453=""),"",N(FJ453)-N(FI453)))</f>
        <v/>
      </c>
      <c r="FN453">
        <f>IF(OR(FI$3="",FI$3&gt;TODAY()),"",IF(AND(FL453="",FM453=""),"",N(FM453)-N(FL453)))</f>
        <v/>
      </c>
      <c r="FR453">
        <f>IF(OR(FP$3="",FP$3&gt;TODAY()),"",IF(AND(FP453="",FQ453=""),"",N(FQ453)-N(FP453)))</f>
        <v/>
      </c>
      <c r="FU453">
        <f>IF(OR(FP$3="",FP$3&gt;TODAY()),"",IF(AND(FS453="",FT453=""),"",N(FT453)-N(FS453)))</f>
        <v/>
      </c>
      <c r="FY453">
        <f>IF(OR(FW$3="",FW$3&gt;TODAY()),"",IF(AND(FW453="",FX453=""),"",N(FX453)-N(FW453)))</f>
        <v/>
      </c>
      <c r="GB453">
        <f>IF(OR(FW$3="",FW$3&gt;TODAY()),"",IF(AND(FZ453="",GA453=""),"",N(GA453)-N(FZ453)))</f>
        <v/>
      </c>
      <c r="GF453">
        <f>IF(OR(GD$3="",GD$3&gt;TODAY()),"",IF(AND(GD453="",GE453=""),"",N(GE453)-N(GD453)))</f>
        <v/>
      </c>
      <c r="GI453">
        <f>IF(OR(GD$3="",GD$3&gt;TODAY()),"",IF(AND(GG453="",GH453=""),"",N(GH453)-N(GG453)))</f>
        <v/>
      </c>
      <c r="GM453">
        <f>IF(OR(GK$3="",GK$3&gt;TODAY()),"",IF(AND(GK453="",GL453=""),"",N(GL453)-N(GK453)))</f>
        <v/>
      </c>
      <c r="GP453">
        <f>IF(OR(GK$3="",GK$3&gt;TODAY()),"",IF(AND(GN453="",GO453=""),"",N(GO453)-N(GN453)))</f>
        <v/>
      </c>
      <c r="GT453">
        <f>IF(OR(GR$3="",GR$3&gt;TODAY()),"",IF(AND(GR453="",GS453=""),"",N(GS453)-N(GR453)))</f>
        <v/>
      </c>
      <c r="GW453">
        <f>IF(OR(GR$3="",GR$3&gt;TODAY()),"",IF(AND(GU453="",GV453=""),"",N(GV453)-N(GU453)))</f>
        <v/>
      </c>
      <c r="HA453">
        <f>IF(OR(GY$3="",GY$3&gt;TODAY()),"",IF(AND(GY453="",GZ453=""),"",N(GZ453)-N(GY453)))</f>
        <v/>
      </c>
      <c r="HD453">
        <f>IF(OR(GY$3="",GY$3&gt;TODAY()),"",IF(AND(HB453="",HC453=""),"",N(HC453)-N(HB453)))</f>
        <v/>
      </c>
      <c r="HH453">
        <f>IF(OR(HF$3="",HF$3&gt;TODAY()),"",IF(AND(HF453="",HG453=""),"",N(HG453)-N(HF453)))</f>
        <v/>
      </c>
      <c r="HK453">
        <f>IF(OR(HF$3="",HF$3&gt;TODAY()),"",IF(AND(HI453="",HJ453=""),"",N(HJ453)-N(HI453)))</f>
        <v/>
      </c>
      <c r="HO453">
        <f>IF(OR(HM$3="",HM$3&gt;TODAY()),"",IF(AND(HM453="",HN453=""),"",N(HN453)-N(HM453)))</f>
        <v/>
      </c>
      <c r="HR453">
        <f>IF(OR(HM$3="",HM$3&gt;TODAY()),"",IF(AND(HP453="",HQ453=""),"",N(HQ453)-N(HP453)))</f>
        <v/>
      </c>
      <c r="HV453">
        <f>IF(OR(HT$3="",HT$3&gt;TODAY()),"",IF(AND(HT453="",HU453=""),"",N(HU453)-N(HT453)))</f>
        <v/>
      </c>
      <c r="HY453">
        <f>IF(OR(HT$3="",HT$3&gt;TODAY()),"",IF(AND(HW453="",HX453=""),"",N(HX453)-N(HW453)))</f>
        <v/>
      </c>
      <c r="IC453">
        <f>IF(OR(IA$3="",IA$3&gt;TODAY()),"",IF(AND(IA453="",IB453=""),"",N(IB453)-N(IA453)))</f>
        <v/>
      </c>
      <c r="IF453">
        <f>IF(OR(IA$3="",IA$3&gt;TODAY()),"",IF(AND(ID453="",IE453=""),"",N(IE453)-N(ID453)))</f>
        <v/>
      </c>
      <c r="IJ453">
        <f>IF(OR(IH$3="",IH$3&gt;TODAY()),"",IF(AND(IH453="",II453=""),"",N(II453)-N(IH453)))</f>
        <v/>
      </c>
      <c r="IM453">
        <f>IF(OR(IH$3="",IH$3&gt;TODAY()),"",IF(AND(IK453="",IL453=""),"",N(IL453)-N(IK453)))</f>
        <v/>
      </c>
    </row>
    <row r="454">
      <c r="A454" s="21" t="n"/>
      <c r="B454" s="21" t="n"/>
      <c r="C454" s="21" t="n"/>
      <c r="D454" s="21" t="n"/>
      <c r="E454" s="21" t="n"/>
      <c r="F454" s="21" t="n"/>
      <c r="G454" s="21" t="n"/>
      <c r="H454" s="21" t="n"/>
      <c r="I454" s="22" t="n"/>
      <c r="J454" s="22" t="n"/>
      <c r="K454" s="23" t="n"/>
      <c r="L454" s="22" t="n"/>
      <c r="M454" s="22" t="n"/>
      <c r="N454" s="21" t="n"/>
      <c r="O454" s="23" t="n"/>
      <c r="P454" s="23" t="n"/>
      <c r="Q454" s="23" t="n"/>
      <c r="R454" s="23" t="n"/>
      <c r="S454" s="22" t="n"/>
      <c r="T454" s="23" t="n"/>
      <c r="U454" s="23" t="n"/>
      <c r="V454" s="24">
        <f>IF(J454&lt;&gt;"",J454,IF(I454&lt;&gt;"",I454,""))</f>
        <v/>
      </c>
      <c r="W454" s="25">
        <f>IF($E454="","",N(O454)+SUMIFS($AF454:$IN454,$AF$4:$IN$4,"SEW_ACT"))</f>
        <v/>
      </c>
      <c r="X454" s="25">
        <f>IF($E454="","",N(P454)+SUMIFS($AF454:$IN454,$AF$4:$IN$4,"WASH_ACT"))</f>
        <v/>
      </c>
      <c r="Y454" s="25">
        <f>IF($E454="","",W454-X454-N(T454)-N(U454))</f>
        <v/>
      </c>
      <c r="Z454" s="25">
        <f>IF($E454="","",IF(N(K454)-X454&lt;=0.02*N(K454),0,N(K454)-X454))</f>
        <v/>
      </c>
      <c r="AA454" s="24">
        <f>IF($E454="","",IF(S454&lt;&gt;"",S454,IF(N(O454)&gt;0,IF(L454&lt;&gt;"",L454,99999),IFERROR(1/(1/_xlfn.MINIFS($AF$3:$IN$3,$AF$4:$IN$4,"SEW_ACT",$AF454:$IN454,"&gt;0")),99999))))</f>
        <v/>
      </c>
      <c r="AB454" s="26">
        <f>IF(OR($E454="",Z454=0,V454=""),"",1+COUNTIFS(Z$8:Z$707,"&gt;0",V$8:V$707,"&lt;"&amp;V454)+COUNTIFS(Z$8:Z$707,"&gt;0",V$8:V$707,V454,AA$8:AA$707,"&lt;"&amp;AA454)+COUNTIFS(Z$8:Z$707,"&gt;0",V$8:V$707,V454,AA$8:AA$707,AA454,E$8:E$707,"&lt;"&amp;$E454))</f>
        <v/>
      </c>
      <c r="AC454" s="24">
        <f>IF(OR($E454="",Z454=0),"",IFERROR(TODAY()+ROUNDUP(Z454/(SUMIFS($AF454:$IN454,$AF$4:$IN$4,"WASH_ACT")/COUNTIFS($AF$4:$IN$4,"WASH_ACT",$AF454:$IN454,"&gt;0")),0),"no output yet"))</f>
        <v/>
      </c>
      <c r="AD454" s="26">
        <f>IF($E454="","",IFERROR(ROUND(MAX(0,SUMIFS($AF454:$IN454,$AF$4:$IN$4,"SEW_PLAN",$AF$3:$IN$3,"&lt;="&amp;TODAY())-SUMIFS($AF454:$IN454,$AF$4:$IN$4,"SEW_ACT",$AF$3:$IN$3,"&lt;="&amp;TODAY())+N(Q454))/(SUMIFS($AF454:$IN454,$AF$4:$IN$4,"SEW_PLAN")/COUNTIFS($AF$4:$IN$4,"SEW_PLAN",$AF454:$IN454,"&gt;0")),1),0))</f>
        <v/>
      </c>
      <c r="AE454" s="26">
        <f>IF($E454="","",IF(AND(Z454&gt;0,OR(AND(M454&lt;&gt;"",TODAY()&gt;M454),AND(V454&lt;&gt;"",V454-TODAY()&lt;=7))),"Yes","No"))</f>
        <v/>
      </c>
      <c r="AH454">
        <f>IF(OR(AF$3="",AF$3&gt;TODAY()),"",IF(AND(AF454="",AG454=""),"",N(AG454)-N(AF454)))</f>
        <v/>
      </c>
      <c r="AK454">
        <f>IF(OR(AF$3="",AF$3&gt;TODAY()),"",IF(AND(AI454="",AJ454=""),"",N(AJ454)-N(AI454)))</f>
        <v/>
      </c>
      <c r="AO454">
        <f>IF(OR(AM$3="",AM$3&gt;TODAY()),"",IF(AND(AM454="",AN454=""),"",N(AN454)-N(AM454)))</f>
        <v/>
      </c>
      <c r="AR454">
        <f>IF(OR(AM$3="",AM$3&gt;TODAY()),"",IF(AND(AP454="",AQ454=""),"",N(AQ454)-N(AP454)))</f>
        <v/>
      </c>
      <c r="AV454">
        <f>IF(OR(AT$3="",AT$3&gt;TODAY()),"",IF(AND(AT454="",AU454=""),"",N(AU454)-N(AT454)))</f>
        <v/>
      </c>
      <c r="AY454">
        <f>IF(OR(AT$3="",AT$3&gt;TODAY()),"",IF(AND(AW454="",AX454=""),"",N(AX454)-N(AW454)))</f>
        <v/>
      </c>
      <c r="BC454">
        <f>IF(OR(BA$3="",BA$3&gt;TODAY()),"",IF(AND(BA454="",BB454=""),"",N(BB454)-N(BA454)))</f>
        <v/>
      </c>
      <c r="BF454">
        <f>IF(OR(BA$3="",BA$3&gt;TODAY()),"",IF(AND(BD454="",BE454=""),"",N(BE454)-N(BD454)))</f>
        <v/>
      </c>
      <c r="BJ454">
        <f>IF(OR(BH$3="",BH$3&gt;TODAY()),"",IF(AND(BH454="",BI454=""),"",N(BI454)-N(BH454)))</f>
        <v/>
      </c>
      <c r="BM454">
        <f>IF(OR(BH$3="",BH$3&gt;TODAY()),"",IF(AND(BK454="",BL454=""),"",N(BL454)-N(BK454)))</f>
        <v/>
      </c>
      <c r="BQ454">
        <f>IF(OR(BO$3="",BO$3&gt;TODAY()),"",IF(AND(BO454="",BP454=""),"",N(BP454)-N(BO454)))</f>
        <v/>
      </c>
      <c r="BT454">
        <f>IF(OR(BO$3="",BO$3&gt;TODAY()),"",IF(AND(BR454="",BS454=""),"",N(BS454)-N(BR454)))</f>
        <v/>
      </c>
      <c r="BX454">
        <f>IF(OR(BV$3="",BV$3&gt;TODAY()),"",IF(AND(BV454="",BW454=""),"",N(BW454)-N(BV454)))</f>
        <v/>
      </c>
      <c r="CA454">
        <f>IF(OR(BV$3="",BV$3&gt;TODAY()),"",IF(AND(BY454="",BZ454=""),"",N(BZ454)-N(BY454)))</f>
        <v/>
      </c>
      <c r="CE454">
        <f>IF(OR(CC$3="",CC$3&gt;TODAY()),"",IF(AND(CC454="",CD454=""),"",N(CD454)-N(CC454)))</f>
        <v/>
      </c>
      <c r="CH454">
        <f>IF(OR(CC$3="",CC$3&gt;TODAY()),"",IF(AND(CF454="",CG454=""),"",N(CG454)-N(CF454)))</f>
        <v/>
      </c>
      <c r="CL454">
        <f>IF(OR(CJ$3="",CJ$3&gt;TODAY()),"",IF(AND(CJ454="",CK454=""),"",N(CK454)-N(CJ454)))</f>
        <v/>
      </c>
      <c r="CO454">
        <f>IF(OR(CJ$3="",CJ$3&gt;TODAY()),"",IF(AND(CM454="",CN454=""),"",N(CN454)-N(CM454)))</f>
        <v/>
      </c>
      <c r="CS454">
        <f>IF(OR(CQ$3="",CQ$3&gt;TODAY()),"",IF(AND(CQ454="",CR454=""),"",N(CR454)-N(CQ454)))</f>
        <v/>
      </c>
      <c r="CV454">
        <f>IF(OR(CQ$3="",CQ$3&gt;TODAY()),"",IF(AND(CT454="",CU454=""),"",N(CU454)-N(CT454)))</f>
        <v/>
      </c>
      <c r="CZ454">
        <f>IF(OR(CX$3="",CX$3&gt;TODAY()),"",IF(AND(CX454="",CY454=""),"",N(CY454)-N(CX454)))</f>
        <v/>
      </c>
      <c r="DC454">
        <f>IF(OR(CX$3="",CX$3&gt;TODAY()),"",IF(AND(DA454="",DB454=""),"",N(DB454)-N(DA454)))</f>
        <v/>
      </c>
      <c r="DG454">
        <f>IF(OR(DE$3="",DE$3&gt;TODAY()),"",IF(AND(DE454="",DF454=""),"",N(DF454)-N(DE454)))</f>
        <v/>
      </c>
      <c r="DJ454">
        <f>IF(OR(DE$3="",DE$3&gt;TODAY()),"",IF(AND(DH454="",DI454=""),"",N(DI454)-N(DH454)))</f>
        <v/>
      </c>
      <c r="DN454">
        <f>IF(OR(DL$3="",DL$3&gt;TODAY()),"",IF(AND(DL454="",DM454=""),"",N(DM454)-N(DL454)))</f>
        <v/>
      </c>
      <c r="DQ454">
        <f>IF(OR(DL$3="",DL$3&gt;TODAY()),"",IF(AND(DO454="",DP454=""),"",N(DP454)-N(DO454)))</f>
        <v/>
      </c>
      <c r="DU454">
        <f>IF(OR(DS$3="",DS$3&gt;TODAY()),"",IF(AND(DS454="",DT454=""),"",N(DT454)-N(DS454)))</f>
        <v/>
      </c>
      <c r="DX454">
        <f>IF(OR(DS$3="",DS$3&gt;TODAY()),"",IF(AND(DV454="",DW454=""),"",N(DW454)-N(DV454)))</f>
        <v/>
      </c>
      <c r="EB454">
        <f>IF(OR(DZ$3="",DZ$3&gt;TODAY()),"",IF(AND(DZ454="",EA454=""),"",N(EA454)-N(DZ454)))</f>
        <v/>
      </c>
      <c r="EE454">
        <f>IF(OR(DZ$3="",DZ$3&gt;TODAY()),"",IF(AND(EC454="",ED454=""),"",N(ED454)-N(EC454)))</f>
        <v/>
      </c>
      <c r="EI454">
        <f>IF(OR(EG$3="",EG$3&gt;TODAY()),"",IF(AND(EG454="",EH454=""),"",N(EH454)-N(EG454)))</f>
        <v/>
      </c>
      <c r="EL454">
        <f>IF(OR(EG$3="",EG$3&gt;TODAY()),"",IF(AND(EJ454="",EK454=""),"",N(EK454)-N(EJ454)))</f>
        <v/>
      </c>
      <c r="EP454">
        <f>IF(OR(EN$3="",EN$3&gt;TODAY()),"",IF(AND(EN454="",EO454=""),"",N(EO454)-N(EN454)))</f>
        <v/>
      </c>
      <c r="ES454">
        <f>IF(OR(EN$3="",EN$3&gt;TODAY()),"",IF(AND(EQ454="",ER454=""),"",N(ER454)-N(EQ454)))</f>
        <v/>
      </c>
      <c r="EW454">
        <f>IF(OR(EU$3="",EU$3&gt;TODAY()),"",IF(AND(EU454="",EV454=""),"",N(EV454)-N(EU454)))</f>
        <v/>
      </c>
      <c r="EZ454">
        <f>IF(OR(EU$3="",EU$3&gt;TODAY()),"",IF(AND(EX454="",EY454=""),"",N(EY454)-N(EX454)))</f>
        <v/>
      </c>
      <c r="FD454">
        <f>IF(OR(FB$3="",FB$3&gt;TODAY()),"",IF(AND(FB454="",FC454=""),"",N(FC454)-N(FB454)))</f>
        <v/>
      </c>
      <c r="FG454">
        <f>IF(OR(FB$3="",FB$3&gt;TODAY()),"",IF(AND(FE454="",FF454=""),"",N(FF454)-N(FE454)))</f>
        <v/>
      </c>
      <c r="FK454">
        <f>IF(OR(FI$3="",FI$3&gt;TODAY()),"",IF(AND(FI454="",FJ454=""),"",N(FJ454)-N(FI454)))</f>
        <v/>
      </c>
      <c r="FN454">
        <f>IF(OR(FI$3="",FI$3&gt;TODAY()),"",IF(AND(FL454="",FM454=""),"",N(FM454)-N(FL454)))</f>
        <v/>
      </c>
      <c r="FR454">
        <f>IF(OR(FP$3="",FP$3&gt;TODAY()),"",IF(AND(FP454="",FQ454=""),"",N(FQ454)-N(FP454)))</f>
        <v/>
      </c>
      <c r="FU454">
        <f>IF(OR(FP$3="",FP$3&gt;TODAY()),"",IF(AND(FS454="",FT454=""),"",N(FT454)-N(FS454)))</f>
        <v/>
      </c>
      <c r="FY454">
        <f>IF(OR(FW$3="",FW$3&gt;TODAY()),"",IF(AND(FW454="",FX454=""),"",N(FX454)-N(FW454)))</f>
        <v/>
      </c>
      <c r="GB454">
        <f>IF(OR(FW$3="",FW$3&gt;TODAY()),"",IF(AND(FZ454="",GA454=""),"",N(GA454)-N(FZ454)))</f>
        <v/>
      </c>
      <c r="GF454">
        <f>IF(OR(GD$3="",GD$3&gt;TODAY()),"",IF(AND(GD454="",GE454=""),"",N(GE454)-N(GD454)))</f>
        <v/>
      </c>
      <c r="GI454">
        <f>IF(OR(GD$3="",GD$3&gt;TODAY()),"",IF(AND(GG454="",GH454=""),"",N(GH454)-N(GG454)))</f>
        <v/>
      </c>
      <c r="GM454">
        <f>IF(OR(GK$3="",GK$3&gt;TODAY()),"",IF(AND(GK454="",GL454=""),"",N(GL454)-N(GK454)))</f>
        <v/>
      </c>
      <c r="GP454">
        <f>IF(OR(GK$3="",GK$3&gt;TODAY()),"",IF(AND(GN454="",GO454=""),"",N(GO454)-N(GN454)))</f>
        <v/>
      </c>
      <c r="GT454">
        <f>IF(OR(GR$3="",GR$3&gt;TODAY()),"",IF(AND(GR454="",GS454=""),"",N(GS454)-N(GR454)))</f>
        <v/>
      </c>
      <c r="GW454">
        <f>IF(OR(GR$3="",GR$3&gt;TODAY()),"",IF(AND(GU454="",GV454=""),"",N(GV454)-N(GU454)))</f>
        <v/>
      </c>
      <c r="HA454">
        <f>IF(OR(GY$3="",GY$3&gt;TODAY()),"",IF(AND(GY454="",GZ454=""),"",N(GZ454)-N(GY454)))</f>
        <v/>
      </c>
      <c r="HD454">
        <f>IF(OR(GY$3="",GY$3&gt;TODAY()),"",IF(AND(HB454="",HC454=""),"",N(HC454)-N(HB454)))</f>
        <v/>
      </c>
      <c r="HH454">
        <f>IF(OR(HF$3="",HF$3&gt;TODAY()),"",IF(AND(HF454="",HG454=""),"",N(HG454)-N(HF454)))</f>
        <v/>
      </c>
      <c r="HK454">
        <f>IF(OR(HF$3="",HF$3&gt;TODAY()),"",IF(AND(HI454="",HJ454=""),"",N(HJ454)-N(HI454)))</f>
        <v/>
      </c>
      <c r="HO454">
        <f>IF(OR(HM$3="",HM$3&gt;TODAY()),"",IF(AND(HM454="",HN454=""),"",N(HN454)-N(HM454)))</f>
        <v/>
      </c>
      <c r="HR454">
        <f>IF(OR(HM$3="",HM$3&gt;TODAY()),"",IF(AND(HP454="",HQ454=""),"",N(HQ454)-N(HP454)))</f>
        <v/>
      </c>
      <c r="HV454">
        <f>IF(OR(HT$3="",HT$3&gt;TODAY()),"",IF(AND(HT454="",HU454=""),"",N(HU454)-N(HT454)))</f>
        <v/>
      </c>
      <c r="HY454">
        <f>IF(OR(HT$3="",HT$3&gt;TODAY()),"",IF(AND(HW454="",HX454=""),"",N(HX454)-N(HW454)))</f>
        <v/>
      </c>
      <c r="IC454">
        <f>IF(OR(IA$3="",IA$3&gt;TODAY()),"",IF(AND(IA454="",IB454=""),"",N(IB454)-N(IA454)))</f>
        <v/>
      </c>
      <c r="IF454">
        <f>IF(OR(IA$3="",IA$3&gt;TODAY()),"",IF(AND(ID454="",IE454=""),"",N(IE454)-N(ID454)))</f>
        <v/>
      </c>
      <c r="IJ454">
        <f>IF(OR(IH$3="",IH$3&gt;TODAY()),"",IF(AND(IH454="",II454=""),"",N(II454)-N(IH454)))</f>
        <v/>
      </c>
      <c r="IM454">
        <f>IF(OR(IH$3="",IH$3&gt;TODAY()),"",IF(AND(IK454="",IL454=""),"",N(IL454)-N(IK454)))</f>
        <v/>
      </c>
    </row>
    <row r="455">
      <c r="A455" s="21" t="n"/>
      <c r="B455" s="21" t="n"/>
      <c r="C455" s="21" t="n"/>
      <c r="D455" s="21" t="n"/>
      <c r="E455" s="21" t="n"/>
      <c r="F455" s="21" t="n"/>
      <c r="G455" s="21" t="n"/>
      <c r="H455" s="21" t="n"/>
      <c r="I455" s="22" t="n"/>
      <c r="J455" s="22" t="n"/>
      <c r="K455" s="23" t="n"/>
      <c r="L455" s="22" t="n"/>
      <c r="M455" s="22" t="n"/>
      <c r="N455" s="21" t="n"/>
      <c r="O455" s="23" t="n"/>
      <c r="P455" s="23" t="n"/>
      <c r="Q455" s="23" t="n"/>
      <c r="R455" s="23" t="n"/>
      <c r="S455" s="22" t="n"/>
      <c r="T455" s="23" t="n"/>
      <c r="U455" s="23" t="n"/>
      <c r="V455" s="24">
        <f>IF(J455&lt;&gt;"",J455,IF(I455&lt;&gt;"",I455,""))</f>
        <v/>
      </c>
      <c r="W455" s="25">
        <f>IF($E455="","",N(O455)+SUMIFS($AF455:$IN455,$AF$4:$IN$4,"SEW_ACT"))</f>
        <v/>
      </c>
      <c r="X455" s="25">
        <f>IF($E455="","",N(P455)+SUMIFS($AF455:$IN455,$AF$4:$IN$4,"WASH_ACT"))</f>
        <v/>
      </c>
      <c r="Y455" s="25">
        <f>IF($E455="","",W455-X455-N(T455)-N(U455))</f>
        <v/>
      </c>
      <c r="Z455" s="25">
        <f>IF($E455="","",IF(N(K455)-X455&lt;=0.02*N(K455),0,N(K455)-X455))</f>
        <v/>
      </c>
      <c r="AA455" s="24">
        <f>IF($E455="","",IF(S455&lt;&gt;"",S455,IF(N(O455)&gt;0,IF(L455&lt;&gt;"",L455,99999),IFERROR(1/(1/_xlfn.MINIFS($AF$3:$IN$3,$AF$4:$IN$4,"SEW_ACT",$AF455:$IN455,"&gt;0")),99999))))</f>
        <v/>
      </c>
      <c r="AB455" s="26">
        <f>IF(OR($E455="",Z455=0,V455=""),"",1+COUNTIFS(Z$8:Z$707,"&gt;0",V$8:V$707,"&lt;"&amp;V455)+COUNTIFS(Z$8:Z$707,"&gt;0",V$8:V$707,V455,AA$8:AA$707,"&lt;"&amp;AA455)+COUNTIFS(Z$8:Z$707,"&gt;0",V$8:V$707,V455,AA$8:AA$707,AA455,E$8:E$707,"&lt;"&amp;$E455))</f>
        <v/>
      </c>
      <c r="AC455" s="24">
        <f>IF(OR($E455="",Z455=0),"",IFERROR(TODAY()+ROUNDUP(Z455/(SUMIFS($AF455:$IN455,$AF$4:$IN$4,"WASH_ACT")/COUNTIFS($AF$4:$IN$4,"WASH_ACT",$AF455:$IN455,"&gt;0")),0),"no output yet"))</f>
        <v/>
      </c>
      <c r="AD455" s="26">
        <f>IF($E455="","",IFERROR(ROUND(MAX(0,SUMIFS($AF455:$IN455,$AF$4:$IN$4,"SEW_PLAN",$AF$3:$IN$3,"&lt;="&amp;TODAY())-SUMIFS($AF455:$IN455,$AF$4:$IN$4,"SEW_ACT",$AF$3:$IN$3,"&lt;="&amp;TODAY())+N(Q455))/(SUMIFS($AF455:$IN455,$AF$4:$IN$4,"SEW_PLAN")/COUNTIFS($AF$4:$IN$4,"SEW_PLAN",$AF455:$IN455,"&gt;0")),1),0))</f>
        <v/>
      </c>
      <c r="AE455" s="26">
        <f>IF($E455="","",IF(AND(Z455&gt;0,OR(AND(M455&lt;&gt;"",TODAY()&gt;M455),AND(V455&lt;&gt;"",V455-TODAY()&lt;=7))),"Yes","No"))</f>
        <v/>
      </c>
      <c r="AH455">
        <f>IF(OR(AF$3="",AF$3&gt;TODAY()),"",IF(AND(AF455="",AG455=""),"",N(AG455)-N(AF455)))</f>
        <v/>
      </c>
      <c r="AK455">
        <f>IF(OR(AF$3="",AF$3&gt;TODAY()),"",IF(AND(AI455="",AJ455=""),"",N(AJ455)-N(AI455)))</f>
        <v/>
      </c>
      <c r="AO455">
        <f>IF(OR(AM$3="",AM$3&gt;TODAY()),"",IF(AND(AM455="",AN455=""),"",N(AN455)-N(AM455)))</f>
        <v/>
      </c>
      <c r="AR455">
        <f>IF(OR(AM$3="",AM$3&gt;TODAY()),"",IF(AND(AP455="",AQ455=""),"",N(AQ455)-N(AP455)))</f>
        <v/>
      </c>
      <c r="AV455">
        <f>IF(OR(AT$3="",AT$3&gt;TODAY()),"",IF(AND(AT455="",AU455=""),"",N(AU455)-N(AT455)))</f>
        <v/>
      </c>
      <c r="AY455">
        <f>IF(OR(AT$3="",AT$3&gt;TODAY()),"",IF(AND(AW455="",AX455=""),"",N(AX455)-N(AW455)))</f>
        <v/>
      </c>
      <c r="BC455">
        <f>IF(OR(BA$3="",BA$3&gt;TODAY()),"",IF(AND(BA455="",BB455=""),"",N(BB455)-N(BA455)))</f>
        <v/>
      </c>
      <c r="BF455">
        <f>IF(OR(BA$3="",BA$3&gt;TODAY()),"",IF(AND(BD455="",BE455=""),"",N(BE455)-N(BD455)))</f>
        <v/>
      </c>
      <c r="BJ455">
        <f>IF(OR(BH$3="",BH$3&gt;TODAY()),"",IF(AND(BH455="",BI455=""),"",N(BI455)-N(BH455)))</f>
        <v/>
      </c>
      <c r="BM455">
        <f>IF(OR(BH$3="",BH$3&gt;TODAY()),"",IF(AND(BK455="",BL455=""),"",N(BL455)-N(BK455)))</f>
        <v/>
      </c>
      <c r="BQ455">
        <f>IF(OR(BO$3="",BO$3&gt;TODAY()),"",IF(AND(BO455="",BP455=""),"",N(BP455)-N(BO455)))</f>
        <v/>
      </c>
      <c r="BT455">
        <f>IF(OR(BO$3="",BO$3&gt;TODAY()),"",IF(AND(BR455="",BS455=""),"",N(BS455)-N(BR455)))</f>
        <v/>
      </c>
      <c r="BX455">
        <f>IF(OR(BV$3="",BV$3&gt;TODAY()),"",IF(AND(BV455="",BW455=""),"",N(BW455)-N(BV455)))</f>
        <v/>
      </c>
      <c r="CA455">
        <f>IF(OR(BV$3="",BV$3&gt;TODAY()),"",IF(AND(BY455="",BZ455=""),"",N(BZ455)-N(BY455)))</f>
        <v/>
      </c>
      <c r="CE455">
        <f>IF(OR(CC$3="",CC$3&gt;TODAY()),"",IF(AND(CC455="",CD455=""),"",N(CD455)-N(CC455)))</f>
        <v/>
      </c>
      <c r="CH455">
        <f>IF(OR(CC$3="",CC$3&gt;TODAY()),"",IF(AND(CF455="",CG455=""),"",N(CG455)-N(CF455)))</f>
        <v/>
      </c>
      <c r="CL455">
        <f>IF(OR(CJ$3="",CJ$3&gt;TODAY()),"",IF(AND(CJ455="",CK455=""),"",N(CK455)-N(CJ455)))</f>
        <v/>
      </c>
      <c r="CO455">
        <f>IF(OR(CJ$3="",CJ$3&gt;TODAY()),"",IF(AND(CM455="",CN455=""),"",N(CN455)-N(CM455)))</f>
        <v/>
      </c>
      <c r="CS455">
        <f>IF(OR(CQ$3="",CQ$3&gt;TODAY()),"",IF(AND(CQ455="",CR455=""),"",N(CR455)-N(CQ455)))</f>
        <v/>
      </c>
      <c r="CV455">
        <f>IF(OR(CQ$3="",CQ$3&gt;TODAY()),"",IF(AND(CT455="",CU455=""),"",N(CU455)-N(CT455)))</f>
        <v/>
      </c>
      <c r="CZ455">
        <f>IF(OR(CX$3="",CX$3&gt;TODAY()),"",IF(AND(CX455="",CY455=""),"",N(CY455)-N(CX455)))</f>
        <v/>
      </c>
      <c r="DC455">
        <f>IF(OR(CX$3="",CX$3&gt;TODAY()),"",IF(AND(DA455="",DB455=""),"",N(DB455)-N(DA455)))</f>
        <v/>
      </c>
      <c r="DG455">
        <f>IF(OR(DE$3="",DE$3&gt;TODAY()),"",IF(AND(DE455="",DF455=""),"",N(DF455)-N(DE455)))</f>
        <v/>
      </c>
      <c r="DJ455">
        <f>IF(OR(DE$3="",DE$3&gt;TODAY()),"",IF(AND(DH455="",DI455=""),"",N(DI455)-N(DH455)))</f>
        <v/>
      </c>
      <c r="DN455">
        <f>IF(OR(DL$3="",DL$3&gt;TODAY()),"",IF(AND(DL455="",DM455=""),"",N(DM455)-N(DL455)))</f>
        <v/>
      </c>
      <c r="DQ455">
        <f>IF(OR(DL$3="",DL$3&gt;TODAY()),"",IF(AND(DO455="",DP455=""),"",N(DP455)-N(DO455)))</f>
        <v/>
      </c>
      <c r="DU455">
        <f>IF(OR(DS$3="",DS$3&gt;TODAY()),"",IF(AND(DS455="",DT455=""),"",N(DT455)-N(DS455)))</f>
        <v/>
      </c>
      <c r="DX455">
        <f>IF(OR(DS$3="",DS$3&gt;TODAY()),"",IF(AND(DV455="",DW455=""),"",N(DW455)-N(DV455)))</f>
        <v/>
      </c>
      <c r="EB455">
        <f>IF(OR(DZ$3="",DZ$3&gt;TODAY()),"",IF(AND(DZ455="",EA455=""),"",N(EA455)-N(DZ455)))</f>
        <v/>
      </c>
      <c r="EE455">
        <f>IF(OR(DZ$3="",DZ$3&gt;TODAY()),"",IF(AND(EC455="",ED455=""),"",N(ED455)-N(EC455)))</f>
        <v/>
      </c>
      <c r="EI455">
        <f>IF(OR(EG$3="",EG$3&gt;TODAY()),"",IF(AND(EG455="",EH455=""),"",N(EH455)-N(EG455)))</f>
        <v/>
      </c>
      <c r="EL455">
        <f>IF(OR(EG$3="",EG$3&gt;TODAY()),"",IF(AND(EJ455="",EK455=""),"",N(EK455)-N(EJ455)))</f>
        <v/>
      </c>
      <c r="EP455">
        <f>IF(OR(EN$3="",EN$3&gt;TODAY()),"",IF(AND(EN455="",EO455=""),"",N(EO455)-N(EN455)))</f>
        <v/>
      </c>
      <c r="ES455">
        <f>IF(OR(EN$3="",EN$3&gt;TODAY()),"",IF(AND(EQ455="",ER455=""),"",N(ER455)-N(EQ455)))</f>
        <v/>
      </c>
      <c r="EW455">
        <f>IF(OR(EU$3="",EU$3&gt;TODAY()),"",IF(AND(EU455="",EV455=""),"",N(EV455)-N(EU455)))</f>
        <v/>
      </c>
      <c r="EZ455">
        <f>IF(OR(EU$3="",EU$3&gt;TODAY()),"",IF(AND(EX455="",EY455=""),"",N(EY455)-N(EX455)))</f>
        <v/>
      </c>
      <c r="FD455">
        <f>IF(OR(FB$3="",FB$3&gt;TODAY()),"",IF(AND(FB455="",FC455=""),"",N(FC455)-N(FB455)))</f>
        <v/>
      </c>
      <c r="FG455">
        <f>IF(OR(FB$3="",FB$3&gt;TODAY()),"",IF(AND(FE455="",FF455=""),"",N(FF455)-N(FE455)))</f>
        <v/>
      </c>
      <c r="FK455">
        <f>IF(OR(FI$3="",FI$3&gt;TODAY()),"",IF(AND(FI455="",FJ455=""),"",N(FJ455)-N(FI455)))</f>
        <v/>
      </c>
      <c r="FN455">
        <f>IF(OR(FI$3="",FI$3&gt;TODAY()),"",IF(AND(FL455="",FM455=""),"",N(FM455)-N(FL455)))</f>
        <v/>
      </c>
      <c r="FR455">
        <f>IF(OR(FP$3="",FP$3&gt;TODAY()),"",IF(AND(FP455="",FQ455=""),"",N(FQ455)-N(FP455)))</f>
        <v/>
      </c>
      <c r="FU455">
        <f>IF(OR(FP$3="",FP$3&gt;TODAY()),"",IF(AND(FS455="",FT455=""),"",N(FT455)-N(FS455)))</f>
        <v/>
      </c>
      <c r="FY455">
        <f>IF(OR(FW$3="",FW$3&gt;TODAY()),"",IF(AND(FW455="",FX455=""),"",N(FX455)-N(FW455)))</f>
        <v/>
      </c>
      <c r="GB455">
        <f>IF(OR(FW$3="",FW$3&gt;TODAY()),"",IF(AND(FZ455="",GA455=""),"",N(GA455)-N(FZ455)))</f>
        <v/>
      </c>
      <c r="GF455">
        <f>IF(OR(GD$3="",GD$3&gt;TODAY()),"",IF(AND(GD455="",GE455=""),"",N(GE455)-N(GD455)))</f>
        <v/>
      </c>
      <c r="GI455">
        <f>IF(OR(GD$3="",GD$3&gt;TODAY()),"",IF(AND(GG455="",GH455=""),"",N(GH455)-N(GG455)))</f>
        <v/>
      </c>
      <c r="GM455">
        <f>IF(OR(GK$3="",GK$3&gt;TODAY()),"",IF(AND(GK455="",GL455=""),"",N(GL455)-N(GK455)))</f>
        <v/>
      </c>
      <c r="GP455">
        <f>IF(OR(GK$3="",GK$3&gt;TODAY()),"",IF(AND(GN455="",GO455=""),"",N(GO455)-N(GN455)))</f>
        <v/>
      </c>
      <c r="GT455">
        <f>IF(OR(GR$3="",GR$3&gt;TODAY()),"",IF(AND(GR455="",GS455=""),"",N(GS455)-N(GR455)))</f>
        <v/>
      </c>
      <c r="GW455">
        <f>IF(OR(GR$3="",GR$3&gt;TODAY()),"",IF(AND(GU455="",GV455=""),"",N(GV455)-N(GU455)))</f>
        <v/>
      </c>
      <c r="HA455">
        <f>IF(OR(GY$3="",GY$3&gt;TODAY()),"",IF(AND(GY455="",GZ455=""),"",N(GZ455)-N(GY455)))</f>
        <v/>
      </c>
      <c r="HD455">
        <f>IF(OR(GY$3="",GY$3&gt;TODAY()),"",IF(AND(HB455="",HC455=""),"",N(HC455)-N(HB455)))</f>
        <v/>
      </c>
      <c r="HH455">
        <f>IF(OR(HF$3="",HF$3&gt;TODAY()),"",IF(AND(HF455="",HG455=""),"",N(HG455)-N(HF455)))</f>
        <v/>
      </c>
      <c r="HK455">
        <f>IF(OR(HF$3="",HF$3&gt;TODAY()),"",IF(AND(HI455="",HJ455=""),"",N(HJ455)-N(HI455)))</f>
        <v/>
      </c>
      <c r="HO455">
        <f>IF(OR(HM$3="",HM$3&gt;TODAY()),"",IF(AND(HM455="",HN455=""),"",N(HN455)-N(HM455)))</f>
        <v/>
      </c>
      <c r="HR455">
        <f>IF(OR(HM$3="",HM$3&gt;TODAY()),"",IF(AND(HP455="",HQ455=""),"",N(HQ455)-N(HP455)))</f>
        <v/>
      </c>
      <c r="HV455">
        <f>IF(OR(HT$3="",HT$3&gt;TODAY()),"",IF(AND(HT455="",HU455=""),"",N(HU455)-N(HT455)))</f>
        <v/>
      </c>
      <c r="HY455">
        <f>IF(OR(HT$3="",HT$3&gt;TODAY()),"",IF(AND(HW455="",HX455=""),"",N(HX455)-N(HW455)))</f>
        <v/>
      </c>
      <c r="IC455">
        <f>IF(OR(IA$3="",IA$3&gt;TODAY()),"",IF(AND(IA455="",IB455=""),"",N(IB455)-N(IA455)))</f>
        <v/>
      </c>
      <c r="IF455">
        <f>IF(OR(IA$3="",IA$3&gt;TODAY()),"",IF(AND(ID455="",IE455=""),"",N(IE455)-N(ID455)))</f>
        <v/>
      </c>
      <c r="IJ455">
        <f>IF(OR(IH$3="",IH$3&gt;TODAY()),"",IF(AND(IH455="",II455=""),"",N(II455)-N(IH455)))</f>
        <v/>
      </c>
      <c r="IM455">
        <f>IF(OR(IH$3="",IH$3&gt;TODAY()),"",IF(AND(IK455="",IL455=""),"",N(IL455)-N(IK455)))</f>
        <v/>
      </c>
    </row>
    <row r="456">
      <c r="A456" s="21" t="n"/>
      <c r="B456" s="21" t="n"/>
      <c r="C456" s="21" t="n"/>
      <c r="D456" s="21" t="n"/>
      <c r="E456" s="21" t="n"/>
      <c r="F456" s="21" t="n"/>
      <c r="G456" s="21" t="n"/>
      <c r="H456" s="21" t="n"/>
      <c r="I456" s="22" t="n"/>
      <c r="J456" s="22" t="n"/>
      <c r="K456" s="23" t="n"/>
      <c r="L456" s="22" t="n"/>
      <c r="M456" s="22" t="n"/>
      <c r="N456" s="21" t="n"/>
      <c r="O456" s="23" t="n"/>
      <c r="P456" s="23" t="n"/>
      <c r="Q456" s="23" t="n"/>
      <c r="R456" s="23" t="n"/>
      <c r="S456" s="22" t="n"/>
      <c r="T456" s="23" t="n"/>
      <c r="U456" s="23" t="n"/>
      <c r="V456" s="24">
        <f>IF(J456&lt;&gt;"",J456,IF(I456&lt;&gt;"",I456,""))</f>
        <v/>
      </c>
      <c r="W456" s="25">
        <f>IF($E456="","",N(O456)+SUMIFS($AF456:$IN456,$AF$4:$IN$4,"SEW_ACT"))</f>
        <v/>
      </c>
      <c r="X456" s="25">
        <f>IF($E456="","",N(P456)+SUMIFS($AF456:$IN456,$AF$4:$IN$4,"WASH_ACT"))</f>
        <v/>
      </c>
      <c r="Y456" s="25">
        <f>IF($E456="","",W456-X456-N(T456)-N(U456))</f>
        <v/>
      </c>
      <c r="Z456" s="25">
        <f>IF($E456="","",IF(N(K456)-X456&lt;=0.02*N(K456),0,N(K456)-X456))</f>
        <v/>
      </c>
      <c r="AA456" s="24">
        <f>IF($E456="","",IF(S456&lt;&gt;"",S456,IF(N(O456)&gt;0,IF(L456&lt;&gt;"",L456,99999),IFERROR(1/(1/_xlfn.MINIFS($AF$3:$IN$3,$AF$4:$IN$4,"SEW_ACT",$AF456:$IN456,"&gt;0")),99999))))</f>
        <v/>
      </c>
      <c r="AB456" s="26">
        <f>IF(OR($E456="",Z456=0,V456=""),"",1+COUNTIFS(Z$8:Z$707,"&gt;0",V$8:V$707,"&lt;"&amp;V456)+COUNTIFS(Z$8:Z$707,"&gt;0",V$8:V$707,V456,AA$8:AA$707,"&lt;"&amp;AA456)+COUNTIFS(Z$8:Z$707,"&gt;0",V$8:V$707,V456,AA$8:AA$707,AA456,E$8:E$707,"&lt;"&amp;$E456))</f>
        <v/>
      </c>
      <c r="AC456" s="24">
        <f>IF(OR($E456="",Z456=0),"",IFERROR(TODAY()+ROUNDUP(Z456/(SUMIFS($AF456:$IN456,$AF$4:$IN$4,"WASH_ACT")/COUNTIFS($AF$4:$IN$4,"WASH_ACT",$AF456:$IN456,"&gt;0")),0),"no output yet"))</f>
        <v/>
      </c>
      <c r="AD456" s="26">
        <f>IF($E456="","",IFERROR(ROUND(MAX(0,SUMIFS($AF456:$IN456,$AF$4:$IN$4,"SEW_PLAN",$AF$3:$IN$3,"&lt;="&amp;TODAY())-SUMIFS($AF456:$IN456,$AF$4:$IN$4,"SEW_ACT",$AF$3:$IN$3,"&lt;="&amp;TODAY())+N(Q456))/(SUMIFS($AF456:$IN456,$AF$4:$IN$4,"SEW_PLAN")/COUNTIFS($AF$4:$IN$4,"SEW_PLAN",$AF456:$IN456,"&gt;0")),1),0))</f>
        <v/>
      </c>
      <c r="AE456" s="26">
        <f>IF($E456="","",IF(AND(Z456&gt;0,OR(AND(M456&lt;&gt;"",TODAY()&gt;M456),AND(V456&lt;&gt;"",V456-TODAY()&lt;=7))),"Yes","No"))</f>
        <v/>
      </c>
      <c r="AH456">
        <f>IF(OR(AF$3="",AF$3&gt;TODAY()),"",IF(AND(AF456="",AG456=""),"",N(AG456)-N(AF456)))</f>
        <v/>
      </c>
      <c r="AK456">
        <f>IF(OR(AF$3="",AF$3&gt;TODAY()),"",IF(AND(AI456="",AJ456=""),"",N(AJ456)-N(AI456)))</f>
        <v/>
      </c>
      <c r="AO456">
        <f>IF(OR(AM$3="",AM$3&gt;TODAY()),"",IF(AND(AM456="",AN456=""),"",N(AN456)-N(AM456)))</f>
        <v/>
      </c>
      <c r="AR456">
        <f>IF(OR(AM$3="",AM$3&gt;TODAY()),"",IF(AND(AP456="",AQ456=""),"",N(AQ456)-N(AP456)))</f>
        <v/>
      </c>
      <c r="AV456">
        <f>IF(OR(AT$3="",AT$3&gt;TODAY()),"",IF(AND(AT456="",AU456=""),"",N(AU456)-N(AT456)))</f>
        <v/>
      </c>
      <c r="AY456">
        <f>IF(OR(AT$3="",AT$3&gt;TODAY()),"",IF(AND(AW456="",AX456=""),"",N(AX456)-N(AW456)))</f>
        <v/>
      </c>
      <c r="BC456">
        <f>IF(OR(BA$3="",BA$3&gt;TODAY()),"",IF(AND(BA456="",BB456=""),"",N(BB456)-N(BA456)))</f>
        <v/>
      </c>
      <c r="BF456">
        <f>IF(OR(BA$3="",BA$3&gt;TODAY()),"",IF(AND(BD456="",BE456=""),"",N(BE456)-N(BD456)))</f>
        <v/>
      </c>
      <c r="BJ456">
        <f>IF(OR(BH$3="",BH$3&gt;TODAY()),"",IF(AND(BH456="",BI456=""),"",N(BI456)-N(BH456)))</f>
        <v/>
      </c>
      <c r="BM456">
        <f>IF(OR(BH$3="",BH$3&gt;TODAY()),"",IF(AND(BK456="",BL456=""),"",N(BL456)-N(BK456)))</f>
        <v/>
      </c>
      <c r="BQ456">
        <f>IF(OR(BO$3="",BO$3&gt;TODAY()),"",IF(AND(BO456="",BP456=""),"",N(BP456)-N(BO456)))</f>
        <v/>
      </c>
      <c r="BT456">
        <f>IF(OR(BO$3="",BO$3&gt;TODAY()),"",IF(AND(BR456="",BS456=""),"",N(BS456)-N(BR456)))</f>
        <v/>
      </c>
      <c r="BX456">
        <f>IF(OR(BV$3="",BV$3&gt;TODAY()),"",IF(AND(BV456="",BW456=""),"",N(BW456)-N(BV456)))</f>
        <v/>
      </c>
      <c r="CA456">
        <f>IF(OR(BV$3="",BV$3&gt;TODAY()),"",IF(AND(BY456="",BZ456=""),"",N(BZ456)-N(BY456)))</f>
        <v/>
      </c>
      <c r="CE456">
        <f>IF(OR(CC$3="",CC$3&gt;TODAY()),"",IF(AND(CC456="",CD456=""),"",N(CD456)-N(CC456)))</f>
        <v/>
      </c>
      <c r="CH456">
        <f>IF(OR(CC$3="",CC$3&gt;TODAY()),"",IF(AND(CF456="",CG456=""),"",N(CG456)-N(CF456)))</f>
        <v/>
      </c>
      <c r="CL456">
        <f>IF(OR(CJ$3="",CJ$3&gt;TODAY()),"",IF(AND(CJ456="",CK456=""),"",N(CK456)-N(CJ456)))</f>
        <v/>
      </c>
      <c r="CO456">
        <f>IF(OR(CJ$3="",CJ$3&gt;TODAY()),"",IF(AND(CM456="",CN456=""),"",N(CN456)-N(CM456)))</f>
        <v/>
      </c>
      <c r="CS456">
        <f>IF(OR(CQ$3="",CQ$3&gt;TODAY()),"",IF(AND(CQ456="",CR456=""),"",N(CR456)-N(CQ456)))</f>
        <v/>
      </c>
      <c r="CV456">
        <f>IF(OR(CQ$3="",CQ$3&gt;TODAY()),"",IF(AND(CT456="",CU456=""),"",N(CU456)-N(CT456)))</f>
        <v/>
      </c>
      <c r="CZ456">
        <f>IF(OR(CX$3="",CX$3&gt;TODAY()),"",IF(AND(CX456="",CY456=""),"",N(CY456)-N(CX456)))</f>
        <v/>
      </c>
      <c r="DC456">
        <f>IF(OR(CX$3="",CX$3&gt;TODAY()),"",IF(AND(DA456="",DB456=""),"",N(DB456)-N(DA456)))</f>
        <v/>
      </c>
      <c r="DG456">
        <f>IF(OR(DE$3="",DE$3&gt;TODAY()),"",IF(AND(DE456="",DF456=""),"",N(DF456)-N(DE456)))</f>
        <v/>
      </c>
      <c r="DJ456">
        <f>IF(OR(DE$3="",DE$3&gt;TODAY()),"",IF(AND(DH456="",DI456=""),"",N(DI456)-N(DH456)))</f>
        <v/>
      </c>
      <c r="DN456">
        <f>IF(OR(DL$3="",DL$3&gt;TODAY()),"",IF(AND(DL456="",DM456=""),"",N(DM456)-N(DL456)))</f>
        <v/>
      </c>
      <c r="DQ456">
        <f>IF(OR(DL$3="",DL$3&gt;TODAY()),"",IF(AND(DO456="",DP456=""),"",N(DP456)-N(DO456)))</f>
        <v/>
      </c>
      <c r="DU456">
        <f>IF(OR(DS$3="",DS$3&gt;TODAY()),"",IF(AND(DS456="",DT456=""),"",N(DT456)-N(DS456)))</f>
        <v/>
      </c>
      <c r="DX456">
        <f>IF(OR(DS$3="",DS$3&gt;TODAY()),"",IF(AND(DV456="",DW456=""),"",N(DW456)-N(DV456)))</f>
        <v/>
      </c>
      <c r="EB456">
        <f>IF(OR(DZ$3="",DZ$3&gt;TODAY()),"",IF(AND(DZ456="",EA456=""),"",N(EA456)-N(DZ456)))</f>
        <v/>
      </c>
      <c r="EE456">
        <f>IF(OR(DZ$3="",DZ$3&gt;TODAY()),"",IF(AND(EC456="",ED456=""),"",N(ED456)-N(EC456)))</f>
        <v/>
      </c>
      <c r="EI456">
        <f>IF(OR(EG$3="",EG$3&gt;TODAY()),"",IF(AND(EG456="",EH456=""),"",N(EH456)-N(EG456)))</f>
        <v/>
      </c>
      <c r="EL456">
        <f>IF(OR(EG$3="",EG$3&gt;TODAY()),"",IF(AND(EJ456="",EK456=""),"",N(EK456)-N(EJ456)))</f>
        <v/>
      </c>
      <c r="EP456">
        <f>IF(OR(EN$3="",EN$3&gt;TODAY()),"",IF(AND(EN456="",EO456=""),"",N(EO456)-N(EN456)))</f>
        <v/>
      </c>
      <c r="ES456">
        <f>IF(OR(EN$3="",EN$3&gt;TODAY()),"",IF(AND(EQ456="",ER456=""),"",N(ER456)-N(EQ456)))</f>
        <v/>
      </c>
      <c r="EW456">
        <f>IF(OR(EU$3="",EU$3&gt;TODAY()),"",IF(AND(EU456="",EV456=""),"",N(EV456)-N(EU456)))</f>
        <v/>
      </c>
      <c r="EZ456">
        <f>IF(OR(EU$3="",EU$3&gt;TODAY()),"",IF(AND(EX456="",EY456=""),"",N(EY456)-N(EX456)))</f>
        <v/>
      </c>
      <c r="FD456">
        <f>IF(OR(FB$3="",FB$3&gt;TODAY()),"",IF(AND(FB456="",FC456=""),"",N(FC456)-N(FB456)))</f>
        <v/>
      </c>
      <c r="FG456">
        <f>IF(OR(FB$3="",FB$3&gt;TODAY()),"",IF(AND(FE456="",FF456=""),"",N(FF456)-N(FE456)))</f>
        <v/>
      </c>
      <c r="FK456">
        <f>IF(OR(FI$3="",FI$3&gt;TODAY()),"",IF(AND(FI456="",FJ456=""),"",N(FJ456)-N(FI456)))</f>
        <v/>
      </c>
      <c r="FN456">
        <f>IF(OR(FI$3="",FI$3&gt;TODAY()),"",IF(AND(FL456="",FM456=""),"",N(FM456)-N(FL456)))</f>
        <v/>
      </c>
      <c r="FR456">
        <f>IF(OR(FP$3="",FP$3&gt;TODAY()),"",IF(AND(FP456="",FQ456=""),"",N(FQ456)-N(FP456)))</f>
        <v/>
      </c>
      <c r="FU456">
        <f>IF(OR(FP$3="",FP$3&gt;TODAY()),"",IF(AND(FS456="",FT456=""),"",N(FT456)-N(FS456)))</f>
        <v/>
      </c>
      <c r="FY456">
        <f>IF(OR(FW$3="",FW$3&gt;TODAY()),"",IF(AND(FW456="",FX456=""),"",N(FX456)-N(FW456)))</f>
        <v/>
      </c>
      <c r="GB456">
        <f>IF(OR(FW$3="",FW$3&gt;TODAY()),"",IF(AND(FZ456="",GA456=""),"",N(GA456)-N(FZ456)))</f>
        <v/>
      </c>
      <c r="GF456">
        <f>IF(OR(GD$3="",GD$3&gt;TODAY()),"",IF(AND(GD456="",GE456=""),"",N(GE456)-N(GD456)))</f>
        <v/>
      </c>
      <c r="GI456">
        <f>IF(OR(GD$3="",GD$3&gt;TODAY()),"",IF(AND(GG456="",GH456=""),"",N(GH456)-N(GG456)))</f>
        <v/>
      </c>
      <c r="GM456">
        <f>IF(OR(GK$3="",GK$3&gt;TODAY()),"",IF(AND(GK456="",GL456=""),"",N(GL456)-N(GK456)))</f>
        <v/>
      </c>
      <c r="GP456">
        <f>IF(OR(GK$3="",GK$3&gt;TODAY()),"",IF(AND(GN456="",GO456=""),"",N(GO456)-N(GN456)))</f>
        <v/>
      </c>
      <c r="GT456">
        <f>IF(OR(GR$3="",GR$3&gt;TODAY()),"",IF(AND(GR456="",GS456=""),"",N(GS456)-N(GR456)))</f>
        <v/>
      </c>
      <c r="GW456">
        <f>IF(OR(GR$3="",GR$3&gt;TODAY()),"",IF(AND(GU456="",GV456=""),"",N(GV456)-N(GU456)))</f>
        <v/>
      </c>
      <c r="HA456">
        <f>IF(OR(GY$3="",GY$3&gt;TODAY()),"",IF(AND(GY456="",GZ456=""),"",N(GZ456)-N(GY456)))</f>
        <v/>
      </c>
      <c r="HD456">
        <f>IF(OR(GY$3="",GY$3&gt;TODAY()),"",IF(AND(HB456="",HC456=""),"",N(HC456)-N(HB456)))</f>
        <v/>
      </c>
      <c r="HH456">
        <f>IF(OR(HF$3="",HF$3&gt;TODAY()),"",IF(AND(HF456="",HG456=""),"",N(HG456)-N(HF456)))</f>
        <v/>
      </c>
      <c r="HK456">
        <f>IF(OR(HF$3="",HF$3&gt;TODAY()),"",IF(AND(HI456="",HJ456=""),"",N(HJ456)-N(HI456)))</f>
        <v/>
      </c>
      <c r="HO456">
        <f>IF(OR(HM$3="",HM$3&gt;TODAY()),"",IF(AND(HM456="",HN456=""),"",N(HN456)-N(HM456)))</f>
        <v/>
      </c>
      <c r="HR456">
        <f>IF(OR(HM$3="",HM$3&gt;TODAY()),"",IF(AND(HP456="",HQ456=""),"",N(HQ456)-N(HP456)))</f>
        <v/>
      </c>
      <c r="HV456">
        <f>IF(OR(HT$3="",HT$3&gt;TODAY()),"",IF(AND(HT456="",HU456=""),"",N(HU456)-N(HT456)))</f>
        <v/>
      </c>
      <c r="HY456">
        <f>IF(OR(HT$3="",HT$3&gt;TODAY()),"",IF(AND(HW456="",HX456=""),"",N(HX456)-N(HW456)))</f>
        <v/>
      </c>
      <c r="IC456">
        <f>IF(OR(IA$3="",IA$3&gt;TODAY()),"",IF(AND(IA456="",IB456=""),"",N(IB456)-N(IA456)))</f>
        <v/>
      </c>
      <c r="IF456">
        <f>IF(OR(IA$3="",IA$3&gt;TODAY()),"",IF(AND(ID456="",IE456=""),"",N(IE456)-N(ID456)))</f>
        <v/>
      </c>
      <c r="IJ456">
        <f>IF(OR(IH$3="",IH$3&gt;TODAY()),"",IF(AND(IH456="",II456=""),"",N(II456)-N(IH456)))</f>
        <v/>
      </c>
      <c r="IM456">
        <f>IF(OR(IH$3="",IH$3&gt;TODAY()),"",IF(AND(IK456="",IL456=""),"",N(IL456)-N(IK456)))</f>
        <v/>
      </c>
    </row>
    <row r="457">
      <c r="A457" s="21" t="n"/>
      <c r="B457" s="21" t="n"/>
      <c r="C457" s="21" t="n"/>
      <c r="D457" s="21" t="n"/>
      <c r="E457" s="21" t="n"/>
      <c r="F457" s="21" t="n"/>
      <c r="G457" s="21" t="n"/>
      <c r="H457" s="21" t="n"/>
      <c r="I457" s="22" t="n"/>
      <c r="J457" s="22" t="n"/>
      <c r="K457" s="23" t="n"/>
      <c r="L457" s="22" t="n"/>
      <c r="M457" s="22" t="n"/>
      <c r="N457" s="21" t="n"/>
      <c r="O457" s="23" t="n"/>
      <c r="P457" s="23" t="n"/>
      <c r="Q457" s="23" t="n"/>
      <c r="R457" s="23" t="n"/>
      <c r="S457" s="22" t="n"/>
      <c r="T457" s="23" t="n"/>
      <c r="U457" s="23" t="n"/>
      <c r="V457" s="24">
        <f>IF(J457&lt;&gt;"",J457,IF(I457&lt;&gt;"",I457,""))</f>
        <v/>
      </c>
      <c r="W457" s="25">
        <f>IF($E457="","",N(O457)+SUMIFS($AF457:$IN457,$AF$4:$IN$4,"SEW_ACT"))</f>
        <v/>
      </c>
      <c r="X457" s="25">
        <f>IF($E457="","",N(P457)+SUMIFS($AF457:$IN457,$AF$4:$IN$4,"WASH_ACT"))</f>
        <v/>
      </c>
      <c r="Y457" s="25">
        <f>IF($E457="","",W457-X457-N(T457)-N(U457))</f>
        <v/>
      </c>
      <c r="Z457" s="25">
        <f>IF($E457="","",IF(N(K457)-X457&lt;=0.02*N(K457),0,N(K457)-X457))</f>
        <v/>
      </c>
      <c r="AA457" s="24">
        <f>IF($E457="","",IF(S457&lt;&gt;"",S457,IF(N(O457)&gt;0,IF(L457&lt;&gt;"",L457,99999),IFERROR(1/(1/_xlfn.MINIFS($AF$3:$IN$3,$AF$4:$IN$4,"SEW_ACT",$AF457:$IN457,"&gt;0")),99999))))</f>
        <v/>
      </c>
      <c r="AB457" s="26">
        <f>IF(OR($E457="",Z457=0,V457=""),"",1+COUNTIFS(Z$8:Z$707,"&gt;0",V$8:V$707,"&lt;"&amp;V457)+COUNTIFS(Z$8:Z$707,"&gt;0",V$8:V$707,V457,AA$8:AA$707,"&lt;"&amp;AA457)+COUNTIFS(Z$8:Z$707,"&gt;0",V$8:V$707,V457,AA$8:AA$707,AA457,E$8:E$707,"&lt;"&amp;$E457))</f>
        <v/>
      </c>
      <c r="AC457" s="24">
        <f>IF(OR($E457="",Z457=0),"",IFERROR(TODAY()+ROUNDUP(Z457/(SUMIFS($AF457:$IN457,$AF$4:$IN$4,"WASH_ACT")/COUNTIFS($AF$4:$IN$4,"WASH_ACT",$AF457:$IN457,"&gt;0")),0),"no output yet"))</f>
        <v/>
      </c>
      <c r="AD457" s="26">
        <f>IF($E457="","",IFERROR(ROUND(MAX(0,SUMIFS($AF457:$IN457,$AF$4:$IN$4,"SEW_PLAN",$AF$3:$IN$3,"&lt;="&amp;TODAY())-SUMIFS($AF457:$IN457,$AF$4:$IN$4,"SEW_ACT",$AF$3:$IN$3,"&lt;="&amp;TODAY())+N(Q457))/(SUMIFS($AF457:$IN457,$AF$4:$IN$4,"SEW_PLAN")/COUNTIFS($AF$4:$IN$4,"SEW_PLAN",$AF457:$IN457,"&gt;0")),1),0))</f>
        <v/>
      </c>
      <c r="AE457" s="26">
        <f>IF($E457="","",IF(AND(Z457&gt;0,OR(AND(M457&lt;&gt;"",TODAY()&gt;M457),AND(V457&lt;&gt;"",V457-TODAY()&lt;=7))),"Yes","No"))</f>
        <v/>
      </c>
      <c r="AH457">
        <f>IF(OR(AF$3="",AF$3&gt;TODAY()),"",IF(AND(AF457="",AG457=""),"",N(AG457)-N(AF457)))</f>
        <v/>
      </c>
      <c r="AK457">
        <f>IF(OR(AF$3="",AF$3&gt;TODAY()),"",IF(AND(AI457="",AJ457=""),"",N(AJ457)-N(AI457)))</f>
        <v/>
      </c>
      <c r="AO457">
        <f>IF(OR(AM$3="",AM$3&gt;TODAY()),"",IF(AND(AM457="",AN457=""),"",N(AN457)-N(AM457)))</f>
        <v/>
      </c>
      <c r="AR457">
        <f>IF(OR(AM$3="",AM$3&gt;TODAY()),"",IF(AND(AP457="",AQ457=""),"",N(AQ457)-N(AP457)))</f>
        <v/>
      </c>
      <c r="AV457">
        <f>IF(OR(AT$3="",AT$3&gt;TODAY()),"",IF(AND(AT457="",AU457=""),"",N(AU457)-N(AT457)))</f>
        <v/>
      </c>
      <c r="AY457">
        <f>IF(OR(AT$3="",AT$3&gt;TODAY()),"",IF(AND(AW457="",AX457=""),"",N(AX457)-N(AW457)))</f>
        <v/>
      </c>
      <c r="BC457">
        <f>IF(OR(BA$3="",BA$3&gt;TODAY()),"",IF(AND(BA457="",BB457=""),"",N(BB457)-N(BA457)))</f>
        <v/>
      </c>
      <c r="BF457">
        <f>IF(OR(BA$3="",BA$3&gt;TODAY()),"",IF(AND(BD457="",BE457=""),"",N(BE457)-N(BD457)))</f>
        <v/>
      </c>
      <c r="BJ457">
        <f>IF(OR(BH$3="",BH$3&gt;TODAY()),"",IF(AND(BH457="",BI457=""),"",N(BI457)-N(BH457)))</f>
        <v/>
      </c>
      <c r="BM457">
        <f>IF(OR(BH$3="",BH$3&gt;TODAY()),"",IF(AND(BK457="",BL457=""),"",N(BL457)-N(BK457)))</f>
        <v/>
      </c>
      <c r="BQ457">
        <f>IF(OR(BO$3="",BO$3&gt;TODAY()),"",IF(AND(BO457="",BP457=""),"",N(BP457)-N(BO457)))</f>
        <v/>
      </c>
      <c r="BT457">
        <f>IF(OR(BO$3="",BO$3&gt;TODAY()),"",IF(AND(BR457="",BS457=""),"",N(BS457)-N(BR457)))</f>
        <v/>
      </c>
      <c r="BX457">
        <f>IF(OR(BV$3="",BV$3&gt;TODAY()),"",IF(AND(BV457="",BW457=""),"",N(BW457)-N(BV457)))</f>
        <v/>
      </c>
      <c r="CA457">
        <f>IF(OR(BV$3="",BV$3&gt;TODAY()),"",IF(AND(BY457="",BZ457=""),"",N(BZ457)-N(BY457)))</f>
        <v/>
      </c>
      <c r="CE457">
        <f>IF(OR(CC$3="",CC$3&gt;TODAY()),"",IF(AND(CC457="",CD457=""),"",N(CD457)-N(CC457)))</f>
        <v/>
      </c>
      <c r="CH457">
        <f>IF(OR(CC$3="",CC$3&gt;TODAY()),"",IF(AND(CF457="",CG457=""),"",N(CG457)-N(CF457)))</f>
        <v/>
      </c>
      <c r="CL457">
        <f>IF(OR(CJ$3="",CJ$3&gt;TODAY()),"",IF(AND(CJ457="",CK457=""),"",N(CK457)-N(CJ457)))</f>
        <v/>
      </c>
      <c r="CO457">
        <f>IF(OR(CJ$3="",CJ$3&gt;TODAY()),"",IF(AND(CM457="",CN457=""),"",N(CN457)-N(CM457)))</f>
        <v/>
      </c>
      <c r="CS457">
        <f>IF(OR(CQ$3="",CQ$3&gt;TODAY()),"",IF(AND(CQ457="",CR457=""),"",N(CR457)-N(CQ457)))</f>
        <v/>
      </c>
      <c r="CV457">
        <f>IF(OR(CQ$3="",CQ$3&gt;TODAY()),"",IF(AND(CT457="",CU457=""),"",N(CU457)-N(CT457)))</f>
        <v/>
      </c>
      <c r="CZ457">
        <f>IF(OR(CX$3="",CX$3&gt;TODAY()),"",IF(AND(CX457="",CY457=""),"",N(CY457)-N(CX457)))</f>
        <v/>
      </c>
      <c r="DC457">
        <f>IF(OR(CX$3="",CX$3&gt;TODAY()),"",IF(AND(DA457="",DB457=""),"",N(DB457)-N(DA457)))</f>
        <v/>
      </c>
      <c r="DG457">
        <f>IF(OR(DE$3="",DE$3&gt;TODAY()),"",IF(AND(DE457="",DF457=""),"",N(DF457)-N(DE457)))</f>
        <v/>
      </c>
      <c r="DJ457">
        <f>IF(OR(DE$3="",DE$3&gt;TODAY()),"",IF(AND(DH457="",DI457=""),"",N(DI457)-N(DH457)))</f>
        <v/>
      </c>
      <c r="DN457">
        <f>IF(OR(DL$3="",DL$3&gt;TODAY()),"",IF(AND(DL457="",DM457=""),"",N(DM457)-N(DL457)))</f>
        <v/>
      </c>
      <c r="DQ457">
        <f>IF(OR(DL$3="",DL$3&gt;TODAY()),"",IF(AND(DO457="",DP457=""),"",N(DP457)-N(DO457)))</f>
        <v/>
      </c>
      <c r="DU457">
        <f>IF(OR(DS$3="",DS$3&gt;TODAY()),"",IF(AND(DS457="",DT457=""),"",N(DT457)-N(DS457)))</f>
        <v/>
      </c>
      <c r="DX457">
        <f>IF(OR(DS$3="",DS$3&gt;TODAY()),"",IF(AND(DV457="",DW457=""),"",N(DW457)-N(DV457)))</f>
        <v/>
      </c>
      <c r="EB457">
        <f>IF(OR(DZ$3="",DZ$3&gt;TODAY()),"",IF(AND(DZ457="",EA457=""),"",N(EA457)-N(DZ457)))</f>
        <v/>
      </c>
      <c r="EE457">
        <f>IF(OR(DZ$3="",DZ$3&gt;TODAY()),"",IF(AND(EC457="",ED457=""),"",N(ED457)-N(EC457)))</f>
        <v/>
      </c>
      <c r="EI457">
        <f>IF(OR(EG$3="",EG$3&gt;TODAY()),"",IF(AND(EG457="",EH457=""),"",N(EH457)-N(EG457)))</f>
        <v/>
      </c>
      <c r="EL457">
        <f>IF(OR(EG$3="",EG$3&gt;TODAY()),"",IF(AND(EJ457="",EK457=""),"",N(EK457)-N(EJ457)))</f>
        <v/>
      </c>
      <c r="EP457">
        <f>IF(OR(EN$3="",EN$3&gt;TODAY()),"",IF(AND(EN457="",EO457=""),"",N(EO457)-N(EN457)))</f>
        <v/>
      </c>
      <c r="ES457">
        <f>IF(OR(EN$3="",EN$3&gt;TODAY()),"",IF(AND(EQ457="",ER457=""),"",N(ER457)-N(EQ457)))</f>
        <v/>
      </c>
      <c r="EW457">
        <f>IF(OR(EU$3="",EU$3&gt;TODAY()),"",IF(AND(EU457="",EV457=""),"",N(EV457)-N(EU457)))</f>
        <v/>
      </c>
      <c r="EZ457">
        <f>IF(OR(EU$3="",EU$3&gt;TODAY()),"",IF(AND(EX457="",EY457=""),"",N(EY457)-N(EX457)))</f>
        <v/>
      </c>
      <c r="FD457">
        <f>IF(OR(FB$3="",FB$3&gt;TODAY()),"",IF(AND(FB457="",FC457=""),"",N(FC457)-N(FB457)))</f>
        <v/>
      </c>
      <c r="FG457">
        <f>IF(OR(FB$3="",FB$3&gt;TODAY()),"",IF(AND(FE457="",FF457=""),"",N(FF457)-N(FE457)))</f>
        <v/>
      </c>
      <c r="FK457">
        <f>IF(OR(FI$3="",FI$3&gt;TODAY()),"",IF(AND(FI457="",FJ457=""),"",N(FJ457)-N(FI457)))</f>
        <v/>
      </c>
      <c r="FN457">
        <f>IF(OR(FI$3="",FI$3&gt;TODAY()),"",IF(AND(FL457="",FM457=""),"",N(FM457)-N(FL457)))</f>
        <v/>
      </c>
      <c r="FR457">
        <f>IF(OR(FP$3="",FP$3&gt;TODAY()),"",IF(AND(FP457="",FQ457=""),"",N(FQ457)-N(FP457)))</f>
        <v/>
      </c>
      <c r="FU457">
        <f>IF(OR(FP$3="",FP$3&gt;TODAY()),"",IF(AND(FS457="",FT457=""),"",N(FT457)-N(FS457)))</f>
        <v/>
      </c>
      <c r="FY457">
        <f>IF(OR(FW$3="",FW$3&gt;TODAY()),"",IF(AND(FW457="",FX457=""),"",N(FX457)-N(FW457)))</f>
        <v/>
      </c>
      <c r="GB457">
        <f>IF(OR(FW$3="",FW$3&gt;TODAY()),"",IF(AND(FZ457="",GA457=""),"",N(GA457)-N(FZ457)))</f>
        <v/>
      </c>
      <c r="GF457">
        <f>IF(OR(GD$3="",GD$3&gt;TODAY()),"",IF(AND(GD457="",GE457=""),"",N(GE457)-N(GD457)))</f>
        <v/>
      </c>
      <c r="GI457">
        <f>IF(OR(GD$3="",GD$3&gt;TODAY()),"",IF(AND(GG457="",GH457=""),"",N(GH457)-N(GG457)))</f>
        <v/>
      </c>
      <c r="GM457">
        <f>IF(OR(GK$3="",GK$3&gt;TODAY()),"",IF(AND(GK457="",GL457=""),"",N(GL457)-N(GK457)))</f>
        <v/>
      </c>
      <c r="GP457">
        <f>IF(OR(GK$3="",GK$3&gt;TODAY()),"",IF(AND(GN457="",GO457=""),"",N(GO457)-N(GN457)))</f>
        <v/>
      </c>
      <c r="GT457">
        <f>IF(OR(GR$3="",GR$3&gt;TODAY()),"",IF(AND(GR457="",GS457=""),"",N(GS457)-N(GR457)))</f>
        <v/>
      </c>
      <c r="GW457">
        <f>IF(OR(GR$3="",GR$3&gt;TODAY()),"",IF(AND(GU457="",GV457=""),"",N(GV457)-N(GU457)))</f>
        <v/>
      </c>
      <c r="HA457">
        <f>IF(OR(GY$3="",GY$3&gt;TODAY()),"",IF(AND(GY457="",GZ457=""),"",N(GZ457)-N(GY457)))</f>
        <v/>
      </c>
      <c r="HD457">
        <f>IF(OR(GY$3="",GY$3&gt;TODAY()),"",IF(AND(HB457="",HC457=""),"",N(HC457)-N(HB457)))</f>
        <v/>
      </c>
      <c r="HH457">
        <f>IF(OR(HF$3="",HF$3&gt;TODAY()),"",IF(AND(HF457="",HG457=""),"",N(HG457)-N(HF457)))</f>
        <v/>
      </c>
      <c r="HK457">
        <f>IF(OR(HF$3="",HF$3&gt;TODAY()),"",IF(AND(HI457="",HJ457=""),"",N(HJ457)-N(HI457)))</f>
        <v/>
      </c>
      <c r="HO457">
        <f>IF(OR(HM$3="",HM$3&gt;TODAY()),"",IF(AND(HM457="",HN457=""),"",N(HN457)-N(HM457)))</f>
        <v/>
      </c>
      <c r="HR457">
        <f>IF(OR(HM$3="",HM$3&gt;TODAY()),"",IF(AND(HP457="",HQ457=""),"",N(HQ457)-N(HP457)))</f>
        <v/>
      </c>
      <c r="HV457">
        <f>IF(OR(HT$3="",HT$3&gt;TODAY()),"",IF(AND(HT457="",HU457=""),"",N(HU457)-N(HT457)))</f>
        <v/>
      </c>
      <c r="HY457">
        <f>IF(OR(HT$3="",HT$3&gt;TODAY()),"",IF(AND(HW457="",HX457=""),"",N(HX457)-N(HW457)))</f>
        <v/>
      </c>
      <c r="IC457">
        <f>IF(OR(IA$3="",IA$3&gt;TODAY()),"",IF(AND(IA457="",IB457=""),"",N(IB457)-N(IA457)))</f>
        <v/>
      </c>
      <c r="IF457">
        <f>IF(OR(IA$3="",IA$3&gt;TODAY()),"",IF(AND(ID457="",IE457=""),"",N(IE457)-N(ID457)))</f>
        <v/>
      </c>
      <c r="IJ457">
        <f>IF(OR(IH$3="",IH$3&gt;TODAY()),"",IF(AND(IH457="",II457=""),"",N(II457)-N(IH457)))</f>
        <v/>
      </c>
      <c r="IM457">
        <f>IF(OR(IH$3="",IH$3&gt;TODAY()),"",IF(AND(IK457="",IL457=""),"",N(IL457)-N(IK457)))</f>
        <v/>
      </c>
    </row>
    <row r="458">
      <c r="A458" s="21" t="n"/>
      <c r="B458" s="21" t="n"/>
      <c r="C458" s="21" t="n"/>
      <c r="D458" s="21" t="n"/>
      <c r="E458" s="21" t="n"/>
      <c r="F458" s="21" t="n"/>
      <c r="G458" s="21" t="n"/>
      <c r="H458" s="21" t="n"/>
      <c r="I458" s="22" t="n"/>
      <c r="J458" s="22" t="n"/>
      <c r="K458" s="23" t="n"/>
      <c r="L458" s="22" t="n"/>
      <c r="M458" s="22" t="n"/>
      <c r="N458" s="21" t="n"/>
      <c r="O458" s="23" t="n"/>
      <c r="P458" s="23" t="n"/>
      <c r="Q458" s="23" t="n"/>
      <c r="R458" s="23" t="n"/>
      <c r="S458" s="22" t="n"/>
      <c r="T458" s="23" t="n"/>
      <c r="U458" s="23" t="n"/>
      <c r="V458" s="24">
        <f>IF(J458&lt;&gt;"",J458,IF(I458&lt;&gt;"",I458,""))</f>
        <v/>
      </c>
      <c r="W458" s="25">
        <f>IF($E458="","",N(O458)+SUMIFS($AF458:$IN458,$AF$4:$IN$4,"SEW_ACT"))</f>
        <v/>
      </c>
      <c r="X458" s="25">
        <f>IF($E458="","",N(P458)+SUMIFS($AF458:$IN458,$AF$4:$IN$4,"WASH_ACT"))</f>
        <v/>
      </c>
      <c r="Y458" s="25">
        <f>IF($E458="","",W458-X458-N(T458)-N(U458))</f>
        <v/>
      </c>
      <c r="Z458" s="25">
        <f>IF($E458="","",IF(N(K458)-X458&lt;=0.02*N(K458),0,N(K458)-X458))</f>
        <v/>
      </c>
      <c r="AA458" s="24">
        <f>IF($E458="","",IF(S458&lt;&gt;"",S458,IF(N(O458)&gt;0,IF(L458&lt;&gt;"",L458,99999),IFERROR(1/(1/_xlfn.MINIFS($AF$3:$IN$3,$AF$4:$IN$4,"SEW_ACT",$AF458:$IN458,"&gt;0")),99999))))</f>
        <v/>
      </c>
      <c r="AB458" s="26">
        <f>IF(OR($E458="",Z458=0,V458=""),"",1+COUNTIFS(Z$8:Z$707,"&gt;0",V$8:V$707,"&lt;"&amp;V458)+COUNTIFS(Z$8:Z$707,"&gt;0",V$8:V$707,V458,AA$8:AA$707,"&lt;"&amp;AA458)+COUNTIFS(Z$8:Z$707,"&gt;0",V$8:V$707,V458,AA$8:AA$707,AA458,E$8:E$707,"&lt;"&amp;$E458))</f>
        <v/>
      </c>
      <c r="AC458" s="24">
        <f>IF(OR($E458="",Z458=0),"",IFERROR(TODAY()+ROUNDUP(Z458/(SUMIFS($AF458:$IN458,$AF$4:$IN$4,"WASH_ACT")/COUNTIFS($AF$4:$IN$4,"WASH_ACT",$AF458:$IN458,"&gt;0")),0),"no output yet"))</f>
        <v/>
      </c>
      <c r="AD458" s="26">
        <f>IF($E458="","",IFERROR(ROUND(MAX(0,SUMIFS($AF458:$IN458,$AF$4:$IN$4,"SEW_PLAN",$AF$3:$IN$3,"&lt;="&amp;TODAY())-SUMIFS($AF458:$IN458,$AF$4:$IN$4,"SEW_ACT",$AF$3:$IN$3,"&lt;="&amp;TODAY())+N(Q458))/(SUMIFS($AF458:$IN458,$AF$4:$IN$4,"SEW_PLAN")/COUNTIFS($AF$4:$IN$4,"SEW_PLAN",$AF458:$IN458,"&gt;0")),1),0))</f>
        <v/>
      </c>
      <c r="AE458" s="26">
        <f>IF($E458="","",IF(AND(Z458&gt;0,OR(AND(M458&lt;&gt;"",TODAY()&gt;M458),AND(V458&lt;&gt;"",V458-TODAY()&lt;=7))),"Yes","No"))</f>
        <v/>
      </c>
      <c r="AH458">
        <f>IF(OR(AF$3="",AF$3&gt;TODAY()),"",IF(AND(AF458="",AG458=""),"",N(AG458)-N(AF458)))</f>
        <v/>
      </c>
      <c r="AK458">
        <f>IF(OR(AF$3="",AF$3&gt;TODAY()),"",IF(AND(AI458="",AJ458=""),"",N(AJ458)-N(AI458)))</f>
        <v/>
      </c>
      <c r="AO458">
        <f>IF(OR(AM$3="",AM$3&gt;TODAY()),"",IF(AND(AM458="",AN458=""),"",N(AN458)-N(AM458)))</f>
        <v/>
      </c>
      <c r="AR458">
        <f>IF(OR(AM$3="",AM$3&gt;TODAY()),"",IF(AND(AP458="",AQ458=""),"",N(AQ458)-N(AP458)))</f>
        <v/>
      </c>
      <c r="AV458">
        <f>IF(OR(AT$3="",AT$3&gt;TODAY()),"",IF(AND(AT458="",AU458=""),"",N(AU458)-N(AT458)))</f>
        <v/>
      </c>
      <c r="AY458">
        <f>IF(OR(AT$3="",AT$3&gt;TODAY()),"",IF(AND(AW458="",AX458=""),"",N(AX458)-N(AW458)))</f>
        <v/>
      </c>
      <c r="BC458">
        <f>IF(OR(BA$3="",BA$3&gt;TODAY()),"",IF(AND(BA458="",BB458=""),"",N(BB458)-N(BA458)))</f>
        <v/>
      </c>
      <c r="BF458">
        <f>IF(OR(BA$3="",BA$3&gt;TODAY()),"",IF(AND(BD458="",BE458=""),"",N(BE458)-N(BD458)))</f>
        <v/>
      </c>
      <c r="BJ458">
        <f>IF(OR(BH$3="",BH$3&gt;TODAY()),"",IF(AND(BH458="",BI458=""),"",N(BI458)-N(BH458)))</f>
        <v/>
      </c>
      <c r="BM458">
        <f>IF(OR(BH$3="",BH$3&gt;TODAY()),"",IF(AND(BK458="",BL458=""),"",N(BL458)-N(BK458)))</f>
        <v/>
      </c>
      <c r="BQ458">
        <f>IF(OR(BO$3="",BO$3&gt;TODAY()),"",IF(AND(BO458="",BP458=""),"",N(BP458)-N(BO458)))</f>
        <v/>
      </c>
      <c r="BT458">
        <f>IF(OR(BO$3="",BO$3&gt;TODAY()),"",IF(AND(BR458="",BS458=""),"",N(BS458)-N(BR458)))</f>
        <v/>
      </c>
      <c r="BX458">
        <f>IF(OR(BV$3="",BV$3&gt;TODAY()),"",IF(AND(BV458="",BW458=""),"",N(BW458)-N(BV458)))</f>
        <v/>
      </c>
      <c r="CA458">
        <f>IF(OR(BV$3="",BV$3&gt;TODAY()),"",IF(AND(BY458="",BZ458=""),"",N(BZ458)-N(BY458)))</f>
        <v/>
      </c>
      <c r="CE458">
        <f>IF(OR(CC$3="",CC$3&gt;TODAY()),"",IF(AND(CC458="",CD458=""),"",N(CD458)-N(CC458)))</f>
        <v/>
      </c>
      <c r="CH458">
        <f>IF(OR(CC$3="",CC$3&gt;TODAY()),"",IF(AND(CF458="",CG458=""),"",N(CG458)-N(CF458)))</f>
        <v/>
      </c>
      <c r="CL458">
        <f>IF(OR(CJ$3="",CJ$3&gt;TODAY()),"",IF(AND(CJ458="",CK458=""),"",N(CK458)-N(CJ458)))</f>
        <v/>
      </c>
      <c r="CO458">
        <f>IF(OR(CJ$3="",CJ$3&gt;TODAY()),"",IF(AND(CM458="",CN458=""),"",N(CN458)-N(CM458)))</f>
        <v/>
      </c>
      <c r="CS458">
        <f>IF(OR(CQ$3="",CQ$3&gt;TODAY()),"",IF(AND(CQ458="",CR458=""),"",N(CR458)-N(CQ458)))</f>
        <v/>
      </c>
      <c r="CV458">
        <f>IF(OR(CQ$3="",CQ$3&gt;TODAY()),"",IF(AND(CT458="",CU458=""),"",N(CU458)-N(CT458)))</f>
        <v/>
      </c>
      <c r="CZ458">
        <f>IF(OR(CX$3="",CX$3&gt;TODAY()),"",IF(AND(CX458="",CY458=""),"",N(CY458)-N(CX458)))</f>
        <v/>
      </c>
      <c r="DC458">
        <f>IF(OR(CX$3="",CX$3&gt;TODAY()),"",IF(AND(DA458="",DB458=""),"",N(DB458)-N(DA458)))</f>
        <v/>
      </c>
      <c r="DG458">
        <f>IF(OR(DE$3="",DE$3&gt;TODAY()),"",IF(AND(DE458="",DF458=""),"",N(DF458)-N(DE458)))</f>
        <v/>
      </c>
      <c r="DJ458">
        <f>IF(OR(DE$3="",DE$3&gt;TODAY()),"",IF(AND(DH458="",DI458=""),"",N(DI458)-N(DH458)))</f>
        <v/>
      </c>
      <c r="DN458">
        <f>IF(OR(DL$3="",DL$3&gt;TODAY()),"",IF(AND(DL458="",DM458=""),"",N(DM458)-N(DL458)))</f>
        <v/>
      </c>
      <c r="DQ458">
        <f>IF(OR(DL$3="",DL$3&gt;TODAY()),"",IF(AND(DO458="",DP458=""),"",N(DP458)-N(DO458)))</f>
        <v/>
      </c>
      <c r="DU458">
        <f>IF(OR(DS$3="",DS$3&gt;TODAY()),"",IF(AND(DS458="",DT458=""),"",N(DT458)-N(DS458)))</f>
        <v/>
      </c>
      <c r="DX458">
        <f>IF(OR(DS$3="",DS$3&gt;TODAY()),"",IF(AND(DV458="",DW458=""),"",N(DW458)-N(DV458)))</f>
        <v/>
      </c>
      <c r="EB458">
        <f>IF(OR(DZ$3="",DZ$3&gt;TODAY()),"",IF(AND(DZ458="",EA458=""),"",N(EA458)-N(DZ458)))</f>
        <v/>
      </c>
      <c r="EE458">
        <f>IF(OR(DZ$3="",DZ$3&gt;TODAY()),"",IF(AND(EC458="",ED458=""),"",N(ED458)-N(EC458)))</f>
        <v/>
      </c>
      <c r="EI458">
        <f>IF(OR(EG$3="",EG$3&gt;TODAY()),"",IF(AND(EG458="",EH458=""),"",N(EH458)-N(EG458)))</f>
        <v/>
      </c>
      <c r="EL458">
        <f>IF(OR(EG$3="",EG$3&gt;TODAY()),"",IF(AND(EJ458="",EK458=""),"",N(EK458)-N(EJ458)))</f>
        <v/>
      </c>
      <c r="EP458">
        <f>IF(OR(EN$3="",EN$3&gt;TODAY()),"",IF(AND(EN458="",EO458=""),"",N(EO458)-N(EN458)))</f>
        <v/>
      </c>
      <c r="ES458">
        <f>IF(OR(EN$3="",EN$3&gt;TODAY()),"",IF(AND(EQ458="",ER458=""),"",N(ER458)-N(EQ458)))</f>
        <v/>
      </c>
      <c r="EW458">
        <f>IF(OR(EU$3="",EU$3&gt;TODAY()),"",IF(AND(EU458="",EV458=""),"",N(EV458)-N(EU458)))</f>
        <v/>
      </c>
      <c r="EZ458">
        <f>IF(OR(EU$3="",EU$3&gt;TODAY()),"",IF(AND(EX458="",EY458=""),"",N(EY458)-N(EX458)))</f>
        <v/>
      </c>
      <c r="FD458">
        <f>IF(OR(FB$3="",FB$3&gt;TODAY()),"",IF(AND(FB458="",FC458=""),"",N(FC458)-N(FB458)))</f>
        <v/>
      </c>
      <c r="FG458">
        <f>IF(OR(FB$3="",FB$3&gt;TODAY()),"",IF(AND(FE458="",FF458=""),"",N(FF458)-N(FE458)))</f>
        <v/>
      </c>
      <c r="FK458">
        <f>IF(OR(FI$3="",FI$3&gt;TODAY()),"",IF(AND(FI458="",FJ458=""),"",N(FJ458)-N(FI458)))</f>
        <v/>
      </c>
      <c r="FN458">
        <f>IF(OR(FI$3="",FI$3&gt;TODAY()),"",IF(AND(FL458="",FM458=""),"",N(FM458)-N(FL458)))</f>
        <v/>
      </c>
      <c r="FR458">
        <f>IF(OR(FP$3="",FP$3&gt;TODAY()),"",IF(AND(FP458="",FQ458=""),"",N(FQ458)-N(FP458)))</f>
        <v/>
      </c>
      <c r="FU458">
        <f>IF(OR(FP$3="",FP$3&gt;TODAY()),"",IF(AND(FS458="",FT458=""),"",N(FT458)-N(FS458)))</f>
        <v/>
      </c>
      <c r="FY458">
        <f>IF(OR(FW$3="",FW$3&gt;TODAY()),"",IF(AND(FW458="",FX458=""),"",N(FX458)-N(FW458)))</f>
        <v/>
      </c>
      <c r="GB458">
        <f>IF(OR(FW$3="",FW$3&gt;TODAY()),"",IF(AND(FZ458="",GA458=""),"",N(GA458)-N(FZ458)))</f>
        <v/>
      </c>
      <c r="GF458">
        <f>IF(OR(GD$3="",GD$3&gt;TODAY()),"",IF(AND(GD458="",GE458=""),"",N(GE458)-N(GD458)))</f>
        <v/>
      </c>
      <c r="GI458">
        <f>IF(OR(GD$3="",GD$3&gt;TODAY()),"",IF(AND(GG458="",GH458=""),"",N(GH458)-N(GG458)))</f>
        <v/>
      </c>
      <c r="GM458">
        <f>IF(OR(GK$3="",GK$3&gt;TODAY()),"",IF(AND(GK458="",GL458=""),"",N(GL458)-N(GK458)))</f>
        <v/>
      </c>
      <c r="GP458">
        <f>IF(OR(GK$3="",GK$3&gt;TODAY()),"",IF(AND(GN458="",GO458=""),"",N(GO458)-N(GN458)))</f>
        <v/>
      </c>
      <c r="GT458">
        <f>IF(OR(GR$3="",GR$3&gt;TODAY()),"",IF(AND(GR458="",GS458=""),"",N(GS458)-N(GR458)))</f>
        <v/>
      </c>
      <c r="GW458">
        <f>IF(OR(GR$3="",GR$3&gt;TODAY()),"",IF(AND(GU458="",GV458=""),"",N(GV458)-N(GU458)))</f>
        <v/>
      </c>
      <c r="HA458">
        <f>IF(OR(GY$3="",GY$3&gt;TODAY()),"",IF(AND(GY458="",GZ458=""),"",N(GZ458)-N(GY458)))</f>
        <v/>
      </c>
      <c r="HD458">
        <f>IF(OR(GY$3="",GY$3&gt;TODAY()),"",IF(AND(HB458="",HC458=""),"",N(HC458)-N(HB458)))</f>
        <v/>
      </c>
      <c r="HH458">
        <f>IF(OR(HF$3="",HF$3&gt;TODAY()),"",IF(AND(HF458="",HG458=""),"",N(HG458)-N(HF458)))</f>
        <v/>
      </c>
      <c r="HK458">
        <f>IF(OR(HF$3="",HF$3&gt;TODAY()),"",IF(AND(HI458="",HJ458=""),"",N(HJ458)-N(HI458)))</f>
        <v/>
      </c>
      <c r="HO458">
        <f>IF(OR(HM$3="",HM$3&gt;TODAY()),"",IF(AND(HM458="",HN458=""),"",N(HN458)-N(HM458)))</f>
        <v/>
      </c>
      <c r="HR458">
        <f>IF(OR(HM$3="",HM$3&gt;TODAY()),"",IF(AND(HP458="",HQ458=""),"",N(HQ458)-N(HP458)))</f>
        <v/>
      </c>
      <c r="HV458">
        <f>IF(OR(HT$3="",HT$3&gt;TODAY()),"",IF(AND(HT458="",HU458=""),"",N(HU458)-N(HT458)))</f>
        <v/>
      </c>
      <c r="HY458">
        <f>IF(OR(HT$3="",HT$3&gt;TODAY()),"",IF(AND(HW458="",HX458=""),"",N(HX458)-N(HW458)))</f>
        <v/>
      </c>
      <c r="IC458">
        <f>IF(OR(IA$3="",IA$3&gt;TODAY()),"",IF(AND(IA458="",IB458=""),"",N(IB458)-N(IA458)))</f>
        <v/>
      </c>
      <c r="IF458">
        <f>IF(OR(IA$3="",IA$3&gt;TODAY()),"",IF(AND(ID458="",IE458=""),"",N(IE458)-N(ID458)))</f>
        <v/>
      </c>
      <c r="IJ458">
        <f>IF(OR(IH$3="",IH$3&gt;TODAY()),"",IF(AND(IH458="",II458=""),"",N(II458)-N(IH458)))</f>
        <v/>
      </c>
      <c r="IM458">
        <f>IF(OR(IH$3="",IH$3&gt;TODAY()),"",IF(AND(IK458="",IL458=""),"",N(IL458)-N(IK458)))</f>
        <v/>
      </c>
    </row>
    <row r="459">
      <c r="A459" s="21" t="n"/>
      <c r="B459" s="21" t="n"/>
      <c r="C459" s="21" t="n"/>
      <c r="D459" s="21" t="n"/>
      <c r="E459" s="21" t="n"/>
      <c r="F459" s="21" t="n"/>
      <c r="G459" s="21" t="n"/>
      <c r="H459" s="21" t="n"/>
      <c r="I459" s="22" t="n"/>
      <c r="J459" s="22" t="n"/>
      <c r="K459" s="23" t="n"/>
      <c r="L459" s="22" t="n"/>
      <c r="M459" s="22" t="n"/>
      <c r="N459" s="21" t="n"/>
      <c r="O459" s="23" t="n"/>
      <c r="P459" s="23" t="n"/>
      <c r="Q459" s="23" t="n"/>
      <c r="R459" s="23" t="n"/>
      <c r="S459" s="22" t="n"/>
      <c r="T459" s="23" t="n"/>
      <c r="U459" s="23" t="n"/>
      <c r="V459" s="24">
        <f>IF(J459&lt;&gt;"",J459,IF(I459&lt;&gt;"",I459,""))</f>
        <v/>
      </c>
      <c r="W459" s="25">
        <f>IF($E459="","",N(O459)+SUMIFS($AF459:$IN459,$AF$4:$IN$4,"SEW_ACT"))</f>
        <v/>
      </c>
      <c r="X459" s="25">
        <f>IF($E459="","",N(P459)+SUMIFS($AF459:$IN459,$AF$4:$IN$4,"WASH_ACT"))</f>
        <v/>
      </c>
      <c r="Y459" s="25">
        <f>IF($E459="","",W459-X459-N(T459)-N(U459))</f>
        <v/>
      </c>
      <c r="Z459" s="25">
        <f>IF($E459="","",IF(N(K459)-X459&lt;=0.02*N(K459),0,N(K459)-X459))</f>
        <v/>
      </c>
      <c r="AA459" s="24">
        <f>IF($E459="","",IF(S459&lt;&gt;"",S459,IF(N(O459)&gt;0,IF(L459&lt;&gt;"",L459,99999),IFERROR(1/(1/_xlfn.MINIFS($AF$3:$IN$3,$AF$4:$IN$4,"SEW_ACT",$AF459:$IN459,"&gt;0")),99999))))</f>
        <v/>
      </c>
      <c r="AB459" s="26">
        <f>IF(OR($E459="",Z459=0,V459=""),"",1+COUNTIFS(Z$8:Z$707,"&gt;0",V$8:V$707,"&lt;"&amp;V459)+COUNTIFS(Z$8:Z$707,"&gt;0",V$8:V$707,V459,AA$8:AA$707,"&lt;"&amp;AA459)+COUNTIFS(Z$8:Z$707,"&gt;0",V$8:V$707,V459,AA$8:AA$707,AA459,E$8:E$707,"&lt;"&amp;$E459))</f>
        <v/>
      </c>
      <c r="AC459" s="24">
        <f>IF(OR($E459="",Z459=0),"",IFERROR(TODAY()+ROUNDUP(Z459/(SUMIFS($AF459:$IN459,$AF$4:$IN$4,"WASH_ACT")/COUNTIFS($AF$4:$IN$4,"WASH_ACT",$AF459:$IN459,"&gt;0")),0),"no output yet"))</f>
        <v/>
      </c>
      <c r="AD459" s="26">
        <f>IF($E459="","",IFERROR(ROUND(MAX(0,SUMIFS($AF459:$IN459,$AF$4:$IN$4,"SEW_PLAN",$AF$3:$IN$3,"&lt;="&amp;TODAY())-SUMIFS($AF459:$IN459,$AF$4:$IN$4,"SEW_ACT",$AF$3:$IN$3,"&lt;="&amp;TODAY())+N(Q459))/(SUMIFS($AF459:$IN459,$AF$4:$IN$4,"SEW_PLAN")/COUNTIFS($AF$4:$IN$4,"SEW_PLAN",$AF459:$IN459,"&gt;0")),1),0))</f>
        <v/>
      </c>
      <c r="AE459" s="26">
        <f>IF($E459="","",IF(AND(Z459&gt;0,OR(AND(M459&lt;&gt;"",TODAY()&gt;M459),AND(V459&lt;&gt;"",V459-TODAY()&lt;=7))),"Yes","No"))</f>
        <v/>
      </c>
      <c r="AH459">
        <f>IF(OR(AF$3="",AF$3&gt;TODAY()),"",IF(AND(AF459="",AG459=""),"",N(AG459)-N(AF459)))</f>
        <v/>
      </c>
      <c r="AK459">
        <f>IF(OR(AF$3="",AF$3&gt;TODAY()),"",IF(AND(AI459="",AJ459=""),"",N(AJ459)-N(AI459)))</f>
        <v/>
      </c>
      <c r="AO459">
        <f>IF(OR(AM$3="",AM$3&gt;TODAY()),"",IF(AND(AM459="",AN459=""),"",N(AN459)-N(AM459)))</f>
        <v/>
      </c>
      <c r="AR459">
        <f>IF(OR(AM$3="",AM$3&gt;TODAY()),"",IF(AND(AP459="",AQ459=""),"",N(AQ459)-N(AP459)))</f>
        <v/>
      </c>
      <c r="AV459">
        <f>IF(OR(AT$3="",AT$3&gt;TODAY()),"",IF(AND(AT459="",AU459=""),"",N(AU459)-N(AT459)))</f>
        <v/>
      </c>
      <c r="AY459">
        <f>IF(OR(AT$3="",AT$3&gt;TODAY()),"",IF(AND(AW459="",AX459=""),"",N(AX459)-N(AW459)))</f>
        <v/>
      </c>
      <c r="BC459">
        <f>IF(OR(BA$3="",BA$3&gt;TODAY()),"",IF(AND(BA459="",BB459=""),"",N(BB459)-N(BA459)))</f>
        <v/>
      </c>
      <c r="BF459">
        <f>IF(OR(BA$3="",BA$3&gt;TODAY()),"",IF(AND(BD459="",BE459=""),"",N(BE459)-N(BD459)))</f>
        <v/>
      </c>
      <c r="BJ459">
        <f>IF(OR(BH$3="",BH$3&gt;TODAY()),"",IF(AND(BH459="",BI459=""),"",N(BI459)-N(BH459)))</f>
        <v/>
      </c>
      <c r="BM459">
        <f>IF(OR(BH$3="",BH$3&gt;TODAY()),"",IF(AND(BK459="",BL459=""),"",N(BL459)-N(BK459)))</f>
        <v/>
      </c>
      <c r="BQ459">
        <f>IF(OR(BO$3="",BO$3&gt;TODAY()),"",IF(AND(BO459="",BP459=""),"",N(BP459)-N(BO459)))</f>
        <v/>
      </c>
      <c r="BT459">
        <f>IF(OR(BO$3="",BO$3&gt;TODAY()),"",IF(AND(BR459="",BS459=""),"",N(BS459)-N(BR459)))</f>
        <v/>
      </c>
      <c r="BX459">
        <f>IF(OR(BV$3="",BV$3&gt;TODAY()),"",IF(AND(BV459="",BW459=""),"",N(BW459)-N(BV459)))</f>
        <v/>
      </c>
      <c r="CA459">
        <f>IF(OR(BV$3="",BV$3&gt;TODAY()),"",IF(AND(BY459="",BZ459=""),"",N(BZ459)-N(BY459)))</f>
        <v/>
      </c>
      <c r="CE459">
        <f>IF(OR(CC$3="",CC$3&gt;TODAY()),"",IF(AND(CC459="",CD459=""),"",N(CD459)-N(CC459)))</f>
        <v/>
      </c>
      <c r="CH459">
        <f>IF(OR(CC$3="",CC$3&gt;TODAY()),"",IF(AND(CF459="",CG459=""),"",N(CG459)-N(CF459)))</f>
        <v/>
      </c>
      <c r="CL459">
        <f>IF(OR(CJ$3="",CJ$3&gt;TODAY()),"",IF(AND(CJ459="",CK459=""),"",N(CK459)-N(CJ459)))</f>
        <v/>
      </c>
      <c r="CO459">
        <f>IF(OR(CJ$3="",CJ$3&gt;TODAY()),"",IF(AND(CM459="",CN459=""),"",N(CN459)-N(CM459)))</f>
        <v/>
      </c>
      <c r="CS459">
        <f>IF(OR(CQ$3="",CQ$3&gt;TODAY()),"",IF(AND(CQ459="",CR459=""),"",N(CR459)-N(CQ459)))</f>
        <v/>
      </c>
      <c r="CV459">
        <f>IF(OR(CQ$3="",CQ$3&gt;TODAY()),"",IF(AND(CT459="",CU459=""),"",N(CU459)-N(CT459)))</f>
        <v/>
      </c>
      <c r="CZ459">
        <f>IF(OR(CX$3="",CX$3&gt;TODAY()),"",IF(AND(CX459="",CY459=""),"",N(CY459)-N(CX459)))</f>
        <v/>
      </c>
      <c r="DC459">
        <f>IF(OR(CX$3="",CX$3&gt;TODAY()),"",IF(AND(DA459="",DB459=""),"",N(DB459)-N(DA459)))</f>
        <v/>
      </c>
      <c r="DG459">
        <f>IF(OR(DE$3="",DE$3&gt;TODAY()),"",IF(AND(DE459="",DF459=""),"",N(DF459)-N(DE459)))</f>
        <v/>
      </c>
      <c r="DJ459">
        <f>IF(OR(DE$3="",DE$3&gt;TODAY()),"",IF(AND(DH459="",DI459=""),"",N(DI459)-N(DH459)))</f>
        <v/>
      </c>
      <c r="DN459">
        <f>IF(OR(DL$3="",DL$3&gt;TODAY()),"",IF(AND(DL459="",DM459=""),"",N(DM459)-N(DL459)))</f>
        <v/>
      </c>
      <c r="DQ459">
        <f>IF(OR(DL$3="",DL$3&gt;TODAY()),"",IF(AND(DO459="",DP459=""),"",N(DP459)-N(DO459)))</f>
        <v/>
      </c>
      <c r="DU459">
        <f>IF(OR(DS$3="",DS$3&gt;TODAY()),"",IF(AND(DS459="",DT459=""),"",N(DT459)-N(DS459)))</f>
        <v/>
      </c>
      <c r="DX459">
        <f>IF(OR(DS$3="",DS$3&gt;TODAY()),"",IF(AND(DV459="",DW459=""),"",N(DW459)-N(DV459)))</f>
        <v/>
      </c>
      <c r="EB459">
        <f>IF(OR(DZ$3="",DZ$3&gt;TODAY()),"",IF(AND(DZ459="",EA459=""),"",N(EA459)-N(DZ459)))</f>
        <v/>
      </c>
      <c r="EE459">
        <f>IF(OR(DZ$3="",DZ$3&gt;TODAY()),"",IF(AND(EC459="",ED459=""),"",N(ED459)-N(EC459)))</f>
        <v/>
      </c>
      <c r="EI459">
        <f>IF(OR(EG$3="",EG$3&gt;TODAY()),"",IF(AND(EG459="",EH459=""),"",N(EH459)-N(EG459)))</f>
        <v/>
      </c>
      <c r="EL459">
        <f>IF(OR(EG$3="",EG$3&gt;TODAY()),"",IF(AND(EJ459="",EK459=""),"",N(EK459)-N(EJ459)))</f>
        <v/>
      </c>
      <c r="EP459">
        <f>IF(OR(EN$3="",EN$3&gt;TODAY()),"",IF(AND(EN459="",EO459=""),"",N(EO459)-N(EN459)))</f>
        <v/>
      </c>
      <c r="ES459">
        <f>IF(OR(EN$3="",EN$3&gt;TODAY()),"",IF(AND(EQ459="",ER459=""),"",N(ER459)-N(EQ459)))</f>
        <v/>
      </c>
      <c r="EW459">
        <f>IF(OR(EU$3="",EU$3&gt;TODAY()),"",IF(AND(EU459="",EV459=""),"",N(EV459)-N(EU459)))</f>
        <v/>
      </c>
      <c r="EZ459">
        <f>IF(OR(EU$3="",EU$3&gt;TODAY()),"",IF(AND(EX459="",EY459=""),"",N(EY459)-N(EX459)))</f>
        <v/>
      </c>
      <c r="FD459">
        <f>IF(OR(FB$3="",FB$3&gt;TODAY()),"",IF(AND(FB459="",FC459=""),"",N(FC459)-N(FB459)))</f>
        <v/>
      </c>
      <c r="FG459">
        <f>IF(OR(FB$3="",FB$3&gt;TODAY()),"",IF(AND(FE459="",FF459=""),"",N(FF459)-N(FE459)))</f>
        <v/>
      </c>
      <c r="FK459">
        <f>IF(OR(FI$3="",FI$3&gt;TODAY()),"",IF(AND(FI459="",FJ459=""),"",N(FJ459)-N(FI459)))</f>
        <v/>
      </c>
      <c r="FN459">
        <f>IF(OR(FI$3="",FI$3&gt;TODAY()),"",IF(AND(FL459="",FM459=""),"",N(FM459)-N(FL459)))</f>
        <v/>
      </c>
      <c r="FR459">
        <f>IF(OR(FP$3="",FP$3&gt;TODAY()),"",IF(AND(FP459="",FQ459=""),"",N(FQ459)-N(FP459)))</f>
        <v/>
      </c>
      <c r="FU459">
        <f>IF(OR(FP$3="",FP$3&gt;TODAY()),"",IF(AND(FS459="",FT459=""),"",N(FT459)-N(FS459)))</f>
        <v/>
      </c>
      <c r="FY459">
        <f>IF(OR(FW$3="",FW$3&gt;TODAY()),"",IF(AND(FW459="",FX459=""),"",N(FX459)-N(FW459)))</f>
        <v/>
      </c>
      <c r="GB459">
        <f>IF(OR(FW$3="",FW$3&gt;TODAY()),"",IF(AND(FZ459="",GA459=""),"",N(GA459)-N(FZ459)))</f>
        <v/>
      </c>
      <c r="GF459">
        <f>IF(OR(GD$3="",GD$3&gt;TODAY()),"",IF(AND(GD459="",GE459=""),"",N(GE459)-N(GD459)))</f>
        <v/>
      </c>
      <c r="GI459">
        <f>IF(OR(GD$3="",GD$3&gt;TODAY()),"",IF(AND(GG459="",GH459=""),"",N(GH459)-N(GG459)))</f>
        <v/>
      </c>
      <c r="GM459">
        <f>IF(OR(GK$3="",GK$3&gt;TODAY()),"",IF(AND(GK459="",GL459=""),"",N(GL459)-N(GK459)))</f>
        <v/>
      </c>
      <c r="GP459">
        <f>IF(OR(GK$3="",GK$3&gt;TODAY()),"",IF(AND(GN459="",GO459=""),"",N(GO459)-N(GN459)))</f>
        <v/>
      </c>
      <c r="GT459">
        <f>IF(OR(GR$3="",GR$3&gt;TODAY()),"",IF(AND(GR459="",GS459=""),"",N(GS459)-N(GR459)))</f>
        <v/>
      </c>
      <c r="GW459">
        <f>IF(OR(GR$3="",GR$3&gt;TODAY()),"",IF(AND(GU459="",GV459=""),"",N(GV459)-N(GU459)))</f>
        <v/>
      </c>
      <c r="HA459">
        <f>IF(OR(GY$3="",GY$3&gt;TODAY()),"",IF(AND(GY459="",GZ459=""),"",N(GZ459)-N(GY459)))</f>
        <v/>
      </c>
      <c r="HD459">
        <f>IF(OR(GY$3="",GY$3&gt;TODAY()),"",IF(AND(HB459="",HC459=""),"",N(HC459)-N(HB459)))</f>
        <v/>
      </c>
      <c r="HH459">
        <f>IF(OR(HF$3="",HF$3&gt;TODAY()),"",IF(AND(HF459="",HG459=""),"",N(HG459)-N(HF459)))</f>
        <v/>
      </c>
      <c r="HK459">
        <f>IF(OR(HF$3="",HF$3&gt;TODAY()),"",IF(AND(HI459="",HJ459=""),"",N(HJ459)-N(HI459)))</f>
        <v/>
      </c>
      <c r="HO459">
        <f>IF(OR(HM$3="",HM$3&gt;TODAY()),"",IF(AND(HM459="",HN459=""),"",N(HN459)-N(HM459)))</f>
        <v/>
      </c>
      <c r="HR459">
        <f>IF(OR(HM$3="",HM$3&gt;TODAY()),"",IF(AND(HP459="",HQ459=""),"",N(HQ459)-N(HP459)))</f>
        <v/>
      </c>
      <c r="HV459">
        <f>IF(OR(HT$3="",HT$3&gt;TODAY()),"",IF(AND(HT459="",HU459=""),"",N(HU459)-N(HT459)))</f>
        <v/>
      </c>
      <c r="HY459">
        <f>IF(OR(HT$3="",HT$3&gt;TODAY()),"",IF(AND(HW459="",HX459=""),"",N(HX459)-N(HW459)))</f>
        <v/>
      </c>
      <c r="IC459">
        <f>IF(OR(IA$3="",IA$3&gt;TODAY()),"",IF(AND(IA459="",IB459=""),"",N(IB459)-N(IA459)))</f>
        <v/>
      </c>
      <c r="IF459">
        <f>IF(OR(IA$3="",IA$3&gt;TODAY()),"",IF(AND(ID459="",IE459=""),"",N(IE459)-N(ID459)))</f>
        <v/>
      </c>
      <c r="IJ459">
        <f>IF(OR(IH$3="",IH$3&gt;TODAY()),"",IF(AND(IH459="",II459=""),"",N(II459)-N(IH459)))</f>
        <v/>
      </c>
      <c r="IM459">
        <f>IF(OR(IH$3="",IH$3&gt;TODAY()),"",IF(AND(IK459="",IL459=""),"",N(IL459)-N(IK459)))</f>
        <v/>
      </c>
    </row>
    <row r="460">
      <c r="A460" s="21" t="n"/>
      <c r="B460" s="21" t="n"/>
      <c r="C460" s="21" t="n"/>
      <c r="D460" s="21" t="n"/>
      <c r="E460" s="21" t="n"/>
      <c r="F460" s="21" t="n"/>
      <c r="G460" s="21" t="n"/>
      <c r="H460" s="21" t="n"/>
      <c r="I460" s="22" t="n"/>
      <c r="J460" s="22" t="n"/>
      <c r="K460" s="23" t="n"/>
      <c r="L460" s="22" t="n"/>
      <c r="M460" s="22" t="n"/>
      <c r="N460" s="21" t="n"/>
      <c r="O460" s="23" t="n"/>
      <c r="P460" s="23" t="n"/>
      <c r="Q460" s="23" t="n"/>
      <c r="R460" s="23" t="n"/>
      <c r="S460" s="22" t="n"/>
      <c r="T460" s="23" t="n"/>
      <c r="U460" s="23" t="n"/>
      <c r="V460" s="24">
        <f>IF(J460&lt;&gt;"",J460,IF(I460&lt;&gt;"",I460,""))</f>
        <v/>
      </c>
      <c r="W460" s="25">
        <f>IF($E460="","",N(O460)+SUMIFS($AF460:$IN460,$AF$4:$IN$4,"SEW_ACT"))</f>
        <v/>
      </c>
      <c r="X460" s="25">
        <f>IF($E460="","",N(P460)+SUMIFS($AF460:$IN460,$AF$4:$IN$4,"WASH_ACT"))</f>
        <v/>
      </c>
      <c r="Y460" s="25">
        <f>IF($E460="","",W460-X460-N(T460)-N(U460))</f>
        <v/>
      </c>
      <c r="Z460" s="25">
        <f>IF($E460="","",IF(N(K460)-X460&lt;=0.02*N(K460),0,N(K460)-X460))</f>
        <v/>
      </c>
      <c r="AA460" s="24">
        <f>IF($E460="","",IF(S460&lt;&gt;"",S460,IF(N(O460)&gt;0,IF(L460&lt;&gt;"",L460,99999),IFERROR(1/(1/_xlfn.MINIFS($AF$3:$IN$3,$AF$4:$IN$4,"SEW_ACT",$AF460:$IN460,"&gt;0")),99999))))</f>
        <v/>
      </c>
      <c r="AB460" s="26">
        <f>IF(OR($E460="",Z460=0,V460=""),"",1+COUNTIFS(Z$8:Z$707,"&gt;0",V$8:V$707,"&lt;"&amp;V460)+COUNTIFS(Z$8:Z$707,"&gt;0",V$8:V$707,V460,AA$8:AA$707,"&lt;"&amp;AA460)+COUNTIFS(Z$8:Z$707,"&gt;0",V$8:V$707,V460,AA$8:AA$707,AA460,E$8:E$707,"&lt;"&amp;$E460))</f>
        <v/>
      </c>
      <c r="AC460" s="24">
        <f>IF(OR($E460="",Z460=0),"",IFERROR(TODAY()+ROUNDUP(Z460/(SUMIFS($AF460:$IN460,$AF$4:$IN$4,"WASH_ACT")/COUNTIFS($AF$4:$IN$4,"WASH_ACT",$AF460:$IN460,"&gt;0")),0),"no output yet"))</f>
        <v/>
      </c>
      <c r="AD460" s="26">
        <f>IF($E460="","",IFERROR(ROUND(MAX(0,SUMIFS($AF460:$IN460,$AF$4:$IN$4,"SEW_PLAN",$AF$3:$IN$3,"&lt;="&amp;TODAY())-SUMIFS($AF460:$IN460,$AF$4:$IN$4,"SEW_ACT",$AF$3:$IN$3,"&lt;="&amp;TODAY())+N(Q460))/(SUMIFS($AF460:$IN460,$AF$4:$IN$4,"SEW_PLAN")/COUNTIFS($AF$4:$IN$4,"SEW_PLAN",$AF460:$IN460,"&gt;0")),1),0))</f>
        <v/>
      </c>
      <c r="AE460" s="26">
        <f>IF($E460="","",IF(AND(Z460&gt;0,OR(AND(M460&lt;&gt;"",TODAY()&gt;M460),AND(V460&lt;&gt;"",V460-TODAY()&lt;=7))),"Yes","No"))</f>
        <v/>
      </c>
      <c r="AH460">
        <f>IF(OR(AF$3="",AF$3&gt;TODAY()),"",IF(AND(AF460="",AG460=""),"",N(AG460)-N(AF460)))</f>
        <v/>
      </c>
      <c r="AK460">
        <f>IF(OR(AF$3="",AF$3&gt;TODAY()),"",IF(AND(AI460="",AJ460=""),"",N(AJ460)-N(AI460)))</f>
        <v/>
      </c>
      <c r="AO460">
        <f>IF(OR(AM$3="",AM$3&gt;TODAY()),"",IF(AND(AM460="",AN460=""),"",N(AN460)-N(AM460)))</f>
        <v/>
      </c>
      <c r="AR460">
        <f>IF(OR(AM$3="",AM$3&gt;TODAY()),"",IF(AND(AP460="",AQ460=""),"",N(AQ460)-N(AP460)))</f>
        <v/>
      </c>
      <c r="AV460">
        <f>IF(OR(AT$3="",AT$3&gt;TODAY()),"",IF(AND(AT460="",AU460=""),"",N(AU460)-N(AT460)))</f>
        <v/>
      </c>
      <c r="AY460">
        <f>IF(OR(AT$3="",AT$3&gt;TODAY()),"",IF(AND(AW460="",AX460=""),"",N(AX460)-N(AW460)))</f>
        <v/>
      </c>
      <c r="BC460">
        <f>IF(OR(BA$3="",BA$3&gt;TODAY()),"",IF(AND(BA460="",BB460=""),"",N(BB460)-N(BA460)))</f>
        <v/>
      </c>
      <c r="BF460">
        <f>IF(OR(BA$3="",BA$3&gt;TODAY()),"",IF(AND(BD460="",BE460=""),"",N(BE460)-N(BD460)))</f>
        <v/>
      </c>
      <c r="BJ460">
        <f>IF(OR(BH$3="",BH$3&gt;TODAY()),"",IF(AND(BH460="",BI460=""),"",N(BI460)-N(BH460)))</f>
        <v/>
      </c>
      <c r="BM460">
        <f>IF(OR(BH$3="",BH$3&gt;TODAY()),"",IF(AND(BK460="",BL460=""),"",N(BL460)-N(BK460)))</f>
        <v/>
      </c>
      <c r="BQ460">
        <f>IF(OR(BO$3="",BO$3&gt;TODAY()),"",IF(AND(BO460="",BP460=""),"",N(BP460)-N(BO460)))</f>
        <v/>
      </c>
      <c r="BT460">
        <f>IF(OR(BO$3="",BO$3&gt;TODAY()),"",IF(AND(BR460="",BS460=""),"",N(BS460)-N(BR460)))</f>
        <v/>
      </c>
      <c r="BX460">
        <f>IF(OR(BV$3="",BV$3&gt;TODAY()),"",IF(AND(BV460="",BW460=""),"",N(BW460)-N(BV460)))</f>
        <v/>
      </c>
      <c r="CA460">
        <f>IF(OR(BV$3="",BV$3&gt;TODAY()),"",IF(AND(BY460="",BZ460=""),"",N(BZ460)-N(BY460)))</f>
        <v/>
      </c>
      <c r="CE460">
        <f>IF(OR(CC$3="",CC$3&gt;TODAY()),"",IF(AND(CC460="",CD460=""),"",N(CD460)-N(CC460)))</f>
        <v/>
      </c>
      <c r="CH460">
        <f>IF(OR(CC$3="",CC$3&gt;TODAY()),"",IF(AND(CF460="",CG460=""),"",N(CG460)-N(CF460)))</f>
        <v/>
      </c>
      <c r="CL460">
        <f>IF(OR(CJ$3="",CJ$3&gt;TODAY()),"",IF(AND(CJ460="",CK460=""),"",N(CK460)-N(CJ460)))</f>
        <v/>
      </c>
      <c r="CO460">
        <f>IF(OR(CJ$3="",CJ$3&gt;TODAY()),"",IF(AND(CM460="",CN460=""),"",N(CN460)-N(CM460)))</f>
        <v/>
      </c>
      <c r="CS460">
        <f>IF(OR(CQ$3="",CQ$3&gt;TODAY()),"",IF(AND(CQ460="",CR460=""),"",N(CR460)-N(CQ460)))</f>
        <v/>
      </c>
      <c r="CV460">
        <f>IF(OR(CQ$3="",CQ$3&gt;TODAY()),"",IF(AND(CT460="",CU460=""),"",N(CU460)-N(CT460)))</f>
        <v/>
      </c>
      <c r="CZ460">
        <f>IF(OR(CX$3="",CX$3&gt;TODAY()),"",IF(AND(CX460="",CY460=""),"",N(CY460)-N(CX460)))</f>
        <v/>
      </c>
      <c r="DC460">
        <f>IF(OR(CX$3="",CX$3&gt;TODAY()),"",IF(AND(DA460="",DB460=""),"",N(DB460)-N(DA460)))</f>
        <v/>
      </c>
      <c r="DG460">
        <f>IF(OR(DE$3="",DE$3&gt;TODAY()),"",IF(AND(DE460="",DF460=""),"",N(DF460)-N(DE460)))</f>
        <v/>
      </c>
      <c r="DJ460">
        <f>IF(OR(DE$3="",DE$3&gt;TODAY()),"",IF(AND(DH460="",DI460=""),"",N(DI460)-N(DH460)))</f>
        <v/>
      </c>
      <c r="DN460">
        <f>IF(OR(DL$3="",DL$3&gt;TODAY()),"",IF(AND(DL460="",DM460=""),"",N(DM460)-N(DL460)))</f>
        <v/>
      </c>
      <c r="DQ460">
        <f>IF(OR(DL$3="",DL$3&gt;TODAY()),"",IF(AND(DO460="",DP460=""),"",N(DP460)-N(DO460)))</f>
        <v/>
      </c>
      <c r="DU460">
        <f>IF(OR(DS$3="",DS$3&gt;TODAY()),"",IF(AND(DS460="",DT460=""),"",N(DT460)-N(DS460)))</f>
        <v/>
      </c>
      <c r="DX460">
        <f>IF(OR(DS$3="",DS$3&gt;TODAY()),"",IF(AND(DV460="",DW460=""),"",N(DW460)-N(DV460)))</f>
        <v/>
      </c>
      <c r="EB460">
        <f>IF(OR(DZ$3="",DZ$3&gt;TODAY()),"",IF(AND(DZ460="",EA460=""),"",N(EA460)-N(DZ460)))</f>
        <v/>
      </c>
      <c r="EE460">
        <f>IF(OR(DZ$3="",DZ$3&gt;TODAY()),"",IF(AND(EC460="",ED460=""),"",N(ED460)-N(EC460)))</f>
        <v/>
      </c>
      <c r="EI460">
        <f>IF(OR(EG$3="",EG$3&gt;TODAY()),"",IF(AND(EG460="",EH460=""),"",N(EH460)-N(EG460)))</f>
        <v/>
      </c>
      <c r="EL460">
        <f>IF(OR(EG$3="",EG$3&gt;TODAY()),"",IF(AND(EJ460="",EK460=""),"",N(EK460)-N(EJ460)))</f>
        <v/>
      </c>
      <c r="EP460">
        <f>IF(OR(EN$3="",EN$3&gt;TODAY()),"",IF(AND(EN460="",EO460=""),"",N(EO460)-N(EN460)))</f>
        <v/>
      </c>
      <c r="ES460">
        <f>IF(OR(EN$3="",EN$3&gt;TODAY()),"",IF(AND(EQ460="",ER460=""),"",N(ER460)-N(EQ460)))</f>
        <v/>
      </c>
      <c r="EW460">
        <f>IF(OR(EU$3="",EU$3&gt;TODAY()),"",IF(AND(EU460="",EV460=""),"",N(EV460)-N(EU460)))</f>
        <v/>
      </c>
      <c r="EZ460">
        <f>IF(OR(EU$3="",EU$3&gt;TODAY()),"",IF(AND(EX460="",EY460=""),"",N(EY460)-N(EX460)))</f>
        <v/>
      </c>
      <c r="FD460">
        <f>IF(OR(FB$3="",FB$3&gt;TODAY()),"",IF(AND(FB460="",FC460=""),"",N(FC460)-N(FB460)))</f>
        <v/>
      </c>
      <c r="FG460">
        <f>IF(OR(FB$3="",FB$3&gt;TODAY()),"",IF(AND(FE460="",FF460=""),"",N(FF460)-N(FE460)))</f>
        <v/>
      </c>
      <c r="FK460">
        <f>IF(OR(FI$3="",FI$3&gt;TODAY()),"",IF(AND(FI460="",FJ460=""),"",N(FJ460)-N(FI460)))</f>
        <v/>
      </c>
      <c r="FN460">
        <f>IF(OR(FI$3="",FI$3&gt;TODAY()),"",IF(AND(FL460="",FM460=""),"",N(FM460)-N(FL460)))</f>
        <v/>
      </c>
      <c r="FR460">
        <f>IF(OR(FP$3="",FP$3&gt;TODAY()),"",IF(AND(FP460="",FQ460=""),"",N(FQ460)-N(FP460)))</f>
        <v/>
      </c>
      <c r="FU460">
        <f>IF(OR(FP$3="",FP$3&gt;TODAY()),"",IF(AND(FS460="",FT460=""),"",N(FT460)-N(FS460)))</f>
        <v/>
      </c>
      <c r="FY460">
        <f>IF(OR(FW$3="",FW$3&gt;TODAY()),"",IF(AND(FW460="",FX460=""),"",N(FX460)-N(FW460)))</f>
        <v/>
      </c>
      <c r="GB460">
        <f>IF(OR(FW$3="",FW$3&gt;TODAY()),"",IF(AND(FZ460="",GA460=""),"",N(GA460)-N(FZ460)))</f>
        <v/>
      </c>
      <c r="GF460">
        <f>IF(OR(GD$3="",GD$3&gt;TODAY()),"",IF(AND(GD460="",GE460=""),"",N(GE460)-N(GD460)))</f>
        <v/>
      </c>
      <c r="GI460">
        <f>IF(OR(GD$3="",GD$3&gt;TODAY()),"",IF(AND(GG460="",GH460=""),"",N(GH460)-N(GG460)))</f>
        <v/>
      </c>
      <c r="GM460">
        <f>IF(OR(GK$3="",GK$3&gt;TODAY()),"",IF(AND(GK460="",GL460=""),"",N(GL460)-N(GK460)))</f>
        <v/>
      </c>
      <c r="GP460">
        <f>IF(OR(GK$3="",GK$3&gt;TODAY()),"",IF(AND(GN460="",GO460=""),"",N(GO460)-N(GN460)))</f>
        <v/>
      </c>
      <c r="GT460">
        <f>IF(OR(GR$3="",GR$3&gt;TODAY()),"",IF(AND(GR460="",GS460=""),"",N(GS460)-N(GR460)))</f>
        <v/>
      </c>
      <c r="GW460">
        <f>IF(OR(GR$3="",GR$3&gt;TODAY()),"",IF(AND(GU460="",GV460=""),"",N(GV460)-N(GU460)))</f>
        <v/>
      </c>
      <c r="HA460">
        <f>IF(OR(GY$3="",GY$3&gt;TODAY()),"",IF(AND(GY460="",GZ460=""),"",N(GZ460)-N(GY460)))</f>
        <v/>
      </c>
      <c r="HD460">
        <f>IF(OR(GY$3="",GY$3&gt;TODAY()),"",IF(AND(HB460="",HC460=""),"",N(HC460)-N(HB460)))</f>
        <v/>
      </c>
      <c r="HH460">
        <f>IF(OR(HF$3="",HF$3&gt;TODAY()),"",IF(AND(HF460="",HG460=""),"",N(HG460)-N(HF460)))</f>
        <v/>
      </c>
      <c r="HK460">
        <f>IF(OR(HF$3="",HF$3&gt;TODAY()),"",IF(AND(HI460="",HJ460=""),"",N(HJ460)-N(HI460)))</f>
        <v/>
      </c>
      <c r="HO460">
        <f>IF(OR(HM$3="",HM$3&gt;TODAY()),"",IF(AND(HM460="",HN460=""),"",N(HN460)-N(HM460)))</f>
        <v/>
      </c>
      <c r="HR460">
        <f>IF(OR(HM$3="",HM$3&gt;TODAY()),"",IF(AND(HP460="",HQ460=""),"",N(HQ460)-N(HP460)))</f>
        <v/>
      </c>
      <c r="HV460">
        <f>IF(OR(HT$3="",HT$3&gt;TODAY()),"",IF(AND(HT460="",HU460=""),"",N(HU460)-N(HT460)))</f>
        <v/>
      </c>
      <c r="HY460">
        <f>IF(OR(HT$3="",HT$3&gt;TODAY()),"",IF(AND(HW460="",HX460=""),"",N(HX460)-N(HW460)))</f>
        <v/>
      </c>
      <c r="IC460">
        <f>IF(OR(IA$3="",IA$3&gt;TODAY()),"",IF(AND(IA460="",IB460=""),"",N(IB460)-N(IA460)))</f>
        <v/>
      </c>
      <c r="IF460">
        <f>IF(OR(IA$3="",IA$3&gt;TODAY()),"",IF(AND(ID460="",IE460=""),"",N(IE460)-N(ID460)))</f>
        <v/>
      </c>
      <c r="IJ460">
        <f>IF(OR(IH$3="",IH$3&gt;TODAY()),"",IF(AND(IH460="",II460=""),"",N(II460)-N(IH460)))</f>
        <v/>
      </c>
      <c r="IM460">
        <f>IF(OR(IH$3="",IH$3&gt;TODAY()),"",IF(AND(IK460="",IL460=""),"",N(IL460)-N(IK460)))</f>
        <v/>
      </c>
    </row>
    <row r="461">
      <c r="A461" s="21" t="n"/>
      <c r="B461" s="21" t="n"/>
      <c r="C461" s="21" t="n"/>
      <c r="D461" s="21" t="n"/>
      <c r="E461" s="21" t="n"/>
      <c r="F461" s="21" t="n"/>
      <c r="G461" s="21" t="n"/>
      <c r="H461" s="21" t="n"/>
      <c r="I461" s="22" t="n"/>
      <c r="J461" s="22" t="n"/>
      <c r="K461" s="23" t="n"/>
      <c r="L461" s="22" t="n"/>
      <c r="M461" s="22" t="n"/>
      <c r="N461" s="21" t="n"/>
      <c r="O461" s="23" t="n"/>
      <c r="P461" s="23" t="n"/>
      <c r="Q461" s="23" t="n"/>
      <c r="R461" s="23" t="n"/>
      <c r="S461" s="22" t="n"/>
      <c r="T461" s="23" t="n"/>
      <c r="U461" s="23" t="n"/>
      <c r="V461" s="24">
        <f>IF(J461&lt;&gt;"",J461,IF(I461&lt;&gt;"",I461,""))</f>
        <v/>
      </c>
      <c r="W461" s="25">
        <f>IF($E461="","",N(O461)+SUMIFS($AF461:$IN461,$AF$4:$IN$4,"SEW_ACT"))</f>
        <v/>
      </c>
      <c r="X461" s="25">
        <f>IF($E461="","",N(P461)+SUMIFS($AF461:$IN461,$AF$4:$IN$4,"WASH_ACT"))</f>
        <v/>
      </c>
      <c r="Y461" s="25">
        <f>IF($E461="","",W461-X461-N(T461)-N(U461))</f>
        <v/>
      </c>
      <c r="Z461" s="25">
        <f>IF($E461="","",IF(N(K461)-X461&lt;=0.02*N(K461),0,N(K461)-X461))</f>
        <v/>
      </c>
      <c r="AA461" s="24">
        <f>IF($E461="","",IF(S461&lt;&gt;"",S461,IF(N(O461)&gt;0,IF(L461&lt;&gt;"",L461,99999),IFERROR(1/(1/_xlfn.MINIFS($AF$3:$IN$3,$AF$4:$IN$4,"SEW_ACT",$AF461:$IN461,"&gt;0")),99999))))</f>
        <v/>
      </c>
      <c r="AB461" s="26">
        <f>IF(OR($E461="",Z461=0,V461=""),"",1+COUNTIFS(Z$8:Z$707,"&gt;0",V$8:V$707,"&lt;"&amp;V461)+COUNTIFS(Z$8:Z$707,"&gt;0",V$8:V$707,V461,AA$8:AA$707,"&lt;"&amp;AA461)+COUNTIFS(Z$8:Z$707,"&gt;0",V$8:V$707,V461,AA$8:AA$707,AA461,E$8:E$707,"&lt;"&amp;$E461))</f>
        <v/>
      </c>
      <c r="AC461" s="24">
        <f>IF(OR($E461="",Z461=0),"",IFERROR(TODAY()+ROUNDUP(Z461/(SUMIFS($AF461:$IN461,$AF$4:$IN$4,"WASH_ACT")/COUNTIFS($AF$4:$IN$4,"WASH_ACT",$AF461:$IN461,"&gt;0")),0),"no output yet"))</f>
        <v/>
      </c>
      <c r="AD461" s="26">
        <f>IF($E461="","",IFERROR(ROUND(MAX(0,SUMIFS($AF461:$IN461,$AF$4:$IN$4,"SEW_PLAN",$AF$3:$IN$3,"&lt;="&amp;TODAY())-SUMIFS($AF461:$IN461,$AF$4:$IN$4,"SEW_ACT",$AF$3:$IN$3,"&lt;="&amp;TODAY())+N(Q461))/(SUMIFS($AF461:$IN461,$AF$4:$IN$4,"SEW_PLAN")/COUNTIFS($AF$4:$IN$4,"SEW_PLAN",$AF461:$IN461,"&gt;0")),1),0))</f>
        <v/>
      </c>
      <c r="AE461" s="26">
        <f>IF($E461="","",IF(AND(Z461&gt;0,OR(AND(M461&lt;&gt;"",TODAY()&gt;M461),AND(V461&lt;&gt;"",V461-TODAY()&lt;=7))),"Yes","No"))</f>
        <v/>
      </c>
      <c r="AH461">
        <f>IF(OR(AF$3="",AF$3&gt;TODAY()),"",IF(AND(AF461="",AG461=""),"",N(AG461)-N(AF461)))</f>
        <v/>
      </c>
      <c r="AK461">
        <f>IF(OR(AF$3="",AF$3&gt;TODAY()),"",IF(AND(AI461="",AJ461=""),"",N(AJ461)-N(AI461)))</f>
        <v/>
      </c>
      <c r="AO461">
        <f>IF(OR(AM$3="",AM$3&gt;TODAY()),"",IF(AND(AM461="",AN461=""),"",N(AN461)-N(AM461)))</f>
        <v/>
      </c>
      <c r="AR461">
        <f>IF(OR(AM$3="",AM$3&gt;TODAY()),"",IF(AND(AP461="",AQ461=""),"",N(AQ461)-N(AP461)))</f>
        <v/>
      </c>
      <c r="AV461">
        <f>IF(OR(AT$3="",AT$3&gt;TODAY()),"",IF(AND(AT461="",AU461=""),"",N(AU461)-N(AT461)))</f>
        <v/>
      </c>
      <c r="AY461">
        <f>IF(OR(AT$3="",AT$3&gt;TODAY()),"",IF(AND(AW461="",AX461=""),"",N(AX461)-N(AW461)))</f>
        <v/>
      </c>
      <c r="BC461">
        <f>IF(OR(BA$3="",BA$3&gt;TODAY()),"",IF(AND(BA461="",BB461=""),"",N(BB461)-N(BA461)))</f>
        <v/>
      </c>
      <c r="BF461">
        <f>IF(OR(BA$3="",BA$3&gt;TODAY()),"",IF(AND(BD461="",BE461=""),"",N(BE461)-N(BD461)))</f>
        <v/>
      </c>
      <c r="BJ461">
        <f>IF(OR(BH$3="",BH$3&gt;TODAY()),"",IF(AND(BH461="",BI461=""),"",N(BI461)-N(BH461)))</f>
        <v/>
      </c>
      <c r="BM461">
        <f>IF(OR(BH$3="",BH$3&gt;TODAY()),"",IF(AND(BK461="",BL461=""),"",N(BL461)-N(BK461)))</f>
        <v/>
      </c>
      <c r="BQ461">
        <f>IF(OR(BO$3="",BO$3&gt;TODAY()),"",IF(AND(BO461="",BP461=""),"",N(BP461)-N(BO461)))</f>
        <v/>
      </c>
      <c r="BT461">
        <f>IF(OR(BO$3="",BO$3&gt;TODAY()),"",IF(AND(BR461="",BS461=""),"",N(BS461)-N(BR461)))</f>
        <v/>
      </c>
      <c r="BX461">
        <f>IF(OR(BV$3="",BV$3&gt;TODAY()),"",IF(AND(BV461="",BW461=""),"",N(BW461)-N(BV461)))</f>
        <v/>
      </c>
      <c r="CA461">
        <f>IF(OR(BV$3="",BV$3&gt;TODAY()),"",IF(AND(BY461="",BZ461=""),"",N(BZ461)-N(BY461)))</f>
        <v/>
      </c>
      <c r="CE461">
        <f>IF(OR(CC$3="",CC$3&gt;TODAY()),"",IF(AND(CC461="",CD461=""),"",N(CD461)-N(CC461)))</f>
        <v/>
      </c>
      <c r="CH461">
        <f>IF(OR(CC$3="",CC$3&gt;TODAY()),"",IF(AND(CF461="",CG461=""),"",N(CG461)-N(CF461)))</f>
        <v/>
      </c>
      <c r="CL461">
        <f>IF(OR(CJ$3="",CJ$3&gt;TODAY()),"",IF(AND(CJ461="",CK461=""),"",N(CK461)-N(CJ461)))</f>
        <v/>
      </c>
      <c r="CO461">
        <f>IF(OR(CJ$3="",CJ$3&gt;TODAY()),"",IF(AND(CM461="",CN461=""),"",N(CN461)-N(CM461)))</f>
        <v/>
      </c>
      <c r="CS461">
        <f>IF(OR(CQ$3="",CQ$3&gt;TODAY()),"",IF(AND(CQ461="",CR461=""),"",N(CR461)-N(CQ461)))</f>
        <v/>
      </c>
      <c r="CV461">
        <f>IF(OR(CQ$3="",CQ$3&gt;TODAY()),"",IF(AND(CT461="",CU461=""),"",N(CU461)-N(CT461)))</f>
        <v/>
      </c>
      <c r="CZ461">
        <f>IF(OR(CX$3="",CX$3&gt;TODAY()),"",IF(AND(CX461="",CY461=""),"",N(CY461)-N(CX461)))</f>
        <v/>
      </c>
      <c r="DC461">
        <f>IF(OR(CX$3="",CX$3&gt;TODAY()),"",IF(AND(DA461="",DB461=""),"",N(DB461)-N(DA461)))</f>
        <v/>
      </c>
      <c r="DG461">
        <f>IF(OR(DE$3="",DE$3&gt;TODAY()),"",IF(AND(DE461="",DF461=""),"",N(DF461)-N(DE461)))</f>
        <v/>
      </c>
      <c r="DJ461">
        <f>IF(OR(DE$3="",DE$3&gt;TODAY()),"",IF(AND(DH461="",DI461=""),"",N(DI461)-N(DH461)))</f>
        <v/>
      </c>
      <c r="DN461">
        <f>IF(OR(DL$3="",DL$3&gt;TODAY()),"",IF(AND(DL461="",DM461=""),"",N(DM461)-N(DL461)))</f>
        <v/>
      </c>
      <c r="DQ461">
        <f>IF(OR(DL$3="",DL$3&gt;TODAY()),"",IF(AND(DO461="",DP461=""),"",N(DP461)-N(DO461)))</f>
        <v/>
      </c>
      <c r="DU461">
        <f>IF(OR(DS$3="",DS$3&gt;TODAY()),"",IF(AND(DS461="",DT461=""),"",N(DT461)-N(DS461)))</f>
        <v/>
      </c>
      <c r="DX461">
        <f>IF(OR(DS$3="",DS$3&gt;TODAY()),"",IF(AND(DV461="",DW461=""),"",N(DW461)-N(DV461)))</f>
        <v/>
      </c>
      <c r="EB461">
        <f>IF(OR(DZ$3="",DZ$3&gt;TODAY()),"",IF(AND(DZ461="",EA461=""),"",N(EA461)-N(DZ461)))</f>
        <v/>
      </c>
      <c r="EE461">
        <f>IF(OR(DZ$3="",DZ$3&gt;TODAY()),"",IF(AND(EC461="",ED461=""),"",N(ED461)-N(EC461)))</f>
        <v/>
      </c>
      <c r="EI461">
        <f>IF(OR(EG$3="",EG$3&gt;TODAY()),"",IF(AND(EG461="",EH461=""),"",N(EH461)-N(EG461)))</f>
        <v/>
      </c>
      <c r="EL461">
        <f>IF(OR(EG$3="",EG$3&gt;TODAY()),"",IF(AND(EJ461="",EK461=""),"",N(EK461)-N(EJ461)))</f>
        <v/>
      </c>
      <c r="EP461">
        <f>IF(OR(EN$3="",EN$3&gt;TODAY()),"",IF(AND(EN461="",EO461=""),"",N(EO461)-N(EN461)))</f>
        <v/>
      </c>
      <c r="ES461">
        <f>IF(OR(EN$3="",EN$3&gt;TODAY()),"",IF(AND(EQ461="",ER461=""),"",N(ER461)-N(EQ461)))</f>
        <v/>
      </c>
      <c r="EW461">
        <f>IF(OR(EU$3="",EU$3&gt;TODAY()),"",IF(AND(EU461="",EV461=""),"",N(EV461)-N(EU461)))</f>
        <v/>
      </c>
      <c r="EZ461">
        <f>IF(OR(EU$3="",EU$3&gt;TODAY()),"",IF(AND(EX461="",EY461=""),"",N(EY461)-N(EX461)))</f>
        <v/>
      </c>
      <c r="FD461">
        <f>IF(OR(FB$3="",FB$3&gt;TODAY()),"",IF(AND(FB461="",FC461=""),"",N(FC461)-N(FB461)))</f>
        <v/>
      </c>
      <c r="FG461">
        <f>IF(OR(FB$3="",FB$3&gt;TODAY()),"",IF(AND(FE461="",FF461=""),"",N(FF461)-N(FE461)))</f>
        <v/>
      </c>
      <c r="FK461">
        <f>IF(OR(FI$3="",FI$3&gt;TODAY()),"",IF(AND(FI461="",FJ461=""),"",N(FJ461)-N(FI461)))</f>
        <v/>
      </c>
      <c r="FN461">
        <f>IF(OR(FI$3="",FI$3&gt;TODAY()),"",IF(AND(FL461="",FM461=""),"",N(FM461)-N(FL461)))</f>
        <v/>
      </c>
      <c r="FR461">
        <f>IF(OR(FP$3="",FP$3&gt;TODAY()),"",IF(AND(FP461="",FQ461=""),"",N(FQ461)-N(FP461)))</f>
        <v/>
      </c>
      <c r="FU461">
        <f>IF(OR(FP$3="",FP$3&gt;TODAY()),"",IF(AND(FS461="",FT461=""),"",N(FT461)-N(FS461)))</f>
        <v/>
      </c>
      <c r="FY461">
        <f>IF(OR(FW$3="",FW$3&gt;TODAY()),"",IF(AND(FW461="",FX461=""),"",N(FX461)-N(FW461)))</f>
        <v/>
      </c>
      <c r="GB461">
        <f>IF(OR(FW$3="",FW$3&gt;TODAY()),"",IF(AND(FZ461="",GA461=""),"",N(GA461)-N(FZ461)))</f>
        <v/>
      </c>
      <c r="GF461">
        <f>IF(OR(GD$3="",GD$3&gt;TODAY()),"",IF(AND(GD461="",GE461=""),"",N(GE461)-N(GD461)))</f>
        <v/>
      </c>
      <c r="GI461">
        <f>IF(OR(GD$3="",GD$3&gt;TODAY()),"",IF(AND(GG461="",GH461=""),"",N(GH461)-N(GG461)))</f>
        <v/>
      </c>
      <c r="GM461">
        <f>IF(OR(GK$3="",GK$3&gt;TODAY()),"",IF(AND(GK461="",GL461=""),"",N(GL461)-N(GK461)))</f>
        <v/>
      </c>
      <c r="GP461">
        <f>IF(OR(GK$3="",GK$3&gt;TODAY()),"",IF(AND(GN461="",GO461=""),"",N(GO461)-N(GN461)))</f>
        <v/>
      </c>
      <c r="GT461">
        <f>IF(OR(GR$3="",GR$3&gt;TODAY()),"",IF(AND(GR461="",GS461=""),"",N(GS461)-N(GR461)))</f>
        <v/>
      </c>
      <c r="GW461">
        <f>IF(OR(GR$3="",GR$3&gt;TODAY()),"",IF(AND(GU461="",GV461=""),"",N(GV461)-N(GU461)))</f>
        <v/>
      </c>
      <c r="HA461">
        <f>IF(OR(GY$3="",GY$3&gt;TODAY()),"",IF(AND(GY461="",GZ461=""),"",N(GZ461)-N(GY461)))</f>
        <v/>
      </c>
      <c r="HD461">
        <f>IF(OR(GY$3="",GY$3&gt;TODAY()),"",IF(AND(HB461="",HC461=""),"",N(HC461)-N(HB461)))</f>
        <v/>
      </c>
      <c r="HH461">
        <f>IF(OR(HF$3="",HF$3&gt;TODAY()),"",IF(AND(HF461="",HG461=""),"",N(HG461)-N(HF461)))</f>
        <v/>
      </c>
      <c r="HK461">
        <f>IF(OR(HF$3="",HF$3&gt;TODAY()),"",IF(AND(HI461="",HJ461=""),"",N(HJ461)-N(HI461)))</f>
        <v/>
      </c>
      <c r="HO461">
        <f>IF(OR(HM$3="",HM$3&gt;TODAY()),"",IF(AND(HM461="",HN461=""),"",N(HN461)-N(HM461)))</f>
        <v/>
      </c>
      <c r="HR461">
        <f>IF(OR(HM$3="",HM$3&gt;TODAY()),"",IF(AND(HP461="",HQ461=""),"",N(HQ461)-N(HP461)))</f>
        <v/>
      </c>
      <c r="HV461">
        <f>IF(OR(HT$3="",HT$3&gt;TODAY()),"",IF(AND(HT461="",HU461=""),"",N(HU461)-N(HT461)))</f>
        <v/>
      </c>
      <c r="HY461">
        <f>IF(OR(HT$3="",HT$3&gt;TODAY()),"",IF(AND(HW461="",HX461=""),"",N(HX461)-N(HW461)))</f>
        <v/>
      </c>
      <c r="IC461">
        <f>IF(OR(IA$3="",IA$3&gt;TODAY()),"",IF(AND(IA461="",IB461=""),"",N(IB461)-N(IA461)))</f>
        <v/>
      </c>
      <c r="IF461">
        <f>IF(OR(IA$3="",IA$3&gt;TODAY()),"",IF(AND(ID461="",IE461=""),"",N(IE461)-N(ID461)))</f>
        <v/>
      </c>
      <c r="IJ461">
        <f>IF(OR(IH$3="",IH$3&gt;TODAY()),"",IF(AND(IH461="",II461=""),"",N(II461)-N(IH461)))</f>
        <v/>
      </c>
      <c r="IM461">
        <f>IF(OR(IH$3="",IH$3&gt;TODAY()),"",IF(AND(IK461="",IL461=""),"",N(IL461)-N(IK461)))</f>
        <v/>
      </c>
    </row>
    <row r="462">
      <c r="A462" s="21" t="n"/>
      <c r="B462" s="21" t="n"/>
      <c r="C462" s="21" t="n"/>
      <c r="D462" s="21" t="n"/>
      <c r="E462" s="21" t="n"/>
      <c r="F462" s="21" t="n"/>
      <c r="G462" s="21" t="n"/>
      <c r="H462" s="21" t="n"/>
      <c r="I462" s="22" t="n"/>
      <c r="J462" s="22" t="n"/>
      <c r="K462" s="23" t="n"/>
      <c r="L462" s="22" t="n"/>
      <c r="M462" s="22" t="n"/>
      <c r="N462" s="21" t="n"/>
      <c r="O462" s="23" t="n"/>
      <c r="P462" s="23" t="n"/>
      <c r="Q462" s="23" t="n"/>
      <c r="R462" s="23" t="n"/>
      <c r="S462" s="22" t="n"/>
      <c r="T462" s="23" t="n"/>
      <c r="U462" s="23" t="n"/>
      <c r="V462" s="24">
        <f>IF(J462&lt;&gt;"",J462,IF(I462&lt;&gt;"",I462,""))</f>
        <v/>
      </c>
      <c r="W462" s="25">
        <f>IF($E462="","",N(O462)+SUMIFS($AF462:$IN462,$AF$4:$IN$4,"SEW_ACT"))</f>
        <v/>
      </c>
      <c r="X462" s="25">
        <f>IF($E462="","",N(P462)+SUMIFS($AF462:$IN462,$AF$4:$IN$4,"WASH_ACT"))</f>
        <v/>
      </c>
      <c r="Y462" s="25">
        <f>IF($E462="","",W462-X462-N(T462)-N(U462))</f>
        <v/>
      </c>
      <c r="Z462" s="25">
        <f>IF($E462="","",IF(N(K462)-X462&lt;=0.02*N(K462),0,N(K462)-X462))</f>
        <v/>
      </c>
      <c r="AA462" s="24">
        <f>IF($E462="","",IF(S462&lt;&gt;"",S462,IF(N(O462)&gt;0,IF(L462&lt;&gt;"",L462,99999),IFERROR(1/(1/_xlfn.MINIFS($AF$3:$IN$3,$AF$4:$IN$4,"SEW_ACT",$AF462:$IN462,"&gt;0")),99999))))</f>
        <v/>
      </c>
      <c r="AB462" s="26">
        <f>IF(OR($E462="",Z462=0,V462=""),"",1+COUNTIFS(Z$8:Z$707,"&gt;0",V$8:V$707,"&lt;"&amp;V462)+COUNTIFS(Z$8:Z$707,"&gt;0",V$8:V$707,V462,AA$8:AA$707,"&lt;"&amp;AA462)+COUNTIFS(Z$8:Z$707,"&gt;0",V$8:V$707,V462,AA$8:AA$707,AA462,E$8:E$707,"&lt;"&amp;$E462))</f>
        <v/>
      </c>
      <c r="AC462" s="24">
        <f>IF(OR($E462="",Z462=0),"",IFERROR(TODAY()+ROUNDUP(Z462/(SUMIFS($AF462:$IN462,$AF$4:$IN$4,"WASH_ACT")/COUNTIFS($AF$4:$IN$4,"WASH_ACT",$AF462:$IN462,"&gt;0")),0),"no output yet"))</f>
        <v/>
      </c>
      <c r="AD462" s="26">
        <f>IF($E462="","",IFERROR(ROUND(MAX(0,SUMIFS($AF462:$IN462,$AF$4:$IN$4,"SEW_PLAN",$AF$3:$IN$3,"&lt;="&amp;TODAY())-SUMIFS($AF462:$IN462,$AF$4:$IN$4,"SEW_ACT",$AF$3:$IN$3,"&lt;="&amp;TODAY())+N(Q462))/(SUMIFS($AF462:$IN462,$AF$4:$IN$4,"SEW_PLAN")/COUNTIFS($AF$4:$IN$4,"SEW_PLAN",$AF462:$IN462,"&gt;0")),1),0))</f>
        <v/>
      </c>
      <c r="AE462" s="26">
        <f>IF($E462="","",IF(AND(Z462&gt;0,OR(AND(M462&lt;&gt;"",TODAY()&gt;M462),AND(V462&lt;&gt;"",V462-TODAY()&lt;=7))),"Yes","No"))</f>
        <v/>
      </c>
      <c r="AH462">
        <f>IF(OR(AF$3="",AF$3&gt;TODAY()),"",IF(AND(AF462="",AG462=""),"",N(AG462)-N(AF462)))</f>
        <v/>
      </c>
      <c r="AK462">
        <f>IF(OR(AF$3="",AF$3&gt;TODAY()),"",IF(AND(AI462="",AJ462=""),"",N(AJ462)-N(AI462)))</f>
        <v/>
      </c>
      <c r="AO462">
        <f>IF(OR(AM$3="",AM$3&gt;TODAY()),"",IF(AND(AM462="",AN462=""),"",N(AN462)-N(AM462)))</f>
        <v/>
      </c>
      <c r="AR462">
        <f>IF(OR(AM$3="",AM$3&gt;TODAY()),"",IF(AND(AP462="",AQ462=""),"",N(AQ462)-N(AP462)))</f>
        <v/>
      </c>
      <c r="AV462">
        <f>IF(OR(AT$3="",AT$3&gt;TODAY()),"",IF(AND(AT462="",AU462=""),"",N(AU462)-N(AT462)))</f>
        <v/>
      </c>
      <c r="AY462">
        <f>IF(OR(AT$3="",AT$3&gt;TODAY()),"",IF(AND(AW462="",AX462=""),"",N(AX462)-N(AW462)))</f>
        <v/>
      </c>
      <c r="BC462">
        <f>IF(OR(BA$3="",BA$3&gt;TODAY()),"",IF(AND(BA462="",BB462=""),"",N(BB462)-N(BA462)))</f>
        <v/>
      </c>
      <c r="BF462">
        <f>IF(OR(BA$3="",BA$3&gt;TODAY()),"",IF(AND(BD462="",BE462=""),"",N(BE462)-N(BD462)))</f>
        <v/>
      </c>
      <c r="BJ462">
        <f>IF(OR(BH$3="",BH$3&gt;TODAY()),"",IF(AND(BH462="",BI462=""),"",N(BI462)-N(BH462)))</f>
        <v/>
      </c>
      <c r="BM462">
        <f>IF(OR(BH$3="",BH$3&gt;TODAY()),"",IF(AND(BK462="",BL462=""),"",N(BL462)-N(BK462)))</f>
        <v/>
      </c>
      <c r="BQ462">
        <f>IF(OR(BO$3="",BO$3&gt;TODAY()),"",IF(AND(BO462="",BP462=""),"",N(BP462)-N(BO462)))</f>
        <v/>
      </c>
      <c r="BT462">
        <f>IF(OR(BO$3="",BO$3&gt;TODAY()),"",IF(AND(BR462="",BS462=""),"",N(BS462)-N(BR462)))</f>
        <v/>
      </c>
      <c r="BX462">
        <f>IF(OR(BV$3="",BV$3&gt;TODAY()),"",IF(AND(BV462="",BW462=""),"",N(BW462)-N(BV462)))</f>
        <v/>
      </c>
      <c r="CA462">
        <f>IF(OR(BV$3="",BV$3&gt;TODAY()),"",IF(AND(BY462="",BZ462=""),"",N(BZ462)-N(BY462)))</f>
        <v/>
      </c>
      <c r="CE462">
        <f>IF(OR(CC$3="",CC$3&gt;TODAY()),"",IF(AND(CC462="",CD462=""),"",N(CD462)-N(CC462)))</f>
        <v/>
      </c>
      <c r="CH462">
        <f>IF(OR(CC$3="",CC$3&gt;TODAY()),"",IF(AND(CF462="",CG462=""),"",N(CG462)-N(CF462)))</f>
        <v/>
      </c>
      <c r="CL462">
        <f>IF(OR(CJ$3="",CJ$3&gt;TODAY()),"",IF(AND(CJ462="",CK462=""),"",N(CK462)-N(CJ462)))</f>
        <v/>
      </c>
      <c r="CO462">
        <f>IF(OR(CJ$3="",CJ$3&gt;TODAY()),"",IF(AND(CM462="",CN462=""),"",N(CN462)-N(CM462)))</f>
        <v/>
      </c>
      <c r="CS462">
        <f>IF(OR(CQ$3="",CQ$3&gt;TODAY()),"",IF(AND(CQ462="",CR462=""),"",N(CR462)-N(CQ462)))</f>
        <v/>
      </c>
      <c r="CV462">
        <f>IF(OR(CQ$3="",CQ$3&gt;TODAY()),"",IF(AND(CT462="",CU462=""),"",N(CU462)-N(CT462)))</f>
        <v/>
      </c>
      <c r="CZ462">
        <f>IF(OR(CX$3="",CX$3&gt;TODAY()),"",IF(AND(CX462="",CY462=""),"",N(CY462)-N(CX462)))</f>
        <v/>
      </c>
      <c r="DC462">
        <f>IF(OR(CX$3="",CX$3&gt;TODAY()),"",IF(AND(DA462="",DB462=""),"",N(DB462)-N(DA462)))</f>
        <v/>
      </c>
      <c r="DG462">
        <f>IF(OR(DE$3="",DE$3&gt;TODAY()),"",IF(AND(DE462="",DF462=""),"",N(DF462)-N(DE462)))</f>
        <v/>
      </c>
      <c r="DJ462">
        <f>IF(OR(DE$3="",DE$3&gt;TODAY()),"",IF(AND(DH462="",DI462=""),"",N(DI462)-N(DH462)))</f>
        <v/>
      </c>
      <c r="DN462">
        <f>IF(OR(DL$3="",DL$3&gt;TODAY()),"",IF(AND(DL462="",DM462=""),"",N(DM462)-N(DL462)))</f>
        <v/>
      </c>
      <c r="DQ462">
        <f>IF(OR(DL$3="",DL$3&gt;TODAY()),"",IF(AND(DO462="",DP462=""),"",N(DP462)-N(DO462)))</f>
        <v/>
      </c>
      <c r="DU462">
        <f>IF(OR(DS$3="",DS$3&gt;TODAY()),"",IF(AND(DS462="",DT462=""),"",N(DT462)-N(DS462)))</f>
        <v/>
      </c>
      <c r="DX462">
        <f>IF(OR(DS$3="",DS$3&gt;TODAY()),"",IF(AND(DV462="",DW462=""),"",N(DW462)-N(DV462)))</f>
        <v/>
      </c>
      <c r="EB462">
        <f>IF(OR(DZ$3="",DZ$3&gt;TODAY()),"",IF(AND(DZ462="",EA462=""),"",N(EA462)-N(DZ462)))</f>
        <v/>
      </c>
      <c r="EE462">
        <f>IF(OR(DZ$3="",DZ$3&gt;TODAY()),"",IF(AND(EC462="",ED462=""),"",N(ED462)-N(EC462)))</f>
        <v/>
      </c>
      <c r="EI462">
        <f>IF(OR(EG$3="",EG$3&gt;TODAY()),"",IF(AND(EG462="",EH462=""),"",N(EH462)-N(EG462)))</f>
        <v/>
      </c>
      <c r="EL462">
        <f>IF(OR(EG$3="",EG$3&gt;TODAY()),"",IF(AND(EJ462="",EK462=""),"",N(EK462)-N(EJ462)))</f>
        <v/>
      </c>
      <c r="EP462">
        <f>IF(OR(EN$3="",EN$3&gt;TODAY()),"",IF(AND(EN462="",EO462=""),"",N(EO462)-N(EN462)))</f>
        <v/>
      </c>
      <c r="ES462">
        <f>IF(OR(EN$3="",EN$3&gt;TODAY()),"",IF(AND(EQ462="",ER462=""),"",N(ER462)-N(EQ462)))</f>
        <v/>
      </c>
      <c r="EW462">
        <f>IF(OR(EU$3="",EU$3&gt;TODAY()),"",IF(AND(EU462="",EV462=""),"",N(EV462)-N(EU462)))</f>
        <v/>
      </c>
      <c r="EZ462">
        <f>IF(OR(EU$3="",EU$3&gt;TODAY()),"",IF(AND(EX462="",EY462=""),"",N(EY462)-N(EX462)))</f>
        <v/>
      </c>
      <c r="FD462">
        <f>IF(OR(FB$3="",FB$3&gt;TODAY()),"",IF(AND(FB462="",FC462=""),"",N(FC462)-N(FB462)))</f>
        <v/>
      </c>
      <c r="FG462">
        <f>IF(OR(FB$3="",FB$3&gt;TODAY()),"",IF(AND(FE462="",FF462=""),"",N(FF462)-N(FE462)))</f>
        <v/>
      </c>
      <c r="FK462">
        <f>IF(OR(FI$3="",FI$3&gt;TODAY()),"",IF(AND(FI462="",FJ462=""),"",N(FJ462)-N(FI462)))</f>
        <v/>
      </c>
      <c r="FN462">
        <f>IF(OR(FI$3="",FI$3&gt;TODAY()),"",IF(AND(FL462="",FM462=""),"",N(FM462)-N(FL462)))</f>
        <v/>
      </c>
      <c r="FR462">
        <f>IF(OR(FP$3="",FP$3&gt;TODAY()),"",IF(AND(FP462="",FQ462=""),"",N(FQ462)-N(FP462)))</f>
        <v/>
      </c>
      <c r="FU462">
        <f>IF(OR(FP$3="",FP$3&gt;TODAY()),"",IF(AND(FS462="",FT462=""),"",N(FT462)-N(FS462)))</f>
        <v/>
      </c>
      <c r="FY462">
        <f>IF(OR(FW$3="",FW$3&gt;TODAY()),"",IF(AND(FW462="",FX462=""),"",N(FX462)-N(FW462)))</f>
        <v/>
      </c>
      <c r="GB462">
        <f>IF(OR(FW$3="",FW$3&gt;TODAY()),"",IF(AND(FZ462="",GA462=""),"",N(GA462)-N(FZ462)))</f>
        <v/>
      </c>
      <c r="GF462">
        <f>IF(OR(GD$3="",GD$3&gt;TODAY()),"",IF(AND(GD462="",GE462=""),"",N(GE462)-N(GD462)))</f>
        <v/>
      </c>
      <c r="GI462">
        <f>IF(OR(GD$3="",GD$3&gt;TODAY()),"",IF(AND(GG462="",GH462=""),"",N(GH462)-N(GG462)))</f>
        <v/>
      </c>
      <c r="GM462">
        <f>IF(OR(GK$3="",GK$3&gt;TODAY()),"",IF(AND(GK462="",GL462=""),"",N(GL462)-N(GK462)))</f>
        <v/>
      </c>
      <c r="GP462">
        <f>IF(OR(GK$3="",GK$3&gt;TODAY()),"",IF(AND(GN462="",GO462=""),"",N(GO462)-N(GN462)))</f>
        <v/>
      </c>
      <c r="GT462">
        <f>IF(OR(GR$3="",GR$3&gt;TODAY()),"",IF(AND(GR462="",GS462=""),"",N(GS462)-N(GR462)))</f>
        <v/>
      </c>
      <c r="GW462">
        <f>IF(OR(GR$3="",GR$3&gt;TODAY()),"",IF(AND(GU462="",GV462=""),"",N(GV462)-N(GU462)))</f>
        <v/>
      </c>
      <c r="HA462">
        <f>IF(OR(GY$3="",GY$3&gt;TODAY()),"",IF(AND(GY462="",GZ462=""),"",N(GZ462)-N(GY462)))</f>
        <v/>
      </c>
      <c r="HD462">
        <f>IF(OR(GY$3="",GY$3&gt;TODAY()),"",IF(AND(HB462="",HC462=""),"",N(HC462)-N(HB462)))</f>
        <v/>
      </c>
      <c r="HH462">
        <f>IF(OR(HF$3="",HF$3&gt;TODAY()),"",IF(AND(HF462="",HG462=""),"",N(HG462)-N(HF462)))</f>
        <v/>
      </c>
      <c r="HK462">
        <f>IF(OR(HF$3="",HF$3&gt;TODAY()),"",IF(AND(HI462="",HJ462=""),"",N(HJ462)-N(HI462)))</f>
        <v/>
      </c>
      <c r="HO462">
        <f>IF(OR(HM$3="",HM$3&gt;TODAY()),"",IF(AND(HM462="",HN462=""),"",N(HN462)-N(HM462)))</f>
        <v/>
      </c>
      <c r="HR462">
        <f>IF(OR(HM$3="",HM$3&gt;TODAY()),"",IF(AND(HP462="",HQ462=""),"",N(HQ462)-N(HP462)))</f>
        <v/>
      </c>
      <c r="HV462">
        <f>IF(OR(HT$3="",HT$3&gt;TODAY()),"",IF(AND(HT462="",HU462=""),"",N(HU462)-N(HT462)))</f>
        <v/>
      </c>
      <c r="HY462">
        <f>IF(OR(HT$3="",HT$3&gt;TODAY()),"",IF(AND(HW462="",HX462=""),"",N(HX462)-N(HW462)))</f>
        <v/>
      </c>
      <c r="IC462">
        <f>IF(OR(IA$3="",IA$3&gt;TODAY()),"",IF(AND(IA462="",IB462=""),"",N(IB462)-N(IA462)))</f>
        <v/>
      </c>
      <c r="IF462">
        <f>IF(OR(IA$3="",IA$3&gt;TODAY()),"",IF(AND(ID462="",IE462=""),"",N(IE462)-N(ID462)))</f>
        <v/>
      </c>
      <c r="IJ462">
        <f>IF(OR(IH$3="",IH$3&gt;TODAY()),"",IF(AND(IH462="",II462=""),"",N(II462)-N(IH462)))</f>
        <v/>
      </c>
      <c r="IM462">
        <f>IF(OR(IH$3="",IH$3&gt;TODAY()),"",IF(AND(IK462="",IL462=""),"",N(IL462)-N(IK462)))</f>
        <v/>
      </c>
    </row>
    <row r="463">
      <c r="A463" s="21" t="n"/>
      <c r="B463" s="21" t="n"/>
      <c r="C463" s="21" t="n"/>
      <c r="D463" s="21" t="n"/>
      <c r="E463" s="21" t="n"/>
      <c r="F463" s="21" t="n"/>
      <c r="G463" s="21" t="n"/>
      <c r="H463" s="21" t="n"/>
      <c r="I463" s="22" t="n"/>
      <c r="J463" s="22" t="n"/>
      <c r="K463" s="23" t="n"/>
      <c r="L463" s="22" t="n"/>
      <c r="M463" s="22" t="n"/>
      <c r="N463" s="21" t="n"/>
      <c r="O463" s="23" t="n"/>
      <c r="P463" s="23" t="n"/>
      <c r="Q463" s="23" t="n"/>
      <c r="R463" s="23" t="n"/>
      <c r="S463" s="22" t="n"/>
      <c r="T463" s="23" t="n"/>
      <c r="U463" s="23" t="n"/>
      <c r="V463" s="24">
        <f>IF(J463&lt;&gt;"",J463,IF(I463&lt;&gt;"",I463,""))</f>
        <v/>
      </c>
      <c r="W463" s="25">
        <f>IF($E463="","",N(O463)+SUMIFS($AF463:$IN463,$AF$4:$IN$4,"SEW_ACT"))</f>
        <v/>
      </c>
      <c r="X463" s="25">
        <f>IF($E463="","",N(P463)+SUMIFS($AF463:$IN463,$AF$4:$IN$4,"WASH_ACT"))</f>
        <v/>
      </c>
      <c r="Y463" s="25">
        <f>IF($E463="","",W463-X463-N(T463)-N(U463))</f>
        <v/>
      </c>
      <c r="Z463" s="25">
        <f>IF($E463="","",IF(N(K463)-X463&lt;=0.02*N(K463),0,N(K463)-X463))</f>
        <v/>
      </c>
      <c r="AA463" s="24">
        <f>IF($E463="","",IF(S463&lt;&gt;"",S463,IF(N(O463)&gt;0,IF(L463&lt;&gt;"",L463,99999),IFERROR(1/(1/_xlfn.MINIFS($AF$3:$IN$3,$AF$4:$IN$4,"SEW_ACT",$AF463:$IN463,"&gt;0")),99999))))</f>
        <v/>
      </c>
      <c r="AB463" s="26">
        <f>IF(OR($E463="",Z463=0,V463=""),"",1+COUNTIFS(Z$8:Z$707,"&gt;0",V$8:V$707,"&lt;"&amp;V463)+COUNTIFS(Z$8:Z$707,"&gt;0",V$8:V$707,V463,AA$8:AA$707,"&lt;"&amp;AA463)+COUNTIFS(Z$8:Z$707,"&gt;0",V$8:V$707,V463,AA$8:AA$707,AA463,E$8:E$707,"&lt;"&amp;$E463))</f>
        <v/>
      </c>
      <c r="AC463" s="24">
        <f>IF(OR($E463="",Z463=0),"",IFERROR(TODAY()+ROUNDUP(Z463/(SUMIFS($AF463:$IN463,$AF$4:$IN$4,"WASH_ACT")/COUNTIFS($AF$4:$IN$4,"WASH_ACT",$AF463:$IN463,"&gt;0")),0),"no output yet"))</f>
        <v/>
      </c>
      <c r="AD463" s="26">
        <f>IF($E463="","",IFERROR(ROUND(MAX(0,SUMIFS($AF463:$IN463,$AF$4:$IN$4,"SEW_PLAN",$AF$3:$IN$3,"&lt;="&amp;TODAY())-SUMIFS($AF463:$IN463,$AF$4:$IN$4,"SEW_ACT",$AF$3:$IN$3,"&lt;="&amp;TODAY())+N(Q463))/(SUMIFS($AF463:$IN463,$AF$4:$IN$4,"SEW_PLAN")/COUNTIFS($AF$4:$IN$4,"SEW_PLAN",$AF463:$IN463,"&gt;0")),1),0))</f>
        <v/>
      </c>
      <c r="AE463" s="26">
        <f>IF($E463="","",IF(AND(Z463&gt;0,OR(AND(M463&lt;&gt;"",TODAY()&gt;M463),AND(V463&lt;&gt;"",V463-TODAY()&lt;=7))),"Yes","No"))</f>
        <v/>
      </c>
      <c r="AH463">
        <f>IF(OR(AF$3="",AF$3&gt;TODAY()),"",IF(AND(AF463="",AG463=""),"",N(AG463)-N(AF463)))</f>
        <v/>
      </c>
      <c r="AK463">
        <f>IF(OR(AF$3="",AF$3&gt;TODAY()),"",IF(AND(AI463="",AJ463=""),"",N(AJ463)-N(AI463)))</f>
        <v/>
      </c>
      <c r="AO463">
        <f>IF(OR(AM$3="",AM$3&gt;TODAY()),"",IF(AND(AM463="",AN463=""),"",N(AN463)-N(AM463)))</f>
        <v/>
      </c>
      <c r="AR463">
        <f>IF(OR(AM$3="",AM$3&gt;TODAY()),"",IF(AND(AP463="",AQ463=""),"",N(AQ463)-N(AP463)))</f>
        <v/>
      </c>
      <c r="AV463">
        <f>IF(OR(AT$3="",AT$3&gt;TODAY()),"",IF(AND(AT463="",AU463=""),"",N(AU463)-N(AT463)))</f>
        <v/>
      </c>
      <c r="AY463">
        <f>IF(OR(AT$3="",AT$3&gt;TODAY()),"",IF(AND(AW463="",AX463=""),"",N(AX463)-N(AW463)))</f>
        <v/>
      </c>
      <c r="BC463">
        <f>IF(OR(BA$3="",BA$3&gt;TODAY()),"",IF(AND(BA463="",BB463=""),"",N(BB463)-N(BA463)))</f>
        <v/>
      </c>
      <c r="BF463">
        <f>IF(OR(BA$3="",BA$3&gt;TODAY()),"",IF(AND(BD463="",BE463=""),"",N(BE463)-N(BD463)))</f>
        <v/>
      </c>
      <c r="BJ463">
        <f>IF(OR(BH$3="",BH$3&gt;TODAY()),"",IF(AND(BH463="",BI463=""),"",N(BI463)-N(BH463)))</f>
        <v/>
      </c>
      <c r="BM463">
        <f>IF(OR(BH$3="",BH$3&gt;TODAY()),"",IF(AND(BK463="",BL463=""),"",N(BL463)-N(BK463)))</f>
        <v/>
      </c>
      <c r="BQ463">
        <f>IF(OR(BO$3="",BO$3&gt;TODAY()),"",IF(AND(BO463="",BP463=""),"",N(BP463)-N(BO463)))</f>
        <v/>
      </c>
      <c r="BT463">
        <f>IF(OR(BO$3="",BO$3&gt;TODAY()),"",IF(AND(BR463="",BS463=""),"",N(BS463)-N(BR463)))</f>
        <v/>
      </c>
      <c r="BX463">
        <f>IF(OR(BV$3="",BV$3&gt;TODAY()),"",IF(AND(BV463="",BW463=""),"",N(BW463)-N(BV463)))</f>
        <v/>
      </c>
      <c r="CA463">
        <f>IF(OR(BV$3="",BV$3&gt;TODAY()),"",IF(AND(BY463="",BZ463=""),"",N(BZ463)-N(BY463)))</f>
        <v/>
      </c>
      <c r="CE463">
        <f>IF(OR(CC$3="",CC$3&gt;TODAY()),"",IF(AND(CC463="",CD463=""),"",N(CD463)-N(CC463)))</f>
        <v/>
      </c>
      <c r="CH463">
        <f>IF(OR(CC$3="",CC$3&gt;TODAY()),"",IF(AND(CF463="",CG463=""),"",N(CG463)-N(CF463)))</f>
        <v/>
      </c>
      <c r="CL463">
        <f>IF(OR(CJ$3="",CJ$3&gt;TODAY()),"",IF(AND(CJ463="",CK463=""),"",N(CK463)-N(CJ463)))</f>
        <v/>
      </c>
      <c r="CO463">
        <f>IF(OR(CJ$3="",CJ$3&gt;TODAY()),"",IF(AND(CM463="",CN463=""),"",N(CN463)-N(CM463)))</f>
        <v/>
      </c>
      <c r="CS463">
        <f>IF(OR(CQ$3="",CQ$3&gt;TODAY()),"",IF(AND(CQ463="",CR463=""),"",N(CR463)-N(CQ463)))</f>
        <v/>
      </c>
      <c r="CV463">
        <f>IF(OR(CQ$3="",CQ$3&gt;TODAY()),"",IF(AND(CT463="",CU463=""),"",N(CU463)-N(CT463)))</f>
        <v/>
      </c>
      <c r="CZ463">
        <f>IF(OR(CX$3="",CX$3&gt;TODAY()),"",IF(AND(CX463="",CY463=""),"",N(CY463)-N(CX463)))</f>
        <v/>
      </c>
      <c r="DC463">
        <f>IF(OR(CX$3="",CX$3&gt;TODAY()),"",IF(AND(DA463="",DB463=""),"",N(DB463)-N(DA463)))</f>
        <v/>
      </c>
      <c r="DG463">
        <f>IF(OR(DE$3="",DE$3&gt;TODAY()),"",IF(AND(DE463="",DF463=""),"",N(DF463)-N(DE463)))</f>
        <v/>
      </c>
      <c r="DJ463">
        <f>IF(OR(DE$3="",DE$3&gt;TODAY()),"",IF(AND(DH463="",DI463=""),"",N(DI463)-N(DH463)))</f>
        <v/>
      </c>
      <c r="DN463">
        <f>IF(OR(DL$3="",DL$3&gt;TODAY()),"",IF(AND(DL463="",DM463=""),"",N(DM463)-N(DL463)))</f>
        <v/>
      </c>
      <c r="DQ463">
        <f>IF(OR(DL$3="",DL$3&gt;TODAY()),"",IF(AND(DO463="",DP463=""),"",N(DP463)-N(DO463)))</f>
        <v/>
      </c>
      <c r="DU463">
        <f>IF(OR(DS$3="",DS$3&gt;TODAY()),"",IF(AND(DS463="",DT463=""),"",N(DT463)-N(DS463)))</f>
        <v/>
      </c>
      <c r="DX463">
        <f>IF(OR(DS$3="",DS$3&gt;TODAY()),"",IF(AND(DV463="",DW463=""),"",N(DW463)-N(DV463)))</f>
        <v/>
      </c>
      <c r="EB463">
        <f>IF(OR(DZ$3="",DZ$3&gt;TODAY()),"",IF(AND(DZ463="",EA463=""),"",N(EA463)-N(DZ463)))</f>
        <v/>
      </c>
      <c r="EE463">
        <f>IF(OR(DZ$3="",DZ$3&gt;TODAY()),"",IF(AND(EC463="",ED463=""),"",N(ED463)-N(EC463)))</f>
        <v/>
      </c>
      <c r="EI463">
        <f>IF(OR(EG$3="",EG$3&gt;TODAY()),"",IF(AND(EG463="",EH463=""),"",N(EH463)-N(EG463)))</f>
        <v/>
      </c>
      <c r="EL463">
        <f>IF(OR(EG$3="",EG$3&gt;TODAY()),"",IF(AND(EJ463="",EK463=""),"",N(EK463)-N(EJ463)))</f>
        <v/>
      </c>
      <c r="EP463">
        <f>IF(OR(EN$3="",EN$3&gt;TODAY()),"",IF(AND(EN463="",EO463=""),"",N(EO463)-N(EN463)))</f>
        <v/>
      </c>
      <c r="ES463">
        <f>IF(OR(EN$3="",EN$3&gt;TODAY()),"",IF(AND(EQ463="",ER463=""),"",N(ER463)-N(EQ463)))</f>
        <v/>
      </c>
      <c r="EW463">
        <f>IF(OR(EU$3="",EU$3&gt;TODAY()),"",IF(AND(EU463="",EV463=""),"",N(EV463)-N(EU463)))</f>
        <v/>
      </c>
      <c r="EZ463">
        <f>IF(OR(EU$3="",EU$3&gt;TODAY()),"",IF(AND(EX463="",EY463=""),"",N(EY463)-N(EX463)))</f>
        <v/>
      </c>
      <c r="FD463">
        <f>IF(OR(FB$3="",FB$3&gt;TODAY()),"",IF(AND(FB463="",FC463=""),"",N(FC463)-N(FB463)))</f>
        <v/>
      </c>
      <c r="FG463">
        <f>IF(OR(FB$3="",FB$3&gt;TODAY()),"",IF(AND(FE463="",FF463=""),"",N(FF463)-N(FE463)))</f>
        <v/>
      </c>
      <c r="FK463">
        <f>IF(OR(FI$3="",FI$3&gt;TODAY()),"",IF(AND(FI463="",FJ463=""),"",N(FJ463)-N(FI463)))</f>
        <v/>
      </c>
      <c r="FN463">
        <f>IF(OR(FI$3="",FI$3&gt;TODAY()),"",IF(AND(FL463="",FM463=""),"",N(FM463)-N(FL463)))</f>
        <v/>
      </c>
      <c r="FR463">
        <f>IF(OR(FP$3="",FP$3&gt;TODAY()),"",IF(AND(FP463="",FQ463=""),"",N(FQ463)-N(FP463)))</f>
        <v/>
      </c>
      <c r="FU463">
        <f>IF(OR(FP$3="",FP$3&gt;TODAY()),"",IF(AND(FS463="",FT463=""),"",N(FT463)-N(FS463)))</f>
        <v/>
      </c>
      <c r="FY463">
        <f>IF(OR(FW$3="",FW$3&gt;TODAY()),"",IF(AND(FW463="",FX463=""),"",N(FX463)-N(FW463)))</f>
        <v/>
      </c>
      <c r="GB463">
        <f>IF(OR(FW$3="",FW$3&gt;TODAY()),"",IF(AND(FZ463="",GA463=""),"",N(GA463)-N(FZ463)))</f>
        <v/>
      </c>
      <c r="GF463">
        <f>IF(OR(GD$3="",GD$3&gt;TODAY()),"",IF(AND(GD463="",GE463=""),"",N(GE463)-N(GD463)))</f>
        <v/>
      </c>
      <c r="GI463">
        <f>IF(OR(GD$3="",GD$3&gt;TODAY()),"",IF(AND(GG463="",GH463=""),"",N(GH463)-N(GG463)))</f>
        <v/>
      </c>
      <c r="GM463">
        <f>IF(OR(GK$3="",GK$3&gt;TODAY()),"",IF(AND(GK463="",GL463=""),"",N(GL463)-N(GK463)))</f>
        <v/>
      </c>
      <c r="GP463">
        <f>IF(OR(GK$3="",GK$3&gt;TODAY()),"",IF(AND(GN463="",GO463=""),"",N(GO463)-N(GN463)))</f>
        <v/>
      </c>
      <c r="GT463">
        <f>IF(OR(GR$3="",GR$3&gt;TODAY()),"",IF(AND(GR463="",GS463=""),"",N(GS463)-N(GR463)))</f>
        <v/>
      </c>
      <c r="GW463">
        <f>IF(OR(GR$3="",GR$3&gt;TODAY()),"",IF(AND(GU463="",GV463=""),"",N(GV463)-N(GU463)))</f>
        <v/>
      </c>
      <c r="HA463">
        <f>IF(OR(GY$3="",GY$3&gt;TODAY()),"",IF(AND(GY463="",GZ463=""),"",N(GZ463)-N(GY463)))</f>
        <v/>
      </c>
      <c r="HD463">
        <f>IF(OR(GY$3="",GY$3&gt;TODAY()),"",IF(AND(HB463="",HC463=""),"",N(HC463)-N(HB463)))</f>
        <v/>
      </c>
      <c r="HH463">
        <f>IF(OR(HF$3="",HF$3&gt;TODAY()),"",IF(AND(HF463="",HG463=""),"",N(HG463)-N(HF463)))</f>
        <v/>
      </c>
      <c r="HK463">
        <f>IF(OR(HF$3="",HF$3&gt;TODAY()),"",IF(AND(HI463="",HJ463=""),"",N(HJ463)-N(HI463)))</f>
        <v/>
      </c>
      <c r="HO463">
        <f>IF(OR(HM$3="",HM$3&gt;TODAY()),"",IF(AND(HM463="",HN463=""),"",N(HN463)-N(HM463)))</f>
        <v/>
      </c>
      <c r="HR463">
        <f>IF(OR(HM$3="",HM$3&gt;TODAY()),"",IF(AND(HP463="",HQ463=""),"",N(HQ463)-N(HP463)))</f>
        <v/>
      </c>
      <c r="HV463">
        <f>IF(OR(HT$3="",HT$3&gt;TODAY()),"",IF(AND(HT463="",HU463=""),"",N(HU463)-N(HT463)))</f>
        <v/>
      </c>
      <c r="HY463">
        <f>IF(OR(HT$3="",HT$3&gt;TODAY()),"",IF(AND(HW463="",HX463=""),"",N(HX463)-N(HW463)))</f>
        <v/>
      </c>
      <c r="IC463">
        <f>IF(OR(IA$3="",IA$3&gt;TODAY()),"",IF(AND(IA463="",IB463=""),"",N(IB463)-N(IA463)))</f>
        <v/>
      </c>
      <c r="IF463">
        <f>IF(OR(IA$3="",IA$3&gt;TODAY()),"",IF(AND(ID463="",IE463=""),"",N(IE463)-N(ID463)))</f>
        <v/>
      </c>
      <c r="IJ463">
        <f>IF(OR(IH$3="",IH$3&gt;TODAY()),"",IF(AND(IH463="",II463=""),"",N(II463)-N(IH463)))</f>
        <v/>
      </c>
      <c r="IM463">
        <f>IF(OR(IH$3="",IH$3&gt;TODAY()),"",IF(AND(IK463="",IL463=""),"",N(IL463)-N(IK463)))</f>
        <v/>
      </c>
    </row>
    <row r="464">
      <c r="A464" s="21" t="n"/>
      <c r="B464" s="21" t="n"/>
      <c r="C464" s="21" t="n"/>
      <c r="D464" s="21" t="n"/>
      <c r="E464" s="21" t="n"/>
      <c r="F464" s="21" t="n"/>
      <c r="G464" s="21" t="n"/>
      <c r="H464" s="21" t="n"/>
      <c r="I464" s="22" t="n"/>
      <c r="J464" s="22" t="n"/>
      <c r="K464" s="23" t="n"/>
      <c r="L464" s="22" t="n"/>
      <c r="M464" s="22" t="n"/>
      <c r="N464" s="21" t="n"/>
      <c r="O464" s="23" t="n"/>
      <c r="P464" s="23" t="n"/>
      <c r="Q464" s="23" t="n"/>
      <c r="R464" s="23" t="n"/>
      <c r="S464" s="22" t="n"/>
      <c r="T464" s="23" t="n"/>
      <c r="U464" s="23" t="n"/>
      <c r="V464" s="24">
        <f>IF(J464&lt;&gt;"",J464,IF(I464&lt;&gt;"",I464,""))</f>
        <v/>
      </c>
      <c r="W464" s="25">
        <f>IF($E464="","",N(O464)+SUMIFS($AF464:$IN464,$AF$4:$IN$4,"SEW_ACT"))</f>
        <v/>
      </c>
      <c r="X464" s="25">
        <f>IF($E464="","",N(P464)+SUMIFS($AF464:$IN464,$AF$4:$IN$4,"WASH_ACT"))</f>
        <v/>
      </c>
      <c r="Y464" s="25">
        <f>IF($E464="","",W464-X464-N(T464)-N(U464))</f>
        <v/>
      </c>
      <c r="Z464" s="25">
        <f>IF($E464="","",IF(N(K464)-X464&lt;=0.02*N(K464),0,N(K464)-X464))</f>
        <v/>
      </c>
      <c r="AA464" s="24">
        <f>IF($E464="","",IF(S464&lt;&gt;"",S464,IF(N(O464)&gt;0,IF(L464&lt;&gt;"",L464,99999),IFERROR(1/(1/_xlfn.MINIFS($AF$3:$IN$3,$AF$4:$IN$4,"SEW_ACT",$AF464:$IN464,"&gt;0")),99999))))</f>
        <v/>
      </c>
      <c r="AB464" s="26">
        <f>IF(OR($E464="",Z464=0,V464=""),"",1+COUNTIFS(Z$8:Z$707,"&gt;0",V$8:V$707,"&lt;"&amp;V464)+COUNTIFS(Z$8:Z$707,"&gt;0",V$8:V$707,V464,AA$8:AA$707,"&lt;"&amp;AA464)+COUNTIFS(Z$8:Z$707,"&gt;0",V$8:V$707,V464,AA$8:AA$707,AA464,E$8:E$707,"&lt;"&amp;$E464))</f>
        <v/>
      </c>
      <c r="AC464" s="24">
        <f>IF(OR($E464="",Z464=0),"",IFERROR(TODAY()+ROUNDUP(Z464/(SUMIFS($AF464:$IN464,$AF$4:$IN$4,"WASH_ACT")/COUNTIFS($AF$4:$IN$4,"WASH_ACT",$AF464:$IN464,"&gt;0")),0),"no output yet"))</f>
        <v/>
      </c>
      <c r="AD464" s="26">
        <f>IF($E464="","",IFERROR(ROUND(MAX(0,SUMIFS($AF464:$IN464,$AF$4:$IN$4,"SEW_PLAN",$AF$3:$IN$3,"&lt;="&amp;TODAY())-SUMIFS($AF464:$IN464,$AF$4:$IN$4,"SEW_ACT",$AF$3:$IN$3,"&lt;="&amp;TODAY())+N(Q464))/(SUMIFS($AF464:$IN464,$AF$4:$IN$4,"SEW_PLAN")/COUNTIFS($AF$4:$IN$4,"SEW_PLAN",$AF464:$IN464,"&gt;0")),1),0))</f>
        <v/>
      </c>
      <c r="AE464" s="26">
        <f>IF($E464="","",IF(AND(Z464&gt;0,OR(AND(M464&lt;&gt;"",TODAY()&gt;M464),AND(V464&lt;&gt;"",V464-TODAY()&lt;=7))),"Yes","No"))</f>
        <v/>
      </c>
      <c r="AH464">
        <f>IF(OR(AF$3="",AF$3&gt;TODAY()),"",IF(AND(AF464="",AG464=""),"",N(AG464)-N(AF464)))</f>
        <v/>
      </c>
      <c r="AK464">
        <f>IF(OR(AF$3="",AF$3&gt;TODAY()),"",IF(AND(AI464="",AJ464=""),"",N(AJ464)-N(AI464)))</f>
        <v/>
      </c>
      <c r="AO464">
        <f>IF(OR(AM$3="",AM$3&gt;TODAY()),"",IF(AND(AM464="",AN464=""),"",N(AN464)-N(AM464)))</f>
        <v/>
      </c>
      <c r="AR464">
        <f>IF(OR(AM$3="",AM$3&gt;TODAY()),"",IF(AND(AP464="",AQ464=""),"",N(AQ464)-N(AP464)))</f>
        <v/>
      </c>
      <c r="AV464">
        <f>IF(OR(AT$3="",AT$3&gt;TODAY()),"",IF(AND(AT464="",AU464=""),"",N(AU464)-N(AT464)))</f>
        <v/>
      </c>
      <c r="AY464">
        <f>IF(OR(AT$3="",AT$3&gt;TODAY()),"",IF(AND(AW464="",AX464=""),"",N(AX464)-N(AW464)))</f>
        <v/>
      </c>
      <c r="BC464">
        <f>IF(OR(BA$3="",BA$3&gt;TODAY()),"",IF(AND(BA464="",BB464=""),"",N(BB464)-N(BA464)))</f>
        <v/>
      </c>
      <c r="BF464">
        <f>IF(OR(BA$3="",BA$3&gt;TODAY()),"",IF(AND(BD464="",BE464=""),"",N(BE464)-N(BD464)))</f>
        <v/>
      </c>
      <c r="BJ464">
        <f>IF(OR(BH$3="",BH$3&gt;TODAY()),"",IF(AND(BH464="",BI464=""),"",N(BI464)-N(BH464)))</f>
        <v/>
      </c>
      <c r="BM464">
        <f>IF(OR(BH$3="",BH$3&gt;TODAY()),"",IF(AND(BK464="",BL464=""),"",N(BL464)-N(BK464)))</f>
        <v/>
      </c>
      <c r="BQ464">
        <f>IF(OR(BO$3="",BO$3&gt;TODAY()),"",IF(AND(BO464="",BP464=""),"",N(BP464)-N(BO464)))</f>
        <v/>
      </c>
      <c r="BT464">
        <f>IF(OR(BO$3="",BO$3&gt;TODAY()),"",IF(AND(BR464="",BS464=""),"",N(BS464)-N(BR464)))</f>
        <v/>
      </c>
      <c r="BX464">
        <f>IF(OR(BV$3="",BV$3&gt;TODAY()),"",IF(AND(BV464="",BW464=""),"",N(BW464)-N(BV464)))</f>
        <v/>
      </c>
      <c r="CA464">
        <f>IF(OR(BV$3="",BV$3&gt;TODAY()),"",IF(AND(BY464="",BZ464=""),"",N(BZ464)-N(BY464)))</f>
        <v/>
      </c>
      <c r="CE464">
        <f>IF(OR(CC$3="",CC$3&gt;TODAY()),"",IF(AND(CC464="",CD464=""),"",N(CD464)-N(CC464)))</f>
        <v/>
      </c>
      <c r="CH464">
        <f>IF(OR(CC$3="",CC$3&gt;TODAY()),"",IF(AND(CF464="",CG464=""),"",N(CG464)-N(CF464)))</f>
        <v/>
      </c>
      <c r="CL464">
        <f>IF(OR(CJ$3="",CJ$3&gt;TODAY()),"",IF(AND(CJ464="",CK464=""),"",N(CK464)-N(CJ464)))</f>
        <v/>
      </c>
      <c r="CO464">
        <f>IF(OR(CJ$3="",CJ$3&gt;TODAY()),"",IF(AND(CM464="",CN464=""),"",N(CN464)-N(CM464)))</f>
        <v/>
      </c>
      <c r="CS464">
        <f>IF(OR(CQ$3="",CQ$3&gt;TODAY()),"",IF(AND(CQ464="",CR464=""),"",N(CR464)-N(CQ464)))</f>
        <v/>
      </c>
      <c r="CV464">
        <f>IF(OR(CQ$3="",CQ$3&gt;TODAY()),"",IF(AND(CT464="",CU464=""),"",N(CU464)-N(CT464)))</f>
        <v/>
      </c>
      <c r="CZ464">
        <f>IF(OR(CX$3="",CX$3&gt;TODAY()),"",IF(AND(CX464="",CY464=""),"",N(CY464)-N(CX464)))</f>
        <v/>
      </c>
      <c r="DC464">
        <f>IF(OR(CX$3="",CX$3&gt;TODAY()),"",IF(AND(DA464="",DB464=""),"",N(DB464)-N(DA464)))</f>
        <v/>
      </c>
      <c r="DG464">
        <f>IF(OR(DE$3="",DE$3&gt;TODAY()),"",IF(AND(DE464="",DF464=""),"",N(DF464)-N(DE464)))</f>
        <v/>
      </c>
      <c r="DJ464">
        <f>IF(OR(DE$3="",DE$3&gt;TODAY()),"",IF(AND(DH464="",DI464=""),"",N(DI464)-N(DH464)))</f>
        <v/>
      </c>
      <c r="DN464">
        <f>IF(OR(DL$3="",DL$3&gt;TODAY()),"",IF(AND(DL464="",DM464=""),"",N(DM464)-N(DL464)))</f>
        <v/>
      </c>
      <c r="DQ464">
        <f>IF(OR(DL$3="",DL$3&gt;TODAY()),"",IF(AND(DO464="",DP464=""),"",N(DP464)-N(DO464)))</f>
        <v/>
      </c>
      <c r="DU464">
        <f>IF(OR(DS$3="",DS$3&gt;TODAY()),"",IF(AND(DS464="",DT464=""),"",N(DT464)-N(DS464)))</f>
        <v/>
      </c>
      <c r="DX464">
        <f>IF(OR(DS$3="",DS$3&gt;TODAY()),"",IF(AND(DV464="",DW464=""),"",N(DW464)-N(DV464)))</f>
        <v/>
      </c>
      <c r="EB464">
        <f>IF(OR(DZ$3="",DZ$3&gt;TODAY()),"",IF(AND(DZ464="",EA464=""),"",N(EA464)-N(DZ464)))</f>
        <v/>
      </c>
      <c r="EE464">
        <f>IF(OR(DZ$3="",DZ$3&gt;TODAY()),"",IF(AND(EC464="",ED464=""),"",N(ED464)-N(EC464)))</f>
        <v/>
      </c>
      <c r="EI464">
        <f>IF(OR(EG$3="",EG$3&gt;TODAY()),"",IF(AND(EG464="",EH464=""),"",N(EH464)-N(EG464)))</f>
        <v/>
      </c>
      <c r="EL464">
        <f>IF(OR(EG$3="",EG$3&gt;TODAY()),"",IF(AND(EJ464="",EK464=""),"",N(EK464)-N(EJ464)))</f>
        <v/>
      </c>
      <c r="EP464">
        <f>IF(OR(EN$3="",EN$3&gt;TODAY()),"",IF(AND(EN464="",EO464=""),"",N(EO464)-N(EN464)))</f>
        <v/>
      </c>
      <c r="ES464">
        <f>IF(OR(EN$3="",EN$3&gt;TODAY()),"",IF(AND(EQ464="",ER464=""),"",N(ER464)-N(EQ464)))</f>
        <v/>
      </c>
      <c r="EW464">
        <f>IF(OR(EU$3="",EU$3&gt;TODAY()),"",IF(AND(EU464="",EV464=""),"",N(EV464)-N(EU464)))</f>
        <v/>
      </c>
      <c r="EZ464">
        <f>IF(OR(EU$3="",EU$3&gt;TODAY()),"",IF(AND(EX464="",EY464=""),"",N(EY464)-N(EX464)))</f>
        <v/>
      </c>
      <c r="FD464">
        <f>IF(OR(FB$3="",FB$3&gt;TODAY()),"",IF(AND(FB464="",FC464=""),"",N(FC464)-N(FB464)))</f>
        <v/>
      </c>
      <c r="FG464">
        <f>IF(OR(FB$3="",FB$3&gt;TODAY()),"",IF(AND(FE464="",FF464=""),"",N(FF464)-N(FE464)))</f>
        <v/>
      </c>
      <c r="FK464">
        <f>IF(OR(FI$3="",FI$3&gt;TODAY()),"",IF(AND(FI464="",FJ464=""),"",N(FJ464)-N(FI464)))</f>
        <v/>
      </c>
      <c r="FN464">
        <f>IF(OR(FI$3="",FI$3&gt;TODAY()),"",IF(AND(FL464="",FM464=""),"",N(FM464)-N(FL464)))</f>
        <v/>
      </c>
      <c r="FR464">
        <f>IF(OR(FP$3="",FP$3&gt;TODAY()),"",IF(AND(FP464="",FQ464=""),"",N(FQ464)-N(FP464)))</f>
        <v/>
      </c>
      <c r="FU464">
        <f>IF(OR(FP$3="",FP$3&gt;TODAY()),"",IF(AND(FS464="",FT464=""),"",N(FT464)-N(FS464)))</f>
        <v/>
      </c>
      <c r="FY464">
        <f>IF(OR(FW$3="",FW$3&gt;TODAY()),"",IF(AND(FW464="",FX464=""),"",N(FX464)-N(FW464)))</f>
        <v/>
      </c>
      <c r="GB464">
        <f>IF(OR(FW$3="",FW$3&gt;TODAY()),"",IF(AND(FZ464="",GA464=""),"",N(GA464)-N(FZ464)))</f>
        <v/>
      </c>
      <c r="GF464">
        <f>IF(OR(GD$3="",GD$3&gt;TODAY()),"",IF(AND(GD464="",GE464=""),"",N(GE464)-N(GD464)))</f>
        <v/>
      </c>
      <c r="GI464">
        <f>IF(OR(GD$3="",GD$3&gt;TODAY()),"",IF(AND(GG464="",GH464=""),"",N(GH464)-N(GG464)))</f>
        <v/>
      </c>
      <c r="GM464">
        <f>IF(OR(GK$3="",GK$3&gt;TODAY()),"",IF(AND(GK464="",GL464=""),"",N(GL464)-N(GK464)))</f>
        <v/>
      </c>
      <c r="GP464">
        <f>IF(OR(GK$3="",GK$3&gt;TODAY()),"",IF(AND(GN464="",GO464=""),"",N(GO464)-N(GN464)))</f>
        <v/>
      </c>
      <c r="GT464">
        <f>IF(OR(GR$3="",GR$3&gt;TODAY()),"",IF(AND(GR464="",GS464=""),"",N(GS464)-N(GR464)))</f>
        <v/>
      </c>
      <c r="GW464">
        <f>IF(OR(GR$3="",GR$3&gt;TODAY()),"",IF(AND(GU464="",GV464=""),"",N(GV464)-N(GU464)))</f>
        <v/>
      </c>
      <c r="HA464">
        <f>IF(OR(GY$3="",GY$3&gt;TODAY()),"",IF(AND(GY464="",GZ464=""),"",N(GZ464)-N(GY464)))</f>
        <v/>
      </c>
      <c r="HD464">
        <f>IF(OR(GY$3="",GY$3&gt;TODAY()),"",IF(AND(HB464="",HC464=""),"",N(HC464)-N(HB464)))</f>
        <v/>
      </c>
      <c r="HH464">
        <f>IF(OR(HF$3="",HF$3&gt;TODAY()),"",IF(AND(HF464="",HG464=""),"",N(HG464)-N(HF464)))</f>
        <v/>
      </c>
      <c r="HK464">
        <f>IF(OR(HF$3="",HF$3&gt;TODAY()),"",IF(AND(HI464="",HJ464=""),"",N(HJ464)-N(HI464)))</f>
        <v/>
      </c>
      <c r="HO464">
        <f>IF(OR(HM$3="",HM$3&gt;TODAY()),"",IF(AND(HM464="",HN464=""),"",N(HN464)-N(HM464)))</f>
        <v/>
      </c>
      <c r="HR464">
        <f>IF(OR(HM$3="",HM$3&gt;TODAY()),"",IF(AND(HP464="",HQ464=""),"",N(HQ464)-N(HP464)))</f>
        <v/>
      </c>
      <c r="HV464">
        <f>IF(OR(HT$3="",HT$3&gt;TODAY()),"",IF(AND(HT464="",HU464=""),"",N(HU464)-N(HT464)))</f>
        <v/>
      </c>
      <c r="HY464">
        <f>IF(OR(HT$3="",HT$3&gt;TODAY()),"",IF(AND(HW464="",HX464=""),"",N(HX464)-N(HW464)))</f>
        <v/>
      </c>
      <c r="IC464">
        <f>IF(OR(IA$3="",IA$3&gt;TODAY()),"",IF(AND(IA464="",IB464=""),"",N(IB464)-N(IA464)))</f>
        <v/>
      </c>
      <c r="IF464">
        <f>IF(OR(IA$3="",IA$3&gt;TODAY()),"",IF(AND(ID464="",IE464=""),"",N(IE464)-N(ID464)))</f>
        <v/>
      </c>
      <c r="IJ464">
        <f>IF(OR(IH$3="",IH$3&gt;TODAY()),"",IF(AND(IH464="",II464=""),"",N(II464)-N(IH464)))</f>
        <v/>
      </c>
      <c r="IM464">
        <f>IF(OR(IH$3="",IH$3&gt;TODAY()),"",IF(AND(IK464="",IL464=""),"",N(IL464)-N(IK464)))</f>
        <v/>
      </c>
    </row>
    <row r="465">
      <c r="A465" s="21" t="n"/>
      <c r="B465" s="21" t="n"/>
      <c r="C465" s="21" t="n"/>
      <c r="D465" s="21" t="n"/>
      <c r="E465" s="21" t="n"/>
      <c r="F465" s="21" t="n"/>
      <c r="G465" s="21" t="n"/>
      <c r="H465" s="21" t="n"/>
      <c r="I465" s="22" t="n"/>
      <c r="J465" s="22" t="n"/>
      <c r="K465" s="23" t="n"/>
      <c r="L465" s="22" t="n"/>
      <c r="M465" s="22" t="n"/>
      <c r="N465" s="21" t="n"/>
      <c r="O465" s="23" t="n"/>
      <c r="P465" s="23" t="n"/>
      <c r="Q465" s="23" t="n"/>
      <c r="R465" s="23" t="n"/>
      <c r="S465" s="22" t="n"/>
      <c r="T465" s="23" t="n"/>
      <c r="U465" s="23" t="n"/>
      <c r="V465" s="24">
        <f>IF(J465&lt;&gt;"",J465,IF(I465&lt;&gt;"",I465,""))</f>
        <v/>
      </c>
      <c r="W465" s="25">
        <f>IF($E465="","",N(O465)+SUMIFS($AF465:$IN465,$AF$4:$IN$4,"SEW_ACT"))</f>
        <v/>
      </c>
      <c r="X465" s="25">
        <f>IF($E465="","",N(P465)+SUMIFS($AF465:$IN465,$AF$4:$IN$4,"WASH_ACT"))</f>
        <v/>
      </c>
      <c r="Y465" s="25">
        <f>IF($E465="","",W465-X465-N(T465)-N(U465))</f>
        <v/>
      </c>
      <c r="Z465" s="25">
        <f>IF($E465="","",IF(N(K465)-X465&lt;=0.02*N(K465),0,N(K465)-X465))</f>
        <v/>
      </c>
      <c r="AA465" s="24">
        <f>IF($E465="","",IF(S465&lt;&gt;"",S465,IF(N(O465)&gt;0,IF(L465&lt;&gt;"",L465,99999),IFERROR(1/(1/_xlfn.MINIFS($AF$3:$IN$3,$AF$4:$IN$4,"SEW_ACT",$AF465:$IN465,"&gt;0")),99999))))</f>
        <v/>
      </c>
      <c r="AB465" s="26">
        <f>IF(OR($E465="",Z465=0,V465=""),"",1+COUNTIFS(Z$8:Z$707,"&gt;0",V$8:V$707,"&lt;"&amp;V465)+COUNTIFS(Z$8:Z$707,"&gt;0",V$8:V$707,V465,AA$8:AA$707,"&lt;"&amp;AA465)+COUNTIFS(Z$8:Z$707,"&gt;0",V$8:V$707,V465,AA$8:AA$707,AA465,E$8:E$707,"&lt;"&amp;$E465))</f>
        <v/>
      </c>
      <c r="AC465" s="24">
        <f>IF(OR($E465="",Z465=0),"",IFERROR(TODAY()+ROUNDUP(Z465/(SUMIFS($AF465:$IN465,$AF$4:$IN$4,"WASH_ACT")/COUNTIFS($AF$4:$IN$4,"WASH_ACT",$AF465:$IN465,"&gt;0")),0),"no output yet"))</f>
        <v/>
      </c>
      <c r="AD465" s="26">
        <f>IF($E465="","",IFERROR(ROUND(MAX(0,SUMIFS($AF465:$IN465,$AF$4:$IN$4,"SEW_PLAN",$AF$3:$IN$3,"&lt;="&amp;TODAY())-SUMIFS($AF465:$IN465,$AF$4:$IN$4,"SEW_ACT",$AF$3:$IN$3,"&lt;="&amp;TODAY())+N(Q465))/(SUMIFS($AF465:$IN465,$AF$4:$IN$4,"SEW_PLAN")/COUNTIFS($AF$4:$IN$4,"SEW_PLAN",$AF465:$IN465,"&gt;0")),1),0))</f>
        <v/>
      </c>
      <c r="AE465" s="26">
        <f>IF($E465="","",IF(AND(Z465&gt;0,OR(AND(M465&lt;&gt;"",TODAY()&gt;M465),AND(V465&lt;&gt;"",V465-TODAY()&lt;=7))),"Yes","No"))</f>
        <v/>
      </c>
      <c r="AH465">
        <f>IF(OR(AF$3="",AF$3&gt;TODAY()),"",IF(AND(AF465="",AG465=""),"",N(AG465)-N(AF465)))</f>
        <v/>
      </c>
      <c r="AK465">
        <f>IF(OR(AF$3="",AF$3&gt;TODAY()),"",IF(AND(AI465="",AJ465=""),"",N(AJ465)-N(AI465)))</f>
        <v/>
      </c>
      <c r="AO465">
        <f>IF(OR(AM$3="",AM$3&gt;TODAY()),"",IF(AND(AM465="",AN465=""),"",N(AN465)-N(AM465)))</f>
        <v/>
      </c>
      <c r="AR465">
        <f>IF(OR(AM$3="",AM$3&gt;TODAY()),"",IF(AND(AP465="",AQ465=""),"",N(AQ465)-N(AP465)))</f>
        <v/>
      </c>
      <c r="AV465">
        <f>IF(OR(AT$3="",AT$3&gt;TODAY()),"",IF(AND(AT465="",AU465=""),"",N(AU465)-N(AT465)))</f>
        <v/>
      </c>
      <c r="AY465">
        <f>IF(OR(AT$3="",AT$3&gt;TODAY()),"",IF(AND(AW465="",AX465=""),"",N(AX465)-N(AW465)))</f>
        <v/>
      </c>
      <c r="BC465">
        <f>IF(OR(BA$3="",BA$3&gt;TODAY()),"",IF(AND(BA465="",BB465=""),"",N(BB465)-N(BA465)))</f>
        <v/>
      </c>
      <c r="BF465">
        <f>IF(OR(BA$3="",BA$3&gt;TODAY()),"",IF(AND(BD465="",BE465=""),"",N(BE465)-N(BD465)))</f>
        <v/>
      </c>
      <c r="BJ465">
        <f>IF(OR(BH$3="",BH$3&gt;TODAY()),"",IF(AND(BH465="",BI465=""),"",N(BI465)-N(BH465)))</f>
        <v/>
      </c>
      <c r="BM465">
        <f>IF(OR(BH$3="",BH$3&gt;TODAY()),"",IF(AND(BK465="",BL465=""),"",N(BL465)-N(BK465)))</f>
        <v/>
      </c>
      <c r="BQ465">
        <f>IF(OR(BO$3="",BO$3&gt;TODAY()),"",IF(AND(BO465="",BP465=""),"",N(BP465)-N(BO465)))</f>
        <v/>
      </c>
      <c r="BT465">
        <f>IF(OR(BO$3="",BO$3&gt;TODAY()),"",IF(AND(BR465="",BS465=""),"",N(BS465)-N(BR465)))</f>
        <v/>
      </c>
      <c r="BX465">
        <f>IF(OR(BV$3="",BV$3&gt;TODAY()),"",IF(AND(BV465="",BW465=""),"",N(BW465)-N(BV465)))</f>
        <v/>
      </c>
      <c r="CA465">
        <f>IF(OR(BV$3="",BV$3&gt;TODAY()),"",IF(AND(BY465="",BZ465=""),"",N(BZ465)-N(BY465)))</f>
        <v/>
      </c>
      <c r="CE465">
        <f>IF(OR(CC$3="",CC$3&gt;TODAY()),"",IF(AND(CC465="",CD465=""),"",N(CD465)-N(CC465)))</f>
        <v/>
      </c>
      <c r="CH465">
        <f>IF(OR(CC$3="",CC$3&gt;TODAY()),"",IF(AND(CF465="",CG465=""),"",N(CG465)-N(CF465)))</f>
        <v/>
      </c>
      <c r="CL465">
        <f>IF(OR(CJ$3="",CJ$3&gt;TODAY()),"",IF(AND(CJ465="",CK465=""),"",N(CK465)-N(CJ465)))</f>
        <v/>
      </c>
      <c r="CO465">
        <f>IF(OR(CJ$3="",CJ$3&gt;TODAY()),"",IF(AND(CM465="",CN465=""),"",N(CN465)-N(CM465)))</f>
        <v/>
      </c>
      <c r="CS465">
        <f>IF(OR(CQ$3="",CQ$3&gt;TODAY()),"",IF(AND(CQ465="",CR465=""),"",N(CR465)-N(CQ465)))</f>
        <v/>
      </c>
      <c r="CV465">
        <f>IF(OR(CQ$3="",CQ$3&gt;TODAY()),"",IF(AND(CT465="",CU465=""),"",N(CU465)-N(CT465)))</f>
        <v/>
      </c>
      <c r="CZ465">
        <f>IF(OR(CX$3="",CX$3&gt;TODAY()),"",IF(AND(CX465="",CY465=""),"",N(CY465)-N(CX465)))</f>
        <v/>
      </c>
      <c r="DC465">
        <f>IF(OR(CX$3="",CX$3&gt;TODAY()),"",IF(AND(DA465="",DB465=""),"",N(DB465)-N(DA465)))</f>
        <v/>
      </c>
      <c r="DG465">
        <f>IF(OR(DE$3="",DE$3&gt;TODAY()),"",IF(AND(DE465="",DF465=""),"",N(DF465)-N(DE465)))</f>
        <v/>
      </c>
      <c r="DJ465">
        <f>IF(OR(DE$3="",DE$3&gt;TODAY()),"",IF(AND(DH465="",DI465=""),"",N(DI465)-N(DH465)))</f>
        <v/>
      </c>
      <c r="DN465">
        <f>IF(OR(DL$3="",DL$3&gt;TODAY()),"",IF(AND(DL465="",DM465=""),"",N(DM465)-N(DL465)))</f>
        <v/>
      </c>
      <c r="DQ465">
        <f>IF(OR(DL$3="",DL$3&gt;TODAY()),"",IF(AND(DO465="",DP465=""),"",N(DP465)-N(DO465)))</f>
        <v/>
      </c>
      <c r="DU465">
        <f>IF(OR(DS$3="",DS$3&gt;TODAY()),"",IF(AND(DS465="",DT465=""),"",N(DT465)-N(DS465)))</f>
        <v/>
      </c>
      <c r="DX465">
        <f>IF(OR(DS$3="",DS$3&gt;TODAY()),"",IF(AND(DV465="",DW465=""),"",N(DW465)-N(DV465)))</f>
        <v/>
      </c>
      <c r="EB465">
        <f>IF(OR(DZ$3="",DZ$3&gt;TODAY()),"",IF(AND(DZ465="",EA465=""),"",N(EA465)-N(DZ465)))</f>
        <v/>
      </c>
      <c r="EE465">
        <f>IF(OR(DZ$3="",DZ$3&gt;TODAY()),"",IF(AND(EC465="",ED465=""),"",N(ED465)-N(EC465)))</f>
        <v/>
      </c>
      <c r="EI465">
        <f>IF(OR(EG$3="",EG$3&gt;TODAY()),"",IF(AND(EG465="",EH465=""),"",N(EH465)-N(EG465)))</f>
        <v/>
      </c>
      <c r="EL465">
        <f>IF(OR(EG$3="",EG$3&gt;TODAY()),"",IF(AND(EJ465="",EK465=""),"",N(EK465)-N(EJ465)))</f>
        <v/>
      </c>
      <c r="EP465">
        <f>IF(OR(EN$3="",EN$3&gt;TODAY()),"",IF(AND(EN465="",EO465=""),"",N(EO465)-N(EN465)))</f>
        <v/>
      </c>
      <c r="ES465">
        <f>IF(OR(EN$3="",EN$3&gt;TODAY()),"",IF(AND(EQ465="",ER465=""),"",N(ER465)-N(EQ465)))</f>
        <v/>
      </c>
      <c r="EW465">
        <f>IF(OR(EU$3="",EU$3&gt;TODAY()),"",IF(AND(EU465="",EV465=""),"",N(EV465)-N(EU465)))</f>
        <v/>
      </c>
      <c r="EZ465">
        <f>IF(OR(EU$3="",EU$3&gt;TODAY()),"",IF(AND(EX465="",EY465=""),"",N(EY465)-N(EX465)))</f>
        <v/>
      </c>
      <c r="FD465">
        <f>IF(OR(FB$3="",FB$3&gt;TODAY()),"",IF(AND(FB465="",FC465=""),"",N(FC465)-N(FB465)))</f>
        <v/>
      </c>
      <c r="FG465">
        <f>IF(OR(FB$3="",FB$3&gt;TODAY()),"",IF(AND(FE465="",FF465=""),"",N(FF465)-N(FE465)))</f>
        <v/>
      </c>
      <c r="FK465">
        <f>IF(OR(FI$3="",FI$3&gt;TODAY()),"",IF(AND(FI465="",FJ465=""),"",N(FJ465)-N(FI465)))</f>
        <v/>
      </c>
      <c r="FN465">
        <f>IF(OR(FI$3="",FI$3&gt;TODAY()),"",IF(AND(FL465="",FM465=""),"",N(FM465)-N(FL465)))</f>
        <v/>
      </c>
      <c r="FR465">
        <f>IF(OR(FP$3="",FP$3&gt;TODAY()),"",IF(AND(FP465="",FQ465=""),"",N(FQ465)-N(FP465)))</f>
        <v/>
      </c>
      <c r="FU465">
        <f>IF(OR(FP$3="",FP$3&gt;TODAY()),"",IF(AND(FS465="",FT465=""),"",N(FT465)-N(FS465)))</f>
        <v/>
      </c>
      <c r="FY465">
        <f>IF(OR(FW$3="",FW$3&gt;TODAY()),"",IF(AND(FW465="",FX465=""),"",N(FX465)-N(FW465)))</f>
        <v/>
      </c>
      <c r="GB465">
        <f>IF(OR(FW$3="",FW$3&gt;TODAY()),"",IF(AND(FZ465="",GA465=""),"",N(GA465)-N(FZ465)))</f>
        <v/>
      </c>
      <c r="GF465">
        <f>IF(OR(GD$3="",GD$3&gt;TODAY()),"",IF(AND(GD465="",GE465=""),"",N(GE465)-N(GD465)))</f>
        <v/>
      </c>
      <c r="GI465">
        <f>IF(OR(GD$3="",GD$3&gt;TODAY()),"",IF(AND(GG465="",GH465=""),"",N(GH465)-N(GG465)))</f>
        <v/>
      </c>
      <c r="GM465">
        <f>IF(OR(GK$3="",GK$3&gt;TODAY()),"",IF(AND(GK465="",GL465=""),"",N(GL465)-N(GK465)))</f>
        <v/>
      </c>
      <c r="GP465">
        <f>IF(OR(GK$3="",GK$3&gt;TODAY()),"",IF(AND(GN465="",GO465=""),"",N(GO465)-N(GN465)))</f>
        <v/>
      </c>
      <c r="GT465">
        <f>IF(OR(GR$3="",GR$3&gt;TODAY()),"",IF(AND(GR465="",GS465=""),"",N(GS465)-N(GR465)))</f>
        <v/>
      </c>
      <c r="GW465">
        <f>IF(OR(GR$3="",GR$3&gt;TODAY()),"",IF(AND(GU465="",GV465=""),"",N(GV465)-N(GU465)))</f>
        <v/>
      </c>
      <c r="HA465">
        <f>IF(OR(GY$3="",GY$3&gt;TODAY()),"",IF(AND(GY465="",GZ465=""),"",N(GZ465)-N(GY465)))</f>
        <v/>
      </c>
      <c r="HD465">
        <f>IF(OR(GY$3="",GY$3&gt;TODAY()),"",IF(AND(HB465="",HC465=""),"",N(HC465)-N(HB465)))</f>
        <v/>
      </c>
      <c r="HH465">
        <f>IF(OR(HF$3="",HF$3&gt;TODAY()),"",IF(AND(HF465="",HG465=""),"",N(HG465)-N(HF465)))</f>
        <v/>
      </c>
      <c r="HK465">
        <f>IF(OR(HF$3="",HF$3&gt;TODAY()),"",IF(AND(HI465="",HJ465=""),"",N(HJ465)-N(HI465)))</f>
        <v/>
      </c>
      <c r="HO465">
        <f>IF(OR(HM$3="",HM$3&gt;TODAY()),"",IF(AND(HM465="",HN465=""),"",N(HN465)-N(HM465)))</f>
        <v/>
      </c>
      <c r="HR465">
        <f>IF(OR(HM$3="",HM$3&gt;TODAY()),"",IF(AND(HP465="",HQ465=""),"",N(HQ465)-N(HP465)))</f>
        <v/>
      </c>
      <c r="HV465">
        <f>IF(OR(HT$3="",HT$3&gt;TODAY()),"",IF(AND(HT465="",HU465=""),"",N(HU465)-N(HT465)))</f>
        <v/>
      </c>
      <c r="HY465">
        <f>IF(OR(HT$3="",HT$3&gt;TODAY()),"",IF(AND(HW465="",HX465=""),"",N(HX465)-N(HW465)))</f>
        <v/>
      </c>
      <c r="IC465">
        <f>IF(OR(IA$3="",IA$3&gt;TODAY()),"",IF(AND(IA465="",IB465=""),"",N(IB465)-N(IA465)))</f>
        <v/>
      </c>
      <c r="IF465">
        <f>IF(OR(IA$3="",IA$3&gt;TODAY()),"",IF(AND(ID465="",IE465=""),"",N(IE465)-N(ID465)))</f>
        <v/>
      </c>
      <c r="IJ465">
        <f>IF(OR(IH$3="",IH$3&gt;TODAY()),"",IF(AND(IH465="",II465=""),"",N(II465)-N(IH465)))</f>
        <v/>
      </c>
      <c r="IM465">
        <f>IF(OR(IH$3="",IH$3&gt;TODAY()),"",IF(AND(IK465="",IL465=""),"",N(IL465)-N(IK465)))</f>
        <v/>
      </c>
    </row>
    <row r="466">
      <c r="A466" s="21" t="n"/>
      <c r="B466" s="21" t="n"/>
      <c r="C466" s="21" t="n"/>
      <c r="D466" s="21" t="n"/>
      <c r="E466" s="21" t="n"/>
      <c r="F466" s="21" t="n"/>
      <c r="G466" s="21" t="n"/>
      <c r="H466" s="21" t="n"/>
      <c r="I466" s="22" t="n"/>
      <c r="J466" s="22" t="n"/>
      <c r="K466" s="23" t="n"/>
      <c r="L466" s="22" t="n"/>
      <c r="M466" s="22" t="n"/>
      <c r="N466" s="21" t="n"/>
      <c r="O466" s="23" t="n"/>
      <c r="P466" s="23" t="n"/>
      <c r="Q466" s="23" t="n"/>
      <c r="R466" s="23" t="n"/>
      <c r="S466" s="22" t="n"/>
      <c r="T466" s="23" t="n"/>
      <c r="U466" s="23" t="n"/>
      <c r="V466" s="24">
        <f>IF(J466&lt;&gt;"",J466,IF(I466&lt;&gt;"",I466,""))</f>
        <v/>
      </c>
      <c r="W466" s="25">
        <f>IF($E466="","",N(O466)+SUMIFS($AF466:$IN466,$AF$4:$IN$4,"SEW_ACT"))</f>
        <v/>
      </c>
      <c r="X466" s="25">
        <f>IF($E466="","",N(P466)+SUMIFS($AF466:$IN466,$AF$4:$IN$4,"WASH_ACT"))</f>
        <v/>
      </c>
      <c r="Y466" s="25">
        <f>IF($E466="","",W466-X466-N(T466)-N(U466))</f>
        <v/>
      </c>
      <c r="Z466" s="25">
        <f>IF($E466="","",IF(N(K466)-X466&lt;=0.02*N(K466),0,N(K466)-X466))</f>
        <v/>
      </c>
      <c r="AA466" s="24">
        <f>IF($E466="","",IF(S466&lt;&gt;"",S466,IF(N(O466)&gt;0,IF(L466&lt;&gt;"",L466,99999),IFERROR(1/(1/_xlfn.MINIFS($AF$3:$IN$3,$AF$4:$IN$4,"SEW_ACT",$AF466:$IN466,"&gt;0")),99999))))</f>
        <v/>
      </c>
      <c r="AB466" s="26">
        <f>IF(OR($E466="",Z466=0,V466=""),"",1+COUNTIFS(Z$8:Z$707,"&gt;0",V$8:V$707,"&lt;"&amp;V466)+COUNTIFS(Z$8:Z$707,"&gt;0",V$8:V$707,V466,AA$8:AA$707,"&lt;"&amp;AA466)+COUNTIFS(Z$8:Z$707,"&gt;0",V$8:V$707,V466,AA$8:AA$707,AA466,E$8:E$707,"&lt;"&amp;$E466))</f>
        <v/>
      </c>
      <c r="AC466" s="24">
        <f>IF(OR($E466="",Z466=0),"",IFERROR(TODAY()+ROUNDUP(Z466/(SUMIFS($AF466:$IN466,$AF$4:$IN$4,"WASH_ACT")/COUNTIFS($AF$4:$IN$4,"WASH_ACT",$AF466:$IN466,"&gt;0")),0),"no output yet"))</f>
        <v/>
      </c>
      <c r="AD466" s="26">
        <f>IF($E466="","",IFERROR(ROUND(MAX(0,SUMIFS($AF466:$IN466,$AF$4:$IN$4,"SEW_PLAN",$AF$3:$IN$3,"&lt;="&amp;TODAY())-SUMIFS($AF466:$IN466,$AF$4:$IN$4,"SEW_ACT",$AF$3:$IN$3,"&lt;="&amp;TODAY())+N(Q466))/(SUMIFS($AF466:$IN466,$AF$4:$IN$4,"SEW_PLAN")/COUNTIFS($AF$4:$IN$4,"SEW_PLAN",$AF466:$IN466,"&gt;0")),1),0))</f>
        <v/>
      </c>
      <c r="AE466" s="26">
        <f>IF($E466="","",IF(AND(Z466&gt;0,OR(AND(M466&lt;&gt;"",TODAY()&gt;M466),AND(V466&lt;&gt;"",V466-TODAY()&lt;=7))),"Yes","No"))</f>
        <v/>
      </c>
      <c r="AH466">
        <f>IF(OR(AF$3="",AF$3&gt;TODAY()),"",IF(AND(AF466="",AG466=""),"",N(AG466)-N(AF466)))</f>
        <v/>
      </c>
      <c r="AK466">
        <f>IF(OR(AF$3="",AF$3&gt;TODAY()),"",IF(AND(AI466="",AJ466=""),"",N(AJ466)-N(AI466)))</f>
        <v/>
      </c>
      <c r="AO466">
        <f>IF(OR(AM$3="",AM$3&gt;TODAY()),"",IF(AND(AM466="",AN466=""),"",N(AN466)-N(AM466)))</f>
        <v/>
      </c>
      <c r="AR466">
        <f>IF(OR(AM$3="",AM$3&gt;TODAY()),"",IF(AND(AP466="",AQ466=""),"",N(AQ466)-N(AP466)))</f>
        <v/>
      </c>
      <c r="AV466">
        <f>IF(OR(AT$3="",AT$3&gt;TODAY()),"",IF(AND(AT466="",AU466=""),"",N(AU466)-N(AT466)))</f>
        <v/>
      </c>
      <c r="AY466">
        <f>IF(OR(AT$3="",AT$3&gt;TODAY()),"",IF(AND(AW466="",AX466=""),"",N(AX466)-N(AW466)))</f>
        <v/>
      </c>
      <c r="BC466">
        <f>IF(OR(BA$3="",BA$3&gt;TODAY()),"",IF(AND(BA466="",BB466=""),"",N(BB466)-N(BA466)))</f>
        <v/>
      </c>
      <c r="BF466">
        <f>IF(OR(BA$3="",BA$3&gt;TODAY()),"",IF(AND(BD466="",BE466=""),"",N(BE466)-N(BD466)))</f>
        <v/>
      </c>
      <c r="BJ466">
        <f>IF(OR(BH$3="",BH$3&gt;TODAY()),"",IF(AND(BH466="",BI466=""),"",N(BI466)-N(BH466)))</f>
        <v/>
      </c>
      <c r="BM466">
        <f>IF(OR(BH$3="",BH$3&gt;TODAY()),"",IF(AND(BK466="",BL466=""),"",N(BL466)-N(BK466)))</f>
        <v/>
      </c>
      <c r="BQ466">
        <f>IF(OR(BO$3="",BO$3&gt;TODAY()),"",IF(AND(BO466="",BP466=""),"",N(BP466)-N(BO466)))</f>
        <v/>
      </c>
      <c r="BT466">
        <f>IF(OR(BO$3="",BO$3&gt;TODAY()),"",IF(AND(BR466="",BS466=""),"",N(BS466)-N(BR466)))</f>
        <v/>
      </c>
      <c r="BX466">
        <f>IF(OR(BV$3="",BV$3&gt;TODAY()),"",IF(AND(BV466="",BW466=""),"",N(BW466)-N(BV466)))</f>
        <v/>
      </c>
      <c r="CA466">
        <f>IF(OR(BV$3="",BV$3&gt;TODAY()),"",IF(AND(BY466="",BZ466=""),"",N(BZ466)-N(BY466)))</f>
        <v/>
      </c>
      <c r="CE466">
        <f>IF(OR(CC$3="",CC$3&gt;TODAY()),"",IF(AND(CC466="",CD466=""),"",N(CD466)-N(CC466)))</f>
        <v/>
      </c>
      <c r="CH466">
        <f>IF(OR(CC$3="",CC$3&gt;TODAY()),"",IF(AND(CF466="",CG466=""),"",N(CG466)-N(CF466)))</f>
        <v/>
      </c>
      <c r="CL466">
        <f>IF(OR(CJ$3="",CJ$3&gt;TODAY()),"",IF(AND(CJ466="",CK466=""),"",N(CK466)-N(CJ466)))</f>
        <v/>
      </c>
      <c r="CO466">
        <f>IF(OR(CJ$3="",CJ$3&gt;TODAY()),"",IF(AND(CM466="",CN466=""),"",N(CN466)-N(CM466)))</f>
        <v/>
      </c>
      <c r="CS466">
        <f>IF(OR(CQ$3="",CQ$3&gt;TODAY()),"",IF(AND(CQ466="",CR466=""),"",N(CR466)-N(CQ466)))</f>
        <v/>
      </c>
      <c r="CV466">
        <f>IF(OR(CQ$3="",CQ$3&gt;TODAY()),"",IF(AND(CT466="",CU466=""),"",N(CU466)-N(CT466)))</f>
        <v/>
      </c>
      <c r="CZ466">
        <f>IF(OR(CX$3="",CX$3&gt;TODAY()),"",IF(AND(CX466="",CY466=""),"",N(CY466)-N(CX466)))</f>
        <v/>
      </c>
      <c r="DC466">
        <f>IF(OR(CX$3="",CX$3&gt;TODAY()),"",IF(AND(DA466="",DB466=""),"",N(DB466)-N(DA466)))</f>
        <v/>
      </c>
      <c r="DG466">
        <f>IF(OR(DE$3="",DE$3&gt;TODAY()),"",IF(AND(DE466="",DF466=""),"",N(DF466)-N(DE466)))</f>
        <v/>
      </c>
      <c r="DJ466">
        <f>IF(OR(DE$3="",DE$3&gt;TODAY()),"",IF(AND(DH466="",DI466=""),"",N(DI466)-N(DH466)))</f>
        <v/>
      </c>
      <c r="DN466">
        <f>IF(OR(DL$3="",DL$3&gt;TODAY()),"",IF(AND(DL466="",DM466=""),"",N(DM466)-N(DL466)))</f>
        <v/>
      </c>
      <c r="DQ466">
        <f>IF(OR(DL$3="",DL$3&gt;TODAY()),"",IF(AND(DO466="",DP466=""),"",N(DP466)-N(DO466)))</f>
        <v/>
      </c>
      <c r="DU466">
        <f>IF(OR(DS$3="",DS$3&gt;TODAY()),"",IF(AND(DS466="",DT466=""),"",N(DT466)-N(DS466)))</f>
        <v/>
      </c>
      <c r="DX466">
        <f>IF(OR(DS$3="",DS$3&gt;TODAY()),"",IF(AND(DV466="",DW466=""),"",N(DW466)-N(DV466)))</f>
        <v/>
      </c>
      <c r="EB466">
        <f>IF(OR(DZ$3="",DZ$3&gt;TODAY()),"",IF(AND(DZ466="",EA466=""),"",N(EA466)-N(DZ466)))</f>
        <v/>
      </c>
      <c r="EE466">
        <f>IF(OR(DZ$3="",DZ$3&gt;TODAY()),"",IF(AND(EC466="",ED466=""),"",N(ED466)-N(EC466)))</f>
        <v/>
      </c>
      <c r="EI466">
        <f>IF(OR(EG$3="",EG$3&gt;TODAY()),"",IF(AND(EG466="",EH466=""),"",N(EH466)-N(EG466)))</f>
        <v/>
      </c>
      <c r="EL466">
        <f>IF(OR(EG$3="",EG$3&gt;TODAY()),"",IF(AND(EJ466="",EK466=""),"",N(EK466)-N(EJ466)))</f>
        <v/>
      </c>
      <c r="EP466">
        <f>IF(OR(EN$3="",EN$3&gt;TODAY()),"",IF(AND(EN466="",EO466=""),"",N(EO466)-N(EN466)))</f>
        <v/>
      </c>
      <c r="ES466">
        <f>IF(OR(EN$3="",EN$3&gt;TODAY()),"",IF(AND(EQ466="",ER466=""),"",N(ER466)-N(EQ466)))</f>
        <v/>
      </c>
      <c r="EW466">
        <f>IF(OR(EU$3="",EU$3&gt;TODAY()),"",IF(AND(EU466="",EV466=""),"",N(EV466)-N(EU466)))</f>
        <v/>
      </c>
      <c r="EZ466">
        <f>IF(OR(EU$3="",EU$3&gt;TODAY()),"",IF(AND(EX466="",EY466=""),"",N(EY466)-N(EX466)))</f>
        <v/>
      </c>
      <c r="FD466">
        <f>IF(OR(FB$3="",FB$3&gt;TODAY()),"",IF(AND(FB466="",FC466=""),"",N(FC466)-N(FB466)))</f>
        <v/>
      </c>
      <c r="FG466">
        <f>IF(OR(FB$3="",FB$3&gt;TODAY()),"",IF(AND(FE466="",FF466=""),"",N(FF466)-N(FE466)))</f>
        <v/>
      </c>
      <c r="FK466">
        <f>IF(OR(FI$3="",FI$3&gt;TODAY()),"",IF(AND(FI466="",FJ466=""),"",N(FJ466)-N(FI466)))</f>
        <v/>
      </c>
      <c r="FN466">
        <f>IF(OR(FI$3="",FI$3&gt;TODAY()),"",IF(AND(FL466="",FM466=""),"",N(FM466)-N(FL466)))</f>
        <v/>
      </c>
      <c r="FR466">
        <f>IF(OR(FP$3="",FP$3&gt;TODAY()),"",IF(AND(FP466="",FQ466=""),"",N(FQ466)-N(FP466)))</f>
        <v/>
      </c>
      <c r="FU466">
        <f>IF(OR(FP$3="",FP$3&gt;TODAY()),"",IF(AND(FS466="",FT466=""),"",N(FT466)-N(FS466)))</f>
        <v/>
      </c>
      <c r="FY466">
        <f>IF(OR(FW$3="",FW$3&gt;TODAY()),"",IF(AND(FW466="",FX466=""),"",N(FX466)-N(FW466)))</f>
        <v/>
      </c>
      <c r="GB466">
        <f>IF(OR(FW$3="",FW$3&gt;TODAY()),"",IF(AND(FZ466="",GA466=""),"",N(GA466)-N(FZ466)))</f>
        <v/>
      </c>
      <c r="GF466">
        <f>IF(OR(GD$3="",GD$3&gt;TODAY()),"",IF(AND(GD466="",GE466=""),"",N(GE466)-N(GD466)))</f>
        <v/>
      </c>
      <c r="GI466">
        <f>IF(OR(GD$3="",GD$3&gt;TODAY()),"",IF(AND(GG466="",GH466=""),"",N(GH466)-N(GG466)))</f>
        <v/>
      </c>
      <c r="GM466">
        <f>IF(OR(GK$3="",GK$3&gt;TODAY()),"",IF(AND(GK466="",GL466=""),"",N(GL466)-N(GK466)))</f>
        <v/>
      </c>
      <c r="GP466">
        <f>IF(OR(GK$3="",GK$3&gt;TODAY()),"",IF(AND(GN466="",GO466=""),"",N(GO466)-N(GN466)))</f>
        <v/>
      </c>
      <c r="GT466">
        <f>IF(OR(GR$3="",GR$3&gt;TODAY()),"",IF(AND(GR466="",GS466=""),"",N(GS466)-N(GR466)))</f>
        <v/>
      </c>
      <c r="GW466">
        <f>IF(OR(GR$3="",GR$3&gt;TODAY()),"",IF(AND(GU466="",GV466=""),"",N(GV466)-N(GU466)))</f>
        <v/>
      </c>
      <c r="HA466">
        <f>IF(OR(GY$3="",GY$3&gt;TODAY()),"",IF(AND(GY466="",GZ466=""),"",N(GZ466)-N(GY466)))</f>
        <v/>
      </c>
      <c r="HD466">
        <f>IF(OR(GY$3="",GY$3&gt;TODAY()),"",IF(AND(HB466="",HC466=""),"",N(HC466)-N(HB466)))</f>
        <v/>
      </c>
      <c r="HH466">
        <f>IF(OR(HF$3="",HF$3&gt;TODAY()),"",IF(AND(HF466="",HG466=""),"",N(HG466)-N(HF466)))</f>
        <v/>
      </c>
      <c r="HK466">
        <f>IF(OR(HF$3="",HF$3&gt;TODAY()),"",IF(AND(HI466="",HJ466=""),"",N(HJ466)-N(HI466)))</f>
        <v/>
      </c>
      <c r="HO466">
        <f>IF(OR(HM$3="",HM$3&gt;TODAY()),"",IF(AND(HM466="",HN466=""),"",N(HN466)-N(HM466)))</f>
        <v/>
      </c>
      <c r="HR466">
        <f>IF(OR(HM$3="",HM$3&gt;TODAY()),"",IF(AND(HP466="",HQ466=""),"",N(HQ466)-N(HP466)))</f>
        <v/>
      </c>
      <c r="HV466">
        <f>IF(OR(HT$3="",HT$3&gt;TODAY()),"",IF(AND(HT466="",HU466=""),"",N(HU466)-N(HT466)))</f>
        <v/>
      </c>
      <c r="HY466">
        <f>IF(OR(HT$3="",HT$3&gt;TODAY()),"",IF(AND(HW466="",HX466=""),"",N(HX466)-N(HW466)))</f>
        <v/>
      </c>
      <c r="IC466">
        <f>IF(OR(IA$3="",IA$3&gt;TODAY()),"",IF(AND(IA466="",IB466=""),"",N(IB466)-N(IA466)))</f>
        <v/>
      </c>
      <c r="IF466">
        <f>IF(OR(IA$3="",IA$3&gt;TODAY()),"",IF(AND(ID466="",IE466=""),"",N(IE466)-N(ID466)))</f>
        <v/>
      </c>
      <c r="IJ466">
        <f>IF(OR(IH$3="",IH$3&gt;TODAY()),"",IF(AND(IH466="",II466=""),"",N(II466)-N(IH466)))</f>
        <v/>
      </c>
      <c r="IM466">
        <f>IF(OR(IH$3="",IH$3&gt;TODAY()),"",IF(AND(IK466="",IL466=""),"",N(IL466)-N(IK466)))</f>
        <v/>
      </c>
    </row>
    <row r="467">
      <c r="A467" s="21" t="n"/>
      <c r="B467" s="21" t="n"/>
      <c r="C467" s="21" t="n"/>
      <c r="D467" s="21" t="n"/>
      <c r="E467" s="21" t="n"/>
      <c r="F467" s="21" t="n"/>
      <c r="G467" s="21" t="n"/>
      <c r="H467" s="21" t="n"/>
      <c r="I467" s="22" t="n"/>
      <c r="J467" s="22" t="n"/>
      <c r="K467" s="23" t="n"/>
      <c r="L467" s="22" t="n"/>
      <c r="M467" s="22" t="n"/>
      <c r="N467" s="21" t="n"/>
      <c r="O467" s="23" t="n"/>
      <c r="P467" s="23" t="n"/>
      <c r="Q467" s="23" t="n"/>
      <c r="R467" s="23" t="n"/>
      <c r="S467" s="22" t="n"/>
      <c r="T467" s="23" t="n"/>
      <c r="U467" s="23" t="n"/>
      <c r="V467" s="24">
        <f>IF(J467&lt;&gt;"",J467,IF(I467&lt;&gt;"",I467,""))</f>
        <v/>
      </c>
      <c r="W467" s="25">
        <f>IF($E467="","",N(O467)+SUMIFS($AF467:$IN467,$AF$4:$IN$4,"SEW_ACT"))</f>
        <v/>
      </c>
      <c r="X467" s="25">
        <f>IF($E467="","",N(P467)+SUMIFS($AF467:$IN467,$AF$4:$IN$4,"WASH_ACT"))</f>
        <v/>
      </c>
      <c r="Y467" s="25">
        <f>IF($E467="","",W467-X467-N(T467)-N(U467))</f>
        <v/>
      </c>
      <c r="Z467" s="25">
        <f>IF($E467="","",IF(N(K467)-X467&lt;=0.02*N(K467),0,N(K467)-X467))</f>
        <v/>
      </c>
      <c r="AA467" s="24">
        <f>IF($E467="","",IF(S467&lt;&gt;"",S467,IF(N(O467)&gt;0,IF(L467&lt;&gt;"",L467,99999),IFERROR(1/(1/_xlfn.MINIFS($AF$3:$IN$3,$AF$4:$IN$4,"SEW_ACT",$AF467:$IN467,"&gt;0")),99999))))</f>
        <v/>
      </c>
      <c r="AB467" s="26">
        <f>IF(OR($E467="",Z467=0,V467=""),"",1+COUNTIFS(Z$8:Z$707,"&gt;0",V$8:V$707,"&lt;"&amp;V467)+COUNTIFS(Z$8:Z$707,"&gt;0",V$8:V$707,V467,AA$8:AA$707,"&lt;"&amp;AA467)+COUNTIFS(Z$8:Z$707,"&gt;0",V$8:V$707,V467,AA$8:AA$707,AA467,E$8:E$707,"&lt;"&amp;$E467))</f>
        <v/>
      </c>
      <c r="AC467" s="24">
        <f>IF(OR($E467="",Z467=0),"",IFERROR(TODAY()+ROUNDUP(Z467/(SUMIFS($AF467:$IN467,$AF$4:$IN$4,"WASH_ACT")/COUNTIFS($AF$4:$IN$4,"WASH_ACT",$AF467:$IN467,"&gt;0")),0),"no output yet"))</f>
        <v/>
      </c>
      <c r="AD467" s="26">
        <f>IF($E467="","",IFERROR(ROUND(MAX(0,SUMIFS($AF467:$IN467,$AF$4:$IN$4,"SEW_PLAN",$AF$3:$IN$3,"&lt;="&amp;TODAY())-SUMIFS($AF467:$IN467,$AF$4:$IN$4,"SEW_ACT",$AF$3:$IN$3,"&lt;="&amp;TODAY())+N(Q467))/(SUMIFS($AF467:$IN467,$AF$4:$IN$4,"SEW_PLAN")/COUNTIFS($AF$4:$IN$4,"SEW_PLAN",$AF467:$IN467,"&gt;0")),1),0))</f>
        <v/>
      </c>
      <c r="AE467" s="26">
        <f>IF($E467="","",IF(AND(Z467&gt;0,OR(AND(M467&lt;&gt;"",TODAY()&gt;M467),AND(V467&lt;&gt;"",V467-TODAY()&lt;=7))),"Yes","No"))</f>
        <v/>
      </c>
      <c r="AH467">
        <f>IF(OR(AF$3="",AF$3&gt;TODAY()),"",IF(AND(AF467="",AG467=""),"",N(AG467)-N(AF467)))</f>
        <v/>
      </c>
      <c r="AK467">
        <f>IF(OR(AF$3="",AF$3&gt;TODAY()),"",IF(AND(AI467="",AJ467=""),"",N(AJ467)-N(AI467)))</f>
        <v/>
      </c>
      <c r="AO467">
        <f>IF(OR(AM$3="",AM$3&gt;TODAY()),"",IF(AND(AM467="",AN467=""),"",N(AN467)-N(AM467)))</f>
        <v/>
      </c>
      <c r="AR467">
        <f>IF(OR(AM$3="",AM$3&gt;TODAY()),"",IF(AND(AP467="",AQ467=""),"",N(AQ467)-N(AP467)))</f>
        <v/>
      </c>
      <c r="AV467">
        <f>IF(OR(AT$3="",AT$3&gt;TODAY()),"",IF(AND(AT467="",AU467=""),"",N(AU467)-N(AT467)))</f>
        <v/>
      </c>
      <c r="AY467">
        <f>IF(OR(AT$3="",AT$3&gt;TODAY()),"",IF(AND(AW467="",AX467=""),"",N(AX467)-N(AW467)))</f>
        <v/>
      </c>
      <c r="BC467">
        <f>IF(OR(BA$3="",BA$3&gt;TODAY()),"",IF(AND(BA467="",BB467=""),"",N(BB467)-N(BA467)))</f>
        <v/>
      </c>
      <c r="BF467">
        <f>IF(OR(BA$3="",BA$3&gt;TODAY()),"",IF(AND(BD467="",BE467=""),"",N(BE467)-N(BD467)))</f>
        <v/>
      </c>
      <c r="BJ467">
        <f>IF(OR(BH$3="",BH$3&gt;TODAY()),"",IF(AND(BH467="",BI467=""),"",N(BI467)-N(BH467)))</f>
        <v/>
      </c>
      <c r="BM467">
        <f>IF(OR(BH$3="",BH$3&gt;TODAY()),"",IF(AND(BK467="",BL467=""),"",N(BL467)-N(BK467)))</f>
        <v/>
      </c>
      <c r="BQ467">
        <f>IF(OR(BO$3="",BO$3&gt;TODAY()),"",IF(AND(BO467="",BP467=""),"",N(BP467)-N(BO467)))</f>
        <v/>
      </c>
      <c r="BT467">
        <f>IF(OR(BO$3="",BO$3&gt;TODAY()),"",IF(AND(BR467="",BS467=""),"",N(BS467)-N(BR467)))</f>
        <v/>
      </c>
      <c r="BX467">
        <f>IF(OR(BV$3="",BV$3&gt;TODAY()),"",IF(AND(BV467="",BW467=""),"",N(BW467)-N(BV467)))</f>
        <v/>
      </c>
      <c r="CA467">
        <f>IF(OR(BV$3="",BV$3&gt;TODAY()),"",IF(AND(BY467="",BZ467=""),"",N(BZ467)-N(BY467)))</f>
        <v/>
      </c>
      <c r="CE467">
        <f>IF(OR(CC$3="",CC$3&gt;TODAY()),"",IF(AND(CC467="",CD467=""),"",N(CD467)-N(CC467)))</f>
        <v/>
      </c>
      <c r="CH467">
        <f>IF(OR(CC$3="",CC$3&gt;TODAY()),"",IF(AND(CF467="",CG467=""),"",N(CG467)-N(CF467)))</f>
        <v/>
      </c>
      <c r="CL467">
        <f>IF(OR(CJ$3="",CJ$3&gt;TODAY()),"",IF(AND(CJ467="",CK467=""),"",N(CK467)-N(CJ467)))</f>
        <v/>
      </c>
      <c r="CO467">
        <f>IF(OR(CJ$3="",CJ$3&gt;TODAY()),"",IF(AND(CM467="",CN467=""),"",N(CN467)-N(CM467)))</f>
        <v/>
      </c>
      <c r="CS467">
        <f>IF(OR(CQ$3="",CQ$3&gt;TODAY()),"",IF(AND(CQ467="",CR467=""),"",N(CR467)-N(CQ467)))</f>
        <v/>
      </c>
      <c r="CV467">
        <f>IF(OR(CQ$3="",CQ$3&gt;TODAY()),"",IF(AND(CT467="",CU467=""),"",N(CU467)-N(CT467)))</f>
        <v/>
      </c>
      <c r="CZ467">
        <f>IF(OR(CX$3="",CX$3&gt;TODAY()),"",IF(AND(CX467="",CY467=""),"",N(CY467)-N(CX467)))</f>
        <v/>
      </c>
      <c r="DC467">
        <f>IF(OR(CX$3="",CX$3&gt;TODAY()),"",IF(AND(DA467="",DB467=""),"",N(DB467)-N(DA467)))</f>
        <v/>
      </c>
      <c r="DG467">
        <f>IF(OR(DE$3="",DE$3&gt;TODAY()),"",IF(AND(DE467="",DF467=""),"",N(DF467)-N(DE467)))</f>
        <v/>
      </c>
      <c r="DJ467">
        <f>IF(OR(DE$3="",DE$3&gt;TODAY()),"",IF(AND(DH467="",DI467=""),"",N(DI467)-N(DH467)))</f>
        <v/>
      </c>
      <c r="DN467">
        <f>IF(OR(DL$3="",DL$3&gt;TODAY()),"",IF(AND(DL467="",DM467=""),"",N(DM467)-N(DL467)))</f>
        <v/>
      </c>
      <c r="DQ467">
        <f>IF(OR(DL$3="",DL$3&gt;TODAY()),"",IF(AND(DO467="",DP467=""),"",N(DP467)-N(DO467)))</f>
        <v/>
      </c>
      <c r="DU467">
        <f>IF(OR(DS$3="",DS$3&gt;TODAY()),"",IF(AND(DS467="",DT467=""),"",N(DT467)-N(DS467)))</f>
        <v/>
      </c>
      <c r="DX467">
        <f>IF(OR(DS$3="",DS$3&gt;TODAY()),"",IF(AND(DV467="",DW467=""),"",N(DW467)-N(DV467)))</f>
        <v/>
      </c>
      <c r="EB467">
        <f>IF(OR(DZ$3="",DZ$3&gt;TODAY()),"",IF(AND(DZ467="",EA467=""),"",N(EA467)-N(DZ467)))</f>
        <v/>
      </c>
      <c r="EE467">
        <f>IF(OR(DZ$3="",DZ$3&gt;TODAY()),"",IF(AND(EC467="",ED467=""),"",N(ED467)-N(EC467)))</f>
        <v/>
      </c>
      <c r="EI467">
        <f>IF(OR(EG$3="",EG$3&gt;TODAY()),"",IF(AND(EG467="",EH467=""),"",N(EH467)-N(EG467)))</f>
        <v/>
      </c>
      <c r="EL467">
        <f>IF(OR(EG$3="",EG$3&gt;TODAY()),"",IF(AND(EJ467="",EK467=""),"",N(EK467)-N(EJ467)))</f>
        <v/>
      </c>
      <c r="EP467">
        <f>IF(OR(EN$3="",EN$3&gt;TODAY()),"",IF(AND(EN467="",EO467=""),"",N(EO467)-N(EN467)))</f>
        <v/>
      </c>
      <c r="ES467">
        <f>IF(OR(EN$3="",EN$3&gt;TODAY()),"",IF(AND(EQ467="",ER467=""),"",N(ER467)-N(EQ467)))</f>
        <v/>
      </c>
      <c r="EW467">
        <f>IF(OR(EU$3="",EU$3&gt;TODAY()),"",IF(AND(EU467="",EV467=""),"",N(EV467)-N(EU467)))</f>
        <v/>
      </c>
      <c r="EZ467">
        <f>IF(OR(EU$3="",EU$3&gt;TODAY()),"",IF(AND(EX467="",EY467=""),"",N(EY467)-N(EX467)))</f>
        <v/>
      </c>
      <c r="FD467">
        <f>IF(OR(FB$3="",FB$3&gt;TODAY()),"",IF(AND(FB467="",FC467=""),"",N(FC467)-N(FB467)))</f>
        <v/>
      </c>
      <c r="FG467">
        <f>IF(OR(FB$3="",FB$3&gt;TODAY()),"",IF(AND(FE467="",FF467=""),"",N(FF467)-N(FE467)))</f>
        <v/>
      </c>
      <c r="FK467">
        <f>IF(OR(FI$3="",FI$3&gt;TODAY()),"",IF(AND(FI467="",FJ467=""),"",N(FJ467)-N(FI467)))</f>
        <v/>
      </c>
      <c r="FN467">
        <f>IF(OR(FI$3="",FI$3&gt;TODAY()),"",IF(AND(FL467="",FM467=""),"",N(FM467)-N(FL467)))</f>
        <v/>
      </c>
      <c r="FR467">
        <f>IF(OR(FP$3="",FP$3&gt;TODAY()),"",IF(AND(FP467="",FQ467=""),"",N(FQ467)-N(FP467)))</f>
        <v/>
      </c>
      <c r="FU467">
        <f>IF(OR(FP$3="",FP$3&gt;TODAY()),"",IF(AND(FS467="",FT467=""),"",N(FT467)-N(FS467)))</f>
        <v/>
      </c>
      <c r="FY467">
        <f>IF(OR(FW$3="",FW$3&gt;TODAY()),"",IF(AND(FW467="",FX467=""),"",N(FX467)-N(FW467)))</f>
        <v/>
      </c>
      <c r="GB467">
        <f>IF(OR(FW$3="",FW$3&gt;TODAY()),"",IF(AND(FZ467="",GA467=""),"",N(GA467)-N(FZ467)))</f>
        <v/>
      </c>
      <c r="GF467">
        <f>IF(OR(GD$3="",GD$3&gt;TODAY()),"",IF(AND(GD467="",GE467=""),"",N(GE467)-N(GD467)))</f>
        <v/>
      </c>
      <c r="GI467">
        <f>IF(OR(GD$3="",GD$3&gt;TODAY()),"",IF(AND(GG467="",GH467=""),"",N(GH467)-N(GG467)))</f>
        <v/>
      </c>
      <c r="GM467">
        <f>IF(OR(GK$3="",GK$3&gt;TODAY()),"",IF(AND(GK467="",GL467=""),"",N(GL467)-N(GK467)))</f>
        <v/>
      </c>
      <c r="GP467">
        <f>IF(OR(GK$3="",GK$3&gt;TODAY()),"",IF(AND(GN467="",GO467=""),"",N(GO467)-N(GN467)))</f>
        <v/>
      </c>
      <c r="GT467">
        <f>IF(OR(GR$3="",GR$3&gt;TODAY()),"",IF(AND(GR467="",GS467=""),"",N(GS467)-N(GR467)))</f>
        <v/>
      </c>
      <c r="GW467">
        <f>IF(OR(GR$3="",GR$3&gt;TODAY()),"",IF(AND(GU467="",GV467=""),"",N(GV467)-N(GU467)))</f>
        <v/>
      </c>
      <c r="HA467">
        <f>IF(OR(GY$3="",GY$3&gt;TODAY()),"",IF(AND(GY467="",GZ467=""),"",N(GZ467)-N(GY467)))</f>
        <v/>
      </c>
      <c r="HD467">
        <f>IF(OR(GY$3="",GY$3&gt;TODAY()),"",IF(AND(HB467="",HC467=""),"",N(HC467)-N(HB467)))</f>
        <v/>
      </c>
      <c r="HH467">
        <f>IF(OR(HF$3="",HF$3&gt;TODAY()),"",IF(AND(HF467="",HG467=""),"",N(HG467)-N(HF467)))</f>
        <v/>
      </c>
      <c r="HK467">
        <f>IF(OR(HF$3="",HF$3&gt;TODAY()),"",IF(AND(HI467="",HJ467=""),"",N(HJ467)-N(HI467)))</f>
        <v/>
      </c>
      <c r="HO467">
        <f>IF(OR(HM$3="",HM$3&gt;TODAY()),"",IF(AND(HM467="",HN467=""),"",N(HN467)-N(HM467)))</f>
        <v/>
      </c>
      <c r="HR467">
        <f>IF(OR(HM$3="",HM$3&gt;TODAY()),"",IF(AND(HP467="",HQ467=""),"",N(HQ467)-N(HP467)))</f>
        <v/>
      </c>
      <c r="HV467">
        <f>IF(OR(HT$3="",HT$3&gt;TODAY()),"",IF(AND(HT467="",HU467=""),"",N(HU467)-N(HT467)))</f>
        <v/>
      </c>
      <c r="HY467">
        <f>IF(OR(HT$3="",HT$3&gt;TODAY()),"",IF(AND(HW467="",HX467=""),"",N(HX467)-N(HW467)))</f>
        <v/>
      </c>
      <c r="IC467">
        <f>IF(OR(IA$3="",IA$3&gt;TODAY()),"",IF(AND(IA467="",IB467=""),"",N(IB467)-N(IA467)))</f>
        <v/>
      </c>
      <c r="IF467">
        <f>IF(OR(IA$3="",IA$3&gt;TODAY()),"",IF(AND(ID467="",IE467=""),"",N(IE467)-N(ID467)))</f>
        <v/>
      </c>
      <c r="IJ467">
        <f>IF(OR(IH$3="",IH$3&gt;TODAY()),"",IF(AND(IH467="",II467=""),"",N(II467)-N(IH467)))</f>
        <v/>
      </c>
      <c r="IM467">
        <f>IF(OR(IH$3="",IH$3&gt;TODAY()),"",IF(AND(IK467="",IL467=""),"",N(IL467)-N(IK467)))</f>
        <v/>
      </c>
    </row>
    <row r="468">
      <c r="A468" s="21" t="n"/>
      <c r="B468" s="21" t="n"/>
      <c r="C468" s="21" t="n"/>
      <c r="D468" s="21" t="n"/>
      <c r="E468" s="21" t="n"/>
      <c r="F468" s="21" t="n"/>
      <c r="G468" s="21" t="n"/>
      <c r="H468" s="21" t="n"/>
      <c r="I468" s="22" t="n"/>
      <c r="J468" s="22" t="n"/>
      <c r="K468" s="23" t="n"/>
      <c r="L468" s="22" t="n"/>
      <c r="M468" s="22" t="n"/>
      <c r="N468" s="21" t="n"/>
      <c r="O468" s="23" t="n"/>
      <c r="P468" s="23" t="n"/>
      <c r="Q468" s="23" t="n"/>
      <c r="R468" s="23" t="n"/>
      <c r="S468" s="22" t="n"/>
      <c r="T468" s="23" t="n"/>
      <c r="U468" s="23" t="n"/>
      <c r="V468" s="24">
        <f>IF(J468&lt;&gt;"",J468,IF(I468&lt;&gt;"",I468,""))</f>
        <v/>
      </c>
      <c r="W468" s="25">
        <f>IF($E468="","",N(O468)+SUMIFS($AF468:$IN468,$AF$4:$IN$4,"SEW_ACT"))</f>
        <v/>
      </c>
      <c r="X468" s="25">
        <f>IF($E468="","",N(P468)+SUMIFS($AF468:$IN468,$AF$4:$IN$4,"WASH_ACT"))</f>
        <v/>
      </c>
      <c r="Y468" s="25">
        <f>IF($E468="","",W468-X468-N(T468)-N(U468))</f>
        <v/>
      </c>
      <c r="Z468" s="25">
        <f>IF($E468="","",IF(N(K468)-X468&lt;=0.02*N(K468),0,N(K468)-X468))</f>
        <v/>
      </c>
      <c r="AA468" s="24">
        <f>IF($E468="","",IF(S468&lt;&gt;"",S468,IF(N(O468)&gt;0,IF(L468&lt;&gt;"",L468,99999),IFERROR(1/(1/_xlfn.MINIFS($AF$3:$IN$3,$AF$4:$IN$4,"SEW_ACT",$AF468:$IN468,"&gt;0")),99999))))</f>
        <v/>
      </c>
      <c r="AB468" s="26">
        <f>IF(OR($E468="",Z468=0,V468=""),"",1+COUNTIFS(Z$8:Z$707,"&gt;0",V$8:V$707,"&lt;"&amp;V468)+COUNTIFS(Z$8:Z$707,"&gt;0",V$8:V$707,V468,AA$8:AA$707,"&lt;"&amp;AA468)+COUNTIFS(Z$8:Z$707,"&gt;0",V$8:V$707,V468,AA$8:AA$707,AA468,E$8:E$707,"&lt;"&amp;$E468))</f>
        <v/>
      </c>
      <c r="AC468" s="24">
        <f>IF(OR($E468="",Z468=0),"",IFERROR(TODAY()+ROUNDUP(Z468/(SUMIFS($AF468:$IN468,$AF$4:$IN$4,"WASH_ACT")/COUNTIFS($AF$4:$IN$4,"WASH_ACT",$AF468:$IN468,"&gt;0")),0),"no output yet"))</f>
        <v/>
      </c>
      <c r="AD468" s="26">
        <f>IF($E468="","",IFERROR(ROUND(MAX(0,SUMIFS($AF468:$IN468,$AF$4:$IN$4,"SEW_PLAN",$AF$3:$IN$3,"&lt;="&amp;TODAY())-SUMIFS($AF468:$IN468,$AF$4:$IN$4,"SEW_ACT",$AF$3:$IN$3,"&lt;="&amp;TODAY())+N(Q468))/(SUMIFS($AF468:$IN468,$AF$4:$IN$4,"SEW_PLAN")/COUNTIFS($AF$4:$IN$4,"SEW_PLAN",$AF468:$IN468,"&gt;0")),1),0))</f>
        <v/>
      </c>
      <c r="AE468" s="26">
        <f>IF($E468="","",IF(AND(Z468&gt;0,OR(AND(M468&lt;&gt;"",TODAY()&gt;M468),AND(V468&lt;&gt;"",V468-TODAY()&lt;=7))),"Yes","No"))</f>
        <v/>
      </c>
      <c r="AH468">
        <f>IF(OR(AF$3="",AF$3&gt;TODAY()),"",IF(AND(AF468="",AG468=""),"",N(AG468)-N(AF468)))</f>
        <v/>
      </c>
      <c r="AK468">
        <f>IF(OR(AF$3="",AF$3&gt;TODAY()),"",IF(AND(AI468="",AJ468=""),"",N(AJ468)-N(AI468)))</f>
        <v/>
      </c>
      <c r="AO468">
        <f>IF(OR(AM$3="",AM$3&gt;TODAY()),"",IF(AND(AM468="",AN468=""),"",N(AN468)-N(AM468)))</f>
        <v/>
      </c>
      <c r="AR468">
        <f>IF(OR(AM$3="",AM$3&gt;TODAY()),"",IF(AND(AP468="",AQ468=""),"",N(AQ468)-N(AP468)))</f>
        <v/>
      </c>
      <c r="AV468">
        <f>IF(OR(AT$3="",AT$3&gt;TODAY()),"",IF(AND(AT468="",AU468=""),"",N(AU468)-N(AT468)))</f>
        <v/>
      </c>
      <c r="AY468">
        <f>IF(OR(AT$3="",AT$3&gt;TODAY()),"",IF(AND(AW468="",AX468=""),"",N(AX468)-N(AW468)))</f>
        <v/>
      </c>
      <c r="BC468">
        <f>IF(OR(BA$3="",BA$3&gt;TODAY()),"",IF(AND(BA468="",BB468=""),"",N(BB468)-N(BA468)))</f>
        <v/>
      </c>
      <c r="BF468">
        <f>IF(OR(BA$3="",BA$3&gt;TODAY()),"",IF(AND(BD468="",BE468=""),"",N(BE468)-N(BD468)))</f>
        <v/>
      </c>
      <c r="BJ468">
        <f>IF(OR(BH$3="",BH$3&gt;TODAY()),"",IF(AND(BH468="",BI468=""),"",N(BI468)-N(BH468)))</f>
        <v/>
      </c>
      <c r="BM468">
        <f>IF(OR(BH$3="",BH$3&gt;TODAY()),"",IF(AND(BK468="",BL468=""),"",N(BL468)-N(BK468)))</f>
        <v/>
      </c>
      <c r="BQ468">
        <f>IF(OR(BO$3="",BO$3&gt;TODAY()),"",IF(AND(BO468="",BP468=""),"",N(BP468)-N(BO468)))</f>
        <v/>
      </c>
      <c r="BT468">
        <f>IF(OR(BO$3="",BO$3&gt;TODAY()),"",IF(AND(BR468="",BS468=""),"",N(BS468)-N(BR468)))</f>
        <v/>
      </c>
      <c r="BX468">
        <f>IF(OR(BV$3="",BV$3&gt;TODAY()),"",IF(AND(BV468="",BW468=""),"",N(BW468)-N(BV468)))</f>
        <v/>
      </c>
      <c r="CA468">
        <f>IF(OR(BV$3="",BV$3&gt;TODAY()),"",IF(AND(BY468="",BZ468=""),"",N(BZ468)-N(BY468)))</f>
        <v/>
      </c>
      <c r="CE468">
        <f>IF(OR(CC$3="",CC$3&gt;TODAY()),"",IF(AND(CC468="",CD468=""),"",N(CD468)-N(CC468)))</f>
        <v/>
      </c>
      <c r="CH468">
        <f>IF(OR(CC$3="",CC$3&gt;TODAY()),"",IF(AND(CF468="",CG468=""),"",N(CG468)-N(CF468)))</f>
        <v/>
      </c>
      <c r="CL468">
        <f>IF(OR(CJ$3="",CJ$3&gt;TODAY()),"",IF(AND(CJ468="",CK468=""),"",N(CK468)-N(CJ468)))</f>
        <v/>
      </c>
      <c r="CO468">
        <f>IF(OR(CJ$3="",CJ$3&gt;TODAY()),"",IF(AND(CM468="",CN468=""),"",N(CN468)-N(CM468)))</f>
        <v/>
      </c>
      <c r="CS468">
        <f>IF(OR(CQ$3="",CQ$3&gt;TODAY()),"",IF(AND(CQ468="",CR468=""),"",N(CR468)-N(CQ468)))</f>
        <v/>
      </c>
      <c r="CV468">
        <f>IF(OR(CQ$3="",CQ$3&gt;TODAY()),"",IF(AND(CT468="",CU468=""),"",N(CU468)-N(CT468)))</f>
        <v/>
      </c>
      <c r="CZ468">
        <f>IF(OR(CX$3="",CX$3&gt;TODAY()),"",IF(AND(CX468="",CY468=""),"",N(CY468)-N(CX468)))</f>
        <v/>
      </c>
      <c r="DC468">
        <f>IF(OR(CX$3="",CX$3&gt;TODAY()),"",IF(AND(DA468="",DB468=""),"",N(DB468)-N(DA468)))</f>
        <v/>
      </c>
      <c r="DG468">
        <f>IF(OR(DE$3="",DE$3&gt;TODAY()),"",IF(AND(DE468="",DF468=""),"",N(DF468)-N(DE468)))</f>
        <v/>
      </c>
      <c r="DJ468">
        <f>IF(OR(DE$3="",DE$3&gt;TODAY()),"",IF(AND(DH468="",DI468=""),"",N(DI468)-N(DH468)))</f>
        <v/>
      </c>
      <c r="DN468">
        <f>IF(OR(DL$3="",DL$3&gt;TODAY()),"",IF(AND(DL468="",DM468=""),"",N(DM468)-N(DL468)))</f>
        <v/>
      </c>
      <c r="DQ468">
        <f>IF(OR(DL$3="",DL$3&gt;TODAY()),"",IF(AND(DO468="",DP468=""),"",N(DP468)-N(DO468)))</f>
        <v/>
      </c>
      <c r="DU468">
        <f>IF(OR(DS$3="",DS$3&gt;TODAY()),"",IF(AND(DS468="",DT468=""),"",N(DT468)-N(DS468)))</f>
        <v/>
      </c>
      <c r="DX468">
        <f>IF(OR(DS$3="",DS$3&gt;TODAY()),"",IF(AND(DV468="",DW468=""),"",N(DW468)-N(DV468)))</f>
        <v/>
      </c>
      <c r="EB468">
        <f>IF(OR(DZ$3="",DZ$3&gt;TODAY()),"",IF(AND(DZ468="",EA468=""),"",N(EA468)-N(DZ468)))</f>
        <v/>
      </c>
      <c r="EE468">
        <f>IF(OR(DZ$3="",DZ$3&gt;TODAY()),"",IF(AND(EC468="",ED468=""),"",N(ED468)-N(EC468)))</f>
        <v/>
      </c>
      <c r="EI468">
        <f>IF(OR(EG$3="",EG$3&gt;TODAY()),"",IF(AND(EG468="",EH468=""),"",N(EH468)-N(EG468)))</f>
        <v/>
      </c>
      <c r="EL468">
        <f>IF(OR(EG$3="",EG$3&gt;TODAY()),"",IF(AND(EJ468="",EK468=""),"",N(EK468)-N(EJ468)))</f>
        <v/>
      </c>
      <c r="EP468">
        <f>IF(OR(EN$3="",EN$3&gt;TODAY()),"",IF(AND(EN468="",EO468=""),"",N(EO468)-N(EN468)))</f>
        <v/>
      </c>
      <c r="ES468">
        <f>IF(OR(EN$3="",EN$3&gt;TODAY()),"",IF(AND(EQ468="",ER468=""),"",N(ER468)-N(EQ468)))</f>
        <v/>
      </c>
      <c r="EW468">
        <f>IF(OR(EU$3="",EU$3&gt;TODAY()),"",IF(AND(EU468="",EV468=""),"",N(EV468)-N(EU468)))</f>
        <v/>
      </c>
      <c r="EZ468">
        <f>IF(OR(EU$3="",EU$3&gt;TODAY()),"",IF(AND(EX468="",EY468=""),"",N(EY468)-N(EX468)))</f>
        <v/>
      </c>
      <c r="FD468">
        <f>IF(OR(FB$3="",FB$3&gt;TODAY()),"",IF(AND(FB468="",FC468=""),"",N(FC468)-N(FB468)))</f>
        <v/>
      </c>
      <c r="FG468">
        <f>IF(OR(FB$3="",FB$3&gt;TODAY()),"",IF(AND(FE468="",FF468=""),"",N(FF468)-N(FE468)))</f>
        <v/>
      </c>
      <c r="FK468">
        <f>IF(OR(FI$3="",FI$3&gt;TODAY()),"",IF(AND(FI468="",FJ468=""),"",N(FJ468)-N(FI468)))</f>
        <v/>
      </c>
      <c r="FN468">
        <f>IF(OR(FI$3="",FI$3&gt;TODAY()),"",IF(AND(FL468="",FM468=""),"",N(FM468)-N(FL468)))</f>
        <v/>
      </c>
      <c r="FR468">
        <f>IF(OR(FP$3="",FP$3&gt;TODAY()),"",IF(AND(FP468="",FQ468=""),"",N(FQ468)-N(FP468)))</f>
        <v/>
      </c>
      <c r="FU468">
        <f>IF(OR(FP$3="",FP$3&gt;TODAY()),"",IF(AND(FS468="",FT468=""),"",N(FT468)-N(FS468)))</f>
        <v/>
      </c>
      <c r="FY468">
        <f>IF(OR(FW$3="",FW$3&gt;TODAY()),"",IF(AND(FW468="",FX468=""),"",N(FX468)-N(FW468)))</f>
        <v/>
      </c>
      <c r="GB468">
        <f>IF(OR(FW$3="",FW$3&gt;TODAY()),"",IF(AND(FZ468="",GA468=""),"",N(GA468)-N(FZ468)))</f>
        <v/>
      </c>
      <c r="GF468">
        <f>IF(OR(GD$3="",GD$3&gt;TODAY()),"",IF(AND(GD468="",GE468=""),"",N(GE468)-N(GD468)))</f>
        <v/>
      </c>
      <c r="GI468">
        <f>IF(OR(GD$3="",GD$3&gt;TODAY()),"",IF(AND(GG468="",GH468=""),"",N(GH468)-N(GG468)))</f>
        <v/>
      </c>
      <c r="GM468">
        <f>IF(OR(GK$3="",GK$3&gt;TODAY()),"",IF(AND(GK468="",GL468=""),"",N(GL468)-N(GK468)))</f>
        <v/>
      </c>
      <c r="GP468">
        <f>IF(OR(GK$3="",GK$3&gt;TODAY()),"",IF(AND(GN468="",GO468=""),"",N(GO468)-N(GN468)))</f>
        <v/>
      </c>
      <c r="GT468">
        <f>IF(OR(GR$3="",GR$3&gt;TODAY()),"",IF(AND(GR468="",GS468=""),"",N(GS468)-N(GR468)))</f>
        <v/>
      </c>
      <c r="GW468">
        <f>IF(OR(GR$3="",GR$3&gt;TODAY()),"",IF(AND(GU468="",GV468=""),"",N(GV468)-N(GU468)))</f>
        <v/>
      </c>
      <c r="HA468">
        <f>IF(OR(GY$3="",GY$3&gt;TODAY()),"",IF(AND(GY468="",GZ468=""),"",N(GZ468)-N(GY468)))</f>
        <v/>
      </c>
      <c r="HD468">
        <f>IF(OR(GY$3="",GY$3&gt;TODAY()),"",IF(AND(HB468="",HC468=""),"",N(HC468)-N(HB468)))</f>
        <v/>
      </c>
      <c r="HH468">
        <f>IF(OR(HF$3="",HF$3&gt;TODAY()),"",IF(AND(HF468="",HG468=""),"",N(HG468)-N(HF468)))</f>
        <v/>
      </c>
      <c r="HK468">
        <f>IF(OR(HF$3="",HF$3&gt;TODAY()),"",IF(AND(HI468="",HJ468=""),"",N(HJ468)-N(HI468)))</f>
        <v/>
      </c>
      <c r="HO468">
        <f>IF(OR(HM$3="",HM$3&gt;TODAY()),"",IF(AND(HM468="",HN468=""),"",N(HN468)-N(HM468)))</f>
        <v/>
      </c>
      <c r="HR468">
        <f>IF(OR(HM$3="",HM$3&gt;TODAY()),"",IF(AND(HP468="",HQ468=""),"",N(HQ468)-N(HP468)))</f>
        <v/>
      </c>
      <c r="HV468">
        <f>IF(OR(HT$3="",HT$3&gt;TODAY()),"",IF(AND(HT468="",HU468=""),"",N(HU468)-N(HT468)))</f>
        <v/>
      </c>
      <c r="HY468">
        <f>IF(OR(HT$3="",HT$3&gt;TODAY()),"",IF(AND(HW468="",HX468=""),"",N(HX468)-N(HW468)))</f>
        <v/>
      </c>
      <c r="IC468">
        <f>IF(OR(IA$3="",IA$3&gt;TODAY()),"",IF(AND(IA468="",IB468=""),"",N(IB468)-N(IA468)))</f>
        <v/>
      </c>
      <c r="IF468">
        <f>IF(OR(IA$3="",IA$3&gt;TODAY()),"",IF(AND(ID468="",IE468=""),"",N(IE468)-N(ID468)))</f>
        <v/>
      </c>
      <c r="IJ468">
        <f>IF(OR(IH$3="",IH$3&gt;TODAY()),"",IF(AND(IH468="",II468=""),"",N(II468)-N(IH468)))</f>
        <v/>
      </c>
      <c r="IM468">
        <f>IF(OR(IH$3="",IH$3&gt;TODAY()),"",IF(AND(IK468="",IL468=""),"",N(IL468)-N(IK468)))</f>
        <v/>
      </c>
    </row>
    <row r="469">
      <c r="A469" s="21" t="n"/>
      <c r="B469" s="21" t="n"/>
      <c r="C469" s="21" t="n"/>
      <c r="D469" s="21" t="n"/>
      <c r="E469" s="21" t="n"/>
      <c r="F469" s="21" t="n"/>
      <c r="G469" s="21" t="n"/>
      <c r="H469" s="21" t="n"/>
      <c r="I469" s="22" t="n"/>
      <c r="J469" s="22" t="n"/>
      <c r="K469" s="23" t="n"/>
      <c r="L469" s="22" t="n"/>
      <c r="M469" s="22" t="n"/>
      <c r="N469" s="21" t="n"/>
      <c r="O469" s="23" t="n"/>
      <c r="P469" s="23" t="n"/>
      <c r="Q469" s="23" t="n"/>
      <c r="R469" s="23" t="n"/>
      <c r="S469" s="22" t="n"/>
      <c r="T469" s="23" t="n"/>
      <c r="U469" s="23" t="n"/>
      <c r="V469" s="24">
        <f>IF(J469&lt;&gt;"",J469,IF(I469&lt;&gt;"",I469,""))</f>
        <v/>
      </c>
      <c r="W469" s="25">
        <f>IF($E469="","",N(O469)+SUMIFS($AF469:$IN469,$AF$4:$IN$4,"SEW_ACT"))</f>
        <v/>
      </c>
      <c r="X469" s="25">
        <f>IF($E469="","",N(P469)+SUMIFS($AF469:$IN469,$AF$4:$IN$4,"WASH_ACT"))</f>
        <v/>
      </c>
      <c r="Y469" s="25">
        <f>IF($E469="","",W469-X469-N(T469)-N(U469))</f>
        <v/>
      </c>
      <c r="Z469" s="25">
        <f>IF($E469="","",IF(N(K469)-X469&lt;=0.02*N(K469),0,N(K469)-X469))</f>
        <v/>
      </c>
      <c r="AA469" s="24">
        <f>IF($E469="","",IF(S469&lt;&gt;"",S469,IF(N(O469)&gt;0,IF(L469&lt;&gt;"",L469,99999),IFERROR(1/(1/_xlfn.MINIFS($AF$3:$IN$3,$AF$4:$IN$4,"SEW_ACT",$AF469:$IN469,"&gt;0")),99999))))</f>
        <v/>
      </c>
      <c r="AB469" s="26">
        <f>IF(OR($E469="",Z469=0,V469=""),"",1+COUNTIFS(Z$8:Z$707,"&gt;0",V$8:V$707,"&lt;"&amp;V469)+COUNTIFS(Z$8:Z$707,"&gt;0",V$8:V$707,V469,AA$8:AA$707,"&lt;"&amp;AA469)+COUNTIFS(Z$8:Z$707,"&gt;0",V$8:V$707,V469,AA$8:AA$707,AA469,E$8:E$707,"&lt;"&amp;$E469))</f>
        <v/>
      </c>
      <c r="AC469" s="24">
        <f>IF(OR($E469="",Z469=0),"",IFERROR(TODAY()+ROUNDUP(Z469/(SUMIFS($AF469:$IN469,$AF$4:$IN$4,"WASH_ACT")/COUNTIFS($AF$4:$IN$4,"WASH_ACT",$AF469:$IN469,"&gt;0")),0),"no output yet"))</f>
        <v/>
      </c>
      <c r="AD469" s="26">
        <f>IF($E469="","",IFERROR(ROUND(MAX(0,SUMIFS($AF469:$IN469,$AF$4:$IN$4,"SEW_PLAN",$AF$3:$IN$3,"&lt;="&amp;TODAY())-SUMIFS($AF469:$IN469,$AF$4:$IN$4,"SEW_ACT",$AF$3:$IN$3,"&lt;="&amp;TODAY())+N(Q469))/(SUMIFS($AF469:$IN469,$AF$4:$IN$4,"SEW_PLAN")/COUNTIFS($AF$4:$IN$4,"SEW_PLAN",$AF469:$IN469,"&gt;0")),1),0))</f>
        <v/>
      </c>
      <c r="AE469" s="26">
        <f>IF($E469="","",IF(AND(Z469&gt;0,OR(AND(M469&lt;&gt;"",TODAY()&gt;M469),AND(V469&lt;&gt;"",V469-TODAY()&lt;=7))),"Yes","No"))</f>
        <v/>
      </c>
      <c r="AH469">
        <f>IF(OR(AF$3="",AF$3&gt;TODAY()),"",IF(AND(AF469="",AG469=""),"",N(AG469)-N(AF469)))</f>
        <v/>
      </c>
      <c r="AK469">
        <f>IF(OR(AF$3="",AF$3&gt;TODAY()),"",IF(AND(AI469="",AJ469=""),"",N(AJ469)-N(AI469)))</f>
        <v/>
      </c>
      <c r="AO469">
        <f>IF(OR(AM$3="",AM$3&gt;TODAY()),"",IF(AND(AM469="",AN469=""),"",N(AN469)-N(AM469)))</f>
        <v/>
      </c>
      <c r="AR469">
        <f>IF(OR(AM$3="",AM$3&gt;TODAY()),"",IF(AND(AP469="",AQ469=""),"",N(AQ469)-N(AP469)))</f>
        <v/>
      </c>
      <c r="AV469">
        <f>IF(OR(AT$3="",AT$3&gt;TODAY()),"",IF(AND(AT469="",AU469=""),"",N(AU469)-N(AT469)))</f>
        <v/>
      </c>
      <c r="AY469">
        <f>IF(OR(AT$3="",AT$3&gt;TODAY()),"",IF(AND(AW469="",AX469=""),"",N(AX469)-N(AW469)))</f>
        <v/>
      </c>
      <c r="BC469">
        <f>IF(OR(BA$3="",BA$3&gt;TODAY()),"",IF(AND(BA469="",BB469=""),"",N(BB469)-N(BA469)))</f>
        <v/>
      </c>
      <c r="BF469">
        <f>IF(OR(BA$3="",BA$3&gt;TODAY()),"",IF(AND(BD469="",BE469=""),"",N(BE469)-N(BD469)))</f>
        <v/>
      </c>
      <c r="BJ469">
        <f>IF(OR(BH$3="",BH$3&gt;TODAY()),"",IF(AND(BH469="",BI469=""),"",N(BI469)-N(BH469)))</f>
        <v/>
      </c>
      <c r="BM469">
        <f>IF(OR(BH$3="",BH$3&gt;TODAY()),"",IF(AND(BK469="",BL469=""),"",N(BL469)-N(BK469)))</f>
        <v/>
      </c>
      <c r="BQ469">
        <f>IF(OR(BO$3="",BO$3&gt;TODAY()),"",IF(AND(BO469="",BP469=""),"",N(BP469)-N(BO469)))</f>
        <v/>
      </c>
      <c r="BT469">
        <f>IF(OR(BO$3="",BO$3&gt;TODAY()),"",IF(AND(BR469="",BS469=""),"",N(BS469)-N(BR469)))</f>
        <v/>
      </c>
      <c r="BX469">
        <f>IF(OR(BV$3="",BV$3&gt;TODAY()),"",IF(AND(BV469="",BW469=""),"",N(BW469)-N(BV469)))</f>
        <v/>
      </c>
      <c r="CA469">
        <f>IF(OR(BV$3="",BV$3&gt;TODAY()),"",IF(AND(BY469="",BZ469=""),"",N(BZ469)-N(BY469)))</f>
        <v/>
      </c>
      <c r="CE469">
        <f>IF(OR(CC$3="",CC$3&gt;TODAY()),"",IF(AND(CC469="",CD469=""),"",N(CD469)-N(CC469)))</f>
        <v/>
      </c>
      <c r="CH469">
        <f>IF(OR(CC$3="",CC$3&gt;TODAY()),"",IF(AND(CF469="",CG469=""),"",N(CG469)-N(CF469)))</f>
        <v/>
      </c>
      <c r="CL469">
        <f>IF(OR(CJ$3="",CJ$3&gt;TODAY()),"",IF(AND(CJ469="",CK469=""),"",N(CK469)-N(CJ469)))</f>
        <v/>
      </c>
      <c r="CO469">
        <f>IF(OR(CJ$3="",CJ$3&gt;TODAY()),"",IF(AND(CM469="",CN469=""),"",N(CN469)-N(CM469)))</f>
        <v/>
      </c>
      <c r="CS469">
        <f>IF(OR(CQ$3="",CQ$3&gt;TODAY()),"",IF(AND(CQ469="",CR469=""),"",N(CR469)-N(CQ469)))</f>
        <v/>
      </c>
      <c r="CV469">
        <f>IF(OR(CQ$3="",CQ$3&gt;TODAY()),"",IF(AND(CT469="",CU469=""),"",N(CU469)-N(CT469)))</f>
        <v/>
      </c>
      <c r="CZ469">
        <f>IF(OR(CX$3="",CX$3&gt;TODAY()),"",IF(AND(CX469="",CY469=""),"",N(CY469)-N(CX469)))</f>
        <v/>
      </c>
      <c r="DC469">
        <f>IF(OR(CX$3="",CX$3&gt;TODAY()),"",IF(AND(DA469="",DB469=""),"",N(DB469)-N(DA469)))</f>
        <v/>
      </c>
      <c r="DG469">
        <f>IF(OR(DE$3="",DE$3&gt;TODAY()),"",IF(AND(DE469="",DF469=""),"",N(DF469)-N(DE469)))</f>
        <v/>
      </c>
      <c r="DJ469">
        <f>IF(OR(DE$3="",DE$3&gt;TODAY()),"",IF(AND(DH469="",DI469=""),"",N(DI469)-N(DH469)))</f>
        <v/>
      </c>
      <c r="DN469">
        <f>IF(OR(DL$3="",DL$3&gt;TODAY()),"",IF(AND(DL469="",DM469=""),"",N(DM469)-N(DL469)))</f>
        <v/>
      </c>
      <c r="DQ469">
        <f>IF(OR(DL$3="",DL$3&gt;TODAY()),"",IF(AND(DO469="",DP469=""),"",N(DP469)-N(DO469)))</f>
        <v/>
      </c>
      <c r="DU469">
        <f>IF(OR(DS$3="",DS$3&gt;TODAY()),"",IF(AND(DS469="",DT469=""),"",N(DT469)-N(DS469)))</f>
        <v/>
      </c>
      <c r="DX469">
        <f>IF(OR(DS$3="",DS$3&gt;TODAY()),"",IF(AND(DV469="",DW469=""),"",N(DW469)-N(DV469)))</f>
        <v/>
      </c>
      <c r="EB469">
        <f>IF(OR(DZ$3="",DZ$3&gt;TODAY()),"",IF(AND(DZ469="",EA469=""),"",N(EA469)-N(DZ469)))</f>
        <v/>
      </c>
      <c r="EE469">
        <f>IF(OR(DZ$3="",DZ$3&gt;TODAY()),"",IF(AND(EC469="",ED469=""),"",N(ED469)-N(EC469)))</f>
        <v/>
      </c>
      <c r="EI469">
        <f>IF(OR(EG$3="",EG$3&gt;TODAY()),"",IF(AND(EG469="",EH469=""),"",N(EH469)-N(EG469)))</f>
        <v/>
      </c>
      <c r="EL469">
        <f>IF(OR(EG$3="",EG$3&gt;TODAY()),"",IF(AND(EJ469="",EK469=""),"",N(EK469)-N(EJ469)))</f>
        <v/>
      </c>
      <c r="EP469">
        <f>IF(OR(EN$3="",EN$3&gt;TODAY()),"",IF(AND(EN469="",EO469=""),"",N(EO469)-N(EN469)))</f>
        <v/>
      </c>
      <c r="ES469">
        <f>IF(OR(EN$3="",EN$3&gt;TODAY()),"",IF(AND(EQ469="",ER469=""),"",N(ER469)-N(EQ469)))</f>
        <v/>
      </c>
      <c r="EW469">
        <f>IF(OR(EU$3="",EU$3&gt;TODAY()),"",IF(AND(EU469="",EV469=""),"",N(EV469)-N(EU469)))</f>
        <v/>
      </c>
      <c r="EZ469">
        <f>IF(OR(EU$3="",EU$3&gt;TODAY()),"",IF(AND(EX469="",EY469=""),"",N(EY469)-N(EX469)))</f>
        <v/>
      </c>
      <c r="FD469">
        <f>IF(OR(FB$3="",FB$3&gt;TODAY()),"",IF(AND(FB469="",FC469=""),"",N(FC469)-N(FB469)))</f>
        <v/>
      </c>
      <c r="FG469">
        <f>IF(OR(FB$3="",FB$3&gt;TODAY()),"",IF(AND(FE469="",FF469=""),"",N(FF469)-N(FE469)))</f>
        <v/>
      </c>
      <c r="FK469">
        <f>IF(OR(FI$3="",FI$3&gt;TODAY()),"",IF(AND(FI469="",FJ469=""),"",N(FJ469)-N(FI469)))</f>
        <v/>
      </c>
      <c r="FN469">
        <f>IF(OR(FI$3="",FI$3&gt;TODAY()),"",IF(AND(FL469="",FM469=""),"",N(FM469)-N(FL469)))</f>
        <v/>
      </c>
      <c r="FR469">
        <f>IF(OR(FP$3="",FP$3&gt;TODAY()),"",IF(AND(FP469="",FQ469=""),"",N(FQ469)-N(FP469)))</f>
        <v/>
      </c>
      <c r="FU469">
        <f>IF(OR(FP$3="",FP$3&gt;TODAY()),"",IF(AND(FS469="",FT469=""),"",N(FT469)-N(FS469)))</f>
        <v/>
      </c>
      <c r="FY469">
        <f>IF(OR(FW$3="",FW$3&gt;TODAY()),"",IF(AND(FW469="",FX469=""),"",N(FX469)-N(FW469)))</f>
        <v/>
      </c>
      <c r="GB469">
        <f>IF(OR(FW$3="",FW$3&gt;TODAY()),"",IF(AND(FZ469="",GA469=""),"",N(GA469)-N(FZ469)))</f>
        <v/>
      </c>
      <c r="GF469">
        <f>IF(OR(GD$3="",GD$3&gt;TODAY()),"",IF(AND(GD469="",GE469=""),"",N(GE469)-N(GD469)))</f>
        <v/>
      </c>
      <c r="GI469">
        <f>IF(OR(GD$3="",GD$3&gt;TODAY()),"",IF(AND(GG469="",GH469=""),"",N(GH469)-N(GG469)))</f>
        <v/>
      </c>
      <c r="GM469">
        <f>IF(OR(GK$3="",GK$3&gt;TODAY()),"",IF(AND(GK469="",GL469=""),"",N(GL469)-N(GK469)))</f>
        <v/>
      </c>
      <c r="GP469">
        <f>IF(OR(GK$3="",GK$3&gt;TODAY()),"",IF(AND(GN469="",GO469=""),"",N(GO469)-N(GN469)))</f>
        <v/>
      </c>
      <c r="GT469">
        <f>IF(OR(GR$3="",GR$3&gt;TODAY()),"",IF(AND(GR469="",GS469=""),"",N(GS469)-N(GR469)))</f>
        <v/>
      </c>
      <c r="GW469">
        <f>IF(OR(GR$3="",GR$3&gt;TODAY()),"",IF(AND(GU469="",GV469=""),"",N(GV469)-N(GU469)))</f>
        <v/>
      </c>
      <c r="HA469">
        <f>IF(OR(GY$3="",GY$3&gt;TODAY()),"",IF(AND(GY469="",GZ469=""),"",N(GZ469)-N(GY469)))</f>
        <v/>
      </c>
      <c r="HD469">
        <f>IF(OR(GY$3="",GY$3&gt;TODAY()),"",IF(AND(HB469="",HC469=""),"",N(HC469)-N(HB469)))</f>
        <v/>
      </c>
      <c r="HH469">
        <f>IF(OR(HF$3="",HF$3&gt;TODAY()),"",IF(AND(HF469="",HG469=""),"",N(HG469)-N(HF469)))</f>
        <v/>
      </c>
      <c r="HK469">
        <f>IF(OR(HF$3="",HF$3&gt;TODAY()),"",IF(AND(HI469="",HJ469=""),"",N(HJ469)-N(HI469)))</f>
        <v/>
      </c>
      <c r="HO469">
        <f>IF(OR(HM$3="",HM$3&gt;TODAY()),"",IF(AND(HM469="",HN469=""),"",N(HN469)-N(HM469)))</f>
        <v/>
      </c>
      <c r="HR469">
        <f>IF(OR(HM$3="",HM$3&gt;TODAY()),"",IF(AND(HP469="",HQ469=""),"",N(HQ469)-N(HP469)))</f>
        <v/>
      </c>
      <c r="HV469">
        <f>IF(OR(HT$3="",HT$3&gt;TODAY()),"",IF(AND(HT469="",HU469=""),"",N(HU469)-N(HT469)))</f>
        <v/>
      </c>
      <c r="HY469">
        <f>IF(OR(HT$3="",HT$3&gt;TODAY()),"",IF(AND(HW469="",HX469=""),"",N(HX469)-N(HW469)))</f>
        <v/>
      </c>
      <c r="IC469">
        <f>IF(OR(IA$3="",IA$3&gt;TODAY()),"",IF(AND(IA469="",IB469=""),"",N(IB469)-N(IA469)))</f>
        <v/>
      </c>
      <c r="IF469">
        <f>IF(OR(IA$3="",IA$3&gt;TODAY()),"",IF(AND(ID469="",IE469=""),"",N(IE469)-N(ID469)))</f>
        <v/>
      </c>
      <c r="IJ469">
        <f>IF(OR(IH$3="",IH$3&gt;TODAY()),"",IF(AND(IH469="",II469=""),"",N(II469)-N(IH469)))</f>
        <v/>
      </c>
      <c r="IM469">
        <f>IF(OR(IH$3="",IH$3&gt;TODAY()),"",IF(AND(IK469="",IL469=""),"",N(IL469)-N(IK469)))</f>
        <v/>
      </c>
    </row>
    <row r="470">
      <c r="A470" s="21" t="n"/>
      <c r="B470" s="21" t="n"/>
      <c r="C470" s="21" t="n"/>
      <c r="D470" s="21" t="n"/>
      <c r="E470" s="21" t="n"/>
      <c r="F470" s="21" t="n"/>
      <c r="G470" s="21" t="n"/>
      <c r="H470" s="21" t="n"/>
      <c r="I470" s="22" t="n"/>
      <c r="J470" s="22" t="n"/>
      <c r="K470" s="23" t="n"/>
      <c r="L470" s="22" t="n"/>
      <c r="M470" s="22" t="n"/>
      <c r="N470" s="21" t="n"/>
      <c r="O470" s="23" t="n"/>
      <c r="P470" s="23" t="n"/>
      <c r="Q470" s="23" t="n"/>
      <c r="R470" s="23" t="n"/>
      <c r="S470" s="22" t="n"/>
      <c r="T470" s="23" t="n"/>
      <c r="U470" s="23" t="n"/>
      <c r="V470" s="24">
        <f>IF(J470&lt;&gt;"",J470,IF(I470&lt;&gt;"",I470,""))</f>
        <v/>
      </c>
      <c r="W470" s="25">
        <f>IF($E470="","",N(O470)+SUMIFS($AF470:$IN470,$AF$4:$IN$4,"SEW_ACT"))</f>
        <v/>
      </c>
      <c r="X470" s="25">
        <f>IF($E470="","",N(P470)+SUMIFS($AF470:$IN470,$AF$4:$IN$4,"WASH_ACT"))</f>
        <v/>
      </c>
      <c r="Y470" s="25">
        <f>IF($E470="","",W470-X470-N(T470)-N(U470))</f>
        <v/>
      </c>
      <c r="Z470" s="25">
        <f>IF($E470="","",IF(N(K470)-X470&lt;=0.02*N(K470),0,N(K470)-X470))</f>
        <v/>
      </c>
      <c r="AA470" s="24">
        <f>IF($E470="","",IF(S470&lt;&gt;"",S470,IF(N(O470)&gt;0,IF(L470&lt;&gt;"",L470,99999),IFERROR(1/(1/_xlfn.MINIFS($AF$3:$IN$3,$AF$4:$IN$4,"SEW_ACT",$AF470:$IN470,"&gt;0")),99999))))</f>
        <v/>
      </c>
      <c r="AB470" s="26">
        <f>IF(OR($E470="",Z470=0,V470=""),"",1+COUNTIFS(Z$8:Z$707,"&gt;0",V$8:V$707,"&lt;"&amp;V470)+COUNTIFS(Z$8:Z$707,"&gt;0",V$8:V$707,V470,AA$8:AA$707,"&lt;"&amp;AA470)+COUNTIFS(Z$8:Z$707,"&gt;0",V$8:V$707,V470,AA$8:AA$707,AA470,E$8:E$707,"&lt;"&amp;$E470))</f>
        <v/>
      </c>
      <c r="AC470" s="24">
        <f>IF(OR($E470="",Z470=0),"",IFERROR(TODAY()+ROUNDUP(Z470/(SUMIFS($AF470:$IN470,$AF$4:$IN$4,"WASH_ACT")/COUNTIFS($AF$4:$IN$4,"WASH_ACT",$AF470:$IN470,"&gt;0")),0),"no output yet"))</f>
        <v/>
      </c>
      <c r="AD470" s="26">
        <f>IF($E470="","",IFERROR(ROUND(MAX(0,SUMIFS($AF470:$IN470,$AF$4:$IN$4,"SEW_PLAN",$AF$3:$IN$3,"&lt;="&amp;TODAY())-SUMIFS($AF470:$IN470,$AF$4:$IN$4,"SEW_ACT",$AF$3:$IN$3,"&lt;="&amp;TODAY())+N(Q470))/(SUMIFS($AF470:$IN470,$AF$4:$IN$4,"SEW_PLAN")/COUNTIFS($AF$4:$IN$4,"SEW_PLAN",$AF470:$IN470,"&gt;0")),1),0))</f>
        <v/>
      </c>
      <c r="AE470" s="26">
        <f>IF($E470="","",IF(AND(Z470&gt;0,OR(AND(M470&lt;&gt;"",TODAY()&gt;M470),AND(V470&lt;&gt;"",V470-TODAY()&lt;=7))),"Yes","No"))</f>
        <v/>
      </c>
      <c r="AH470">
        <f>IF(OR(AF$3="",AF$3&gt;TODAY()),"",IF(AND(AF470="",AG470=""),"",N(AG470)-N(AF470)))</f>
        <v/>
      </c>
      <c r="AK470">
        <f>IF(OR(AF$3="",AF$3&gt;TODAY()),"",IF(AND(AI470="",AJ470=""),"",N(AJ470)-N(AI470)))</f>
        <v/>
      </c>
      <c r="AO470">
        <f>IF(OR(AM$3="",AM$3&gt;TODAY()),"",IF(AND(AM470="",AN470=""),"",N(AN470)-N(AM470)))</f>
        <v/>
      </c>
      <c r="AR470">
        <f>IF(OR(AM$3="",AM$3&gt;TODAY()),"",IF(AND(AP470="",AQ470=""),"",N(AQ470)-N(AP470)))</f>
        <v/>
      </c>
      <c r="AV470">
        <f>IF(OR(AT$3="",AT$3&gt;TODAY()),"",IF(AND(AT470="",AU470=""),"",N(AU470)-N(AT470)))</f>
        <v/>
      </c>
      <c r="AY470">
        <f>IF(OR(AT$3="",AT$3&gt;TODAY()),"",IF(AND(AW470="",AX470=""),"",N(AX470)-N(AW470)))</f>
        <v/>
      </c>
      <c r="BC470">
        <f>IF(OR(BA$3="",BA$3&gt;TODAY()),"",IF(AND(BA470="",BB470=""),"",N(BB470)-N(BA470)))</f>
        <v/>
      </c>
      <c r="BF470">
        <f>IF(OR(BA$3="",BA$3&gt;TODAY()),"",IF(AND(BD470="",BE470=""),"",N(BE470)-N(BD470)))</f>
        <v/>
      </c>
      <c r="BJ470">
        <f>IF(OR(BH$3="",BH$3&gt;TODAY()),"",IF(AND(BH470="",BI470=""),"",N(BI470)-N(BH470)))</f>
        <v/>
      </c>
      <c r="BM470">
        <f>IF(OR(BH$3="",BH$3&gt;TODAY()),"",IF(AND(BK470="",BL470=""),"",N(BL470)-N(BK470)))</f>
        <v/>
      </c>
      <c r="BQ470">
        <f>IF(OR(BO$3="",BO$3&gt;TODAY()),"",IF(AND(BO470="",BP470=""),"",N(BP470)-N(BO470)))</f>
        <v/>
      </c>
      <c r="BT470">
        <f>IF(OR(BO$3="",BO$3&gt;TODAY()),"",IF(AND(BR470="",BS470=""),"",N(BS470)-N(BR470)))</f>
        <v/>
      </c>
      <c r="BX470">
        <f>IF(OR(BV$3="",BV$3&gt;TODAY()),"",IF(AND(BV470="",BW470=""),"",N(BW470)-N(BV470)))</f>
        <v/>
      </c>
      <c r="CA470">
        <f>IF(OR(BV$3="",BV$3&gt;TODAY()),"",IF(AND(BY470="",BZ470=""),"",N(BZ470)-N(BY470)))</f>
        <v/>
      </c>
      <c r="CE470">
        <f>IF(OR(CC$3="",CC$3&gt;TODAY()),"",IF(AND(CC470="",CD470=""),"",N(CD470)-N(CC470)))</f>
        <v/>
      </c>
      <c r="CH470">
        <f>IF(OR(CC$3="",CC$3&gt;TODAY()),"",IF(AND(CF470="",CG470=""),"",N(CG470)-N(CF470)))</f>
        <v/>
      </c>
      <c r="CL470">
        <f>IF(OR(CJ$3="",CJ$3&gt;TODAY()),"",IF(AND(CJ470="",CK470=""),"",N(CK470)-N(CJ470)))</f>
        <v/>
      </c>
      <c r="CO470">
        <f>IF(OR(CJ$3="",CJ$3&gt;TODAY()),"",IF(AND(CM470="",CN470=""),"",N(CN470)-N(CM470)))</f>
        <v/>
      </c>
      <c r="CS470">
        <f>IF(OR(CQ$3="",CQ$3&gt;TODAY()),"",IF(AND(CQ470="",CR470=""),"",N(CR470)-N(CQ470)))</f>
        <v/>
      </c>
      <c r="CV470">
        <f>IF(OR(CQ$3="",CQ$3&gt;TODAY()),"",IF(AND(CT470="",CU470=""),"",N(CU470)-N(CT470)))</f>
        <v/>
      </c>
      <c r="CZ470">
        <f>IF(OR(CX$3="",CX$3&gt;TODAY()),"",IF(AND(CX470="",CY470=""),"",N(CY470)-N(CX470)))</f>
        <v/>
      </c>
      <c r="DC470">
        <f>IF(OR(CX$3="",CX$3&gt;TODAY()),"",IF(AND(DA470="",DB470=""),"",N(DB470)-N(DA470)))</f>
        <v/>
      </c>
      <c r="DG470">
        <f>IF(OR(DE$3="",DE$3&gt;TODAY()),"",IF(AND(DE470="",DF470=""),"",N(DF470)-N(DE470)))</f>
        <v/>
      </c>
      <c r="DJ470">
        <f>IF(OR(DE$3="",DE$3&gt;TODAY()),"",IF(AND(DH470="",DI470=""),"",N(DI470)-N(DH470)))</f>
        <v/>
      </c>
      <c r="DN470">
        <f>IF(OR(DL$3="",DL$3&gt;TODAY()),"",IF(AND(DL470="",DM470=""),"",N(DM470)-N(DL470)))</f>
        <v/>
      </c>
      <c r="DQ470">
        <f>IF(OR(DL$3="",DL$3&gt;TODAY()),"",IF(AND(DO470="",DP470=""),"",N(DP470)-N(DO470)))</f>
        <v/>
      </c>
      <c r="DU470">
        <f>IF(OR(DS$3="",DS$3&gt;TODAY()),"",IF(AND(DS470="",DT470=""),"",N(DT470)-N(DS470)))</f>
        <v/>
      </c>
      <c r="DX470">
        <f>IF(OR(DS$3="",DS$3&gt;TODAY()),"",IF(AND(DV470="",DW470=""),"",N(DW470)-N(DV470)))</f>
        <v/>
      </c>
      <c r="EB470">
        <f>IF(OR(DZ$3="",DZ$3&gt;TODAY()),"",IF(AND(DZ470="",EA470=""),"",N(EA470)-N(DZ470)))</f>
        <v/>
      </c>
      <c r="EE470">
        <f>IF(OR(DZ$3="",DZ$3&gt;TODAY()),"",IF(AND(EC470="",ED470=""),"",N(ED470)-N(EC470)))</f>
        <v/>
      </c>
      <c r="EI470">
        <f>IF(OR(EG$3="",EG$3&gt;TODAY()),"",IF(AND(EG470="",EH470=""),"",N(EH470)-N(EG470)))</f>
        <v/>
      </c>
      <c r="EL470">
        <f>IF(OR(EG$3="",EG$3&gt;TODAY()),"",IF(AND(EJ470="",EK470=""),"",N(EK470)-N(EJ470)))</f>
        <v/>
      </c>
      <c r="EP470">
        <f>IF(OR(EN$3="",EN$3&gt;TODAY()),"",IF(AND(EN470="",EO470=""),"",N(EO470)-N(EN470)))</f>
        <v/>
      </c>
      <c r="ES470">
        <f>IF(OR(EN$3="",EN$3&gt;TODAY()),"",IF(AND(EQ470="",ER470=""),"",N(ER470)-N(EQ470)))</f>
        <v/>
      </c>
      <c r="EW470">
        <f>IF(OR(EU$3="",EU$3&gt;TODAY()),"",IF(AND(EU470="",EV470=""),"",N(EV470)-N(EU470)))</f>
        <v/>
      </c>
      <c r="EZ470">
        <f>IF(OR(EU$3="",EU$3&gt;TODAY()),"",IF(AND(EX470="",EY470=""),"",N(EY470)-N(EX470)))</f>
        <v/>
      </c>
      <c r="FD470">
        <f>IF(OR(FB$3="",FB$3&gt;TODAY()),"",IF(AND(FB470="",FC470=""),"",N(FC470)-N(FB470)))</f>
        <v/>
      </c>
      <c r="FG470">
        <f>IF(OR(FB$3="",FB$3&gt;TODAY()),"",IF(AND(FE470="",FF470=""),"",N(FF470)-N(FE470)))</f>
        <v/>
      </c>
      <c r="FK470">
        <f>IF(OR(FI$3="",FI$3&gt;TODAY()),"",IF(AND(FI470="",FJ470=""),"",N(FJ470)-N(FI470)))</f>
        <v/>
      </c>
      <c r="FN470">
        <f>IF(OR(FI$3="",FI$3&gt;TODAY()),"",IF(AND(FL470="",FM470=""),"",N(FM470)-N(FL470)))</f>
        <v/>
      </c>
      <c r="FR470">
        <f>IF(OR(FP$3="",FP$3&gt;TODAY()),"",IF(AND(FP470="",FQ470=""),"",N(FQ470)-N(FP470)))</f>
        <v/>
      </c>
      <c r="FU470">
        <f>IF(OR(FP$3="",FP$3&gt;TODAY()),"",IF(AND(FS470="",FT470=""),"",N(FT470)-N(FS470)))</f>
        <v/>
      </c>
      <c r="FY470">
        <f>IF(OR(FW$3="",FW$3&gt;TODAY()),"",IF(AND(FW470="",FX470=""),"",N(FX470)-N(FW470)))</f>
        <v/>
      </c>
      <c r="GB470">
        <f>IF(OR(FW$3="",FW$3&gt;TODAY()),"",IF(AND(FZ470="",GA470=""),"",N(GA470)-N(FZ470)))</f>
        <v/>
      </c>
      <c r="GF470">
        <f>IF(OR(GD$3="",GD$3&gt;TODAY()),"",IF(AND(GD470="",GE470=""),"",N(GE470)-N(GD470)))</f>
        <v/>
      </c>
      <c r="GI470">
        <f>IF(OR(GD$3="",GD$3&gt;TODAY()),"",IF(AND(GG470="",GH470=""),"",N(GH470)-N(GG470)))</f>
        <v/>
      </c>
      <c r="GM470">
        <f>IF(OR(GK$3="",GK$3&gt;TODAY()),"",IF(AND(GK470="",GL470=""),"",N(GL470)-N(GK470)))</f>
        <v/>
      </c>
      <c r="GP470">
        <f>IF(OR(GK$3="",GK$3&gt;TODAY()),"",IF(AND(GN470="",GO470=""),"",N(GO470)-N(GN470)))</f>
        <v/>
      </c>
      <c r="GT470">
        <f>IF(OR(GR$3="",GR$3&gt;TODAY()),"",IF(AND(GR470="",GS470=""),"",N(GS470)-N(GR470)))</f>
        <v/>
      </c>
      <c r="GW470">
        <f>IF(OR(GR$3="",GR$3&gt;TODAY()),"",IF(AND(GU470="",GV470=""),"",N(GV470)-N(GU470)))</f>
        <v/>
      </c>
      <c r="HA470">
        <f>IF(OR(GY$3="",GY$3&gt;TODAY()),"",IF(AND(GY470="",GZ470=""),"",N(GZ470)-N(GY470)))</f>
        <v/>
      </c>
      <c r="HD470">
        <f>IF(OR(GY$3="",GY$3&gt;TODAY()),"",IF(AND(HB470="",HC470=""),"",N(HC470)-N(HB470)))</f>
        <v/>
      </c>
      <c r="HH470">
        <f>IF(OR(HF$3="",HF$3&gt;TODAY()),"",IF(AND(HF470="",HG470=""),"",N(HG470)-N(HF470)))</f>
        <v/>
      </c>
      <c r="HK470">
        <f>IF(OR(HF$3="",HF$3&gt;TODAY()),"",IF(AND(HI470="",HJ470=""),"",N(HJ470)-N(HI470)))</f>
        <v/>
      </c>
      <c r="HO470">
        <f>IF(OR(HM$3="",HM$3&gt;TODAY()),"",IF(AND(HM470="",HN470=""),"",N(HN470)-N(HM470)))</f>
        <v/>
      </c>
      <c r="HR470">
        <f>IF(OR(HM$3="",HM$3&gt;TODAY()),"",IF(AND(HP470="",HQ470=""),"",N(HQ470)-N(HP470)))</f>
        <v/>
      </c>
      <c r="HV470">
        <f>IF(OR(HT$3="",HT$3&gt;TODAY()),"",IF(AND(HT470="",HU470=""),"",N(HU470)-N(HT470)))</f>
        <v/>
      </c>
      <c r="HY470">
        <f>IF(OR(HT$3="",HT$3&gt;TODAY()),"",IF(AND(HW470="",HX470=""),"",N(HX470)-N(HW470)))</f>
        <v/>
      </c>
      <c r="IC470">
        <f>IF(OR(IA$3="",IA$3&gt;TODAY()),"",IF(AND(IA470="",IB470=""),"",N(IB470)-N(IA470)))</f>
        <v/>
      </c>
      <c r="IF470">
        <f>IF(OR(IA$3="",IA$3&gt;TODAY()),"",IF(AND(ID470="",IE470=""),"",N(IE470)-N(ID470)))</f>
        <v/>
      </c>
      <c r="IJ470">
        <f>IF(OR(IH$3="",IH$3&gt;TODAY()),"",IF(AND(IH470="",II470=""),"",N(II470)-N(IH470)))</f>
        <v/>
      </c>
      <c r="IM470">
        <f>IF(OR(IH$3="",IH$3&gt;TODAY()),"",IF(AND(IK470="",IL470=""),"",N(IL470)-N(IK470)))</f>
        <v/>
      </c>
    </row>
    <row r="471">
      <c r="A471" s="21" t="n"/>
      <c r="B471" s="21" t="n"/>
      <c r="C471" s="21" t="n"/>
      <c r="D471" s="21" t="n"/>
      <c r="E471" s="21" t="n"/>
      <c r="F471" s="21" t="n"/>
      <c r="G471" s="21" t="n"/>
      <c r="H471" s="21" t="n"/>
      <c r="I471" s="22" t="n"/>
      <c r="J471" s="22" t="n"/>
      <c r="K471" s="23" t="n"/>
      <c r="L471" s="22" t="n"/>
      <c r="M471" s="22" t="n"/>
      <c r="N471" s="21" t="n"/>
      <c r="O471" s="23" t="n"/>
      <c r="P471" s="23" t="n"/>
      <c r="Q471" s="23" t="n"/>
      <c r="R471" s="23" t="n"/>
      <c r="S471" s="22" t="n"/>
      <c r="T471" s="23" t="n"/>
      <c r="U471" s="23" t="n"/>
      <c r="V471" s="24">
        <f>IF(J471&lt;&gt;"",J471,IF(I471&lt;&gt;"",I471,""))</f>
        <v/>
      </c>
      <c r="W471" s="25">
        <f>IF($E471="","",N(O471)+SUMIFS($AF471:$IN471,$AF$4:$IN$4,"SEW_ACT"))</f>
        <v/>
      </c>
      <c r="X471" s="25">
        <f>IF($E471="","",N(P471)+SUMIFS($AF471:$IN471,$AF$4:$IN$4,"WASH_ACT"))</f>
        <v/>
      </c>
      <c r="Y471" s="25">
        <f>IF($E471="","",W471-X471-N(T471)-N(U471))</f>
        <v/>
      </c>
      <c r="Z471" s="25">
        <f>IF($E471="","",IF(N(K471)-X471&lt;=0.02*N(K471),0,N(K471)-X471))</f>
        <v/>
      </c>
      <c r="AA471" s="24">
        <f>IF($E471="","",IF(S471&lt;&gt;"",S471,IF(N(O471)&gt;0,IF(L471&lt;&gt;"",L471,99999),IFERROR(1/(1/_xlfn.MINIFS($AF$3:$IN$3,$AF$4:$IN$4,"SEW_ACT",$AF471:$IN471,"&gt;0")),99999))))</f>
        <v/>
      </c>
      <c r="AB471" s="26">
        <f>IF(OR($E471="",Z471=0,V471=""),"",1+COUNTIFS(Z$8:Z$707,"&gt;0",V$8:V$707,"&lt;"&amp;V471)+COUNTIFS(Z$8:Z$707,"&gt;0",V$8:V$707,V471,AA$8:AA$707,"&lt;"&amp;AA471)+COUNTIFS(Z$8:Z$707,"&gt;0",V$8:V$707,V471,AA$8:AA$707,AA471,E$8:E$707,"&lt;"&amp;$E471))</f>
        <v/>
      </c>
      <c r="AC471" s="24">
        <f>IF(OR($E471="",Z471=0),"",IFERROR(TODAY()+ROUNDUP(Z471/(SUMIFS($AF471:$IN471,$AF$4:$IN$4,"WASH_ACT")/COUNTIFS($AF$4:$IN$4,"WASH_ACT",$AF471:$IN471,"&gt;0")),0),"no output yet"))</f>
        <v/>
      </c>
      <c r="AD471" s="26">
        <f>IF($E471="","",IFERROR(ROUND(MAX(0,SUMIFS($AF471:$IN471,$AF$4:$IN$4,"SEW_PLAN",$AF$3:$IN$3,"&lt;="&amp;TODAY())-SUMIFS($AF471:$IN471,$AF$4:$IN$4,"SEW_ACT",$AF$3:$IN$3,"&lt;="&amp;TODAY())+N(Q471))/(SUMIFS($AF471:$IN471,$AF$4:$IN$4,"SEW_PLAN")/COUNTIFS($AF$4:$IN$4,"SEW_PLAN",$AF471:$IN471,"&gt;0")),1),0))</f>
        <v/>
      </c>
      <c r="AE471" s="26">
        <f>IF($E471="","",IF(AND(Z471&gt;0,OR(AND(M471&lt;&gt;"",TODAY()&gt;M471),AND(V471&lt;&gt;"",V471-TODAY()&lt;=7))),"Yes","No"))</f>
        <v/>
      </c>
      <c r="AH471">
        <f>IF(OR(AF$3="",AF$3&gt;TODAY()),"",IF(AND(AF471="",AG471=""),"",N(AG471)-N(AF471)))</f>
        <v/>
      </c>
      <c r="AK471">
        <f>IF(OR(AF$3="",AF$3&gt;TODAY()),"",IF(AND(AI471="",AJ471=""),"",N(AJ471)-N(AI471)))</f>
        <v/>
      </c>
      <c r="AO471">
        <f>IF(OR(AM$3="",AM$3&gt;TODAY()),"",IF(AND(AM471="",AN471=""),"",N(AN471)-N(AM471)))</f>
        <v/>
      </c>
      <c r="AR471">
        <f>IF(OR(AM$3="",AM$3&gt;TODAY()),"",IF(AND(AP471="",AQ471=""),"",N(AQ471)-N(AP471)))</f>
        <v/>
      </c>
      <c r="AV471">
        <f>IF(OR(AT$3="",AT$3&gt;TODAY()),"",IF(AND(AT471="",AU471=""),"",N(AU471)-N(AT471)))</f>
        <v/>
      </c>
      <c r="AY471">
        <f>IF(OR(AT$3="",AT$3&gt;TODAY()),"",IF(AND(AW471="",AX471=""),"",N(AX471)-N(AW471)))</f>
        <v/>
      </c>
      <c r="BC471">
        <f>IF(OR(BA$3="",BA$3&gt;TODAY()),"",IF(AND(BA471="",BB471=""),"",N(BB471)-N(BA471)))</f>
        <v/>
      </c>
      <c r="BF471">
        <f>IF(OR(BA$3="",BA$3&gt;TODAY()),"",IF(AND(BD471="",BE471=""),"",N(BE471)-N(BD471)))</f>
        <v/>
      </c>
      <c r="BJ471">
        <f>IF(OR(BH$3="",BH$3&gt;TODAY()),"",IF(AND(BH471="",BI471=""),"",N(BI471)-N(BH471)))</f>
        <v/>
      </c>
      <c r="BM471">
        <f>IF(OR(BH$3="",BH$3&gt;TODAY()),"",IF(AND(BK471="",BL471=""),"",N(BL471)-N(BK471)))</f>
        <v/>
      </c>
      <c r="BQ471">
        <f>IF(OR(BO$3="",BO$3&gt;TODAY()),"",IF(AND(BO471="",BP471=""),"",N(BP471)-N(BO471)))</f>
        <v/>
      </c>
      <c r="BT471">
        <f>IF(OR(BO$3="",BO$3&gt;TODAY()),"",IF(AND(BR471="",BS471=""),"",N(BS471)-N(BR471)))</f>
        <v/>
      </c>
      <c r="BX471">
        <f>IF(OR(BV$3="",BV$3&gt;TODAY()),"",IF(AND(BV471="",BW471=""),"",N(BW471)-N(BV471)))</f>
        <v/>
      </c>
      <c r="CA471">
        <f>IF(OR(BV$3="",BV$3&gt;TODAY()),"",IF(AND(BY471="",BZ471=""),"",N(BZ471)-N(BY471)))</f>
        <v/>
      </c>
      <c r="CE471">
        <f>IF(OR(CC$3="",CC$3&gt;TODAY()),"",IF(AND(CC471="",CD471=""),"",N(CD471)-N(CC471)))</f>
        <v/>
      </c>
      <c r="CH471">
        <f>IF(OR(CC$3="",CC$3&gt;TODAY()),"",IF(AND(CF471="",CG471=""),"",N(CG471)-N(CF471)))</f>
        <v/>
      </c>
      <c r="CL471">
        <f>IF(OR(CJ$3="",CJ$3&gt;TODAY()),"",IF(AND(CJ471="",CK471=""),"",N(CK471)-N(CJ471)))</f>
        <v/>
      </c>
      <c r="CO471">
        <f>IF(OR(CJ$3="",CJ$3&gt;TODAY()),"",IF(AND(CM471="",CN471=""),"",N(CN471)-N(CM471)))</f>
        <v/>
      </c>
      <c r="CS471">
        <f>IF(OR(CQ$3="",CQ$3&gt;TODAY()),"",IF(AND(CQ471="",CR471=""),"",N(CR471)-N(CQ471)))</f>
        <v/>
      </c>
      <c r="CV471">
        <f>IF(OR(CQ$3="",CQ$3&gt;TODAY()),"",IF(AND(CT471="",CU471=""),"",N(CU471)-N(CT471)))</f>
        <v/>
      </c>
      <c r="CZ471">
        <f>IF(OR(CX$3="",CX$3&gt;TODAY()),"",IF(AND(CX471="",CY471=""),"",N(CY471)-N(CX471)))</f>
        <v/>
      </c>
      <c r="DC471">
        <f>IF(OR(CX$3="",CX$3&gt;TODAY()),"",IF(AND(DA471="",DB471=""),"",N(DB471)-N(DA471)))</f>
        <v/>
      </c>
      <c r="DG471">
        <f>IF(OR(DE$3="",DE$3&gt;TODAY()),"",IF(AND(DE471="",DF471=""),"",N(DF471)-N(DE471)))</f>
        <v/>
      </c>
      <c r="DJ471">
        <f>IF(OR(DE$3="",DE$3&gt;TODAY()),"",IF(AND(DH471="",DI471=""),"",N(DI471)-N(DH471)))</f>
        <v/>
      </c>
      <c r="DN471">
        <f>IF(OR(DL$3="",DL$3&gt;TODAY()),"",IF(AND(DL471="",DM471=""),"",N(DM471)-N(DL471)))</f>
        <v/>
      </c>
      <c r="DQ471">
        <f>IF(OR(DL$3="",DL$3&gt;TODAY()),"",IF(AND(DO471="",DP471=""),"",N(DP471)-N(DO471)))</f>
        <v/>
      </c>
      <c r="DU471">
        <f>IF(OR(DS$3="",DS$3&gt;TODAY()),"",IF(AND(DS471="",DT471=""),"",N(DT471)-N(DS471)))</f>
        <v/>
      </c>
      <c r="DX471">
        <f>IF(OR(DS$3="",DS$3&gt;TODAY()),"",IF(AND(DV471="",DW471=""),"",N(DW471)-N(DV471)))</f>
        <v/>
      </c>
      <c r="EB471">
        <f>IF(OR(DZ$3="",DZ$3&gt;TODAY()),"",IF(AND(DZ471="",EA471=""),"",N(EA471)-N(DZ471)))</f>
        <v/>
      </c>
      <c r="EE471">
        <f>IF(OR(DZ$3="",DZ$3&gt;TODAY()),"",IF(AND(EC471="",ED471=""),"",N(ED471)-N(EC471)))</f>
        <v/>
      </c>
      <c r="EI471">
        <f>IF(OR(EG$3="",EG$3&gt;TODAY()),"",IF(AND(EG471="",EH471=""),"",N(EH471)-N(EG471)))</f>
        <v/>
      </c>
      <c r="EL471">
        <f>IF(OR(EG$3="",EG$3&gt;TODAY()),"",IF(AND(EJ471="",EK471=""),"",N(EK471)-N(EJ471)))</f>
        <v/>
      </c>
      <c r="EP471">
        <f>IF(OR(EN$3="",EN$3&gt;TODAY()),"",IF(AND(EN471="",EO471=""),"",N(EO471)-N(EN471)))</f>
        <v/>
      </c>
      <c r="ES471">
        <f>IF(OR(EN$3="",EN$3&gt;TODAY()),"",IF(AND(EQ471="",ER471=""),"",N(ER471)-N(EQ471)))</f>
        <v/>
      </c>
      <c r="EW471">
        <f>IF(OR(EU$3="",EU$3&gt;TODAY()),"",IF(AND(EU471="",EV471=""),"",N(EV471)-N(EU471)))</f>
        <v/>
      </c>
      <c r="EZ471">
        <f>IF(OR(EU$3="",EU$3&gt;TODAY()),"",IF(AND(EX471="",EY471=""),"",N(EY471)-N(EX471)))</f>
        <v/>
      </c>
      <c r="FD471">
        <f>IF(OR(FB$3="",FB$3&gt;TODAY()),"",IF(AND(FB471="",FC471=""),"",N(FC471)-N(FB471)))</f>
        <v/>
      </c>
      <c r="FG471">
        <f>IF(OR(FB$3="",FB$3&gt;TODAY()),"",IF(AND(FE471="",FF471=""),"",N(FF471)-N(FE471)))</f>
        <v/>
      </c>
      <c r="FK471">
        <f>IF(OR(FI$3="",FI$3&gt;TODAY()),"",IF(AND(FI471="",FJ471=""),"",N(FJ471)-N(FI471)))</f>
        <v/>
      </c>
      <c r="FN471">
        <f>IF(OR(FI$3="",FI$3&gt;TODAY()),"",IF(AND(FL471="",FM471=""),"",N(FM471)-N(FL471)))</f>
        <v/>
      </c>
      <c r="FR471">
        <f>IF(OR(FP$3="",FP$3&gt;TODAY()),"",IF(AND(FP471="",FQ471=""),"",N(FQ471)-N(FP471)))</f>
        <v/>
      </c>
      <c r="FU471">
        <f>IF(OR(FP$3="",FP$3&gt;TODAY()),"",IF(AND(FS471="",FT471=""),"",N(FT471)-N(FS471)))</f>
        <v/>
      </c>
      <c r="FY471">
        <f>IF(OR(FW$3="",FW$3&gt;TODAY()),"",IF(AND(FW471="",FX471=""),"",N(FX471)-N(FW471)))</f>
        <v/>
      </c>
      <c r="GB471">
        <f>IF(OR(FW$3="",FW$3&gt;TODAY()),"",IF(AND(FZ471="",GA471=""),"",N(GA471)-N(FZ471)))</f>
        <v/>
      </c>
      <c r="GF471">
        <f>IF(OR(GD$3="",GD$3&gt;TODAY()),"",IF(AND(GD471="",GE471=""),"",N(GE471)-N(GD471)))</f>
        <v/>
      </c>
      <c r="GI471">
        <f>IF(OR(GD$3="",GD$3&gt;TODAY()),"",IF(AND(GG471="",GH471=""),"",N(GH471)-N(GG471)))</f>
        <v/>
      </c>
      <c r="GM471">
        <f>IF(OR(GK$3="",GK$3&gt;TODAY()),"",IF(AND(GK471="",GL471=""),"",N(GL471)-N(GK471)))</f>
        <v/>
      </c>
      <c r="GP471">
        <f>IF(OR(GK$3="",GK$3&gt;TODAY()),"",IF(AND(GN471="",GO471=""),"",N(GO471)-N(GN471)))</f>
        <v/>
      </c>
      <c r="GT471">
        <f>IF(OR(GR$3="",GR$3&gt;TODAY()),"",IF(AND(GR471="",GS471=""),"",N(GS471)-N(GR471)))</f>
        <v/>
      </c>
      <c r="GW471">
        <f>IF(OR(GR$3="",GR$3&gt;TODAY()),"",IF(AND(GU471="",GV471=""),"",N(GV471)-N(GU471)))</f>
        <v/>
      </c>
      <c r="HA471">
        <f>IF(OR(GY$3="",GY$3&gt;TODAY()),"",IF(AND(GY471="",GZ471=""),"",N(GZ471)-N(GY471)))</f>
        <v/>
      </c>
      <c r="HD471">
        <f>IF(OR(GY$3="",GY$3&gt;TODAY()),"",IF(AND(HB471="",HC471=""),"",N(HC471)-N(HB471)))</f>
        <v/>
      </c>
      <c r="HH471">
        <f>IF(OR(HF$3="",HF$3&gt;TODAY()),"",IF(AND(HF471="",HG471=""),"",N(HG471)-N(HF471)))</f>
        <v/>
      </c>
      <c r="HK471">
        <f>IF(OR(HF$3="",HF$3&gt;TODAY()),"",IF(AND(HI471="",HJ471=""),"",N(HJ471)-N(HI471)))</f>
        <v/>
      </c>
      <c r="HO471">
        <f>IF(OR(HM$3="",HM$3&gt;TODAY()),"",IF(AND(HM471="",HN471=""),"",N(HN471)-N(HM471)))</f>
        <v/>
      </c>
      <c r="HR471">
        <f>IF(OR(HM$3="",HM$3&gt;TODAY()),"",IF(AND(HP471="",HQ471=""),"",N(HQ471)-N(HP471)))</f>
        <v/>
      </c>
      <c r="HV471">
        <f>IF(OR(HT$3="",HT$3&gt;TODAY()),"",IF(AND(HT471="",HU471=""),"",N(HU471)-N(HT471)))</f>
        <v/>
      </c>
      <c r="HY471">
        <f>IF(OR(HT$3="",HT$3&gt;TODAY()),"",IF(AND(HW471="",HX471=""),"",N(HX471)-N(HW471)))</f>
        <v/>
      </c>
      <c r="IC471">
        <f>IF(OR(IA$3="",IA$3&gt;TODAY()),"",IF(AND(IA471="",IB471=""),"",N(IB471)-N(IA471)))</f>
        <v/>
      </c>
      <c r="IF471">
        <f>IF(OR(IA$3="",IA$3&gt;TODAY()),"",IF(AND(ID471="",IE471=""),"",N(IE471)-N(ID471)))</f>
        <v/>
      </c>
      <c r="IJ471">
        <f>IF(OR(IH$3="",IH$3&gt;TODAY()),"",IF(AND(IH471="",II471=""),"",N(II471)-N(IH471)))</f>
        <v/>
      </c>
      <c r="IM471">
        <f>IF(OR(IH$3="",IH$3&gt;TODAY()),"",IF(AND(IK471="",IL471=""),"",N(IL471)-N(IK471)))</f>
        <v/>
      </c>
    </row>
    <row r="472">
      <c r="A472" s="21" t="n"/>
      <c r="B472" s="21" t="n"/>
      <c r="C472" s="21" t="n"/>
      <c r="D472" s="21" t="n"/>
      <c r="E472" s="21" t="n"/>
      <c r="F472" s="21" t="n"/>
      <c r="G472" s="21" t="n"/>
      <c r="H472" s="21" t="n"/>
      <c r="I472" s="22" t="n"/>
      <c r="J472" s="22" t="n"/>
      <c r="K472" s="23" t="n"/>
      <c r="L472" s="22" t="n"/>
      <c r="M472" s="22" t="n"/>
      <c r="N472" s="21" t="n"/>
      <c r="O472" s="23" t="n"/>
      <c r="P472" s="23" t="n"/>
      <c r="Q472" s="23" t="n"/>
      <c r="R472" s="23" t="n"/>
      <c r="S472" s="22" t="n"/>
      <c r="T472" s="23" t="n"/>
      <c r="U472" s="23" t="n"/>
      <c r="V472" s="24">
        <f>IF(J472&lt;&gt;"",J472,IF(I472&lt;&gt;"",I472,""))</f>
        <v/>
      </c>
      <c r="W472" s="25">
        <f>IF($E472="","",N(O472)+SUMIFS($AF472:$IN472,$AF$4:$IN$4,"SEW_ACT"))</f>
        <v/>
      </c>
      <c r="X472" s="25">
        <f>IF($E472="","",N(P472)+SUMIFS($AF472:$IN472,$AF$4:$IN$4,"WASH_ACT"))</f>
        <v/>
      </c>
      <c r="Y472" s="25">
        <f>IF($E472="","",W472-X472-N(T472)-N(U472))</f>
        <v/>
      </c>
      <c r="Z472" s="25">
        <f>IF($E472="","",IF(N(K472)-X472&lt;=0.02*N(K472),0,N(K472)-X472))</f>
        <v/>
      </c>
      <c r="AA472" s="24">
        <f>IF($E472="","",IF(S472&lt;&gt;"",S472,IF(N(O472)&gt;0,IF(L472&lt;&gt;"",L472,99999),IFERROR(1/(1/_xlfn.MINIFS($AF$3:$IN$3,$AF$4:$IN$4,"SEW_ACT",$AF472:$IN472,"&gt;0")),99999))))</f>
        <v/>
      </c>
      <c r="AB472" s="26">
        <f>IF(OR($E472="",Z472=0,V472=""),"",1+COUNTIFS(Z$8:Z$707,"&gt;0",V$8:V$707,"&lt;"&amp;V472)+COUNTIFS(Z$8:Z$707,"&gt;0",V$8:V$707,V472,AA$8:AA$707,"&lt;"&amp;AA472)+COUNTIFS(Z$8:Z$707,"&gt;0",V$8:V$707,V472,AA$8:AA$707,AA472,E$8:E$707,"&lt;"&amp;$E472))</f>
        <v/>
      </c>
      <c r="AC472" s="24">
        <f>IF(OR($E472="",Z472=0),"",IFERROR(TODAY()+ROUNDUP(Z472/(SUMIFS($AF472:$IN472,$AF$4:$IN$4,"WASH_ACT")/COUNTIFS($AF$4:$IN$4,"WASH_ACT",$AF472:$IN472,"&gt;0")),0),"no output yet"))</f>
        <v/>
      </c>
      <c r="AD472" s="26">
        <f>IF($E472="","",IFERROR(ROUND(MAX(0,SUMIFS($AF472:$IN472,$AF$4:$IN$4,"SEW_PLAN",$AF$3:$IN$3,"&lt;="&amp;TODAY())-SUMIFS($AF472:$IN472,$AF$4:$IN$4,"SEW_ACT",$AF$3:$IN$3,"&lt;="&amp;TODAY())+N(Q472))/(SUMIFS($AF472:$IN472,$AF$4:$IN$4,"SEW_PLAN")/COUNTIFS($AF$4:$IN$4,"SEW_PLAN",$AF472:$IN472,"&gt;0")),1),0))</f>
        <v/>
      </c>
      <c r="AE472" s="26">
        <f>IF($E472="","",IF(AND(Z472&gt;0,OR(AND(M472&lt;&gt;"",TODAY()&gt;M472),AND(V472&lt;&gt;"",V472-TODAY()&lt;=7))),"Yes","No"))</f>
        <v/>
      </c>
      <c r="AH472">
        <f>IF(OR(AF$3="",AF$3&gt;TODAY()),"",IF(AND(AF472="",AG472=""),"",N(AG472)-N(AF472)))</f>
        <v/>
      </c>
      <c r="AK472">
        <f>IF(OR(AF$3="",AF$3&gt;TODAY()),"",IF(AND(AI472="",AJ472=""),"",N(AJ472)-N(AI472)))</f>
        <v/>
      </c>
      <c r="AO472">
        <f>IF(OR(AM$3="",AM$3&gt;TODAY()),"",IF(AND(AM472="",AN472=""),"",N(AN472)-N(AM472)))</f>
        <v/>
      </c>
      <c r="AR472">
        <f>IF(OR(AM$3="",AM$3&gt;TODAY()),"",IF(AND(AP472="",AQ472=""),"",N(AQ472)-N(AP472)))</f>
        <v/>
      </c>
      <c r="AV472">
        <f>IF(OR(AT$3="",AT$3&gt;TODAY()),"",IF(AND(AT472="",AU472=""),"",N(AU472)-N(AT472)))</f>
        <v/>
      </c>
      <c r="AY472">
        <f>IF(OR(AT$3="",AT$3&gt;TODAY()),"",IF(AND(AW472="",AX472=""),"",N(AX472)-N(AW472)))</f>
        <v/>
      </c>
      <c r="BC472">
        <f>IF(OR(BA$3="",BA$3&gt;TODAY()),"",IF(AND(BA472="",BB472=""),"",N(BB472)-N(BA472)))</f>
        <v/>
      </c>
      <c r="BF472">
        <f>IF(OR(BA$3="",BA$3&gt;TODAY()),"",IF(AND(BD472="",BE472=""),"",N(BE472)-N(BD472)))</f>
        <v/>
      </c>
      <c r="BJ472">
        <f>IF(OR(BH$3="",BH$3&gt;TODAY()),"",IF(AND(BH472="",BI472=""),"",N(BI472)-N(BH472)))</f>
        <v/>
      </c>
      <c r="BM472">
        <f>IF(OR(BH$3="",BH$3&gt;TODAY()),"",IF(AND(BK472="",BL472=""),"",N(BL472)-N(BK472)))</f>
        <v/>
      </c>
      <c r="BQ472">
        <f>IF(OR(BO$3="",BO$3&gt;TODAY()),"",IF(AND(BO472="",BP472=""),"",N(BP472)-N(BO472)))</f>
        <v/>
      </c>
      <c r="BT472">
        <f>IF(OR(BO$3="",BO$3&gt;TODAY()),"",IF(AND(BR472="",BS472=""),"",N(BS472)-N(BR472)))</f>
        <v/>
      </c>
      <c r="BX472">
        <f>IF(OR(BV$3="",BV$3&gt;TODAY()),"",IF(AND(BV472="",BW472=""),"",N(BW472)-N(BV472)))</f>
        <v/>
      </c>
      <c r="CA472">
        <f>IF(OR(BV$3="",BV$3&gt;TODAY()),"",IF(AND(BY472="",BZ472=""),"",N(BZ472)-N(BY472)))</f>
        <v/>
      </c>
      <c r="CE472">
        <f>IF(OR(CC$3="",CC$3&gt;TODAY()),"",IF(AND(CC472="",CD472=""),"",N(CD472)-N(CC472)))</f>
        <v/>
      </c>
      <c r="CH472">
        <f>IF(OR(CC$3="",CC$3&gt;TODAY()),"",IF(AND(CF472="",CG472=""),"",N(CG472)-N(CF472)))</f>
        <v/>
      </c>
      <c r="CL472">
        <f>IF(OR(CJ$3="",CJ$3&gt;TODAY()),"",IF(AND(CJ472="",CK472=""),"",N(CK472)-N(CJ472)))</f>
        <v/>
      </c>
      <c r="CO472">
        <f>IF(OR(CJ$3="",CJ$3&gt;TODAY()),"",IF(AND(CM472="",CN472=""),"",N(CN472)-N(CM472)))</f>
        <v/>
      </c>
      <c r="CS472">
        <f>IF(OR(CQ$3="",CQ$3&gt;TODAY()),"",IF(AND(CQ472="",CR472=""),"",N(CR472)-N(CQ472)))</f>
        <v/>
      </c>
      <c r="CV472">
        <f>IF(OR(CQ$3="",CQ$3&gt;TODAY()),"",IF(AND(CT472="",CU472=""),"",N(CU472)-N(CT472)))</f>
        <v/>
      </c>
      <c r="CZ472">
        <f>IF(OR(CX$3="",CX$3&gt;TODAY()),"",IF(AND(CX472="",CY472=""),"",N(CY472)-N(CX472)))</f>
        <v/>
      </c>
      <c r="DC472">
        <f>IF(OR(CX$3="",CX$3&gt;TODAY()),"",IF(AND(DA472="",DB472=""),"",N(DB472)-N(DA472)))</f>
        <v/>
      </c>
      <c r="DG472">
        <f>IF(OR(DE$3="",DE$3&gt;TODAY()),"",IF(AND(DE472="",DF472=""),"",N(DF472)-N(DE472)))</f>
        <v/>
      </c>
      <c r="DJ472">
        <f>IF(OR(DE$3="",DE$3&gt;TODAY()),"",IF(AND(DH472="",DI472=""),"",N(DI472)-N(DH472)))</f>
        <v/>
      </c>
      <c r="DN472">
        <f>IF(OR(DL$3="",DL$3&gt;TODAY()),"",IF(AND(DL472="",DM472=""),"",N(DM472)-N(DL472)))</f>
        <v/>
      </c>
      <c r="DQ472">
        <f>IF(OR(DL$3="",DL$3&gt;TODAY()),"",IF(AND(DO472="",DP472=""),"",N(DP472)-N(DO472)))</f>
        <v/>
      </c>
      <c r="DU472">
        <f>IF(OR(DS$3="",DS$3&gt;TODAY()),"",IF(AND(DS472="",DT472=""),"",N(DT472)-N(DS472)))</f>
        <v/>
      </c>
      <c r="DX472">
        <f>IF(OR(DS$3="",DS$3&gt;TODAY()),"",IF(AND(DV472="",DW472=""),"",N(DW472)-N(DV472)))</f>
        <v/>
      </c>
      <c r="EB472">
        <f>IF(OR(DZ$3="",DZ$3&gt;TODAY()),"",IF(AND(DZ472="",EA472=""),"",N(EA472)-N(DZ472)))</f>
        <v/>
      </c>
      <c r="EE472">
        <f>IF(OR(DZ$3="",DZ$3&gt;TODAY()),"",IF(AND(EC472="",ED472=""),"",N(ED472)-N(EC472)))</f>
        <v/>
      </c>
      <c r="EI472">
        <f>IF(OR(EG$3="",EG$3&gt;TODAY()),"",IF(AND(EG472="",EH472=""),"",N(EH472)-N(EG472)))</f>
        <v/>
      </c>
      <c r="EL472">
        <f>IF(OR(EG$3="",EG$3&gt;TODAY()),"",IF(AND(EJ472="",EK472=""),"",N(EK472)-N(EJ472)))</f>
        <v/>
      </c>
      <c r="EP472">
        <f>IF(OR(EN$3="",EN$3&gt;TODAY()),"",IF(AND(EN472="",EO472=""),"",N(EO472)-N(EN472)))</f>
        <v/>
      </c>
      <c r="ES472">
        <f>IF(OR(EN$3="",EN$3&gt;TODAY()),"",IF(AND(EQ472="",ER472=""),"",N(ER472)-N(EQ472)))</f>
        <v/>
      </c>
      <c r="EW472">
        <f>IF(OR(EU$3="",EU$3&gt;TODAY()),"",IF(AND(EU472="",EV472=""),"",N(EV472)-N(EU472)))</f>
        <v/>
      </c>
      <c r="EZ472">
        <f>IF(OR(EU$3="",EU$3&gt;TODAY()),"",IF(AND(EX472="",EY472=""),"",N(EY472)-N(EX472)))</f>
        <v/>
      </c>
      <c r="FD472">
        <f>IF(OR(FB$3="",FB$3&gt;TODAY()),"",IF(AND(FB472="",FC472=""),"",N(FC472)-N(FB472)))</f>
        <v/>
      </c>
      <c r="FG472">
        <f>IF(OR(FB$3="",FB$3&gt;TODAY()),"",IF(AND(FE472="",FF472=""),"",N(FF472)-N(FE472)))</f>
        <v/>
      </c>
      <c r="FK472">
        <f>IF(OR(FI$3="",FI$3&gt;TODAY()),"",IF(AND(FI472="",FJ472=""),"",N(FJ472)-N(FI472)))</f>
        <v/>
      </c>
      <c r="FN472">
        <f>IF(OR(FI$3="",FI$3&gt;TODAY()),"",IF(AND(FL472="",FM472=""),"",N(FM472)-N(FL472)))</f>
        <v/>
      </c>
      <c r="FR472">
        <f>IF(OR(FP$3="",FP$3&gt;TODAY()),"",IF(AND(FP472="",FQ472=""),"",N(FQ472)-N(FP472)))</f>
        <v/>
      </c>
      <c r="FU472">
        <f>IF(OR(FP$3="",FP$3&gt;TODAY()),"",IF(AND(FS472="",FT472=""),"",N(FT472)-N(FS472)))</f>
        <v/>
      </c>
      <c r="FY472">
        <f>IF(OR(FW$3="",FW$3&gt;TODAY()),"",IF(AND(FW472="",FX472=""),"",N(FX472)-N(FW472)))</f>
        <v/>
      </c>
      <c r="GB472">
        <f>IF(OR(FW$3="",FW$3&gt;TODAY()),"",IF(AND(FZ472="",GA472=""),"",N(GA472)-N(FZ472)))</f>
        <v/>
      </c>
      <c r="GF472">
        <f>IF(OR(GD$3="",GD$3&gt;TODAY()),"",IF(AND(GD472="",GE472=""),"",N(GE472)-N(GD472)))</f>
        <v/>
      </c>
      <c r="GI472">
        <f>IF(OR(GD$3="",GD$3&gt;TODAY()),"",IF(AND(GG472="",GH472=""),"",N(GH472)-N(GG472)))</f>
        <v/>
      </c>
      <c r="GM472">
        <f>IF(OR(GK$3="",GK$3&gt;TODAY()),"",IF(AND(GK472="",GL472=""),"",N(GL472)-N(GK472)))</f>
        <v/>
      </c>
      <c r="GP472">
        <f>IF(OR(GK$3="",GK$3&gt;TODAY()),"",IF(AND(GN472="",GO472=""),"",N(GO472)-N(GN472)))</f>
        <v/>
      </c>
      <c r="GT472">
        <f>IF(OR(GR$3="",GR$3&gt;TODAY()),"",IF(AND(GR472="",GS472=""),"",N(GS472)-N(GR472)))</f>
        <v/>
      </c>
      <c r="GW472">
        <f>IF(OR(GR$3="",GR$3&gt;TODAY()),"",IF(AND(GU472="",GV472=""),"",N(GV472)-N(GU472)))</f>
        <v/>
      </c>
      <c r="HA472">
        <f>IF(OR(GY$3="",GY$3&gt;TODAY()),"",IF(AND(GY472="",GZ472=""),"",N(GZ472)-N(GY472)))</f>
        <v/>
      </c>
      <c r="HD472">
        <f>IF(OR(GY$3="",GY$3&gt;TODAY()),"",IF(AND(HB472="",HC472=""),"",N(HC472)-N(HB472)))</f>
        <v/>
      </c>
      <c r="HH472">
        <f>IF(OR(HF$3="",HF$3&gt;TODAY()),"",IF(AND(HF472="",HG472=""),"",N(HG472)-N(HF472)))</f>
        <v/>
      </c>
      <c r="HK472">
        <f>IF(OR(HF$3="",HF$3&gt;TODAY()),"",IF(AND(HI472="",HJ472=""),"",N(HJ472)-N(HI472)))</f>
        <v/>
      </c>
      <c r="HO472">
        <f>IF(OR(HM$3="",HM$3&gt;TODAY()),"",IF(AND(HM472="",HN472=""),"",N(HN472)-N(HM472)))</f>
        <v/>
      </c>
      <c r="HR472">
        <f>IF(OR(HM$3="",HM$3&gt;TODAY()),"",IF(AND(HP472="",HQ472=""),"",N(HQ472)-N(HP472)))</f>
        <v/>
      </c>
      <c r="HV472">
        <f>IF(OR(HT$3="",HT$3&gt;TODAY()),"",IF(AND(HT472="",HU472=""),"",N(HU472)-N(HT472)))</f>
        <v/>
      </c>
      <c r="HY472">
        <f>IF(OR(HT$3="",HT$3&gt;TODAY()),"",IF(AND(HW472="",HX472=""),"",N(HX472)-N(HW472)))</f>
        <v/>
      </c>
      <c r="IC472">
        <f>IF(OR(IA$3="",IA$3&gt;TODAY()),"",IF(AND(IA472="",IB472=""),"",N(IB472)-N(IA472)))</f>
        <v/>
      </c>
      <c r="IF472">
        <f>IF(OR(IA$3="",IA$3&gt;TODAY()),"",IF(AND(ID472="",IE472=""),"",N(IE472)-N(ID472)))</f>
        <v/>
      </c>
      <c r="IJ472">
        <f>IF(OR(IH$3="",IH$3&gt;TODAY()),"",IF(AND(IH472="",II472=""),"",N(II472)-N(IH472)))</f>
        <v/>
      </c>
      <c r="IM472">
        <f>IF(OR(IH$3="",IH$3&gt;TODAY()),"",IF(AND(IK472="",IL472=""),"",N(IL472)-N(IK472)))</f>
        <v/>
      </c>
    </row>
    <row r="473">
      <c r="A473" s="21" t="n"/>
      <c r="B473" s="21" t="n"/>
      <c r="C473" s="21" t="n"/>
      <c r="D473" s="21" t="n"/>
      <c r="E473" s="21" t="n"/>
      <c r="F473" s="21" t="n"/>
      <c r="G473" s="21" t="n"/>
      <c r="H473" s="21" t="n"/>
      <c r="I473" s="22" t="n"/>
      <c r="J473" s="22" t="n"/>
      <c r="K473" s="23" t="n"/>
      <c r="L473" s="22" t="n"/>
      <c r="M473" s="22" t="n"/>
      <c r="N473" s="21" t="n"/>
      <c r="O473" s="23" t="n"/>
      <c r="P473" s="23" t="n"/>
      <c r="Q473" s="23" t="n"/>
      <c r="R473" s="23" t="n"/>
      <c r="S473" s="22" t="n"/>
      <c r="T473" s="23" t="n"/>
      <c r="U473" s="23" t="n"/>
      <c r="V473" s="24">
        <f>IF(J473&lt;&gt;"",J473,IF(I473&lt;&gt;"",I473,""))</f>
        <v/>
      </c>
      <c r="W473" s="25">
        <f>IF($E473="","",N(O473)+SUMIFS($AF473:$IN473,$AF$4:$IN$4,"SEW_ACT"))</f>
        <v/>
      </c>
      <c r="X473" s="25">
        <f>IF($E473="","",N(P473)+SUMIFS($AF473:$IN473,$AF$4:$IN$4,"WASH_ACT"))</f>
        <v/>
      </c>
      <c r="Y473" s="25">
        <f>IF($E473="","",W473-X473-N(T473)-N(U473))</f>
        <v/>
      </c>
      <c r="Z473" s="25">
        <f>IF($E473="","",IF(N(K473)-X473&lt;=0.02*N(K473),0,N(K473)-X473))</f>
        <v/>
      </c>
      <c r="AA473" s="24">
        <f>IF($E473="","",IF(S473&lt;&gt;"",S473,IF(N(O473)&gt;0,IF(L473&lt;&gt;"",L473,99999),IFERROR(1/(1/_xlfn.MINIFS($AF$3:$IN$3,$AF$4:$IN$4,"SEW_ACT",$AF473:$IN473,"&gt;0")),99999))))</f>
        <v/>
      </c>
      <c r="AB473" s="26">
        <f>IF(OR($E473="",Z473=0,V473=""),"",1+COUNTIFS(Z$8:Z$707,"&gt;0",V$8:V$707,"&lt;"&amp;V473)+COUNTIFS(Z$8:Z$707,"&gt;0",V$8:V$707,V473,AA$8:AA$707,"&lt;"&amp;AA473)+COUNTIFS(Z$8:Z$707,"&gt;0",V$8:V$707,V473,AA$8:AA$707,AA473,E$8:E$707,"&lt;"&amp;$E473))</f>
        <v/>
      </c>
      <c r="AC473" s="24">
        <f>IF(OR($E473="",Z473=0),"",IFERROR(TODAY()+ROUNDUP(Z473/(SUMIFS($AF473:$IN473,$AF$4:$IN$4,"WASH_ACT")/COUNTIFS($AF$4:$IN$4,"WASH_ACT",$AF473:$IN473,"&gt;0")),0),"no output yet"))</f>
        <v/>
      </c>
      <c r="AD473" s="26">
        <f>IF($E473="","",IFERROR(ROUND(MAX(0,SUMIFS($AF473:$IN473,$AF$4:$IN$4,"SEW_PLAN",$AF$3:$IN$3,"&lt;="&amp;TODAY())-SUMIFS($AF473:$IN473,$AF$4:$IN$4,"SEW_ACT",$AF$3:$IN$3,"&lt;="&amp;TODAY())+N(Q473))/(SUMIFS($AF473:$IN473,$AF$4:$IN$4,"SEW_PLAN")/COUNTIFS($AF$4:$IN$4,"SEW_PLAN",$AF473:$IN473,"&gt;0")),1),0))</f>
        <v/>
      </c>
      <c r="AE473" s="26">
        <f>IF($E473="","",IF(AND(Z473&gt;0,OR(AND(M473&lt;&gt;"",TODAY()&gt;M473),AND(V473&lt;&gt;"",V473-TODAY()&lt;=7))),"Yes","No"))</f>
        <v/>
      </c>
      <c r="AH473">
        <f>IF(OR(AF$3="",AF$3&gt;TODAY()),"",IF(AND(AF473="",AG473=""),"",N(AG473)-N(AF473)))</f>
        <v/>
      </c>
      <c r="AK473">
        <f>IF(OR(AF$3="",AF$3&gt;TODAY()),"",IF(AND(AI473="",AJ473=""),"",N(AJ473)-N(AI473)))</f>
        <v/>
      </c>
      <c r="AO473">
        <f>IF(OR(AM$3="",AM$3&gt;TODAY()),"",IF(AND(AM473="",AN473=""),"",N(AN473)-N(AM473)))</f>
        <v/>
      </c>
      <c r="AR473">
        <f>IF(OR(AM$3="",AM$3&gt;TODAY()),"",IF(AND(AP473="",AQ473=""),"",N(AQ473)-N(AP473)))</f>
        <v/>
      </c>
      <c r="AV473">
        <f>IF(OR(AT$3="",AT$3&gt;TODAY()),"",IF(AND(AT473="",AU473=""),"",N(AU473)-N(AT473)))</f>
        <v/>
      </c>
      <c r="AY473">
        <f>IF(OR(AT$3="",AT$3&gt;TODAY()),"",IF(AND(AW473="",AX473=""),"",N(AX473)-N(AW473)))</f>
        <v/>
      </c>
      <c r="BC473">
        <f>IF(OR(BA$3="",BA$3&gt;TODAY()),"",IF(AND(BA473="",BB473=""),"",N(BB473)-N(BA473)))</f>
        <v/>
      </c>
      <c r="BF473">
        <f>IF(OR(BA$3="",BA$3&gt;TODAY()),"",IF(AND(BD473="",BE473=""),"",N(BE473)-N(BD473)))</f>
        <v/>
      </c>
      <c r="BJ473">
        <f>IF(OR(BH$3="",BH$3&gt;TODAY()),"",IF(AND(BH473="",BI473=""),"",N(BI473)-N(BH473)))</f>
        <v/>
      </c>
      <c r="BM473">
        <f>IF(OR(BH$3="",BH$3&gt;TODAY()),"",IF(AND(BK473="",BL473=""),"",N(BL473)-N(BK473)))</f>
        <v/>
      </c>
      <c r="BQ473">
        <f>IF(OR(BO$3="",BO$3&gt;TODAY()),"",IF(AND(BO473="",BP473=""),"",N(BP473)-N(BO473)))</f>
        <v/>
      </c>
      <c r="BT473">
        <f>IF(OR(BO$3="",BO$3&gt;TODAY()),"",IF(AND(BR473="",BS473=""),"",N(BS473)-N(BR473)))</f>
        <v/>
      </c>
      <c r="BX473">
        <f>IF(OR(BV$3="",BV$3&gt;TODAY()),"",IF(AND(BV473="",BW473=""),"",N(BW473)-N(BV473)))</f>
        <v/>
      </c>
      <c r="CA473">
        <f>IF(OR(BV$3="",BV$3&gt;TODAY()),"",IF(AND(BY473="",BZ473=""),"",N(BZ473)-N(BY473)))</f>
        <v/>
      </c>
      <c r="CE473">
        <f>IF(OR(CC$3="",CC$3&gt;TODAY()),"",IF(AND(CC473="",CD473=""),"",N(CD473)-N(CC473)))</f>
        <v/>
      </c>
      <c r="CH473">
        <f>IF(OR(CC$3="",CC$3&gt;TODAY()),"",IF(AND(CF473="",CG473=""),"",N(CG473)-N(CF473)))</f>
        <v/>
      </c>
      <c r="CL473">
        <f>IF(OR(CJ$3="",CJ$3&gt;TODAY()),"",IF(AND(CJ473="",CK473=""),"",N(CK473)-N(CJ473)))</f>
        <v/>
      </c>
      <c r="CO473">
        <f>IF(OR(CJ$3="",CJ$3&gt;TODAY()),"",IF(AND(CM473="",CN473=""),"",N(CN473)-N(CM473)))</f>
        <v/>
      </c>
      <c r="CS473">
        <f>IF(OR(CQ$3="",CQ$3&gt;TODAY()),"",IF(AND(CQ473="",CR473=""),"",N(CR473)-N(CQ473)))</f>
        <v/>
      </c>
      <c r="CV473">
        <f>IF(OR(CQ$3="",CQ$3&gt;TODAY()),"",IF(AND(CT473="",CU473=""),"",N(CU473)-N(CT473)))</f>
        <v/>
      </c>
      <c r="CZ473">
        <f>IF(OR(CX$3="",CX$3&gt;TODAY()),"",IF(AND(CX473="",CY473=""),"",N(CY473)-N(CX473)))</f>
        <v/>
      </c>
      <c r="DC473">
        <f>IF(OR(CX$3="",CX$3&gt;TODAY()),"",IF(AND(DA473="",DB473=""),"",N(DB473)-N(DA473)))</f>
        <v/>
      </c>
      <c r="DG473">
        <f>IF(OR(DE$3="",DE$3&gt;TODAY()),"",IF(AND(DE473="",DF473=""),"",N(DF473)-N(DE473)))</f>
        <v/>
      </c>
      <c r="DJ473">
        <f>IF(OR(DE$3="",DE$3&gt;TODAY()),"",IF(AND(DH473="",DI473=""),"",N(DI473)-N(DH473)))</f>
        <v/>
      </c>
      <c r="DN473">
        <f>IF(OR(DL$3="",DL$3&gt;TODAY()),"",IF(AND(DL473="",DM473=""),"",N(DM473)-N(DL473)))</f>
        <v/>
      </c>
      <c r="DQ473">
        <f>IF(OR(DL$3="",DL$3&gt;TODAY()),"",IF(AND(DO473="",DP473=""),"",N(DP473)-N(DO473)))</f>
        <v/>
      </c>
      <c r="DU473">
        <f>IF(OR(DS$3="",DS$3&gt;TODAY()),"",IF(AND(DS473="",DT473=""),"",N(DT473)-N(DS473)))</f>
        <v/>
      </c>
      <c r="DX473">
        <f>IF(OR(DS$3="",DS$3&gt;TODAY()),"",IF(AND(DV473="",DW473=""),"",N(DW473)-N(DV473)))</f>
        <v/>
      </c>
      <c r="EB473">
        <f>IF(OR(DZ$3="",DZ$3&gt;TODAY()),"",IF(AND(DZ473="",EA473=""),"",N(EA473)-N(DZ473)))</f>
        <v/>
      </c>
      <c r="EE473">
        <f>IF(OR(DZ$3="",DZ$3&gt;TODAY()),"",IF(AND(EC473="",ED473=""),"",N(ED473)-N(EC473)))</f>
        <v/>
      </c>
      <c r="EI473">
        <f>IF(OR(EG$3="",EG$3&gt;TODAY()),"",IF(AND(EG473="",EH473=""),"",N(EH473)-N(EG473)))</f>
        <v/>
      </c>
      <c r="EL473">
        <f>IF(OR(EG$3="",EG$3&gt;TODAY()),"",IF(AND(EJ473="",EK473=""),"",N(EK473)-N(EJ473)))</f>
        <v/>
      </c>
      <c r="EP473">
        <f>IF(OR(EN$3="",EN$3&gt;TODAY()),"",IF(AND(EN473="",EO473=""),"",N(EO473)-N(EN473)))</f>
        <v/>
      </c>
      <c r="ES473">
        <f>IF(OR(EN$3="",EN$3&gt;TODAY()),"",IF(AND(EQ473="",ER473=""),"",N(ER473)-N(EQ473)))</f>
        <v/>
      </c>
      <c r="EW473">
        <f>IF(OR(EU$3="",EU$3&gt;TODAY()),"",IF(AND(EU473="",EV473=""),"",N(EV473)-N(EU473)))</f>
        <v/>
      </c>
      <c r="EZ473">
        <f>IF(OR(EU$3="",EU$3&gt;TODAY()),"",IF(AND(EX473="",EY473=""),"",N(EY473)-N(EX473)))</f>
        <v/>
      </c>
      <c r="FD473">
        <f>IF(OR(FB$3="",FB$3&gt;TODAY()),"",IF(AND(FB473="",FC473=""),"",N(FC473)-N(FB473)))</f>
        <v/>
      </c>
      <c r="FG473">
        <f>IF(OR(FB$3="",FB$3&gt;TODAY()),"",IF(AND(FE473="",FF473=""),"",N(FF473)-N(FE473)))</f>
        <v/>
      </c>
      <c r="FK473">
        <f>IF(OR(FI$3="",FI$3&gt;TODAY()),"",IF(AND(FI473="",FJ473=""),"",N(FJ473)-N(FI473)))</f>
        <v/>
      </c>
      <c r="FN473">
        <f>IF(OR(FI$3="",FI$3&gt;TODAY()),"",IF(AND(FL473="",FM473=""),"",N(FM473)-N(FL473)))</f>
        <v/>
      </c>
      <c r="FR473">
        <f>IF(OR(FP$3="",FP$3&gt;TODAY()),"",IF(AND(FP473="",FQ473=""),"",N(FQ473)-N(FP473)))</f>
        <v/>
      </c>
      <c r="FU473">
        <f>IF(OR(FP$3="",FP$3&gt;TODAY()),"",IF(AND(FS473="",FT473=""),"",N(FT473)-N(FS473)))</f>
        <v/>
      </c>
      <c r="FY473">
        <f>IF(OR(FW$3="",FW$3&gt;TODAY()),"",IF(AND(FW473="",FX473=""),"",N(FX473)-N(FW473)))</f>
        <v/>
      </c>
      <c r="GB473">
        <f>IF(OR(FW$3="",FW$3&gt;TODAY()),"",IF(AND(FZ473="",GA473=""),"",N(GA473)-N(FZ473)))</f>
        <v/>
      </c>
      <c r="GF473">
        <f>IF(OR(GD$3="",GD$3&gt;TODAY()),"",IF(AND(GD473="",GE473=""),"",N(GE473)-N(GD473)))</f>
        <v/>
      </c>
      <c r="GI473">
        <f>IF(OR(GD$3="",GD$3&gt;TODAY()),"",IF(AND(GG473="",GH473=""),"",N(GH473)-N(GG473)))</f>
        <v/>
      </c>
      <c r="GM473">
        <f>IF(OR(GK$3="",GK$3&gt;TODAY()),"",IF(AND(GK473="",GL473=""),"",N(GL473)-N(GK473)))</f>
        <v/>
      </c>
      <c r="GP473">
        <f>IF(OR(GK$3="",GK$3&gt;TODAY()),"",IF(AND(GN473="",GO473=""),"",N(GO473)-N(GN473)))</f>
        <v/>
      </c>
      <c r="GT473">
        <f>IF(OR(GR$3="",GR$3&gt;TODAY()),"",IF(AND(GR473="",GS473=""),"",N(GS473)-N(GR473)))</f>
        <v/>
      </c>
      <c r="GW473">
        <f>IF(OR(GR$3="",GR$3&gt;TODAY()),"",IF(AND(GU473="",GV473=""),"",N(GV473)-N(GU473)))</f>
        <v/>
      </c>
      <c r="HA473">
        <f>IF(OR(GY$3="",GY$3&gt;TODAY()),"",IF(AND(GY473="",GZ473=""),"",N(GZ473)-N(GY473)))</f>
        <v/>
      </c>
      <c r="HD473">
        <f>IF(OR(GY$3="",GY$3&gt;TODAY()),"",IF(AND(HB473="",HC473=""),"",N(HC473)-N(HB473)))</f>
        <v/>
      </c>
      <c r="HH473">
        <f>IF(OR(HF$3="",HF$3&gt;TODAY()),"",IF(AND(HF473="",HG473=""),"",N(HG473)-N(HF473)))</f>
        <v/>
      </c>
      <c r="HK473">
        <f>IF(OR(HF$3="",HF$3&gt;TODAY()),"",IF(AND(HI473="",HJ473=""),"",N(HJ473)-N(HI473)))</f>
        <v/>
      </c>
      <c r="HO473">
        <f>IF(OR(HM$3="",HM$3&gt;TODAY()),"",IF(AND(HM473="",HN473=""),"",N(HN473)-N(HM473)))</f>
        <v/>
      </c>
      <c r="HR473">
        <f>IF(OR(HM$3="",HM$3&gt;TODAY()),"",IF(AND(HP473="",HQ473=""),"",N(HQ473)-N(HP473)))</f>
        <v/>
      </c>
      <c r="HV473">
        <f>IF(OR(HT$3="",HT$3&gt;TODAY()),"",IF(AND(HT473="",HU473=""),"",N(HU473)-N(HT473)))</f>
        <v/>
      </c>
      <c r="HY473">
        <f>IF(OR(HT$3="",HT$3&gt;TODAY()),"",IF(AND(HW473="",HX473=""),"",N(HX473)-N(HW473)))</f>
        <v/>
      </c>
      <c r="IC473">
        <f>IF(OR(IA$3="",IA$3&gt;TODAY()),"",IF(AND(IA473="",IB473=""),"",N(IB473)-N(IA473)))</f>
        <v/>
      </c>
      <c r="IF473">
        <f>IF(OR(IA$3="",IA$3&gt;TODAY()),"",IF(AND(ID473="",IE473=""),"",N(IE473)-N(ID473)))</f>
        <v/>
      </c>
      <c r="IJ473">
        <f>IF(OR(IH$3="",IH$3&gt;TODAY()),"",IF(AND(IH473="",II473=""),"",N(II473)-N(IH473)))</f>
        <v/>
      </c>
      <c r="IM473">
        <f>IF(OR(IH$3="",IH$3&gt;TODAY()),"",IF(AND(IK473="",IL473=""),"",N(IL473)-N(IK473)))</f>
        <v/>
      </c>
    </row>
    <row r="474">
      <c r="A474" s="21" t="n"/>
      <c r="B474" s="21" t="n"/>
      <c r="C474" s="21" t="n"/>
      <c r="D474" s="21" t="n"/>
      <c r="E474" s="21" t="n"/>
      <c r="F474" s="21" t="n"/>
      <c r="G474" s="21" t="n"/>
      <c r="H474" s="21" t="n"/>
      <c r="I474" s="22" t="n"/>
      <c r="J474" s="22" t="n"/>
      <c r="K474" s="23" t="n"/>
      <c r="L474" s="22" t="n"/>
      <c r="M474" s="22" t="n"/>
      <c r="N474" s="21" t="n"/>
      <c r="O474" s="23" t="n"/>
      <c r="P474" s="23" t="n"/>
      <c r="Q474" s="23" t="n"/>
      <c r="R474" s="23" t="n"/>
      <c r="S474" s="22" t="n"/>
      <c r="T474" s="23" t="n"/>
      <c r="U474" s="23" t="n"/>
      <c r="V474" s="24">
        <f>IF(J474&lt;&gt;"",J474,IF(I474&lt;&gt;"",I474,""))</f>
        <v/>
      </c>
      <c r="W474" s="25">
        <f>IF($E474="","",N(O474)+SUMIFS($AF474:$IN474,$AF$4:$IN$4,"SEW_ACT"))</f>
        <v/>
      </c>
      <c r="X474" s="25">
        <f>IF($E474="","",N(P474)+SUMIFS($AF474:$IN474,$AF$4:$IN$4,"WASH_ACT"))</f>
        <v/>
      </c>
      <c r="Y474" s="25">
        <f>IF($E474="","",W474-X474-N(T474)-N(U474))</f>
        <v/>
      </c>
      <c r="Z474" s="25">
        <f>IF($E474="","",IF(N(K474)-X474&lt;=0.02*N(K474),0,N(K474)-X474))</f>
        <v/>
      </c>
      <c r="AA474" s="24">
        <f>IF($E474="","",IF(S474&lt;&gt;"",S474,IF(N(O474)&gt;0,IF(L474&lt;&gt;"",L474,99999),IFERROR(1/(1/_xlfn.MINIFS($AF$3:$IN$3,$AF$4:$IN$4,"SEW_ACT",$AF474:$IN474,"&gt;0")),99999))))</f>
        <v/>
      </c>
      <c r="AB474" s="26">
        <f>IF(OR($E474="",Z474=0,V474=""),"",1+COUNTIFS(Z$8:Z$707,"&gt;0",V$8:V$707,"&lt;"&amp;V474)+COUNTIFS(Z$8:Z$707,"&gt;0",V$8:V$707,V474,AA$8:AA$707,"&lt;"&amp;AA474)+COUNTIFS(Z$8:Z$707,"&gt;0",V$8:V$707,V474,AA$8:AA$707,AA474,E$8:E$707,"&lt;"&amp;$E474))</f>
        <v/>
      </c>
      <c r="AC474" s="24">
        <f>IF(OR($E474="",Z474=0),"",IFERROR(TODAY()+ROUNDUP(Z474/(SUMIFS($AF474:$IN474,$AF$4:$IN$4,"WASH_ACT")/COUNTIFS($AF$4:$IN$4,"WASH_ACT",$AF474:$IN474,"&gt;0")),0),"no output yet"))</f>
        <v/>
      </c>
      <c r="AD474" s="26">
        <f>IF($E474="","",IFERROR(ROUND(MAX(0,SUMIFS($AF474:$IN474,$AF$4:$IN$4,"SEW_PLAN",$AF$3:$IN$3,"&lt;="&amp;TODAY())-SUMIFS($AF474:$IN474,$AF$4:$IN$4,"SEW_ACT",$AF$3:$IN$3,"&lt;="&amp;TODAY())+N(Q474))/(SUMIFS($AF474:$IN474,$AF$4:$IN$4,"SEW_PLAN")/COUNTIFS($AF$4:$IN$4,"SEW_PLAN",$AF474:$IN474,"&gt;0")),1),0))</f>
        <v/>
      </c>
      <c r="AE474" s="26">
        <f>IF($E474="","",IF(AND(Z474&gt;0,OR(AND(M474&lt;&gt;"",TODAY()&gt;M474),AND(V474&lt;&gt;"",V474-TODAY()&lt;=7))),"Yes","No"))</f>
        <v/>
      </c>
      <c r="AH474">
        <f>IF(OR(AF$3="",AF$3&gt;TODAY()),"",IF(AND(AF474="",AG474=""),"",N(AG474)-N(AF474)))</f>
        <v/>
      </c>
      <c r="AK474">
        <f>IF(OR(AF$3="",AF$3&gt;TODAY()),"",IF(AND(AI474="",AJ474=""),"",N(AJ474)-N(AI474)))</f>
        <v/>
      </c>
      <c r="AO474">
        <f>IF(OR(AM$3="",AM$3&gt;TODAY()),"",IF(AND(AM474="",AN474=""),"",N(AN474)-N(AM474)))</f>
        <v/>
      </c>
      <c r="AR474">
        <f>IF(OR(AM$3="",AM$3&gt;TODAY()),"",IF(AND(AP474="",AQ474=""),"",N(AQ474)-N(AP474)))</f>
        <v/>
      </c>
      <c r="AV474">
        <f>IF(OR(AT$3="",AT$3&gt;TODAY()),"",IF(AND(AT474="",AU474=""),"",N(AU474)-N(AT474)))</f>
        <v/>
      </c>
      <c r="AY474">
        <f>IF(OR(AT$3="",AT$3&gt;TODAY()),"",IF(AND(AW474="",AX474=""),"",N(AX474)-N(AW474)))</f>
        <v/>
      </c>
      <c r="BC474">
        <f>IF(OR(BA$3="",BA$3&gt;TODAY()),"",IF(AND(BA474="",BB474=""),"",N(BB474)-N(BA474)))</f>
        <v/>
      </c>
      <c r="BF474">
        <f>IF(OR(BA$3="",BA$3&gt;TODAY()),"",IF(AND(BD474="",BE474=""),"",N(BE474)-N(BD474)))</f>
        <v/>
      </c>
      <c r="BJ474">
        <f>IF(OR(BH$3="",BH$3&gt;TODAY()),"",IF(AND(BH474="",BI474=""),"",N(BI474)-N(BH474)))</f>
        <v/>
      </c>
      <c r="BM474">
        <f>IF(OR(BH$3="",BH$3&gt;TODAY()),"",IF(AND(BK474="",BL474=""),"",N(BL474)-N(BK474)))</f>
        <v/>
      </c>
      <c r="BQ474">
        <f>IF(OR(BO$3="",BO$3&gt;TODAY()),"",IF(AND(BO474="",BP474=""),"",N(BP474)-N(BO474)))</f>
        <v/>
      </c>
      <c r="BT474">
        <f>IF(OR(BO$3="",BO$3&gt;TODAY()),"",IF(AND(BR474="",BS474=""),"",N(BS474)-N(BR474)))</f>
        <v/>
      </c>
      <c r="BX474">
        <f>IF(OR(BV$3="",BV$3&gt;TODAY()),"",IF(AND(BV474="",BW474=""),"",N(BW474)-N(BV474)))</f>
        <v/>
      </c>
      <c r="CA474">
        <f>IF(OR(BV$3="",BV$3&gt;TODAY()),"",IF(AND(BY474="",BZ474=""),"",N(BZ474)-N(BY474)))</f>
        <v/>
      </c>
      <c r="CE474">
        <f>IF(OR(CC$3="",CC$3&gt;TODAY()),"",IF(AND(CC474="",CD474=""),"",N(CD474)-N(CC474)))</f>
        <v/>
      </c>
      <c r="CH474">
        <f>IF(OR(CC$3="",CC$3&gt;TODAY()),"",IF(AND(CF474="",CG474=""),"",N(CG474)-N(CF474)))</f>
        <v/>
      </c>
      <c r="CL474">
        <f>IF(OR(CJ$3="",CJ$3&gt;TODAY()),"",IF(AND(CJ474="",CK474=""),"",N(CK474)-N(CJ474)))</f>
        <v/>
      </c>
      <c r="CO474">
        <f>IF(OR(CJ$3="",CJ$3&gt;TODAY()),"",IF(AND(CM474="",CN474=""),"",N(CN474)-N(CM474)))</f>
        <v/>
      </c>
      <c r="CS474">
        <f>IF(OR(CQ$3="",CQ$3&gt;TODAY()),"",IF(AND(CQ474="",CR474=""),"",N(CR474)-N(CQ474)))</f>
        <v/>
      </c>
      <c r="CV474">
        <f>IF(OR(CQ$3="",CQ$3&gt;TODAY()),"",IF(AND(CT474="",CU474=""),"",N(CU474)-N(CT474)))</f>
        <v/>
      </c>
      <c r="CZ474">
        <f>IF(OR(CX$3="",CX$3&gt;TODAY()),"",IF(AND(CX474="",CY474=""),"",N(CY474)-N(CX474)))</f>
        <v/>
      </c>
      <c r="DC474">
        <f>IF(OR(CX$3="",CX$3&gt;TODAY()),"",IF(AND(DA474="",DB474=""),"",N(DB474)-N(DA474)))</f>
        <v/>
      </c>
      <c r="DG474">
        <f>IF(OR(DE$3="",DE$3&gt;TODAY()),"",IF(AND(DE474="",DF474=""),"",N(DF474)-N(DE474)))</f>
        <v/>
      </c>
      <c r="DJ474">
        <f>IF(OR(DE$3="",DE$3&gt;TODAY()),"",IF(AND(DH474="",DI474=""),"",N(DI474)-N(DH474)))</f>
        <v/>
      </c>
      <c r="DN474">
        <f>IF(OR(DL$3="",DL$3&gt;TODAY()),"",IF(AND(DL474="",DM474=""),"",N(DM474)-N(DL474)))</f>
        <v/>
      </c>
      <c r="DQ474">
        <f>IF(OR(DL$3="",DL$3&gt;TODAY()),"",IF(AND(DO474="",DP474=""),"",N(DP474)-N(DO474)))</f>
        <v/>
      </c>
      <c r="DU474">
        <f>IF(OR(DS$3="",DS$3&gt;TODAY()),"",IF(AND(DS474="",DT474=""),"",N(DT474)-N(DS474)))</f>
        <v/>
      </c>
      <c r="DX474">
        <f>IF(OR(DS$3="",DS$3&gt;TODAY()),"",IF(AND(DV474="",DW474=""),"",N(DW474)-N(DV474)))</f>
        <v/>
      </c>
      <c r="EB474">
        <f>IF(OR(DZ$3="",DZ$3&gt;TODAY()),"",IF(AND(DZ474="",EA474=""),"",N(EA474)-N(DZ474)))</f>
        <v/>
      </c>
      <c r="EE474">
        <f>IF(OR(DZ$3="",DZ$3&gt;TODAY()),"",IF(AND(EC474="",ED474=""),"",N(ED474)-N(EC474)))</f>
        <v/>
      </c>
      <c r="EI474">
        <f>IF(OR(EG$3="",EG$3&gt;TODAY()),"",IF(AND(EG474="",EH474=""),"",N(EH474)-N(EG474)))</f>
        <v/>
      </c>
      <c r="EL474">
        <f>IF(OR(EG$3="",EG$3&gt;TODAY()),"",IF(AND(EJ474="",EK474=""),"",N(EK474)-N(EJ474)))</f>
        <v/>
      </c>
      <c r="EP474">
        <f>IF(OR(EN$3="",EN$3&gt;TODAY()),"",IF(AND(EN474="",EO474=""),"",N(EO474)-N(EN474)))</f>
        <v/>
      </c>
      <c r="ES474">
        <f>IF(OR(EN$3="",EN$3&gt;TODAY()),"",IF(AND(EQ474="",ER474=""),"",N(ER474)-N(EQ474)))</f>
        <v/>
      </c>
      <c r="EW474">
        <f>IF(OR(EU$3="",EU$3&gt;TODAY()),"",IF(AND(EU474="",EV474=""),"",N(EV474)-N(EU474)))</f>
        <v/>
      </c>
      <c r="EZ474">
        <f>IF(OR(EU$3="",EU$3&gt;TODAY()),"",IF(AND(EX474="",EY474=""),"",N(EY474)-N(EX474)))</f>
        <v/>
      </c>
      <c r="FD474">
        <f>IF(OR(FB$3="",FB$3&gt;TODAY()),"",IF(AND(FB474="",FC474=""),"",N(FC474)-N(FB474)))</f>
        <v/>
      </c>
      <c r="FG474">
        <f>IF(OR(FB$3="",FB$3&gt;TODAY()),"",IF(AND(FE474="",FF474=""),"",N(FF474)-N(FE474)))</f>
        <v/>
      </c>
      <c r="FK474">
        <f>IF(OR(FI$3="",FI$3&gt;TODAY()),"",IF(AND(FI474="",FJ474=""),"",N(FJ474)-N(FI474)))</f>
        <v/>
      </c>
      <c r="FN474">
        <f>IF(OR(FI$3="",FI$3&gt;TODAY()),"",IF(AND(FL474="",FM474=""),"",N(FM474)-N(FL474)))</f>
        <v/>
      </c>
      <c r="FR474">
        <f>IF(OR(FP$3="",FP$3&gt;TODAY()),"",IF(AND(FP474="",FQ474=""),"",N(FQ474)-N(FP474)))</f>
        <v/>
      </c>
      <c r="FU474">
        <f>IF(OR(FP$3="",FP$3&gt;TODAY()),"",IF(AND(FS474="",FT474=""),"",N(FT474)-N(FS474)))</f>
        <v/>
      </c>
      <c r="FY474">
        <f>IF(OR(FW$3="",FW$3&gt;TODAY()),"",IF(AND(FW474="",FX474=""),"",N(FX474)-N(FW474)))</f>
        <v/>
      </c>
      <c r="GB474">
        <f>IF(OR(FW$3="",FW$3&gt;TODAY()),"",IF(AND(FZ474="",GA474=""),"",N(GA474)-N(FZ474)))</f>
        <v/>
      </c>
      <c r="GF474">
        <f>IF(OR(GD$3="",GD$3&gt;TODAY()),"",IF(AND(GD474="",GE474=""),"",N(GE474)-N(GD474)))</f>
        <v/>
      </c>
      <c r="GI474">
        <f>IF(OR(GD$3="",GD$3&gt;TODAY()),"",IF(AND(GG474="",GH474=""),"",N(GH474)-N(GG474)))</f>
        <v/>
      </c>
      <c r="GM474">
        <f>IF(OR(GK$3="",GK$3&gt;TODAY()),"",IF(AND(GK474="",GL474=""),"",N(GL474)-N(GK474)))</f>
        <v/>
      </c>
      <c r="GP474">
        <f>IF(OR(GK$3="",GK$3&gt;TODAY()),"",IF(AND(GN474="",GO474=""),"",N(GO474)-N(GN474)))</f>
        <v/>
      </c>
      <c r="GT474">
        <f>IF(OR(GR$3="",GR$3&gt;TODAY()),"",IF(AND(GR474="",GS474=""),"",N(GS474)-N(GR474)))</f>
        <v/>
      </c>
      <c r="GW474">
        <f>IF(OR(GR$3="",GR$3&gt;TODAY()),"",IF(AND(GU474="",GV474=""),"",N(GV474)-N(GU474)))</f>
        <v/>
      </c>
      <c r="HA474">
        <f>IF(OR(GY$3="",GY$3&gt;TODAY()),"",IF(AND(GY474="",GZ474=""),"",N(GZ474)-N(GY474)))</f>
        <v/>
      </c>
      <c r="HD474">
        <f>IF(OR(GY$3="",GY$3&gt;TODAY()),"",IF(AND(HB474="",HC474=""),"",N(HC474)-N(HB474)))</f>
        <v/>
      </c>
      <c r="HH474">
        <f>IF(OR(HF$3="",HF$3&gt;TODAY()),"",IF(AND(HF474="",HG474=""),"",N(HG474)-N(HF474)))</f>
        <v/>
      </c>
      <c r="HK474">
        <f>IF(OR(HF$3="",HF$3&gt;TODAY()),"",IF(AND(HI474="",HJ474=""),"",N(HJ474)-N(HI474)))</f>
        <v/>
      </c>
      <c r="HO474">
        <f>IF(OR(HM$3="",HM$3&gt;TODAY()),"",IF(AND(HM474="",HN474=""),"",N(HN474)-N(HM474)))</f>
        <v/>
      </c>
      <c r="HR474">
        <f>IF(OR(HM$3="",HM$3&gt;TODAY()),"",IF(AND(HP474="",HQ474=""),"",N(HQ474)-N(HP474)))</f>
        <v/>
      </c>
      <c r="HV474">
        <f>IF(OR(HT$3="",HT$3&gt;TODAY()),"",IF(AND(HT474="",HU474=""),"",N(HU474)-N(HT474)))</f>
        <v/>
      </c>
      <c r="HY474">
        <f>IF(OR(HT$3="",HT$3&gt;TODAY()),"",IF(AND(HW474="",HX474=""),"",N(HX474)-N(HW474)))</f>
        <v/>
      </c>
      <c r="IC474">
        <f>IF(OR(IA$3="",IA$3&gt;TODAY()),"",IF(AND(IA474="",IB474=""),"",N(IB474)-N(IA474)))</f>
        <v/>
      </c>
      <c r="IF474">
        <f>IF(OR(IA$3="",IA$3&gt;TODAY()),"",IF(AND(ID474="",IE474=""),"",N(IE474)-N(ID474)))</f>
        <v/>
      </c>
      <c r="IJ474">
        <f>IF(OR(IH$3="",IH$3&gt;TODAY()),"",IF(AND(IH474="",II474=""),"",N(II474)-N(IH474)))</f>
        <v/>
      </c>
      <c r="IM474">
        <f>IF(OR(IH$3="",IH$3&gt;TODAY()),"",IF(AND(IK474="",IL474=""),"",N(IL474)-N(IK474)))</f>
        <v/>
      </c>
    </row>
    <row r="475">
      <c r="A475" s="21" t="n"/>
      <c r="B475" s="21" t="n"/>
      <c r="C475" s="21" t="n"/>
      <c r="D475" s="21" t="n"/>
      <c r="E475" s="21" t="n"/>
      <c r="F475" s="21" t="n"/>
      <c r="G475" s="21" t="n"/>
      <c r="H475" s="21" t="n"/>
      <c r="I475" s="22" t="n"/>
      <c r="J475" s="22" t="n"/>
      <c r="K475" s="23" t="n"/>
      <c r="L475" s="22" t="n"/>
      <c r="M475" s="22" t="n"/>
      <c r="N475" s="21" t="n"/>
      <c r="O475" s="23" t="n"/>
      <c r="P475" s="23" t="n"/>
      <c r="Q475" s="23" t="n"/>
      <c r="R475" s="23" t="n"/>
      <c r="S475" s="22" t="n"/>
      <c r="T475" s="23" t="n"/>
      <c r="U475" s="23" t="n"/>
      <c r="V475" s="24">
        <f>IF(J475&lt;&gt;"",J475,IF(I475&lt;&gt;"",I475,""))</f>
        <v/>
      </c>
      <c r="W475" s="25">
        <f>IF($E475="","",N(O475)+SUMIFS($AF475:$IN475,$AF$4:$IN$4,"SEW_ACT"))</f>
        <v/>
      </c>
      <c r="X475" s="25">
        <f>IF($E475="","",N(P475)+SUMIFS($AF475:$IN475,$AF$4:$IN$4,"WASH_ACT"))</f>
        <v/>
      </c>
      <c r="Y475" s="25">
        <f>IF($E475="","",W475-X475-N(T475)-N(U475))</f>
        <v/>
      </c>
      <c r="Z475" s="25">
        <f>IF($E475="","",IF(N(K475)-X475&lt;=0.02*N(K475),0,N(K475)-X475))</f>
        <v/>
      </c>
      <c r="AA475" s="24">
        <f>IF($E475="","",IF(S475&lt;&gt;"",S475,IF(N(O475)&gt;0,IF(L475&lt;&gt;"",L475,99999),IFERROR(1/(1/_xlfn.MINIFS($AF$3:$IN$3,$AF$4:$IN$4,"SEW_ACT",$AF475:$IN475,"&gt;0")),99999))))</f>
        <v/>
      </c>
      <c r="AB475" s="26">
        <f>IF(OR($E475="",Z475=0,V475=""),"",1+COUNTIFS(Z$8:Z$707,"&gt;0",V$8:V$707,"&lt;"&amp;V475)+COUNTIFS(Z$8:Z$707,"&gt;0",V$8:V$707,V475,AA$8:AA$707,"&lt;"&amp;AA475)+COUNTIFS(Z$8:Z$707,"&gt;0",V$8:V$707,V475,AA$8:AA$707,AA475,E$8:E$707,"&lt;"&amp;$E475))</f>
        <v/>
      </c>
      <c r="AC475" s="24">
        <f>IF(OR($E475="",Z475=0),"",IFERROR(TODAY()+ROUNDUP(Z475/(SUMIFS($AF475:$IN475,$AF$4:$IN$4,"WASH_ACT")/COUNTIFS($AF$4:$IN$4,"WASH_ACT",$AF475:$IN475,"&gt;0")),0),"no output yet"))</f>
        <v/>
      </c>
      <c r="AD475" s="26">
        <f>IF($E475="","",IFERROR(ROUND(MAX(0,SUMIFS($AF475:$IN475,$AF$4:$IN$4,"SEW_PLAN",$AF$3:$IN$3,"&lt;="&amp;TODAY())-SUMIFS($AF475:$IN475,$AF$4:$IN$4,"SEW_ACT",$AF$3:$IN$3,"&lt;="&amp;TODAY())+N(Q475))/(SUMIFS($AF475:$IN475,$AF$4:$IN$4,"SEW_PLAN")/COUNTIFS($AF$4:$IN$4,"SEW_PLAN",$AF475:$IN475,"&gt;0")),1),0))</f>
        <v/>
      </c>
      <c r="AE475" s="26">
        <f>IF($E475="","",IF(AND(Z475&gt;0,OR(AND(M475&lt;&gt;"",TODAY()&gt;M475),AND(V475&lt;&gt;"",V475-TODAY()&lt;=7))),"Yes","No"))</f>
        <v/>
      </c>
      <c r="AH475">
        <f>IF(OR(AF$3="",AF$3&gt;TODAY()),"",IF(AND(AF475="",AG475=""),"",N(AG475)-N(AF475)))</f>
        <v/>
      </c>
      <c r="AK475">
        <f>IF(OR(AF$3="",AF$3&gt;TODAY()),"",IF(AND(AI475="",AJ475=""),"",N(AJ475)-N(AI475)))</f>
        <v/>
      </c>
      <c r="AO475">
        <f>IF(OR(AM$3="",AM$3&gt;TODAY()),"",IF(AND(AM475="",AN475=""),"",N(AN475)-N(AM475)))</f>
        <v/>
      </c>
      <c r="AR475">
        <f>IF(OR(AM$3="",AM$3&gt;TODAY()),"",IF(AND(AP475="",AQ475=""),"",N(AQ475)-N(AP475)))</f>
        <v/>
      </c>
      <c r="AV475">
        <f>IF(OR(AT$3="",AT$3&gt;TODAY()),"",IF(AND(AT475="",AU475=""),"",N(AU475)-N(AT475)))</f>
        <v/>
      </c>
      <c r="AY475">
        <f>IF(OR(AT$3="",AT$3&gt;TODAY()),"",IF(AND(AW475="",AX475=""),"",N(AX475)-N(AW475)))</f>
        <v/>
      </c>
      <c r="BC475">
        <f>IF(OR(BA$3="",BA$3&gt;TODAY()),"",IF(AND(BA475="",BB475=""),"",N(BB475)-N(BA475)))</f>
        <v/>
      </c>
      <c r="BF475">
        <f>IF(OR(BA$3="",BA$3&gt;TODAY()),"",IF(AND(BD475="",BE475=""),"",N(BE475)-N(BD475)))</f>
        <v/>
      </c>
      <c r="BJ475">
        <f>IF(OR(BH$3="",BH$3&gt;TODAY()),"",IF(AND(BH475="",BI475=""),"",N(BI475)-N(BH475)))</f>
        <v/>
      </c>
      <c r="BM475">
        <f>IF(OR(BH$3="",BH$3&gt;TODAY()),"",IF(AND(BK475="",BL475=""),"",N(BL475)-N(BK475)))</f>
        <v/>
      </c>
      <c r="BQ475">
        <f>IF(OR(BO$3="",BO$3&gt;TODAY()),"",IF(AND(BO475="",BP475=""),"",N(BP475)-N(BO475)))</f>
        <v/>
      </c>
      <c r="BT475">
        <f>IF(OR(BO$3="",BO$3&gt;TODAY()),"",IF(AND(BR475="",BS475=""),"",N(BS475)-N(BR475)))</f>
        <v/>
      </c>
      <c r="BX475">
        <f>IF(OR(BV$3="",BV$3&gt;TODAY()),"",IF(AND(BV475="",BW475=""),"",N(BW475)-N(BV475)))</f>
        <v/>
      </c>
      <c r="CA475">
        <f>IF(OR(BV$3="",BV$3&gt;TODAY()),"",IF(AND(BY475="",BZ475=""),"",N(BZ475)-N(BY475)))</f>
        <v/>
      </c>
      <c r="CE475">
        <f>IF(OR(CC$3="",CC$3&gt;TODAY()),"",IF(AND(CC475="",CD475=""),"",N(CD475)-N(CC475)))</f>
        <v/>
      </c>
      <c r="CH475">
        <f>IF(OR(CC$3="",CC$3&gt;TODAY()),"",IF(AND(CF475="",CG475=""),"",N(CG475)-N(CF475)))</f>
        <v/>
      </c>
      <c r="CL475">
        <f>IF(OR(CJ$3="",CJ$3&gt;TODAY()),"",IF(AND(CJ475="",CK475=""),"",N(CK475)-N(CJ475)))</f>
        <v/>
      </c>
      <c r="CO475">
        <f>IF(OR(CJ$3="",CJ$3&gt;TODAY()),"",IF(AND(CM475="",CN475=""),"",N(CN475)-N(CM475)))</f>
        <v/>
      </c>
      <c r="CS475">
        <f>IF(OR(CQ$3="",CQ$3&gt;TODAY()),"",IF(AND(CQ475="",CR475=""),"",N(CR475)-N(CQ475)))</f>
        <v/>
      </c>
      <c r="CV475">
        <f>IF(OR(CQ$3="",CQ$3&gt;TODAY()),"",IF(AND(CT475="",CU475=""),"",N(CU475)-N(CT475)))</f>
        <v/>
      </c>
      <c r="CZ475">
        <f>IF(OR(CX$3="",CX$3&gt;TODAY()),"",IF(AND(CX475="",CY475=""),"",N(CY475)-N(CX475)))</f>
        <v/>
      </c>
      <c r="DC475">
        <f>IF(OR(CX$3="",CX$3&gt;TODAY()),"",IF(AND(DA475="",DB475=""),"",N(DB475)-N(DA475)))</f>
        <v/>
      </c>
      <c r="DG475">
        <f>IF(OR(DE$3="",DE$3&gt;TODAY()),"",IF(AND(DE475="",DF475=""),"",N(DF475)-N(DE475)))</f>
        <v/>
      </c>
      <c r="DJ475">
        <f>IF(OR(DE$3="",DE$3&gt;TODAY()),"",IF(AND(DH475="",DI475=""),"",N(DI475)-N(DH475)))</f>
        <v/>
      </c>
      <c r="DN475">
        <f>IF(OR(DL$3="",DL$3&gt;TODAY()),"",IF(AND(DL475="",DM475=""),"",N(DM475)-N(DL475)))</f>
        <v/>
      </c>
      <c r="DQ475">
        <f>IF(OR(DL$3="",DL$3&gt;TODAY()),"",IF(AND(DO475="",DP475=""),"",N(DP475)-N(DO475)))</f>
        <v/>
      </c>
      <c r="DU475">
        <f>IF(OR(DS$3="",DS$3&gt;TODAY()),"",IF(AND(DS475="",DT475=""),"",N(DT475)-N(DS475)))</f>
        <v/>
      </c>
      <c r="DX475">
        <f>IF(OR(DS$3="",DS$3&gt;TODAY()),"",IF(AND(DV475="",DW475=""),"",N(DW475)-N(DV475)))</f>
        <v/>
      </c>
      <c r="EB475">
        <f>IF(OR(DZ$3="",DZ$3&gt;TODAY()),"",IF(AND(DZ475="",EA475=""),"",N(EA475)-N(DZ475)))</f>
        <v/>
      </c>
      <c r="EE475">
        <f>IF(OR(DZ$3="",DZ$3&gt;TODAY()),"",IF(AND(EC475="",ED475=""),"",N(ED475)-N(EC475)))</f>
        <v/>
      </c>
      <c r="EI475">
        <f>IF(OR(EG$3="",EG$3&gt;TODAY()),"",IF(AND(EG475="",EH475=""),"",N(EH475)-N(EG475)))</f>
        <v/>
      </c>
      <c r="EL475">
        <f>IF(OR(EG$3="",EG$3&gt;TODAY()),"",IF(AND(EJ475="",EK475=""),"",N(EK475)-N(EJ475)))</f>
        <v/>
      </c>
      <c r="EP475">
        <f>IF(OR(EN$3="",EN$3&gt;TODAY()),"",IF(AND(EN475="",EO475=""),"",N(EO475)-N(EN475)))</f>
        <v/>
      </c>
      <c r="ES475">
        <f>IF(OR(EN$3="",EN$3&gt;TODAY()),"",IF(AND(EQ475="",ER475=""),"",N(ER475)-N(EQ475)))</f>
        <v/>
      </c>
      <c r="EW475">
        <f>IF(OR(EU$3="",EU$3&gt;TODAY()),"",IF(AND(EU475="",EV475=""),"",N(EV475)-N(EU475)))</f>
        <v/>
      </c>
      <c r="EZ475">
        <f>IF(OR(EU$3="",EU$3&gt;TODAY()),"",IF(AND(EX475="",EY475=""),"",N(EY475)-N(EX475)))</f>
        <v/>
      </c>
      <c r="FD475">
        <f>IF(OR(FB$3="",FB$3&gt;TODAY()),"",IF(AND(FB475="",FC475=""),"",N(FC475)-N(FB475)))</f>
        <v/>
      </c>
      <c r="FG475">
        <f>IF(OR(FB$3="",FB$3&gt;TODAY()),"",IF(AND(FE475="",FF475=""),"",N(FF475)-N(FE475)))</f>
        <v/>
      </c>
      <c r="FK475">
        <f>IF(OR(FI$3="",FI$3&gt;TODAY()),"",IF(AND(FI475="",FJ475=""),"",N(FJ475)-N(FI475)))</f>
        <v/>
      </c>
      <c r="FN475">
        <f>IF(OR(FI$3="",FI$3&gt;TODAY()),"",IF(AND(FL475="",FM475=""),"",N(FM475)-N(FL475)))</f>
        <v/>
      </c>
      <c r="FR475">
        <f>IF(OR(FP$3="",FP$3&gt;TODAY()),"",IF(AND(FP475="",FQ475=""),"",N(FQ475)-N(FP475)))</f>
        <v/>
      </c>
      <c r="FU475">
        <f>IF(OR(FP$3="",FP$3&gt;TODAY()),"",IF(AND(FS475="",FT475=""),"",N(FT475)-N(FS475)))</f>
        <v/>
      </c>
      <c r="FY475">
        <f>IF(OR(FW$3="",FW$3&gt;TODAY()),"",IF(AND(FW475="",FX475=""),"",N(FX475)-N(FW475)))</f>
        <v/>
      </c>
      <c r="GB475">
        <f>IF(OR(FW$3="",FW$3&gt;TODAY()),"",IF(AND(FZ475="",GA475=""),"",N(GA475)-N(FZ475)))</f>
        <v/>
      </c>
      <c r="GF475">
        <f>IF(OR(GD$3="",GD$3&gt;TODAY()),"",IF(AND(GD475="",GE475=""),"",N(GE475)-N(GD475)))</f>
        <v/>
      </c>
      <c r="GI475">
        <f>IF(OR(GD$3="",GD$3&gt;TODAY()),"",IF(AND(GG475="",GH475=""),"",N(GH475)-N(GG475)))</f>
        <v/>
      </c>
      <c r="GM475">
        <f>IF(OR(GK$3="",GK$3&gt;TODAY()),"",IF(AND(GK475="",GL475=""),"",N(GL475)-N(GK475)))</f>
        <v/>
      </c>
      <c r="GP475">
        <f>IF(OR(GK$3="",GK$3&gt;TODAY()),"",IF(AND(GN475="",GO475=""),"",N(GO475)-N(GN475)))</f>
        <v/>
      </c>
      <c r="GT475">
        <f>IF(OR(GR$3="",GR$3&gt;TODAY()),"",IF(AND(GR475="",GS475=""),"",N(GS475)-N(GR475)))</f>
        <v/>
      </c>
      <c r="GW475">
        <f>IF(OR(GR$3="",GR$3&gt;TODAY()),"",IF(AND(GU475="",GV475=""),"",N(GV475)-N(GU475)))</f>
        <v/>
      </c>
      <c r="HA475">
        <f>IF(OR(GY$3="",GY$3&gt;TODAY()),"",IF(AND(GY475="",GZ475=""),"",N(GZ475)-N(GY475)))</f>
        <v/>
      </c>
      <c r="HD475">
        <f>IF(OR(GY$3="",GY$3&gt;TODAY()),"",IF(AND(HB475="",HC475=""),"",N(HC475)-N(HB475)))</f>
        <v/>
      </c>
      <c r="HH475">
        <f>IF(OR(HF$3="",HF$3&gt;TODAY()),"",IF(AND(HF475="",HG475=""),"",N(HG475)-N(HF475)))</f>
        <v/>
      </c>
      <c r="HK475">
        <f>IF(OR(HF$3="",HF$3&gt;TODAY()),"",IF(AND(HI475="",HJ475=""),"",N(HJ475)-N(HI475)))</f>
        <v/>
      </c>
      <c r="HO475">
        <f>IF(OR(HM$3="",HM$3&gt;TODAY()),"",IF(AND(HM475="",HN475=""),"",N(HN475)-N(HM475)))</f>
        <v/>
      </c>
      <c r="HR475">
        <f>IF(OR(HM$3="",HM$3&gt;TODAY()),"",IF(AND(HP475="",HQ475=""),"",N(HQ475)-N(HP475)))</f>
        <v/>
      </c>
      <c r="HV475">
        <f>IF(OR(HT$3="",HT$3&gt;TODAY()),"",IF(AND(HT475="",HU475=""),"",N(HU475)-N(HT475)))</f>
        <v/>
      </c>
      <c r="HY475">
        <f>IF(OR(HT$3="",HT$3&gt;TODAY()),"",IF(AND(HW475="",HX475=""),"",N(HX475)-N(HW475)))</f>
        <v/>
      </c>
      <c r="IC475">
        <f>IF(OR(IA$3="",IA$3&gt;TODAY()),"",IF(AND(IA475="",IB475=""),"",N(IB475)-N(IA475)))</f>
        <v/>
      </c>
      <c r="IF475">
        <f>IF(OR(IA$3="",IA$3&gt;TODAY()),"",IF(AND(ID475="",IE475=""),"",N(IE475)-N(ID475)))</f>
        <v/>
      </c>
      <c r="IJ475">
        <f>IF(OR(IH$3="",IH$3&gt;TODAY()),"",IF(AND(IH475="",II475=""),"",N(II475)-N(IH475)))</f>
        <v/>
      </c>
      <c r="IM475">
        <f>IF(OR(IH$3="",IH$3&gt;TODAY()),"",IF(AND(IK475="",IL475=""),"",N(IL475)-N(IK475)))</f>
        <v/>
      </c>
    </row>
    <row r="476">
      <c r="A476" s="21" t="n"/>
      <c r="B476" s="21" t="n"/>
      <c r="C476" s="21" t="n"/>
      <c r="D476" s="21" t="n"/>
      <c r="E476" s="21" t="n"/>
      <c r="F476" s="21" t="n"/>
      <c r="G476" s="21" t="n"/>
      <c r="H476" s="21" t="n"/>
      <c r="I476" s="22" t="n"/>
      <c r="J476" s="22" t="n"/>
      <c r="K476" s="23" t="n"/>
      <c r="L476" s="22" t="n"/>
      <c r="M476" s="22" t="n"/>
      <c r="N476" s="21" t="n"/>
      <c r="O476" s="23" t="n"/>
      <c r="P476" s="23" t="n"/>
      <c r="Q476" s="23" t="n"/>
      <c r="R476" s="23" t="n"/>
      <c r="S476" s="22" t="n"/>
      <c r="T476" s="23" t="n"/>
      <c r="U476" s="23" t="n"/>
      <c r="V476" s="24">
        <f>IF(J476&lt;&gt;"",J476,IF(I476&lt;&gt;"",I476,""))</f>
        <v/>
      </c>
      <c r="W476" s="25">
        <f>IF($E476="","",N(O476)+SUMIFS($AF476:$IN476,$AF$4:$IN$4,"SEW_ACT"))</f>
        <v/>
      </c>
      <c r="X476" s="25">
        <f>IF($E476="","",N(P476)+SUMIFS($AF476:$IN476,$AF$4:$IN$4,"WASH_ACT"))</f>
        <v/>
      </c>
      <c r="Y476" s="25">
        <f>IF($E476="","",W476-X476-N(T476)-N(U476))</f>
        <v/>
      </c>
      <c r="Z476" s="25">
        <f>IF($E476="","",IF(N(K476)-X476&lt;=0.02*N(K476),0,N(K476)-X476))</f>
        <v/>
      </c>
      <c r="AA476" s="24">
        <f>IF($E476="","",IF(S476&lt;&gt;"",S476,IF(N(O476)&gt;0,IF(L476&lt;&gt;"",L476,99999),IFERROR(1/(1/_xlfn.MINIFS($AF$3:$IN$3,$AF$4:$IN$4,"SEW_ACT",$AF476:$IN476,"&gt;0")),99999))))</f>
        <v/>
      </c>
      <c r="AB476" s="26">
        <f>IF(OR($E476="",Z476=0,V476=""),"",1+COUNTIFS(Z$8:Z$707,"&gt;0",V$8:V$707,"&lt;"&amp;V476)+COUNTIFS(Z$8:Z$707,"&gt;0",V$8:V$707,V476,AA$8:AA$707,"&lt;"&amp;AA476)+COUNTIFS(Z$8:Z$707,"&gt;0",V$8:V$707,V476,AA$8:AA$707,AA476,E$8:E$707,"&lt;"&amp;$E476))</f>
        <v/>
      </c>
      <c r="AC476" s="24">
        <f>IF(OR($E476="",Z476=0),"",IFERROR(TODAY()+ROUNDUP(Z476/(SUMIFS($AF476:$IN476,$AF$4:$IN$4,"WASH_ACT")/COUNTIFS($AF$4:$IN$4,"WASH_ACT",$AF476:$IN476,"&gt;0")),0),"no output yet"))</f>
        <v/>
      </c>
      <c r="AD476" s="26">
        <f>IF($E476="","",IFERROR(ROUND(MAX(0,SUMIFS($AF476:$IN476,$AF$4:$IN$4,"SEW_PLAN",$AF$3:$IN$3,"&lt;="&amp;TODAY())-SUMIFS($AF476:$IN476,$AF$4:$IN$4,"SEW_ACT",$AF$3:$IN$3,"&lt;="&amp;TODAY())+N(Q476))/(SUMIFS($AF476:$IN476,$AF$4:$IN$4,"SEW_PLAN")/COUNTIFS($AF$4:$IN$4,"SEW_PLAN",$AF476:$IN476,"&gt;0")),1),0))</f>
        <v/>
      </c>
      <c r="AE476" s="26">
        <f>IF($E476="","",IF(AND(Z476&gt;0,OR(AND(M476&lt;&gt;"",TODAY()&gt;M476),AND(V476&lt;&gt;"",V476-TODAY()&lt;=7))),"Yes","No"))</f>
        <v/>
      </c>
      <c r="AH476">
        <f>IF(OR(AF$3="",AF$3&gt;TODAY()),"",IF(AND(AF476="",AG476=""),"",N(AG476)-N(AF476)))</f>
        <v/>
      </c>
      <c r="AK476">
        <f>IF(OR(AF$3="",AF$3&gt;TODAY()),"",IF(AND(AI476="",AJ476=""),"",N(AJ476)-N(AI476)))</f>
        <v/>
      </c>
      <c r="AO476">
        <f>IF(OR(AM$3="",AM$3&gt;TODAY()),"",IF(AND(AM476="",AN476=""),"",N(AN476)-N(AM476)))</f>
        <v/>
      </c>
      <c r="AR476">
        <f>IF(OR(AM$3="",AM$3&gt;TODAY()),"",IF(AND(AP476="",AQ476=""),"",N(AQ476)-N(AP476)))</f>
        <v/>
      </c>
      <c r="AV476">
        <f>IF(OR(AT$3="",AT$3&gt;TODAY()),"",IF(AND(AT476="",AU476=""),"",N(AU476)-N(AT476)))</f>
        <v/>
      </c>
      <c r="AY476">
        <f>IF(OR(AT$3="",AT$3&gt;TODAY()),"",IF(AND(AW476="",AX476=""),"",N(AX476)-N(AW476)))</f>
        <v/>
      </c>
      <c r="BC476">
        <f>IF(OR(BA$3="",BA$3&gt;TODAY()),"",IF(AND(BA476="",BB476=""),"",N(BB476)-N(BA476)))</f>
        <v/>
      </c>
      <c r="BF476">
        <f>IF(OR(BA$3="",BA$3&gt;TODAY()),"",IF(AND(BD476="",BE476=""),"",N(BE476)-N(BD476)))</f>
        <v/>
      </c>
      <c r="BJ476">
        <f>IF(OR(BH$3="",BH$3&gt;TODAY()),"",IF(AND(BH476="",BI476=""),"",N(BI476)-N(BH476)))</f>
        <v/>
      </c>
      <c r="BM476">
        <f>IF(OR(BH$3="",BH$3&gt;TODAY()),"",IF(AND(BK476="",BL476=""),"",N(BL476)-N(BK476)))</f>
        <v/>
      </c>
      <c r="BQ476">
        <f>IF(OR(BO$3="",BO$3&gt;TODAY()),"",IF(AND(BO476="",BP476=""),"",N(BP476)-N(BO476)))</f>
        <v/>
      </c>
      <c r="BT476">
        <f>IF(OR(BO$3="",BO$3&gt;TODAY()),"",IF(AND(BR476="",BS476=""),"",N(BS476)-N(BR476)))</f>
        <v/>
      </c>
      <c r="BX476">
        <f>IF(OR(BV$3="",BV$3&gt;TODAY()),"",IF(AND(BV476="",BW476=""),"",N(BW476)-N(BV476)))</f>
        <v/>
      </c>
      <c r="CA476">
        <f>IF(OR(BV$3="",BV$3&gt;TODAY()),"",IF(AND(BY476="",BZ476=""),"",N(BZ476)-N(BY476)))</f>
        <v/>
      </c>
      <c r="CE476">
        <f>IF(OR(CC$3="",CC$3&gt;TODAY()),"",IF(AND(CC476="",CD476=""),"",N(CD476)-N(CC476)))</f>
        <v/>
      </c>
      <c r="CH476">
        <f>IF(OR(CC$3="",CC$3&gt;TODAY()),"",IF(AND(CF476="",CG476=""),"",N(CG476)-N(CF476)))</f>
        <v/>
      </c>
      <c r="CL476">
        <f>IF(OR(CJ$3="",CJ$3&gt;TODAY()),"",IF(AND(CJ476="",CK476=""),"",N(CK476)-N(CJ476)))</f>
        <v/>
      </c>
      <c r="CO476">
        <f>IF(OR(CJ$3="",CJ$3&gt;TODAY()),"",IF(AND(CM476="",CN476=""),"",N(CN476)-N(CM476)))</f>
        <v/>
      </c>
      <c r="CS476">
        <f>IF(OR(CQ$3="",CQ$3&gt;TODAY()),"",IF(AND(CQ476="",CR476=""),"",N(CR476)-N(CQ476)))</f>
        <v/>
      </c>
      <c r="CV476">
        <f>IF(OR(CQ$3="",CQ$3&gt;TODAY()),"",IF(AND(CT476="",CU476=""),"",N(CU476)-N(CT476)))</f>
        <v/>
      </c>
      <c r="CZ476">
        <f>IF(OR(CX$3="",CX$3&gt;TODAY()),"",IF(AND(CX476="",CY476=""),"",N(CY476)-N(CX476)))</f>
        <v/>
      </c>
      <c r="DC476">
        <f>IF(OR(CX$3="",CX$3&gt;TODAY()),"",IF(AND(DA476="",DB476=""),"",N(DB476)-N(DA476)))</f>
        <v/>
      </c>
      <c r="DG476">
        <f>IF(OR(DE$3="",DE$3&gt;TODAY()),"",IF(AND(DE476="",DF476=""),"",N(DF476)-N(DE476)))</f>
        <v/>
      </c>
      <c r="DJ476">
        <f>IF(OR(DE$3="",DE$3&gt;TODAY()),"",IF(AND(DH476="",DI476=""),"",N(DI476)-N(DH476)))</f>
        <v/>
      </c>
      <c r="DN476">
        <f>IF(OR(DL$3="",DL$3&gt;TODAY()),"",IF(AND(DL476="",DM476=""),"",N(DM476)-N(DL476)))</f>
        <v/>
      </c>
      <c r="DQ476">
        <f>IF(OR(DL$3="",DL$3&gt;TODAY()),"",IF(AND(DO476="",DP476=""),"",N(DP476)-N(DO476)))</f>
        <v/>
      </c>
      <c r="DU476">
        <f>IF(OR(DS$3="",DS$3&gt;TODAY()),"",IF(AND(DS476="",DT476=""),"",N(DT476)-N(DS476)))</f>
        <v/>
      </c>
      <c r="DX476">
        <f>IF(OR(DS$3="",DS$3&gt;TODAY()),"",IF(AND(DV476="",DW476=""),"",N(DW476)-N(DV476)))</f>
        <v/>
      </c>
      <c r="EB476">
        <f>IF(OR(DZ$3="",DZ$3&gt;TODAY()),"",IF(AND(DZ476="",EA476=""),"",N(EA476)-N(DZ476)))</f>
        <v/>
      </c>
      <c r="EE476">
        <f>IF(OR(DZ$3="",DZ$3&gt;TODAY()),"",IF(AND(EC476="",ED476=""),"",N(ED476)-N(EC476)))</f>
        <v/>
      </c>
      <c r="EI476">
        <f>IF(OR(EG$3="",EG$3&gt;TODAY()),"",IF(AND(EG476="",EH476=""),"",N(EH476)-N(EG476)))</f>
        <v/>
      </c>
      <c r="EL476">
        <f>IF(OR(EG$3="",EG$3&gt;TODAY()),"",IF(AND(EJ476="",EK476=""),"",N(EK476)-N(EJ476)))</f>
        <v/>
      </c>
      <c r="EP476">
        <f>IF(OR(EN$3="",EN$3&gt;TODAY()),"",IF(AND(EN476="",EO476=""),"",N(EO476)-N(EN476)))</f>
        <v/>
      </c>
      <c r="ES476">
        <f>IF(OR(EN$3="",EN$3&gt;TODAY()),"",IF(AND(EQ476="",ER476=""),"",N(ER476)-N(EQ476)))</f>
        <v/>
      </c>
      <c r="EW476">
        <f>IF(OR(EU$3="",EU$3&gt;TODAY()),"",IF(AND(EU476="",EV476=""),"",N(EV476)-N(EU476)))</f>
        <v/>
      </c>
      <c r="EZ476">
        <f>IF(OR(EU$3="",EU$3&gt;TODAY()),"",IF(AND(EX476="",EY476=""),"",N(EY476)-N(EX476)))</f>
        <v/>
      </c>
      <c r="FD476">
        <f>IF(OR(FB$3="",FB$3&gt;TODAY()),"",IF(AND(FB476="",FC476=""),"",N(FC476)-N(FB476)))</f>
        <v/>
      </c>
      <c r="FG476">
        <f>IF(OR(FB$3="",FB$3&gt;TODAY()),"",IF(AND(FE476="",FF476=""),"",N(FF476)-N(FE476)))</f>
        <v/>
      </c>
      <c r="FK476">
        <f>IF(OR(FI$3="",FI$3&gt;TODAY()),"",IF(AND(FI476="",FJ476=""),"",N(FJ476)-N(FI476)))</f>
        <v/>
      </c>
      <c r="FN476">
        <f>IF(OR(FI$3="",FI$3&gt;TODAY()),"",IF(AND(FL476="",FM476=""),"",N(FM476)-N(FL476)))</f>
        <v/>
      </c>
      <c r="FR476">
        <f>IF(OR(FP$3="",FP$3&gt;TODAY()),"",IF(AND(FP476="",FQ476=""),"",N(FQ476)-N(FP476)))</f>
        <v/>
      </c>
      <c r="FU476">
        <f>IF(OR(FP$3="",FP$3&gt;TODAY()),"",IF(AND(FS476="",FT476=""),"",N(FT476)-N(FS476)))</f>
        <v/>
      </c>
      <c r="FY476">
        <f>IF(OR(FW$3="",FW$3&gt;TODAY()),"",IF(AND(FW476="",FX476=""),"",N(FX476)-N(FW476)))</f>
        <v/>
      </c>
      <c r="GB476">
        <f>IF(OR(FW$3="",FW$3&gt;TODAY()),"",IF(AND(FZ476="",GA476=""),"",N(GA476)-N(FZ476)))</f>
        <v/>
      </c>
      <c r="GF476">
        <f>IF(OR(GD$3="",GD$3&gt;TODAY()),"",IF(AND(GD476="",GE476=""),"",N(GE476)-N(GD476)))</f>
        <v/>
      </c>
      <c r="GI476">
        <f>IF(OR(GD$3="",GD$3&gt;TODAY()),"",IF(AND(GG476="",GH476=""),"",N(GH476)-N(GG476)))</f>
        <v/>
      </c>
      <c r="GM476">
        <f>IF(OR(GK$3="",GK$3&gt;TODAY()),"",IF(AND(GK476="",GL476=""),"",N(GL476)-N(GK476)))</f>
        <v/>
      </c>
      <c r="GP476">
        <f>IF(OR(GK$3="",GK$3&gt;TODAY()),"",IF(AND(GN476="",GO476=""),"",N(GO476)-N(GN476)))</f>
        <v/>
      </c>
      <c r="GT476">
        <f>IF(OR(GR$3="",GR$3&gt;TODAY()),"",IF(AND(GR476="",GS476=""),"",N(GS476)-N(GR476)))</f>
        <v/>
      </c>
      <c r="GW476">
        <f>IF(OR(GR$3="",GR$3&gt;TODAY()),"",IF(AND(GU476="",GV476=""),"",N(GV476)-N(GU476)))</f>
        <v/>
      </c>
      <c r="HA476">
        <f>IF(OR(GY$3="",GY$3&gt;TODAY()),"",IF(AND(GY476="",GZ476=""),"",N(GZ476)-N(GY476)))</f>
        <v/>
      </c>
      <c r="HD476">
        <f>IF(OR(GY$3="",GY$3&gt;TODAY()),"",IF(AND(HB476="",HC476=""),"",N(HC476)-N(HB476)))</f>
        <v/>
      </c>
      <c r="HH476">
        <f>IF(OR(HF$3="",HF$3&gt;TODAY()),"",IF(AND(HF476="",HG476=""),"",N(HG476)-N(HF476)))</f>
        <v/>
      </c>
      <c r="HK476">
        <f>IF(OR(HF$3="",HF$3&gt;TODAY()),"",IF(AND(HI476="",HJ476=""),"",N(HJ476)-N(HI476)))</f>
        <v/>
      </c>
      <c r="HO476">
        <f>IF(OR(HM$3="",HM$3&gt;TODAY()),"",IF(AND(HM476="",HN476=""),"",N(HN476)-N(HM476)))</f>
        <v/>
      </c>
      <c r="HR476">
        <f>IF(OR(HM$3="",HM$3&gt;TODAY()),"",IF(AND(HP476="",HQ476=""),"",N(HQ476)-N(HP476)))</f>
        <v/>
      </c>
      <c r="HV476">
        <f>IF(OR(HT$3="",HT$3&gt;TODAY()),"",IF(AND(HT476="",HU476=""),"",N(HU476)-N(HT476)))</f>
        <v/>
      </c>
      <c r="HY476">
        <f>IF(OR(HT$3="",HT$3&gt;TODAY()),"",IF(AND(HW476="",HX476=""),"",N(HX476)-N(HW476)))</f>
        <v/>
      </c>
      <c r="IC476">
        <f>IF(OR(IA$3="",IA$3&gt;TODAY()),"",IF(AND(IA476="",IB476=""),"",N(IB476)-N(IA476)))</f>
        <v/>
      </c>
      <c r="IF476">
        <f>IF(OR(IA$3="",IA$3&gt;TODAY()),"",IF(AND(ID476="",IE476=""),"",N(IE476)-N(ID476)))</f>
        <v/>
      </c>
      <c r="IJ476">
        <f>IF(OR(IH$3="",IH$3&gt;TODAY()),"",IF(AND(IH476="",II476=""),"",N(II476)-N(IH476)))</f>
        <v/>
      </c>
      <c r="IM476">
        <f>IF(OR(IH$3="",IH$3&gt;TODAY()),"",IF(AND(IK476="",IL476=""),"",N(IL476)-N(IK476)))</f>
        <v/>
      </c>
    </row>
    <row r="477">
      <c r="A477" s="21" t="n"/>
      <c r="B477" s="21" t="n"/>
      <c r="C477" s="21" t="n"/>
      <c r="D477" s="21" t="n"/>
      <c r="E477" s="21" t="n"/>
      <c r="F477" s="21" t="n"/>
      <c r="G477" s="21" t="n"/>
      <c r="H477" s="21" t="n"/>
      <c r="I477" s="22" t="n"/>
      <c r="J477" s="22" t="n"/>
      <c r="K477" s="23" t="n"/>
      <c r="L477" s="22" t="n"/>
      <c r="M477" s="22" t="n"/>
      <c r="N477" s="21" t="n"/>
      <c r="O477" s="23" t="n"/>
      <c r="P477" s="23" t="n"/>
      <c r="Q477" s="23" t="n"/>
      <c r="R477" s="23" t="n"/>
      <c r="S477" s="22" t="n"/>
      <c r="T477" s="23" t="n"/>
      <c r="U477" s="23" t="n"/>
      <c r="V477" s="24">
        <f>IF(J477&lt;&gt;"",J477,IF(I477&lt;&gt;"",I477,""))</f>
        <v/>
      </c>
      <c r="W477" s="25">
        <f>IF($E477="","",N(O477)+SUMIFS($AF477:$IN477,$AF$4:$IN$4,"SEW_ACT"))</f>
        <v/>
      </c>
      <c r="X477" s="25">
        <f>IF($E477="","",N(P477)+SUMIFS($AF477:$IN477,$AF$4:$IN$4,"WASH_ACT"))</f>
        <v/>
      </c>
      <c r="Y477" s="25">
        <f>IF($E477="","",W477-X477-N(T477)-N(U477))</f>
        <v/>
      </c>
      <c r="Z477" s="25">
        <f>IF($E477="","",IF(N(K477)-X477&lt;=0.02*N(K477),0,N(K477)-X477))</f>
        <v/>
      </c>
      <c r="AA477" s="24">
        <f>IF($E477="","",IF(S477&lt;&gt;"",S477,IF(N(O477)&gt;0,IF(L477&lt;&gt;"",L477,99999),IFERROR(1/(1/_xlfn.MINIFS($AF$3:$IN$3,$AF$4:$IN$4,"SEW_ACT",$AF477:$IN477,"&gt;0")),99999))))</f>
        <v/>
      </c>
      <c r="AB477" s="26">
        <f>IF(OR($E477="",Z477=0,V477=""),"",1+COUNTIFS(Z$8:Z$707,"&gt;0",V$8:V$707,"&lt;"&amp;V477)+COUNTIFS(Z$8:Z$707,"&gt;0",V$8:V$707,V477,AA$8:AA$707,"&lt;"&amp;AA477)+COUNTIFS(Z$8:Z$707,"&gt;0",V$8:V$707,V477,AA$8:AA$707,AA477,E$8:E$707,"&lt;"&amp;$E477))</f>
        <v/>
      </c>
      <c r="AC477" s="24">
        <f>IF(OR($E477="",Z477=0),"",IFERROR(TODAY()+ROUNDUP(Z477/(SUMIFS($AF477:$IN477,$AF$4:$IN$4,"WASH_ACT")/COUNTIFS($AF$4:$IN$4,"WASH_ACT",$AF477:$IN477,"&gt;0")),0),"no output yet"))</f>
        <v/>
      </c>
      <c r="AD477" s="26">
        <f>IF($E477="","",IFERROR(ROUND(MAX(0,SUMIFS($AF477:$IN477,$AF$4:$IN$4,"SEW_PLAN",$AF$3:$IN$3,"&lt;="&amp;TODAY())-SUMIFS($AF477:$IN477,$AF$4:$IN$4,"SEW_ACT",$AF$3:$IN$3,"&lt;="&amp;TODAY())+N(Q477))/(SUMIFS($AF477:$IN477,$AF$4:$IN$4,"SEW_PLAN")/COUNTIFS($AF$4:$IN$4,"SEW_PLAN",$AF477:$IN477,"&gt;0")),1),0))</f>
        <v/>
      </c>
      <c r="AE477" s="26">
        <f>IF($E477="","",IF(AND(Z477&gt;0,OR(AND(M477&lt;&gt;"",TODAY()&gt;M477),AND(V477&lt;&gt;"",V477-TODAY()&lt;=7))),"Yes","No"))</f>
        <v/>
      </c>
      <c r="AH477">
        <f>IF(OR(AF$3="",AF$3&gt;TODAY()),"",IF(AND(AF477="",AG477=""),"",N(AG477)-N(AF477)))</f>
        <v/>
      </c>
      <c r="AK477">
        <f>IF(OR(AF$3="",AF$3&gt;TODAY()),"",IF(AND(AI477="",AJ477=""),"",N(AJ477)-N(AI477)))</f>
        <v/>
      </c>
      <c r="AO477">
        <f>IF(OR(AM$3="",AM$3&gt;TODAY()),"",IF(AND(AM477="",AN477=""),"",N(AN477)-N(AM477)))</f>
        <v/>
      </c>
      <c r="AR477">
        <f>IF(OR(AM$3="",AM$3&gt;TODAY()),"",IF(AND(AP477="",AQ477=""),"",N(AQ477)-N(AP477)))</f>
        <v/>
      </c>
      <c r="AV477">
        <f>IF(OR(AT$3="",AT$3&gt;TODAY()),"",IF(AND(AT477="",AU477=""),"",N(AU477)-N(AT477)))</f>
        <v/>
      </c>
      <c r="AY477">
        <f>IF(OR(AT$3="",AT$3&gt;TODAY()),"",IF(AND(AW477="",AX477=""),"",N(AX477)-N(AW477)))</f>
        <v/>
      </c>
      <c r="BC477">
        <f>IF(OR(BA$3="",BA$3&gt;TODAY()),"",IF(AND(BA477="",BB477=""),"",N(BB477)-N(BA477)))</f>
        <v/>
      </c>
      <c r="BF477">
        <f>IF(OR(BA$3="",BA$3&gt;TODAY()),"",IF(AND(BD477="",BE477=""),"",N(BE477)-N(BD477)))</f>
        <v/>
      </c>
      <c r="BJ477">
        <f>IF(OR(BH$3="",BH$3&gt;TODAY()),"",IF(AND(BH477="",BI477=""),"",N(BI477)-N(BH477)))</f>
        <v/>
      </c>
      <c r="BM477">
        <f>IF(OR(BH$3="",BH$3&gt;TODAY()),"",IF(AND(BK477="",BL477=""),"",N(BL477)-N(BK477)))</f>
        <v/>
      </c>
      <c r="BQ477">
        <f>IF(OR(BO$3="",BO$3&gt;TODAY()),"",IF(AND(BO477="",BP477=""),"",N(BP477)-N(BO477)))</f>
        <v/>
      </c>
      <c r="BT477">
        <f>IF(OR(BO$3="",BO$3&gt;TODAY()),"",IF(AND(BR477="",BS477=""),"",N(BS477)-N(BR477)))</f>
        <v/>
      </c>
      <c r="BX477">
        <f>IF(OR(BV$3="",BV$3&gt;TODAY()),"",IF(AND(BV477="",BW477=""),"",N(BW477)-N(BV477)))</f>
        <v/>
      </c>
      <c r="CA477">
        <f>IF(OR(BV$3="",BV$3&gt;TODAY()),"",IF(AND(BY477="",BZ477=""),"",N(BZ477)-N(BY477)))</f>
        <v/>
      </c>
      <c r="CE477">
        <f>IF(OR(CC$3="",CC$3&gt;TODAY()),"",IF(AND(CC477="",CD477=""),"",N(CD477)-N(CC477)))</f>
        <v/>
      </c>
      <c r="CH477">
        <f>IF(OR(CC$3="",CC$3&gt;TODAY()),"",IF(AND(CF477="",CG477=""),"",N(CG477)-N(CF477)))</f>
        <v/>
      </c>
      <c r="CL477">
        <f>IF(OR(CJ$3="",CJ$3&gt;TODAY()),"",IF(AND(CJ477="",CK477=""),"",N(CK477)-N(CJ477)))</f>
        <v/>
      </c>
      <c r="CO477">
        <f>IF(OR(CJ$3="",CJ$3&gt;TODAY()),"",IF(AND(CM477="",CN477=""),"",N(CN477)-N(CM477)))</f>
        <v/>
      </c>
      <c r="CS477">
        <f>IF(OR(CQ$3="",CQ$3&gt;TODAY()),"",IF(AND(CQ477="",CR477=""),"",N(CR477)-N(CQ477)))</f>
        <v/>
      </c>
      <c r="CV477">
        <f>IF(OR(CQ$3="",CQ$3&gt;TODAY()),"",IF(AND(CT477="",CU477=""),"",N(CU477)-N(CT477)))</f>
        <v/>
      </c>
      <c r="CZ477">
        <f>IF(OR(CX$3="",CX$3&gt;TODAY()),"",IF(AND(CX477="",CY477=""),"",N(CY477)-N(CX477)))</f>
        <v/>
      </c>
      <c r="DC477">
        <f>IF(OR(CX$3="",CX$3&gt;TODAY()),"",IF(AND(DA477="",DB477=""),"",N(DB477)-N(DA477)))</f>
        <v/>
      </c>
      <c r="DG477">
        <f>IF(OR(DE$3="",DE$3&gt;TODAY()),"",IF(AND(DE477="",DF477=""),"",N(DF477)-N(DE477)))</f>
        <v/>
      </c>
      <c r="DJ477">
        <f>IF(OR(DE$3="",DE$3&gt;TODAY()),"",IF(AND(DH477="",DI477=""),"",N(DI477)-N(DH477)))</f>
        <v/>
      </c>
      <c r="DN477">
        <f>IF(OR(DL$3="",DL$3&gt;TODAY()),"",IF(AND(DL477="",DM477=""),"",N(DM477)-N(DL477)))</f>
        <v/>
      </c>
      <c r="DQ477">
        <f>IF(OR(DL$3="",DL$3&gt;TODAY()),"",IF(AND(DO477="",DP477=""),"",N(DP477)-N(DO477)))</f>
        <v/>
      </c>
      <c r="DU477">
        <f>IF(OR(DS$3="",DS$3&gt;TODAY()),"",IF(AND(DS477="",DT477=""),"",N(DT477)-N(DS477)))</f>
        <v/>
      </c>
      <c r="DX477">
        <f>IF(OR(DS$3="",DS$3&gt;TODAY()),"",IF(AND(DV477="",DW477=""),"",N(DW477)-N(DV477)))</f>
        <v/>
      </c>
      <c r="EB477">
        <f>IF(OR(DZ$3="",DZ$3&gt;TODAY()),"",IF(AND(DZ477="",EA477=""),"",N(EA477)-N(DZ477)))</f>
        <v/>
      </c>
      <c r="EE477">
        <f>IF(OR(DZ$3="",DZ$3&gt;TODAY()),"",IF(AND(EC477="",ED477=""),"",N(ED477)-N(EC477)))</f>
        <v/>
      </c>
      <c r="EI477">
        <f>IF(OR(EG$3="",EG$3&gt;TODAY()),"",IF(AND(EG477="",EH477=""),"",N(EH477)-N(EG477)))</f>
        <v/>
      </c>
      <c r="EL477">
        <f>IF(OR(EG$3="",EG$3&gt;TODAY()),"",IF(AND(EJ477="",EK477=""),"",N(EK477)-N(EJ477)))</f>
        <v/>
      </c>
      <c r="EP477">
        <f>IF(OR(EN$3="",EN$3&gt;TODAY()),"",IF(AND(EN477="",EO477=""),"",N(EO477)-N(EN477)))</f>
        <v/>
      </c>
      <c r="ES477">
        <f>IF(OR(EN$3="",EN$3&gt;TODAY()),"",IF(AND(EQ477="",ER477=""),"",N(ER477)-N(EQ477)))</f>
        <v/>
      </c>
      <c r="EW477">
        <f>IF(OR(EU$3="",EU$3&gt;TODAY()),"",IF(AND(EU477="",EV477=""),"",N(EV477)-N(EU477)))</f>
        <v/>
      </c>
      <c r="EZ477">
        <f>IF(OR(EU$3="",EU$3&gt;TODAY()),"",IF(AND(EX477="",EY477=""),"",N(EY477)-N(EX477)))</f>
        <v/>
      </c>
      <c r="FD477">
        <f>IF(OR(FB$3="",FB$3&gt;TODAY()),"",IF(AND(FB477="",FC477=""),"",N(FC477)-N(FB477)))</f>
        <v/>
      </c>
      <c r="FG477">
        <f>IF(OR(FB$3="",FB$3&gt;TODAY()),"",IF(AND(FE477="",FF477=""),"",N(FF477)-N(FE477)))</f>
        <v/>
      </c>
      <c r="FK477">
        <f>IF(OR(FI$3="",FI$3&gt;TODAY()),"",IF(AND(FI477="",FJ477=""),"",N(FJ477)-N(FI477)))</f>
        <v/>
      </c>
      <c r="FN477">
        <f>IF(OR(FI$3="",FI$3&gt;TODAY()),"",IF(AND(FL477="",FM477=""),"",N(FM477)-N(FL477)))</f>
        <v/>
      </c>
      <c r="FR477">
        <f>IF(OR(FP$3="",FP$3&gt;TODAY()),"",IF(AND(FP477="",FQ477=""),"",N(FQ477)-N(FP477)))</f>
        <v/>
      </c>
      <c r="FU477">
        <f>IF(OR(FP$3="",FP$3&gt;TODAY()),"",IF(AND(FS477="",FT477=""),"",N(FT477)-N(FS477)))</f>
        <v/>
      </c>
      <c r="FY477">
        <f>IF(OR(FW$3="",FW$3&gt;TODAY()),"",IF(AND(FW477="",FX477=""),"",N(FX477)-N(FW477)))</f>
        <v/>
      </c>
      <c r="GB477">
        <f>IF(OR(FW$3="",FW$3&gt;TODAY()),"",IF(AND(FZ477="",GA477=""),"",N(GA477)-N(FZ477)))</f>
        <v/>
      </c>
      <c r="GF477">
        <f>IF(OR(GD$3="",GD$3&gt;TODAY()),"",IF(AND(GD477="",GE477=""),"",N(GE477)-N(GD477)))</f>
        <v/>
      </c>
      <c r="GI477">
        <f>IF(OR(GD$3="",GD$3&gt;TODAY()),"",IF(AND(GG477="",GH477=""),"",N(GH477)-N(GG477)))</f>
        <v/>
      </c>
      <c r="GM477">
        <f>IF(OR(GK$3="",GK$3&gt;TODAY()),"",IF(AND(GK477="",GL477=""),"",N(GL477)-N(GK477)))</f>
        <v/>
      </c>
      <c r="GP477">
        <f>IF(OR(GK$3="",GK$3&gt;TODAY()),"",IF(AND(GN477="",GO477=""),"",N(GO477)-N(GN477)))</f>
        <v/>
      </c>
      <c r="GT477">
        <f>IF(OR(GR$3="",GR$3&gt;TODAY()),"",IF(AND(GR477="",GS477=""),"",N(GS477)-N(GR477)))</f>
        <v/>
      </c>
      <c r="GW477">
        <f>IF(OR(GR$3="",GR$3&gt;TODAY()),"",IF(AND(GU477="",GV477=""),"",N(GV477)-N(GU477)))</f>
        <v/>
      </c>
      <c r="HA477">
        <f>IF(OR(GY$3="",GY$3&gt;TODAY()),"",IF(AND(GY477="",GZ477=""),"",N(GZ477)-N(GY477)))</f>
        <v/>
      </c>
      <c r="HD477">
        <f>IF(OR(GY$3="",GY$3&gt;TODAY()),"",IF(AND(HB477="",HC477=""),"",N(HC477)-N(HB477)))</f>
        <v/>
      </c>
      <c r="HH477">
        <f>IF(OR(HF$3="",HF$3&gt;TODAY()),"",IF(AND(HF477="",HG477=""),"",N(HG477)-N(HF477)))</f>
        <v/>
      </c>
      <c r="HK477">
        <f>IF(OR(HF$3="",HF$3&gt;TODAY()),"",IF(AND(HI477="",HJ477=""),"",N(HJ477)-N(HI477)))</f>
        <v/>
      </c>
      <c r="HO477">
        <f>IF(OR(HM$3="",HM$3&gt;TODAY()),"",IF(AND(HM477="",HN477=""),"",N(HN477)-N(HM477)))</f>
        <v/>
      </c>
      <c r="HR477">
        <f>IF(OR(HM$3="",HM$3&gt;TODAY()),"",IF(AND(HP477="",HQ477=""),"",N(HQ477)-N(HP477)))</f>
        <v/>
      </c>
      <c r="HV477">
        <f>IF(OR(HT$3="",HT$3&gt;TODAY()),"",IF(AND(HT477="",HU477=""),"",N(HU477)-N(HT477)))</f>
        <v/>
      </c>
      <c r="HY477">
        <f>IF(OR(HT$3="",HT$3&gt;TODAY()),"",IF(AND(HW477="",HX477=""),"",N(HX477)-N(HW477)))</f>
        <v/>
      </c>
      <c r="IC477">
        <f>IF(OR(IA$3="",IA$3&gt;TODAY()),"",IF(AND(IA477="",IB477=""),"",N(IB477)-N(IA477)))</f>
        <v/>
      </c>
      <c r="IF477">
        <f>IF(OR(IA$3="",IA$3&gt;TODAY()),"",IF(AND(ID477="",IE477=""),"",N(IE477)-N(ID477)))</f>
        <v/>
      </c>
      <c r="IJ477">
        <f>IF(OR(IH$3="",IH$3&gt;TODAY()),"",IF(AND(IH477="",II477=""),"",N(II477)-N(IH477)))</f>
        <v/>
      </c>
      <c r="IM477">
        <f>IF(OR(IH$3="",IH$3&gt;TODAY()),"",IF(AND(IK477="",IL477=""),"",N(IL477)-N(IK477)))</f>
        <v/>
      </c>
    </row>
    <row r="478">
      <c r="A478" s="21" t="n"/>
      <c r="B478" s="21" t="n"/>
      <c r="C478" s="21" t="n"/>
      <c r="D478" s="21" t="n"/>
      <c r="E478" s="21" t="n"/>
      <c r="F478" s="21" t="n"/>
      <c r="G478" s="21" t="n"/>
      <c r="H478" s="21" t="n"/>
      <c r="I478" s="22" t="n"/>
      <c r="J478" s="22" t="n"/>
      <c r="K478" s="23" t="n"/>
      <c r="L478" s="22" t="n"/>
      <c r="M478" s="22" t="n"/>
      <c r="N478" s="21" t="n"/>
      <c r="O478" s="23" t="n"/>
      <c r="P478" s="23" t="n"/>
      <c r="Q478" s="23" t="n"/>
      <c r="R478" s="23" t="n"/>
      <c r="S478" s="22" t="n"/>
      <c r="T478" s="23" t="n"/>
      <c r="U478" s="23" t="n"/>
      <c r="V478" s="24">
        <f>IF(J478&lt;&gt;"",J478,IF(I478&lt;&gt;"",I478,""))</f>
        <v/>
      </c>
      <c r="W478" s="25">
        <f>IF($E478="","",N(O478)+SUMIFS($AF478:$IN478,$AF$4:$IN$4,"SEW_ACT"))</f>
        <v/>
      </c>
      <c r="X478" s="25">
        <f>IF($E478="","",N(P478)+SUMIFS($AF478:$IN478,$AF$4:$IN$4,"WASH_ACT"))</f>
        <v/>
      </c>
      <c r="Y478" s="25">
        <f>IF($E478="","",W478-X478-N(T478)-N(U478))</f>
        <v/>
      </c>
      <c r="Z478" s="25">
        <f>IF($E478="","",IF(N(K478)-X478&lt;=0.02*N(K478),0,N(K478)-X478))</f>
        <v/>
      </c>
      <c r="AA478" s="24">
        <f>IF($E478="","",IF(S478&lt;&gt;"",S478,IF(N(O478)&gt;0,IF(L478&lt;&gt;"",L478,99999),IFERROR(1/(1/_xlfn.MINIFS($AF$3:$IN$3,$AF$4:$IN$4,"SEW_ACT",$AF478:$IN478,"&gt;0")),99999))))</f>
        <v/>
      </c>
      <c r="AB478" s="26">
        <f>IF(OR($E478="",Z478=0,V478=""),"",1+COUNTIFS(Z$8:Z$707,"&gt;0",V$8:V$707,"&lt;"&amp;V478)+COUNTIFS(Z$8:Z$707,"&gt;0",V$8:V$707,V478,AA$8:AA$707,"&lt;"&amp;AA478)+COUNTIFS(Z$8:Z$707,"&gt;0",V$8:V$707,V478,AA$8:AA$707,AA478,E$8:E$707,"&lt;"&amp;$E478))</f>
        <v/>
      </c>
      <c r="AC478" s="24">
        <f>IF(OR($E478="",Z478=0),"",IFERROR(TODAY()+ROUNDUP(Z478/(SUMIFS($AF478:$IN478,$AF$4:$IN$4,"WASH_ACT")/COUNTIFS($AF$4:$IN$4,"WASH_ACT",$AF478:$IN478,"&gt;0")),0),"no output yet"))</f>
        <v/>
      </c>
      <c r="AD478" s="26">
        <f>IF($E478="","",IFERROR(ROUND(MAX(0,SUMIFS($AF478:$IN478,$AF$4:$IN$4,"SEW_PLAN",$AF$3:$IN$3,"&lt;="&amp;TODAY())-SUMIFS($AF478:$IN478,$AF$4:$IN$4,"SEW_ACT",$AF$3:$IN$3,"&lt;="&amp;TODAY())+N(Q478))/(SUMIFS($AF478:$IN478,$AF$4:$IN$4,"SEW_PLAN")/COUNTIFS($AF$4:$IN$4,"SEW_PLAN",$AF478:$IN478,"&gt;0")),1),0))</f>
        <v/>
      </c>
      <c r="AE478" s="26">
        <f>IF($E478="","",IF(AND(Z478&gt;0,OR(AND(M478&lt;&gt;"",TODAY()&gt;M478),AND(V478&lt;&gt;"",V478-TODAY()&lt;=7))),"Yes","No"))</f>
        <v/>
      </c>
      <c r="AH478">
        <f>IF(OR(AF$3="",AF$3&gt;TODAY()),"",IF(AND(AF478="",AG478=""),"",N(AG478)-N(AF478)))</f>
        <v/>
      </c>
      <c r="AK478">
        <f>IF(OR(AF$3="",AF$3&gt;TODAY()),"",IF(AND(AI478="",AJ478=""),"",N(AJ478)-N(AI478)))</f>
        <v/>
      </c>
      <c r="AO478">
        <f>IF(OR(AM$3="",AM$3&gt;TODAY()),"",IF(AND(AM478="",AN478=""),"",N(AN478)-N(AM478)))</f>
        <v/>
      </c>
      <c r="AR478">
        <f>IF(OR(AM$3="",AM$3&gt;TODAY()),"",IF(AND(AP478="",AQ478=""),"",N(AQ478)-N(AP478)))</f>
        <v/>
      </c>
      <c r="AV478">
        <f>IF(OR(AT$3="",AT$3&gt;TODAY()),"",IF(AND(AT478="",AU478=""),"",N(AU478)-N(AT478)))</f>
        <v/>
      </c>
      <c r="AY478">
        <f>IF(OR(AT$3="",AT$3&gt;TODAY()),"",IF(AND(AW478="",AX478=""),"",N(AX478)-N(AW478)))</f>
        <v/>
      </c>
      <c r="BC478">
        <f>IF(OR(BA$3="",BA$3&gt;TODAY()),"",IF(AND(BA478="",BB478=""),"",N(BB478)-N(BA478)))</f>
        <v/>
      </c>
      <c r="BF478">
        <f>IF(OR(BA$3="",BA$3&gt;TODAY()),"",IF(AND(BD478="",BE478=""),"",N(BE478)-N(BD478)))</f>
        <v/>
      </c>
      <c r="BJ478">
        <f>IF(OR(BH$3="",BH$3&gt;TODAY()),"",IF(AND(BH478="",BI478=""),"",N(BI478)-N(BH478)))</f>
        <v/>
      </c>
      <c r="BM478">
        <f>IF(OR(BH$3="",BH$3&gt;TODAY()),"",IF(AND(BK478="",BL478=""),"",N(BL478)-N(BK478)))</f>
        <v/>
      </c>
      <c r="BQ478">
        <f>IF(OR(BO$3="",BO$3&gt;TODAY()),"",IF(AND(BO478="",BP478=""),"",N(BP478)-N(BO478)))</f>
        <v/>
      </c>
      <c r="BT478">
        <f>IF(OR(BO$3="",BO$3&gt;TODAY()),"",IF(AND(BR478="",BS478=""),"",N(BS478)-N(BR478)))</f>
        <v/>
      </c>
      <c r="BX478">
        <f>IF(OR(BV$3="",BV$3&gt;TODAY()),"",IF(AND(BV478="",BW478=""),"",N(BW478)-N(BV478)))</f>
        <v/>
      </c>
      <c r="CA478">
        <f>IF(OR(BV$3="",BV$3&gt;TODAY()),"",IF(AND(BY478="",BZ478=""),"",N(BZ478)-N(BY478)))</f>
        <v/>
      </c>
      <c r="CE478">
        <f>IF(OR(CC$3="",CC$3&gt;TODAY()),"",IF(AND(CC478="",CD478=""),"",N(CD478)-N(CC478)))</f>
        <v/>
      </c>
      <c r="CH478">
        <f>IF(OR(CC$3="",CC$3&gt;TODAY()),"",IF(AND(CF478="",CG478=""),"",N(CG478)-N(CF478)))</f>
        <v/>
      </c>
      <c r="CL478">
        <f>IF(OR(CJ$3="",CJ$3&gt;TODAY()),"",IF(AND(CJ478="",CK478=""),"",N(CK478)-N(CJ478)))</f>
        <v/>
      </c>
      <c r="CO478">
        <f>IF(OR(CJ$3="",CJ$3&gt;TODAY()),"",IF(AND(CM478="",CN478=""),"",N(CN478)-N(CM478)))</f>
        <v/>
      </c>
      <c r="CS478">
        <f>IF(OR(CQ$3="",CQ$3&gt;TODAY()),"",IF(AND(CQ478="",CR478=""),"",N(CR478)-N(CQ478)))</f>
        <v/>
      </c>
      <c r="CV478">
        <f>IF(OR(CQ$3="",CQ$3&gt;TODAY()),"",IF(AND(CT478="",CU478=""),"",N(CU478)-N(CT478)))</f>
        <v/>
      </c>
      <c r="CZ478">
        <f>IF(OR(CX$3="",CX$3&gt;TODAY()),"",IF(AND(CX478="",CY478=""),"",N(CY478)-N(CX478)))</f>
        <v/>
      </c>
      <c r="DC478">
        <f>IF(OR(CX$3="",CX$3&gt;TODAY()),"",IF(AND(DA478="",DB478=""),"",N(DB478)-N(DA478)))</f>
        <v/>
      </c>
      <c r="DG478">
        <f>IF(OR(DE$3="",DE$3&gt;TODAY()),"",IF(AND(DE478="",DF478=""),"",N(DF478)-N(DE478)))</f>
        <v/>
      </c>
      <c r="DJ478">
        <f>IF(OR(DE$3="",DE$3&gt;TODAY()),"",IF(AND(DH478="",DI478=""),"",N(DI478)-N(DH478)))</f>
        <v/>
      </c>
      <c r="DN478">
        <f>IF(OR(DL$3="",DL$3&gt;TODAY()),"",IF(AND(DL478="",DM478=""),"",N(DM478)-N(DL478)))</f>
        <v/>
      </c>
      <c r="DQ478">
        <f>IF(OR(DL$3="",DL$3&gt;TODAY()),"",IF(AND(DO478="",DP478=""),"",N(DP478)-N(DO478)))</f>
        <v/>
      </c>
      <c r="DU478">
        <f>IF(OR(DS$3="",DS$3&gt;TODAY()),"",IF(AND(DS478="",DT478=""),"",N(DT478)-N(DS478)))</f>
        <v/>
      </c>
      <c r="DX478">
        <f>IF(OR(DS$3="",DS$3&gt;TODAY()),"",IF(AND(DV478="",DW478=""),"",N(DW478)-N(DV478)))</f>
        <v/>
      </c>
      <c r="EB478">
        <f>IF(OR(DZ$3="",DZ$3&gt;TODAY()),"",IF(AND(DZ478="",EA478=""),"",N(EA478)-N(DZ478)))</f>
        <v/>
      </c>
      <c r="EE478">
        <f>IF(OR(DZ$3="",DZ$3&gt;TODAY()),"",IF(AND(EC478="",ED478=""),"",N(ED478)-N(EC478)))</f>
        <v/>
      </c>
      <c r="EI478">
        <f>IF(OR(EG$3="",EG$3&gt;TODAY()),"",IF(AND(EG478="",EH478=""),"",N(EH478)-N(EG478)))</f>
        <v/>
      </c>
      <c r="EL478">
        <f>IF(OR(EG$3="",EG$3&gt;TODAY()),"",IF(AND(EJ478="",EK478=""),"",N(EK478)-N(EJ478)))</f>
        <v/>
      </c>
      <c r="EP478">
        <f>IF(OR(EN$3="",EN$3&gt;TODAY()),"",IF(AND(EN478="",EO478=""),"",N(EO478)-N(EN478)))</f>
        <v/>
      </c>
      <c r="ES478">
        <f>IF(OR(EN$3="",EN$3&gt;TODAY()),"",IF(AND(EQ478="",ER478=""),"",N(ER478)-N(EQ478)))</f>
        <v/>
      </c>
      <c r="EW478">
        <f>IF(OR(EU$3="",EU$3&gt;TODAY()),"",IF(AND(EU478="",EV478=""),"",N(EV478)-N(EU478)))</f>
        <v/>
      </c>
      <c r="EZ478">
        <f>IF(OR(EU$3="",EU$3&gt;TODAY()),"",IF(AND(EX478="",EY478=""),"",N(EY478)-N(EX478)))</f>
        <v/>
      </c>
      <c r="FD478">
        <f>IF(OR(FB$3="",FB$3&gt;TODAY()),"",IF(AND(FB478="",FC478=""),"",N(FC478)-N(FB478)))</f>
        <v/>
      </c>
      <c r="FG478">
        <f>IF(OR(FB$3="",FB$3&gt;TODAY()),"",IF(AND(FE478="",FF478=""),"",N(FF478)-N(FE478)))</f>
        <v/>
      </c>
      <c r="FK478">
        <f>IF(OR(FI$3="",FI$3&gt;TODAY()),"",IF(AND(FI478="",FJ478=""),"",N(FJ478)-N(FI478)))</f>
        <v/>
      </c>
      <c r="FN478">
        <f>IF(OR(FI$3="",FI$3&gt;TODAY()),"",IF(AND(FL478="",FM478=""),"",N(FM478)-N(FL478)))</f>
        <v/>
      </c>
      <c r="FR478">
        <f>IF(OR(FP$3="",FP$3&gt;TODAY()),"",IF(AND(FP478="",FQ478=""),"",N(FQ478)-N(FP478)))</f>
        <v/>
      </c>
      <c r="FU478">
        <f>IF(OR(FP$3="",FP$3&gt;TODAY()),"",IF(AND(FS478="",FT478=""),"",N(FT478)-N(FS478)))</f>
        <v/>
      </c>
      <c r="FY478">
        <f>IF(OR(FW$3="",FW$3&gt;TODAY()),"",IF(AND(FW478="",FX478=""),"",N(FX478)-N(FW478)))</f>
        <v/>
      </c>
      <c r="GB478">
        <f>IF(OR(FW$3="",FW$3&gt;TODAY()),"",IF(AND(FZ478="",GA478=""),"",N(GA478)-N(FZ478)))</f>
        <v/>
      </c>
      <c r="GF478">
        <f>IF(OR(GD$3="",GD$3&gt;TODAY()),"",IF(AND(GD478="",GE478=""),"",N(GE478)-N(GD478)))</f>
        <v/>
      </c>
      <c r="GI478">
        <f>IF(OR(GD$3="",GD$3&gt;TODAY()),"",IF(AND(GG478="",GH478=""),"",N(GH478)-N(GG478)))</f>
        <v/>
      </c>
      <c r="GM478">
        <f>IF(OR(GK$3="",GK$3&gt;TODAY()),"",IF(AND(GK478="",GL478=""),"",N(GL478)-N(GK478)))</f>
        <v/>
      </c>
      <c r="GP478">
        <f>IF(OR(GK$3="",GK$3&gt;TODAY()),"",IF(AND(GN478="",GO478=""),"",N(GO478)-N(GN478)))</f>
        <v/>
      </c>
      <c r="GT478">
        <f>IF(OR(GR$3="",GR$3&gt;TODAY()),"",IF(AND(GR478="",GS478=""),"",N(GS478)-N(GR478)))</f>
        <v/>
      </c>
      <c r="GW478">
        <f>IF(OR(GR$3="",GR$3&gt;TODAY()),"",IF(AND(GU478="",GV478=""),"",N(GV478)-N(GU478)))</f>
        <v/>
      </c>
      <c r="HA478">
        <f>IF(OR(GY$3="",GY$3&gt;TODAY()),"",IF(AND(GY478="",GZ478=""),"",N(GZ478)-N(GY478)))</f>
        <v/>
      </c>
      <c r="HD478">
        <f>IF(OR(GY$3="",GY$3&gt;TODAY()),"",IF(AND(HB478="",HC478=""),"",N(HC478)-N(HB478)))</f>
        <v/>
      </c>
      <c r="HH478">
        <f>IF(OR(HF$3="",HF$3&gt;TODAY()),"",IF(AND(HF478="",HG478=""),"",N(HG478)-N(HF478)))</f>
        <v/>
      </c>
      <c r="HK478">
        <f>IF(OR(HF$3="",HF$3&gt;TODAY()),"",IF(AND(HI478="",HJ478=""),"",N(HJ478)-N(HI478)))</f>
        <v/>
      </c>
      <c r="HO478">
        <f>IF(OR(HM$3="",HM$3&gt;TODAY()),"",IF(AND(HM478="",HN478=""),"",N(HN478)-N(HM478)))</f>
        <v/>
      </c>
      <c r="HR478">
        <f>IF(OR(HM$3="",HM$3&gt;TODAY()),"",IF(AND(HP478="",HQ478=""),"",N(HQ478)-N(HP478)))</f>
        <v/>
      </c>
      <c r="HV478">
        <f>IF(OR(HT$3="",HT$3&gt;TODAY()),"",IF(AND(HT478="",HU478=""),"",N(HU478)-N(HT478)))</f>
        <v/>
      </c>
      <c r="HY478">
        <f>IF(OR(HT$3="",HT$3&gt;TODAY()),"",IF(AND(HW478="",HX478=""),"",N(HX478)-N(HW478)))</f>
        <v/>
      </c>
      <c r="IC478">
        <f>IF(OR(IA$3="",IA$3&gt;TODAY()),"",IF(AND(IA478="",IB478=""),"",N(IB478)-N(IA478)))</f>
        <v/>
      </c>
      <c r="IF478">
        <f>IF(OR(IA$3="",IA$3&gt;TODAY()),"",IF(AND(ID478="",IE478=""),"",N(IE478)-N(ID478)))</f>
        <v/>
      </c>
      <c r="IJ478">
        <f>IF(OR(IH$3="",IH$3&gt;TODAY()),"",IF(AND(IH478="",II478=""),"",N(II478)-N(IH478)))</f>
        <v/>
      </c>
      <c r="IM478">
        <f>IF(OR(IH$3="",IH$3&gt;TODAY()),"",IF(AND(IK478="",IL478=""),"",N(IL478)-N(IK478)))</f>
        <v/>
      </c>
    </row>
    <row r="479">
      <c r="A479" s="21" t="n"/>
      <c r="B479" s="21" t="n"/>
      <c r="C479" s="21" t="n"/>
      <c r="D479" s="21" t="n"/>
      <c r="E479" s="21" t="n"/>
      <c r="F479" s="21" t="n"/>
      <c r="G479" s="21" t="n"/>
      <c r="H479" s="21" t="n"/>
      <c r="I479" s="22" t="n"/>
      <c r="J479" s="22" t="n"/>
      <c r="K479" s="23" t="n"/>
      <c r="L479" s="22" t="n"/>
      <c r="M479" s="22" t="n"/>
      <c r="N479" s="21" t="n"/>
      <c r="O479" s="23" t="n"/>
      <c r="P479" s="23" t="n"/>
      <c r="Q479" s="23" t="n"/>
      <c r="R479" s="23" t="n"/>
      <c r="S479" s="22" t="n"/>
      <c r="T479" s="23" t="n"/>
      <c r="U479" s="23" t="n"/>
      <c r="V479" s="24">
        <f>IF(J479&lt;&gt;"",J479,IF(I479&lt;&gt;"",I479,""))</f>
        <v/>
      </c>
      <c r="W479" s="25">
        <f>IF($E479="","",N(O479)+SUMIFS($AF479:$IN479,$AF$4:$IN$4,"SEW_ACT"))</f>
        <v/>
      </c>
      <c r="X479" s="25">
        <f>IF($E479="","",N(P479)+SUMIFS($AF479:$IN479,$AF$4:$IN$4,"WASH_ACT"))</f>
        <v/>
      </c>
      <c r="Y479" s="25">
        <f>IF($E479="","",W479-X479-N(T479)-N(U479))</f>
        <v/>
      </c>
      <c r="Z479" s="25">
        <f>IF($E479="","",IF(N(K479)-X479&lt;=0.02*N(K479),0,N(K479)-X479))</f>
        <v/>
      </c>
      <c r="AA479" s="24">
        <f>IF($E479="","",IF(S479&lt;&gt;"",S479,IF(N(O479)&gt;0,IF(L479&lt;&gt;"",L479,99999),IFERROR(1/(1/_xlfn.MINIFS($AF$3:$IN$3,$AF$4:$IN$4,"SEW_ACT",$AF479:$IN479,"&gt;0")),99999))))</f>
        <v/>
      </c>
      <c r="AB479" s="26">
        <f>IF(OR($E479="",Z479=0,V479=""),"",1+COUNTIFS(Z$8:Z$707,"&gt;0",V$8:V$707,"&lt;"&amp;V479)+COUNTIFS(Z$8:Z$707,"&gt;0",V$8:V$707,V479,AA$8:AA$707,"&lt;"&amp;AA479)+COUNTIFS(Z$8:Z$707,"&gt;0",V$8:V$707,V479,AA$8:AA$707,AA479,E$8:E$707,"&lt;"&amp;$E479))</f>
        <v/>
      </c>
      <c r="AC479" s="24">
        <f>IF(OR($E479="",Z479=0),"",IFERROR(TODAY()+ROUNDUP(Z479/(SUMIFS($AF479:$IN479,$AF$4:$IN$4,"WASH_ACT")/COUNTIFS($AF$4:$IN$4,"WASH_ACT",$AF479:$IN479,"&gt;0")),0),"no output yet"))</f>
        <v/>
      </c>
      <c r="AD479" s="26">
        <f>IF($E479="","",IFERROR(ROUND(MAX(0,SUMIFS($AF479:$IN479,$AF$4:$IN$4,"SEW_PLAN",$AF$3:$IN$3,"&lt;="&amp;TODAY())-SUMIFS($AF479:$IN479,$AF$4:$IN$4,"SEW_ACT",$AF$3:$IN$3,"&lt;="&amp;TODAY())+N(Q479))/(SUMIFS($AF479:$IN479,$AF$4:$IN$4,"SEW_PLAN")/COUNTIFS($AF$4:$IN$4,"SEW_PLAN",$AF479:$IN479,"&gt;0")),1),0))</f>
        <v/>
      </c>
      <c r="AE479" s="26">
        <f>IF($E479="","",IF(AND(Z479&gt;0,OR(AND(M479&lt;&gt;"",TODAY()&gt;M479),AND(V479&lt;&gt;"",V479-TODAY()&lt;=7))),"Yes","No"))</f>
        <v/>
      </c>
      <c r="AH479">
        <f>IF(OR(AF$3="",AF$3&gt;TODAY()),"",IF(AND(AF479="",AG479=""),"",N(AG479)-N(AF479)))</f>
        <v/>
      </c>
      <c r="AK479">
        <f>IF(OR(AF$3="",AF$3&gt;TODAY()),"",IF(AND(AI479="",AJ479=""),"",N(AJ479)-N(AI479)))</f>
        <v/>
      </c>
      <c r="AO479">
        <f>IF(OR(AM$3="",AM$3&gt;TODAY()),"",IF(AND(AM479="",AN479=""),"",N(AN479)-N(AM479)))</f>
        <v/>
      </c>
      <c r="AR479">
        <f>IF(OR(AM$3="",AM$3&gt;TODAY()),"",IF(AND(AP479="",AQ479=""),"",N(AQ479)-N(AP479)))</f>
        <v/>
      </c>
      <c r="AV479">
        <f>IF(OR(AT$3="",AT$3&gt;TODAY()),"",IF(AND(AT479="",AU479=""),"",N(AU479)-N(AT479)))</f>
        <v/>
      </c>
      <c r="AY479">
        <f>IF(OR(AT$3="",AT$3&gt;TODAY()),"",IF(AND(AW479="",AX479=""),"",N(AX479)-N(AW479)))</f>
        <v/>
      </c>
      <c r="BC479">
        <f>IF(OR(BA$3="",BA$3&gt;TODAY()),"",IF(AND(BA479="",BB479=""),"",N(BB479)-N(BA479)))</f>
        <v/>
      </c>
      <c r="BF479">
        <f>IF(OR(BA$3="",BA$3&gt;TODAY()),"",IF(AND(BD479="",BE479=""),"",N(BE479)-N(BD479)))</f>
        <v/>
      </c>
      <c r="BJ479">
        <f>IF(OR(BH$3="",BH$3&gt;TODAY()),"",IF(AND(BH479="",BI479=""),"",N(BI479)-N(BH479)))</f>
        <v/>
      </c>
      <c r="BM479">
        <f>IF(OR(BH$3="",BH$3&gt;TODAY()),"",IF(AND(BK479="",BL479=""),"",N(BL479)-N(BK479)))</f>
        <v/>
      </c>
      <c r="BQ479">
        <f>IF(OR(BO$3="",BO$3&gt;TODAY()),"",IF(AND(BO479="",BP479=""),"",N(BP479)-N(BO479)))</f>
        <v/>
      </c>
      <c r="BT479">
        <f>IF(OR(BO$3="",BO$3&gt;TODAY()),"",IF(AND(BR479="",BS479=""),"",N(BS479)-N(BR479)))</f>
        <v/>
      </c>
      <c r="BX479">
        <f>IF(OR(BV$3="",BV$3&gt;TODAY()),"",IF(AND(BV479="",BW479=""),"",N(BW479)-N(BV479)))</f>
        <v/>
      </c>
      <c r="CA479">
        <f>IF(OR(BV$3="",BV$3&gt;TODAY()),"",IF(AND(BY479="",BZ479=""),"",N(BZ479)-N(BY479)))</f>
        <v/>
      </c>
      <c r="CE479">
        <f>IF(OR(CC$3="",CC$3&gt;TODAY()),"",IF(AND(CC479="",CD479=""),"",N(CD479)-N(CC479)))</f>
        <v/>
      </c>
      <c r="CH479">
        <f>IF(OR(CC$3="",CC$3&gt;TODAY()),"",IF(AND(CF479="",CG479=""),"",N(CG479)-N(CF479)))</f>
        <v/>
      </c>
      <c r="CL479">
        <f>IF(OR(CJ$3="",CJ$3&gt;TODAY()),"",IF(AND(CJ479="",CK479=""),"",N(CK479)-N(CJ479)))</f>
        <v/>
      </c>
      <c r="CO479">
        <f>IF(OR(CJ$3="",CJ$3&gt;TODAY()),"",IF(AND(CM479="",CN479=""),"",N(CN479)-N(CM479)))</f>
        <v/>
      </c>
      <c r="CS479">
        <f>IF(OR(CQ$3="",CQ$3&gt;TODAY()),"",IF(AND(CQ479="",CR479=""),"",N(CR479)-N(CQ479)))</f>
        <v/>
      </c>
      <c r="CV479">
        <f>IF(OR(CQ$3="",CQ$3&gt;TODAY()),"",IF(AND(CT479="",CU479=""),"",N(CU479)-N(CT479)))</f>
        <v/>
      </c>
      <c r="CZ479">
        <f>IF(OR(CX$3="",CX$3&gt;TODAY()),"",IF(AND(CX479="",CY479=""),"",N(CY479)-N(CX479)))</f>
        <v/>
      </c>
      <c r="DC479">
        <f>IF(OR(CX$3="",CX$3&gt;TODAY()),"",IF(AND(DA479="",DB479=""),"",N(DB479)-N(DA479)))</f>
        <v/>
      </c>
      <c r="DG479">
        <f>IF(OR(DE$3="",DE$3&gt;TODAY()),"",IF(AND(DE479="",DF479=""),"",N(DF479)-N(DE479)))</f>
        <v/>
      </c>
      <c r="DJ479">
        <f>IF(OR(DE$3="",DE$3&gt;TODAY()),"",IF(AND(DH479="",DI479=""),"",N(DI479)-N(DH479)))</f>
        <v/>
      </c>
      <c r="DN479">
        <f>IF(OR(DL$3="",DL$3&gt;TODAY()),"",IF(AND(DL479="",DM479=""),"",N(DM479)-N(DL479)))</f>
        <v/>
      </c>
      <c r="DQ479">
        <f>IF(OR(DL$3="",DL$3&gt;TODAY()),"",IF(AND(DO479="",DP479=""),"",N(DP479)-N(DO479)))</f>
        <v/>
      </c>
      <c r="DU479">
        <f>IF(OR(DS$3="",DS$3&gt;TODAY()),"",IF(AND(DS479="",DT479=""),"",N(DT479)-N(DS479)))</f>
        <v/>
      </c>
      <c r="DX479">
        <f>IF(OR(DS$3="",DS$3&gt;TODAY()),"",IF(AND(DV479="",DW479=""),"",N(DW479)-N(DV479)))</f>
        <v/>
      </c>
      <c r="EB479">
        <f>IF(OR(DZ$3="",DZ$3&gt;TODAY()),"",IF(AND(DZ479="",EA479=""),"",N(EA479)-N(DZ479)))</f>
        <v/>
      </c>
      <c r="EE479">
        <f>IF(OR(DZ$3="",DZ$3&gt;TODAY()),"",IF(AND(EC479="",ED479=""),"",N(ED479)-N(EC479)))</f>
        <v/>
      </c>
      <c r="EI479">
        <f>IF(OR(EG$3="",EG$3&gt;TODAY()),"",IF(AND(EG479="",EH479=""),"",N(EH479)-N(EG479)))</f>
        <v/>
      </c>
      <c r="EL479">
        <f>IF(OR(EG$3="",EG$3&gt;TODAY()),"",IF(AND(EJ479="",EK479=""),"",N(EK479)-N(EJ479)))</f>
        <v/>
      </c>
      <c r="EP479">
        <f>IF(OR(EN$3="",EN$3&gt;TODAY()),"",IF(AND(EN479="",EO479=""),"",N(EO479)-N(EN479)))</f>
        <v/>
      </c>
      <c r="ES479">
        <f>IF(OR(EN$3="",EN$3&gt;TODAY()),"",IF(AND(EQ479="",ER479=""),"",N(ER479)-N(EQ479)))</f>
        <v/>
      </c>
      <c r="EW479">
        <f>IF(OR(EU$3="",EU$3&gt;TODAY()),"",IF(AND(EU479="",EV479=""),"",N(EV479)-N(EU479)))</f>
        <v/>
      </c>
      <c r="EZ479">
        <f>IF(OR(EU$3="",EU$3&gt;TODAY()),"",IF(AND(EX479="",EY479=""),"",N(EY479)-N(EX479)))</f>
        <v/>
      </c>
      <c r="FD479">
        <f>IF(OR(FB$3="",FB$3&gt;TODAY()),"",IF(AND(FB479="",FC479=""),"",N(FC479)-N(FB479)))</f>
        <v/>
      </c>
      <c r="FG479">
        <f>IF(OR(FB$3="",FB$3&gt;TODAY()),"",IF(AND(FE479="",FF479=""),"",N(FF479)-N(FE479)))</f>
        <v/>
      </c>
      <c r="FK479">
        <f>IF(OR(FI$3="",FI$3&gt;TODAY()),"",IF(AND(FI479="",FJ479=""),"",N(FJ479)-N(FI479)))</f>
        <v/>
      </c>
      <c r="FN479">
        <f>IF(OR(FI$3="",FI$3&gt;TODAY()),"",IF(AND(FL479="",FM479=""),"",N(FM479)-N(FL479)))</f>
        <v/>
      </c>
      <c r="FR479">
        <f>IF(OR(FP$3="",FP$3&gt;TODAY()),"",IF(AND(FP479="",FQ479=""),"",N(FQ479)-N(FP479)))</f>
        <v/>
      </c>
      <c r="FU479">
        <f>IF(OR(FP$3="",FP$3&gt;TODAY()),"",IF(AND(FS479="",FT479=""),"",N(FT479)-N(FS479)))</f>
        <v/>
      </c>
      <c r="FY479">
        <f>IF(OR(FW$3="",FW$3&gt;TODAY()),"",IF(AND(FW479="",FX479=""),"",N(FX479)-N(FW479)))</f>
        <v/>
      </c>
      <c r="GB479">
        <f>IF(OR(FW$3="",FW$3&gt;TODAY()),"",IF(AND(FZ479="",GA479=""),"",N(GA479)-N(FZ479)))</f>
        <v/>
      </c>
      <c r="GF479">
        <f>IF(OR(GD$3="",GD$3&gt;TODAY()),"",IF(AND(GD479="",GE479=""),"",N(GE479)-N(GD479)))</f>
        <v/>
      </c>
      <c r="GI479">
        <f>IF(OR(GD$3="",GD$3&gt;TODAY()),"",IF(AND(GG479="",GH479=""),"",N(GH479)-N(GG479)))</f>
        <v/>
      </c>
      <c r="GM479">
        <f>IF(OR(GK$3="",GK$3&gt;TODAY()),"",IF(AND(GK479="",GL479=""),"",N(GL479)-N(GK479)))</f>
        <v/>
      </c>
      <c r="GP479">
        <f>IF(OR(GK$3="",GK$3&gt;TODAY()),"",IF(AND(GN479="",GO479=""),"",N(GO479)-N(GN479)))</f>
        <v/>
      </c>
      <c r="GT479">
        <f>IF(OR(GR$3="",GR$3&gt;TODAY()),"",IF(AND(GR479="",GS479=""),"",N(GS479)-N(GR479)))</f>
        <v/>
      </c>
      <c r="GW479">
        <f>IF(OR(GR$3="",GR$3&gt;TODAY()),"",IF(AND(GU479="",GV479=""),"",N(GV479)-N(GU479)))</f>
        <v/>
      </c>
      <c r="HA479">
        <f>IF(OR(GY$3="",GY$3&gt;TODAY()),"",IF(AND(GY479="",GZ479=""),"",N(GZ479)-N(GY479)))</f>
        <v/>
      </c>
      <c r="HD479">
        <f>IF(OR(GY$3="",GY$3&gt;TODAY()),"",IF(AND(HB479="",HC479=""),"",N(HC479)-N(HB479)))</f>
        <v/>
      </c>
      <c r="HH479">
        <f>IF(OR(HF$3="",HF$3&gt;TODAY()),"",IF(AND(HF479="",HG479=""),"",N(HG479)-N(HF479)))</f>
        <v/>
      </c>
      <c r="HK479">
        <f>IF(OR(HF$3="",HF$3&gt;TODAY()),"",IF(AND(HI479="",HJ479=""),"",N(HJ479)-N(HI479)))</f>
        <v/>
      </c>
      <c r="HO479">
        <f>IF(OR(HM$3="",HM$3&gt;TODAY()),"",IF(AND(HM479="",HN479=""),"",N(HN479)-N(HM479)))</f>
        <v/>
      </c>
      <c r="HR479">
        <f>IF(OR(HM$3="",HM$3&gt;TODAY()),"",IF(AND(HP479="",HQ479=""),"",N(HQ479)-N(HP479)))</f>
        <v/>
      </c>
      <c r="HV479">
        <f>IF(OR(HT$3="",HT$3&gt;TODAY()),"",IF(AND(HT479="",HU479=""),"",N(HU479)-N(HT479)))</f>
        <v/>
      </c>
      <c r="HY479">
        <f>IF(OR(HT$3="",HT$3&gt;TODAY()),"",IF(AND(HW479="",HX479=""),"",N(HX479)-N(HW479)))</f>
        <v/>
      </c>
      <c r="IC479">
        <f>IF(OR(IA$3="",IA$3&gt;TODAY()),"",IF(AND(IA479="",IB479=""),"",N(IB479)-N(IA479)))</f>
        <v/>
      </c>
      <c r="IF479">
        <f>IF(OR(IA$3="",IA$3&gt;TODAY()),"",IF(AND(ID479="",IE479=""),"",N(IE479)-N(ID479)))</f>
        <v/>
      </c>
      <c r="IJ479">
        <f>IF(OR(IH$3="",IH$3&gt;TODAY()),"",IF(AND(IH479="",II479=""),"",N(II479)-N(IH479)))</f>
        <v/>
      </c>
      <c r="IM479">
        <f>IF(OR(IH$3="",IH$3&gt;TODAY()),"",IF(AND(IK479="",IL479=""),"",N(IL479)-N(IK479)))</f>
        <v/>
      </c>
    </row>
    <row r="480">
      <c r="A480" s="21" t="n"/>
      <c r="B480" s="21" t="n"/>
      <c r="C480" s="21" t="n"/>
      <c r="D480" s="21" t="n"/>
      <c r="E480" s="21" t="n"/>
      <c r="F480" s="21" t="n"/>
      <c r="G480" s="21" t="n"/>
      <c r="H480" s="21" t="n"/>
      <c r="I480" s="22" t="n"/>
      <c r="J480" s="22" t="n"/>
      <c r="K480" s="23" t="n"/>
      <c r="L480" s="22" t="n"/>
      <c r="M480" s="22" t="n"/>
      <c r="N480" s="21" t="n"/>
      <c r="O480" s="23" t="n"/>
      <c r="P480" s="23" t="n"/>
      <c r="Q480" s="23" t="n"/>
      <c r="R480" s="23" t="n"/>
      <c r="S480" s="22" t="n"/>
      <c r="T480" s="23" t="n"/>
      <c r="U480" s="23" t="n"/>
      <c r="V480" s="24">
        <f>IF(J480&lt;&gt;"",J480,IF(I480&lt;&gt;"",I480,""))</f>
        <v/>
      </c>
      <c r="W480" s="25">
        <f>IF($E480="","",N(O480)+SUMIFS($AF480:$IN480,$AF$4:$IN$4,"SEW_ACT"))</f>
        <v/>
      </c>
      <c r="X480" s="25">
        <f>IF($E480="","",N(P480)+SUMIFS($AF480:$IN480,$AF$4:$IN$4,"WASH_ACT"))</f>
        <v/>
      </c>
      <c r="Y480" s="25">
        <f>IF($E480="","",W480-X480-N(T480)-N(U480))</f>
        <v/>
      </c>
      <c r="Z480" s="25">
        <f>IF($E480="","",IF(N(K480)-X480&lt;=0.02*N(K480),0,N(K480)-X480))</f>
        <v/>
      </c>
      <c r="AA480" s="24">
        <f>IF($E480="","",IF(S480&lt;&gt;"",S480,IF(N(O480)&gt;0,IF(L480&lt;&gt;"",L480,99999),IFERROR(1/(1/_xlfn.MINIFS($AF$3:$IN$3,$AF$4:$IN$4,"SEW_ACT",$AF480:$IN480,"&gt;0")),99999))))</f>
        <v/>
      </c>
      <c r="AB480" s="26">
        <f>IF(OR($E480="",Z480=0,V480=""),"",1+COUNTIFS(Z$8:Z$707,"&gt;0",V$8:V$707,"&lt;"&amp;V480)+COUNTIFS(Z$8:Z$707,"&gt;0",V$8:V$707,V480,AA$8:AA$707,"&lt;"&amp;AA480)+COUNTIFS(Z$8:Z$707,"&gt;0",V$8:V$707,V480,AA$8:AA$707,AA480,E$8:E$707,"&lt;"&amp;$E480))</f>
        <v/>
      </c>
      <c r="AC480" s="24">
        <f>IF(OR($E480="",Z480=0),"",IFERROR(TODAY()+ROUNDUP(Z480/(SUMIFS($AF480:$IN480,$AF$4:$IN$4,"WASH_ACT")/COUNTIFS($AF$4:$IN$4,"WASH_ACT",$AF480:$IN480,"&gt;0")),0),"no output yet"))</f>
        <v/>
      </c>
      <c r="AD480" s="26">
        <f>IF($E480="","",IFERROR(ROUND(MAX(0,SUMIFS($AF480:$IN480,$AF$4:$IN$4,"SEW_PLAN",$AF$3:$IN$3,"&lt;="&amp;TODAY())-SUMIFS($AF480:$IN480,$AF$4:$IN$4,"SEW_ACT",$AF$3:$IN$3,"&lt;="&amp;TODAY())+N(Q480))/(SUMIFS($AF480:$IN480,$AF$4:$IN$4,"SEW_PLAN")/COUNTIFS($AF$4:$IN$4,"SEW_PLAN",$AF480:$IN480,"&gt;0")),1),0))</f>
        <v/>
      </c>
      <c r="AE480" s="26">
        <f>IF($E480="","",IF(AND(Z480&gt;0,OR(AND(M480&lt;&gt;"",TODAY()&gt;M480),AND(V480&lt;&gt;"",V480-TODAY()&lt;=7))),"Yes","No"))</f>
        <v/>
      </c>
      <c r="AH480">
        <f>IF(OR(AF$3="",AF$3&gt;TODAY()),"",IF(AND(AF480="",AG480=""),"",N(AG480)-N(AF480)))</f>
        <v/>
      </c>
      <c r="AK480">
        <f>IF(OR(AF$3="",AF$3&gt;TODAY()),"",IF(AND(AI480="",AJ480=""),"",N(AJ480)-N(AI480)))</f>
        <v/>
      </c>
      <c r="AO480">
        <f>IF(OR(AM$3="",AM$3&gt;TODAY()),"",IF(AND(AM480="",AN480=""),"",N(AN480)-N(AM480)))</f>
        <v/>
      </c>
      <c r="AR480">
        <f>IF(OR(AM$3="",AM$3&gt;TODAY()),"",IF(AND(AP480="",AQ480=""),"",N(AQ480)-N(AP480)))</f>
        <v/>
      </c>
      <c r="AV480">
        <f>IF(OR(AT$3="",AT$3&gt;TODAY()),"",IF(AND(AT480="",AU480=""),"",N(AU480)-N(AT480)))</f>
        <v/>
      </c>
      <c r="AY480">
        <f>IF(OR(AT$3="",AT$3&gt;TODAY()),"",IF(AND(AW480="",AX480=""),"",N(AX480)-N(AW480)))</f>
        <v/>
      </c>
      <c r="BC480">
        <f>IF(OR(BA$3="",BA$3&gt;TODAY()),"",IF(AND(BA480="",BB480=""),"",N(BB480)-N(BA480)))</f>
        <v/>
      </c>
      <c r="BF480">
        <f>IF(OR(BA$3="",BA$3&gt;TODAY()),"",IF(AND(BD480="",BE480=""),"",N(BE480)-N(BD480)))</f>
        <v/>
      </c>
      <c r="BJ480">
        <f>IF(OR(BH$3="",BH$3&gt;TODAY()),"",IF(AND(BH480="",BI480=""),"",N(BI480)-N(BH480)))</f>
        <v/>
      </c>
      <c r="BM480">
        <f>IF(OR(BH$3="",BH$3&gt;TODAY()),"",IF(AND(BK480="",BL480=""),"",N(BL480)-N(BK480)))</f>
        <v/>
      </c>
      <c r="BQ480">
        <f>IF(OR(BO$3="",BO$3&gt;TODAY()),"",IF(AND(BO480="",BP480=""),"",N(BP480)-N(BO480)))</f>
        <v/>
      </c>
      <c r="BT480">
        <f>IF(OR(BO$3="",BO$3&gt;TODAY()),"",IF(AND(BR480="",BS480=""),"",N(BS480)-N(BR480)))</f>
        <v/>
      </c>
      <c r="BX480">
        <f>IF(OR(BV$3="",BV$3&gt;TODAY()),"",IF(AND(BV480="",BW480=""),"",N(BW480)-N(BV480)))</f>
        <v/>
      </c>
      <c r="CA480">
        <f>IF(OR(BV$3="",BV$3&gt;TODAY()),"",IF(AND(BY480="",BZ480=""),"",N(BZ480)-N(BY480)))</f>
        <v/>
      </c>
      <c r="CE480">
        <f>IF(OR(CC$3="",CC$3&gt;TODAY()),"",IF(AND(CC480="",CD480=""),"",N(CD480)-N(CC480)))</f>
        <v/>
      </c>
      <c r="CH480">
        <f>IF(OR(CC$3="",CC$3&gt;TODAY()),"",IF(AND(CF480="",CG480=""),"",N(CG480)-N(CF480)))</f>
        <v/>
      </c>
      <c r="CL480">
        <f>IF(OR(CJ$3="",CJ$3&gt;TODAY()),"",IF(AND(CJ480="",CK480=""),"",N(CK480)-N(CJ480)))</f>
        <v/>
      </c>
      <c r="CO480">
        <f>IF(OR(CJ$3="",CJ$3&gt;TODAY()),"",IF(AND(CM480="",CN480=""),"",N(CN480)-N(CM480)))</f>
        <v/>
      </c>
      <c r="CS480">
        <f>IF(OR(CQ$3="",CQ$3&gt;TODAY()),"",IF(AND(CQ480="",CR480=""),"",N(CR480)-N(CQ480)))</f>
        <v/>
      </c>
      <c r="CV480">
        <f>IF(OR(CQ$3="",CQ$3&gt;TODAY()),"",IF(AND(CT480="",CU480=""),"",N(CU480)-N(CT480)))</f>
        <v/>
      </c>
      <c r="CZ480">
        <f>IF(OR(CX$3="",CX$3&gt;TODAY()),"",IF(AND(CX480="",CY480=""),"",N(CY480)-N(CX480)))</f>
        <v/>
      </c>
      <c r="DC480">
        <f>IF(OR(CX$3="",CX$3&gt;TODAY()),"",IF(AND(DA480="",DB480=""),"",N(DB480)-N(DA480)))</f>
        <v/>
      </c>
      <c r="DG480">
        <f>IF(OR(DE$3="",DE$3&gt;TODAY()),"",IF(AND(DE480="",DF480=""),"",N(DF480)-N(DE480)))</f>
        <v/>
      </c>
      <c r="DJ480">
        <f>IF(OR(DE$3="",DE$3&gt;TODAY()),"",IF(AND(DH480="",DI480=""),"",N(DI480)-N(DH480)))</f>
        <v/>
      </c>
      <c r="DN480">
        <f>IF(OR(DL$3="",DL$3&gt;TODAY()),"",IF(AND(DL480="",DM480=""),"",N(DM480)-N(DL480)))</f>
        <v/>
      </c>
      <c r="DQ480">
        <f>IF(OR(DL$3="",DL$3&gt;TODAY()),"",IF(AND(DO480="",DP480=""),"",N(DP480)-N(DO480)))</f>
        <v/>
      </c>
      <c r="DU480">
        <f>IF(OR(DS$3="",DS$3&gt;TODAY()),"",IF(AND(DS480="",DT480=""),"",N(DT480)-N(DS480)))</f>
        <v/>
      </c>
      <c r="DX480">
        <f>IF(OR(DS$3="",DS$3&gt;TODAY()),"",IF(AND(DV480="",DW480=""),"",N(DW480)-N(DV480)))</f>
        <v/>
      </c>
      <c r="EB480">
        <f>IF(OR(DZ$3="",DZ$3&gt;TODAY()),"",IF(AND(DZ480="",EA480=""),"",N(EA480)-N(DZ480)))</f>
        <v/>
      </c>
      <c r="EE480">
        <f>IF(OR(DZ$3="",DZ$3&gt;TODAY()),"",IF(AND(EC480="",ED480=""),"",N(ED480)-N(EC480)))</f>
        <v/>
      </c>
      <c r="EI480">
        <f>IF(OR(EG$3="",EG$3&gt;TODAY()),"",IF(AND(EG480="",EH480=""),"",N(EH480)-N(EG480)))</f>
        <v/>
      </c>
      <c r="EL480">
        <f>IF(OR(EG$3="",EG$3&gt;TODAY()),"",IF(AND(EJ480="",EK480=""),"",N(EK480)-N(EJ480)))</f>
        <v/>
      </c>
      <c r="EP480">
        <f>IF(OR(EN$3="",EN$3&gt;TODAY()),"",IF(AND(EN480="",EO480=""),"",N(EO480)-N(EN480)))</f>
        <v/>
      </c>
      <c r="ES480">
        <f>IF(OR(EN$3="",EN$3&gt;TODAY()),"",IF(AND(EQ480="",ER480=""),"",N(ER480)-N(EQ480)))</f>
        <v/>
      </c>
      <c r="EW480">
        <f>IF(OR(EU$3="",EU$3&gt;TODAY()),"",IF(AND(EU480="",EV480=""),"",N(EV480)-N(EU480)))</f>
        <v/>
      </c>
      <c r="EZ480">
        <f>IF(OR(EU$3="",EU$3&gt;TODAY()),"",IF(AND(EX480="",EY480=""),"",N(EY480)-N(EX480)))</f>
        <v/>
      </c>
      <c r="FD480">
        <f>IF(OR(FB$3="",FB$3&gt;TODAY()),"",IF(AND(FB480="",FC480=""),"",N(FC480)-N(FB480)))</f>
        <v/>
      </c>
      <c r="FG480">
        <f>IF(OR(FB$3="",FB$3&gt;TODAY()),"",IF(AND(FE480="",FF480=""),"",N(FF480)-N(FE480)))</f>
        <v/>
      </c>
      <c r="FK480">
        <f>IF(OR(FI$3="",FI$3&gt;TODAY()),"",IF(AND(FI480="",FJ480=""),"",N(FJ480)-N(FI480)))</f>
        <v/>
      </c>
      <c r="FN480">
        <f>IF(OR(FI$3="",FI$3&gt;TODAY()),"",IF(AND(FL480="",FM480=""),"",N(FM480)-N(FL480)))</f>
        <v/>
      </c>
      <c r="FR480">
        <f>IF(OR(FP$3="",FP$3&gt;TODAY()),"",IF(AND(FP480="",FQ480=""),"",N(FQ480)-N(FP480)))</f>
        <v/>
      </c>
      <c r="FU480">
        <f>IF(OR(FP$3="",FP$3&gt;TODAY()),"",IF(AND(FS480="",FT480=""),"",N(FT480)-N(FS480)))</f>
        <v/>
      </c>
      <c r="FY480">
        <f>IF(OR(FW$3="",FW$3&gt;TODAY()),"",IF(AND(FW480="",FX480=""),"",N(FX480)-N(FW480)))</f>
        <v/>
      </c>
      <c r="GB480">
        <f>IF(OR(FW$3="",FW$3&gt;TODAY()),"",IF(AND(FZ480="",GA480=""),"",N(GA480)-N(FZ480)))</f>
        <v/>
      </c>
      <c r="GF480">
        <f>IF(OR(GD$3="",GD$3&gt;TODAY()),"",IF(AND(GD480="",GE480=""),"",N(GE480)-N(GD480)))</f>
        <v/>
      </c>
      <c r="GI480">
        <f>IF(OR(GD$3="",GD$3&gt;TODAY()),"",IF(AND(GG480="",GH480=""),"",N(GH480)-N(GG480)))</f>
        <v/>
      </c>
      <c r="GM480">
        <f>IF(OR(GK$3="",GK$3&gt;TODAY()),"",IF(AND(GK480="",GL480=""),"",N(GL480)-N(GK480)))</f>
        <v/>
      </c>
      <c r="GP480">
        <f>IF(OR(GK$3="",GK$3&gt;TODAY()),"",IF(AND(GN480="",GO480=""),"",N(GO480)-N(GN480)))</f>
        <v/>
      </c>
      <c r="GT480">
        <f>IF(OR(GR$3="",GR$3&gt;TODAY()),"",IF(AND(GR480="",GS480=""),"",N(GS480)-N(GR480)))</f>
        <v/>
      </c>
      <c r="GW480">
        <f>IF(OR(GR$3="",GR$3&gt;TODAY()),"",IF(AND(GU480="",GV480=""),"",N(GV480)-N(GU480)))</f>
        <v/>
      </c>
      <c r="HA480">
        <f>IF(OR(GY$3="",GY$3&gt;TODAY()),"",IF(AND(GY480="",GZ480=""),"",N(GZ480)-N(GY480)))</f>
        <v/>
      </c>
      <c r="HD480">
        <f>IF(OR(GY$3="",GY$3&gt;TODAY()),"",IF(AND(HB480="",HC480=""),"",N(HC480)-N(HB480)))</f>
        <v/>
      </c>
      <c r="HH480">
        <f>IF(OR(HF$3="",HF$3&gt;TODAY()),"",IF(AND(HF480="",HG480=""),"",N(HG480)-N(HF480)))</f>
        <v/>
      </c>
      <c r="HK480">
        <f>IF(OR(HF$3="",HF$3&gt;TODAY()),"",IF(AND(HI480="",HJ480=""),"",N(HJ480)-N(HI480)))</f>
        <v/>
      </c>
      <c r="HO480">
        <f>IF(OR(HM$3="",HM$3&gt;TODAY()),"",IF(AND(HM480="",HN480=""),"",N(HN480)-N(HM480)))</f>
        <v/>
      </c>
      <c r="HR480">
        <f>IF(OR(HM$3="",HM$3&gt;TODAY()),"",IF(AND(HP480="",HQ480=""),"",N(HQ480)-N(HP480)))</f>
        <v/>
      </c>
      <c r="HV480">
        <f>IF(OR(HT$3="",HT$3&gt;TODAY()),"",IF(AND(HT480="",HU480=""),"",N(HU480)-N(HT480)))</f>
        <v/>
      </c>
      <c r="HY480">
        <f>IF(OR(HT$3="",HT$3&gt;TODAY()),"",IF(AND(HW480="",HX480=""),"",N(HX480)-N(HW480)))</f>
        <v/>
      </c>
      <c r="IC480">
        <f>IF(OR(IA$3="",IA$3&gt;TODAY()),"",IF(AND(IA480="",IB480=""),"",N(IB480)-N(IA480)))</f>
        <v/>
      </c>
      <c r="IF480">
        <f>IF(OR(IA$3="",IA$3&gt;TODAY()),"",IF(AND(ID480="",IE480=""),"",N(IE480)-N(ID480)))</f>
        <v/>
      </c>
      <c r="IJ480">
        <f>IF(OR(IH$3="",IH$3&gt;TODAY()),"",IF(AND(IH480="",II480=""),"",N(II480)-N(IH480)))</f>
        <v/>
      </c>
      <c r="IM480">
        <f>IF(OR(IH$3="",IH$3&gt;TODAY()),"",IF(AND(IK480="",IL480=""),"",N(IL480)-N(IK480)))</f>
        <v/>
      </c>
    </row>
    <row r="481">
      <c r="A481" s="21" t="n"/>
      <c r="B481" s="21" t="n"/>
      <c r="C481" s="21" t="n"/>
      <c r="D481" s="21" t="n"/>
      <c r="E481" s="21" t="n"/>
      <c r="F481" s="21" t="n"/>
      <c r="G481" s="21" t="n"/>
      <c r="H481" s="21" t="n"/>
      <c r="I481" s="22" t="n"/>
      <c r="J481" s="22" t="n"/>
      <c r="K481" s="23" t="n"/>
      <c r="L481" s="22" t="n"/>
      <c r="M481" s="22" t="n"/>
      <c r="N481" s="21" t="n"/>
      <c r="O481" s="23" t="n"/>
      <c r="P481" s="23" t="n"/>
      <c r="Q481" s="23" t="n"/>
      <c r="R481" s="23" t="n"/>
      <c r="S481" s="22" t="n"/>
      <c r="T481" s="23" t="n"/>
      <c r="U481" s="23" t="n"/>
      <c r="V481" s="24">
        <f>IF(J481&lt;&gt;"",J481,IF(I481&lt;&gt;"",I481,""))</f>
        <v/>
      </c>
      <c r="W481" s="25">
        <f>IF($E481="","",N(O481)+SUMIFS($AF481:$IN481,$AF$4:$IN$4,"SEW_ACT"))</f>
        <v/>
      </c>
      <c r="X481" s="25">
        <f>IF($E481="","",N(P481)+SUMIFS($AF481:$IN481,$AF$4:$IN$4,"WASH_ACT"))</f>
        <v/>
      </c>
      <c r="Y481" s="25">
        <f>IF($E481="","",W481-X481-N(T481)-N(U481))</f>
        <v/>
      </c>
      <c r="Z481" s="25">
        <f>IF($E481="","",IF(N(K481)-X481&lt;=0.02*N(K481),0,N(K481)-X481))</f>
        <v/>
      </c>
      <c r="AA481" s="24">
        <f>IF($E481="","",IF(S481&lt;&gt;"",S481,IF(N(O481)&gt;0,IF(L481&lt;&gt;"",L481,99999),IFERROR(1/(1/_xlfn.MINIFS($AF$3:$IN$3,$AF$4:$IN$4,"SEW_ACT",$AF481:$IN481,"&gt;0")),99999))))</f>
        <v/>
      </c>
      <c r="AB481" s="26">
        <f>IF(OR($E481="",Z481=0,V481=""),"",1+COUNTIFS(Z$8:Z$707,"&gt;0",V$8:V$707,"&lt;"&amp;V481)+COUNTIFS(Z$8:Z$707,"&gt;0",V$8:V$707,V481,AA$8:AA$707,"&lt;"&amp;AA481)+COUNTIFS(Z$8:Z$707,"&gt;0",V$8:V$707,V481,AA$8:AA$707,AA481,E$8:E$707,"&lt;"&amp;$E481))</f>
        <v/>
      </c>
      <c r="AC481" s="24">
        <f>IF(OR($E481="",Z481=0),"",IFERROR(TODAY()+ROUNDUP(Z481/(SUMIFS($AF481:$IN481,$AF$4:$IN$4,"WASH_ACT")/COUNTIFS($AF$4:$IN$4,"WASH_ACT",$AF481:$IN481,"&gt;0")),0),"no output yet"))</f>
        <v/>
      </c>
      <c r="AD481" s="26">
        <f>IF($E481="","",IFERROR(ROUND(MAX(0,SUMIFS($AF481:$IN481,$AF$4:$IN$4,"SEW_PLAN",$AF$3:$IN$3,"&lt;="&amp;TODAY())-SUMIFS($AF481:$IN481,$AF$4:$IN$4,"SEW_ACT",$AF$3:$IN$3,"&lt;="&amp;TODAY())+N(Q481))/(SUMIFS($AF481:$IN481,$AF$4:$IN$4,"SEW_PLAN")/COUNTIFS($AF$4:$IN$4,"SEW_PLAN",$AF481:$IN481,"&gt;0")),1),0))</f>
        <v/>
      </c>
      <c r="AE481" s="26">
        <f>IF($E481="","",IF(AND(Z481&gt;0,OR(AND(M481&lt;&gt;"",TODAY()&gt;M481),AND(V481&lt;&gt;"",V481-TODAY()&lt;=7))),"Yes","No"))</f>
        <v/>
      </c>
      <c r="AH481">
        <f>IF(OR(AF$3="",AF$3&gt;TODAY()),"",IF(AND(AF481="",AG481=""),"",N(AG481)-N(AF481)))</f>
        <v/>
      </c>
      <c r="AK481">
        <f>IF(OR(AF$3="",AF$3&gt;TODAY()),"",IF(AND(AI481="",AJ481=""),"",N(AJ481)-N(AI481)))</f>
        <v/>
      </c>
      <c r="AO481">
        <f>IF(OR(AM$3="",AM$3&gt;TODAY()),"",IF(AND(AM481="",AN481=""),"",N(AN481)-N(AM481)))</f>
        <v/>
      </c>
      <c r="AR481">
        <f>IF(OR(AM$3="",AM$3&gt;TODAY()),"",IF(AND(AP481="",AQ481=""),"",N(AQ481)-N(AP481)))</f>
        <v/>
      </c>
      <c r="AV481">
        <f>IF(OR(AT$3="",AT$3&gt;TODAY()),"",IF(AND(AT481="",AU481=""),"",N(AU481)-N(AT481)))</f>
        <v/>
      </c>
      <c r="AY481">
        <f>IF(OR(AT$3="",AT$3&gt;TODAY()),"",IF(AND(AW481="",AX481=""),"",N(AX481)-N(AW481)))</f>
        <v/>
      </c>
      <c r="BC481">
        <f>IF(OR(BA$3="",BA$3&gt;TODAY()),"",IF(AND(BA481="",BB481=""),"",N(BB481)-N(BA481)))</f>
        <v/>
      </c>
      <c r="BF481">
        <f>IF(OR(BA$3="",BA$3&gt;TODAY()),"",IF(AND(BD481="",BE481=""),"",N(BE481)-N(BD481)))</f>
        <v/>
      </c>
      <c r="BJ481">
        <f>IF(OR(BH$3="",BH$3&gt;TODAY()),"",IF(AND(BH481="",BI481=""),"",N(BI481)-N(BH481)))</f>
        <v/>
      </c>
      <c r="BM481">
        <f>IF(OR(BH$3="",BH$3&gt;TODAY()),"",IF(AND(BK481="",BL481=""),"",N(BL481)-N(BK481)))</f>
        <v/>
      </c>
      <c r="BQ481">
        <f>IF(OR(BO$3="",BO$3&gt;TODAY()),"",IF(AND(BO481="",BP481=""),"",N(BP481)-N(BO481)))</f>
        <v/>
      </c>
      <c r="BT481">
        <f>IF(OR(BO$3="",BO$3&gt;TODAY()),"",IF(AND(BR481="",BS481=""),"",N(BS481)-N(BR481)))</f>
        <v/>
      </c>
      <c r="BX481">
        <f>IF(OR(BV$3="",BV$3&gt;TODAY()),"",IF(AND(BV481="",BW481=""),"",N(BW481)-N(BV481)))</f>
        <v/>
      </c>
      <c r="CA481">
        <f>IF(OR(BV$3="",BV$3&gt;TODAY()),"",IF(AND(BY481="",BZ481=""),"",N(BZ481)-N(BY481)))</f>
        <v/>
      </c>
      <c r="CE481">
        <f>IF(OR(CC$3="",CC$3&gt;TODAY()),"",IF(AND(CC481="",CD481=""),"",N(CD481)-N(CC481)))</f>
        <v/>
      </c>
      <c r="CH481">
        <f>IF(OR(CC$3="",CC$3&gt;TODAY()),"",IF(AND(CF481="",CG481=""),"",N(CG481)-N(CF481)))</f>
        <v/>
      </c>
      <c r="CL481">
        <f>IF(OR(CJ$3="",CJ$3&gt;TODAY()),"",IF(AND(CJ481="",CK481=""),"",N(CK481)-N(CJ481)))</f>
        <v/>
      </c>
      <c r="CO481">
        <f>IF(OR(CJ$3="",CJ$3&gt;TODAY()),"",IF(AND(CM481="",CN481=""),"",N(CN481)-N(CM481)))</f>
        <v/>
      </c>
      <c r="CS481">
        <f>IF(OR(CQ$3="",CQ$3&gt;TODAY()),"",IF(AND(CQ481="",CR481=""),"",N(CR481)-N(CQ481)))</f>
        <v/>
      </c>
      <c r="CV481">
        <f>IF(OR(CQ$3="",CQ$3&gt;TODAY()),"",IF(AND(CT481="",CU481=""),"",N(CU481)-N(CT481)))</f>
        <v/>
      </c>
      <c r="CZ481">
        <f>IF(OR(CX$3="",CX$3&gt;TODAY()),"",IF(AND(CX481="",CY481=""),"",N(CY481)-N(CX481)))</f>
        <v/>
      </c>
      <c r="DC481">
        <f>IF(OR(CX$3="",CX$3&gt;TODAY()),"",IF(AND(DA481="",DB481=""),"",N(DB481)-N(DA481)))</f>
        <v/>
      </c>
      <c r="DG481">
        <f>IF(OR(DE$3="",DE$3&gt;TODAY()),"",IF(AND(DE481="",DF481=""),"",N(DF481)-N(DE481)))</f>
        <v/>
      </c>
      <c r="DJ481">
        <f>IF(OR(DE$3="",DE$3&gt;TODAY()),"",IF(AND(DH481="",DI481=""),"",N(DI481)-N(DH481)))</f>
        <v/>
      </c>
      <c r="DN481">
        <f>IF(OR(DL$3="",DL$3&gt;TODAY()),"",IF(AND(DL481="",DM481=""),"",N(DM481)-N(DL481)))</f>
        <v/>
      </c>
      <c r="DQ481">
        <f>IF(OR(DL$3="",DL$3&gt;TODAY()),"",IF(AND(DO481="",DP481=""),"",N(DP481)-N(DO481)))</f>
        <v/>
      </c>
      <c r="DU481">
        <f>IF(OR(DS$3="",DS$3&gt;TODAY()),"",IF(AND(DS481="",DT481=""),"",N(DT481)-N(DS481)))</f>
        <v/>
      </c>
      <c r="DX481">
        <f>IF(OR(DS$3="",DS$3&gt;TODAY()),"",IF(AND(DV481="",DW481=""),"",N(DW481)-N(DV481)))</f>
        <v/>
      </c>
      <c r="EB481">
        <f>IF(OR(DZ$3="",DZ$3&gt;TODAY()),"",IF(AND(DZ481="",EA481=""),"",N(EA481)-N(DZ481)))</f>
        <v/>
      </c>
      <c r="EE481">
        <f>IF(OR(DZ$3="",DZ$3&gt;TODAY()),"",IF(AND(EC481="",ED481=""),"",N(ED481)-N(EC481)))</f>
        <v/>
      </c>
      <c r="EI481">
        <f>IF(OR(EG$3="",EG$3&gt;TODAY()),"",IF(AND(EG481="",EH481=""),"",N(EH481)-N(EG481)))</f>
        <v/>
      </c>
      <c r="EL481">
        <f>IF(OR(EG$3="",EG$3&gt;TODAY()),"",IF(AND(EJ481="",EK481=""),"",N(EK481)-N(EJ481)))</f>
        <v/>
      </c>
      <c r="EP481">
        <f>IF(OR(EN$3="",EN$3&gt;TODAY()),"",IF(AND(EN481="",EO481=""),"",N(EO481)-N(EN481)))</f>
        <v/>
      </c>
      <c r="ES481">
        <f>IF(OR(EN$3="",EN$3&gt;TODAY()),"",IF(AND(EQ481="",ER481=""),"",N(ER481)-N(EQ481)))</f>
        <v/>
      </c>
      <c r="EW481">
        <f>IF(OR(EU$3="",EU$3&gt;TODAY()),"",IF(AND(EU481="",EV481=""),"",N(EV481)-N(EU481)))</f>
        <v/>
      </c>
      <c r="EZ481">
        <f>IF(OR(EU$3="",EU$3&gt;TODAY()),"",IF(AND(EX481="",EY481=""),"",N(EY481)-N(EX481)))</f>
        <v/>
      </c>
      <c r="FD481">
        <f>IF(OR(FB$3="",FB$3&gt;TODAY()),"",IF(AND(FB481="",FC481=""),"",N(FC481)-N(FB481)))</f>
        <v/>
      </c>
      <c r="FG481">
        <f>IF(OR(FB$3="",FB$3&gt;TODAY()),"",IF(AND(FE481="",FF481=""),"",N(FF481)-N(FE481)))</f>
        <v/>
      </c>
      <c r="FK481">
        <f>IF(OR(FI$3="",FI$3&gt;TODAY()),"",IF(AND(FI481="",FJ481=""),"",N(FJ481)-N(FI481)))</f>
        <v/>
      </c>
      <c r="FN481">
        <f>IF(OR(FI$3="",FI$3&gt;TODAY()),"",IF(AND(FL481="",FM481=""),"",N(FM481)-N(FL481)))</f>
        <v/>
      </c>
      <c r="FR481">
        <f>IF(OR(FP$3="",FP$3&gt;TODAY()),"",IF(AND(FP481="",FQ481=""),"",N(FQ481)-N(FP481)))</f>
        <v/>
      </c>
      <c r="FU481">
        <f>IF(OR(FP$3="",FP$3&gt;TODAY()),"",IF(AND(FS481="",FT481=""),"",N(FT481)-N(FS481)))</f>
        <v/>
      </c>
      <c r="FY481">
        <f>IF(OR(FW$3="",FW$3&gt;TODAY()),"",IF(AND(FW481="",FX481=""),"",N(FX481)-N(FW481)))</f>
        <v/>
      </c>
      <c r="GB481">
        <f>IF(OR(FW$3="",FW$3&gt;TODAY()),"",IF(AND(FZ481="",GA481=""),"",N(GA481)-N(FZ481)))</f>
        <v/>
      </c>
      <c r="GF481">
        <f>IF(OR(GD$3="",GD$3&gt;TODAY()),"",IF(AND(GD481="",GE481=""),"",N(GE481)-N(GD481)))</f>
        <v/>
      </c>
      <c r="GI481">
        <f>IF(OR(GD$3="",GD$3&gt;TODAY()),"",IF(AND(GG481="",GH481=""),"",N(GH481)-N(GG481)))</f>
        <v/>
      </c>
      <c r="GM481">
        <f>IF(OR(GK$3="",GK$3&gt;TODAY()),"",IF(AND(GK481="",GL481=""),"",N(GL481)-N(GK481)))</f>
        <v/>
      </c>
      <c r="GP481">
        <f>IF(OR(GK$3="",GK$3&gt;TODAY()),"",IF(AND(GN481="",GO481=""),"",N(GO481)-N(GN481)))</f>
        <v/>
      </c>
      <c r="GT481">
        <f>IF(OR(GR$3="",GR$3&gt;TODAY()),"",IF(AND(GR481="",GS481=""),"",N(GS481)-N(GR481)))</f>
        <v/>
      </c>
      <c r="GW481">
        <f>IF(OR(GR$3="",GR$3&gt;TODAY()),"",IF(AND(GU481="",GV481=""),"",N(GV481)-N(GU481)))</f>
        <v/>
      </c>
      <c r="HA481">
        <f>IF(OR(GY$3="",GY$3&gt;TODAY()),"",IF(AND(GY481="",GZ481=""),"",N(GZ481)-N(GY481)))</f>
        <v/>
      </c>
      <c r="HD481">
        <f>IF(OR(GY$3="",GY$3&gt;TODAY()),"",IF(AND(HB481="",HC481=""),"",N(HC481)-N(HB481)))</f>
        <v/>
      </c>
      <c r="HH481">
        <f>IF(OR(HF$3="",HF$3&gt;TODAY()),"",IF(AND(HF481="",HG481=""),"",N(HG481)-N(HF481)))</f>
        <v/>
      </c>
      <c r="HK481">
        <f>IF(OR(HF$3="",HF$3&gt;TODAY()),"",IF(AND(HI481="",HJ481=""),"",N(HJ481)-N(HI481)))</f>
        <v/>
      </c>
      <c r="HO481">
        <f>IF(OR(HM$3="",HM$3&gt;TODAY()),"",IF(AND(HM481="",HN481=""),"",N(HN481)-N(HM481)))</f>
        <v/>
      </c>
      <c r="HR481">
        <f>IF(OR(HM$3="",HM$3&gt;TODAY()),"",IF(AND(HP481="",HQ481=""),"",N(HQ481)-N(HP481)))</f>
        <v/>
      </c>
      <c r="HV481">
        <f>IF(OR(HT$3="",HT$3&gt;TODAY()),"",IF(AND(HT481="",HU481=""),"",N(HU481)-N(HT481)))</f>
        <v/>
      </c>
      <c r="HY481">
        <f>IF(OR(HT$3="",HT$3&gt;TODAY()),"",IF(AND(HW481="",HX481=""),"",N(HX481)-N(HW481)))</f>
        <v/>
      </c>
      <c r="IC481">
        <f>IF(OR(IA$3="",IA$3&gt;TODAY()),"",IF(AND(IA481="",IB481=""),"",N(IB481)-N(IA481)))</f>
        <v/>
      </c>
      <c r="IF481">
        <f>IF(OR(IA$3="",IA$3&gt;TODAY()),"",IF(AND(ID481="",IE481=""),"",N(IE481)-N(ID481)))</f>
        <v/>
      </c>
      <c r="IJ481">
        <f>IF(OR(IH$3="",IH$3&gt;TODAY()),"",IF(AND(IH481="",II481=""),"",N(II481)-N(IH481)))</f>
        <v/>
      </c>
      <c r="IM481">
        <f>IF(OR(IH$3="",IH$3&gt;TODAY()),"",IF(AND(IK481="",IL481=""),"",N(IL481)-N(IK481)))</f>
        <v/>
      </c>
    </row>
    <row r="482">
      <c r="A482" s="21" t="n"/>
      <c r="B482" s="21" t="n"/>
      <c r="C482" s="21" t="n"/>
      <c r="D482" s="21" t="n"/>
      <c r="E482" s="21" t="n"/>
      <c r="F482" s="21" t="n"/>
      <c r="G482" s="21" t="n"/>
      <c r="H482" s="21" t="n"/>
      <c r="I482" s="22" t="n"/>
      <c r="J482" s="22" t="n"/>
      <c r="K482" s="23" t="n"/>
      <c r="L482" s="22" t="n"/>
      <c r="M482" s="22" t="n"/>
      <c r="N482" s="21" t="n"/>
      <c r="O482" s="23" t="n"/>
      <c r="P482" s="23" t="n"/>
      <c r="Q482" s="23" t="n"/>
      <c r="R482" s="23" t="n"/>
      <c r="S482" s="22" t="n"/>
      <c r="T482" s="23" t="n"/>
      <c r="U482" s="23" t="n"/>
      <c r="V482" s="24">
        <f>IF(J482&lt;&gt;"",J482,IF(I482&lt;&gt;"",I482,""))</f>
        <v/>
      </c>
      <c r="W482" s="25">
        <f>IF($E482="","",N(O482)+SUMIFS($AF482:$IN482,$AF$4:$IN$4,"SEW_ACT"))</f>
        <v/>
      </c>
      <c r="X482" s="25">
        <f>IF($E482="","",N(P482)+SUMIFS($AF482:$IN482,$AF$4:$IN$4,"WASH_ACT"))</f>
        <v/>
      </c>
      <c r="Y482" s="25">
        <f>IF($E482="","",W482-X482-N(T482)-N(U482))</f>
        <v/>
      </c>
      <c r="Z482" s="25">
        <f>IF($E482="","",IF(N(K482)-X482&lt;=0.02*N(K482),0,N(K482)-X482))</f>
        <v/>
      </c>
      <c r="AA482" s="24">
        <f>IF($E482="","",IF(S482&lt;&gt;"",S482,IF(N(O482)&gt;0,IF(L482&lt;&gt;"",L482,99999),IFERROR(1/(1/_xlfn.MINIFS($AF$3:$IN$3,$AF$4:$IN$4,"SEW_ACT",$AF482:$IN482,"&gt;0")),99999))))</f>
        <v/>
      </c>
      <c r="AB482" s="26">
        <f>IF(OR($E482="",Z482=0,V482=""),"",1+COUNTIFS(Z$8:Z$707,"&gt;0",V$8:V$707,"&lt;"&amp;V482)+COUNTIFS(Z$8:Z$707,"&gt;0",V$8:V$707,V482,AA$8:AA$707,"&lt;"&amp;AA482)+COUNTIFS(Z$8:Z$707,"&gt;0",V$8:V$707,V482,AA$8:AA$707,AA482,E$8:E$707,"&lt;"&amp;$E482))</f>
        <v/>
      </c>
      <c r="AC482" s="24">
        <f>IF(OR($E482="",Z482=0),"",IFERROR(TODAY()+ROUNDUP(Z482/(SUMIFS($AF482:$IN482,$AF$4:$IN$4,"WASH_ACT")/COUNTIFS($AF$4:$IN$4,"WASH_ACT",$AF482:$IN482,"&gt;0")),0),"no output yet"))</f>
        <v/>
      </c>
      <c r="AD482" s="26">
        <f>IF($E482="","",IFERROR(ROUND(MAX(0,SUMIFS($AF482:$IN482,$AF$4:$IN$4,"SEW_PLAN",$AF$3:$IN$3,"&lt;="&amp;TODAY())-SUMIFS($AF482:$IN482,$AF$4:$IN$4,"SEW_ACT",$AF$3:$IN$3,"&lt;="&amp;TODAY())+N(Q482))/(SUMIFS($AF482:$IN482,$AF$4:$IN$4,"SEW_PLAN")/COUNTIFS($AF$4:$IN$4,"SEW_PLAN",$AF482:$IN482,"&gt;0")),1),0))</f>
        <v/>
      </c>
      <c r="AE482" s="26">
        <f>IF($E482="","",IF(AND(Z482&gt;0,OR(AND(M482&lt;&gt;"",TODAY()&gt;M482),AND(V482&lt;&gt;"",V482-TODAY()&lt;=7))),"Yes","No"))</f>
        <v/>
      </c>
      <c r="AH482">
        <f>IF(OR(AF$3="",AF$3&gt;TODAY()),"",IF(AND(AF482="",AG482=""),"",N(AG482)-N(AF482)))</f>
        <v/>
      </c>
      <c r="AK482">
        <f>IF(OR(AF$3="",AF$3&gt;TODAY()),"",IF(AND(AI482="",AJ482=""),"",N(AJ482)-N(AI482)))</f>
        <v/>
      </c>
      <c r="AO482">
        <f>IF(OR(AM$3="",AM$3&gt;TODAY()),"",IF(AND(AM482="",AN482=""),"",N(AN482)-N(AM482)))</f>
        <v/>
      </c>
      <c r="AR482">
        <f>IF(OR(AM$3="",AM$3&gt;TODAY()),"",IF(AND(AP482="",AQ482=""),"",N(AQ482)-N(AP482)))</f>
        <v/>
      </c>
      <c r="AV482">
        <f>IF(OR(AT$3="",AT$3&gt;TODAY()),"",IF(AND(AT482="",AU482=""),"",N(AU482)-N(AT482)))</f>
        <v/>
      </c>
      <c r="AY482">
        <f>IF(OR(AT$3="",AT$3&gt;TODAY()),"",IF(AND(AW482="",AX482=""),"",N(AX482)-N(AW482)))</f>
        <v/>
      </c>
      <c r="BC482">
        <f>IF(OR(BA$3="",BA$3&gt;TODAY()),"",IF(AND(BA482="",BB482=""),"",N(BB482)-N(BA482)))</f>
        <v/>
      </c>
      <c r="BF482">
        <f>IF(OR(BA$3="",BA$3&gt;TODAY()),"",IF(AND(BD482="",BE482=""),"",N(BE482)-N(BD482)))</f>
        <v/>
      </c>
      <c r="BJ482">
        <f>IF(OR(BH$3="",BH$3&gt;TODAY()),"",IF(AND(BH482="",BI482=""),"",N(BI482)-N(BH482)))</f>
        <v/>
      </c>
      <c r="BM482">
        <f>IF(OR(BH$3="",BH$3&gt;TODAY()),"",IF(AND(BK482="",BL482=""),"",N(BL482)-N(BK482)))</f>
        <v/>
      </c>
      <c r="BQ482">
        <f>IF(OR(BO$3="",BO$3&gt;TODAY()),"",IF(AND(BO482="",BP482=""),"",N(BP482)-N(BO482)))</f>
        <v/>
      </c>
      <c r="BT482">
        <f>IF(OR(BO$3="",BO$3&gt;TODAY()),"",IF(AND(BR482="",BS482=""),"",N(BS482)-N(BR482)))</f>
        <v/>
      </c>
      <c r="BX482">
        <f>IF(OR(BV$3="",BV$3&gt;TODAY()),"",IF(AND(BV482="",BW482=""),"",N(BW482)-N(BV482)))</f>
        <v/>
      </c>
      <c r="CA482">
        <f>IF(OR(BV$3="",BV$3&gt;TODAY()),"",IF(AND(BY482="",BZ482=""),"",N(BZ482)-N(BY482)))</f>
        <v/>
      </c>
      <c r="CE482">
        <f>IF(OR(CC$3="",CC$3&gt;TODAY()),"",IF(AND(CC482="",CD482=""),"",N(CD482)-N(CC482)))</f>
        <v/>
      </c>
      <c r="CH482">
        <f>IF(OR(CC$3="",CC$3&gt;TODAY()),"",IF(AND(CF482="",CG482=""),"",N(CG482)-N(CF482)))</f>
        <v/>
      </c>
      <c r="CL482">
        <f>IF(OR(CJ$3="",CJ$3&gt;TODAY()),"",IF(AND(CJ482="",CK482=""),"",N(CK482)-N(CJ482)))</f>
        <v/>
      </c>
      <c r="CO482">
        <f>IF(OR(CJ$3="",CJ$3&gt;TODAY()),"",IF(AND(CM482="",CN482=""),"",N(CN482)-N(CM482)))</f>
        <v/>
      </c>
      <c r="CS482">
        <f>IF(OR(CQ$3="",CQ$3&gt;TODAY()),"",IF(AND(CQ482="",CR482=""),"",N(CR482)-N(CQ482)))</f>
        <v/>
      </c>
      <c r="CV482">
        <f>IF(OR(CQ$3="",CQ$3&gt;TODAY()),"",IF(AND(CT482="",CU482=""),"",N(CU482)-N(CT482)))</f>
        <v/>
      </c>
      <c r="CZ482">
        <f>IF(OR(CX$3="",CX$3&gt;TODAY()),"",IF(AND(CX482="",CY482=""),"",N(CY482)-N(CX482)))</f>
        <v/>
      </c>
      <c r="DC482">
        <f>IF(OR(CX$3="",CX$3&gt;TODAY()),"",IF(AND(DA482="",DB482=""),"",N(DB482)-N(DA482)))</f>
        <v/>
      </c>
      <c r="DG482">
        <f>IF(OR(DE$3="",DE$3&gt;TODAY()),"",IF(AND(DE482="",DF482=""),"",N(DF482)-N(DE482)))</f>
        <v/>
      </c>
      <c r="DJ482">
        <f>IF(OR(DE$3="",DE$3&gt;TODAY()),"",IF(AND(DH482="",DI482=""),"",N(DI482)-N(DH482)))</f>
        <v/>
      </c>
      <c r="DN482">
        <f>IF(OR(DL$3="",DL$3&gt;TODAY()),"",IF(AND(DL482="",DM482=""),"",N(DM482)-N(DL482)))</f>
        <v/>
      </c>
      <c r="DQ482">
        <f>IF(OR(DL$3="",DL$3&gt;TODAY()),"",IF(AND(DO482="",DP482=""),"",N(DP482)-N(DO482)))</f>
        <v/>
      </c>
      <c r="DU482">
        <f>IF(OR(DS$3="",DS$3&gt;TODAY()),"",IF(AND(DS482="",DT482=""),"",N(DT482)-N(DS482)))</f>
        <v/>
      </c>
      <c r="DX482">
        <f>IF(OR(DS$3="",DS$3&gt;TODAY()),"",IF(AND(DV482="",DW482=""),"",N(DW482)-N(DV482)))</f>
        <v/>
      </c>
      <c r="EB482">
        <f>IF(OR(DZ$3="",DZ$3&gt;TODAY()),"",IF(AND(DZ482="",EA482=""),"",N(EA482)-N(DZ482)))</f>
        <v/>
      </c>
      <c r="EE482">
        <f>IF(OR(DZ$3="",DZ$3&gt;TODAY()),"",IF(AND(EC482="",ED482=""),"",N(ED482)-N(EC482)))</f>
        <v/>
      </c>
      <c r="EI482">
        <f>IF(OR(EG$3="",EG$3&gt;TODAY()),"",IF(AND(EG482="",EH482=""),"",N(EH482)-N(EG482)))</f>
        <v/>
      </c>
      <c r="EL482">
        <f>IF(OR(EG$3="",EG$3&gt;TODAY()),"",IF(AND(EJ482="",EK482=""),"",N(EK482)-N(EJ482)))</f>
        <v/>
      </c>
      <c r="EP482">
        <f>IF(OR(EN$3="",EN$3&gt;TODAY()),"",IF(AND(EN482="",EO482=""),"",N(EO482)-N(EN482)))</f>
        <v/>
      </c>
      <c r="ES482">
        <f>IF(OR(EN$3="",EN$3&gt;TODAY()),"",IF(AND(EQ482="",ER482=""),"",N(ER482)-N(EQ482)))</f>
        <v/>
      </c>
      <c r="EW482">
        <f>IF(OR(EU$3="",EU$3&gt;TODAY()),"",IF(AND(EU482="",EV482=""),"",N(EV482)-N(EU482)))</f>
        <v/>
      </c>
      <c r="EZ482">
        <f>IF(OR(EU$3="",EU$3&gt;TODAY()),"",IF(AND(EX482="",EY482=""),"",N(EY482)-N(EX482)))</f>
        <v/>
      </c>
      <c r="FD482">
        <f>IF(OR(FB$3="",FB$3&gt;TODAY()),"",IF(AND(FB482="",FC482=""),"",N(FC482)-N(FB482)))</f>
        <v/>
      </c>
      <c r="FG482">
        <f>IF(OR(FB$3="",FB$3&gt;TODAY()),"",IF(AND(FE482="",FF482=""),"",N(FF482)-N(FE482)))</f>
        <v/>
      </c>
      <c r="FK482">
        <f>IF(OR(FI$3="",FI$3&gt;TODAY()),"",IF(AND(FI482="",FJ482=""),"",N(FJ482)-N(FI482)))</f>
        <v/>
      </c>
      <c r="FN482">
        <f>IF(OR(FI$3="",FI$3&gt;TODAY()),"",IF(AND(FL482="",FM482=""),"",N(FM482)-N(FL482)))</f>
        <v/>
      </c>
      <c r="FR482">
        <f>IF(OR(FP$3="",FP$3&gt;TODAY()),"",IF(AND(FP482="",FQ482=""),"",N(FQ482)-N(FP482)))</f>
        <v/>
      </c>
      <c r="FU482">
        <f>IF(OR(FP$3="",FP$3&gt;TODAY()),"",IF(AND(FS482="",FT482=""),"",N(FT482)-N(FS482)))</f>
        <v/>
      </c>
      <c r="FY482">
        <f>IF(OR(FW$3="",FW$3&gt;TODAY()),"",IF(AND(FW482="",FX482=""),"",N(FX482)-N(FW482)))</f>
        <v/>
      </c>
      <c r="GB482">
        <f>IF(OR(FW$3="",FW$3&gt;TODAY()),"",IF(AND(FZ482="",GA482=""),"",N(GA482)-N(FZ482)))</f>
        <v/>
      </c>
      <c r="GF482">
        <f>IF(OR(GD$3="",GD$3&gt;TODAY()),"",IF(AND(GD482="",GE482=""),"",N(GE482)-N(GD482)))</f>
        <v/>
      </c>
      <c r="GI482">
        <f>IF(OR(GD$3="",GD$3&gt;TODAY()),"",IF(AND(GG482="",GH482=""),"",N(GH482)-N(GG482)))</f>
        <v/>
      </c>
      <c r="GM482">
        <f>IF(OR(GK$3="",GK$3&gt;TODAY()),"",IF(AND(GK482="",GL482=""),"",N(GL482)-N(GK482)))</f>
        <v/>
      </c>
      <c r="GP482">
        <f>IF(OR(GK$3="",GK$3&gt;TODAY()),"",IF(AND(GN482="",GO482=""),"",N(GO482)-N(GN482)))</f>
        <v/>
      </c>
      <c r="GT482">
        <f>IF(OR(GR$3="",GR$3&gt;TODAY()),"",IF(AND(GR482="",GS482=""),"",N(GS482)-N(GR482)))</f>
        <v/>
      </c>
      <c r="GW482">
        <f>IF(OR(GR$3="",GR$3&gt;TODAY()),"",IF(AND(GU482="",GV482=""),"",N(GV482)-N(GU482)))</f>
        <v/>
      </c>
      <c r="HA482">
        <f>IF(OR(GY$3="",GY$3&gt;TODAY()),"",IF(AND(GY482="",GZ482=""),"",N(GZ482)-N(GY482)))</f>
        <v/>
      </c>
      <c r="HD482">
        <f>IF(OR(GY$3="",GY$3&gt;TODAY()),"",IF(AND(HB482="",HC482=""),"",N(HC482)-N(HB482)))</f>
        <v/>
      </c>
      <c r="HH482">
        <f>IF(OR(HF$3="",HF$3&gt;TODAY()),"",IF(AND(HF482="",HG482=""),"",N(HG482)-N(HF482)))</f>
        <v/>
      </c>
      <c r="HK482">
        <f>IF(OR(HF$3="",HF$3&gt;TODAY()),"",IF(AND(HI482="",HJ482=""),"",N(HJ482)-N(HI482)))</f>
        <v/>
      </c>
      <c r="HO482">
        <f>IF(OR(HM$3="",HM$3&gt;TODAY()),"",IF(AND(HM482="",HN482=""),"",N(HN482)-N(HM482)))</f>
        <v/>
      </c>
      <c r="HR482">
        <f>IF(OR(HM$3="",HM$3&gt;TODAY()),"",IF(AND(HP482="",HQ482=""),"",N(HQ482)-N(HP482)))</f>
        <v/>
      </c>
      <c r="HV482">
        <f>IF(OR(HT$3="",HT$3&gt;TODAY()),"",IF(AND(HT482="",HU482=""),"",N(HU482)-N(HT482)))</f>
        <v/>
      </c>
      <c r="HY482">
        <f>IF(OR(HT$3="",HT$3&gt;TODAY()),"",IF(AND(HW482="",HX482=""),"",N(HX482)-N(HW482)))</f>
        <v/>
      </c>
      <c r="IC482">
        <f>IF(OR(IA$3="",IA$3&gt;TODAY()),"",IF(AND(IA482="",IB482=""),"",N(IB482)-N(IA482)))</f>
        <v/>
      </c>
      <c r="IF482">
        <f>IF(OR(IA$3="",IA$3&gt;TODAY()),"",IF(AND(ID482="",IE482=""),"",N(IE482)-N(ID482)))</f>
        <v/>
      </c>
      <c r="IJ482">
        <f>IF(OR(IH$3="",IH$3&gt;TODAY()),"",IF(AND(IH482="",II482=""),"",N(II482)-N(IH482)))</f>
        <v/>
      </c>
      <c r="IM482">
        <f>IF(OR(IH$3="",IH$3&gt;TODAY()),"",IF(AND(IK482="",IL482=""),"",N(IL482)-N(IK482)))</f>
        <v/>
      </c>
    </row>
    <row r="483">
      <c r="A483" s="21" t="n"/>
      <c r="B483" s="21" t="n"/>
      <c r="C483" s="21" t="n"/>
      <c r="D483" s="21" t="n"/>
      <c r="E483" s="21" t="n"/>
      <c r="F483" s="21" t="n"/>
      <c r="G483" s="21" t="n"/>
      <c r="H483" s="21" t="n"/>
      <c r="I483" s="22" t="n"/>
      <c r="J483" s="22" t="n"/>
      <c r="K483" s="23" t="n"/>
      <c r="L483" s="22" t="n"/>
      <c r="M483" s="22" t="n"/>
      <c r="N483" s="21" t="n"/>
      <c r="O483" s="23" t="n"/>
      <c r="P483" s="23" t="n"/>
      <c r="Q483" s="23" t="n"/>
      <c r="R483" s="23" t="n"/>
      <c r="S483" s="22" t="n"/>
      <c r="T483" s="23" t="n"/>
      <c r="U483" s="23" t="n"/>
      <c r="V483" s="24">
        <f>IF(J483&lt;&gt;"",J483,IF(I483&lt;&gt;"",I483,""))</f>
        <v/>
      </c>
      <c r="W483" s="25">
        <f>IF($E483="","",N(O483)+SUMIFS($AF483:$IN483,$AF$4:$IN$4,"SEW_ACT"))</f>
        <v/>
      </c>
      <c r="X483" s="25">
        <f>IF($E483="","",N(P483)+SUMIFS($AF483:$IN483,$AF$4:$IN$4,"WASH_ACT"))</f>
        <v/>
      </c>
      <c r="Y483" s="25">
        <f>IF($E483="","",W483-X483-N(T483)-N(U483))</f>
        <v/>
      </c>
      <c r="Z483" s="25">
        <f>IF($E483="","",IF(N(K483)-X483&lt;=0.02*N(K483),0,N(K483)-X483))</f>
        <v/>
      </c>
      <c r="AA483" s="24">
        <f>IF($E483="","",IF(S483&lt;&gt;"",S483,IF(N(O483)&gt;0,IF(L483&lt;&gt;"",L483,99999),IFERROR(1/(1/_xlfn.MINIFS($AF$3:$IN$3,$AF$4:$IN$4,"SEW_ACT",$AF483:$IN483,"&gt;0")),99999))))</f>
        <v/>
      </c>
      <c r="AB483" s="26">
        <f>IF(OR($E483="",Z483=0,V483=""),"",1+COUNTIFS(Z$8:Z$707,"&gt;0",V$8:V$707,"&lt;"&amp;V483)+COUNTIFS(Z$8:Z$707,"&gt;0",V$8:V$707,V483,AA$8:AA$707,"&lt;"&amp;AA483)+COUNTIFS(Z$8:Z$707,"&gt;0",V$8:V$707,V483,AA$8:AA$707,AA483,E$8:E$707,"&lt;"&amp;$E483))</f>
        <v/>
      </c>
      <c r="AC483" s="24">
        <f>IF(OR($E483="",Z483=0),"",IFERROR(TODAY()+ROUNDUP(Z483/(SUMIFS($AF483:$IN483,$AF$4:$IN$4,"WASH_ACT")/COUNTIFS($AF$4:$IN$4,"WASH_ACT",$AF483:$IN483,"&gt;0")),0),"no output yet"))</f>
        <v/>
      </c>
      <c r="AD483" s="26">
        <f>IF($E483="","",IFERROR(ROUND(MAX(0,SUMIFS($AF483:$IN483,$AF$4:$IN$4,"SEW_PLAN",$AF$3:$IN$3,"&lt;="&amp;TODAY())-SUMIFS($AF483:$IN483,$AF$4:$IN$4,"SEW_ACT",$AF$3:$IN$3,"&lt;="&amp;TODAY())+N(Q483))/(SUMIFS($AF483:$IN483,$AF$4:$IN$4,"SEW_PLAN")/COUNTIFS($AF$4:$IN$4,"SEW_PLAN",$AF483:$IN483,"&gt;0")),1),0))</f>
        <v/>
      </c>
      <c r="AE483" s="26">
        <f>IF($E483="","",IF(AND(Z483&gt;0,OR(AND(M483&lt;&gt;"",TODAY()&gt;M483),AND(V483&lt;&gt;"",V483-TODAY()&lt;=7))),"Yes","No"))</f>
        <v/>
      </c>
      <c r="AH483">
        <f>IF(OR(AF$3="",AF$3&gt;TODAY()),"",IF(AND(AF483="",AG483=""),"",N(AG483)-N(AF483)))</f>
        <v/>
      </c>
      <c r="AK483">
        <f>IF(OR(AF$3="",AF$3&gt;TODAY()),"",IF(AND(AI483="",AJ483=""),"",N(AJ483)-N(AI483)))</f>
        <v/>
      </c>
      <c r="AO483">
        <f>IF(OR(AM$3="",AM$3&gt;TODAY()),"",IF(AND(AM483="",AN483=""),"",N(AN483)-N(AM483)))</f>
        <v/>
      </c>
      <c r="AR483">
        <f>IF(OR(AM$3="",AM$3&gt;TODAY()),"",IF(AND(AP483="",AQ483=""),"",N(AQ483)-N(AP483)))</f>
        <v/>
      </c>
      <c r="AV483">
        <f>IF(OR(AT$3="",AT$3&gt;TODAY()),"",IF(AND(AT483="",AU483=""),"",N(AU483)-N(AT483)))</f>
        <v/>
      </c>
      <c r="AY483">
        <f>IF(OR(AT$3="",AT$3&gt;TODAY()),"",IF(AND(AW483="",AX483=""),"",N(AX483)-N(AW483)))</f>
        <v/>
      </c>
      <c r="BC483">
        <f>IF(OR(BA$3="",BA$3&gt;TODAY()),"",IF(AND(BA483="",BB483=""),"",N(BB483)-N(BA483)))</f>
        <v/>
      </c>
      <c r="BF483">
        <f>IF(OR(BA$3="",BA$3&gt;TODAY()),"",IF(AND(BD483="",BE483=""),"",N(BE483)-N(BD483)))</f>
        <v/>
      </c>
      <c r="BJ483">
        <f>IF(OR(BH$3="",BH$3&gt;TODAY()),"",IF(AND(BH483="",BI483=""),"",N(BI483)-N(BH483)))</f>
        <v/>
      </c>
      <c r="BM483">
        <f>IF(OR(BH$3="",BH$3&gt;TODAY()),"",IF(AND(BK483="",BL483=""),"",N(BL483)-N(BK483)))</f>
        <v/>
      </c>
      <c r="BQ483">
        <f>IF(OR(BO$3="",BO$3&gt;TODAY()),"",IF(AND(BO483="",BP483=""),"",N(BP483)-N(BO483)))</f>
        <v/>
      </c>
      <c r="BT483">
        <f>IF(OR(BO$3="",BO$3&gt;TODAY()),"",IF(AND(BR483="",BS483=""),"",N(BS483)-N(BR483)))</f>
        <v/>
      </c>
      <c r="BX483">
        <f>IF(OR(BV$3="",BV$3&gt;TODAY()),"",IF(AND(BV483="",BW483=""),"",N(BW483)-N(BV483)))</f>
        <v/>
      </c>
      <c r="CA483">
        <f>IF(OR(BV$3="",BV$3&gt;TODAY()),"",IF(AND(BY483="",BZ483=""),"",N(BZ483)-N(BY483)))</f>
        <v/>
      </c>
      <c r="CE483">
        <f>IF(OR(CC$3="",CC$3&gt;TODAY()),"",IF(AND(CC483="",CD483=""),"",N(CD483)-N(CC483)))</f>
        <v/>
      </c>
      <c r="CH483">
        <f>IF(OR(CC$3="",CC$3&gt;TODAY()),"",IF(AND(CF483="",CG483=""),"",N(CG483)-N(CF483)))</f>
        <v/>
      </c>
      <c r="CL483">
        <f>IF(OR(CJ$3="",CJ$3&gt;TODAY()),"",IF(AND(CJ483="",CK483=""),"",N(CK483)-N(CJ483)))</f>
        <v/>
      </c>
      <c r="CO483">
        <f>IF(OR(CJ$3="",CJ$3&gt;TODAY()),"",IF(AND(CM483="",CN483=""),"",N(CN483)-N(CM483)))</f>
        <v/>
      </c>
      <c r="CS483">
        <f>IF(OR(CQ$3="",CQ$3&gt;TODAY()),"",IF(AND(CQ483="",CR483=""),"",N(CR483)-N(CQ483)))</f>
        <v/>
      </c>
      <c r="CV483">
        <f>IF(OR(CQ$3="",CQ$3&gt;TODAY()),"",IF(AND(CT483="",CU483=""),"",N(CU483)-N(CT483)))</f>
        <v/>
      </c>
      <c r="CZ483">
        <f>IF(OR(CX$3="",CX$3&gt;TODAY()),"",IF(AND(CX483="",CY483=""),"",N(CY483)-N(CX483)))</f>
        <v/>
      </c>
      <c r="DC483">
        <f>IF(OR(CX$3="",CX$3&gt;TODAY()),"",IF(AND(DA483="",DB483=""),"",N(DB483)-N(DA483)))</f>
        <v/>
      </c>
      <c r="DG483">
        <f>IF(OR(DE$3="",DE$3&gt;TODAY()),"",IF(AND(DE483="",DF483=""),"",N(DF483)-N(DE483)))</f>
        <v/>
      </c>
      <c r="DJ483">
        <f>IF(OR(DE$3="",DE$3&gt;TODAY()),"",IF(AND(DH483="",DI483=""),"",N(DI483)-N(DH483)))</f>
        <v/>
      </c>
      <c r="DN483">
        <f>IF(OR(DL$3="",DL$3&gt;TODAY()),"",IF(AND(DL483="",DM483=""),"",N(DM483)-N(DL483)))</f>
        <v/>
      </c>
      <c r="DQ483">
        <f>IF(OR(DL$3="",DL$3&gt;TODAY()),"",IF(AND(DO483="",DP483=""),"",N(DP483)-N(DO483)))</f>
        <v/>
      </c>
      <c r="DU483">
        <f>IF(OR(DS$3="",DS$3&gt;TODAY()),"",IF(AND(DS483="",DT483=""),"",N(DT483)-N(DS483)))</f>
        <v/>
      </c>
      <c r="DX483">
        <f>IF(OR(DS$3="",DS$3&gt;TODAY()),"",IF(AND(DV483="",DW483=""),"",N(DW483)-N(DV483)))</f>
        <v/>
      </c>
      <c r="EB483">
        <f>IF(OR(DZ$3="",DZ$3&gt;TODAY()),"",IF(AND(DZ483="",EA483=""),"",N(EA483)-N(DZ483)))</f>
        <v/>
      </c>
      <c r="EE483">
        <f>IF(OR(DZ$3="",DZ$3&gt;TODAY()),"",IF(AND(EC483="",ED483=""),"",N(ED483)-N(EC483)))</f>
        <v/>
      </c>
      <c r="EI483">
        <f>IF(OR(EG$3="",EG$3&gt;TODAY()),"",IF(AND(EG483="",EH483=""),"",N(EH483)-N(EG483)))</f>
        <v/>
      </c>
      <c r="EL483">
        <f>IF(OR(EG$3="",EG$3&gt;TODAY()),"",IF(AND(EJ483="",EK483=""),"",N(EK483)-N(EJ483)))</f>
        <v/>
      </c>
      <c r="EP483">
        <f>IF(OR(EN$3="",EN$3&gt;TODAY()),"",IF(AND(EN483="",EO483=""),"",N(EO483)-N(EN483)))</f>
        <v/>
      </c>
      <c r="ES483">
        <f>IF(OR(EN$3="",EN$3&gt;TODAY()),"",IF(AND(EQ483="",ER483=""),"",N(ER483)-N(EQ483)))</f>
        <v/>
      </c>
      <c r="EW483">
        <f>IF(OR(EU$3="",EU$3&gt;TODAY()),"",IF(AND(EU483="",EV483=""),"",N(EV483)-N(EU483)))</f>
        <v/>
      </c>
      <c r="EZ483">
        <f>IF(OR(EU$3="",EU$3&gt;TODAY()),"",IF(AND(EX483="",EY483=""),"",N(EY483)-N(EX483)))</f>
        <v/>
      </c>
      <c r="FD483">
        <f>IF(OR(FB$3="",FB$3&gt;TODAY()),"",IF(AND(FB483="",FC483=""),"",N(FC483)-N(FB483)))</f>
        <v/>
      </c>
      <c r="FG483">
        <f>IF(OR(FB$3="",FB$3&gt;TODAY()),"",IF(AND(FE483="",FF483=""),"",N(FF483)-N(FE483)))</f>
        <v/>
      </c>
      <c r="FK483">
        <f>IF(OR(FI$3="",FI$3&gt;TODAY()),"",IF(AND(FI483="",FJ483=""),"",N(FJ483)-N(FI483)))</f>
        <v/>
      </c>
      <c r="FN483">
        <f>IF(OR(FI$3="",FI$3&gt;TODAY()),"",IF(AND(FL483="",FM483=""),"",N(FM483)-N(FL483)))</f>
        <v/>
      </c>
      <c r="FR483">
        <f>IF(OR(FP$3="",FP$3&gt;TODAY()),"",IF(AND(FP483="",FQ483=""),"",N(FQ483)-N(FP483)))</f>
        <v/>
      </c>
      <c r="FU483">
        <f>IF(OR(FP$3="",FP$3&gt;TODAY()),"",IF(AND(FS483="",FT483=""),"",N(FT483)-N(FS483)))</f>
        <v/>
      </c>
      <c r="FY483">
        <f>IF(OR(FW$3="",FW$3&gt;TODAY()),"",IF(AND(FW483="",FX483=""),"",N(FX483)-N(FW483)))</f>
        <v/>
      </c>
      <c r="GB483">
        <f>IF(OR(FW$3="",FW$3&gt;TODAY()),"",IF(AND(FZ483="",GA483=""),"",N(GA483)-N(FZ483)))</f>
        <v/>
      </c>
      <c r="GF483">
        <f>IF(OR(GD$3="",GD$3&gt;TODAY()),"",IF(AND(GD483="",GE483=""),"",N(GE483)-N(GD483)))</f>
        <v/>
      </c>
      <c r="GI483">
        <f>IF(OR(GD$3="",GD$3&gt;TODAY()),"",IF(AND(GG483="",GH483=""),"",N(GH483)-N(GG483)))</f>
        <v/>
      </c>
      <c r="GM483">
        <f>IF(OR(GK$3="",GK$3&gt;TODAY()),"",IF(AND(GK483="",GL483=""),"",N(GL483)-N(GK483)))</f>
        <v/>
      </c>
      <c r="GP483">
        <f>IF(OR(GK$3="",GK$3&gt;TODAY()),"",IF(AND(GN483="",GO483=""),"",N(GO483)-N(GN483)))</f>
        <v/>
      </c>
      <c r="GT483">
        <f>IF(OR(GR$3="",GR$3&gt;TODAY()),"",IF(AND(GR483="",GS483=""),"",N(GS483)-N(GR483)))</f>
        <v/>
      </c>
      <c r="GW483">
        <f>IF(OR(GR$3="",GR$3&gt;TODAY()),"",IF(AND(GU483="",GV483=""),"",N(GV483)-N(GU483)))</f>
        <v/>
      </c>
      <c r="HA483">
        <f>IF(OR(GY$3="",GY$3&gt;TODAY()),"",IF(AND(GY483="",GZ483=""),"",N(GZ483)-N(GY483)))</f>
        <v/>
      </c>
      <c r="HD483">
        <f>IF(OR(GY$3="",GY$3&gt;TODAY()),"",IF(AND(HB483="",HC483=""),"",N(HC483)-N(HB483)))</f>
        <v/>
      </c>
      <c r="HH483">
        <f>IF(OR(HF$3="",HF$3&gt;TODAY()),"",IF(AND(HF483="",HG483=""),"",N(HG483)-N(HF483)))</f>
        <v/>
      </c>
      <c r="HK483">
        <f>IF(OR(HF$3="",HF$3&gt;TODAY()),"",IF(AND(HI483="",HJ483=""),"",N(HJ483)-N(HI483)))</f>
        <v/>
      </c>
      <c r="HO483">
        <f>IF(OR(HM$3="",HM$3&gt;TODAY()),"",IF(AND(HM483="",HN483=""),"",N(HN483)-N(HM483)))</f>
        <v/>
      </c>
      <c r="HR483">
        <f>IF(OR(HM$3="",HM$3&gt;TODAY()),"",IF(AND(HP483="",HQ483=""),"",N(HQ483)-N(HP483)))</f>
        <v/>
      </c>
      <c r="HV483">
        <f>IF(OR(HT$3="",HT$3&gt;TODAY()),"",IF(AND(HT483="",HU483=""),"",N(HU483)-N(HT483)))</f>
        <v/>
      </c>
      <c r="HY483">
        <f>IF(OR(HT$3="",HT$3&gt;TODAY()),"",IF(AND(HW483="",HX483=""),"",N(HX483)-N(HW483)))</f>
        <v/>
      </c>
      <c r="IC483">
        <f>IF(OR(IA$3="",IA$3&gt;TODAY()),"",IF(AND(IA483="",IB483=""),"",N(IB483)-N(IA483)))</f>
        <v/>
      </c>
      <c r="IF483">
        <f>IF(OR(IA$3="",IA$3&gt;TODAY()),"",IF(AND(ID483="",IE483=""),"",N(IE483)-N(ID483)))</f>
        <v/>
      </c>
      <c r="IJ483">
        <f>IF(OR(IH$3="",IH$3&gt;TODAY()),"",IF(AND(IH483="",II483=""),"",N(II483)-N(IH483)))</f>
        <v/>
      </c>
      <c r="IM483">
        <f>IF(OR(IH$3="",IH$3&gt;TODAY()),"",IF(AND(IK483="",IL483=""),"",N(IL483)-N(IK483)))</f>
        <v/>
      </c>
    </row>
    <row r="484">
      <c r="A484" s="21" t="n"/>
      <c r="B484" s="21" t="n"/>
      <c r="C484" s="21" t="n"/>
      <c r="D484" s="21" t="n"/>
      <c r="E484" s="21" t="n"/>
      <c r="F484" s="21" t="n"/>
      <c r="G484" s="21" t="n"/>
      <c r="H484" s="21" t="n"/>
      <c r="I484" s="22" t="n"/>
      <c r="J484" s="22" t="n"/>
      <c r="K484" s="23" t="n"/>
      <c r="L484" s="22" t="n"/>
      <c r="M484" s="22" t="n"/>
      <c r="N484" s="21" t="n"/>
      <c r="O484" s="23" t="n"/>
      <c r="P484" s="23" t="n"/>
      <c r="Q484" s="23" t="n"/>
      <c r="R484" s="23" t="n"/>
      <c r="S484" s="22" t="n"/>
      <c r="T484" s="23" t="n"/>
      <c r="U484" s="23" t="n"/>
      <c r="V484" s="24">
        <f>IF(J484&lt;&gt;"",J484,IF(I484&lt;&gt;"",I484,""))</f>
        <v/>
      </c>
      <c r="W484" s="25">
        <f>IF($E484="","",N(O484)+SUMIFS($AF484:$IN484,$AF$4:$IN$4,"SEW_ACT"))</f>
        <v/>
      </c>
      <c r="X484" s="25">
        <f>IF($E484="","",N(P484)+SUMIFS($AF484:$IN484,$AF$4:$IN$4,"WASH_ACT"))</f>
        <v/>
      </c>
      <c r="Y484" s="25">
        <f>IF($E484="","",W484-X484-N(T484)-N(U484))</f>
        <v/>
      </c>
      <c r="Z484" s="25">
        <f>IF($E484="","",IF(N(K484)-X484&lt;=0.02*N(K484),0,N(K484)-X484))</f>
        <v/>
      </c>
      <c r="AA484" s="24">
        <f>IF($E484="","",IF(S484&lt;&gt;"",S484,IF(N(O484)&gt;0,IF(L484&lt;&gt;"",L484,99999),IFERROR(1/(1/_xlfn.MINIFS($AF$3:$IN$3,$AF$4:$IN$4,"SEW_ACT",$AF484:$IN484,"&gt;0")),99999))))</f>
        <v/>
      </c>
      <c r="AB484" s="26">
        <f>IF(OR($E484="",Z484=0,V484=""),"",1+COUNTIFS(Z$8:Z$707,"&gt;0",V$8:V$707,"&lt;"&amp;V484)+COUNTIFS(Z$8:Z$707,"&gt;0",V$8:V$707,V484,AA$8:AA$707,"&lt;"&amp;AA484)+COUNTIFS(Z$8:Z$707,"&gt;0",V$8:V$707,V484,AA$8:AA$707,AA484,E$8:E$707,"&lt;"&amp;$E484))</f>
        <v/>
      </c>
      <c r="AC484" s="24">
        <f>IF(OR($E484="",Z484=0),"",IFERROR(TODAY()+ROUNDUP(Z484/(SUMIFS($AF484:$IN484,$AF$4:$IN$4,"WASH_ACT")/COUNTIFS($AF$4:$IN$4,"WASH_ACT",$AF484:$IN484,"&gt;0")),0),"no output yet"))</f>
        <v/>
      </c>
      <c r="AD484" s="26">
        <f>IF($E484="","",IFERROR(ROUND(MAX(0,SUMIFS($AF484:$IN484,$AF$4:$IN$4,"SEW_PLAN",$AF$3:$IN$3,"&lt;="&amp;TODAY())-SUMIFS($AF484:$IN484,$AF$4:$IN$4,"SEW_ACT",$AF$3:$IN$3,"&lt;="&amp;TODAY())+N(Q484))/(SUMIFS($AF484:$IN484,$AF$4:$IN$4,"SEW_PLAN")/COUNTIFS($AF$4:$IN$4,"SEW_PLAN",$AF484:$IN484,"&gt;0")),1),0))</f>
        <v/>
      </c>
      <c r="AE484" s="26">
        <f>IF($E484="","",IF(AND(Z484&gt;0,OR(AND(M484&lt;&gt;"",TODAY()&gt;M484),AND(V484&lt;&gt;"",V484-TODAY()&lt;=7))),"Yes","No"))</f>
        <v/>
      </c>
      <c r="AH484">
        <f>IF(OR(AF$3="",AF$3&gt;TODAY()),"",IF(AND(AF484="",AG484=""),"",N(AG484)-N(AF484)))</f>
        <v/>
      </c>
      <c r="AK484">
        <f>IF(OR(AF$3="",AF$3&gt;TODAY()),"",IF(AND(AI484="",AJ484=""),"",N(AJ484)-N(AI484)))</f>
        <v/>
      </c>
      <c r="AO484">
        <f>IF(OR(AM$3="",AM$3&gt;TODAY()),"",IF(AND(AM484="",AN484=""),"",N(AN484)-N(AM484)))</f>
        <v/>
      </c>
      <c r="AR484">
        <f>IF(OR(AM$3="",AM$3&gt;TODAY()),"",IF(AND(AP484="",AQ484=""),"",N(AQ484)-N(AP484)))</f>
        <v/>
      </c>
      <c r="AV484">
        <f>IF(OR(AT$3="",AT$3&gt;TODAY()),"",IF(AND(AT484="",AU484=""),"",N(AU484)-N(AT484)))</f>
        <v/>
      </c>
      <c r="AY484">
        <f>IF(OR(AT$3="",AT$3&gt;TODAY()),"",IF(AND(AW484="",AX484=""),"",N(AX484)-N(AW484)))</f>
        <v/>
      </c>
      <c r="BC484">
        <f>IF(OR(BA$3="",BA$3&gt;TODAY()),"",IF(AND(BA484="",BB484=""),"",N(BB484)-N(BA484)))</f>
        <v/>
      </c>
      <c r="BF484">
        <f>IF(OR(BA$3="",BA$3&gt;TODAY()),"",IF(AND(BD484="",BE484=""),"",N(BE484)-N(BD484)))</f>
        <v/>
      </c>
      <c r="BJ484">
        <f>IF(OR(BH$3="",BH$3&gt;TODAY()),"",IF(AND(BH484="",BI484=""),"",N(BI484)-N(BH484)))</f>
        <v/>
      </c>
      <c r="BM484">
        <f>IF(OR(BH$3="",BH$3&gt;TODAY()),"",IF(AND(BK484="",BL484=""),"",N(BL484)-N(BK484)))</f>
        <v/>
      </c>
      <c r="BQ484">
        <f>IF(OR(BO$3="",BO$3&gt;TODAY()),"",IF(AND(BO484="",BP484=""),"",N(BP484)-N(BO484)))</f>
        <v/>
      </c>
      <c r="BT484">
        <f>IF(OR(BO$3="",BO$3&gt;TODAY()),"",IF(AND(BR484="",BS484=""),"",N(BS484)-N(BR484)))</f>
        <v/>
      </c>
      <c r="BX484">
        <f>IF(OR(BV$3="",BV$3&gt;TODAY()),"",IF(AND(BV484="",BW484=""),"",N(BW484)-N(BV484)))</f>
        <v/>
      </c>
      <c r="CA484">
        <f>IF(OR(BV$3="",BV$3&gt;TODAY()),"",IF(AND(BY484="",BZ484=""),"",N(BZ484)-N(BY484)))</f>
        <v/>
      </c>
      <c r="CE484">
        <f>IF(OR(CC$3="",CC$3&gt;TODAY()),"",IF(AND(CC484="",CD484=""),"",N(CD484)-N(CC484)))</f>
        <v/>
      </c>
      <c r="CH484">
        <f>IF(OR(CC$3="",CC$3&gt;TODAY()),"",IF(AND(CF484="",CG484=""),"",N(CG484)-N(CF484)))</f>
        <v/>
      </c>
      <c r="CL484">
        <f>IF(OR(CJ$3="",CJ$3&gt;TODAY()),"",IF(AND(CJ484="",CK484=""),"",N(CK484)-N(CJ484)))</f>
        <v/>
      </c>
      <c r="CO484">
        <f>IF(OR(CJ$3="",CJ$3&gt;TODAY()),"",IF(AND(CM484="",CN484=""),"",N(CN484)-N(CM484)))</f>
        <v/>
      </c>
      <c r="CS484">
        <f>IF(OR(CQ$3="",CQ$3&gt;TODAY()),"",IF(AND(CQ484="",CR484=""),"",N(CR484)-N(CQ484)))</f>
        <v/>
      </c>
      <c r="CV484">
        <f>IF(OR(CQ$3="",CQ$3&gt;TODAY()),"",IF(AND(CT484="",CU484=""),"",N(CU484)-N(CT484)))</f>
        <v/>
      </c>
      <c r="CZ484">
        <f>IF(OR(CX$3="",CX$3&gt;TODAY()),"",IF(AND(CX484="",CY484=""),"",N(CY484)-N(CX484)))</f>
        <v/>
      </c>
      <c r="DC484">
        <f>IF(OR(CX$3="",CX$3&gt;TODAY()),"",IF(AND(DA484="",DB484=""),"",N(DB484)-N(DA484)))</f>
        <v/>
      </c>
      <c r="DG484">
        <f>IF(OR(DE$3="",DE$3&gt;TODAY()),"",IF(AND(DE484="",DF484=""),"",N(DF484)-N(DE484)))</f>
        <v/>
      </c>
      <c r="DJ484">
        <f>IF(OR(DE$3="",DE$3&gt;TODAY()),"",IF(AND(DH484="",DI484=""),"",N(DI484)-N(DH484)))</f>
        <v/>
      </c>
      <c r="DN484">
        <f>IF(OR(DL$3="",DL$3&gt;TODAY()),"",IF(AND(DL484="",DM484=""),"",N(DM484)-N(DL484)))</f>
        <v/>
      </c>
      <c r="DQ484">
        <f>IF(OR(DL$3="",DL$3&gt;TODAY()),"",IF(AND(DO484="",DP484=""),"",N(DP484)-N(DO484)))</f>
        <v/>
      </c>
      <c r="DU484">
        <f>IF(OR(DS$3="",DS$3&gt;TODAY()),"",IF(AND(DS484="",DT484=""),"",N(DT484)-N(DS484)))</f>
        <v/>
      </c>
      <c r="DX484">
        <f>IF(OR(DS$3="",DS$3&gt;TODAY()),"",IF(AND(DV484="",DW484=""),"",N(DW484)-N(DV484)))</f>
        <v/>
      </c>
      <c r="EB484">
        <f>IF(OR(DZ$3="",DZ$3&gt;TODAY()),"",IF(AND(DZ484="",EA484=""),"",N(EA484)-N(DZ484)))</f>
        <v/>
      </c>
      <c r="EE484">
        <f>IF(OR(DZ$3="",DZ$3&gt;TODAY()),"",IF(AND(EC484="",ED484=""),"",N(ED484)-N(EC484)))</f>
        <v/>
      </c>
      <c r="EI484">
        <f>IF(OR(EG$3="",EG$3&gt;TODAY()),"",IF(AND(EG484="",EH484=""),"",N(EH484)-N(EG484)))</f>
        <v/>
      </c>
      <c r="EL484">
        <f>IF(OR(EG$3="",EG$3&gt;TODAY()),"",IF(AND(EJ484="",EK484=""),"",N(EK484)-N(EJ484)))</f>
        <v/>
      </c>
      <c r="EP484">
        <f>IF(OR(EN$3="",EN$3&gt;TODAY()),"",IF(AND(EN484="",EO484=""),"",N(EO484)-N(EN484)))</f>
        <v/>
      </c>
      <c r="ES484">
        <f>IF(OR(EN$3="",EN$3&gt;TODAY()),"",IF(AND(EQ484="",ER484=""),"",N(ER484)-N(EQ484)))</f>
        <v/>
      </c>
      <c r="EW484">
        <f>IF(OR(EU$3="",EU$3&gt;TODAY()),"",IF(AND(EU484="",EV484=""),"",N(EV484)-N(EU484)))</f>
        <v/>
      </c>
      <c r="EZ484">
        <f>IF(OR(EU$3="",EU$3&gt;TODAY()),"",IF(AND(EX484="",EY484=""),"",N(EY484)-N(EX484)))</f>
        <v/>
      </c>
      <c r="FD484">
        <f>IF(OR(FB$3="",FB$3&gt;TODAY()),"",IF(AND(FB484="",FC484=""),"",N(FC484)-N(FB484)))</f>
        <v/>
      </c>
      <c r="FG484">
        <f>IF(OR(FB$3="",FB$3&gt;TODAY()),"",IF(AND(FE484="",FF484=""),"",N(FF484)-N(FE484)))</f>
        <v/>
      </c>
      <c r="FK484">
        <f>IF(OR(FI$3="",FI$3&gt;TODAY()),"",IF(AND(FI484="",FJ484=""),"",N(FJ484)-N(FI484)))</f>
        <v/>
      </c>
      <c r="FN484">
        <f>IF(OR(FI$3="",FI$3&gt;TODAY()),"",IF(AND(FL484="",FM484=""),"",N(FM484)-N(FL484)))</f>
        <v/>
      </c>
      <c r="FR484">
        <f>IF(OR(FP$3="",FP$3&gt;TODAY()),"",IF(AND(FP484="",FQ484=""),"",N(FQ484)-N(FP484)))</f>
        <v/>
      </c>
      <c r="FU484">
        <f>IF(OR(FP$3="",FP$3&gt;TODAY()),"",IF(AND(FS484="",FT484=""),"",N(FT484)-N(FS484)))</f>
        <v/>
      </c>
      <c r="FY484">
        <f>IF(OR(FW$3="",FW$3&gt;TODAY()),"",IF(AND(FW484="",FX484=""),"",N(FX484)-N(FW484)))</f>
        <v/>
      </c>
      <c r="GB484">
        <f>IF(OR(FW$3="",FW$3&gt;TODAY()),"",IF(AND(FZ484="",GA484=""),"",N(GA484)-N(FZ484)))</f>
        <v/>
      </c>
      <c r="GF484">
        <f>IF(OR(GD$3="",GD$3&gt;TODAY()),"",IF(AND(GD484="",GE484=""),"",N(GE484)-N(GD484)))</f>
        <v/>
      </c>
      <c r="GI484">
        <f>IF(OR(GD$3="",GD$3&gt;TODAY()),"",IF(AND(GG484="",GH484=""),"",N(GH484)-N(GG484)))</f>
        <v/>
      </c>
      <c r="GM484">
        <f>IF(OR(GK$3="",GK$3&gt;TODAY()),"",IF(AND(GK484="",GL484=""),"",N(GL484)-N(GK484)))</f>
        <v/>
      </c>
      <c r="GP484">
        <f>IF(OR(GK$3="",GK$3&gt;TODAY()),"",IF(AND(GN484="",GO484=""),"",N(GO484)-N(GN484)))</f>
        <v/>
      </c>
      <c r="GT484">
        <f>IF(OR(GR$3="",GR$3&gt;TODAY()),"",IF(AND(GR484="",GS484=""),"",N(GS484)-N(GR484)))</f>
        <v/>
      </c>
      <c r="GW484">
        <f>IF(OR(GR$3="",GR$3&gt;TODAY()),"",IF(AND(GU484="",GV484=""),"",N(GV484)-N(GU484)))</f>
        <v/>
      </c>
      <c r="HA484">
        <f>IF(OR(GY$3="",GY$3&gt;TODAY()),"",IF(AND(GY484="",GZ484=""),"",N(GZ484)-N(GY484)))</f>
        <v/>
      </c>
      <c r="HD484">
        <f>IF(OR(GY$3="",GY$3&gt;TODAY()),"",IF(AND(HB484="",HC484=""),"",N(HC484)-N(HB484)))</f>
        <v/>
      </c>
      <c r="HH484">
        <f>IF(OR(HF$3="",HF$3&gt;TODAY()),"",IF(AND(HF484="",HG484=""),"",N(HG484)-N(HF484)))</f>
        <v/>
      </c>
      <c r="HK484">
        <f>IF(OR(HF$3="",HF$3&gt;TODAY()),"",IF(AND(HI484="",HJ484=""),"",N(HJ484)-N(HI484)))</f>
        <v/>
      </c>
      <c r="HO484">
        <f>IF(OR(HM$3="",HM$3&gt;TODAY()),"",IF(AND(HM484="",HN484=""),"",N(HN484)-N(HM484)))</f>
        <v/>
      </c>
      <c r="HR484">
        <f>IF(OR(HM$3="",HM$3&gt;TODAY()),"",IF(AND(HP484="",HQ484=""),"",N(HQ484)-N(HP484)))</f>
        <v/>
      </c>
      <c r="HV484">
        <f>IF(OR(HT$3="",HT$3&gt;TODAY()),"",IF(AND(HT484="",HU484=""),"",N(HU484)-N(HT484)))</f>
        <v/>
      </c>
      <c r="HY484">
        <f>IF(OR(HT$3="",HT$3&gt;TODAY()),"",IF(AND(HW484="",HX484=""),"",N(HX484)-N(HW484)))</f>
        <v/>
      </c>
      <c r="IC484">
        <f>IF(OR(IA$3="",IA$3&gt;TODAY()),"",IF(AND(IA484="",IB484=""),"",N(IB484)-N(IA484)))</f>
        <v/>
      </c>
      <c r="IF484">
        <f>IF(OR(IA$3="",IA$3&gt;TODAY()),"",IF(AND(ID484="",IE484=""),"",N(IE484)-N(ID484)))</f>
        <v/>
      </c>
      <c r="IJ484">
        <f>IF(OR(IH$3="",IH$3&gt;TODAY()),"",IF(AND(IH484="",II484=""),"",N(II484)-N(IH484)))</f>
        <v/>
      </c>
      <c r="IM484">
        <f>IF(OR(IH$3="",IH$3&gt;TODAY()),"",IF(AND(IK484="",IL484=""),"",N(IL484)-N(IK484)))</f>
        <v/>
      </c>
    </row>
    <row r="485">
      <c r="A485" s="21" t="n"/>
      <c r="B485" s="21" t="n"/>
      <c r="C485" s="21" t="n"/>
      <c r="D485" s="21" t="n"/>
      <c r="E485" s="21" t="n"/>
      <c r="F485" s="21" t="n"/>
      <c r="G485" s="21" t="n"/>
      <c r="H485" s="21" t="n"/>
      <c r="I485" s="22" t="n"/>
      <c r="J485" s="22" t="n"/>
      <c r="K485" s="23" t="n"/>
      <c r="L485" s="22" t="n"/>
      <c r="M485" s="22" t="n"/>
      <c r="N485" s="21" t="n"/>
      <c r="O485" s="23" t="n"/>
      <c r="P485" s="23" t="n"/>
      <c r="Q485" s="23" t="n"/>
      <c r="R485" s="23" t="n"/>
      <c r="S485" s="22" t="n"/>
      <c r="T485" s="23" t="n"/>
      <c r="U485" s="23" t="n"/>
      <c r="V485" s="24">
        <f>IF(J485&lt;&gt;"",J485,IF(I485&lt;&gt;"",I485,""))</f>
        <v/>
      </c>
      <c r="W485" s="25">
        <f>IF($E485="","",N(O485)+SUMIFS($AF485:$IN485,$AF$4:$IN$4,"SEW_ACT"))</f>
        <v/>
      </c>
      <c r="X485" s="25">
        <f>IF($E485="","",N(P485)+SUMIFS($AF485:$IN485,$AF$4:$IN$4,"WASH_ACT"))</f>
        <v/>
      </c>
      <c r="Y485" s="25">
        <f>IF($E485="","",W485-X485-N(T485)-N(U485))</f>
        <v/>
      </c>
      <c r="Z485" s="25">
        <f>IF($E485="","",IF(N(K485)-X485&lt;=0.02*N(K485),0,N(K485)-X485))</f>
        <v/>
      </c>
      <c r="AA485" s="24">
        <f>IF($E485="","",IF(S485&lt;&gt;"",S485,IF(N(O485)&gt;0,IF(L485&lt;&gt;"",L485,99999),IFERROR(1/(1/_xlfn.MINIFS($AF$3:$IN$3,$AF$4:$IN$4,"SEW_ACT",$AF485:$IN485,"&gt;0")),99999))))</f>
        <v/>
      </c>
      <c r="AB485" s="26">
        <f>IF(OR($E485="",Z485=0,V485=""),"",1+COUNTIFS(Z$8:Z$707,"&gt;0",V$8:V$707,"&lt;"&amp;V485)+COUNTIFS(Z$8:Z$707,"&gt;0",V$8:V$707,V485,AA$8:AA$707,"&lt;"&amp;AA485)+COUNTIFS(Z$8:Z$707,"&gt;0",V$8:V$707,V485,AA$8:AA$707,AA485,E$8:E$707,"&lt;"&amp;$E485))</f>
        <v/>
      </c>
      <c r="AC485" s="24">
        <f>IF(OR($E485="",Z485=0),"",IFERROR(TODAY()+ROUNDUP(Z485/(SUMIFS($AF485:$IN485,$AF$4:$IN$4,"WASH_ACT")/COUNTIFS($AF$4:$IN$4,"WASH_ACT",$AF485:$IN485,"&gt;0")),0),"no output yet"))</f>
        <v/>
      </c>
      <c r="AD485" s="26">
        <f>IF($E485="","",IFERROR(ROUND(MAX(0,SUMIFS($AF485:$IN485,$AF$4:$IN$4,"SEW_PLAN",$AF$3:$IN$3,"&lt;="&amp;TODAY())-SUMIFS($AF485:$IN485,$AF$4:$IN$4,"SEW_ACT",$AF$3:$IN$3,"&lt;="&amp;TODAY())+N(Q485))/(SUMIFS($AF485:$IN485,$AF$4:$IN$4,"SEW_PLAN")/COUNTIFS($AF$4:$IN$4,"SEW_PLAN",$AF485:$IN485,"&gt;0")),1),0))</f>
        <v/>
      </c>
      <c r="AE485" s="26">
        <f>IF($E485="","",IF(AND(Z485&gt;0,OR(AND(M485&lt;&gt;"",TODAY()&gt;M485),AND(V485&lt;&gt;"",V485-TODAY()&lt;=7))),"Yes","No"))</f>
        <v/>
      </c>
      <c r="AH485">
        <f>IF(OR(AF$3="",AF$3&gt;TODAY()),"",IF(AND(AF485="",AG485=""),"",N(AG485)-N(AF485)))</f>
        <v/>
      </c>
      <c r="AK485">
        <f>IF(OR(AF$3="",AF$3&gt;TODAY()),"",IF(AND(AI485="",AJ485=""),"",N(AJ485)-N(AI485)))</f>
        <v/>
      </c>
      <c r="AO485">
        <f>IF(OR(AM$3="",AM$3&gt;TODAY()),"",IF(AND(AM485="",AN485=""),"",N(AN485)-N(AM485)))</f>
        <v/>
      </c>
      <c r="AR485">
        <f>IF(OR(AM$3="",AM$3&gt;TODAY()),"",IF(AND(AP485="",AQ485=""),"",N(AQ485)-N(AP485)))</f>
        <v/>
      </c>
      <c r="AV485">
        <f>IF(OR(AT$3="",AT$3&gt;TODAY()),"",IF(AND(AT485="",AU485=""),"",N(AU485)-N(AT485)))</f>
        <v/>
      </c>
      <c r="AY485">
        <f>IF(OR(AT$3="",AT$3&gt;TODAY()),"",IF(AND(AW485="",AX485=""),"",N(AX485)-N(AW485)))</f>
        <v/>
      </c>
      <c r="BC485">
        <f>IF(OR(BA$3="",BA$3&gt;TODAY()),"",IF(AND(BA485="",BB485=""),"",N(BB485)-N(BA485)))</f>
        <v/>
      </c>
      <c r="BF485">
        <f>IF(OR(BA$3="",BA$3&gt;TODAY()),"",IF(AND(BD485="",BE485=""),"",N(BE485)-N(BD485)))</f>
        <v/>
      </c>
      <c r="BJ485">
        <f>IF(OR(BH$3="",BH$3&gt;TODAY()),"",IF(AND(BH485="",BI485=""),"",N(BI485)-N(BH485)))</f>
        <v/>
      </c>
      <c r="BM485">
        <f>IF(OR(BH$3="",BH$3&gt;TODAY()),"",IF(AND(BK485="",BL485=""),"",N(BL485)-N(BK485)))</f>
        <v/>
      </c>
      <c r="BQ485">
        <f>IF(OR(BO$3="",BO$3&gt;TODAY()),"",IF(AND(BO485="",BP485=""),"",N(BP485)-N(BO485)))</f>
        <v/>
      </c>
      <c r="BT485">
        <f>IF(OR(BO$3="",BO$3&gt;TODAY()),"",IF(AND(BR485="",BS485=""),"",N(BS485)-N(BR485)))</f>
        <v/>
      </c>
      <c r="BX485">
        <f>IF(OR(BV$3="",BV$3&gt;TODAY()),"",IF(AND(BV485="",BW485=""),"",N(BW485)-N(BV485)))</f>
        <v/>
      </c>
      <c r="CA485">
        <f>IF(OR(BV$3="",BV$3&gt;TODAY()),"",IF(AND(BY485="",BZ485=""),"",N(BZ485)-N(BY485)))</f>
        <v/>
      </c>
      <c r="CE485">
        <f>IF(OR(CC$3="",CC$3&gt;TODAY()),"",IF(AND(CC485="",CD485=""),"",N(CD485)-N(CC485)))</f>
        <v/>
      </c>
      <c r="CH485">
        <f>IF(OR(CC$3="",CC$3&gt;TODAY()),"",IF(AND(CF485="",CG485=""),"",N(CG485)-N(CF485)))</f>
        <v/>
      </c>
      <c r="CL485">
        <f>IF(OR(CJ$3="",CJ$3&gt;TODAY()),"",IF(AND(CJ485="",CK485=""),"",N(CK485)-N(CJ485)))</f>
        <v/>
      </c>
      <c r="CO485">
        <f>IF(OR(CJ$3="",CJ$3&gt;TODAY()),"",IF(AND(CM485="",CN485=""),"",N(CN485)-N(CM485)))</f>
        <v/>
      </c>
      <c r="CS485">
        <f>IF(OR(CQ$3="",CQ$3&gt;TODAY()),"",IF(AND(CQ485="",CR485=""),"",N(CR485)-N(CQ485)))</f>
        <v/>
      </c>
      <c r="CV485">
        <f>IF(OR(CQ$3="",CQ$3&gt;TODAY()),"",IF(AND(CT485="",CU485=""),"",N(CU485)-N(CT485)))</f>
        <v/>
      </c>
      <c r="CZ485">
        <f>IF(OR(CX$3="",CX$3&gt;TODAY()),"",IF(AND(CX485="",CY485=""),"",N(CY485)-N(CX485)))</f>
        <v/>
      </c>
      <c r="DC485">
        <f>IF(OR(CX$3="",CX$3&gt;TODAY()),"",IF(AND(DA485="",DB485=""),"",N(DB485)-N(DA485)))</f>
        <v/>
      </c>
      <c r="DG485">
        <f>IF(OR(DE$3="",DE$3&gt;TODAY()),"",IF(AND(DE485="",DF485=""),"",N(DF485)-N(DE485)))</f>
        <v/>
      </c>
      <c r="DJ485">
        <f>IF(OR(DE$3="",DE$3&gt;TODAY()),"",IF(AND(DH485="",DI485=""),"",N(DI485)-N(DH485)))</f>
        <v/>
      </c>
      <c r="DN485">
        <f>IF(OR(DL$3="",DL$3&gt;TODAY()),"",IF(AND(DL485="",DM485=""),"",N(DM485)-N(DL485)))</f>
        <v/>
      </c>
      <c r="DQ485">
        <f>IF(OR(DL$3="",DL$3&gt;TODAY()),"",IF(AND(DO485="",DP485=""),"",N(DP485)-N(DO485)))</f>
        <v/>
      </c>
      <c r="DU485">
        <f>IF(OR(DS$3="",DS$3&gt;TODAY()),"",IF(AND(DS485="",DT485=""),"",N(DT485)-N(DS485)))</f>
        <v/>
      </c>
      <c r="DX485">
        <f>IF(OR(DS$3="",DS$3&gt;TODAY()),"",IF(AND(DV485="",DW485=""),"",N(DW485)-N(DV485)))</f>
        <v/>
      </c>
      <c r="EB485">
        <f>IF(OR(DZ$3="",DZ$3&gt;TODAY()),"",IF(AND(DZ485="",EA485=""),"",N(EA485)-N(DZ485)))</f>
        <v/>
      </c>
      <c r="EE485">
        <f>IF(OR(DZ$3="",DZ$3&gt;TODAY()),"",IF(AND(EC485="",ED485=""),"",N(ED485)-N(EC485)))</f>
        <v/>
      </c>
      <c r="EI485">
        <f>IF(OR(EG$3="",EG$3&gt;TODAY()),"",IF(AND(EG485="",EH485=""),"",N(EH485)-N(EG485)))</f>
        <v/>
      </c>
      <c r="EL485">
        <f>IF(OR(EG$3="",EG$3&gt;TODAY()),"",IF(AND(EJ485="",EK485=""),"",N(EK485)-N(EJ485)))</f>
        <v/>
      </c>
      <c r="EP485">
        <f>IF(OR(EN$3="",EN$3&gt;TODAY()),"",IF(AND(EN485="",EO485=""),"",N(EO485)-N(EN485)))</f>
        <v/>
      </c>
      <c r="ES485">
        <f>IF(OR(EN$3="",EN$3&gt;TODAY()),"",IF(AND(EQ485="",ER485=""),"",N(ER485)-N(EQ485)))</f>
        <v/>
      </c>
      <c r="EW485">
        <f>IF(OR(EU$3="",EU$3&gt;TODAY()),"",IF(AND(EU485="",EV485=""),"",N(EV485)-N(EU485)))</f>
        <v/>
      </c>
      <c r="EZ485">
        <f>IF(OR(EU$3="",EU$3&gt;TODAY()),"",IF(AND(EX485="",EY485=""),"",N(EY485)-N(EX485)))</f>
        <v/>
      </c>
      <c r="FD485">
        <f>IF(OR(FB$3="",FB$3&gt;TODAY()),"",IF(AND(FB485="",FC485=""),"",N(FC485)-N(FB485)))</f>
        <v/>
      </c>
      <c r="FG485">
        <f>IF(OR(FB$3="",FB$3&gt;TODAY()),"",IF(AND(FE485="",FF485=""),"",N(FF485)-N(FE485)))</f>
        <v/>
      </c>
      <c r="FK485">
        <f>IF(OR(FI$3="",FI$3&gt;TODAY()),"",IF(AND(FI485="",FJ485=""),"",N(FJ485)-N(FI485)))</f>
        <v/>
      </c>
      <c r="FN485">
        <f>IF(OR(FI$3="",FI$3&gt;TODAY()),"",IF(AND(FL485="",FM485=""),"",N(FM485)-N(FL485)))</f>
        <v/>
      </c>
      <c r="FR485">
        <f>IF(OR(FP$3="",FP$3&gt;TODAY()),"",IF(AND(FP485="",FQ485=""),"",N(FQ485)-N(FP485)))</f>
        <v/>
      </c>
      <c r="FU485">
        <f>IF(OR(FP$3="",FP$3&gt;TODAY()),"",IF(AND(FS485="",FT485=""),"",N(FT485)-N(FS485)))</f>
        <v/>
      </c>
      <c r="FY485">
        <f>IF(OR(FW$3="",FW$3&gt;TODAY()),"",IF(AND(FW485="",FX485=""),"",N(FX485)-N(FW485)))</f>
        <v/>
      </c>
      <c r="GB485">
        <f>IF(OR(FW$3="",FW$3&gt;TODAY()),"",IF(AND(FZ485="",GA485=""),"",N(GA485)-N(FZ485)))</f>
        <v/>
      </c>
      <c r="GF485">
        <f>IF(OR(GD$3="",GD$3&gt;TODAY()),"",IF(AND(GD485="",GE485=""),"",N(GE485)-N(GD485)))</f>
        <v/>
      </c>
      <c r="GI485">
        <f>IF(OR(GD$3="",GD$3&gt;TODAY()),"",IF(AND(GG485="",GH485=""),"",N(GH485)-N(GG485)))</f>
        <v/>
      </c>
      <c r="GM485">
        <f>IF(OR(GK$3="",GK$3&gt;TODAY()),"",IF(AND(GK485="",GL485=""),"",N(GL485)-N(GK485)))</f>
        <v/>
      </c>
      <c r="GP485">
        <f>IF(OR(GK$3="",GK$3&gt;TODAY()),"",IF(AND(GN485="",GO485=""),"",N(GO485)-N(GN485)))</f>
        <v/>
      </c>
      <c r="GT485">
        <f>IF(OR(GR$3="",GR$3&gt;TODAY()),"",IF(AND(GR485="",GS485=""),"",N(GS485)-N(GR485)))</f>
        <v/>
      </c>
      <c r="GW485">
        <f>IF(OR(GR$3="",GR$3&gt;TODAY()),"",IF(AND(GU485="",GV485=""),"",N(GV485)-N(GU485)))</f>
        <v/>
      </c>
      <c r="HA485">
        <f>IF(OR(GY$3="",GY$3&gt;TODAY()),"",IF(AND(GY485="",GZ485=""),"",N(GZ485)-N(GY485)))</f>
        <v/>
      </c>
      <c r="HD485">
        <f>IF(OR(GY$3="",GY$3&gt;TODAY()),"",IF(AND(HB485="",HC485=""),"",N(HC485)-N(HB485)))</f>
        <v/>
      </c>
      <c r="HH485">
        <f>IF(OR(HF$3="",HF$3&gt;TODAY()),"",IF(AND(HF485="",HG485=""),"",N(HG485)-N(HF485)))</f>
        <v/>
      </c>
      <c r="HK485">
        <f>IF(OR(HF$3="",HF$3&gt;TODAY()),"",IF(AND(HI485="",HJ485=""),"",N(HJ485)-N(HI485)))</f>
        <v/>
      </c>
      <c r="HO485">
        <f>IF(OR(HM$3="",HM$3&gt;TODAY()),"",IF(AND(HM485="",HN485=""),"",N(HN485)-N(HM485)))</f>
        <v/>
      </c>
      <c r="HR485">
        <f>IF(OR(HM$3="",HM$3&gt;TODAY()),"",IF(AND(HP485="",HQ485=""),"",N(HQ485)-N(HP485)))</f>
        <v/>
      </c>
      <c r="HV485">
        <f>IF(OR(HT$3="",HT$3&gt;TODAY()),"",IF(AND(HT485="",HU485=""),"",N(HU485)-N(HT485)))</f>
        <v/>
      </c>
      <c r="HY485">
        <f>IF(OR(HT$3="",HT$3&gt;TODAY()),"",IF(AND(HW485="",HX485=""),"",N(HX485)-N(HW485)))</f>
        <v/>
      </c>
      <c r="IC485">
        <f>IF(OR(IA$3="",IA$3&gt;TODAY()),"",IF(AND(IA485="",IB485=""),"",N(IB485)-N(IA485)))</f>
        <v/>
      </c>
      <c r="IF485">
        <f>IF(OR(IA$3="",IA$3&gt;TODAY()),"",IF(AND(ID485="",IE485=""),"",N(IE485)-N(ID485)))</f>
        <v/>
      </c>
      <c r="IJ485">
        <f>IF(OR(IH$3="",IH$3&gt;TODAY()),"",IF(AND(IH485="",II485=""),"",N(II485)-N(IH485)))</f>
        <v/>
      </c>
      <c r="IM485">
        <f>IF(OR(IH$3="",IH$3&gt;TODAY()),"",IF(AND(IK485="",IL485=""),"",N(IL485)-N(IK485)))</f>
        <v/>
      </c>
    </row>
    <row r="486">
      <c r="A486" s="21" t="n"/>
      <c r="B486" s="21" t="n"/>
      <c r="C486" s="21" t="n"/>
      <c r="D486" s="21" t="n"/>
      <c r="E486" s="21" t="n"/>
      <c r="F486" s="21" t="n"/>
      <c r="G486" s="21" t="n"/>
      <c r="H486" s="21" t="n"/>
      <c r="I486" s="22" t="n"/>
      <c r="J486" s="22" t="n"/>
      <c r="K486" s="23" t="n"/>
      <c r="L486" s="22" t="n"/>
      <c r="M486" s="22" t="n"/>
      <c r="N486" s="21" t="n"/>
      <c r="O486" s="23" t="n"/>
      <c r="P486" s="23" t="n"/>
      <c r="Q486" s="23" t="n"/>
      <c r="R486" s="23" t="n"/>
      <c r="S486" s="22" t="n"/>
      <c r="T486" s="23" t="n"/>
      <c r="U486" s="23" t="n"/>
      <c r="V486" s="24">
        <f>IF(J486&lt;&gt;"",J486,IF(I486&lt;&gt;"",I486,""))</f>
        <v/>
      </c>
      <c r="W486" s="25">
        <f>IF($E486="","",N(O486)+SUMIFS($AF486:$IN486,$AF$4:$IN$4,"SEW_ACT"))</f>
        <v/>
      </c>
      <c r="X486" s="25">
        <f>IF($E486="","",N(P486)+SUMIFS($AF486:$IN486,$AF$4:$IN$4,"WASH_ACT"))</f>
        <v/>
      </c>
      <c r="Y486" s="25">
        <f>IF($E486="","",W486-X486-N(T486)-N(U486))</f>
        <v/>
      </c>
      <c r="Z486" s="25">
        <f>IF($E486="","",IF(N(K486)-X486&lt;=0.02*N(K486),0,N(K486)-X486))</f>
        <v/>
      </c>
      <c r="AA486" s="24">
        <f>IF($E486="","",IF(S486&lt;&gt;"",S486,IF(N(O486)&gt;0,IF(L486&lt;&gt;"",L486,99999),IFERROR(1/(1/_xlfn.MINIFS($AF$3:$IN$3,$AF$4:$IN$4,"SEW_ACT",$AF486:$IN486,"&gt;0")),99999))))</f>
        <v/>
      </c>
      <c r="AB486" s="26">
        <f>IF(OR($E486="",Z486=0,V486=""),"",1+COUNTIFS(Z$8:Z$707,"&gt;0",V$8:V$707,"&lt;"&amp;V486)+COUNTIFS(Z$8:Z$707,"&gt;0",V$8:V$707,V486,AA$8:AA$707,"&lt;"&amp;AA486)+COUNTIFS(Z$8:Z$707,"&gt;0",V$8:V$707,V486,AA$8:AA$707,AA486,E$8:E$707,"&lt;"&amp;$E486))</f>
        <v/>
      </c>
      <c r="AC486" s="24">
        <f>IF(OR($E486="",Z486=0),"",IFERROR(TODAY()+ROUNDUP(Z486/(SUMIFS($AF486:$IN486,$AF$4:$IN$4,"WASH_ACT")/COUNTIFS($AF$4:$IN$4,"WASH_ACT",$AF486:$IN486,"&gt;0")),0),"no output yet"))</f>
        <v/>
      </c>
      <c r="AD486" s="26">
        <f>IF($E486="","",IFERROR(ROUND(MAX(0,SUMIFS($AF486:$IN486,$AF$4:$IN$4,"SEW_PLAN",$AF$3:$IN$3,"&lt;="&amp;TODAY())-SUMIFS($AF486:$IN486,$AF$4:$IN$4,"SEW_ACT",$AF$3:$IN$3,"&lt;="&amp;TODAY())+N(Q486))/(SUMIFS($AF486:$IN486,$AF$4:$IN$4,"SEW_PLAN")/COUNTIFS($AF$4:$IN$4,"SEW_PLAN",$AF486:$IN486,"&gt;0")),1),0))</f>
        <v/>
      </c>
      <c r="AE486" s="26">
        <f>IF($E486="","",IF(AND(Z486&gt;0,OR(AND(M486&lt;&gt;"",TODAY()&gt;M486),AND(V486&lt;&gt;"",V486-TODAY()&lt;=7))),"Yes","No"))</f>
        <v/>
      </c>
      <c r="AH486">
        <f>IF(OR(AF$3="",AF$3&gt;TODAY()),"",IF(AND(AF486="",AG486=""),"",N(AG486)-N(AF486)))</f>
        <v/>
      </c>
      <c r="AK486">
        <f>IF(OR(AF$3="",AF$3&gt;TODAY()),"",IF(AND(AI486="",AJ486=""),"",N(AJ486)-N(AI486)))</f>
        <v/>
      </c>
      <c r="AO486">
        <f>IF(OR(AM$3="",AM$3&gt;TODAY()),"",IF(AND(AM486="",AN486=""),"",N(AN486)-N(AM486)))</f>
        <v/>
      </c>
      <c r="AR486">
        <f>IF(OR(AM$3="",AM$3&gt;TODAY()),"",IF(AND(AP486="",AQ486=""),"",N(AQ486)-N(AP486)))</f>
        <v/>
      </c>
      <c r="AV486">
        <f>IF(OR(AT$3="",AT$3&gt;TODAY()),"",IF(AND(AT486="",AU486=""),"",N(AU486)-N(AT486)))</f>
        <v/>
      </c>
      <c r="AY486">
        <f>IF(OR(AT$3="",AT$3&gt;TODAY()),"",IF(AND(AW486="",AX486=""),"",N(AX486)-N(AW486)))</f>
        <v/>
      </c>
      <c r="BC486">
        <f>IF(OR(BA$3="",BA$3&gt;TODAY()),"",IF(AND(BA486="",BB486=""),"",N(BB486)-N(BA486)))</f>
        <v/>
      </c>
      <c r="BF486">
        <f>IF(OR(BA$3="",BA$3&gt;TODAY()),"",IF(AND(BD486="",BE486=""),"",N(BE486)-N(BD486)))</f>
        <v/>
      </c>
      <c r="BJ486">
        <f>IF(OR(BH$3="",BH$3&gt;TODAY()),"",IF(AND(BH486="",BI486=""),"",N(BI486)-N(BH486)))</f>
        <v/>
      </c>
      <c r="BM486">
        <f>IF(OR(BH$3="",BH$3&gt;TODAY()),"",IF(AND(BK486="",BL486=""),"",N(BL486)-N(BK486)))</f>
        <v/>
      </c>
      <c r="BQ486">
        <f>IF(OR(BO$3="",BO$3&gt;TODAY()),"",IF(AND(BO486="",BP486=""),"",N(BP486)-N(BO486)))</f>
        <v/>
      </c>
      <c r="BT486">
        <f>IF(OR(BO$3="",BO$3&gt;TODAY()),"",IF(AND(BR486="",BS486=""),"",N(BS486)-N(BR486)))</f>
        <v/>
      </c>
      <c r="BX486">
        <f>IF(OR(BV$3="",BV$3&gt;TODAY()),"",IF(AND(BV486="",BW486=""),"",N(BW486)-N(BV486)))</f>
        <v/>
      </c>
      <c r="CA486">
        <f>IF(OR(BV$3="",BV$3&gt;TODAY()),"",IF(AND(BY486="",BZ486=""),"",N(BZ486)-N(BY486)))</f>
        <v/>
      </c>
      <c r="CE486">
        <f>IF(OR(CC$3="",CC$3&gt;TODAY()),"",IF(AND(CC486="",CD486=""),"",N(CD486)-N(CC486)))</f>
        <v/>
      </c>
      <c r="CH486">
        <f>IF(OR(CC$3="",CC$3&gt;TODAY()),"",IF(AND(CF486="",CG486=""),"",N(CG486)-N(CF486)))</f>
        <v/>
      </c>
      <c r="CL486">
        <f>IF(OR(CJ$3="",CJ$3&gt;TODAY()),"",IF(AND(CJ486="",CK486=""),"",N(CK486)-N(CJ486)))</f>
        <v/>
      </c>
      <c r="CO486">
        <f>IF(OR(CJ$3="",CJ$3&gt;TODAY()),"",IF(AND(CM486="",CN486=""),"",N(CN486)-N(CM486)))</f>
        <v/>
      </c>
      <c r="CS486">
        <f>IF(OR(CQ$3="",CQ$3&gt;TODAY()),"",IF(AND(CQ486="",CR486=""),"",N(CR486)-N(CQ486)))</f>
        <v/>
      </c>
      <c r="CV486">
        <f>IF(OR(CQ$3="",CQ$3&gt;TODAY()),"",IF(AND(CT486="",CU486=""),"",N(CU486)-N(CT486)))</f>
        <v/>
      </c>
      <c r="CZ486">
        <f>IF(OR(CX$3="",CX$3&gt;TODAY()),"",IF(AND(CX486="",CY486=""),"",N(CY486)-N(CX486)))</f>
        <v/>
      </c>
      <c r="DC486">
        <f>IF(OR(CX$3="",CX$3&gt;TODAY()),"",IF(AND(DA486="",DB486=""),"",N(DB486)-N(DA486)))</f>
        <v/>
      </c>
      <c r="DG486">
        <f>IF(OR(DE$3="",DE$3&gt;TODAY()),"",IF(AND(DE486="",DF486=""),"",N(DF486)-N(DE486)))</f>
        <v/>
      </c>
      <c r="DJ486">
        <f>IF(OR(DE$3="",DE$3&gt;TODAY()),"",IF(AND(DH486="",DI486=""),"",N(DI486)-N(DH486)))</f>
        <v/>
      </c>
      <c r="DN486">
        <f>IF(OR(DL$3="",DL$3&gt;TODAY()),"",IF(AND(DL486="",DM486=""),"",N(DM486)-N(DL486)))</f>
        <v/>
      </c>
      <c r="DQ486">
        <f>IF(OR(DL$3="",DL$3&gt;TODAY()),"",IF(AND(DO486="",DP486=""),"",N(DP486)-N(DO486)))</f>
        <v/>
      </c>
      <c r="DU486">
        <f>IF(OR(DS$3="",DS$3&gt;TODAY()),"",IF(AND(DS486="",DT486=""),"",N(DT486)-N(DS486)))</f>
        <v/>
      </c>
      <c r="DX486">
        <f>IF(OR(DS$3="",DS$3&gt;TODAY()),"",IF(AND(DV486="",DW486=""),"",N(DW486)-N(DV486)))</f>
        <v/>
      </c>
      <c r="EB486">
        <f>IF(OR(DZ$3="",DZ$3&gt;TODAY()),"",IF(AND(DZ486="",EA486=""),"",N(EA486)-N(DZ486)))</f>
        <v/>
      </c>
      <c r="EE486">
        <f>IF(OR(DZ$3="",DZ$3&gt;TODAY()),"",IF(AND(EC486="",ED486=""),"",N(ED486)-N(EC486)))</f>
        <v/>
      </c>
      <c r="EI486">
        <f>IF(OR(EG$3="",EG$3&gt;TODAY()),"",IF(AND(EG486="",EH486=""),"",N(EH486)-N(EG486)))</f>
        <v/>
      </c>
      <c r="EL486">
        <f>IF(OR(EG$3="",EG$3&gt;TODAY()),"",IF(AND(EJ486="",EK486=""),"",N(EK486)-N(EJ486)))</f>
        <v/>
      </c>
      <c r="EP486">
        <f>IF(OR(EN$3="",EN$3&gt;TODAY()),"",IF(AND(EN486="",EO486=""),"",N(EO486)-N(EN486)))</f>
        <v/>
      </c>
      <c r="ES486">
        <f>IF(OR(EN$3="",EN$3&gt;TODAY()),"",IF(AND(EQ486="",ER486=""),"",N(ER486)-N(EQ486)))</f>
        <v/>
      </c>
      <c r="EW486">
        <f>IF(OR(EU$3="",EU$3&gt;TODAY()),"",IF(AND(EU486="",EV486=""),"",N(EV486)-N(EU486)))</f>
        <v/>
      </c>
      <c r="EZ486">
        <f>IF(OR(EU$3="",EU$3&gt;TODAY()),"",IF(AND(EX486="",EY486=""),"",N(EY486)-N(EX486)))</f>
        <v/>
      </c>
      <c r="FD486">
        <f>IF(OR(FB$3="",FB$3&gt;TODAY()),"",IF(AND(FB486="",FC486=""),"",N(FC486)-N(FB486)))</f>
        <v/>
      </c>
      <c r="FG486">
        <f>IF(OR(FB$3="",FB$3&gt;TODAY()),"",IF(AND(FE486="",FF486=""),"",N(FF486)-N(FE486)))</f>
        <v/>
      </c>
      <c r="FK486">
        <f>IF(OR(FI$3="",FI$3&gt;TODAY()),"",IF(AND(FI486="",FJ486=""),"",N(FJ486)-N(FI486)))</f>
        <v/>
      </c>
      <c r="FN486">
        <f>IF(OR(FI$3="",FI$3&gt;TODAY()),"",IF(AND(FL486="",FM486=""),"",N(FM486)-N(FL486)))</f>
        <v/>
      </c>
      <c r="FR486">
        <f>IF(OR(FP$3="",FP$3&gt;TODAY()),"",IF(AND(FP486="",FQ486=""),"",N(FQ486)-N(FP486)))</f>
        <v/>
      </c>
      <c r="FU486">
        <f>IF(OR(FP$3="",FP$3&gt;TODAY()),"",IF(AND(FS486="",FT486=""),"",N(FT486)-N(FS486)))</f>
        <v/>
      </c>
      <c r="FY486">
        <f>IF(OR(FW$3="",FW$3&gt;TODAY()),"",IF(AND(FW486="",FX486=""),"",N(FX486)-N(FW486)))</f>
        <v/>
      </c>
      <c r="GB486">
        <f>IF(OR(FW$3="",FW$3&gt;TODAY()),"",IF(AND(FZ486="",GA486=""),"",N(GA486)-N(FZ486)))</f>
        <v/>
      </c>
      <c r="GF486">
        <f>IF(OR(GD$3="",GD$3&gt;TODAY()),"",IF(AND(GD486="",GE486=""),"",N(GE486)-N(GD486)))</f>
        <v/>
      </c>
      <c r="GI486">
        <f>IF(OR(GD$3="",GD$3&gt;TODAY()),"",IF(AND(GG486="",GH486=""),"",N(GH486)-N(GG486)))</f>
        <v/>
      </c>
      <c r="GM486">
        <f>IF(OR(GK$3="",GK$3&gt;TODAY()),"",IF(AND(GK486="",GL486=""),"",N(GL486)-N(GK486)))</f>
        <v/>
      </c>
      <c r="GP486">
        <f>IF(OR(GK$3="",GK$3&gt;TODAY()),"",IF(AND(GN486="",GO486=""),"",N(GO486)-N(GN486)))</f>
        <v/>
      </c>
      <c r="GT486">
        <f>IF(OR(GR$3="",GR$3&gt;TODAY()),"",IF(AND(GR486="",GS486=""),"",N(GS486)-N(GR486)))</f>
        <v/>
      </c>
      <c r="GW486">
        <f>IF(OR(GR$3="",GR$3&gt;TODAY()),"",IF(AND(GU486="",GV486=""),"",N(GV486)-N(GU486)))</f>
        <v/>
      </c>
      <c r="HA486">
        <f>IF(OR(GY$3="",GY$3&gt;TODAY()),"",IF(AND(GY486="",GZ486=""),"",N(GZ486)-N(GY486)))</f>
        <v/>
      </c>
      <c r="HD486">
        <f>IF(OR(GY$3="",GY$3&gt;TODAY()),"",IF(AND(HB486="",HC486=""),"",N(HC486)-N(HB486)))</f>
        <v/>
      </c>
      <c r="HH486">
        <f>IF(OR(HF$3="",HF$3&gt;TODAY()),"",IF(AND(HF486="",HG486=""),"",N(HG486)-N(HF486)))</f>
        <v/>
      </c>
      <c r="HK486">
        <f>IF(OR(HF$3="",HF$3&gt;TODAY()),"",IF(AND(HI486="",HJ486=""),"",N(HJ486)-N(HI486)))</f>
        <v/>
      </c>
      <c r="HO486">
        <f>IF(OR(HM$3="",HM$3&gt;TODAY()),"",IF(AND(HM486="",HN486=""),"",N(HN486)-N(HM486)))</f>
        <v/>
      </c>
      <c r="HR486">
        <f>IF(OR(HM$3="",HM$3&gt;TODAY()),"",IF(AND(HP486="",HQ486=""),"",N(HQ486)-N(HP486)))</f>
        <v/>
      </c>
      <c r="HV486">
        <f>IF(OR(HT$3="",HT$3&gt;TODAY()),"",IF(AND(HT486="",HU486=""),"",N(HU486)-N(HT486)))</f>
        <v/>
      </c>
      <c r="HY486">
        <f>IF(OR(HT$3="",HT$3&gt;TODAY()),"",IF(AND(HW486="",HX486=""),"",N(HX486)-N(HW486)))</f>
        <v/>
      </c>
      <c r="IC486">
        <f>IF(OR(IA$3="",IA$3&gt;TODAY()),"",IF(AND(IA486="",IB486=""),"",N(IB486)-N(IA486)))</f>
        <v/>
      </c>
      <c r="IF486">
        <f>IF(OR(IA$3="",IA$3&gt;TODAY()),"",IF(AND(ID486="",IE486=""),"",N(IE486)-N(ID486)))</f>
        <v/>
      </c>
      <c r="IJ486">
        <f>IF(OR(IH$3="",IH$3&gt;TODAY()),"",IF(AND(IH486="",II486=""),"",N(II486)-N(IH486)))</f>
        <v/>
      </c>
      <c r="IM486">
        <f>IF(OR(IH$3="",IH$3&gt;TODAY()),"",IF(AND(IK486="",IL486=""),"",N(IL486)-N(IK486)))</f>
        <v/>
      </c>
    </row>
    <row r="487">
      <c r="A487" s="21" t="n"/>
      <c r="B487" s="21" t="n"/>
      <c r="C487" s="21" t="n"/>
      <c r="D487" s="21" t="n"/>
      <c r="E487" s="21" t="n"/>
      <c r="F487" s="21" t="n"/>
      <c r="G487" s="21" t="n"/>
      <c r="H487" s="21" t="n"/>
      <c r="I487" s="22" t="n"/>
      <c r="J487" s="22" t="n"/>
      <c r="K487" s="23" t="n"/>
      <c r="L487" s="22" t="n"/>
      <c r="M487" s="22" t="n"/>
      <c r="N487" s="21" t="n"/>
      <c r="O487" s="23" t="n"/>
      <c r="P487" s="23" t="n"/>
      <c r="Q487" s="23" t="n"/>
      <c r="R487" s="23" t="n"/>
      <c r="S487" s="22" t="n"/>
      <c r="T487" s="23" t="n"/>
      <c r="U487" s="23" t="n"/>
      <c r="V487" s="24">
        <f>IF(J487&lt;&gt;"",J487,IF(I487&lt;&gt;"",I487,""))</f>
        <v/>
      </c>
      <c r="W487" s="25">
        <f>IF($E487="","",N(O487)+SUMIFS($AF487:$IN487,$AF$4:$IN$4,"SEW_ACT"))</f>
        <v/>
      </c>
      <c r="X487" s="25">
        <f>IF($E487="","",N(P487)+SUMIFS($AF487:$IN487,$AF$4:$IN$4,"WASH_ACT"))</f>
        <v/>
      </c>
      <c r="Y487" s="25">
        <f>IF($E487="","",W487-X487-N(T487)-N(U487))</f>
        <v/>
      </c>
      <c r="Z487" s="25">
        <f>IF($E487="","",IF(N(K487)-X487&lt;=0.02*N(K487),0,N(K487)-X487))</f>
        <v/>
      </c>
      <c r="AA487" s="24">
        <f>IF($E487="","",IF(S487&lt;&gt;"",S487,IF(N(O487)&gt;0,IF(L487&lt;&gt;"",L487,99999),IFERROR(1/(1/_xlfn.MINIFS($AF$3:$IN$3,$AF$4:$IN$4,"SEW_ACT",$AF487:$IN487,"&gt;0")),99999))))</f>
        <v/>
      </c>
      <c r="AB487" s="26">
        <f>IF(OR($E487="",Z487=0,V487=""),"",1+COUNTIFS(Z$8:Z$707,"&gt;0",V$8:V$707,"&lt;"&amp;V487)+COUNTIFS(Z$8:Z$707,"&gt;0",V$8:V$707,V487,AA$8:AA$707,"&lt;"&amp;AA487)+COUNTIFS(Z$8:Z$707,"&gt;0",V$8:V$707,V487,AA$8:AA$707,AA487,E$8:E$707,"&lt;"&amp;$E487))</f>
        <v/>
      </c>
      <c r="AC487" s="24">
        <f>IF(OR($E487="",Z487=0),"",IFERROR(TODAY()+ROUNDUP(Z487/(SUMIFS($AF487:$IN487,$AF$4:$IN$4,"WASH_ACT")/COUNTIFS($AF$4:$IN$4,"WASH_ACT",$AF487:$IN487,"&gt;0")),0),"no output yet"))</f>
        <v/>
      </c>
      <c r="AD487" s="26">
        <f>IF($E487="","",IFERROR(ROUND(MAX(0,SUMIFS($AF487:$IN487,$AF$4:$IN$4,"SEW_PLAN",$AF$3:$IN$3,"&lt;="&amp;TODAY())-SUMIFS($AF487:$IN487,$AF$4:$IN$4,"SEW_ACT",$AF$3:$IN$3,"&lt;="&amp;TODAY())+N(Q487))/(SUMIFS($AF487:$IN487,$AF$4:$IN$4,"SEW_PLAN")/COUNTIFS($AF$4:$IN$4,"SEW_PLAN",$AF487:$IN487,"&gt;0")),1),0))</f>
        <v/>
      </c>
      <c r="AE487" s="26">
        <f>IF($E487="","",IF(AND(Z487&gt;0,OR(AND(M487&lt;&gt;"",TODAY()&gt;M487),AND(V487&lt;&gt;"",V487-TODAY()&lt;=7))),"Yes","No"))</f>
        <v/>
      </c>
      <c r="AH487">
        <f>IF(OR(AF$3="",AF$3&gt;TODAY()),"",IF(AND(AF487="",AG487=""),"",N(AG487)-N(AF487)))</f>
        <v/>
      </c>
      <c r="AK487">
        <f>IF(OR(AF$3="",AF$3&gt;TODAY()),"",IF(AND(AI487="",AJ487=""),"",N(AJ487)-N(AI487)))</f>
        <v/>
      </c>
      <c r="AO487">
        <f>IF(OR(AM$3="",AM$3&gt;TODAY()),"",IF(AND(AM487="",AN487=""),"",N(AN487)-N(AM487)))</f>
        <v/>
      </c>
      <c r="AR487">
        <f>IF(OR(AM$3="",AM$3&gt;TODAY()),"",IF(AND(AP487="",AQ487=""),"",N(AQ487)-N(AP487)))</f>
        <v/>
      </c>
      <c r="AV487">
        <f>IF(OR(AT$3="",AT$3&gt;TODAY()),"",IF(AND(AT487="",AU487=""),"",N(AU487)-N(AT487)))</f>
        <v/>
      </c>
      <c r="AY487">
        <f>IF(OR(AT$3="",AT$3&gt;TODAY()),"",IF(AND(AW487="",AX487=""),"",N(AX487)-N(AW487)))</f>
        <v/>
      </c>
      <c r="BC487">
        <f>IF(OR(BA$3="",BA$3&gt;TODAY()),"",IF(AND(BA487="",BB487=""),"",N(BB487)-N(BA487)))</f>
        <v/>
      </c>
      <c r="BF487">
        <f>IF(OR(BA$3="",BA$3&gt;TODAY()),"",IF(AND(BD487="",BE487=""),"",N(BE487)-N(BD487)))</f>
        <v/>
      </c>
      <c r="BJ487">
        <f>IF(OR(BH$3="",BH$3&gt;TODAY()),"",IF(AND(BH487="",BI487=""),"",N(BI487)-N(BH487)))</f>
        <v/>
      </c>
      <c r="BM487">
        <f>IF(OR(BH$3="",BH$3&gt;TODAY()),"",IF(AND(BK487="",BL487=""),"",N(BL487)-N(BK487)))</f>
        <v/>
      </c>
      <c r="BQ487">
        <f>IF(OR(BO$3="",BO$3&gt;TODAY()),"",IF(AND(BO487="",BP487=""),"",N(BP487)-N(BO487)))</f>
        <v/>
      </c>
      <c r="BT487">
        <f>IF(OR(BO$3="",BO$3&gt;TODAY()),"",IF(AND(BR487="",BS487=""),"",N(BS487)-N(BR487)))</f>
        <v/>
      </c>
      <c r="BX487">
        <f>IF(OR(BV$3="",BV$3&gt;TODAY()),"",IF(AND(BV487="",BW487=""),"",N(BW487)-N(BV487)))</f>
        <v/>
      </c>
      <c r="CA487">
        <f>IF(OR(BV$3="",BV$3&gt;TODAY()),"",IF(AND(BY487="",BZ487=""),"",N(BZ487)-N(BY487)))</f>
        <v/>
      </c>
      <c r="CE487">
        <f>IF(OR(CC$3="",CC$3&gt;TODAY()),"",IF(AND(CC487="",CD487=""),"",N(CD487)-N(CC487)))</f>
        <v/>
      </c>
      <c r="CH487">
        <f>IF(OR(CC$3="",CC$3&gt;TODAY()),"",IF(AND(CF487="",CG487=""),"",N(CG487)-N(CF487)))</f>
        <v/>
      </c>
      <c r="CL487">
        <f>IF(OR(CJ$3="",CJ$3&gt;TODAY()),"",IF(AND(CJ487="",CK487=""),"",N(CK487)-N(CJ487)))</f>
        <v/>
      </c>
      <c r="CO487">
        <f>IF(OR(CJ$3="",CJ$3&gt;TODAY()),"",IF(AND(CM487="",CN487=""),"",N(CN487)-N(CM487)))</f>
        <v/>
      </c>
      <c r="CS487">
        <f>IF(OR(CQ$3="",CQ$3&gt;TODAY()),"",IF(AND(CQ487="",CR487=""),"",N(CR487)-N(CQ487)))</f>
        <v/>
      </c>
      <c r="CV487">
        <f>IF(OR(CQ$3="",CQ$3&gt;TODAY()),"",IF(AND(CT487="",CU487=""),"",N(CU487)-N(CT487)))</f>
        <v/>
      </c>
      <c r="CZ487">
        <f>IF(OR(CX$3="",CX$3&gt;TODAY()),"",IF(AND(CX487="",CY487=""),"",N(CY487)-N(CX487)))</f>
        <v/>
      </c>
      <c r="DC487">
        <f>IF(OR(CX$3="",CX$3&gt;TODAY()),"",IF(AND(DA487="",DB487=""),"",N(DB487)-N(DA487)))</f>
        <v/>
      </c>
      <c r="DG487">
        <f>IF(OR(DE$3="",DE$3&gt;TODAY()),"",IF(AND(DE487="",DF487=""),"",N(DF487)-N(DE487)))</f>
        <v/>
      </c>
      <c r="DJ487">
        <f>IF(OR(DE$3="",DE$3&gt;TODAY()),"",IF(AND(DH487="",DI487=""),"",N(DI487)-N(DH487)))</f>
        <v/>
      </c>
      <c r="DN487">
        <f>IF(OR(DL$3="",DL$3&gt;TODAY()),"",IF(AND(DL487="",DM487=""),"",N(DM487)-N(DL487)))</f>
        <v/>
      </c>
      <c r="DQ487">
        <f>IF(OR(DL$3="",DL$3&gt;TODAY()),"",IF(AND(DO487="",DP487=""),"",N(DP487)-N(DO487)))</f>
        <v/>
      </c>
      <c r="DU487">
        <f>IF(OR(DS$3="",DS$3&gt;TODAY()),"",IF(AND(DS487="",DT487=""),"",N(DT487)-N(DS487)))</f>
        <v/>
      </c>
      <c r="DX487">
        <f>IF(OR(DS$3="",DS$3&gt;TODAY()),"",IF(AND(DV487="",DW487=""),"",N(DW487)-N(DV487)))</f>
        <v/>
      </c>
      <c r="EB487">
        <f>IF(OR(DZ$3="",DZ$3&gt;TODAY()),"",IF(AND(DZ487="",EA487=""),"",N(EA487)-N(DZ487)))</f>
        <v/>
      </c>
      <c r="EE487">
        <f>IF(OR(DZ$3="",DZ$3&gt;TODAY()),"",IF(AND(EC487="",ED487=""),"",N(ED487)-N(EC487)))</f>
        <v/>
      </c>
      <c r="EI487">
        <f>IF(OR(EG$3="",EG$3&gt;TODAY()),"",IF(AND(EG487="",EH487=""),"",N(EH487)-N(EG487)))</f>
        <v/>
      </c>
      <c r="EL487">
        <f>IF(OR(EG$3="",EG$3&gt;TODAY()),"",IF(AND(EJ487="",EK487=""),"",N(EK487)-N(EJ487)))</f>
        <v/>
      </c>
      <c r="EP487">
        <f>IF(OR(EN$3="",EN$3&gt;TODAY()),"",IF(AND(EN487="",EO487=""),"",N(EO487)-N(EN487)))</f>
        <v/>
      </c>
      <c r="ES487">
        <f>IF(OR(EN$3="",EN$3&gt;TODAY()),"",IF(AND(EQ487="",ER487=""),"",N(ER487)-N(EQ487)))</f>
        <v/>
      </c>
      <c r="EW487">
        <f>IF(OR(EU$3="",EU$3&gt;TODAY()),"",IF(AND(EU487="",EV487=""),"",N(EV487)-N(EU487)))</f>
        <v/>
      </c>
      <c r="EZ487">
        <f>IF(OR(EU$3="",EU$3&gt;TODAY()),"",IF(AND(EX487="",EY487=""),"",N(EY487)-N(EX487)))</f>
        <v/>
      </c>
      <c r="FD487">
        <f>IF(OR(FB$3="",FB$3&gt;TODAY()),"",IF(AND(FB487="",FC487=""),"",N(FC487)-N(FB487)))</f>
        <v/>
      </c>
      <c r="FG487">
        <f>IF(OR(FB$3="",FB$3&gt;TODAY()),"",IF(AND(FE487="",FF487=""),"",N(FF487)-N(FE487)))</f>
        <v/>
      </c>
      <c r="FK487">
        <f>IF(OR(FI$3="",FI$3&gt;TODAY()),"",IF(AND(FI487="",FJ487=""),"",N(FJ487)-N(FI487)))</f>
        <v/>
      </c>
      <c r="FN487">
        <f>IF(OR(FI$3="",FI$3&gt;TODAY()),"",IF(AND(FL487="",FM487=""),"",N(FM487)-N(FL487)))</f>
        <v/>
      </c>
      <c r="FR487">
        <f>IF(OR(FP$3="",FP$3&gt;TODAY()),"",IF(AND(FP487="",FQ487=""),"",N(FQ487)-N(FP487)))</f>
        <v/>
      </c>
      <c r="FU487">
        <f>IF(OR(FP$3="",FP$3&gt;TODAY()),"",IF(AND(FS487="",FT487=""),"",N(FT487)-N(FS487)))</f>
        <v/>
      </c>
      <c r="FY487">
        <f>IF(OR(FW$3="",FW$3&gt;TODAY()),"",IF(AND(FW487="",FX487=""),"",N(FX487)-N(FW487)))</f>
        <v/>
      </c>
      <c r="GB487">
        <f>IF(OR(FW$3="",FW$3&gt;TODAY()),"",IF(AND(FZ487="",GA487=""),"",N(GA487)-N(FZ487)))</f>
        <v/>
      </c>
      <c r="GF487">
        <f>IF(OR(GD$3="",GD$3&gt;TODAY()),"",IF(AND(GD487="",GE487=""),"",N(GE487)-N(GD487)))</f>
        <v/>
      </c>
      <c r="GI487">
        <f>IF(OR(GD$3="",GD$3&gt;TODAY()),"",IF(AND(GG487="",GH487=""),"",N(GH487)-N(GG487)))</f>
        <v/>
      </c>
      <c r="GM487">
        <f>IF(OR(GK$3="",GK$3&gt;TODAY()),"",IF(AND(GK487="",GL487=""),"",N(GL487)-N(GK487)))</f>
        <v/>
      </c>
      <c r="GP487">
        <f>IF(OR(GK$3="",GK$3&gt;TODAY()),"",IF(AND(GN487="",GO487=""),"",N(GO487)-N(GN487)))</f>
        <v/>
      </c>
      <c r="GT487">
        <f>IF(OR(GR$3="",GR$3&gt;TODAY()),"",IF(AND(GR487="",GS487=""),"",N(GS487)-N(GR487)))</f>
        <v/>
      </c>
      <c r="GW487">
        <f>IF(OR(GR$3="",GR$3&gt;TODAY()),"",IF(AND(GU487="",GV487=""),"",N(GV487)-N(GU487)))</f>
        <v/>
      </c>
      <c r="HA487">
        <f>IF(OR(GY$3="",GY$3&gt;TODAY()),"",IF(AND(GY487="",GZ487=""),"",N(GZ487)-N(GY487)))</f>
        <v/>
      </c>
      <c r="HD487">
        <f>IF(OR(GY$3="",GY$3&gt;TODAY()),"",IF(AND(HB487="",HC487=""),"",N(HC487)-N(HB487)))</f>
        <v/>
      </c>
      <c r="HH487">
        <f>IF(OR(HF$3="",HF$3&gt;TODAY()),"",IF(AND(HF487="",HG487=""),"",N(HG487)-N(HF487)))</f>
        <v/>
      </c>
      <c r="HK487">
        <f>IF(OR(HF$3="",HF$3&gt;TODAY()),"",IF(AND(HI487="",HJ487=""),"",N(HJ487)-N(HI487)))</f>
        <v/>
      </c>
      <c r="HO487">
        <f>IF(OR(HM$3="",HM$3&gt;TODAY()),"",IF(AND(HM487="",HN487=""),"",N(HN487)-N(HM487)))</f>
        <v/>
      </c>
      <c r="HR487">
        <f>IF(OR(HM$3="",HM$3&gt;TODAY()),"",IF(AND(HP487="",HQ487=""),"",N(HQ487)-N(HP487)))</f>
        <v/>
      </c>
      <c r="HV487">
        <f>IF(OR(HT$3="",HT$3&gt;TODAY()),"",IF(AND(HT487="",HU487=""),"",N(HU487)-N(HT487)))</f>
        <v/>
      </c>
      <c r="HY487">
        <f>IF(OR(HT$3="",HT$3&gt;TODAY()),"",IF(AND(HW487="",HX487=""),"",N(HX487)-N(HW487)))</f>
        <v/>
      </c>
      <c r="IC487">
        <f>IF(OR(IA$3="",IA$3&gt;TODAY()),"",IF(AND(IA487="",IB487=""),"",N(IB487)-N(IA487)))</f>
        <v/>
      </c>
      <c r="IF487">
        <f>IF(OR(IA$3="",IA$3&gt;TODAY()),"",IF(AND(ID487="",IE487=""),"",N(IE487)-N(ID487)))</f>
        <v/>
      </c>
      <c r="IJ487">
        <f>IF(OR(IH$3="",IH$3&gt;TODAY()),"",IF(AND(IH487="",II487=""),"",N(II487)-N(IH487)))</f>
        <v/>
      </c>
      <c r="IM487">
        <f>IF(OR(IH$3="",IH$3&gt;TODAY()),"",IF(AND(IK487="",IL487=""),"",N(IL487)-N(IK487)))</f>
        <v/>
      </c>
    </row>
    <row r="488">
      <c r="A488" s="21" t="n"/>
      <c r="B488" s="21" t="n"/>
      <c r="C488" s="21" t="n"/>
      <c r="D488" s="21" t="n"/>
      <c r="E488" s="21" t="n"/>
      <c r="F488" s="21" t="n"/>
      <c r="G488" s="21" t="n"/>
      <c r="H488" s="21" t="n"/>
      <c r="I488" s="22" t="n"/>
      <c r="J488" s="22" t="n"/>
      <c r="K488" s="23" t="n"/>
      <c r="L488" s="22" t="n"/>
      <c r="M488" s="22" t="n"/>
      <c r="N488" s="21" t="n"/>
      <c r="O488" s="23" t="n"/>
      <c r="P488" s="23" t="n"/>
      <c r="Q488" s="23" t="n"/>
      <c r="R488" s="23" t="n"/>
      <c r="S488" s="22" t="n"/>
      <c r="T488" s="23" t="n"/>
      <c r="U488" s="23" t="n"/>
      <c r="V488" s="24">
        <f>IF(J488&lt;&gt;"",J488,IF(I488&lt;&gt;"",I488,""))</f>
        <v/>
      </c>
      <c r="W488" s="25">
        <f>IF($E488="","",N(O488)+SUMIFS($AF488:$IN488,$AF$4:$IN$4,"SEW_ACT"))</f>
        <v/>
      </c>
      <c r="X488" s="25">
        <f>IF($E488="","",N(P488)+SUMIFS($AF488:$IN488,$AF$4:$IN$4,"WASH_ACT"))</f>
        <v/>
      </c>
      <c r="Y488" s="25">
        <f>IF($E488="","",W488-X488-N(T488)-N(U488))</f>
        <v/>
      </c>
      <c r="Z488" s="25">
        <f>IF($E488="","",IF(N(K488)-X488&lt;=0.02*N(K488),0,N(K488)-X488))</f>
        <v/>
      </c>
      <c r="AA488" s="24">
        <f>IF($E488="","",IF(S488&lt;&gt;"",S488,IF(N(O488)&gt;0,IF(L488&lt;&gt;"",L488,99999),IFERROR(1/(1/_xlfn.MINIFS($AF$3:$IN$3,$AF$4:$IN$4,"SEW_ACT",$AF488:$IN488,"&gt;0")),99999))))</f>
        <v/>
      </c>
      <c r="AB488" s="26">
        <f>IF(OR($E488="",Z488=0,V488=""),"",1+COUNTIFS(Z$8:Z$707,"&gt;0",V$8:V$707,"&lt;"&amp;V488)+COUNTIFS(Z$8:Z$707,"&gt;0",V$8:V$707,V488,AA$8:AA$707,"&lt;"&amp;AA488)+COUNTIFS(Z$8:Z$707,"&gt;0",V$8:V$707,V488,AA$8:AA$707,AA488,E$8:E$707,"&lt;"&amp;$E488))</f>
        <v/>
      </c>
      <c r="AC488" s="24">
        <f>IF(OR($E488="",Z488=0),"",IFERROR(TODAY()+ROUNDUP(Z488/(SUMIFS($AF488:$IN488,$AF$4:$IN$4,"WASH_ACT")/COUNTIFS($AF$4:$IN$4,"WASH_ACT",$AF488:$IN488,"&gt;0")),0),"no output yet"))</f>
        <v/>
      </c>
      <c r="AD488" s="26">
        <f>IF($E488="","",IFERROR(ROUND(MAX(0,SUMIFS($AF488:$IN488,$AF$4:$IN$4,"SEW_PLAN",$AF$3:$IN$3,"&lt;="&amp;TODAY())-SUMIFS($AF488:$IN488,$AF$4:$IN$4,"SEW_ACT",$AF$3:$IN$3,"&lt;="&amp;TODAY())+N(Q488))/(SUMIFS($AF488:$IN488,$AF$4:$IN$4,"SEW_PLAN")/COUNTIFS($AF$4:$IN$4,"SEW_PLAN",$AF488:$IN488,"&gt;0")),1),0))</f>
        <v/>
      </c>
      <c r="AE488" s="26">
        <f>IF($E488="","",IF(AND(Z488&gt;0,OR(AND(M488&lt;&gt;"",TODAY()&gt;M488),AND(V488&lt;&gt;"",V488-TODAY()&lt;=7))),"Yes","No"))</f>
        <v/>
      </c>
      <c r="AH488">
        <f>IF(OR(AF$3="",AF$3&gt;TODAY()),"",IF(AND(AF488="",AG488=""),"",N(AG488)-N(AF488)))</f>
        <v/>
      </c>
      <c r="AK488">
        <f>IF(OR(AF$3="",AF$3&gt;TODAY()),"",IF(AND(AI488="",AJ488=""),"",N(AJ488)-N(AI488)))</f>
        <v/>
      </c>
      <c r="AO488">
        <f>IF(OR(AM$3="",AM$3&gt;TODAY()),"",IF(AND(AM488="",AN488=""),"",N(AN488)-N(AM488)))</f>
        <v/>
      </c>
      <c r="AR488">
        <f>IF(OR(AM$3="",AM$3&gt;TODAY()),"",IF(AND(AP488="",AQ488=""),"",N(AQ488)-N(AP488)))</f>
        <v/>
      </c>
      <c r="AV488">
        <f>IF(OR(AT$3="",AT$3&gt;TODAY()),"",IF(AND(AT488="",AU488=""),"",N(AU488)-N(AT488)))</f>
        <v/>
      </c>
      <c r="AY488">
        <f>IF(OR(AT$3="",AT$3&gt;TODAY()),"",IF(AND(AW488="",AX488=""),"",N(AX488)-N(AW488)))</f>
        <v/>
      </c>
      <c r="BC488">
        <f>IF(OR(BA$3="",BA$3&gt;TODAY()),"",IF(AND(BA488="",BB488=""),"",N(BB488)-N(BA488)))</f>
        <v/>
      </c>
      <c r="BF488">
        <f>IF(OR(BA$3="",BA$3&gt;TODAY()),"",IF(AND(BD488="",BE488=""),"",N(BE488)-N(BD488)))</f>
        <v/>
      </c>
      <c r="BJ488">
        <f>IF(OR(BH$3="",BH$3&gt;TODAY()),"",IF(AND(BH488="",BI488=""),"",N(BI488)-N(BH488)))</f>
        <v/>
      </c>
      <c r="BM488">
        <f>IF(OR(BH$3="",BH$3&gt;TODAY()),"",IF(AND(BK488="",BL488=""),"",N(BL488)-N(BK488)))</f>
        <v/>
      </c>
      <c r="BQ488">
        <f>IF(OR(BO$3="",BO$3&gt;TODAY()),"",IF(AND(BO488="",BP488=""),"",N(BP488)-N(BO488)))</f>
        <v/>
      </c>
      <c r="BT488">
        <f>IF(OR(BO$3="",BO$3&gt;TODAY()),"",IF(AND(BR488="",BS488=""),"",N(BS488)-N(BR488)))</f>
        <v/>
      </c>
      <c r="BX488">
        <f>IF(OR(BV$3="",BV$3&gt;TODAY()),"",IF(AND(BV488="",BW488=""),"",N(BW488)-N(BV488)))</f>
        <v/>
      </c>
      <c r="CA488">
        <f>IF(OR(BV$3="",BV$3&gt;TODAY()),"",IF(AND(BY488="",BZ488=""),"",N(BZ488)-N(BY488)))</f>
        <v/>
      </c>
      <c r="CE488">
        <f>IF(OR(CC$3="",CC$3&gt;TODAY()),"",IF(AND(CC488="",CD488=""),"",N(CD488)-N(CC488)))</f>
        <v/>
      </c>
      <c r="CH488">
        <f>IF(OR(CC$3="",CC$3&gt;TODAY()),"",IF(AND(CF488="",CG488=""),"",N(CG488)-N(CF488)))</f>
        <v/>
      </c>
      <c r="CL488">
        <f>IF(OR(CJ$3="",CJ$3&gt;TODAY()),"",IF(AND(CJ488="",CK488=""),"",N(CK488)-N(CJ488)))</f>
        <v/>
      </c>
      <c r="CO488">
        <f>IF(OR(CJ$3="",CJ$3&gt;TODAY()),"",IF(AND(CM488="",CN488=""),"",N(CN488)-N(CM488)))</f>
        <v/>
      </c>
      <c r="CS488">
        <f>IF(OR(CQ$3="",CQ$3&gt;TODAY()),"",IF(AND(CQ488="",CR488=""),"",N(CR488)-N(CQ488)))</f>
        <v/>
      </c>
      <c r="CV488">
        <f>IF(OR(CQ$3="",CQ$3&gt;TODAY()),"",IF(AND(CT488="",CU488=""),"",N(CU488)-N(CT488)))</f>
        <v/>
      </c>
      <c r="CZ488">
        <f>IF(OR(CX$3="",CX$3&gt;TODAY()),"",IF(AND(CX488="",CY488=""),"",N(CY488)-N(CX488)))</f>
        <v/>
      </c>
      <c r="DC488">
        <f>IF(OR(CX$3="",CX$3&gt;TODAY()),"",IF(AND(DA488="",DB488=""),"",N(DB488)-N(DA488)))</f>
        <v/>
      </c>
      <c r="DG488">
        <f>IF(OR(DE$3="",DE$3&gt;TODAY()),"",IF(AND(DE488="",DF488=""),"",N(DF488)-N(DE488)))</f>
        <v/>
      </c>
      <c r="DJ488">
        <f>IF(OR(DE$3="",DE$3&gt;TODAY()),"",IF(AND(DH488="",DI488=""),"",N(DI488)-N(DH488)))</f>
        <v/>
      </c>
      <c r="DN488">
        <f>IF(OR(DL$3="",DL$3&gt;TODAY()),"",IF(AND(DL488="",DM488=""),"",N(DM488)-N(DL488)))</f>
        <v/>
      </c>
      <c r="DQ488">
        <f>IF(OR(DL$3="",DL$3&gt;TODAY()),"",IF(AND(DO488="",DP488=""),"",N(DP488)-N(DO488)))</f>
        <v/>
      </c>
      <c r="DU488">
        <f>IF(OR(DS$3="",DS$3&gt;TODAY()),"",IF(AND(DS488="",DT488=""),"",N(DT488)-N(DS488)))</f>
        <v/>
      </c>
      <c r="DX488">
        <f>IF(OR(DS$3="",DS$3&gt;TODAY()),"",IF(AND(DV488="",DW488=""),"",N(DW488)-N(DV488)))</f>
        <v/>
      </c>
      <c r="EB488">
        <f>IF(OR(DZ$3="",DZ$3&gt;TODAY()),"",IF(AND(DZ488="",EA488=""),"",N(EA488)-N(DZ488)))</f>
        <v/>
      </c>
      <c r="EE488">
        <f>IF(OR(DZ$3="",DZ$3&gt;TODAY()),"",IF(AND(EC488="",ED488=""),"",N(ED488)-N(EC488)))</f>
        <v/>
      </c>
      <c r="EI488">
        <f>IF(OR(EG$3="",EG$3&gt;TODAY()),"",IF(AND(EG488="",EH488=""),"",N(EH488)-N(EG488)))</f>
        <v/>
      </c>
      <c r="EL488">
        <f>IF(OR(EG$3="",EG$3&gt;TODAY()),"",IF(AND(EJ488="",EK488=""),"",N(EK488)-N(EJ488)))</f>
        <v/>
      </c>
      <c r="EP488">
        <f>IF(OR(EN$3="",EN$3&gt;TODAY()),"",IF(AND(EN488="",EO488=""),"",N(EO488)-N(EN488)))</f>
        <v/>
      </c>
      <c r="ES488">
        <f>IF(OR(EN$3="",EN$3&gt;TODAY()),"",IF(AND(EQ488="",ER488=""),"",N(ER488)-N(EQ488)))</f>
        <v/>
      </c>
      <c r="EW488">
        <f>IF(OR(EU$3="",EU$3&gt;TODAY()),"",IF(AND(EU488="",EV488=""),"",N(EV488)-N(EU488)))</f>
        <v/>
      </c>
      <c r="EZ488">
        <f>IF(OR(EU$3="",EU$3&gt;TODAY()),"",IF(AND(EX488="",EY488=""),"",N(EY488)-N(EX488)))</f>
        <v/>
      </c>
      <c r="FD488">
        <f>IF(OR(FB$3="",FB$3&gt;TODAY()),"",IF(AND(FB488="",FC488=""),"",N(FC488)-N(FB488)))</f>
        <v/>
      </c>
      <c r="FG488">
        <f>IF(OR(FB$3="",FB$3&gt;TODAY()),"",IF(AND(FE488="",FF488=""),"",N(FF488)-N(FE488)))</f>
        <v/>
      </c>
      <c r="FK488">
        <f>IF(OR(FI$3="",FI$3&gt;TODAY()),"",IF(AND(FI488="",FJ488=""),"",N(FJ488)-N(FI488)))</f>
        <v/>
      </c>
      <c r="FN488">
        <f>IF(OR(FI$3="",FI$3&gt;TODAY()),"",IF(AND(FL488="",FM488=""),"",N(FM488)-N(FL488)))</f>
        <v/>
      </c>
      <c r="FR488">
        <f>IF(OR(FP$3="",FP$3&gt;TODAY()),"",IF(AND(FP488="",FQ488=""),"",N(FQ488)-N(FP488)))</f>
        <v/>
      </c>
      <c r="FU488">
        <f>IF(OR(FP$3="",FP$3&gt;TODAY()),"",IF(AND(FS488="",FT488=""),"",N(FT488)-N(FS488)))</f>
        <v/>
      </c>
      <c r="FY488">
        <f>IF(OR(FW$3="",FW$3&gt;TODAY()),"",IF(AND(FW488="",FX488=""),"",N(FX488)-N(FW488)))</f>
        <v/>
      </c>
      <c r="GB488">
        <f>IF(OR(FW$3="",FW$3&gt;TODAY()),"",IF(AND(FZ488="",GA488=""),"",N(GA488)-N(FZ488)))</f>
        <v/>
      </c>
      <c r="GF488">
        <f>IF(OR(GD$3="",GD$3&gt;TODAY()),"",IF(AND(GD488="",GE488=""),"",N(GE488)-N(GD488)))</f>
        <v/>
      </c>
      <c r="GI488">
        <f>IF(OR(GD$3="",GD$3&gt;TODAY()),"",IF(AND(GG488="",GH488=""),"",N(GH488)-N(GG488)))</f>
        <v/>
      </c>
      <c r="GM488">
        <f>IF(OR(GK$3="",GK$3&gt;TODAY()),"",IF(AND(GK488="",GL488=""),"",N(GL488)-N(GK488)))</f>
        <v/>
      </c>
      <c r="GP488">
        <f>IF(OR(GK$3="",GK$3&gt;TODAY()),"",IF(AND(GN488="",GO488=""),"",N(GO488)-N(GN488)))</f>
        <v/>
      </c>
      <c r="GT488">
        <f>IF(OR(GR$3="",GR$3&gt;TODAY()),"",IF(AND(GR488="",GS488=""),"",N(GS488)-N(GR488)))</f>
        <v/>
      </c>
      <c r="GW488">
        <f>IF(OR(GR$3="",GR$3&gt;TODAY()),"",IF(AND(GU488="",GV488=""),"",N(GV488)-N(GU488)))</f>
        <v/>
      </c>
      <c r="HA488">
        <f>IF(OR(GY$3="",GY$3&gt;TODAY()),"",IF(AND(GY488="",GZ488=""),"",N(GZ488)-N(GY488)))</f>
        <v/>
      </c>
      <c r="HD488">
        <f>IF(OR(GY$3="",GY$3&gt;TODAY()),"",IF(AND(HB488="",HC488=""),"",N(HC488)-N(HB488)))</f>
        <v/>
      </c>
      <c r="HH488">
        <f>IF(OR(HF$3="",HF$3&gt;TODAY()),"",IF(AND(HF488="",HG488=""),"",N(HG488)-N(HF488)))</f>
        <v/>
      </c>
      <c r="HK488">
        <f>IF(OR(HF$3="",HF$3&gt;TODAY()),"",IF(AND(HI488="",HJ488=""),"",N(HJ488)-N(HI488)))</f>
        <v/>
      </c>
      <c r="HO488">
        <f>IF(OR(HM$3="",HM$3&gt;TODAY()),"",IF(AND(HM488="",HN488=""),"",N(HN488)-N(HM488)))</f>
        <v/>
      </c>
      <c r="HR488">
        <f>IF(OR(HM$3="",HM$3&gt;TODAY()),"",IF(AND(HP488="",HQ488=""),"",N(HQ488)-N(HP488)))</f>
        <v/>
      </c>
      <c r="HV488">
        <f>IF(OR(HT$3="",HT$3&gt;TODAY()),"",IF(AND(HT488="",HU488=""),"",N(HU488)-N(HT488)))</f>
        <v/>
      </c>
      <c r="HY488">
        <f>IF(OR(HT$3="",HT$3&gt;TODAY()),"",IF(AND(HW488="",HX488=""),"",N(HX488)-N(HW488)))</f>
        <v/>
      </c>
      <c r="IC488">
        <f>IF(OR(IA$3="",IA$3&gt;TODAY()),"",IF(AND(IA488="",IB488=""),"",N(IB488)-N(IA488)))</f>
        <v/>
      </c>
      <c r="IF488">
        <f>IF(OR(IA$3="",IA$3&gt;TODAY()),"",IF(AND(ID488="",IE488=""),"",N(IE488)-N(ID488)))</f>
        <v/>
      </c>
      <c r="IJ488">
        <f>IF(OR(IH$3="",IH$3&gt;TODAY()),"",IF(AND(IH488="",II488=""),"",N(II488)-N(IH488)))</f>
        <v/>
      </c>
      <c r="IM488">
        <f>IF(OR(IH$3="",IH$3&gt;TODAY()),"",IF(AND(IK488="",IL488=""),"",N(IL488)-N(IK488)))</f>
        <v/>
      </c>
    </row>
    <row r="489">
      <c r="A489" s="21" t="n"/>
      <c r="B489" s="21" t="n"/>
      <c r="C489" s="21" t="n"/>
      <c r="D489" s="21" t="n"/>
      <c r="E489" s="21" t="n"/>
      <c r="F489" s="21" t="n"/>
      <c r="G489" s="21" t="n"/>
      <c r="H489" s="21" t="n"/>
      <c r="I489" s="22" t="n"/>
      <c r="J489" s="22" t="n"/>
      <c r="K489" s="23" t="n"/>
      <c r="L489" s="22" t="n"/>
      <c r="M489" s="22" t="n"/>
      <c r="N489" s="21" t="n"/>
      <c r="O489" s="23" t="n"/>
      <c r="P489" s="23" t="n"/>
      <c r="Q489" s="23" t="n"/>
      <c r="R489" s="23" t="n"/>
      <c r="S489" s="22" t="n"/>
      <c r="T489" s="23" t="n"/>
      <c r="U489" s="23" t="n"/>
      <c r="V489" s="24">
        <f>IF(J489&lt;&gt;"",J489,IF(I489&lt;&gt;"",I489,""))</f>
        <v/>
      </c>
      <c r="W489" s="25">
        <f>IF($E489="","",N(O489)+SUMIFS($AF489:$IN489,$AF$4:$IN$4,"SEW_ACT"))</f>
        <v/>
      </c>
      <c r="X489" s="25">
        <f>IF($E489="","",N(P489)+SUMIFS($AF489:$IN489,$AF$4:$IN$4,"WASH_ACT"))</f>
        <v/>
      </c>
      <c r="Y489" s="25">
        <f>IF($E489="","",W489-X489-N(T489)-N(U489))</f>
        <v/>
      </c>
      <c r="Z489" s="25">
        <f>IF($E489="","",IF(N(K489)-X489&lt;=0.02*N(K489),0,N(K489)-X489))</f>
        <v/>
      </c>
      <c r="AA489" s="24">
        <f>IF($E489="","",IF(S489&lt;&gt;"",S489,IF(N(O489)&gt;0,IF(L489&lt;&gt;"",L489,99999),IFERROR(1/(1/_xlfn.MINIFS($AF$3:$IN$3,$AF$4:$IN$4,"SEW_ACT",$AF489:$IN489,"&gt;0")),99999))))</f>
        <v/>
      </c>
      <c r="AB489" s="26">
        <f>IF(OR($E489="",Z489=0,V489=""),"",1+COUNTIFS(Z$8:Z$707,"&gt;0",V$8:V$707,"&lt;"&amp;V489)+COUNTIFS(Z$8:Z$707,"&gt;0",V$8:V$707,V489,AA$8:AA$707,"&lt;"&amp;AA489)+COUNTIFS(Z$8:Z$707,"&gt;0",V$8:V$707,V489,AA$8:AA$707,AA489,E$8:E$707,"&lt;"&amp;$E489))</f>
        <v/>
      </c>
      <c r="AC489" s="24">
        <f>IF(OR($E489="",Z489=0),"",IFERROR(TODAY()+ROUNDUP(Z489/(SUMIFS($AF489:$IN489,$AF$4:$IN$4,"WASH_ACT")/COUNTIFS($AF$4:$IN$4,"WASH_ACT",$AF489:$IN489,"&gt;0")),0),"no output yet"))</f>
        <v/>
      </c>
      <c r="AD489" s="26">
        <f>IF($E489="","",IFERROR(ROUND(MAX(0,SUMIFS($AF489:$IN489,$AF$4:$IN$4,"SEW_PLAN",$AF$3:$IN$3,"&lt;="&amp;TODAY())-SUMIFS($AF489:$IN489,$AF$4:$IN$4,"SEW_ACT",$AF$3:$IN$3,"&lt;="&amp;TODAY())+N(Q489))/(SUMIFS($AF489:$IN489,$AF$4:$IN$4,"SEW_PLAN")/COUNTIFS($AF$4:$IN$4,"SEW_PLAN",$AF489:$IN489,"&gt;0")),1),0))</f>
        <v/>
      </c>
      <c r="AE489" s="26">
        <f>IF($E489="","",IF(AND(Z489&gt;0,OR(AND(M489&lt;&gt;"",TODAY()&gt;M489),AND(V489&lt;&gt;"",V489-TODAY()&lt;=7))),"Yes","No"))</f>
        <v/>
      </c>
      <c r="AH489">
        <f>IF(OR(AF$3="",AF$3&gt;TODAY()),"",IF(AND(AF489="",AG489=""),"",N(AG489)-N(AF489)))</f>
        <v/>
      </c>
      <c r="AK489">
        <f>IF(OR(AF$3="",AF$3&gt;TODAY()),"",IF(AND(AI489="",AJ489=""),"",N(AJ489)-N(AI489)))</f>
        <v/>
      </c>
      <c r="AO489">
        <f>IF(OR(AM$3="",AM$3&gt;TODAY()),"",IF(AND(AM489="",AN489=""),"",N(AN489)-N(AM489)))</f>
        <v/>
      </c>
      <c r="AR489">
        <f>IF(OR(AM$3="",AM$3&gt;TODAY()),"",IF(AND(AP489="",AQ489=""),"",N(AQ489)-N(AP489)))</f>
        <v/>
      </c>
      <c r="AV489">
        <f>IF(OR(AT$3="",AT$3&gt;TODAY()),"",IF(AND(AT489="",AU489=""),"",N(AU489)-N(AT489)))</f>
        <v/>
      </c>
      <c r="AY489">
        <f>IF(OR(AT$3="",AT$3&gt;TODAY()),"",IF(AND(AW489="",AX489=""),"",N(AX489)-N(AW489)))</f>
        <v/>
      </c>
      <c r="BC489">
        <f>IF(OR(BA$3="",BA$3&gt;TODAY()),"",IF(AND(BA489="",BB489=""),"",N(BB489)-N(BA489)))</f>
        <v/>
      </c>
      <c r="BF489">
        <f>IF(OR(BA$3="",BA$3&gt;TODAY()),"",IF(AND(BD489="",BE489=""),"",N(BE489)-N(BD489)))</f>
        <v/>
      </c>
      <c r="BJ489">
        <f>IF(OR(BH$3="",BH$3&gt;TODAY()),"",IF(AND(BH489="",BI489=""),"",N(BI489)-N(BH489)))</f>
        <v/>
      </c>
      <c r="BM489">
        <f>IF(OR(BH$3="",BH$3&gt;TODAY()),"",IF(AND(BK489="",BL489=""),"",N(BL489)-N(BK489)))</f>
        <v/>
      </c>
      <c r="BQ489">
        <f>IF(OR(BO$3="",BO$3&gt;TODAY()),"",IF(AND(BO489="",BP489=""),"",N(BP489)-N(BO489)))</f>
        <v/>
      </c>
      <c r="BT489">
        <f>IF(OR(BO$3="",BO$3&gt;TODAY()),"",IF(AND(BR489="",BS489=""),"",N(BS489)-N(BR489)))</f>
        <v/>
      </c>
      <c r="BX489">
        <f>IF(OR(BV$3="",BV$3&gt;TODAY()),"",IF(AND(BV489="",BW489=""),"",N(BW489)-N(BV489)))</f>
        <v/>
      </c>
      <c r="CA489">
        <f>IF(OR(BV$3="",BV$3&gt;TODAY()),"",IF(AND(BY489="",BZ489=""),"",N(BZ489)-N(BY489)))</f>
        <v/>
      </c>
      <c r="CE489">
        <f>IF(OR(CC$3="",CC$3&gt;TODAY()),"",IF(AND(CC489="",CD489=""),"",N(CD489)-N(CC489)))</f>
        <v/>
      </c>
      <c r="CH489">
        <f>IF(OR(CC$3="",CC$3&gt;TODAY()),"",IF(AND(CF489="",CG489=""),"",N(CG489)-N(CF489)))</f>
        <v/>
      </c>
      <c r="CL489">
        <f>IF(OR(CJ$3="",CJ$3&gt;TODAY()),"",IF(AND(CJ489="",CK489=""),"",N(CK489)-N(CJ489)))</f>
        <v/>
      </c>
      <c r="CO489">
        <f>IF(OR(CJ$3="",CJ$3&gt;TODAY()),"",IF(AND(CM489="",CN489=""),"",N(CN489)-N(CM489)))</f>
        <v/>
      </c>
      <c r="CS489">
        <f>IF(OR(CQ$3="",CQ$3&gt;TODAY()),"",IF(AND(CQ489="",CR489=""),"",N(CR489)-N(CQ489)))</f>
        <v/>
      </c>
      <c r="CV489">
        <f>IF(OR(CQ$3="",CQ$3&gt;TODAY()),"",IF(AND(CT489="",CU489=""),"",N(CU489)-N(CT489)))</f>
        <v/>
      </c>
      <c r="CZ489">
        <f>IF(OR(CX$3="",CX$3&gt;TODAY()),"",IF(AND(CX489="",CY489=""),"",N(CY489)-N(CX489)))</f>
        <v/>
      </c>
      <c r="DC489">
        <f>IF(OR(CX$3="",CX$3&gt;TODAY()),"",IF(AND(DA489="",DB489=""),"",N(DB489)-N(DA489)))</f>
        <v/>
      </c>
      <c r="DG489">
        <f>IF(OR(DE$3="",DE$3&gt;TODAY()),"",IF(AND(DE489="",DF489=""),"",N(DF489)-N(DE489)))</f>
        <v/>
      </c>
      <c r="DJ489">
        <f>IF(OR(DE$3="",DE$3&gt;TODAY()),"",IF(AND(DH489="",DI489=""),"",N(DI489)-N(DH489)))</f>
        <v/>
      </c>
      <c r="DN489">
        <f>IF(OR(DL$3="",DL$3&gt;TODAY()),"",IF(AND(DL489="",DM489=""),"",N(DM489)-N(DL489)))</f>
        <v/>
      </c>
      <c r="DQ489">
        <f>IF(OR(DL$3="",DL$3&gt;TODAY()),"",IF(AND(DO489="",DP489=""),"",N(DP489)-N(DO489)))</f>
        <v/>
      </c>
      <c r="DU489">
        <f>IF(OR(DS$3="",DS$3&gt;TODAY()),"",IF(AND(DS489="",DT489=""),"",N(DT489)-N(DS489)))</f>
        <v/>
      </c>
      <c r="DX489">
        <f>IF(OR(DS$3="",DS$3&gt;TODAY()),"",IF(AND(DV489="",DW489=""),"",N(DW489)-N(DV489)))</f>
        <v/>
      </c>
      <c r="EB489">
        <f>IF(OR(DZ$3="",DZ$3&gt;TODAY()),"",IF(AND(DZ489="",EA489=""),"",N(EA489)-N(DZ489)))</f>
        <v/>
      </c>
      <c r="EE489">
        <f>IF(OR(DZ$3="",DZ$3&gt;TODAY()),"",IF(AND(EC489="",ED489=""),"",N(ED489)-N(EC489)))</f>
        <v/>
      </c>
      <c r="EI489">
        <f>IF(OR(EG$3="",EG$3&gt;TODAY()),"",IF(AND(EG489="",EH489=""),"",N(EH489)-N(EG489)))</f>
        <v/>
      </c>
      <c r="EL489">
        <f>IF(OR(EG$3="",EG$3&gt;TODAY()),"",IF(AND(EJ489="",EK489=""),"",N(EK489)-N(EJ489)))</f>
        <v/>
      </c>
      <c r="EP489">
        <f>IF(OR(EN$3="",EN$3&gt;TODAY()),"",IF(AND(EN489="",EO489=""),"",N(EO489)-N(EN489)))</f>
        <v/>
      </c>
      <c r="ES489">
        <f>IF(OR(EN$3="",EN$3&gt;TODAY()),"",IF(AND(EQ489="",ER489=""),"",N(ER489)-N(EQ489)))</f>
        <v/>
      </c>
      <c r="EW489">
        <f>IF(OR(EU$3="",EU$3&gt;TODAY()),"",IF(AND(EU489="",EV489=""),"",N(EV489)-N(EU489)))</f>
        <v/>
      </c>
      <c r="EZ489">
        <f>IF(OR(EU$3="",EU$3&gt;TODAY()),"",IF(AND(EX489="",EY489=""),"",N(EY489)-N(EX489)))</f>
        <v/>
      </c>
      <c r="FD489">
        <f>IF(OR(FB$3="",FB$3&gt;TODAY()),"",IF(AND(FB489="",FC489=""),"",N(FC489)-N(FB489)))</f>
        <v/>
      </c>
      <c r="FG489">
        <f>IF(OR(FB$3="",FB$3&gt;TODAY()),"",IF(AND(FE489="",FF489=""),"",N(FF489)-N(FE489)))</f>
        <v/>
      </c>
      <c r="FK489">
        <f>IF(OR(FI$3="",FI$3&gt;TODAY()),"",IF(AND(FI489="",FJ489=""),"",N(FJ489)-N(FI489)))</f>
        <v/>
      </c>
      <c r="FN489">
        <f>IF(OR(FI$3="",FI$3&gt;TODAY()),"",IF(AND(FL489="",FM489=""),"",N(FM489)-N(FL489)))</f>
        <v/>
      </c>
      <c r="FR489">
        <f>IF(OR(FP$3="",FP$3&gt;TODAY()),"",IF(AND(FP489="",FQ489=""),"",N(FQ489)-N(FP489)))</f>
        <v/>
      </c>
      <c r="FU489">
        <f>IF(OR(FP$3="",FP$3&gt;TODAY()),"",IF(AND(FS489="",FT489=""),"",N(FT489)-N(FS489)))</f>
        <v/>
      </c>
      <c r="FY489">
        <f>IF(OR(FW$3="",FW$3&gt;TODAY()),"",IF(AND(FW489="",FX489=""),"",N(FX489)-N(FW489)))</f>
        <v/>
      </c>
      <c r="GB489">
        <f>IF(OR(FW$3="",FW$3&gt;TODAY()),"",IF(AND(FZ489="",GA489=""),"",N(GA489)-N(FZ489)))</f>
        <v/>
      </c>
      <c r="GF489">
        <f>IF(OR(GD$3="",GD$3&gt;TODAY()),"",IF(AND(GD489="",GE489=""),"",N(GE489)-N(GD489)))</f>
        <v/>
      </c>
      <c r="GI489">
        <f>IF(OR(GD$3="",GD$3&gt;TODAY()),"",IF(AND(GG489="",GH489=""),"",N(GH489)-N(GG489)))</f>
        <v/>
      </c>
      <c r="GM489">
        <f>IF(OR(GK$3="",GK$3&gt;TODAY()),"",IF(AND(GK489="",GL489=""),"",N(GL489)-N(GK489)))</f>
        <v/>
      </c>
      <c r="GP489">
        <f>IF(OR(GK$3="",GK$3&gt;TODAY()),"",IF(AND(GN489="",GO489=""),"",N(GO489)-N(GN489)))</f>
        <v/>
      </c>
      <c r="GT489">
        <f>IF(OR(GR$3="",GR$3&gt;TODAY()),"",IF(AND(GR489="",GS489=""),"",N(GS489)-N(GR489)))</f>
        <v/>
      </c>
      <c r="GW489">
        <f>IF(OR(GR$3="",GR$3&gt;TODAY()),"",IF(AND(GU489="",GV489=""),"",N(GV489)-N(GU489)))</f>
        <v/>
      </c>
      <c r="HA489">
        <f>IF(OR(GY$3="",GY$3&gt;TODAY()),"",IF(AND(GY489="",GZ489=""),"",N(GZ489)-N(GY489)))</f>
        <v/>
      </c>
      <c r="HD489">
        <f>IF(OR(GY$3="",GY$3&gt;TODAY()),"",IF(AND(HB489="",HC489=""),"",N(HC489)-N(HB489)))</f>
        <v/>
      </c>
      <c r="HH489">
        <f>IF(OR(HF$3="",HF$3&gt;TODAY()),"",IF(AND(HF489="",HG489=""),"",N(HG489)-N(HF489)))</f>
        <v/>
      </c>
      <c r="HK489">
        <f>IF(OR(HF$3="",HF$3&gt;TODAY()),"",IF(AND(HI489="",HJ489=""),"",N(HJ489)-N(HI489)))</f>
        <v/>
      </c>
      <c r="HO489">
        <f>IF(OR(HM$3="",HM$3&gt;TODAY()),"",IF(AND(HM489="",HN489=""),"",N(HN489)-N(HM489)))</f>
        <v/>
      </c>
      <c r="HR489">
        <f>IF(OR(HM$3="",HM$3&gt;TODAY()),"",IF(AND(HP489="",HQ489=""),"",N(HQ489)-N(HP489)))</f>
        <v/>
      </c>
      <c r="HV489">
        <f>IF(OR(HT$3="",HT$3&gt;TODAY()),"",IF(AND(HT489="",HU489=""),"",N(HU489)-N(HT489)))</f>
        <v/>
      </c>
      <c r="HY489">
        <f>IF(OR(HT$3="",HT$3&gt;TODAY()),"",IF(AND(HW489="",HX489=""),"",N(HX489)-N(HW489)))</f>
        <v/>
      </c>
      <c r="IC489">
        <f>IF(OR(IA$3="",IA$3&gt;TODAY()),"",IF(AND(IA489="",IB489=""),"",N(IB489)-N(IA489)))</f>
        <v/>
      </c>
      <c r="IF489">
        <f>IF(OR(IA$3="",IA$3&gt;TODAY()),"",IF(AND(ID489="",IE489=""),"",N(IE489)-N(ID489)))</f>
        <v/>
      </c>
      <c r="IJ489">
        <f>IF(OR(IH$3="",IH$3&gt;TODAY()),"",IF(AND(IH489="",II489=""),"",N(II489)-N(IH489)))</f>
        <v/>
      </c>
      <c r="IM489">
        <f>IF(OR(IH$3="",IH$3&gt;TODAY()),"",IF(AND(IK489="",IL489=""),"",N(IL489)-N(IK489)))</f>
        <v/>
      </c>
    </row>
    <row r="490">
      <c r="A490" s="21" t="n"/>
      <c r="B490" s="21" t="n"/>
      <c r="C490" s="21" t="n"/>
      <c r="D490" s="21" t="n"/>
      <c r="E490" s="21" t="n"/>
      <c r="F490" s="21" t="n"/>
      <c r="G490" s="21" t="n"/>
      <c r="H490" s="21" t="n"/>
      <c r="I490" s="22" t="n"/>
      <c r="J490" s="22" t="n"/>
      <c r="K490" s="23" t="n"/>
      <c r="L490" s="22" t="n"/>
      <c r="M490" s="22" t="n"/>
      <c r="N490" s="21" t="n"/>
      <c r="O490" s="23" t="n"/>
      <c r="P490" s="23" t="n"/>
      <c r="Q490" s="23" t="n"/>
      <c r="R490" s="23" t="n"/>
      <c r="S490" s="22" t="n"/>
      <c r="T490" s="23" t="n"/>
      <c r="U490" s="23" t="n"/>
      <c r="V490" s="24">
        <f>IF(J490&lt;&gt;"",J490,IF(I490&lt;&gt;"",I490,""))</f>
        <v/>
      </c>
      <c r="W490" s="25">
        <f>IF($E490="","",N(O490)+SUMIFS($AF490:$IN490,$AF$4:$IN$4,"SEW_ACT"))</f>
        <v/>
      </c>
      <c r="X490" s="25">
        <f>IF($E490="","",N(P490)+SUMIFS($AF490:$IN490,$AF$4:$IN$4,"WASH_ACT"))</f>
        <v/>
      </c>
      <c r="Y490" s="25">
        <f>IF($E490="","",W490-X490-N(T490)-N(U490))</f>
        <v/>
      </c>
      <c r="Z490" s="25">
        <f>IF($E490="","",IF(N(K490)-X490&lt;=0.02*N(K490),0,N(K490)-X490))</f>
        <v/>
      </c>
      <c r="AA490" s="24">
        <f>IF($E490="","",IF(S490&lt;&gt;"",S490,IF(N(O490)&gt;0,IF(L490&lt;&gt;"",L490,99999),IFERROR(1/(1/_xlfn.MINIFS($AF$3:$IN$3,$AF$4:$IN$4,"SEW_ACT",$AF490:$IN490,"&gt;0")),99999))))</f>
        <v/>
      </c>
      <c r="AB490" s="26">
        <f>IF(OR($E490="",Z490=0,V490=""),"",1+COUNTIFS(Z$8:Z$707,"&gt;0",V$8:V$707,"&lt;"&amp;V490)+COUNTIFS(Z$8:Z$707,"&gt;0",V$8:V$707,V490,AA$8:AA$707,"&lt;"&amp;AA490)+COUNTIFS(Z$8:Z$707,"&gt;0",V$8:V$707,V490,AA$8:AA$707,AA490,E$8:E$707,"&lt;"&amp;$E490))</f>
        <v/>
      </c>
      <c r="AC490" s="24">
        <f>IF(OR($E490="",Z490=0),"",IFERROR(TODAY()+ROUNDUP(Z490/(SUMIFS($AF490:$IN490,$AF$4:$IN$4,"WASH_ACT")/COUNTIFS($AF$4:$IN$4,"WASH_ACT",$AF490:$IN490,"&gt;0")),0),"no output yet"))</f>
        <v/>
      </c>
      <c r="AD490" s="26">
        <f>IF($E490="","",IFERROR(ROUND(MAX(0,SUMIFS($AF490:$IN490,$AF$4:$IN$4,"SEW_PLAN",$AF$3:$IN$3,"&lt;="&amp;TODAY())-SUMIFS($AF490:$IN490,$AF$4:$IN$4,"SEW_ACT",$AF$3:$IN$3,"&lt;="&amp;TODAY())+N(Q490))/(SUMIFS($AF490:$IN490,$AF$4:$IN$4,"SEW_PLAN")/COUNTIFS($AF$4:$IN$4,"SEW_PLAN",$AF490:$IN490,"&gt;0")),1),0))</f>
        <v/>
      </c>
      <c r="AE490" s="26">
        <f>IF($E490="","",IF(AND(Z490&gt;0,OR(AND(M490&lt;&gt;"",TODAY()&gt;M490),AND(V490&lt;&gt;"",V490-TODAY()&lt;=7))),"Yes","No"))</f>
        <v/>
      </c>
      <c r="AH490">
        <f>IF(OR(AF$3="",AF$3&gt;TODAY()),"",IF(AND(AF490="",AG490=""),"",N(AG490)-N(AF490)))</f>
        <v/>
      </c>
      <c r="AK490">
        <f>IF(OR(AF$3="",AF$3&gt;TODAY()),"",IF(AND(AI490="",AJ490=""),"",N(AJ490)-N(AI490)))</f>
        <v/>
      </c>
      <c r="AO490">
        <f>IF(OR(AM$3="",AM$3&gt;TODAY()),"",IF(AND(AM490="",AN490=""),"",N(AN490)-N(AM490)))</f>
        <v/>
      </c>
      <c r="AR490">
        <f>IF(OR(AM$3="",AM$3&gt;TODAY()),"",IF(AND(AP490="",AQ490=""),"",N(AQ490)-N(AP490)))</f>
        <v/>
      </c>
      <c r="AV490">
        <f>IF(OR(AT$3="",AT$3&gt;TODAY()),"",IF(AND(AT490="",AU490=""),"",N(AU490)-N(AT490)))</f>
        <v/>
      </c>
      <c r="AY490">
        <f>IF(OR(AT$3="",AT$3&gt;TODAY()),"",IF(AND(AW490="",AX490=""),"",N(AX490)-N(AW490)))</f>
        <v/>
      </c>
      <c r="BC490">
        <f>IF(OR(BA$3="",BA$3&gt;TODAY()),"",IF(AND(BA490="",BB490=""),"",N(BB490)-N(BA490)))</f>
        <v/>
      </c>
      <c r="BF490">
        <f>IF(OR(BA$3="",BA$3&gt;TODAY()),"",IF(AND(BD490="",BE490=""),"",N(BE490)-N(BD490)))</f>
        <v/>
      </c>
      <c r="BJ490">
        <f>IF(OR(BH$3="",BH$3&gt;TODAY()),"",IF(AND(BH490="",BI490=""),"",N(BI490)-N(BH490)))</f>
        <v/>
      </c>
      <c r="BM490">
        <f>IF(OR(BH$3="",BH$3&gt;TODAY()),"",IF(AND(BK490="",BL490=""),"",N(BL490)-N(BK490)))</f>
        <v/>
      </c>
      <c r="BQ490">
        <f>IF(OR(BO$3="",BO$3&gt;TODAY()),"",IF(AND(BO490="",BP490=""),"",N(BP490)-N(BO490)))</f>
        <v/>
      </c>
      <c r="BT490">
        <f>IF(OR(BO$3="",BO$3&gt;TODAY()),"",IF(AND(BR490="",BS490=""),"",N(BS490)-N(BR490)))</f>
        <v/>
      </c>
      <c r="BX490">
        <f>IF(OR(BV$3="",BV$3&gt;TODAY()),"",IF(AND(BV490="",BW490=""),"",N(BW490)-N(BV490)))</f>
        <v/>
      </c>
      <c r="CA490">
        <f>IF(OR(BV$3="",BV$3&gt;TODAY()),"",IF(AND(BY490="",BZ490=""),"",N(BZ490)-N(BY490)))</f>
        <v/>
      </c>
      <c r="CE490">
        <f>IF(OR(CC$3="",CC$3&gt;TODAY()),"",IF(AND(CC490="",CD490=""),"",N(CD490)-N(CC490)))</f>
        <v/>
      </c>
      <c r="CH490">
        <f>IF(OR(CC$3="",CC$3&gt;TODAY()),"",IF(AND(CF490="",CG490=""),"",N(CG490)-N(CF490)))</f>
        <v/>
      </c>
      <c r="CL490">
        <f>IF(OR(CJ$3="",CJ$3&gt;TODAY()),"",IF(AND(CJ490="",CK490=""),"",N(CK490)-N(CJ490)))</f>
        <v/>
      </c>
      <c r="CO490">
        <f>IF(OR(CJ$3="",CJ$3&gt;TODAY()),"",IF(AND(CM490="",CN490=""),"",N(CN490)-N(CM490)))</f>
        <v/>
      </c>
      <c r="CS490">
        <f>IF(OR(CQ$3="",CQ$3&gt;TODAY()),"",IF(AND(CQ490="",CR490=""),"",N(CR490)-N(CQ490)))</f>
        <v/>
      </c>
      <c r="CV490">
        <f>IF(OR(CQ$3="",CQ$3&gt;TODAY()),"",IF(AND(CT490="",CU490=""),"",N(CU490)-N(CT490)))</f>
        <v/>
      </c>
      <c r="CZ490">
        <f>IF(OR(CX$3="",CX$3&gt;TODAY()),"",IF(AND(CX490="",CY490=""),"",N(CY490)-N(CX490)))</f>
        <v/>
      </c>
      <c r="DC490">
        <f>IF(OR(CX$3="",CX$3&gt;TODAY()),"",IF(AND(DA490="",DB490=""),"",N(DB490)-N(DA490)))</f>
        <v/>
      </c>
      <c r="DG490">
        <f>IF(OR(DE$3="",DE$3&gt;TODAY()),"",IF(AND(DE490="",DF490=""),"",N(DF490)-N(DE490)))</f>
        <v/>
      </c>
      <c r="DJ490">
        <f>IF(OR(DE$3="",DE$3&gt;TODAY()),"",IF(AND(DH490="",DI490=""),"",N(DI490)-N(DH490)))</f>
        <v/>
      </c>
      <c r="DN490">
        <f>IF(OR(DL$3="",DL$3&gt;TODAY()),"",IF(AND(DL490="",DM490=""),"",N(DM490)-N(DL490)))</f>
        <v/>
      </c>
      <c r="DQ490">
        <f>IF(OR(DL$3="",DL$3&gt;TODAY()),"",IF(AND(DO490="",DP490=""),"",N(DP490)-N(DO490)))</f>
        <v/>
      </c>
      <c r="DU490">
        <f>IF(OR(DS$3="",DS$3&gt;TODAY()),"",IF(AND(DS490="",DT490=""),"",N(DT490)-N(DS490)))</f>
        <v/>
      </c>
      <c r="DX490">
        <f>IF(OR(DS$3="",DS$3&gt;TODAY()),"",IF(AND(DV490="",DW490=""),"",N(DW490)-N(DV490)))</f>
        <v/>
      </c>
      <c r="EB490">
        <f>IF(OR(DZ$3="",DZ$3&gt;TODAY()),"",IF(AND(DZ490="",EA490=""),"",N(EA490)-N(DZ490)))</f>
        <v/>
      </c>
      <c r="EE490">
        <f>IF(OR(DZ$3="",DZ$3&gt;TODAY()),"",IF(AND(EC490="",ED490=""),"",N(ED490)-N(EC490)))</f>
        <v/>
      </c>
      <c r="EI490">
        <f>IF(OR(EG$3="",EG$3&gt;TODAY()),"",IF(AND(EG490="",EH490=""),"",N(EH490)-N(EG490)))</f>
        <v/>
      </c>
      <c r="EL490">
        <f>IF(OR(EG$3="",EG$3&gt;TODAY()),"",IF(AND(EJ490="",EK490=""),"",N(EK490)-N(EJ490)))</f>
        <v/>
      </c>
      <c r="EP490">
        <f>IF(OR(EN$3="",EN$3&gt;TODAY()),"",IF(AND(EN490="",EO490=""),"",N(EO490)-N(EN490)))</f>
        <v/>
      </c>
      <c r="ES490">
        <f>IF(OR(EN$3="",EN$3&gt;TODAY()),"",IF(AND(EQ490="",ER490=""),"",N(ER490)-N(EQ490)))</f>
        <v/>
      </c>
      <c r="EW490">
        <f>IF(OR(EU$3="",EU$3&gt;TODAY()),"",IF(AND(EU490="",EV490=""),"",N(EV490)-N(EU490)))</f>
        <v/>
      </c>
      <c r="EZ490">
        <f>IF(OR(EU$3="",EU$3&gt;TODAY()),"",IF(AND(EX490="",EY490=""),"",N(EY490)-N(EX490)))</f>
        <v/>
      </c>
      <c r="FD490">
        <f>IF(OR(FB$3="",FB$3&gt;TODAY()),"",IF(AND(FB490="",FC490=""),"",N(FC490)-N(FB490)))</f>
        <v/>
      </c>
      <c r="FG490">
        <f>IF(OR(FB$3="",FB$3&gt;TODAY()),"",IF(AND(FE490="",FF490=""),"",N(FF490)-N(FE490)))</f>
        <v/>
      </c>
      <c r="FK490">
        <f>IF(OR(FI$3="",FI$3&gt;TODAY()),"",IF(AND(FI490="",FJ490=""),"",N(FJ490)-N(FI490)))</f>
        <v/>
      </c>
      <c r="FN490">
        <f>IF(OR(FI$3="",FI$3&gt;TODAY()),"",IF(AND(FL490="",FM490=""),"",N(FM490)-N(FL490)))</f>
        <v/>
      </c>
      <c r="FR490">
        <f>IF(OR(FP$3="",FP$3&gt;TODAY()),"",IF(AND(FP490="",FQ490=""),"",N(FQ490)-N(FP490)))</f>
        <v/>
      </c>
      <c r="FU490">
        <f>IF(OR(FP$3="",FP$3&gt;TODAY()),"",IF(AND(FS490="",FT490=""),"",N(FT490)-N(FS490)))</f>
        <v/>
      </c>
      <c r="FY490">
        <f>IF(OR(FW$3="",FW$3&gt;TODAY()),"",IF(AND(FW490="",FX490=""),"",N(FX490)-N(FW490)))</f>
        <v/>
      </c>
      <c r="GB490">
        <f>IF(OR(FW$3="",FW$3&gt;TODAY()),"",IF(AND(FZ490="",GA490=""),"",N(GA490)-N(FZ490)))</f>
        <v/>
      </c>
      <c r="GF490">
        <f>IF(OR(GD$3="",GD$3&gt;TODAY()),"",IF(AND(GD490="",GE490=""),"",N(GE490)-N(GD490)))</f>
        <v/>
      </c>
      <c r="GI490">
        <f>IF(OR(GD$3="",GD$3&gt;TODAY()),"",IF(AND(GG490="",GH490=""),"",N(GH490)-N(GG490)))</f>
        <v/>
      </c>
      <c r="GM490">
        <f>IF(OR(GK$3="",GK$3&gt;TODAY()),"",IF(AND(GK490="",GL490=""),"",N(GL490)-N(GK490)))</f>
        <v/>
      </c>
      <c r="GP490">
        <f>IF(OR(GK$3="",GK$3&gt;TODAY()),"",IF(AND(GN490="",GO490=""),"",N(GO490)-N(GN490)))</f>
        <v/>
      </c>
      <c r="GT490">
        <f>IF(OR(GR$3="",GR$3&gt;TODAY()),"",IF(AND(GR490="",GS490=""),"",N(GS490)-N(GR490)))</f>
        <v/>
      </c>
      <c r="GW490">
        <f>IF(OR(GR$3="",GR$3&gt;TODAY()),"",IF(AND(GU490="",GV490=""),"",N(GV490)-N(GU490)))</f>
        <v/>
      </c>
      <c r="HA490">
        <f>IF(OR(GY$3="",GY$3&gt;TODAY()),"",IF(AND(GY490="",GZ490=""),"",N(GZ490)-N(GY490)))</f>
        <v/>
      </c>
      <c r="HD490">
        <f>IF(OR(GY$3="",GY$3&gt;TODAY()),"",IF(AND(HB490="",HC490=""),"",N(HC490)-N(HB490)))</f>
        <v/>
      </c>
      <c r="HH490">
        <f>IF(OR(HF$3="",HF$3&gt;TODAY()),"",IF(AND(HF490="",HG490=""),"",N(HG490)-N(HF490)))</f>
        <v/>
      </c>
      <c r="HK490">
        <f>IF(OR(HF$3="",HF$3&gt;TODAY()),"",IF(AND(HI490="",HJ490=""),"",N(HJ490)-N(HI490)))</f>
        <v/>
      </c>
      <c r="HO490">
        <f>IF(OR(HM$3="",HM$3&gt;TODAY()),"",IF(AND(HM490="",HN490=""),"",N(HN490)-N(HM490)))</f>
        <v/>
      </c>
      <c r="HR490">
        <f>IF(OR(HM$3="",HM$3&gt;TODAY()),"",IF(AND(HP490="",HQ490=""),"",N(HQ490)-N(HP490)))</f>
        <v/>
      </c>
      <c r="HV490">
        <f>IF(OR(HT$3="",HT$3&gt;TODAY()),"",IF(AND(HT490="",HU490=""),"",N(HU490)-N(HT490)))</f>
        <v/>
      </c>
      <c r="HY490">
        <f>IF(OR(HT$3="",HT$3&gt;TODAY()),"",IF(AND(HW490="",HX490=""),"",N(HX490)-N(HW490)))</f>
        <v/>
      </c>
      <c r="IC490">
        <f>IF(OR(IA$3="",IA$3&gt;TODAY()),"",IF(AND(IA490="",IB490=""),"",N(IB490)-N(IA490)))</f>
        <v/>
      </c>
      <c r="IF490">
        <f>IF(OR(IA$3="",IA$3&gt;TODAY()),"",IF(AND(ID490="",IE490=""),"",N(IE490)-N(ID490)))</f>
        <v/>
      </c>
      <c r="IJ490">
        <f>IF(OR(IH$3="",IH$3&gt;TODAY()),"",IF(AND(IH490="",II490=""),"",N(II490)-N(IH490)))</f>
        <v/>
      </c>
      <c r="IM490">
        <f>IF(OR(IH$3="",IH$3&gt;TODAY()),"",IF(AND(IK490="",IL490=""),"",N(IL490)-N(IK490)))</f>
        <v/>
      </c>
    </row>
    <row r="491">
      <c r="A491" s="21" t="n"/>
      <c r="B491" s="21" t="n"/>
      <c r="C491" s="21" t="n"/>
      <c r="D491" s="21" t="n"/>
      <c r="E491" s="21" t="n"/>
      <c r="F491" s="21" t="n"/>
      <c r="G491" s="21" t="n"/>
      <c r="H491" s="21" t="n"/>
      <c r="I491" s="22" t="n"/>
      <c r="J491" s="22" t="n"/>
      <c r="K491" s="23" t="n"/>
      <c r="L491" s="22" t="n"/>
      <c r="M491" s="22" t="n"/>
      <c r="N491" s="21" t="n"/>
      <c r="O491" s="23" t="n"/>
      <c r="P491" s="23" t="n"/>
      <c r="Q491" s="23" t="n"/>
      <c r="R491" s="23" t="n"/>
      <c r="S491" s="22" t="n"/>
      <c r="T491" s="23" t="n"/>
      <c r="U491" s="23" t="n"/>
      <c r="V491" s="24">
        <f>IF(J491&lt;&gt;"",J491,IF(I491&lt;&gt;"",I491,""))</f>
        <v/>
      </c>
      <c r="W491" s="25">
        <f>IF($E491="","",N(O491)+SUMIFS($AF491:$IN491,$AF$4:$IN$4,"SEW_ACT"))</f>
        <v/>
      </c>
      <c r="X491" s="25">
        <f>IF($E491="","",N(P491)+SUMIFS($AF491:$IN491,$AF$4:$IN$4,"WASH_ACT"))</f>
        <v/>
      </c>
      <c r="Y491" s="25">
        <f>IF($E491="","",W491-X491-N(T491)-N(U491))</f>
        <v/>
      </c>
      <c r="Z491" s="25">
        <f>IF($E491="","",IF(N(K491)-X491&lt;=0.02*N(K491),0,N(K491)-X491))</f>
        <v/>
      </c>
      <c r="AA491" s="24">
        <f>IF($E491="","",IF(S491&lt;&gt;"",S491,IF(N(O491)&gt;0,IF(L491&lt;&gt;"",L491,99999),IFERROR(1/(1/_xlfn.MINIFS($AF$3:$IN$3,$AF$4:$IN$4,"SEW_ACT",$AF491:$IN491,"&gt;0")),99999))))</f>
        <v/>
      </c>
      <c r="AB491" s="26">
        <f>IF(OR($E491="",Z491=0,V491=""),"",1+COUNTIFS(Z$8:Z$707,"&gt;0",V$8:V$707,"&lt;"&amp;V491)+COUNTIFS(Z$8:Z$707,"&gt;0",V$8:V$707,V491,AA$8:AA$707,"&lt;"&amp;AA491)+COUNTIFS(Z$8:Z$707,"&gt;0",V$8:V$707,V491,AA$8:AA$707,AA491,E$8:E$707,"&lt;"&amp;$E491))</f>
        <v/>
      </c>
      <c r="AC491" s="24">
        <f>IF(OR($E491="",Z491=0),"",IFERROR(TODAY()+ROUNDUP(Z491/(SUMIFS($AF491:$IN491,$AF$4:$IN$4,"WASH_ACT")/COUNTIFS($AF$4:$IN$4,"WASH_ACT",$AF491:$IN491,"&gt;0")),0),"no output yet"))</f>
        <v/>
      </c>
      <c r="AD491" s="26">
        <f>IF($E491="","",IFERROR(ROUND(MAX(0,SUMIFS($AF491:$IN491,$AF$4:$IN$4,"SEW_PLAN",$AF$3:$IN$3,"&lt;="&amp;TODAY())-SUMIFS($AF491:$IN491,$AF$4:$IN$4,"SEW_ACT",$AF$3:$IN$3,"&lt;="&amp;TODAY())+N(Q491))/(SUMIFS($AF491:$IN491,$AF$4:$IN$4,"SEW_PLAN")/COUNTIFS($AF$4:$IN$4,"SEW_PLAN",$AF491:$IN491,"&gt;0")),1),0))</f>
        <v/>
      </c>
      <c r="AE491" s="26">
        <f>IF($E491="","",IF(AND(Z491&gt;0,OR(AND(M491&lt;&gt;"",TODAY()&gt;M491),AND(V491&lt;&gt;"",V491-TODAY()&lt;=7))),"Yes","No"))</f>
        <v/>
      </c>
      <c r="AH491">
        <f>IF(OR(AF$3="",AF$3&gt;TODAY()),"",IF(AND(AF491="",AG491=""),"",N(AG491)-N(AF491)))</f>
        <v/>
      </c>
      <c r="AK491">
        <f>IF(OR(AF$3="",AF$3&gt;TODAY()),"",IF(AND(AI491="",AJ491=""),"",N(AJ491)-N(AI491)))</f>
        <v/>
      </c>
      <c r="AO491">
        <f>IF(OR(AM$3="",AM$3&gt;TODAY()),"",IF(AND(AM491="",AN491=""),"",N(AN491)-N(AM491)))</f>
        <v/>
      </c>
      <c r="AR491">
        <f>IF(OR(AM$3="",AM$3&gt;TODAY()),"",IF(AND(AP491="",AQ491=""),"",N(AQ491)-N(AP491)))</f>
        <v/>
      </c>
      <c r="AV491">
        <f>IF(OR(AT$3="",AT$3&gt;TODAY()),"",IF(AND(AT491="",AU491=""),"",N(AU491)-N(AT491)))</f>
        <v/>
      </c>
      <c r="AY491">
        <f>IF(OR(AT$3="",AT$3&gt;TODAY()),"",IF(AND(AW491="",AX491=""),"",N(AX491)-N(AW491)))</f>
        <v/>
      </c>
      <c r="BC491">
        <f>IF(OR(BA$3="",BA$3&gt;TODAY()),"",IF(AND(BA491="",BB491=""),"",N(BB491)-N(BA491)))</f>
        <v/>
      </c>
      <c r="BF491">
        <f>IF(OR(BA$3="",BA$3&gt;TODAY()),"",IF(AND(BD491="",BE491=""),"",N(BE491)-N(BD491)))</f>
        <v/>
      </c>
      <c r="BJ491">
        <f>IF(OR(BH$3="",BH$3&gt;TODAY()),"",IF(AND(BH491="",BI491=""),"",N(BI491)-N(BH491)))</f>
        <v/>
      </c>
      <c r="BM491">
        <f>IF(OR(BH$3="",BH$3&gt;TODAY()),"",IF(AND(BK491="",BL491=""),"",N(BL491)-N(BK491)))</f>
        <v/>
      </c>
      <c r="BQ491">
        <f>IF(OR(BO$3="",BO$3&gt;TODAY()),"",IF(AND(BO491="",BP491=""),"",N(BP491)-N(BO491)))</f>
        <v/>
      </c>
      <c r="BT491">
        <f>IF(OR(BO$3="",BO$3&gt;TODAY()),"",IF(AND(BR491="",BS491=""),"",N(BS491)-N(BR491)))</f>
        <v/>
      </c>
      <c r="BX491">
        <f>IF(OR(BV$3="",BV$3&gt;TODAY()),"",IF(AND(BV491="",BW491=""),"",N(BW491)-N(BV491)))</f>
        <v/>
      </c>
      <c r="CA491">
        <f>IF(OR(BV$3="",BV$3&gt;TODAY()),"",IF(AND(BY491="",BZ491=""),"",N(BZ491)-N(BY491)))</f>
        <v/>
      </c>
      <c r="CE491">
        <f>IF(OR(CC$3="",CC$3&gt;TODAY()),"",IF(AND(CC491="",CD491=""),"",N(CD491)-N(CC491)))</f>
        <v/>
      </c>
      <c r="CH491">
        <f>IF(OR(CC$3="",CC$3&gt;TODAY()),"",IF(AND(CF491="",CG491=""),"",N(CG491)-N(CF491)))</f>
        <v/>
      </c>
      <c r="CL491">
        <f>IF(OR(CJ$3="",CJ$3&gt;TODAY()),"",IF(AND(CJ491="",CK491=""),"",N(CK491)-N(CJ491)))</f>
        <v/>
      </c>
      <c r="CO491">
        <f>IF(OR(CJ$3="",CJ$3&gt;TODAY()),"",IF(AND(CM491="",CN491=""),"",N(CN491)-N(CM491)))</f>
        <v/>
      </c>
      <c r="CS491">
        <f>IF(OR(CQ$3="",CQ$3&gt;TODAY()),"",IF(AND(CQ491="",CR491=""),"",N(CR491)-N(CQ491)))</f>
        <v/>
      </c>
      <c r="CV491">
        <f>IF(OR(CQ$3="",CQ$3&gt;TODAY()),"",IF(AND(CT491="",CU491=""),"",N(CU491)-N(CT491)))</f>
        <v/>
      </c>
      <c r="CZ491">
        <f>IF(OR(CX$3="",CX$3&gt;TODAY()),"",IF(AND(CX491="",CY491=""),"",N(CY491)-N(CX491)))</f>
        <v/>
      </c>
      <c r="DC491">
        <f>IF(OR(CX$3="",CX$3&gt;TODAY()),"",IF(AND(DA491="",DB491=""),"",N(DB491)-N(DA491)))</f>
        <v/>
      </c>
      <c r="DG491">
        <f>IF(OR(DE$3="",DE$3&gt;TODAY()),"",IF(AND(DE491="",DF491=""),"",N(DF491)-N(DE491)))</f>
        <v/>
      </c>
      <c r="DJ491">
        <f>IF(OR(DE$3="",DE$3&gt;TODAY()),"",IF(AND(DH491="",DI491=""),"",N(DI491)-N(DH491)))</f>
        <v/>
      </c>
      <c r="DN491">
        <f>IF(OR(DL$3="",DL$3&gt;TODAY()),"",IF(AND(DL491="",DM491=""),"",N(DM491)-N(DL491)))</f>
        <v/>
      </c>
      <c r="DQ491">
        <f>IF(OR(DL$3="",DL$3&gt;TODAY()),"",IF(AND(DO491="",DP491=""),"",N(DP491)-N(DO491)))</f>
        <v/>
      </c>
      <c r="DU491">
        <f>IF(OR(DS$3="",DS$3&gt;TODAY()),"",IF(AND(DS491="",DT491=""),"",N(DT491)-N(DS491)))</f>
        <v/>
      </c>
      <c r="DX491">
        <f>IF(OR(DS$3="",DS$3&gt;TODAY()),"",IF(AND(DV491="",DW491=""),"",N(DW491)-N(DV491)))</f>
        <v/>
      </c>
      <c r="EB491">
        <f>IF(OR(DZ$3="",DZ$3&gt;TODAY()),"",IF(AND(DZ491="",EA491=""),"",N(EA491)-N(DZ491)))</f>
        <v/>
      </c>
      <c r="EE491">
        <f>IF(OR(DZ$3="",DZ$3&gt;TODAY()),"",IF(AND(EC491="",ED491=""),"",N(ED491)-N(EC491)))</f>
        <v/>
      </c>
      <c r="EI491">
        <f>IF(OR(EG$3="",EG$3&gt;TODAY()),"",IF(AND(EG491="",EH491=""),"",N(EH491)-N(EG491)))</f>
        <v/>
      </c>
      <c r="EL491">
        <f>IF(OR(EG$3="",EG$3&gt;TODAY()),"",IF(AND(EJ491="",EK491=""),"",N(EK491)-N(EJ491)))</f>
        <v/>
      </c>
      <c r="EP491">
        <f>IF(OR(EN$3="",EN$3&gt;TODAY()),"",IF(AND(EN491="",EO491=""),"",N(EO491)-N(EN491)))</f>
        <v/>
      </c>
      <c r="ES491">
        <f>IF(OR(EN$3="",EN$3&gt;TODAY()),"",IF(AND(EQ491="",ER491=""),"",N(ER491)-N(EQ491)))</f>
        <v/>
      </c>
      <c r="EW491">
        <f>IF(OR(EU$3="",EU$3&gt;TODAY()),"",IF(AND(EU491="",EV491=""),"",N(EV491)-N(EU491)))</f>
        <v/>
      </c>
      <c r="EZ491">
        <f>IF(OR(EU$3="",EU$3&gt;TODAY()),"",IF(AND(EX491="",EY491=""),"",N(EY491)-N(EX491)))</f>
        <v/>
      </c>
      <c r="FD491">
        <f>IF(OR(FB$3="",FB$3&gt;TODAY()),"",IF(AND(FB491="",FC491=""),"",N(FC491)-N(FB491)))</f>
        <v/>
      </c>
      <c r="FG491">
        <f>IF(OR(FB$3="",FB$3&gt;TODAY()),"",IF(AND(FE491="",FF491=""),"",N(FF491)-N(FE491)))</f>
        <v/>
      </c>
      <c r="FK491">
        <f>IF(OR(FI$3="",FI$3&gt;TODAY()),"",IF(AND(FI491="",FJ491=""),"",N(FJ491)-N(FI491)))</f>
        <v/>
      </c>
      <c r="FN491">
        <f>IF(OR(FI$3="",FI$3&gt;TODAY()),"",IF(AND(FL491="",FM491=""),"",N(FM491)-N(FL491)))</f>
        <v/>
      </c>
      <c r="FR491">
        <f>IF(OR(FP$3="",FP$3&gt;TODAY()),"",IF(AND(FP491="",FQ491=""),"",N(FQ491)-N(FP491)))</f>
        <v/>
      </c>
      <c r="FU491">
        <f>IF(OR(FP$3="",FP$3&gt;TODAY()),"",IF(AND(FS491="",FT491=""),"",N(FT491)-N(FS491)))</f>
        <v/>
      </c>
      <c r="FY491">
        <f>IF(OR(FW$3="",FW$3&gt;TODAY()),"",IF(AND(FW491="",FX491=""),"",N(FX491)-N(FW491)))</f>
        <v/>
      </c>
      <c r="GB491">
        <f>IF(OR(FW$3="",FW$3&gt;TODAY()),"",IF(AND(FZ491="",GA491=""),"",N(GA491)-N(FZ491)))</f>
        <v/>
      </c>
      <c r="GF491">
        <f>IF(OR(GD$3="",GD$3&gt;TODAY()),"",IF(AND(GD491="",GE491=""),"",N(GE491)-N(GD491)))</f>
        <v/>
      </c>
      <c r="GI491">
        <f>IF(OR(GD$3="",GD$3&gt;TODAY()),"",IF(AND(GG491="",GH491=""),"",N(GH491)-N(GG491)))</f>
        <v/>
      </c>
      <c r="GM491">
        <f>IF(OR(GK$3="",GK$3&gt;TODAY()),"",IF(AND(GK491="",GL491=""),"",N(GL491)-N(GK491)))</f>
        <v/>
      </c>
      <c r="GP491">
        <f>IF(OR(GK$3="",GK$3&gt;TODAY()),"",IF(AND(GN491="",GO491=""),"",N(GO491)-N(GN491)))</f>
        <v/>
      </c>
      <c r="GT491">
        <f>IF(OR(GR$3="",GR$3&gt;TODAY()),"",IF(AND(GR491="",GS491=""),"",N(GS491)-N(GR491)))</f>
        <v/>
      </c>
      <c r="GW491">
        <f>IF(OR(GR$3="",GR$3&gt;TODAY()),"",IF(AND(GU491="",GV491=""),"",N(GV491)-N(GU491)))</f>
        <v/>
      </c>
      <c r="HA491">
        <f>IF(OR(GY$3="",GY$3&gt;TODAY()),"",IF(AND(GY491="",GZ491=""),"",N(GZ491)-N(GY491)))</f>
        <v/>
      </c>
      <c r="HD491">
        <f>IF(OR(GY$3="",GY$3&gt;TODAY()),"",IF(AND(HB491="",HC491=""),"",N(HC491)-N(HB491)))</f>
        <v/>
      </c>
      <c r="HH491">
        <f>IF(OR(HF$3="",HF$3&gt;TODAY()),"",IF(AND(HF491="",HG491=""),"",N(HG491)-N(HF491)))</f>
        <v/>
      </c>
      <c r="HK491">
        <f>IF(OR(HF$3="",HF$3&gt;TODAY()),"",IF(AND(HI491="",HJ491=""),"",N(HJ491)-N(HI491)))</f>
        <v/>
      </c>
      <c r="HO491">
        <f>IF(OR(HM$3="",HM$3&gt;TODAY()),"",IF(AND(HM491="",HN491=""),"",N(HN491)-N(HM491)))</f>
        <v/>
      </c>
      <c r="HR491">
        <f>IF(OR(HM$3="",HM$3&gt;TODAY()),"",IF(AND(HP491="",HQ491=""),"",N(HQ491)-N(HP491)))</f>
        <v/>
      </c>
      <c r="HV491">
        <f>IF(OR(HT$3="",HT$3&gt;TODAY()),"",IF(AND(HT491="",HU491=""),"",N(HU491)-N(HT491)))</f>
        <v/>
      </c>
      <c r="HY491">
        <f>IF(OR(HT$3="",HT$3&gt;TODAY()),"",IF(AND(HW491="",HX491=""),"",N(HX491)-N(HW491)))</f>
        <v/>
      </c>
      <c r="IC491">
        <f>IF(OR(IA$3="",IA$3&gt;TODAY()),"",IF(AND(IA491="",IB491=""),"",N(IB491)-N(IA491)))</f>
        <v/>
      </c>
      <c r="IF491">
        <f>IF(OR(IA$3="",IA$3&gt;TODAY()),"",IF(AND(ID491="",IE491=""),"",N(IE491)-N(ID491)))</f>
        <v/>
      </c>
      <c r="IJ491">
        <f>IF(OR(IH$3="",IH$3&gt;TODAY()),"",IF(AND(IH491="",II491=""),"",N(II491)-N(IH491)))</f>
        <v/>
      </c>
      <c r="IM491">
        <f>IF(OR(IH$3="",IH$3&gt;TODAY()),"",IF(AND(IK491="",IL491=""),"",N(IL491)-N(IK491)))</f>
        <v/>
      </c>
    </row>
    <row r="492">
      <c r="A492" s="21" t="n"/>
      <c r="B492" s="21" t="n"/>
      <c r="C492" s="21" t="n"/>
      <c r="D492" s="21" t="n"/>
      <c r="E492" s="21" t="n"/>
      <c r="F492" s="21" t="n"/>
      <c r="G492" s="21" t="n"/>
      <c r="H492" s="21" t="n"/>
      <c r="I492" s="22" t="n"/>
      <c r="J492" s="22" t="n"/>
      <c r="K492" s="23" t="n"/>
      <c r="L492" s="22" t="n"/>
      <c r="M492" s="22" t="n"/>
      <c r="N492" s="21" t="n"/>
      <c r="O492" s="23" t="n"/>
      <c r="P492" s="23" t="n"/>
      <c r="Q492" s="23" t="n"/>
      <c r="R492" s="23" t="n"/>
      <c r="S492" s="22" t="n"/>
      <c r="T492" s="23" t="n"/>
      <c r="U492" s="23" t="n"/>
      <c r="V492" s="24">
        <f>IF(J492&lt;&gt;"",J492,IF(I492&lt;&gt;"",I492,""))</f>
        <v/>
      </c>
      <c r="W492" s="25">
        <f>IF($E492="","",N(O492)+SUMIFS($AF492:$IN492,$AF$4:$IN$4,"SEW_ACT"))</f>
        <v/>
      </c>
      <c r="X492" s="25">
        <f>IF($E492="","",N(P492)+SUMIFS($AF492:$IN492,$AF$4:$IN$4,"WASH_ACT"))</f>
        <v/>
      </c>
      <c r="Y492" s="25">
        <f>IF($E492="","",W492-X492-N(T492)-N(U492))</f>
        <v/>
      </c>
      <c r="Z492" s="25">
        <f>IF($E492="","",IF(N(K492)-X492&lt;=0.02*N(K492),0,N(K492)-X492))</f>
        <v/>
      </c>
      <c r="AA492" s="24">
        <f>IF($E492="","",IF(S492&lt;&gt;"",S492,IF(N(O492)&gt;0,IF(L492&lt;&gt;"",L492,99999),IFERROR(1/(1/_xlfn.MINIFS($AF$3:$IN$3,$AF$4:$IN$4,"SEW_ACT",$AF492:$IN492,"&gt;0")),99999))))</f>
        <v/>
      </c>
      <c r="AB492" s="26">
        <f>IF(OR($E492="",Z492=0,V492=""),"",1+COUNTIFS(Z$8:Z$707,"&gt;0",V$8:V$707,"&lt;"&amp;V492)+COUNTIFS(Z$8:Z$707,"&gt;0",V$8:V$707,V492,AA$8:AA$707,"&lt;"&amp;AA492)+COUNTIFS(Z$8:Z$707,"&gt;0",V$8:V$707,V492,AA$8:AA$707,AA492,E$8:E$707,"&lt;"&amp;$E492))</f>
        <v/>
      </c>
      <c r="AC492" s="24">
        <f>IF(OR($E492="",Z492=0),"",IFERROR(TODAY()+ROUNDUP(Z492/(SUMIFS($AF492:$IN492,$AF$4:$IN$4,"WASH_ACT")/COUNTIFS($AF$4:$IN$4,"WASH_ACT",$AF492:$IN492,"&gt;0")),0),"no output yet"))</f>
        <v/>
      </c>
      <c r="AD492" s="26">
        <f>IF($E492="","",IFERROR(ROUND(MAX(0,SUMIFS($AF492:$IN492,$AF$4:$IN$4,"SEW_PLAN",$AF$3:$IN$3,"&lt;="&amp;TODAY())-SUMIFS($AF492:$IN492,$AF$4:$IN$4,"SEW_ACT",$AF$3:$IN$3,"&lt;="&amp;TODAY())+N(Q492))/(SUMIFS($AF492:$IN492,$AF$4:$IN$4,"SEW_PLAN")/COUNTIFS($AF$4:$IN$4,"SEW_PLAN",$AF492:$IN492,"&gt;0")),1),0))</f>
        <v/>
      </c>
      <c r="AE492" s="26">
        <f>IF($E492="","",IF(AND(Z492&gt;0,OR(AND(M492&lt;&gt;"",TODAY()&gt;M492),AND(V492&lt;&gt;"",V492-TODAY()&lt;=7))),"Yes","No"))</f>
        <v/>
      </c>
      <c r="AH492">
        <f>IF(OR(AF$3="",AF$3&gt;TODAY()),"",IF(AND(AF492="",AG492=""),"",N(AG492)-N(AF492)))</f>
        <v/>
      </c>
      <c r="AK492">
        <f>IF(OR(AF$3="",AF$3&gt;TODAY()),"",IF(AND(AI492="",AJ492=""),"",N(AJ492)-N(AI492)))</f>
        <v/>
      </c>
      <c r="AO492">
        <f>IF(OR(AM$3="",AM$3&gt;TODAY()),"",IF(AND(AM492="",AN492=""),"",N(AN492)-N(AM492)))</f>
        <v/>
      </c>
      <c r="AR492">
        <f>IF(OR(AM$3="",AM$3&gt;TODAY()),"",IF(AND(AP492="",AQ492=""),"",N(AQ492)-N(AP492)))</f>
        <v/>
      </c>
      <c r="AV492">
        <f>IF(OR(AT$3="",AT$3&gt;TODAY()),"",IF(AND(AT492="",AU492=""),"",N(AU492)-N(AT492)))</f>
        <v/>
      </c>
      <c r="AY492">
        <f>IF(OR(AT$3="",AT$3&gt;TODAY()),"",IF(AND(AW492="",AX492=""),"",N(AX492)-N(AW492)))</f>
        <v/>
      </c>
      <c r="BC492">
        <f>IF(OR(BA$3="",BA$3&gt;TODAY()),"",IF(AND(BA492="",BB492=""),"",N(BB492)-N(BA492)))</f>
        <v/>
      </c>
      <c r="BF492">
        <f>IF(OR(BA$3="",BA$3&gt;TODAY()),"",IF(AND(BD492="",BE492=""),"",N(BE492)-N(BD492)))</f>
        <v/>
      </c>
      <c r="BJ492">
        <f>IF(OR(BH$3="",BH$3&gt;TODAY()),"",IF(AND(BH492="",BI492=""),"",N(BI492)-N(BH492)))</f>
        <v/>
      </c>
      <c r="BM492">
        <f>IF(OR(BH$3="",BH$3&gt;TODAY()),"",IF(AND(BK492="",BL492=""),"",N(BL492)-N(BK492)))</f>
        <v/>
      </c>
      <c r="BQ492">
        <f>IF(OR(BO$3="",BO$3&gt;TODAY()),"",IF(AND(BO492="",BP492=""),"",N(BP492)-N(BO492)))</f>
        <v/>
      </c>
      <c r="BT492">
        <f>IF(OR(BO$3="",BO$3&gt;TODAY()),"",IF(AND(BR492="",BS492=""),"",N(BS492)-N(BR492)))</f>
        <v/>
      </c>
      <c r="BX492">
        <f>IF(OR(BV$3="",BV$3&gt;TODAY()),"",IF(AND(BV492="",BW492=""),"",N(BW492)-N(BV492)))</f>
        <v/>
      </c>
      <c r="CA492">
        <f>IF(OR(BV$3="",BV$3&gt;TODAY()),"",IF(AND(BY492="",BZ492=""),"",N(BZ492)-N(BY492)))</f>
        <v/>
      </c>
      <c r="CE492">
        <f>IF(OR(CC$3="",CC$3&gt;TODAY()),"",IF(AND(CC492="",CD492=""),"",N(CD492)-N(CC492)))</f>
        <v/>
      </c>
      <c r="CH492">
        <f>IF(OR(CC$3="",CC$3&gt;TODAY()),"",IF(AND(CF492="",CG492=""),"",N(CG492)-N(CF492)))</f>
        <v/>
      </c>
      <c r="CL492">
        <f>IF(OR(CJ$3="",CJ$3&gt;TODAY()),"",IF(AND(CJ492="",CK492=""),"",N(CK492)-N(CJ492)))</f>
        <v/>
      </c>
      <c r="CO492">
        <f>IF(OR(CJ$3="",CJ$3&gt;TODAY()),"",IF(AND(CM492="",CN492=""),"",N(CN492)-N(CM492)))</f>
        <v/>
      </c>
      <c r="CS492">
        <f>IF(OR(CQ$3="",CQ$3&gt;TODAY()),"",IF(AND(CQ492="",CR492=""),"",N(CR492)-N(CQ492)))</f>
        <v/>
      </c>
      <c r="CV492">
        <f>IF(OR(CQ$3="",CQ$3&gt;TODAY()),"",IF(AND(CT492="",CU492=""),"",N(CU492)-N(CT492)))</f>
        <v/>
      </c>
      <c r="CZ492">
        <f>IF(OR(CX$3="",CX$3&gt;TODAY()),"",IF(AND(CX492="",CY492=""),"",N(CY492)-N(CX492)))</f>
        <v/>
      </c>
      <c r="DC492">
        <f>IF(OR(CX$3="",CX$3&gt;TODAY()),"",IF(AND(DA492="",DB492=""),"",N(DB492)-N(DA492)))</f>
        <v/>
      </c>
      <c r="DG492">
        <f>IF(OR(DE$3="",DE$3&gt;TODAY()),"",IF(AND(DE492="",DF492=""),"",N(DF492)-N(DE492)))</f>
        <v/>
      </c>
      <c r="DJ492">
        <f>IF(OR(DE$3="",DE$3&gt;TODAY()),"",IF(AND(DH492="",DI492=""),"",N(DI492)-N(DH492)))</f>
        <v/>
      </c>
      <c r="DN492">
        <f>IF(OR(DL$3="",DL$3&gt;TODAY()),"",IF(AND(DL492="",DM492=""),"",N(DM492)-N(DL492)))</f>
        <v/>
      </c>
      <c r="DQ492">
        <f>IF(OR(DL$3="",DL$3&gt;TODAY()),"",IF(AND(DO492="",DP492=""),"",N(DP492)-N(DO492)))</f>
        <v/>
      </c>
      <c r="DU492">
        <f>IF(OR(DS$3="",DS$3&gt;TODAY()),"",IF(AND(DS492="",DT492=""),"",N(DT492)-N(DS492)))</f>
        <v/>
      </c>
      <c r="DX492">
        <f>IF(OR(DS$3="",DS$3&gt;TODAY()),"",IF(AND(DV492="",DW492=""),"",N(DW492)-N(DV492)))</f>
        <v/>
      </c>
      <c r="EB492">
        <f>IF(OR(DZ$3="",DZ$3&gt;TODAY()),"",IF(AND(DZ492="",EA492=""),"",N(EA492)-N(DZ492)))</f>
        <v/>
      </c>
      <c r="EE492">
        <f>IF(OR(DZ$3="",DZ$3&gt;TODAY()),"",IF(AND(EC492="",ED492=""),"",N(ED492)-N(EC492)))</f>
        <v/>
      </c>
      <c r="EI492">
        <f>IF(OR(EG$3="",EG$3&gt;TODAY()),"",IF(AND(EG492="",EH492=""),"",N(EH492)-N(EG492)))</f>
        <v/>
      </c>
      <c r="EL492">
        <f>IF(OR(EG$3="",EG$3&gt;TODAY()),"",IF(AND(EJ492="",EK492=""),"",N(EK492)-N(EJ492)))</f>
        <v/>
      </c>
      <c r="EP492">
        <f>IF(OR(EN$3="",EN$3&gt;TODAY()),"",IF(AND(EN492="",EO492=""),"",N(EO492)-N(EN492)))</f>
        <v/>
      </c>
      <c r="ES492">
        <f>IF(OR(EN$3="",EN$3&gt;TODAY()),"",IF(AND(EQ492="",ER492=""),"",N(ER492)-N(EQ492)))</f>
        <v/>
      </c>
      <c r="EW492">
        <f>IF(OR(EU$3="",EU$3&gt;TODAY()),"",IF(AND(EU492="",EV492=""),"",N(EV492)-N(EU492)))</f>
        <v/>
      </c>
      <c r="EZ492">
        <f>IF(OR(EU$3="",EU$3&gt;TODAY()),"",IF(AND(EX492="",EY492=""),"",N(EY492)-N(EX492)))</f>
        <v/>
      </c>
      <c r="FD492">
        <f>IF(OR(FB$3="",FB$3&gt;TODAY()),"",IF(AND(FB492="",FC492=""),"",N(FC492)-N(FB492)))</f>
        <v/>
      </c>
      <c r="FG492">
        <f>IF(OR(FB$3="",FB$3&gt;TODAY()),"",IF(AND(FE492="",FF492=""),"",N(FF492)-N(FE492)))</f>
        <v/>
      </c>
      <c r="FK492">
        <f>IF(OR(FI$3="",FI$3&gt;TODAY()),"",IF(AND(FI492="",FJ492=""),"",N(FJ492)-N(FI492)))</f>
        <v/>
      </c>
      <c r="FN492">
        <f>IF(OR(FI$3="",FI$3&gt;TODAY()),"",IF(AND(FL492="",FM492=""),"",N(FM492)-N(FL492)))</f>
        <v/>
      </c>
      <c r="FR492">
        <f>IF(OR(FP$3="",FP$3&gt;TODAY()),"",IF(AND(FP492="",FQ492=""),"",N(FQ492)-N(FP492)))</f>
        <v/>
      </c>
      <c r="FU492">
        <f>IF(OR(FP$3="",FP$3&gt;TODAY()),"",IF(AND(FS492="",FT492=""),"",N(FT492)-N(FS492)))</f>
        <v/>
      </c>
      <c r="FY492">
        <f>IF(OR(FW$3="",FW$3&gt;TODAY()),"",IF(AND(FW492="",FX492=""),"",N(FX492)-N(FW492)))</f>
        <v/>
      </c>
      <c r="GB492">
        <f>IF(OR(FW$3="",FW$3&gt;TODAY()),"",IF(AND(FZ492="",GA492=""),"",N(GA492)-N(FZ492)))</f>
        <v/>
      </c>
      <c r="GF492">
        <f>IF(OR(GD$3="",GD$3&gt;TODAY()),"",IF(AND(GD492="",GE492=""),"",N(GE492)-N(GD492)))</f>
        <v/>
      </c>
      <c r="GI492">
        <f>IF(OR(GD$3="",GD$3&gt;TODAY()),"",IF(AND(GG492="",GH492=""),"",N(GH492)-N(GG492)))</f>
        <v/>
      </c>
      <c r="GM492">
        <f>IF(OR(GK$3="",GK$3&gt;TODAY()),"",IF(AND(GK492="",GL492=""),"",N(GL492)-N(GK492)))</f>
        <v/>
      </c>
      <c r="GP492">
        <f>IF(OR(GK$3="",GK$3&gt;TODAY()),"",IF(AND(GN492="",GO492=""),"",N(GO492)-N(GN492)))</f>
        <v/>
      </c>
      <c r="GT492">
        <f>IF(OR(GR$3="",GR$3&gt;TODAY()),"",IF(AND(GR492="",GS492=""),"",N(GS492)-N(GR492)))</f>
        <v/>
      </c>
      <c r="GW492">
        <f>IF(OR(GR$3="",GR$3&gt;TODAY()),"",IF(AND(GU492="",GV492=""),"",N(GV492)-N(GU492)))</f>
        <v/>
      </c>
      <c r="HA492">
        <f>IF(OR(GY$3="",GY$3&gt;TODAY()),"",IF(AND(GY492="",GZ492=""),"",N(GZ492)-N(GY492)))</f>
        <v/>
      </c>
      <c r="HD492">
        <f>IF(OR(GY$3="",GY$3&gt;TODAY()),"",IF(AND(HB492="",HC492=""),"",N(HC492)-N(HB492)))</f>
        <v/>
      </c>
      <c r="HH492">
        <f>IF(OR(HF$3="",HF$3&gt;TODAY()),"",IF(AND(HF492="",HG492=""),"",N(HG492)-N(HF492)))</f>
        <v/>
      </c>
      <c r="HK492">
        <f>IF(OR(HF$3="",HF$3&gt;TODAY()),"",IF(AND(HI492="",HJ492=""),"",N(HJ492)-N(HI492)))</f>
        <v/>
      </c>
      <c r="HO492">
        <f>IF(OR(HM$3="",HM$3&gt;TODAY()),"",IF(AND(HM492="",HN492=""),"",N(HN492)-N(HM492)))</f>
        <v/>
      </c>
      <c r="HR492">
        <f>IF(OR(HM$3="",HM$3&gt;TODAY()),"",IF(AND(HP492="",HQ492=""),"",N(HQ492)-N(HP492)))</f>
        <v/>
      </c>
      <c r="HV492">
        <f>IF(OR(HT$3="",HT$3&gt;TODAY()),"",IF(AND(HT492="",HU492=""),"",N(HU492)-N(HT492)))</f>
        <v/>
      </c>
      <c r="HY492">
        <f>IF(OR(HT$3="",HT$3&gt;TODAY()),"",IF(AND(HW492="",HX492=""),"",N(HX492)-N(HW492)))</f>
        <v/>
      </c>
      <c r="IC492">
        <f>IF(OR(IA$3="",IA$3&gt;TODAY()),"",IF(AND(IA492="",IB492=""),"",N(IB492)-N(IA492)))</f>
        <v/>
      </c>
      <c r="IF492">
        <f>IF(OR(IA$3="",IA$3&gt;TODAY()),"",IF(AND(ID492="",IE492=""),"",N(IE492)-N(ID492)))</f>
        <v/>
      </c>
      <c r="IJ492">
        <f>IF(OR(IH$3="",IH$3&gt;TODAY()),"",IF(AND(IH492="",II492=""),"",N(II492)-N(IH492)))</f>
        <v/>
      </c>
      <c r="IM492">
        <f>IF(OR(IH$3="",IH$3&gt;TODAY()),"",IF(AND(IK492="",IL492=""),"",N(IL492)-N(IK492)))</f>
        <v/>
      </c>
    </row>
    <row r="493">
      <c r="A493" s="21" t="n"/>
      <c r="B493" s="21" t="n"/>
      <c r="C493" s="21" t="n"/>
      <c r="D493" s="21" t="n"/>
      <c r="E493" s="21" t="n"/>
      <c r="F493" s="21" t="n"/>
      <c r="G493" s="21" t="n"/>
      <c r="H493" s="21" t="n"/>
      <c r="I493" s="22" t="n"/>
      <c r="J493" s="22" t="n"/>
      <c r="K493" s="23" t="n"/>
      <c r="L493" s="22" t="n"/>
      <c r="M493" s="22" t="n"/>
      <c r="N493" s="21" t="n"/>
      <c r="O493" s="23" t="n"/>
      <c r="P493" s="23" t="n"/>
      <c r="Q493" s="23" t="n"/>
      <c r="R493" s="23" t="n"/>
      <c r="S493" s="22" t="n"/>
      <c r="T493" s="23" t="n"/>
      <c r="U493" s="23" t="n"/>
      <c r="V493" s="24">
        <f>IF(J493&lt;&gt;"",J493,IF(I493&lt;&gt;"",I493,""))</f>
        <v/>
      </c>
      <c r="W493" s="25">
        <f>IF($E493="","",N(O493)+SUMIFS($AF493:$IN493,$AF$4:$IN$4,"SEW_ACT"))</f>
        <v/>
      </c>
      <c r="X493" s="25">
        <f>IF($E493="","",N(P493)+SUMIFS($AF493:$IN493,$AF$4:$IN$4,"WASH_ACT"))</f>
        <v/>
      </c>
      <c r="Y493" s="25">
        <f>IF($E493="","",W493-X493-N(T493)-N(U493))</f>
        <v/>
      </c>
      <c r="Z493" s="25">
        <f>IF($E493="","",IF(N(K493)-X493&lt;=0.02*N(K493),0,N(K493)-X493))</f>
        <v/>
      </c>
      <c r="AA493" s="24">
        <f>IF($E493="","",IF(S493&lt;&gt;"",S493,IF(N(O493)&gt;0,IF(L493&lt;&gt;"",L493,99999),IFERROR(1/(1/_xlfn.MINIFS($AF$3:$IN$3,$AF$4:$IN$4,"SEW_ACT",$AF493:$IN493,"&gt;0")),99999))))</f>
        <v/>
      </c>
      <c r="AB493" s="26">
        <f>IF(OR($E493="",Z493=0,V493=""),"",1+COUNTIFS(Z$8:Z$707,"&gt;0",V$8:V$707,"&lt;"&amp;V493)+COUNTIFS(Z$8:Z$707,"&gt;0",V$8:V$707,V493,AA$8:AA$707,"&lt;"&amp;AA493)+COUNTIFS(Z$8:Z$707,"&gt;0",V$8:V$707,V493,AA$8:AA$707,AA493,E$8:E$707,"&lt;"&amp;$E493))</f>
        <v/>
      </c>
      <c r="AC493" s="24">
        <f>IF(OR($E493="",Z493=0),"",IFERROR(TODAY()+ROUNDUP(Z493/(SUMIFS($AF493:$IN493,$AF$4:$IN$4,"WASH_ACT")/COUNTIFS($AF$4:$IN$4,"WASH_ACT",$AF493:$IN493,"&gt;0")),0),"no output yet"))</f>
        <v/>
      </c>
      <c r="AD493" s="26">
        <f>IF($E493="","",IFERROR(ROUND(MAX(0,SUMIFS($AF493:$IN493,$AF$4:$IN$4,"SEW_PLAN",$AF$3:$IN$3,"&lt;="&amp;TODAY())-SUMIFS($AF493:$IN493,$AF$4:$IN$4,"SEW_ACT",$AF$3:$IN$3,"&lt;="&amp;TODAY())+N(Q493))/(SUMIFS($AF493:$IN493,$AF$4:$IN$4,"SEW_PLAN")/COUNTIFS($AF$4:$IN$4,"SEW_PLAN",$AF493:$IN493,"&gt;0")),1),0))</f>
        <v/>
      </c>
      <c r="AE493" s="26">
        <f>IF($E493="","",IF(AND(Z493&gt;0,OR(AND(M493&lt;&gt;"",TODAY()&gt;M493),AND(V493&lt;&gt;"",V493-TODAY()&lt;=7))),"Yes","No"))</f>
        <v/>
      </c>
      <c r="AH493">
        <f>IF(OR(AF$3="",AF$3&gt;TODAY()),"",IF(AND(AF493="",AG493=""),"",N(AG493)-N(AF493)))</f>
        <v/>
      </c>
      <c r="AK493">
        <f>IF(OR(AF$3="",AF$3&gt;TODAY()),"",IF(AND(AI493="",AJ493=""),"",N(AJ493)-N(AI493)))</f>
        <v/>
      </c>
      <c r="AO493">
        <f>IF(OR(AM$3="",AM$3&gt;TODAY()),"",IF(AND(AM493="",AN493=""),"",N(AN493)-N(AM493)))</f>
        <v/>
      </c>
      <c r="AR493">
        <f>IF(OR(AM$3="",AM$3&gt;TODAY()),"",IF(AND(AP493="",AQ493=""),"",N(AQ493)-N(AP493)))</f>
        <v/>
      </c>
      <c r="AV493">
        <f>IF(OR(AT$3="",AT$3&gt;TODAY()),"",IF(AND(AT493="",AU493=""),"",N(AU493)-N(AT493)))</f>
        <v/>
      </c>
      <c r="AY493">
        <f>IF(OR(AT$3="",AT$3&gt;TODAY()),"",IF(AND(AW493="",AX493=""),"",N(AX493)-N(AW493)))</f>
        <v/>
      </c>
      <c r="BC493">
        <f>IF(OR(BA$3="",BA$3&gt;TODAY()),"",IF(AND(BA493="",BB493=""),"",N(BB493)-N(BA493)))</f>
        <v/>
      </c>
      <c r="BF493">
        <f>IF(OR(BA$3="",BA$3&gt;TODAY()),"",IF(AND(BD493="",BE493=""),"",N(BE493)-N(BD493)))</f>
        <v/>
      </c>
      <c r="BJ493">
        <f>IF(OR(BH$3="",BH$3&gt;TODAY()),"",IF(AND(BH493="",BI493=""),"",N(BI493)-N(BH493)))</f>
        <v/>
      </c>
      <c r="BM493">
        <f>IF(OR(BH$3="",BH$3&gt;TODAY()),"",IF(AND(BK493="",BL493=""),"",N(BL493)-N(BK493)))</f>
        <v/>
      </c>
      <c r="BQ493">
        <f>IF(OR(BO$3="",BO$3&gt;TODAY()),"",IF(AND(BO493="",BP493=""),"",N(BP493)-N(BO493)))</f>
        <v/>
      </c>
      <c r="BT493">
        <f>IF(OR(BO$3="",BO$3&gt;TODAY()),"",IF(AND(BR493="",BS493=""),"",N(BS493)-N(BR493)))</f>
        <v/>
      </c>
      <c r="BX493">
        <f>IF(OR(BV$3="",BV$3&gt;TODAY()),"",IF(AND(BV493="",BW493=""),"",N(BW493)-N(BV493)))</f>
        <v/>
      </c>
      <c r="CA493">
        <f>IF(OR(BV$3="",BV$3&gt;TODAY()),"",IF(AND(BY493="",BZ493=""),"",N(BZ493)-N(BY493)))</f>
        <v/>
      </c>
      <c r="CE493">
        <f>IF(OR(CC$3="",CC$3&gt;TODAY()),"",IF(AND(CC493="",CD493=""),"",N(CD493)-N(CC493)))</f>
        <v/>
      </c>
      <c r="CH493">
        <f>IF(OR(CC$3="",CC$3&gt;TODAY()),"",IF(AND(CF493="",CG493=""),"",N(CG493)-N(CF493)))</f>
        <v/>
      </c>
      <c r="CL493">
        <f>IF(OR(CJ$3="",CJ$3&gt;TODAY()),"",IF(AND(CJ493="",CK493=""),"",N(CK493)-N(CJ493)))</f>
        <v/>
      </c>
      <c r="CO493">
        <f>IF(OR(CJ$3="",CJ$3&gt;TODAY()),"",IF(AND(CM493="",CN493=""),"",N(CN493)-N(CM493)))</f>
        <v/>
      </c>
      <c r="CS493">
        <f>IF(OR(CQ$3="",CQ$3&gt;TODAY()),"",IF(AND(CQ493="",CR493=""),"",N(CR493)-N(CQ493)))</f>
        <v/>
      </c>
      <c r="CV493">
        <f>IF(OR(CQ$3="",CQ$3&gt;TODAY()),"",IF(AND(CT493="",CU493=""),"",N(CU493)-N(CT493)))</f>
        <v/>
      </c>
      <c r="CZ493">
        <f>IF(OR(CX$3="",CX$3&gt;TODAY()),"",IF(AND(CX493="",CY493=""),"",N(CY493)-N(CX493)))</f>
        <v/>
      </c>
      <c r="DC493">
        <f>IF(OR(CX$3="",CX$3&gt;TODAY()),"",IF(AND(DA493="",DB493=""),"",N(DB493)-N(DA493)))</f>
        <v/>
      </c>
      <c r="DG493">
        <f>IF(OR(DE$3="",DE$3&gt;TODAY()),"",IF(AND(DE493="",DF493=""),"",N(DF493)-N(DE493)))</f>
        <v/>
      </c>
      <c r="DJ493">
        <f>IF(OR(DE$3="",DE$3&gt;TODAY()),"",IF(AND(DH493="",DI493=""),"",N(DI493)-N(DH493)))</f>
        <v/>
      </c>
      <c r="DN493">
        <f>IF(OR(DL$3="",DL$3&gt;TODAY()),"",IF(AND(DL493="",DM493=""),"",N(DM493)-N(DL493)))</f>
        <v/>
      </c>
      <c r="DQ493">
        <f>IF(OR(DL$3="",DL$3&gt;TODAY()),"",IF(AND(DO493="",DP493=""),"",N(DP493)-N(DO493)))</f>
        <v/>
      </c>
      <c r="DU493">
        <f>IF(OR(DS$3="",DS$3&gt;TODAY()),"",IF(AND(DS493="",DT493=""),"",N(DT493)-N(DS493)))</f>
        <v/>
      </c>
      <c r="DX493">
        <f>IF(OR(DS$3="",DS$3&gt;TODAY()),"",IF(AND(DV493="",DW493=""),"",N(DW493)-N(DV493)))</f>
        <v/>
      </c>
      <c r="EB493">
        <f>IF(OR(DZ$3="",DZ$3&gt;TODAY()),"",IF(AND(DZ493="",EA493=""),"",N(EA493)-N(DZ493)))</f>
        <v/>
      </c>
      <c r="EE493">
        <f>IF(OR(DZ$3="",DZ$3&gt;TODAY()),"",IF(AND(EC493="",ED493=""),"",N(ED493)-N(EC493)))</f>
        <v/>
      </c>
      <c r="EI493">
        <f>IF(OR(EG$3="",EG$3&gt;TODAY()),"",IF(AND(EG493="",EH493=""),"",N(EH493)-N(EG493)))</f>
        <v/>
      </c>
      <c r="EL493">
        <f>IF(OR(EG$3="",EG$3&gt;TODAY()),"",IF(AND(EJ493="",EK493=""),"",N(EK493)-N(EJ493)))</f>
        <v/>
      </c>
      <c r="EP493">
        <f>IF(OR(EN$3="",EN$3&gt;TODAY()),"",IF(AND(EN493="",EO493=""),"",N(EO493)-N(EN493)))</f>
        <v/>
      </c>
      <c r="ES493">
        <f>IF(OR(EN$3="",EN$3&gt;TODAY()),"",IF(AND(EQ493="",ER493=""),"",N(ER493)-N(EQ493)))</f>
        <v/>
      </c>
      <c r="EW493">
        <f>IF(OR(EU$3="",EU$3&gt;TODAY()),"",IF(AND(EU493="",EV493=""),"",N(EV493)-N(EU493)))</f>
        <v/>
      </c>
      <c r="EZ493">
        <f>IF(OR(EU$3="",EU$3&gt;TODAY()),"",IF(AND(EX493="",EY493=""),"",N(EY493)-N(EX493)))</f>
        <v/>
      </c>
      <c r="FD493">
        <f>IF(OR(FB$3="",FB$3&gt;TODAY()),"",IF(AND(FB493="",FC493=""),"",N(FC493)-N(FB493)))</f>
        <v/>
      </c>
      <c r="FG493">
        <f>IF(OR(FB$3="",FB$3&gt;TODAY()),"",IF(AND(FE493="",FF493=""),"",N(FF493)-N(FE493)))</f>
        <v/>
      </c>
      <c r="FK493">
        <f>IF(OR(FI$3="",FI$3&gt;TODAY()),"",IF(AND(FI493="",FJ493=""),"",N(FJ493)-N(FI493)))</f>
        <v/>
      </c>
      <c r="FN493">
        <f>IF(OR(FI$3="",FI$3&gt;TODAY()),"",IF(AND(FL493="",FM493=""),"",N(FM493)-N(FL493)))</f>
        <v/>
      </c>
      <c r="FR493">
        <f>IF(OR(FP$3="",FP$3&gt;TODAY()),"",IF(AND(FP493="",FQ493=""),"",N(FQ493)-N(FP493)))</f>
        <v/>
      </c>
      <c r="FU493">
        <f>IF(OR(FP$3="",FP$3&gt;TODAY()),"",IF(AND(FS493="",FT493=""),"",N(FT493)-N(FS493)))</f>
        <v/>
      </c>
      <c r="FY493">
        <f>IF(OR(FW$3="",FW$3&gt;TODAY()),"",IF(AND(FW493="",FX493=""),"",N(FX493)-N(FW493)))</f>
        <v/>
      </c>
      <c r="GB493">
        <f>IF(OR(FW$3="",FW$3&gt;TODAY()),"",IF(AND(FZ493="",GA493=""),"",N(GA493)-N(FZ493)))</f>
        <v/>
      </c>
      <c r="GF493">
        <f>IF(OR(GD$3="",GD$3&gt;TODAY()),"",IF(AND(GD493="",GE493=""),"",N(GE493)-N(GD493)))</f>
        <v/>
      </c>
      <c r="GI493">
        <f>IF(OR(GD$3="",GD$3&gt;TODAY()),"",IF(AND(GG493="",GH493=""),"",N(GH493)-N(GG493)))</f>
        <v/>
      </c>
      <c r="GM493">
        <f>IF(OR(GK$3="",GK$3&gt;TODAY()),"",IF(AND(GK493="",GL493=""),"",N(GL493)-N(GK493)))</f>
        <v/>
      </c>
      <c r="GP493">
        <f>IF(OR(GK$3="",GK$3&gt;TODAY()),"",IF(AND(GN493="",GO493=""),"",N(GO493)-N(GN493)))</f>
        <v/>
      </c>
      <c r="GT493">
        <f>IF(OR(GR$3="",GR$3&gt;TODAY()),"",IF(AND(GR493="",GS493=""),"",N(GS493)-N(GR493)))</f>
        <v/>
      </c>
      <c r="GW493">
        <f>IF(OR(GR$3="",GR$3&gt;TODAY()),"",IF(AND(GU493="",GV493=""),"",N(GV493)-N(GU493)))</f>
        <v/>
      </c>
      <c r="HA493">
        <f>IF(OR(GY$3="",GY$3&gt;TODAY()),"",IF(AND(GY493="",GZ493=""),"",N(GZ493)-N(GY493)))</f>
        <v/>
      </c>
      <c r="HD493">
        <f>IF(OR(GY$3="",GY$3&gt;TODAY()),"",IF(AND(HB493="",HC493=""),"",N(HC493)-N(HB493)))</f>
        <v/>
      </c>
      <c r="HH493">
        <f>IF(OR(HF$3="",HF$3&gt;TODAY()),"",IF(AND(HF493="",HG493=""),"",N(HG493)-N(HF493)))</f>
        <v/>
      </c>
      <c r="HK493">
        <f>IF(OR(HF$3="",HF$3&gt;TODAY()),"",IF(AND(HI493="",HJ493=""),"",N(HJ493)-N(HI493)))</f>
        <v/>
      </c>
      <c r="HO493">
        <f>IF(OR(HM$3="",HM$3&gt;TODAY()),"",IF(AND(HM493="",HN493=""),"",N(HN493)-N(HM493)))</f>
        <v/>
      </c>
      <c r="HR493">
        <f>IF(OR(HM$3="",HM$3&gt;TODAY()),"",IF(AND(HP493="",HQ493=""),"",N(HQ493)-N(HP493)))</f>
        <v/>
      </c>
      <c r="HV493">
        <f>IF(OR(HT$3="",HT$3&gt;TODAY()),"",IF(AND(HT493="",HU493=""),"",N(HU493)-N(HT493)))</f>
        <v/>
      </c>
      <c r="HY493">
        <f>IF(OR(HT$3="",HT$3&gt;TODAY()),"",IF(AND(HW493="",HX493=""),"",N(HX493)-N(HW493)))</f>
        <v/>
      </c>
      <c r="IC493">
        <f>IF(OR(IA$3="",IA$3&gt;TODAY()),"",IF(AND(IA493="",IB493=""),"",N(IB493)-N(IA493)))</f>
        <v/>
      </c>
      <c r="IF493">
        <f>IF(OR(IA$3="",IA$3&gt;TODAY()),"",IF(AND(ID493="",IE493=""),"",N(IE493)-N(ID493)))</f>
        <v/>
      </c>
      <c r="IJ493">
        <f>IF(OR(IH$3="",IH$3&gt;TODAY()),"",IF(AND(IH493="",II493=""),"",N(II493)-N(IH493)))</f>
        <v/>
      </c>
      <c r="IM493">
        <f>IF(OR(IH$3="",IH$3&gt;TODAY()),"",IF(AND(IK493="",IL493=""),"",N(IL493)-N(IK493)))</f>
        <v/>
      </c>
    </row>
    <row r="494">
      <c r="A494" s="21" t="n"/>
      <c r="B494" s="21" t="n"/>
      <c r="C494" s="21" t="n"/>
      <c r="D494" s="21" t="n"/>
      <c r="E494" s="21" t="n"/>
      <c r="F494" s="21" t="n"/>
      <c r="G494" s="21" t="n"/>
      <c r="H494" s="21" t="n"/>
      <c r="I494" s="22" t="n"/>
      <c r="J494" s="22" t="n"/>
      <c r="K494" s="23" t="n"/>
      <c r="L494" s="22" t="n"/>
      <c r="M494" s="22" t="n"/>
      <c r="N494" s="21" t="n"/>
      <c r="O494" s="23" t="n"/>
      <c r="P494" s="23" t="n"/>
      <c r="Q494" s="23" t="n"/>
      <c r="R494" s="23" t="n"/>
      <c r="S494" s="22" t="n"/>
      <c r="T494" s="23" t="n"/>
      <c r="U494" s="23" t="n"/>
      <c r="V494" s="24">
        <f>IF(J494&lt;&gt;"",J494,IF(I494&lt;&gt;"",I494,""))</f>
        <v/>
      </c>
      <c r="W494" s="25">
        <f>IF($E494="","",N(O494)+SUMIFS($AF494:$IN494,$AF$4:$IN$4,"SEW_ACT"))</f>
        <v/>
      </c>
      <c r="X494" s="25">
        <f>IF($E494="","",N(P494)+SUMIFS($AF494:$IN494,$AF$4:$IN$4,"WASH_ACT"))</f>
        <v/>
      </c>
      <c r="Y494" s="25">
        <f>IF($E494="","",W494-X494-N(T494)-N(U494))</f>
        <v/>
      </c>
      <c r="Z494" s="25">
        <f>IF($E494="","",IF(N(K494)-X494&lt;=0.02*N(K494),0,N(K494)-X494))</f>
        <v/>
      </c>
      <c r="AA494" s="24">
        <f>IF($E494="","",IF(S494&lt;&gt;"",S494,IF(N(O494)&gt;0,IF(L494&lt;&gt;"",L494,99999),IFERROR(1/(1/_xlfn.MINIFS($AF$3:$IN$3,$AF$4:$IN$4,"SEW_ACT",$AF494:$IN494,"&gt;0")),99999))))</f>
        <v/>
      </c>
      <c r="AB494" s="26">
        <f>IF(OR($E494="",Z494=0,V494=""),"",1+COUNTIFS(Z$8:Z$707,"&gt;0",V$8:V$707,"&lt;"&amp;V494)+COUNTIFS(Z$8:Z$707,"&gt;0",V$8:V$707,V494,AA$8:AA$707,"&lt;"&amp;AA494)+COUNTIFS(Z$8:Z$707,"&gt;0",V$8:V$707,V494,AA$8:AA$707,AA494,E$8:E$707,"&lt;"&amp;$E494))</f>
        <v/>
      </c>
      <c r="AC494" s="24">
        <f>IF(OR($E494="",Z494=0),"",IFERROR(TODAY()+ROUNDUP(Z494/(SUMIFS($AF494:$IN494,$AF$4:$IN$4,"WASH_ACT")/COUNTIFS($AF$4:$IN$4,"WASH_ACT",$AF494:$IN494,"&gt;0")),0),"no output yet"))</f>
        <v/>
      </c>
      <c r="AD494" s="26">
        <f>IF($E494="","",IFERROR(ROUND(MAX(0,SUMIFS($AF494:$IN494,$AF$4:$IN$4,"SEW_PLAN",$AF$3:$IN$3,"&lt;="&amp;TODAY())-SUMIFS($AF494:$IN494,$AF$4:$IN$4,"SEW_ACT",$AF$3:$IN$3,"&lt;="&amp;TODAY())+N(Q494))/(SUMIFS($AF494:$IN494,$AF$4:$IN$4,"SEW_PLAN")/COUNTIFS($AF$4:$IN$4,"SEW_PLAN",$AF494:$IN494,"&gt;0")),1),0))</f>
        <v/>
      </c>
      <c r="AE494" s="26">
        <f>IF($E494="","",IF(AND(Z494&gt;0,OR(AND(M494&lt;&gt;"",TODAY()&gt;M494),AND(V494&lt;&gt;"",V494-TODAY()&lt;=7))),"Yes","No"))</f>
        <v/>
      </c>
      <c r="AH494">
        <f>IF(OR(AF$3="",AF$3&gt;TODAY()),"",IF(AND(AF494="",AG494=""),"",N(AG494)-N(AF494)))</f>
        <v/>
      </c>
      <c r="AK494">
        <f>IF(OR(AF$3="",AF$3&gt;TODAY()),"",IF(AND(AI494="",AJ494=""),"",N(AJ494)-N(AI494)))</f>
        <v/>
      </c>
      <c r="AO494">
        <f>IF(OR(AM$3="",AM$3&gt;TODAY()),"",IF(AND(AM494="",AN494=""),"",N(AN494)-N(AM494)))</f>
        <v/>
      </c>
      <c r="AR494">
        <f>IF(OR(AM$3="",AM$3&gt;TODAY()),"",IF(AND(AP494="",AQ494=""),"",N(AQ494)-N(AP494)))</f>
        <v/>
      </c>
      <c r="AV494">
        <f>IF(OR(AT$3="",AT$3&gt;TODAY()),"",IF(AND(AT494="",AU494=""),"",N(AU494)-N(AT494)))</f>
        <v/>
      </c>
      <c r="AY494">
        <f>IF(OR(AT$3="",AT$3&gt;TODAY()),"",IF(AND(AW494="",AX494=""),"",N(AX494)-N(AW494)))</f>
        <v/>
      </c>
      <c r="BC494">
        <f>IF(OR(BA$3="",BA$3&gt;TODAY()),"",IF(AND(BA494="",BB494=""),"",N(BB494)-N(BA494)))</f>
        <v/>
      </c>
      <c r="BF494">
        <f>IF(OR(BA$3="",BA$3&gt;TODAY()),"",IF(AND(BD494="",BE494=""),"",N(BE494)-N(BD494)))</f>
        <v/>
      </c>
      <c r="BJ494">
        <f>IF(OR(BH$3="",BH$3&gt;TODAY()),"",IF(AND(BH494="",BI494=""),"",N(BI494)-N(BH494)))</f>
        <v/>
      </c>
      <c r="BM494">
        <f>IF(OR(BH$3="",BH$3&gt;TODAY()),"",IF(AND(BK494="",BL494=""),"",N(BL494)-N(BK494)))</f>
        <v/>
      </c>
      <c r="BQ494">
        <f>IF(OR(BO$3="",BO$3&gt;TODAY()),"",IF(AND(BO494="",BP494=""),"",N(BP494)-N(BO494)))</f>
        <v/>
      </c>
      <c r="BT494">
        <f>IF(OR(BO$3="",BO$3&gt;TODAY()),"",IF(AND(BR494="",BS494=""),"",N(BS494)-N(BR494)))</f>
        <v/>
      </c>
      <c r="BX494">
        <f>IF(OR(BV$3="",BV$3&gt;TODAY()),"",IF(AND(BV494="",BW494=""),"",N(BW494)-N(BV494)))</f>
        <v/>
      </c>
      <c r="CA494">
        <f>IF(OR(BV$3="",BV$3&gt;TODAY()),"",IF(AND(BY494="",BZ494=""),"",N(BZ494)-N(BY494)))</f>
        <v/>
      </c>
      <c r="CE494">
        <f>IF(OR(CC$3="",CC$3&gt;TODAY()),"",IF(AND(CC494="",CD494=""),"",N(CD494)-N(CC494)))</f>
        <v/>
      </c>
      <c r="CH494">
        <f>IF(OR(CC$3="",CC$3&gt;TODAY()),"",IF(AND(CF494="",CG494=""),"",N(CG494)-N(CF494)))</f>
        <v/>
      </c>
      <c r="CL494">
        <f>IF(OR(CJ$3="",CJ$3&gt;TODAY()),"",IF(AND(CJ494="",CK494=""),"",N(CK494)-N(CJ494)))</f>
        <v/>
      </c>
      <c r="CO494">
        <f>IF(OR(CJ$3="",CJ$3&gt;TODAY()),"",IF(AND(CM494="",CN494=""),"",N(CN494)-N(CM494)))</f>
        <v/>
      </c>
      <c r="CS494">
        <f>IF(OR(CQ$3="",CQ$3&gt;TODAY()),"",IF(AND(CQ494="",CR494=""),"",N(CR494)-N(CQ494)))</f>
        <v/>
      </c>
      <c r="CV494">
        <f>IF(OR(CQ$3="",CQ$3&gt;TODAY()),"",IF(AND(CT494="",CU494=""),"",N(CU494)-N(CT494)))</f>
        <v/>
      </c>
      <c r="CZ494">
        <f>IF(OR(CX$3="",CX$3&gt;TODAY()),"",IF(AND(CX494="",CY494=""),"",N(CY494)-N(CX494)))</f>
        <v/>
      </c>
      <c r="DC494">
        <f>IF(OR(CX$3="",CX$3&gt;TODAY()),"",IF(AND(DA494="",DB494=""),"",N(DB494)-N(DA494)))</f>
        <v/>
      </c>
      <c r="DG494">
        <f>IF(OR(DE$3="",DE$3&gt;TODAY()),"",IF(AND(DE494="",DF494=""),"",N(DF494)-N(DE494)))</f>
        <v/>
      </c>
      <c r="DJ494">
        <f>IF(OR(DE$3="",DE$3&gt;TODAY()),"",IF(AND(DH494="",DI494=""),"",N(DI494)-N(DH494)))</f>
        <v/>
      </c>
      <c r="DN494">
        <f>IF(OR(DL$3="",DL$3&gt;TODAY()),"",IF(AND(DL494="",DM494=""),"",N(DM494)-N(DL494)))</f>
        <v/>
      </c>
      <c r="DQ494">
        <f>IF(OR(DL$3="",DL$3&gt;TODAY()),"",IF(AND(DO494="",DP494=""),"",N(DP494)-N(DO494)))</f>
        <v/>
      </c>
      <c r="DU494">
        <f>IF(OR(DS$3="",DS$3&gt;TODAY()),"",IF(AND(DS494="",DT494=""),"",N(DT494)-N(DS494)))</f>
        <v/>
      </c>
      <c r="DX494">
        <f>IF(OR(DS$3="",DS$3&gt;TODAY()),"",IF(AND(DV494="",DW494=""),"",N(DW494)-N(DV494)))</f>
        <v/>
      </c>
      <c r="EB494">
        <f>IF(OR(DZ$3="",DZ$3&gt;TODAY()),"",IF(AND(DZ494="",EA494=""),"",N(EA494)-N(DZ494)))</f>
        <v/>
      </c>
      <c r="EE494">
        <f>IF(OR(DZ$3="",DZ$3&gt;TODAY()),"",IF(AND(EC494="",ED494=""),"",N(ED494)-N(EC494)))</f>
        <v/>
      </c>
      <c r="EI494">
        <f>IF(OR(EG$3="",EG$3&gt;TODAY()),"",IF(AND(EG494="",EH494=""),"",N(EH494)-N(EG494)))</f>
        <v/>
      </c>
      <c r="EL494">
        <f>IF(OR(EG$3="",EG$3&gt;TODAY()),"",IF(AND(EJ494="",EK494=""),"",N(EK494)-N(EJ494)))</f>
        <v/>
      </c>
      <c r="EP494">
        <f>IF(OR(EN$3="",EN$3&gt;TODAY()),"",IF(AND(EN494="",EO494=""),"",N(EO494)-N(EN494)))</f>
        <v/>
      </c>
      <c r="ES494">
        <f>IF(OR(EN$3="",EN$3&gt;TODAY()),"",IF(AND(EQ494="",ER494=""),"",N(ER494)-N(EQ494)))</f>
        <v/>
      </c>
      <c r="EW494">
        <f>IF(OR(EU$3="",EU$3&gt;TODAY()),"",IF(AND(EU494="",EV494=""),"",N(EV494)-N(EU494)))</f>
        <v/>
      </c>
      <c r="EZ494">
        <f>IF(OR(EU$3="",EU$3&gt;TODAY()),"",IF(AND(EX494="",EY494=""),"",N(EY494)-N(EX494)))</f>
        <v/>
      </c>
      <c r="FD494">
        <f>IF(OR(FB$3="",FB$3&gt;TODAY()),"",IF(AND(FB494="",FC494=""),"",N(FC494)-N(FB494)))</f>
        <v/>
      </c>
      <c r="FG494">
        <f>IF(OR(FB$3="",FB$3&gt;TODAY()),"",IF(AND(FE494="",FF494=""),"",N(FF494)-N(FE494)))</f>
        <v/>
      </c>
      <c r="FK494">
        <f>IF(OR(FI$3="",FI$3&gt;TODAY()),"",IF(AND(FI494="",FJ494=""),"",N(FJ494)-N(FI494)))</f>
        <v/>
      </c>
      <c r="FN494">
        <f>IF(OR(FI$3="",FI$3&gt;TODAY()),"",IF(AND(FL494="",FM494=""),"",N(FM494)-N(FL494)))</f>
        <v/>
      </c>
      <c r="FR494">
        <f>IF(OR(FP$3="",FP$3&gt;TODAY()),"",IF(AND(FP494="",FQ494=""),"",N(FQ494)-N(FP494)))</f>
        <v/>
      </c>
      <c r="FU494">
        <f>IF(OR(FP$3="",FP$3&gt;TODAY()),"",IF(AND(FS494="",FT494=""),"",N(FT494)-N(FS494)))</f>
        <v/>
      </c>
      <c r="FY494">
        <f>IF(OR(FW$3="",FW$3&gt;TODAY()),"",IF(AND(FW494="",FX494=""),"",N(FX494)-N(FW494)))</f>
        <v/>
      </c>
      <c r="GB494">
        <f>IF(OR(FW$3="",FW$3&gt;TODAY()),"",IF(AND(FZ494="",GA494=""),"",N(GA494)-N(FZ494)))</f>
        <v/>
      </c>
      <c r="GF494">
        <f>IF(OR(GD$3="",GD$3&gt;TODAY()),"",IF(AND(GD494="",GE494=""),"",N(GE494)-N(GD494)))</f>
        <v/>
      </c>
      <c r="GI494">
        <f>IF(OR(GD$3="",GD$3&gt;TODAY()),"",IF(AND(GG494="",GH494=""),"",N(GH494)-N(GG494)))</f>
        <v/>
      </c>
      <c r="GM494">
        <f>IF(OR(GK$3="",GK$3&gt;TODAY()),"",IF(AND(GK494="",GL494=""),"",N(GL494)-N(GK494)))</f>
        <v/>
      </c>
      <c r="GP494">
        <f>IF(OR(GK$3="",GK$3&gt;TODAY()),"",IF(AND(GN494="",GO494=""),"",N(GO494)-N(GN494)))</f>
        <v/>
      </c>
      <c r="GT494">
        <f>IF(OR(GR$3="",GR$3&gt;TODAY()),"",IF(AND(GR494="",GS494=""),"",N(GS494)-N(GR494)))</f>
        <v/>
      </c>
      <c r="GW494">
        <f>IF(OR(GR$3="",GR$3&gt;TODAY()),"",IF(AND(GU494="",GV494=""),"",N(GV494)-N(GU494)))</f>
        <v/>
      </c>
      <c r="HA494">
        <f>IF(OR(GY$3="",GY$3&gt;TODAY()),"",IF(AND(GY494="",GZ494=""),"",N(GZ494)-N(GY494)))</f>
        <v/>
      </c>
      <c r="HD494">
        <f>IF(OR(GY$3="",GY$3&gt;TODAY()),"",IF(AND(HB494="",HC494=""),"",N(HC494)-N(HB494)))</f>
        <v/>
      </c>
      <c r="HH494">
        <f>IF(OR(HF$3="",HF$3&gt;TODAY()),"",IF(AND(HF494="",HG494=""),"",N(HG494)-N(HF494)))</f>
        <v/>
      </c>
      <c r="HK494">
        <f>IF(OR(HF$3="",HF$3&gt;TODAY()),"",IF(AND(HI494="",HJ494=""),"",N(HJ494)-N(HI494)))</f>
        <v/>
      </c>
      <c r="HO494">
        <f>IF(OR(HM$3="",HM$3&gt;TODAY()),"",IF(AND(HM494="",HN494=""),"",N(HN494)-N(HM494)))</f>
        <v/>
      </c>
      <c r="HR494">
        <f>IF(OR(HM$3="",HM$3&gt;TODAY()),"",IF(AND(HP494="",HQ494=""),"",N(HQ494)-N(HP494)))</f>
        <v/>
      </c>
      <c r="HV494">
        <f>IF(OR(HT$3="",HT$3&gt;TODAY()),"",IF(AND(HT494="",HU494=""),"",N(HU494)-N(HT494)))</f>
        <v/>
      </c>
      <c r="HY494">
        <f>IF(OR(HT$3="",HT$3&gt;TODAY()),"",IF(AND(HW494="",HX494=""),"",N(HX494)-N(HW494)))</f>
        <v/>
      </c>
      <c r="IC494">
        <f>IF(OR(IA$3="",IA$3&gt;TODAY()),"",IF(AND(IA494="",IB494=""),"",N(IB494)-N(IA494)))</f>
        <v/>
      </c>
      <c r="IF494">
        <f>IF(OR(IA$3="",IA$3&gt;TODAY()),"",IF(AND(ID494="",IE494=""),"",N(IE494)-N(ID494)))</f>
        <v/>
      </c>
      <c r="IJ494">
        <f>IF(OR(IH$3="",IH$3&gt;TODAY()),"",IF(AND(IH494="",II494=""),"",N(II494)-N(IH494)))</f>
        <v/>
      </c>
      <c r="IM494">
        <f>IF(OR(IH$3="",IH$3&gt;TODAY()),"",IF(AND(IK494="",IL494=""),"",N(IL494)-N(IK494)))</f>
        <v/>
      </c>
    </row>
    <row r="495">
      <c r="A495" s="21" t="n"/>
      <c r="B495" s="21" t="n"/>
      <c r="C495" s="21" t="n"/>
      <c r="D495" s="21" t="n"/>
      <c r="E495" s="21" t="n"/>
      <c r="F495" s="21" t="n"/>
      <c r="G495" s="21" t="n"/>
      <c r="H495" s="21" t="n"/>
      <c r="I495" s="22" t="n"/>
      <c r="J495" s="22" t="n"/>
      <c r="K495" s="23" t="n"/>
      <c r="L495" s="22" t="n"/>
      <c r="M495" s="22" t="n"/>
      <c r="N495" s="21" t="n"/>
      <c r="O495" s="23" t="n"/>
      <c r="P495" s="23" t="n"/>
      <c r="Q495" s="23" t="n"/>
      <c r="R495" s="23" t="n"/>
      <c r="S495" s="22" t="n"/>
      <c r="T495" s="23" t="n"/>
      <c r="U495" s="23" t="n"/>
      <c r="V495" s="24">
        <f>IF(J495&lt;&gt;"",J495,IF(I495&lt;&gt;"",I495,""))</f>
        <v/>
      </c>
      <c r="W495" s="25">
        <f>IF($E495="","",N(O495)+SUMIFS($AF495:$IN495,$AF$4:$IN$4,"SEW_ACT"))</f>
        <v/>
      </c>
      <c r="X495" s="25">
        <f>IF($E495="","",N(P495)+SUMIFS($AF495:$IN495,$AF$4:$IN$4,"WASH_ACT"))</f>
        <v/>
      </c>
      <c r="Y495" s="25">
        <f>IF($E495="","",W495-X495-N(T495)-N(U495))</f>
        <v/>
      </c>
      <c r="Z495" s="25">
        <f>IF($E495="","",IF(N(K495)-X495&lt;=0.02*N(K495),0,N(K495)-X495))</f>
        <v/>
      </c>
      <c r="AA495" s="24">
        <f>IF($E495="","",IF(S495&lt;&gt;"",S495,IF(N(O495)&gt;0,IF(L495&lt;&gt;"",L495,99999),IFERROR(1/(1/_xlfn.MINIFS($AF$3:$IN$3,$AF$4:$IN$4,"SEW_ACT",$AF495:$IN495,"&gt;0")),99999))))</f>
        <v/>
      </c>
      <c r="AB495" s="26">
        <f>IF(OR($E495="",Z495=0,V495=""),"",1+COUNTIFS(Z$8:Z$707,"&gt;0",V$8:V$707,"&lt;"&amp;V495)+COUNTIFS(Z$8:Z$707,"&gt;0",V$8:V$707,V495,AA$8:AA$707,"&lt;"&amp;AA495)+COUNTIFS(Z$8:Z$707,"&gt;0",V$8:V$707,V495,AA$8:AA$707,AA495,E$8:E$707,"&lt;"&amp;$E495))</f>
        <v/>
      </c>
      <c r="AC495" s="24">
        <f>IF(OR($E495="",Z495=0),"",IFERROR(TODAY()+ROUNDUP(Z495/(SUMIFS($AF495:$IN495,$AF$4:$IN$4,"WASH_ACT")/COUNTIFS($AF$4:$IN$4,"WASH_ACT",$AF495:$IN495,"&gt;0")),0),"no output yet"))</f>
        <v/>
      </c>
      <c r="AD495" s="26">
        <f>IF($E495="","",IFERROR(ROUND(MAX(0,SUMIFS($AF495:$IN495,$AF$4:$IN$4,"SEW_PLAN",$AF$3:$IN$3,"&lt;="&amp;TODAY())-SUMIFS($AF495:$IN495,$AF$4:$IN$4,"SEW_ACT",$AF$3:$IN$3,"&lt;="&amp;TODAY())+N(Q495))/(SUMIFS($AF495:$IN495,$AF$4:$IN$4,"SEW_PLAN")/COUNTIFS($AF$4:$IN$4,"SEW_PLAN",$AF495:$IN495,"&gt;0")),1),0))</f>
        <v/>
      </c>
      <c r="AE495" s="26">
        <f>IF($E495="","",IF(AND(Z495&gt;0,OR(AND(M495&lt;&gt;"",TODAY()&gt;M495),AND(V495&lt;&gt;"",V495-TODAY()&lt;=7))),"Yes","No"))</f>
        <v/>
      </c>
      <c r="AH495">
        <f>IF(OR(AF$3="",AF$3&gt;TODAY()),"",IF(AND(AF495="",AG495=""),"",N(AG495)-N(AF495)))</f>
        <v/>
      </c>
      <c r="AK495">
        <f>IF(OR(AF$3="",AF$3&gt;TODAY()),"",IF(AND(AI495="",AJ495=""),"",N(AJ495)-N(AI495)))</f>
        <v/>
      </c>
      <c r="AO495">
        <f>IF(OR(AM$3="",AM$3&gt;TODAY()),"",IF(AND(AM495="",AN495=""),"",N(AN495)-N(AM495)))</f>
        <v/>
      </c>
      <c r="AR495">
        <f>IF(OR(AM$3="",AM$3&gt;TODAY()),"",IF(AND(AP495="",AQ495=""),"",N(AQ495)-N(AP495)))</f>
        <v/>
      </c>
      <c r="AV495">
        <f>IF(OR(AT$3="",AT$3&gt;TODAY()),"",IF(AND(AT495="",AU495=""),"",N(AU495)-N(AT495)))</f>
        <v/>
      </c>
      <c r="AY495">
        <f>IF(OR(AT$3="",AT$3&gt;TODAY()),"",IF(AND(AW495="",AX495=""),"",N(AX495)-N(AW495)))</f>
        <v/>
      </c>
      <c r="BC495">
        <f>IF(OR(BA$3="",BA$3&gt;TODAY()),"",IF(AND(BA495="",BB495=""),"",N(BB495)-N(BA495)))</f>
        <v/>
      </c>
      <c r="BF495">
        <f>IF(OR(BA$3="",BA$3&gt;TODAY()),"",IF(AND(BD495="",BE495=""),"",N(BE495)-N(BD495)))</f>
        <v/>
      </c>
      <c r="BJ495">
        <f>IF(OR(BH$3="",BH$3&gt;TODAY()),"",IF(AND(BH495="",BI495=""),"",N(BI495)-N(BH495)))</f>
        <v/>
      </c>
      <c r="BM495">
        <f>IF(OR(BH$3="",BH$3&gt;TODAY()),"",IF(AND(BK495="",BL495=""),"",N(BL495)-N(BK495)))</f>
        <v/>
      </c>
      <c r="BQ495">
        <f>IF(OR(BO$3="",BO$3&gt;TODAY()),"",IF(AND(BO495="",BP495=""),"",N(BP495)-N(BO495)))</f>
        <v/>
      </c>
      <c r="BT495">
        <f>IF(OR(BO$3="",BO$3&gt;TODAY()),"",IF(AND(BR495="",BS495=""),"",N(BS495)-N(BR495)))</f>
        <v/>
      </c>
      <c r="BX495">
        <f>IF(OR(BV$3="",BV$3&gt;TODAY()),"",IF(AND(BV495="",BW495=""),"",N(BW495)-N(BV495)))</f>
        <v/>
      </c>
      <c r="CA495">
        <f>IF(OR(BV$3="",BV$3&gt;TODAY()),"",IF(AND(BY495="",BZ495=""),"",N(BZ495)-N(BY495)))</f>
        <v/>
      </c>
      <c r="CE495">
        <f>IF(OR(CC$3="",CC$3&gt;TODAY()),"",IF(AND(CC495="",CD495=""),"",N(CD495)-N(CC495)))</f>
        <v/>
      </c>
      <c r="CH495">
        <f>IF(OR(CC$3="",CC$3&gt;TODAY()),"",IF(AND(CF495="",CG495=""),"",N(CG495)-N(CF495)))</f>
        <v/>
      </c>
      <c r="CL495">
        <f>IF(OR(CJ$3="",CJ$3&gt;TODAY()),"",IF(AND(CJ495="",CK495=""),"",N(CK495)-N(CJ495)))</f>
        <v/>
      </c>
      <c r="CO495">
        <f>IF(OR(CJ$3="",CJ$3&gt;TODAY()),"",IF(AND(CM495="",CN495=""),"",N(CN495)-N(CM495)))</f>
        <v/>
      </c>
      <c r="CS495">
        <f>IF(OR(CQ$3="",CQ$3&gt;TODAY()),"",IF(AND(CQ495="",CR495=""),"",N(CR495)-N(CQ495)))</f>
        <v/>
      </c>
      <c r="CV495">
        <f>IF(OR(CQ$3="",CQ$3&gt;TODAY()),"",IF(AND(CT495="",CU495=""),"",N(CU495)-N(CT495)))</f>
        <v/>
      </c>
      <c r="CZ495">
        <f>IF(OR(CX$3="",CX$3&gt;TODAY()),"",IF(AND(CX495="",CY495=""),"",N(CY495)-N(CX495)))</f>
        <v/>
      </c>
      <c r="DC495">
        <f>IF(OR(CX$3="",CX$3&gt;TODAY()),"",IF(AND(DA495="",DB495=""),"",N(DB495)-N(DA495)))</f>
        <v/>
      </c>
      <c r="DG495">
        <f>IF(OR(DE$3="",DE$3&gt;TODAY()),"",IF(AND(DE495="",DF495=""),"",N(DF495)-N(DE495)))</f>
        <v/>
      </c>
      <c r="DJ495">
        <f>IF(OR(DE$3="",DE$3&gt;TODAY()),"",IF(AND(DH495="",DI495=""),"",N(DI495)-N(DH495)))</f>
        <v/>
      </c>
      <c r="DN495">
        <f>IF(OR(DL$3="",DL$3&gt;TODAY()),"",IF(AND(DL495="",DM495=""),"",N(DM495)-N(DL495)))</f>
        <v/>
      </c>
      <c r="DQ495">
        <f>IF(OR(DL$3="",DL$3&gt;TODAY()),"",IF(AND(DO495="",DP495=""),"",N(DP495)-N(DO495)))</f>
        <v/>
      </c>
      <c r="DU495">
        <f>IF(OR(DS$3="",DS$3&gt;TODAY()),"",IF(AND(DS495="",DT495=""),"",N(DT495)-N(DS495)))</f>
        <v/>
      </c>
      <c r="DX495">
        <f>IF(OR(DS$3="",DS$3&gt;TODAY()),"",IF(AND(DV495="",DW495=""),"",N(DW495)-N(DV495)))</f>
        <v/>
      </c>
      <c r="EB495">
        <f>IF(OR(DZ$3="",DZ$3&gt;TODAY()),"",IF(AND(DZ495="",EA495=""),"",N(EA495)-N(DZ495)))</f>
        <v/>
      </c>
      <c r="EE495">
        <f>IF(OR(DZ$3="",DZ$3&gt;TODAY()),"",IF(AND(EC495="",ED495=""),"",N(ED495)-N(EC495)))</f>
        <v/>
      </c>
      <c r="EI495">
        <f>IF(OR(EG$3="",EG$3&gt;TODAY()),"",IF(AND(EG495="",EH495=""),"",N(EH495)-N(EG495)))</f>
        <v/>
      </c>
      <c r="EL495">
        <f>IF(OR(EG$3="",EG$3&gt;TODAY()),"",IF(AND(EJ495="",EK495=""),"",N(EK495)-N(EJ495)))</f>
        <v/>
      </c>
      <c r="EP495">
        <f>IF(OR(EN$3="",EN$3&gt;TODAY()),"",IF(AND(EN495="",EO495=""),"",N(EO495)-N(EN495)))</f>
        <v/>
      </c>
      <c r="ES495">
        <f>IF(OR(EN$3="",EN$3&gt;TODAY()),"",IF(AND(EQ495="",ER495=""),"",N(ER495)-N(EQ495)))</f>
        <v/>
      </c>
      <c r="EW495">
        <f>IF(OR(EU$3="",EU$3&gt;TODAY()),"",IF(AND(EU495="",EV495=""),"",N(EV495)-N(EU495)))</f>
        <v/>
      </c>
      <c r="EZ495">
        <f>IF(OR(EU$3="",EU$3&gt;TODAY()),"",IF(AND(EX495="",EY495=""),"",N(EY495)-N(EX495)))</f>
        <v/>
      </c>
      <c r="FD495">
        <f>IF(OR(FB$3="",FB$3&gt;TODAY()),"",IF(AND(FB495="",FC495=""),"",N(FC495)-N(FB495)))</f>
        <v/>
      </c>
      <c r="FG495">
        <f>IF(OR(FB$3="",FB$3&gt;TODAY()),"",IF(AND(FE495="",FF495=""),"",N(FF495)-N(FE495)))</f>
        <v/>
      </c>
      <c r="FK495">
        <f>IF(OR(FI$3="",FI$3&gt;TODAY()),"",IF(AND(FI495="",FJ495=""),"",N(FJ495)-N(FI495)))</f>
        <v/>
      </c>
      <c r="FN495">
        <f>IF(OR(FI$3="",FI$3&gt;TODAY()),"",IF(AND(FL495="",FM495=""),"",N(FM495)-N(FL495)))</f>
        <v/>
      </c>
      <c r="FR495">
        <f>IF(OR(FP$3="",FP$3&gt;TODAY()),"",IF(AND(FP495="",FQ495=""),"",N(FQ495)-N(FP495)))</f>
        <v/>
      </c>
      <c r="FU495">
        <f>IF(OR(FP$3="",FP$3&gt;TODAY()),"",IF(AND(FS495="",FT495=""),"",N(FT495)-N(FS495)))</f>
        <v/>
      </c>
      <c r="FY495">
        <f>IF(OR(FW$3="",FW$3&gt;TODAY()),"",IF(AND(FW495="",FX495=""),"",N(FX495)-N(FW495)))</f>
        <v/>
      </c>
      <c r="GB495">
        <f>IF(OR(FW$3="",FW$3&gt;TODAY()),"",IF(AND(FZ495="",GA495=""),"",N(GA495)-N(FZ495)))</f>
        <v/>
      </c>
      <c r="GF495">
        <f>IF(OR(GD$3="",GD$3&gt;TODAY()),"",IF(AND(GD495="",GE495=""),"",N(GE495)-N(GD495)))</f>
        <v/>
      </c>
      <c r="GI495">
        <f>IF(OR(GD$3="",GD$3&gt;TODAY()),"",IF(AND(GG495="",GH495=""),"",N(GH495)-N(GG495)))</f>
        <v/>
      </c>
      <c r="GM495">
        <f>IF(OR(GK$3="",GK$3&gt;TODAY()),"",IF(AND(GK495="",GL495=""),"",N(GL495)-N(GK495)))</f>
        <v/>
      </c>
      <c r="GP495">
        <f>IF(OR(GK$3="",GK$3&gt;TODAY()),"",IF(AND(GN495="",GO495=""),"",N(GO495)-N(GN495)))</f>
        <v/>
      </c>
      <c r="GT495">
        <f>IF(OR(GR$3="",GR$3&gt;TODAY()),"",IF(AND(GR495="",GS495=""),"",N(GS495)-N(GR495)))</f>
        <v/>
      </c>
      <c r="GW495">
        <f>IF(OR(GR$3="",GR$3&gt;TODAY()),"",IF(AND(GU495="",GV495=""),"",N(GV495)-N(GU495)))</f>
        <v/>
      </c>
      <c r="HA495">
        <f>IF(OR(GY$3="",GY$3&gt;TODAY()),"",IF(AND(GY495="",GZ495=""),"",N(GZ495)-N(GY495)))</f>
        <v/>
      </c>
      <c r="HD495">
        <f>IF(OR(GY$3="",GY$3&gt;TODAY()),"",IF(AND(HB495="",HC495=""),"",N(HC495)-N(HB495)))</f>
        <v/>
      </c>
      <c r="HH495">
        <f>IF(OR(HF$3="",HF$3&gt;TODAY()),"",IF(AND(HF495="",HG495=""),"",N(HG495)-N(HF495)))</f>
        <v/>
      </c>
      <c r="HK495">
        <f>IF(OR(HF$3="",HF$3&gt;TODAY()),"",IF(AND(HI495="",HJ495=""),"",N(HJ495)-N(HI495)))</f>
        <v/>
      </c>
      <c r="HO495">
        <f>IF(OR(HM$3="",HM$3&gt;TODAY()),"",IF(AND(HM495="",HN495=""),"",N(HN495)-N(HM495)))</f>
        <v/>
      </c>
      <c r="HR495">
        <f>IF(OR(HM$3="",HM$3&gt;TODAY()),"",IF(AND(HP495="",HQ495=""),"",N(HQ495)-N(HP495)))</f>
        <v/>
      </c>
      <c r="HV495">
        <f>IF(OR(HT$3="",HT$3&gt;TODAY()),"",IF(AND(HT495="",HU495=""),"",N(HU495)-N(HT495)))</f>
        <v/>
      </c>
      <c r="HY495">
        <f>IF(OR(HT$3="",HT$3&gt;TODAY()),"",IF(AND(HW495="",HX495=""),"",N(HX495)-N(HW495)))</f>
        <v/>
      </c>
      <c r="IC495">
        <f>IF(OR(IA$3="",IA$3&gt;TODAY()),"",IF(AND(IA495="",IB495=""),"",N(IB495)-N(IA495)))</f>
        <v/>
      </c>
      <c r="IF495">
        <f>IF(OR(IA$3="",IA$3&gt;TODAY()),"",IF(AND(ID495="",IE495=""),"",N(IE495)-N(ID495)))</f>
        <v/>
      </c>
      <c r="IJ495">
        <f>IF(OR(IH$3="",IH$3&gt;TODAY()),"",IF(AND(IH495="",II495=""),"",N(II495)-N(IH495)))</f>
        <v/>
      </c>
      <c r="IM495">
        <f>IF(OR(IH$3="",IH$3&gt;TODAY()),"",IF(AND(IK495="",IL495=""),"",N(IL495)-N(IK495)))</f>
        <v/>
      </c>
    </row>
    <row r="496">
      <c r="A496" s="21" t="n"/>
      <c r="B496" s="21" t="n"/>
      <c r="C496" s="21" t="n"/>
      <c r="D496" s="21" t="n"/>
      <c r="E496" s="21" t="n"/>
      <c r="F496" s="21" t="n"/>
      <c r="G496" s="21" t="n"/>
      <c r="H496" s="21" t="n"/>
      <c r="I496" s="22" t="n"/>
      <c r="J496" s="22" t="n"/>
      <c r="K496" s="23" t="n"/>
      <c r="L496" s="22" t="n"/>
      <c r="M496" s="22" t="n"/>
      <c r="N496" s="21" t="n"/>
      <c r="O496" s="23" t="n"/>
      <c r="P496" s="23" t="n"/>
      <c r="Q496" s="23" t="n"/>
      <c r="R496" s="23" t="n"/>
      <c r="S496" s="22" t="n"/>
      <c r="T496" s="23" t="n"/>
      <c r="U496" s="23" t="n"/>
      <c r="V496" s="24">
        <f>IF(J496&lt;&gt;"",J496,IF(I496&lt;&gt;"",I496,""))</f>
        <v/>
      </c>
      <c r="W496" s="25">
        <f>IF($E496="","",N(O496)+SUMIFS($AF496:$IN496,$AF$4:$IN$4,"SEW_ACT"))</f>
        <v/>
      </c>
      <c r="X496" s="25">
        <f>IF($E496="","",N(P496)+SUMIFS($AF496:$IN496,$AF$4:$IN$4,"WASH_ACT"))</f>
        <v/>
      </c>
      <c r="Y496" s="25">
        <f>IF($E496="","",W496-X496-N(T496)-N(U496))</f>
        <v/>
      </c>
      <c r="Z496" s="25">
        <f>IF($E496="","",IF(N(K496)-X496&lt;=0.02*N(K496),0,N(K496)-X496))</f>
        <v/>
      </c>
      <c r="AA496" s="24">
        <f>IF($E496="","",IF(S496&lt;&gt;"",S496,IF(N(O496)&gt;0,IF(L496&lt;&gt;"",L496,99999),IFERROR(1/(1/_xlfn.MINIFS($AF$3:$IN$3,$AF$4:$IN$4,"SEW_ACT",$AF496:$IN496,"&gt;0")),99999))))</f>
        <v/>
      </c>
      <c r="AB496" s="26">
        <f>IF(OR($E496="",Z496=0,V496=""),"",1+COUNTIFS(Z$8:Z$707,"&gt;0",V$8:V$707,"&lt;"&amp;V496)+COUNTIFS(Z$8:Z$707,"&gt;0",V$8:V$707,V496,AA$8:AA$707,"&lt;"&amp;AA496)+COUNTIFS(Z$8:Z$707,"&gt;0",V$8:V$707,V496,AA$8:AA$707,AA496,E$8:E$707,"&lt;"&amp;$E496))</f>
        <v/>
      </c>
      <c r="AC496" s="24">
        <f>IF(OR($E496="",Z496=0),"",IFERROR(TODAY()+ROUNDUP(Z496/(SUMIFS($AF496:$IN496,$AF$4:$IN$4,"WASH_ACT")/COUNTIFS($AF$4:$IN$4,"WASH_ACT",$AF496:$IN496,"&gt;0")),0),"no output yet"))</f>
        <v/>
      </c>
      <c r="AD496" s="26">
        <f>IF($E496="","",IFERROR(ROUND(MAX(0,SUMIFS($AF496:$IN496,$AF$4:$IN$4,"SEW_PLAN",$AF$3:$IN$3,"&lt;="&amp;TODAY())-SUMIFS($AF496:$IN496,$AF$4:$IN$4,"SEW_ACT",$AF$3:$IN$3,"&lt;="&amp;TODAY())+N(Q496))/(SUMIFS($AF496:$IN496,$AF$4:$IN$4,"SEW_PLAN")/COUNTIFS($AF$4:$IN$4,"SEW_PLAN",$AF496:$IN496,"&gt;0")),1),0))</f>
        <v/>
      </c>
      <c r="AE496" s="26">
        <f>IF($E496="","",IF(AND(Z496&gt;0,OR(AND(M496&lt;&gt;"",TODAY()&gt;M496),AND(V496&lt;&gt;"",V496-TODAY()&lt;=7))),"Yes","No"))</f>
        <v/>
      </c>
      <c r="AH496">
        <f>IF(OR(AF$3="",AF$3&gt;TODAY()),"",IF(AND(AF496="",AG496=""),"",N(AG496)-N(AF496)))</f>
        <v/>
      </c>
      <c r="AK496">
        <f>IF(OR(AF$3="",AF$3&gt;TODAY()),"",IF(AND(AI496="",AJ496=""),"",N(AJ496)-N(AI496)))</f>
        <v/>
      </c>
      <c r="AO496">
        <f>IF(OR(AM$3="",AM$3&gt;TODAY()),"",IF(AND(AM496="",AN496=""),"",N(AN496)-N(AM496)))</f>
        <v/>
      </c>
      <c r="AR496">
        <f>IF(OR(AM$3="",AM$3&gt;TODAY()),"",IF(AND(AP496="",AQ496=""),"",N(AQ496)-N(AP496)))</f>
        <v/>
      </c>
      <c r="AV496">
        <f>IF(OR(AT$3="",AT$3&gt;TODAY()),"",IF(AND(AT496="",AU496=""),"",N(AU496)-N(AT496)))</f>
        <v/>
      </c>
      <c r="AY496">
        <f>IF(OR(AT$3="",AT$3&gt;TODAY()),"",IF(AND(AW496="",AX496=""),"",N(AX496)-N(AW496)))</f>
        <v/>
      </c>
      <c r="BC496">
        <f>IF(OR(BA$3="",BA$3&gt;TODAY()),"",IF(AND(BA496="",BB496=""),"",N(BB496)-N(BA496)))</f>
        <v/>
      </c>
      <c r="BF496">
        <f>IF(OR(BA$3="",BA$3&gt;TODAY()),"",IF(AND(BD496="",BE496=""),"",N(BE496)-N(BD496)))</f>
        <v/>
      </c>
      <c r="BJ496">
        <f>IF(OR(BH$3="",BH$3&gt;TODAY()),"",IF(AND(BH496="",BI496=""),"",N(BI496)-N(BH496)))</f>
        <v/>
      </c>
      <c r="BM496">
        <f>IF(OR(BH$3="",BH$3&gt;TODAY()),"",IF(AND(BK496="",BL496=""),"",N(BL496)-N(BK496)))</f>
        <v/>
      </c>
      <c r="BQ496">
        <f>IF(OR(BO$3="",BO$3&gt;TODAY()),"",IF(AND(BO496="",BP496=""),"",N(BP496)-N(BO496)))</f>
        <v/>
      </c>
      <c r="BT496">
        <f>IF(OR(BO$3="",BO$3&gt;TODAY()),"",IF(AND(BR496="",BS496=""),"",N(BS496)-N(BR496)))</f>
        <v/>
      </c>
      <c r="BX496">
        <f>IF(OR(BV$3="",BV$3&gt;TODAY()),"",IF(AND(BV496="",BW496=""),"",N(BW496)-N(BV496)))</f>
        <v/>
      </c>
      <c r="CA496">
        <f>IF(OR(BV$3="",BV$3&gt;TODAY()),"",IF(AND(BY496="",BZ496=""),"",N(BZ496)-N(BY496)))</f>
        <v/>
      </c>
      <c r="CE496">
        <f>IF(OR(CC$3="",CC$3&gt;TODAY()),"",IF(AND(CC496="",CD496=""),"",N(CD496)-N(CC496)))</f>
        <v/>
      </c>
      <c r="CH496">
        <f>IF(OR(CC$3="",CC$3&gt;TODAY()),"",IF(AND(CF496="",CG496=""),"",N(CG496)-N(CF496)))</f>
        <v/>
      </c>
      <c r="CL496">
        <f>IF(OR(CJ$3="",CJ$3&gt;TODAY()),"",IF(AND(CJ496="",CK496=""),"",N(CK496)-N(CJ496)))</f>
        <v/>
      </c>
      <c r="CO496">
        <f>IF(OR(CJ$3="",CJ$3&gt;TODAY()),"",IF(AND(CM496="",CN496=""),"",N(CN496)-N(CM496)))</f>
        <v/>
      </c>
      <c r="CS496">
        <f>IF(OR(CQ$3="",CQ$3&gt;TODAY()),"",IF(AND(CQ496="",CR496=""),"",N(CR496)-N(CQ496)))</f>
        <v/>
      </c>
      <c r="CV496">
        <f>IF(OR(CQ$3="",CQ$3&gt;TODAY()),"",IF(AND(CT496="",CU496=""),"",N(CU496)-N(CT496)))</f>
        <v/>
      </c>
      <c r="CZ496">
        <f>IF(OR(CX$3="",CX$3&gt;TODAY()),"",IF(AND(CX496="",CY496=""),"",N(CY496)-N(CX496)))</f>
        <v/>
      </c>
      <c r="DC496">
        <f>IF(OR(CX$3="",CX$3&gt;TODAY()),"",IF(AND(DA496="",DB496=""),"",N(DB496)-N(DA496)))</f>
        <v/>
      </c>
      <c r="DG496">
        <f>IF(OR(DE$3="",DE$3&gt;TODAY()),"",IF(AND(DE496="",DF496=""),"",N(DF496)-N(DE496)))</f>
        <v/>
      </c>
      <c r="DJ496">
        <f>IF(OR(DE$3="",DE$3&gt;TODAY()),"",IF(AND(DH496="",DI496=""),"",N(DI496)-N(DH496)))</f>
        <v/>
      </c>
      <c r="DN496">
        <f>IF(OR(DL$3="",DL$3&gt;TODAY()),"",IF(AND(DL496="",DM496=""),"",N(DM496)-N(DL496)))</f>
        <v/>
      </c>
      <c r="DQ496">
        <f>IF(OR(DL$3="",DL$3&gt;TODAY()),"",IF(AND(DO496="",DP496=""),"",N(DP496)-N(DO496)))</f>
        <v/>
      </c>
      <c r="DU496">
        <f>IF(OR(DS$3="",DS$3&gt;TODAY()),"",IF(AND(DS496="",DT496=""),"",N(DT496)-N(DS496)))</f>
        <v/>
      </c>
      <c r="DX496">
        <f>IF(OR(DS$3="",DS$3&gt;TODAY()),"",IF(AND(DV496="",DW496=""),"",N(DW496)-N(DV496)))</f>
        <v/>
      </c>
      <c r="EB496">
        <f>IF(OR(DZ$3="",DZ$3&gt;TODAY()),"",IF(AND(DZ496="",EA496=""),"",N(EA496)-N(DZ496)))</f>
        <v/>
      </c>
      <c r="EE496">
        <f>IF(OR(DZ$3="",DZ$3&gt;TODAY()),"",IF(AND(EC496="",ED496=""),"",N(ED496)-N(EC496)))</f>
        <v/>
      </c>
      <c r="EI496">
        <f>IF(OR(EG$3="",EG$3&gt;TODAY()),"",IF(AND(EG496="",EH496=""),"",N(EH496)-N(EG496)))</f>
        <v/>
      </c>
      <c r="EL496">
        <f>IF(OR(EG$3="",EG$3&gt;TODAY()),"",IF(AND(EJ496="",EK496=""),"",N(EK496)-N(EJ496)))</f>
        <v/>
      </c>
      <c r="EP496">
        <f>IF(OR(EN$3="",EN$3&gt;TODAY()),"",IF(AND(EN496="",EO496=""),"",N(EO496)-N(EN496)))</f>
        <v/>
      </c>
      <c r="ES496">
        <f>IF(OR(EN$3="",EN$3&gt;TODAY()),"",IF(AND(EQ496="",ER496=""),"",N(ER496)-N(EQ496)))</f>
        <v/>
      </c>
      <c r="EW496">
        <f>IF(OR(EU$3="",EU$3&gt;TODAY()),"",IF(AND(EU496="",EV496=""),"",N(EV496)-N(EU496)))</f>
        <v/>
      </c>
      <c r="EZ496">
        <f>IF(OR(EU$3="",EU$3&gt;TODAY()),"",IF(AND(EX496="",EY496=""),"",N(EY496)-N(EX496)))</f>
        <v/>
      </c>
      <c r="FD496">
        <f>IF(OR(FB$3="",FB$3&gt;TODAY()),"",IF(AND(FB496="",FC496=""),"",N(FC496)-N(FB496)))</f>
        <v/>
      </c>
      <c r="FG496">
        <f>IF(OR(FB$3="",FB$3&gt;TODAY()),"",IF(AND(FE496="",FF496=""),"",N(FF496)-N(FE496)))</f>
        <v/>
      </c>
      <c r="FK496">
        <f>IF(OR(FI$3="",FI$3&gt;TODAY()),"",IF(AND(FI496="",FJ496=""),"",N(FJ496)-N(FI496)))</f>
        <v/>
      </c>
      <c r="FN496">
        <f>IF(OR(FI$3="",FI$3&gt;TODAY()),"",IF(AND(FL496="",FM496=""),"",N(FM496)-N(FL496)))</f>
        <v/>
      </c>
      <c r="FR496">
        <f>IF(OR(FP$3="",FP$3&gt;TODAY()),"",IF(AND(FP496="",FQ496=""),"",N(FQ496)-N(FP496)))</f>
        <v/>
      </c>
      <c r="FU496">
        <f>IF(OR(FP$3="",FP$3&gt;TODAY()),"",IF(AND(FS496="",FT496=""),"",N(FT496)-N(FS496)))</f>
        <v/>
      </c>
      <c r="FY496">
        <f>IF(OR(FW$3="",FW$3&gt;TODAY()),"",IF(AND(FW496="",FX496=""),"",N(FX496)-N(FW496)))</f>
        <v/>
      </c>
      <c r="GB496">
        <f>IF(OR(FW$3="",FW$3&gt;TODAY()),"",IF(AND(FZ496="",GA496=""),"",N(GA496)-N(FZ496)))</f>
        <v/>
      </c>
      <c r="GF496">
        <f>IF(OR(GD$3="",GD$3&gt;TODAY()),"",IF(AND(GD496="",GE496=""),"",N(GE496)-N(GD496)))</f>
        <v/>
      </c>
      <c r="GI496">
        <f>IF(OR(GD$3="",GD$3&gt;TODAY()),"",IF(AND(GG496="",GH496=""),"",N(GH496)-N(GG496)))</f>
        <v/>
      </c>
      <c r="GM496">
        <f>IF(OR(GK$3="",GK$3&gt;TODAY()),"",IF(AND(GK496="",GL496=""),"",N(GL496)-N(GK496)))</f>
        <v/>
      </c>
      <c r="GP496">
        <f>IF(OR(GK$3="",GK$3&gt;TODAY()),"",IF(AND(GN496="",GO496=""),"",N(GO496)-N(GN496)))</f>
        <v/>
      </c>
      <c r="GT496">
        <f>IF(OR(GR$3="",GR$3&gt;TODAY()),"",IF(AND(GR496="",GS496=""),"",N(GS496)-N(GR496)))</f>
        <v/>
      </c>
      <c r="GW496">
        <f>IF(OR(GR$3="",GR$3&gt;TODAY()),"",IF(AND(GU496="",GV496=""),"",N(GV496)-N(GU496)))</f>
        <v/>
      </c>
      <c r="HA496">
        <f>IF(OR(GY$3="",GY$3&gt;TODAY()),"",IF(AND(GY496="",GZ496=""),"",N(GZ496)-N(GY496)))</f>
        <v/>
      </c>
      <c r="HD496">
        <f>IF(OR(GY$3="",GY$3&gt;TODAY()),"",IF(AND(HB496="",HC496=""),"",N(HC496)-N(HB496)))</f>
        <v/>
      </c>
      <c r="HH496">
        <f>IF(OR(HF$3="",HF$3&gt;TODAY()),"",IF(AND(HF496="",HG496=""),"",N(HG496)-N(HF496)))</f>
        <v/>
      </c>
      <c r="HK496">
        <f>IF(OR(HF$3="",HF$3&gt;TODAY()),"",IF(AND(HI496="",HJ496=""),"",N(HJ496)-N(HI496)))</f>
        <v/>
      </c>
      <c r="HO496">
        <f>IF(OR(HM$3="",HM$3&gt;TODAY()),"",IF(AND(HM496="",HN496=""),"",N(HN496)-N(HM496)))</f>
        <v/>
      </c>
      <c r="HR496">
        <f>IF(OR(HM$3="",HM$3&gt;TODAY()),"",IF(AND(HP496="",HQ496=""),"",N(HQ496)-N(HP496)))</f>
        <v/>
      </c>
      <c r="HV496">
        <f>IF(OR(HT$3="",HT$3&gt;TODAY()),"",IF(AND(HT496="",HU496=""),"",N(HU496)-N(HT496)))</f>
        <v/>
      </c>
      <c r="HY496">
        <f>IF(OR(HT$3="",HT$3&gt;TODAY()),"",IF(AND(HW496="",HX496=""),"",N(HX496)-N(HW496)))</f>
        <v/>
      </c>
      <c r="IC496">
        <f>IF(OR(IA$3="",IA$3&gt;TODAY()),"",IF(AND(IA496="",IB496=""),"",N(IB496)-N(IA496)))</f>
        <v/>
      </c>
      <c r="IF496">
        <f>IF(OR(IA$3="",IA$3&gt;TODAY()),"",IF(AND(ID496="",IE496=""),"",N(IE496)-N(ID496)))</f>
        <v/>
      </c>
      <c r="IJ496">
        <f>IF(OR(IH$3="",IH$3&gt;TODAY()),"",IF(AND(IH496="",II496=""),"",N(II496)-N(IH496)))</f>
        <v/>
      </c>
      <c r="IM496">
        <f>IF(OR(IH$3="",IH$3&gt;TODAY()),"",IF(AND(IK496="",IL496=""),"",N(IL496)-N(IK496)))</f>
        <v/>
      </c>
    </row>
    <row r="497">
      <c r="A497" s="21" t="n"/>
      <c r="B497" s="21" t="n"/>
      <c r="C497" s="21" t="n"/>
      <c r="D497" s="21" t="n"/>
      <c r="E497" s="21" t="n"/>
      <c r="F497" s="21" t="n"/>
      <c r="G497" s="21" t="n"/>
      <c r="H497" s="21" t="n"/>
      <c r="I497" s="22" t="n"/>
      <c r="J497" s="22" t="n"/>
      <c r="K497" s="23" t="n"/>
      <c r="L497" s="22" t="n"/>
      <c r="M497" s="22" t="n"/>
      <c r="N497" s="21" t="n"/>
      <c r="O497" s="23" t="n"/>
      <c r="P497" s="23" t="n"/>
      <c r="Q497" s="23" t="n"/>
      <c r="R497" s="23" t="n"/>
      <c r="S497" s="22" t="n"/>
      <c r="T497" s="23" t="n"/>
      <c r="U497" s="23" t="n"/>
      <c r="V497" s="24">
        <f>IF(J497&lt;&gt;"",J497,IF(I497&lt;&gt;"",I497,""))</f>
        <v/>
      </c>
      <c r="W497" s="25">
        <f>IF($E497="","",N(O497)+SUMIFS($AF497:$IN497,$AF$4:$IN$4,"SEW_ACT"))</f>
        <v/>
      </c>
      <c r="X497" s="25">
        <f>IF($E497="","",N(P497)+SUMIFS($AF497:$IN497,$AF$4:$IN$4,"WASH_ACT"))</f>
        <v/>
      </c>
      <c r="Y497" s="25">
        <f>IF($E497="","",W497-X497-N(T497)-N(U497))</f>
        <v/>
      </c>
      <c r="Z497" s="25">
        <f>IF($E497="","",IF(N(K497)-X497&lt;=0.02*N(K497),0,N(K497)-X497))</f>
        <v/>
      </c>
      <c r="AA497" s="24">
        <f>IF($E497="","",IF(S497&lt;&gt;"",S497,IF(N(O497)&gt;0,IF(L497&lt;&gt;"",L497,99999),IFERROR(1/(1/_xlfn.MINIFS($AF$3:$IN$3,$AF$4:$IN$4,"SEW_ACT",$AF497:$IN497,"&gt;0")),99999))))</f>
        <v/>
      </c>
      <c r="AB497" s="26">
        <f>IF(OR($E497="",Z497=0,V497=""),"",1+COUNTIFS(Z$8:Z$707,"&gt;0",V$8:V$707,"&lt;"&amp;V497)+COUNTIFS(Z$8:Z$707,"&gt;0",V$8:V$707,V497,AA$8:AA$707,"&lt;"&amp;AA497)+COUNTIFS(Z$8:Z$707,"&gt;0",V$8:V$707,V497,AA$8:AA$707,AA497,E$8:E$707,"&lt;"&amp;$E497))</f>
        <v/>
      </c>
      <c r="AC497" s="24">
        <f>IF(OR($E497="",Z497=0),"",IFERROR(TODAY()+ROUNDUP(Z497/(SUMIFS($AF497:$IN497,$AF$4:$IN$4,"WASH_ACT")/COUNTIFS($AF$4:$IN$4,"WASH_ACT",$AF497:$IN497,"&gt;0")),0),"no output yet"))</f>
        <v/>
      </c>
      <c r="AD497" s="26">
        <f>IF($E497="","",IFERROR(ROUND(MAX(0,SUMIFS($AF497:$IN497,$AF$4:$IN$4,"SEW_PLAN",$AF$3:$IN$3,"&lt;="&amp;TODAY())-SUMIFS($AF497:$IN497,$AF$4:$IN$4,"SEW_ACT",$AF$3:$IN$3,"&lt;="&amp;TODAY())+N(Q497))/(SUMIFS($AF497:$IN497,$AF$4:$IN$4,"SEW_PLAN")/COUNTIFS($AF$4:$IN$4,"SEW_PLAN",$AF497:$IN497,"&gt;0")),1),0))</f>
        <v/>
      </c>
      <c r="AE497" s="26">
        <f>IF($E497="","",IF(AND(Z497&gt;0,OR(AND(M497&lt;&gt;"",TODAY()&gt;M497),AND(V497&lt;&gt;"",V497-TODAY()&lt;=7))),"Yes","No"))</f>
        <v/>
      </c>
      <c r="AH497">
        <f>IF(OR(AF$3="",AF$3&gt;TODAY()),"",IF(AND(AF497="",AG497=""),"",N(AG497)-N(AF497)))</f>
        <v/>
      </c>
      <c r="AK497">
        <f>IF(OR(AF$3="",AF$3&gt;TODAY()),"",IF(AND(AI497="",AJ497=""),"",N(AJ497)-N(AI497)))</f>
        <v/>
      </c>
      <c r="AO497">
        <f>IF(OR(AM$3="",AM$3&gt;TODAY()),"",IF(AND(AM497="",AN497=""),"",N(AN497)-N(AM497)))</f>
        <v/>
      </c>
      <c r="AR497">
        <f>IF(OR(AM$3="",AM$3&gt;TODAY()),"",IF(AND(AP497="",AQ497=""),"",N(AQ497)-N(AP497)))</f>
        <v/>
      </c>
      <c r="AV497">
        <f>IF(OR(AT$3="",AT$3&gt;TODAY()),"",IF(AND(AT497="",AU497=""),"",N(AU497)-N(AT497)))</f>
        <v/>
      </c>
      <c r="AY497">
        <f>IF(OR(AT$3="",AT$3&gt;TODAY()),"",IF(AND(AW497="",AX497=""),"",N(AX497)-N(AW497)))</f>
        <v/>
      </c>
      <c r="BC497">
        <f>IF(OR(BA$3="",BA$3&gt;TODAY()),"",IF(AND(BA497="",BB497=""),"",N(BB497)-N(BA497)))</f>
        <v/>
      </c>
      <c r="BF497">
        <f>IF(OR(BA$3="",BA$3&gt;TODAY()),"",IF(AND(BD497="",BE497=""),"",N(BE497)-N(BD497)))</f>
        <v/>
      </c>
      <c r="BJ497">
        <f>IF(OR(BH$3="",BH$3&gt;TODAY()),"",IF(AND(BH497="",BI497=""),"",N(BI497)-N(BH497)))</f>
        <v/>
      </c>
      <c r="BM497">
        <f>IF(OR(BH$3="",BH$3&gt;TODAY()),"",IF(AND(BK497="",BL497=""),"",N(BL497)-N(BK497)))</f>
        <v/>
      </c>
      <c r="BQ497">
        <f>IF(OR(BO$3="",BO$3&gt;TODAY()),"",IF(AND(BO497="",BP497=""),"",N(BP497)-N(BO497)))</f>
        <v/>
      </c>
      <c r="BT497">
        <f>IF(OR(BO$3="",BO$3&gt;TODAY()),"",IF(AND(BR497="",BS497=""),"",N(BS497)-N(BR497)))</f>
        <v/>
      </c>
      <c r="BX497">
        <f>IF(OR(BV$3="",BV$3&gt;TODAY()),"",IF(AND(BV497="",BW497=""),"",N(BW497)-N(BV497)))</f>
        <v/>
      </c>
      <c r="CA497">
        <f>IF(OR(BV$3="",BV$3&gt;TODAY()),"",IF(AND(BY497="",BZ497=""),"",N(BZ497)-N(BY497)))</f>
        <v/>
      </c>
      <c r="CE497">
        <f>IF(OR(CC$3="",CC$3&gt;TODAY()),"",IF(AND(CC497="",CD497=""),"",N(CD497)-N(CC497)))</f>
        <v/>
      </c>
      <c r="CH497">
        <f>IF(OR(CC$3="",CC$3&gt;TODAY()),"",IF(AND(CF497="",CG497=""),"",N(CG497)-N(CF497)))</f>
        <v/>
      </c>
      <c r="CL497">
        <f>IF(OR(CJ$3="",CJ$3&gt;TODAY()),"",IF(AND(CJ497="",CK497=""),"",N(CK497)-N(CJ497)))</f>
        <v/>
      </c>
      <c r="CO497">
        <f>IF(OR(CJ$3="",CJ$3&gt;TODAY()),"",IF(AND(CM497="",CN497=""),"",N(CN497)-N(CM497)))</f>
        <v/>
      </c>
      <c r="CS497">
        <f>IF(OR(CQ$3="",CQ$3&gt;TODAY()),"",IF(AND(CQ497="",CR497=""),"",N(CR497)-N(CQ497)))</f>
        <v/>
      </c>
      <c r="CV497">
        <f>IF(OR(CQ$3="",CQ$3&gt;TODAY()),"",IF(AND(CT497="",CU497=""),"",N(CU497)-N(CT497)))</f>
        <v/>
      </c>
      <c r="CZ497">
        <f>IF(OR(CX$3="",CX$3&gt;TODAY()),"",IF(AND(CX497="",CY497=""),"",N(CY497)-N(CX497)))</f>
        <v/>
      </c>
      <c r="DC497">
        <f>IF(OR(CX$3="",CX$3&gt;TODAY()),"",IF(AND(DA497="",DB497=""),"",N(DB497)-N(DA497)))</f>
        <v/>
      </c>
      <c r="DG497">
        <f>IF(OR(DE$3="",DE$3&gt;TODAY()),"",IF(AND(DE497="",DF497=""),"",N(DF497)-N(DE497)))</f>
        <v/>
      </c>
      <c r="DJ497">
        <f>IF(OR(DE$3="",DE$3&gt;TODAY()),"",IF(AND(DH497="",DI497=""),"",N(DI497)-N(DH497)))</f>
        <v/>
      </c>
      <c r="DN497">
        <f>IF(OR(DL$3="",DL$3&gt;TODAY()),"",IF(AND(DL497="",DM497=""),"",N(DM497)-N(DL497)))</f>
        <v/>
      </c>
      <c r="DQ497">
        <f>IF(OR(DL$3="",DL$3&gt;TODAY()),"",IF(AND(DO497="",DP497=""),"",N(DP497)-N(DO497)))</f>
        <v/>
      </c>
      <c r="DU497">
        <f>IF(OR(DS$3="",DS$3&gt;TODAY()),"",IF(AND(DS497="",DT497=""),"",N(DT497)-N(DS497)))</f>
        <v/>
      </c>
      <c r="DX497">
        <f>IF(OR(DS$3="",DS$3&gt;TODAY()),"",IF(AND(DV497="",DW497=""),"",N(DW497)-N(DV497)))</f>
        <v/>
      </c>
      <c r="EB497">
        <f>IF(OR(DZ$3="",DZ$3&gt;TODAY()),"",IF(AND(DZ497="",EA497=""),"",N(EA497)-N(DZ497)))</f>
        <v/>
      </c>
      <c r="EE497">
        <f>IF(OR(DZ$3="",DZ$3&gt;TODAY()),"",IF(AND(EC497="",ED497=""),"",N(ED497)-N(EC497)))</f>
        <v/>
      </c>
      <c r="EI497">
        <f>IF(OR(EG$3="",EG$3&gt;TODAY()),"",IF(AND(EG497="",EH497=""),"",N(EH497)-N(EG497)))</f>
        <v/>
      </c>
      <c r="EL497">
        <f>IF(OR(EG$3="",EG$3&gt;TODAY()),"",IF(AND(EJ497="",EK497=""),"",N(EK497)-N(EJ497)))</f>
        <v/>
      </c>
      <c r="EP497">
        <f>IF(OR(EN$3="",EN$3&gt;TODAY()),"",IF(AND(EN497="",EO497=""),"",N(EO497)-N(EN497)))</f>
        <v/>
      </c>
      <c r="ES497">
        <f>IF(OR(EN$3="",EN$3&gt;TODAY()),"",IF(AND(EQ497="",ER497=""),"",N(ER497)-N(EQ497)))</f>
        <v/>
      </c>
      <c r="EW497">
        <f>IF(OR(EU$3="",EU$3&gt;TODAY()),"",IF(AND(EU497="",EV497=""),"",N(EV497)-N(EU497)))</f>
        <v/>
      </c>
      <c r="EZ497">
        <f>IF(OR(EU$3="",EU$3&gt;TODAY()),"",IF(AND(EX497="",EY497=""),"",N(EY497)-N(EX497)))</f>
        <v/>
      </c>
      <c r="FD497">
        <f>IF(OR(FB$3="",FB$3&gt;TODAY()),"",IF(AND(FB497="",FC497=""),"",N(FC497)-N(FB497)))</f>
        <v/>
      </c>
      <c r="FG497">
        <f>IF(OR(FB$3="",FB$3&gt;TODAY()),"",IF(AND(FE497="",FF497=""),"",N(FF497)-N(FE497)))</f>
        <v/>
      </c>
      <c r="FK497">
        <f>IF(OR(FI$3="",FI$3&gt;TODAY()),"",IF(AND(FI497="",FJ497=""),"",N(FJ497)-N(FI497)))</f>
        <v/>
      </c>
      <c r="FN497">
        <f>IF(OR(FI$3="",FI$3&gt;TODAY()),"",IF(AND(FL497="",FM497=""),"",N(FM497)-N(FL497)))</f>
        <v/>
      </c>
      <c r="FR497">
        <f>IF(OR(FP$3="",FP$3&gt;TODAY()),"",IF(AND(FP497="",FQ497=""),"",N(FQ497)-N(FP497)))</f>
        <v/>
      </c>
      <c r="FU497">
        <f>IF(OR(FP$3="",FP$3&gt;TODAY()),"",IF(AND(FS497="",FT497=""),"",N(FT497)-N(FS497)))</f>
        <v/>
      </c>
      <c r="FY497">
        <f>IF(OR(FW$3="",FW$3&gt;TODAY()),"",IF(AND(FW497="",FX497=""),"",N(FX497)-N(FW497)))</f>
        <v/>
      </c>
      <c r="GB497">
        <f>IF(OR(FW$3="",FW$3&gt;TODAY()),"",IF(AND(FZ497="",GA497=""),"",N(GA497)-N(FZ497)))</f>
        <v/>
      </c>
      <c r="GF497">
        <f>IF(OR(GD$3="",GD$3&gt;TODAY()),"",IF(AND(GD497="",GE497=""),"",N(GE497)-N(GD497)))</f>
        <v/>
      </c>
      <c r="GI497">
        <f>IF(OR(GD$3="",GD$3&gt;TODAY()),"",IF(AND(GG497="",GH497=""),"",N(GH497)-N(GG497)))</f>
        <v/>
      </c>
      <c r="GM497">
        <f>IF(OR(GK$3="",GK$3&gt;TODAY()),"",IF(AND(GK497="",GL497=""),"",N(GL497)-N(GK497)))</f>
        <v/>
      </c>
      <c r="GP497">
        <f>IF(OR(GK$3="",GK$3&gt;TODAY()),"",IF(AND(GN497="",GO497=""),"",N(GO497)-N(GN497)))</f>
        <v/>
      </c>
      <c r="GT497">
        <f>IF(OR(GR$3="",GR$3&gt;TODAY()),"",IF(AND(GR497="",GS497=""),"",N(GS497)-N(GR497)))</f>
        <v/>
      </c>
      <c r="GW497">
        <f>IF(OR(GR$3="",GR$3&gt;TODAY()),"",IF(AND(GU497="",GV497=""),"",N(GV497)-N(GU497)))</f>
        <v/>
      </c>
      <c r="HA497">
        <f>IF(OR(GY$3="",GY$3&gt;TODAY()),"",IF(AND(GY497="",GZ497=""),"",N(GZ497)-N(GY497)))</f>
        <v/>
      </c>
      <c r="HD497">
        <f>IF(OR(GY$3="",GY$3&gt;TODAY()),"",IF(AND(HB497="",HC497=""),"",N(HC497)-N(HB497)))</f>
        <v/>
      </c>
      <c r="HH497">
        <f>IF(OR(HF$3="",HF$3&gt;TODAY()),"",IF(AND(HF497="",HG497=""),"",N(HG497)-N(HF497)))</f>
        <v/>
      </c>
      <c r="HK497">
        <f>IF(OR(HF$3="",HF$3&gt;TODAY()),"",IF(AND(HI497="",HJ497=""),"",N(HJ497)-N(HI497)))</f>
        <v/>
      </c>
      <c r="HO497">
        <f>IF(OR(HM$3="",HM$3&gt;TODAY()),"",IF(AND(HM497="",HN497=""),"",N(HN497)-N(HM497)))</f>
        <v/>
      </c>
      <c r="HR497">
        <f>IF(OR(HM$3="",HM$3&gt;TODAY()),"",IF(AND(HP497="",HQ497=""),"",N(HQ497)-N(HP497)))</f>
        <v/>
      </c>
      <c r="HV497">
        <f>IF(OR(HT$3="",HT$3&gt;TODAY()),"",IF(AND(HT497="",HU497=""),"",N(HU497)-N(HT497)))</f>
        <v/>
      </c>
      <c r="HY497">
        <f>IF(OR(HT$3="",HT$3&gt;TODAY()),"",IF(AND(HW497="",HX497=""),"",N(HX497)-N(HW497)))</f>
        <v/>
      </c>
      <c r="IC497">
        <f>IF(OR(IA$3="",IA$3&gt;TODAY()),"",IF(AND(IA497="",IB497=""),"",N(IB497)-N(IA497)))</f>
        <v/>
      </c>
      <c r="IF497">
        <f>IF(OR(IA$3="",IA$3&gt;TODAY()),"",IF(AND(ID497="",IE497=""),"",N(IE497)-N(ID497)))</f>
        <v/>
      </c>
      <c r="IJ497">
        <f>IF(OR(IH$3="",IH$3&gt;TODAY()),"",IF(AND(IH497="",II497=""),"",N(II497)-N(IH497)))</f>
        <v/>
      </c>
      <c r="IM497">
        <f>IF(OR(IH$3="",IH$3&gt;TODAY()),"",IF(AND(IK497="",IL497=""),"",N(IL497)-N(IK497)))</f>
        <v/>
      </c>
    </row>
    <row r="498">
      <c r="A498" s="21" t="n"/>
      <c r="B498" s="21" t="n"/>
      <c r="C498" s="21" t="n"/>
      <c r="D498" s="21" t="n"/>
      <c r="E498" s="21" t="n"/>
      <c r="F498" s="21" t="n"/>
      <c r="G498" s="21" t="n"/>
      <c r="H498" s="21" t="n"/>
      <c r="I498" s="22" t="n"/>
      <c r="J498" s="22" t="n"/>
      <c r="K498" s="23" t="n"/>
      <c r="L498" s="22" t="n"/>
      <c r="M498" s="22" t="n"/>
      <c r="N498" s="21" t="n"/>
      <c r="O498" s="23" t="n"/>
      <c r="P498" s="23" t="n"/>
      <c r="Q498" s="23" t="n"/>
      <c r="R498" s="23" t="n"/>
      <c r="S498" s="22" t="n"/>
      <c r="T498" s="23" t="n"/>
      <c r="U498" s="23" t="n"/>
      <c r="V498" s="24">
        <f>IF(J498&lt;&gt;"",J498,IF(I498&lt;&gt;"",I498,""))</f>
        <v/>
      </c>
      <c r="W498" s="25">
        <f>IF($E498="","",N(O498)+SUMIFS($AF498:$IN498,$AF$4:$IN$4,"SEW_ACT"))</f>
        <v/>
      </c>
      <c r="X498" s="25">
        <f>IF($E498="","",N(P498)+SUMIFS($AF498:$IN498,$AF$4:$IN$4,"WASH_ACT"))</f>
        <v/>
      </c>
      <c r="Y498" s="25">
        <f>IF($E498="","",W498-X498-N(T498)-N(U498))</f>
        <v/>
      </c>
      <c r="Z498" s="25">
        <f>IF($E498="","",IF(N(K498)-X498&lt;=0.02*N(K498),0,N(K498)-X498))</f>
        <v/>
      </c>
      <c r="AA498" s="24">
        <f>IF($E498="","",IF(S498&lt;&gt;"",S498,IF(N(O498)&gt;0,IF(L498&lt;&gt;"",L498,99999),IFERROR(1/(1/_xlfn.MINIFS($AF$3:$IN$3,$AF$4:$IN$4,"SEW_ACT",$AF498:$IN498,"&gt;0")),99999))))</f>
        <v/>
      </c>
      <c r="AB498" s="26">
        <f>IF(OR($E498="",Z498=0,V498=""),"",1+COUNTIFS(Z$8:Z$707,"&gt;0",V$8:V$707,"&lt;"&amp;V498)+COUNTIFS(Z$8:Z$707,"&gt;0",V$8:V$707,V498,AA$8:AA$707,"&lt;"&amp;AA498)+COUNTIFS(Z$8:Z$707,"&gt;0",V$8:V$707,V498,AA$8:AA$707,AA498,E$8:E$707,"&lt;"&amp;$E498))</f>
        <v/>
      </c>
      <c r="AC498" s="24">
        <f>IF(OR($E498="",Z498=0),"",IFERROR(TODAY()+ROUNDUP(Z498/(SUMIFS($AF498:$IN498,$AF$4:$IN$4,"WASH_ACT")/COUNTIFS($AF$4:$IN$4,"WASH_ACT",$AF498:$IN498,"&gt;0")),0),"no output yet"))</f>
        <v/>
      </c>
      <c r="AD498" s="26">
        <f>IF($E498="","",IFERROR(ROUND(MAX(0,SUMIFS($AF498:$IN498,$AF$4:$IN$4,"SEW_PLAN",$AF$3:$IN$3,"&lt;="&amp;TODAY())-SUMIFS($AF498:$IN498,$AF$4:$IN$4,"SEW_ACT",$AF$3:$IN$3,"&lt;="&amp;TODAY())+N(Q498))/(SUMIFS($AF498:$IN498,$AF$4:$IN$4,"SEW_PLAN")/COUNTIFS($AF$4:$IN$4,"SEW_PLAN",$AF498:$IN498,"&gt;0")),1),0))</f>
        <v/>
      </c>
      <c r="AE498" s="26">
        <f>IF($E498="","",IF(AND(Z498&gt;0,OR(AND(M498&lt;&gt;"",TODAY()&gt;M498),AND(V498&lt;&gt;"",V498-TODAY()&lt;=7))),"Yes","No"))</f>
        <v/>
      </c>
      <c r="AH498">
        <f>IF(OR(AF$3="",AF$3&gt;TODAY()),"",IF(AND(AF498="",AG498=""),"",N(AG498)-N(AF498)))</f>
        <v/>
      </c>
      <c r="AK498">
        <f>IF(OR(AF$3="",AF$3&gt;TODAY()),"",IF(AND(AI498="",AJ498=""),"",N(AJ498)-N(AI498)))</f>
        <v/>
      </c>
      <c r="AO498">
        <f>IF(OR(AM$3="",AM$3&gt;TODAY()),"",IF(AND(AM498="",AN498=""),"",N(AN498)-N(AM498)))</f>
        <v/>
      </c>
      <c r="AR498">
        <f>IF(OR(AM$3="",AM$3&gt;TODAY()),"",IF(AND(AP498="",AQ498=""),"",N(AQ498)-N(AP498)))</f>
        <v/>
      </c>
      <c r="AV498">
        <f>IF(OR(AT$3="",AT$3&gt;TODAY()),"",IF(AND(AT498="",AU498=""),"",N(AU498)-N(AT498)))</f>
        <v/>
      </c>
      <c r="AY498">
        <f>IF(OR(AT$3="",AT$3&gt;TODAY()),"",IF(AND(AW498="",AX498=""),"",N(AX498)-N(AW498)))</f>
        <v/>
      </c>
      <c r="BC498">
        <f>IF(OR(BA$3="",BA$3&gt;TODAY()),"",IF(AND(BA498="",BB498=""),"",N(BB498)-N(BA498)))</f>
        <v/>
      </c>
      <c r="BF498">
        <f>IF(OR(BA$3="",BA$3&gt;TODAY()),"",IF(AND(BD498="",BE498=""),"",N(BE498)-N(BD498)))</f>
        <v/>
      </c>
      <c r="BJ498">
        <f>IF(OR(BH$3="",BH$3&gt;TODAY()),"",IF(AND(BH498="",BI498=""),"",N(BI498)-N(BH498)))</f>
        <v/>
      </c>
      <c r="BM498">
        <f>IF(OR(BH$3="",BH$3&gt;TODAY()),"",IF(AND(BK498="",BL498=""),"",N(BL498)-N(BK498)))</f>
        <v/>
      </c>
      <c r="BQ498">
        <f>IF(OR(BO$3="",BO$3&gt;TODAY()),"",IF(AND(BO498="",BP498=""),"",N(BP498)-N(BO498)))</f>
        <v/>
      </c>
      <c r="BT498">
        <f>IF(OR(BO$3="",BO$3&gt;TODAY()),"",IF(AND(BR498="",BS498=""),"",N(BS498)-N(BR498)))</f>
        <v/>
      </c>
      <c r="BX498">
        <f>IF(OR(BV$3="",BV$3&gt;TODAY()),"",IF(AND(BV498="",BW498=""),"",N(BW498)-N(BV498)))</f>
        <v/>
      </c>
      <c r="CA498">
        <f>IF(OR(BV$3="",BV$3&gt;TODAY()),"",IF(AND(BY498="",BZ498=""),"",N(BZ498)-N(BY498)))</f>
        <v/>
      </c>
      <c r="CE498">
        <f>IF(OR(CC$3="",CC$3&gt;TODAY()),"",IF(AND(CC498="",CD498=""),"",N(CD498)-N(CC498)))</f>
        <v/>
      </c>
      <c r="CH498">
        <f>IF(OR(CC$3="",CC$3&gt;TODAY()),"",IF(AND(CF498="",CG498=""),"",N(CG498)-N(CF498)))</f>
        <v/>
      </c>
      <c r="CL498">
        <f>IF(OR(CJ$3="",CJ$3&gt;TODAY()),"",IF(AND(CJ498="",CK498=""),"",N(CK498)-N(CJ498)))</f>
        <v/>
      </c>
      <c r="CO498">
        <f>IF(OR(CJ$3="",CJ$3&gt;TODAY()),"",IF(AND(CM498="",CN498=""),"",N(CN498)-N(CM498)))</f>
        <v/>
      </c>
      <c r="CS498">
        <f>IF(OR(CQ$3="",CQ$3&gt;TODAY()),"",IF(AND(CQ498="",CR498=""),"",N(CR498)-N(CQ498)))</f>
        <v/>
      </c>
      <c r="CV498">
        <f>IF(OR(CQ$3="",CQ$3&gt;TODAY()),"",IF(AND(CT498="",CU498=""),"",N(CU498)-N(CT498)))</f>
        <v/>
      </c>
      <c r="CZ498">
        <f>IF(OR(CX$3="",CX$3&gt;TODAY()),"",IF(AND(CX498="",CY498=""),"",N(CY498)-N(CX498)))</f>
        <v/>
      </c>
      <c r="DC498">
        <f>IF(OR(CX$3="",CX$3&gt;TODAY()),"",IF(AND(DA498="",DB498=""),"",N(DB498)-N(DA498)))</f>
        <v/>
      </c>
      <c r="DG498">
        <f>IF(OR(DE$3="",DE$3&gt;TODAY()),"",IF(AND(DE498="",DF498=""),"",N(DF498)-N(DE498)))</f>
        <v/>
      </c>
      <c r="DJ498">
        <f>IF(OR(DE$3="",DE$3&gt;TODAY()),"",IF(AND(DH498="",DI498=""),"",N(DI498)-N(DH498)))</f>
        <v/>
      </c>
      <c r="DN498">
        <f>IF(OR(DL$3="",DL$3&gt;TODAY()),"",IF(AND(DL498="",DM498=""),"",N(DM498)-N(DL498)))</f>
        <v/>
      </c>
      <c r="DQ498">
        <f>IF(OR(DL$3="",DL$3&gt;TODAY()),"",IF(AND(DO498="",DP498=""),"",N(DP498)-N(DO498)))</f>
        <v/>
      </c>
      <c r="DU498">
        <f>IF(OR(DS$3="",DS$3&gt;TODAY()),"",IF(AND(DS498="",DT498=""),"",N(DT498)-N(DS498)))</f>
        <v/>
      </c>
      <c r="DX498">
        <f>IF(OR(DS$3="",DS$3&gt;TODAY()),"",IF(AND(DV498="",DW498=""),"",N(DW498)-N(DV498)))</f>
        <v/>
      </c>
      <c r="EB498">
        <f>IF(OR(DZ$3="",DZ$3&gt;TODAY()),"",IF(AND(DZ498="",EA498=""),"",N(EA498)-N(DZ498)))</f>
        <v/>
      </c>
      <c r="EE498">
        <f>IF(OR(DZ$3="",DZ$3&gt;TODAY()),"",IF(AND(EC498="",ED498=""),"",N(ED498)-N(EC498)))</f>
        <v/>
      </c>
      <c r="EI498">
        <f>IF(OR(EG$3="",EG$3&gt;TODAY()),"",IF(AND(EG498="",EH498=""),"",N(EH498)-N(EG498)))</f>
        <v/>
      </c>
      <c r="EL498">
        <f>IF(OR(EG$3="",EG$3&gt;TODAY()),"",IF(AND(EJ498="",EK498=""),"",N(EK498)-N(EJ498)))</f>
        <v/>
      </c>
      <c r="EP498">
        <f>IF(OR(EN$3="",EN$3&gt;TODAY()),"",IF(AND(EN498="",EO498=""),"",N(EO498)-N(EN498)))</f>
        <v/>
      </c>
      <c r="ES498">
        <f>IF(OR(EN$3="",EN$3&gt;TODAY()),"",IF(AND(EQ498="",ER498=""),"",N(ER498)-N(EQ498)))</f>
        <v/>
      </c>
      <c r="EW498">
        <f>IF(OR(EU$3="",EU$3&gt;TODAY()),"",IF(AND(EU498="",EV498=""),"",N(EV498)-N(EU498)))</f>
        <v/>
      </c>
      <c r="EZ498">
        <f>IF(OR(EU$3="",EU$3&gt;TODAY()),"",IF(AND(EX498="",EY498=""),"",N(EY498)-N(EX498)))</f>
        <v/>
      </c>
      <c r="FD498">
        <f>IF(OR(FB$3="",FB$3&gt;TODAY()),"",IF(AND(FB498="",FC498=""),"",N(FC498)-N(FB498)))</f>
        <v/>
      </c>
      <c r="FG498">
        <f>IF(OR(FB$3="",FB$3&gt;TODAY()),"",IF(AND(FE498="",FF498=""),"",N(FF498)-N(FE498)))</f>
        <v/>
      </c>
      <c r="FK498">
        <f>IF(OR(FI$3="",FI$3&gt;TODAY()),"",IF(AND(FI498="",FJ498=""),"",N(FJ498)-N(FI498)))</f>
        <v/>
      </c>
      <c r="FN498">
        <f>IF(OR(FI$3="",FI$3&gt;TODAY()),"",IF(AND(FL498="",FM498=""),"",N(FM498)-N(FL498)))</f>
        <v/>
      </c>
      <c r="FR498">
        <f>IF(OR(FP$3="",FP$3&gt;TODAY()),"",IF(AND(FP498="",FQ498=""),"",N(FQ498)-N(FP498)))</f>
        <v/>
      </c>
      <c r="FU498">
        <f>IF(OR(FP$3="",FP$3&gt;TODAY()),"",IF(AND(FS498="",FT498=""),"",N(FT498)-N(FS498)))</f>
        <v/>
      </c>
      <c r="FY498">
        <f>IF(OR(FW$3="",FW$3&gt;TODAY()),"",IF(AND(FW498="",FX498=""),"",N(FX498)-N(FW498)))</f>
        <v/>
      </c>
      <c r="GB498">
        <f>IF(OR(FW$3="",FW$3&gt;TODAY()),"",IF(AND(FZ498="",GA498=""),"",N(GA498)-N(FZ498)))</f>
        <v/>
      </c>
      <c r="GF498">
        <f>IF(OR(GD$3="",GD$3&gt;TODAY()),"",IF(AND(GD498="",GE498=""),"",N(GE498)-N(GD498)))</f>
        <v/>
      </c>
      <c r="GI498">
        <f>IF(OR(GD$3="",GD$3&gt;TODAY()),"",IF(AND(GG498="",GH498=""),"",N(GH498)-N(GG498)))</f>
        <v/>
      </c>
      <c r="GM498">
        <f>IF(OR(GK$3="",GK$3&gt;TODAY()),"",IF(AND(GK498="",GL498=""),"",N(GL498)-N(GK498)))</f>
        <v/>
      </c>
      <c r="GP498">
        <f>IF(OR(GK$3="",GK$3&gt;TODAY()),"",IF(AND(GN498="",GO498=""),"",N(GO498)-N(GN498)))</f>
        <v/>
      </c>
      <c r="GT498">
        <f>IF(OR(GR$3="",GR$3&gt;TODAY()),"",IF(AND(GR498="",GS498=""),"",N(GS498)-N(GR498)))</f>
        <v/>
      </c>
      <c r="GW498">
        <f>IF(OR(GR$3="",GR$3&gt;TODAY()),"",IF(AND(GU498="",GV498=""),"",N(GV498)-N(GU498)))</f>
        <v/>
      </c>
      <c r="HA498">
        <f>IF(OR(GY$3="",GY$3&gt;TODAY()),"",IF(AND(GY498="",GZ498=""),"",N(GZ498)-N(GY498)))</f>
        <v/>
      </c>
      <c r="HD498">
        <f>IF(OR(GY$3="",GY$3&gt;TODAY()),"",IF(AND(HB498="",HC498=""),"",N(HC498)-N(HB498)))</f>
        <v/>
      </c>
      <c r="HH498">
        <f>IF(OR(HF$3="",HF$3&gt;TODAY()),"",IF(AND(HF498="",HG498=""),"",N(HG498)-N(HF498)))</f>
        <v/>
      </c>
      <c r="HK498">
        <f>IF(OR(HF$3="",HF$3&gt;TODAY()),"",IF(AND(HI498="",HJ498=""),"",N(HJ498)-N(HI498)))</f>
        <v/>
      </c>
      <c r="HO498">
        <f>IF(OR(HM$3="",HM$3&gt;TODAY()),"",IF(AND(HM498="",HN498=""),"",N(HN498)-N(HM498)))</f>
        <v/>
      </c>
      <c r="HR498">
        <f>IF(OR(HM$3="",HM$3&gt;TODAY()),"",IF(AND(HP498="",HQ498=""),"",N(HQ498)-N(HP498)))</f>
        <v/>
      </c>
      <c r="HV498">
        <f>IF(OR(HT$3="",HT$3&gt;TODAY()),"",IF(AND(HT498="",HU498=""),"",N(HU498)-N(HT498)))</f>
        <v/>
      </c>
      <c r="HY498">
        <f>IF(OR(HT$3="",HT$3&gt;TODAY()),"",IF(AND(HW498="",HX498=""),"",N(HX498)-N(HW498)))</f>
        <v/>
      </c>
      <c r="IC498">
        <f>IF(OR(IA$3="",IA$3&gt;TODAY()),"",IF(AND(IA498="",IB498=""),"",N(IB498)-N(IA498)))</f>
        <v/>
      </c>
      <c r="IF498">
        <f>IF(OR(IA$3="",IA$3&gt;TODAY()),"",IF(AND(ID498="",IE498=""),"",N(IE498)-N(ID498)))</f>
        <v/>
      </c>
      <c r="IJ498">
        <f>IF(OR(IH$3="",IH$3&gt;TODAY()),"",IF(AND(IH498="",II498=""),"",N(II498)-N(IH498)))</f>
        <v/>
      </c>
      <c r="IM498">
        <f>IF(OR(IH$3="",IH$3&gt;TODAY()),"",IF(AND(IK498="",IL498=""),"",N(IL498)-N(IK498)))</f>
        <v/>
      </c>
    </row>
    <row r="499">
      <c r="A499" s="21" t="n"/>
      <c r="B499" s="21" t="n"/>
      <c r="C499" s="21" t="n"/>
      <c r="D499" s="21" t="n"/>
      <c r="E499" s="21" t="n"/>
      <c r="F499" s="21" t="n"/>
      <c r="G499" s="21" t="n"/>
      <c r="H499" s="21" t="n"/>
      <c r="I499" s="22" t="n"/>
      <c r="J499" s="22" t="n"/>
      <c r="K499" s="23" t="n"/>
      <c r="L499" s="22" t="n"/>
      <c r="M499" s="22" t="n"/>
      <c r="N499" s="21" t="n"/>
      <c r="O499" s="23" t="n"/>
      <c r="P499" s="23" t="n"/>
      <c r="Q499" s="23" t="n"/>
      <c r="R499" s="23" t="n"/>
      <c r="S499" s="22" t="n"/>
      <c r="T499" s="23" t="n"/>
      <c r="U499" s="23" t="n"/>
      <c r="V499" s="24">
        <f>IF(J499&lt;&gt;"",J499,IF(I499&lt;&gt;"",I499,""))</f>
        <v/>
      </c>
      <c r="W499" s="25">
        <f>IF($E499="","",N(O499)+SUMIFS($AF499:$IN499,$AF$4:$IN$4,"SEW_ACT"))</f>
        <v/>
      </c>
      <c r="X499" s="25">
        <f>IF($E499="","",N(P499)+SUMIFS($AF499:$IN499,$AF$4:$IN$4,"WASH_ACT"))</f>
        <v/>
      </c>
      <c r="Y499" s="25">
        <f>IF($E499="","",W499-X499-N(T499)-N(U499))</f>
        <v/>
      </c>
      <c r="Z499" s="25">
        <f>IF($E499="","",IF(N(K499)-X499&lt;=0.02*N(K499),0,N(K499)-X499))</f>
        <v/>
      </c>
      <c r="AA499" s="24">
        <f>IF($E499="","",IF(S499&lt;&gt;"",S499,IF(N(O499)&gt;0,IF(L499&lt;&gt;"",L499,99999),IFERROR(1/(1/_xlfn.MINIFS($AF$3:$IN$3,$AF$4:$IN$4,"SEW_ACT",$AF499:$IN499,"&gt;0")),99999))))</f>
        <v/>
      </c>
      <c r="AB499" s="26">
        <f>IF(OR($E499="",Z499=0,V499=""),"",1+COUNTIFS(Z$8:Z$707,"&gt;0",V$8:V$707,"&lt;"&amp;V499)+COUNTIFS(Z$8:Z$707,"&gt;0",V$8:V$707,V499,AA$8:AA$707,"&lt;"&amp;AA499)+COUNTIFS(Z$8:Z$707,"&gt;0",V$8:V$707,V499,AA$8:AA$707,AA499,E$8:E$707,"&lt;"&amp;$E499))</f>
        <v/>
      </c>
      <c r="AC499" s="24">
        <f>IF(OR($E499="",Z499=0),"",IFERROR(TODAY()+ROUNDUP(Z499/(SUMIFS($AF499:$IN499,$AF$4:$IN$4,"WASH_ACT")/COUNTIFS($AF$4:$IN$4,"WASH_ACT",$AF499:$IN499,"&gt;0")),0),"no output yet"))</f>
        <v/>
      </c>
      <c r="AD499" s="26">
        <f>IF($E499="","",IFERROR(ROUND(MAX(0,SUMIFS($AF499:$IN499,$AF$4:$IN$4,"SEW_PLAN",$AF$3:$IN$3,"&lt;="&amp;TODAY())-SUMIFS($AF499:$IN499,$AF$4:$IN$4,"SEW_ACT",$AF$3:$IN$3,"&lt;="&amp;TODAY())+N(Q499))/(SUMIFS($AF499:$IN499,$AF$4:$IN$4,"SEW_PLAN")/COUNTIFS($AF$4:$IN$4,"SEW_PLAN",$AF499:$IN499,"&gt;0")),1),0))</f>
        <v/>
      </c>
      <c r="AE499" s="26">
        <f>IF($E499="","",IF(AND(Z499&gt;0,OR(AND(M499&lt;&gt;"",TODAY()&gt;M499),AND(V499&lt;&gt;"",V499-TODAY()&lt;=7))),"Yes","No"))</f>
        <v/>
      </c>
      <c r="AH499">
        <f>IF(OR(AF$3="",AF$3&gt;TODAY()),"",IF(AND(AF499="",AG499=""),"",N(AG499)-N(AF499)))</f>
        <v/>
      </c>
      <c r="AK499">
        <f>IF(OR(AF$3="",AF$3&gt;TODAY()),"",IF(AND(AI499="",AJ499=""),"",N(AJ499)-N(AI499)))</f>
        <v/>
      </c>
      <c r="AO499">
        <f>IF(OR(AM$3="",AM$3&gt;TODAY()),"",IF(AND(AM499="",AN499=""),"",N(AN499)-N(AM499)))</f>
        <v/>
      </c>
      <c r="AR499">
        <f>IF(OR(AM$3="",AM$3&gt;TODAY()),"",IF(AND(AP499="",AQ499=""),"",N(AQ499)-N(AP499)))</f>
        <v/>
      </c>
      <c r="AV499">
        <f>IF(OR(AT$3="",AT$3&gt;TODAY()),"",IF(AND(AT499="",AU499=""),"",N(AU499)-N(AT499)))</f>
        <v/>
      </c>
      <c r="AY499">
        <f>IF(OR(AT$3="",AT$3&gt;TODAY()),"",IF(AND(AW499="",AX499=""),"",N(AX499)-N(AW499)))</f>
        <v/>
      </c>
      <c r="BC499">
        <f>IF(OR(BA$3="",BA$3&gt;TODAY()),"",IF(AND(BA499="",BB499=""),"",N(BB499)-N(BA499)))</f>
        <v/>
      </c>
      <c r="BF499">
        <f>IF(OR(BA$3="",BA$3&gt;TODAY()),"",IF(AND(BD499="",BE499=""),"",N(BE499)-N(BD499)))</f>
        <v/>
      </c>
      <c r="BJ499">
        <f>IF(OR(BH$3="",BH$3&gt;TODAY()),"",IF(AND(BH499="",BI499=""),"",N(BI499)-N(BH499)))</f>
        <v/>
      </c>
      <c r="BM499">
        <f>IF(OR(BH$3="",BH$3&gt;TODAY()),"",IF(AND(BK499="",BL499=""),"",N(BL499)-N(BK499)))</f>
        <v/>
      </c>
      <c r="BQ499">
        <f>IF(OR(BO$3="",BO$3&gt;TODAY()),"",IF(AND(BO499="",BP499=""),"",N(BP499)-N(BO499)))</f>
        <v/>
      </c>
      <c r="BT499">
        <f>IF(OR(BO$3="",BO$3&gt;TODAY()),"",IF(AND(BR499="",BS499=""),"",N(BS499)-N(BR499)))</f>
        <v/>
      </c>
      <c r="BX499">
        <f>IF(OR(BV$3="",BV$3&gt;TODAY()),"",IF(AND(BV499="",BW499=""),"",N(BW499)-N(BV499)))</f>
        <v/>
      </c>
      <c r="CA499">
        <f>IF(OR(BV$3="",BV$3&gt;TODAY()),"",IF(AND(BY499="",BZ499=""),"",N(BZ499)-N(BY499)))</f>
        <v/>
      </c>
      <c r="CE499">
        <f>IF(OR(CC$3="",CC$3&gt;TODAY()),"",IF(AND(CC499="",CD499=""),"",N(CD499)-N(CC499)))</f>
        <v/>
      </c>
      <c r="CH499">
        <f>IF(OR(CC$3="",CC$3&gt;TODAY()),"",IF(AND(CF499="",CG499=""),"",N(CG499)-N(CF499)))</f>
        <v/>
      </c>
      <c r="CL499">
        <f>IF(OR(CJ$3="",CJ$3&gt;TODAY()),"",IF(AND(CJ499="",CK499=""),"",N(CK499)-N(CJ499)))</f>
        <v/>
      </c>
      <c r="CO499">
        <f>IF(OR(CJ$3="",CJ$3&gt;TODAY()),"",IF(AND(CM499="",CN499=""),"",N(CN499)-N(CM499)))</f>
        <v/>
      </c>
      <c r="CS499">
        <f>IF(OR(CQ$3="",CQ$3&gt;TODAY()),"",IF(AND(CQ499="",CR499=""),"",N(CR499)-N(CQ499)))</f>
        <v/>
      </c>
      <c r="CV499">
        <f>IF(OR(CQ$3="",CQ$3&gt;TODAY()),"",IF(AND(CT499="",CU499=""),"",N(CU499)-N(CT499)))</f>
        <v/>
      </c>
      <c r="CZ499">
        <f>IF(OR(CX$3="",CX$3&gt;TODAY()),"",IF(AND(CX499="",CY499=""),"",N(CY499)-N(CX499)))</f>
        <v/>
      </c>
      <c r="DC499">
        <f>IF(OR(CX$3="",CX$3&gt;TODAY()),"",IF(AND(DA499="",DB499=""),"",N(DB499)-N(DA499)))</f>
        <v/>
      </c>
      <c r="DG499">
        <f>IF(OR(DE$3="",DE$3&gt;TODAY()),"",IF(AND(DE499="",DF499=""),"",N(DF499)-N(DE499)))</f>
        <v/>
      </c>
      <c r="DJ499">
        <f>IF(OR(DE$3="",DE$3&gt;TODAY()),"",IF(AND(DH499="",DI499=""),"",N(DI499)-N(DH499)))</f>
        <v/>
      </c>
      <c r="DN499">
        <f>IF(OR(DL$3="",DL$3&gt;TODAY()),"",IF(AND(DL499="",DM499=""),"",N(DM499)-N(DL499)))</f>
        <v/>
      </c>
      <c r="DQ499">
        <f>IF(OR(DL$3="",DL$3&gt;TODAY()),"",IF(AND(DO499="",DP499=""),"",N(DP499)-N(DO499)))</f>
        <v/>
      </c>
      <c r="DU499">
        <f>IF(OR(DS$3="",DS$3&gt;TODAY()),"",IF(AND(DS499="",DT499=""),"",N(DT499)-N(DS499)))</f>
        <v/>
      </c>
      <c r="DX499">
        <f>IF(OR(DS$3="",DS$3&gt;TODAY()),"",IF(AND(DV499="",DW499=""),"",N(DW499)-N(DV499)))</f>
        <v/>
      </c>
      <c r="EB499">
        <f>IF(OR(DZ$3="",DZ$3&gt;TODAY()),"",IF(AND(DZ499="",EA499=""),"",N(EA499)-N(DZ499)))</f>
        <v/>
      </c>
      <c r="EE499">
        <f>IF(OR(DZ$3="",DZ$3&gt;TODAY()),"",IF(AND(EC499="",ED499=""),"",N(ED499)-N(EC499)))</f>
        <v/>
      </c>
      <c r="EI499">
        <f>IF(OR(EG$3="",EG$3&gt;TODAY()),"",IF(AND(EG499="",EH499=""),"",N(EH499)-N(EG499)))</f>
        <v/>
      </c>
      <c r="EL499">
        <f>IF(OR(EG$3="",EG$3&gt;TODAY()),"",IF(AND(EJ499="",EK499=""),"",N(EK499)-N(EJ499)))</f>
        <v/>
      </c>
      <c r="EP499">
        <f>IF(OR(EN$3="",EN$3&gt;TODAY()),"",IF(AND(EN499="",EO499=""),"",N(EO499)-N(EN499)))</f>
        <v/>
      </c>
      <c r="ES499">
        <f>IF(OR(EN$3="",EN$3&gt;TODAY()),"",IF(AND(EQ499="",ER499=""),"",N(ER499)-N(EQ499)))</f>
        <v/>
      </c>
      <c r="EW499">
        <f>IF(OR(EU$3="",EU$3&gt;TODAY()),"",IF(AND(EU499="",EV499=""),"",N(EV499)-N(EU499)))</f>
        <v/>
      </c>
      <c r="EZ499">
        <f>IF(OR(EU$3="",EU$3&gt;TODAY()),"",IF(AND(EX499="",EY499=""),"",N(EY499)-N(EX499)))</f>
        <v/>
      </c>
      <c r="FD499">
        <f>IF(OR(FB$3="",FB$3&gt;TODAY()),"",IF(AND(FB499="",FC499=""),"",N(FC499)-N(FB499)))</f>
        <v/>
      </c>
      <c r="FG499">
        <f>IF(OR(FB$3="",FB$3&gt;TODAY()),"",IF(AND(FE499="",FF499=""),"",N(FF499)-N(FE499)))</f>
        <v/>
      </c>
      <c r="FK499">
        <f>IF(OR(FI$3="",FI$3&gt;TODAY()),"",IF(AND(FI499="",FJ499=""),"",N(FJ499)-N(FI499)))</f>
        <v/>
      </c>
      <c r="FN499">
        <f>IF(OR(FI$3="",FI$3&gt;TODAY()),"",IF(AND(FL499="",FM499=""),"",N(FM499)-N(FL499)))</f>
        <v/>
      </c>
      <c r="FR499">
        <f>IF(OR(FP$3="",FP$3&gt;TODAY()),"",IF(AND(FP499="",FQ499=""),"",N(FQ499)-N(FP499)))</f>
        <v/>
      </c>
      <c r="FU499">
        <f>IF(OR(FP$3="",FP$3&gt;TODAY()),"",IF(AND(FS499="",FT499=""),"",N(FT499)-N(FS499)))</f>
        <v/>
      </c>
      <c r="FY499">
        <f>IF(OR(FW$3="",FW$3&gt;TODAY()),"",IF(AND(FW499="",FX499=""),"",N(FX499)-N(FW499)))</f>
        <v/>
      </c>
      <c r="GB499">
        <f>IF(OR(FW$3="",FW$3&gt;TODAY()),"",IF(AND(FZ499="",GA499=""),"",N(GA499)-N(FZ499)))</f>
        <v/>
      </c>
      <c r="GF499">
        <f>IF(OR(GD$3="",GD$3&gt;TODAY()),"",IF(AND(GD499="",GE499=""),"",N(GE499)-N(GD499)))</f>
        <v/>
      </c>
      <c r="GI499">
        <f>IF(OR(GD$3="",GD$3&gt;TODAY()),"",IF(AND(GG499="",GH499=""),"",N(GH499)-N(GG499)))</f>
        <v/>
      </c>
      <c r="GM499">
        <f>IF(OR(GK$3="",GK$3&gt;TODAY()),"",IF(AND(GK499="",GL499=""),"",N(GL499)-N(GK499)))</f>
        <v/>
      </c>
      <c r="GP499">
        <f>IF(OR(GK$3="",GK$3&gt;TODAY()),"",IF(AND(GN499="",GO499=""),"",N(GO499)-N(GN499)))</f>
        <v/>
      </c>
      <c r="GT499">
        <f>IF(OR(GR$3="",GR$3&gt;TODAY()),"",IF(AND(GR499="",GS499=""),"",N(GS499)-N(GR499)))</f>
        <v/>
      </c>
      <c r="GW499">
        <f>IF(OR(GR$3="",GR$3&gt;TODAY()),"",IF(AND(GU499="",GV499=""),"",N(GV499)-N(GU499)))</f>
        <v/>
      </c>
      <c r="HA499">
        <f>IF(OR(GY$3="",GY$3&gt;TODAY()),"",IF(AND(GY499="",GZ499=""),"",N(GZ499)-N(GY499)))</f>
        <v/>
      </c>
      <c r="HD499">
        <f>IF(OR(GY$3="",GY$3&gt;TODAY()),"",IF(AND(HB499="",HC499=""),"",N(HC499)-N(HB499)))</f>
        <v/>
      </c>
      <c r="HH499">
        <f>IF(OR(HF$3="",HF$3&gt;TODAY()),"",IF(AND(HF499="",HG499=""),"",N(HG499)-N(HF499)))</f>
        <v/>
      </c>
      <c r="HK499">
        <f>IF(OR(HF$3="",HF$3&gt;TODAY()),"",IF(AND(HI499="",HJ499=""),"",N(HJ499)-N(HI499)))</f>
        <v/>
      </c>
      <c r="HO499">
        <f>IF(OR(HM$3="",HM$3&gt;TODAY()),"",IF(AND(HM499="",HN499=""),"",N(HN499)-N(HM499)))</f>
        <v/>
      </c>
      <c r="HR499">
        <f>IF(OR(HM$3="",HM$3&gt;TODAY()),"",IF(AND(HP499="",HQ499=""),"",N(HQ499)-N(HP499)))</f>
        <v/>
      </c>
      <c r="HV499">
        <f>IF(OR(HT$3="",HT$3&gt;TODAY()),"",IF(AND(HT499="",HU499=""),"",N(HU499)-N(HT499)))</f>
        <v/>
      </c>
      <c r="HY499">
        <f>IF(OR(HT$3="",HT$3&gt;TODAY()),"",IF(AND(HW499="",HX499=""),"",N(HX499)-N(HW499)))</f>
        <v/>
      </c>
      <c r="IC499">
        <f>IF(OR(IA$3="",IA$3&gt;TODAY()),"",IF(AND(IA499="",IB499=""),"",N(IB499)-N(IA499)))</f>
        <v/>
      </c>
      <c r="IF499">
        <f>IF(OR(IA$3="",IA$3&gt;TODAY()),"",IF(AND(ID499="",IE499=""),"",N(IE499)-N(ID499)))</f>
        <v/>
      </c>
      <c r="IJ499">
        <f>IF(OR(IH$3="",IH$3&gt;TODAY()),"",IF(AND(IH499="",II499=""),"",N(II499)-N(IH499)))</f>
        <v/>
      </c>
      <c r="IM499">
        <f>IF(OR(IH$3="",IH$3&gt;TODAY()),"",IF(AND(IK499="",IL499=""),"",N(IL499)-N(IK499)))</f>
        <v/>
      </c>
    </row>
    <row r="500">
      <c r="A500" s="21" t="n"/>
      <c r="B500" s="21" t="n"/>
      <c r="C500" s="21" t="n"/>
      <c r="D500" s="21" t="n"/>
      <c r="E500" s="21" t="n"/>
      <c r="F500" s="21" t="n"/>
      <c r="G500" s="21" t="n"/>
      <c r="H500" s="21" t="n"/>
      <c r="I500" s="22" t="n"/>
      <c r="J500" s="22" t="n"/>
      <c r="K500" s="23" t="n"/>
      <c r="L500" s="22" t="n"/>
      <c r="M500" s="22" t="n"/>
      <c r="N500" s="21" t="n"/>
      <c r="O500" s="23" t="n"/>
      <c r="P500" s="23" t="n"/>
      <c r="Q500" s="23" t="n"/>
      <c r="R500" s="23" t="n"/>
      <c r="S500" s="22" t="n"/>
      <c r="T500" s="23" t="n"/>
      <c r="U500" s="23" t="n"/>
      <c r="V500" s="24">
        <f>IF(J500&lt;&gt;"",J500,IF(I500&lt;&gt;"",I500,""))</f>
        <v/>
      </c>
      <c r="W500" s="25">
        <f>IF($E500="","",N(O500)+SUMIFS($AF500:$IN500,$AF$4:$IN$4,"SEW_ACT"))</f>
        <v/>
      </c>
      <c r="X500" s="25">
        <f>IF($E500="","",N(P500)+SUMIFS($AF500:$IN500,$AF$4:$IN$4,"WASH_ACT"))</f>
        <v/>
      </c>
      <c r="Y500" s="25">
        <f>IF($E500="","",W500-X500-N(T500)-N(U500))</f>
        <v/>
      </c>
      <c r="Z500" s="25">
        <f>IF($E500="","",IF(N(K500)-X500&lt;=0.02*N(K500),0,N(K500)-X500))</f>
        <v/>
      </c>
      <c r="AA500" s="24">
        <f>IF($E500="","",IF(S500&lt;&gt;"",S500,IF(N(O500)&gt;0,IF(L500&lt;&gt;"",L500,99999),IFERROR(1/(1/_xlfn.MINIFS($AF$3:$IN$3,$AF$4:$IN$4,"SEW_ACT",$AF500:$IN500,"&gt;0")),99999))))</f>
        <v/>
      </c>
      <c r="AB500" s="26">
        <f>IF(OR($E500="",Z500=0,V500=""),"",1+COUNTIFS(Z$8:Z$707,"&gt;0",V$8:V$707,"&lt;"&amp;V500)+COUNTIFS(Z$8:Z$707,"&gt;0",V$8:V$707,V500,AA$8:AA$707,"&lt;"&amp;AA500)+COUNTIFS(Z$8:Z$707,"&gt;0",V$8:V$707,V500,AA$8:AA$707,AA500,E$8:E$707,"&lt;"&amp;$E500))</f>
        <v/>
      </c>
      <c r="AC500" s="24">
        <f>IF(OR($E500="",Z500=0),"",IFERROR(TODAY()+ROUNDUP(Z500/(SUMIFS($AF500:$IN500,$AF$4:$IN$4,"WASH_ACT")/COUNTIFS($AF$4:$IN$4,"WASH_ACT",$AF500:$IN500,"&gt;0")),0),"no output yet"))</f>
        <v/>
      </c>
      <c r="AD500" s="26">
        <f>IF($E500="","",IFERROR(ROUND(MAX(0,SUMIFS($AF500:$IN500,$AF$4:$IN$4,"SEW_PLAN",$AF$3:$IN$3,"&lt;="&amp;TODAY())-SUMIFS($AF500:$IN500,$AF$4:$IN$4,"SEW_ACT",$AF$3:$IN$3,"&lt;="&amp;TODAY())+N(Q500))/(SUMIFS($AF500:$IN500,$AF$4:$IN$4,"SEW_PLAN")/COUNTIFS($AF$4:$IN$4,"SEW_PLAN",$AF500:$IN500,"&gt;0")),1),0))</f>
        <v/>
      </c>
      <c r="AE500" s="26">
        <f>IF($E500="","",IF(AND(Z500&gt;0,OR(AND(M500&lt;&gt;"",TODAY()&gt;M500),AND(V500&lt;&gt;"",V500-TODAY()&lt;=7))),"Yes","No"))</f>
        <v/>
      </c>
      <c r="AH500">
        <f>IF(OR(AF$3="",AF$3&gt;TODAY()),"",IF(AND(AF500="",AG500=""),"",N(AG500)-N(AF500)))</f>
        <v/>
      </c>
      <c r="AK500">
        <f>IF(OR(AF$3="",AF$3&gt;TODAY()),"",IF(AND(AI500="",AJ500=""),"",N(AJ500)-N(AI500)))</f>
        <v/>
      </c>
      <c r="AO500">
        <f>IF(OR(AM$3="",AM$3&gt;TODAY()),"",IF(AND(AM500="",AN500=""),"",N(AN500)-N(AM500)))</f>
        <v/>
      </c>
      <c r="AR500">
        <f>IF(OR(AM$3="",AM$3&gt;TODAY()),"",IF(AND(AP500="",AQ500=""),"",N(AQ500)-N(AP500)))</f>
        <v/>
      </c>
      <c r="AV500">
        <f>IF(OR(AT$3="",AT$3&gt;TODAY()),"",IF(AND(AT500="",AU500=""),"",N(AU500)-N(AT500)))</f>
        <v/>
      </c>
      <c r="AY500">
        <f>IF(OR(AT$3="",AT$3&gt;TODAY()),"",IF(AND(AW500="",AX500=""),"",N(AX500)-N(AW500)))</f>
        <v/>
      </c>
      <c r="BC500">
        <f>IF(OR(BA$3="",BA$3&gt;TODAY()),"",IF(AND(BA500="",BB500=""),"",N(BB500)-N(BA500)))</f>
        <v/>
      </c>
      <c r="BF500">
        <f>IF(OR(BA$3="",BA$3&gt;TODAY()),"",IF(AND(BD500="",BE500=""),"",N(BE500)-N(BD500)))</f>
        <v/>
      </c>
      <c r="BJ500">
        <f>IF(OR(BH$3="",BH$3&gt;TODAY()),"",IF(AND(BH500="",BI500=""),"",N(BI500)-N(BH500)))</f>
        <v/>
      </c>
      <c r="BM500">
        <f>IF(OR(BH$3="",BH$3&gt;TODAY()),"",IF(AND(BK500="",BL500=""),"",N(BL500)-N(BK500)))</f>
        <v/>
      </c>
      <c r="BQ500">
        <f>IF(OR(BO$3="",BO$3&gt;TODAY()),"",IF(AND(BO500="",BP500=""),"",N(BP500)-N(BO500)))</f>
        <v/>
      </c>
      <c r="BT500">
        <f>IF(OR(BO$3="",BO$3&gt;TODAY()),"",IF(AND(BR500="",BS500=""),"",N(BS500)-N(BR500)))</f>
        <v/>
      </c>
      <c r="BX500">
        <f>IF(OR(BV$3="",BV$3&gt;TODAY()),"",IF(AND(BV500="",BW500=""),"",N(BW500)-N(BV500)))</f>
        <v/>
      </c>
      <c r="CA500">
        <f>IF(OR(BV$3="",BV$3&gt;TODAY()),"",IF(AND(BY500="",BZ500=""),"",N(BZ500)-N(BY500)))</f>
        <v/>
      </c>
      <c r="CE500">
        <f>IF(OR(CC$3="",CC$3&gt;TODAY()),"",IF(AND(CC500="",CD500=""),"",N(CD500)-N(CC500)))</f>
        <v/>
      </c>
      <c r="CH500">
        <f>IF(OR(CC$3="",CC$3&gt;TODAY()),"",IF(AND(CF500="",CG500=""),"",N(CG500)-N(CF500)))</f>
        <v/>
      </c>
      <c r="CL500">
        <f>IF(OR(CJ$3="",CJ$3&gt;TODAY()),"",IF(AND(CJ500="",CK500=""),"",N(CK500)-N(CJ500)))</f>
        <v/>
      </c>
      <c r="CO500">
        <f>IF(OR(CJ$3="",CJ$3&gt;TODAY()),"",IF(AND(CM500="",CN500=""),"",N(CN500)-N(CM500)))</f>
        <v/>
      </c>
      <c r="CS500">
        <f>IF(OR(CQ$3="",CQ$3&gt;TODAY()),"",IF(AND(CQ500="",CR500=""),"",N(CR500)-N(CQ500)))</f>
        <v/>
      </c>
      <c r="CV500">
        <f>IF(OR(CQ$3="",CQ$3&gt;TODAY()),"",IF(AND(CT500="",CU500=""),"",N(CU500)-N(CT500)))</f>
        <v/>
      </c>
      <c r="CZ500">
        <f>IF(OR(CX$3="",CX$3&gt;TODAY()),"",IF(AND(CX500="",CY500=""),"",N(CY500)-N(CX500)))</f>
        <v/>
      </c>
      <c r="DC500">
        <f>IF(OR(CX$3="",CX$3&gt;TODAY()),"",IF(AND(DA500="",DB500=""),"",N(DB500)-N(DA500)))</f>
        <v/>
      </c>
      <c r="DG500">
        <f>IF(OR(DE$3="",DE$3&gt;TODAY()),"",IF(AND(DE500="",DF500=""),"",N(DF500)-N(DE500)))</f>
        <v/>
      </c>
      <c r="DJ500">
        <f>IF(OR(DE$3="",DE$3&gt;TODAY()),"",IF(AND(DH500="",DI500=""),"",N(DI500)-N(DH500)))</f>
        <v/>
      </c>
      <c r="DN500">
        <f>IF(OR(DL$3="",DL$3&gt;TODAY()),"",IF(AND(DL500="",DM500=""),"",N(DM500)-N(DL500)))</f>
        <v/>
      </c>
      <c r="DQ500">
        <f>IF(OR(DL$3="",DL$3&gt;TODAY()),"",IF(AND(DO500="",DP500=""),"",N(DP500)-N(DO500)))</f>
        <v/>
      </c>
      <c r="DU500">
        <f>IF(OR(DS$3="",DS$3&gt;TODAY()),"",IF(AND(DS500="",DT500=""),"",N(DT500)-N(DS500)))</f>
        <v/>
      </c>
      <c r="DX500">
        <f>IF(OR(DS$3="",DS$3&gt;TODAY()),"",IF(AND(DV500="",DW500=""),"",N(DW500)-N(DV500)))</f>
        <v/>
      </c>
      <c r="EB500">
        <f>IF(OR(DZ$3="",DZ$3&gt;TODAY()),"",IF(AND(DZ500="",EA500=""),"",N(EA500)-N(DZ500)))</f>
        <v/>
      </c>
      <c r="EE500">
        <f>IF(OR(DZ$3="",DZ$3&gt;TODAY()),"",IF(AND(EC500="",ED500=""),"",N(ED500)-N(EC500)))</f>
        <v/>
      </c>
      <c r="EI500">
        <f>IF(OR(EG$3="",EG$3&gt;TODAY()),"",IF(AND(EG500="",EH500=""),"",N(EH500)-N(EG500)))</f>
        <v/>
      </c>
      <c r="EL500">
        <f>IF(OR(EG$3="",EG$3&gt;TODAY()),"",IF(AND(EJ500="",EK500=""),"",N(EK500)-N(EJ500)))</f>
        <v/>
      </c>
      <c r="EP500">
        <f>IF(OR(EN$3="",EN$3&gt;TODAY()),"",IF(AND(EN500="",EO500=""),"",N(EO500)-N(EN500)))</f>
        <v/>
      </c>
      <c r="ES500">
        <f>IF(OR(EN$3="",EN$3&gt;TODAY()),"",IF(AND(EQ500="",ER500=""),"",N(ER500)-N(EQ500)))</f>
        <v/>
      </c>
      <c r="EW500">
        <f>IF(OR(EU$3="",EU$3&gt;TODAY()),"",IF(AND(EU500="",EV500=""),"",N(EV500)-N(EU500)))</f>
        <v/>
      </c>
      <c r="EZ500">
        <f>IF(OR(EU$3="",EU$3&gt;TODAY()),"",IF(AND(EX500="",EY500=""),"",N(EY500)-N(EX500)))</f>
        <v/>
      </c>
      <c r="FD500">
        <f>IF(OR(FB$3="",FB$3&gt;TODAY()),"",IF(AND(FB500="",FC500=""),"",N(FC500)-N(FB500)))</f>
        <v/>
      </c>
      <c r="FG500">
        <f>IF(OR(FB$3="",FB$3&gt;TODAY()),"",IF(AND(FE500="",FF500=""),"",N(FF500)-N(FE500)))</f>
        <v/>
      </c>
      <c r="FK500">
        <f>IF(OR(FI$3="",FI$3&gt;TODAY()),"",IF(AND(FI500="",FJ500=""),"",N(FJ500)-N(FI500)))</f>
        <v/>
      </c>
      <c r="FN500">
        <f>IF(OR(FI$3="",FI$3&gt;TODAY()),"",IF(AND(FL500="",FM500=""),"",N(FM500)-N(FL500)))</f>
        <v/>
      </c>
      <c r="FR500">
        <f>IF(OR(FP$3="",FP$3&gt;TODAY()),"",IF(AND(FP500="",FQ500=""),"",N(FQ500)-N(FP500)))</f>
        <v/>
      </c>
      <c r="FU500">
        <f>IF(OR(FP$3="",FP$3&gt;TODAY()),"",IF(AND(FS500="",FT500=""),"",N(FT500)-N(FS500)))</f>
        <v/>
      </c>
      <c r="FY500">
        <f>IF(OR(FW$3="",FW$3&gt;TODAY()),"",IF(AND(FW500="",FX500=""),"",N(FX500)-N(FW500)))</f>
        <v/>
      </c>
      <c r="GB500">
        <f>IF(OR(FW$3="",FW$3&gt;TODAY()),"",IF(AND(FZ500="",GA500=""),"",N(GA500)-N(FZ500)))</f>
        <v/>
      </c>
      <c r="GF500">
        <f>IF(OR(GD$3="",GD$3&gt;TODAY()),"",IF(AND(GD500="",GE500=""),"",N(GE500)-N(GD500)))</f>
        <v/>
      </c>
      <c r="GI500">
        <f>IF(OR(GD$3="",GD$3&gt;TODAY()),"",IF(AND(GG500="",GH500=""),"",N(GH500)-N(GG500)))</f>
        <v/>
      </c>
      <c r="GM500">
        <f>IF(OR(GK$3="",GK$3&gt;TODAY()),"",IF(AND(GK500="",GL500=""),"",N(GL500)-N(GK500)))</f>
        <v/>
      </c>
      <c r="GP500">
        <f>IF(OR(GK$3="",GK$3&gt;TODAY()),"",IF(AND(GN500="",GO500=""),"",N(GO500)-N(GN500)))</f>
        <v/>
      </c>
      <c r="GT500">
        <f>IF(OR(GR$3="",GR$3&gt;TODAY()),"",IF(AND(GR500="",GS500=""),"",N(GS500)-N(GR500)))</f>
        <v/>
      </c>
      <c r="GW500">
        <f>IF(OR(GR$3="",GR$3&gt;TODAY()),"",IF(AND(GU500="",GV500=""),"",N(GV500)-N(GU500)))</f>
        <v/>
      </c>
      <c r="HA500">
        <f>IF(OR(GY$3="",GY$3&gt;TODAY()),"",IF(AND(GY500="",GZ500=""),"",N(GZ500)-N(GY500)))</f>
        <v/>
      </c>
      <c r="HD500">
        <f>IF(OR(GY$3="",GY$3&gt;TODAY()),"",IF(AND(HB500="",HC500=""),"",N(HC500)-N(HB500)))</f>
        <v/>
      </c>
      <c r="HH500">
        <f>IF(OR(HF$3="",HF$3&gt;TODAY()),"",IF(AND(HF500="",HG500=""),"",N(HG500)-N(HF500)))</f>
        <v/>
      </c>
      <c r="HK500">
        <f>IF(OR(HF$3="",HF$3&gt;TODAY()),"",IF(AND(HI500="",HJ500=""),"",N(HJ500)-N(HI500)))</f>
        <v/>
      </c>
      <c r="HO500">
        <f>IF(OR(HM$3="",HM$3&gt;TODAY()),"",IF(AND(HM500="",HN500=""),"",N(HN500)-N(HM500)))</f>
        <v/>
      </c>
      <c r="HR500">
        <f>IF(OR(HM$3="",HM$3&gt;TODAY()),"",IF(AND(HP500="",HQ500=""),"",N(HQ500)-N(HP500)))</f>
        <v/>
      </c>
      <c r="HV500">
        <f>IF(OR(HT$3="",HT$3&gt;TODAY()),"",IF(AND(HT500="",HU500=""),"",N(HU500)-N(HT500)))</f>
        <v/>
      </c>
      <c r="HY500">
        <f>IF(OR(HT$3="",HT$3&gt;TODAY()),"",IF(AND(HW500="",HX500=""),"",N(HX500)-N(HW500)))</f>
        <v/>
      </c>
      <c r="IC500">
        <f>IF(OR(IA$3="",IA$3&gt;TODAY()),"",IF(AND(IA500="",IB500=""),"",N(IB500)-N(IA500)))</f>
        <v/>
      </c>
      <c r="IF500">
        <f>IF(OR(IA$3="",IA$3&gt;TODAY()),"",IF(AND(ID500="",IE500=""),"",N(IE500)-N(ID500)))</f>
        <v/>
      </c>
      <c r="IJ500">
        <f>IF(OR(IH$3="",IH$3&gt;TODAY()),"",IF(AND(IH500="",II500=""),"",N(II500)-N(IH500)))</f>
        <v/>
      </c>
      <c r="IM500">
        <f>IF(OR(IH$3="",IH$3&gt;TODAY()),"",IF(AND(IK500="",IL500=""),"",N(IL500)-N(IK500)))</f>
        <v/>
      </c>
    </row>
    <row r="501">
      <c r="A501" s="21" t="n"/>
      <c r="B501" s="21" t="n"/>
      <c r="C501" s="21" t="n"/>
      <c r="D501" s="21" t="n"/>
      <c r="E501" s="21" t="n"/>
      <c r="F501" s="21" t="n"/>
      <c r="G501" s="21" t="n"/>
      <c r="H501" s="21" t="n"/>
      <c r="I501" s="22" t="n"/>
      <c r="J501" s="22" t="n"/>
      <c r="K501" s="23" t="n"/>
      <c r="L501" s="22" t="n"/>
      <c r="M501" s="22" t="n"/>
      <c r="N501" s="21" t="n"/>
      <c r="O501" s="23" t="n"/>
      <c r="P501" s="23" t="n"/>
      <c r="Q501" s="23" t="n"/>
      <c r="R501" s="23" t="n"/>
      <c r="S501" s="22" t="n"/>
      <c r="T501" s="23" t="n"/>
      <c r="U501" s="23" t="n"/>
      <c r="V501" s="24">
        <f>IF(J501&lt;&gt;"",J501,IF(I501&lt;&gt;"",I501,""))</f>
        <v/>
      </c>
      <c r="W501" s="25">
        <f>IF($E501="","",N(O501)+SUMIFS($AF501:$IN501,$AF$4:$IN$4,"SEW_ACT"))</f>
        <v/>
      </c>
      <c r="X501" s="25">
        <f>IF($E501="","",N(P501)+SUMIFS($AF501:$IN501,$AF$4:$IN$4,"WASH_ACT"))</f>
        <v/>
      </c>
      <c r="Y501" s="25">
        <f>IF($E501="","",W501-X501-N(T501)-N(U501))</f>
        <v/>
      </c>
      <c r="Z501" s="25">
        <f>IF($E501="","",IF(N(K501)-X501&lt;=0.02*N(K501),0,N(K501)-X501))</f>
        <v/>
      </c>
      <c r="AA501" s="24">
        <f>IF($E501="","",IF(S501&lt;&gt;"",S501,IF(N(O501)&gt;0,IF(L501&lt;&gt;"",L501,99999),IFERROR(1/(1/_xlfn.MINIFS($AF$3:$IN$3,$AF$4:$IN$4,"SEW_ACT",$AF501:$IN501,"&gt;0")),99999))))</f>
        <v/>
      </c>
      <c r="AB501" s="26">
        <f>IF(OR($E501="",Z501=0,V501=""),"",1+COUNTIFS(Z$8:Z$707,"&gt;0",V$8:V$707,"&lt;"&amp;V501)+COUNTIFS(Z$8:Z$707,"&gt;0",V$8:V$707,V501,AA$8:AA$707,"&lt;"&amp;AA501)+COUNTIFS(Z$8:Z$707,"&gt;0",V$8:V$707,V501,AA$8:AA$707,AA501,E$8:E$707,"&lt;"&amp;$E501))</f>
        <v/>
      </c>
      <c r="AC501" s="24">
        <f>IF(OR($E501="",Z501=0),"",IFERROR(TODAY()+ROUNDUP(Z501/(SUMIFS($AF501:$IN501,$AF$4:$IN$4,"WASH_ACT")/COUNTIFS($AF$4:$IN$4,"WASH_ACT",$AF501:$IN501,"&gt;0")),0),"no output yet"))</f>
        <v/>
      </c>
      <c r="AD501" s="26">
        <f>IF($E501="","",IFERROR(ROUND(MAX(0,SUMIFS($AF501:$IN501,$AF$4:$IN$4,"SEW_PLAN",$AF$3:$IN$3,"&lt;="&amp;TODAY())-SUMIFS($AF501:$IN501,$AF$4:$IN$4,"SEW_ACT",$AF$3:$IN$3,"&lt;="&amp;TODAY())+N(Q501))/(SUMIFS($AF501:$IN501,$AF$4:$IN$4,"SEW_PLAN")/COUNTIFS($AF$4:$IN$4,"SEW_PLAN",$AF501:$IN501,"&gt;0")),1),0))</f>
        <v/>
      </c>
      <c r="AE501" s="26">
        <f>IF($E501="","",IF(AND(Z501&gt;0,OR(AND(M501&lt;&gt;"",TODAY()&gt;M501),AND(V501&lt;&gt;"",V501-TODAY()&lt;=7))),"Yes","No"))</f>
        <v/>
      </c>
      <c r="AH501">
        <f>IF(OR(AF$3="",AF$3&gt;TODAY()),"",IF(AND(AF501="",AG501=""),"",N(AG501)-N(AF501)))</f>
        <v/>
      </c>
      <c r="AK501">
        <f>IF(OR(AF$3="",AF$3&gt;TODAY()),"",IF(AND(AI501="",AJ501=""),"",N(AJ501)-N(AI501)))</f>
        <v/>
      </c>
      <c r="AO501">
        <f>IF(OR(AM$3="",AM$3&gt;TODAY()),"",IF(AND(AM501="",AN501=""),"",N(AN501)-N(AM501)))</f>
        <v/>
      </c>
      <c r="AR501">
        <f>IF(OR(AM$3="",AM$3&gt;TODAY()),"",IF(AND(AP501="",AQ501=""),"",N(AQ501)-N(AP501)))</f>
        <v/>
      </c>
      <c r="AV501">
        <f>IF(OR(AT$3="",AT$3&gt;TODAY()),"",IF(AND(AT501="",AU501=""),"",N(AU501)-N(AT501)))</f>
        <v/>
      </c>
      <c r="AY501">
        <f>IF(OR(AT$3="",AT$3&gt;TODAY()),"",IF(AND(AW501="",AX501=""),"",N(AX501)-N(AW501)))</f>
        <v/>
      </c>
      <c r="BC501">
        <f>IF(OR(BA$3="",BA$3&gt;TODAY()),"",IF(AND(BA501="",BB501=""),"",N(BB501)-N(BA501)))</f>
        <v/>
      </c>
      <c r="BF501">
        <f>IF(OR(BA$3="",BA$3&gt;TODAY()),"",IF(AND(BD501="",BE501=""),"",N(BE501)-N(BD501)))</f>
        <v/>
      </c>
      <c r="BJ501">
        <f>IF(OR(BH$3="",BH$3&gt;TODAY()),"",IF(AND(BH501="",BI501=""),"",N(BI501)-N(BH501)))</f>
        <v/>
      </c>
      <c r="BM501">
        <f>IF(OR(BH$3="",BH$3&gt;TODAY()),"",IF(AND(BK501="",BL501=""),"",N(BL501)-N(BK501)))</f>
        <v/>
      </c>
      <c r="BQ501">
        <f>IF(OR(BO$3="",BO$3&gt;TODAY()),"",IF(AND(BO501="",BP501=""),"",N(BP501)-N(BO501)))</f>
        <v/>
      </c>
      <c r="BT501">
        <f>IF(OR(BO$3="",BO$3&gt;TODAY()),"",IF(AND(BR501="",BS501=""),"",N(BS501)-N(BR501)))</f>
        <v/>
      </c>
      <c r="BX501">
        <f>IF(OR(BV$3="",BV$3&gt;TODAY()),"",IF(AND(BV501="",BW501=""),"",N(BW501)-N(BV501)))</f>
        <v/>
      </c>
      <c r="CA501">
        <f>IF(OR(BV$3="",BV$3&gt;TODAY()),"",IF(AND(BY501="",BZ501=""),"",N(BZ501)-N(BY501)))</f>
        <v/>
      </c>
      <c r="CE501">
        <f>IF(OR(CC$3="",CC$3&gt;TODAY()),"",IF(AND(CC501="",CD501=""),"",N(CD501)-N(CC501)))</f>
        <v/>
      </c>
      <c r="CH501">
        <f>IF(OR(CC$3="",CC$3&gt;TODAY()),"",IF(AND(CF501="",CG501=""),"",N(CG501)-N(CF501)))</f>
        <v/>
      </c>
      <c r="CL501">
        <f>IF(OR(CJ$3="",CJ$3&gt;TODAY()),"",IF(AND(CJ501="",CK501=""),"",N(CK501)-N(CJ501)))</f>
        <v/>
      </c>
      <c r="CO501">
        <f>IF(OR(CJ$3="",CJ$3&gt;TODAY()),"",IF(AND(CM501="",CN501=""),"",N(CN501)-N(CM501)))</f>
        <v/>
      </c>
      <c r="CS501">
        <f>IF(OR(CQ$3="",CQ$3&gt;TODAY()),"",IF(AND(CQ501="",CR501=""),"",N(CR501)-N(CQ501)))</f>
        <v/>
      </c>
      <c r="CV501">
        <f>IF(OR(CQ$3="",CQ$3&gt;TODAY()),"",IF(AND(CT501="",CU501=""),"",N(CU501)-N(CT501)))</f>
        <v/>
      </c>
      <c r="CZ501">
        <f>IF(OR(CX$3="",CX$3&gt;TODAY()),"",IF(AND(CX501="",CY501=""),"",N(CY501)-N(CX501)))</f>
        <v/>
      </c>
      <c r="DC501">
        <f>IF(OR(CX$3="",CX$3&gt;TODAY()),"",IF(AND(DA501="",DB501=""),"",N(DB501)-N(DA501)))</f>
        <v/>
      </c>
      <c r="DG501">
        <f>IF(OR(DE$3="",DE$3&gt;TODAY()),"",IF(AND(DE501="",DF501=""),"",N(DF501)-N(DE501)))</f>
        <v/>
      </c>
      <c r="DJ501">
        <f>IF(OR(DE$3="",DE$3&gt;TODAY()),"",IF(AND(DH501="",DI501=""),"",N(DI501)-N(DH501)))</f>
        <v/>
      </c>
      <c r="DN501">
        <f>IF(OR(DL$3="",DL$3&gt;TODAY()),"",IF(AND(DL501="",DM501=""),"",N(DM501)-N(DL501)))</f>
        <v/>
      </c>
      <c r="DQ501">
        <f>IF(OR(DL$3="",DL$3&gt;TODAY()),"",IF(AND(DO501="",DP501=""),"",N(DP501)-N(DO501)))</f>
        <v/>
      </c>
      <c r="DU501">
        <f>IF(OR(DS$3="",DS$3&gt;TODAY()),"",IF(AND(DS501="",DT501=""),"",N(DT501)-N(DS501)))</f>
        <v/>
      </c>
      <c r="DX501">
        <f>IF(OR(DS$3="",DS$3&gt;TODAY()),"",IF(AND(DV501="",DW501=""),"",N(DW501)-N(DV501)))</f>
        <v/>
      </c>
      <c r="EB501">
        <f>IF(OR(DZ$3="",DZ$3&gt;TODAY()),"",IF(AND(DZ501="",EA501=""),"",N(EA501)-N(DZ501)))</f>
        <v/>
      </c>
      <c r="EE501">
        <f>IF(OR(DZ$3="",DZ$3&gt;TODAY()),"",IF(AND(EC501="",ED501=""),"",N(ED501)-N(EC501)))</f>
        <v/>
      </c>
      <c r="EI501">
        <f>IF(OR(EG$3="",EG$3&gt;TODAY()),"",IF(AND(EG501="",EH501=""),"",N(EH501)-N(EG501)))</f>
        <v/>
      </c>
      <c r="EL501">
        <f>IF(OR(EG$3="",EG$3&gt;TODAY()),"",IF(AND(EJ501="",EK501=""),"",N(EK501)-N(EJ501)))</f>
        <v/>
      </c>
      <c r="EP501">
        <f>IF(OR(EN$3="",EN$3&gt;TODAY()),"",IF(AND(EN501="",EO501=""),"",N(EO501)-N(EN501)))</f>
        <v/>
      </c>
      <c r="ES501">
        <f>IF(OR(EN$3="",EN$3&gt;TODAY()),"",IF(AND(EQ501="",ER501=""),"",N(ER501)-N(EQ501)))</f>
        <v/>
      </c>
      <c r="EW501">
        <f>IF(OR(EU$3="",EU$3&gt;TODAY()),"",IF(AND(EU501="",EV501=""),"",N(EV501)-N(EU501)))</f>
        <v/>
      </c>
      <c r="EZ501">
        <f>IF(OR(EU$3="",EU$3&gt;TODAY()),"",IF(AND(EX501="",EY501=""),"",N(EY501)-N(EX501)))</f>
        <v/>
      </c>
      <c r="FD501">
        <f>IF(OR(FB$3="",FB$3&gt;TODAY()),"",IF(AND(FB501="",FC501=""),"",N(FC501)-N(FB501)))</f>
        <v/>
      </c>
      <c r="FG501">
        <f>IF(OR(FB$3="",FB$3&gt;TODAY()),"",IF(AND(FE501="",FF501=""),"",N(FF501)-N(FE501)))</f>
        <v/>
      </c>
      <c r="FK501">
        <f>IF(OR(FI$3="",FI$3&gt;TODAY()),"",IF(AND(FI501="",FJ501=""),"",N(FJ501)-N(FI501)))</f>
        <v/>
      </c>
      <c r="FN501">
        <f>IF(OR(FI$3="",FI$3&gt;TODAY()),"",IF(AND(FL501="",FM501=""),"",N(FM501)-N(FL501)))</f>
        <v/>
      </c>
      <c r="FR501">
        <f>IF(OR(FP$3="",FP$3&gt;TODAY()),"",IF(AND(FP501="",FQ501=""),"",N(FQ501)-N(FP501)))</f>
        <v/>
      </c>
      <c r="FU501">
        <f>IF(OR(FP$3="",FP$3&gt;TODAY()),"",IF(AND(FS501="",FT501=""),"",N(FT501)-N(FS501)))</f>
        <v/>
      </c>
      <c r="FY501">
        <f>IF(OR(FW$3="",FW$3&gt;TODAY()),"",IF(AND(FW501="",FX501=""),"",N(FX501)-N(FW501)))</f>
        <v/>
      </c>
      <c r="GB501">
        <f>IF(OR(FW$3="",FW$3&gt;TODAY()),"",IF(AND(FZ501="",GA501=""),"",N(GA501)-N(FZ501)))</f>
        <v/>
      </c>
      <c r="GF501">
        <f>IF(OR(GD$3="",GD$3&gt;TODAY()),"",IF(AND(GD501="",GE501=""),"",N(GE501)-N(GD501)))</f>
        <v/>
      </c>
      <c r="GI501">
        <f>IF(OR(GD$3="",GD$3&gt;TODAY()),"",IF(AND(GG501="",GH501=""),"",N(GH501)-N(GG501)))</f>
        <v/>
      </c>
      <c r="GM501">
        <f>IF(OR(GK$3="",GK$3&gt;TODAY()),"",IF(AND(GK501="",GL501=""),"",N(GL501)-N(GK501)))</f>
        <v/>
      </c>
      <c r="GP501">
        <f>IF(OR(GK$3="",GK$3&gt;TODAY()),"",IF(AND(GN501="",GO501=""),"",N(GO501)-N(GN501)))</f>
        <v/>
      </c>
      <c r="GT501">
        <f>IF(OR(GR$3="",GR$3&gt;TODAY()),"",IF(AND(GR501="",GS501=""),"",N(GS501)-N(GR501)))</f>
        <v/>
      </c>
      <c r="GW501">
        <f>IF(OR(GR$3="",GR$3&gt;TODAY()),"",IF(AND(GU501="",GV501=""),"",N(GV501)-N(GU501)))</f>
        <v/>
      </c>
      <c r="HA501">
        <f>IF(OR(GY$3="",GY$3&gt;TODAY()),"",IF(AND(GY501="",GZ501=""),"",N(GZ501)-N(GY501)))</f>
        <v/>
      </c>
      <c r="HD501">
        <f>IF(OR(GY$3="",GY$3&gt;TODAY()),"",IF(AND(HB501="",HC501=""),"",N(HC501)-N(HB501)))</f>
        <v/>
      </c>
      <c r="HH501">
        <f>IF(OR(HF$3="",HF$3&gt;TODAY()),"",IF(AND(HF501="",HG501=""),"",N(HG501)-N(HF501)))</f>
        <v/>
      </c>
      <c r="HK501">
        <f>IF(OR(HF$3="",HF$3&gt;TODAY()),"",IF(AND(HI501="",HJ501=""),"",N(HJ501)-N(HI501)))</f>
        <v/>
      </c>
      <c r="HO501">
        <f>IF(OR(HM$3="",HM$3&gt;TODAY()),"",IF(AND(HM501="",HN501=""),"",N(HN501)-N(HM501)))</f>
        <v/>
      </c>
      <c r="HR501">
        <f>IF(OR(HM$3="",HM$3&gt;TODAY()),"",IF(AND(HP501="",HQ501=""),"",N(HQ501)-N(HP501)))</f>
        <v/>
      </c>
      <c r="HV501">
        <f>IF(OR(HT$3="",HT$3&gt;TODAY()),"",IF(AND(HT501="",HU501=""),"",N(HU501)-N(HT501)))</f>
        <v/>
      </c>
      <c r="HY501">
        <f>IF(OR(HT$3="",HT$3&gt;TODAY()),"",IF(AND(HW501="",HX501=""),"",N(HX501)-N(HW501)))</f>
        <v/>
      </c>
      <c r="IC501">
        <f>IF(OR(IA$3="",IA$3&gt;TODAY()),"",IF(AND(IA501="",IB501=""),"",N(IB501)-N(IA501)))</f>
        <v/>
      </c>
      <c r="IF501">
        <f>IF(OR(IA$3="",IA$3&gt;TODAY()),"",IF(AND(ID501="",IE501=""),"",N(IE501)-N(ID501)))</f>
        <v/>
      </c>
      <c r="IJ501">
        <f>IF(OR(IH$3="",IH$3&gt;TODAY()),"",IF(AND(IH501="",II501=""),"",N(II501)-N(IH501)))</f>
        <v/>
      </c>
      <c r="IM501">
        <f>IF(OR(IH$3="",IH$3&gt;TODAY()),"",IF(AND(IK501="",IL501=""),"",N(IL501)-N(IK501)))</f>
        <v/>
      </c>
    </row>
    <row r="502">
      <c r="A502" s="21" t="n"/>
      <c r="B502" s="21" t="n"/>
      <c r="C502" s="21" t="n"/>
      <c r="D502" s="21" t="n"/>
      <c r="E502" s="21" t="n"/>
      <c r="F502" s="21" t="n"/>
      <c r="G502" s="21" t="n"/>
      <c r="H502" s="21" t="n"/>
      <c r="I502" s="22" t="n"/>
      <c r="J502" s="22" t="n"/>
      <c r="K502" s="23" t="n"/>
      <c r="L502" s="22" t="n"/>
      <c r="M502" s="22" t="n"/>
      <c r="N502" s="21" t="n"/>
      <c r="O502" s="23" t="n"/>
      <c r="P502" s="23" t="n"/>
      <c r="Q502" s="23" t="n"/>
      <c r="R502" s="23" t="n"/>
      <c r="S502" s="22" t="n"/>
      <c r="T502" s="23" t="n"/>
      <c r="U502" s="23" t="n"/>
      <c r="V502" s="24">
        <f>IF(J502&lt;&gt;"",J502,IF(I502&lt;&gt;"",I502,""))</f>
        <v/>
      </c>
      <c r="W502" s="25">
        <f>IF($E502="","",N(O502)+SUMIFS($AF502:$IN502,$AF$4:$IN$4,"SEW_ACT"))</f>
        <v/>
      </c>
      <c r="X502" s="25">
        <f>IF($E502="","",N(P502)+SUMIFS($AF502:$IN502,$AF$4:$IN$4,"WASH_ACT"))</f>
        <v/>
      </c>
      <c r="Y502" s="25">
        <f>IF($E502="","",W502-X502-N(T502)-N(U502))</f>
        <v/>
      </c>
      <c r="Z502" s="25">
        <f>IF($E502="","",IF(N(K502)-X502&lt;=0.02*N(K502),0,N(K502)-X502))</f>
        <v/>
      </c>
      <c r="AA502" s="24">
        <f>IF($E502="","",IF(S502&lt;&gt;"",S502,IF(N(O502)&gt;0,IF(L502&lt;&gt;"",L502,99999),IFERROR(1/(1/_xlfn.MINIFS($AF$3:$IN$3,$AF$4:$IN$4,"SEW_ACT",$AF502:$IN502,"&gt;0")),99999))))</f>
        <v/>
      </c>
      <c r="AB502" s="26">
        <f>IF(OR($E502="",Z502=0,V502=""),"",1+COUNTIFS(Z$8:Z$707,"&gt;0",V$8:V$707,"&lt;"&amp;V502)+COUNTIFS(Z$8:Z$707,"&gt;0",V$8:V$707,V502,AA$8:AA$707,"&lt;"&amp;AA502)+COUNTIFS(Z$8:Z$707,"&gt;0",V$8:V$707,V502,AA$8:AA$707,AA502,E$8:E$707,"&lt;"&amp;$E502))</f>
        <v/>
      </c>
      <c r="AC502" s="24">
        <f>IF(OR($E502="",Z502=0),"",IFERROR(TODAY()+ROUNDUP(Z502/(SUMIFS($AF502:$IN502,$AF$4:$IN$4,"WASH_ACT")/COUNTIFS($AF$4:$IN$4,"WASH_ACT",$AF502:$IN502,"&gt;0")),0),"no output yet"))</f>
        <v/>
      </c>
      <c r="AD502" s="26">
        <f>IF($E502="","",IFERROR(ROUND(MAX(0,SUMIFS($AF502:$IN502,$AF$4:$IN$4,"SEW_PLAN",$AF$3:$IN$3,"&lt;="&amp;TODAY())-SUMIFS($AF502:$IN502,$AF$4:$IN$4,"SEW_ACT",$AF$3:$IN$3,"&lt;="&amp;TODAY())+N(Q502))/(SUMIFS($AF502:$IN502,$AF$4:$IN$4,"SEW_PLAN")/COUNTIFS($AF$4:$IN$4,"SEW_PLAN",$AF502:$IN502,"&gt;0")),1),0))</f>
        <v/>
      </c>
      <c r="AE502" s="26">
        <f>IF($E502="","",IF(AND(Z502&gt;0,OR(AND(M502&lt;&gt;"",TODAY()&gt;M502),AND(V502&lt;&gt;"",V502-TODAY()&lt;=7))),"Yes","No"))</f>
        <v/>
      </c>
      <c r="AH502">
        <f>IF(OR(AF$3="",AF$3&gt;TODAY()),"",IF(AND(AF502="",AG502=""),"",N(AG502)-N(AF502)))</f>
        <v/>
      </c>
      <c r="AK502">
        <f>IF(OR(AF$3="",AF$3&gt;TODAY()),"",IF(AND(AI502="",AJ502=""),"",N(AJ502)-N(AI502)))</f>
        <v/>
      </c>
      <c r="AO502">
        <f>IF(OR(AM$3="",AM$3&gt;TODAY()),"",IF(AND(AM502="",AN502=""),"",N(AN502)-N(AM502)))</f>
        <v/>
      </c>
      <c r="AR502">
        <f>IF(OR(AM$3="",AM$3&gt;TODAY()),"",IF(AND(AP502="",AQ502=""),"",N(AQ502)-N(AP502)))</f>
        <v/>
      </c>
      <c r="AV502">
        <f>IF(OR(AT$3="",AT$3&gt;TODAY()),"",IF(AND(AT502="",AU502=""),"",N(AU502)-N(AT502)))</f>
        <v/>
      </c>
      <c r="AY502">
        <f>IF(OR(AT$3="",AT$3&gt;TODAY()),"",IF(AND(AW502="",AX502=""),"",N(AX502)-N(AW502)))</f>
        <v/>
      </c>
      <c r="BC502">
        <f>IF(OR(BA$3="",BA$3&gt;TODAY()),"",IF(AND(BA502="",BB502=""),"",N(BB502)-N(BA502)))</f>
        <v/>
      </c>
      <c r="BF502">
        <f>IF(OR(BA$3="",BA$3&gt;TODAY()),"",IF(AND(BD502="",BE502=""),"",N(BE502)-N(BD502)))</f>
        <v/>
      </c>
      <c r="BJ502">
        <f>IF(OR(BH$3="",BH$3&gt;TODAY()),"",IF(AND(BH502="",BI502=""),"",N(BI502)-N(BH502)))</f>
        <v/>
      </c>
      <c r="BM502">
        <f>IF(OR(BH$3="",BH$3&gt;TODAY()),"",IF(AND(BK502="",BL502=""),"",N(BL502)-N(BK502)))</f>
        <v/>
      </c>
      <c r="BQ502">
        <f>IF(OR(BO$3="",BO$3&gt;TODAY()),"",IF(AND(BO502="",BP502=""),"",N(BP502)-N(BO502)))</f>
        <v/>
      </c>
      <c r="BT502">
        <f>IF(OR(BO$3="",BO$3&gt;TODAY()),"",IF(AND(BR502="",BS502=""),"",N(BS502)-N(BR502)))</f>
        <v/>
      </c>
      <c r="BX502">
        <f>IF(OR(BV$3="",BV$3&gt;TODAY()),"",IF(AND(BV502="",BW502=""),"",N(BW502)-N(BV502)))</f>
        <v/>
      </c>
      <c r="CA502">
        <f>IF(OR(BV$3="",BV$3&gt;TODAY()),"",IF(AND(BY502="",BZ502=""),"",N(BZ502)-N(BY502)))</f>
        <v/>
      </c>
      <c r="CE502">
        <f>IF(OR(CC$3="",CC$3&gt;TODAY()),"",IF(AND(CC502="",CD502=""),"",N(CD502)-N(CC502)))</f>
        <v/>
      </c>
      <c r="CH502">
        <f>IF(OR(CC$3="",CC$3&gt;TODAY()),"",IF(AND(CF502="",CG502=""),"",N(CG502)-N(CF502)))</f>
        <v/>
      </c>
      <c r="CL502">
        <f>IF(OR(CJ$3="",CJ$3&gt;TODAY()),"",IF(AND(CJ502="",CK502=""),"",N(CK502)-N(CJ502)))</f>
        <v/>
      </c>
      <c r="CO502">
        <f>IF(OR(CJ$3="",CJ$3&gt;TODAY()),"",IF(AND(CM502="",CN502=""),"",N(CN502)-N(CM502)))</f>
        <v/>
      </c>
      <c r="CS502">
        <f>IF(OR(CQ$3="",CQ$3&gt;TODAY()),"",IF(AND(CQ502="",CR502=""),"",N(CR502)-N(CQ502)))</f>
        <v/>
      </c>
      <c r="CV502">
        <f>IF(OR(CQ$3="",CQ$3&gt;TODAY()),"",IF(AND(CT502="",CU502=""),"",N(CU502)-N(CT502)))</f>
        <v/>
      </c>
      <c r="CZ502">
        <f>IF(OR(CX$3="",CX$3&gt;TODAY()),"",IF(AND(CX502="",CY502=""),"",N(CY502)-N(CX502)))</f>
        <v/>
      </c>
      <c r="DC502">
        <f>IF(OR(CX$3="",CX$3&gt;TODAY()),"",IF(AND(DA502="",DB502=""),"",N(DB502)-N(DA502)))</f>
        <v/>
      </c>
      <c r="DG502">
        <f>IF(OR(DE$3="",DE$3&gt;TODAY()),"",IF(AND(DE502="",DF502=""),"",N(DF502)-N(DE502)))</f>
        <v/>
      </c>
      <c r="DJ502">
        <f>IF(OR(DE$3="",DE$3&gt;TODAY()),"",IF(AND(DH502="",DI502=""),"",N(DI502)-N(DH502)))</f>
        <v/>
      </c>
      <c r="DN502">
        <f>IF(OR(DL$3="",DL$3&gt;TODAY()),"",IF(AND(DL502="",DM502=""),"",N(DM502)-N(DL502)))</f>
        <v/>
      </c>
      <c r="DQ502">
        <f>IF(OR(DL$3="",DL$3&gt;TODAY()),"",IF(AND(DO502="",DP502=""),"",N(DP502)-N(DO502)))</f>
        <v/>
      </c>
      <c r="DU502">
        <f>IF(OR(DS$3="",DS$3&gt;TODAY()),"",IF(AND(DS502="",DT502=""),"",N(DT502)-N(DS502)))</f>
        <v/>
      </c>
      <c r="DX502">
        <f>IF(OR(DS$3="",DS$3&gt;TODAY()),"",IF(AND(DV502="",DW502=""),"",N(DW502)-N(DV502)))</f>
        <v/>
      </c>
      <c r="EB502">
        <f>IF(OR(DZ$3="",DZ$3&gt;TODAY()),"",IF(AND(DZ502="",EA502=""),"",N(EA502)-N(DZ502)))</f>
        <v/>
      </c>
      <c r="EE502">
        <f>IF(OR(DZ$3="",DZ$3&gt;TODAY()),"",IF(AND(EC502="",ED502=""),"",N(ED502)-N(EC502)))</f>
        <v/>
      </c>
      <c r="EI502">
        <f>IF(OR(EG$3="",EG$3&gt;TODAY()),"",IF(AND(EG502="",EH502=""),"",N(EH502)-N(EG502)))</f>
        <v/>
      </c>
      <c r="EL502">
        <f>IF(OR(EG$3="",EG$3&gt;TODAY()),"",IF(AND(EJ502="",EK502=""),"",N(EK502)-N(EJ502)))</f>
        <v/>
      </c>
      <c r="EP502">
        <f>IF(OR(EN$3="",EN$3&gt;TODAY()),"",IF(AND(EN502="",EO502=""),"",N(EO502)-N(EN502)))</f>
        <v/>
      </c>
      <c r="ES502">
        <f>IF(OR(EN$3="",EN$3&gt;TODAY()),"",IF(AND(EQ502="",ER502=""),"",N(ER502)-N(EQ502)))</f>
        <v/>
      </c>
      <c r="EW502">
        <f>IF(OR(EU$3="",EU$3&gt;TODAY()),"",IF(AND(EU502="",EV502=""),"",N(EV502)-N(EU502)))</f>
        <v/>
      </c>
      <c r="EZ502">
        <f>IF(OR(EU$3="",EU$3&gt;TODAY()),"",IF(AND(EX502="",EY502=""),"",N(EY502)-N(EX502)))</f>
        <v/>
      </c>
      <c r="FD502">
        <f>IF(OR(FB$3="",FB$3&gt;TODAY()),"",IF(AND(FB502="",FC502=""),"",N(FC502)-N(FB502)))</f>
        <v/>
      </c>
      <c r="FG502">
        <f>IF(OR(FB$3="",FB$3&gt;TODAY()),"",IF(AND(FE502="",FF502=""),"",N(FF502)-N(FE502)))</f>
        <v/>
      </c>
      <c r="FK502">
        <f>IF(OR(FI$3="",FI$3&gt;TODAY()),"",IF(AND(FI502="",FJ502=""),"",N(FJ502)-N(FI502)))</f>
        <v/>
      </c>
      <c r="FN502">
        <f>IF(OR(FI$3="",FI$3&gt;TODAY()),"",IF(AND(FL502="",FM502=""),"",N(FM502)-N(FL502)))</f>
        <v/>
      </c>
      <c r="FR502">
        <f>IF(OR(FP$3="",FP$3&gt;TODAY()),"",IF(AND(FP502="",FQ502=""),"",N(FQ502)-N(FP502)))</f>
        <v/>
      </c>
      <c r="FU502">
        <f>IF(OR(FP$3="",FP$3&gt;TODAY()),"",IF(AND(FS502="",FT502=""),"",N(FT502)-N(FS502)))</f>
        <v/>
      </c>
      <c r="FY502">
        <f>IF(OR(FW$3="",FW$3&gt;TODAY()),"",IF(AND(FW502="",FX502=""),"",N(FX502)-N(FW502)))</f>
        <v/>
      </c>
      <c r="GB502">
        <f>IF(OR(FW$3="",FW$3&gt;TODAY()),"",IF(AND(FZ502="",GA502=""),"",N(GA502)-N(FZ502)))</f>
        <v/>
      </c>
      <c r="GF502">
        <f>IF(OR(GD$3="",GD$3&gt;TODAY()),"",IF(AND(GD502="",GE502=""),"",N(GE502)-N(GD502)))</f>
        <v/>
      </c>
      <c r="GI502">
        <f>IF(OR(GD$3="",GD$3&gt;TODAY()),"",IF(AND(GG502="",GH502=""),"",N(GH502)-N(GG502)))</f>
        <v/>
      </c>
      <c r="GM502">
        <f>IF(OR(GK$3="",GK$3&gt;TODAY()),"",IF(AND(GK502="",GL502=""),"",N(GL502)-N(GK502)))</f>
        <v/>
      </c>
      <c r="GP502">
        <f>IF(OR(GK$3="",GK$3&gt;TODAY()),"",IF(AND(GN502="",GO502=""),"",N(GO502)-N(GN502)))</f>
        <v/>
      </c>
      <c r="GT502">
        <f>IF(OR(GR$3="",GR$3&gt;TODAY()),"",IF(AND(GR502="",GS502=""),"",N(GS502)-N(GR502)))</f>
        <v/>
      </c>
      <c r="GW502">
        <f>IF(OR(GR$3="",GR$3&gt;TODAY()),"",IF(AND(GU502="",GV502=""),"",N(GV502)-N(GU502)))</f>
        <v/>
      </c>
      <c r="HA502">
        <f>IF(OR(GY$3="",GY$3&gt;TODAY()),"",IF(AND(GY502="",GZ502=""),"",N(GZ502)-N(GY502)))</f>
        <v/>
      </c>
      <c r="HD502">
        <f>IF(OR(GY$3="",GY$3&gt;TODAY()),"",IF(AND(HB502="",HC502=""),"",N(HC502)-N(HB502)))</f>
        <v/>
      </c>
      <c r="HH502">
        <f>IF(OR(HF$3="",HF$3&gt;TODAY()),"",IF(AND(HF502="",HG502=""),"",N(HG502)-N(HF502)))</f>
        <v/>
      </c>
      <c r="HK502">
        <f>IF(OR(HF$3="",HF$3&gt;TODAY()),"",IF(AND(HI502="",HJ502=""),"",N(HJ502)-N(HI502)))</f>
        <v/>
      </c>
      <c r="HO502">
        <f>IF(OR(HM$3="",HM$3&gt;TODAY()),"",IF(AND(HM502="",HN502=""),"",N(HN502)-N(HM502)))</f>
        <v/>
      </c>
      <c r="HR502">
        <f>IF(OR(HM$3="",HM$3&gt;TODAY()),"",IF(AND(HP502="",HQ502=""),"",N(HQ502)-N(HP502)))</f>
        <v/>
      </c>
      <c r="HV502">
        <f>IF(OR(HT$3="",HT$3&gt;TODAY()),"",IF(AND(HT502="",HU502=""),"",N(HU502)-N(HT502)))</f>
        <v/>
      </c>
      <c r="HY502">
        <f>IF(OR(HT$3="",HT$3&gt;TODAY()),"",IF(AND(HW502="",HX502=""),"",N(HX502)-N(HW502)))</f>
        <v/>
      </c>
      <c r="IC502">
        <f>IF(OR(IA$3="",IA$3&gt;TODAY()),"",IF(AND(IA502="",IB502=""),"",N(IB502)-N(IA502)))</f>
        <v/>
      </c>
      <c r="IF502">
        <f>IF(OR(IA$3="",IA$3&gt;TODAY()),"",IF(AND(ID502="",IE502=""),"",N(IE502)-N(ID502)))</f>
        <v/>
      </c>
      <c r="IJ502">
        <f>IF(OR(IH$3="",IH$3&gt;TODAY()),"",IF(AND(IH502="",II502=""),"",N(II502)-N(IH502)))</f>
        <v/>
      </c>
      <c r="IM502">
        <f>IF(OR(IH$3="",IH$3&gt;TODAY()),"",IF(AND(IK502="",IL502=""),"",N(IL502)-N(IK502)))</f>
        <v/>
      </c>
    </row>
    <row r="503">
      <c r="A503" s="21" t="n"/>
      <c r="B503" s="21" t="n"/>
      <c r="C503" s="21" t="n"/>
      <c r="D503" s="21" t="n"/>
      <c r="E503" s="21" t="n"/>
      <c r="F503" s="21" t="n"/>
      <c r="G503" s="21" t="n"/>
      <c r="H503" s="21" t="n"/>
      <c r="I503" s="22" t="n"/>
      <c r="J503" s="22" t="n"/>
      <c r="K503" s="23" t="n"/>
      <c r="L503" s="22" t="n"/>
      <c r="M503" s="22" t="n"/>
      <c r="N503" s="21" t="n"/>
      <c r="O503" s="23" t="n"/>
      <c r="P503" s="23" t="n"/>
      <c r="Q503" s="23" t="n"/>
      <c r="R503" s="23" t="n"/>
      <c r="S503" s="22" t="n"/>
      <c r="T503" s="23" t="n"/>
      <c r="U503" s="23" t="n"/>
      <c r="V503" s="24">
        <f>IF(J503&lt;&gt;"",J503,IF(I503&lt;&gt;"",I503,""))</f>
        <v/>
      </c>
      <c r="W503" s="25">
        <f>IF($E503="","",N(O503)+SUMIFS($AF503:$IN503,$AF$4:$IN$4,"SEW_ACT"))</f>
        <v/>
      </c>
      <c r="X503" s="25">
        <f>IF($E503="","",N(P503)+SUMIFS($AF503:$IN503,$AF$4:$IN$4,"WASH_ACT"))</f>
        <v/>
      </c>
      <c r="Y503" s="25">
        <f>IF($E503="","",W503-X503-N(T503)-N(U503))</f>
        <v/>
      </c>
      <c r="Z503" s="25">
        <f>IF($E503="","",IF(N(K503)-X503&lt;=0.02*N(K503),0,N(K503)-X503))</f>
        <v/>
      </c>
      <c r="AA503" s="24">
        <f>IF($E503="","",IF(S503&lt;&gt;"",S503,IF(N(O503)&gt;0,IF(L503&lt;&gt;"",L503,99999),IFERROR(1/(1/_xlfn.MINIFS($AF$3:$IN$3,$AF$4:$IN$4,"SEW_ACT",$AF503:$IN503,"&gt;0")),99999))))</f>
        <v/>
      </c>
      <c r="AB503" s="26">
        <f>IF(OR($E503="",Z503=0,V503=""),"",1+COUNTIFS(Z$8:Z$707,"&gt;0",V$8:V$707,"&lt;"&amp;V503)+COUNTIFS(Z$8:Z$707,"&gt;0",V$8:V$707,V503,AA$8:AA$707,"&lt;"&amp;AA503)+COUNTIFS(Z$8:Z$707,"&gt;0",V$8:V$707,V503,AA$8:AA$707,AA503,E$8:E$707,"&lt;"&amp;$E503))</f>
        <v/>
      </c>
      <c r="AC503" s="24">
        <f>IF(OR($E503="",Z503=0),"",IFERROR(TODAY()+ROUNDUP(Z503/(SUMIFS($AF503:$IN503,$AF$4:$IN$4,"WASH_ACT")/COUNTIFS($AF$4:$IN$4,"WASH_ACT",$AF503:$IN503,"&gt;0")),0),"no output yet"))</f>
        <v/>
      </c>
      <c r="AD503" s="26">
        <f>IF($E503="","",IFERROR(ROUND(MAX(0,SUMIFS($AF503:$IN503,$AF$4:$IN$4,"SEW_PLAN",$AF$3:$IN$3,"&lt;="&amp;TODAY())-SUMIFS($AF503:$IN503,$AF$4:$IN$4,"SEW_ACT",$AF$3:$IN$3,"&lt;="&amp;TODAY())+N(Q503))/(SUMIFS($AF503:$IN503,$AF$4:$IN$4,"SEW_PLAN")/COUNTIFS($AF$4:$IN$4,"SEW_PLAN",$AF503:$IN503,"&gt;0")),1),0))</f>
        <v/>
      </c>
      <c r="AE503" s="26">
        <f>IF($E503="","",IF(AND(Z503&gt;0,OR(AND(M503&lt;&gt;"",TODAY()&gt;M503),AND(V503&lt;&gt;"",V503-TODAY()&lt;=7))),"Yes","No"))</f>
        <v/>
      </c>
      <c r="AH503">
        <f>IF(OR(AF$3="",AF$3&gt;TODAY()),"",IF(AND(AF503="",AG503=""),"",N(AG503)-N(AF503)))</f>
        <v/>
      </c>
      <c r="AK503">
        <f>IF(OR(AF$3="",AF$3&gt;TODAY()),"",IF(AND(AI503="",AJ503=""),"",N(AJ503)-N(AI503)))</f>
        <v/>
      </c>
      <c r="AO503">
        <f>IF(OR(AM$3="",AM$3&gt;TODAY()),"",IF(AND(AM503="",AN503=""),"",N(AN503)-N(AM503)))</f>
        <v/>
      </c>
      <c r="AR503">
        <f>IF(OR(AM$3="",AM$3&gt;TODAY()),"",IF(AND(AP503="",AQ503=""),"",N(AQ503)-N(AP503)))</f>
        <v/>
      </c>
      <c r="AV503">
        <f>IF(OR(AT$3="",AT$3&gt;TODAY()),"",IF(AND(AT503="",AU503=""),"",N(AU503)-N(AT503)))</f>
        <v/>
      </c>
      <c r="AY503">
        <f>IF(OR(AT$3="",AT$3&gt;TODAY()),"",IF(AND(AW503="",AX503=""),"",N(AX503)-N(AW503)))</f>
        <v/>
      </c>
      <c r="BC503">
        <f>IF(OR(BA$3="",BA$3&gt;TODAY()),"",IF(AND(BA503="",BB503=""),"",N(BB503)-N(BA503)))</f>
        <v/>
      </c>
      <c r="BF503">
        <f>IF(OR(BA$3="",BA$3&gt;TODAY()),"",IF(AND(BD503="",BE503=""),"",N(BE503)-N(BD503)))</f>
        <v/>
      </c>
      <c r="BJ503">
        <f>IF(OR(BH$3="",BH$3&gt;TODAY()),"",IF(AND(BH503="",BI503=""),"",N(BI503)-N(BH503)))</f>
        <v/>
      </c>
      <c r="BM503">
        <f>IF(OR(BH$3="",BH$3&gt;TODAY()),"",IF(AND(BK503="",BL503=""),"",N(BL503)-N(BK503)))</f>
        <v/>
      </c>
      <c r="BQ503">
        <f>IF(OR(BO$3="",BO$3&gt;TODAY()),"",IF(AND(BO503="",BP503=""),"",N(BP503)-N(BO503)))</f>
        <v/>
      </c>
      <c r="BT503">
        <f>IF(OR(BO$3="",BO$3&gt;TODAY()),"",IF(AND(BR503="",BS503=""),"",N(BS503)-N(BR503)))</f>
        <v/>
      </c>
      <c r="BX503">
        <f>IF(OR(BV$3="",BV$3&gt;TODAY()),"",IF(AND(BV503="",BW503=""),"",N(BW503)-N(BV503)))</f>
        <v/>
      </c>
      <c r="CA503">
        <f>IF(OR(BV$3="",BV$3&gt;TODAY()),"",IF(AND(BY503="",BZ503=""),"",N(BZ503)-N(BY503)))</f>
        <v/>
      </c>
      <c r="CE503">
        <f>IF(OR(CC$3="",CC$3&gt;TODAY()),"",IF(AND(CC503="",CD503=""),"",N(CD503)-N(CC503)))</f>
        <v/>
      </c>
      <c r="CH503">
        <f>IF(OR(CC$3="",CC$3&gt;TODAY()),"",IF(AND(CF503="",CG503=""),"",N(CG503)-N(CF503)))</f>
        <v/>
      </c>
      <c r="CL503">
        <f>IF(OR(CJ$3="",CJ$3&gt;TODAY()),"",IF(AND(CJ503="",CK503=""),"",N(CK503)-N(CJ503)))</f>
        <v/>
      </c>
      <c r="CO503">
        <f>IF(OR(CJ$3="",CJ$3&gt;TODAY()),"",IF(AND(CM503="",CN503=""),"",N(CN503)-N(CM503)))</f>
        <v/>
      </c>
      <c r="CS503">
        <f>IF(OR(CQ$3="",CQ$3&gt;TODAY()),"",IF(AND(CQ503="",CR503=""),"",N(CR503)-N(CQ503)))</f>
        <v/>
      </c>
      <c r="CV503">
        <f>IF(OR(CQ$3="",CQ$3&gt;TODAY()),"",IF(AND(CT503="",CU503=""),"",N(CU503)-N(CT503)))</f>
        <v/>
      </c>
      <c r="CZ503">
        <f>IF(OR(CX$3="",CX$3&gt;TODAY()),"",IF(AND(CX503="",CY503=""),"",N(CY503)-N(CX503)))</f>
        <v/>
      </c>
      <c r="DC503">
        <f>IF(OR(CX$3="",CX$3&gt;TODAY()),"",IF(AND(DA503="",DB503=""),"",N(DB503)-N(DA503)))</f>
        <v/>
      </c>
      <c r="DG503">
        <f>IF(OR(DE$3="",DE$3&gt;TODAY()),"",IF(AND(DE503="",DF503=""),"",N(DF503)-N(DE503)))</f>
        <v/>
      </c>
      <c r="DJ503">
        <f>IF(OR(DE$3="",DE$3&gt;TODAY()),"",IF(AND(DH503="",DI503=""),"",N(DI503)-N(DH503)))</f>
        <v/>
      </c>
      <c r="DN503">
        <f>IF(OR(DL$3="",DL$3&gt;TODAY()),"",IF(AND(DL503="",DM503=""),"",N(DM503)-N(DL503)))</f>
        <v/>
      </c>
      <c r="DQ503">
        <f>IF(OR(DL$3="",DL$3&gt;TODAY()),"",IF(AND(DO503="",DP503=""),"",N(DP503)-N(DO503)))</f>
        <v/>
      </c>
      <c r="DU503">
        <f>IF(OR(DS$3="",DS$3&gt;TODAY()),"",IF(AND(DS503="",DT503=""),"",N(DT503)-N(DS503)))</f>
        <v/>
      </c>
      <c r="DX503">
        <f>IF(OR(DS$3="",DS$3&gt;TODAY()),"",IF(AND(DV503="",DW503=""),"",N(DW503)-N(DV503)))</f>
        <v/>
      </c>
      <c r="EB503">
        <f>IF(OR(DZ$3="",DZ$3&gt;TODAY()),"",IF(AND(DZ503="",EA503=""),"",N(EA503)-N(DZ503)))</f>
        <v/>
      </c>
      <c r="EE503">
        <f>IF(OR(DZ$3="",DZ$3&gt;TODAY()),"",IF(AND(EC503="",ED503=""),"",N(ED503)-N(EC503)))</f>
        <v/>
      </c>
      <c r="EI503">
        <f>IF(OR(EG$3="",EG$3&gt;TODAY()),"",IF(AND(EG503="",EH503=""),"",N(EH503)-N(EG503)))</f>
        <v/>
      </c>
      <c r="EL503">
        <f>IF(OR(EG$3="",EG$3&gt;TODAY()),"",IF(AND(EJ503="",EK503=""),"",N(EK503)-N(EJ503)))</f>
        <v/>
      </c>
      <c r="EP503">
        <f>IF(OR(EN$3="",EN$3&gt;TODAY()),"",IF(AND(EN503="",EO503=""),"",N(EO503)-N(EN503)))</f>
        <v/>
      </c>
      <c r="ES503">
        <f>IF(OR(EN$3="",EN$3&gt;TODAY()),"",IF(AND(EQ503="",ER503=""),"",N(ER503)-N(EQ503)))</f>
        <v/>
      </c>
      <c r="EW503">
        <f>IF(OR(EU$3="",EU$3&gt;TODAY()),"",IF(AND(EU503="",EV503=""),"",N(EV503)-N(EU503)))</f>
        <v/>
      </c>
      <c r="EZ503">
        <f>IF(OR(EU$3="",EU$3&gt;TODAY()),"",IF(AND(EX503="",EY503=""),"",N(EY503)-N(EX503)))</f>
        <v/>
      </c>
      <c r="FD503">
        <f>IF(OR(FB$3="",FB$3&gt;TODAY()),"",IF(AND(FB503="",FC503=""),"",N(FC503)-N(FB503)))</f>
        <v/>
      </c>
      <c r="FG503">
        <f>IF(OR(FB$3="",FB$3&gt;TODAY()),"",IF(AND(FE503="",FF503=""),"",N(FF503)-N(FE503)))</f>
        <v/>
      </c>
      <c r="FK503">
        <f>IF(OR(FI$3="",FI$3&gt;TODAY()),"",IF(AND(FI503="",FJ503=""),"",N(FJ503)-N(FI503)))</f>
        <v/>
      </c>
      <c r="FN503">
        <f>IF(OR(FI$3="",FI$3&gt;TODAY()),"",IF(AND(FL503="",FM503=""),"",N(FM503)-N(FL503)))</f>
        <v/>
      </c>
      <c r="FR503">
        <f>IF(OR(FP$3="",FP$3&gt;TODAY()),"",IF(AND(FP503="",FQ503=""),"",N(FQ503)-N(FP503)))</f>
        <v/>
      </c>
      <c r="FU503">
        <f>IF(OR(FP$3="",FP$3&gt;TODAY()),"",IF(AND(FS503="",FT503=""),"",N(FT503)-N(FS503)))</f>
        <v/>
      </c>
      <c r="FY503">
        <f>IF(OR(FW$3="",FW$3&gt;TODAY()),"",IF(AND(FW503="",FX503=""),"",N(FX503)-N(FW503)))</f>
        <v/>
      </c>
      <c r="GB503">
        <f>IF(OR(FW$3="",FW$3&gt;TODAY()),"",IF(AND(FZ503="",GA503=""),"",N(GA503)-N(FZ503)))</f>
        <v/>
      </c>
      <c r="GF503">
        <f>IF(OR(GD$3="",GD$3&gt;TODAY()),"",IF(AND(GD503="",GE503=""),"",N(GE503)-N(GD503)))</f>
        <v/>
      </c>
      <c r="GI503">
        <f>IF(OR(GD$3="",GD$3&gt;TODAY()),"",IF(AND(GG503="",GH503=""),"",N(GH503)-N(GG503)))</f>
        <v/>
      </c>
      <c r="GM503">
        <f>IF(OR(GK$3="",GK$3&gt;TODAY()),"",IF(AND(GK503="",GL503=""),"",N(GL503)-N(GK503)))</f>
        <v/>
      </c>
      <c r="GP503">
        <f>IF(OR(GK$3="",GK$3&gt;TODAY()),"",IF(AND(GN503="",GO503=""),"",N(GO503)-N(GN503)))</f>
        <v/>
      </c>
      <c r="GT503">
        <f>IF(OR(GR$3="",GR$3&gt;TODAY()),"",IF(AND(GR503="",GS503=""),"",N(GS503)-N(GR503)))</f>
        <v/>
      </c>
      <c r="GW503">
        <f>IF(OR(GR$3="",GR$3&gt;TODAY()),"",IF(AND(GU503="",GV503=""),"",N(GV503)-N(GU503)))</f>
        <v/>
      </c>
      <c r="HA503">
        <f>IF(OR(GY$3="",GY$3&gt;TODAY()),"",IF(AND(GY503="",GZ503=""),"",N(GZ503)-N(GY503)))</f>
        <v/>
      </c>
      <c r="HD503">
        <f>IF(OR(GY$3="",GY$3&gt;TODAY()),"",IF(AND(HB503="",HC503=""),"",N(HC503)-N(HB503)))</f>
        <v/>
      </c>
      <c r="HH503">
        <f>IF(OR(HF$3="",HF$3&gt;TODAY()),"",IF(AND(HF503="",HG503=""),"",N(HG503)-N(HF503)))</f>
        <v/>
      </c>
      <c r="HK503">
        <f>IF(OR(HF$3="",HF$3&gt;TODAY()),"",IF(AND(HI503="",HJ503=""),"",N(HJ503)-N(HI503)))</f>
        <v/>
      </c>
      <c r="HO503">
        <f>IF(OR(HM$3="",HM$3&gt;TODAY()),"",IF(AND(HM503="",HN503=""),"",N(HN503)-N(HM503)))</f>
        <v/>
      </c>
      <c r="HR503">
        <f>IF(OR(HM$3="",HM$3&gt;TODAY()),"",IF(AND(HP503="",HQ503=""),"",N(HQ503)-N(HP503)))</f>
        <v/>
      </c>
      <c r="HV503">
        <f>IF(OR(HT$3="",HT$3&gt;TODAY()),"",IF(AND(HT503="",HU503=""),"",N(HU503)-N(HT503)))</f>
        <v/>
      </c>
      <c r="HY503">
        <f>IF(OR(HT$3="",HT$3&gt;TODAY()),"",IF(AND(HW503="",HX503=""),"",N(HX503)-N(HW503)))</f>
        <v/>
      </c>
      <c r="IC503">
        <f>IF(OR(IA$3="",IA$3&gt;TODAY()),"",IF(AND(IA503="",IB503=""),"",N(IB503)-N(IA503)))</f>
        <v/>
      </c>
      <c r="IF503">
        <f>IF(OR(IA$3="",IA$3&gt;TODAY()),"",IF(AND(ID503="",IE503=""),"",N(IE503)-N(ID503)))</f>
        <v/>
      </c>
      <c r="IJ503">
        <f>IF(OR(IH$3="",IH$3&gt;TODAY()),"",IF(AND(IH503="",II503=""),"",N(II503)-N(IH503)))</f>
        <v/>
      </c>
      <c r="IM503">
        <f>IF(OR(IH$3="",IH$3&gt;TODAY()),"",IF(AND(IK503="",IL503=""),"",N(IL503)-N(IK503)))</f>
        <v/>
      </c>
    </row>
    <row r="504">
      <c r="A504" s="21" t="n"/>
      <c r="B504" s="21" t="n"/>
      <c r="C504" s="21" t="n"/>
      <c r="D504" s="21" t="n"/>
      <c r="E504" s="21" t="n"/>
      <c r="F504" s="21" t="n"/>
      <c r="G504" s="21" t="n"/>
      <c r="H504" s="21" t="n"/>
      <c r="I504" s="22" t="n"/>
      <c r="J504" s="22" t="n"/>
      <c r="K504" s="23" t="n"/>
      <c r="L504" s="22" t="n"/>
      <c r="M504" s="22" t="n"/>
      <c r="N504" s="21" t="n"/>
      <c r="O504" s="23" t="n"/>
      <c r="P504" s="23" t="n"/>
      <c r="Q504" s="23" t="n"/>
      <c r="R504" s="23" t="n"/>
      <c r="S504" s="22" t="n"/>
      <c r="T504" s="23" t="n"/>
      <c r="U504" s="23" t="n"/>
      <c r="V504" s="24">
        <f>IF(J504&lt;&gt;"",J504,IF(I504&lt;&gt;"",I504,""))</f>
        <v/>
      </c>
      <c r="W504" s="25">
        <f>IF($E504="","",N(O504)+SUMIFS($AF504:$IN504,$AF$4:$IN$4,"SEW_ACT"))</f>
        <v/>
      </c>
      <c r="X504" s="25">
        <f>IF($E504="","",N(P504)+SUMIFS($AF504:$IN504,$AF$4:$IN$4,"WASH_ACT"))</f>
        <v/>
      </c>
      <c r="Y504" s="25">
        <f>IF($E504="","",W504-X504-N(T504)-N(U504))</f>
        <v/>
      </c>
      <c r="Z504" s="25">
        <f>IF($E504="","",IF(N(K504)-X504&lt;=0.02*N(K504),0,N(K504)-X504))</f>
        <v/>
      </c>
      <c r="AA504" s="24">
        <f>IF($E504="","",IF(S504&lt;&gt;"",S504,IF(N(O504)&gt;0,IF(L504&lt;&gt;"",L504,99999),IFERROR(1/(1/_xlfn.MINIFS($AF$3:$IN$3,$AF$4:$IN$4,"SEW_ACT",$AF504:$IN504,"&gt;0")),99999))))</f>
        <v/>
      </c>
      <c r="AB504" s="26">
        <f>IF(OR($E504="",Z504=0,V504=""),"",1+COUNTIFS(Z$8:Z$707,"&gt;0",V$8:V$707,"&lt;"&amp;V504)+COUNTIFS(Z$8:Z$707,"&gt;0",V$8:V$707,V504,AA$8:AA$707,"&lt;"&amp;AA504)+COUNTIFS(Z$8:Z$707,"&gt;0",V$8:V$707,V504,AA$8:AA$707,AA504,E$8:E$707,"&lt;"&amp;$E504))</f>
        <v/>
      </c>
      <c r="AC504" s="24">
        <f>IF(OR($E504="",Z504=0),"",IFERROR(TODAY()+ROUNDUP(Z504/(SUMIFS($AF504:$IN504,$AF$4:$IN$4,"WASH_ACT")/COUNTIFS($AF$4:$IN$4,"WASH_ACT",$AF504:$IN504,"&gt;0")),0),"no output yet"))</f>
        <v/>
      </c>
      <c r="AD504" s="26">
        <f>IF($E504="","",IFERROR(ROUND(MAX(0,SUMIFS($AF504:$IN504,$AF$4:$IN$4,"SEW_PLAN",$AF$3:$IN$3,"&lt;="&amp;TODAY())-SUMIFS($AF504:$IN504,$AF$4:$IN$4,"SEW_ACT",$AF$3:$IN$3,"&lt;="&amp;TODAY())+N(Q504))/(SUMIFS($AF504:$IN504,$AF$4:$IN$4,"SEW_PLAN")/COUNTIFS($AF$4:$IN$4,"SEW_PLAN",$AF504:$IN504,"&gt;0")),1),0))</f>
        <v/>
      </c>
      <c r="AE504" s="26">
        <f>IF($E504="","",IF(AND(Z504&gt;0,OR(AND(M504&lt;&gt;"",TODAY()&gt;M504),AND(V504&lt;&gt;"",V504-TODAY()&lt;=7))),"Yes","No"))</f>
        <v/>
      </c>
      <c r="AH504">
        <f>IF(OR(AF$3="",AF$3&gt;TODAY()),"",IF(AND(AF504="",AG504=""),"",N(AG504)-N(AF504)))</f>
        <v/>
      </c>
      <c r="AK504">
        <f>IF(OR(AF$3="",AF$3&gt;TODAY()),"",IF(AND(AI504="",AJ504=""),"",N(AJ504)-N(AI504)))</f>
        <v/>
      </c>
      <c r="AO504">
        <f>IF(OR(AM$3="",AM$3&gt;TODAY()),"",IF(AND(AM504="",AN504=""),"",N(AN504)-N(AM504)))</f>
        <v/>
      </c>
      <c r="AR504">
        <f>IF(OR(AM$3="",AM$3&gt;TODAY()),"",IF(AND(AP504="",AQ504=""),"",N(AQ504)-N(AP504)))</f>
        <v/>
      </c>
      <c r="AV504">
        <f>IF(OR(AT$3="",AT$3&gt;TODAY()),"",IF(AND(AT504="",AU504=""),"",N(AU504)-N(AT504)))</f>
        <v/>
      </c>
      <c r="AY504">
        <f>IF(OR(AT$3="",AT$3&gt;TODAY()),"",IF(AND(AW504="",AX504=""),"",N(AX504)-N(AW504)))</f>
        <v/>
      </c>
      <c r="BC504">
        <f>IF(OR(BA$3="",BA$3&gt;TODAY()),"",IF(AND(BA504="",BB504=""),"",N(BB504)-N(BA504)))</f>
        <v/>
      </c>
      <c r="BF504">
        <f>IF(OR(BA$3="",BA$3&gt;TODAY()),"",IF(AND(BD504="",BE504=""),"",N(BE504)-N(BD504)))</f>
        <v/>
      </c>
      <c r="BJ504">
        <f>IF(OR(BH$3="",BH$3&gt;TODAY()),"",IF(AND(BH504="",BI504=""),"",N(BI504)-N(BH504)))</f>
        <v/>
      </c>
      <c r="BM504">
        <f>IF(OR(BH$3="",BH$3&gt;TODAY()),"",IF(AND(BK504="",BL504=""),"",N(BL504)-N(BK504)))</f>
        <v/>
      </c>
      <c r="BQ504">
        <f>IF(OR(BO$3="",BO$3&gt;TODAY()),"",IF(AND(BO504="",BP504=""),"",N(BP504)-N(BO504)))</f>
        <v/>
      </c>
      <c r="BT504">
        <f>IF(OR(BO$3="",BO$3&gt;TODAY()),"",IF(AND(BR504="",BS504=""),"",N(BS504)-N(BR504)))</f>
        <v/>
      </c>
      <c r="BX504">
        <f>IF(OR(BV$3="",BV$3&gt;TODAY()),"",IF(AND(BV504="",BW504=""),"",N(BW504)-N(BV504)))</f>
        <v/>
      </c>
      <c r="CA504">
        <f>IF(OR(BV$3="",BV$3&gt;TODAY()),"",IF(AND(BY504="",BZ504=""),"",N(BZ504)-N(BY504)))</f>
        <v/>
      </c>
      <c r="CE504">
        <f>IF(OR(CC$3="",CC$3&gt;TODAY()),"",IF(AND(CC504="",CD504=""),"",N(CD504)-N(CC504)))</f>
        <v/>
      </c>
      <c r="CH504">
        <f>IF(OR(CC$3="",CC$3&gt;TODAY()),"",IF(AND(CF504="",CG504=""),"",N(CG504)-N(CF504)))</f>
        <v/>
      </c>
      <c r="CL504">
        <f>IF(OR(CJ$3="",CJ$3&gt;TODAY()),"",IF(AND(CJ504="",CK504=""),"",N(CK504)-N(CJ504)))</f>
        <v/>
      </c>
      <c r="CO504">
        <f>IF(OR(CJ$3="",CJ$3&gt;TODAY()),"",IF(AND(CM504="",CN504=""),"",N(CN504)-N(CM504)))</f>
        <v/>
      </c>
      <c r="CS504">
        <f>IF(OR(CQ$3="",CQ$3&gt;TODAY()),"",IF(AND(CQ504="",CR504=""),"",N(CR504)-N(CQ504)))</f>
        <v/>
      </c>
      <c r="CV504">
        <f>IF(OR(CQ$3="",CQ$3&gt;TODAY()),"",IF(AND(CT504="",CU504=""),"",N(CU504)-N(CT504)))</f>
        <v/>
      </c>
      <c r="CZ504">
        <f>IF(OR(CX$3="",CX$3&gt;TODAY()),"",IF(AND(CX504="",CY504=""),"",N(CY504)-N(CX504)))</f>
        <v/>
      </c>
      <c r="DC504">
        <f>IF(OR(CX$3="",CX$3&gt;TODAY()),"",IF(AND(DA504="",DB504=""),"",N(DB504)-N(DA504)))</f>
        <v/>
      </c>
      <c r="DG504">
        <f>IF(OR(DE$3="",DE$3&gt;TODAY()),"",IF(AND(DE504="",DF504=""),"",N(DF504)-N(DE504)))</f>
        <v/>
      </c>
      <c r="DJ504">
        <f>IF(OR(DE$3="",DE$3&gt;TODAY()),"",IF(AND(DH504="",DI504=""),"",N(DI504)-N(DH504)))</f>
        <v/>
      </c>
      <c r="DN504">
        <f>IF(OR(DL$3="",DL$3&gt;TODAY()),"",IF(AND(DL504="",DM504=""),"",N(DM504)-N(DL504)))</f>
        <v/>
      </c>
      <c r="DQ504">
        <f>IF(OR(DL$3="",DL$3&gt;TODAY()),"",IF(AND(DO504="",DP504=""),"",N(DP504)-N(DO504)))</f>
        <v/>
      </c>
      <c r="DU504">
        <f>IF(OR(DS$3="",DS$3&gt;TODAY()),"",IF(AND(DS504="",DT504=""),"",N(DT504)-N(DS504)))</f>
        <v/>
      </c>
      <c r="DX504">
        <f>IF(OR(DS$3="",DS$3&gt;TODAY()),"",IF(AND(DV504="",DW504=""),"",N(DW504)-N(DV504)))</f>
        <v/>
      </c>
      <c r="EB504">
        <f>IF(OR(DZ$3="",DZ$3&gt;TODAY()),"",IF(AND(DZ504="",EA504=""),"",N(EA504)-N(DZ504)))</f>
        <v/>
      </c>
      <c r="EE504">
        <f>IF(OR(DZ$3="",DZ$3&gt;TODAY()),"",IF(AND(EC504="",ED504=""),"",N(ED504)-N(EC504)))</f>
        <v/>
      </c>
      <c r="EI504">
        <f>IF(OR(EG$3="",EG$3&gt;TODAY()),"",IF(AND(EG504="",EH504=""),"",N(EH504)-N(EG504)))</f>
        <v/>
      </c>
      <c r="EL504">
        <f>IF(OR(EG$3="",EG$3&gt;TODAY()),"",IF(AND(EJ504="",EK504=""),"",N(EK504)-N(EJ504)))</f>
        <v/>
      </c>
      <c r="EP504">
        <f>IF(OR(EN$3="",EN$3&gt;TODAY()),"",IF(AND(EN504="",EO504=""),"",N(EO504)-N(EN504)))</f>
        <v/>
      </c>
      <c r="ES504">
        <f>IF(OR(EN$3="",EN$3&gt;TODAY()),"",IF(AND(EQ504="",ER504=""),"",N(ER504)-N(EQ504)))</f>
        <v/>
      </c>
      <c r="EW504">
        <f>IF(OR(EU$3="",EU$3&gt;TODAY()),"",IF(AND(EU504="",EV504=""),"",N(EV504)-N(EU504)))</f>
        <v/>
      </c>
      <c r="EZ504">
        <f>IF(OR(EU$3="",EU$3&gt;TODAY()),"",IF(AND(EX504="",EY504=""),"",N(EY504)-N(EX504)))</f>
        <v/>
      </c>
      <c r="FD504">
        <f>IF(OR(FB$3="",FB$3&gt;TODAY()),"",IF(AND(FB504="",FC504=""),"",N(FC504)-N(FB504)))</f>
        <v/>
      </c>
      <c r="FG504">
        <f>IF(OR(FB$3="",FB$3&gt;TODAY()),"",IF(AND(FE504="",FF504=""),"",N(FF504)-N(FE504)))</f>
        <v/>
      </c>
      <c r="FK504">
        <f>IF(OR(FI$3="",FI$3&gt;TODAY()),"",IF(AND(FI504="",FJ504=""),"",N(FJ504)-N(FI504)))</f>
        <v/>
      </c>
      <c r="FN504">
        <f>IF(OR(FI$3="",FI$3&gt;TODAY()),"",IF(AND(FL504="",FM504=""),"",N(FM504)-N(FL504)))</f>
        <v/>
      </c>
      <c r="FR504">
        <f>IF(OR(FP$3="",FP$3&gt;TODAY()),"",IF(AND(FP504="",FQ504=""),"",N(FQ504)-N(FP504)))</f>
        <v/>
      </c>
      <c r="FU504">
        <f>IF(OR(FP$3="",FP$3&gt;TODAY()),"",IF(AND(FS504="",FT504=""),"",N(FT504)-N(FS504)))</f>
        <v/>
      </c>
      <c r="FY504">
        <f>IF(OR(FW$3="",FW$3&gt;TODAY()),"",IF(AND(FW504="",FX504=""),"",N(FX504)-N(FW504)))</f>
        <v/>
      </c>
      <c r="GB504">
        <f>IF(OR(FW$3="",FW$3&gt;TODAY()),"",IF(AND(FZ504="",GA504=""),"",N(GA504)-N(FZ504)))</f>
        <v/>
      </c>
      <c r="GF504">
        <f>IF(OR(GD$3="",GD$3&gt;TODAY()),"",IF(AND(GD504="",GE504=""),"",N(GE504)-N(GD504)))</f>
        <v/>
      </c>
      <c r="GI504">
        <f>IF(OR(GD$3="",GD$3&gt;TODAY()),"",IF(AND(GG504="",GH504=""),"",N(GH504)-N(GG504)))</f>
        <v/>
      </c>
      <c r="GM504">
        <f>IF(OR(GK$3="",GK$3&gt;TODAY()),"",IF(AND(GK504="",GL504=""),"",N(GL504)-N(GK504)))</f>
        <v/>
      </c>
      <c r="GP504">
        <f>IF(OR(GK$3="",GK$3&gt;TODAY()),"",IF(AND(GN504="",GO504=""),"",N(GO504)-N(GN504)))</f>
        <v/>
      </c>
      <c r="GT504">
        <f>IF(OR(GR$3="",GR$3&gt;TODAY()),"",IF(AND(GR504="",GS504=""),"",N(GS504)-N(GR504)))</f>
        <v/>
      </c>
      <c r="GW504">
        <f>IF(OR(GR$3="",GR$3&gt;TODAY()),"",IF(AND(GU504="",GV504=""),"",N(GV504)-N(GU504)))</f>
        <v/>
      </c>
      <c r="HA504">
        <f>IF(OR(GY$3="",GY$3&gt;TODAY()),"",IF(AND(GY504="",GZ504=""),"",N(GZ504)-N(GY504)))</f>
        <v/>
      </c>
      <c r="HD504">
        <f>IF(OR(GY$3="",GY$3&gt;TODAY()),"",IF(AND(HB504="",HC504=""),"",N(HC504)-N(HB504)))</f>
        <v/>
      </c>
      <c r="HH504">
        <f>IF(OR(HF$3="",HF$3&gt;TODAY()),"",IF(AND(HF504="",HG504=""),"",N(HG504)-N(HF504)))</f>
        <v/>
      </c>
      <c r="HK504">
        <f>IF(OR(HF$3="",HF$3&gt;TODAY()),"",IF(AND(HI504="",HJ504=""),"",N(HJ504)-N(HI504)))</f>
        <v/>
      </c>
      <c r="HO504">
        <f>IF(OR(HM$3="",HM$3&gt;TODAY()),"",IF(AND(HM504="",HN504=""),"",N(HN504)-N(HM504)))</f>
        <v/>
      </c>
      <c r="HR504">
        <f>IF(OR(HM$3="",HM$3&gt;TODAY()),"",IF(AND(HP504="",HQ504=""),"",N(HQ504)-N(HP504)))</f>
        <v/>
      </c>
      <c r="HV504">
        <f>IF(OR(HT$3="",HT$3&gt;TODAY()),"",IF(AND(HT504="",HU504=""),"",N(HU504)-N(HT504)))</f>
        <v/>
      </c>
      <c r="HY504">
        <f>IF(OR(HT$3="",HT$3&gt;TODAY()),"",IF(AND(HW504="",HX504=""),"",N(HX504)-N(HW504)))</f>
        <v/>
      </c>
      <c r="IC504">
        <f>IF(OR(IA$3="",IA$3&gt;TODAY()),"",IF(AND(IA504="",IB504=""),"",N(IB504)-N(IA504)))</f>
        <v/>
      </c>
      <c r="IF504">
        <f>IF(OR(IA$3="",IA$3&gt;TODAY()),"",IF(AND(ID504="",IE504=""),"",N(IE504)-N(ID504)))</f>
        <v/>
      </c>
      <c r="IJ504">
        <f>IF(OR(IH$3="",IH$3&gt;TODAY()),"",IF(AND(IH504="",II504=""),"",N(II504)-N(IH504)))</f>
        <v/>
      </c>
      <c r="IM504">
        <f>IF(OR(IH$3="",IH$3&gt;TODAY()),"",IF(AND(IK504="",IL504=""),"",N(IL504)-N(IK504)))</f>
        <v/>
      </c>
    </row>
    <row r="505">
      <c r="A505" s="21" t="n"/>
      <c r="B505" s="21" t="n"/>
      <c r="C505" s="21" t="n"/>
      <c r="D505" s="21" t="n"/>
      <c r="E505" s="21" t="n"/>
      <c r="F505" s="21" t="n"/>
      <c r="G505" s="21" t="n"/>
      <c r="H505" s="21" t="n"/>
      <c r="I505" s="22" t="n"/>
      <c r="J505" s="22" t="n"/>
      <c r="K505" s="23" t="n"/>
      <c r="L505" s="22" t="n"/>
      <c r="M505" s="22" t="n"/>
      <c r="N505" s="21" t="n"/>
      <c r="O505" s="23" t="n"/>
      <c r="P505" s="23" t="n"/>
      <c r="Q505" s="23" t="n"/>
      <c r="R505" s="23" t="n"/>
      <c r="S505" s="22" t="n"/>
      <c r="T505" s="23" t="n"/>
      <c r="U505" s="23" t="n"/>
      <c r="V505" s="24">
        <f>IF(J505&lt;&gt;"",J505,IF(I505&lt;&gt;"",I505,""))</f>
        <v/>
      </c>
      <c r="W505" s="25">
        <f>IF($E505="","",N(O505)+SUMIFS($AF505:$IN505,$AF$4:$IN$4,"SEW_ACT"))</f>
        <v/>
      </c>
      <c r="X505" s="25">
        <f>IF($E505="","",N(P505)+SUMIFS($AF505:$IN505,$AF$4:$IN$4,"WASH_ACT"))</f>
        <v/>
      </c>
      <c r="Y505" s="25">
        <f>IF($E505="","",W505-X505-N(T505)-N(U505))</f>
        <v/>
      </c>
      <c r="Z505" s="25">
        <f>IF($E505="","",IF(N(K505)-X505&lt;=0.02*N(K505),0,N(K505)-X505))</f>
        <v/>
      </c>
      <c r="AA505" s="24">
        <f>IF($E505="","",IF(S505&lt;&gt;"",S505,IF(N(O505)&gt;0,IF(L505&lt;&gt;"",L505,99999),IFERROR(1/(1/_xlfn.MINIFS($AF$3:$IN$3,$AF$4:$IN$4,"SEW_ACT",$AF505:$IN505,"&gt;0")),99999))))</f>
        <v/>
      </c>
      <c r="AB505" s="26">
        <f>IF(OR($E505="",Z505=0,V505=""),"",1+COUNTIFS(Z$8:Z$707,"&gt;0",V$8:V$707,"&lt;"&amp;V505)+COUNTIFS(Z$8:Z$707,"&gt;0",V$8:V$707,V505,AA$8:AA$707,"&lt;"&amp;AA505)+COUNTIFS(Z$8:Z$707,"&gt;0",V$8:V$707,V505,AA$8:AA$707,AA505,E$8:E$707,"&lt;"&amp;$E505))</f>
        <v/>
      </c>
      <c r="AC505" s="24">
        <f>IF(OR($E505="",Z505=0),"",IFERROR(TODAY()+ROUNDUP(Z505/(SUMIFS($AF505:$IN505,$AF$4:$IN$4,"WASH_ACT")/COUNTIFS($AF$4:$IN$4,"WASH_ACT",$AF505:$IN505,"&gt;0")),0),"no output yet"))</f>
        <v/>
      </c>
      <c r="AD505" s="26">
        <f>IF($E505="","",IFERROR(ROUND(MAX(0,SUMIFS($AF505:$IN505,$AF$4:$IN$4,"SEW_PLAN",$AF$3:$IN$3,"&lt;="&amp;TODAY())-SUMIFS($AF505:$IN505,$AF$4:$IN$4,"SEW_ACT",$AF$3:$IN$3,"&lt;="&amp;TODAY())+N(Q505))/(SUMIFS($AF505:$IN505,$AF$4:$IN$4,"SEW_PLAN")/COUNTIFS($AF$4:$IN$4,"SEW_PLAN",$AF505:$IN505,"&gt;0")),1),0))</f>
        <v/>
      </c>
      <c r="AE505" s="26">
        <f>IF($E505="","",IF(AND(Z505&gt;0,OR(AND(M505&lt;&gt;"",TODAY()&gt;M505),AND(V505&lt;&gt;"",V505-TODAY()&lt;=7))),"Yes","No"))</f>
        <v/>
      </c>
      <c r="AH505">
        <f>IF(OR(AF$3="",AF$3&gt;TODAY()),"",IF(AND(AF505="",AG505=""),"",N(AG505)-N(AF505)))</f>
        <v/>
      </c>
      <c r="AK505">
        <f>IF(OR(AF$3="",AF$3&gt;TODAY()),"",IF(AND(AI505="",AJ505=""),"",N(AJ505)-N(AI505)))</f>
        <v/>
      </c>
      <c r="AO505">
        <f>IF(OR(AM$3="",AM$3&gt;TODAY()),"",IF(AND(AM505="",AN505=""),"",N(AN505)-N(AM505)))</f>
        <v/>
      </c>
      <c r="AR505">
        <f>IF(OR(AM$3="",AM$3&gt;TODAY()),"",IF(AND(AP505="",AQ505=""),"",N(AQ505)-N(AP505)))</f>
        <v/>
      </c>
      <c r="AV505">
        <f>IF(OR(AT$3="",AT$3&gt;TODAY()),"",IF(AND(AT505="",AU505=""),"",N(AU505)-N(AT505)))</f>
        <v/>
      </c>
      <c r="AY505">
        <f>IF(OR(AT$3="",AT$3&gt;TODAY()),"",IF(AND(AW505="",AX505=""),"",N(AX505)-N(AW505)))</f>
        <v/>
      </c>
      <c r="BC505">
        <f>IF(OR(BA$3="",BA$3&gt;TODAY()),"",IF(AND(BA505="",BB505=""),"",N(BB505)-N(BA505)))</f>
        <v/>
      </c>
      <c r="BF505">
        <f>IF(OR(BA$3="",BA$3&gt;TODAY()),"",IF(AND(BD505="",BE505=""),"",N(BE505)-N(BD505)))</f>
        <v/>
      </c>
      <c r="BJ505">
        <f>IF(OR(BH$3="",BH$3&gt;TODAY()),"",IF(AND(BH505="",BI505=""),"",N(BI505)-N(BH505)))</f>
        <v/>
      </c>
      <c r="BM505">
        <f>IF(OR(BH$3="",BH$3&gt;TODAY()),"",IF(AND(BK505="",BL505=""),"",N(BL505)-N(BK505)))</f>
        <v/>
      </c>
      <c r="BQ505">
        <f>IF(OR(BO$3="",BO$3&gt;TODAY()),"",IF(AND(BO505="",BP505=""),"",N(BP505)-N(BO505)))</f>
        <v/>
      </c>
      <c r="BT505">
        <f>IF(OR(BO$3="",BO$3&gt;TODAY()),"",IF(AND(BR505="",BS505=""),"",N(BS505)-N(BR505)))</f>
        <v/>
      </c>
      <c r="BX505">
        <f>IF(OR(BV$3="",BV$3&gt;TODAY()),"",IF(AND(BV505="",BW505=""),"",N(BW505)-N(BV505)))</f>
        <v/>
      </c>
      <c r="CA505">
        <f>IF(OR(BV$3="",BV$3&gt;TODAY()),"",IF(AND(BY505="",BZ505=""),"",N(BZ505)-N(BY505)))</f>
        <v/>
      </c>
      <c r="CE505">
        <f>IF(OR(CC$3="",CC$3&gt;TODAY()),"",IF(AND(CC505="",CD505=""),"",N(CD505)-N(CC505)))</f>
        <v/>
      </c>
      <c r="CH505">
        <f>IF(OR(CC$3="",CC$3&gt;TODAY()),"",IF(AND(CF505="",CG505=""),"",N(CG505)-N(CF505)))</f>
        <v/>
      </c>
      <c r="CL505">
        <f>IF(OR(CJ$3="",CJ$3&gt;TODAY()),"",IF(AND(CJ505="",CK505=""),"",N(CK505)-N(CJ505)))</f>
        <v/>
      </c>
      <c r="CO505">
        <f>IF(OR(CJ$3="",CJ$3&gt;TODAY()),"",IF(AND(CM505="",CN505=""),"",N(CN505)-N(CM505)))</f>
        <v/>
      </c>
      <c r="CS505">
        <f>IF(OR(CQ$3="",CQ$3&gt;TODAY()),"",IF(AND(CQ505="",CR505=""),"",N(CR505)-N(CQ505)))</f>
        <v/>
      </c>
      <c r="CV505">
        <f>IF(OR(CQ$3="",CQ$3&gt;TODAY()),"",IF(AND(CT505="",CU505=""),"",N(CU505)-N(CT505)))</f>
        <v/>
      </c>
      <c r="CZ505">
        <f>IF(OR(CX$3="",CX$3&gt;TODAY()),"",IF(AND(CX505="",CY505=""),"",N(CY505)-N(CX505)))</f>
        <v/>
      </c>
      <c r="DC505">
        <f>IF(OR(CX$3="",CX$3&gt;TODAY()),"",IF(AND(DA505="",DB505=""),"",N(DB505)-N(DA505)))</f>
        <v/>
      </c>
      <c r="DG505">
        <f>IF(OR(DE$3="",DE$3&gt;TODAY()),"",IF(AND(DE505="",DF505=""),"",N(DF505)-N(DE505)))</f>
        <v/>
      </c>
      <c r="DJ505">
        <f>IF(OR(DE$3="",DE$3&gt;TODAY()),"",IF(AND(DH505="",DI505=""),"",N(DI505)-N(DH505)))</f>
        <v/>
      </c>
      <c r="DN505">
        <f>IF(OR(DL$3="",DL$3&gt;TODAY()),"",IF(AND(DL505="",DM505=""),"",N(DM505)-N(DL505)))</f>
        <v/>
      </c>
      <c r="DQ505">
        <f>IF(OR(DL$3="",DL$3&gt;TODAY()),"",IF(AND(DO505="",DP505=""),"",N(DP505)-N(DO505)))</f>
        <v/>
      </c>
      <c r="DU505">
        <f>IF(OR(DS$3="",DS$3&gt;TODAY()),"",IF(AND(DS505="",DT505=""),"",N(DT505)-N(DS505)))</f>
        <v/>
      </c>
      <c r="DX505">
        <f>IF(OR(DS$3="",DS$3&gt;TODAY()),"",IF(AND(DV505="",DW505=""),"",N(DW505)-N(DV505)))</f>
        <v/>
      </c>
      <c r="EB505">
        <f>IF(OR(DZ$3="",DZ$3&gt;TODAY()),"",IF(AND(DZ505="",EA505=""),"",N(EA505)-N(DZ505)))</f>
        <v/>
      </c>
      <c r="EE505">
        <f>IF(OR(DZ$3="",DZ$3&gt;TODAY()),"",IF(AND(EC505="",ED505=""),"",N(ED505)-N(EC505)))</f>
        <v/>
      </c>
      <c r="EI505">
        <f>IF(OR(EG$3="",EG$3&gt;TODAY()),"",IF(AND(EG505="",EH505=""),"",N(EH505)-N(EG505)))</f>
        <v/>
      </c>
      <c r="EL505">
        <f>IF(OR(EG$3="",EG$3&gt;TODAY()),"",IF(AND(EJ505="",EK505=""),"",N(EK505)-N(EJ505)))</f>
        <v/>
      </c>
      <c r="EP505">
        <f>IF(OR(EN$3="",EN$3&gt;TODAY()),"",IF(AND(EN505="",EO505=""),"",N(EO505)-N(EN505)))</f>
        <v/>
      </c>
      <c r="ES505">
        <f>IF(OR(EN$3="",EN$3&gt;TODAY()),"",IF(AND(EQ505="",ER505=""),"",N(ER505)-N(EQ505)))</f>
        <v/>
      </c>
      <c r="EW505">
        <f>IF(OR(EU$3="",EU$3&gt;TODAY()),"",IF(AND(EU505="",EV505=""),"",N(EV505)-N(EU505)))</f>
        <v/>
      </c>
      <c r="EZ505">
        <f>IF(OR(EU$3="",EU$3&gt;TODAY()),"",IF(AND(EX505="",EY505=""),"",N(EY505)-N(EX505)))</f>
        <v/>
      </c>
      <c r="FD505">
        <f>IF(OR(FB$3="",FB$3&gt;TODAY()),"",IF(AND(FB505="",FC505=""),"",N(FC505)-N(FB505)))</f>
        <v/>
      </c>
      <c r="FG505">
        <f>IF(OR(FB$3="",FB$3&gt;TODAY()),"",IF(AND(FE505="",FF505=""),"",N(FF505)-N(FE505)))</f>
        <v/>
      </c>
      <c r="FK505">
        <f>IF(OR(FI$3="",FI$3&gt;TODAY()),"",IF(AND(FI505="",FJ505=""),"",N(FJ505)-N(FI505)))</f>
        <v/>
      </c>
      <c r="FN505">
        <f>IF(OR(FI$3="",FI$3&gt;TODAY()),"",IF(AND(FL505="",FM505=""),"",N(FM505)-N(FL505)))</f>
        <v/>
      </c>
      <c r="FR505">
        <f>IF(OR(FP$3="",FP$3&gt;TODAY()),"",IF(AND(FP505="",FQ505=""),"",N(FQ505)-N(FP505)))</f>
        <v/>
      </c>
      <c r="FU505">
        <f>IF(OR(FP$3="",FP$3&gt;TODAY()),"",IF(AND(FS505="",FT505=""),"",N(FT505)-N(FS505)))</f>
        <v/>
      </c>
      <c r="FY505">
        <f>IF(OR(FW$3="",FW$3&gt;TODAY()),"",IF(AND(FW505="",FX505=""),"",N(FX505)-N(FW505)))</f>
        <v/>
      </c>
      <c r="GB505">
        <f>IF(OR(FW$3="",FW$3&gt;TODAY()),"",IF(AND(FZ505="",GA505=""),"",N(GA505)-N(FZ505)))</f>
        <v/>
      </c>
      <c r="GF505">
        <f>IF(OR(GD$3="",GD$3&gt;TODAY()),"",IF(AND(GD505="",GE505=""),"",N(GE505)-N(GD505)))</f>
        <v/>
      </c>
      <c r="GI505">
        <f>IF(OR(GD$3="",GD$3&gt;TODAY()),"",IF(AND(GG505="",GH505=""),"",N(GH505)-N(GG505)))</f>
        <v/>
      </c>
      <c r="GM505">
        <f>IF(OR(GK$3="",GK$3&gt;TODAY()),"",IF(AND(GK505="",GL505=""),"",N(GL505)-N(GK505)))</f>
        <v/>
      </c>
      <c r="GP505">
        <f>IF(OR(GK$3="",GK$3&gt;TODAY()),"",IF(AND(GN505="",GO505=""),"",N(GO505)-N(GN505)))</f>
        <v/>
      </c>
      <c r="GT505">
        <f>IF(OR(GR$3="",GR$3&gt;TODAY()),"",IF(AND(GR505="",GS505=""),"",N(GS505)-N(GR505)))</f>
        <v/>
      </c>
      <c r="GW505">
        <f>IF(OR(GR$3="",GR$3&gt;TODAY()),"",IF(AND(GU505="",GV505=""),"",N(GV505)-N(GU505)))</f>
        <v/>
      </c>
      <c r="HA505">
        <f>IF(OR(GY$3="",GY$3&gt;TODAY()),"",IF(AND(GY505="",GZ505=""),"",N(GZ505)-N(GY505)))</f>
        <v/>
      </c>
      <c r="HD505">
        <f>IF(OR(GY$3="",GY$3&gt;TODAY()),"",IF(AND(HB505="",HC505=""),"",N(HC505)-N(HB505)))</f>
        <v/>
      </c>
      <c r="HH505">
        <f>IF(OR(HF$3="",HF$3&gt;TODAY()),"",IF(AND(HF505="",HG505=""),"",N(HG505)-N(HF505)))</f>
        <v/>
      </c>
      <c r="HK505">
        <f>IF(OR(HF$3="",HF$3&gt;TODAY()),"",IF(AND(HI505="",HJ505=""),"",N(HJ505)-N(HI505)))</f>
        <v/>
      </c>
      <c r="HO505">
        <f>IF(OR(HM$3="",HM$3&gt;TODAY()),"",IF(AND(HM505="",HN505=""),"",N(HN505)-N(HM505)))</f>
        <v/>
      </c>
      <c r="HR505">
        <f>IF(OR(HM$3="",HM$3&gt;TODAY()),"",IF(AND(HP505="",HQ505=""),"",N(HQ505)-N(HP505)))</f>
        <v/>
      </c>
      <c r="HV505">
        <f>IF(OR(HT$3="",HT$3&gt;TODAY()),"",IF(AND(HT505="",HU505=""),"",N(HU505)-N(HT505)))</f>
        <v/>
      </c>
      <c r="HY505">
        <f>IF(OR(HT$3="",HT$3&gt;TODAY()),"",IF(AND(HW505="",HX505=""),"",N(HX505)-N(HW505)))</f>
        <v/>
      </c>
      <c r="IC505">
        <f>IF(OR(IA$3="",IA$3&gt;TODAY()),"",IF(AND(IA505="",IB505=""),"",N(IB505)-N(IA505)))</f>
        <v/>
      </c>
      <c r="IF505">
        <f>IF(OR(IA$3="",IA$3&gt;TODAY()),"",IF(AND(ID505="",IE505=""),"",N(IE505)-N(ID505)))</f>
        <v/>
      </c>
      <c r="IJ505">
        <f>IF(OR(IH$3="",IH$3&gt;TODAY()),"",IF(AND(IH505="",II505=""),"",N(II505)-N(IH505)))</f>
        <v/>
      </c>
      <c r="IM505">
        <f>IF(OR(IH$3="",IH$3&gt;TODAY()),"",IF(AND(IK505="",IL505=""),"",N(IL505)-N(IK505)))</f>
        <v/>
      </c>
    </row>
    <row r="506">
      <c r="A506" s="21" t="n"/>
      <c r="B506" s="21" t="n"/>
      <c r="C506" s="21" t="n"/>
      <c r="D506" s="21" t="n"/>
      <c r="E506" s="21" t="n"/>
      <c r="F506" s="21" t="n"/>
      <c r="G506" s="21" t="n"/>
      <c r="H506" s="21" t="n"/>
      <c r="I506" s="22" t="n"/>
      <c r="J506" s="22" t="n"/>
      <c r="K506" s="23" t="n"/>
      <c r="L506" s="22" t="n"/>
      <c r="M506" s="22" t="n"/>
      <c r="N506" s="21" t="n"/>
      <c r="O506" s="23" t="n"/>
      <c r="P506" s="23" t="n"/>
      <c r="Q506" s="23" t="n"/>
      <c r="R506" s="23" t="n"/>
      <c r="S506" s="22" t="n"/>
      <c r="T506" s="23" t="n"/>
      <c r="U506" s="23" t="n"/>
      <c r="V506" s="24">
        <f>IF(J506&lt;&gt;"",J506,IF(I506&lt;&gt;"",I506,""))</f>
        <v/>
      </c>
      <c r="W506" s="25">
        <f>IF($E506="","",N(O506)+SUMIFS($AF506:$IN506,$AF$4:$IN$4,"SEW_ACT"))</f>
        <v/>
      </c>
      <c r="X506" s="25">
        <f>IF($E506="","",N(P506)+SUMIFS($AF506:$IN506,$AF$4:$IN$4,"WASH_ACT"))</f>
        <v/>
      </c>
      <c r="Y506" s="25">
        <f>IF($E506="","",W506-X506-N(T506)-N(U506))</f>
        <v/>
      </c>
      <c r="Z506" s="25">
        <f>IF($E506="","",IF(N(K506)-X506&lt;=0.02*N(K506),0,N(K506)-X506))</f>
        <v/>
      </c>
      <c r="AA506" s="24">
        <f>IF($E506="","",IF(S506&lt;&gt;"",S506,IF(N(O506)&gt;0,IF(L506&lt;&gt;"",L506,99999),IFERROR(1/(1/_xlfn.MINIFS($AF$3:$IN$3,$AF$4:$IN$4,"SEW_ACT",$AF506:$IN506,"&gt;0")),99999))))</f>
        <v/>
      </c>
      <c r="AB506" s="26">
        <f>IF(OR($E506="",Z506=0,V506=""),"",1+COUNTIFS(Z$8:Z$707,"&gt;0",V$8:V$707,"&lt;"&amp;V506)+COUNTIFS(Z$8:Z$707,"&gt;0",V$8:V$707,V506,AA$8:AA$707,"&lt;"&amp;AA506)+COUNTIFS(Z$8:Z$707,"&gt;0",V$8:V$707,V506,AA$8:AA$707,AA506,E$8:E$707,"&lt;"&amp;$E506))</f>
        <v/>
      </c>
      <c r="AC506" s="24">
        <f>IF(OR($E506="",Z506=0),"",IFERROR(TODAY()+ROUNDUP(Z506/(SUMIFS($AF506:$IN506,$AF$4:$IN$4,"WASH_ACT")/COUNTIFS($AF$4:$IN$4,"WASH_ACT",$AF506:$IN506,"&gt;0")),0),"no output yet"))</f>
        <v/>
      </c>
      <c r="AD506" s="26">
        <f>IF($E506="","",IFERROR(ROUND(MAX(0,SUMIFS($AF506:$IN506,$AF$4:$IN$4,"SEW_PLAN",$AF$3:$IN$3,"&lt;="&amp;TODAY())-SUMIFS($AF506:$IN506,$AF$4:$IN$4,"SEW_ACT",$AF$3:$IN$3,"&lt;="&amp;TODAY())+N(Q506))/(SUMIFS($AF506:$IN506,$AF$4:$IN$4,"SEW_PLAN")/COUNTIFS($AF$4:$IN$4,"SEW_PLAN",$AF506:$IN506,"&gt;0")),1),0))</f>
        <v/>
      </c>
      <c r="AE506" s="26">
        <f>IF($E506="","",IF(AND(Z506&gt;0,OR(AND(M506&lt;&gt;"",TODAY()&gt;M506),AND(V506&lt;&gt;"",V506-TODAY()&lt;=7))),"Yes","No"))</f>
        <v/>
      </c>
      <c r="AH506">
        <f>IF(OR(AF$3="",AF$3&gt;TODAY()),"",IF(AND(AF506="",AG506=""),"",N(AG506)-N(AF506)))</f>
        <v/>
      </c>
      <c r="AK506">
        <f>IF(OR(AF$3="",AF$3&gt;TODAY()),"",IF(AND(AI506="",AJ506=""),"",N(AJ506)-N(AI506)))</f>
        <v/>
      </c>
      <c r="AO506">
        <f>IF(OR(AM$3="",AM$3&gt;TODAY()),"",IF(AND(AM506="",AN506=""),"",N(AN506)-N(AM506)))</f>
        <v/>
      </c>
      <c r="AR506">
        <f>IF(OR(AM$3="",AM$3&gt;TODAY()),"",IF(AND(AP506="",AQ506=""),"",N(AQ506)-N(AP506)))</f>
        <v/>
      </c>
      <c r="AV506">
        <f>IF(OR(AT$3="",AT$3&gt;TODAY()),"",IF(AND(AT506="",AU506=""),"",N(AU506)-N(AT506)))</f>
        <v/>
      </c>
      <c r="AY506">
        <f>IF(OR(AT$3="",AT$3&gt;TODAY()),"",IF(AND(AW506="",AX506=""),"",N(AX506)-N(AW506)))</f>
        <v/>
      </c>
      <c r="BC506">
        <f>IF(OR(BA$3="",BA$3&gt;TODAY()),"",IF(AND(BA506="",BB506=""),"",N(BB506)-N(BA506)))</f>
        <v/>
      </c>
      <c r="BF506">
        <f>IF(OR(BA$3="",BA$3&gt;TODAY()),"",IF(AND(BD506="",BE506=""),"",N(BE506)-N(BD506)))</f>
        <v/>
      </c>
      <c r="BJ506">
        <f>IF(OR(BH$3="",BH$3&gt;TODAY()),"",IF(AND(BH506="",BI506=""),"",N(BI506)-N(BH506)))</f>
        <v/>
      </c>
      <c r="BM506">
        <f>IF(OR(BH$3="",BH$3&gt;TODAY()),"",IF(AND(BK506="",BL506=""),"",N(BL506)-N(BK506)))</f>
        <v/>
      </c>
      <c r="BQ506">
        <f>IF(OR(BO$3="",BO$3&gt;TODAY()),"",IF(AND(BO506="",BP506=""),"",N(BP506)-N(BO506)))</f>
        <v/>
      </c>
      <c r="BT506">
        <f>IF(OR(BO$3="",BO$3&gt;TODAY()),"",IF(AND(BR506="",BS506=""),"",N(BS506)-N(BR506)))</f>
        <v/>
      </c>
      <c r="BX506">
        <f>IF(OR(BV$3="",BV$3&gt;TODAY()),"",IF(AND(BV506="",BW506=""),"",N(BW506)-N(BV506)))</f>
        <v/>
      </c>
      <c r="CA506">
        <f>IF(OR(BV$3="",BV$3&gt;TODAY()),"",IF(AND(BY506="",BZ506=""),"",N(BZ506)-N(BY506)))</f>
        <v/>
      </c>
      <c r="CE506">
        <f>IF(OR(CC$3="",CC$3&gt;TODAY()),"",IF(AND(CC506="",CD506=""),"",N(CD506)-N(CC506)))</f>
        <v/>
      </c>
      <c r="CH506">
        <f>IF(OR(CC$3="",CC$3&gt;TODAY()),"",IF(AND(CF506="",CG506=""),"",N(CG506)-N(CF506)))</f>
        <v/>
      </c>
      <c r="CL506">
        <f>IF(OR(CJ$3="",CJ$3&gt;TODAY()),"",IF(AND(CJ506="",CK506=""),"",N(CK506)-N(CJ506)))</f>
        <v/>
      </c>
      <c r="CO506">
        <f>IF(OR(CJ$3="",CJ$3&gt;TODAY()),"",IF(AND(CM506="",CN506=""),"",N(CN506)-N(CM506)))</f>
        <v/>
      </c>
      <c r="CS506">
        <f>IF(OR(CQ$3="",CQ$3&gt;TODAY()),"",IF(AND(CQ506="",CR506=""),"",N(CR506)-N(CQ506)))</f>
        <v/>
      </c>
      <c r="CV506">
        <f>IF(OR(CQ$3="",CQ$3&gt;TODAY()),"",IF(AND(CT506="",CU506=""),"",N(CU506)-N(CT506)))</f>
        <v/>
      </c>
      <c r="CZ506">
        <f>IF(OR(CX$3="",CX$3&gt;TODAY()),"",IF(AND(CX506="",CY506=""),"",N(CY506)-N(CX506)))</f>
        <v/>
      </c>
      <c r="DC506">
        <f>IF(OR(CX$3="",CX$3&gt;TODAY()),"",IF(AND(DA506="",DB506=""),"",N(DB506)-N(DA506)))</f>
        <v/>
      </c>
      <c r="DG506">
        <f>IF(OR(DE$3="",DE$3&gt;TODAY()),"",IF(AND(DE506="",DF506=""),"",N(DF506)-N(DE506)))</f>
        <v/>
      </c>
      <c r="DJ506">
        <f>IF(OR(DE$3="",DE$3&gt;TODAY()),"",IF(AND(DH506="",DI506=""),"",N(DI506)-N(DH506)))</f>
        <v/>
      </c>
      <c r="DN506">
        <f>IF(OR(DL$3="",DL$3&gt;TODAY()),"",IF(AND(DL506="",DM506=""),"",N(DM506)-N(DL506)))</f>
        <v/>
      </c>
      <c r="DQ506">
        <f>IF(OR(DL$3="",DL$3&gt;TODAY()),"",IF(AND(DO506="",DP506=""),"",N(DP506)-N(DO506)))</f>
        <v/>
      </c>
      <c r="DU506">
        <f>IF(OR(DS$3="",DS$3&gt;TODAY()),"",IF(AND(DS506="",DT506=""),"",N(DT506)-N(DS506)))</f>
        <v/>
      </c>
      <c r="DX506">
        <f>IF(OR(DS$3="",DS$3&gt;TODAY()),"",IF(AND(DV506="",DW506=""),"",N(DW506)-N(DV506)))</f>
        <v/>
      </c>
      <c r="EB506">
        <f>IF(OR(DZ$3="",DZ$3&gt;TODAY()),"",IF(AND(DZ506="",EA506=""),"",N(EA506)-N(DZ506)))</f>
        <v/>
      </c>
      <c r="EE506">
        <f>IF(OR(DZ$3="",DZ$3&gt;TODAY()),"",IF(AND(EC506="",ED506=""),"",N(ED506)-N(EC506)))</f>
        <v/>
      </c>
      <c r="EI506">
        <f>IF(OR(EG$3="",EG$3&gt;TODAY()),"",IF(AND(EG506="",EH506=""),"",N(EH506)-N(EG506)))</f>
        <v/>
      </c>
      <c r="EL506">
        <f>IF(OR(EG$3="",EG$3&gt;TODAY()),"",IF(AND(EJ506="",EK506=""),"",N(EK506)-N(EJ506)))</f>
        <v/>
      </c>
      <c r="EP506">
        <f>IF(OR(EN$3="",EN$3&gt;TODAY()),"",IF(AND(EN506="",EO506=""),"",N(EO506)-N(EN506)))</f>
        <v/>
      </c>
      <c r="ES506">
        <f>IF(OR(EN$3="",EN$3&gt;TODAY()),"",IF(AND(EQ506="",ER506=""),"",N(ER506)-N(EQ506)))</f>
        <v/>
      </c>
      <c r="EW506">
        <f>IF(OR(EU$3="",EU$3&gt;TODAY()),"",IF(AND(EU506="",EV506=""),"",N(EV506)-N(EU506)))</f>
        <v/>
      </c>
      <c r="EZ506">
        <f>IF(OR(EU$3="",EU$3&gt;TODAY()),"",IF(AND(EX506="",EY506=""),"",N(EY506)-N(EX506)))</f>
        <v/>
      </c>
      <c r="FD506">
        <f>IF(OR(FB$3="",FB$3&gt;TODAY()),"",IF(AND(FB506="",FC506=""),"",N(FC506)-N(FB506)))</f>
        <v/>
      </c>
      <c r="FG506">
        <f>IF(OR(FB$3="",FB$3&gt;TODAY()),"",IF(AND(FE506="",FF506=""),"",N(FF506)-N(FE506)))</f>
        <v/>
      </c>
      <c r="FK506">
        <f>IF(OR(FI$3="",FI$3&gt;TODAY()),"",IF(AND(FI506="",FJ506=""),"",N(FJ506)-N(FI506)))</f>
        <v/>
      </c>
      <c r="FN506">
        <f>IF(OR(FI$3="",FI$3&gt;TODAY()),"",IF(AND(FL506="",FM506=""),"",N(FM506)-N(FL506)))</f>
        <v/>
      </c>
      <c r="FR506">
        <f>IF(OR(FP$3="",FP$3&gt;TODAY()),"",IF(AND(FP506="",FQ506=""),"",N(FQ506)-N(FP506)))</f>
        <v/>
      </c>
      <c r="FU506">
        <f>IF(OR(FP$3="",FP$3&gt;TODAY()),"",IF(AND(FS506="",FT506=""),"",N(FT506)-N(FS506)))</f>
        <v/>
      </c>
      <c r="FY506">
        <f>IF(OR(FW$3="",FW$3&gt;TODAY()),"",IF(AND(FW506="",FX506=""),"",N(FX506)-N(FW506)))</f>
        <v/>
      </c>
      <c r="GB506">
        <f>IF(OR(FW$3="",FW$3&gt;TODAY()),"",IF(AND(FZ506="",GA506=""),"",N(GA506)-N(FZ506)))</f>
        <v/>
      </c>
      <c r="GF506">
        <f>IF(OR(GD$3="",GD$3&gt;TODAY()),"",IF(AND(GD506="",GE506=""),"",N(GE506)-N(GD506)))</f>
        <v/>
      </c>
      <c r="GI506">
        <f>IF(OR(GD$3="",GD$3&gt;TODAY()),"",IF(AND(GG506="",GH506=""),"",N(GH506)-N(GG506)))</f>
        <v/>
      </c>
      <c r="GM506">
        <f>IF(OR(GK$3="",GK$3&gt;TODAY()),"",IF(AND(GK506="",GL506=""),"",N(GL506)-N(GK506)))</f>
        <v/>
      </c>
      <c r="GP506">
        <f>IF(OR(GK$3="",GK$3&gt;TODAY()),"",IF(AND(GN506="",GO506=""),"",N(GO506)-N(GN506)))</f>
        <v/>
      </c>
      <c r="GT506">
        <f>IF(OR(GR$3="",GR$3&gt;TODAY()),"",IF(AND(GR506="",GS506=""),"",N(GS506)-N(GR506)))</f>
        <v/>
      </c>
      <c r="GW506">
        <f>IF(OR(GR$3="",GR$3&gt;TODAY()),"",IF(AND(GU506="",GV506=""),"",N(GV506)-N(GU506)))</f>
        <v/>
      </c>
      <c r="HA506">
        <f>IF(OR(GY$3="",GY$3&gt;TODAY()),"",IF(AND(GY506="",GZ506=""),"",N(GZ506)-N(GY506)))</f>
        <v/>
      </c>
      <c r="HD506">
        <f>IF(OR(GY$3="",GY$3&gt;TODAY()),"",IF(AND(HB506="",HC506=""),"",N(HC506)-N(HB506)))</f>
        <v/>
      </c>
      <c r="HH506">
        <f>IF(OR(HF$3="",HF$3&gt;TODAY()),"",IF(AND(HF506="",HG506=""),"",N(HG506)-N(HF506)))</f>
        <v/>
      </c>
      <c r="HK506">
        <f>IF(OR(HF$3="",HF$3&gt;TODAY()),"",IF(AND(HI506="",HJ506=""),"",N(HJ506)-N(HI506)))</f>
        <v/>
      </c>
      <c r="HO506">
        <f>IF(OR(HM$3="",HM$3&gt;TODAY()),"",IF(AND(HM506="",HN506=""),"",N(HN506)-N(HM506)))</f>
        <v/>
      </c>
      <c r="HR506">
        <f>IF(OR(HM$3="",HM$3&gt;TODAY()),"",IF(AND(HP506="",HQ506=""),"",N(HQ506)-N(HP506)))</f>
        <v/>
      </c>
      <c r="HV506">
        <f>IF(OR(HT$3="",HT$3&gt;TODAY()),"",IF(AND(HT506="",HU506=""),"",N(HU506)-N(HT506)))</f>
        <v/>
      </c>
      <c r="HY506">
        <f>IF(OR(HT$3="",HT$3&gt;TODAY()),"",IF(AND(HW506="",HX506=""),"",N(HX506)-N(HW506)))</f>
        <v/>
      </c>
      <c r="IC506">
        <f>IF(OR(IA$3="",IA$3&gt;TODAY()),"",IF(AND(IA506="",IB506=""),"",N(IB506)-N(IA506)))</f>
        <v/>
      </c>
      <c r="IF506">
        <f>IF(OR(IA$3="",IA$3&gt;TODAY()),"",IF(AND(ID506="",IE506=""),"",N(IE506)-N(ID506)))</f>
        <v/>
      </c>
      <c r="IJ506">
        <f>IF(OR(IH$3="",IH$3&gt;TODAY()),"",IF(AND(IH506="",II506=""),"",N(II506)-N(IH506)))</f>
        <v/>
      </c>
      <c r="IM506">
        <f>IF(OR(IH$3="",IH$3&gt;TODAY()),"",IF(AND(IK506="",IL506=""),"",N(IL506)-N(IK506)))</f>
        <v/>
      </c>
    </row>
    <row r="507">
      <c r="A507" s="21" t="n"/>
      <c r="B507" s="21" t="n"/>
      <c r="C507" s="21" t="n"/>
      <c r="D507" s="21" t="n"/>
      <c r="E507" s="21" t="n"/>
      <c r="F507" s="21" t="n"/>
      <c r="G507" s="21" t="n"/>
      <c r="H507" s="21" t="n"/>
      <c r="I507" s="22" t="n"/>
      <c r="J507" s="22" t="n"/>
      <c r="K507" s="23" t="n"/>
      <c r="L507" s="22" t="n"/>
      <c r="M507" s="22" t="n"/>
      <c r="N507" s="21" t="n"/>
      <c r="O507" s="23" t="n"/>
      <c r="P507" s="23" t="n"/>
      <c r="Q507" s="23" t="n"/>
      <c r="R507" s="23" t="n"/>
      <c r="S507" s="22" t="n"/>
      <c r="T507" s="23" t="n"/>
      <c r="U507" s="23" t="n"/>
      <c r="V507" s="24">
        <f>IF(J507&lt;&gt;"",J507,IF(I507&lt;&gt;"",I507,""))</f>
        <v/>
      </c>
      <c r="W507" s="25">
        <f>IF($E507="","",N(O507)+SUMIFS($AF507:$IN507,$AF$4:$IN$4,"SEW_ACT"))</f>
        <v/>
      </c>
      <c r="X507" s="25">
        <f>IF($E507="","",N(P507)+SUMIFS($AF507:$IN507,$AF$4:$IN$4,"WASH_ACT"))</f>
        <v/>
      </c>
      <c r="Y507" s="25">
        <f>IF($E507="","",W507-X507-N(T507)-N(U507))</f>
        <v/>
      </c>
      <c r="Z507" s="25">
        <f>IF($E507="","",IF(N(K507)-X507&lt;=0.02*N(K507),0,N(K507)-X507))</f>
        <v/>
      </c>
      <c r="AA507" s="24">
        <f>IF($E507="","",IF(S507&lt;&gt;"",S507,IF(N(O507)&gt;0,IF(L507&lt;&gt;"",L507,99999),IFERROR(1/(1/_xlfn.MINIFS($AF$3:$IN$3,$AF$4:$IN$4,"SEW_ACT",$AF507:$IN507,"&gt;0")),99999))))</f>
        <v/>
      </c>
      <c r="AB507" s="26">
        <f>IF(OR($E507="",Z507=0,V507=""),"",1+COUNTIFS(Z$8:Z$707,"&gt;0",V$8:V$707,"&lt;"&amp;V507)+COUNTIFS(Z$8:Z$707,"&gt;0",V$8:V$707,V507,AA$8:AA$707,"&lt;"&amp;AA507)+COUNTIFS(Z$8:Z$707,"&gt;0",V$8:V$707,V507,AA$8:AA$707,AA507,E$8:E$707,"&lt;"&amp;$E507))</f>
        <v/>
      </c>
      <c r="AC507" s="24">
        <f>IF(OR($E507="",Z507=0),"",IFERROR(TODAY()+ROUNDUP(Z507/(SUMIFS($AF507:$IN507,$AF$4:$IN$4,"WASH_ACT")/COUNTIFS($AF$4:$IN$4,"WASH_ACT",$AF507:$IN507,"&gt;0")),0),"no output yet"))</f>
        <v/>
      </c>
      <c r="AD507" s="26">
        <f>IF($E507="","",IFERROR(ROUND(MAX(0,SUMIFS($AF507:$IN507,$AF$4:$IN$4,"SEW_PLAN",$AF$3:$IN$3,"&lt;="&amp;TODAY())-SUMIFS($AF507:$IN507,$AF$4:$IN$4,"SEW_ACT",$AF$3:$IN$3,"&lt;="&amp;TODAY())+N(Q507))/(SUMIFS($AF507:$IN507,$AF$4:$IN$4,"SEW_PLAN")/COUNTIFS($AF$4:$IN$4,"SEW_PLAN",$AF507:$IN507,"&gt;0")),1),0))</f>
        <v/>
      </c>
      <c r="AE507" s="26">
        <f>IF($E507="","",IF(AND(Z507&gt;0,OR(AND(M507&lt;&gt;"",TODAY()&gt;M507),AND(V507&lt;&gt;"",V507-TODAY()&lt;=7))),"Yes","No"))</f>
        <v/>
      </c>
      <c r="AH507">
        <f>IF(OR(AF$3="",AF$3&gt;TODAY()),"",IF(AND(AF507="",AG507=""),"",N(AG507)-N(AF507)))</f>
        <v/>
      </c>
      <c r="AK507">
        <f>IF(OR(AF$3="",AF$3&gt;TODAY()),"",IF(AND(AI507="",AJ507=""),"",N(AJ507)-N(AI507)))</f>
        <v/>
      </c>
      <c r="AO507">
        <f>IF(OR(AM$3="",AM$3&gt;TODAY()),"",IF(AND(AM507="",AN507=""),"",N(AN507)-N(AM507)))</f>
        <v/>
      </c>
      <c r="AR507">
        <f>IF(OR(AM$3="",AM$3&gt;TODAY()),"",IF(AND(AP507="",AQ507=""),"",N(AQ507)-N(AP507)))</f>
        <v/>
      </c>
      <c r="AV507">
        <f>IF(OR(AT$3="",AT$3&gt;TODAY()),"",IF(AND(AT507="",AU507=""),"",N(AU507)-N(AT507)))</f>
        <v/>
      </c>
      <c r="AY507">
        <f>IF(OR(AT$3="",AT$3&gt;TODAY()),"",IF(AND(AW507="",AX507=""),"",N(AX507)-N(AW507)))</f>
        <v/>
      </c>
      <c r="BC507">
        <f>IF(OR(BA$3="",BA$3&gt;TODAY()),"",IF(AND(BA507="",BB507=""),"",N(BB507)-N(BA507)))</f>
        <v/>
      </c>
      <c r="BF507">
        <f>IF(OR(BA$3="",BA$3&gt;TODAY()),"",IF(AND(BD507="",BE507=""),"",N(BE507)-N(BD507)))</f>
        <v/>
      </c>
      <c r="BJ507">
        <f>IF(OR(BH$3="",BH$3&gt;TODAY()),"",IF(AND(BH507="",BI507=""),"",N(BI507)-N(BH507)))</f>
        <v/>
      </c>
      <c r="BM507">
        <f>IF(OR(BH$3="",BH$3&gt;TODAY()),"",IF(AND(BK507="",BL507=""),"",N(BL507)-N(BK507)))</f>
        <v/>
      </c>
      <c r="BQ507">
        <f>IF(OR(BO$3="",BO$3&gt;TODAY()),"",IF(AND(BO507="",BP507=""),"",N(BP507)-N(BO507)))</f>
        <v/>
      </c>
      <c r="BT507">
        <f>IF(OR(BO$3="",BO$3&gt;TODAY()),"",IF(AND(BR507="",BS507=""),"",N(BS507)-N(BR507)))</f>
        <v/>
      </c>
      <c r="BX507">
        <f>IF(OR(BV$3="",BV$3&gt;TODAY()),"",IF(AND(BV507="",BW507=""),"",N(BW507)-N(BV507)))</f>
        <v/>
      </c>
      <c r="CA507">
        <f>IF(OR(BV$3="",BV$3&gt;TODAY()),"",IF(AND(BY507="",BZ507=""),"",N(BZ507)-N(BY507)))</f>
        <v/>
      </c>
      <c r="CE507">
        <f>IF(OR(CC$3="",CC$3&gt;TODAY()),"",IF(AND(CC507="",CD507=""),"",N(CD507)-N(CC507)))</f>
        <v/>
      </c>
      <c r="CH507">
        <f>IF(OR(CC$3="",CC$3&gt;TODAY()),"",IF(AND(CF507="",CG507=""),"",N(CG507)-N(CF507)))</f>
        <v/>
      </c>
      <c r="CL507">
        <f>IF(OR(CJ$3="",CJ$3&gt;TODAY()),"",IF(AND(CJ507="",CK507=""),"",N(CK507)-N(CJ507)))</f>
        <v/>
      </c>
      <c r="CO507">
        <f>IF(OR(CJ$3="",CJ$3&gt;TODAY()),"",IF(AND(CM507="",CN507=""),"",N(CN507)-N(CM507)))</f>
        <v/>
      </c>
      <c r="CS507">
        <f>IF(OR(CQ$3="",CQ$3&gt;TODAY()),"",IF(AND(CQ507="",CR507=""),"",N(CR507)-N(CQ507)))</f>
        <v/>
      </c>
      <c r="CV507">
        <f>IF(OR(CQ$3="",CQ$3&gt;TODAY()),"",IF(AND(CT507="",CU507=""),"",N(CU507)-N(CT507)))</f>
        <v/>
      </c>
      <c r="CZ507">
        <f>IF(OR(CX$3="",CX$3&gt;TODAY()),"",IF(AND(CX507="",CY507=""),"",N(CY507)-N(CX507)))</f>
        <v/>
      </c>
      <c r="DC507">
        <f>IF(OR(CX$3="",CX$3&gt;TODAY()),"",IF(AND(DA507="",DB507=""),"",N(DB507)-N(DA507)))</f>
        <v/>
      </c>
      <c r="DG507">
        <f>IF(OR(DE$3="",DE$3&gt;TODAY()),"",IF(AND(DE507="",DF507=""),"",N(DF507)-N(DE507)))</f>
        <v/>
      </c>
      <c r="DJ507">
        <f>IF(OR(DE$3="",DE$3&gt;TODAY()),"",IF(AND(DH507="",DI507=""),"",N(DI507)-N(DH507)))</f>
        <v/>
      </c>
      <c r="DN507">
        <f>IF(OR(DL$3="",DL$3&gt;TODAY()),"",IF(AND(DL507="",DM507=""),"",N(DM507)-N(DL507)))</f>
        <v/>
      </c>
      <c r="DQ507">
        <f>IF(OR(DL$3="",DL$3&gt;TODAY()),"",IF(AND(DO507="",DP507=""),"",N(DP507)-N(DO507)))</f>
        <v/>
      </c>
      <c r="DU507">
        <f>IF(OR(DS$3="",DS$3&gt;TODAY()),"",IF(AND(DS507="",DT507=""),"",N(DT507)-N(DS507)))</f>
        <v/>
      </c>
      <c r="DX507">
        <f>IF(OR(DS$3="",DS$3&gt;TODAY()),"",IF(AND(DV507="",DW507=""),"",N(DW507)-N(DV507)))</f>
        <v/>
      </c>
      <c r="EB507">
        <f>IF(OR(DZ$3="",DZ$3&gt;TODAY()),"",IF(AND(DZ507="",EA507=""),"",N(EA507)-N(DZ507)))</f>
        <v/>
      </c>
      <c r="EE507">
        <f>IF(OR(DZ$3="",DZ$3&gt;TODAY()),"",IF(AND(EC507="",ED507=""),"",N(ED507)-N(EC507)))</f>
        <v/>
      </c>
      <c r="EI507">
        <f>IF(OR(EG$3="",EG$3&gt;TODAY()),"",IF(AND(EG507="",EH507=""),"",N(EH507)-N(EG507)))</f>
        <v/>
      </c>
      <c r="EL507">
        <f>IF(OR(EG$3="",EG$3&gt;TODAY()),"",IF(AND(EJ507="",EK507=""),"",N(EK507)-N(EJ507)))</f>
        <v/>
      </c>
      <c r="EP507">
        <f>IF(OR(EN$3="",EN$3&gt;TODAY()),"",IF(AND(EN507="",EO507=""),"",N(EO507)-N(EN507)))</f>
        <v/>
      </c>
      <c r="ES507">
        <f>IF(OR(EN$3="",EN$3&gt;TODAY()),"",IF(AND(EQ507="",ER507=""),"",N(ER507)-N(EQ507)))</f>
        <v/>
      </c>
      <c r="EW507">
        <f>IF(OR(EU$3="",EU$3&gt;TODAY()),"",IF(AND(EU507="",EV507=""),"",N(EV507)-N(EU507)))</f>
        <v/>
      </c>
      <c r="EZ507">
        <f>IF(OR(EU$3="",EU$3&gt;TODAY()),"",IF(AND(EX507="",EY507=""),"",N(EY507)-N(EX507)))</f>
        <v/>
      </c>
      <c r="FD507">
        <f>IF(OR(FB$3="",FB$3&gt;TODAY()),"",IF(AND(FB507="",FC507=""),"",N(FC507)-N(FB507)))</f>
        <v/>
      </c>
      <c r="FG507">
        <f>IF(OR(FB$3="",FB$3&gt;TODAY()),"",IF(AND(FE507="",FF507=""),"",N(FF507)-N(FE507)))</f>
        <v/>
      </c>
      <c r="FK507">
        <f>IF(OR(FI$3="",FI$3&gt;TODAY()),"",IF(AND(FI507="",FJ507=""),"",N(FJ507)-N(FI507)))</f>
        <v/>
      </c>
      <c r="FN507">
        <f>IF(OR(FI$3="",FI$3&gt;TODAY()),"",IF(AND(FL507="",FM507=""),"",N(FM507)-N(FL507)))</f>
        <v/>
      </c>
      <c r="FR507">
        <f>IF(OR(FP$3="",FP$3&gt;TODAY()),"",IF(AND(FP507="",FQ507=""),"",N(FQ507)-N(FP507)))</f>
        <v/>
      </c>
      <c r="FU507">
        <f>IF(OR(FP$3="",FP$3&gt;TODAY()),"",IF(AND(FS507="",FT507=""),"",N(FT507)-N(FS507)))</f>
        <v/>
      </c>
      <c r="FY507">
        <f>IF(OR(FW$3="",FW$3&gt;TODAY()),"",IF(AND(FW507="",FX507=""),"",N(FX507)-N(FW507)))</f>
        <v/>
      </c>
      <c r="GB507">
        <f>IF(OR(FW$3="",FW$3&gt;TODAY()),"",IF(AND(FZ507="",GA507=""),"",N(GA507)-N(FZ507)))</f>
        <v/>
      </c>
      <c r="GF507">
        <f>IF(OR(GD$3="",GD$3&gt;TODAY()),"",IF(AND(GD507="",GE507=""),"",N(GE507)-N(GD507)))</f>
        <v/>
      </c>
      <c r="GI507">
        <f>IF(OR(GD$3="",GD$3&gt;TODAY()),"",IF(AND(GG507="",GH507=""),"",N(GH507)-N(GG507)))</f>
        <v/>
      </c>
      <c r="GM507">
        <f>IF(OR(GK$3="",GK$3&gt;TODAY()),"",IF(AND(GK507="",GL507=""),"",N(GL507)-N(GK507)))</f>
        <v/>
      </c>
      <c r="GP507">
        <f>IF(OR(GK$3="",GK$3&gt;TODAY()),"",IF(AND(GN507="",GO507=""),"",N(GO507)-N(GN507)))</f>
        <v/>
      </c>
      <c r="GT507">
        <f>IF(OR(GR$3="",GR$3&gt;TODAY()),"",IF(AND(GR507="",GS507=""),"",N(GS507)-N(GR507)))</f>
        <v/>
      </c>
      <c r="GW507">
        <f>IF(OR(GR$3="",GR$3&gt;TODAY()),"",IF(AND(GU507="",GV507=""),"",N(GV507)-N(GU507)))</f>
        <v/>
      </c>
      <c r="HA507">
        <f>IF(OR(GY$3="",GY$3&gt;TODAY()),"",IF(AND(GY507="",GZ507=""),"",N(GZ507)-N(GY507)))</f>
        <v/>
      </c>
      <c r="HD507">
        <f>IF(OR(GY$3="",GY$3&gt;TODAY()),"",IF(AND(HB507="",HC507=""),"",N(HC507)-N(HB507)))</f>
        <v/>
      </c>
      <c r="HH507">
        <f>IF(OR(HF$3="",HF$3&gt;TODAY()),"",IF(AND(HF507="",HG507=""),"",N(HG507)-N(HF507)))</f>
        <v/>
      </c>
      <c r="HK507">
        <f>IF(OR(HF$3="",HF$3&gt;TODAY()),"",IF(AND(HI507="",HJ507=""),"",N(HJ507)-N(HI507)))</f>
        <v/>
      </c>
      <c r="HO507">
        <f>IF(OR(HM$3="",HM$3&gt;TODAY()),"",IF(AND(HM507="",HN507=""),"",N(HN507)-N(HM507)))</f>
        <v/>
      </c>
      <c r="HR507">
        <f>IF(OR(HM$3="",HM$3&gt;TODAY()),"",IF(AND(HP507="",HQ507=""),"",N(HQ507)-N(HP507)))</f>
        <v/>
      </c>
      <c r="HV507">
        <f>IF(OR(HT$3="",HT$3&gt;TODAY()),"",IF(AND(HT507="",HU507=""),"",N(HU507)-N(HT507)))</f>
        <v/>
      </c>
      <c r="HY507">
        <f>IF(OR(HT$3="",HT$3&gt;TODAY()),"",IF(AND(HW507="",HX507=""),"",N(HX507)-N(HW507)))</f>
        <v/>
      </c>
      <c r="IC507">
        <f>IF(OR(IA$3="",IA$3&gt;TODAY()),"",IF(AND(IA507="",IB507=""),"",N(IB507)-N(IA507)))</f>
        <v/>
      </c>
      <c r="IF507">
        <f>IF(OR(IA$3="",IA$3&gt;TODAY()),"",IF(AND(ID507="",IE507=""),"",N(IE507)-N(ID507)))</f>
        <v/>
      </c>
      <c r="IJ507">
        <f>IF(OR(IH$3="",IH$3&gt;TODAY()),"",IF(AND(IH507="",II507=""),"",N(II507)-N(IH507)))</f>
        <v/>
      </c>
      <c r="IM507">
        <f>IF(OR(IH$3="",IH$3&gt;TODAY()),"",IF(AND(IK507="",IL507=""),"",N(IL507)-N(IK507)))</f>
        <v/>
      </c>
    </row>
    <row r="508">
      <c r="A508" s="21" t="n"/>
      <c r="B508" s="21" t="n"/>
      <c r="C508" s="21" t="n"/>
      <c r="D508" s="21" t="n"/>
      <c r="E508" s="21" t="n"/>
      <c r="F508" s="21" t="n"/>
      <c r="G508" s="21" t="n"/>
      <c r="H508" s="21" t="n"/>
      <c r="I508" s="22" t="n"/>
      <c r="J508" s="22" t="n"/>
      <c r="K508" s="23" t="n"/>
      <c r="L508" s="22" t="n"/>
      <c r="M508" s="22" t="n"/>
      <c r="N508" s="21" t="n"/>
      <c r="O508" s="23" t="n"/>
      <c r="P508" s="23" t="n"/>
      <c r="Q508" s="23" t="n"/>
      <c r="R508" s="23" t="n"/>
      <c r="S508" s="22" t="n"/>
      <c r="T508" s="23" t="n"/>
      <c r="U508" s="23" t="n"/>
      <c r="V508" s="24">
        <f>IF(J508&lt;&gt;"",J508,IF(I508&lt;&gt;"",I508,""))</f>
        <v/>
      </c>
      <c r="W508" s="25">
        <f>IF($E508="","",N(O508)+SUMIFS($AF508:$IN508,$AF$4:$IN$4,"SEW_ACT"))</f>
        <v/>
      </c>
      <c r="X508" s="25">
        <f>IF($E508="","",N(P508)+SUMIFS($AF508:$IN508,$AF$4:$IN$4,"WASH_ACT"))</f>
        <v/>
      </c>
      <c r="Y508" s="25">
        <f>IF($E508="","",W508-X508-N(T508)-N(U508))</f>
        <v/>
      </c>
      <c r="Z508" s="25">
        <f>IF($E508="","",IF(N(K508)-X508&lt;=0.02*N(K508),0,N(K508)-X508))</f>
        <v/>
      </c>
      <c r="AA508" s="24">
        <f>IF($E508="","",IF(S508&lt;&gt;"",S508,IF(N(O508)&gt;0,IF(L508&lt;&gt;"",L508,99999),IFERROR(1/(1/_xlfn.MINIFS($AF$3:$IN$3,$AF$4:$IN$4,"SEW_ACT",$AF508:$IN508,"&gt;0")),99999))))</f>
        <v/>
      </c>
      <c r="AB508" s="26">
        <f>IF(OR($E508="",Z508=0,V508=""),"",1+COUNTIFS(Z$8:Z$707,"&gt;0",V$8:V$707,"&lt;"&amp;V508)+COUNTIFS(Z$8:Z$707,"&gt;0",V$8:V$707,V508,AA$8:AA$707,"&lt;"&amp;AA508)+COUNTIFS(Z$8:Z$707,"&gt;0",V$8:V$707,V508,AA$8:AA$707,AA508,E$8:E$707,"&lt;"&amp;$E508))</f>
        <v/>
      </c>
      <c r="AC508" s="24">
        <f>IF(OR($E508="",Z508=0),"",IFERROR(TODAY()+ROUNDUP(Z508/(SUMIFS($AF508:$IN508,$AF$4:$IN$4,"WASH_ACT")/COUNTIFS($AF$4:$IN$4,"WASH_ACT",$AF508:$IN508,"&gt;0")),0),"no output yet"))</f>
        <v/>
      </c>
      <c r="AD508" s="26">
        <f>IF($E508="","",IFERROR(ROUND(MAX(0,SUMIFS($AF508:$IN508,$AF$4:$IN$4,"SEW_PLAN",$AF$3:$IN$3,"&lt;="&amp;TODAY())-SUMIFS($AF508:$IN508,$AF$4:$IN$4,"SEW_ACT",$AF$3:$IN$3,"&lt;="&amp;TODAY())+N(Q508))/(SUMIFS($AF508:$IN508,$AF$4:$IN$4,"SEW_PLAN")/COUNTIFS($AF$4:$IN$4,"SEW_PLAN",$AF508:$IN508,"&gt;0")),1),0))</f>
        <v/>
      </c>
      <c r="AE508" s="26">
        <f>IF($E508="","",IF(AND(Z508&gt;0,OR(AND(M508&lt;&gt;"",TODAY()&gt;M508),AND(V508&lt;&gt;"",V508-TODAY()&lt;=7))),"Yes","No"))</f>
        <v/>
      </c>
      <c r="AH508">
        <f>IF(OR(AF$3="",AF$3&gt;TODAY()),"",IF(AND(AF508="",AG508=""),"",N(AG508)-N(AF508)))</f>
        <v/>
      </c>
      <c r="AK508">
        <f>IF(OR(AF$3="",AF$3&gt;TODAY()),"",IF(AND(AI508="",AJ508=""),"",N(AJ508)-N(AI508)))</f>
        <v/>
      </c>
      <c r="AO508">
        <f>IF(OR(AM$3="",AM$3&gt;TODAY()),"",IF(AND(AM508="",AN508=""),"",N(AN508)-N(AM508)))</f>
        <v/>
      </c>
      <c r="AR508">
        <f>IF(OR(AM$3="",AM$3&gt;TODAY()),"",IF(AND(AP508="",AQ508=""),"",N(AQ508)-N(AP508)))</f>
        <v/>
      </c>
      <c r="AV508">
        <f>IF(OR(AT$3="",AT$3&gt;TODAY()),"",IF(AND(AT508="",AU508=""),"",N(AU508)-N(AT508)))</f>
        <v/>
      </c>
      <c r="AY508">
        <f>IF(OR(AT$3="",AT$3&gt;TODAY()),"",IF(AND(AW508="",AX508=""),"",N(AX508)-N(AW508)))</f>
        <v/>
      </c>
      <c r="BC508">
        <f>IF(OR(BA$3="",BA$3&gt;TODAY()),"",IF(AND(BA508="",BB508=""),"",N(BB508)-N(BA508)))</f>
        <v/>
      </c>
      <c r="BF508">
        <f>IF(OR(BA$3="",BA$3&gt;TODAY()),"",IF(AND(BD508="",BE508=""),"",N(BE508)-N(BD508)))</f>
        <v/>
      </c>
      <c r="BJ508">
        <f>IF(OR(BH$3="",BH$3&gt;TODAY()),"",IF(AND(BH508="",BI508=""),"",N(BI508)-N(BH508)))</f>
        <v/>
      </c>
      <c r="BM508">
        <f>IF(OR(BH$3="",BH$3&gt;TODAY()),"",IF(AND(BK508="",BL508=""),"",N(BL508)-N(BK508)))</f>
        <v/>
      </c>
      <c r="BQ508">
        <f>IF(OR(BO$3="",BO$3&gt;TODAY()),"",IF(AND(BO508="",BP508=""),"",N(BP508)-N(BO508)))</f>
        <v/>
      </c>
      <c r="BT508">
        <f>IF(OR(BO$3="",BO$3&gt;TODAY()),"",IF(AND(BR508="",BS508=""),"",N(BS508)-N(BR508)))</f>
        <v/>
      </c>
      <c r="BX508">
        <f>IF(OR(BV$3="",BV$3&gt;TODAY()),"",IF(AND(BV508="",BW508=""),"",N(BW508)-N(BV508)))</f>
        <v/>
      </c>
      <c r="CA508">
        <f>IF(OR(BV$3="",BV$3&gt;TODAY()),"",IF(AND(BY508="",BZ508=""),"",N(BZ508)-N(BY508)))</f>
        <v/>
      </c>
      <c r="CE508">
        <f>IF(OR(CC$3="",CC$3&gt;TODAY()),"",IF(AND(CC508="",CD508=""),"",N(CD508)-N(CC508)))</f>
        <v/>
      </c>
      <c r="CH508">
        <f>IF(OR(CC$3="",CC$3&gt;TODAY()),"",IF(AND(CF508="",CG508=""),"",N(CG508)-N(CF508)))</f>
        <v/>
      </c>
      <c r="CL508">
        <f>IF(OR(CJ$3="",CJ$3&gt;TODAY()),"",IF(AND(CJ508="",CK508=""),"",N(CK508)-N(CJ508)))</f>
        <v/>
      </c>
      <c r="CO508">
        <f>IF(OR(CJ$3="",CJ$3&gt;TODAY()),"",IF(AND(CM508="",CN508=""),"",N(CN508)-N(CM508)))</f>
        <v/>
      </c>
      <c r="CS508">
        <f>IF(OR(CQ$3="",CQ$3&gt;TODAY()),"",IF(AND(CQ508="",CR508=""),"",N(CR508)-N(CQ508)))</f>
        <v/>
      </c>
      <c r="CV508">
        <f>IF(OR(CQ$3="",CQ$3&gt;TODAY()),"",IF(AND(CT508="",CU508=""),"",N(CU508)-N(CT508)))</f>
        <v/>
      </c>
      <c r="CZ508">
        <f>IF(OR(CX$3="",CX$3&gt;TODAY()),"",IF(AND(CX508="",CY508=""),"",N(CY508)-N(CX508)))</f>
        <v/>
      </c>
      <c r="DC508">
        <f>IF(OR(CX$3="",CX$3&gt;TODAY()),"",IF(AND(DA508="",DB508=""),"",N(DB508)-N(DA508)))</f>
        <v/>
      </c>
      <c r="DG508">
        <f>IF(OR(DE$3="",DE$3&gt;TODAY()),"",IF(AND(DE508="",DF508=""),"",N(DF508)-N(DE508)))</f>
        <v/>
      </c>
      <c r="DJ508">
        <f>IF(OR(DE$3="",DE$3&gt;TODAY()),"",IF(AND(DH508="",DI508=""),"",N(DI508)-N(DH508)))</f>
        <v/>
      </c>
      <c r="DN508">
        <f>IF(OR(DL$3="",DL$3&gt;TODAY()),"",IF(AND(DL508="",DM508=""),"",N(DM508)-N(DL508)))</f>
        <v/>
      </c>
      <c r="DQ508">
        <f>IF(OR(DL$3="",DL$3&gt;TODAY()),"",IF(AND(DO508="",DP508=""),"",N(DP508)-N(DO508)))</f>
        <v/>
      </c>
      <c r="DU508">
        <f>IF(OR(DS$3="",DS$3&gt;TODAY()),"",IF(AND(DS508="",DT508=""),"",N(DT508)-N(DS508)))</f>
        <v/>
      </c>
      <c r="DX508">
        <f>IF(OR(DS$3="",DS$3&gt;TODAY()),"",IF(AND(DV508="",DW508=""),"",N(DW508)-N(DV508)))</f>
        <v/>
      </c>
      <c r="EB508">
        <f>IF(OR(DZ$3="",DZ$3&gt;TODAY()),"",IF(AND(DZ508="",EA508=""),"",N(EA508)-N(DZ508)))</f>
        <v/>
      </c>
      <c r="EE508">
        <f>IF(OR(DZ$3="",DZ$3&gt;TODAY()),"",IF(AND(EC508="",ED508=""),"",N(ED508)-N(EC508)))</f>
        <v/>
      </c>
      <c r="EI508">
        <f>IF(OR(EG$3="",EG$3&gt;TODAY()),"",IF(AND(EG508="",EH508=""),"",N(EH508)-N(EG508)))</f>
        <v/>
      </c>
      <c r="EL508">
        <f>IF(OR(EG$3="",EG$3&gt;TODAY()),"",IF(AND(EJ508="",EK508=""),"",N(EK508)-N(EJ508)))</f>
        <v/>
      </c>
      <c r="EP508">
        <f>IF(OR(EN$3="",EN$3&gt;TODAY()),"",IF(AND(EN508="",EO508=""),"",N(EO508)-N(EN508)))</f>
        <v/>
      </c>
      <c r="ES508">
        <f>IF(OR(EN$3="",EN$3&gt;TODAY()),"",IF(AND(EQ508="",ER508=""),"",N(ER508)-N(EQ508)))</f>
        <v/>
      </c>
      <c r="EW508">
        <f>IF(OR(EU$3="",EU$3&gt;TODAY()),"",IF(AND(EU508="",EV508=""),"",N(EV508)-N(EU508)))</f>
        <v/>
      </c>
      <c r="EZ508">
        <f>IF(OR(EU$3="",EU$3&gt;TODAY()),"",IF(AND(EX508="",EY508=""),"",N(EY508)-N(EX508)))</f>
        <v/>
      </c>
      <c r="FD508">
        <f>IF(OR(FB$3="",FB$3&gt;TODAY()),"",IF(AND(FB508="",FC508=""),"",N(FC508)-N(FB508)))</f>
        <v/>
      </c>
      <c r="FG508">
        <f>IF(OR(FB$3="",FB$3&gt;TODAY()),"",IF(AND(FE508="",FF508=""),"",N(FF508)-N(FE508)))</f>
        <v/>
      </c>
      <c r="FK508">
        <f>IF(OR(FI$3="",FI$3&gt;TODAY()),"",IF(AND(FI508="",FJ508=""),"",N(FJ508)-N(FI508)))</f>
        <v/>
      </c>
      <c r="FN508">
        <f>IF(OR(FI$3="",FI$3&gt;TODAY()),"",IF(AND(FL508="",FM508=""),"",N(FM508)-N(FL508)))</f>
        <v/>
      </c>
      <c r="FR508">
        <f>IF(OR(FP$3="",FP$3&gt;TODAY()),"",IF(AND(FP508="",FQ508=""),"",N(FQ508)-N(FP508)))</f>
        <v/>
      </c>
      <c r="FU508">
        <f>IF(OR(FP$3="",FP$3&gt;TODAY()),"",IF(AND(FS508="",FT508=""),"",N(FT508)-N(FS508)))</f>
        <v/>
      </c>
      <c r="FY508">
        <f>IF(OR(FW$3="",FW$3&gt;TODAY()),"",IF(AND(FW508="",FX508=""),"",N(FX508)-N(FW508)))</f>
        <v/>
      </c>
      <c r="GB508">
        <f>IF(OR(FW$3="",FW$3&gt;TODAY()),"",IF(AND(FZ508="",GA508=""),"",N(GA508)-N(FZ508)))</f>
        <v/>
      </c>
      <c r="GF508">
        <f>IF(OR(GD$3="",GD$3&gt;TODAY()),"",IF(AND(GD508="",GE508=""),"",N(GE508)-N(GD508)))</f>
        <v/>
      </c>
      <c r="GI508">
        <f>IF(OR(GD$3="",GD$3&gt;TODAY()),"",IF(AND(GG508="",GH508=""),"",N(GH508)-N(GG508)))</f>
        <v/>
      </c>
      <c r="GM508">
        <f>IF(OR(GK$3="",GK$3&gt;TODAY()),"",IF(AND(GK508="",GL508=""),"",N(GL508)-N(GK508)))</f>
        <v/>
      </c>
      <c r="GP508">
        <f>IF(OR(GK$3="",GK$3&gt;TODAY()),"",IF(AND(GN508="",GO508=""),"",N(GO508)-N(GN508)))</f>
        <v/>
      </c>
      <c r="GT508">
        <f>IF(OR(GR$3="",GR$3&gt;TODAY()),"",IF(AND(GR508="",GS508=""),"",N(GS508)-N(GR508)))</f>
        <v/>
      </c>
      <c r="GW508">
        <f>IF(OR(GR$3="",GR$3&gt;TODAY()),"",IF(AND(GU508="",GV508=""),"",N(GV508)-N(GU508)))</f>
        <v/>
      </c>
      <c r="HA508">
        <f>IF(OR(GY$3="",GY$3&gt;TODAY()),"",IF(AND(GY508="",GZ508=""),"",N(GZ508)-N(GY508)))</f>
        <v/>
      </c>
      <c r="HD508">
        <f>IF(OR(GY$3="",GY$3&gt;TODAY()),"",IF(AND(HB508="",HC508=""),"",N(HC508)-N(HB508)))</f>
        <v/>
      </c>
      <c r="HH508">
        <f>IF(OR(HF$3="",HF$3&gt;TODAY()),"",IF(AND(HF508="",HG508=""),"",N(HG508)-N(HF508)))</f>
        <v/>
      </c>
      <c r="HK508">
        <f>IF(OR(HF$3="",HF$3&gt;TODAY()),"",IF(AND(HI508="",HJ508=""),"",N(HJ508)-N(HI508)))</f>
        <v/>
      </c>
      <c r="HO508">
        <f>IF(OR(HM$3="",HM$3&gt;TODAY()),"",IF(AND(HM508="",HN508=""),"",N(HN508)-N(HM508)))</f>
        <v/>
      </c>
      <c r="HR508">
        <f>IF(OR(HM$3="",HM$3&gt;TODAY()),"",IF(AND(HP508="",HQ508=""),"",N(HQ508)-N(HP508)))</f>
        <v/>
      </c>
      <c r="HV508">
        <f>IF(OR(HT$3="",HT$3&gt;TODAY()),"",IF(AND(HT508="",HU508=""),"",N(HU508)-N(HT508)))</f>
        <v/>
      </c>
      <c r="HY508">
        <f>IF(OR(HT$3="",HT$3&gt;TODAY()),"",IF(AND(HW508="",HX508=""),"",N(HX508)-N(HW508)))</f>
        <v/>
      </c>
      <c r="IC508">
        <f>IF(OR(IA$3="",IA$3&gt;TODAY()),"",IF(AND(IA508="",IB508=""),"",N(IB508)-N(IA508)))</f>
        <v/>
      </c>
      <c r="IF508">
        <f>IF(OR(IA$3="",IA$3&gt;TODAY()),"",IF(AND(ID508="",IE508=""),"",N(IE508)-N(ID508)))</f>
        <v/>
      </c>
      <c r="IJ508">
        <f>IF(OR(IH$3="",IH$3&gt;TODAY()),"",IF(AND(IH508="",II508=""),"",N(II508)-N(IH508)))</f>
        <v/>
      </c>
      <c r="IM508">
        <f>IF(OR(IH$3="",IH$3&gt;TODAY()),"",IF(AND(IK508="",IL508=""),"",N(IL508)-N(IK508)))</f>
        <v/>
      </c>
    </row>
    <row r="509">
      <c r="A509" s="21" t="n"/>
      <c r="B509" s="21" t="n"/>
      <c r="C509" s="21" t="n"/>
      <c r="D509" s="21" t="n"/>
      <c r="E509" s="21" t="n"/>
      <c r="F509" s="21" t="n"/>
      <c r="G509" s="21" t="n"/>
      <c r="H509" s="21" t="n"/>
      <c r="I509" s="22" t="n"/>
      <c r="J509" s="22" t="n"/>
      <c r="K509" s="23" t="n"/>
      <c r="L509" s="22" t="n"/>
      <c r="M509" s="22" t="n"/>
      <c r="N509" s="21" t="n"/>
      <c r="O509" s="23" t="n"/>
      <c r="P509" s="23" t="n"/>
      <c r="Q509" s="23" t="n"/>
      <c r="R509" s="23" t="n"/>
      <c r="S509" s="22" t="n"/>
      <c r="T509" s="23" t="n"/>
      <c r="U509" s="23" t="n"/>
      <c r="V509" s="24">
        <f>IF(J509&lt;&gt;"",J509,IF(I509&lt;&gt;"",I509,""))</f>
        <v/>
      </c>
      <c r="W509" s="25">
        <f>IF($E509="","",N(O509)+SUMIFS($AF509:$IN509,$AF$4:$IN$4,"SEW_ACT"))</f>
        <v/>
      </c>
      <c r="X509" s="25">
        <f>IF($E509="","",N(P509)+SUMIFS($AF509:$IN509,$AF$4:$IN$4,"WASH_ACT"))</f>
        <v/>
      </c>
      <c r="Y509" s="25">
        <f>IF($E509="","",W509-X509-N(T509)-N(U509))</f>
        <v/>
      </c>
      <c r="Z509" s="25">
        <f>IF($E509="","",IF(N(K509)-X509&lt;=0.02*N(K509),0,N(K509)-X509))</f>
        <v/>
      </c>
      <c r="AA509" s="24">
        <f>IF($E509="","",IF(S509&lt;&gt;"",S509,IF(N(O509)&gt;0,IF(L509&lt;&gt;"",L509,99999),IFERROR(1/(1/_xlfn.MINIFS($AF$3:$IN$3,$AF$4:$IN$4,"SEW_ACT",$AF509:$IN509,"&gt;0")),99999))))</f>
        <v/>
      </c>
      <c r="AB509" s="26">
        <f>IF(OR($E509="",Z509=0,V509=""),"",1+COUNTIFS(Z$8:Z$707,"&gt;0",V$8:V$707,"&lt;"&amp;V509)+COUNTIFS(Z$8:Z$707,"&gt;0",V$8:V$707,V509,AA$8:AA$707,"&lt;"&amp;AA509)+COUNTIFS(Z$8:Z$707,"&gt;0",V$8:V$707,V509,AA$8:AA$707,AA509,E$8:E$707,"&lt;"&amp;$E509))</f>
        <v/>
      </c>
      <c r="AC509" s="24">
        <f>IF(OR($E509="",Z509=0),"",IFERROR(TODAY()+ROUNDUP(Z509/(SUMIFS($AF509:$IN509,$AF$4:$IN$4,"WASH_ACT")/COUNTIFS($AF$4:$IN$4,"WASH_ACT",$AF509:$IN509,"&gt;0")),0),"no output yet"))</f>
        <v/>
      </c>
      <c r="AD509" s="26">
        <f>IF($E509="","",IFERROR(ROUND(MAX(0,SUMIFS($AF509:$IN509,$AF$4:$IN$4,"SEW_PLAN",$AF$3:$IN$3,"&lt;="&amp;TODAY())-SUMIFS($AF509:$IN509,$AF$4:$IN$4,"SEW_ACT",$AF$3:$IN$3,"&lt;="&amp;TODAY())+N(Q509))/(SUMIFS($AF509:$IN509,$AF$4:$IN$4,"SEW_PLAN")/COUNTIFS($AF$4:$IN$4,"SEW_PLAN",$AF509:$IN509,"&gt;0")),1),0))</f>
        <v/>
      </c>
      <c r="AE509" s="26">
        <f>IF($E509="","",IF(AND(Z509&gt;0,OR(AND(M509&lt;&gt;"",TODAY()&gt;M509),AND(V509&lt;&gt;"",V509-TODAY()&lt;=7))),"Yes","No"))</f>
        <v/>
      </c>
      <c r="AH509">
        <f>IF(OR(AF$3="",AF$3&gt;TODAY()),"",IF(AND(AF509="",AG509=""),"",N(AG509)-N(AF509)))</f>
        <v/>
      </c>
      <c r="AK509">
        <f>IF(OR(AF$3="",AF$3&gt;TODAY()),"",IF(AND(AI509="",AJ509=""),"",N(AJ509)-N(AI509)))</f>
        <v/>
      </c>
      <c r="AO509">
        <f>IF(OR(AM$3="",AM$3&gt;TODAY()),"",IF(AND(AM509="",AN509=""),"",N(AN509)-N(AM509)))</f>
        <v/>
      </c>
      <c r="AR509">
        <f>IF(OR(AM$3="",AM$3&gt;TODAY()),"",IF(AND(AP509="",AQ509=""),"",N(AQ509)-N(AP509)))</f>
        <v/>
      </c>
      <c r="AV509">
        <f>IF(OR(AT$3="",AT$3&gt;TODAY()),"",IF(AND(AT509="",AU509=""),"",N(AU509)-N(AT509)))</f>
        <v/>
      </c>
      <c r="AY509">
        <f>IF(OR(AT$3="",AT$3&gt;TODAY()),"",IF(AND(AW509="",AX509=""),"",N(AX509)-N(AW509)))</f>
        <v/>
      </c>
      <c r="BC509">
        <f>IF(OR(BA$3="",BA$3&gt;TODAY()),"",IF(AND(BA509="",BB509=""),"",N(BB509)-N(BA509)))</f>
        <v/>
      </c>
      <c r="BF509">
        <f>IF(OR(BA$3="",BA$3&gt;TODAY()),"",IF(AND(BD509="",BE509=""),"",N(BE509)-N(BD509)))</f>
        <v/>
      </c>
      <c r="BJ509">
        <f>IF(OR(BH$3="",BH$3&gt;TODAY()),"",IF(AND(BH509="",BI509=""),"",N(BI509)-N(BH509)))</f>
        <v/>
      </c>
      <c r="BM509">
        <f>IF(OR(BH$3="",BH$3&gt;TODAY()),"",IF(AND(BK509="",BL509=""),"",N(BL509)-N(BK509)))</f>
        <v/>
      </c>
      <c r="BQ509">
        <f>IF(OR(BO$3="",BO$3&gt;TODAY()),"",IF(AND(BO509="",BP509=""),"",N(BP509)-N(BO509)))</f>
        <v/>
      </c>
      <c r="BT509">
        <f>IF(OR(BO$3="",BO$3&gt;TODAY()),"",IF(AND(BR509="",BS509=""),"",N(BS509)-N(BR509)))</f>
        <v/>
      </c>
      <c r="BX509">
        <f>IF(OR(BV$3="",BV$3&gt;TODAY()),"",IF(AND(BV509="",BW509=""),"",N(BW509)-N(BV509)))</f>
        <v/>
      </c>
      <c r="CA509">
        <f>IF(OR(BV$3="",BV$3&gt;TODAY()),"",IF(AND(BY509="",BZ509=""),"",N(BZ509)-N(BY509)))</f>
        <v/>
      </c>
      <c r="CE509">
        <f>IF(OR(CC$3="",CC$3&gt;TODAY()),"",IF(AND(CC509="",CD509=""),"",N(CD509)-N(CC509)))</f>
        <v/>
      </c>
      <c r="CH509">
        <f>IF(OR(CC$3="",CC$3&gt;TODAY()),"",IF(AND(CF509="",CG509=""),"",N(CG509)-N(CF509)))</f>
        <v/>
      </c>
      <c r="CL509">
        <f>IF(OR(CJ$3="",CJ$3&gt;TODAY()),"",IF(AND(CJ509="",CK509=""),"",N(CK509)-N(CJ509)))</f>
        <v/>
      </c>
      <c r="CO509">
        <f>IF(OR(CJ$3="",CJ$3&gt;TODAY()),"",IF(AND(CM509="",CN509=""),"",N(CN509)-N(CM509)))</f>
        <v/>
      </c>
      <c r="CS509">
        <f>IF(OR(CQ$3="",CQ$3&gt;TODAY()),"",IF(AND(CQ509="",CR509=""),"",N(CR509)-N(CQ509)))</f>
        <v/>
      </c>
      <c r="CV509">
        <f>IF(OR(CQ$3="",CQ$3&gt;TODAY()),"",IF(AND(CT509="",CU509=""),"",N(CU509)-N(CT509)))</f>
        <v/>
      </c>
      <c r="CZ509">
        <f>IF(OR(CX$3="",CX$3&gt;TODAY()),"",IF(AND(CX509="",CY509=""),"",N(CY509)-N(CX509)))</f>
        <v/>
      </c>
      <c r="DC509">
        <f>IF(OR(CX$3="",CX$3&gt;TODAY()),"",IF(AND(DA509="",DB509=""),"",N(DB509)-N(DA509)))</f>
        <v/>
      </c>
      <c r="DG509">
        <f>IF(OR(DE$3="",DE$3&gt;TODAY()),"",IF(AND(DE509="",DF509=""),"",N(DF509)-N(DE509)))</f>
        <v/>
      </c>
      <c r="DJ509">
        <f>IF(OR(DE$3="",DE$3&gt;TODAY()),"",IF(AND(DH509="",DI509=""),"",N(DI509)-N(DH509)))</f>
        <v/>
      </c>
      <c r="DN509">
        <f>IF(OR(DL$3="",DL$3&gt;TODAY()),"",IF(AND(DL509="",DM509=""),"",N(DM509)-N(DL509)))</f>
        <v/>
      </c>
      <c r="DQ509">
        <f>IF(OR(DL$3="",DL$3&gt;TODAY()),"",IF(AND(DO509="",DP509=""),"",N(DP509)-N(DO509)))</f>
        <v/>
      </c>
      <c r="DU509">
        <f>IF(OR(DS$3="",DS$3&gt;TODAY()),"",IF(AND(DS509="",DT509=""),"",N(DT509)-N(DS509)))</f>
        <v/>
      </c>
      <c r="DX509">
        <f>IF(OR(DS$3="",DS$3&gt;TODAY()),"",IF(AND(DV509="",DW509=""),"",N(DW509)-N(DV509)))</f>
        <v/>
      </c>
      <c r="EB509">
        <f>IF(OR(DZ$3="",DZ$3&gt;TODAY()),"",IF(AND(DZ509="",EA509=""),"",N(EA509)-N(DZ509)))</f>
        <v/>
      </c>
      <c r="EE509">
        <f>IF(OR(DZ$3="",DZ$3&gt;TODAY()),"",IF(AND(EC509="",ED509=""),"",N(ED509)-N(EC509)))</f>
        <v/>
      </c>
      <c r="EI509">
        <f>IF(OR(EG$3="",EG$3&gt;TODAY()),"",IF(AND(EG509="",EH509=""),"",N(EH509)-N(EG509)))</f>
        <v/>
      </c>
      <c r="EL509">
        <f>IF(OR(EG$3="",EG$3&gt;TODAY()),"",IF(AND(EJ509="",EK509=""),"",N(EK509)-N(EJ509)))</f>
        <v/>
      </c>
      <c r="EP509">
        <f>IF(OR(EN$3="",EN$3&gt;TODAY()),"",IF(AND(EN509="",EO509=""),"",N(EO509)-N(EN509)))</f>
        <v/>
      </c>
      <c r="ES509">
        <f>IF(OR(EN$3="",EN$3&gt;TODAY()),"",IF(AND(EQ509="",ER509=""),"",N(ER509)-N(EQ509)))</f>
        <v/>
      </c>
      <c r="EW509">
        <f>IF(OR(EU$3="",EU$3&gt;TODAY()),"",IF(AND(EU509="",EV509=""),"",N(EV509)-N(EU509)))</f>
        <v/>
      </c>
      <c r="EZ509">
        <f>IF(OR(EU$3="",EU$3&gt;TODAY()),"",IF(AND(EX509="",EY509=""),"",N(EY509)-N(EX509)))</f>
        <v/>
      </c>
      <c r="FD509">
        <f>IF(OR(FB$3="",FB$3&gt;TODAY()),"",IF(AND(FB509="",FC509=""),"",N(FC509)-N(FB509)))</f>
        <v/>
      </c>
      <c r="FG509">
        <f>IF(OR(FB$3="",FB$3&gt;TODAY()),"",IF(AND(FE509="",FF509=""),"",N(FF509)-N(FE509)))</f>
        <v/>
      </c>
      <c r="FK509">
        <f>IF(OR(FI$3="",FI$3&gt;TODAY()),"",IF(AND(FI509="",FJ509=""),"",N(FJ509)-N(FI509)))</f>
        <v/>
      </c>
      <c r="FN509">
        <f>IF(OR(FI$3="",FI$3&gt;TODAY()),"",IF(AND(FL509="",FM509=""),"",N(FM509)-N(FL509)))</f>
        <v/>
      </c>
      <c r="FR509">
        <f>IF(OR(FP$3="",FP$3&gt;TODAY()),"",IF(AND(FP509="",FQ509=""),"",N(FQ509)-N(FP509)))</f>
        <v/>
      </c>
      <c r="FU509">
        <f>IF(OR(FP$3="",FP$3&gt;TODAY()),"",IF(AND(FS509="",FT509=""),"",N(FT509)-N(FS509)))</f>
        <v/>
      </c>
      <c r="FY509">
        <f>IF(OR(FW$3="",FW$3&gt;TODAY()),"",IF(AND(FW509="",FX509=""),"",N(FX509)-N(FW509)))</f>
        <v/>
      </c>
      <c r="GB509">
        <f>IF(OR(FW$3="",FW$3&gt;TODAY()),"",IF(AND(FZ509="",GA509=""),"",N(GA509)-N(FZ509)))</f>
        <v/>
      </c>
      <c r="GF509">
        <f>IF(OR(GD$3="",GD$3&gt;TODAY()),"",IF(AND(GD509="",GE509=""),"",N(GE509)-N(GD509)))</f>
        <v/>
      </c>
      <c r="GI509">
        <f>IF(OR(GD$3="",GD$3&gt;TODAY()),"",IF(AND(GG509="",GH509=""),"",N(GH509)-N(GG509)))</f>
        <v/>
      </c>
      <c r="GM509">
        <f>IF(OR(GK$3="",GK$3&gt;TODAY()),"",IF(AND(GK509="",GL509=""),"",N(GL509)-N(GK509)))</f>
        <v/>
      </c>
      <c r="GP509">
        <f>IF(OR(GK$3="",GK$3&gt;TODAY()),"",IF(AND(GN509="",GO509=""),"",N(GO509)-N(GN509)))</f>
        <v/>
      </c>
      <c r="GT509">
        <f>IF(OR(GR$3="",GR$3&gt;TODAY()),"",IF(AND(GR509="",GS509=""),"",N(GS509)-N(GR509)))</f>
        <v/>
      </c>
      <c r="GW509">
        <f>IF(OR(GR$3="",GR$3&gt;TODAY()),"",IF(AND(GU509="",GV509=""),"",N(GV509)-N(GU509)))</f>
        <v/>
      </c>
      <c r="HA509">
        <f>IF(OR(GY$3="",GY$3&gt;TODAY()),"",IF(AND(GY509="",GZ509=""),"",N(GZ509)-N(GY509)))</f>
        <v/>
      </c>
      <c r="HD509">
        <f>IF(OR(GY$3="",GY$3&gt;TODAY()),"",IF(AND(HB509="",HC509=""),"",N(HC509)-N(HB509)))</f>
        <v/>
      </c>
      <c r="HH509">
        <f>IF(OR(HF$3="",HF$3&gt;TODAY()),"",IF(AND(HF509="",HG509=""),"",N(HG509)-N(HF509)))</f>
        <v/>
      </c>
      <c r="HK509">
        <f>IF(OR(HF$3="",HF$3&gt;TODAY()),"",IF(AND(HI509="",HJ509=""),"",N(HJ509)-N(HI509)))</f>
        <v/>
      </c>
      <c r="HO509">
        <f>IF(OR(HM$3="",HM$3&gt;TODAY()),"",IF(AND(HM509="",HN509=""),"",N(HN509)-N(HM509)))</f>
        <v/>
      </c>
      <c r="HR509">
        <f>IF(OR(HM$3="",HM$3&gt;TODAY()),"",IF(AND(HP509="",HQ509=""),"",N(HQ509)-N(HP509)))</f>
        <v/>
      </c>
      <c r="HV509">
        <f>IF(OR(HT$3="",HT$3&gt;TODAY()),"",IF(AND(HT509="",HU509=""),"",N(HU509)-N(HT509)))</f>
        <v/>
      </c>
      <c r="HY509">
        <f>IF(OR(HT$3="",HT$3&gt;TODAY()),"",IF(AND(HW509="",HX509=""),"",N(HX509)-N(HW509)))</f>
        <v/>
      </c>
      <c r="IC509">
        <f>IF(OR(IA$3="",IA$3&gt;TODAY()),"",IF(AND(IA509="",IB509=""),"",N(IB509)-N(IA509)))</f>
        <v/>
      </c>
      <c r="IF509">
        <f>IF(OR(IA$3="",IA$3&gt;TODAY()),"",IF(AND(ID509="",IE509=""),"",N(IE509)-N(ID509)))</f>
        <v/>
      </c>
      <c r="IJ509">
        <f>IF(OR(IH$3="",IH$3&gt;TODAY()),"",IF(AND(IH509="",II509=""),"",N(II509)-N(IH509)))</f>
        <v/>
      </c>
      <c r="IM509">
        <f>IF(OR(IH$3="",IH$3&gt;TODAY()),"",IF(AND(IK509="",IL509=""),"",N(IL509)-N(IK509)))</f>
        <v/>
      </c>
    </row>
    <row r="510">
      <c r="A510" s="21" t="n"/>
      <c r="B510" s="21" t="n"/>
      <c r="C510" s="21" t="n"/>
      <c r="D510" s="21" t="n"/>
      <c r="E510" s="21" t="n"/>
      <c r="F510" s="21" t="n"/>
      <c r="G510" s="21" t="n"/>
      <c r="H510" s="21" t="n"/>
      <c r="I510" s="22" t="n"/>
      <c r="J510" s="22" t="n"/>
      <c r="K510" s="23" t="n"/>
      <c r="L510" s="22" t="n"/>
      <c r="M510" s="22" t="n"/>
      <c r="N510" s="21" t="n"/>
      <c r="O510" s="23" t="n"/>
      <c r="P510" s="23" t="n"/>
      <c r="Q510" s="23" t="n"/>
      <c r="R510" s="23" t="n"/>
      <c r="S510" s="22" t="n"/>
      <c r="T510" s="23" t="n"/>
      <c r="U510" s="23" t="n"/>
      <c r="V510" s="24">
        <f>IF(J510&lt;&gt;"",J510,IF(I510&lt;&gt;"",I510,""))</f>
        <v/>
      </c>
      <c r="W510" s="25">
        <f>IF($E510="","",N(O510)+SUMIFS($AF510:$IN510,$AF$4:$IN$4,"SEW_ACT"))</f>
        <v/>
      </c>
      <c r="X510" s="25">
        <f>IF($E510="","",N(P510)+SUMIFS($AF510:$IN510,$AF$4:$IN$4,"WASH_ACT"))</f>
        <v/>
      </c>
      <c r="Y510" s="25">
        <f>IF($E510="","",W510-X510-N(T510)-N(U510))</f>
        <v/>
      </c>
      <c r="Z510" s="25">
        <f>IF($E510="","",IF(N(K510)-X510&lt;=0.02*N(K510),0,N(K510)-X510))</f>
        <v/>
      </c>
      <c r="AA510" s="24">
        <f>IF($E510="","",IF(S510&lt;&gt;"",S510,IF(N(O510)&gt;0,IF(L510&lt;&gt;"",L510,99999),IFERROR(1/(1/_xlfn.MINIFS($AF$3:$IN$3,$AF$4:$IN$4,"SEW_ACT",$AF510:$IN510,"&gt;0")),99999))))</f>
        <v/>
      </c>
      <c r="AB510" s="26">
        <f>IF(OR($E510="",Z510=0,V510=""),"",1+COUNTIFS(Z$8:Z$707,"&gt;0",V$8:V$707,"&lt;"&amp;V510)+COUNTIFS(Z$8:Z$707,"&gt;0",V$8:V$707,V510,AA$8:AA$707,"&lt;"&amp;AA510)+COUNTIFS(Z$8:Z$707,"&gt;0",V$8:V$707,V510,AA$8:AA$707,AA510,E$8:E$707,"&lt;"&amp;$E510))</f>
        <v/>
      </c>
      <c r="AC510" s="24">
        <f>IF(OR($E510="",Z510=0),"",IFERROR(TODAY()+ROUNDUP(Z510/(SUMIFS($AF510:$IN510,$AF$4:$IN$4,"WASH_ACT")/COUNTIFS($AF$4:$IN$4,"WASH_ACT",$AF510:$IN510,"&gt;0")),0),"no output yet"))</f>
        <v/>
      </c>
      <c r="AD510" s="26">
        <f>IF($E510="","",IFERROR(ROUND(MAX(0,SUMIFS($AF510:$IN510,$AF$4:$IN$4,"SEW_PLAN",$AF$3:$IN$3,"&lt;="&amp;TODAY())-SUMIFS($AF510:$IN510,$AF$4:$IN$4,"SEW_ACT",$AF$3:$IN$3,"&lt;="&amp;TODAY())+N(Q510))/(SUMIFS($AF510:$IN510,$AF$4:$IN$4,"SEW_PLAN")/COUNTIFS($AF$4:$IN$4,"SEW_PLAN",$AF510:$IN510,"&gt;0")),1),0))</f>
        <v/>
      </c>
      <c r="AE510" s="26">
        <f>IF($E510="","",IF(AND(Z510&gt;0,OR(AND(M510&lt;&gt;"",TODAY()&gt;M510),AND(V510&lt;&gt;"",V510-TODAY()&lt;=7))),"Yes","No"))</f>
        <v/>
      </c>
      <c r="AH510">
        <f>IF(OR(AF$3="",AF$3&gt;TODAY()),"",IF(AND(AF510="",AG510=""),"",N(AG510)-N(AF510)))</f>
        <v/>
      </c>
      <c r="AK510">
        <f>IF(OR(AF$3="",AF$3&gt;TODAY()),"",IF(AND(AI510="",AJ510=""),"",N(AJ510)-N(AI510)))</f>
        <v/>
      </c>
      <c r="AO510">
        <f>IF(OR(AM$3="",AM$3&gt;TODAY()),"",IF(AND(AM510="",AN510=""),"",N(AN510)-N(AM510)))</f>
        <v/>
      </c>
      <c r="AR510">
        <f>IF(OR(AM$3="",AM$3&gt;TODAY()),"",IF(AND(AP510="",AQ510=""),"",N(AQ510)-N(AP510)))</f>
        <v/>
      </c>
      <c r="AV510">
        <f>IF(OR(AT$3="",AT$3&gt;TODAY()),"",IF(AND(AT510="",AU510=""),"",N(AU510)-N(AT510)))</f>
        <v/>
      </c>
      <c r="AY510">
        <f>IF(OR(AT$3="",AT$3&gt;TODAY()),"",IF(AND(AW510="",AX510=""),"",N(AX510)-N(AW510)))</f>
        <v/>
      </c>
      <c r="BC510">
        <f>IF(OR(BA$3="",BA$3&gt;TODAY()),"",IF(AND(BA510="",BB510=""),"",N(BB510)-N(BA510)))</f>
        <v/>
      </c>
      <c r="BF510">
        <f>IF(OR(BA$3="",BA$3&gt;TODAY()),"",IF(AND(BD510="",BE510=""),"",N(BE510)-N(BD510)))</f>
        <v/>
      </c>
      <c r="BJ510">
        <f>IF(OR(BH$3="",BH$3&gt;TODAY()),"",IF(AND(BH510="",BI510=""),"",N(BI510)-N(BH510)))</f>
        <v/>
      </c>
      <c r="BM510">
        <f>IF(OR(BH$3="",BH$3&gt;TODAY()),"",IF(AND(BK510="",BL510=""),"",N(BL510)-N(BK510)))</f>
        <v/>
      </c>
      <c r="BQ510">
        <f>IF(OR(BO$3="",BO$3&gt;TODAY()),"",IF(AND(BO510="",BP510=""),"",N(BP510)-N(BO510)))</f>
        <v/>
      </c>
      <c r="BT510">
        <f>IF(OR(BO$3="",BO$3&gt;TODAY()),"",IF(AND(BR510="",BS510=""),"",N(BS510)-N(BR510)))</f>
        <v/>
      </c>
      <c r="BX510">
        <f>IF(OR(BV$3="",BV$3&gt;TODAY()),"",IF(AND(BV510="",BW510=""),"",N(BW510)-N(BV510)))</f>
        <v/>
      </c>
      <c r="CA510">
        <f>IF(OR(BV$3="",BV$3&gt;TODAY()),"",IF(AND(BY510="",BZ510=""),"",N(BZ510)-N(BY510)))</f>
        <v/>
      </c>
      <c r="CE510">
        <f>IF(OR(CC$3="",CC$3&gt;TODAY()),"",IF(AND(CC510="",CD510=""),"",N(CD510)-N(CC510)))</f>
        <v/>
      </c>
      <c r="CH510">
        <f>IF(OR(CC$3="",CC$3&gt;TODAY()),"",IF(AND(CF510="",CG510=""),"",N(CG510)-N(CF510)))</f>
        <v/>
      </c>
      <c r="CL510">
        <f>IF(OR(CJ$3="",CJ$3&gt;TODAY()),"",IF(AND(CJ510="",CK510=""),"",N(CK510)-N(CJ510)))</f>
        <v/>
      </c>
      <c r="CO510">
        <f>IF(OR(CJ$3="",CJ$3&gt;TODAY()),"",IF(AND(CM510="",CN510=""),"",N(CN510)-N(CM510)))</f>
        <v/>
      </c>
      <c r="CS510">
        <f>IF(OR(CQ$3="",CQ$3&gt;TODAY()),"",IF(AND(CQ510="",CR510=""),"",N(CR510)-N(CQ510)))</f>
        <v/>
      </c>
      <c r="CV510">
        <f>IF(OR(CQ$3="",CQ$3&gt;TODAY()),"",IF(AND(CT510="",CU510=""),"",N(CU510)-N(CT510)))</f>
        <v/>
      </c>
      <c r="CZ510">
        <f>IF(OR(CX$3="",CX$3&gt;TODAY()),"",IF(AND(CX510="",CY510=""),"",N(CY510)-N(CX510)))</f>
        <v/>
      </c>
      <c r="DC510">
        <f>IF(OR(CX$3="",CX$3&gt;TODAY()),"",IF(AND(DA510="",DB510=""),"",N(DB510)-N(DA510)))</f>
        <v/>
      </c>
      <c r="DG510">
        <f>IF(OR(DE$3="",DE$3&gt;TODAY()),"",IF(AND(DE510="",DF510=""),"",N(DF510)-N(DE510)))</f>
        <v/>
      </c>
      <c r="DJ510">
        <f>IF(OR(DE$3="",DE$3&gt;TODAY()),"",IF(AND(DH510="",DI510=""),"",N(DI510)-N(DH510)))</f>
        <v/>
      </c>
      <c r="DN510">
        <f>IF(OR(DL$3="",DL$3&gt;TODAY()),"",IF(AND(DL510="",DM510=""),"",N(DM510)-N(DL510)))</f>
        <v/>
      </c>
      <c r="DQ510">
        <f>IF(OR(DL$3="",DL$3&gt;TODAY()),"",IF(AND(DO510="",DP510=""),"",N(DP510)-N(DO510)))</f>
        <v/>
      </c>
      <c r="DU510">
        <f>IF(OR(DS$3="",DS$3&gt;TODAY()),"",IF(AND(DS510="",DT510=""),"",N(DT510)-N(DS510)))</f>
        <v/>
      </c>
      <c r="DX510">
        <f>IF(OR(DS$3="",DS$3&gt;TODAY()),"",IF(AND(DV510="",DW510=""),"",N(DW510)-N(DV510)))</f>
        <v/>
      </c>
      <c r="EB510">
        <f>IF(OR(DZ$3="",DZ$3&gt;TODAY()),"",IF(AND(DZ510="",EA510=""),"",N(EA510)-N(DZ510)))</f>
        <v/>
      </c>
      <c r="EE510">
        <f>IF(OR(DZ$3="",DZ$3&gt;TODAY()),"",IF(AND(EC510="",ED510=""),"",N(ED510)-N(EC510)))</f>
        <v/>
      </c>
      <c r="EI510">
        <f>IF(OR(EG$3="",EG$3&gt;TODAY()),"",IF(AND(EG510="",EH510=""),"",N(EH510)-N(EG510)))</f>
        <v/>
      </c>
      <c r="EL510">
        <f>IF(OR(EG$3="",EG$3&gt;TODAY()),"",IF(AND(EJ510="",EK510=""),"",N(EK510)-N(EJ510)))</f>
        <v/>
      </c>
      <c r="EP510">
        <f>IF(OR(EN$3="",EN$3&gt;TODAY()),"",IF(AND(EN510="",EO510=""),"",N(EO510)-N(EN510)))</f>
        <v/>
      </c>
      <c r="ES510">
        <f>IF(OR(EN$3="",EN$3&gt;TODAY()),"",IF(AND(EQ510="",ER510=""),"",N(ER510)-N(EQ510)))</f>
        <v/>
      </c>
      <c r="EW510">
        <f>IF(OR(EU$3="",EU$3&gt;TODAY()),"",IF(AND(EU510="",EV510=""),"",N(EV510)-N(EU510)))</f>
        <v/>
      </c>
      <c r="EZ510">
        <f>IF(OR(EU$3="",EU$3&gt;TODAY()),"",IF(AND(EX510="",EY510=""),"",N(EY510)-N(EX510)))</f>
        <v/>
      </c>
      <c r="FD510">
        <f>IF(OR(FB$3="",FB$3&gt;TODAY()),"",IF(AND(FB510="",FC510=""),"",N(FC510)-N(FB510)))</f>
        <v/>
      </c>
      <c r="FG510">
        <f>IF(OR(FB$3="",FB$3&gt;TODAY()),"",IF(AND(FE510="",FF510=""),"",N(FF510)-N(FE510)))</f>
        <v/>
      </c>
      <c r="FK510">
        <f>IF(OR(FI$3="",FI$3&gt;TODAY()),"",IF(AND(FI510="",FJ510=""),"",N(FJ510)-N(FI510)))</f>
        <v/>
      </c>
      <c r="FN510">
        <f>IF(OR(FI$3="",FI$3&gt;TODAY()),"",IF(AND(FL510="",FM510=""),"",N(FM510)-N(FL510)))</f>
        <v/>
      </c>
      <c r="FR510">
        <f>IF(OR(FP$3="",FP$3&gt;TODAY()),"",IF(AND(FP510="",FQ510=""),"",N(FQ510)-N(FP510)))</f>
        <v/>
      </c>
      <c r="FU510">
        <f>IF(OR(FP$3="",FP$3&gt;TODAY()),"",IF(AND(FS510="",FT510=""),"",N(FT510)-N(FS510)))</f>
        <v/>
      </c>
      <c r="FY510">
        <f>IF(OR(FW$3="",FW$3&gt;TODAY()),"",IF(AND(FW510="",FX510=""),"",N(FX510)-N(FW510)))</f>
        <v/>
      </c>
      <c r="GB510">
        <f>IF(OR(FW$3="",FW$3&gt;TODAY()),"",IF(AND(FZ510="",GA510=""),"",N(GA510)-N(FZ510)))</f>
        <v/>
      </c>
      <c r="GF510">
        <f>IF(OR(GD$3="",GD$3&gt;TODAY()),"",IF(AND(GD510="",GE510=""),"",N(GE510)-N(GD510)))</f>
        <v/>
      </c>
      <c r="GI510">
        <f>IF(OR(GD$3="",GD$3&gt;TODAY()),"",IF(AND(GG510="",GH510=""),"",N(GH510)-N(GG510)))</f>
        <v/>
      </c>
      <c r="GM510">
        <f>IF(OR(GK$3="",GK$3&gt;TODAY()),"",IF(AND(GK510="",GL510=""),"",N(GL510)-N(GK510)))</f>
        <v/>
      </c>
      <c r="GP510">
        <f>IF(OR(GK$3="",GK$3&gt;TODAY()),"",IF(AND(GN510="",GO510=""),"",N(GO510)-N(GN510)))</f>
        <v/>
      </c>
      <c r="GT510">
        <f>IF(OR(GR$3="",GR$3&gt;TODAY()),"",IF(AND(GR510="",GS510=""),"",N(GS510)-N(GR510)))</f>
        <v/>
      </c>
      <c r="GW510">
        <f>IF(OR(GR$3="",GR$3&gt;TODAY()),"",IF(AND(GU510="",GV510=""),"",N(GV510)-N(GU510)))</f>
        <v/>
      </c>
      <c r="HA510">
        <f>IF(OR(GY$3="",GY$3&gt;TODAY()),"",IF(AND(GY510="",GZ510=""),"",N(GZ510)-N(GY510)))</f>
        <v/>
      </c>
      <c r="HD510">
        <f>IF(OR(GY$3="",GY$3&gt;TODAY()),"",IF(AND(HB510="",HC510=""),"",N(HC510)-N(HB510)))</f>
        <v/>
      </c>
      <c r="HH510">
        <f>IF(OR(HF$3="",HF$3&gt;TODAY()),"",IF(AND(HF510="",HG510=""),"",N(HG510)-N(HF510)))</f>
        <v/>
      </c>
      <c r="HK510">
        <f>IF(OR(HF$3="",HF$3&gt;TODAY()),"",IF(AND(HI510="",HJ510=""),"",N(HJ510)-N(HI510)))</f>
        <v/>
      </c>
      <c r="HO510">
        <f>IF(OR(HM$3="",HM$3&gt;TODAY()),"",IF(AND(HM510="",HN510=""),"",N(HN510)-N(HM510)))</f>
        <v/>
      </c>
      <c r="HR510">
        <f>IF(OR(HM$3="",HM$3&gt;TODAY()),"",IF(AND(HP510="",HQ510=""),"",N(HQ510)-N(HP510)))</f>
        <v/>
      </c>
      <c r="HV510">
        <f>IF(OR(HT$3="",HT$3&gt;TODAY()),"",IF(AND(HT510="",HU510=""),"",N(HU510)-N(HT510)))</f>
        <v/>
      </c>
      <c r="HY510">
        <f>IF(OR(HT$3="",HT$3&gt;TODAY()),"",IF(AND(HW510="",HX510=""),"",N(HX510)-N(HW510)))</f>
        <v/>
      </c>
      <c r="IC510">
        <f>IF(OR(IA$3="",IA$3&gt;TODAY()),"",IF(AND(IA510="",IB510=""),"",N(IB510)-N(IA510)))</f>
        <v/>
      </c>
      <c r="IF510">
        <f>IF(OR(IA$3="",IA$3&gt;TODAY()),"",IF(AND(ID510="",IE510=""),"",N(IE510)-N(ID510)))</f>
        <v/>
      </c>
      <c r="IJ510">
        <f>IF(OR(IH$3="",IH$3&gt;TODAY()),"",IF(AND(IH510="",II510=""),"",N(II510)-N(IH510)))</f>
        <v/>
      </c>
      <c r="IM510">
        <f>IF(OR(IH$3="",IH$3&gt;TODAY()),"",IF(AND(IK510="",IL510=""),"",N(IL510)-N(IK510)))</f>
        <v/>
      </c>
    </row>
    <row r="511">
      <c r="A511" s="21" t="n"/>
      <c r="B511" s="21" t="n"/>
      <c r="C511" s="21" t="n"/>
      <c r="D511" s="21" t="n"/>
      <c r="E511" s="21" t="n"/>
      <c r="F511" s="21" t="n"/>
      <c r="G511" s="21" t="n"/>
      <c r="H511" s="21" t="n"/>
      <c r="I511" s="22" t="n"/>
      <c r="J511" s="22" t="n"/>
      <c r="K511" s="23" t="n"/>
      <c r="L511" s="22" t="n"/>
      <c r="M511" s="22" t="n"/>
      <c r="N511" s="21" t="n"/>
      <c r="O511" s="23" t="n"/>
      <c r="P511" s="23" t="n"/>
      <c r="Q511" s="23" t="n"/>
      <c r="R511" s="23" t="n"/>
      <c r="S511" s="22" t="n"/>
      <c r="T511" s="23" t="n"/>
      <c r="U511" s="23" t="n"/>
      <c r="V511" s="24">
        <f>IF(J511&lt;&gt;"",J511,IF(I511&lt;&gt;"",I511,""))</f>
        <v/>
      </c>
      <c r="W511" s="25">
        <f>IF($E511="","",N(O511)+SUMIFS($AF511:$IN511,$AF$4:$IN$4,"SEW_ACT"))</f>
        <v/>
      </c>
      <c r="X511" s="25">
        <f>IF($E511="","",N(P511)+SUMIFS($AF511:$IN511,$AF$4:$IN$4,"WASH_ACT"))</f>
        <v/>
      </c>
      <c r="Y511" s="25">
        <f>IF($E511="","",W511-X511-N(T511)-N(U511))</f>
        <v/>
      </c>
      <c r="Z511" s="25">
        <f>IF($E511="","",IF(N(K511)-X511&lt;=0.02*N(K511),0,N(K511)-X511))</f>
        <v/>
      </c>
      <c r="AA511" s="24">
        <f>IF($E511="","",IF(S511&lt;&gt;"",S511,IF(N(O511)&gt;0,IF(L511&lt;&gt;"",L511,99999),IFERROR(1/(1/_xlfn.MINIFS($AF$3:$IN$3,$AF$4:$IN$4,"SEW_ACT",$AF511:$IN511,"&gt;0")),99999))))</f>
        <v/>
      </c>
      <c r="AB511" s="26">
        <f>IF(OR($E511="",Z511=0,V511=""),"",1+COUNTIFS(Z$8:Z$707,"&gt;0",V$8:V$707,"&lt;"&amp;V511)+COUNTIFS(Z$8:Z$707,"&gt;0",V$8:V$707,V511,AA$8:AA$707,"&lt;"&amp;AA511)+COUNTIFS(Z$8:Z$707,"&gt;0",V$8:V$707,V511,AA$8:AA$707,AA511,E$8:E$707,"&lt;"&amp;$E511))</f>
        <v/>
      </c>
      <c r="AC511" s="24">
        <f>IF(OR($E511="",Z511=0),"",IFERROR(TODAY()+ROUNDUP(Z511/(SUMIFS($AF511:$IN511,$AF$4:$IN$4,"WASH_ACT")/COUNTIFS($AF$4:$IN$4,"WASH_ACT",$AF511:$IN511,"&gt;0")),0),"no output yet"))</f>
        <v/>
      </c>
      <c r="AD511" s="26">
        <f>IF($E511="","",IFERROR(ROUND(MAX(0,SUMIFS($AF511:$IN511,$AF$4:$IN$4,"SEW_PLAN",$AF$3:$IN$3,"&lt;="&amp;TODAY())-SUMIFS($AF511:$IN511,$AF$4:$IN$4,"SEW_ACT",$AF$3:$IN$3,"&lt;="&amp;TODAY())+N(Q511))/(SUMIFS($AF511:$IN511,$AF$4:$IN$4,"SEW_PLAN")/COUNTIFS($AF$4:$IN$4,"SEW_PLAN",$AF511:$IN511,"&gt;0")),1),0))</f>
        <v/>
      </c>
      <c r="AE511" s="26">
        <f>IF($E511="","",IF(AND(Z511&gt;0,OR(AND(M511&lt;&gt;"",TODAY()&gt;M511),AND(V511&lt;&gt;"",V511-TODAY()&lt;=7))),"Yes","No"))</f>
        <v/>
      </c>
      <c r="AH511">
        <f>IF(OR(AF$3="",AF$3&gt;TODAY()),"",IF(AND(AF511="",AG511=""),"",N(AG511)-N(AF511)))</f>
        <v/>
      </c>
      <c r="AK511">
        <f>IF(OR(AF$3="",AF$3&gt;TODAY()),"",IF(AND(AI511="",AJ511=""),"",N(AJ511)-N(AI511)))</f>
        <v/>
      </c>
      <c r="AO511">
        <f>IF(OR(AM$3="",AM$3&gt;TODAY()),"",IF(AND(AM511="",AN511=""),"",N(AN511)-N(AM511)))</f>
        <v/>
      </c>
      <c r="AR511">
        <f>IF(OR(AM$3="",AM$3&gt;TODAY()),"",IF(AND(AP511="",AQ511=""),"",N(AQ511)-N(AP511)))</f>
        <v/>
      </c>
      <c r="AV511">
        <f>IF(OR(AT$3="",AT$3&gt;TODAY()),"",IF(AND(AT511="",AU511=""),"",N(AU511)-N(AT511)))</f>
        <v/>
      </c>
      <c r="AY511">
        <f>IF(OR(AT$3="",AT$3&gt;TODAY()),"",IF(AND(AW511="",AX511=""),"",N(AX511)-N(AW511)))</f>
        <v/>
      </c>
      <c r="BC511">
        <f>IF(OR(BA$3="",BA$3&gt;TODAY()),"",IF(AND(BA511="",BB511=""),"",N(BB511)-N(BA511)))</f>
        <v/>
      </c>
      <c r="BF511">
        <f>IF(OR(BA$3="",BA$3&gt;TODAY()),"",IF(AND(BD511="",BE511=""),"",N(BE511)-N(BD511)))</f>
        <v/>
      </c>
      <c r="BJ511">
        <f>IF(OR(BH$3="",BH$3&gt;TODAY()),"",IF(AND(BH511="",BI511=""),"",N(BI511)-N(BH511)))</f>
        <v/>
      </c>
      <c r="BM511">
        <f>IF(OR(BH$3="",BH$3&gt;TODAY()),"",IF(AND(BK511="",BL511=""),"",N(BL511)-N(BK511)))</f>
        <v/>
      </c>
      <c r="BQ511">
        <f>IF(OR(BO$3="",BO$3&gt;TODAY()),"",IF(AND(BO511="",BP511=""),"",N(BP511)-N(BO511)))</f>
        <v/>
      </c>
      <c r="BT511">
        <f>IF(OR(BO$3="",BO$3&gt;TODAY()),"",IF(AND(BR511="",BS511=""),"",N(BS511)-N(BR511)))</f>
        <v/>
      </c>
      <c r="BX511">
        <f>IF(OR(BV$3="",BV$3&gt;TODAY()),"",IF(AND(BV511="",BW511=""),"",N(BW511)-N(BV511)))</f>
        <v/>
      </c>
      <c r="CA511">
        <f>IF(OR(BV$3="",BV$3&gt;TODAY()),"",IF(AND(BY511="",BZ511=""),"",N(BZ511)-N(BY511)))</f>
        <v/>
      </c>
      <c r="CE511">
        <f>IF(OR(CC$3="",CC$3&gt;TODAY()),"",IF(AND(CC511="",CD511=""),"",N(CD511)-N(CC511)))</f>
        <v/>
      </c>
      <c r="CH511">
        <f>IF(OR(CC$3="",CC$3&gt;TODAY()),"",IF(AND(CF511="",CG511=""),"",N(CG511)-N(CF511)))</f>
        <v/>
      </c>
      <c r="CL511">
        <f>IF(OR(CJ$3="",CJ$3&gt;TODAY()),"",IF(AND(CJ511="",CK511=""),"",N(CK511)-N(CJ511)))</f>
        <v/>
      </c>
      <c r="CO511">
        <f>IF(OR(CJ$3="",CJ$3&gt;TODAY()),"",IF(AND(CM511="",CN511=""),"",N(CN511)-N(CM511)))</f>
        <v/>
      </c>
      <c r="CS511">
        <f>IF(OR(CQ$3="",CQ$3&gt;TODAY()),"",IF(AND(CQ511="",CR511=""),"",N(CR511)-N(CQ511)))</f>
        <v/>
      </c>
      <c r="CV511">
        <f>IF(OR(CQ$3="",CQ$3&gt;TODAY()),"",IF(AND(CT511="",CU511=""),"",N(CU511)-N(CT511)))</f>
        <v/>
      </c>
      <c r="CZ511">
        <f>IF(OR(CX$3="",CX$3&gt;TODAY()),"",IF(AND(CX511="",CY511=""),"",N(CY511)-N(CX511)))</f>
        <v/>
      </c>
      <c r="DC511">
        <f>IF(OR(CX$3="",CX$3&gt;TODAY()),"",IF(AND(DA511="",DB511=""),"",N(DB511)-N(DA511)))</f>
        <v/>
      </c>
      <c r="DG511">
        <f>IF(OR(DE$3="",DE$3&gt;TODAY()),"",IF(AND(DE511="",DF511=""),"",N(DF511)-N(DE511)))</f>
        <v/>
      </c>
      <c r="DJ511">
        <f>IF(OR(DE$3="",DE$3&gt;TODAY()),"",IF(AND(DH511="",DI511=""),"",N(DI511)-N(DH511)))</f>
        <v/>
      </c>
      <c r="DN511">
        <f>IF(OR(DL$3="",DL$3&gt;TODAY()),"",IF(AND(DL511="",DM511=""),"",N(DM511)-N(DL511)))</f>
        <v/>
      </c>
      <c r="DQ511">
        <f>IF(OR(DL$3="",DL$3&gt;TODAY()),"",IF(AND(DO511="",DP511=""),"",N(DP511)-N(DO511)))</f>
        <v/>
      </c>
      <c r="DU511">
        <f>IF(OR(DS$3="",DS$3&gt;TODAY()),"",IF(AND(DS511="",DT511=""),"",N(DT511)-N(DS511)))</f>
        <v/>
      </c>
      <c r="DX511">
        <f>IF(OR(DS$3="",DS$3&gt;TODAY()),"",IF(AND(DV511="",DW511=""),"",N(DW511)-N(DV511)))</f>
        <v/>
      </c>
      <c r="EB511">
        <f>IF(OR(DZ$3="",DZ$3&gt;TODAY()),"",IF(AND(DZ511="",EA511=""),"",N(EA511)-N(DZ511)))</f>
        <v/>
      </c>
      <c r="EE511">
        <f>IF(OR(DZ$3="",DZ$3&gt;TODAY()),"",IF(AND(EC511="",ED511=""),"",N(ED511)-N(EC511)))</f>
        <v/>
      </c>
      <c r="EI511">
        <f>IF(OR(EG$3="",EG$3&gt;TODAY()),"",IF(AND(EG511="",EH511=""),"",N(EH511)-N(EG511)))</f>
        <v/>
      </c>
      <c r="EL511">
        <f>IF(OR(EG$3="",EG$3&gt;TODAY()),"",IF(AND(EJ511="",EK511=""),"",N(EK511)-N(EJ511)))</f>
        <v/>
      </c>
      <c r="EP511">
        <f>IF(OR(EN$3="",EN$3&gt;TODAY()),"",IF(AND(EN511="",EO511=""),"",N(EO511)-N(EN511)))</f>
        <v/>
      </c>
      <c r="ES511">
        <f>IF(OR(EN$3="",EN$3&gt;TODAY()),"",IF(AND(EQ511="",ER511=""),"",N(ER511)-N(EQ511)))</f>
        <v/>
      </c>
      <c r="EW511">
        <f>IF(OR(EU$3="",EU$3&gt;TODAY()),"",IF(AND(EU511="",EV511=""),"",N(EV511)-N(EU511)))</f>
        <v/>
      </c>
      <c r="EZ511">
        <f>IF(OR(EU$3="",EU$3&gt;TODAY()),"",IF(AND(EX511="",EY511=""),"",N(EY511)-N(EX511)))</f>
        <v/>
      </c>
      <c r="FD511">
        <f>IF(OR(FB$3="",FB$3&gt;TODAY()),"",IF(AND(FB511="",FC511=""),"",N(FC511)-N(FB511)))</f>
        <v/>
      </c>
      <c r="FG511">
        <f>IF(OR(FB$3="",FB$3&gt;TODAY()),"",IF(AND(FE511="",FF511=""),"",N(FF511)-N(FE511)))</f>
        <v/>
      </c>
      <c r="FK511">
        <f>IF(OR(FI$3="",FI$3&gt;TODAY()),"",IF(AND(FI511="",FJ511=""),"",N(FJ511)-N(FI511)))</f>
        <v/>
      </c>
      <c r="FN511">
        <f>IF(OR(FI$3="",FI$3&gt;TODAY()),"",IF(AND(FL511="",FM511=""),"",N(FM511)-N(FL511)))</f>
        <v/>
      </c>
      <c r="FR511">
        <f>IF(OR(FP$3="",FP$3&gt;TODAY()),"",IF(AND(FP511="",FQ511=""),"",N(FQ511)-N(FP511)))</f>
        <v/>
      </c>
      <c r="FU511">
        <f>IF(OR(FP$3="",FP$3&gt;TODAY()),"",IF(AND(FS511="",FT511=""),"",N(FT511)-N(FS511)))</f>
        <v/>
      </c>
      <c r="FY511">
        <f>IF(OR(FW$3="",FW$3&gt;TODAY()),"",IF(AND(FW511="",FX511=""),"",N(FX511)-N(FW511)))</f>
        <v/>
      </c>
      <c r="GB511">
        <f>IF(OR(FW$3="",FW$3&gt;TODAY()),"",IF(AND(FZ511="",GA511=""),"",N(GA511)-N(FZ511)))</f>
        <v/>
      </c>
      <c r="GF511">
        <f>IF(OR(GD$3="",GD$3&gt;TODAY()),"",IF(AND(GD511="",GE511=""),"",N(GE511)-N(GD511)))</f>
        <v/>
      </c>
      <c r="GI511">
        <f>IF(OR(GD$3="",GD$3&gt;TODAY()),"",IF(AND(GG511="",GH511=""),"",N(GH511)-N(GG511)))</f>
        <v/>
      </c>
      <c r="GM511">
        <f>IF(OR(GK$3="",GK$3&gt;TODAY()),"",IF(AND(GK511="",GL511=""),"",N(GL511)-N(GK511)))</f>
        <v/>
      </c>
      <c r="GP511">
        <f>IF(OR(GK$3="",GK$3&gt;TODAY()),"",IF(AND(GN511="",GO511=""),"",N(GO511)-N(GN511)))</f>
        <v/>
      </c>
      <c r="GT511">
        <f>IF(OR(GR$3="",GR$3&gt;TODAY()),"",IF(AND(GR511="",GS511=""),"",N(GS511)-N(GR511)))</f>
        <v/>
      </c>
      <c r="GW511">
        <f>IF(OR(GR$3="",GR$3&gt;TODAY()),"",IF(AND(GU511="",GV511=""),"",N(GV511)-N(GU511)))</f>
        <v/>
      </c>
      <c r="HA511">
        <f>IF(OR(GY$3="",GY$3&gt;TODAY()),"",IF(AND(GY511="",GZ511=""),"",N(GZ511)-N(GY511)))</f>
        <v/>
      </c>
      <c r="HD511">
        <f>IF(OR(GY$3="",GY$3&gt;TODAY()),"",IF(AND(HB511="",HC511=""),"",N(HC511)-N(HB511)))</f>
        <v/>
      </c>
      <c r="HH511">
        <f>IF(OR(HF$3="",HF$3&gt;TODAY()),"",IF(AND(HF511="",HG511=""),"",N(HG511)-N(HF511)))</f>
        <v/>
      </c>
      <c r="HK511">
        <f>IF(OR(HF$3="",HF$3&gt;TODAY()),"",IF(AND(HI511="",HJ511=""),"",N(HJ511)-N(HI511)))</f>
        <v/>
      </c>
      <c r="HO511">
        <f>IF(OR(HM$3="",HM$3&gt;TODAY()),"",IF(AND(HM511="",HN511=""),"",N(HN511)-N(HM511)))</f>
        <v/>
      </c>
      <c r="HR511">
        <f>IF(OR(HM$3="",HM$3&gt;TODAY()),"",IF(AND(HP511="",HQ511=""),"",N(HQ511)-N(HP511)))</f>
        <v/>
      </c>
      <c r="HV511">
        <f>IF(OR(HT$3="",HT$3&gt;TODAY()),"",IF(AND(HT511="",HU511=""),"",N(HU511)-N(HT511)))</f>
        <v/>
      </c>
      <c r="HY511">
        <f>IF(OR(HT$3="",HT$3&gt;TODAY()),"",IF(AND(HW511="",HX511=""),"",N(HX511)-N(HW511)))</f>
        <v/>
      </c>
      <c r="IC511">
        <f>IF(OR(IA$3="",IA$3&gt;TODAY()),"",IF(AND(IA511="",IB511=""),"",N(IB511)-N(IA511)))</f>
        <v/>
      </c>
      <c r="IF511">
        <f>IF(OR(IA$3="",IA$3&gt;TODAY()),"",IF(AND(ID511="",IE511=""),"",N(IE511)-N(ID511)))</f>
        <v/>
      </c>
      <c r="IJ511">
        <f>IF(OR(IH$3="",IH$3&gt;TODAY()),"",IF(AND(IH511="",II511=""),"",N(II511)-N(IH511)))</f>
        <v/>
      </c>
      <c r="IM511">
        <f>IF(OR(IH$3="",IH$3&gt;TODAY()),"",IF(AND(IK511="",IL511=""),"",N(IL511)-N(IK511)))</f>
        <v/>
      </c>
    </row>
    <row r="512">
      <c r="A512" s="21" t="n"/>
      <c r="B512" s="21" t="n"/>
      <c r="C512" s="21" t="n"/>
      <c r="D512" s="21" t="n"/>
      <c r="E512" s="21" t="n"/>
      <c r="F512" s="21" t="n"/>
      <c r="G512" s="21" t="n"/>
      <c r="H512" s="21" t="n"/>
      <c r="I512" s="22" t="n"/>
      <c r="J512" s="22" t="n"/>
      <c r="K512" s="23" t="n"/>
      <c r="L512" s="22" t="n"/>
      <c r="M512" s="22" t="n"/>
      <c r="N512" s="21" t="n"/>
      <c r="O512" s="23" t="n"/>
      <c r="P512" s="23" t="n"/>
      <c r="Q512" s="23" t="n"/>
      <c r="R512" s="23" t="n"/>
      <c r="S512" s="22" t="n"/>
      <c r="T512" s="23" t="n"/>
      <c r="U512" s="23" t="n"/>
      <c r="V512" s="24">
        <f>IF(J512&lt;&gt;"",J512,IF(I512&lt;&gt;"",I512,""))</f>
        <v/>
      </c>
      <c r="W512" s="25">
        <f>IF($E512="","",N(O512)+SUMIFS($AF512:$IN512,$AF$4:$IN$4,"SEW_ACT"))</f>
        <v/>
      </c>
      <c r="X512" s="25">
        <f>IF($E512="","",N(P512)+SUMIFS($AF512:$IN512,$AF$4:$IN$4,"WASH_ACT"))</f>
        <v/>
      </c>
      <c r="Y512" s="25">
        <f>IF($E512="","",W512-X512-N(T512)-N(U512))</f>
        <v/>
      </c>
      <c r="Z512" s="25">
        <f>IF($E512="","",IF(N(K512)-X512&lt;=0.02*N(K512),0,N(K512)-X512))</f>
        <v/>
      </c>
      <c r="AA512" s="24">
        <f>IF($E512="","",IF(S512&lt;&gt;"",S512,IF(N(O512)&gt;0,IF(L512&lt;&gt;"",L512,99999),IFERROR(1/(1/_xlfn.MINIFS($AF$3:$IN$3,$AF$4:$IN$4,"SEW_ACT",$AF512:$IN512,"&gt;0")),99999))))</f>
        <v/>
      </c>
      <c r="AB512" s="26">
        <f>IF(OR($E512="",Z512=0,V512=""),"",1+COUNTIFS(Z$8:Z$707,"&gt;0",V$8:V$707,"&lt;"&amp;V512)+COUNTIFS(Z$8:Z$707,"&gt;0",V$8:V$707,V512,AA$8:AA$707,"&lt;"&amp;AA512)+COUNTIFS(Z$8:Z$707,"&gt;0",V$8:V$707,V512,AA$8:AA$707,AA512,E$8:E$707,"&lt;"&amp;$E512))</f>
        <v/>
      </c>
      <c r="AC512" s="24">
        <f>IF(OR($E512="",Z512=0),"",IFERROR(TODAY()+ROUNDUP(Z512/(SUMIFS($AF512:$IN512,$AF$4:$IN$4,"WASH_ACT")/COUNTIFS($AF$4:$IN$4,"WASH_ACT",$AF512:$IN512,"&gt;0")),0),"no output yet"))</f>
        <v/>
      </c>
      <c r="AD512" s="26">
        <f>IF($E512="","",IFERROR(ROUND(MAX(0,SUMIFS($AF512:$IN512,$AF$4:$IN$4,"SEW_PLAN",$AF$3:$IN$3,"&lt;="&amp;TODAY())-SUMIFS($AF512:$IN512,$AF$4:$IN$4,"SEW_ACT",$AF$3:$IN$3,"&lt;="&amp;TODAY())+N(Q512))/(SUMIFS($AF512:$IN512,$AF$4:$IN$4,"SEW_PLAN")/COUNTIFS($AF$4:$IN$4,"SEW_PLAN",$AF512:$IN512,"&gt;0")),1),0))</f>
        <v/>
      </c>
      <c r="AE512" s="26">
        <f>IF($E512="","",IF(AND(Z512&gt;0,OR(AND(M512&lt;&gt;"",TODAY()&gt;M512),AND(V512&lt;&gt;"",V512-TODAY()&lt;=7))),"Yes","No"))</f>
        <v/>
      </c>
      <c r="AH512">
        <f>IF(OR(AF$3="",AF$3&gt;TODAY()),"",IF(AND(AF512="",AG512=""),"",N(AG512)-N(AF512)))</f>
        <v/>
      </c>
      <c r="AK512">
        <f>IF(OR(AF$3="",AF$3&gt;TODAY()),"",IF(AND(AI512="",AJ512=""),"",N(AJ512)-N(AI512)))</f>
        <v/>
      </c>
      <c r="AO512">
        <f>IF(OR(AM$3="",AM$3&gt;TODAY()),"",IF(AND(AM512="",AN512=""),"",N(AN512)-N(AM512)))</f>
        <v/>
      </c>
      <c r="AR512">
        <f>IF(OR(AM$3="",AM$3&gt;TODAY()),"",IF(AND(AP512="",AQ512=""),"",N(AQ512)-N(AP512)))</f>
        <v/>
      </c>
      <c r="AV512">
        <f>IF(OR(AT$3="",AT$3&gt;TODAY()),"",IF(AND(AT512="",AU512=""),"",N(AU512)-N(AT512)))</f>
        <v/>
      </c>
      <c r="AY512">
        <f>IF(OR(AT$3="",AT$3&gt;TODAY()),"",IF(AND(AW512="",AX512=""),"",N(AX512)-N(AW512)))</f>
        <v/>
      </c>
      <c r="BC512">
        <f>IF(OR(BA$3="",BA$3&gt;TODAY()),"",IF(AND(BA512="",BB512=""),"",N(BB512)-N(BA512)))</f>
        <v/>
      </c>
      <c r="BF512">
        <f>IF(OR(BA$3="",BA$3&gt;TODAY()),"",IF(AND(BD512="",BE512=""),"",N(BE512)-N(BD512)))</f>
        <v/>
      </c>
      <c r="BJ512">
        <f>IF(OR(BH$3="",BH$3&gt;TODAY()),"",IF(AND(BH512="",BI512=""),"",N(BI512)-N(BH512)))</f>
        <v/>
      </c>
      <c r="BM512">
        <f>IF(OR(BH$3="",BH$3&gt;TODAY()),"",IF(AND(BK512="",BL512=""),"",N(BL512)-N(BK512)))</f>
        <v/>
      </c>
      <c r="BQ512">
        <f>IF(OR(BO$3="",BO$3&gt;TODAY()),"",IF(AND(BO512="",BP512=""),"",N(BP512)-N(BO512)))</f>
        <v/>
      </c>
      <c r="BT512">
        <f>IF(OR(BO$3="",BO$3&gt;TODAY()),"",IF(AND(BR512="",BS512=""),"",N(BS512)-N(BR512)))</f>
        <v/>
      </c>
      <c r="BX512">
        <f>IF(OR(BV$3="",BV$3&gt;TODAY()),"",IF(AND(BV512="",BW512=""),"",N(BW512)-N(BV512)))</f>
        <v/>
      </c>
      <c r="CA512">
        <f>IF(OR(BV$3="",BV$3&gt;TODAY()),"",IF(AND(BY512="",BZ512=""),"",N(BZ512)-N(BY512)))</f>
        <v/>
      </c>
      <c r="CE512">
        <f>IF(OR(CC$3="",CC$3&gt;TODAY()),"",IF(AND(CC512="",CD512=""),"",N(CD512)-N(CC512)))</f>
        <v/>
      </c>
      <c r="CH512">
        <f>IF(OR(CC$3="",CC$3&gt;TODAY()),"",IF(AND(CF512="",CG512=""),"",N(CG512)-N(CF512)))</f>
        <v/>
      </c>
      <c r="CL512">
        <f>IF(OR(CJ$3="",CJ$3&gt;TODAY()),"",IF(AND(CJ512="",CK512=""),"",N(CK512)-N(CJ512)))</f>
        <v/>
      </c>
      <c r="CO512">
        <f>IF(OR(CJ$3="",CJ$3&gt;TODAY()),"",IF(AND(CM512="",CN512=""),"",N(CN512)-N(CM512)))</f>
        <v/>
      </c>
      <c r="CS512">
        <f>IF(OR(CQ$3="",CQ$3&gt;TODAY()),"",IF(AND(CQ512="",CR512=""),"",N(CR512)-N(CQ512)))</f>
        <v/>
      </c>
      <c r="CV512">
        <f>IF(OR(CQ$3="",CQ$3&gt;TODAY()),"",IF(AND(CT512="",CU512=""),"",N(CU512)-N(CT512)))</f>
        <v/>
      </c>
      <c r="CZ512">
        <f>IF(OR(CX$3="",CX$3&gt;TODAY()),"",IF(AND(CX512="",CY512=""),"",N(CY512)-N(CX512)))</f>
        <v/>
      </c>
      <c r="DC512">
        <f>IF(OR(CX$3="",CX$3&gt;TODAY()),"",IF(AND(DA512="",DB512=""),"",N(DB512)-N(DA512)))</f>
        <v/>
      </c>
      <c r="DG512">
        <f>IF(OR(DE$3="",DE$3&gt;TODAY()),"",IF(AND(DE512="",DF512=""),"",N(DF512)-N(DE512)))</f>
        <v/>
      </c>
      <c r="DJ512">
        <f>IF(OR(DE$3="",DE$3&gt;TODAY()),"",IF(AND(DH512="",DI512=""),"",N(DI512)-N(DH512)))</f>
        <v/>
      </c>
      <c r="DN512">
        <f>IF(OR(DL$3="",DL$3&gt;TODAY()),"",IF(AND(DL512="",DM512=""),"",N(DM512)-N(DL512)))</f>
        <v/>
      </c>
      <c r="DQ512">
        <f>IF(OR(DL$3="",DL$3&gt;TODAY()),"",IF(AND(DO512="",DP512=""),"",N(DP512)-N(DO512)))</f>
        <v/>
      </c>
      <c r="DU512">
        <f>IF(OR(DS$3="",DS$3&gt;TODAY()),"",IF(AND(DS512="",DT512=""),"",N(DT512)-N(DS512)))</f>
        <v/>
      </c>
      <c r="DX512">
        <f>IF(OR(DS$3="",DS$3&gt;TODAY()),"",IF(AND(DV512="",DW512=""),"",N(DW512)-N(DV512)))</f>
        <v/>
      </c>
      <c r="EB512">
        <f>IF(OR(DZ$3="",DZ$3&gt;TODAY()),"",IF(AND(DZ512="",EA512=""),"",N(EA512)-N(DZ512)))</f>
        <v/>
      </c>
      <c r="EE512">
        <f>IF(OR(DZ$3="",DZ$3&gt;TODAY()),"",IF(AND(EC512="",ED512=""),"",N(ED512)-N(EC512)))</f>
        <v/>
      </c>
      <c r="EI512">
        <f>IF(OR(EG$3="",EG$3&gt;TODAY()),"",IF(AND(EG512="",EH512=""),"",N(EH512)-N(EG512)))</f>
        <v/>
      </c>
      <c r="EL512">
        <f>IF(OR(EG$3="",EG$3&gt;TODAY()),"",IF(AND(EJ512="",EK512=""),"",N(EK512)-N(EJ512)))</f>
        <v/>
      </c>
      <c r="EP512">
        <f>IF(OR(EN$3="",EN$3&gt;TODAY()),"",IF(AND(EN512="",EO512=""),"",N(EO512)-N(EN512)))</f>
        <v/>
      </c>
      <c r="ES512">
        <f>IF(OR(EN$3="",EN$3&gt;TODAY()),"",IF(AND(EQ512="",ER512=""),"",N(ER512)-N(EQ512)))</f>
        <v/>
      </c>
      <c r="EW512">
        <f>IF(OR(EU$3="",EU$3&gt;TODAY()),"",IF(AND(EU512="",EV512=""),"",N(EV512)-N(EU512)))</f>
        <v/>
      </c>
      <c r="EZ512">
        <f>IF(OR(EU$3="",EU$3&gt;TODAY()),"",IF(AND(EX512="",EY512=""),"",N(EY512)-N(EX512)))</f>
        <v/>
      </c>
      <c r="FD512">
        <f>IF(OR(FB$3="",FB$3&gt;TODAY()),"",IF(AND(FB512="",FC512=""),"",N(FC512)-N(FB512)))</f>
        <v/>
      </c>
      <c r="FG512">
        <f>IF(OR(FB$3="",FB$3&gt;TODAY()),"",IF(AND(FE512="",FF512=""),"",N(FF512)-N(FE512)))</f>
        <v/>
      </c>
      <c r="FK512">
        <f>IF(OR(FI$3="",FI$3&gt;TODAY()),"",IF(AND(FI512="",FJ512=""),"",N(FJ512)-N(FI512)))</f>
        <v/>
      </c>
      <c r="FN512">
        <f>IF(OR(FI$3="",FI$3&gt;TODAY()),"",IF(AND(FL512="",FM512=""),"",N(FM512)-N(FL512)))</f>
        <v/>
      </c>
      <c r="FR512">
        <f>IF(OR(FP$3="",FP$3&gt;TODAY()),"",IF(AND(FP512="",FQ512=""),"",N(FQ512)-N(FP512)))</f>
        <v/>
      </c>
      <c r="FU512">
        <f>IF(OR(FP$3="",FP$3&gt;TODAY()),"",IF(AND(FS512="",FT512=""),"",N(FT512)-N(FS512)))</f>
        <v/>
      </c>
      <c r="FY512">
        <f>IF(OR(FW$3="",FW$3&gt;TODAY()),"",IF(AND(FW512="",FX512=""),"",N(FX512)-N(FW512)))</f>
        <v/>
      </c>
      <c r="GB512">
        <f>IF(OR(FW$3="",FW$3&gt;TODAY()),"",IF(AND(FZ512="",GA512=""),"",N(GA512)-N(FZ512)))</f>
        <v/>
      </c>
      <c r="GF512">
        <f>IF(OR(GD$3="",GD$3&gt;TODAY()),"",IF(AND(GD512="",GE512=""),"",N(GE512)-N(GD512)))</f>
        <v/>
      </c>
      <c r="GI512">
        <f>IF(OR(GD$3="",GD$3&gt;TODAY()),"",IF(AND(GG512="",GH512=""),"",N(GH512)-N(GG512)))</f>
        <v/>
      </c>
      <c r="GM512">
        <f>IF(OR(GK$3="",GK$3&gt;TODAY()),"",IF(AND(GK512="",GL512=""),"",N(GL512)-N(GK512)))</f>
        <v/>
      </c>
      <c r="GP512">
        <f>IF(OR(GK$3="",GK$3&gt;TODAY()),"",IF(AND(GN512="",GO512=""),"",N(GO512)-N(GN512)))</f>
        <v/>
      </c>
      <c r="GT512">
        <f>IF(OR(GR$3="",GR$3&gt;TODAY()),"",IF(AND(GR512="",GS512=""),"",N(GS512)-N(GR512)))</f>
        <v/>
      </c>
      <c r="GW512">
        <f>IF(OR(GR$3="",GR$3&gt;TODAY()),"",IF(AND(GU512="",GV512=""),"",N(GV512)-N(GU512)))</f>
        <v/>
      </c>
      <c r="HA512">
        <f>IF(OR(GY$3="",GY$3&gt;TODAY()),"",IF(AND(GY512="",GZ512=""),"",N(GZ512)-N(GY512)))</f>
        <v/>
      </c>
      <c r="HD512">
        <f>IF(OR(GY$3="",GY$3&gt;TODAY()),"",IF(AND(HB512="",HC512=""),"",N(HC512)-N(HB512)))</f>
        <v/>
      </c>
      <c r="HH512">
        <f>IF(OR(HF$3="",HF$3&gt;TODAY()),"",IF(AND(HF512="",HG512=""),"",N(HG512)-N(HF512)))</f>
        <v/>
      </c>
      <c r="HK512">
        <f>IF(OR(HF$3="",HF$3&gt;TODAY()),"",IF(AND(HI512="",HJ512=""),"",N(HJ512)-N(HI512)))</f>
        <v/>
      </c>
      <c r="HO512">
        <f>IF(OR(HM$3="",HM$3&gt;TODAY()),"",IF(AND(HM512="",HN512=""),"",N(HN512)-N(HM512)))</f>
        <v/>
      </c>
      <c r="HR512">
        <f>IF(OR(HM$3="",HM$3&gt;TODAY()),"",IF(AND(HP512="",HQ512=""),"",N(HQ512)-N(HP512)))</f>
        <v/>
      </c>
      <c r="HV512">
        <f>IF(OR(HT$3="",HT$3&gt;TODAY()),"",IF(AND(HT512="",HU512=""),"",N(HU512)-N(HT512)))</f>
        <v/>
      </c>
      <c r="HY512">
        <f>IF(OR(HT$3="",HT$3&gt;TODAY()),"",IF(AND(HW512="",HX512=""),"",N(HX512)-N(HW512)))</f>
        <v/>
      </c>
      <c r="IC512">
        <f>IF(OR(IA$3="",IA$3&gt;TODAY()),"",IF(AND(IA512="",IB512=""),"",N(IB512)-N(IA512)))</f>
        <v/>
      </c>
      <c r="IF512">
        <f>IF(OR(IA$3="",IA$3&gt;TODAY()),"",IF(AND(ID512="",IE512=""),"",N(IE512)-N(ID512)))</f>
        <v/>
      </c>
      <c r="IJ512">
        <f>IF(OR(IH$3="",IH$3&gt;TODAY()),"",IF(AND(IH512="",II512=""),"",N(II512)-N(IH512)))</f>
        <v/>
      </c>
      <c r="IM512">
        <f>IF(OR(IH$3="",IH$3&gt;TODAY()),"",IF(AND(IK512="",IL512=""),"",N(IL512)-N(IK512)))</f>
        <v/>
      </c>
    </row>
    <row r="513">
      <c r="A513" s="21" t="n"/>
      <c r="B513" s="21" t="n"/>
      <c r="C513" s="21" t="n"/>
      <c r="D513" s="21" t="n"/>
      <c r="E513" s="21" t="n"/>
      <c r="F513" s="21" t="n"/>
      <c r="G513" s="21" t="n"/>
      <c r="H513" s="21" t="n"/>
      <c r="I513" s="22" t="n"/>
      <c r="J513" s="22" t="n"/>
      <c r="K513" s="23" t="n"/>
      <c r="L513" s="22" t="n"/>
      <c r="M513" s="22" t="n"/>
      <c r="N513" s="21" t="n"/>
      <c r="O513" s="23" t="n"/>
      <c r="P513" s="23" t="n"/>
      <c r="Q513" s="23" t="n"/>
      <c r="R513" s="23" t="n"/>
      <c r="S513" s="22" t="n"/>
      <c r="T513" s="23" t="n"/>
      <c r="U513" s="23" t="n"/>
      <c r="V513" s="24">
        <f>IF(J513&lt;&gt;"",J513,IF(I513&lt;&gt;"",I513,""))</f>
        <v/>
      </c>
      <c r="W513" s="25">
        <f>IF($E513="","",N(O513)+SUMIFS($AF513:$IN513,$AF$4:$IN$4,"SEW_ACT"))</f>
        <v/>
      </c>
      <c r="X513" s="25">
        <f>IF($E513="","",N(P513)+SUMIFS($AF513:$IN513,$AF$4:$IN$4,"WASH_ACT"))</f>
        <v/>
      </c>
      <c r="Y513" s="25">
        <f>IF($E513="","",W513-X513-N(T513)-N(U513))</f>
        <v/>
      </c>
      <c r="Z513" s="25">
        <f>IF($E513="","",IF(N(K513)-X513&lt;=0.02*N(K513),0,N(K513)-X513))</f>
        <v/>
      </c>
      <c r="AA513" s="24">
        <f>IF($E513="","",IF(S513&lt;&gt;"",S513,IF(N(O513)&gt;0,IF(L513&lt;&gt;"",L513,99999),IFERROR(1/(1/_xlfn.MINIFS($AF$3:$IN$3,$AF$4:$IN$4,"SEW_ACT",$AF513:$IN513,"&gt;0")),99999))))</f>
        <v/>
      </c>
      <c r="AB513" s="26">
        <f>IF(OR($E513="",Z513=0,V513=""),"",1+COUNTIFS(Z$8:Z$707,"&gt;0",V$8:V$707,"&lt;"&amp;V513)+COUNTIFS(Z$8:Z$707,"&gt;0",V$8:V$707,V513,AA$8:AA$707,"&lt;"&amp;AA513)+COUNTIFS(Z$8:Z$707,"&gt;0",V$8:V$707,V513,AA$8:AA$707,AA513,E$8:E$707,"&lt;"&amp;$E513))</f>
        <v/>
      </c>
      <c r="AC513" s="24">
        <f>IF(OR($E513="",Z513=0),"",IFERROR(TODAY()+ROUNDUP(Z513/(SUMIFS($AF513:$IN513,$AF$4:$IN$4,"WASH_ACT")/COUNTIFS($AF$4:$IN$4,"WASH_ACT",$AF513:$IN513,"&gt;0")),0),"no output yet"))</f>
        <v/>
      </c>
      <c r="AD513" s="26">
        <f>IF($E513="","",IFERROR(ROUND(MAX(0,SUMIFS($AF513:$IN513,$AF$4:$IN$4,"SEW_PLAN",$AF$3:$IN$3,"&lt;="&amp;TODAY())-SUMIFS($AF513:$IN513,$AF$4:$IN$4,"SEW_ACT",$AF$3:$IN$3,"&lt;="&amp;TODAY())+N(Q513))/(SUMIFS($AF513:$IN513,$AF$4:$IN$4,"SEW_PLAN")/COUNTIFS($AF$4:$IN$4,"SEW_PLAN",$AF513:$IN513,"&gt;0")),1),0))</f>
        <v/>
      </c>
      <c r="AE513" s="26">
        <f>IF($E513="","",IF(AND(Z513&gt;0,OR(AND(M513&lt;&gt;"",TODAY()&gt;M513),AND(V513&lt;&gt;"",V513-TODAY()&lt;=7))),"Yes","No"))</f>
        <v/>
      </c>
      <c r="AH513">
        <f>IF(OR(AF$3="",AF$3&gt;TODAY()),"",IF(AND(AF513="",AG513=""),"",N(AG513)-N(AF513)))</f>
        <v/>
      </c>
      <c r="AK513">
        <f>IF(OR(AF$3="",AF$3&gt;TODAY()),"",IF(AND(AI513="",AJ513=""),"",N(AJ513)-N(AI513)))</f>
        <v/>
      </c>
      <c r="AO513">
        <f>IF(OR(AM$3="",AM$3&gt;TODAY()),"",IF(AND(AM513="",AN513=""),"",N(AN513)-N(AM513)))</f>
        <v/>
      </c>
      <c r="AR513">
        <f>IF(OR(AM$3="",AM$3&gt;TODAY()),"",IF(AND(AP513="",AQ513=""),"",N(AQ513)-N(AP513)))</f>
        <v/>
      </c>
      <c r="AV513">
        <f>IF(OR(AT$3="",AT$3&gt;TODAY()),"",IF(AND(AT513="",AU513=""),"",N(AU513)-N(AT513)))</f>
        <v/>
      </c>
      <c r="AY513">
        <f>IF(OR(AT$3="",AT$3&gt;TODAY()),"",IF(AND(AW513="",AX513=""),"",N(AX513)-N(AW513)))</f>
        <v/>
      </c>
      <c r="BC513">
        <f>IF(OR(BA$3="",BA$3&gt;TODAY()),"",IF(AND(BA513="",BB513=""),"",N(BB513)-N(BA513)))</f>
        <v/>
      </c>
      <c r="BF513">
        <f>IF(OR(BA$3="",BA$3&gt;TODAY()),"",IF(AND(BD513="",BE513=""),"",N(BE513)-N(BD513)))</f>
        <v/>
      </c>
      <c r="BJ513">
        <f>IF(OR(BH$3="",BH$3&gt;TODAY()),"",IF(AND(BH513="",BI513=""),"",N(BI513)-N(BH513)))</f>
        <v/>
      </c>
      <c r="BM513">
        <f>IF(OR(BH$3="",BH$3&gt;TODAY()),"",IF(AND(BK513="",BL513=""),"",N(BL513)-N(BK513)))</f>
        <v/>
      </c>
      <c r="BQ513">
        <f>IF(OR(BO$3="",BO$3&gt;TODAY()),"",IF(AND(BO513="",BP513=""),"",N(BP513)-N(BO513)))</f>
        <v/>
      </c>
      <c r="BT513">
        <f>IF(OR(BO$3="",BO$3&gt;TODAY()),"",IF(AND(BR513="",BS513=""),"",N(BS513)-N(BR513)))</f>
        <v/>
      </c>
      <c r="BX513">
        <f>IF(OR(BV$3="",BV$3&gt;TODAY()),"",IF(AND(BV513="",BW513=""),"",N(BW513)-N(BV513)))</f>
        <v/>
      </c>
      <c r="CA513">
        <f>IF(OR(BV$3="",BV$3&gt;TODAY()),"",IF(AND(BY513="",BZ513=""),"",N(BZ513)-N(BY513)))</f>
        <v/>
      </c>
      <c r="CE513">
        <f>IF(OR(CC$3="",CC$3&gt;TODAY()),"",IF(AND(CC513="",CD513=""),"",N(CD513)-N(CC513)))</f>
        <v/>
      </c>
      <c r="CH513">
        <f>IF(OR(CC$3="",CC$3&gt;TODAY()),"",IF(AND(CF513="",CG513=""),"",N(CG513)-N(CF513)))</f>
        <v/>
      </c>
      <c r="CL513">
        <f>IF(OR(CJ$3="",CJ$3&gt;TODAY()),"",IF(AND(CJ513="",CK513=""),"",N(CK513)-N(CJ513)))</f>
        <v/>
      </c>
      <c r="CO513">
        <f>IF(OR(CJ$3="",CJ$3&gt;TODAY()),"",IF(AND(CM513="",CN513=""),"",N(CN513)-N(CM513)))</f>
        <v/>
      </c>
      <c r="CS513">
        <f>IF(OR(CQ$3="",CQ$3&gt;TODAY()),"",IF(AND(CQ513="",CR513=""),"",N(CR513)-N(CQ513)))</f>
        <v/>
      </c>
      <c r="CV513">
        <f>IF(OR(CQ$3="",CQ$3&gt;TODAY()),"",IF(AND(CT513="",CU513=""),"",N(CU513)-N(CT513)))</f>
        <v/>
      </c>
      <c r="CZ513">
        <f>IF(OR(CX$3="",CX$3&gt;TODAY()),"",IF(AND(CX513="",CY513=""),"",N(CY513)-N(CX513)))</f>
        <v/>
      </c>
      <c r="DC513">
        <f>IF(OR(CX$3="",CX$3&gt;TODAY()),"",IF(AND(DA513="",DB513=""),"",N(DB513)-N(DA513)))</f>
        <v/>
      </c>
      <c r="DG513">
        <f>IF(OR(DE$3="",DE$3&gt;TODAY()),"",IF(AND(DE513="",DF513=""),"",N(DF513)-N(DE513)))</f>
        <v/>
      </c>
      <c r="DJ513">
        <f>IF(OR(DE$3="",DE$3&gt;TODAY()),"",IF(AND(DH513="",DI513=""),"",N(DI513)-N(DH513)))</f>
        <v/>
      </c>
      <c r="DN513">
        <f>IF(OR(DL$3="",DL$3&gt;TODAY()),"",IF(AND(DL513="",DM513=""),"",N(DM513)-N(DL513)))</f>
        <v/>
      </c>
      <c r="DQ513">
        <f>IF(OR(DL$3="",DL$3&gt;TODAY()),"",IF(AND(DO513="",DP513=""),"",N(DP513)-N(DO513)))</f>
        <v/>
      </c>
      <c r="DU513">
        <f>IF(OR(DS$3="",DS$3&gt;TODAY()),"",IF(AND(DS513="",DT513=""),"",N(DT513)-N(DS513)))</f>
        <v/>
      </c>
      <c r="DX513">
        <f>IF(OR(DS$3="",DS$3&gt;TODAY()),"",IF(AND(DV513="",DW513=""),"",N(DW513)-N(DV513)))</f>
        <v/>
      </c>
      <c r="EB513">
        <f>IF(OR(DZ$3="",DZ$3&gt;TODAY()),"",IF(AND(DZ513="",EA513=""),"",N(EA513)-N(DZ513)))</f>
        <v/>
      </c>
      <c r="EE513">
        <f>IF(OR(DZ$3="",DZ$3&gt;TODAY()),"",IF(AND(EC513="",ED513=""),"",N(ED513)-N(EC513)))</f>
        <v/>
      </c>
      <c r="EI513">
        <f>IF(OR(EG$3="",EG$3&gt;TODAY()),"",IF(AND(EG513="",EH513=""),"",N(EH513)-N(EG513)))</f>
        <v/>
      </c>
      <c r="EL513">
        <f>IF(OR(EG$3="",EG$3&gt;TODAY()),"",IF(AND(EJ513="",EK513=""),"",N(EK513)-N(EJ513)))</f>
        <v/>
      </c>
      <c r="EP513">
        <f>IF(OR(EN$3="",EN$3&gt;TODAY()),"",IF(AND(EN513="",EO513=""),"",N(EO513)-N(EN513)))</f>
        <v/>
      </c>
      <c r="ES513">
        <f>IF(OR(EN$3="",EN$3&gt;TODAY()),"",IF(AND(EQ513="",ER513=""),"",N(ER513)-N(EQ513)))</f>
        <v/>
      </c>
      <c r="EW513">
        <f>IF(OR(EU$3="",EU$3&gt;TODAY()),"",IF(AND(EU513="",EV513=""),"",N(EV513)-N(EU513)))</f>
        <v/>
      </c>
      <c r="EZ513">
        <f>IF(OR(EU$3="",EU$3&gt;TODAY()),"",IF(AND(EX513="",EY513=""),"",N(EY513)-N(EX513)))</f>
        <v/>
      </c>
      <c r="FD513">
        <f>IF(OR(FB$3="",FB$3&gt;TODAY()),"",IF(AND(FB513="",FC513=""),"",N(FC513)-N(FB513)))</f>
        <v/>
      </c>
      <c r="FG513">
        <f>IF(OR(FB$3="",FB$3&gt;TODAY()),"",IF(AND(FE513="",FF513=""),"",N(FF513)-N(FE513)))</f>
        <v/>
      </c>
      <c r="FK513">
        <f>IF(OR(FI$3="",FI$3&gt;TODAY()),"",IF(AND(FI513="",FJ513=""),"",N(FJ513)-N(FI513)))</f>
        <v/>
      </c>
      <c r="FN513">
        <f>IF(OR(FI$3="",FI$3&gt;TODAY()),"",IF(AND(FL513="",FM513=""),"",N(FM513)-N(FL513)))</f>
        <v/>
      </c>
      <c r="FR513">
        <f>IF(OR(FP$3="",FP$3&gt;TODAY()),"",IF(AND(FP513="",FQ513=""),"",N(FQ513)-N(FP513)))</f>
        <v/>
      </c>
      <c r="FU513">
        <f>IF(OR(FP$3="",FP$3&gt;TODAY()),"",IF(AND(FS513="",FT513=""),"",N(FT513)-N(FS513)))</f>
        <v/>
      </c>
      <c r="FY513">
        <f>IF(OR(FW$3="",FW$3&gt;TODAY()),"",IF(AND(FW513="",FX513=""),"",N(FX513)-N(FW513)))</f>
        <v/>
      </c>
      <c r="GB513">
        <f>IF(OR(FW$3="",FW$3&gt;TODAY()),"",IF(AND(FZ513="",GA513=""),"",N(GA513)-N(FZ513)))</f>
        <v/>
      </c>
      <c r="GF513">
        <f>IF(OR(GD$3="",GD$3&gt;TODAY()),"",IF(AND(GD513="",GE513=""),"",N(GE513)-N(GD513)))</f>
        <v/>
      </c>
      <c r="GI513">
        <f>IF(OR(GD$3="",GD$3&gt;TODAY()),"",IF(AND(GG513="",GH513=""),"",N(GH513)-N(GG513)))</f>
        <v/>
      </c>
      <c r="GM513">
        <f>IF(OR(GK$3="",GK$3&gt;TODAY()),"",IF(AND(GK513="",GL513=""),"",N(GL513)-N(GK513)))</f>
        <v/>
      </c>
      <c r="GP513">
        <f>IF(OR(GK$3="",GK$3&gt;TODAY()),"",IF(AND(GN513="",GO513=""),"",N(GO513)-N(GN513)))</f>
        <v/>
      </c>
      <c r="GT513">
        <f>IF(OR(GR$3="",GR$3&gt;TODAY()),"",IF(AND(GR513="",GS513=""),"",N(GS513)-N(GR513)))</f>
        <v/>
      </c>
      <c r="GW513">
        <f>IF(OR(GR$3="",GR$3&gt;TODAY()),"",IF(AND(GU513="",GV513=""),"",N(GV513)-N(GU513)))</f>
        <v/>
      </c>
      <c r="HA513">
        <f>IF(OR(GY$3="",GY$3&gt;TODAY()),"",IF(AND(GY513="",GZ513=""),"",N(GZ513)-N(GY513)))</f>
        <v/>
      </c>
      <c r="HD513">
        <f>IF(OR(GY$3="",GY$3&gt;TODAY()),"",IF(AND(HB513="",HC513=""),"",N(HC513)-N(HB513)))</f>
        <v/>
      </c>
      <c r="HH513">
        <f>IF(OR(HF$3="",HF$3&gt;TODAY()),"",IF(AND(HF513="",HG513=""),"",N(HG513)-N(HF513)))</f>
        <v/>
      </c>
      <c r="HK513">
        <f>IF(OR(HF$3="",HF$3&gt;TODAY()),"",IF(AND(HI513="",HJ513=""),"",N(HJ513)-N(HI513)))</f>
        <v/>
      </c>
      <c r="HO513">
        <f>IF(OR(HM$3="",HM$3&gt;TODAY()),"",IF(AND(HM513="",HN513=""),"",N(HN513)-N(HM513)))</f>
        <v/>
      </c>
      <c r="HR513">
        <f>IF(OR(HM$3="",HM$3&gt;TODAY()),"",IF(AND(HP513="",HQ513=""),"",N(HQ513)-N(HP513)))</f>
        <v/>
      </c>
      <c r="HV513">
        <f>IF(OR(HT$3="",HT$3&gt;TODAY()),"",IF(AND(HT513="",HU513=""),"",N(HU513)-N(HT513)))</f>
        <v/>
      </c>
      <c r="HY513">
        <f>IF(OR(HT$3="",HT$3&gt;TODAY()),"",IF(AND(HW513="",HX513=""),"",N(HX513)-N(HW513)))</f>
        <v/>
      </c>
      <c r="IC513">
        <f>IF(OR(IA$3="",IA$3&gt;TODAY()),"",IF(AND(IA513="",IB513=""),"",N(IB513)-N(IA513)))</f>
        <v/>
      </c>
      <c r="IF513">
        <f>IF(OR(IA$3="",IA$3&gt;TODAY()),"",IF(AND(ID513="",IE513=""),"",N(IE513)-N(ID513)))</f>
        <v/>
      </c>
      <c r="IJ513">
        <f>IF(OR(IH$3="",IH$3&gt;TODAY()),"",IF(AND(IH513="",II513=""),"",N(II513)-N(IH513)))</f>
        <v/>
      </c>
      <c r="IM513">
        <f>IF(OR(IH$3="",IH$3&gt;TODAY()),"",IF(AND(IK513="",IL513=""),"",N(IL513)-N(IK513)))</f>
        <v/>
      </c>
    </row>
    <row r="514">
      <c r="A514" s="21" t="n"/>
      <c r="B514" s="21" t="n"/>
      <c r="C514" s="21" t="n"/>
      <c r="D514" s="21" t="n"/>
      <c r="E514" s="21" t="n"/>
      <c r="F514" s="21" t="n"/>
      <c r="G514" s="21" t="n"/>
      <c r="H514" s="21" t="n"/>
      <c r="I514" s="22" t="n"/>
      <c r="J514" s="22" t="n"/>
      <c r="K514" s="23" t="n"/>
      <c r="L514" s="22" t="n"/>
      <c r="M514" s="22" t="n"/>
      <c r="N514" s="21" t="n"/>
      <c r="O514" s="23" t="n"/>
      <c r="P514" s="23" t="n"/>
      <c r="Q514" s="23" t="n"/>
      <c r="R514" s="23" t="n"/>
      <c r="S514" s="22" t="n"/>
      <c r="T514" s="23" t="n"/>
      <c r="U514" s="23" t="n"/>
      <c r="V514" s="24">
        <f>IF(J514&lt;&gt;"",J514,IF(I514&lt;&gt;"",I514,""))</f>
        <v/>
      </c>
      <c r="W514" s="25">
        <f>IF($E514="","",N(O514)+SUMIFS($AF514:$IN514,$AF$4:$IN$4,"SEW_ACT"))</f>
        <v/>
      </c>
      <c r="X514" s="25">
        <f>IF($E514="","",N(P514)+SUMIFS($AF514:$IN514,$AF$4:$IN$4,"WASH_ACT"))</f>
        <v/>
      </c>
      <c r="Y514" s="25">
        <f>IF($E514="","",W514-X514-N(T514)-N(U514))</f>
        <v/>
      </c>
      <c r="Z514" s="25">
        <f>IF($E514="","",IF(N(K514)-X514&lt;=0.02*N(K514),0,N(K514)-X514))</f>
        <v/>
      </c>
      <c r="AA514" s="24">
        <f>IF($E514="","",IF(S514&lt;&gt;"",S514,IF(N(O514)&gt;0,IF(L514&lt;&gt;"",L514,99999),IFERROR(1/(1/_xlfn.MINIFS($AF$3:$IN$3,$AF$4:$IN$4,"SEW_ACT",$AF514:$IN514,"&gt;0")),99999))))</f>
        <v/>
      </c>
      <c r="AB514" s="26">
        <f>IF(OR($E514="",Z514=0,V514=""),"",1+COUNTIFS(Z$8:Z$707,"&gt;0",V$8:V$707,"&lt;"&amp;V514)+COUNTIFS(Z$8:Z$707,"&gt;0",V$8:V$707,V514,AA$8:AA$707,"&lt;"&amp;AA514)+COUNTIFS(Z$8:Z$707,"&gt;0",V$8:V$707,V514,AA$8:AA$707,AA514,E$8:E$707,"&lt;"&amp;$E514))</f>
        <v/>
      </c>
      <c r="AC514" s="24">
        <f>IF(OR($E514="",Z514=0),"",IFERROR(TODAY()+ROUNDUP(Z514/(SUMIFS($AF514:$IN514,$AF$4:$IN$4,"WASH_ACT")/COUNTIFS($AF$4:$IN$4,"WASH_ACT",$AF514:$IN514,"&gt;0")),0),"no output yet"))</f>
        <v/>
      </c>
      <c r="AD514" s="26">
        <f>IF($E514="","",IFERROR(ROUND(MAX(0,SUMIFS($AF514:$IN514,$AF$4:$IN$4,"SEW_PLAN",$AF$3:$IN$3,"&lt;="&amp;TODAY())-SUMIFS($AF514:$IN514,$AF$4:$IN$4,"SEW_ACT",$AF$3:$IN$3,"&lt;="&amp;TODAY())+N(Q514))/(SUMIFS($AF514:$IN514,$AF$4:$IN$4,"SEW_PLAN")/COUNTIFS($AF$4:$IN$4,"SEW_PLAN",$AF514:$IN514,"&gt;0")),1),0))</f>
        <v/>
      </c>
      <c r="AE514" s="26">
        <f>IF($E514="","",IF(AND(Z514&gt;0,OR(AND(M514&lt;&gt;"",TODAY()&gt;M514),AND(V514&lt;&gt;"",V514-TODAY()&lt;=7))),"Yes","No"))</f>
        <v/>
      </c>
      <c r="AH514">
        <f>IF(OR(AF$3="",AF$3&gt;TODAY()),"",IF(AND(AF514="",AG514=""),"",N(AG514)-N(AF514)))</f>
        <v/>
      </c>
      <c r="AK514">
        <f>IF(OR(AF$3="",AF$3&gt;TODAY()),"",IF(AND(AI514="",AJ514=""),"",N(AJ514)-N(AI514)))</f>
        <v/>
      </c>
      <c r="AO514">
        <f>IF(OR(AM$3="",AM$3&gt;TODAY()),"",IF(AND(AM514="",AN514=""),"",N(AN514)-N(AM514)))</f>
        <v/>
      </c>
      <c r="AR514">
        <f>IF(OR(AM$3="",AM$3&gt;TODAY()),"",IF(AND(AP514="",AQ514=""),"",N(AQ514)-N(AP514)))</f>
        <v/>
      </c>
      <c r="AV514">
        <f>IF(OR(AT$3="",AT$3&gt;TODAY()),"",IF(AND(AT514="",AU514=""),"",N(AU514)-N(AT514)))</f>
        <v/>
      </c>
      <c r="AY514">
        <f>IF(OR(AT$3="",AT$3&gt;TODAY()),"",IF(AND(AW514="",AX514=""),"",N(AX514)-N(AW514)))</f>
        <v/>
      </c>
      <c r="BC514">
        <f>IF(OR(BA$3="",BA$3&gt;TODAY()),"",IF(AND(BA514="",BB514=""),"",N(BB514)-N(BA514)))</f>
        <v/>
      </c>
      <c r="BF514">
        <f>IF(OR(BA$3="",BA$3&gt;TODAY()),"",IF(AND(BD514="",BE514=""),"",N(BE514)-N(BD514)))</f>
        <v/>
      </c>
      <c r="BJ514">
        <f>IF(OR(BH$3="",BH$3&gt;TODAY()),"",IF(AND(BH514="",BI514=""),"",N(BI514)-N(BH514)))</f>
        <v/>
      </c>
      <c r="BM514">
        <f>IF(OR(BH$3="",BH$3&gt;TODAY()),"",IF(AND(BK514="",BL514=""),"",N(BL514)-N(BK514)))</f>
        <v/>
      </c>
      <c r="BQ514">
        <f>IF(OR(BO$3="",BO$3&gt;TODAY()),"",IF(AND(BO514="",BP514=""),"",N(BP514)-N(BO514)))</f>
        <v/>
      </c>
      <c r="BT514">
        <f>IF(OR(BO$3="",BO$3&gt;TODAY()),"",IF(AND(BR514="",BS514=""),"",N(BS514)-N(BR514)))</f>
        <v/>
      </c>
      <c r="BX514">
        <f>IF(OR(BV$3="",BV$3&gt;TODAY()),"",IF(AND(BV514="",BW514=""),"",N(BW514)-N(BV514)))</f>
        <v/>
      </c>
      <c r="CA514">
        <f>IF(OR(BV$3="",BV$3&gt;TODAY()),"",IF(AND(BY514="",BZ514=""),"",N(BZ514)-N(BY514)))</f>
        <v/>
      </c>
      <c r="CE514">
        <f>IF(OR(CC$3="",CC$3&gt;TODAY()),"",IF(AND(CC514="",CD514=""),"",N(CD514)-N(CC514)))</f>
        <v/>
      </c>
      <c r="CH514">
        <f>IF(OR(CC$3="",CC$3&gt;TODAY()),"",IF(AND(CF514="",CG514=""),"",N(CG514)-N(CF514)))</f>
        <v/>
      </c>
      <c r="CL514">
        <f>IF(OR(CJ$3="",CJ$3&gt;TODAY()),"",IF(AND(CJ514="",CK514=""),"",N(CK514)-N(CJ514)))</f>
        <v/>
      </c>
      <c r="CO514">
        <f>IF(OR(CJ$3="",CJ$3&gt;TODAY()),"",IF(AND(CM514="",CN514=""),"",N(CN514)-N(CM514)))</f>
        <v/>
      </c>
      <c r="CS514">
        <f>IF(OR(CQ$3="",CQ$3&gt;TODAY()),"",IF(AND(CQ514="",CR514=""),"",N(CR514)-N(CQ514)))</f>
        <v/>
      </c>
      <c r="CV514">
        <f>IF(OR(CQ$3="",CQ$3&gt;TODAY()),"",IF(AND(CT514="",CU514=""),"",N(CU514)-N(CT514)))</f>
        <v/>
      </c>
      <c r="CZ514">
        <f>IF(OR(CX$3="",CX$3&gt;TODAY()),"",IF(AND(CX514="",CY514=""),"",N(CY514)-N(CX514)))</f>
        <v/>
      </c>
      <c r="DC514">
        <f>IF(OR(CX$3="",CX$3&gt;TODAY()),"",IF(AND(DA514="",DB514=""),"",N(DB514)-N(DA514)))</f>
        <v/>
      </c>
      <c r="DG514">
        <f>IF(OR(DE$3="",DE$3&gt;TODAY()),"",IF(AND(DE514="",DF514=""),"",N(DF514)-N(DE514)))</f>
        <v/>
      </c>
      <c r="DJ514">
        <f>IF(OR(DE$3="",DE$3&gt;TODAY()),"",IF(AND(DH514="",DI514=""),"",N(DI514)-N(DH514)))</f>
        <v/>
      </c>
      <c r="DN514">
        <f>IF(OR(DL$3="",DL$3&gt;TODAY()),"",IF(AND(DL514="",DM514=""),"",N(DM514)-N(DL514)))</f>
        <v/>
      </c>
      <c r="DQ514">
        <f>IF(OR(DL$3="",DL$3&gt;TODAY()),"",IF(AND(DO514="",DP514=""),"",N(DP514)-N(DO514)))</f>
        <v/>
      </c>
      <c r="DU514">
        <f>IF(OR(DS$3="",DS$3&gt;TODAY()),"",IF(AND(DS514="",DT514=""),"",N(DT514)-N(DS514)))</f>
        <v/>
      </c>
      <c r="DX514">
        <f>IF(OR(DS$3="",DS$3&gt;TODAY()),"",IF(AND(DV514="",DW514=""),"",N(DW514)-N(DV514)))</f>
        <v/>
      </c>
      <c r="EB514">
        <f>IF(OR(DZ$3="",DZ$3&gt;TODAY()),"",IF(AND(DZ514="",EA514=""),"",N(EA514)-N(DZ514)))</f>
        <v/>
      </c>
      <c r="EE514">
        <f>IF(OR(DZ$3="",DZ$3&gt;TODAY()),"",IF(AND(EC514="",ED514=""),"",N(ED514)-N(EC514)))</f>
        <v/>
      </c>
      <c r="EI514">
        <f>IF(OR(EG$3="",EG$3&gt;TODAY()),"",IF(AND(EG514="",EH514=""),"",N(EH514)-N(EG514)))</f>
        <v/>
      </c>
      <c r="EL514">
        <f>IF(OR(EG$3="",EG$3&gt;TODAY()),"",IF(AND(EJ514="",EK514=""),"",N(EK514)-N(EJ514)))</f>
        <v/>
      </c>
      <c r="EP514">
        <f>IF(OR(EN$3="",EN$3&gt;TODAY()),"",IF(AND(EN514="",EO514=""),"",N(EO514)-N(EN514)))</f>
        <v/>
      </c>
      <c r="ES514">
        <f>IF(OR(EN$3="",EN$3&gt;TODAY()),"",IF(AND(EQ514="",ER514=""),"",N(ER514)-N(EQ514)))</f>
        <v/>
      </c>
      <c r="EW514">
        <f>IF(OR(EU$3="",EU$3&gt;TODAY()),"",IF(AND(EU514="",EV514=""),"",N(EV514)-N(EU514)))</f>
        <v/>
      </c>
      <c r="EZ514">
        <f>IF(OR(EU$3="",EU$3&gt;TODAY()),"",IF(AND(EX514="",EY514=""),"",N(EY514)-N(EX514)))</f>
        <v/>
      </c>
      <c r="FD514">
        <f>IF(OR(FB$3="",FB$3&gt;TODAY()),"",IF(AND(FB514="",FC514=""),"",N(FC514)-N(FB514)))</f>
        <v/>
      </c>
      <c r="FG514">
        <f>IF(OR(FB$3="",FB$3&gt;TODAY()),"",IF(AND(FE514="",FF514=""),"",N(FF514)-N(FE514)))</f>
        <v/>
      </c>
      <c r="FK514">
        <f>IF(OR(FI$3="",FI$3&gt;TODAY()),"",IF(AND(FI514="",FJ514=""),"",N(FJ514)-N(FI514)))</f>
        <v/>
      </c>
      <c r="FN514">
        <f>IF(OR(FI$3="",FI$3&gt;TODAY()),"",IF(AND(FL514="",FM514=""),"",N(FM514)-N(FL514)))</f>
        <v/>
      </c>
      <c r="FR514">
        <f>IF(OR(FP$3="",FP$3&gt;TODAY()),"",IF(AND(FP514="",FQ514=""),"",N(FQ514)-N(FP514)))</f>
        <v/>
      </c>
      <c r="FU514">
        <f>IF(OR(FP$3="",FP$3&gt;TODAY()),"",IF(AND(FS514="",FT514=""),"",N(FT514)-N(FS514)))</f>
        <v/>
      </c>
      <c r="FY514">
        <f>IF(OR(FW$3="",FW$3&gt;TODAY()),"",IF(AND(FW514="",FX514=""),"",N(FX514)-N(FW514)))</f>
        <v/>
      </c>
      <c r="GB514">
        <f>IF(OR(FW$3="",FW$3&gt;TODAY()),"",IF(AND(FZ514="",GA514=""),"",N(GA514)-N(FZ514)))</f>
        <v/>
      </c>
      <c r="GF514">
        <f>IF(OR(GD$3="",GD$3&gt;TODAY()),"",IF(AND(GD514="",GE514=""),"",N(GE514)-N(GD514)))</f>
        <v/>
      </c>
      <c r="GI514">
        <f>IF(OR(GD$3="",GD$3&gt;TODAY()),"",IF(AND(GG514="",GH514=""),"",N(GH514)-N(GG514)))</f>
        <v/>
      </c>
      <c r="GM514">
        <f>IF(OR(GK$3="",GK$3&gt;TODAY()),"",IF(AND(GK514="",GL514=""),"",N(GL514)-N(GK514)))</f>
        <v/>
      </c>
      <c r="GP514">
        <f>IF(OR(GK$3="",GK$3&gt;TODAY()),"",IF(AND(GN514="",GO514=""),"",N(GO514)-N(GN514)))</f>
        <v/>
      </c>
      <c r="GT514">
        <f>IF(OR(GR$3="",GR$3&gt;TODAY()),"",IF(AND(GR514="",GS514=""),"",N(GS514)-N(GR514)))</f>
        <v/>
      </c>
      <c r="GW514">
        <f>IF(OR(GR$3="",GR$3&gt;TODAY()),"",IF(AND(GU514="",GV514=""),"",N(GV514)-N(GU514)))</f>
        <v/>
      </c>
      <c r="HA514">
        <f>IF(OR(GY$3="",GY$3&gt;TODAY()),"",IF(AND(GY514="",GZ514=""),"",N(GZ514)-N(GY514)))</f>
        <v/>
      </c>
      <c r="HD514">
        <f>IF(OR(GY$3="",GY$3&gt;TODAY()),"",IF(AND(HB514="",HC514=""),"",N(HC514)-N(HB514)))</f>
        <v/>
      </c>
      <c r="HH514">
        <f>IF(OR(HF$3="",HF$3&gt;TODAY()),"",IF(AND(HF514="",HG514=""),"",N(HG514)-N(HF514)))</f>
        <v/>
      </c>
      <c r="HK514">
        <f>IF(OR(HF$3="",HF$3&gt;TODAY()),"",IF(AND(HI514="",HJ514=""),"",N(HJ514)-N(HI514)))</f>
        <v/>
      </c>
      <c r="HO514">
        <f>IF(OR(HM$3="",HM$3&gt;TODAY()),"",IF(AND(HM514="",HN514=""),"",N(HN514)-N(HM514)))</f>
        <v/>
      </c>
      <c r="HR514">
        <f>IF(OR(HM$3="",HM$3&gt;TODAY()),"",IF(AND(HP514="",HQ514=""),"",N(HQ514)-N(HP514)))</f>
        <v/>
      </c>
      <c r="HV514">
        <f>IF(OR(HT$3="",HT$3&gt;TODAY()),"",IF(AND(HT514="",HU514=""),"",N(HU514)-N(HT514)))</f>
        <v/>
      </c>
      <c r="HY514">
        <f>IF(OR(HT$3="",HT$3&gt;TODAY()),"",IF(AND(HW514="",HX514=""),"",N(HX514)-N(HW514)))</f>
        <v/>
      </c>
      <c r="IC514">
        <f>IF(OR(IA$3="",IA$3&gt;TODAY()),"",IF(AND(IA514="",IB514=""),"",N(IB514)-N(IA514)))</f>
        <v/>
      </c>
      <c r="IF514">
        <f>IF(OR(IA$3="",IA$3&gt;TODAY()),"",IF(AND(ID514="",IE514=""),"",N(IE514)-N(ID514)))</f>
        <v/>
      </c>
      <c r="IJ514">
        <f>IF(OR(IH$3="",IH$3&gt;TODAY()),"",IF(AND(IH514="",II514=""),"",N(II514)-N(IH514)))</f>
        <v/>
      </c>
      <c r="IM514">
        <f>IF(OR(IH$3="",IH$3&gt;TODAY()),"",IF(AND(IK514="",IL514=""),"",N(IL514)-N(IK514)))</f>
        <v/>
      </c>
    </row>
    <row r="515">
      <c r="A515" s="21" t="n"/>
      <c r="B515" s="21" t="n"/>
      <c r="C515" s="21" t="n"/>
      <c r="D515" s="21" t="n"/>
      <c r="E515" s="21" t="n"/>
      <c r="F515" s="21" t="n"/>
      <c r="G515" s="21" t="n"/>
      <c r="H515" s="21" t="n"/>
      <c r="I515" s="22" t="n"/>
      <c r="J515" s="22" t="n"/>
      <c r="K515" s="23" t="n"/>
      <c r="L515" s="22" t="n"/>
      <c r="M515" s="22" t="n"/>
      <c r="N515" s="21" t="n"/>
      <c r="O515" s="23" t="n"/>
      <c r="P515" s="23" t="n"/>
      <c r="Q515" s="23" t="n"/>
      <c r="R515" s="23" t="n"/>
      <c r="S515" s="22" t="n"/>
      <c r="T515" s="23" t="n"/>
      <c r="U515" s="23" t="n"/>
      <c r="V515" s="24">
        <f>IF(J515&lt;&gt;"",J515,IF(I515&lt;&gt;"",I515,""))</f>
        <v/>
      </c>
      <c r="W515" s="25">
        <f>IF($E515="","",N(O515)+SUMIFS($AF515:$IN515,$AF$4:$IN$4,"SEW_ACT"))</f>
        <v/>
      </c>
      <c r="X515" s="25">
        <f>IF($E515="","",N(P515)+SUMIFS($AF515:$IN515,$AF$4:$IN$4,"WASH_ACT"))</f>
        <v/>
      </c>
      <c r="Y515" s="25">
        <f>IF($E515="","",W515-X515-N(T515)-N(U515))</f>
        <v/>
      </c>
      <c r="Z515" s="25">
        <f>IF($E515="","",IF(N(K515)-X515&lt;=0.02*N(K515),0,N(K515)-X515))</f>
        <v/>
      </c>
      <c r="AA515" s="24">
        <f>IF($E515="","",IF(S515&lt;&gt;"",S515,IF(N(O515)&gt;0,IF(L515&lt;&gt;"",L515,99999),IFERROR(1/(1/_xlfn.MINIFS($AF$3:$IN$3,$AF$4:$IN$4,"SEW_ACT",$AF515:$IN515,"&gt;0")),99999))))</f>
        <v/>
      </c>
      <c r="AB515" s="26">
        <f>IF(OR($E515="",Z515=0,V515=""),"",1+COUNTIFS(Z$8:Z$707,"&gt;0",V$8:V$707,"&lt;"&amp;V515)+COUNTIFS(Z$8:Z$707,"&gt;0",V$8:V$707,V515,AA$8:AA$707,"&lt;"&amp;AA515)+COUNTIFS(Z$8:Z$707,"&gt;0",V$8:V$707,V515,AA$8:AA$707,AA515,E$8:E$707,"&lt;"&amp;$E515))</f>
        <v/>
      </c>
      <c r="AC515" s="24">
        <f>IF(OR($E515="",Z515=0),"",IFERROR(TODAY()+ROUNDUP(Z515/(SUMIFS($AF515:$IN515,$AF$4:$IN$4,"WASH_ACT")/COUNTIFS($AF$4:$IN$4,"WASH_ACT",$AF515:$IN515,"&gt;0")),0),"no output yet"))</f>
        <v/>
      </c>
      <c r="AD515" s="26">
        <f>IF($E515="","",IFERROR(ROUND(MAX(0,SUMIFS($AF515:$IN515,$AF$4:$IN$4,"SEW_PLAN",$AF$3:$IN$3,"&lt;="&amp;TODAY())-SUMIFS($AF515:$IN515,$AF$4:$IN$4,"SEW_ACT",$AF$3:$IN$3,"&lt;="&amp;TODAY())+N(Q515))/(SUMIFS($AF515:$IN515,$AF$4:$IN$4,"SEW_PLAN")/COUNTIFS($AF$4:$IN$4,"SEW_PLAN",$AF515:$IN515,"&gt;0")),1),0))</f>
        <v/>
      </c>
      <c r="AE515" s="26">
        <f>IF($E515="","",IF(AND(Z515&gt;0,OR(AND(M515&lt;&gt;"",TODAY()&gt;M515),AND(V515&lt;&gt;"",V515-TODAY()&lt;=7))),"Yes","No"))</f>
        <v/>
      </c>
      <c r="AH515">
        <f>IF(OR(AF$3="",AF$3&gt;TODAY()),"",IF(AND(AF515="",AG515=""),"",N(AG515)-N(AF515)))</f>
        <v/>
      </c>
      <c r="AK515">
        <f>IF(OR(AF$3="",AF$3&gt;TODAY()),"",IF(AND(AI515="",AJ515=""),"",N(AJ515)-N(AI515)))</f>
        <v/>
      </c>
      <c r="AO515">
        <f>IF(OR(AM$3="",AM$3&gt;TODAY()),"",IF(AND(AM515="",AN515=""),"",N(AN515)-N(AM515)))</f>
        <v/>
      </c>
      <c r="AR515">
        <f>IF(OR(AM$3="",AM$3&gt;TODAY()),"",IF(AND(AP515="",AQ515=""),"",N(AQ515)-N(AP515)))</f>
        <v/>
      </c>
      <c r="AV515">
        <f>IF(OR(AT$3="",AT$3&gt;TODAY()),"",IF(AND(AT515="",AU515=""),"",N(AU515)-N(AT515)))</f>
        <v/>
      </c>
      <c r="AY515">
        <f>IF(OR(AT$3="",AT$3&gt;TODAY()),"",IF(AND(AW515="",AX515=""),"",N(AX515)-N(AW515)))</f>
        <v/>
      </c>
      <c r="BC515">
        <f>IF(OR(BA$3="",BA$3&gt;TODAY()),"",IF(AND(BA515="",BB515=""),"",N(BB515)-N(BA515)))</f>
        <v/>
      </c>
      <c r="BF515">
        <f>IF(OR(BA$3="",BA$3&gt;TODAY()),"",IF(AND(BD515="",BE515=""),"",N(BE515)-N(BD515)))</f>
        <v/>
      </c>
      <c r="BJ515">
        <f>IF(OR(BH$3="",BH$3&gt;TODAY()),"",IF(AND(BH515="",BI515=""),"",N(BI515)-N(BH515)))</f>
        <v/>
      </c>
      <c r="BM515">
        <f>IF(OR(BH$3="",BH$3&gt;TODAY()),"",IF(AND(BK515="",BL515=""),"",N(BL515)-N(BK515)))</f>
        <v/>
      </c>
      <c r="BQ515">
        <f>IF(OR(BO$3="",BO$3&gt;TODAY()),"",IF(AND(BO515="",BP515=""),"",N(BP515)-N(BO515)))</f>
        <v/>
      </c>
      <c r="BT515">
        <f>IF(OR(BO$3="",BO$3&gt;TODAY()),"",IF(AND(BR515="",BS515=""),"",N(BS515)-N(BR515)))</f>
        <v/>
      </c>
      <c r="BX515">
        <f>IF(OR(BV$3="",BV$3&gt;TODAY()),"",IF(AND(BV515="",BW515=""),"",N(BW515)-N(BV515)))</f>
        <v/>
      </c>
      <c r="CA515">
        <f>IF(OR(BV$3="",BV$3&gt;TODAY()),"",IF(AND(BY515="",BZ515=""),"",N(BZ515)-N(BY515)))</f>
        <v/>
      </c>
      <c r="CE515">
        <f>IF(OR(CC$3="",CC$3&gt;TODAY()),"",IF(AND(CC515="",CD515=""),"",N(CD515)-N(CC515)))</f>
        <v/>
      </c>
      <c r="CH515">
        <f>IF(OR(CC$3="",CC$3&gt;TODAY()),"",IF(AND(CF515="",CG515=""),"",N(CG515)-N(CF515)))</f>
        <v/>
      </c>
      <c r="CL515">
        <f>IF(OR(CJ$3="",CJ$3&gt;TODAY()),"",IF(AND(CJ515="",CK515=""),"",N(CK515)-N(CJ515)))</f>
        <v/>
      </c>
      <c r="CO515">
        <f>IF(OR(CJ$3="",CJ$3&gt;TODAY()),"",IF(AND(CM515="",CN515=""),"",N(CN515)-N(CM515)))</f>
        <v/>
      </c>
      <c r="CS515">
        <f>IF(OR(CQ$3="",CQ$3&gt;TODAY()),"",IF(AND(CQ515="",CR515=""),"",N(CR515)-N(CQ515)))</f>
        <v/>
      </c>
      <c r="CV515">
        <f>IF(OR(CQ$3="",CQ$3&gt;TODAY()),"",IF(AND(CT515="",CU515=""),"",N(CU515)-N(CT515)))</f>
        <v/>
      </c>
      <c r="CZ515">
        <f>IF(OR(CX$3="",CX$3&gt;TODAY()),"",IF(AND(CX515="",CY515=""),"",N(CY515)-N(CX515)))</f>
        <v/>
      </c>
      <c r="DC515">
        <f>IF(OR(CX$3="",CX$3&gt;TODAY()),"",IF(AND(DA515="",DB515=""),"",N(DB515)-N(DA515)))</f>
        <v/>
      </c>
      <c r="DG515">
        <f>IF(OR(DE$3="",DE$3&gt;TODAY()),"",IF(AND(DE515="",DF515=""),"",N(DF515)-N(DE515)))</f>
        <v/>
      </c>
      <c r="DJ515">
        <f>IF(OR(DE$3="",DE$3&gt;TODAY()),"",IF(AND(DH515="",DI515=""),"",N(DI515)-N(DH515)))</f>
        <v/>
      </c>
      <c r="DN515">
        <f>IF(OR(DL$3="",DL$3&gt;TODAY()),"",IF(AND(DL515="",DM515=""),"",N(DM515)-N(DL515)))</f>
        <v/>
      </c>
      <c r="DQ515">
        <f>IF(OR(DL$3="",DL$3&gt;TODAY()),"",IF(AND(DO515="",DP515=""),"",N(DP515)-N(DO515)))</f>
        <v/>
      </c>
      <c r="DU515">
        <f>IF(OR(DS$3="",DS$3&gt;TODAY()),"",IF(AND(DS515="",DT515=""),"",N(DT515)-N(DS515)))</f>
        <v/>
      </c>
      <c r="DX515">
        <f>IF(OR(DS$3="",DS$3&gt;TODAY()),"",IF(AND(DV515="",DW515=""),"",N(DW515)-N(DV515)))</f>
        <v/>
      </c>
      <c r="EB515">
        <f>IF(OR(DZ$3="",DZ$3&gt;TODAY()),"",IF(AND(DZ515="",EA515=""),"",N(EA515)-N(DZ515)))</f>
        <v/>
      </c>
      <c r="EE515">
        <f>IF(OR(DZ$3="",DZ$3&gt;TODAY()),"",IF(AND(EC515="",ED515=""),"",N(ED515)-N(EC515)))</f>
        <v/>
      </c>
      <c r="EI515">
        <f>IF(OR(EG$3="",EG$3&gt;TODAY()),"",IF(AND(EG515="",EH515=""),"",N(EH515)-N(EG515)))</f>
        <v/>
      </c>
      <c r="EL515">
        <f>IF(OR(EG$3="",EG$3&gt;TODAY()),"",IF(AND(EJ515="",EK515=""),"",N(EK515)-N(EJ515)))</f>
        <v/>
      </c>
      <c r="EP515">
        <f>IF(OR(EN$3="",EN$3&gt;TODAY()),"",IF(AND(EN515="",EO515=""),"",N(EO515)-N(EN515)))</f>
        <v/>
      </c>
      <c r="ES515">
        <f>IF(OR(EN$3="",EN$3&gt;TODAY()),"",IF(AND(EQ515="",ER515=""),"",N(ER515)-N(EQ515)))</f>
        <v/>
      </c>
      <c r="EW515">
        <f>IF(OR(EU$3="",EU$3&gt;TODAY()),"",IF(AND(EU515="",EV515=""),"",N(EV515)-N(EU515)))</f>
        <v/>
      </c>
      <c r="EZ515">
        <f>IF(OR(EU$3="",EU$3&gt;TODAY()),"",IF(AND(EX515="",EY515=""),"",N(EY515)-N(EX515)))</f>
        <v/>
      </c>
      <c r="FD515">
        <f>IF(OR(FB$3="",FB$3&gt;TODAY()),"",IF(AND(FB515="",FC515=""),"",N(FC515)-N(FB515)))</f>
        <v/>
      </c>
      <c r="FG515">
        <f>IF(OR(FB$3="",FB$3&gt;TODAY()),"",IF(AND(FE515="",FF515=""),"",N(FF515)-N(FE515)))</f>
        <v/>
      </c>
      <c r="FK515">
        <f>IF(OR(FI$3="",FI$3&gt;TODAY()),"",IF(AND(FI515="",FJ515=""),"",N(FJ515)-N(FI515)))</f>
        <v/>
      </c>
      <c r="FN515">
        <f>IF(OR(FI$3="",FI$3&gt;TODAY()),"",IF(AND(FL515="",FM515=""),"",N(FM515)-N(FL515)))</f>
        <v/>
      </c>
      <c r="FR515">
        <f>IF(OR(FP$3="",FP$3&gt;TODAY()),"",IF(AND(FP515="",FQ515=""),"",N(FQ515)-N(FP515)))</f>
        <v/>
      </c>
      <c r="FU515">
        <f>IF(OR(FP$3="",FP$3&gt;TODAY()),"",IF(AND(FS515="",FT515=""),"",N(FT515)-N(FS515)))</f>
        <v/>
      </c>
      <c r="FY515">
        <f>IF(OR(FW$3="",FW$3&gt;TODAY()),"",IF(AND(FW515="",FX515=""),"",N(FX515)-N(FW515)))</f>
        <v/>
      </c>
      <c r="GB515">
        <f>IF(OR(FW$3="",FW$3&gt;TODAY()),"",IF(AND(FZ515="",GA515=""),"",N(GA515)-N(FZ515)))</f>
        <v/>
      </c>
      <c r="GF515">
        <f>IF(OR(GD$3="",GD$3&gt;TODAY()),"",IF(AND(GD515="",GE515=""),"",N(GE515)-N(GD515)))</f>
        <v/>
      </c>
      <c r="GI515">
        <f>IF(OR(GD$3="",GD$3&gt;TODAY()),"",IF(AND(GG515="",GH515=""),"",N(GH515)-N(GG515)))</f>
        <v/>
      </c>
      <c r="GM515">
        <f>IF(OR(GK$3="",GK$3&gt;TODAY()),"",IF(AND(GK515="",GL515=""),"",N(GL515)-N(GK515)))</f>
        <v/>
      </c>
      <c r="GP515">
        <f>IF(OR(GK$3="",GK$3&gt;TODAY()),"",IF(AND(GN515="",GO515=""),"",N(GO515)-N(GN515)))</f>
        <v/>
      </c>
      <c r="GT515">
        <f>IF(OR(GR$3="",GR$3&gt;TODAY()),"",IF(AND(GR515="",GS515=""),"",N(GS515)-N(GR515)))</f>
        <v/>
      </c>
      <c r="GW515">
        <f>IF(OR(GR$3="",GR$3&gt;TODAY()),"",IF(AND(GU515="",GV515=""),"",N(GV515)-N(GU515)))</f>
        <v/>
      </c>
      <c r="HA515">
        <f>IF(OR(GY$3="",GY$3&gt;TODAY()),"",IF(AND(GY515="",GZ515=""),"",N(GZ515)-N(GY515)))</f>
        <v/>
      </c>
      <c r="HD515">
        <f>IF(OR(GY$3="",GY$3&gt;TODAY()),"",IF(AND(HB515="",HC515=""),"",N(HC515)-N(HB515)))</f>
        <v/>
      </c>
      <c r="HH515">
        <f>IF(OR(HF$3="",HF$3&gt;TODAY()),"",IF(AND(HF515="",HG515=""),"",N(HG515)-N(HF515)))</f>
        <v/>
      </c>
      <c r="HK515">
        <f>IF(OR(HF$3="",HF$3&gt;TODAY()),"",IF(AND(HI515="",HJ515=""),"",N(HJ515)-N(HI515)))</f>
        <v/>
      </c>
      <c r="HO515">
        <f>IF(OR(HM$3="",HM$3&gt;TODAY()),"",IF(AND(HM515="",HN515=""),"",N(HN515)-N(HM515)))</f>
        <v/>
      </c>
      <c r="HR515">
        <f>IF(OR(HM$3="",HM$3&gt;TODAY()),"",IF(AND(HP515="",HQ515=""),"",N(HQ515)-N(HP515)))</f>
        <v/>
      </c>
      <c r="HV515">
        <f>IF(OR(HT$3="",HT$3&gt;TODAY()),"",IF(AND(HT515="",HU515=""),"",N(HU515)-N(HT515)))</f>
        <v/>
      </c>
      <c r="HY515">
        <f>IF(OR(HT$3="",HT$3&gt;TODAY()),"",IF(AND(HW515="",HX515=""),"",N(HX515)-N(HW515)))</f>
        <v/>
      </c>
      <c r="IC515">
        <f>IF(OR(IA$3="",IA$3&gt;TODAY()),"",IF(AND(IA515="",IB515=""),"",N(IB515)-N(IA515)))</f>
        <v/>
      </c>
      <c r="IF515">
        <f>IF(OR(IA$3="",IA$3&gt;TODAY()),"",IF(AND(ID515="",IE515=""),"",N(IE515)-N(ID515)))</f>
        <v/>
      </c>
      <c r="IJ515">
        <f>IF(OR(IH$3="",IH$3&gt;TODAY()),"",IF(AND(IH515="",II515=""),"",N(II515)-N(IH515)))</f>
        <v/>
      </c>
      <c r="IM515">
        <f>IF(OR(IH$3="",IH$3&gt;TODAY()),"",IF(AND(IK515="",IL515=""),"",N(IL515)-N(IK515)))</f>
        <v/>
      </c>
    </row>
    <row r="516">
      <c r="A516" s="21" t="n"/>
      <c r="B516" s="21" t="n"/>
      <c r="C516" s="21" t="n"/>
      <c r="D516" s="21" t="n"/>
      <c r="E516" s="21" t="n"/>
      <c r="F516" s="21" t="n"/>
      <c r="G516" s="21" t="n"/>
      <c r="H516" s="21" t="n"/>
      <c r="I516" s="22" t="n"/>
      <c r="J516" s="22" t="n"/>
      <c r="K516" s="23" t="n"/>
      <c r="L516" s="22" t="n"/>
      <c r="M516" s="22" t="n"/>
      <c r="N516" s="21" t="n"/>
      <c r="O516" s="23" t="n"/>
      <c r="P516" s="23" t="n"/>
      <c r="Q516" s="23" t="n"/>
      <c r="R516" s="23" t="n"/>
      <c r="S516" s="22" t="n"/>
      <c r="T516" s="23" t="n"/>
      <c r="U516" s="23" t="n"/>
      <c r="V516" s="24">
        <f>IF(J516&lt;&gt;"",J516,IF(I516&lt;&gt;"",I516,""))</f>
        <v/>
      </c>
      <c r="W516" s="25">
        <f>IF($E516="","",N(O516)+SUMIFS($AF516:$IN516,$AF$4:$IN$4,"SEW_ACT"))</f>
        <v/>
      </c>
      <c r="X516" s="25">
        <f>IF($E516="","",N(P516)+SUMIFS($AF516:$IN516,$AF$4:$IN$4,"WASH_ACT"))</f>
        <v/>
      </c>
      <c r="Y516" s="25">
        <f>IF($E516="","",W516-X516-N(T516)-N(U516))</f>
        <v/>
      </c>
      <c r="Z516" s="25">
        <f>IF($E516="","",IF(N(K516)-X516&lt;=0.02*N(K516),0,N(K516)-X516))</f>
        <v/>
      </c>
      <c r="AA516" s="24">
        <f>IF($E516="","",IF(S516&lt;&gt;"",S516,IF(N(O516)&gt;0,IF(L516&lt;&gt;"",L516,99999),IFERROR(1/(1/_xlfn.MINIFS($AF$3:$IN$3,$AF$4:$IN$4,"SEW_ACT",$AF516:$IN516,"&gt;0")),99999))))</f>
        <v/>
      </c>
      <c r="AB516" s="26">
        <f>IF(OR($E516="",Z516=0,V516=""),"",1+COUNTIFS(Z$8:Z$707,"&gt;0",V$8:V$707,"&lt;"&amp;V516)+COUNTIFS(Z$8:Z$707,"&gt;0",V$8:V$707,V516,AA$8:AA$707,"&lt;"&amp;AA516)+COUNTIFS(Z$8:Z$707,"&gt;0",V$8:V$707,V516,AA$8:AA$707,AA516,E$8:E$707,"&lt;"&amp;$E516))</f>
        <v/>
      </c>
      <c r="AC516" s="24">
        <f>IF(OR($E516="",Z516=0),"",IFERROR(TODAY()+ROUNDUP(Z516/(SUMIFS($AF516:$IN516,$AF$4:$IN$4,"WASH_ACT")/COUNTIFS($AF$4:$IN$4,"WASH_ACT",$AF516:$IN516,"&gt;0")),0),"no output yet"))</f>
        <v/>
      </c>
      <c r="AD516" s="26">
        <f>IF($E516="","",IFERROR(ROUND(MAX(0,SUMIFS($AF516:$IN516,$AF$4:$IN$4,"SEW_PLAN",$AF$3:$IN$3,"&lt;="&amp;TODAY())-SUMIFS($AF516:$IN516,$AF$4:$IN$4,"SEW_ACT",$AF$3:$IN$3,"&lt;="&amp;TODAY())+N(Q516))/(SUMIFS($AF516:$IN516,$AF$4:$IN$4,"SEW_PLAN")/COUNTIFS($AF$4:$IN$4,"SEW_PLAN",$AF516:$IN516,"&gt;0")),1),0))</f>
        <v/>
      </c>
      <c r="AE516" s="26">
        <f>IF($E516="","",IF(AND(Z516&gt;0,OR(AND(M516&lt;&gt;"",TODAY()&gt;M516),AND(V516&lt;&gt;"",V516-TODAY()&lt;=7))),"Yes","No"))</f>
        <v/>
      </c>
      <c r="AH516">
        <f>IF(OR(AF$3="",AF$3&gt;TODAY()),"",IF(AND(AF516="",AG516=""),"",N(AG516)-N(AF516)))</f>
        <v/>
      </c>
      <c r="AK516">
        <f>IF(OR(AF$3="",AF$3&gt;TODAY()),"",IF(AND(AI516="",AJ516=""),"",N(AJ516)-N(AI516)))</f>
        <v/>
      </c>
      <c r="AO516">
        <f>IF(OR(AM$3="",AM$3&gt;TODAY()),"",IF(AND(AM516="",AN516=""),"",N(AN516)-N(AM516)))</f>
        <v/>
      </c>
      <c r="AR516">
        <f>IF(OR(AM$3="",AM$3&gt;TODAY()),"",IF(AND(AP516="",AQ516=""),"",N(AQ516)-N(AP516)))</f>
        <v/>
      </c>
      <c r="AV516">
        <f>IF(OR(AT$3="",AT$3&gt;TODAY()),"",IF(AND(AT516="",AU516=""),"",N(AU516)-N(AT516)))</f>
        <v/>
      </c>
      <c r="AY516">
        <f>IF(OR(AT$3="",AT$3&gt;TODAY()),"",IF(AND(AW516="",AX516=""),"",N(AX516)-N(AW516)))</f>
        <v/>
      </c>
      <c r="BC516">
        <f>IF(OR(BA$3="",BA$3&gt;TODAY()),"",IF(AND(BA516="",BB516=""),"",N(BB516)-N(BA516)))</f>
        <v/>
      </c>
      <c r="BF516">
        <f>IF(OR(BA$3="",BA$3&gt;TODAY()),"",IF(AND(BD516="",BE516=""),"",N(BE516)-N(BD516)))</f>
        <v/>
      </c>
      <c r="BJ516">
        <f>IF(OR(BH$3="",BH$3&gt;TODAY()),"",IF(AND(BH516="",BI516=""),"",N(BI516)-N(BH516)))</f>
        <v/>
      </c>
      <c r="BM516">
        <f>IF(OR(BH$3="",BH$3&gt;TODAY()),"",IF(AND(BK516="",BL516=""),"",N(BL516)-N(BK516)))</f>
        <v/>
      </c>
      <c r="BQ516">
        <f>IF(OR(BO$3="",BO$3&gt;TODAY()),"",IF(AND(BO516="",BP516=""),"",N(BP516)-N(BO516)))</f>
        <v/>
      </c>
      <c r="BT516">
        <f>IF(OR(BO$3="",BO$3&gt;TODAY()),"",IF(AND(BR516="",BS516=""),"",N(BS516)-N(BR516)))</f>
        <v/>
      </c>
      <c r="BX516">
        <f>IF(OR(BV$3="",BV$3&gt;TODAY()),"",IF(AND(BV516="",BW516=""),"",N(BW516)-N(BV516)))</f>
        <v/>
      </c>
      <c r="CA516">
        <f>IF(OR(BV$3="",BV$3&gt;TODAY()),"",IF(AND(BY516="",BZ516=""),"",N(BZ516)-N(BY516)))</f>
        <v/>
      </c>
      <c r="CE516">
        <f>IF(OR(CC$3="",CC$3&gt;TODAY()),"",IF(AND(CC516="",CD516=""),"",N(CD516)-N(CC516)))</f>
        <v/>
      </c>
      <c r="CH516">
        <f>IF(OR(CC$3="",CC$3&gt;TODAY()),"",IF(AND(CF516="",CG516=""),"",N(CG516)-N(CF516)))</f>
        <v/>
      </c>
      <c r="CL516">
        <f>IF(OR(CJ$3="",CJ$3&gt;TODAY()),"",IF(AND(CJ516="",CK516=""),"",N(CK516)-N(CJ516)))</f>
        <v/>
      </c>
      <c r="CO516">
        <f>IF(OR(CJ$3="",CJ$3&gt;TODAY()),"",IF(AND(CM516="",CN516=""),"",N(CN516)-N(CM516)))</f>
        <v/>
      </c>
      <c r="CS516">
        <f>IF(OR(CQ$3="",CQ$3&gt;TODAY()),"",IF(AND(CQ516="",CR516=""),"",N(CR516)-N(CQ516)))</f>
        <v/>
      </c>
      <c r="CV516">
        <f>IF(OR(CQ$3="",CQ$3&gt;TODAY()),"",IF(AND(CT516="",CU516=""),"",N(CU516)-N(CT516)))</f>
        <v/>
      </c>
      <c r="CZ516">
        <f>IF(OR(CX$3="",CX$3&gt;TODAY()),"",IF(AND(CX516="",CY516=""),"",N(CY516)-N(CX516)))</f>
        <v/>
      </c>
      <c r="DC516">
        <f>IF(OR(CX$3="",CX$3&gt;TODAY()),"",IF(AND(DA516="",DB516=""),"",N(DB516)-N(DA516)))</f>
        <v/>
      </c>
      <c r="DG516">
        <f>IF(OR(DE$3="",DE$3&gt;TODAY()),"",IF(AND(DE516="",DF516=""),"",N(DF516)-N(DE516)))</f>
        <v/>
      </c>
      <c r="DJ516">
        <f>IF(OR(DE$3="",DE$3&gt;TODAY()),"",IF(AND(DH516="",DI516=""),"",N(DI516)-N(DH516)))</f>
        <v/>
      </c>
      <c r="DN516">
        <f>IF(OR(DL$3="",DL$3&gt;TODAY()),"",IF(AND(DL516="",DM516=""),"",N(DM516)-N(DL516)))</f>
        <v/>
      </c>
      <c r="DQ516">
        <f>IF(OR(DL$3="",DL$3&gt;TODAY()),"",IF(AND(DO516="",DP516=""),"",N(DP516)-N(DO516)))</f>
        <v/>
      </c>
      <c r="DU516">
        <f>IF(OR(DS$3="",DS$3&gt;TODAY()),"",IF(AND(DS516="",DT516=""),"",N(DT516)-N(DS516)))</f>
        <v/>
      </c>
      <c r="DX516">
        <f>IF(OR(DS$3="",DS$3&gt;TODAY()),"",IF(AND(DV516="",DW516=""),"",N(DW516)-N(DV516)))</f>
        <v/>
      </c>
      <c r="EB516">
        <f>IF(OR(DZ$3="",DZ$3&gt;TODAY()),"",IF(AND(DZ516="",EA516=""),"",N(EA516)-N(DZ516)))</f>
        <v/>
      </c>
      <c r="EE516">
        <f>IF(OR(DZ$3="",DZ$3&gt;TODAY()),"",IF(AND(EC516="",ED516=""),"",N(ED516)-N(EC516)))</f>
        <v/>
      </c>
      <c r="EI516">
        <f>IF(OR(EG$3="",EG$3&gt;TODAY()),"",IF(AND(EG516="",EH516=""),"",N(EH516)-N(EG516)))</f>
        <v/>
      </c>
      <c r="EL516">
        <f>IF(OR(EG$3="",EG$3&gt;TODAY()),"",IF(AND(EJ516="",EK516=""),"",N(EK516)-N(EJ516)))</f>
        <v/>
      </c>
      <c r="EP516">
        <f>IF(OR(EN$3="",EN$3&gt;TODAY()),"",IF(AND(EN516="",EO516=""),"",N(EO516)-N(EN516)))</f>
        <v/>
      </c>
      <c r="ES516">
        <f>IF(OR(EN$3="",EN$3&gt;TODAY()),"",IF(AND(EQ516="",ER516=""),"",N(ER516)-N(EQ516)))</f>
        <v/>
      </c>
      <c r="EW516">
        <f>IF(OR(EU$3="",EU$3&gt;TODAY()),"",IF(AND(EU516="",EV516=""),"",N(EV516)-N(EU516)))</f>
        <v/>
      </c>
      <c r="EZ516">
        <f>IF(OR(EU$3="",EU$3&gt;TODAY()),"",IF(AND(EX516="",EY516=""),"",N(EY516)-N(EX516)))</f>
        <v/>
      </c>
      <c r="FD516">
        <f>IF(OR(FB$3="",FB$3&gt;TODAY()),"",IF(AND(FB516="",FC516=""),"",N(FC516)-N(FB516)))</f>
        <v/>
      </c>
      <c r="FG516">
        <f>IF(OR(FB$3="",FB$3&gt;TODAY()),"",IF(AND(FE516="",FF516=""),"",N(FF516)-N(FE516)))</f>
        <v/>
      </c>
      <c r="FK516">
        <f>IF(OR(FI$3="",FI$3&gt;TODAY()),"",IF(AND(FI516="",FJ516=""),"",N(FJ516)-N(FI516)))</f>
        <v/>
      </c>
      <c r="FN516">
        <f>IF(OR(FI$3="",FI$3&gt;TODAY()),"",IF(AND(FL516="",FM516=""),"",N(FM516)-N(FL516)))</f>
        <v/>
      </c>
      <c r="FR516">
        <f>IF(OR(FP$3="",FP$3&gt;TODAY()),"",IF(AND(FP516="",FQ516=""),"",N(FQ516)-N(FP516)))</f>
        <v/>
      </c>
      <c r="FU516">
        <f>IF(OR(FP$3="",FP$3&gt;TODAY()),"",IF(AND(FS516="",FT516=""),"",N(FT516)-N(FS516)))</f>
        <v/>
      </c>
      <c r="FY516">
        <f>IF(OR(FW$3="",FW$3&gt;TODAY()),"",IF(AND(FW516="",FX516=""),"",N(FX516)-N(FW516)))</f>
        <v/>
      </c>
      <c r="GB516">
        <f>IF(OR(FW$3="",FW$3&gt;TODAY()),"",IF(AND(FZ516="",GA516=""),"",N(GA516)-N(FZ516)))</f>
        <v/>
      </c>
      <c r="GF516">
        <f>IF(OR(GD$3="",GD$3&gt;TODAY()),"",IF(AND(GD516="",GE516=""),"",N(GE516)-N(GD516)))</f>
        <v/>
      </c>
      <c r="GI516">
        <f>IF(OR(GD$3="",GD$3&gt;TODAY()),"",IF(AND(GG516="",GH516=""),"",N(GH516)-N(GG516)))</f>
        <v/>
      </c>
      <c r="GM516">
        <f>IF(OR(GK$3="",GK$3&gt;TODAY()),"",IF(AND(GK516="",GL516=""),"",N(GL516)-N(GK516)))</f>
        <v/>
      </c>
      <c r="GP516">
        <f>IF(OR(GK$3="",GK$3&gt;TODAY()),"",IF(AND(GN516="",GO516=""),"",N(GO516)-N(GN516)))</f>
        <v/>
      </c>
      <c r="GT516">
        <f>IF(OR(GR$3="",GR$3&gt;TODAY()),"",IF(AND(GR516="",GS516=""),"",N(GS516)-N(GR516)))</f>
        <v/>
      </c>
      <c r="GW516">
        <f>IF(OR(GR$3="",GR$3&gt;TODAY()),"",IF(AND(GU516="",GV516=""),"",N(GV516)-N(GU516)))</f>
        <v/>
      </c>
      <c r="HA516">
        <f>IF(OR(GY$3="",GY$3&gt;TODAY()),"",IF(AND(GY516="",GZ516=""),"",N(GZ516)-N(GY516)))</f>
        <v/>
      </c>
      <c r="HD516">
        <f>IF(OR(GY$3="",GY$3&gt;TODAY()),"",IF(AND(HB516="",HC516=""),"",N(HC516)-N(HB516)))</f>
        <v/>
      </c>
      <c r="HH516">
        <f>IF(OR(HF$3="",HF$3&gt;TODAY()),"",IF(AND(HF516="",HG516=""),"",N(HG516)-N(HF516)))</f>
        <v/>
      </c>
      <c r="HK516">
        <f>IF(OR(HF$3="",HF$3&gt;TODAY()),"",IF(AND(HI516="",HJ516=""),"",N(HJ516)-N(HI516)))</f>
        <v/>
      </c>
      <c r="HO516">
        <f>IF(OR(HM$3="",HM$3&gt;TODAY()),"",IF(AND(HM516="",HN516=""),"",N(HN516)-N(HM516)))</f>
        <v/>
      </c>
      <c r="HR516">
        <f>IF(OR(HM$3="",HM$3&gt;TODAY()),"",IF(AND(HP516="",HQ516=""),"",N(HQ516)-N(HP516)))</f>
        <v/>
      </c>
      <c r="HV516">
        <f>IF(OR(HT$3="",HT$3&gt;TODAY()),"",IF(AND(HT516="",HU516=""),"",N(HU516)-N(HT516)))</f>
        <v/>
      </c>
      <c r="HY516">
        <f>IF(OR(HT$3="",HT$3&gt;TODAY()),"",IF(AND(HW516="",HX516=""),"",N(HX516)-N(HW516)))</f>
        <v/>
      </c>
      <c r="IC516">
        <f>IF(OR(IA$3="",IA$3&gt;TODAY()),"",IF(AND(IA516="",IB516=""),"",N(IB516)-N(IA516)))</f>
        <v/>
      </c>
      <c r="IF516">
        <f>IF(OR(IA$3="",IA$3&gt;TODAY()),"",IF(AND(ID516="",IE516=""),"",N(IE516)-N(ID516)))</f>
        <v/>
      </c>
      <c r="IJ516">
        <f>IF(OR(IH$3="",IH$3&gt;TODAY()),"",IF(AND(IH516="",II516=""),"",N(II516)-N(IH516)))</f>
        <v/>
      </c>
      <c r="IM516">
        <f>IF(OR(IH$3="",IH$3&gt;TODAY()),"",IF(AND(IK516="",IL516=""),"",N(IL516)-N(IK516)))</f>
        <v/>
      </c>
    </row>
    <row r="517">
      <c r="A517" s="21" t="n"/>
      <c r="B517" s="21" t="n"/>
      <c r="C517" s="21" t="n"/>
      <c r="D517" s="21" t="n"/>
      <c r="E517" s="21" t="n"/>
      <c r="F517" s="21" t="n"/>
      <c r="G517" s="21" t="n"/>
      <c r="H517" s="21" t="n"/>
      <c r="I517" s="22" t="n"/>
      <c r="J517" s="22" t="n"/>
      <c r="K517" s="23" t="n"/>
      <c r="L517" s="22" t="n"/>
      <c r="M517" s="22" t="n"/>
      <c r="N517" s="21" t="n"/>
      <c r="O517" s="23" t="n"/>
      <c r="P517" s="23" t="n"/>
      <c r="Q517" s="23" t="n"/>
      <c r="R517" s="23" t="n"/>
      <c r="S517" s="22" t="n"/>
      <c r="T517" s="23" t="n"/>
      <c r="U517" s="23" t="n"/>
      <c r="V517" s="24">
        <f>IF(J517&lt;&gt;"",J517,IF(I517&lt;&gt;"",I517,""))</f>
        <v/>
      </c>
      <c r="W517" s="25">
        <f>IF($E517="","",N(O517)+SUMIFS($AF517:$IN517,$AF$4:$IN$4,"SEW_ACT"))</f>
        <v/>
      </c>
      <c r="X517" s="25">
        <f>IF($E517="","",N(P517)+SUMIFS($AF517:$IN517,$AF$4:$IN$4,"WASH_ACT"))</f>
        <v/>
      </c>
      <c r="Y517" s="25">
        <f>IF($E517="","",W517-X517-N(T517)-N(U517))</f>
        <v/>
      </c>
      <c r="Z517" s="25">
        <f>IF($E517="","",IF(N(K517)-X517&lt;=0.02*N(K517),0,N(K517)-X517))</f>
        <v/>
      </c>
      <c r="AA517" s="24">
        <f>IF($E517="","",IF(S517&lt;&gt;"",S517,IF(N(O517)&gt;0,IF(L517&lt;&gt;"",L517,99999),IFERROR(1/(1/_xlfn.MINIFS($AF$3:$IN$3,$AF$4:$IN$4,"SEW_ACT",$AF517:$IN517,"&gt;0")),99999))))</f>
        <v/>
      </c>
      <c r="AB517" s="26">
        <f>IF(OR($E517="",Z517=0,V517=""),"",1+COUNTIFS(Z$8:Z$707,"&gt;0",V$8:V$707,"&lt;"&amp;V517)+COUNTIFS(Z$8:Z$707,"&gt;0",V$8:V$707,V517,AA$8:AA$707,"&lt;"&amp;AA517)+COUNTIFS(Z$8:Z$707,"&gt;0",V$8:V$707,V517,AA$8:AA$707,AA517,E$8:E$707,"&lt;"&amp;$E517))</f>
        <v/>
      </c>
      <c r="AC517" s="24">
        <f>IF(OR($E517="",Z517=0),"",IFERROR(TODAY()+ROUNDUP(Z517/(SUMIFS($AF517:$IN517,$AF$4:$IN$4,"WASH_ACT")/COUNTIFS($AF$4:$IN$4,"WASH_ACT",$AF517:$IN517,"&gt;0")),0),"no output yet"))</f>
        <v/>
      </c>
      <c r="AD517" s="26">
        <f>IF($E517="","",IFERROR(ROUND(MAX(0,SUMIFS($AF517:$IN517,$AF$4:$IN$4,"SEW_PLAN",$AF$3:$IN$3,"&lt;="&amp;TODAY())-SUMIFS($AF517:$IN517,$AF$4:$IN$4,"SEW_ACT",$AF$3:$IN$3,"&lt;="&amp;TODAY())+N(Q517))/(SUMIFS($AF517:$IN517,$AF$4:$IN$4,"SEW_PLAN")/COUNTIFS($AF$4:$IN$4,"SEW_PLAN",$AF517:$IN517,"&gt;0")),1),0))</f>
        <v/>
      </c>
      <c r="AE517" s="26">
        <f>IF($E517="","",IF(AND(Z517&gt;0,OR(AND(M517&lt;&gt;"",TODAY()&gt;M517),AND(V517&lt;&gt;"",V517-TODAY()&lt;=7))),"Yes","No"))</f>
        <v/>
      </c>
      <c r="AH517">
        <f>IF(OR(AF$3="",AF$3&gt;TODAY()),"",IF(AND(AF517="",AG517=""),"",N(AG517)-N(AF517)))</f>
        <v/>
      </c>
      <c r="AK517">
        <f>IF(OR(AF$3="",AF$3&gt;TODAY()),"",IF(AND(AI517="",AJ517=""),"",N(AJ517)-N(AI517)))</f>
        <v/>
      </c>
      <c r="AO517">
        <f>IF(OR(AM$3="",AM$3&gt;TODAY()),"",IF(AND(AM517="",AN517=""),"",N(AN517)-N(AM517)))</f>
        <v/>
      </c>
      <c r="AR517">
        <f>IF(OR(AM$3="",AM$3&gt;TODAY()),"",IF(AND(AP517="",AQ517=""),"",N(AQ517)-N(AP517)))</f>
        <v/>
      </c>
      <c r="AV517">
        <f>IF(OR(AT$3="",AT$3&gt;TODAY()),"",IF(AND(AT517="",AU517=""),"",N(AU517)-N(AT517)))</f>
        <v/>
      </c>
      <c r="AY517">
        <f>IF(OR(AT$3="",AT$3&gt;TODAY()),"",IF(AND(AW517="",AX517=""),"",N(AX517)-N(AW517)))</f>
        <v/>
      </c>
      <c r="BC517">
        <f>IF(OR(BA$3="",BA$3&gt;TODAY()),"",IF(AND(BA517="",BB517=""),"",N(BB517)-N(BA517)))</f>
        <v/>
      </c>
      <c r="BF517">
        <f>IF(OR(BA$3="",BA$3&gt;TODAY()),"",IF(AND(BD517="",BE517=""),"",N(BE517)-N(BD517)))</f>
        <v/>
      </c>
      <c r="BJ517">
        <f>IF(OR(BH$3="",BH$3&gt;TODAY()),"",IF(AND(BH517="",BI517=""),"",N(BI517)-N(BH517)))</f>
        <v/>
      </c>
      <c r="BM517">
        <f>IF(OR(BH$3="",BH$3&gt;TODAY()),"",IF(AND(BK517="",BL517=""),"",N(BL517)-N(BK517)))</f>
        <v/>
      </c>
      <c r="BQ517">
        <f>IF(OR(BO$3="",BO$3&gt;TODAY()),"",IF(AND(BO517="",BP517=""),"",N(BP517)-N(BO517)))</f>
        <v/>
      </c>
      <c r="BT517">
        <f>IF(OR(BO$3="",BO$3&gt;TODAY()),"",IF(AND(BR517="",BS517=""),"",N(BS517)-N(BR517)))</f>
        <v/>
      </c>
      <c r="BX517">
        <f>IF(OR(BV$3="",BV$3&gt;TODAY()),"",IF(AND(BV517="",BW517=""),"",N(BW517)-N(BV517)))</f>
        <v/>
      </c>
      <c r="CA517">
        <f>IF(OR(BV$3="",BV$3&gt;TODAY()),"",IF(AND(BY517="",BZ517=""),"",N(BZ517)-N(BY517)))</f>
        <v/>
      </c>
      <c r="CE517">
        <f>IF(OR(CC$3="",CC$3&gt;TODAY()),"",IF(AND(CC517="",CD517=""),"",N(CD517)-N(CC517)))</f>
        <v/>
      </c>
      <c r="CH517">
        <f>IF(OR(CC$3="",CC$3&gt;TODAY()),"",IF(AND(CF517="",CG517=""),"",N(CG517)-N(CF517)))</f>
        <v/>
      </c>
      <c r="CL517">
        <f>IF(OR(CJ$3="",CJ$3&gt;TODAY()),"",IF(AND(CJ517="",CK517=""),"",N(CK517)-N(CJ517)))</f>
        <v/>
      </c>
      <c r="CO517">
        <f>IF(OR(CJ$3="",CJ$3&gt;TODAY()),"",IF(AND(CM517="",CN517=""),"",N(CN517)-N(CM517)))</f>
        <v/>
      </c>
      <c r="CS517">
        <f>IF(OR(CQ$3="",CQ$3&gt;TODAY()),"",IF(AND(CQ517="",CR517=""),"",N(CR517)-N(CQ517)))</f>
        <v/>
      </c>
      <c r="CV517">
        <f>IF(OR(CQ$3="",CQ$3&gt;TODAY()),"",IF(AND(CT517="",CU517=""),"",N(CU517)-N(CT517)))</f>
        <v/>
      </c>
      <c r="CZ517">
        <f>IF(OR(CX$3="",CX$3&gt;TODAY()),"",IF(AND(CX517="",CY517=""),"",N(CY517)-N(CX517)))</f>
        <v/>
      </c>
      <c r="DC517">
        <f>IF(OR(CX$3="",CX$3&gt;TODAY()),"",IF(AND(DA517="",DB517=""),"",N(DB517)-N(DA517)))</f>
        <v/>
      </c>
      <c r="DG517">
        <f>IF(OR(DE$3="",DE$3&gt;TODAY()),"",IF(AND(DE517="",DF517=""),"",N(DF517)-N(DE517)))</f>
        <v/>
      </c>
      <c r="DJ517">
        <f>IF(OR(DE$3="",DE$3&gt;TODAY()),"",IF(AND(DH517="",DI517=""),"",N(DI517)-N(DH517)))</f>
        <v/>
      </c>
      <c r="DN517">
        <f>IF(OR(DL$3="",DL$3&gt;TODAY()),"",IF(AND(DL517="",DM517=""),"",N(DM517)-N(DL517)))</f>
        <v/>
      </c>
      <c r="DQ517">
        <f>IF(OR(DL$3="",DL$3&gt;TODAY()),"",IF(AND(DO517="",DP517=""),"",N(DP517)-N(DO517)))</f>
        <v/>
      </c>
      <c r="DU517">
        <f>IF(OR(DS$3="",DS$3&gt;TODAY()),"",IF(AND(DS517="",DT517=""),"",N(DT517)-N(DS517)))</f>
        <v/>
      </c>
      <c r="DX517">
        <f>IF(OR(DS$3="",DS$3&gt;TODAY()),"",IF(AND(DV517="",DW517=""),"",N(DW517)-N(DV517)))</f>
        <v/>
      </c>
      <c r="EB517">
        <f>IF(OR(DZ$3="",DZ$3&gt;TODAY()),"",IF(AND(DZ517="",EA517=""),"",N(EA517)-N(DZ517)))</f>
        <v/>
      </c>
      <c r="EE517">
        <f>IF(OR(DZ$3="",DZ$3&gt;TODAY()),"",IF(AND(EC517="",ED517=""),"",N(ED517)-N(EC517)))</f>
        <v/>
      </c>
      <c r="EI517">
        <f>IF(OR(EG$3="",EG$3&gt;TODAY()),"",IF(AND(EG517="",EH517=""),"",N(EH517)-N(EG517)))</f>
        <v/>
      </c>
      <c r="EL517">
        <f>IF(OR(EG$3="",EG$3&gt;TODAY()),"",IF(AND(EJ517="",EK517=""),"",N(EK517)-N(EJ517)))</f>
        <v/>
      </c>
      <c r="EP517">
        <f>IF(OR(EN$3="",EN$3&gt;TODAY()),"",IF(AND(EN517="",EO517=""),"",N(EO517)-N(EN517)))</f>
        <v/>
      </c>
      <c r="ES517">
        <f>IF(OR(EN$3="",EN$3&gt;TODAY()),"",IF(AND(EQ517="",ER517=""),"",N(ER517)-N(EQ517)))</f>
        <v/>
      </c>
      <c r="EW517">
        <f>IF(OR(EU$3="",EU$3&gt;TODAY()),"",IF(AND(EU517="",EV517=""),"",N(EV517)-N(EU517)))</f>
        <v/>
      </c>
      <c r="EZ517">
        <f>IF(OR(EU$3="",EU$3&gt;TODAY()),"",IF(AND(EX517="",EY517=""),"",N(EY517)-N(EX517)))</f>
        <v/>
      </c>
      <c r="FD517">
        <f>IF(OR(FB$3="",FB$3&gt;TODAY()),"",IF(AND(FB517="",FC517=""),"",N(FC517)-N(FB517)))</f>
        <v/>
      </c>
      <c r="FG517">
        <f>IF(OR(FB$3="",FB$3&gt;TODAY()),"",IF(AND(FE517="",FF517=""),"",N(FF517)-N(FE517)))</f>
        <v/>
      </c>
      <c r="FK517">
        <f>IF(OR(FI$3="",FI$3&gt;TODAY()),"",IF(AND(FI517="",FJ517=""),"",N(FJ517)-N(FI517)))</f>
        <v/>
      </c>
      <c r="FN517">
        <f>IF(OR(FI$3="",FI$3&gt;TODAY()),"",IF(AND(FL517="",FM517=""),"",N(FM517)-N(FL517)))</f>
        <v/>
      </c>
      <c r="FR517">
        <f>IF(OR(FP$3="",FP$3&gt;TODAY()),"",IF(AND(FP517="",FQ517=""),"",N(FQ517)-N(FP517)))</f>
        <v/>
      </c>
      <c r="FU517">
        <f>IF(OR(FP$3="",FP$3&gt;TODAY()),"",IF(AND(FS517="",FT517=""),"",N(FT517)-N(FS517)))</f>
        <v/>
      </c>
      <c r="FY517">
        <f>IF(OR(FW$3="",FW$3&gt;TODAY()),"",IF(AND(FW517="",FX517=""),"",N(FX517)-N(FW517)))</f>
        <v/>
      </c>
      <c r="GB517">
        <f>IF(OR(FW$3="",FW$3&gt;TODAY()),"",IF(AND(FZ517="",GA517=""),"",N(GA517)-N(FZ517)))</f>
        <v/>
      </c>
      <c r="GF517">
        <f>IF(OR(GD$3="",GD$3&gt;TODAY()),"",IF(AND(GD517="",GE517=""),"",N(GE517)-N(GD517)))</f>
        <v/>
      </c>
      <c r="GI517">
        <f>IF(OR(GD$3="",GD$3&gt;TODAY()),"",IF(AND(GG517="",GH517=""),"",N(GH517)-N(GG517)))</f>
        <v/>
      </c>
      <c r="GM517">
        <f>IF(OR(GK$3="",GK$3&gt;TODAY()),"",IF(AND(GK517="",GL517=""),"",N(GL517)-N(GK517)))</f>
        <v/>
      </c>
      <c r="GP517">
        <f>IF(OR(GK$3="",GK$3&gt;TODAY()),"",IF(AND(GN517="",GO517=""),"",N(GO517)-N(GN517)))</f>
        <v/>
      </c>
      <c r="GT517">
        <f>IF(OR(GR$3="",GR$3&gt;TODAY()),"",IF(AND(GR517="",GS517=""),"",N(GS517)-N(GR517)))</f>
        <v/>
      </c>
      <c r="GW517">
        <f>IF(OR(GR$3="",GR$3&gt;TODAY()),"",IF(AND(GU517="",GV517=""),"",N(GV517)-N(GU517)))</f>
        <v/>
      </c>
      <c r="HA517">
        <f>IF(OR(GY$3="",GY$3&gt;TODAY()),"",IF(AND(GY517="",GZ517=""),"",N(GZ517)-N(GY517)))</f>
        <v/>
      </c>
      <c r="HD517">
        <f>IF(OR(GY$3="",GY$3&gt;TODAY()),"",IF(AND(HB517="",HC517=""),"",N(HC517)-N(HB517)))</f>
        <v/>
      </c>
      <c r="HH517">
        <f>IF(OR(HF$3="",HF$3&gt;TODAY()),"",IF(AND(HF517="",HG517=""),"",N(HG517)-N(HF517)))</f>
        <v/>
      </c>
      <c r="HK517">
        <f>IF(OR(HF$3="",HF$3&gt;TODAY()),"",IF(AND(HI517="",HJ517=""),"",N(HJ517)-N(HI517)))</f>
        <v/>
      </c>
      <c r="HO517">
        <f>IF(OR(HM$3="",HM$3&gt;TODAY()),"",IF(AND(HM517="",HN517=""),"",N(HN517)-N(HM517)))</f>
        <v/>
      </c>
      <c r="HR517">
        <f>IF(OR(HM$3="",HM$3&gt;TODAY()),"",IF(AND(HP517="",HQ517=""),"",N(HQ517)-N(HP517)))</f>
        <v/>
      </c>
      <c r="HV517">
        <f>IF(OR(HT$3="",HT$3&gt;TODAY()),"",IF(AND(HT517="",HU517=""),"",N(HU517)-N(HT517)))</f>
        <v/>
      </c>
      <c r="HY517">
        <f>IF(OR(HT$3="",HT$3&gt;TODAY()),"",IF(AND(HW517="",HX517=""),"",N(HX517)-N(HW517)))</f>
        <v/>
      </c>
      <c r="IC517">
        <f>IF(OR(IA$3="",IA$3&gt;TODAY()),"",IF(AND(IA517="",IB517=""),"",N(IB517)-N(IA517)))</f>
        <v/>
      </c>
      <c r="IF517">
        <f>IF(OR(IA$3="",IA$3&gt;TODAY()),"",IF(AND(ID517="",IE517=""),"",N(IE517)-N(ID517)))</f>
        <v/>
      </c>
      <c r="IJ517">
        <f>IF(OR(IH$3="",IH$3&gt;TODAY()),"",IF(AND(IH517="",II517=""),"",N(II517)-N(IH517)))</f>
        <v/>
      </c>
      <c r="IM517">
        <f>IF(OR(IH$3="",IH$3&gt;TODAY()),"",IF(AND(IK517="",IL517=""),"",N(IL517)-N(IK517)))</f>
        <v/>
      </c>
    </row>
    <row r="518">
      <c r="A518" s="21" t="n"/>
      <c r="B518" s="21" t="n"/>
      <c r="C518" s="21" t="n"/>
      <c r="D518" s="21" t="n"/>
      <c r="E518" s="21" t="n"/>
      <c r="F518" s="21" t="n"/>
      <c r="G518" s="21" t="n"/>
      <c r="H518" s="21" t="n"/>
      <c r="I518" s="22" t="n"/>
      <c r="J518" s="22" t="n"/>
      <c r="K518" s="23" t="n"/>
      <c r="L518" s="22" t="n"/>
      <c r="M518" s="22" t="n"/>
      <c r="N518" s="21" t="n"/>
      <c r="O518" s="23" t="n"/>
      <c r="P518" s="23" t="n"/>
      <c r="Q518" s="23" t="n"/>
      <c r="R518" s="23" t="n"/>
      <c r="S518" s="22" t="n"/>
      <c r="T518" s="23" t="n"/>
      <c r="U518" s="23" t="n"/>
      <c r="V518" s="24">
        <f>IF(J518&lt;&gt;"",J518,IF(I518&lt;&gt;"",I518,""))</f>
        <v/>
      </c>
      <c r="W518" s="25">
        <f>IF($E518="","",N(O518)+SUMIFS($AF518:$IN518,$AF$4:$IN$4,"SEW_ACT"))</f>
        <v/>
      </c>
      <c r="X518" s="25">
        <f>IF($E518="","",N(P518)+SUMIFS($AF518:$IN518,$AF$4:$IN$4,"WASH_ACT"))</f>
        <v/>
      </c>
      <c r="Y518" s="25">
        <f>IF($E518="","",W518-X518-N(T518)-N(U518))</f>
        <v/>
      </c>
      <c r="Z518" s="25">
        <f>IF($E518="","",IF(N(K518)-X518&lt;=0.02*N(K518),0,N(K518)-X518))</f>
        <v/>
      </c>
      <c r="AA518" s="24">
        <f>IF($E518="","",IF(S518&lt;&gt;"",S518,IF(N(O518)&gt;0,IF(L518&lt;&gt;"",L518,99999),IFERROR(1/(1/_xlfn.MINIFS($AF$3:$IN$3,$AF$4:$IN$4,"SEW_ACT",$AF518:$IN518,"&gt;0")),99999))))</f>
        <v/>
      </c>
      <c r="AB518" s="26">
        <f>IF(OR($E518="",Z518=0,V518=""),"",1+COUNTIFS(Z$8:Z$707,"&gt;0",V$8:V$707,"&lt;"&amp;V518)+COUNTIFS(Z$8:Z$707,"&gt;0",V$8:V$707,V518,AA$8:AA$707,"&lt;"&amp;AA518)+COUNTIFS(Z$8:Z$707,"&gt;0",V$8:V$707,V518,AA$8:AA$707,AA518,E$8:E$707,"&lt;"&amp;$E518))</f>
        <v/>
      </c>
      <c r="AC518" s="24">
        <f>IF(OR($E518="",Z518=0),"",IFERROR(TODAY()+ROUNDUP(Z518/(SUMIFS($AF518:$IN518,$AF$4:$IN$4,"WASH_ACT")/COUNTIFS($AF$4:$IN$4,"WASH_ACT",$AF518:$IN518,"&gt;0")),0),"no output yet"))</f>
        <v/>
      </c>
      <c r="AD518" s="26">
        <f>IF($E518="","",IFERROR(ROUND(MAX(0,SUMIFS($AF518:$IN518,$AF$4:$IN$4,"SEW_PLAN",$AF$3:$IN$3,"&lt;="&amp;TODAY())-SUMIFS($AF518:$IN518,$AF$4:$IN$4,"SEW_ACT",$AF$3:$IN$3,"&lt;="&amp;TODAY())+N(Q518))/(SUMIFS($AF518:$IN518,$AF$4:$IN$4,"SEW_PLAN")/COUNTIFS($AF$4:$IN$4,"SEW_PLAN",$AF518:$IN518,"&gt;0")),1),0))</f>
        <v/>
      </c>
      <c r="AE518" s="26">
        <f>IF($E518="","",IF(AND(Z518&gt;0,OR(AND(M518&lt;&gt;"",TODAY()&gt;M518),AND(V518&lt;&gt;"",V518-TODAY()&lt;=7))),"Yes","No"))</f>
        <v/>
      </c>
      <c r="AH518">
        <f>IF(OR(AF$3="",AF$3&gt;TODAY()),"",IF(AND(AF518="",AG518=""),"",N(AG518)-N(AF518)))</f>
        <v/>
      </c>
      <c r="AK518">
        <f>IF(OR(AF$3="",AF$3&gt;TODAY()),"",IF(AND(AI518="",AJ518=""),"",N(AJ518)-N(AI518)))</f>
        <v/>
      </c>
      <c r="AO518">
        <f>IF(OR(AM$3="",AM$3&gt;TODAY()),"",IF(AND(AM518="",AN518=""),"",N(AN518)-N(AM518)))</f>
        <v/>
      </c>
      <c r="AR518">
        <f>IF(OR(AM$3="",AM$3&gt;TODAY()),"",IF(AND(AP518="",AQ518=""),"",N(AQ518)-N(AP518)))</f>
        <v/>
      </c>
      <c r="AV518">
        <f>IF(OR(AT$3="",AT$3&gt;TODAY()),"",IF(AND(AT518="",AU518=""),"",N(AU518)-N(AT518)))</f>
        <v/>
      </c>
      <c r="AY518">
        <f>IF(OR(AT$3="",AT$3&gt;TODAY()),"",IF(AND(AW518="",AX518=""),"",N(AX518)-N(AW518)))</f>
        <v/>
      </c>
      <c r="BC518">
        <f>IF(OR(BA$3="",BA$3&gt;TODAY()),"",IF(AND(BA518="",BB518=""),"",N(BB518)-N(BA518)))</f>
        <v/>
      </c>
      <c r="BF518">
        <f>IF(OR(BA$3="",BA$3&gt;TODAY()),"",IF(AND(BD518="",BE518=""),"",N(BE518)-N(BD518)))</f>
        <v/>
      </c>
      <c r="BJ518">
        <f>IF(OR(BH$3="",BH$3&gt;TODAY()),"",IF(AND(BH518="",BI518=""),"",N(BI518)-N(BH518)))</f>
        <v/>
      </c>
      <c r="BM518">
        <f>IF(OR(BH$3="",BH$3&gt;TODAY()),"",IF(AND(BK518="",BL518=""),"",N(BL518)-N(BK518)))</f>
        <v/>
      </c>
      <c r="BQ518">
        <f>IF(OR(BO$3="",BO$3&gt;TODAY()),"",IF(AND(BO518="",BP518=""),"",N(BP518)-N(BO518)))</f>
        <v/>
      </c>
      <c r="BT518">
        <f>IF(OR(BO$3="",BO$3&gt;TODAY()),"",IF(AND(BR518="",BS518=""),"",N(BS518)-N(BR518)))</f>
        <v/>
      </c>
      <c r="BX518">
        <f>IF(OR(BV$3="",BV$3&gt;TODAY()),"",IF(AND(BV518="",BW518=""),"",N(BW518)-N(BV518)))</f>
        <v/>
      </c>
      <c r="CA518">
        <f>IF(OR(BV$3="",BV$3&gt;TODAY()),"",IF(AND(BY518="",BZ518=""),"",N(BZ518)-N(BY518)))</f>
        <v/>
      </c>
      <c r="CE518">
        <f>IF(OR(CC$3="",CC$3&gt;TODAY()),"",IF(AND(CC518="",CD518=""),"",N(CD518)-N(CC518)))</f>
        <v/>
      </c>
      <c r="CH518">
        <f>IF(OR(CC$3="",CC$3&gt;TODAY()),"",IF(AND(CF518="",CG518=""),"",N(CG518)-N(CF518)))</f>
        <v/>
      </c>
      <c r="CL518">
        <f>IF(OR(CJ$3="",CJ$3&gt;TODAY()),"",IF(AND(CJ518="",CK518=""),"",N(CK518)-N(CJ518)))</f>
        <v/>
      </c>
      <c r="CO518">
        <f>IF(OR(CJ$3="",CJ$3&gt;TODAY()),"",IF(AND(CM518="",CN518=""),"",N(CN518)-N(CM518)))</f>
        <v/>
      </c>
      <c r="CS518">
        <f>IF(OR(CQ$3="",CQ$3&gt;TODAY()),"",IF(AND(CQ518="",CR518=""),"",N(CR518)-N(CQ518)))</f>
        <v/>
      </c>
      <c r="CV518">
        <f>IF(OR(CQ$3="",CQ$3&gt;TODAY()),"",IF(AND(CT518="",CU518=""),"",N(CU518)-N(CT518)))</f>
        <v/>
      </c>
      <c r="CZ518">
        <f>IF(OR(CX$3="",CX$3&gt;TODAY()),"",IF(AND(CX518="",CY518=""),"",N(CY518)-N(CX518)))</f>
        <v/>
      </c>
      <c r="DC518">
        <f>IF(OR(CX$3="",CX$3&gt;TODAY()),"",IF(AND(DA518="",DB518=""),"",N(DB518)-N(DA518)))</f>
        <v/>
      </c>
      <c r="DG518">
        <f>IF(OR(DE$3="",DE$3&gt;TODAY()),"",IF(AND(DE518="",DF518=""),"",N(DF518)-N(DE518)))</f>
        <v/>
      </c>
      <c r="DJ518">
        <f>IF(OR(DE$3="",DE$3&gt;TODAY()),"",IF(AND(DH518="",DI518=""),"",N(DI518)-N(DH518)))</f>
        <v/>
      </c>
      <c r="DN518">
        <f>IF(OR(DL$3="",DL$3&gt;TODAY()),"",IF(AND(DL518="",DM518=""),"",N(DM518)-N(DL518)))</f>
        <v/>
      </c>
      <c r="DQ518">
        <f>IF(OR(DL$3="",DL$3&gt;TODAY()),"",IF(AND(DO518="",DP518=""),"",N(DP518)-N(DO518)))</f>
        <v/>
      </c>
      <c r="DU518">
        <f>IF(OR(DS$3="",DS$3&gt;TODAY()),"",IF(AND(DS518="",DT518=""),"",N(DT518)-N(DS518)))</f>
        <v/>
      </c>
      <c r="DX518">
        <f>IF(OR(DS$3="",DS$3&gt;TODAY()),"",IF(AND(DV518="",DW518=""),"",N(DW518)-N(DV518)))</f>
        <v/>
      </c>
      <c r="EB518">
        <f>IF(OR(DZ$3="",DZ$3&gt;TODAY()),"",IF(AND(DZ518="",EA518=""),"",N(EA518)-N(DZ518)))</f>
        <v/>
      </c>
      <c r="EE518">
        <f>IF(OR(DZ$3="",DZ$3&gt;TODAY()),"",IF(AND(EC518="",ED518=""),"",N(ED518)-N(EC518)))</f>
        <v/>
      </c>
      <c r="EI518">
        <f>IF(OR(EG$3="",EG$3&gt;TODAY()),"",IF(AND(EG518="",EH518=""),"",N(EH518)-N(EG518)))</f>
        <v/>
      </c>
      <c r="EL518">
        <f>IF(OR(EG$3="",EG$3&gt;TODAY()),"",IF(AND(EJ518="",EK518=""),"",N(EK518)-N(EJ518)))</f>
        <v/>
      </c>
      <c r="EP518">
        <f>IF(OR(EN$3="",EN$3&gt;TODAY()),"",IF(AND(EN518="",EO518=""),"",N(EO518)-N(EN518)))</f>
        <v/>
      </c>
      <c r="ES518">
        <f>IF(OR(EN$3="",EN$3&gt;TODAY()),"",IF(AND(EQ518="",ER518=""),"",N(ER518)-N(EQ518)))</f>
        <v/>
      </c>
      <c r="EW518">
        <f>IF(OR(EU$3="",EU$3&gt;TODAY()),"",IF(AND(EU518="",EV518=""),"",N(EV518)-N(EU518)))</f>
        <v/>
      </c>
      <c r="EZ518">
        <f>IF(OR(EU$3="",EU$3&gt;TODAY()),"",IF(AND(EX518="",EY518=""),"",N(EY518)-N(EX518)))</f>
        <v/>
      </c>
      <c r="FD518">
        <f>IF(OR(FB$3="",FB$3&gt;TODAY()),"",IF(AND(FB518="",FC518=""),"",N(FC518)-N(FB518)))</f>
        <v/>
      </c>
      <c r="FG518">
        <f>IF(OR(FB$3="",FB$3&gt;TODAY()),"",IF(AND(FE518="",FF518=""),"",N(FF518)-N(FE518)))</f>
        <v/>
      </c>
      <c r="FK518">
        <f>IF(OR(FI$3="",FI$3&gt;TODAY()),"",IF(AND(FI518="",FJ518=""),"",N(FJ518)-N(FI518)))</f>
        <v/>
      </c>
      <c r="FN518">
        <f>IF(OR(FI$3="",FI$3&gt;TODAY()),"",IF(AND(FL518="",FM518=""),"",N(FM518)-N(FL518)))</f>
        <v/>
      </c>
      <c r="FR518">
        <f>IF(OR(FP$3="",FP$3&gt;TODAY()),"",IF(AND(FP518="",FQ518=""),"",N(FQ518)-N(FP518)))</f>
        <v/>
      </c>
      <c r="FU518">
        <f>IF(OR(FP$3="",FP$3&gt;TODAY()),"",IF(AND(FS518="",FT518=""),"",N(FT518)-N(FS518)))</f>
        <v/>
      </c>
      <c r="FY518">
        <f>IF(OR(FW$3="",FW$3&gt;TODAY()),"",IF(AND(FW518="",FX518=""),"",N(FX518)-N(FW518)))</f>
        <v/>
      </c>
      <c r="GB518">
        <f>IF(OR(FW$3="",FW$3&gt;TODAY()),"",IF(AND(FZ518="",GA518=""),"",N(GA518)-N(FZ518)))</f>
        <v/>
      </c>
      <c r="GF518">
        <f>IF(OR(GD$3="",GD$3&gt;TODAY()),"",IF(AND(GD518="",GE518=""),"",N(GE518)-N(GD518)))</f>
        <v/>
      </c>
      <c r="GI518">
        <f>IF(OR(GD$3="",GD$3&gt;TODAY()),"",IF(AND(GG518="",GH518=""),"",N(GH518)-N(GG518)))</f>
        <v/>
      </c>
      <c r="GM518">
        <f>IF(OR(GK$3="",GK$3&gt;TODAY()),"",IF(AND(GK518="",GL518=""),"",N(GL518)-N(GK518)))</f>
        <v/>
      </c>
      <c r="GP518">
        <f>IF(OR(GK$3="",GK$3&gt;TODAY()),"",IF(AND(GN518="",GO518=""),"",N(GO518)-N(GN518)))</f>
        <v/>
      </c>
      <c r="GT518">
        <f>IF(OR(GR$3="",GR$3&gt;TODAY()),"",IF(AND(GR518="",GS518=""),"",N(GS518)-N(GR518)))</f>
        <v/>
      </c>
      <c r="GW518">
        <f>IF(OR(GR$3="",GR$3&gt;TODAY()),"",IF(AND(GU518="",GV518=""),"",N(GV518)-N(GU518)))</f>
        <v/>
      </c>
      <c r="HA518">
        <f>IF(OR(GY$3="",GY$3&gt;TODAY()),"",IF(AND(GY518="",GZ518=""),"",N(GZ518)-N(GY518)))</f>
        <v/>
      </c>
      <c r="HD518">
        <f>IF(OR(GY$3="",GY$3&gt;TODAY()),"",IF(AND(HB518="",HC518=""),"",N(HC518)-N(HB518)))</f>
        <v/>
      </c>
      <c r="HH518">
        <f>IF(OR(HF$3="",HF$3&gt;TODAY()),"",IF(AND(HF518="",HG518=""),"",N(HG518)-N(HF518)))</f>
        <v/>
      </c>
      <c r="HK518">
        <f>IF(OR(HF$3="",HF$3&gt;TODAY()),"",IF(AND(HI518="",HJ518=""),"",N(HJ518)-N(HI518)))</f>
        <v/>
      </c>
      <c r="HO518">
        <f>IF(OR(HM$3="",HM$3&gt;TODAY()),"",IF(AND(HM518="",HN518=""),"",N(HN518)-N(HM518)))</f>
        <v/>
      </c>
      <c r="HR518">
        <f>IF(OR(HM$3="",HM$3&gt;TODAY()),"",IF(AND(HP518="",HQ518=""),"",N(HQ518)-N(HP518)))</f>
        <v/>
      </c>
      <c r="HV518">
        <f>IF(OR(HT$3="",HT$3&gt;TODAY()),"",IF(AND(HT518="",HU518=""),"",N(HU518)-N(HT518)))</f>
        <v/>
      </c>
      <c r="HY518">
        <f>IF(OR(HT$3="",HT$3&gt;TODAY()),"",IF(AND(HW518="",HX518=""),"",N(HX518)-N(HW518)))</f>
        <v/>
      </c>
      <c r="IC518">
        <f>IF(OR(IA$3="",IA$3&gt;TODAY()),"",IF(AND(IA518="",IB518=""),"",N(IB518)-N(IA518)))</f>
        <v/>
      </c>
      <c r="IF518">
        <f>IF(OR(IA$3="",IA$3&gt;TODAY()),"",IF(AND(ID518="",IE518=""),"",N(IE518)-N(ID518)))</f>
        <v/>
      </c>
      <c r="IJ518">
        <f>IF(OR(IH$3="",IH$3&gt;TODAY()),"",IF(AND(IH518="",II518=""),"",N(II518)-N(IH518)))</f>
        <v/>
      </c>
      <c r="IM518">
        <f>IF(OR(IH$3="",IH$3&gt;TODAY()),"",IF(AND(IK518="",IL518=""),"",N(IL518)-N(IK518)))</f>
        <v/>
      </c>
    </row>
    <row r="519">
      <c r="A519" s="21" t="n"/>
      <c r="B519" s="21" t="n"/>
      <c r="C519" s="21" t="n"/>
      <c r="D519" s="21" t="n"/>
      <c r="E519" s="21" t="n"/>
      <c r="F519" s="21" t="n"/>
      <c r="G519" s="21" t="n"/>
      <c r="H519" s="21" t="n"/>
      <c r="I519" s="22" t="n"/>
      <c r="J519" s="22" t="n"/>
      <c r="K519" s="23" t="n"/>
      <c r="L519" s="22" t="n"/>
      <c r="M519" s="22" t="n"/>
      <c r="N519" s="21" t="n"/>
      <c r="O519" s="23" t="n"/>
      <c r="P519" s="23" t="n"/>
      <c r="Q519" s="23" t="n"/>
      <c r="R519" s="23" t="n"/>
      <c r="S519" s="22" t="n"/>
      <c r="T519" s="23" t="n"/>
      <c r="U519" s="23" t="n"/>
      <c r="V519" s="24">
        <f>IF(J519&lt;&gt;"",J519,IF(I519&lt;&gt;"",I519,""))</f>
        <v/>
      </c>
      <c r="W519" s="25">
        <f>IF($E519="","",N(O519)+SUMIFS($AF519:$IN519,$AF$4:$IN$4,"SEW_ACT"))</f>
        <v/>
      </c>
      <c r="X519" s="25">
        <f>IF($E519="","",N(P519)+SUMIFS($AF519:$IN519,$AF$4:$IN$4,"WASH_ACT"))</f>
        <v/>
      </c>
      <c r="Y519" s="25">
        <f>IF($E519="","",W519-X519-N(T519)-N(U519))</f>
        <v/>
      </c>
      <c r="Z519" s="25">
        <f>IF($E519="","",IF(N(K519)-X519&lt;=0.02*N(K519),0,N(K519)-X519))</f>
        <v/>
      </c>
      <c r="AA519" s="24">
        <f>IF($E519="","",IF(S519&lt;&gt;"",S519,IF(N(O519)&gt;0,IF(L519&lt;&gt;"",L519,99999),IFERROR(1/(1/_xlfn.MINIFS($AF$3:$IN$3,$AF$4:$IN$4,"SEW_ACT",$AF519:$IN519,"&gt;0")),99999))))</f>
        <v/>
      </c>
      <c r="AB519" s="26">
        <f>IF(OR($E519="",Z519=0,V519=""),"",1+COUNTIFS(Z$8:Z$707,"&gt;0",V$8:V$707,"&lt;"&amp;V519)+COUNTIFS(Z$8:Z$707,"&gt;0",V$8:V$707,V519,AA$8:AA$707,"&lt;"&amp;AA519)+COUNTIFS(Z$8:Z$707,"&gt;0",V$8:V$707,V519,AA$8:AA$707,AA519,E$8:E$707,"&lt;"&amp;$E519))</f>
        <v/>
      </c>
      <c r="AC519" s="24">
        <f>IF(OR($E519="",Z519=0),"",IFERROR(TODAY()+ROUNDUP(Z519/(SUMIFS($AF519:$IN519,$AF$4:$IN$4,"WASH_ACT")/COUNTIFS($AF$4:$IN$4,"WASH_ACT",$AF519:$IN519,"&gt;0")),0),"no output yet"))</f>
        <v/>
      </c>
      <c r="AD519" s="26">
        <f>IF($E519="","",IFERROR(ROUND(MAX(0,SUMIFS($AF519:$IN519,$AF$4:$IN$4,"SEW_PLAN",$AF$3:$IN$3,"&lt;="&amp;TODAY())-SUMIFS($AF519:$IN519,$AF$4:$IN$4,"SEW_ACT",$AF$3:$IN$3,"&lt;="&amp;TODAY())+N(Q519))/(SUMIFS($AF519:$IN519,$AF$4:$IN$4,"SEW_PLAN")/COUNTIFS($AF$4:$IN$4,"SEW_PLAN",$AF519:$IN519,"&gt;0")),1),0))</f>
        <v/>
      </c>
      <c r="AE519" s="26">
        <f>IF($E519="","",IF(AND(Z519&gt;0,OR(AND(M519&lt;&gt;"",TODAY()&gt;M519),AND(V519&lt;&gt;"",V519-TODAY()&lt;=7))),"Yes","No"))</f>
        <v/>
      </c>
      <c r="AH519">
        <f>IF(OR(AF$3="",AF$3&gt;TODAY()),"",IF(AND(AF519="",AG519=""),"",N(AG519)-N(AF519)))</f>
        <v/>
      </c>
      <c r="AK519">
        <f>IF(OR(AF$3="",AF$3&gt;TODAY()),"",IF(AND(AI519="",AJ519=""),"",N(AJ519)-N(AI519)))</f>
        <v/>
      </c>
      <c r="AO519">
        <f>IF(OR(AM$3="",AM$3&gt;TODAY()),"",IF(AND(AM519="",AN519=""),"",N(AN519)-N(AM519)))</f>
        <v/>
      </c>
      <c r="AR519">
        <f>IF(OR(AM$3="",AM$3&gt;TODAY()),"",IF(AND(AP519="",AQ519=""),"",N(AQ519)-N(AP519)))</f>
        <v/>
      </c>
      <c r="AV519">
        <f>IF(OR(AT$3="",AT$3&gt;TODAY()),"",IF(AND(AT519="",AU519=""),"",N(AU519)-N(AT519)))</f>
        <v/>
      </c>
      <c r="AY519">
        <f>IF(OR(AT$3="",AT$3&gt;TODAY()),"",IF(AND(AW519="",AX519=""),"",N(AX519)-N(AW519)))</f>
        <v/>
      </c>
      <c r="BC519">
        <f>IF(OR(BA$3="",BA$3&gt;TODAY()),"",IF(AND(BA519="",BB519=""),"",N(BB519)-N(BA519)))</f>
        <v/>
      </c>
      <c r="BF519">
        <f>IF(OR(BA$3="",BA$3&gt;TODAY()),"",IF(AND(BD519="",BE519=""),"",N(BE519)-N(BD519)))</f>
        <v/>
      </c>
      <c r="BJ519">
        <f>IF(OR(BH$3="",BH$3&gt;TODAY()),"",IF(AND(BH519="",BI519=""),"",N(BI519)-N(BH519)))</f>
        <v/>
      </c>
      <c r="BM519">
        <f>IF(OR(BH$3="",BH$3&gt;TODAY()),"",IF(AND(BK519="",BL519=""),"",N(BL519)-N(BK519)))</f>
        <v/>
      </c>
      <c r="BQ519">
        <f>IF(OR(BO$3="",BO$3&gt;TODAY()),"",IF(AND(BO519="",BP519=""),"",N(BP519)-N(BO519)))</f>
        <v/>
      </c>
      <c r="BT519">
        <f>IF(OR(BO$3="",BO$3&gt;TODAY()),"",IF(AND(BR519="",BS519=""),"",N(BS519)-N(BR519)))</f>
        <v/>
      </c>
      <c r="BX519">
        <f>IF(OR(BV$3="",BV$3&gt;TODAY()),"",IF(AND(BV519="",BW519=""),"",N(BW519)-N(BV519)))</f>
        <v/>
      </c>
      <c r="CA519">
        <f>IF(OR(BV$3="",BV$3&gt;TODAY()),"",IF(AND(BY519="",BZ519=""),"",N(BZ519)-N(BY519)))</f>
        <v/>
      </c>
      <c r="CE519">
        <f>IF(OR(CC$3="",CC$3&gt;TODAY()),"",IF(AND(CC519="",CD519=""),"",N(CD519)-N(CC519)))</f>
        <v/>
      </c>
      <c r="CH519">
        <f>IF(OR(CC$3="",CC$3&gt;TODAY()),"",IF(AND(CF519="",CG519=""),"",N(CG519)-N(CF519)))</f>
        <v/>
      </c>
      <c r="CL519">
        <f>IF(OR(CJ$3="",CJ$3&gt;TODAY()),"",IF(AND(CJ519="",CK519=""),"",N(CK519)-N(CJ519)))</f>
        <v/>
      </c>
      <c r="CO519">
        <f>IF(OR(CJ$3="",CJ$3&gt;TODAY()),"",IF(AND(CM519="",CN519=""),"",N(CN519)-N(CM519)))</f>
        <v/>
      </c>
      <c r="CS519">
        <f>IF(OR(CQ$3="",CQ$3&gt;TODAY()),"",IF(AND(CQ519="",CR519=""),"",N(CR519)-N(CQ519)))</f>
        <v/>
      </c>
      <c r="CV519">
        <f>IF(OR(CQ$3="",CQ$3&gt;TODAY()),"",IF(AND(CT519="",CU519=""),"",N(CU519)-N(CT519)))</f>
        <v/>
      </c>
      <c r="CZ519">
        <f>IF(OR(CX$3="",CX$3&gt;TODAY()),"",IF(AND(CX519="",CY519=""),"",N(CY519)-N(CX519)))</f>
        <v/>
      </c>
      <c r="DC519">
        <f>IF(OR(CX$3="",CX$3&gt;TODAY()),"",IF(AND(DA519="",DB519=""),"",N(DB519)-N(DA519)))</f>
        <v/>
      </c>
      <c r="DG519">
        <f>IF(OR(DE$3="",DE$3&gt;TODAY()),"",IF(AND(DE519="",DF519=""),"",N(DF519)-N(DE519)))</f>
        <v/>
      </c>
      <c r="DJ519">
        <f>IF(OR(DE$3="",DE$3&gt;TODAY()),"",IF(AND(DH519="",DI519=""),"",N(DI519)-N(DH519)))</f>
        <v/>
      </c>
      <c r="DN519">
        <f>IF(OR(DL$3="",DL$3&gt;TODAY()),"",IF(AND(DL519="",DM519=""),"",N(DM519)-N(DL519)))</f>
        <v/>
      </c>
      <c r="DQ519">
        <f>IF(OR(DL$3="",DL$3&gt;TODAY()),"",IF(AND(DO519="",DP519=""),"",N(DP519)-N(DO519)))</f>
        <v/>
      </c>
      <c r="DU519">
        <f>IF(OR(DS$3="",DS$3&gt;TODAY()),"",IF(AND(DS519="",DT519=""),"",N(DT519)-N(DS519)))</f>
        <v/>
      </c>
      <c r="DX519">
        <f>IF(OR(DS$3="",DS$3&gt;TODAY()),"",IF(AND(DV519="",DW519=""),"",N(DW519)-N(DV519)))</f>
        <v/>
      </c>
      <c r="EB519">
        <f>IF(OR(DZ$3="",DZ$3&gt;TODAY()),"",IF(AND(DZ519="",EA519=""),"",N(EA519)-N(DZ519)))</f>
        <v/>
      </c>
      <c r="EE519">
        <f>IF(OR(DZ$3="",DZ$3&gt;TODAY()),"",IF(AND(EC519="",ED519=""),"",N(ED519)-N(EC519)))</f>
        <v/>
      </c>
      <c r="EI519">
        <f>IF(OR(EG$3="",EG$3&gt;TODAY()),"",IF(AND(EG519="",EH519=""),"",N(EH519)-N(EG519)))</f>
        <v/>
      </c>
      <c r="EL519">
        <f>IF(OR(EG$3="",EG$3&gt;TODAY()),"",IF(AND(EJ519="",EK519=""),"",N(EK519)-N(EJ519)))</f>
        <v/>
      </c>
      <c r="EP519">
        <f>IF(OR(EN$3="",EN$3&gt;TODAY()),"",IF(AND(EN519="",EO519=""),"",N(EO519)-N(EN519)))</f>
        <v/>
      </c>
      <c r="ES519">
        <f>IF(OR(EN$3="",EN$3&gt;TODAY()),"",IF(AND(EQ519="",ER519=""),"",N(ER519)-N(EQ519)))</f>
        <v/>
      </c>
      <c r="EW519">
        <f>IF(OR(EU$3="",EU$3&gt;TODAY()),"",IF(AND(EU519="",EV519=""),"",N(EV519)-N(EU519)))</f>
        <v/>
      </c>
      <c r="EZ519">
        <f>IF(OR(EU$3="",EU$3&gt;TODAY()),"",IF(AND(EX519="",EY519=""),"",N(EY519)-N(EX519)))</f>
        <v/>
      </c>
      <c r="FD519">
        <f>IF(OR(FB$3="",FB$3&gt;TODAY()),"",IF(AND(FB519="",FC519=""),"",N(FC519)-N(FB519)))</f>
        <v/>
      </c>
      <c r="FG519">
        <f>IF(OR(FB$3="",FB$3&gt;TODAY()),"",IF(AND(FE519="",FF519=""),"",N(FF519)-N(FE519)))</f>
        <v/>
      </c>
      <c r="FK519">
        <f>IF(OR(FI$3="",FI$3&gt;TODAY()),"",IF(AND(FI519="",FJ519=""),"",N(FJ519)-N(FI519)))</f>
        <v/>
      </c>
      <c r="FN519">
        <f>IF(OR(FI$3="",FI$3&gt;TODAY()),"",IF(AND(FL519="",FM519=""),"",N(FM519)-N(FL519)))</f>
        <v/>
      </c>
      <c r="FR519">
        <f>IF(OR(FP$3="",FP$3&gt;TODAY()),"",IF(AND(FP519="",FQ519=""),"",N(FQ519)-N(FP519)))</f>
        <v/>
      </c>
      <c r="FU519">
        <f>IF(OR(FP$3="",FP$3&gt;TODAY()),"",IF(AND(FS519="",FT519=""),"",N(FT519)-N(FS519)))</f>
        <v/>
      </c>
      <c r="FY519">
        <f>IF(OR(FW$3="",FW$3&gt;TODAY()),"",IF(AND(FW519="",FX519=""),"",N(FX519)-N(FW519)))</f>
        <v/>
      </c>
      <c r="GB519">
        <f>IF(OR(FW$3="",FW$3&gt;TODAY()),"",IF(AND(FZ519="",GA519=""),"",N(GA519)-N(FZ519)))</f>
        <v/>
      </c>
      <c r="GF519">
        <f>IF(OR(GD$3="",GD$3&gt;TODAY()),"",IF(AND(GD519="",GE519=""),"",N(GE519)-N(GD519)))</f>
        <v/>
      </c>
      <c r="GI519">
        <f>IF(OR(GD$3="",GD$3&gt;TODAY()),"",IF(AND(GG519="",GH519=""),"",N(GH519)-N(GG519)))</f>
        <v/>
      </c>
      <c r="GM519">
        <f>IF(OR(GK$3="",GK$3&gt;TODAY()),"",IF(AND(GK519="",GL519=""),"",N(GL519)-N(GK519)))</f>
        <v/>
      </c>
      <c r="GP519">
        <f>IF(OR(GK$3="",GK$3&gt;TODAY()),"",IF(AND(GN519="",GO519=""),"",N(GO519)-N(GN519)))</f>
        <v/>
      </c>
      <c r="GT519">
        <f>IF(OR(GR$3="",GR$3&gt;TODAY()),"",IF(AND(GR519="",GS519=""),"",N(GS519)-N(GR519)))</f>
        <v/>
      </c>
      <c r="GW519">
        <f>IF(OR(GR$3="",GR$3&gt;TODAY()),"",IF(AND(GU519="",GV519=""),"",N(GV519)-N(GU519)))</f>
        <v/>
      </c>
      <c r="HA519">
        <f>IF(OR(GY$3="",GY$3&gt;TODAY()),"",IF(AND(GY519="",GZ519=""),"",N(GZ519)-N(GY519)))</f>
        <v/>
      </c>
      <c r="HD519">
        <f>IF(OR(GY$3="",GY$3&gt;TODAY()),"",IF(AND(HB519="",HC519=""),"",N(HC519)-N(HB519)))</f>
        <v/>
      </c>
      <c r="HH519">
        <f>IF(OR(HF$3="",HF$3&gt;TODAY()),"",IF(AND(HF519="",HG519=""),"",N(HG519)-N(HF519)))</f>
        <v/>
      </c>
      <c r="HK519">
        <f>IF(OR(HF$3="",HF$3&gt;TODAY()),"",IF(AND(HI519="",HJ519=""),"",N(HJ519)-N(HI519)))</f>
        <v/>
      </c>
      <c r="HO519">
        <f>IF(OR(HM$3="",HM$3&gt;TODAY()),"",IF(AND(HM519="",HN519=""),"",N(HN519)-N(HM519)))</f>
        <v/>
      </c>
      <c r="HR519">
        <f>IF(OR(HM$3="",HM$3&gt;TODAY()),"",IF(AND(HP519="",HQ519=""),"",N(HQ519)-N(HP519)))</f>
        <v/>
      </c>
      <c r="HV519">
        <f>IF(OR(HT$3="",HT$3&gt;TODAY()),"",IF(AND(HT519="",HU519=""),"",N(HU519)-N(HT519)))</f>
        <v/>
      </c>
      <c r="HY519">
        <f>IF(OR(HT$3="",HT$3&gt;TODAY()),"",IF(AND(HW519="",HX519=""),"",N(HX519)-N(HW519)))</f>
        <v/>
      </c>
      <c r="IC519">
        <f>IF(OR(IA$3="",IA$3&gt;TODAY()),"",IF(AND(IA519="",IB519=""),"",N(IB519)-N(IA519)))</f>
        <v/>
      </c>
      <c r="IF519">
        <f>IF(OR(IA$3="",IA$3&gt;TODAY()),"",IF(AND(ID519="",IE519=""),"",N(IE519)-N(ID519)))</f>
        <v/>
      </c>
      <c r="IJ519">
        <f>IF(OR(IH$3="",IH$3&gt;TODAY()),"",IF(AND(IH519="",II519=""),"",N(II519)-N(IH519)))</f>
        <v/>
      </c>
      <c r="IM519">
        <f>IF(OR(IH$3="",IH$3&gt;TODAY()),"",IF(AND(IK519="",IL519=""),"",N(IL519)-N(IK519)))</f>
        <v/>
      </c>
    </row>
    <row r="520">
      <c r="A520" s="21" t="n"/>
      <c r="B520" s="21" t="n"/>
      <c r="C520" s="21" t="n"/>
      <c r="D520" s="21" t="n"/>
      <c r="E520" s="21" t="n"/>
      <c r="F520" s="21" t="n"/>
      <c r="G520" s="21" t="n"/>
      <c r="H520" s="21" t="n"/>
      <c r="I520" s="22" t="n"/>
      <c r="J520" s="22" t="n"/>
      <c r="K520" s="23" t="n"/>
      <c r="L520" s="22" t="n"/>
      <c r="M520" s="22" t="n"/>
      <c r="N520" s="21" t="n"/>
      <c r="O520" s="23" t="n"/>
      <c r="P520" s="23" t="n"/>
      <c r="Q520" s="23" t="n"/>
      <c r="R520" s="23" t="n"/>
      <c r="S520" s="22" t="n"/>
      <c r="T520" s="23" t="n"/>
      <c r="U520" s="23" t="n"/>
      <c r="V520" s="24">
        <f>IF(J520&lt;&gt;"",J520,IF(I520&lt;&gt;"",I520,""))</f>
        <v/>
      </c>
      <c r="W520" s="25">
        <f>IF($E520="","",N(O520)+SUMIFS($AF520:$IN520,$AF$4:$IN$4,"SEW_ACT"))</f>
        <v/>
      </c>
      <c r="X520" s="25">
        <f>IF($E520="","",N(P520)+SUMIFS($AF520:$IN520,$AF$4:$IN$4,"WASH_ACT"))</f>
        <v/>
      </c>
      <c r="Y520" s="25">
        <f>IF($E520="","",W520-X520-N(T520)-N(U520))</f>
        <v/>
      </c>
      <c r="Z520" s="25">
        <f>IF($E520="","",IF(N(K520)-X520&lt;=0.02*N(K520),0,N(K520)-X520))</f>
        <v/>
      </c>
      <c r="AA520" s="24">
        <f>IF($E520="","",IF(S520&lt;&gt;"",S520,IF(N(O520)&gt;0,IF(L520&lt;&gt;"",L520,99999),IFERROR(1/(1/_xlfn.MINIFS($AF$3:$IN$3,$AF$4:$IN$4,"SEW_ACT",$AF520:$IN520,"&gt;0")),99999))))</f>
        <v/>
      </c>
      <c r="AB520" s="26">
        <f>IF(OR($E520="",Z520=0,V520=""),"",1+COUNTIFS(Z$8:Z$707,"&gt;0",V$8:V$707,"&lt;"&amp;V520)+COUNTIFS(Z$8:Z$707,"&gt;0",V$8:V$707,V520,AA$8:AA$707,"&lt;"&amp;AA520)+COUNTIFS(Z$8:Z$707,"&gt;0",V$8:V$707,V520,AA$8:AA$707,AA520,E$8:E$707,"&lt;"&amp;$E520))</f>
        <v/>
      </c>
      <c r="AC520" s="24">
        <f>IF(OR($E520="",Z520=0),"",IFERROR(TODAY()+ROUNDUP(Z520/(SUMIFS($AF520:$IN520,$AF$4:$IN$4,"WASH_ACT")/COUNTIFS($AF$4:$IN$4,"WASH_ACT",$AF520:$IN520,"&gt;0")),0),"no output yet"))</f>
        <v/>
      </c>
      <c r="AD520" s="26">
        <f>IF($E520="","",IFERROR(ROUND(MAX(0,SUMIFS($AF520:$IN520,$AF$4:$IN$4,"SEW_PLAN",$AF$3:$IN$3,"&lt;="&amp;TODAY())-SUMIFS($AF520:$IN520,$AF$4:$IN$4,"SEW_ACT",$AF$3:$IN$3,"&lt;="&amp;TODAY())+N(Q520))/(SUMIFS($AF520:$IN520,$AF$4:$IN$4,"SEW_PLAN")/COUNTIFS($AF$4:$IN$4,"SEW_PLAN",$AF520:$IN520,"&gt;0")),1),0))</f>
        <v/>
      </c>
      <c r="AE520" s="26">
        <f>IF($E520="","",IF(AND(Z520&gt;0,OR(AND(M520&lt;&gt;"",TODAY()&gt;M520),AND(V520&lt;&gt;"",V520-TODAY()&lt;=7))),"Yes","No"))</f>
        <v/>
      </c>
      <c r="AH520">
        <f>IF(OR(AF$3="",AF$3&gt;TODAY()),"",IF(AND(AF520="",AG520=""),"",N(AG520)-N(AF520)))</f>
        <v/>
      </c>
      <c r="AK520">
        <f>IF(OR(AF$3="",AF$3&gt;TODAY()),"",IF(AND(AI520="",AJ520=""),"",N(AJ520)-N(AI520)))</f>
        <v/>
      </c>
      <c r="AO520">
        <f>IF(OR(AM$3="",AM$3&gt;TODAY()),"",IF(AND(AM520="",AN520=""),"",N(AN520)-N(AM520)))</f>
        <v/>
      </c>
      <c r="AR520">
        <f>IF(OR(AM$3="",AM$3&gt;TODAY()),"",IF(AND(AP520="",AQ520=""),"",N(AQ520)-N(AP520)))</f>
        <v/>
      </c>
      <c r="AV520">
        <f>IF(OR(AT$3="",AT$3&gt;TODAY()),"",IF(AND(AT520="",AU520=""),"",N(AU520)-N(AT520)))</f>
        <v/>
      </c>
      <c r="AY520">
        <f>IF(OR(AT$3="",AT$3&gt;TODAY()),"",IF(AND(AW520="",AX520=""),"",N(AX520)-N(AW520)))</f>
        <v/>
      </c>
      <c r="BC520">
        <f>IF(OR(BA$3="",BA$3&gt;TODAY()),"",IF(AND(BA520="",BB520=""),"",N(BB520)-N(BA520)))</f>
        <v/>
      </c>
      <c r="BF520">
        <f>IF(OR(BA$3="",BA$3&gt;TODAY()),"",IF(AND(BD520="",BE520=""),"",N(BE520)-N(BD520)))</f>
        <v/>
      </c>
      <c r="BJ520">
        <f>IF(OR(BH$3="",BH$3&gt;TODAY()),"",IF(AND(BH520="",BI520=""),"",N(BI520)-N(BH520)))</f>
        <v/>
      </c>
      <c r="BM520">
        <f>IF(OR(BH$3="",BH$3&gt;TODAY()),"",IF(AND(BK520="",BL520=""),"",N(BL520)-N(BK520)))</f>
        <v/>
      </c>
      <c r="BQ520">
        <f>IF(OR(BO$3="",BO$3&gt;TODAY()),"",IF(AND(BO520="",BP520=""),"",N(BP520)-N(BO520)))</f>
        <v/>
      </c>
      <c r="BT520">
        <f>IF(OR(BO$3="",BO$3&gt;TODAY()),"",IF(AND(BR520="",BS520=""),"",N(BS520)-N(BR520)))</f>
        <v/>
      </c>
      <c r="BX520">
        <f>IF(OR(BV$3="",BV$3&gt;TODAY()),"",IF(AND(BV520="",BW520=""),"",N(BW520)-N(BV520)))</f>
        <v/>
      </c>
      <c r="CA520">
        <f>IF(OR(BV$3="",BV$3&gt;TODAY()),"",IF(AND(BY520="",BZ520=""),"",N(BZ520)-N(BY520)))</f>
        <v/>
      </c>
      <c r="CE520">
        <f>IF(OR(CC$3="",CC$3&gt;TODAY()),"",IF(AND(CC520="",CD520=""),"",N(CD520)-N(CC520)))</f>
        <v/>
      </c>
      <c r="CH520">
        <f>IF(OR(CC$3="",CC$3&gt;TODAY()),"",IF(AND(CF520="",CG520=""),"",N(CG520)-N(CF520)))</f>
        <v/>
      </c>
      <c r="CL520">
        <f>IF(OR(CJ$3="",CJ$3&gt;TODAY()),"",IF(AND(CJ520="",CK520=""),"",N(CK520)-N(CJ520)))</f>
        <v/>
      </c>
      <c r="CO520">
        <f>IF(OR(CJ$3="",CJ$3&gt;TODAY()),"",IF(AND(CM520="",CN520=""),"",N(CN520)-N(CM520)))</f>
        <v/>
      </c>
      <c r="CS520">
        <f>IF(OR(CQ$3="",CQ$3&gt;TODAY()),"",IF(AND(CQ520="",CR520=""),"",N(CR520)-N(CQ520)))</f>
        <v/>
      </c>
      <c r="CV520">
        <f>IF(OR(CQ$3="",CQ$3&gt;TODAY()),"",IF(AND(CT520="",CU520=""),"",N(CU520)-N(CT520)))</f>
        <v/>
      </c>
      <c r="CZ520">
        <f>IF(OR(CX$3="",CX$3&gt;TODAY()),"",IF(AND(CX520="",CY520=""),"",N(CY520)-N(CX520)))</f>
        <v/>
      </c>
      <c r="DC520">
        <f>IF(OR(CX$3="",CX$3&gt;TODAY()),"",IF(AND(DA520="",DB520=""),"",N(DB520)-N(DA520)))</f>
        <v/>
      </c>
      <c r="DG520">
        <f>IF(OR(DE$3="",DE$3&gt;TODAY()),"",IF(AND(DE520="",DF520=""),"",N(DF520)-N(DE520)))</f>
        <v/>
      </c>
      <c r="DJ520">
        <f>IF(OR(DE$3="",DE$3&gt;TODAY()),"",IF(AND(DH520="",DI520=""),"",N(DI520)-N(DH520)))</f>
        <v/>
      </c>
      <c r="DN520">
        <f>IF(OR(DL$3="",DL$3&gt;TODAY()),"",IF(AND(DL520="",DM520=""),"",N(DM520)-N(DL520)))</f>
        <v/>
      </c>
      <c r="DQ520">
        <f>IF(OR(DL$3="",DL$3&gt;TODAY()),"",IF(AND(DO520="",DP520=""),"",N(DP520)-N(DO520)))</f>
        <v/>
      </c>
      <c r="DU520">
        <f>IF(OR(DS$3="",DS$3&gt;TODAY()),"",IF(AND(DS520="",DT520=""),"",N(DT520)-N(DS520)))</f>
        <v/>
      </c>
      <c r="DX520">
        <f>IF(OR(DS$3="",DS$3&gt;TODAY()),"",IF(AND(DV520="",DW520=""),"",N(DW520)-N(DV520)))</f>
        <v/>
      </c>
      <c r="EB520">
        <f>IF(OR(DZ$3="",DZ$3&gt;TODAY()),"",IF(AND(DZ520="",EA520=""),"",N(EA520)-N(DZ520)))</f>
        <v/>
      </c>
      <c r="EE520">
        <f>IF(OR(DZ$3="",DZ$3&gt;TODAY()),"",IF(AND(EC520="",ED520=""),"",N(ED520)-N(EC520)))</f>
        <v/>
      </c>
      <c r="EI520">
        <f>IF(OR(EG$3="",EG$3&gt;TODAY()),"",IF(AND(EG520="",EH520=""),"",N(EH520)-N(EG520)))</f>
        <v/>
      </c>
      <c r="EL520">
        <f>IF(OR(EG$3="",EG$3&gt;TODAY()),"",IF(AND(EJ520="",EK520=""),"",N(EK520)-N(EJ520)))</f>
        <v/>
      </c>
      <c r="EP520">
        <f>IF(OR(EN$3="",EN$3&gt;TODAY()),"",IF(AND(EN520="",EO520=""),"",N(EO520)-N(EN520)))</f>
        <v/>
      </c>
      <c r="ES520">
        <f>IF(OR(EN$3="",EN$3&gt;TODAY()),"",IF(AND(EQ520="",ER520=""),"",N(ER520)-N(EQ520)))</f>
        <v/>
      </c>
      <c r="EW520">
        <f>IF(OR(EU$3="",EU$3&gt;TODAY()),"",IF(AND(EU520="",EV520=""),"",N(EV520)-N(EU520)))</f>
        <v/>
      </c>
      <c r="EZ520">
        <f>IF(OR(EU$3="",EU$3&gt;TODAY()),"",IF(AND(EX520="",EY520=""),"",N(EY520)-N(EX520)))</f>
        <v/>
      </c>
      <c r="FD520">
        <f>IF(OR(FB$3="",FB$3&gt;TODAY()),"",IF(AND(FB520="",FC520=""),"",N(FC520)-N(FB520)))</f>
        <v/>
      </c>
      <c r="FG520">
        <f>IF(OR(FB$3="",FB$3&gt;TODAY()),"",IF(AND(FE520="",FF520=""),"",N(FF520)-N(FE520)))</f>
        <v/>
      </c>
      <c r="FK520">
        <f>IF(OR(FI$3="",FI$3&gt;TODAY()),"",IF(AND(FI520="",FJ520=""),"",N(FJ520)-N(FI520)))</f>
        <v/>
      </c>
      <c r="FN520">
        <f>IF(OR(FI$3="",FI$3&gt;TODAY()),"",IF(AND(FL520="",FM520=""),"",N(FM520)-N(FL520)))</f>
        <v/>
      </c>
      <c r="FR520">
        <f>IF(OR(FP$3="",FP$3&gt;TODAY()),"",IF(AND(FP520="",FQ520=""),"",N(FQ520)-N(FP520)))</f>
        <v/>
      </c>
      <c r="FU520">
        <f>IF(OR(FP$3="",FP$3&gt;TODAY()),"",IF(AND(FS520="",FT520=""),"",N(FT520)-N(FS520)))</f>
        <v/>
      </c>
      <c r="FY520">
        <f>IF(OR(FW$3="",FW$3&gt;TODAY()),"",IF(AND(FW520="",FX520=""),"",N(FX520)-N(FW520)))</f>
        <v/>
      </c>
      <c r="GB520">
        <f>IF(OR(FW$3="",FW$3&gt;TODAY()),"",IF(AND(FZ520="",GA520=""),"",N(GA520)-N(FZ520)))</f>
        <v/>
      </c>
      <c r="GF520">
        <f>IF(OR(GD$3="",GD$3&gt;TODAY()),"",IF(AND(GD520="",GE520=""),"",N(GE520)-N(GD520)))</f>
        <v/>
      </c>
      <c r="GI520">
        <f>IF(OR(GD$3="",GD$3&gt;TODAY()),"",IF(AND(GG520="",GH520=""),"",N(GH520)-N(GG520)))</f>
        <v/>
      </c>
      <c r="GM520">
        <f>IF(OR(GK$3="",GK$3&gt;TODAY()),"",IF(AND(GK520="",GL520=""),"",N(GL520)-N(GK520)))</f>
        <v/>
      </c>
      <c r="GP520">
        <f>IF(OR(GK$3="",GK$3&gt;TODAY()),"",IF(AND(GN520="",GO520=""),"",N(GO520)-N(GN520)))</f>
        <v/>
      </c>
      <c r="GT520">
        <f>IF(OR(GR$3="",GR$3&gt;TODAY()),"",IF(AND(GR520="",GS520=""),"",N(GS520)-N(GR520)))</f>
        <v/>
      </c>
      <c r="GW520">
        <f>IF(OR(GR$3="",GR$3&gt;TODAY()),"",IF(AND(GU520="",GV520=""),"",N(GV520)-N(GU520)))</f>
        <v/>
      </c>
      <c r="HA520">
        <f>IF(OR(GY$3="",GY$3&gt;TODAY()),"",IF(AND(GY520="",GZ520=""),"",N(GZ520)-N(GY520)))</f>
        <v/>
      </c>
      <c r="HD520">
        <f>IF(OR(GY$3="",GY$3&gt;TODAY()),"",IF(AND(HB520="",HC520=""),"",N(HC520)-N(HB520)))</f>
        <v/>
      </c>
      <c r="HH520">
        <f>IF(OR(HF$3="",HF$3&gt;TODAY()),"",IF(AND(HF520="",HG520=""),"",N(HG520)-N(HF520)))</f>
        <v/>
      </c>
      <c r="HK520">
        <f>IF(OR(HF$3="",HF$3&gt;TODAY()),"",IF(AND(HI520="",HJ520=""),"",N(HJ520)-N(HI520)))</f>
        <v/>
      </c>
      <c r="HO520">
        <f>IF(OR(HM$3="",HM$3&gt;TODAY()),"",IF(AND(HM520="",HN520=""),"",N(HN520)-N(HM520)))</f>
        <v/>
      </c>
      <c r="HR520">
        <f>IF(OR(HM$3="",HM$3&gt;TODAY()),"",IF(AND(HP520="",HQ520=""),"",N(HQ520)-N(HP520)))</f>
        <v/>
      </c>
      <c r="HV520">
        <f>IF(OR(HT$3="",HT$3&gt;TODAY()),"",IF(AND(HT520="",HU520=""),"",N(HU520)-N(HT520)))</f>
        <v/>
      </c>
      <c r="HY520">
        <f>IF(OR(HT$3="",HT$3&gt;TODAY()),"",IF(AND(HW520="",HX520=""),"",N(HX520)-N(HW520)))</f>
        <v/>
      </c>
      <c r="IC520">
        <f>IF(OR(IA$3="",IA$3&gt;TODAY()),"",IF(AND(IA520="",IB520=""),"",N(IB520)-N(IA520)))</f>
        <v/>
      </c>
      <c r="IF520">
        <f>IF(OR(IA$3="",IA$3&gt;TODAY()),"",IF(AND(ID520="",IE520=""),"",N(IE520)-N(ID520)))</f>
        <v/>
      </c>
      <c r="IJ520">
        <f>IF(OR(IH$3="",IH$3&gt;TODAY()),"",IF(AND(IH520="",II520=""),"",N(II520)-N(IH520)))</f>
        <v/>
      </c>
      <c r="IM520">
        <f>IF(OR(IH$3="",IH$3&gt;TODAY()),"",IF(AND(IK520="",IL520=""),"",N(IL520)-N(IK520)))</f>
        <v/>
      </c>
    </row>
    <row r="521">
      <c r="A521" s="21" t="n"/>
      <c r="B521" s="21" t="n"/>
      <c r="C521" s="21" t="n"/>
      <c r="D521" s="21" t="n"/>
      <c r="E521" s="21" t="n"/>
      <c r="F521" s="21" t="n"/>
      <c r="G521" s="21" t="n"/>
      <c r="H521" s="21" t="n"/>
      <c r="I521" s="22" t="n"/>
      <c r="J521" s="22" t="n"/>
      <c r="K521" s="23" t="n"/>
      <c r="L521" s="22" t="n"/>
      <c r="M521" s="22" t="n"/>
      <c r="N521" s="21" t="n"/>
      <c r="O521" s="23" t="n"/>
      <c r="P521" s="23" t="n"/>
      <c r="Q521" s="23" t="n"/>
      <c r="R521" s="23" t="n"/>
      <c r="S521" s="22" t="n"/>
      <c r="T521" s="23" t="n"/>
      <c r="U521" s="23" t="n"/>
      <c r="V521" s="24">
        <f>IF(J521&lt;&gt;"",J521,IF(I521&lt;&gt;"",I521,""))</f>
        <v/>
      </c>
      <c r="W521" s="25">
        <f>IF($E521="","",N(O521)+SUMIFS($AF521:$IN521,$AF$4:$IN$4,"SEW_ACT"))</f>
        <v/>
      </c>
      <c r="X521" s="25">
        <f>IF($E521="","",N(P521)+SUMIFS($AF521:$IN521,$AF$4:$IN$4,"WASH_ACT"))</f>
        <v/>
      </c>
      <c r="Y521" s="25">
        <f>IF($E521="","",W521-X521-N(T521)-N(U521))</f>
        <v/>
      </c>
      <c r="Z521" s="25">
        <f>IF($E521="","",IF(N(K521)-X521&lt;=0.02*N(K521),0,N(K521)-X521))</f>
        <v/>
      </c>
      <c r="AA521" s="24">
        <f>IF($E521="","",IF(S521&lt;&gt;"",S521,IF(N(O521)&gt;0,IF(L521&lt;&gt;"",L521,99999),IFERROR(1/(1/_xlfn.MINIFS($AF$3:$IN$3,$AF$4:$IN$4,"SEW_ACT",$AF521:$IN521,"&gt;0")),99999))))</f>
        <v/>
      </c>
      <c r="AB521" s="26">
        <f>IF(OR($E521="",Z521=0,V521=""),"",1+COUNTIFS(Z$8:Z$707,"&gt;0",V$8:V$707,"&lt;"&amp;V521)+COUNTIFS(Z$8:Z$707,"&gt;0",V$8:V$707,V521,AA$8:AA$707,"&lt;"&amp;AA521)+COUNTIFS(Z$8:Z$707,"&gt;0",V$8:V$707,V521,AA$8:AA$707,AA521,E$8:E$707,"&lt;"&amp;$E521))</f>
        <v/>
      </c>
      <c r="AC521" s="24">
        <f>IF(OR($E521="",Z521=0),"",IFERROR(TODAY()+ROUNDUP(Z521/(SUMIFS($AF521:$IN521,$AF$4:$IN$4,"WASH_ACT")/COUNTIFS($AF$4:$IN$4,"WASH_ACT",$AF521:$IN521,"&gt;0")),0),"no output yet"))</f>
        <v/>
      </c>
      <c r="AD521" s="26">
        <f>IF($E521="","",IFERROR(ROUND(MAX(0,SUMIFS($AF521:$IN521,$AF$4:$IN$4,"SEW_PLAN",$AF$3:$IN$3,"&lt;="&amp;TODAY())-SUMIFS($AF521:$IN521,$AF$4:$IN$4,"SEW_ACT",$AF$3:$IN$3,"&lt;="&amp;TODAY())+N(Q521))/(SUMIFS($AF521:$IN521,$AF$4:$IN$4,"SEW_PLAN")/COUNTIFS($AF$4:$IN$4,"SEW_PLAN",$AF521:$IN521,"&gt;0")),1),0))</f>
        <v/>
      </c>
      <c r="AE521" s="26">
        <f>IF($E521="","",IF(AND(Z521&gt;0,OR(AND(M521&lt;&gt;"",TODAY()&gt;M521),AND(V521&lt;&gt;"",V521-TODAY()&lt;=7))),"Yes","No"))</f>
        <v/>
      </c>
      <c r="AH521">
        <f>IF(OR(AF$3="",AF$3&gt;TODAY()),"",IF(AND(AF521="",AG521=""),"",N(AG521)-N(AF521)))</f>
        <v/>
      </c>
      <c r="AK521">
        <f>IF(OR(AF$3="",AF$3&gt;TODAY()),"",IF(AND(AI521="",AJ521=""),"",N(AJ521)-N(AI521)))</f>
        <v/>
      </c>
      <c r="AO521">
        <f>IF(OR(AM$3="",AM$3&gt;TODAY()),"",IF(AND(AM521="",AN521=""),"",N(AN521)-N(AM521)))</f>
        <v/>
      </c>
      <c r="AR521">
        <f>IF(OR(AM$3="",AM$3&gt;TODAY()),"",IF(AND(AP521="",AQ521=""),"",N(AQ521)-N(AP521)))</f>
        <v/>
      </c>
      <c r="AV521">
        <f>IF(OR(AT$3="",AT$3&gt;TODAY()),"",IF(AND(AT521="",AU521=""),"",N(AU521)-N(AT521)))</f>
        <v/>
      </c>
      <c r="AY521">
        <f>IF(OR(AT$3="",AT$3&gt;TODAY()),"",IF(AND(AW521="",AX521=""),"",N(AX521)-N(AW521)))</f>
        <v/>
      </c>
      <c r="BC521">
        <f>IF(OR(BA$3="",BA$3&gt;TODAY()),"",IF(AND(BA521="",BB521=""),"",N(BB521)-N(BA521)))</f>
        <v/>
      </c>
      <c r="BF521">
        <f>IF(OR(BA$3="",BA$3&gt;TODAY()),"",IF(AND(BD521="",BE521=""),"",N(BE521)-N(BD521)))</f>
        <v/>
      </c>
      <c r="BJ521">
        <f>IF(OR(BH$3="",BH$3&gt;TODAY()),"",IF(AND(BH521="",BI521=""),"",N(BI521)-N(BH521)))</f>
        <v/>
      </c>
      <c r="BM521">
        <f>IF(OR(BH$3="",BH$3&gt;TODAY()),"",IF(AND(BK521="",BL521=""),"",N(BL521)-N(BK521)))</f>
        <v/>
      </c>
      <c r="BQ521">
        <f>IF(OR(BO$3="",BO$3&gt;TODAY()),"",IF(AND(BO521="",BP521=""),"",N(BP521)-N(BO521)))</f>
        <v/>
      </c>
      <c r="BT521">
        <f>IF(OR(BO$3="",BO$3&gt;TODAY()),"",IF(AND(BR521="",BS521=""),"",N(BS521)-N(BR521)))</f>
        <v/>
      </c>
      <c r="BX521">
        <f>IF(OR(BV$3="",BV$3&gt;TODAY()),"",IF(AND(BV521="",BW521=""),"",N(BW521)-N(BV521)))</f>
        <v/>
      </c>
      <c r="CA521">
        <f>IF(OR(BV$3="",BV$3&gt;TODAY()),"",IF(AND(BY521="",BZ521=""),"",N(BZ521)-N(BY521)))</f>
        <v/>
      </c>
      <c r="CE521">
        <f>IF(OR(CC$3="",CC$3&gt;TODAY()),"",IF(AND(CC521="",CD521=""),"",N(CD521)-N(CC521)))</f>
        <v/>
      </c>
      <c r="CH521">
        <f>IF(OR(CC$3="",CC$3&gt;TODAY()),"",IF(AND(CF521="",CG521=""),"",N(CG521)-N(CF521)))</f>
        <v/>
      </c>
      <c r="CL521">
        <f>IF(OR(CJ$3="",CJ$3&gt;TODAY()),"",IF(AND(CJ521="",CK521=""),"",N(CK521)-N(CJ521)))</f>
        <v/>
      </c>
      <c r="CO521">
        <f>IF(OR(CJ$3="",CJ$3&gt;TODAY()),"",IF(AND(CM521="",CN521=""),"",N(CN521)-N(CM521)))</f>
        <v/>
      </c>
      <c r="CS521">
        <f>IF(OR(CQ$3="",CQ$3&gt;TODAY()),"",IF(AND(CQ521="",CR521=""),"",N(CR521)-N(CQ521)))</f>
        <v/>
      </c>
      <c r="CV521">
        <f>IF(OR(CQ$3="",CQ$3&gt;TODAY()),"",IF(AND(CT521="",CU521=""),"",N(CU521)-N(CT521)))</f>
        <v/>
      </c>
      <c r="CZ521">
        <f>IF(OR(CX$3="",CX$3&gt;TODAY()),"",IF(AND(CX521="",CY521=""),"",N(CY521)-N(CX521)))</f>
        <v/>
      </c>
      <c r="DC521">
        <f>IF(OR(CX$3="",CX$3&gt;TODAY()),"",IF(AND(DA521="",DB521=""),"",N(DB521)-N(DA521)))</f>
        <v/>
      </c>
      <c r="DG521">
        <f>IF(OR(DE$3="",DE$3&gt;TODAY()),"",IF(AND(DE521="",DF521=""),"",N(DF521)-N(DE521)))</f>
        <v/>
      </c>
      <c r="DJ521">
        <f>IF(OR(DE$3="",DE$3&gt;TODAY()),"",IF(AND(DH521="",DI521=""),"",N(DI521)-N(DH521)))</f>
        <v/>
      </c>
      <c r="DN521">
        <f>IF(OR(DL$3="",DL$3&gt;TODAY()),"",IF(AND(DL521="",DM521=""),"",N(DM521)-N(DL521)))</f>
        <v/>
      </c>
      <c r="DQ521">
        <f>IF(OR(DL$3="",DL$3&gt;TODAY()),"",IF(AND(DO521="",DP521=""),"",N(DP521)-N(DO521)))</f>
        <v/>
      </c>
      <c r="DU521">
        <f>IF(OR(DS$3="",DS$3&gt;TODAY()),"",IF(AND(DS521="",DT521=""),"",N(DT521)-N(DS521)))</f>
        <v/>
      </c>
      <c r="DX521">
        <f>IF(OR(DS$3="",DS$3&gt;TODAY()),"",IF(AND(DV521="",DW521=""),"",N(DW521)-N(DV521)))</f>
        <v/>
      </c>
      <c r="EB521">
        <f>IF(OR(DZ$3="",DZ$3&gt;TODAY()),"",IF(AND(DZ521="",EA521=""),"",N(EA521)-N(DZ521)))</f>
        <v/>
      </c>
      <c r="EE521">
        <f>IF(OR(DZ$3="",DZ$3&gt;TODAY()),"",IF(AND(EC521="",ED521=""),"",N(ED521)-N(EC521)))</f>
        <v/>
      </c>
      <c r="EI521">
        <f>IF(OR(EG$3="",EG$3&gt;TODAY()),"",IF(AND(EG521="",EH521=""),"",N(EH521)-N(EG521)))</f>
        <v/>
      </c>
      <c r="EL521">
        <f>IF(OR(EG$3="",EG$3&gt;TODAY()),"",IF(AND(EJ521="",EK521=""),"",N(EK521)-N(EJ521)))</f>
        <v/>
      </c>
      <c r="EP521">
        <f>IF(OR(EN$3="",EN$3&gt;TODAY()),"",IF(AND(EN521="",EO521=""),"",N(EO521)-N(EN521)))</f>
        <v/>
      </c>
      <c r="ES521">
        <f>IF(OR(EN$3="",EN$3&gt;TODAY()),"",IF(AND(EQ521="",ER521=""),"",N(ER521)-N(EQ521)))</f>
        <v/>
      </c>
      <c r="EW521">
        <f>IF(OR(EU$3="",EU$3&gt;TODAY()),"",IF(AND(EU521="",EV521=""),"",N(EV521)-N(EU521)))</f>
        <v/>
      </c>
      <c r="EZ521">
        <f>IF(OR(EU$3="",EU$3&gt;TODAY()),"",IF(AND(EX521="",EY521=""),"",N(EY521)-N(EX521)))</f>
        <v/>
      </c>
      <c r="FD521">
        <f>IF(OR(FB$3="",FB$3&gt;TODAY()),"",IF(AND(FB521="",FC521=""),"",N(FC521)-N(FB521)))</f>
        <v/>
      </c>
      <c r="FG521">
        <f>IF(OR(FB$3="",FB$3&gt;TODAY()),"",IF(AND(FE521="",FF521=""),"",N(FF521)-N(FE521)))</f>
        <v/>
      </c>
      <c r="FK521">
        <f>IF(OR(FI$3="",FI$3&gt;TODAY()),"",IF(AND(FI521="",FJ521=""),"",N(FJ521)-N(FI521)))</f>
        <v/>
      </c>
      <c r="FN521">
        <f>IF(OR(FI$3="",FI$3&gt;TODAY()),"",IF(AND(FL521="",FM521=""),"",N(FM521)-N(FL521)))</f>
        <v/>
      </c>
      <c r="FR521">
        <f>IF(OR(FP$3="",FP$3&gt;TODAY()),"",IF(AND(FP521="",FQ521=""),"",N(FQ521)-N(FP521)))</f>
        <v/>
      </c>
      <c r="FU521">
        <f>IF(OR(FP$3="",FP$3&gt;TODAY()),"",IF(AND(FS521="",FT521=""),"",N(FT521)-N(FS521)))</f>
        <v/>
      </c>
      <c r="FY521">
        <f>IF(OR(FW$3="",FW$3&gt;TODAY()),"",IF(AND(FW521="",FX521=""),"",N(FX521)-N(FW521)))</f>
        <v/>
      </c>
      <c r="GB521">
        <f>IF(OR(FW$3="",FW$3&gt;TODAY()),"",IF(AND(FZ521="",GA521=""),"",N(GA521)-N(FZ521)))</f>
        <v/>
      </c>
      <c r="GF521">
        <f>IF(OR(GD$3="",GD$3&gt;TODAY()),"",IF(AND(GD521="",GE521=""),"",N(GE521)-N(GD521)))</f>
        <v/>
      </c>
      <c r="GI521">
        <f>IF(OR(GD$3="",GD$3&gt;TODAY()),"",IF(AND(GG521="",GH521=""),"",N(GH521)-N(GG521)))</f>
        <v/>
      </c>
      <c r="GM521">
        <f>IF(OR(GK$3="",GK$3&gt;TODAY()),"",IF(AND(GK521="",GL521=""),"",N(GL521)-N(GK521)))</f>
        <v/>
      </c>
      <c r="GP521">
        <f>IF(OR(GK$3="",GK$3&gt;TODAY()),"",IF(AND(GN521="",GO521=""),"",N(GO521)-N(GN521)))</f>
        <v/>
      </c>
      <c r="GT521">
        <f>IF(OR(GR$3="",GR$3&gt;TODAY()),"",IF(AND(GR521="",GS521=""),"",N(GS521)-N(GR521)))</f>
        <v/>
      </c>
      <c r="GW521">
        <f>IF(OR(GR$3="",GR$3&gt;TODAY()),"",IF(AND(GU521="",GV521=""),"",N(GV521)-N(GU521)))</f>
        <v/>
      </c>
      <c r="HA521">
        <f>IF(OR(GY$3="",GY$3&gt;TODAY()),"",IF(AND(GY521="",GZ521=""),"",N(GZ521)-N(GY521)))</f>
        <v/>
      </c>
      <c r="HD521">
        <f>IF(OR(GY$3="",GY$3&gt;TODAY()),"",IF(AND(HB521="",HC521=""),"",N(HC521)-N(HB521)))</f>
        <v/>
      </c>
      <c r="HH521">
        <f>IF(OR(HF$3="",HF$3&gt;TODAY()),"",IF(AND(HF521="",HG521=""),"",N(HG521)-N(HF521)))</f>
        <v/>
      </c>
      <c r="HK521">
        <f>IF(OR(HF$3="",HF$3&gt;TODAY()),"",IF(AND(HI521="",HJ521=""),"",N(HJ521)-N(HI521)))</f>
        <v/>
      </c>
      <c r="HO521">
        <f>IF(OR(HM$3="",HM$3&gt;TODAY()),"",IF(AND(HM521="",HN521=""),"",N(HN521)-N(HM521)))</f>
        <v/>
      </c>
      <c r="HR521">
        <f>IF(OR(HM$3="",HM$3&gt;TODAY()),"",IF(AND(HP521="",HQ521=""),"",N(HQ521)-N(HP521)))</f>
        <v/>
      </c>
      <c r="HV521">
        <f>IF(OR(HT$3="",HT$3&gt;TODAY()),"",IF(AND(HT521="",HU521=""),"",N(HU521)-N(HT521)))</f>
        <v/>
      </c>
      <c r="HY521">
        <f>IF(OR(HT$3="",HT$3&gt;TODAY()),"",IF(AND(HW521="",HX521=""),"",N(HX521)-N(HW521)))</f>
        <v/>
      </c>
      <c r="IC521">
        <f>IF(OR(IA$3="",IA$3&gt;TODAY()),"",IF(AND(IA521="",IB521=""),"",N(IB521)-N(IA521)))</f>
        <v/>
      </c>
      <c r="IF521">
        <f>IF(OR(IA$3="",IA$3&gt;TODAY()),"",IF(AND(ID521="",IE521=""),"",N(IE521)-N(ID521)))</f>
        <v/>
      </c>
      <c r="IJ521">
        <f>IF(OR(IH$3="",IH$3&gt;TODAY()),"",IF(AND(IH521="",II521=""),"",N(II521)-N(IH521)))</f>
        <v/>
      </c>
      <c r="IM521">
        <f>IF(OR(IH$3="",IH$3&gt;TODAY()),"",IF(AND(IK521="",IL521=""),"",N(IL521)-N(IK521)))</f>
        <v/>
      </c>
    </row>
    <row r="522">
      <c r="A522" s="21" t="n"/>
      <c r="B522" s="21" t="n"/>
      <c r="C522" s="21" t="n"/>
      <c r="D522" s="21" t="n"/>
      <c r="E522" s="21" t="n"/>
      <c r="F522" s="21" t="n"/>
      <c r="G522" s="21" t="n"/>
      <c r="H522" s="21" t="n"/>
      <c r="I522" s="22" t="n"/>
      <c r="J522" s="22" t="n"/>
      <c r="K522" s="23" t="n"/>
      <c r="L522" s="22" t="n"/>
      <c r="M522" s="22" t="n"/>
      <c r="N522" s="21" t="n"/>
      <c r="O522" s="23" t="n"/>
      <c r="P522" s="23" t="n"/>
      <c r="Q522" s="23" t="n"/>
      <c r="R522" s="23" t="n"/>
      <c r="S522" s="22" t="n"/>
      <c r="T522" s="23" t="n"/>
      <c r="U522" s="23" t="n"/>
      <c r="V522" s="24">
        <f>IF(J522&lt;&gt;"",J522,IF(I522&lt;&gt;"",I522,""))</f>
        <v/>
      </c>
      <c r="W522" s="25">
        <f>IF($E522="","",N(O522)+SUMIFS($AF522:$IN522,$AF$4:$IN$4,"SEW_ACT"))</f>
        <v/>
      </c>
      <c r="X522" s="25">
        <f>IF($E522="","",N(P522)+SUMIFS($AF522:$IN522,$AF$4:$IN$4,"WASH_ACT"))</f>
        <v/>
      </c>
      <c r="Y522" s="25">
        <f>IF($E522="","",W522-X522-N(T522)-N(U522))</f>
        <v/>
      </c>
      <c r="Z522" s="25">
        <f>IF($E522="","",IF(N(K522)-X522&lt;=0.02*N(K522),0,N(K522)-X522))</f>
        <v/>
      </c>
      <c r="AA522" s="24">
        <f>IF($E522="","",IF(S522&lt;&gt;"",S522,IF(N(O522)&gt;0,IF(L522&lt;&gt;"",L522,99999),IFERROR(1/(1/_xlfn.MINIFS($AF$3:$IN$3,$AF$4:$IN$4,"SEW_ACT",$AF522:$IN522,"&gt;0")),99999))))</f>
        <v/>
      </c>
      <c r="AB522" s="26">
        <f>IF(OR($E522="",Z522=0,V522=""),"",1+COUNTIFS(Z$8:Z$707,"&gt;0",V$8:V$707,"&lt;"&amp;V522)+COUNTIFS(Z$8:Z$707,"&gt;0",V$8:V$707,V522,AA$8:AA$707,"&lt;"&amp;AA522)+COUNTIFS(Z$8:Z$707,"&gt;0",V$8:V$707,V522,AA$8:AA$707,AA522,E$8:E$707,"&lt;"&amp;$E522))</f>
        <v/>
      </c>
      <c r="AC522" s="24">
        <f>IF(OR($E522="",Z522=0),"",IFERROR(TODAY()+ROUNDUP(Z522/(SUMIFS($AF522:$IN522,$AF$4:$IN$4,"WASH_ACT")/COUNTIFS($AF$4:$IN$4,"WASH_ACT",$AF522:$IN522,"&gt;0")),0),"no output yet"))</f>
        <v/>
      </c>
      <c r="AD522" s="26">
        <f>IF($E522="","",IFERROR(ROUND(MAX(0,SUMIFS($AF522:$IN522,$AF$4:$IN$4,"SEW_PLAN",$AF$3:$IN$3,"&lt;="&amp;TODAY())-SUMIFS($AF522:$IN522,$AF$4:$IN$4,"SEW_ACT",$AF$3:$IN$3,"&lt;="&amp;TODAY())+N(Q522))/(SUMIFS($AF522:$IN522,$AF$4:$IN$4,"SEW_PLAN")/COUNTIFS($AF$4:$IN$4,"SEW_PLAN",$AF522:$IN522,"&gt;0")),1),0))</f>
        <v/>
      </c>
      <c r="AE522" s="26">
        <f>IF($E522="","",IF(AND(Z522&gt;0,OR(AND(M522&lt;&gt;"",TODAY()&gt;M522),AND(V522&lt;&gt;"",V522-TODAY()&lt;=7))),"Yes","No"))</f>
        <v/>
      </c>
      <c r="AH522">
        <f>IF(OR(AF$3="",AF$3&gt;TODAY()),"",IF(AND(AF522="",AG522=""),"",N(AG522)-N(AF522)))</f>
        <v/>
      </c>
      <c r="AK522">
        <f>IF(OR(AF$3="",AF$3&gt;TODAY()),"",IF(AND(AI522="",AJ522=""),"",N(AJ522)-N(AI522)))</f>
        <v/>
      </c>
      <c r="AO522">
        <f>IF(OR(AM$3="",AM$3&gt;TODAY()),"",IF(AND(AM522="",AN522=""),"",N(AN522)-N(AM522)))</f>
        <v/>
      </c>
      <c r="AR522">
        <f>IF(OR(AM$3="",AM$3&gt;TODAY()),"",IF(AND(AP522="",AQ522=""),"",N(AQ522)-N(AP522)))</f>
        <v/>
      </c>
      <c r="AV522">
        <f>IF(OR(AT$3="",AT$3&gt;TODAY()),"",IF(AND(AT522="",AU522=""),"",N(AU522)-N(AT522)))</f>
        <v/>
      </c>
      <c r="AY522">
        <f>IF(OR(AT$3="",AT$3&gt;TODAY()),"",IF(AND(AW522="",AX522=""),"",N(AX522)-N(AW522)))</f>
        <v/>
      </c>
      <c r="BC522">
        <f>IF(OR(BA$3="",BA$3&gt;TODAY()),"",IF(AND(BA522="",BB522=""),"",N(BB522)-N(BA522)))</f>
        <v/>
      </c>
      <c r="BF522">
        <f>IF(OR(BA$3="",BA$3&gt;TODAY()),"",IF(AND(BD522="",BE522=""),"",N(BE522)-N(BD522)))</f>
        <v/>
      </c>
      <c r="BJ522">
        <f>IF(OR(BH$3="",BH$3&gt;TODAY()),"",IF(AND(BH522="",BI522=""),"",N(BI522)-N(BH522)))</f>
        <v/>
      </c>
      <c r="BM522">
        <f>IF(OR(BH$3="",BH$3&gt;TODAY()),"",IF(AND(BK522="",BL522=""),"",N(BL522)-N(BK522)))</f>
        <v/>
      </c>
      <c r="BQ522">
        <f>IF(OR(BO$3="",BO$3&gt;TODAY()),"",IF(AND(BO522="",BP522=""),"",N(BP522)-N(BO522)))</f>
        <v/>
      </c>
      <c r="BT522">
        <f>IF(OR(BO$3="",BO$3&gt;TODAY()),"",IF(AND(BR522="",BS522=""),"",N(BS522)-N(BR522)))</f>
        <v/>
      </c>
      <c r="BX522">
        <f>IF(OR(BV$3="",BV$3&gt;TODAY()),"",IF(AND(BV522="",BW522=""),"",N(BW522)-N(BV522)))</f>
        <v/>
      </c>
      <c r="CA522">
        <f>IF(OR(BV$3="",BV$3&gt;TODAY()),"",IF(AND(BY522="",BZ522=""),"",N(BZ522)-N(BY522)))</f>
        <v/>
      </c>
      <c r="CE522">
        <f>IF(OR(CC$3="",CC$3&gt;TODAY()),"",IF(AND(CC522="",CD522=""),"",N(CD522)-N(CC522)))</f>
        <v/>
      </c>
      <c r="CH522">
        <f>IF(OR(CC$3="",CC$3&gt;TODAY()),"",IF(AND(CF522="",CG522=""),"",N(CG522)-N(CF522)))</f>
        <v/>
      </c>
      <c r="CL522">
        <f>IF(OR(CJ$3="",CJ$3&gt;TODAY()),"",IF(AND(CJ522="",CK522=""),"",N(CK522)-N(CJ522)))</f>
        <v/>
      </c>
      <c r="CO522">
        <f>IF(OR(CJ$3="",CJ$3&gt;TODAY()),"",IF(AND(CM522="",CN522=""),"",N(CN522)-N(CM522)))</f>
        <v/>
      </c>
      <c r="CS522">
        <f>IF(OR(CQ$3="",CQ$3&gt;TODAY()),"",IF(AND(CQ522="",CR522=""),"",N(CR522)-N(CQ522)))</f>
        <v/>
      </c>
      <c r="CV522">
        <f>IF(OR(CQ$3="",CQ$3&gt;TODAY()),"",IF(AND(CT522="",CU522=""),"",N(CU522)-N(CT522)))</f>
        <v/>
      </c>
      <c r="CZ522">
        <f>IF(OR(CX$3="",CX$3&gt;TODAY()),"",IF(AND(CX522="",CY522=""),"",N(CY522)-N(CX522)))</f>
        <v/>
      </c>
      <c r="DC522">
        <f>IF(OR(CX$3="",CX$3&gt;TODAY()),"",IF(AND(DA522="",DB522=""),"",N(DB522)-N(DA522)))</f>
        <v/>
      </c>
      <c r="DG522">
        <f>IF(OR(DE$3="",DE$3&gt;TODAY()),"",IF(AND(DE522="",DF522=""),"",N(DF522)-N(DE522)))</f>
        <v/>
      </c>
      <c r="DJ522">
        <f>IF(OR(DE$3="",DE$3&gt;TODAY()),"",IF(AND(DH522="",DI522=""),"",N(DI522)-N(DH522)))</f>
        <v/>
      </c>
      <c r="DN522">
        <f>IF(OR(DL$3="",DL$3&gt;TODAY()),"",IF(AND(DL522="",DM522=""),"",N(DM522)-N(DL522)))</f>
        <v/>
      </c>
      <c r="DQ522">
        <f>IF(OR(DL$3="",DL$3&gt;TODAY()),"",IF(AND(DO522="",DP522=""),"",N(DP522)-N(DO522)))</f>
        <v/>
      </c>
      <c r="DU522">
        <f>IF(OR(DS$3="",DS$3&gt;TODAY()),"",IF(AND(DS522="",DT522=""),"",N(DT522)-N(DS522)))</f>
        <v/>
      </c>
      <c r="DX522">
        <f>IF(OR(DS$3="",DS$3&gt;TODAY()),"",IF(AND(DV522="",DW522=""),"",N(DW522)-N(DV522)))</f>
        <v/>
      </c>
      <c r="EB522">
        <f>IF(OR(DZ$3="",DZ$3&gt;TODAY()),"",IF(AND(DZ522="",EA522=""),"",N(EA522)-N(DZ522)))</f>
        <v/>
      </c>
      <c r="EE522">
        <f>IF(OR(DZ$3="",DZ$3&gt;TODAY()),"",IF(AND(EC522="",ED522=""),"",N(ED522)-N(EC522)))</f>
        <v/>
      </c>
      <c r="EI522">
        <f>IF(OR(EG$3="",EG$3&gt;TODAY()),"",IF(AND(EG522="",EH522=""),"",N(EH522)-N(EG522)))</f>
        <v/>
      </c>
      <c r="EL522">
        <f>IF(OR(EG$3="",EG$3&gt;TODAY()),"",IF(AND(EJ522="",EK522=""),"",N(EK522)-N(EJ522)))</f>
        <v/>
      </c>
      <c r="EP522">
        <f>IF(OR(EN$3="",EN$3&gt;TODAY()),"",IF(AND(EN522="",EO522=""),"",N(EO522)-N(EN522)))</f>
        <v/>
      </c>
      <c r="ES522">
        <f>IF(OR(EN$3="",EN$3&gt;TODAY()),"",IF(AND(EQ522="",ER522=""),"",N(ER522)-N(EQ522)))</f>
        <v/>
      </c>
      <c r="EW522">
        <f>IF(OR(EU$3="",EU$3&gt;TODAY()),"",IF(AND(EU522="",EV522=""),"",N(EV522)-N(EU522)))</f>
        <v/>
      </c>
      <c r="EZ522">
        <f>IF(OR(EU$3="",EU$3&gt;TODAY()),"",IF(AND(EX522="",EY522=""),"",N(EY522)-N(EX522)))</f>
        <v/>
      </c>
      <c r="FD522">
        <f>IF(OR(FB$3="",FB$3&gt;TODAY()),"",IF(AND(FB522="",FC522=""),"",N(FC522)-N(FB522)))</f>
        <v/>
      </c>
      <c r="FG522">
        <f>IF(OR(FB$3="",FB$3&gt;TODAY()),"",IF(AND(FE522="",FF522=""),"",N(FF522)-N(FE522)))</f>
        <v/>
      </c>
      <c r="FK522">
        <f>IF(OR(FI$3="",FI$3&gt;TODAY()),"",IF(AND(FI522="",FJ522=""),"",N(FJ522)-N(FI522)))</f>
        <v/>
      </c>
      <c r="FN522">
        <f>IF(OR(FI$3="",FI$3&gt;TODAY()),"",IF(AND(FL522="",FM522=""),"",N(FM522)-N(FL522)))</f>
        <v/>
      </c>
      <c r="FR522">
        <f>IF(OR(FP$3="",FP$3&gt;TODAY()),"",IF(AND(FP522="",FQ522=""),"",N(FQ522)-N(FP522)))</f>
        <v/>
      </c>
      <c r="FU522">
        <f>IF(OR(FP$3="",FP$3&gt;TODAY()),"",IF(AND(FS522="",FT522=""),"",N(FT522)-N(FS522)))</f>
        <v/>
      </c>
      <c r="FY522">
        <f>IF(OR(FW$3="",FW$3&gt;TODAY()),"",IF(AND(FW522="",FX522=""),"",N(FX522)-N(FW522)))</f>
        <v/>
      </c>
      <c r="GB522">
        <f>IF(OR(FW$3="",FW$3&gt;TODAY()),"",IF(AND(FZ522="",GA522=""),"",N(GA522)-N(FZ522)))</f>
        <v/>
      </c>
      <c r="GF522">
        <f>IF(OR(GD$3="",GD$3&gt;TODAY()),"",IF(AND(GD522="",GE522=""),"",N(GE522)-N(GD522)))</f>
        <v/>
      </c>
      <c r="GI522">
        <f>IF(OR(GD$3="",GD$3&gt;TODAY()),"",IF(AND(GG522="",GH522=""),"",N(GH522)-N(GG522)))</f>
        <v/>
      </c>
      <c r="GM522">
        <f>IF(OR(GK$3="",GK$3&gt;TODAY()),"",IF(AND(GK522="",GL522=""),"",N(GL522)-N(GK522)))</f>
        <v/>
      </c>
      <c r="GP522">
        <f>IF(OR(GK$3="",GK$3&gt;TODAY()),"",IF(AND(GN522="",GO522=""),"",N(GO522)-N(GN522)))</f>
        <v/>
      </c>
      <c r="GT522">
        <f>IF(OR(GR$3="",GR$3&gt;TODAY()),"",IF(AND(GR522="",GS522=""),"",N(GS522)-N(GR522)))</f>
        <v/>
      </c>
      <c r="GW522">
        <f>IF(OR(GR$3="",GR$3&gt;TODAY()),"",IF(AND(GU522="",GV522=""),"",N(GV522)-N(GU522)))</f>
        <v/>
      </c>
      <c r="HA522">
        <f>IF(OR(GY$3="",GY$3&gt;TODAY()),"",IF(AND(GY522="",GZ522=""),"",N(GZ522)-N(GY522)))</f>
        <v/>
      </c>
      <c r="HD522">
        <f>IF(OR(GY$3="",GY$3&gt;TODAY()),"",IF(AND(HB522="",HC522=""),"",N(HC522)-N(HB522)))</f>
        <v/>
      </c>
      <c r="HH522">
        <f>IF(OR(HF$3="",HF$3&gt;TODAY()),"",IF(AND(HF522="",HG522=""),"",N(HG522)-N(HF522)))</f>
        <v/>
      </c>
      <c r="HK522">
        <f>IF(OR(HF$3="",HF$3&gt;TODAY()),"",IF(AND(HI522="",HJ522=""),"",N(HJ522)-N(HI522)))</f>
        <v/>
      </c>
      <c r="HO522">
        <f>IF(OR(HM$3="",HM$3&gt;TODAY()),"",IF(AND(HM522="",HN522=""),"",N(HN522)-N(HM522)))</f>
        <v/>
      </c>
      <c r="HR522">
        <f>IF(OR(HM$3="",HM$3&gt;TODAY()),"",IF(AND(HP522="",HQ522=""),"",N(HQ522)-N(HP522)))</f>
        <v/>
      </c>
      <c r="HV522">
        <f>IF(OR(HT$3="",HT$3&gt;TODAY()),"",IF(AND(HT522="",HU522=""),"",N(HU522)-N(HT522)))</f>
        <v/>
      </c>
      <c r="HY522">
        <f>IF(OR(HT$3="",HT$3&gt;TODAY()),"",IF(AND(HW522="",HX522=""),"",N(HX522)-N(HW522)))</f>
        <v/>
      </c>
      <c r="IC522">
        <f>IF(OR(IA$3="",IA$3&gt;TODAY()),"",IF(AND(IA522="",IB522=""),"",N(IB522)-N(IA522)))</f>
        <v/>
      </c>
      <c r="IF522">
        <f>IF(OR(IA$3="",IA$3&gt;TODAY()),"",IF(AND(ID522="",IE522=""),"",N(IE522)-N(ID522)))</f>
        <v/>
      </c>
      <c r="IJ522">
        <f>IF(OR(IH$3="",IH$3&gt;TODAY()),"",IF(AND(IH522="",II522=""),"",N(II522)-N(IH522)))</f>
        <v/>
      </c>
      <c r="IM522">
        <f>IF(OR(IH$3="",IH$3&gt;TODAY()),"",IF(AND(IK522="",IL522=""),"",N(IL522)-N(IK522)))</f>
        <v/>
      </c>
    </row>
    <row r="523">
      <c r="A523" s="21" t="n"/>
      <c r="B523" s="21" t="n"/>
      <c r="C523" s="21" t="n"/>
      <c r="D523" s="21" t="n"/>
      <c r="E523" s="21" t="n"/>
      <c r="F523" s="21" t="n"/>
      <c r="G523" s="21" t="n"/>
      <c r="H523" s="21" t="n"/>
      <c r="I523" s="22" t="n"/>
      <c r="J523" s="22" t="n"/>
      <c r="K523" s="23" t="n"/>
      <c r="L523" s="22" t="n"/>
      <c r="M523" s="22" t="n"/>
      <c r="N523" s="21" t="n"/>
      <c r="O523" s="23" t="n"/>
      <c r="P523" s="23" t="n"/>
      <c r="Q523" s="23" t="n"/>
      <c r="R523" s="23" t="n"/>
      <c r="S523" s="22" t="n"/>
      <c r="T523" s="23" t="n"/>
      <c r="U523" s="23" t="n"/>
      <c r="V523" s="24">
        <f>IF(J523&lt;&gt;"",J523,IF(I523&lt;&gt;"",I523,""))</f>
        <v/>
      </c>
      <c r="W523" s="25">
        <f>IF($E523="","",N(O523)+SUMIFS($AF523:$IN523,$AF$4:$IN$4,"SEW_ACT"))</f>
        <v/>
      </c>
      <c r="X523" s="25">
        <f>IF($E523="","",N(P523)+SUMIFS($AF523:$IN523,$AF$4:$IN$4,"WASH_ACT"))</f>
        <v/>
      </c>
      <c r="Y523" s="25">
        <f>IF($E523="","",W523-X523-N(T523)-N(U523))</f>
        <v/>
      </c>
      <c r="Z523" s="25">
        <f>IF($E523="","",IF(N(K523)-X523&lt;=0.02*N(K523),0,N(K523)-X523))</f>
        <v/>
      </c>
      <c r="AA523" s="24">
        <f>IF($E523="","",IF(S523&lt;&gt;"",S523,IF(N(O523)&gt;0,IF(L523&lt;&gt;"",L523,99999),IFERROR(1/(1/_xlfn.MINIFS($AF$3:$IN$3,$AF$4:$IN$4,"SEW_ACT",$AF523:$IN523,"&gt;0")),99999))))</f>
        <v/>
      </c>
      <c r="AB523" s="26">
        <f>IF(OR($E523="",Z523=0,V523=""),"",1+COUNTIFS(Z$8:Z$707,"&gt;0",V$8:V$707,"&lt;"&amp;V523)+COUNTIFS(Z$8:Z$707,"&gt;0",V$8:V$707,V523,AA$8:AA$707,"&lt;"&amp;AA523)+COUNTIFS(Z$8:Z$707,"&gt;0",V$8:V$707,V523,AA$8:AA$707,AA523,E$8:E$707,"&lt;"&amp;$E523))</f>
        <v/>
      </c>
      <c r="AC523" s="24">
        <f>IF(OR($E523="",Z523=0),"",IFERROR(TODAY()+ROUNDUP(Z523/(SUMIFS($AF523:$IN523,$AF$4:$IN$4,"WASH_ACT")/COUNTIFS($AF$4:$IN$4,"WASH_ACT",$AF523:$IN523,"&gt;0")),0),"no output yet"))</f>
        <v/>
      </c>
      <c r="AD523" s="26">
        <f>IF($E523="","",IFERROR(ROUND(MAX(0,SUMIFS($AF523:$IN523,$AF$4:$IN$4,"SEW_PLAN",$AF$3:$IN$3,"&lt;="&amp;TODAY())-SUMIFS($AF523:$IN523,$AF$4:$IN$4,"SEW_ACT",$AF$3:$IN$3,"&lt;="&amp;TODAY())+N(Q523))/(SUMIFS($AF523:$IN523,$AF$4:$IN$4,"SEW_PLAN")/COUNTIFS($AF$4:$IN$4,"SEW_PLAN",$AF523:$IN523,"&gt;0")),1),0))</f>
        <v/>
      </c>
      <c r="AE523" s="26">
        <f>IF($E523="","",IF(AND(Z523&gt;0,OR(AND(M523&lt;&gt;"",TODAY()&gt;M523),AND(V523&lt;&gt;"",V523-TODAY()&lt;=7))),"Yes","No"))</f>
        <v/>
      </c>
      <c r="AH523">
        <f>IF(OR(AF$3="",AF$3&gt;TODAY()),"",IF(AND(AF523="",AG523=""),"",N(AG523)-N(AF523)))</f>
        <v/>
      </c>
      <c r="AK523">
        <f>IF(OR(AF$3="",AF$3&gt;TODAY()),"",IF(AND(AI523="",AJ523=""),"",N(AJ523)-N(AI523)))</f>
        <v/>
      </c>
      <c r="AO523">
        <f>IF(OR(AM$3="",AM$3&gt;TODAY()),"",IF(AND(AM523="",AN523=""),"",N(AN523)-N(AM523)))</f>
        <v/>
      </c>
      <c r="AR523">
        <f>IF(OR(AM$3="",AM$3&gt;TODAY()),"",IF(AND(AP523="",AQ523=""),"",N(AQ523)-N(AP523)))</f>
        <v/>
      </c>
      <c r="AV523">
        <f>IF(OR(AT$3="",AT$3&gt;TODAY()),"",IF(AND(AT523="",AU523=""),"",N(AU523)-N(AT523)))</f>
        <v/>
      </c>
      <c r="AY523">
        <f>IF(OR(AT$3="",AT$3&gt;TODAY()),"",IF(AND(AW523="",AX523=""),"",N(AX523)-N(AW523)))</f>
        <v/>
      </c>
      <c r="BC523">
        <f>IF(OR(BA$3="",BA$3&gt;TODAY()),"",IF(AND(BA523="",BB523=""),"",N(BB523)-N(BA523)))</f>
        <v/>
      </c>
      <c r="BF523">
        <f>IF(OR(BA$3="",BA$3&gt;TODAY()),"",IF(AND(BD523="",BE523=""),"",N(BE523)-N(BD523)))</f>
        <v/>
      </c>
      <c r="BJ523">
        <f>IF(OR(BH$3="",BH$3&gt;TODAY()),"",IF(AND(BH523="",BI523=""),"",N(BI523)-N(BH523)))</f>
        <v/>
      </c>
      <c r="BM523">
        <f>IF(OR(BH$3="",BH$3&gt;TODAY()),"",IF(AND(BK523="",BL523=""),"",N(BL523)-N(BK523)))</f>
        <v/>
      </c>
      <c r="BQ523">
        <f>IF(OR(BO$3="",BO$3&gt;TODAY()),"",IF(AND(BO523="",BP523=""),"",N(BP523)-N(BO523)))</f>
        <v/>
      </c>
      <c r="BT523">
        <f>IF(OR(BO$3="",BO$3&gt;TODAY()),"",IF(AND(BR523="",BS523=""),"",N(BS523)-N(BR523)))</f>
        <v/>
      </c>
      <c r="BX523">
        <f>IF(OR(BV$3="",BV$3&gt;TODAY()),"",IF(AND(BV523="",BW523=""),"",N(BW523)-N(BV523)))</f>
        <v/>
      </c>
      <c r="CA523">
        <f>IF(OR(BV$3="",BV$3&gt;TODAY()),"",IF(AND(BY523="",BZ523=""),"",N(BZ523)-N(BY523)))</f>
        <v/>
      </c>
      <c r="CE523">
        <f>IF(OR(CC$3="",CC$3&gt;TODAY()),"",IF(AND(CC523="",CD523=""),"",N(CD523)-N(CC523)))</f>
        <v/>
      </c>
      <c r="CH523">
        <f>IF(OR(CC$3="",CC$3&gt;TODAY()),"",IF(AND(CF523="",CG523=""),"",N(CG523)-N(CF523)))</f>
        <v/>
      </c>
      <c r="CL523">
        <f>IF(OR(CJ$3="",CJ$3&gt;TODAY()),"",IF(AND(CJ523="",CK523=""),"",N(CK523)-N(CJ523)))</f>
        <v/>
      </c>
      <c r="CO523">
        <f>IF(OR(CJ$3="",CJ$3&gt;TODAY()),"",IF(AND(CM523="",CN523=""),"",N(CN523)-N(CM523)))</f>
        <v/>
      </c>
      <c r="CS523">
        <f>IF(OR(CQ$3="",CQ$3&gt;TODAY()),"",IF(AND(CQ523="",CR523=""),"",N(CR523)-N(CQ523)))</f>
        <v/>
      </c>
      <c r="CV523">
        <f>IF(OR(CQ$3="",CQ$3&gt;TODAY()),"",IF(AND(CT523="",CU523=""),"",N(CU523)-N(CT523)))</f>
        <v/>
      </c>
      <c r="CZ523">
        <f>IF(OR(CX$3="",CX$3&gt;TODAY()),"",IF(AND(CX523="",CY523=""),"",N(CY523)-N(CX523)))</f>
        <v/>
      </c>
      <c r="DC523">
        <f>IF(OR(CX$3="",CX$3&gt;TODAY()),"",IF(AND(DA523="",DB523=""),"",N(DB523)-N(DA523)))</f>
        <v/>
      </c>
      <c r="DG523">
        <f>IF(OR(DE$3="",DE$3&gt;TODAY()),"",IF(AND(DE523="",DF523=""),"",N(DF523)-N(DE523)))</f>
        <v/>
      </c>
      <c r="DJ523">
        <f>IF(OR(DE$3="",DE$3&gt;TODAY()),"",IF(AND(DH523="",DI523=""),"",N(DI523)-N(DH523)))</f>
        <v/>
      </c>
      <c r="DN523">
        <f>IF(OR(DL$3="",DL$3&gt;TODAY()),"",IF(AND(DL523="",DM523=""),"",N(DM523)-N(DL523)))</f>
        <v/>
      </c>
      <c r="DQ523">
        <f>IF(OR(DL$3="",DL$3&gt;TODAY()),"",IF(AND(DO523="",DP523=""),"",N(DP523)-N(DO523)))</f>
        <v/>
      </c>
      <c r="DU523">
        <f>IF(OR(DS$3="",DS$3&gt;TODAY()),"",IF(AND(DS523="",DT523=""),"",N(DT523)-N(DS523)))</f>
        <v/>
      </c>
      <c r="DX523">
        <f>IF(OR(DS$3="",DS$3&gt;TODAY()),"",IF(AND(DV523="",DW523=""),"",N(DW523)-N(DV523)))</f>
        <v/>
      </c>
      <c r="EB523">
        <f>IF(OR(DZ$3="",DZ$3&gt;TODAY()),"",IF(AND(DZ523="",EA523=""),"",N(EA523)-N(DZ523)))</f>
        <v/>
      </c>
      <c r="EE523">
        <f>IF(OR(DZ$3="",DZ$3&gt;TODAY()),"",IF(AND(EC523="",ED523=""),"",N(ED523)-N(EC523)))</f>
        <v/>
      </c>
      <c r="EI523">
        <f>IF(OR(EG$3="",EG$3&gt;TODAY()),"",IF(AND(EG523="",EH523=""),"",N(EH523)-N(EG523)))</f>
        <v/>
      </c>
      <c r="EL523">
        <f>IF(OR(EG$3="",EG$3&gt;TODAY()),"",IF(AND(EJ523="",EK523=""),"",N(EK523)-N(EJ523)))</f>
        <v/>
      </c>
      <c r="EP523">
        <f>IF(OR(EN$3="",EN$3&gt;TODAY()),"",IF(AND(EN523="",EO523=""),"",N(EO523)-N(EN523)))</f>
        <v/>
      </c>
      <c r="ES523">
        <f>IF(OR(EN$3="",EN$3&gt;TODAY()),"",IF(AND(EQ523="",ER523=""),"",N(ER523)-N(EQ523)))</f>
        <v/>
      </c>
      <c r="EW523">
        <f>IF(OR(EU$3="",EU$3&gt;TODAY()),"",IF(AND(EU523="",EV523=""),"",N(EV523)-N(EU523)))</f>
        <v/>
      </c>
      <c r="EZ523">
        <f>IF(OR(EU$3="",EU$3&gt;TODAY()),"",IF(AND(EX523="",EY523=""),"",N(EY523)-N(EX523)))</f>
        <v/>
      </c>
      <c r="FD523">
        <f>IF(OR(FB$3="",FB$3&gt;TODAY()),"",IF(AND(FB523="",FC523=""),"",N(FC523)-N(FB523)))</f>
        <v/>
      </c>
      <c r="FG523">
        <f>IF(OR(FB$3="",FB$3&gt;TODAY()),"",IF(AND(FE523="",FF523=""),"",N(FF523)-N(FE523)))</f>
        <v/>
      </c>
      <c r="FK523">
        <f>IF(OR(FI$3="",FI$3&gt;TODAY()),"",IF(AND(FI523="",FJ523=""),"",N(FJ523)-N(FI523)))</f>
        <v/>
      </c>
      <c r="FN523">
        <f>IF(OR(FI$3="",FI$3&gt;TODAY()),"",IF(AND(FL523="",FM523=""),"",N(FM523)-N(FL523)))</f>
        <v/>
      </c>
      <c r="FR523">
        <f>IF(OR(FP$3="",FP$3&gt;TODAY()),"",IF(AND(FP523="",FQ523=""),"",N(FQ523)-N(FP523)))</f>
        <v/>
      </c>
      <c r="FU523">
        <f>IF(OR(FP$3="",FP$3&gt;TODAY()),"",IF(AND(FS523="",FT523=""),"",N(FT523)-N(FS523)))</f>
        <v/>
      </c>
      <c r="FY523">
        <f>IF(OR(FW$3="",FW$3&gt;TODAY()),"",IF(AND(FW523="",FX523=""),"",N(FX523)-N(FW523)))</f>
        <v/>
      </c>
      <c r="GB523">
        <f>IF(OR(FW$3="",FW$3&gt;TODAY()),"",IF(AND(FZ523="",GA523=""),"",N(GA523)-N(FZ523)))</f>
        <v/>
      </c>
      <c r="GF523">
        <f>IF(OR(GD$3="",GD$3&gt;TODAY()),"",IF(AND(GD523="",GE523=""),"",N(GE523)-N(GD523)))</f>
        <v/>
      </c>
      <c r="GI523">
        <f>IF(OR(GD$3="",GD$3&gt;TODAY()),"",IF(AND(GG523="",GH523=""),"",N(GH523)-N(GG523)))</f>
        <v/>
      </c>
      <c r="GM523">
        <f>IF(OR(GK$3="",GK$3&gt;TODAY()),"",IF(AND(GK523="",GL523=""),"",N(GL523)-N(GK523)))</f>
        <v/>
      </c>
      <c r="GP523">
        <f>IF(OR(GK$3="",GK$3&gt;TODAY()),"",IF(AND(GN523="",GO523=""),"",N(GO523)-N(GN523)))</f>
        <v/>
      </c>
      <c r="GT523">
        <f>IF(OR(GR$3="",GR$3&gt;TODAY()),"",IF(AND(GR523="",GS523=""),"",N(GS523)-N(GR523)))</f>
        <v/>
      </c>
      <c r="GW523">
        <f>IF(OR(GR$3="",GR$3&gt;TODAY()),"",IF(AND(GU523="",GV523=""),"",N(GV523)-N(GU523)))</f>
        <v/>
      </c>
      <c r="HA523">
        <f>IF(OR(GY$3="",GY$3&gt;TODAY()),"",IF(AND(GY523="",GZ523=""),"",N(GZ523)-N(GY523)))</f>
        <v/>
      </c>
      <c r="HD523">
        <f>IF(OR(GY$3="",GY$3&gt;TODAY()),"",IF(AND(HB523="",HC523=""),"",N(HC523)-N(HB523)))</f>
        <v/>
      </c>
      <c r="HH523">
        <f>IF(OR(HF$3="",HF$3&gt;TODAY()),"",IF(AND(HF523="",HG523=""),"",N(HG523)-N(HF523)))</f>
        <v/>
      </c>
      <c r="HK523">
        <f>IF(OR(HF$3="",HF$3&gt;TODAY()),"",IF(AND(HI523="",HJ523=""),"",N(HJ523)-N(HI523)))</f>
        <v/>
      </c>
      <c r="HO523">
        <f>IF(OR(HM$3="",HM$3&gt;TODAY()),"",IF(AND(HM523="",HN523=""),"",N(HN523)-N(HM523)))</f>
        <v/>
      </c>
      <c r="HR523">
        <f>IF(OR(HM$3="",HM$3&gt;TODAY()),"",IF(AND(HP523="",HQ523=""),"",N(HQ523)-N(HP523)))</f>
        <v/>
      </c>
      <c r="HV523">
        <f>IF(OR(HT$3="",HT$3&gt;TODAY()),"",IF(AND(HT523="",HU523=""),"",N(HU523)-N(HT523)))</f>
        <v/>
      </c>
      <c r="HY523">
        <f>IF(OR(HT$3="",HT$3&gt;TODAY()),"",IF(AND(HW523="",HX523=""),"",N(HX523)-N(HW523)))</f>
        <v/>
      </c>
      <c r="IC523">
        <f>IF(OR(IA$3="",IA$3&gt;TODAY()),"",IF(AND(IA523="",IB523=""),"",N(IB523)-N(IA523)))</f>
        <v/>
      </c>
      <c r="IF523">
        <f>IF(OR(IA$3="",IA$3&gt;TODAY()),"",IF(AND(ID523="",IE523=""),"",N(IE523)-N(ID523)))</f>
        <v/>
      </c>
      <c r="IJ523">
        <f>IF(OR(IH$3="",IH$3&gt;TODAY()),"",IF(AND(IH523="",II523=""),"",N(II523)-N(IH523)))</f>
        <v/>
      </c>
      <c r="IM523">
        <f>IF(OR(IH$3="",IH$3&gt;TODAY()),"",IF(AND(IK523="",IL523=""),"",N(IL523)-N(IK523)))</f>
        <v/>
      </c>
    </row>
    <row r="524">
      <c r="A524" s="21" t="n"/>
      <c r="B524" s="21" t="n"/>
      <c r="C524" s="21" t="n"/>
      <c r="D524" s="21" t="n"/>
      <c r="E524" s="21" t="n"/>
      <c r="F524" s="21" t="n"/>
      <c r="G524" s="21" t="n"/>
      <c r="H524" s="21" t="n"/>
      <c r="I524" s="22" t="n"/>
      <c r="J524" s="22" t="n"/>
      <c r="K524" s="23" t="n"/>
      <c r="L524" s="22" t="n"/>
      <c r="M524" s="22" t="n"/>
      <c r="N524" s="21" t="n"/>
      <c r="O524" s="23" t="n"/>
      <c r="P524" s="23" t="n"/>
      <c r="Q524" s="23" t="n"/>
      <c r="R524" s="23" t="n"/>
      <c r="S524" s="22" t="n"/>
      <c r="T524" s="23" t="n"/>
      <c r="U524" s="23" t="n"/>
      <c r="V524" s="24">
        <f>IF(J524&lt;&gt;"",J524,IF(I524&lt;&gt;"",I524,""))</f>
        <v/>
      </c>
      <c r="W524" s="25">
        <f>IF($E524="","",N(O524)+SUMIFS($AF524:$IN524,$AF$4:$IN$4,"SEW_ACT"))</f>
        <v/>
      </c>
      <c r="X524" s="25">
        <f>IF($E524="","",N(P524)+SUMIFS($AF524:$IN524,$AF$4:$IN$4,"WASH_ACT"))</f>
        <v/>
      </c>
      <c r="Y524" s="25">
        <f>IF($E524="","",W524-X524-N(T524)-N(U524))</f>
        <v/>
      </c>
      <c r="Z524" s="25">
        <f>IF($E524="","",IF(N(K524)-X524&lt;=0.02*N(K524),0,N(K524)-X524))</f>
        <v/>
      </c>
      <c r="AA524" s="24">
        <f>IF($E524="","",IF(S524&lt;&gt;"",S524,IF(N(O524)&gt;0,IF(L524&lt;&gt;"",L524,99999),IFERROR(1/(1/_xlfn.MINIFS($AF$3:$IN$3,$AF$4:$IN$4,"SEW_ACT",$AF524:$IN524,"&gt;0")),99999))))</f>
        <v/>
      </c>
      <c r="AB524" s="26">
        <f>IF(OR($E524="",Z524=0,V524=""),"",1+COUNTIFS(Z$8:Z$707,"&gt;0",V$8:V$707,"&lt;"&amp;V524)+COUNTIFS(Z$8:Z$707,"&gt;0",V$8:V$707,V524,AA$8:AA$707,"&lt;"&amp;AA524)+COUNTIFS(Z$8:Z$707,"&gt;0",V$8:V$707,V524,AA$8:AA$707,AA524,E$8:E$707,"&lt;"&amp;$E524))</f>
        <v/>
      </c>
      <c r="AC524" s="24">
        <f>IF(OR($E524="",Z524=0),"",IFERROR(TODAY()+ROUNDUP(Z524/(SUMIFS($AF524:$IN524,$AF$4:$IN$4,"WASH_ACT")/COUNTIFS($AF$4:$IN$4,"WASH_ACT",$AF524:$IN524,"&gt;0")),0),"no output yet"))</f>
        <v/>
      </c>
      <c r="AD524" s="26">
        <f>IF($E524="","",IFERROR(ROUND(MAX(0,SUMIFS($AF524:$IN524,$AF$4:$IN$4,"SEW_PLAN",$AF$3:$IN$3,"&lt;="&amp;TODAY())-SUMIFS($AF524:$IN524,$AF$4:$IN$4,"SEW_ACT",$AF$3:$IN$3,"&lt;="&amp;TODAY())+N(Q524))/(SUMIFS($AF524:$IN524,$AF$4:$IN$4,"SEW_PLAN")/COUNTIFS($AF$4:$IN$4,"SEW_PLAN",$AF524:$IN524,"&gt;0")),1),0))</f>
        <v/>
      </c>
      <c r="AE524" s="26">
        <f>IF($E524="","",IF(AND(Z524&gt;0,OR(AND(M524&lt;&gt;"",TODAY()&gt;M524),AND(V524&lt;&gt;"",V524-TODAY()&lt;=7))),"Yes","No"))</f>
        <v/>
      </c>
      <c r="AH524">
        <f>IF(OR(AF$3="",AF$3&gt;TODAY()),"",IF(AND(AF524="",AG524=""),"",N(AG524)-N(AF524)))</f>
        <v/>
      </c>
      <c r="AK524">
        <f>IF(OR(AF$3="",AF$3&gt;TODAY()),"",IF(AND(AI524="",AJ524=""),"",N(AJ524)-N(AI524)))</f>
        <v/>
      </c>
      <c r="AO524">
        <f>IF(OR(AM$3="",AM$3&gt;TODAY()),"",IF(AND(AM524="",AN524=""),"",N(AN524)-N(AM524)))</f>
        <v/>
      </c>
      <c r="AR524">
        <f>IF(OR(AM$3="",AM$3&gt;TODAY()),"",IF(AND(AP524="",AQ524=""),"",N(AQ524)-N(AP524)))</f>
        <v/>
      </c>
      <c r="AV524">
        <f>IF(OR(AT$3="",AT$3&gt;TODAY()),"",IF(AND(AT524="",AU524=""),"",N(AU524)-N(AT524)))</f>
        <v/>
      </c>
      <c r="AY524">
        <f>IF(OR(AT$3="",AT$3&gt;TODAY()),"",IF(AND(AW524="",AX524=""),"",N(AX524)-N(AW524)))</f>
        <v/>
      </c>
      <c r="BC524">
        <f>IF(OR(BA$3="",BA$3&gt;TODAY()),"",IF(AND(BA524="",BB524=""),"",N(BB524)-N(BA524)))</f>
        <v/>
      </c>
      <c r="BF524">
        <f>IF(OR(BA$3="",BA$3&gt;TODAY()),"",IF(AND(BD524="",BE524=""),"",N(BE524)-N(BD524)))</f>
        <v/>
      </c>
      <c r="BJ524">
        <f>IF(OR(BH$3="",BH$3&gt;TODAY()),"",IF(AND(BH524="",BI524=""),"",N(BI524)-N(BH524)))</f>
        <v/>
      </c>
      <c r="BM524">
        <f>IF(OR(BH$3="",BH$3&gt;TODAY()),"",IF(AND(BK524="",BL524=""),"",N(BL524)-N(BK524)))</f>
        <v/>
      </c>
      <c r="BQ524">
        <f>IF(OR(BO$3="",BO$3&gt;TODAY()),"",IF(AND(BO524="",BP524=""),"",N(BP524)-N(BO524)))</f>
        <v/>
      </c>
      <c r="BT524">
        <f>IF(OR(BO$3="",BO$3&gt;TODAY()),"",IF(AND(BR524="",BS524=""),"",N(BS524)-N(BR524)))</f>
        <v/>
      </c>
      <c r="BX524">
        <f>IF(OR(BV$3="",BV$3&gt;TODAY()),"",IF(AND(BV524="",BW524=""),"",N(BW524)-N(BV524)))</f>
        <v/>
      </c>
      <c r="CA524">
        <f>IF(OR(BV$3="",BV$3&gt;TODAY()),"",IF(AND(BY524="",BZ524=""),"",N(BZ524)-N(BY524)))</f>
        <v/>
      </c>
      <c r="CE524">
        <f>IF(OR(CC$3="",CC$3&gt;TODAY()),"",IF(AND(CC524="",CD524=""),"",N(CD524)-N(CC524)))</f>
        <v/>
      </c>
      <c r="CH524">
        <f>IF(OR(CC$3="",CC$3&gt;TODAY()),"",IF(AND(CF524="",CG524=""),"",N(CG524)-N(CF524)))</f>
        <v/>
      </c>
      <c r="CL524">
        <f>IF(OR(CJ$3="",CJ$3&gt;TODAY()),"",IF(AND(CJ524="",CK524=""),"",N(CK524)-N(CJ524)))</f>
        <v/>
      </c>
      <c r="CO524">
        <f>IF(OR(CJ$3="",CJ$3&gt;TODAY()),"",IF(AND(CM524="",CN524=""),"",N(CN524)-N(CM524)))</f>
        <v/>
      </c>
      <c r="CS524">
        <f>IF(OR(CQ$3="",CQ$3&gt;TODAY()),"",IF(AND(CQ524="",CR524=""),"",N(CR524)-N(CQ524)))</f>
        <v/>
      </c>
      <c r="CV524">
        <f>IF(OR(CQ$3="",CQ$3&gt;TODAY()),"",IF(AND(CT524="",CU524=""),"",N(CU524)-N(CT524)))</f>
        <v/>
      </c>
      <c r="CZ524">
        <f>IF(OR(CX$3="",CX$3&gt;TODAY()),"",IF(AND(CX524="",CY524=""),"",N(CY524)-N(CX524)))</f>
        <v/>
      </c>
      <c r="DC524">
        <f>IF(OR(CX$3="",CX$3&gt;TODAY()),"",IF(AND(DA524="",DB524=""),"",N(DB524)-N(DA524)))</f>
        <v/>
      </c>
      <c r="DG524">
        <f>IF(OR(DE$3="",DE$3&gt;TODAY()),"",IF(AND(DE524="",DF524=""),"",N(DF524)-N(DE524)))</f>
        <v/>
      </c>
      <c r="DJ524">
        <f>IF(OR(DE$3="",DE$3&gt;TODAY()),"",IF(AND(DH524="",DI524=""),"",N(DI524)-N(DH524)))</f>
        <v/>
      </c>
      <c r="DN524">
        <f>IF(OR(DL$3="",DL$3&gt;TODAY()),"",IF(AND(DL524="",DM524=""),"",N(DM524)-N(DL524)))</f>
        <v/>
      </c>
      <c r="DQ524">
        <f>IF(OR(DL$3="",DL$3&gt;TODAY()),"",IF(AND(DO524="",DP524=""),"",N(DP524)-N(DO524)))</f>
        <v/>
      </c>
      <c r="DU524">
        <f>IF(OR(DS$3="",DS$3&gt;TODAY()),"",IF(AND(DS524="",DT524=""),"",N(DT524)-N(DS524)))</f>
        <v/>
      </c>
      <c r="DX524">
        <f>IF(OR(DS$3="",DS$3&gt;TODAY()),"",IF(AND(DV524="",DW524=""),"",N(DW524)-N(DV524)))</f>
        <v/>
      </c>
      <c r="EB524">
        <f>IF(OR(DZ$3="",DZ$3&gt;TODAY()),"",IF(AND(DZ524="",EA524=""),"",N(EA524)-N(DZ524)))</f>
        <v/>
      </c>
      <c r="EE524">
        <f>IF(OR(DZ$3="",DZ$3&gt;TODAY()),"",IF(AND(EC524="",ED524=""),"",N(ED524)-N(EC524)))</f>
        <v/>
      </c>
      <c r="EI524">
        <f>IF(OR(EG$3="",EG$3&gt;TODAY()),"",IF(AND(EG524="",EH524=""),"",N(EH524)-N(EG524)))</f>
        <v/>
      </c>
      <c r="EL524">
        <f>IF(OR(EG$3="",EG$3&gt;TODAY()),"",IF(AND(EJ524="",EK524=""),"",N(EK524)-N(EJ524)))</f>
        <v/>
      </c>
      <c r="EP524">
        <f>IF(OR(EN$3="",EN$3&gt;TODAY()),"",IF(AND(EN524="",EO524=""),"",N(EO524)-N(EN524)))</f>
        <v/>
      </c>
      <c r="ES524">
        <f>IF(OR(EN$3="",EN$3&gt;TODAY()),"",IF(AND(EQ524="",ER524=""),"",N(ER524)-N(EQ524)))</f>
        <v/>
      </c>
      <c r="EW524">
        <f>IF(OR(EU$3="",EU$3&gt;TODAY()),"",IF(AND(EU524="",EV524=""),"",N(EV524)-N(EU524)))</f>
        <v/>
      </c>
      <c r="EZ524">
        <f>IF(OR(EU$3="",EU$3&gt;TODAY()),"",IF(AND(EX524="",EY524=""),"",N(EY524)-N(EX524)))</f>
        <v/>
      </c>
      <c r="FD524">
        <f>IF(OR(FB$3="",FB$3&gt;TODAY()),"",IF(AND(FB524="",FC524=""),"",N(FC524)-N(FB524)))</f>
        <v/>
      </c>
      <c r="FG524">
        <f>IF(OR(FB$3="",FB$3&gt;TODAY()),"",IF(AND(FE524="",FF524=""),"",N(FF524)-N(FE524)))</f>
        <v/>
      </c>
      <c r="FK524">
        <f>IF(OR(FI$3="",FI$3&gt;TODAY()),"",IF(AND(FI524="",FJ524=""),"",N(FJ524)-N(FI524)))</f>
        <v/>
      </c>
      <c r="FN524">
        <f>IF(OR(FI$3="",FI$3&gt;TODAY()),"",IF(AND(FL524="",FM524=""),"",N(FM524)-N(FL524)))</f>
        <v/>
      </c>
      <c r="FR524">
        <f>IF(OR(FP$3="",FP$3&gt;TODAY()),"",IF(AND(FP524="",FQ524=""),"",N(FQ524)-N(FP524)))</f>
        <v/>
      </c>
      <c r="FU524">
        <f>IF(OR(FP$3="",FP$3&gt;TODAY()),"",IF(AND(FS524="",FT524=""),"",N(FT524)-N(FS524)))</f>
        <v/>
      </c>
      <c r="FY524">
        <f>IF(OR(FW$3="",FW$3&gt;TODAY()),"",IF(AND(FW524="",FX524=""),"",N(FX524)-N(FW524)))</f>
        <v/>
      </c>
      <c r="GB524">
        <f>IF(OR(FW$3="",FW$3&gt;TODAY()),"",IF(AND(FZ524="",GA524=""),"",N(GA524)-N(FZ524)))</f>
        <v/>
      </c>
      <c r="GF524">
        <f>IF(OR(GD$3="",GD$3&gt;TODAY()),"",IF(AND(GD524="",GE524=""),"",N(GE524)-N(GD524)))</f>
        <v/>
      </c>
      <c r="GI524">
        <f>IF(OR(GD$3="",GD$3&gt;TODAY()),"",IF(AND(GG524="",GH524=""),"",N(GH524)-N(GG524)))</f>
        <v/>
      </c>
      <c r="GM524">
        <f>IF(OR(GK$3="",GK$3&gt;TODAY()),"",IF(AND(GK524="",GL524=""),"",N(GL524)-N(GK524)))</f>
        <v/>
      </c>
      <c r="GP524">
        <f>IF(OR(GK$3="",GK$3&gt;TODAY()),"",IF(AND(GN524="",GO524=""),"",N(GO524)-N(GN524)))</f>
        <v/>
      </c>
      <c r="GT524">
        <f>IF(OR(GR$3="",GR$3&gt;TODAY()),"",IF(AND(GR524="",GS524=""),"",N(GS524)-N(GR524)))</f>
        <v/>
      </c>
      <c r="GW524">
        <f>IF(OR(GR$3="",GR$3&gt;TODAY()),"",IF(AND(GU524="",GV524=""),"",N(GV524)-N(GU524)))</f>
        <v/>
      </c>
      <c r="HA524">
        <f>IF(OR(GY$3="",GY$3&gt;TODAY()),"",IF(AND(GY524="",GZ524=""),"",N(GZ524)-N(GY524)))</f>
        <v/>
      </c>
      <c r="HD524">
        <f>IF(OR(GY$3="",GY$3&gt;TODAY()),"",IF(AND(HB524="",HC524=""),"",N(HC524)-N(HB524)))</f>
        <v/>
      </c>
      <c r="HH524">
        <f>IF(OR(HF$3="",HF$3&gt;TODAY()),"",IF(AND(HF524="",HG524=""),"",N(HG524)-N(HF524)))</f>
        <v/>
      </c>
      <c r="HK524">
        <f>IF(OR(HF$3="",HF$3&gt;TODAY()),"",IF(AND(HI524="",HJ524=""),"",N(HJ524)-N(HI524)))</f>
        <v/>
      </c>
      <c r="HO524">
        <f>IF(OR(HM$3="",HM$3&gt;TODAY()),"",IF(AND(HM524="",HN524=""),"",N(HN524)-N(HM524)))</f>
        <v/>
      </c>
      <c r="HR524">
        <f>IF(OR(HM$3="",HM$3&gt;TODAY()),"",IF(AND(HP524="",HQ524=""),"",N(HQ524)-N(HP524)))</f>
        <v/>
      </c>
      <c r="HV524">
        <f>IF(OR(HT$3="",HT$3&gt;TODAY()),"",IF(AND(HT524="",HU524=""),"",N(HU524)-N(HT524)))</f>
        <v/>
      </c>
      <c r="HY524">
        <f>IF(OR(HT$3="",HT$3&gt;TODAY()),"",IF(AND(HW524="",HX524=""),"",N(HX524)-N(HW524)))</f>
        <v/>
      </c>
      <c r="IC524">
        <f>IF(OR(IA$3="",IA$3&gt;TODAY()),"",IF(AND(IA524="",IB524=""),"",N(IB524)-N(IA524)))</f>
        <v/>
      </c>
      <c r="IF524">
        <f>IF(OR(IA$3="",IA$3&gt;TODAY()),"",IF(AND(ID524="",IE524=""),"",N(IE524)-N(ID524)))</f>
        <v/>
      </c>
      <c r="IJ524">
        <f>IF(OR(IH$3="",IH$3&gt;TODAY()),"",IF(AND(IH524="",II524=""),"",N(II524)-N(IH524)))</f>
        <v/>
      </c>
      <c r="IM524">
        <f>IF(OR(IH$3="",IH$3&gt;TODAY()),"",IF(AND(IK524="",IL524=""),"",N(IL524)-N(IK524)))</f>
        <v/>
      </c>
    </row>
    <row r="525">
      <c r="A525" s="21" t="n"/>
      <c r="B525" s="21" t="n"/>
      <c r="C525" s="21" t="n"/>
      <c r="D525" s="21" t="n"/>
      <c r="E525" s="21" t="n"/>
      <c r="F525" s="21" t="n"/>
      <c r="G525" s="21" t="n"/>
      <c r="H525" s="21" t="n"/>
      <c r="I525" s="22" t="n"/>
      <c r="J525" s="22" t="n"/>
      <c r="K525" s="23" t="n"/>
      <c r="L525" s="22" t="n"/>
      <c r="M525" s="22" t="n"/>
      <c r="N525" s="21" t="n"/>
      <c r="O525" s="23" t="n"/>
      <c r="P525" s="23" t="n"/>
      <c r="Q525" s="23" t="n"/>
      <c r="R525" s="23" t="n"/>
      <c r="S525" s="22" t="n"/>
      <c r="T525" s="23" t="n"/>
      <c r="U525" s="23" t="n"/>
      <c r="V525" s="24">
        <f>IF(J525&lt;&gt;"",J525,IF(I525&lt;&gt;"",I525,""))</f>
        <v/>
      </c>
      <c r="W525" s="25">
        <f>IF($E525="","",N(O525)+SUMIFS($AF525:$IN525,$AF$4:$IN$4,"SEW_ACT"))</f>
        <v/>
      </c>
      <c r="X525" s="25">
        <f>IF($E525="","",N(P525)+SUMIFS($AF525:$IN525,$AF$4:$IN$4,"WASH_ACT"))</f>
        <v/>
      </c>
      <c r="Y525" s="25">
        <f>IF($E525="","",W525-X525-N(T525)-N(U525))</f>
        <v/>
      </c>
      <c r="Z525" s="25">
        <f>IF($E525="","",IF(N(K525)-X525&lt;=0.02*N(K525),0,N(K525)-X525))</f>
        <v/>
      </c>
      <c r="AA525" s="24">
        <f>IF($E525="","",IF(S525&lt;&gt;"",S525,IF(N(O525)&gt;0,IF(L525&lt;&gt;"",L525,99999),IFERROR(1/(1/_xlfn.MINIFS($AF$3:$IN$3,$AF$4:$IN$4,"SEW_ACT",$AF525:$IN525,"&gt;0")),99999))))</f>
        <v/>
      </c>
      <c r="AB525" s="26">
        <f>IF(OR($E525="",Z525=0,V525=""),"",1+COUNTIFS(Z$8:Z$707,"&gt;0",V$8:V$707,"&lt;"&amp;V525)+COUNTIFS(Z$8:Z$707,"&gt;0",V$8:V$707,V525,AA$8:AA$707,"&lt;"&amp;AA525)+COUNTIFS(Z$8:Z$707,"&gt;0",V$8:V$707,V525,AA$8:AA$707,AA525,E$8:E$707,"&lt;"&amp;$E525))</f>
        <v/>
      </c>
      <c r="AC525" s="24">
        <f>IF(OR($E525="",Z525=0),"",IFERROR(TODAY()+ROUNDUP(Z525/(SUMIFS($AF525:$IN525,$AF$4:$IN$4,"WASH_ACT")/COUNTIFS($AF$4:$IN$4,"WASH_ACT",$AF525:$IN525,"&gt;0")),0),"no output yet"))</f>
        <v/>
      </c>
      <c r="AD525" s="26">
        <f>IF($E525="","",IFERROR(ROUND(MAX(0,SUMIFS($AF525:$IN525,$AF$4:$IN$4,"SEW_PLAN",$AF$3:$IN$3,"&lt;="&amp;TODAY())-SUMIFS($AF525:$IN525,$AF$4:$IN$4,"SEW_ACT",$AF$3:$IN$3,"&lt;="&amp;TODAY())+N(Q525))/(SUMIFS($AF525:$IN525,$AF$4:$IN$4,"SEW_PLAN")/COUNTIFS($AF$4:$IN$4,"SEW_PLAN",$AF525:$IN525,"&gt;0")),1),0))</f>
        <v/>
      </c>
      <c r="AE525" s="26">
        <f>IF($E525="","",IF(AND(Z525&gt;0,OR(AND(M525&lt;&gt;"",TODAY()&gt;M525),AND(V525&lt;&gt;"",V525-TODAY()&lt;=7))),"Yes","No"))</f>
        <v/>
      </c>
      <c r="AH525">
        <f>IF(OR(AF$3="",AF$3&gt;TODAY()),"",IF(AND(AF525="",AG525=""),"",N(AG525)-N(AF525)))</f>
        <v/>
      </c>
      <c r="AK525">
        <f>IF(OR(AF$3="",AF$3&gt;TODAY()),"",IF(AND(AI525="",AJ525=""),"",N(AJ525)-N(AI525)))</f>
        <v/>
      </c>
      <c r="AO525">
        <f>IF(OR(AM$3="",AM$3&gt;TODAY()),"",IF(AND(AM525="",AN525=""),"",N(AN525)-N(AM525)))</f>
        <v/>
      </c>
      <c r="AR525">
        <f>IF(OR(AM$3="",AM$3&gt;TODAY()),"",IF(AND(AP525="",AQ525=""),"",N(AQ525)-N(AP525)))</f>
        <v/>
      </c>
      <c r="AV525">
        <f>IF(OR(AT$3="",AT$3&gt;TODAY()),"",IF(AND(AT525="",AU525=""),"",N(AU525)-N(AT525)))</f>
        <v/>
      </c>
      <c r="AY525">
        <f>IF(OR(AT$3="",AT$3&gt;TODAY()),"",IF(AND(AW525="",AX525=""),"",N(AX525)-N(AW525)))</f>
        <v/>
      </c>
      <c r="BC525">
        <f>IF(OR(BA$3="",BA$3&gt;TODAY()),"",IF(AND(BA525="",BB525=""),"",N(BB525)-N(BA525)))</f>
        <v/>
      </c>
      <c r="BF525">
        <f>IF(OR(BA$3="",BA$3&gt;TODAY()),"",IF(AND(BD525="",BE525=""),"",N(BE525)-N(BD525)))</f>
        <v/>
      </c>
      <c r="BJ525">
        <f>IF(OR(BH$3="",BH$3&gt;TODAY()),"",IF(AND(BH525="",BI525=""),"",N(BI525)-N(BH525)))</f>
        <v/>
      </c>
      <c r="BM525">
        <f>IF(OR(BH$3="",BH$3&gt;TODAY()),"",IF(AND(BK525="",BL525=""),"",N(BL525)-N(BK525)))</f>
        <v/>
      </c>
      <c r="BQ525">
        <f>IF(OR(BO$3="",BO$3&gt;TODAY()),"",IF(AND(BO525="",BP525=""),"",N(BP525)-N(BO525)))</f>
        <v/>
      </c>
      <c r="BT525">
        <f>IF(OR(BO$3="",BO$3&gt;TODAY()),"",IF(AND(BR525="",BS525=""),"",N(BS525)-N(BR525)))</f>
        <v/>
      </c>
      <c r="BX525">
        <f>IF(OR(BV$3="",BV$3&gt;TODAY()),"",IF(AND(BV525="",BW525=""),"",N(BW525)-N(BV525)))</f>
        <v/>
      </c>
      <c r="CA525">
        <f>IF(OR(BV$3="",BV$3&gt;TODAY()),"",IF(AND(BY525="",BZ525=""),"",N(BZ525)-N(BY525)))</f>
        <v/>
      </c>
      <c r="CE525">
        <f>IF(OR(CC$3="",CC$3&gt;TODAY()),"",IF(AND(CC525="",CD525=""),"",N(CD525)-N(CC525)))</f>
        <v/>
      </c>
      <c r="CH525">
        <f>IF(OR(CC$3="",CC$3&gt;TODAY()),"",IF(AND(CF525="",CG525=""),"",N(CG525)-N(CF525)))</f>
        <v/>
      </c>
      <c r="CL525">
        <f>IF(OR(CJ$3="",CJ$3&gt;TODAY()),"",IF(AND(CJ525="",CK525=""),"",N(CK525)-N(CJ525)))</f>
        <v/>
      </c>
      <c r="CO525">
        <f>IF(OR(CJ$3="",CJ$3&gt;TODAY()),"",IF(AND(CM525="",CN525=""),"",N(CN525)-N(CM525)))</f>
        <v/>
      </c>
      <c r="CS525">
        <f>IF(OR(CQ$3="",CQ$3&gt;TODAY()),"",IF(AND(CQ525="",CR525=""),"",N(CR525)-N(CQ525)))</f>
        <v/>
      </c>
      <c r="CV525">
        <f>IF(OR(CQ$3="",CQ$3&gt;TODAY()),"",IF(AND(CT525="",CU525=""),"",N(CU525)-N(CT525)))</f>
        <v/>
      </c>
      <c r="CZ525">
        <f>IF(OR(CX$3="",CX$3&gt;TODAY()),"",IF(AND(CX525="",CY525=""),"",N(CY525)-N(CX525)))</f>
        <v/>
      </c>
      <c r="DC525">
        <f>IF(OR(CX$3="",CX$3&gt;TODAY()),"",IF(AND(DA525="",DB525=""),"",N(DB525)-N(DA525)))</f>
        <v/>
      </c>
      <c r="DG525">
        <f>IF(OR(DE$3="",DE$3&gt;TODAY()),"",IF(AND(DE525="",DF525=""),"",N(DF525)-N(DE525)))</f>
        <v/>
      </c>
      <c r="DJ525">
        <f>IF(OR(DE$3="",DE$3&gt;TODAY()),"",IF(AND(DH525="",DI525=""),"",N(DI525)-N(DH525)))</f>
        <v/>
      </c>
      <c r="DN525">
        <f>IF(OR(DL$3="",DL$3&gt;TODAY()),"",IF(AND(DL525="",DM525=""),"",N(DM525)-N(DL525)))</f>
        <v/>
      </c>
      <c r="DQ525">
        <f>IF(OR(DL$3="",DL$3&gt;TODAY()),"",IF(AND(DO525="",DP525=""),"",N(DP525)-N(DO525)))</f>
        <v/>
      </c>
      <c r="DU525">
        <f>IF(OR(DS$3="",DS$3&gt;TODAY()),"",IF(AND(DS525="",DT525=""),"",N(DT525)-N(DS525)))</f>
        <v/>
      </c>
      <c r="DX525">
        <f>IF(OR(DS$3="",DS$3&gt;TODAY()),"",IF(AND(DV525="",DW525=""),"",N(DW525)-N(DV525)))</f>
        <v/>
      </c>
      <c r="EB525">
        <f>IF(OR(DZ$3="",DZ$3&gt;TODAY()),"",IF(AND(DZ525="",EA525=""),"",N(EA525)-N(DZ525)))</f>
        <v/>
      </c>
      <c r="EE525">
        <f>IF(OR(DZ$3="",DZ$3&gt;TODAY()),"",IF(AND(EC525="",ED525=""),"",N(ED525)-N(EC525)))</f>
        <v/>
      </c>
      <c r="EI525">
        <f>IF(OR(EG$3="",EG$3&gt;TODAY()),"",IF(AND(EG525="",EH525=""),"",N(EH525)-N(EG525)))</f>
        <v/>
      </c>
      <c r="EL525">
        <f>IF(OR(EG$3="",EG$3&gt;TODAY()),"",IF(AND(EJ525="",EK525=""),"",N(EK525)-N(EJ525)))</f>
        <v/>
      </c>
      <c r="EP525">
        <f>IF(OR(EN$3="",EN$3&gt;TODAY()),"",IF(AND(EN525="",EO525=""),"",N(EO525)-N(EN525)))</f>
        <v/>
      </c>
      <c r="ES525">
        <f>IF(OR(EN$3="",EN$3&gt;TODAY()),"",IF(AND(EQ525="",ER525=""),"",N(ER525)-N(EQ525)))</f>
        <v/>
      </c>
      <c r="EW525">
        <f>IF(OR(EU$3="",EU$3&gt;TODAY()),"",IF(AND(EU525="",EV525=""),"",N(EV525)-N(EU525)))</f>
        <v/>
      </c>
      <c r="EZ525">
        <f>IF(OR(EU$3="",EU$3&gt;TODAY()),"",IF(AND(EX525="",EY525=""),"",N(EY525)-N(EX525)))</f>
        <v/>
      </c>
      <c r="FD525">
        <f>IF(OR(FB$3="",FB$3&gt;TODAY()),"",IF(AND(FB525="",FC525=""),"",N(FC525)-N(FB525)))</f>
        <v/>
      </c>
      <c r="FG525">
        <f>IF(OR(FB$3="",FB$3&gt;TODAY()),"",IF(AND(FE525="",FF525=""),"",N(FF525)-N(FE525)))</f>
        <v/>
      </c>
      <c r="FK525">
        <f>IF(OR(FI$3="",FI$3&gt;TODAY()),"",IF(AND(FI525="",FJ525=""),"",N(FJ525)-N(FI525)))</f>
        <v/>
      </c>
      <c r="FN525">
        <f>IF(OR(FI$3="",FI$3&gt;TODAY()),"",IF(AND(FL525="",FM525=""),"",N(FM525)-N(FL525)))</f>
        <v/>
      </c>
      <c r="FR525">
        <f>IF(OR(FP$3="",FP$3&gt;TODAY()),"",IF(AND(FP525="",FQ525=""),"",N(FQ525)-N(FP525)))</f>
        <v/>
      </c>
      <c r="FU525">
        <f>IF(OR(FP$3="",FP$3&gt;TODAY()),"",IF(AND(FS525="",FT525=""),"",N(FT525)-N(FS525)))</f>
        <v/>
      </c>
      <c r="FY525">
        <f>IF(OR(FW$3="",FW$3&gt;TODAY()),"",IF(AND(FW525="",FX525=""),"",N(FX525)-N(FW525)))</f>
        <v/>
      </c>
      <c r="GB525">
        <f>IF(OR(FW$3="",FW$3&gt;TODAY()),"",IF(AND(FZ525="",GA525=""),"",N(GA525)-N(FZ525)))</f>
        <v/>
      </c>
      <c r="GF525">
        <f>IF(OR(GD$3="",GD$3&gt;TODAY()),"",IF(AND(GD525="",GE525=""),"",N(GE525)-N(GD525)))</f>
        <v/>
      </c>
      <c r="GI525">
        <f>IF(OR(GD$3="",GD$3&gt;TODAY()),"",IF(AND(GG525="",GH525=""),"",N(GH525)-N(GG525)))</f>
        <v/>
      </c>
      <c r="GM525">
        <f>IF(OR(GK$3="",GK$3&gt;TODAY()),"",IF(AND(GK525="",GL525=""),"",N(GL525)-N(GK525)))</f>
        <v/>
      </c>
      <c r="GP525">
        <f>IF(OR(GK$3="",GK$3&gt;TODAY()),"",IF(AND(GN525="",GO525=""),"",N(GO525)-N(GN525)))</f>
        <v/>
      </c>
      <c r="GT525">
        <f>IF(OR(GR$3="",GR$3&gt;TODAY()),"",IF(AND(GR525="",GS525=""),"",N(GS525)-N(GR525)))</f>
        <v/>
      </c>
      <c r="GW525">
        <f>IF(OR(GR$3="",GR$3&gt;TODAY()),"",IF(AND(GU525="",GV525=""),"",N(GV525)-N(GU525)))</f>
        <v/>
      </c>
      <c r="HA525">
        <f>IF(OR(GY$3="",GY$3&gt;TODAY()),"",IF(AND(GY525="",GZ525=""),"",N(GZ525)-N(GY525)))</f>
        <v/>
      </c>
      <c r="HD525">
        <f>IF(OR(GY$3="",GY$3&gt;TODAY()),"",IF(AND(HB525="",HC525=""),"",N(HC525)-N(HB525)))</f>
        <v/>
      </c>
      <c r="HH525">
        <f>IF(OR(HF$3="",HF$3&gt;TODAY()),"",IF(AND(HF525="",HG525=""),"",N(HG525)-N(HF525)))</f>
        <v/>
      </c>
      <c r="HK525">
        <f>IF(OR(HF$3="",HF$3&gt;TODAY()),"",IF(AND(HI525="",HJ525=""),"",N(HJ525)-N(HI525)))</f>
        <v/>
      </c>
      <c r="HO525">
        <f>IF(OR(HM$3="",HM$3&gt;TODAY()),"",IF(AND(HM525="",HN525=""),"",N(HN525)-N(HM525)))</f>
        <v/>
      </c>
      <c r="HR525">
        <f>IF(OR(HM$3="",HM$3&gt;TODAY()),"",IF(AND(HP525="",HQ525=""),"",N(HQ525)-N(HP525)))</f>
        <v/>
      </c>
      <c r="HV525">
        <f>IF(OR(HT$3="",HT$3&gt;TODAY()),"",IF(AND(HT525="",HU525=""),"",N(HU525)-N(HT525)))</f>
        <v/>
      </c>
      <c r="HY525">
        <f>IF(OR(HT$3="",HT$3&gt;TODAY()),"",IF(AND(HW525="",HX525=""),"",N(HX525)-N(HW525)))</f>
        <v/>
      </c>
      <c r="IC525">
        <f>IF(OR(IA$3="",IA$3&gt;TODAY()),"",IF(AND(IA525="",IB525=""),"",N(IB525)-N(IA525)))</f>
        <v/>
      </c>
      <c r="IF525">
        <f>IF(OR(IA$3="",IA$3&gt;TODAY()),"",IF(AND(ID525="",IE525=""),"",N(IE525)-N(ID525)))</f>
        <v/>
      </c>
      <c r="IJ525">
        <f>IF(OR(IH$3="",IH$3&gt;TODAY()),"",IF(AND(IH525="",II525=""),"",N(II525)-N(IH525)))</f>
        <v/>
      </c>
      <c r="IM525">
        <f>IF(OR(IH$3="",IH$3&gt;TODAY()),"",IF(AND(IK525="",IL525=""),"",N(IL525)-N(IK525)))</f>
        <v/>
      </c>
    </row>
    <row r="526">
      <c r="A526" s="21" t="n"/>
      <c r="B526" s="21" t="n"/>
      <c r="C526" s="21" t="n"/>
      <c r="D526" s="21" t="n"/>
      <c r="E526" s="21" t="n"/>
      <c r="F526" s="21" t="n"/>
      <c r="G526" s="21" t="n"/>
      <c r="H526" s="21" t="n"/>
      <c r="I526" s="22" t="n"/>
      <c r="J526" s="22" t="n"/>
      <c r="K526" s="23" t="n"/>
      <c r="L526" s="22" t="n"/>
      <c r="M526" s="22" t="n"/>
      <c r="N526" s="21" t="n"/>
      <c r="O526" s="23" t="n"/>
      <c r="P526" s="23" t="n"/>
      <c r="Q526" s="23" t="n"/>
      <c r="R526" s="23" t="n"/>
      <c r="S526" s="22" t="n"/>
      <c r="T526" s="23" t="n"/>
      <c r="U526" s="23" t="n"/>
      <c r="V526" s="24">
        <f>IF(J526&lt;&gt;"",J526,IF(I526&lt;&gt;"",I526,""))</f>
        <v/>
      </c>
      <c r="W526" s="25">
        <f>IF($E526="","",N(O526)+SUMIFS($AF526:$IN526,$AF$4:$IN$4,"SEW_ACT"))</f>
        <v/>
      </c>
      <c r="X526" s="25">
        <f>IF($E526="","",N(P526)+SUMIFS($AF526:$IN526,$AF$4:$IN$4,"WASH_ACT"))</f>
        <v/>
      </c>
      <c r="Y526" s="25">
        <f>IF($E526="","",W526-X526-N(T526)-N(U526))</f>
        <v/>
      </c>
      <c r="Z526" s="25">
        <f>IF($E526="","",IF(N(K526)-X526&lt;=0.02*N(K526),0,N(K526)-X526))</f>
        <v/>
      </c>
      <c r="AA526" s="24">
        <f>IF($E526="","",IF(S526&lt;&gt;"",S526,IF(N(O526)&gt;0,IF(L526&lt;&gt;"",L526,99999),IFERROR(1/(1/_xlfn.MINIFS($AF$3:$IN$3,$AF$4:$IN$4,"SEW_ACT",$AF526:$IN526,"&gt;0")),99999))))</f>
        <v/>
      </c>
      <c r="AB526" s="26">
        <f>IF(OR($E526="",Z526=0,V526=""),"",1+COUNTIFS(Z$8:Z$707,"&gt;0",V$8:V$707,"&lt;"&amp;V526)+COUNTIFS(Z$8:Z$707,"&gt;0",V$8:V$707,V526,AA$8:AA$707,"&lt;"&amp;AA526)+COUNTIFS(Z$8:Z$707,"&gt;0",V$8:V$707,V526,AA$8:AA$707,AA526,E$8:E$707,"&lt;"&amp;$E526))</f>
        <v/>
      </c>
      <c r="AC526" s="24">
        <f>IF(OR($E526="",Z526=0),"",IFERROR(TODAY()+ROUNDUP(Z526/(SUMIFS($AF526:$IN526,$AF$4:$IN$4,"WASH_ACT")/COUNTIFS($AF$4:$IN$4,"WASH_ACT",$AF526:$IN526,"&gt;0")),0),"no output yet"))</f>
        <v/>
      </c>
      <c r="AD526" s="26">
        <f>IF($E526="","",IFERROR(ROUND(MAX(0,SUMIFS($AF526:$IN526,$AF$4:$IN$4,"SEW_PLAN",$AF$3:$IN$3,"&lt;="&amp;TODAY())-SUMIFS($AF526:$IN526,$AF$4:$IN$4,"SEW_ACT",$AF$3:$IN$3,"&lt;="&amp;TODAY())+N(Q526))/(SUMIFS($AF526:$IN526,$AF$4:$IN$4,"SEW_PLAN")/COUNTIFS($AF$4:$IN$4,"SEW_PLAN",$AF526:$IN526,"&gt;0")),1),0))</f>
        <v/>
      </c>
      <c r="AE526" s="26">
        <f>IF($E526="","",IF(AND(Z526&gt;0,OR(AND(M526&lt;&gt;"",TODAY()&gt;M526),AND(V526&lt;&gt;"",V526-TODAY()&lt;=7))),"Yes","No"))</f>
        <v/>
      </c>
      <c r="AH526">
        <f>IF(OR(AF$3="",AF$3&gt;TODAY()),"",IF(AND(AF526="",AG526=""),"",N(AG526)-N(AF526)))</f>
        <v/>
      </c>
      <c r="AK526">
        <f>IF(OR(AF$3="",AF$3&gt;TODAY()),"",IF(AND(AI526="",AJ526=""),"",N(AJ526)-N(AI526)))</f>
        <v/>
      </c>
      <c r="AO526">
        <f>IF(OR(AM$3="",AM$3&gt;TODAY()),"",IF(AND(AM526="",AN526=""),"",N(AN526)-N(AM526)))</f>
        <v/>
      </c>
      <c r="AR526">
        <f>IF(OR(AM$3="",AM$3&gt;TODAY()),"",IF(AND(AP526="",AQ526=""),"",N(AQ526)-N(AP526)))</f>
        <v/>
      </c>
      <c r="AV526">
        <f>IF(OR(AT$3="",AT$3&gt;TODAY()),"",IF(AND(AT526="",AU526=""),"",N(AU526)-N(AT526)))</f>
        <v/>
      </c>
      <c r="AY526">
        <f>IF(OR(AT$3="",AT$3&gt;TODAY()),"",IF(AND(AW526="",AX526=""),"",N(AX526)-N(AW526)))</f>
        <v/>
      </c>
      <c r="BC526">
        <f>IF(OR(BA$3="",BA$3&gt;TODAY()),"",IF(AND(BA526="",BB526=""),"",N(BB526)-N(BA526)))</f>
        <v/>
      </c>
      <c r="BF526">
        <f>IF(OR(BA$3="",BA$3&gt;TODAY()),"",IF(AND(BD526="",BE526=""),"",N(BE526)-N(BD526)))</f>
        <v/>
      </c>
      <c r="BJ526">
        <f>IF(OR(BH$3="",BH$3&gt;TODAY()),"",IF(AND(BH526="",BI526=""),"",N(BI526)-N(BH526)))</f>
        <v/>
      </c>
      <c r="BM526">
        <f>IF(OR(BH$3="",BH$3&gt;TODAY()),"",IF(AND(BK526="",BL526=""),"",N(BL526)-N(BK526)))</f>
        <v/>
      </c>
      <c r="BQ526">
        <f>IF(OR(BO$3="",BO$3&gt;TODAY()),"",IF(AND(BO526="",BP526=""),"",N(BP526)-N(BO526)))</f>
        <v/>
      </c>
      <c r="BT526">
        <f>IF(OR(BO$3="",BO$3&gt;TODAY()),"",IF(AND(BR526="",BS526=""),"",N(BS526)-N(BR526)))</f>
        <v/>
      </c>
      <c r="BX526">
        <f>IF(OR(BV$3="",BV$3&gt;TODAY()),"",IF(AND(BV526="",BW526=""),"",N(BW526)-N(BV526)))</f>
        <v/>
      </c>
      <c r="CA526">
        <f>IF(OR(BV$3="",BV$3&gt;TODAY()),"",IF(AND(BY526="",BZ526=""),"",N(BZ526)-N(BY526)))</f>
        <v/>
      </c>
      <c r="CE526">
        <f>IF(OR(CC$3="",CC$3&gt;TODAY()),"",IF(AND(CC526="",CD526=""),"",N(CD526)-N(CC526)))</f>
        <v/>
      </c>
      <c r="CH526">
        <f>IF(OR(CC$3="",CC$3&gt;TODAY()),"",IF(AND(CF526="",CG526=""),"",N(CG526)-N(CF526)))</f>
        <v/>
      </c>
      <c r="CL526">
        <f>IF(OR(CJ$3="",CJ$3&gt;TODAY()),"",IF(AND(CJ526="",CK526=""),"",N(CK526)-N(CJ526)))</f>
        <v/>
      </c>
      <c r="CO526">
        <f>IF(OR(CJ$3="",CJ$3&gt;TODAY()),"",IF(AND(CM526="",CN526=""),"",N(CN526)-N(CM526)))</f>
        <v/>
      </c>
      <c r="CS526">
        <f>IF(OR(CQ$3="",CQ$3&gt;TODAY()),"",IF(AND(CQ526="",CR526=""),"",N(CR526)-N(CQ526)))</f>
        <v/>
      </c>
      <c r="CV526">
        <f>IF(OR(CQ$3="",CQ$3&gt;TODAY()),"",IF(AND(CT526="",CU526=""),"",N(CU526)-N(CT526)))</f>
        <v/>
      </c>
      <c r="CZ526">
        <f>IF(OR(CX$3="",CX$3&gt;TODAY()),"",IF(AND(CX526="",CY526=""),"",N(CY526)-N(CX526)))</f>
        <v/>
      </c>
      <c r="DC526">
        <f>IF(OR(CX$3="",CX$3&gt;TODAY()),"",IF(AND(DA526="",DB526=""),"",N(DB526)-N(DA526)))</f>
        <v/>
      </c>
      <c r="DG526">
        <f>IF(OR(DE$3="",DE$3&gt;TODAY()),"",IF(AND(DE526="",DF526=""),"",N(DF526)-N(DE526)))</f>
        <v/>
      </c>
      <c r="DJ526">
        <f>IF(OR(DE$3="",DE$3&gt;TODAY()),"",IF(AND(DH526="",DI526=""),"",N(DI526)-N(DH526)))</f>
        <v/>
      </c>
      <c r="DN526">
        <f>IF(OR(DL$3="",DL$3&gt;TODAY()),"",IF(AND(DL526="",DM526=""),"",N(DM526)-N(DL526)))</f>
        <v/>
      </c>
      <c r="DQ526">
        <f>IF(OR(DL$3="",DL$3&gt;TODAY()),"",IF(AND(DO526="",DP526=""),"",N(DP526)-N(DO526)))</f>
        <v/>
      </c>
      <c r="DU526">
        <f>IF(OR(DS$3="",DS$3&gt;TODAY()),"",IF(AND(DS526="",DT526=""),"",N(DT526)-N(DS526)))</f>
        <v/>
      </c>
      <c r="DX526">
        <f>IF(OR(DS$3="",DS$3&gt;TODAY()),"",IF(AND(DV526="",DW526=""),"",N(DW526)-N(DV526)))</f>
        <v/>
      </c>
      <c r="EB526">
        <f>IF(OR(DZ$3="",DZ$3&gt;TODAY()),"",IF(AND(DZ526="",EA526=""),"",N(EA526)-N(DZ526)))</f>
        <v/>
      </c>
      <c r="EE526">
        <f>IF(OR(DZ$3="",DZ$3&gt;TODAY()),"",IF(AND(EC526="",ED526=""),"",N(ED526)-N(EC526)))</f>
        <v/>
      </c>
      <c r="EI526">
        <f>IF(OR(EG$3="",EG$3&gt;TODAY()),"",IF(AND(EG526="",EH526=""),"",N(EH526)-N(EG526)))</f>
        <v/>
      </c>
      <c r="EL526">
        <f>IF(OR(EG$3="",EG$3&gt;TODAY()),"",IF(AND(EJ526="",EK526=""),"",N(EK526)-N(EJ526)))</f>
        <v/>
      </c>
      <c r="EP526">
        <f>IF(OR(EN$3="",EN$3&gt;TODAY()),"",IF(AND(EN526="",EO526=""),"",N(EO526)-N(EN526)))</f>
        <v/>
      </c>
      <c r="ES526">
        <f>IF(OR(EN$3="",EN$3&gt;TODAY()),"",IF(AND(EQ526="",ER526=""),"",N(ER526)-N(EQ526)))</f>
        <v/>
      </c>
      <c r="EW526">
        <f>IF(OR(EU$3="",EU$3&gt;TODAY()),"",IF(AND(EU526="",EV526=""),"",N(EV526)-N(EU526)))</f>
        <v/>
      </c>
      <c r="EZ526">
        <f>IF(OR(EU$3="",EU$3&gt;TODAY()),"",IF(AND(EX526="",EY526=""),"",N(EY526)-N(EX526)))</f>
        <v/>
      </c>
      <c r="FD526">
        <f>IF(OR(FB$3="",FB$3&gt;TODAY()),"",IF(AND(FB526="",FC526=""),"",N(FC526)-N(FB526)))</f>
        <v/>
      </c>
      <c r="FG526">
        <f>IF(OR(FB$3="",FB$3&gt;TODAY()),"",IF(AND(FE526="",FF526=""),"",N(FF526)-N(FE526)))</f>
        <v/>
      </c>
      <c r="FK526">
        <f>IF(OR(FI$3="",FI$3&gt;TODAY()),"",IF(AND(FI526="",FJ526=""),"",N(FJ526)-N(FI526)))</f>
        <v/>
      </c>
      <c r="FN526">
        <f>IF(OR(FI$3="",FI$3&gt;TODAY()),"",IF(AND(FL526="",FM526=""),"",N(FM526)-N(FL526)))</f>
        <v/>
      </c>
      <c r="FR526">
        <f>IF(OR(FP$3="",FP$3&gt;TODAY()),"",IF(AND(FP526="",FQ526=""),"",N(FQ526)-N(FP526)))</f>
        <v/>
      </c>
      <c r="FU526">
        <f>IF(OR(FP$3="",FP$3&gt;TODAY()),"",IF(AND(FS526="",FT526=""),"",N(FT526)-N(FS526)))</f>
        <v/>
      </c>
      <c r="FY526">
        <f>IF(OR(FW$3="",FW$3&gt;TODAY()),"",IF(AND(FW526="",FX526=""),"",N(FX526)-N(FW526)))</f>
        <v/>
      </c>
      <c r="GB526">
        <f>IF(OR(FW$3="",FW$3&gt;TODAY()),"",IF(AND(FZ526="",GA526=""),"",N(GA526)-N(FZ526)))</f>
        <v/>
      </c>
      <c r="GF526">
        <f>IF(OR(GD$3="",GD$3&gt;TODAY()),"",IF(AND(GD526="",GE526=""),"",N(GE526)-N(GD526)))</f>
        <v/>
      </c>
      <c r="GI526">
        <f>IF(OR(GD$3="",GD$3&gt;TODAY()),"",IF(AND(GG526="",GH526=""),"",N(GH526)-N(GG526)))</f>
        <v/>
      </c>
      <c r="GM526">
        <f>IF(OR(GK$3="",GK$3&gt;TODAY()),"",IF(AND(GK526="",GL526=""),"",N(GL526)-N(GK526)))</f>
        <v/>
      </c>
      <c r="GP526">
        <f>IF(OR(GK$3="",GK$3&gt;TODAY()),"",IF(AND(GN526="",GO526=""),"",N(GO526)-N(GN526)))</f>
        <v/>
      </c>
      <c r="GT526">
        <f>IF(OR(GR$3="",GR$3&gt;TODAY()),"",IF(AND(GR526="",GS526=""),"",N(GS526)-N(GR526)))</f>
        <v/>
      </c>
      <c r="GW526">
        <f>IF(OR(GR$3="",GR$3&gt;TODAY()),"",IF(AND(GU526="",GV526=""),"",N(GV526)-N(GU526)))</f>
        <v/>
      </c>
      <c r="HA526">
        <f>IF(OR(GY$3="",GY$3&gt;TODAY()),"",IF(AND(GY526="",GZ526=""),"",N(GZ526)-N(GY526)))</f>
        <v/>
      </c>
      <c r="HD526">
        <f>IF(OR(GY$3="",GY$3&gt;TODAY()),"",IF(AND(HB526="",HC526=""),"",N(HC526)-N(HB526)))</f>
        <v/>
      </c>
      <c r="HH526">
        <f>IF(OR(HF$3="",HF$3&gt;TODAY()),"",IF(AND(HF526="",HG526=""),"",N(HG526)-N(HF526)))</f>
        <v/>
      </c>
      <c r="HK526">
        <f>IF(OR(HF$3="",HF$3&gt;TODAY()),"",IF(AND(HI526="",HJ526=""),"",N(HJ526)-N(HI526)))</f>
        <v/>
      </c>
      <c r="HO526">
        <f>IF(OR(HM$3="",HM$3&gt;TODAY()),"",IF(AND(HM526="",HN526=""),"",N(HN526)-N(HM526)))</f>
        <v/>
      </c>
      <c r="HR526">
        <f>IF(OR(HM$3="",HM$3&gt;TODAY()),"",IF(AND(HP526="",HQ526=""),"",N(HQ526)-N(HP526)))</f>
        <v/>
      </c>
      <c r="HV526">
        <f>IF(OR(HT$3="",HT$3&gt;TODAY()),"",IF(AND(HT526="",HU526=""),"",N(HU526)-N(HT526)))</f>
        <v/>
      </c>
      <c r="HY526">
        <f>IF(OR(HT$3="",HT$3&gt;TODAY()),"",IF(AND(HW526="",HX526=""),"",N(HX526)-N(HW526)))</f>
        <v/>
      </c>
      <c r="IC526">
        <f>IF(OR(IA$3="",IA$3&gt;TODAY()),"",IF(AND(IA526="",IB526=""),"",N(IB526)-N(IA526)))</f>
        <v/>
      </c>
      <c r="IF526">
        <f>IF(OR(IA$3="",IA$3&gt;TODAY()),"",IF(AND(ID526="",IE526=""),"",N(IE526)-N(ID526)))</f>
        <v/>
      </c>
      <c r="IJ526">
        <f>IF(OR(IH$3="",IH$3&gt;TODAY()),"",IF(AND(IH526="",II526=""),"",N(II526)-N(IH526)))</f>
        <v/>
      </c>
      <c r="IM526">
        <f>IF(OR(IH$3="",IH$3&gt;TODAY()),"",IF(AND(IK526="",IL526=""),"",N(IL526)-N(IK526)))</f>
        <v/>
      </c>
    </row>
    <row r="527">
      <c r="A527" s="21" t="n"/>
      <c r="B527" s="21" t="n"/>
      <c r="C527" s="21" t="n"/>
      <c r="D527" s="21" t="n"/>
      <c r="E527" s="21" t="n"/>
      <c r="F527" s="21" t="n"/>
      <c r="G527" s="21" t="n"/>
      <c r="H527" s="21" t="n"/>
      <c r="I527" s="22" t="n"/>
      <c r="J527" s="22" t="n"/>
      <c r="K527" s="23" t="n"/>
      <c r="L527" s="22" t="n"/>
      <c r="M527" s="22" t="n"/>
      <c r="N527" s="21" t="n"/>
      <c r="O527" s="23" t="n"/>
      <c r="P527" s="23" t="n"/>
      <c r="Q527" s="23" t="n"/>
      <c r="R527" s="23" t="n"/>
      <c r="S527" s="22" t="n"/>
      <c r="T527" s="23" t="n"/>
      <c r="U527" s="23" t="n"/>
      <c r="V527" s="24">
        <f>IF(J527&lt;&gt;"",J527,IF(I527&lt;&gt;"",I527,""))</f>
        <v/>
      </c>
      <c r="W527" s="25">
        <f>IF($E527="","",N(O527)+SUMIFS($AF527:$IN527,$AF$4:$IN$4,"SEW_ACT"))</f>
        <v/>
      </c>
      <c r="X527" s="25">
        <f>IF($E527="","",N(P527)+SUMIFS($AF527:$IN527,$AF$4:$IN$4,"WASH_ACT"))</f>
        <v/>
      </c>
      <c r="Y527" s="25">
        <f>IF($E527="","",W527-X527-N(T527)-N(U527))</f>
        <v/>
      </c>
      <c r="Z527" s="25">
        <f>IF($E527="","",IF(N(K527)-X527&lt;=0.02*N(K527),0,N(K527)-X527))</f>
        <v/>
      </c>
      <c r="AA527" s="24">
        <f>IF($E527="","",IF(S527&lt;&gt;"",S527,IF(N(O527)&gt;0,IF(L527&lt;&gt;"",L527,99999),IFERROR(1/(1/_xlfn.MINIFS($AF$3:$IN$3,$AF$4:$IN$4,"SEW_ACT",$AF527:$IN527,"&gt;0")),99999))))</f>
        <v/>
      </c>
      <c r="AB527" s="26">
        <f>IF(OR($E527="",Z527=0,V527=""),"",1+COUNTIFS(Z$8:Z$707,"&gt;0",V$8:V$707,"&lt;"&amp;V527)+COUNTIFS(Z$8:Z$707,"&gt;0",V$8:V$707,V527,AA$8:AA$707,"&lt;"&amp;AA527)+COUNTIFS(Z$8:Z$707,"&gt;0",V$8:V$707,V527,AA$8:AA$707,AA527,E$8:E$707,"&lt;"&amp;$E527))</f>
        <v/>
      </c>
      <c r="AC527" s="24">
        <f>IF(OR($E527="",Z527=0),"",IFERROR(TODAY()+ROUNDUP(Z527/(SUMIFS($AF527:$IN527,$AF$4:$IN$4,"WASH_ACT")/COUNTIFS($AF$4:$IN$4,"WASH_ACT",$AF527:$IN527,"&gt;0")),0),"no output yet"))</f>
        <v/>
      </c>
      <c r="AD527" s="26">
        <f>IF($E527="","",IFERROR(ROUND(MAX(0,SUMIFS($AF527:$IN527,$AF$4:$IN$4,"SEW_PLAN",$AF$3:$IN$3,"&lt;="&amp;TODAY())-SUMIFS($AF527:$IN527,$AF$4:$IN$4,"SEW_ACT",$AF$3:$IN$3,"&lt;="&amp;TODAY())+N(Q527))/(SUMIFS($AF527:$IN527,$AF$4:$IN$4,"SEW_PLAN")/COUNTIFS($AF$4:$IN$4,"SEW_PLAN",$AF527:$IN527,"&gt;0")),1),0))</f>
        <v/>
      </c>
      <c r="AE527" s="26">
        <f>IF($E527="","",IF(AND(Z527&gt;0,OR(AND(M527&lt;&gt;"",TODAY()&gt;M527),AND(V527&lt;&gt;"",V527-TODAY()&lt;=7))),"Yes","No"))</f>
        <v/>
      </c>
      <c r="AH527">
        <f>IF(OR(AF$3="",AF$3&gt;TODAY()),"",IF(AND(AF527="",AG527=""),"",N(AG527)-N(AF527)))</f>
        <v/>
      </c>
      <c r="AK527">
        <f>IF(OR(AF$3="",AF$3&gt;TODAY()),"",IF(AND(AI527="",AJ527=""),"",N(AJ527)-N(AI527)))</f>
        <v/>
      </c>
      <c r="AO527">
        <f>IF(OR(AM$3="",AM$3&gt;TODAY()),"",IF(AND(AM527="",AN527=""),"",N(AN527)-N(AM527)))</f>
        <v/>
      </c>
      <c r="AR527">
        <f>IF(OR(AM$3="",AM$3&gt;TODAY()),"",IF(AND(AP527="",AQ527=""),"",N(AQ527)-N(AP527)))</f>
        <v/>
      </c>
      <c r="AV527">
        <f>IF(OR(AT$3="",AT$3&gt;TODAY()),"",IF(AND(AT527="",AU527=""),"",N(AU527)-N(AT527)))</f>
        <v/>
      </c>
      <c r="AY527">
        <f>IF(OR(AT$3="",AT$3&gt;TODAY()),"",IF(AND(AW527="",AX527=""),"",N(AX527)-N(AW527)))</f>
        <v/>
      </c>
      <c r="BC527">
        <f>IF(OR(BA$3="",BA$3&gt;TODAY()),"",IF(AND(BA527="",BB527=""),"",N(BB527)-N(BA527)))</f>
        <v/>
      </c>
      <c r="BF527">
        <f>IF(OR(BA$3="",BA$3&gt;TODAY()),"",IF(AND(BD527="",BE527=""),"",N(BE527)-N(BD527)))</f>
        <v/>
      </c>
      <c r="BJ527">
        <f>IF(OR(BH$3="",BH$3&gt;TODAY()),"",IF(AND(BH527="",BI527=""),"",N(BI527)-N(BH527)))</f>
        <v/>
      </c>
      <c r="BM527">
        <f>IF(OR(BH$3="",BH$3&gt;TODAY()),"",IF(AND(BK527="",BL527=""),"",N(BL527)-N(BK527)))</f>
        <v/>
      </c>
      <c r="BQ527">
        <f>IF(OR(BO$3="",BO$3&gt;TODAY()),"",IF(AND(BO527="",BP527=""),"",N(BP527)-N(BO527)))</f>
        <v/>
      </c>
      <c r="BT527">
        <f>IF(OR(BO$3="",BO$3&gt;TODAY()),"",IF(AND(BR527="",BS527=""),"",N(BS527)-N(BR527)))</f>
        <v/>
      </c>
      <c r="BX527">
        <f>IF(OR(BV$3="",BV$3&gt;TODAY()),"",IF(AND(BV527="",BW527=""),"",N(BW527)-N(BV527)))</f>
        <v/>
      </c>
      <c r="CA527">
        <f>IF(OR(BV$3="",BV$3&gt;TODAY()),"",IF(AND(BY527="",BZ527=""),"",N(BZ527)-N(BY527)))</f>
        <v/>
      </c>
      <c r="CE527">
        <f>IF(OR(CC$3="",CC$3&gt;TODAY()),"",IF(AND(CC527="",CD527=""),"",N(CD527)-N(CC527)))</f>
        <v/>
      </c>
      <c r="CH527">
        <f>IF(OR(CC$3="",CC$3&gt;TODAY()),"",IF(AND(CF527="",CG527=""),"",N(CG527)-N(CF527)))</f>
        <v/>
      </c>
      <c r="CL527">
        <f>IF(OR(CJ$3="",CJ$3&gt;TODAY()),"",IF(AND(CJ527="",CK527=""),"",N(CK527)-N(CJ527)))</f>
        <v/>
      </c>
      <c r="CO527">
        <f>IF(OR(CJ$3="",CJ$3&gt;TODAY()),"",IF(AND(CM527="",CN527=""),"",N(CN527)-N(CM527)))</f>
        <v/>
      </c>
      <c r="CS527">
        <f>IF(OR(CQ$3="",CQ$3&gt;TODAY()),"",IF(AND(CQ527="",CR527=""),"",N(CR527)-N(CQ527)))</f>
        <v/>
      </c>
      <c r="CV527">
        <f>IF(OR(CQ$3="",CQ$3&gt;TODAY()),"",IF(AND(CT527="",CU527=""),"",N(CU527)-N(CT527)))</f>
        <v/>
      </c>
      <c r="CZ527">
        <f>IF(OR(CX$3="",CX$3&gt;TODAY()),"",IF(AND(CX527="",CY527=""),"",N(CY527)-N(CX527)))</f>
        <v/>
      </c>
      <c r="DC527">
        <f>IF(OR(CX$3="",CX$3&gt;TODAY()),"",IF(AND(DA527="",DB527=""),"",N(DB527)-N(DA527)))</f>
        <v/>
      </c>
      <c r="DG527">
        <f>IF(OR(DE$3="",DE$3&gt;TODAY()),"",IF(AND(DE527="",DF527=""),"",N(DF527)-N(DE527)))</f>
        <v/>
      </c>
      <c r="DJ527">
        <f>IF(OR(DE$3="",DE$3&gt;TODAY()),"",IF(AND(DH527="",DI527=""),"",N(DI527)-N(DH527)))</f>
        <v/>
      </c>
      <c r="DN527">
        <f>IF(OR(DL$3="",DL$3&gt;TODAY()),"",IF(AND(DL527="",DM527=""),"",N(DM527)-N(DL527)))</f>
        <v/>
      </c>
      <c r="DQ527">
        <f>IF(OR(DL$3="",DL$3&gt;TODAY()),"",IF(AND(DO527="",DP527=""),"",N(DP527)-N(DO527)))</f>
        <v/>
      </c>
      <c r="DU527">
        <f>IF(OR(DS$3="",DS$3&gt;TODAY()),"",IF(AND(DS527="",DT527=""),"",N(DT527)-N(DS527)))</f>
        <v/>
      </c>
      <c r="DX527">
        <f>IF(OR(DS$3="",DS$3&gt;TODAY()),"",IF(AND(DV527="",DW527=""),"",N(DW527)-N(DV527)))</f>
        <v/>
      </c>
      <c r="EB527">
        <f>IF(OR(DZ$3="",DZ$3&gt;TODAY()),"",IF(AND(DZ527="",EA527=""),"",N(EA527)-N(DZ527)))</f>
        <v/>
      </c>
      <c r="EE527">
        <f>IF(OR(DZ$3="",DZ$3&gt;TODAY()),"",IF(AND(EC527="",ED527=""),"",N(ED527)-N(EC527)))</f>
        <v/>
      </c>
      <c r="EI527">
        <f>IF(OR(EG$3="",EG$3&gt;TODAY()),"",IF(AND(EG527="",EH527=""),"",N(EH527)-N(EG527)))</f>
        <v/>
      </c>
      <c r="EL527">
        <f>IF(OR(EG$3="",EG$3&gt;TODAY()),"",IF(AND(EJ527="",EK527=""),"",N(EK527)-N(EJ527)))</f>
        <v/>
      </c>
      <c r="EP527">
        <f>IF(OR(EN$3="",EN$3&gt;TODAY()),"",IF(AND(EN527="",EO527=""),"",N(EO527)-N(EN527)))</f>
        <v/>
      </c>
      <c r="ES527">
        <f>IF(OR(EN$3="",EN$3&gt;TODAY()),"",IF(AND(EQ527="",ER527=""),"",N(ER527)-N(EQ527)))</f>
        <v/>
      </c>
      <c r="EW527">
        <f>IF(OR(EU$3="",EU$3&gt;TODAY()),"",IF(AND(EU527="",EV527=""),"",N(EV527)-N(EU527)))</f>
        <v/>
      </c>
      <c r="EZ527">
        <f>IF(OR(EU$3="",EU$3&gt;TODAY()),"",IF(AND(EX527="",EY527=""),"",N(EY527)-N(EX527)))</f>
        <v/>
      </c>
      <c r="FD527">
        <f>IF(OR(FB$3="",FB$3&gt;TODAY()),"",IF(AND(FB527="",FC527=""),"",N(FC527)-N(FB527)))</f>
        <v/>
      </c>
      <c r="FG527">
        <f>IF(OR(FB$3="",FB$3&gt;TODAY()),"",IF(AND(FE527="",FF527=""),"",N(FF527)-N(FE527)))</f>
        <v/>
      </c>
      <c r="FK527">
        <f>IF(OR(FI$3="",FI$3&gt;TODAY()),"",IF(AND(FI527="",FJ527=""),"",N(FJ527)-N(FI527)))</f>
        <v/>
      </c>
      <c r="FN527">
        <f>IF(OR(FI$3="",FI$3&gt;TODAY()),"",IF(AND(FL527="",FM527=""),"",N(FM527)-N(FL527)))</f>
        <v/>
      </c>
      <c r="FR527">
        <f>IF(OR(FP$3="",FP$3&gt;TODAY()),"",IF(AND(FP527="",FQ527=""),"",N(FQ527)-N(FP527)))</f>
        <v/>
      </c>
      <c r="FU527">
        <f>IF(OR(FP$3="",FP$3&gt;TODAY()),"",IF(AND(FS527="",FT527=""),"",N(FT527)-N(FS527)))</f>
        <v/>
      </c>
      <c r="FY527">
        <f>IF(OR(FW$3="",FW$3&gt;TODAY()),"",IF(AND(FW527="",FX527=""),"",N(FX527)-N(FW527)))</f>
        <v/>
      </c>
      <c r="GB527">
        <f>IF(OR(FW$3="",FW$3&gt;TODAY()),"",IF(AND(FZ527="",GA527=""),"",N(GA527)-N(FZ527)))</f>
        <v/>
      </c>
      <c r="GF527">
        <f>IF(OR(GD$3="",GD$3&gt;TODAY()),"",IF(AND(GD527="",GE527=""),"",N(GE527)-N(GD527)))</f>
        <v/>
      </c>
      <c r="GI527">
        <f>IF(OR(GD$3="",GD$3&gt;TODAY()),"",IF(AND(GG527="",GH527=""),"",N(GH527)-N(GG527)))</f>
        <v/>
      </c>
      <c r="GM527">
        <f>IF(OR(GK$3="",GK$3&gt;TODAY()),"",IF(AND(GK527="",GL527=""),"",N(GL527)-N(GK527)))</f>
        <v/>
      </c>
      <c r="GP527">
        <f>IF(OR(GK$3="",GK$3&gt;TODAY()),"",IF(AND(GN527="",GO527=""),"",N(GO527)-N(GN527)))</f>
        <v/>
      </c>
      <c r="GT527">
        <f>IF(OR(GR$3="",GR$3&gt;TODAY()),"",IF(AND(GR527="",GS527=""),"",N(GS527)-N(GR527)))</f>
        <v/>
      </c>
      <c r="GW527">
        <f>IF(OR(GR$3="",GR$3&gt;TODAY()),"",IF(AND(GU527="",GV527=""),"",N(GV527)-N(GU527)))</f>
        <v/>
      </c>
      <c r="HA527">
        <f>IF(OR(GY$3="",GY$3&gt;TODAY()),"",IF(AND(GY527="",GZ527=""),"",N(GZ527)-N(GY527)))</f>
        <v/>
      </c>
      <c r="HD527">
        <f>IF(OR(GY$3="",GY$3&gt;TODAY()),"",IF(AND(HB527="",HC527=""),"",N(HC527)-N(HB527)))</f>
        <v/>
      </c>
      <c r="HH527">
        <f>IF(OR(HF$3="",HF$3&gt;TODAY()),"",IF(AND(HF527="",HG527=""),"",N(HG527)-N(HF527)))</f>
        <v/>
      </c>
      <c r="HK527">
        <f>IF(OR(HF$3="",HF$3&gt;TODAY()),"",IF(AND(HI527="",HJ527=""),"",N(HJ527)-N(HI527)))</f>
        <v/>
      </c>
      <c r="HO527">
        <f>IF(OR(HM$3="",HM$3&gt;TODAY()),"",IF(AND(HM527="",HN527=""),"",N(HN527)-N(HM527)))</f>
        <v/>
      </c>
      <c r="HR527">
        <f>IF(OR(HM$3="",HM$3&gt;TODAY()),"",IF(AND(HP527="",HQ527=""),"",N(HQ527)-N(HP527)))</f>
        <v/>
      </c>
      <c r="HV527">
        <f>IF(OR(HT$3="",HT$3&gt;TODAY()),"",IF(AND(HT527="",HU527=""),"",N(HU527)-N(HT527)))</f>
        <v/>
      </c>
      <c r="HY527">
        <f>IF(OR(HT$3="",HT$3&gt;TODAY()),"",IF(AND(HW527="",HX527=""),"",N(HX527)-N(HW527)))</f>
        <v/>
      </c>
      <c r="IC527">
        <f>IF(OR(IA$3="",IA$3&gt;TODAY()),"",IF(AND(IA527="",IB527=""),"",N(IB527)-N(IA527)))</f>
        <v/>
      </c>
      <c r="IF527">
        <f>IF(OR(IA$3="",IA$3&gt;TODAY()),"",IF(AND(ID527="",IE527=""),"",N(IE527)-N(ID527)))</f>
        <v/>
      </c>
      <c r="IJ527">
        <f>IF(OR(IH$3="",IH$3&gt;TODAY()),"",IF(AND(IH527="",II527=""),"",N(II527)-N(IH527)))</f>
        <v/>
      </c>
      <c r="IM527">
        <f>IF(OR(IH$3="",IH$3&gt;TODAY()),"",IF(AND(IK527="",IL527=""),"",N(IL527)-N(IK527)))</f>
        <v/>
      </c>
    </row>
    <row r="528">
      <c r="A528" s="21" t="n"/>
      <c r="B528" s="21" t="n"/>
      <c r="C528" s="21" t="n"/>
      <c r="D528" s="21" t="n"/>
      <c r="E528" s="21" t="n"/>
      <c r="F528" s="21" t="n"/>
      <c r="G528" s="21" t="n"/>
      <c r="H528" s="21" t="n"/>
      <c r="I528" s="22" t="n"/>
      <c r="J528" s="22" t="n"/>
      <c r="K528" s="23" t="n"/>
      <c r="L528" s="22" t="n"/>
      <c r="M528" s="22" t="n"/>
      <c r="N528" s="21" t="n"/>
      <c r="O528" s="23" t="n"/>
      <c r="P528" s="23" t="n"/>
      <c r="Q528" s="23" t="n"/>
      <c r="R528" s="23" t="n"/>
      <c r="S528" s="22" t="n"/>
      <c r="T528" s="23" t="n"/>
      <c r="U528" s="23" t="n"/>
      <c r="V528" s="24">
        <f>IF(J528&lt;&gt;"",J528,IF(I528&lt;&gt;"",I528,""))</f>
        <v/>
      </c>
      <c r="W528" s="25">
        <f>IF($E528="","",N(O528)+SUMIFS($AF528:$IN528,$AF$4:$IN$4,"SEW_ACT"))</f>
        <v/>
      </c>
      <c r="X528" s="25">
        <f>IF($E528="","",N(P528)+SUMIFS($AF528:$IN528,$AF$4:$IN$4,"WASH_ACT"))</f>
        <v/>
      </c>
      <c r="Y528" s="25">
        <f>IF($E528="","",W528-X528-N(T528)-N(U528))</f>
        <v/>
      </c>
      <c r="Z528" s="25">
        <f>IF($E528="","",IF(N(K528)-X528&lt;=0.02*N(K528),0,N(K528)-X528))</f>
        <v/>
      </c>
      <c r="AA528" s="24">
        <f>IF($E528="","",IF(S528&lt;&gt;"",S528,IF(N(O528)&gt;0,IF(L528&lt;&gt;"",L528,99999),IFERROR(1/(1/_xlfn.MINIFS($AF$3:$IN$3,$AF$4:$IN$4,"SEW_ACT",$AF528:$IN528,"&gt;0")),99999))))</f>
        <v/>
      </c>
      <c r="AB528" s="26">
        <f>IF(OR($E528="",Z528=0,V528=""),"",1+COUNTIFS(Z$8:Z$707,"&gt;0",V$8:V$707,"&lt;"&amp;V528)+COUNTIFS(Z$8:Z$707,"&gt;0",V$8:V$707,V528,AA$8:AA$707,"&lt;"&amp;AA528)+COUNTIFS(Z$8:Z$707,"&gt;0",V$8:V$707,V528,AA$8:AA$707,AA528,E$8:E$707,"&lt;"&amp;$E528))</f>
        <v/>
      </c>
      <c r="AC528" s="24">
        <f>IF(OR($E528="",Z528=0),"",IFERROR(TODAY()+ROUNDUP(Z528/(SUMIFS($AF528:$IN528,$AF$4:$IN$4,"WASH_ACT")/COUNTIFS($AF$4:$IN$4,"WASH_ACT",$AF528:$IN528,"&gt;0")),0),"no output yet"))</f>
        <v/>
      </c>
      <c r="AD528" s="26">
        <f>IF($E528="","",IFERROR(ROUND(MAX(0,SUMIFS($AF528:$IN528,$AF$4:$IN$4,"SEW_PLAN",$AF$3:$IN$3,"&lt;="&amp;TODAY())-SUMIFS($AF528:$IN528,$AF$4:$IN$4,"SEW_ACT",$AF$3:$IN$3,"&lt;="&amp;TODAY())+N(Q528))/(SUMIFS($AF528:$IN528,$AF$4:$IN$4,"SEW_PLAN")/COUNTIFS($AF$4:$IN$4,"SEW_PLAN",$AF528:$IN528,"&gt;0")),1),0))</f>
        <v/>
      </c>
      <c r="AE528" s="26">
        <f>IF($E528="","",IF(AND(Z528&gt;0,OR(AND(M528&lt;&gt;"",TODAY()&gt;M528),AND(V528&lt;&gt;"",V528-TODAY()&lt;=7))),"Yes","No"))</f>
        <v/>
      </c>
      <c r="AH528">
        <f>IF(OR(AF$3="",AF$3&gt;TODAY()),"",IF(AND(AF528="",AG528=""),"",N(AG528)-N(AF528)))</f>
        <v/>
      </c>
      <c r="AK528">
        <f>IF(OR(AF$3="",AF$3&gt;TODAY()),"",IF(AND(AI528="",AJ528=""),"",N(AJ528)-N(AI528)))</f>
        <v/>
      </c>
      <c r="AO528">
        <f>IF(OR(AM$3="",AM$3&gt;TODAY()),"",IF(AND(AM528="",AN528=""),"",N(AN528)-N(AM528)))</f>
        <v/>
      </c>
      <c r="AR528">
        <f>IF(OR(AM$3="",AM$3&gt;TODAY()),"",IF(AND(AP528="",AQ528=""),"",N(AQ528)-N(AP528)))</f>
        <v/>
      </c>
      <c r="AV528">
        <f>IF(OR(AT$3="",AT$3&gt;TODAY()),"",IF(AND(AT528="",AU528=""),"",N(AU528)-N(AT528)))</f>
        <v/>
      </c>
      <c r="AY528">
        <f>IF(OR(AT$3="",AT$3&gt;TODAY()),"",IF(AND(AW528="",AX528=""),"",N(AX528)-N(AW528)))</f>
        <v/>
      </c>
      <c r="BC528">
        <f>IF(OR(BA$3="",BA$3&gt;TODAY()),"",IF(AND(BA528="",BB528=""),"",N(BB528)-N(BA528)))</f>
        <v/>
      </c>
      <c r="BF528">
        <f>IF(OR(BA$3="",BA$3&gt;TODAY()),"",IF(AND(BD528="",BE528=""),"",N(BE528)-N(BD528)))</f>
        <v/>
      </c>
      <c r="BJ528">
        <f>IF(OR(BH$3="",BH$3&gt;TODAY()),"",IF(AND(BH528="",BI528=""),"",N(BI528)-N(BH528)))</f>
        <v/>
      </c>
      <c r="BM528">
        <f>IF(OR(BH$3="",BH$3&gt;TODAY()),"",IF(AND(BK528="",BL528=""),"",N(BL528)-N(BK528)))</f>
        <v/>
      </c>
      <c r="BQ528">
        <f>IF(OR(BO$3="",BO$3&gt;TODAY()),"",IF(AND(BO528="",BP528=""),"",N(BP528)-N(BO528)))</f>
        <v/>
      </c>
      <c r="BT528">
        <f>IF(OR(BO$3="",BO$3&gt;TODAY()),"",IF(AND(BR528="",BS528=""),"",N(BS528)-N(BR528)))</f>
        <v/>
      </c>
      <c r="BX528">
        <f>IF(OR(BV$3="",BV$3&gt;TODAY()),"",IF(AND(BV528="",BW528=""),"",N(BW528)-N(BV528)))</f>
        <v/>
      </c>
      <c r="CA528">
        <f>IF(OR(BV$3="",BV$3&gt;TODAY()),"",IF(AND(BY528="",BZ528=""),"",N(BZ528)-N(BY528)))</f>
        <v/>
      </c>
      <c r="CE528">
        <f>IF(OR(CC$3="",CC$3&gt;TODAY()),"",IF(AND(CC528="",CD528=""),"",N(CD528)-N(CC528)))</f>
        <v/>
      </c>
      <c r="CH528">
        <f>IF(OR(CC$3="",CC$3&gt;TODAY()),"",IF(AND(CF528="",CG528=""),"",N(CG528)-N(CF528)))</f>
        <v/>
      </c>
      <c r="CL528">
        <f>IF(OR(CJ$3="",CJ$3&gt;TODAY()),"",IF(AND(CJ528="",CK528=""),"",N(CK528)-N(CJ528)))</f>
        <v/>
      </c>
      <c r="CO528">
        <f>IF(OR(CJ$3="",CJ$3&gt;TODAY()),"",IF(AND(CM528="",CN528=""),"",N(CN528)-N(CM528)))</f>
        <v/>
      </c>
      <c r="CS528">
        <f>IF(OR(CQ$3="",CQ$3&gt;TODAY()),"",IF(AND(CQ528="",CR528=""),"",N(CR528)-N(CQ528)))</f>
        <v/>
      </c>
      <c r="CV528">
        <f>IF(OR(CQ$3="",CQ$3&gt;TODAY()),"",IF(AND(CT528="",CU528=""),"",N(CU528)-N(CT528)))</f>
        <v/>
      </c>
      <c r="CZ528">
        <f>IF(OR(CX$3="",CX$3&gt;TODAY()),"",IF(AND(CX528="",CY528=""),"",N(CY528)-N(CX528)))</f>
        <v/>
      </c>
      <c r="DC528">
        <f>IF(OR(CX$3="",CX$3&gt;TODAY()),"",IF(AND(DA528="",DB528=""),"",N(DB528)-N(DA528)))</f>
        <v/>
      </c>
      <c r="DG528">
        <f>IF(OR(DE$3="",DE$3&gt;TODAY()),"",IF(AND(DE528="",DF528=""),"",N(DF528)-N(DE528)))</f>
        <v/>
      </c>
      <c r="DJ528">
        <f>IF(OR(DE$3="",DE$3&gt;TODAY()),"",IF(AND(DH528="",DI528=""),"",N(DI528)-N(DH528)))</f>
        <v/>
      </c>
      <c r="DN528">
        <f>IF(OR(DL$3="",DL$3&gt;TODAY()),"",IF(AND(DL528="",DM528=""),"",N(DM528)-N(DL528)))</f>
        <v/>
      </c>
      <c r="DQ528">
        <f>IF(OR(DL$3="",DL$3&gt;TODAY()),"",IF(AND(DO528="",DP528=""),"",N(DP528)-N(DO528)))</f>
        <v/>
      </c>
      <c r="DU528">
        <f>IF(OR(DS$3="",DS$3&gt;TODAY()),"",IF(AND(DS528="",DT528=""),"",N(DT528)-N(DS528)))</f>
        <v/>
      </c>
      <c r="DX528">
        <f>IF(OR(DS$3="",DS$3&gt;TODAY()),"",IF(AND(DV528="",DW528=""),"",N(DW528)-N(DV528)))</f>
        <v/>
      </c>
      <c r="EB528">
        <f>IF(OR(DZ$3="",DZ$3&gt;TODAY()),"",IF(AND(DZ528="",EA528=""),"",N(EA528)-N(DZ528)))</f>
        <v/>
      </c>
      <c r="EE528">
        <f>IF(OR(DZ$3="",DZ$3&gt;TODAY()),"",IF(AND(EC528="",ED528=""),"",N(ED528)-N(EC528)))</f>
        <v/>
      </c>
      <c r="EI528">
        <f>IF(OR(EG$3="",EG$3&gt;TODAY()),"",IF(AND(EG528="",EH528=""),"",N(EH528)-N(EG528)))</f>
        <v/>
      </c>
      <c r="EL528">
        <f>IF(OR(EG$3="",EG$3&gt;TODAY()),"",IF(AND(EJ528="",EK528=""),"",N(EK528)-N(EJ528)))</f>
        <v/>
      </c>
      <c r="EP528">
        <f>IF(OR(EN$3="",EN$3&gt;TODAY()),"",IF(AND(EN528="",EO528=""),"",N(EO528)-N(EN528)))</f>
        <v/>
      </c>
      <c r="ES528">
        <f>IF(OR(EN$3="",EN$3&gt;TODAY()),"",IF(AND(EQ528="",ER528=""),"",N(ER528)-N(EQ528)))</f>
        <v/>
      </c>
      <c r="EW528">
        <f>IF(OR(EU$3="",EU$3&gt;TODAY()),"",IF(AND(EU528="",EV528=""),"",N(EV528)-N(EU528)))</f>
        <v/>
      </c>
      <c r="EZ528">
        <f>IF(OR(EU$3="",EU$3&gt;TODAY()),"",IF(AND(EX528="",EY528=""),"",N(EY528)-N(EX528)))</f>
        <v/>
      </c>
      <c r="FD528">
        <f>IF(OR(FB$3="",FB$3&gt;TODAY()),"",IF(AND(FB528="",FC528=""),"",N(FC528)-N(FB528)))</f>
        <v/>
      </c>
      <c r="FG528">
        <f>IF(OR(FB$3="",FB$3&gt;TODAY()),"",IF(AND(FE528="",FF528=""),"",N(FF528)-N(FE528)))</f>
        <v/>
      </c>
      <c r="FK528">
        <f>IF(OR(FI$3="",FI$3&gt;TODAY()),"",IF(AND(FI528="",FJ528=""),"",N(FJ528)-N(FI528)))</f>
        <v/>
      </c>
      <c r="FN528">
        <f>IF(OR(FI$3="",FI$3&gt;TODAY()),"",IF(AND(FL528="",FM528=""),"",N(FM528)-N(FL528)))</f>
        <v/>
      </c>
      <c r="FR528">
        <f>IF(OR(FP$3="",FP$3&gt;TODAY()),"",IF(AND(FP528="",FQ528=""),"",N(FQ528)-N(FP528)))</f>
        <v/>
      </c>
      <c r="FU528">
        <f>IF(OR(FP$3="",FP$3&gt;TODAY()),"",IF(AND(FS528="",FT528=""),"",N(FT528)-N(FS528)))</f>
        <v/>
      </c>
      <c r="FY528">
        <f>IF(OR(FW$3="",FW$3&gt;TODAY()),"",IF(AND(FW528="",FX528=""),"",N(FX528)-N(FW528)))</f>
        <v/>
      </c>
      <c r="GB528">
        <f>IF(OR(FW$3="",FW$3&gt;TODAY()),"",IF(AND(FZ528="",GA528=""),"",N(GA528)-N(FZ528)))</f>
        <v/>
      </c>
      <c r="GF528">
        <f>IF(OR(GD$3="",GD$3&gt;TODAY()),"",IF(AND(GD528="",GE528=""),"",N(GE528)-N(GD528)))</f>
        <v/>
      </c>
      <c r="GI528">
        <f>IF(OR(GD$3="",GD$3&gt;TODAY()),"",IF(AND(GG528="",GH528=""),"",N(GH528)-N(GG528)))</f>
        <v/>
      </c>
      <c r="GM528">
        <f>IF(OR(GK$3="",GK$3&gt;TODAY()),"",IF(AND(GK528="",GL528=""),"",N(GL528)-N(GK528)))</f>
        <v/>
      </c>
      <c r="GP528">
        <f>IF(OR(GK$3="",GK$3&gt;TODAY()),"",IF(AND(GN528="",GO528=""),"",N(GO528)-N(GN528)))</f>
        <v/>
      </c>
      <c r="GT528">
        <f>IF(OR(GR$3="",GR$3&gt;TODAY()),"",IF(AND(GR528="",GS528=""),"",N(GS528)-N(GR528)))</f>
        <v/>
      </c>
      <c r="GW528">
        <f>IF(OR(GR$3="",GR$3&gt;TODAY()),"",IF(AND(GU528="",GV528=""),"",N(GV528)-N(GU528)))</f>
        <v/>
      </c>
      <c r="HA528">
        <f>IF(OR(GY$3="",GY$3&gt;TODAY()),"",IF(AND(GY528="",GZ528=""),"",N(GZ528)-N(GY528)))</f>
        <v/>
      </c>
      <c r="HD528">
        <f>IF(OR(GY$3="",GY$3&gt;TODAY()),"",IF(AND(HB528="",HC528=""),"",N(HC528)-N(HB528)))</f>
        <v/>
      </c>
      <c r="HH528">
        <f>IF(OR(HF$3="",HF$3&gt;TODAY()),"",IF(AND(HF528="",HG528=""),"",N(HG528)-N(HF528)))</f>
        <v/>
      </c>
      <c r="HK528">
        <f>IF(OR(HF$3="",HF$3&gt;TODAY()),"",IF(AND(HI528="",HJ528=""),"",N(HJ528)-N(HI528)))</f>
        <v/>
      </c>
      <c r="HO528">
        <f>IF(OR(HM$3="",HM$3&gt;TODAY()),"",IF(AND(HM528="",HN528=""),"",N(HN528)-N(HM528)))</f>
        <v/>
      </c>
      <c r="HR528">
        <f>IF(OR(HM$3="",HM$3&gt;TODAY()),"",IF(AND(HP528="",HQ528=""),"",N(HQ528)-N(HP528)))</f>
        <v/>
      </c>
      <c r="HV528">
        <f>IF(OR(HT$3="",HT$3&gt;TODAY()),"",IF(AND(HT528="",HU528=""),"",N(HU528)-N(HT528)))</f>
        <v/>
      </c>
      <c r="HY528">
        <f>IF(OR(HT$3="",HT$3&gt;TODAY()),"",IF(AND(HW528="",HX528=""),"",N(HX528)-N(HW528)))</f>
        <v/>
      </c>
      <c r="IC528">
        <f>IF(OR(IA$3="",IA$3&gt;TODAY()),"",IF(AND(IA528="",IB528=""),"",N(IB528)-N(IA528)))</f>
        <v/>
      </c>
      <c r="IF528">
        <f>IF(OR(IA$3="",IA$3&gt;TODAY()),"",IF(AND(ID528="",IE528=""),"",N(IE528)-N(ID528)))</f>
        <v/>
      </c>
      <c r="IJ528">
        <f>IF(OR(IH$3="",IH$3&gt;TODAY()),"",IF(AND(IH528="",II528=""),"",N(II528)-N(IH528)))</f>
        <v/>
      </c>
      <c r="IM528">
        <f>IF(OR(IH$3="",IH$3&gt;TODAY()),"",IF(AND(IK528="",IL528=""),"",N(IL528)-N(IK528)))</f>
        <v/>
      </c>
    </row>
    <row r="529">
      <c r="A529" s="21" t="n"/>
      <c r="B529" s="21" t="n"/>
      <c r="C529" s="21" t="n"/>
      <c r="D529" s="21" t="n"/>
      <c r="E529" s="21" t="n"/>
      <c r="F529" s="21" t="n"/>
      <c r="G529" s="21" t="n"/>
      <c r="H529" s="21" t="n"/>
      <c r="I529" s="22" t="n"/>
      <c r="J529" s="22" t="n"/>
      <c r="K529" s="23" t="n"/>
      <c r="L529" s="22" t="n"/>
      <c r="M529" s="22" t="n"/>
      <c r="N529" s="21" t="n"/>
      <c r="O529" s="23" t="n"/>
      <c r="P529" s="23" t="n"/>
      <c r="Q529" s="23" t="n"/>
      <c r="R529" s="23" t="n"/>
      <c r="S529" s="22" t="n"/>
      <c r="T529" s="23" t="n"/>
      <c r="U529" s="23" t="n"/>
      <c r="V529" s="24">
        <f>IF(J529&lt;&gt;"",J529,IF(I529&lt;&gt;"",I529,""))</f>
        <v/>
      </c>
      <c r="W529" s="25">
        <f>IF($E529="","",N(O529)+SUMIFS($AF529:$IN529,$AF$4:$IN$4,"SEW_ACT"))</f>
        <v/>
      </c>
      <c r="X529" s="25">
        <f>IF($E529="","",N(P529)+SUMIFS($AF529:$IN529,$AF$4:$IN$4,"WASH_ACT"))</f>
        <v/>
      </c>
      <c r="Y529" s="25">
        <f>IF($E529="","",W529-X529-N(T529)-N(U529))</f>
        <v/>
      </c>
      <c r="Z529" s="25">
        <f>IF($E529="","",IF(N(K529)-X529&lt;=0.02*N(K529),0,N(K529)-X529))</f>
        <v/>
      </c>
      <c r="AA529" s="24">
        <f>IF($E529="","",IF(S529&lt;&gt;"",S529,IF(N(O529)&gt;0,IF(L529&lt;&gt;"",L529,99999),IFERROR(1/(1/_xlfn.MINIFS($AF$3:$IN$3,$AF$4:$IN$4,"SEW_ACT",$AF529:$IN529,"&gt;0")),99999))))</f>
        <v/>
      </c>
      <c r="AB529" s="26">
        <f>IF(OR($E529="",Z529=0,V529=""),"",1+COUNTIFS(Z$8:Z$707,"&gt;0",V$8:V$707,"&lt;"&amp;V529)+COUNTIFS(Z$8:Z$707,"&gt;0",V$8:V$707,V529,AA$8:AA$707,"&lt;"&amp;AA529)+COUNTIFS(Z$8:Z$707,"&gt;0",V$8:V$707,V529,AA$8:AA$707,AA529,E$8:E$707,"&lt;"&amp;$E529))</f>
        <v/>
      </c>
      <c r="AC529" s="24">
        <f>IF(OR($E529="",Z529=0),"",IFERROR(TODAY()+ROUNDUP(Z529/(SUMIFS($AF529:$IN529,$AF$4:$IN$4,"WASH_ACT")/COUNTIFS($AF$4:$IN$4,"WASH_ACT",$AF529:$IN529,"&gt;0")),0),"no output yet"))</f>
        <v/>
      </c>
      <c r="AD529" s="26">
        <f>IF($E529="","",IFERROR(ROUND(MAX(0,SUMIFS($AF529:$IN529,$AF$4:$IN$4,"SEW_PLAN",$AF$3:$IN$3,"&lt;="&amp;TODAY())-SUMIFS($AF529:$IN529,$AF$4:$IN$4,"SEW_ACT",$AF$3:$IN$3,"&lt;="&amp;TODAY())+N(Q529))/(SUMIFS($AF529:$IN529,$AF$4:$IN$4,"SEW_PLAN")/COUNTIFS($AF$4:$IN$4,"SEW_PLAN",$AF529:$IN529,"&gt;0")),1),0))</f>
        <v/>
      </c>
      <c r="AE529" s="26">
        <f>IF($E529="","",IF(AND(Z529&gt;0,OR(AND(M529&lt;&gt;"",TODAY()&gt;M529),AND(V529&lt;&gt;"",V529-TODAY()&lt;=7))),"Yes","No"))</f>
        <v/>
      </c>
      <c r="AH529">
        <f>IF(OR(AF$3="",AF$3&gt;TODAY()),"",IF(AND(AF529="",AG529=""),"",N(AG529)-N(AF529)))</f>
        <v/>
      </c>
      <c r="AK529">
        <f>IF(OR(AF$3="",AF$3&gt;TODAY()),"",IF(AND(AI529="",AJ529=""),"",N(AJ529)-N(AI529)))</f>
        <v/>
      </c>
      <c r="AO529">
        <f>IF(OR(AM$3="",AM$3&gt;TODAY()),"",IF(AND(AM529="",AN529=""),"",N(AN529)-N(AM529)))</f>
        <v/>
      </c>
      <c r="AR529">
        <f>IF(OR(AM$3="",AM$3&gt;TODAY()),"",IF(AND(AP529="",AQ529=""),"",N(AQ529)-N(AP529)))</f>
        <v/>
      </c>
      <c r="AV529">
        <f>IF(OR(AT$3="",AT$3&gt;TODAY()),"",IF(AND(AT529="",AU529=""),"",N(AU529)-N(AT529)))</f>
        <v/>
      </c>
      <c r="AY529">
        <f>IF(OR(AT$3="",AT$3&gt;TODAY()),"",IF(AND(AW529="",AX529=""),"",N(AX529)-N(AW529)))</f>
        <v/>
      </c>
      <c r="BC529">
        <f>IF(OR(BA$3="",BA$3&gt;TODAY()),"",IF(AND(BA529="",BB529=""),"",N(BB529)-N(BA529)))</f>
        <v/>
      </c>
      <c r="BF529">
        <f>IF(OR(BA$3="",BA$3&gt;TODAY()),"",IF(AND(BD529="",BE529=""),"",N(BE529)-N(BD529)))</f>
        <v/>
      </c>
      <c r="BJ529">
        <f>IF(OR(BH$3="",BH$3&gt;TODAY()),"",IF(AND(BH529="",BI529=""),"",N(BI529)-N(BH529)))</f>
        <v/>
      </c>
      <c r="BM529">
        <f>IF(OR(BH$3="",BH$3&gt;TODAY()),"",IF(AND(BK529="",BL529=""),"",N(BL529)-N(BK529)))</f>
        <v/>
      </c>
      <c r="BQ529">
        <f>IF(OR(BO$3="",BO$3&gt;TODAY()),"",IF(AND(BO529="",BP529=""),"",N(BP529)-N(BO529)))</f>
        <v/>
      </c>
      <c r="BT529">
        <f>IF(OR(BO$3="",BO$3&gt;TODAY()),"",IF(AND(BR529="",BS529=""),"",N(BS529)-N(BR529)))</f>
        <v/>
      </c>
      <c r="BX529">
        <f>IF(OR(BV$3="",BV$3&gt;TODAY()),"",IF(AND(BV529="",BW529=""),"",N(BW529)-N(BV529)))</f>
        <v/>
      </c>
      <c r="CA529">
        <f>IF(OR(BV$3="",BV$3&gt;TODAY()),"",IF(AND(BY529="",BZ529=""),"",N(BZ529)-N(BY529)))</f>
        <v/>
      </c>
      <c r="CE529">
        <f>IF(OR(CC$3="",CC$3&gt;TODAY()),"",IF(AND(CC529="",CD529=""),"",N(CD529)-N(CC529)))</f>
        <v/>
      </c>
      <c r="CH529">
        <f>IF(OR(CC$3="",CC$3&gt;TODAY()),"",IF(AND(CF529="",CG529=""),"",N(CG529)-N(CF529)))</f>
        <v/>
      </c>
      <c r="CL529">
        <f>IF(OR(CJ$3="",CJ$3&gt;TODAY()),"",IF(AND(CJ529="",CK529=""),"",N(CK529)-N(CJ529)))</f>
        <v/>
      </c>
      <c r="CO529">
        <f>IF(OR(CJ$3="",CJ$3&gt;TODAY()),"",IF(AND(CM529="",CN529=""),"",N(CN529)-N(CM529)))</f>
        <v/>
      </c>
      <c r="CS529">
        <f>IF(OR(CQ$3="",CQ$3&gt;TODAY()),"",IF(AND(CQ529="",CR529=""),"",N(CR529)-N(CQ529)))</f>
        <v/>
      </c>
      <c r="CV529">
        <f>IF(OR(CQ$3="",CQ$3&gt;TODAY()),"",IF(AND(CT529="",CU529=""),"",N(CU529)-N(CT529)))</f>
        <v/>
      </c>
      <c r="CZ529">
        <f>IF(OR(CX$3="",CX$3&gt;TODAY()),"",IF(AND(CX529="",CY529=""),"",N(CY529)-N(CX529)))</f>
        <v/>
      </c>
      <c r="DC529">
        <f>IF(OR(CX$3="",CX$3&gt;TODAY()),"",IF(AND(DA529="",DB529=""),"",N(DB529)-N(DA529)))</f>
        <v/>
      </c>
      <c r="DG529">
        <f>IF(OR(DE$3="",DE$3&gt;TODAY()),"",IF(AND(DE529="",DF529=""),"",N(DF529)-N(DE529)))</f>
        <v/>
      </c>
      <c r="DJ529">
        <f>IF(OR(DE$3="",DE$3&gt;TODAY()),"",IF(AND(DH529="",DI529=""),"",N(DI529)-N(DH529)))</f>
        <v/>
      </c>
      <c r="DN529">
        <f>IF(OR(DL$3="",DL$3&gt;TODAY()),"",IF(AND(DL529="",DM529=""),"",N(DM529)-N(DL529)))</f>
        <v/>
      </c>
      <c r="DQ529">
        <f>IF(OR(DL$3="",DL$3&gt;TODAY()),"",IF(AND(DO529="",DP529=""),"",N(DP529)-N(DO529)))</f>
        <v/>
      </c>
      <c r="DU529">
        <f>IF(OR(DS$3="",DS$3&gt;TODAY()),"",IF(AND(DS529="",DT529=""),"",N(DT529)-N(DS529)))</f>
        <v/>
      </c>
      <c r="DX529">
        <f>IF(OR(DS$3="",DS$3&gt;TODAY()),"",IF(AND(DV529="",DW529=""),"",N(DW529)-N(DV529)))</f>
        <v/>
      </c>
      <c r="EB529">
        <f>IF(OR(DZ$3="",DZ$3&gt;TODAY()),"",IF(AND(DZ529="",EA529=""),"",N(EA529)-N(DZ529)))</f>
        <v/>
      </c>
      <c r="EE529">
        <f>IF(OR(DZ$3="",DZ$3&gt;TODAY()),"",IF(AND(EC529="",ED529=""),"",N(ED529)-N(EC529)))</f>
        <v/>
      </c>
      <c r="EI529">
        <f>IF(OR(EG$3="",EG$3&gt;TODAY()),"",IF(AND(EG529="",EH529=""),"",N(EH529)-N(EG529)))</f>
        <v/>
      </c>
      <c r="EL529">
        <f>IF(OR(EG$3="",EG$3&gt;TODAY()),"",IF(AND(EJ529="",EK529=""),"",N(EK529)-N(EJ529)))</f>
        <v/>
      </c>
      <c r="EP529">
        <f>IF(OR(EN$3="",EN$3&gt;TODAY()),"",IF(AND(EN529="",EO529=""),"",N(EO529)-N(EN529)))</f>
        <v/>
      </c>
      <c r="ES529">
        <f>IF(OR(EN$3="",EN$3&gt;TODAY()),"",IF(AND(EQ529="",ER529=""),"",N(ER529)-N(EQ529)))</f>
        <v/>
      </c>
      <c r="EW529">
        <f>IF(OR(EU$3="",EU$3&gt;TODAY()),"",IF(AND(EU529="",EV529=""),"",N(EV529)-N(EU529)))</f>
        <v/>
      </c>
      <c r="EZ529">
        <f>IF(OR(EU$3="",EU$3&gt;TODAY()),"",IF(AND(EX529="",EY529=""),"",N(EY529)-N(EX529)))</f>
        <v/>
      </c>
      <c r="FD529">
        <f>IF(OR(FB$3="",FB$3&gt;TODAY()),"",IF(AND(FB529="",FC529=""),"",N(FC529)-N(FB529)))</f>
        <v/>
      </c>
      <c r="FG529">
        <f>IF(OR(FB$3="",FB$3&gt;TODAY()),"",IF(AND(FE529="",FF529=""),"",N(FF529)-N(FE529)))</f>
        <v/>
      </c>
      <c r="FK529">
        <f>IF(OR(FI$3="",FI$3&gt;TODAY()),"",IF(AND(FI529="",FJ529=""),"",N(FJ529)-N(FI529)))</f>
        <v/>
      </c>
      <c r="FN529">
        <f>IF(OR(FI$3="",FI$3&gt;TODAY()),"",IF(AND(FL529="",FM529=""),"",N(FM529)-N(FL529)))</f>
        <v/>
      </c>
      <c r="FR529">
        <f>IF(OR(FP$3="",FP$3&gt;TODAY()),"",IF(AND(FP529="",FQ529=""),"",N(FQ529)-N(FP529)))</f>
        <v/>
      </c>
      <c r="FU529">
        <f>IF(OR(FP$3="",FP$3&gt;TODAY()),"",IF(AND(FS529="",FT529=""),"",N(FT529)-N(FS529)))</f>
        <v/>
      </c>
      <c r="FY529">
        <f>IF(OR(FW$3="",FW$3&gt;TODAY()),"",IF(AND(FW529="",FX529=""),"",N(FX529)-N(FW529)))</f>
        <v/>
      </c>
      <c r="GB529">
        <f>IF(OR(FW$3="",FW$3&gt;TODAY()),"",IF(AND(FZ529="",GA529=""),"",N(GA529)-N(FZ529)))</f>
        <v/>
      </c>
      <c r="GF529">
        <f>IF(OR(GD$3="",GD$3&gt;TODAY()),"",IF(AND(GD529="",GE529=""),"",N(GE529)-N(GD529)))</f>
        <v/>
      </c>
      <c r="GI529">
        <f>IF(OR(GD$3="",GD$3&gt;TODAY()),"",IF(AND(GG529="",GH529=""),"",N(GH529)-N(GG529)))</f>
        <v/>
      </c>
      <c r="GM529">
        <f>IF(OR(GK$3="",GK$3&gt;TODAY()),"",IF(AND(GK529="",GL529=""),"",N(GL529)-N(GK529)))</f>
        <v/>
      </c>
      <c r="GP529">
        <f>IF(OR(GK$3="",GK$3&gt;TODAY()),"",IF(AND(GN529="",GO529=""),"",N(GO529)-N(GN529)))</f>
        <v/>
      </c>
      <c r="GT529">
        <f>IF(OR(GR$3="",GR$3&gt;TODAY()),"",IF(AND(GR529="",GS529=""),"",N(GS529)-N(GR529)))</f>
        <v/>
      </c>
      <c r="GW529">
        <f>IF(OR(GR$3="",GR$3&gt;TODAY()),"",IF(AND(GU529="",GV529=""),"",N(GV529)-N(GU529)))</f>
        <v/>
      </c>
      <c r="HA529">
        <f>IF(OR(GY$3="",GY$3&gt;TODAY()),"",IF(AND(GY529="",GZ529=""),"",N(GZ529)-N(GY529)))</f>
        <v/>
      </c>
      <c r="HD529">
        <f>IF(OR(GY$3="",GY$3&gt;TODAY()),"",IF(AND(HB529="",HC529=""),"",N(HC529)-N(HB529)))</f>
        <v/>
      </c>
      <c r="HH529">
        <f>IF(OR(HF$3="",HF$3&gt;TODAY()),"",IF(AND(HF529="",HG529=""),"",N(HG529)-N(HF529)))</f>
        <v/>
      </c>
      <c r="HK529">
        <f>IF(OR(HF$3="",HF$3&gt;TODAY()),"",IF(AND(HI529="",HJ529=""),"",N(HJ529)-N(HI529)))</f>
        <v/>
      </c>
      <c r="HO529">
        <f>IF(OR(HM$3="",HM$3&gt;TODAY()),"",IF(AND(HM529="",HN529=""),"",N(HN529)-N(HM529)))</f>
        <v/>
      </c>
      <c r="HR529">
        <f>IF(OR(HM$3="",HM$3&gt;TODAY()),"",IF(AND(HP529="",HQ529=""),"",N(HQ529)-N(HP529)))</f>
        <v/>
      </c>
      <c r="HV529">
        <f>IF(OR(HT$3="",HT$3&gt;TODAY()),"",IF(AND(HT529="",HU529=""),"",N(HU529)-N(HT529)))</f>
        <v/>
      </c>
      <c r="HY529">
        <f>IF(OR(HT$3="",HT$3&gt;TODAY()),"",IF(AND(HW529="",HX529=""),"",N(HX529)-N(HW529)))</f>
        <v/>
      </c>
      <c r="IC529">
        <f>IF(OR(IA$3="",IA$3&gt;TODAY()),"",IF(AND(IA529="",IB529=""),"",N(IB529)-N(IA529)))</f>
        <v/>
      </c>
      <c r="IF529">
        <f>IF(OR(IA$3="",IA$3&gt;TODAY()),"",IF(AND(ID529="",IE529=""),"",N(IE529)-N(ID529)))</f>
        <v/>
      </c>
      <c r="IJ529">
        <f>IF(OR(IH$3="",IH$3&gt;TODAY()),"",IF(AND(IH529="",II529=""),"",N(II529)-N(IH529)))</f>
        <v/>
      </c>
      <c r="IM529">
        <f>IF(OR(IH$3="",IH$3&gt;TODAY()),"",IF(AND(IK529="",IL529=""),"",N(IL529)-N(IK529)))</f>
        <v/>
      </c>
    </row>
    <row r="530">
      <c r="A530" s="21" t="n"/>
      <c r="B530" s="21" t="n"/>
      <c r="C530" s="21" t="n"/>
      <c r="D530" s="21" t="n"/>
      <c r="E530" s="21" t="n"/>
      <c r="F530" s="21" t="n"/>
      <c r="G530" s="21" t="n"/>
      <c r="H530" s="21" t="n"/>
      <c r="I530" s="22" t="n"/>
      <c r="J530" s="22" t="n"/>
      <c r="K530" s="23" t="n"/>
      <c r="L530" s="22" t="n"/>
      <c r="M530" s="22" t="n"/>
      <c r="N530" s="21" t="n"/>
      <c r="O530" s="23" t="n"/>
      <c r="P530" s="23" t="n"/>
      <c r="Q530" s="23" t="n"/>
      <c r="R530" s="23" t="n"/>
      <c r="S530" s="22" t="n"/>
      <c r="T530" s="23" t="n"/>
      <c r="U530" s="23" t="n"/>
      <c r="V530" s="24">
        <f>IF(J530&lt;&gt;"",J530,IF(I530&lt;&gt;"",I530,""))</f>
        <v/>
      </c>
      <c r="W530" s="25">
        <f>IF($E530="","",N(O530)+SUMIFS($AF530:$IN530,$AF$4:$IN$4,"SEW_ACT"))</f>
        <v/>
      </c>
      <c r="X530" s="25">
        <f>IF($E530="","",N(P530)+SUMIFS($AF530:$IN530,$AF$4:$IN$4,"WASH_ACT"))</f>
        <v/>
      </c>
      <c r="Y530" s="25">
        <f>IF($E530="","",W530-X530-N(T530)-N(U530))</f>
        <v/>
      </c>
      <c r="Z530" s="25">
        <f>IF($E530="","",IF(N(K530)-X530&lt;=0.02*N(K530),0,N(K530)-X530))</f>
        <v/>
      </c>
      <c r="AA530" s="24">
        <f>IF($E530="","",IF(S530&lt;&gt;"",S530,IF(N(O530)&gt;0,IF(L530&lt;&gt;"",L530,99999),IFERROR(1/(1/_xlfn.MINIFS($AF$3:$IN$3,$AF$4:$IN$4,"SEW_ACT",$AF530:$IN530,"&gt;0")),99999))))</f>
        <v/>
      </c>
      <c r="AB530" s="26">
        <f>IF(OR($E530="",Z530=0,V530=""),"",1+COUNTIFS(Z$8:Z$707,"&gt;0",V$8:V$707,"&lt;"&amp;V530)+COUNTIFS(Z$8:Z$707,"&gt;0",V$8:V$707,V530,AA$8:AA$707,"&lt;"&amp;AA530)+COUNTIFS(Z$8:Z$707,"&gt;0",V$8:V$707,V530,AA$8:AA$707,AA530,E$8:E$707,"&lt;"&amp;$E530))</f>
        <v/>
      </c>
      <c r="AC530" s="24">
        <f>IF(OR($E530="",Z530=0),"",IFERROR(TODAY()+ROUNDUP(Z530/(SUMIFS($AF530:$IN530,$AF$4:$IN$4,"WASH_ACT")/COUNTIFS($AF$4:$IN$4,"WASH_ACT",$AF530:$IN530,"&gt;0")),0),"no output yet"))</f>
        <v/>
      </c>
      <c r="AD530" s="26">
        <f>IF($E530="","",IFERROR(ROUND(MAX(0,SUMIFS($AF530:$IN530,$AF$4:$IN$4,"SEW_PLAN",$AF$3:$IN$3,"&lt;="&amp;TODAY())-SUMIFS($AF530:$IN530,$AF$4:$IN$4,"SEW_ACT",$AF$3:$IN$3,"&lt;="&amp;TODAY())+N(Q530))/(SUMIFS($AF530:$IN530,$AF$4:$IN$4,"SEW_PLAN")/COUNTIFS($AF$4:$IN$4,"SEW_PLAN",$AF530:$IN530,"&gt;0")),1),0))</f>
        <v/>
      </c>
      <c r="AE530" s="26">
        <f>IF($E530="","",IF(AND(Z530&gt;0,OR(AND(M530&lt;&gt;"",TODAY()&gt;M530),AND(V530&lt;&gt;"",V530-TODAY()&lt;=7))),"Yes","No"))</f>
        <v/>
      </c>
      <c r="AH530">
        <f>IF(OR(AF$3="",AF$3&gt;TODAY()),"",IF(AND(AF530="",AG530=""),"",N(AG530)-N(AF530)))</f>
        <v/>
      </c>
      <c r="AK530">
        <f>IF(OR(AF$3="",AF$3&gt;TODAY()),"",IF(AND(AI530="",AJ530=""),"",N(AJ530)-N(AI530)))</f>
        <v/>
      </c>
      <c r="AO530">
        <f>IF(OR(AM$3="",AM$3&gt;TODAY()),"",IF(AND(AM530="",AN530=""),"",N(AN530)-N(AM530)))</f>
        <v/>
      </c>
      <c r="AR530">
        <f>IF(OR(AM$3="",AM$3&gt;TODAY()),"",IF(AND(AP530="",AQ530=""),"",N(AQ530)-N(AP530)))</f>
        <v/>
      </c>
      <c r="AV530">
        <f>IF(OR(AT$3="",AT$3&gt;TODAY()),"",IF(AND(AT530="",AU530=""),"",N(AU530)-N(AT530)))</f>
        <v/>
      </c>
      <c r="AY530">
        <f>IF(OR(AT$3="",AT$3&gt;TODAY()),"",IF(AND(AW530="",AX530=""),"",N(AX530)-N(AW530)))</f>
        <v/>
      </c>
      <c r="BC530">
        <f>IF(OR(BA$3="",BA$3&gt;TODAY()),"",IF(AND(BA530="",BB530=""),"",N(BB530)-N(BA530)))</f>
        <v/>
      </c>
      <c r="BF530">
        <f>IF(OR(BA$3="",BA$3&gt;TODAY()),"",IF(AND(BD530="",BE530=""),"",N(BE530)-N(BD530)))</f>
        <v/>
      </c>
      <c r="BJ530">
        <f>IF(OR(BH$3="",BH$3&gt;TODAY()),"",IF(AND(BH530="",BI530=""),"",N(BI530)-N(BH530)))</f>
        <v/>
      </c>
      <c r="BM530">
        <f>IF(OR(BH$3="",BH$3&gt;TODAY()),"",IF(AND(BK530="",BL530=""),"",N(BL530)-N(BK530)))</f>
        <v/>
      </c>
      <c r="BQ530">
        <f>IF(OR(BO$3="",BO$3&gt;TODAY()),"",IF(AND(BO530="",BP530=""),"",N(BP530)-N(BO530)))</f>
        <v/>
      </c>
      <c r="BT530">
        <f>IF(OR(BO$3="",BO$3&gt;TODAY()),"",IF(AND(BR530="",BS530=""),"",N(BS530)-N(BR530)))</f>
        <v/>
      </c>
      <c r="BX530">
        <f>IF(OR(BV$3="",BV$3&gt;TODAY()),"",IF(AND(BV530="",BW530=""),"",N(BW530)-N(BV530)))</f>
        <v/>
      </c>
      <c r="CA530">
        <f>IF(OR(BV$3="",BV$3&gt;TODAY()),"",IF(AND(BY530="",BZ530=""),"",N(BZ530)-N(BY530)))</f>
        <v/>
      </c>
      <c r="CE530">
        <f>IF(OR(CC$3="",CC$3&gt;TODAY()),"",IF(AND(CC530="",CD530=""),"",N(CD530)-N(CC530)))</f>
        <v/>
      </c>
      <c r="CH530">
        <f>IF(OR(CC$3="",CC$3&gt;TODAY()),"",IF(AND(CF530="",CG530=""),"",N(CG530)-N(CF530)))</f>
        <v/>
      </c>
      <c r="CL530">
        <f>IF(OR(CJ$3="",CJ$3&gt;TODAY()),"",IF(AND(CJ530="",CK530=""),"",N(CK530)-N(CJ530)))</f>
        <v/>
      </c>
      <c r="CO530">
        <f>IF(OR(CJ$3="",CJ$3&gt;TODAY()),"",IF(AND(CM530="",CN530=""),"",N(CN530)-N(CM530)))</f>
        <v/>
      </c>
      <c r="CS530">
        <f>IF(OR(CQ$3="",CQ$3&gt;TODAY()),"",IF(AND(CQ530="",CR530=""),"",N(CR530)-N(CQ530)))</f>
        <v/>
      </c>
      <c r="CV530">
        <f>IF(OR(CQ$3="",CQ$3&gt;TODAY()),"",IF(AND(CT530="",CU530=""),"",N(CU530)-N(CT530)))</f>
        <v/>
      </c>
      <c r="CZ530">
        <f>IF(OR(CX$3="",CX$3&gt;TODAY()),"",IF(AND(CX530="",CY530=""),"",N(CY530)-N(CX530)))</f>
        <v/>
      </c>
      <c r="DC530">
        <f>IF(OR(CX$3="",CX$3&gt;TODAY()),"",IF(AND(DA530="",DB530=""),"",N(DB530)-N(DA530)))</f>
        <v/>
      </c>
      <c r="DG530">
        <f>IF(OR(DE$3="",DE$3&gt;TODAY()),"",IF(AND(DE530="",DF530=""),"",N(DF530)-N(DE530)))</f>
        <v/>
      </c>
      <c r="DJ530">
        <f>IF(OR(DE$3="",DE$3&gt;TODAY()),"",IF(AND(DH530="",DI530=""),"",N(DI530)-N(DH530)))</f>
        <v/>
      </c>
      <c r="DN530">
        <f>IF(OR(DL$3="",DL$3&gt;TODAY()),"",IF(AND(DL530="",DM530=""),"",N(DM530)-N(DL530)))</f>
        <v/>
      </c>
      <c r="DQ530">
        <f>IF(OR(DL$3="",DL$3&gt;TODAY()),"",IF(AND(DO530="",DP530=""),"",N(DP530)-N(DO530)))</f>
        <v/>
      </c>
      <c r="DU530">
        <f>IF(OR(DS$3="",DS$3&gt;TODAY()),"",IF(AND(DS530="",DT530=""),"",N(DT530)-N(DS530)))</f>
        <v/>
      </c>
      <c r="DX530">
        <f>IF(OR(DS$3="",DS$3&gt;TODAY()),"",IF(AND(DV530="",DW530=""),"",N(DW530)-N(DV530)))</f>
        <v/>
      </c>
      <c r="EB530">
        <f>IF(OR(DZ$3="",DZ$3&gt;TODAY()),"",IF(AND(DZ530="",EA530=""),"",N(EA530)-N(DZ530)))</f>
        <v/>
      </c>
      <c r="EE530">
        <f>IF(OR(DZ$3="",DZ$3&gt;TODAY()),"",IF(AND(EC530="",ED530=""),"",N(ED530)-N(EC530)))</f>
        <v/>
      </c>
      <c r="EI530">
        <f>IF(OR(EG$3="",EG$3&gt;TODAY()),"",IF(AND(EG530="",EH530=""),"",N(EH530)-N(EG530)))</f>
        <v/>
      </c>
      <c r="EL530">
        <f>IF(OR(EG$3="",EG$3&gt;TODAY()),"",IF(AND(EJ530="",EK530=""),"",N(EK530)-N(EJ530)))</f>
        <v/>
      </c>
      <c r="EP530">
        <f>IF(OR(EN$3="",EN$3&gt;TODAY()),"",IF(AND(EN530="",EO530=""),"",N(EO530)-N(EN530)))</f>
        <v/>
      </c>
      <c r="ES530">
        <f>IF(OR(EN$3="",EN$3&gt;TODAY()),"",IF(AND(EQ530="",ER530=""),"",N(ER530)-N(EQ530)))</f>
        <v/>
      </c>
      <c r="EW530">
        <f>IF(OR(EU$3="",EU$3&gt;TODAY()),"",IF(AND(EU530="",EV530=""),"",N(EV530)-N(EU530)))</f>
        <v/>
      </c>
      <c r="EZ530">
        <f>IF(OR(EU$3="",EU$3&gt;TODAY()),"",IF(AND(EX530="",EY530=""),"",N(EY530)-N(EX530)))</f>
        <v/>
      </c>
      <c r="FD530">
        <f>IF(OR(FB$3="",FB$3&gt;TODAY()),"",IF(AND(FB530="",FC530=""),"",N(FC530)-N(FB530)))</f>
        <v/>
      </c>
      <c r="FG530">
        <f>IF(OR(FB$3="",FB$3&gt;TODAY()),"",IF(AND(FE530="",FF530=""),"",N(FF530)-N(FE530)))</f>
        <v/>
      </c>
      <c r="FK530">
        <f>IF(OR(FI$3="",FI$3&gt;TODAY()),"",IF(AND(FI530="",FJ530=""),"",N(FJ530)-N(FI530)))</f>
        <v/>
      </c>
      <c r="FN530">
        <f>IF(OR(FI$3="",FI$3&gt;TODAY()),"",IF(AND(FL530="",FM530=""),"",N(FM530)-N(FL530)))</f>
        <v/>
      </c>
      <c r="FR530">
        <f>IF(OR(FP$3="",FP$3&gt;TODAY()),"",IF(AND(FP530="",FQ530=""),"",N(FQ530)-N(FP530)))</f>
        <v/>
      </c>
      <c r="FU530">
        <f>IF(OR(FP$3="",FP$3&gt;TODAY()),"",IF(AND(FS530="",FT530=""),"",N(FT530)-N(FS530)))</f>
        <v/>
      </c>
      <c r="FY530">
        <f>IF(OR(FW$3="",FW$3&gt;TODAY()),"",IF(AND(FW530="",FX530=""),"",N(FX530)-N(FW530)))</f>
        <v/>
      </c>
      <c r="GB530">
        <f>IF(OR(FW$3="",FW$3&gt;TODAY()),"",IF(AND(FZ530="",GA530=""),"",N(GA530)-N(FZ530)))</f>
        <v/>
      </c>
      <c r="GF530">
        <f>IF(OR(GD$3="",GD$3&gt;TODAY()),"",IF(AND(GD530="",GE530=""),"",N(GE530)-N(GD530)))</f>
        <v/>
      </c>
      <c r="GI530">
        <f>IF(OR(GD$3="",GD$3&gt;TODAY()),"",IF(AND(GG530="",GH530=""),"",N(GH530)-N(GG530)))</f>
        <v/>
      </c>
      <c r="GM530">
        <f>IF(OR(GK$3="",GK$3&gt;TODAY()),"",IF(AND(GK530="",GL530=""),"",N(GL530)-N(GK530)))</f>
        <v/>
      </c>
      <c r="GP530">
        <f>IF(OR(GK$3="",GK$3&gt;TODAY()),"",IF(AND(GN530="",GO530=""),"",N(GO530)-N(GN530)))</f>
        <v/>
      </c>
      <c r="GT530">
        <f>IF(OR(GR$3="",GR$3&gt;TODAY()),"",IF(AND(GR530="",GS530=""),"",N(GS530)-N(GR530)))</f>
        <v/>
      </c>
      <c r="GW530">
        <f>IF(OR(GR$3="",GR$3&gt;TODAY()),"",IF(AND(GU530="",GV530=""),"",N(GV530)-N(GU530)))</f>
        <v/>
      </c>
      <c r="HA530">
        <f>IF(OR(GY$3="",GY$3&gt;TODAY()),"",IF(AND(GY530="",GZ530=""),"",N(GZ530)-N(GY530)))</f>
        <v/>
      </c>
      <c r="HD530">
        <f>IF(OR(GY$3="",GY$3&gt;TODAY()),"",IF(AND(HB530="",HC530=""),"",N(HC530)-N(HB530)))</f>
        <v/>
      </c>
      <c r="HH530">
        <f>IF(OR(HF$3="",HF$3&gt;TODAY()),"",IF(AND(HF530="",HG530=""),"",N(HG530)-N(HF530)))</f>
        <v/>
      </c>
      <c r="HK530">
        <f>IF(OR(HF$3="",HF$3&gt;TODAY()),"",IF(AND(HI530="",HJ530=""),"",N(HJ530)-N(HI530)))</f>
        <v/>
      </c>
      <c r="HO530">
        <f>IF(OR(HM$3="",HM$3&gt;TODAY()),"",IF(AND(HM530="",HN530=""),"",N(HN530)-N(HM530)))</f>
        <v/>
      </c>
      <c r="HR530">
        <f>IF(OR(HM$3="",HM$3&gt;TODAY()),"",IF(AND(HP530="",HQ530=""),"",N(HQ530)-N(HP530)))</f>
        <v/>
      </c>
      <c r="HV530">
        <f>IF(OR(HT$3="",HT$3&gt;TODAY()),"",IF(AND(HT530="",HU530=""),"",N(HU530)-N(HT530)))</f>
        <v/>
      </c>
      <c r="HY530">
        <f>IF(OR(HT$3="",HT$3&gt;TODAY()),"",IF(AND(HW530="",HX530=""),"",N(HX530)-N(HW530)))</f>
        <v/>
      </c>
      <c r="IC530">
        <f>IF(OR(IA$3="",IA$3&gt;TODAY()),"",IF(AND(IA530="",IB530=""),"",N(IB530)-N(IA530)))</f>
        <v/>
      </c>
      <c r="IF530">
        <f>IF(OR(IA$3="",IA$3&gt;TODAY()),"",IF(AND(ID530="",IE530=""),"",N(IE530)-N(ID530)))</f>
        <v/>
      </c>
      <c r="IJ530">
        <f>IF(OR(IH$3="",IH$3&gt;TODAY()),"",IF(AND(IH530="",II530=""),"",N(II530)-N(IH530)))</f>
        <v/>
      </c>
      <c r="IM530">
        <f>IF(OR(IH$3="",IH$3&gt;TODAY()),"",IF(AND(IK530="",IL530=""),"",N(IL530)-N(IK530)))</f>
        <v/>
      </c>
    </row>
    <row r="531">
      <c r="A531" s="21" t="n"/>
      <c r="B531" s="21" t="n"/>
      <c r="C531" s="21" t="n"/>
      <c r="D531" s="21" t="n"/>
      <c r="E531" s="21" t="n"/>
      <c r="F531" s="21" t="n"/>
      <c r="G531" s="21" t="n"/>
      <c r="H531" s="21" t="n"/>
      <c r="I531" s="22" t="n"/>
      <c r="J531" s="22" t="n"/>
      <c r="K531" s="23" t="n"/>
      <c r="L531" s="22" t="n"/>
      <c r="M531" s="22" t="n"/>
      <c r="N531" s="21" t="n"/>
      <c r="O531" s="23" t="n"/>
      <c r="P531" s="23" t="n"/>
      <c r="Q531" s="23" t="n"/>
      <c r="R531" s="23" t="n"/>
      <c r="S531" s="22" t="n"/>
      <c r="T531" s="23" t="n"/>
      <c r="U531" s="23" t="n"/>
      <c r="V531" s="24">
        <f>IF(J531&lt;&gt;"",J531,IF(I531&lt;&gt;"",I531,""))</f>
        <v/>
      </c>
      <c r="W531" s="25">
        <f>IF($E531="","",N(O531)+SUMIFS($AF531:$IN531,$AF$4:$IN$4,"SEW_ACT"))</f>
        <v/>
      </c>
      <c r="X531" s="25">
        <f>IF($E531="","",N(P531)+SUMIFS($AF531:$IN531,$AF$4:$IN$4,"WASH_ACT"))</f>
        <v/>
      </c>
      <c r="Y531" s="25">
        <f>IF($E531="","",W531-X531-N(T531)-N(U531))</f>
        <v/>
      </c>
      <c r="Z531" s="25">
        <f>IF($E531="","",IF(N(K531)-X531&lt;=0.02*N(K531),0,N(K531)-X531))</f>
        <v/>
      </c>
      <c r="AA531" s="24">
        <f>IF($E531="","",IF(S531&lt;&gt;"",S531,IF(N(O531)&gt;0,IF(L531&lt;&gt;"",L531,99999),IFERROR(1/(1/_xlfn.MINIFS($AF$3:$IN$3,$AF$4:$IN$4,"SEW_ACT",$AF531:$IN531,"&gt;0")),99999))))</f>
        <v/>
      </c>
      <c r="AB531" s="26">
        <f>IF(OR($E531="",Z531=0,V531=""),"",1+COUNTIFS(Z$8:Z$707,"&gt;0",V$8:V$707,"&lt;"&amp;V531)+COUNTIFS(Z$8:Z$707,"&gt;0",V$8:V$707,V531,AA$8:AA$707,"&lt;"&amp;AA531)+COUNTIFS(Z$8:Z$707,"&gt;0",V$8:V$707,V531,AA$8:AA$707,AA531,E$8:E$707,"&lt;"&amp;$E531))</f>
        <v/>
      </c>
      <c r="AC531" s="24">
        <f>IF(OR($E531="",Z531=0),"",IFERROR(TODAY()+ROUNDUP(Z531/(SUMIFS($AF531:$IN531,$AF$4:$IN$4,"WASH_ACT")/COUNTIFS($AF$4:$IN$4,"WASH_ACT",$AF531:$IN531,"&gt;0")),0),"no output yet"))</f>
        <v/>
      </c>
      <c r="AD531" s="26">
        <f>IF($E531="","",IFERROR(ROUND(MAX(0,SUMIFS($AF531:$IN531,$AF$4:$IN$4,"SEW_PLAN",$AF$3:$IN$3,"&lt;="&amp;TODAY())-SUMIFS($AF531:$IN531,$AF$4:$IN$4,"SEW_ACT",$AF$3:$IN$3,"&lt;="&amp;TODAY())+N(Q531))/(SUMIFS($AF531:$IN531,$AF$4:$IN$4,"SEW_PLAN")/COUNTIFS($AF$4:$IN$4,"SEW_PLAN",$AF531:$IN531,"&gt;0")),1),0))</f>
        <v/>
      </c>
      <c r="AE531" s="26">
        <f>IF($E531="","",IF(AND(Z531&gt;0,OR(AND(M531&lt;&gt;"",TODAY()&gt;M531),AND(V531&lt;&gt;"",V531-TODAY()&lt;=7))),"Yes","No"))</f>
        <v/>
      </c>
      <c r="AH531">
        <f>IF(OR(AF$3="",AF$3&gt;TODAY()),"",IF(AND(AF531="",AG531=""),"",N(AG531)-N(AF531)))</f>
        <v/>
      </c>
      <c r="AK531">
        <f>IF(OR(AF$3="",AF$3&gt;TODAY()),"",IF(AND(AI531="",AJ531=""),"",N(AJ531)-N(AI531)))</f>
        <v/>
      </c>
      <c r="AO531">
        <f>IF(OR(AM$3="",AM$3&gt;TODAY()),"",IF(AND(AM531="",AN531=""),"",N(AN531)-N(AM531)))</f>
        <v/>
      </c>
      <c r="AR531">
        <f>IF(OR(AM$3="",AM$3&gt;TODAY()),"",IF(AND(AP531="",AQ531=""),"",N(AQ531)-N(AP531)))</f>
        <v/>
      </c>
      <c r="AV531">
        <f>IF(OR(AT$3="",AT$3&gt;TODAY()),"",IF(AND(AT531="",AU531=""),"",N(AU531)-N(AT531)))</f>
        <v/>
      </c>
      <c r="AY531">
        <f>IF(OR(AT$3="",AT$3&gt;TODAY()),"",IF(AND(AW531="",AX531=""),"",N(AX531)-N(AW531)))</f>
        <v/>
      </c>
      <c r="BC531">
        <f>IF(OR(BA$3="",BA$3&gt;TODAY()),"",IF(AND(BA531="",BB531=""),"",N(BB531)-N(BA531)))</f>
        <v/>
      </c>
      <c r="BF531">
        <f>IF(OR(BA$3="",BA$3&gt;TODAY()),"",IF(AND(BD531="",BE531=""),"",N(BE531)-N(BD531)))</f>
        <v/>
      </c>
      <c r="BJ531">
        <f>IF(OR(BH$3="",BH$3&gt;TODAY()),"",IF(AND(BH531="",BI531=""),"",N(BI531)-N(BH531)))</f>
        <v/>
      </c>
      <c r="BM531">
        <f>IF(OR(BH$3="",BH$3&gt;TODAY()),"",IF(AND(BK531="",BL531=""),"",N(BL531)-N(BK531)))</f>
        <v/>
      </c>
      <c r="BQ531">
        <f>IF(OR(BO$3="",BO$3&gt;TODAY()),"",IF(AND(BO531="",BP531=""),"",N(BP531)-N(BO531)))</f>
        <v/>
      </c>
      <c r="BT531">
        <f>IF(OR(BO$3="",BO$3&gt;TODAY()),"",IF(AND(BR531="",BS531=""),"",N(BS531)-N(BR531)))</f>
        <v/>
      </c>
      <c r="BX531">
        <f>IF(OR(BV$3="",BV$3&gt;TODAY()),"",IF(AND(BV531="",BW531=""),"",N(BW531)-N(BV531)))</f>
        <v/>
      </c>
      <c r="CA531">
        <f>IF(OR(BV$3="",BV$3&gt;TODAY()),"",IF(AND(BY531="",BZ531=""),"",N(BZ531)-N(BY531)))</f>
        <v/>
      </c>
      <c r="CE531">
        <f>IF(OR(CC$3="",CC$3&gt;TODAY()),"",IF(AND(CC531="",CD531=""),"",N(CD531)-N(CC531)))</f>
        <v/>
      </c>
      <c r="CH531">
        <f>IF(OR(CC$3="",CC$3&gt;TODAY()),"",IF(AND(CF531="",CG531=""),"",N(CG531)-N(CF531)))</f>
        <v/>
      </c>
      <c r="CL531">
        <f>IF(OR(CJ$3="",CJ$3&gt;TODAY()),"",IF(AND(CJ531="",CK531=""),"",N(CK531)-N(CJ531)))</f>
        <v/>
      </c>
      <c r="CO531">
        <f>IF(OR(CJ$3="",CJ$3&gt;TODAY()),"",IF(AND(CM531="",CN531=""),"",N(CN531)-N(CM531)))</f>
        <v/>
      </c>
      <c r="CS531">
        <f>IF(OR(CQ$3="",CQ$3&gt;TODAY()),"",IF(AND(CQ531="",CR531=""),"",N(CR531)-N(CQ531)))</f>
        <v/>
      </c>
      <c r="CV531">
        <f>IF(OR(CQ$3="",CQ$3&gt;TODAY()),"",IF(AND(CT531="",CU531=""),"",N(CU531)-N(CT531)))</f>
        <v/>
      </c>
      <c r="CZ531">
        <f>IF(OR(CX$3="",CX$3&gt;TODAY()),"",IF(AND(CX531="",CY531=""),"",N(CY531)-N(CX531)))</f>
        <v/>
      </c>
      <c r="DC531">
        <f>IF(OR(CX$3="",CX$3&gt;TODAY()),"",IF(AND(DA531="",DB531=""),"",N(DB531)-N(DA531)))</f>
        <v/>
      </c>
      <c r="DG531">
        <f>IF(OR(DE$3="",DE$3&gt;TODAY()),"",IF(AND(DE531="",DF531=""),"",N(DF531)-N(DE531)))</f>
        <v/>
      </c>
      <c r="DJ531">
        <f>IF(OR(DE$3="",DE$3&gt;TODAY()),"",IF(AND(DH531="",DI531=""),"",N(DI531)-N(DH531)))</f>
        <v/>
      </c>
      <c r="DN531">
        <f>IF(OR(DL$3="",DL$3&gt;TODAY()),"",IF(AND(DL531="",DM531=""),"",N(DM531)-N(DL531)))</f>
        <v/>
      </c>
      <c r="DQ531">
        <f>IF(OR(DL$3="",DL$3&gt;TODAY()),"",IF(AND(DO531="",DP531=""),"",N(DP531)-N(DO531)))</f>
        <v/>
      </c>
      <c r="DU531">
        <f>IF(OR(DS$3="",DS$3&gt;TODAY()),"",IF(AND(DS531="",DT531=""),"",N(DT531)-N(DS531)))</f>
        <v/>
      </c>
      <c r="DX531">
        <f>IF(OR(DS$3="",DS$3&gt;TODAY()),"",IF(AND(DV531="",DW531=""),"",N(DW531)-N(DV531)))</f>
        <v/>
      </c>
      <c r="EB531">
        <f>IF(OR(DZ$3="",DZ$3&gt;TODAY()),"",IF(AND(DZ531="",EA531=""),"",N(EA531)-N(DZ531)))</f>
        <v/>
      </c>
      <c r="EE531">
        <f>IF(OR(DZ$3="",DZ$3&gt;TODAY()),"",IF(AND(EC531="",ED531=""),"",N(ED531)-N(EC531)))</f>
        <v/>
      </c>
      <c r="EI531">
        <f>IF(OR(EG$3="",EG$3&gt;TODAY()),"",IF(AND(EG531="",EH531=""),"",N(EH531)-N(EG531)))</f>
        <v/>
      </c>
      <c r="EL531">
        <f>IF(OR(EG$3="",EG$3&gt;TODAY()),"",IF(AND(EJ531="",EK531=""),"",N(EK531)-N(EJ531)))</f>
        <v/>
      </c>
      <c r="EP531">
        <f>IF(OR(EN$3="",EN$3&gt;TODAY()),"",IF(AND(EN531="",EO531=""),"",N(EO531)-N(EN531)))</f>
        <v/>
      </c>
      <c r="ES531">
        <f>IF(OR(EN$3="",EN$3&gt;TODAY()),"",IF(AND(EQ531="",ER531=""),"",N(ER531)-N(EQ531)))</f>
        <v/>
      </c>
      <c r="EW531">
        <f>IF(OR(EU$3="",EU$3&gt;TODAY()),"",IF(AND(EU531="",EV531=""),"",N(EV531)-N(EU531)))</f>
        <v/>
      </c>
      <c r="EZ531">
        <f>IF(OR(EU$3="",EU$3&gt;TODAY()),"",IF(AND(EX531="",EY531=""),"",N(EY531)-N(EX531)))</f>
        <v/>
      </c>
      <c r="FD531">
        <f>IF(OR(FB$3="",FB$3&gt;TODAY()),"",IF(AND(FB531="",FC531=""),"",N(FC531)-N(FB531)))</f>
        <v/>
      </c>
      <c r="FG531">
        <f>IF(OR(FB$3="",FB$3&gt;TODAY()),"",IF(AND(FE531="",FF531=""),"",N(FF531)-N(FE531)))</f>
        <v/>
      </c>
      <c r="FK531">
        <f>IF(OR(FI$3="",FI$3&gt;TODAY()),"",IF(AND(FI531="",FJ531=""),"",N(FJ531)-N(FI531)))</f>
        <v/>
      </c>
      <c r="FN531">
        <f>IF(OR(FI$3="",FI$3&gt;TODAY()),"",IF(AND(FL531="",FM531=""),"",N(FM531)-N(FL531)))</f>
        <v/>
      </c>
      <c r="FR531">
        <f>IF(OR(FP$3="",FP$3&gt;TODAY()),"",IF(AND(FP531="",FQ531=""),"",N(FQ531)-N(FP531)))</f>
        <v/>
      </c>
      <c r="FU531">
        <f>IF(OR(FP$3="",FP$3&gt;TODAY()),"",IF(AND(FS531="",FT531=""),"",N(FT531)-N(FS531)))</f>
        <v/>
      </c>
      <c r="FY531">
        <f>IF(OR(FW$3="",FW$3&gt;TODAY()),"",IF(AND(FW531="",FX531=""),"",N(FX531)-N(FW531)))</f>
        <v/>
      </c>
      <c r="GB531">
        <f>IF(OR(FW$3="",FW$3&gt;TODAY()),"",IF(AND(FZ531="",GA531=""),"",N(GA531)-N(FZ531)))</f>
        <v/>
      </c>
      <c r="GF531">
        <f>IF(OR(GD$3="",GD$3&gt;TODAY()),"",IF(AND(GD531="",GE531=""),"",N(GE531)-N(GD531)))</f>
        <v/>
      </c>
      <c r="GI531">
        <f>IF(OR(GD$3="",GD$3&gt;TODAY()),"",IF(AND(GG531="",GH531=""),"",N(GH531)-N(GG531)))</f>
        <v/>
      </c>
      <c r="GM531">
        <f>IF(OR(GK$3="",GK$3&gt;TODAY()),"",IF(AND(GK531="",GL531=""),"",N(GL531)-N(GK531)))</f>
        <v/>
      </c>
      <c r="GP531">
        <f>IF(OR(GK$3="",GK$3&gt;TODAY()),"",IF(AND(GN531="",GO531=""),"",N(GO531)-N(GN531)))</f>
        <v/>
      </c>
      <c r="GT531">
        <f>IF(OR(GR$3="",GR$3&gt;TODAY()),"",IF(AND(GR531="",GS531=""),"",N(GS531)-N(GR531)))</f>
        <v/>
      </c>
      <c r="GW531">
        <f>IF(OR(GR$3="",GR$3&gt;TODAY()),"",IF(AND(GU531="",GV531=""),"",N(GV531)-N(GU531)))</f>
        <v/>
      </c>
      <c r="HA531">
        <f>IF(OR(GY$3="",GY$3&gt;TODAY()),"",IF(AND(GY531="",GZ531=""),"",N(GZ531)-N(GY531)))</f>
        <v/>
      </c>
      <c r="HD531">
        <f>IF(OR(GY$3="",GY$3&gt;TODAY()),"",IF(AND(HB531="",HC531=""),"",N(HC531)-N(HB531)))</f>
        <v/>
      </c>
      <c r="HH531">
        <f>IF(OR(HF$3="",HF$3&gt;TODAY()),"",IF(AND(HF531="",HG531=""),"",N(HG531)-N(HF531)))</f>
        <v/>
      </c>
      <c r="HK531">
        <f>IF(OR(HF$3="",HF$3&gt;TODAY()),"",IF(AND(HI531="",HJ531=""),"",N(HJ531)-N(HI531)))</f>
        <v/>
      </c>
      <c r="HO531">
        <f>IF(OR(HM$3="",HM$3&gt;TODAY()),"",IF(AND(HM531="",HN531=""),"",N(HN531)-N(HM531)))</f>
        <v/>
      </c>
      <c r="HR531">
        <f>IF(OR(HM$3="",HM$3&gt;TODAY()),"",IF(AND(HP531="",HQ531=""),"",N(HQ531)-N(HP531)))</f>
        <v/>
      </c>
      <c r="HV531">
        <f>IF(OR(HT$3="",HT$3&gt;TODAY()),"",IF(AND(HT531="",HU531=""),"",N(HU531)-N(HT531)))</f>
        <v/>
      </c>
      <c r="HY531">
        <f>IF(OR(HT$3="",HT$3&gt;TODAY()),"",IF(AND(HW531="",HX531=""),"",N(HX531)-N(HW531)))</f>
        <v/>
      </c>
      <c r="IC531">
        <f>IF(OR(IA$3="",IA$3&gt;TODAY()),"",IF(AND(IA531="",IB531=""),"",N(IB531)-N(IA531)))</f>
        <v/>
      </c>
      <c r="IF531">
        <f>IF(OR(IA$3="",IA$3&gt;TODAY()),"",IF(AND(ID531="",IE531=""),"",N(IE531)-N(ID531)))</f>
        <v/>
      </c>
      <c r="IJ531">
        <f>IF(OR(IH$3="",IH$3&gt;TODAY()),"",IF(AND(IH531="",II531=""),"",N(II531)-N(IH531)))</f>
        <v/>
      </c>
      <c r="IM531">
        <f>IF(OR(IH$3="",IH$3&gt;TODAY()),"",IF(AND(IK531="",IL531=""),"",N(IL531)-N(IK531)))</f>
        <v/>
      </c>
    </row>
    <row r="532">
      <c r="A532" s="21" t="n"/>
      <c r="B532" s="21" t="n"/>
      <c r="C532" s="21" t="n"/>
      <c r="D532" s="21" t="n"/>
      <c r="E532" s="21" t="n"/>
      <c r="F532" s="21" t="n"/>
      <c r="G532" s="21" t="n"/>
      <c r="H532" s="21" t="n"/>
      <c r="I532" s="22" t="n"/>
      <c r="J532" s="22" t="n"/>
      <c r="K532" s="23" t="n"/>
      <c r="L532" s="22" t="n"/>
      <c r="M532" s="22" t="n"/>
      <c r="N532" s="21" t="n"/>
      <c r="O532" s="23" t="n"/>
      <c r="P532" s="23" t="n"/>
      <c r="Q532" s="23" t="n"/>
      <c r="R532" s="23" t="n"/>
      <c r="S532" s="22" t="n"/>
      <c r="T532" s="23" t="n"/>
      <c r="U532" s="23" t="n"/>
      <c r="V532" s="24">
        <f>IF(J532&lt;&gt;"",J532,IF(I532&lt;&gt;"",I532,""))</f>
        <v/>
      </c>
      <c r="W532" s="25">
        <f>IF($E532="","",N(O532)+SUMIFS($AF532:$IN532,$AF$4:$IN$4,"SEW_ACT"))</f>
        <v/>
      </c>
      <c r="X532" s="25">
        <f>IF($E532="","",N(P532)+SUMIFS($AF532:$IN532,$AF$4:$IN$4,"WASH_ACT"))</f>
        <v/>
      </c>
      <c r="Y532" s="25">
        <f>IF($E532="","",W532-X532-N(T532)-N(U532))</f>
        <v/>
      </c>
      <c r="Z532" s="25">
        <f>IF($E532="","",IF(N(K532)-X532&lt;=0.02*N(K532),0,N(K532)-X532))</f>
        <v/>
      </c>
      <c r="AA532" s="24">
        <f>IF($E532="","",IF(S532&lt;&gt;"",S532,IF(N(O532)&gt;0,IF(L532&lt;&gt;"",L532,99999),IFERROR(1/(1/_xlfn.MINIFS($AF$3:$IN$3,$AF$4:$IN$4,"SEW_ACT",$AF532:$IN532,"&gt;0")),99999))))</f>
        <v/>
      </c>
      <c r="AB532" s="26">
        <f>IF(OR($E532="",Z532=0,V532=""),"",1+COUNTIFS(Z$8:Z$707,"&gt;0",V$8:V$707,"&lt;"&amp;V532)+COUNTIFS(Z$8:Z$707,"&gt;0",V$8:V$707,V532,AA$8:AA$707,"&lt;"&amp;AA532)+COUNTIFS(Z$8:Z$707,"&gt;0",V$8:V$707,V532,AA$8:AA$707,AA532,E$8:E$707,"&lt;"&amp;$E532))</f>
        <v/>
      </c>
      <c r="AC532" s="24">
        <f>IF(OR($E532="",Z532=0),"",IFERROR(TODAY()+ROUNDUP(Z532/(SUMIFS($AF532:$IN532,$AF$4:$IN$4,"WASH_ACT")/COUNTIFS($AF$4:$IN$4,"WASH_ACT",$AF532:$IN532,"&gt;0")),0),"no output yet"))</f>
        <v/>
      </c>
      <c r="AD532" s="26">
        <f>IF($E532="","",IFERROR(ROUND(MAX(0,SUMIFS($AF532:$IN532,$AF$4:$IN$4,"SEW_PLAN",$AF$3:$IN$3,"&lt;="&amp;TODAY())-SUMIFS($AF532:$IN532,$AF$4:$IN$4,"SEW_ACT",$AF$3:$IN$3,"&lt;="&amp;TODAY())+N(Q532))/(SUMIFS($AF532:$IN532,$AF$4:$IN$4,"SEW_PLAN")/COUNTIFS($AF$4:$IN$4,"SEW_PLAN",$AF532:$IN532,"&gt;0")),1),0))</f>
        <v/>
      </c>
      <c r="AE532" s="26">
        <f>IF($E532="","",IF(AND(Z532&gt;0,OR(AND(M532&lt;&gt;"",TODAY()&gt;M532),AND(V532&lt;&gt;"",V532-TODAY()&lt;=7))),"Yes","No"))</f>
        <v/>
      </c>
      <c r="AH532">
        <f>IF(OR(AF$3="",AF$3&gt;TODAY()),"",IF(AND(AF532="",AG532=""),"",N(AG532)-N(AF532)))</f>
        <v/>
      </c>
      <c r="AK532">
        <f>IF(OR(AF$3="",AF$3&gt;TODAY()),"",IF(AND(AI532="",AJ532=""),"",N(AJ532)-N(AI532)))</f>
        <v/>
      </c>
      <c r="AO532">
        <f>IF(OR(AM$3="",AM$3&gt;TODAY()),"",IF(AND(AM532="",AN532=""),"",N(AN532)-N(AM532)))</f>
        <v/>
      </c>
      <c r="AR532">
        <f>IF(OR(AM$3="",AM$3&gt;TODAY()),"",IF(AND(AP532="",AQ532=""),"",N(AQ532)-N(AP532)))</f>
        <v/>
      </c>
      <c r="AV532">
        <f>IF(OR(AT$3="",AT$3&gt;TODAY()),"",IF(AND(AT532="",AU532=""),"",N(AU532)-N(AT532)))</f>
        <v/>
      </c>
      <c r="AY532">
        <f>IF(OR(AT$3="",AT$3&gt;TODAY()),"",IF(AND(AW532="",AX532=""),"",N(AX532)-N(AW532)))</f>
        <v/>
      </c>
      <c r="BC532">
        <f>IF(OR(BA$3="",BA$3&gt;TODAY()),"",IF(AND(BA532="",BB532=""),"",N(BB532)-N(BA532)))</f>
        <v/>
      </c>
      <c r="BF532">
        <f>IF(OR(BA$3="",BA$3&gt;TODAY()),"",IF(AND(BD532="",BE532=""),"",N(BE532)-N(BD532)))</f>
        <v/>
      </c>
      <c r="BJ532">
        <f>IF(OR(BH$3="",BH$3&gt;TODAY()),"",IF(AND(BH532="",BI532=""),"",N(BI532)-N(BH532)))</f>
        <v/>
      </c>
      <c r="BM532">
        <f>IF(OR(BH$3="",BH$3&gt;TODAY()),"",IF(AND(BK532="",BL532=""),"",N(BL532)-N(BK532)))</f>
        <v/>
      </c>
      <c r="BQ532">
        <f>IF(OR(BO$3="",BO$3&gt;TODAY()),"",IF(AND(BO532="",BP532=""),"",N(BP532)-N(BO532)))</f>
        <v/>
      </c>
      <c r="BT532">
        <f>IF(OR(BO$3="",BO$3&gt;TODAY()),"",IF(AND(BR532="",BS532=""),"",N(BS532)-N(BR532)))</f>
        <v/>
      </c>
      <c r="BX532">
        <f>IF(OR(BV$3="",BV$3&gt;TODAY()),"",IF(AND(BV532="",BW532=""),"",N(BW532)-N(BV532)))</f>
        <v/>
      </c>
      <c r="CA532">
        <f>IF(OR(BV$3="",BV$3&gt;TODAY()),"",IF(AND(BY532="",BZ532=""),"",N(BZ532)-N(BY532)))</f>
        <v/>
      </c>
      <c r="CE532">
        <f>IF(OR(CC$3="",CC$3&gt;TODAY()),"",IF(AND(CC532="",CD532=""),"",N(CD532)-N(CC532)))</f>
        <v/>
      </c>
      <c r="CH532">
        <f>IF(OR(CC$3="",CC$3&gt;TODAY()),"",IF(AND(CF532="",CG532=""),"",N(CG532)-N(CF532)))</f>
        <v/>
      </c>
      <c r="CL532">
        <f>IF(OR(CJ$3="",CJ$3&gt;TODAY()),"",IF(AND(CJ532="",CK532=""),"",N(CK532)-N(CJ532)))</f>
        <v/>
      </c>
      <c r="CO532">
        <f>IF(OR(CJ$3="",CJ$3&gt;TODAY()),"",IF(AND(CM532="",CN532=""),"",N(CN532)-N(CM532)))</f>
        <v/>
      </c>
      <c r="CS532">
        <f>IF(OR(CQ$3="",CQ$3&gt;TODAY()),"",IF(AND(CQ532="",CR532=""),"",N(CR532)-N(CQ532)))</f>
        <v/>
      </c>
      <c r="CV532">
        <f>IF(OR(CQ$3="",CQ$3&gt;TODAY()),"",IF(AND(CT532="",CU532=""),"",N(CU532)-N(CT532)))</f>
        <v/>
      </c>
      <c r="CZ532">
        <f>IF(OR(CX$3="",CX$3&gt;TODAY()),"",IF(AND(CX532="",CY532=""),"",N(CY532)-N(CX532)))</f>
        <v/>
      </c>
      <c r="DC532">
        <f>IF(OR(CX$3="",CX$3&gt;TODAY()),"",IF(AND(DA532="",DB532=""),"",N(DB532)-N(DA532)))</f>
        <v/>
      </c>
      <c r="DG532">
        <f>IF(OR(DE$3="",DE$3&gt;TODAY()),"",IF(AND(DE532="",DF532=""),"",N(DF532)-N(DE532)))</f>
        <v/>
      </c>
      <c r="DJ532">
        <f>IF(OR(DE$3="",DE$3&gt;TODAY()),"",IF(AND(DH532="",DI532=""),"",N(DI532)-N(DH532)))</f>
        <v/>
      </c>
      <c r="DN532">
        <f>IF(OR(DL$3="",DL$3&gt;TODAY()),"",IF(AND(DL532="",DM532=""),"",N(DM532)-N(DL532)))</f>
        <v/>
      </c>
      <c r="DQ532">
        <f>IF(OR(DL$3="",DL$3&gt;TODAY()),"",IF(AND(DO532="",DP532=""),"",N(DP532)-N(DO532)))</f>
        <v/>
      </c>
      <c r="DU532">
        <f>IF(OR(DS$3="",DS$3&gt;TODAY()),"",IF(AND(DS532="",DT532=""),"",N(DT532)-N(DS532)))</f>
        <v/>
      </c>
      <c r="DX532">
        <f>IF(OR(DS$3="",DS$3&gt;TODAY()),"",IF(AND(DV532="",DW532=""),"",N(DW532)-N(DV532)))</f>
        <v/>
      </c>
      <c r="EB532">
        <f>IF(OR(DZ$3="",DZ$3&gt;TODAY()),"",IF(AND(DZ532="",EA532=""),"",N(EA532)-N(DZ532)))</f>
        <v/>
      </c>
      <c r="EE532">
        <f>IF(OR(DZ$3="",DZ$3&gt;TODAY()),"",IF(AND(EC532="",ED532=""),"",N(ED532)-N(EC532)))</f>
        <v/>
      </c>
      <c r="EI532">
        <f>IF(OR(EG$3="",EG$3&gt;TODAY()),"",IF(AND(EG532="",EH532=""),"",N(EH532)-N(EG532)))</f>
        <v/>
      </c>
      <c r="EL532">
        <f>IF(OR(EG$3="",EG$3&gt;TODAY()),"",IF(AND(EJ532="",EK532=""),"",N(EK532)-N(EJ532)))</f>
        <v/>
      </c>
      <c r="EP532">
        <f>IF(OR(EN$3="",EN$3&gt;TODAY()),"",IF(AND(EN532="",EO532=""),"",N(EO532)-N(EN532)))</f>
        <v/>
      </c>
      <c r="ES532">
        <f>IF(OR(EN$3="",EN$3&gt;TODAY()),"",IF(AND(EQ532="",ER532=""),"",N(ER532)-N(EQ532)))</f>
        <v/>
      </c>
      <c r="EW532">
        <f>IF(OR(EU$3="",EU$3&gt;TODAY()),"",IF(AND(EU532="",EV532=""),"",N(EV532)-N(EU532)))</f>
        <v/>
      </c>
      <c r="EZ532">
        <f>IF(OR(EU$3="",EU$3&gt;TODAY()),"",IF(AND(EX532="",EY532=""),"",N(EY532)-N(EX532)))</f>
        <v/>
      </c>
      <c r="FD532">
        <f>IF(OR(FB$3="",FB$3&gt;TODAY()),"",IF(AND(FB532="",FC532=""),"",N(FC532)-N(FB532)))</f>
        <v/>
      </c>
      <c r="FG532">
        <f>IF(OR(FB$3="",FB$3&gt;TODAY()),"",IF(AND(FE532="",FF532=""),"",N(FF532)-N(FE532)))</f>
        <v/>
      </c>
      <c r="FK532">
        <f>IF(OR(FI$3="",FI$3&gt;TODAY()),"",IF(AND(FI532="",FJ532=""),"",N(FJ532)-N(FI532)))</f>
        <v/>
      </c>
      <c r="FN532">
        <f>IF(OR(FI$3="",FI$3&gt;TODAY()),"",IF(AND(FL532="",FM532=""),"",N(FM532)-N(FL532)))</f>
        <v/>
      </c>
      <c r="FR532">
        <f>IF(OR(FP$3="",FP$3&gt;TODAY()),"",IF(AND(FP532="",FQ532=""),"",N(FQ532)-N(FP532)))</f>
        <v/>
      </c>
      <c r="FU532">
        <f>IF(OR(FP$3="",FP$3&gt;TODAY()),"",IF(AND(FS532="",FT532=""),"",N(FT532)-N(FS532)))</f>
        <v/>
      </c>
      <c r="FY532">
        <f>IF(OR(FW$3="",FW$3&gt;TODAY()),"",IF(AND(FW532="",FX532=""),"",N(FX532)-N(FW532)))</f>
        <v/>
      </c>
      <c r="GB532">
        <f>IF(OR(FW$3="",FW$3&gt;TODAY()),"",IF(AND(FZ532="",GA532=""),"",N(GA532)-N(FZ532)))</f>
        <v/>
      </c>
      <c r="GF532">
        <f>IF(OR(GD$3="",GD$3&gt;TODAY()),"",IF(AND(GD532="",GE532=""),"",N(GE532)-N(GD532)))</f>
        <v/>
      </c>
      <c r="GI532">
        <f>IF(OR(GD$3="",GD$3&gt;TODAY()),"",IF(AND(GG532="",GH532=""),"",N(GH532)-N(GG532)))</f>
        <v/>
      </c>
      <c r="GM532">
        <f>IF(OR(GK$3="",GK$3&gt;TODAY()),"",IF(AND(GK532="",GL532=""),"",N(GL532)-N(GK532)))</f>
        <v/>
      </c>
      <c r="GP532">
        <f>IF(OR(GK$3="",GK$3&gt;TODAY()),"",IF(AND(GN532="",GO532=""),"",N(GO532)-N(GN532)))</f>
        <v/>
      </c>
      <c r="GT532">
        <f>IF(OR(GR$3="",GR$3&gt;TODAY()),"",IF(AND(GR532="",GS532=""),"",N(GS532)-N(GR532)))</f>
        <v/>
      </c>
      <c r="GW532">
        <f>IF(OR(GR$3="",GR$3&gt;TODAY()),"",IF(AND(GU532="",GV532=""),"",N(GV532)-N(GU532)))</f>
        <v/>
      </c>
      <c r="HA532">
        <f>IF(OR(GY$3="",GY$3&gt;TODAY()),"",IF(AND(GY532="",GZ532=""),"",N(GZ532)-N(GY532)))</f>
        <v/>
      </c>
      <c r="HD532">
        <f>IF(OR(GY$3="",GY$3&gt;TODAY()),"",IF(AND(HB532="",HC532=""),"",N(HC532)-N(HB532)))</f>
        <v/>
      </c>
      <c r="HH532">
        <f>IF(OR(HF$3="",HF$3&gt;TODAY()),"",IF(AND(HF532="",HG532=""),"",N(HG532)-N(HF532)))</f>
        <v/>
      </c>
      <c r="HK532">
        <f>IF(OR(HF$3="",HF$3&gt;TODAY()),"",IF(AND(HI532="",HJ532=""),"",N(HJ532)-N(HI532)))</f>
        <v/>
      </c>
      <c r="HO532">
        <f>IF(OR(HM$3="",HM$3&gt;TODAY()),"",IF(AND(HM532="",HN532=""),"",N(HN532)-N(HM532)))</f>
        <v/>
      </c>
      <c r="HR532">
        <f>IF(OR(HM$3="",HM$3&gt;TODAY()),"",IF(AND(HP532="",HQ532=""),"",N(HQ532)-N(HP532)))</f>
        <v/>
      </c>
      <c r="HV532">
        <f>IF(OR(HT$3="",HT$3&gt;TODAY()),"",IF(AND(HT532="",HU532=""),"",N(HU532)-N(HT532)))</f>
        <v/>
      </c>
      <c r="HY532">
        <f>IF(OR(HT$3="",HT$3&gt;TODAY()),"",IF(AND(HW532="",HX532=""),"",N(HX532)-N(HW532)))</f>
        <v/>
      </c>
      <c r="IC532">
        <f>IF(OR(IA$3="",IA$3&gt;TODAY()),"",IF(AND(IA532="",IB532=""),"",N(IB532)-N(IA532)))</f>
        <v/>
      </c>
      <c r="IF532">
        <f>IF(OR(IA$3="",IA$3&gt;TODAY()),"",IF(AND(ID532="",IE532=""),"",N(IE532)-N(ID532)))</f>
        <v/>
      </c>
      <c r="IJ532">
        <f>IF(OR(IH$3="",IH$3&gt;TODAY()),"",IF(AND(IH532="",II532=""),"",N(II532)-N(IH532)))</f>
        <v/>
      </c>
      <c r="IM532">
        <f>IF(OR(IH$3="",IH$3&gt;TODAY()),"",IF(AND(IK532="",IL532=""),"",N(IL532)-N(IK532)))</f>
        <v/>
      </c>
    </row>
    <row r="533">
      <c r="A533" s="21" t="n"/>
      <c r="B533" s="21" t="n"/>
      <c r="C533" s="21" t="n"/>
      <c r="D533" s="21" t="n"/>
      <c r="E533" s="21" t="n"/>
      <c r="F533" s="21" t="n"/>
      <c r="G533" s="21" t="n"/>
      <c r="H533" s="21" t="n"/>
      <c r="I533" s="22" t="n"/>
      <c r="J533" s="22" t="n"/>
      <c r="K533" s="23" t="n"/>
      <c r="L533" s="22" t="n"/>
      <c r="M533" s="22" t="n"/>
      <c r="N533" s="21" t="n"/>
      <c r="O533" s="23" t="n"/>
      <c r="P533" s="23" t="n"/>
      <c r="Q533" s="23" t="n"/>
      <c r="R533" s="23" t="n"/>
      <c r="S533" s="22" t="n"/>
      <c r="T533" s="23" t="n"/>
      <c r="U533" s="23" t="n"/>
      <c r="V533" s="24">
        <f>IF(J533&lt;&gt;"",J533,IF(I533&lt;&gt;"",I533,""))</f>
        <v/>
      </c>
      <c r="W533" s="25">
        <f>IF($E533="","",N(O533)+SUMIFS($AF533:$IN533,$AF$4:$IN$4,"SEW_ACT"))</f>
        <v/>
      </c>
      <c r="X533" s="25">
        <f>IF($E533="","",N(P533)+SUMIFS($AF533:$IN533,$AF$4:$IN$4,"WASH_ACT"))</f>
        <v/>
      </c>
      <c r="Y533" s="25">
        <f>IF($E533="","",W533-X533-N(T533)-N(U533))</f>
        <v/>
      </c>
      <c r="Z533" s="25">
        <f>IF($E533="","",IF(N(K533)-X533&lt;=0.02*N(K533),0,N(K533)-X533))</f>
        <v/>
      </c>
      <c r="AA533" s="24">
        <f>IF($E533="","",IF(S533&lt;&gt;"",S533,IF(N(O533)&gt;0,IF(L533&lt;&gt;"",L533,99999),IFERROR(1/(1/_xlfn.MINIFS($AF$3:$IN$3,$AF$4:$IN$4,"SEW_ACT",$AF533:$IN533,"&gt;0")),99999))))</f>
        <v/>
      </c>
      <c r="AB533" s="26">
        <f>IF(OR($E533="",Z533=0,V533=""),"",1+COUNTIFS(Z$8:Z$707,"&gt;0",V$8:V$707,"&lt;"&amp;V533)+COUNTIFS(Z$8:Z$707,"&gt;0",V$8:V$707,V533,AA$8:AA$707,"&lt;"&amp;AA533)+COUNTIFS(Z$8:Z$707,"&gt;0",V$8:V$707,V533,AA$8:AA$707,AA533,E$8:E$707,"&lt;"&amp;$E533))</f>
        <v/>
      </c>
      <c r="AC533" s="24">
        <f>IF(OR($E533="",Z533=0),"",IFERROR(TODAY()+ROUNDUP(Z533/(SUMIFS($AF533:$IN533,$AF$4:$IN$4,"WASH_ACT")/COUNTIFS($AF$4:$IN$4,"WASH_ACT",$AF533:$IN533,"&gt;0")),0),"no output yet"))</f>
        <v/>
      </c>
      <c r="AD533" s="26">
        <f>IF($E533="","",IFERROR(ROUND(MAX(0,SUMIFS($AF533:$IN533,$AF$4:$IN$4,"SEW_PLAN",$AF$3:$IN$3,"&lt;="&amp;TODAY())-SUMIFS($AF533:$IN533,$AF$4:$IN$4,"SEW_ACT",$AF$3:$IN$3,"&lt;="&amp;TODAY())+N(Q533))/(SUMIFS($AF533:$IN533,$AF$4:$IN$4,"SEW_PLAN")/COUNTIFS($AF$4:$IN$4,"SEW_PLAN",$AF533:$IN533,"&gt;0")),1),0))</f>
        <v/>
      </c>
      <c r="AE533" s="26">
        <f>IF($E533="","",IF(AND(Z533&gt;0,OR(AND(M533&lt;&gt;"",TODAY()&gt;M533),AND(V533&lt;&gt;"",V533-TODAY()&lt;=7))),"Yes","No"))</f>
        <v/>
      </c>
      <c r="AH533">
        <f>IF(OR(AF$3="",AF$3&gt;TODAY()),"",IF(AND(AF533="",AG533=""),"",N(AG533)-N(AF533)))</f>
        <v/>
      </c>
      <c r="AK533">
        <f>IF(OR(AF$3="",AF$3&gt;TODAY()),"",IF(AND(AI533="",AJ533=""),"",N(AJ533)-N(AI533)))</f>
        <v/>
      </c>
      <c r="AO533">
        <f>IF(OR(AM$3="",AM$3&gt;TODAY()),"",IF(AND(AM533="",AN533=""),"",N(AN533)-N(AM533)))</f>
        <v/>
      </c>
      <c r="AR533">
        <f>IF(OR(AM$3="",AM$3&gt;TODAY()),"",IF(AND(AP533="",AQ533=""),"",N(AQ533)-N(AP533)))</f>
        <v/>
      </c>
      <c r="AV533">
        <f>IF(OR(AT$3="",AT$3&gt;TODAY()),"",IF(AND(AT533="",AU533=""),"",N(AU533)-N(AT533)))</f>
        <v/>
      </c>
      <c r="AY533">
        <f>IF(OR(AT$3="",AT$3&gt;TODAY()),"",IF(AND(AW533="",AX533=""),"",N(AX533)-N(AW533)))</f>
        <v/>
      </c>
      <c r="BC533">
        <f>IF(OR(BA$3="",BA$3&gt;TODAY()),"",IF(AND(BA533="",BB533=""),"",N(BB533)-N(BA533)))</f>
        <v/>
      </c>
      <c r="BF533">
        <f>IF(OR(BA$3="",BA$3&gt;TODAY()),"",IF(AND(BD533="",BE533=""),"",N(BE533)-N(BD533)))</f>
        <v/>
      </c>
      <c r="BJ533">
        <f>IF(OR(BH$3="",BH$3&gt;TODAY()),"",IF(AND(BH533="",BI533=""),"",N(BI533)-N(BH533)))</f>
        <v/>
      </c>
      <c r="BM533">
        <f>IF(OR(BH$3="",BH$3&gt;TODAY()),"",IF(AND(BK533="",BL533=""),"",N(BL533)-N(BK533)))</f>
        <v/>
      </c>
      <c r="BQ533">
        <f>IF(OR(BO$3="",BO$3&gt;TODAY()),"",IF(AND(BO533="",BP533=""),"",N(BP533)-N(BO533)))</f>
        <v/>
      </c>
      <c r="BT533">
        <f>IF(OR(BO$3="",BO$3&gt;TODAY()),"",IF(AND(BR533="",BS533=""),"",N(BS533)-N(BR533)))</f>
        <v/>
      </c>
      <c r="BX533">
        <f>IF(OR(BV$3="",BV$3&gt;TODAY()),"",IF(AND(BV533="",BW533=""),"",N(BW533)-N(BV533)))</f>
        <v/>
      </c>
      <c r="CA533">
        <f>IF(OR(BV$3="",BV$3&gt;TODAY()),"",IF(AND(BY533="",BZ533=""),"",N(BZ533)-N(BY533)))</f>
        <v/>
      </c>
      <c r="CE533">
        <f>IF(OR(CC$3="",CC$3&gt;TODAY()),"",IF(AND(CC533="",CD533=""),"",N(CD533)-N(CC533)))</f>
        <v/>
      </c>
      <c r="CH533">
        <f>IF(OR(CC$3="",CC$3&gt;TODAY()),"",IF(AND(CF533="",CG533=""),"",N(CG533)-N(CF533)))</f>
        <v/>
      </c>
      <c r="CL533">
        <f>IF(OR(CJ$3="",CJ$3&gt;TODAY()),"",IF(AND(CJ533="",CK533=""),"",N(CK533)-N(CJ533)))</f>
        <v/>
      </c>
      <c r="CO533">
        <f>IF(OR(CJ$3="",CJ$3&gt;TODAY()),"",IF(AND(CM533="",CN533=""),"",N(CN533)-N(CM533)))</f>
        <v/>
      </c>
      <c r="CS533">
        <f>IF(OR(CQ$3="",CQ$3&gt;TODAY()),"",IF(AND(CQ533="",CR533=""),"",N(CR533)-N(CQ533)))</f>
        <v/>
      </c>
      <c r="CV533">
        <f>IF(OR(CQ$3="",CQ$3&gt;TODAY()),"",IF(AND(CT533="",CU533=""),"",N(CU533)-N(CT533)))</f>
        <v/>
      </c>
      <c r="CZ533">
        <f>IF(OR(CX$3="",CX$3&gt;TODAY()),"",IF(AND(CX533="",CY533=""),"",N(CY533)-N(CX533)))</f>
        <v/>
      </c>
      <c r="DC533">
        <f>IF(OR(CX$3="",CX$3&gt;TODAY()),"",IF(AND(DA533="",DB533=""),"",N(DB533)-N(DA533)))</f>
        <v/>
      </c>
      <c r="DG533">
        <f>IF(OR(DE$3="",DE$3&gt;TODAY()),"",IF(AND(DE533="",DF533=""),"",N(DF533)-N(DE533)))</f>
        <v/>
      </c>
      <c r="DJ533">
        <f>IF(OR(DE$3="",DE$3&gt;TODAY()),"",IF(AND(DH533="",DI533=""),"",N(DI533)-N(DH533)))</f>
        <v/>
      </c>
      <c r="DN533">
        <f>IF(OR(DL$3="",DL$3&gt;TODAY()),"",IF(AND(DL533="",DM533=""),"",N(DM533)-N(DL533)))</f>
        <v/>
      </c>
      <c r="DQ533">
        <f>IF(OR(DL$3="",DL$3&gt;TODAY()),"",IF(AND(DO533="",DP533=""),"",N(DP533)-N(DO533)))</f>
        <v/>
      </c>
      <c r="DU533">
        <f>IF(OR(DS$3="",DS$3&gt;TODAY()),"",IF(AND(DS533="",DT533=""),"",N(DT533)-N(DS533)))</f>
        <v/>
      </c>
      <c r="DX533">
        <f>IF(OR(DS$3="",DS$3&gt;TODAY()),"",IF(AND(DV533="",DW533=""),"",N(DW533)-N(DV533)))</f>
        <v/>
      </c>
      <c r="EB533">
        <f>IF(OR(DZ$3="",DZ$3&gt;TODAY()),"",IF(AND(DZ533="",EA533=""),"",N(EA533)-N(DZ533)))</f>
        <v/>
      </c>
      <c r="EE533">
        <f>IF(OR(DZ$3="",DZ$3&gt;TODAY()),"",IF(AND(EC533="",ED533=""),"",N(ED533)-N(EC533)))</f>
        <v/>
      </c>
      <c r="EI533">
        <f>IF(OR(EG$3="",EG$3&gt;TODAY()),"",IF(AND(EG533="",EH533=""),"",N(EH533)-N(EG533)))</f>
        <v/>
      </c>
      <c r="EL533">
        <f>IF(OR(EG$3="",EG$3&gt;TODAY()),"",IF(AND(EJ533="",EK533=""),"",N(EK533)-N(EJ533)))</f>
        <v/>
      </c>
      <c r="EP533">
        <f>IF(OR(EN$3="",EN$3&gt;TODAY()),"",IF(AND(EN533="",EO533=""),"",N(EO533)-N(EN533)))</f>
        <v/>
      </c>
      <c r="ES533">
        <f>IF(OR(EN$3="",EN$3&gt;TODAY()),"",IF(AND(EQ533="",ER533=""),"",N(ER533)-N(EQ533)))</f>
        <v/>
      </c>
      <c r="EW533">
        <f>IF(OR(EU$3="",EU$3&gt;TODAY()),"",IF(AND(EU533="",EV533=""),"",N(EV533)-N(EU533)))</f>
        <v/>
      </c>
      <c r="EZ533">
        <f>IF(OR(EU$3="",EU$3&gt;TODAY()),"",IF(AND(EX533="",EY533=""),"",N(EY533)-N(EX533)))</f>
        <v/>
      </c>
      <c r="FD533">
        <f>IF(OR(FB$3="",FB$3&gt;TODAY()),"",IF(AND(FB533="",FC533=""),"",N(FC533)-N(FB533)))</f>
        <v/>
      </c>
      <c r="FG533">
        <f>IF(OR(FB$3="",FB$3&gt;TODAY()),"",IF(AND(FE533="",FF533=""),"",N(FF533)-N(FE533)))</f>
        <v/>
      </c>
      <c r="FK533">
        <f>IF(OR(FI$3="",FI$3&gt;TODAY()),"",IF(AND(FI533="",FJ533=""),"",N(FJ533)-N(FI533)))</f>
        <v/>
      </c>
      <c r="FN533">
        <f>IF(OR(FI$3="",FI$3&gt;TODAY()),"",IF(AND(FL533="",FM533=""),"",N(FM533)-N(FL533)))</f>
        <v/>
      </c>
      <c r="FR533">
        <f>IF(OR(FP$3="",FP$3&gt;TODAY()),"",IF(AND(FP533="",FQ533=""),"",N(FQ533)-N(FP533)))</f>
        <v/>
      </c>
      <c r="FU533">
        <f>IF(OR(FP$3="",FP$3&gt;TODAY()),"",IF(AND(FS533="",FT533=""),"",N(FT533)-N(FS533)))</f>
        <v/>
      </c>
      <c r="FY533">
        <f>IF(OR(FW$3="",FW$3&gt;TODAY()),"",IF(AND(FW533="",FX533=""),"",N(FX533)-N(FW533)))</f>
        <v/>
      </c>
      <c r="GB533">
        <f>IF(OR(FW$3="",FW$3&gt;TODAY()),"",IF(AND(FZ533="",GA533=""),"",N(GA533)-N(FZ533)))</f>
        <v/>
      </c>
      <c r="GF533">
        <f>IF(OR(GD$3="",GD$3&gt;TODAY()),"",IF(AND(GD533="",GE533=""),"",N(GE533)-N(GD533)))</f>
        <v/>
      </c>
      <c r="GI533">
        <f>IF(OR(GD$3="",GD$3&gt;TODAY()),"",IF(AND(GG533="",GH533=""),"",N(GH533)-N(GG533)))</f>
        <v/>
      </c>
      <c r="GM533">
        <f>IF(OR(GK$3="",GK$3&gt;TODAY()),"",IF(AND(GK533="",GL533=""),"",N(GL533)-N(GK533)))</f>
        <v/>
      </c>
      <c r="GP533">
        <f>IF(OR(GK$3="",GK$3&gt;TODAY()),"",IF(AND(GN533="",GO533=""),"",N(GO533)-N(GN533)))</f>
        <v/>
      </c>
      <c r="GT533">
        <f>IF(OR(GR$3="",GR$3&gt;TODAY()),"",IF(AND(GR533="",GS533=""),"",N(GS533)-N(GR533)))</f>
        <v/>
      </c>
      <c r="GW533">
        <f>IF(OR(GR$3="",GR$3&gt;TODAY()),"",IF(AND(GU533="",GV533=""),"",N(GV533)-N(GU533)))</f>
        <v/>
      </c>
      <c r="HA533">
        <f>IF(OR(GY$3="",GY$3&gt;TODAY()),"",IF(AND(GY533="",GZ533=""),"",N(GZ533)-N(GY533)))</f>
        <v/>
      </c>
      <c r="HD533">
        <f>IF(OR(GY$3="",GY$3&gt;TODAY()),"",IF(AND(HB533="",HC533=""),"",N(HC533)-N(HB533)))</f>
        <v/>
      </c>
      <c r="HH533">
        <f>IF(OR(HF$3="",HF$3&gt;TODAY()),"",IF(AND(HF533="",HG533=""),"",N(HG533)-N(HF533)))</f>
        <v/>
      </c>
      <c r="HK533">
        <f>IF(OR(HF$3="",HF$3&gt;TODAY()),"",IF(AND(HI533="",HJ533=""),"",N(HJ533)-N(HI533)))</f>
        <v/>
      </c>
      <c r="HO533">
        <f>IF(OR(HM$3="",HM$3&gt;TODAY()),"",IF(AND(HM533="",HN533=""),"",N(HN533)-N(HM533)))</f>
        <v/>
      </c>
      <c r="HR533">
        <f>IF(OR(HM$3="",HM$3&gt;TODAY()),"",IF(AND(HP533="",HQ533=""),"",N(HQ533)-N(HP533)))</f>
        <v/>
      </c>
      <c r="HV533">
        <f>IF(OR(HT$3="",HT$3&gt;TODAY()),"",IF(AND(HT533="",HU533=""),"",N(HU533)-N(HT533)))</f>
        <v/>
      </c>
      <c r="HY533">
        <f>IF(OR(HT$3="",HT$3&gt;TODAY()),"",IF(AND(HW533="",HX533=""),"",N(HX533)-N(HW533)))</f>
        <v/>
      </c>
      <c r="IC533">
        <f>IF(OR(IA$3="",IA$3&gt;TODAY()),"",IF(AND(IA533="",IB533=""),"",N(IB533)-N(IA533)))</f>
        <v/>
      </c>
      <c r="IF533">
        <f>IF(OR(IA$3="",IA$3&gt;TODAY()),"",IF(AND(ID533="",IE533=""),"",N(IE533)-N(ID533)))</f>
        <v/>
      </c>
      <c r="IJ533">
        <f>IF(OR(IH$3="",IH$3&gt;TODAY()),"",IF(AND(IH533="",II533=""),"",N(II533)-N(IH533)))</f>
        <v/>
      </c>
      <c r="IM533">
        <f>IF(OR(IH$3="",IH$3&gt;TODAY()),"",IF(AND(IK533="",IL533=""),"",N(IL533)-N(IK533)))</f>
        <v/>
      </c>
    </row>
    <row r="534">
      <c r="A534" s="21" t="n"/>
      <c r="B534" s="21" t="n"/>
      <c r="C534" s="21" t="n"/>
      <c r="D534" s="21" t="n"/>
      <c r="E534" s="21" t="n"/>
      <c r="F534" s="21" t="n"/>
      <c r="G534" s="21" t="n"/>
      <c r="H534" s="21" t="n"/>
      <c r="I534" s="22" t="n"/>
      <c r="J534" s="22" t="n"/>
      <c r="K534" s="23" t="n"/>
      <c r="L534" s="22" t="n"/>
      <c r="M534" s="22" t="n"/>
      <c r="N534" s="21" t="n"/>
      <c r="O534" s="23" t="n"/>
      <c r="P534" s="23" t="n"/>
      <c r="Q534" s="23" t="n"/>
      <c r="R534" s="23" t="n"/>
      <c r="S534" s="22" t="n"/>
      <c r="T534" s="23" t="n"/>
      <c r="U534" s="23" t="n"/>
      <c r="V534" s="24">
        <f>IF(J534&lt;&gt;"",J534,IF(I534&lt;&gt;"",I534,""))</f>
        <v/>
      </c>
      <c r="W534" s="25">
        <f>IF($E534="","",N(O534)+SUMIFS($AF534:$IN534,$AF$4:$IN$4,"SEW_ACT"))</f>
        <v/>
      </c>
      <c r="X534" s="25">
        <f>IF($E534="","",N(P534)+SUMIFS($AF534:$IN534,$AF$4:$IN$4,"WASH_ACT"))</f>
        <v/>
      </c>
      <c r="Y534" s="25">
        <f>IF($E534="","",W534-X534-N(T534)-N(U534))</f>
        <v/>
      </c>
      <c r="Z534" s="25">
        <f>IF($E534="","",IF(N(K534)-X534&lt;=0.02*N(K534),0,N(K534)-X534))</f>
        <v/>
      </c>
      <c r="AA534" s="24">
        <f>IF($E534="","",IF(S534&lt;&gt;"",S534,IF(N(O534)&gt;0,IF(L534&lt;&gt;"",L534,99999),IFERROR(1/(1/_xlfn.MINIFS($AF$3:$IN$3,$AF$4:$IN$4,"SEW_ACT",$AF534:$IN534,"&gt;0")),99999))))</f>
        <v/>
      </c>
      <c r="AB534" s="26">
        <f>IF(OR($E534="",Z534=0,V534=""),"",1+COUNTIFS(Z$8:Z$707,"&gt;0",V$8:V$707,"&lt;"&amp;V534)+COUNTIFS(Z$8:Z$707,"&gt;0",V$8:V$707,V534,AA$8:AA$707,"&lt;"&amp;AA534)+COUNTIFS(Z$8:Z$707,"&gt;0",V$8:V$707,V534,AA$8:AA$707,AA534,E$8:E$707,"&lt;"&amp;$E534))</f>
        <v/>
      </c>
      <c r="AC534" s="24">
        <f>IF(OR($E534="",Z534=0),"",IFERROR(TODAY()+ROUNDUP(Z534/(SUMIFS($AF534:$IN534,$AF$4:$IN$4,"WASH_ACT")/COUNTIFS($AF$4:$IN$4,"WASH_ACT",$AF534:$IN534,"&gt;0")),0),"no output yet"))</f>
        <v/>
      </c>
      <c r="AD534" s="26">
        <f>IF($E534="","",IFERROR(ROUND(MAX(0,SUMIFS($AF534:$IN534,$AF$4:$IN$4,"SEW_PLAN",$AF$3:$IN$3,"&lt;="&amp;TODAY())-SUMIFS($AF534:$IN534,$AF$4:$IN$4,"SEW_ACT",$AF$3:$IN$3,"&lt;="&amp;TODAY())+N(Q534))/(SUMIFS($AF534:$IN534,$AF$4:$IN$4,"SEW_PLAN")/COUNTIFS($AF$4:$IN$4,"SEW_PLAN",$AF534:$IN534,"&gt;0")),1),0))</f>
        <v/>
      </c>
      <c r="AE534" s="26">
        <f>IF($E534="","",IF(AND(Z534&gt;0,OR(AND(M534&lt;&gt;"",TODAY()&gt;M534),AND(V534&lt;&gt;"",V534-TODAY()&lt;=7))),"Yes","No"))</f>
        <v/>
      </c>
      <c r="AH534">
        <f>IF(OR(AF$3="",AF$3&gt;TODAY()),"",IF(AND(AF534="",AG534=""),"",N(AG534)-N(AF534)))</f>
        <v/>
      </c>
      <c r="AK534">
        <f>IF(OR(AF$3="",AF$3&gt;TODAY()),"",IF(AND(AI534="",AJ534=""),"",N(AJ534)-N(AI534)))</f>
        <v/>
      </c>
      <c r="AO534">
        <f>IF(OR(AM$3="",AM$3&gt;TODAY()),"",IF(AND(AM534="",AN534=""),"",N(AN534)-N(AM534)))</f>
        <v/>
      </c>
      <c r="AR534">
        <f>IF(OR(AM$3="",AM$3&gt;TODAY()),"",IF(AND(AP534="",AQ534=""),"",N(AQ534)-N(AP534)))</f>
        <v/>
      </c>
      <c r="AV534">
        <f>IF(OR(AT$3="",AT$3&gt;TODAY()),"",IF(AND(AT534="",AU534=""),"",N(AU534)-N(AT534)))</f>
        <v/>
      </c>
      <c r="AY534">
        <f>IF(OR(AT$3="",AT$3&gt;TODAY()),"",IF(AND(AW534="",AX534=""),"",N(AX534)-N(AW534)))</f>
        <v/>
      </c>
      <c r="BC534">
        <f>IF(OR(BA$3="",BA$3&gt;TODAY()),"",IF(AND(BA534="",BB534=""),"",N(BB534)-N(BA534)))</f>
        <v/>
      </c>
      <c r="BF534">
        <f>IF(OR(BA$3="",BA$3&gt;TODAY()),"",IF(AND(BD534="",BE534=""),"",N(BE534)-N(BD534)))</f>
        <v/>
      </c>
      <c r="BJ534">
        <f>IF(OR(BH$3="",BH$3&gt;TODAY()),"",IF(AND(BH534="",BI534=""),"",N(BI534)-N(BH534)))</f>
        <v/>
      </c>
      <c r="BM534">
        <f>IF(OR(BH$3="",BH$3&gt;TODAY()),"",IF(AND(BK534="",BL534=""),"",N(BL534)-N(BK534)))</f>
        <v/>
      </c>
      <c r="BQ534">
        <f>IF(OR(BO$3="",BO$3&gt;TODAY()),"",IF(AND(BO534="",BP534=""),"",N(BP534)-N(BO534)))</f>
        <v/>
      </c>
      <c r="BT534">
        <f>IF(OR(BO$3="",BO$3&gt;TODAY()),"",IF(AND(BR534="",BS534=""),"",N(BS534)-N(BR534)))</f>
        <v/>
      </c>
      <c r="BX534">
        <f>IF(OR(BV$3="",BV$3&gt;TODAY()),"",IF(AND(BV534="",BW534=""),"",N(BW534)-N(BV534)))</f>
        <v/>
      </c>
      <c r="CA534">
        <f>IF(OR(BV$3="",BV$3&gt;TODAY()),"",IF(AND(BY534="",BZ534=""),"",N(BZ534)-N(BY534)))</f>
        <v/>
      </c>
      <c r="CE534">
        <f>IF(OR(CC$3="",CC$3&gt;TODAY()),"",IF(AND(CC534="",CD534=""),"",N(CD534)-N(CC534)))</f>
        <v/>
      </c>
      <c r="CH534">
        <f>IF(OR(CC$3="",CC$3&gt;TODAY()),"",IF(AND(CF534="",CG534=""),"",N(CG534)-N(CF534)))</f>
        <v/>
      </c>
      <c r="CL534">
        <f>IF(OR(CJ$3="",CJ$3&gt;TODAY()),"",IF(AND(CJ534="",CK534=""),"",N(CK534)-N(CJ534)))</f>
        <v/>
      </c>
      <c r="CO534">
        <f>IF(OR(CJ$3="",CJ$3&gt;TODAY()),"",IF(AND(CM534="",CN534=""),"",N(CN534)-N(CM534)))</f>
        <v/>
      </c>
      <c r="CS534">
        <f>IF(OR(CQ$3="",CQ$3&gt;TODAY()),"",IF(AND(CQ534="",CR534=""),"",N(CR534)-N(CQ534)))</f>
        <v/>
      </c>
      <c r="CV534">
        <f>IF(OR(CQ$3="",CQ$3&gt;TODAY()),"",IF(AND(CT534="",CU534=""),"",N(CU534)-N(CT534)))</f>
        <v/>
      </c>
      <c r="CZ534">
        <f>IF(OR(CX$3="",CX$3&gt;TODAY()),"",IF(AND(CX534="",CY534=""),"",N(CY534)-N(CX534)))</f>
        <v/>
      </c>
      <c r="DC534">
        <f>IF(OR(CX$3="",CX$3&gt;TODAY()),"",IF(AND(DA534="",DB534=""),"",N(DB534)-N(DA534)))</f>
        <v/>
      </c>
      <c r="DG534">
        <f>IF(OR(DE$3="",DE$3&gt;TODAY()),"",IF(AND(DE534="",DF534=""),"",N(DF534)-N(DE534)))</f>
        <v/>
      </c>
      <c r="DJ534">
        <f>IF(OR(DE$3="",DE$3&gt;TODAY()),"",IF(AND(DH534="",DI534=""),"",N(DI534)-N(DH534)))</f>
        <v/>
      </c>
      <c r="DN534">
        <f>IF(OR(DL$3="",DL$3&gt;TODAY()),"",IF(AND(DL534="",DM534=""),"",N(DM534)-N(DL534)))</f>
        <v/>
      </c>
      <c r="DQ534">
        <f>IF(OR(DL$3="",DL$3&gt;TODAY()),"",IF(AND(DO534="",DP534=""),"",N(DP534)-N(DO534)))</f>
        <v/>
      </c>
      <c r="DU534">
        <f>IF(OR(DS$3="",DS$3&gt;TODAY()),"",IF(AND(DS534="",DT534=""),"",N(DT534)-N(DS534)))</f>
        <v/>
      </c>
      <c r="DX534">
        <f>IF(OR(DS$3="",DS$3&gt;TODAY()),"",IF(AND(DV534="",DW534=""),"",N(DW534)-N(DV534)))</f>
        <v/>
      </c>
      <c r="EB534">
        <f>IF(OR(DZ$3="",DZ$3&gt;TODAY()),"",IF(AND(DZ534="",EA534=""),"",N(EA534)-N(DZ534)))</f>
        <v/>
      </c>
      <c r="EE534">
        <f>IF(OR(DZ$3="",DZ$3&gt;TODAY()),"",IF(AND(EC534="",ED534=""),"",N(ED534)-N(EC534)))</f>
        <v/>
      </c>
      <c r="EI534">
        <f>IF(OR(EG$3="",EG$3&gt;TODAY()),"",IF(AND(EG534="",EH534=""),"",N(EH534)-N(EG534)))</f>
        <v/>
      </c>
      <c r="EL534">
        <f>IF(OR(EG$3="",EG$3&gt;TODAY()),"",IF(AND(EJ534="",EK534=""),"",N(EK534)-N(EJ534)))</f>
        <v/>
      </c>
      <c r="EP534">
        <f>IF(OR(EN$3="",EN$3&gt;TODAY()),"",IF(AND(EN534="",EO534=""),"",N(EO534)-N(EN534)))</f>
        <v/>
      </c>
      <c r="ES534">
        <f>IF(OR(EN$3="",EN$3&gt;TODAY()),"",IF(AND(EQ534="",ER534=""),"",N(ER534)-N(EQ534)))</f>
        <v/>
      </c>
      <c r="EW534">
        <f>IF(OR(EU$3="",EU$3&gt;TODAY()),"",IF(AND(EU534="",EV534=""),"",N(EV534)-N(EU534)))</f>
        <v/>
      </c>
      <c r="EZ534">
        <f>IF(OR(EU$3="",EU$3&gt;TODAY()),"",IF(AND(EX534="",EY534=""),"",N(EY534)-N(EX534)))</f>
        <v/>
      </c>
      <c r="FD534">
        <f>IF(OR(FB$3="",FB$3&gt;TODAY()),"",IF(AND(FB534="",FC534=""),"",N(FC534)-N(FB534)))</f>
        <v/>
      </c>
      <c r="FG534">
        <f>IF(OR(FB$3="",FB$3&gt;TODAY()),"",IF(AND(FE534="",FF534=""),"",N(FF534)-N(FE534)))</f>
        <v/>
      </c>
      <c r="FK534">
        <f>IF(OR(FI$3="",FI$3&gt;TODAY()),"",IF(AND(FI534="",FJ534=""),"",N(FJ534)-N(FI534)))</f>
        <v/>
      </c>
      <c r="FN534">
        <f>IF(OR(FI$3="",FI$3&gt;TODAY()),"",IF(AND(FL534="",FM534=""),"",N(FM534)-N(FL534)))</f>
        <v/>
      </c>
      <c r="FR534">
        <f>IF(OR(FP$3="",FP$3&gt;TODAY()),"",IF(AND(FP534="",FQ534=""),"",N(FQ534)-N(FP534)))</f>
        <v/>
      </c>
      <c r="FU534">
        <f>IF(OR(FP$3="",FP$3&gt;TODAY()),"",IF(AND(FS534="",FT534=""),"",N(FT534)-N(FS534)))</f>
        <v/>
      </c>
      <c r="FY534">
        <f>IF(OR(FW$3="",FW$3&gt;TODAY()),"",IF(AND(FW534="",FX534=""),"",N(FX534)-N(FW534)))</f>
        <v/>
      </c>
      <c r="GB534">
        <f>IF(OR(FW$3="",FW$3&gt;TODAY()),"",IF(AND(FZ534="",GA534=""),"",N(GA534)-N(FZ534)))</f>
        <v/>
      </c>
      <c r="GF534">
        <f>IF(OR(GD$3="",GD$3&gt;TODAY()),"",IF(AND(GD534="",GE534=""),"",N(GE534)-N(GD534)))</f>
        <v/>
      </c>
      <c r="GI534">
        <f>IF(OR(GD$3="",GD$3&gt;TODAY()),"",IF(AND(GG534="",GH534=""),"",N(GH534)-N(GG534)))</f>
        <v/>
      </c>
      <c r="GM534">
        <f>IF(OR(GK$3="",GK$3&gt;TODAY()),"",IF(AND(GK534="",GL534=""),"",N(GL534)-N(GK534)))</f>
        <v/>
      </c>
      <c r="GP534">
        <f>IF(OR(GK$3="",GK$3&gt;TODAY()),"",IF(AND(GN534="",GO534=""),"",N(GO534)-N(GN534)))</f>
        <v/>
      </c>
      <c r="GT534">
        <f>IF(OR(GR$3="",GR$3&gt;TODAY()),"",IF(AND(GR534="",GS534=""),"",N(GS534)-N(GR534)))</f>
        <v/>
      </c>
      <c r="GW534">
        <f>IF(OR(GR$3="",GR$3&gt;TODAY()),"",IF(AND(GU534="",GV534=""),"",N(GV534)-N(GU534)))</f>
        <v/>
      </c>
      <c r="HA534">
        <f>IF(OR(GY$3="",GY$3&gt;TODAY()),"",IF(AND(GY534="",GZ534=""),"",N(GZ534)-N(GY534)))</f>
        <v/>
      </c>
      <c r="HD534">
        <f>IF(OR(GY$3="",GY$3&gt;TODAY()),"",IF(AND(HB534="",HC534=""),"",N(HC534)-N(HB534)))</f>
        <v/>
      </c>
      <c r="HH534">
        <f>IF(OR(HF$3="",HF$3&gt;TODAY()),"",IF(AND(HF534="",HG534=""),"",N(HG534)-N(HF534)))</f>
        <v/>
      </c>
      <c r="HK534">
        <f>IF(OR(HF$3="",HF$3&gt;TODAY()),"",IF(AND(HI534="",HJ534=""),"",N(HJ534)-N(HI534)))</f>
        <v/>
      </c>
      <c r="HO534">
        <f>IF(OR(HM$3="",HM$3&gt;TODAY()),"",IF(AND(HM534="",HN534=""),"",N(HN534)-N(HM534)))</f>
        <v/>
      </c>
      <c r="HR534">
        <f>IF(OR(HM$3="",HM$3&gt;TODAY()),"",IF(AND(HP534="",HQ534=""),"",N(HQ534)-N(HP534)))</f>
        <v/>
      </c>
      <c r="HV534">
        <f>IF(OR(HT$3="",HT$3&gt;TODAY()),"",IF(AND(HT534="",HU534=""),"",N(HU534)-N(HT534)))</f>
        <v/>
      </c>
      <c r="HY534">
        <f>IF(OR(HT$3="",HT$3&gt;TODAY()),"",IF(AND(HW534="",HX534=""),"",N(HX534)-N(HW534)))</f>
        <v/>
      </c>
      <c r="IC534">
        <f>IF(OR(IA$3="",IA$3&gt;TODAY()),"",IF(AND(IA534="",IB534=""),"",N(IB534)-N(IA534)))</f>
        <v/>
      </c>
      <c r="IF534">
        <f>IF(OR(IA$3="",IA$3&gt;TODAY()),"",IF(AND(ID534="",IE534=""),"",N(IE534)-N(ID534)))</f>
        <v/>
      </c>
      <c r="IJ534">
        <f>IF(OR(IH$3="",IH$3&gt;TODAY()),"",IF(AND(IH534="",II534=""),"",N(II534)-N(IH534)))</f>
        <v/>
      </c>
      <c r="IM534">
        <f>IF(OR(IH$3="",IH$3&gt;TODAY()),"",IF(AND(IK534="",IL534=""),"",N(IL534)-N(IK534)))</f>
        <v/>
      </c>
    </row>
    <row r="535">
      <c r="A535" s="21" t="n"/>
      <c r="B535" s="21" t="n"/>
      <c r="C535" s="21" t="n"/>
      <c r="D535" s="21" t="n"/>
      <c r="E535" s="21" t="n"/>
      <c r="F535" s="21" t="n"/>
      <c r="G535" s="21" t="n"/>
      <c r="H535" s="21" t="n"/>
      <c r="I535" s="22" t="n"/>
      <c r="J535" s="22" t="n"/>
      <c r="K535" s="23" t="n"/>
      <c r="L535" s="22" t="n"/>
      <c r="M535" s="22" t="n"/>
      <c r="N535" s="21" t="n"/>
      <c r="O535" s="23" t="n"/>
      <c r="P535" s="23" t="n"/>
      <c r="Q535" s="23" t="n"/>
      <c r="R535" s="23" t="n"/>
      <c r="S535" s="22" t="n"/>
      <c r="T535" s="23" t="n"/>
      <c r="U535" s="23" t="n"/>
      <c r="V535" s="24">
        <f>IF(J535&lt;&gt;"",J535,IF(I535&lt;&gt;"",I535,""))</f>
        <v/>
      </c>
      <c r="W535" s="25">
        <f>IF($E535="","",N(O535)+SUMIFS($AF535:$IN535,$AF$4:$IN$4,"SEW_ACT"))</f>
        <v/>
      </c>
      <c r="X535" s="25">
        <f>IF($E535="","",N(P535)+SUMIFS($AF535:$IN535,$AF$4:$IN$4,"WASH_ACT"))</f>
        <v/>
      </c>
      <c r="Y535" s="25">
        <f>IF($E535="","",W535-X535-N(T535)-N(U535))</f>
        <v/>
      </c>
      <c r="Z535" s="25">
        <f>IF($E535="","",IF(N(K535)-X535&lt;=0.02*N(K535),0,N(K535)-X535))</f>
        <v/>
      </c>
      <c r="AA535" s="24">
        <f>IF($E535="","",IF(S535&lt;&gt;"",S535,IF(N(O535)&gt;0,IF(L535&lt;&gt;"",L535,99999),IFERROR(1/(1/_xlfn.MINIFS($AF$3:$IN$3,$AF$4:$IN$4,"SEW_ACT",$AF535:$IN535,"&gt;0")),99999))))</f>
        <v/>
      </c>
      <c r="AB535" s="26">
        <f>IF(OR($E535="",Z535=0,V535=""),"",1+COUNTIFS(Z$8:Z$707,"&gt;0",V$8:V$707,"&lt;"&amp;V535)+COUNTIFS(Z$8:Z$707,"&gt;0",V$8:V$707,V535,AA$8:AA$707,"&lt;"&amp;AA535)+COUNTIFS(Z$8:Z$707,"&gt;0",V$8:V$707,V535,AA$8:AA$707,AA535,E$8:E$707,"&lt;"&amp;$E535))</f>
        <v/>
      </c>
      <c r="AC535" s="24">
        <f>IF(OR($E535="",Z535=0),"",IFERROR(TODAY()+ROUNDUP(Z535/(SUMIFS($AF535:$IN535,$AF$4:$IN$4,"WASH_ACT")/COUNTIFS($AF$4:$IN$4,"WASH_ACT",$AF535:$IN535,"&gt;0")),0),"no output yet"))</f>
        <v/>
      </c>
      <c r="AD535" s="26">
        <f>IF($E535="","",IFERROR(ROUND(MAX(0,SUMIFS($AF535:$IN535,$AF$4:$IN$4,"SEW_PLAN",$AF$3:$IN$3,"&lt;="&amp;TODAY())-SUMIFS($AF535:$IN535,$AF$4:$IN$4,"SEW_ACT",$AF$3:$IN$3,"&lt;="&amp;TODAY())+N(Q535))/(SUMIFS($AF535:$IN535,$AF$4:$IN$4,"SEW_PLAN")/COUNTIFS($AF$4:$IN$4,"SEW_PLAN",$AF535:$IN535,"&gt;0")),1),0))</f>
        <v/>
      </c>
      <c r="AE535" s="26">
        <f>IF($E535="","",IF(AND(Z535&gt;0,OR(AND(M535&lt;&gt;"",TODAY()&gt;M535),AND(V535&lt;&gt;"",V535-TODAY()&lt;=7))),"Yes","No"))</f>
        <v/>
      </c>
      <c r="AH535">
        <f>IF(OR(AF$3="",AF$3&gt;TODAY()),"",IF(AND(AF535="",AG535=""),"",N(AG535)-N(AF535)))</f>
        <v/>
      </c>
      <c r="AK535">
        <f>IF(OR(AF$3="",AF$3&gt;TODAY()),"",IF(AND(AI535="",AJ535=""),"",N(AJ535)-N(AI535)))</f>
        <v/>
      </c>
      <c r="AO535">
        <f>IF(OR(AM$3="",AM$3&gt;TODAY()),"",IF(AND(AM535="",AN535=""),"",N(AN535)-N(AM535)))</f>
        <v/>
      </c>
      <c r="AR535">
        <f>IF(OR(AM$3="",AM$3&gt;TODAY()),"",IF(AND(AP535="",AQ535=""),"",N(AQ535)-N(AP535)))</f>
        <v/>
      </c>
      <c r="AV535">
        <f>IF(OR(AT$3="",AT$3&gt;TODAY()),"",IF(AND(AT535="",AU535=""),"",N(AU535)-N(AT535)))</f>
        <v/>
      </c>
      <c r="AY535">
        <f>IF(OR(AT$3="",AT$3&gt;TODAY()),"",IF(AND(AW535="",AX535=""),"",N(AX535)-N(AW535)))</f>
        <v/>
      </c>
      <c r="BC535">
        <f>IF(OR(BA$3="",BA$3&gt;TODAY()),"",IF(AND(BA535="",BB535=""),"",N(BB535)-N(BA535)))</f>
        <v/>
      </c>
      <c r="BF535">
        <f>IF(OR(BA$3="",BA$3&gt;TODAY()),"",IF(AND(BD535="",BE535=""),"",N(BE535)-N(BD535)))</f>
        <v/>
      </c>
      <c r="BJ535">
        <f>IF(OR(BH$3="",BH$3&gt;TODAY()),"",IF(AND(BH535="",BI535=""),"",N(BI535)-N(BH535)))</f>
        <v/>
      </c>
      <c r="BM535">
        <f>IF(OR(BH$3="",BH$3&gt;TODAY()),"",IF(AND(BK535="",BL535=""),"",N(BL535)-N(BK535)))</f>
        <v/>
      </c>
      <c r="BQ535">
        <f>IF(OR(BO$3="",BO$3&gt;TODAY()),"",IF(AND(BO535="",BP535=""),"",N(BP535)-N(BO535)))</f>
        <v/>
      </c>
      <c r="BT535">
        <f>IF(OR(BO$3="",BO$3&gt;TODAY()),"",IF(AND(BR535="",BS535=""),"",N(BS535)-N(BR535)))</f>
        <v/>
      </c>
      <c r="BX535">
        <f>IF(OR(BV$3="",BV$3&gt;TODAY()),"",IF(AND(BV535="",BW535=""),"",N(BW535)-N(BV535)))</f>
        <v/>
      </c>
      <c r="CA535">
        <f>IF(OR(BV$3="",BV$3&gt;TODAY()),"",IF(AND(BY535="",BZ535=""),"",N(BZ535)-N(BY535)))</f>
        <v/>
      </c>
      <c r="CE535">
        <f>IF(OR(CC$3="",CC$3&gt;TODAY()),"",IF(AND(CC535="",CD535=""),"",N(CD535)-N(CC535)))</f>
        <v/>
      </c>
      <c r="CH535">
        <f>IF(OR(CC$3="",CC$3&gt;TODAY()),"",IF(AND(CF535="",CG535=""),"",N(CG535)-N(CF535)))</f>
        <v/>
      </c>
      <c r="CL535">
        <f>IF(OR(CJ$3="",CJ$3&gt;TODAY()),"",IF(AND(CJ535="",CK535=""),"",N(CK535)-N(CJ535)))</f>
        <v/>
      </c>
      <c r="CO535">
        <f>IF(OR(CJ$3="",CJ$3&gt;TODAY()),"",IF(AND(CM535="",CN535=""),"",N(CN535)-N(CM535)))</f>
        <v/>
      </c>
      <c r="CS535">
        <f>IF(OR(CQ$3="",CQ$3&gt;TODAY()),"",IF(AND(CQ535="",CR535=""),"",N(CR535)-N(CQ535)))</f>
        <v/>
      </c>
      <c r="CV535">
        <f>IF(OR(CQ$3="",CQ$3&gt;TODAY()),"",IF(AND(CT535="",CU535=""),"",N(CU535)-N(CT535)))</f>
        <v/>
      </c>
      <c r="CZ535">
        <f>IF(OR(CX$3="",CX$3&gt;TODAY()),"",IF(AND(CX535="",CY535=""),"",N(CY535)-N(CX535)))</f>
        <v/>
      </c>
      <c r="DC535">
        <f>IF(OR(CX$3="",CX$3&gt;TODAY()),"",IF(AND(DA535="",DB535=""),"",N(DB535)-N(DA535)))</f>
        <v/>
      </c>
      <c r="DG535">
        <f>IF(OR(DE$3="",DE$3&gt;TODAY()),"",IF(AND(DE535="",DF535=""),"",N(DF535)-N(DE535)))</f>
        <v/>
      </c>
      <c r="DJ535">
        <f>IF(OR(DE$3="",DE$3&gt;TODAY()),"",IF(AND(DH535="",DI535=""),"",N(DI535)-N(DH535)))</f>
        <v/>
      </c>
      <c r="DN535">
        <f>IF(OR(DL$3="",DL$3&gt;TODAY()),"",IF(AND(DL535="",DM535=""),"",N(DM535)-N(DL535)))</f>
        <v/>
      </c>
      <c r="DQ535">
        <f>IF(OR(DL$3="",DL$3&gt;TODAY()),"",IF(AND(DO535="",DP535=""),"",N(DP535)-N(DO535)))</f>
        <v/>
      </c>
      <c r="DU535">
        <f>IF(OR(DS$3="",DS$3&gt;TODAY()),"",IF(AND(DS535="",DT535=""),"",N(DT535)-N(DS535)))</f>
        <v/>
      </c>
      <c r="DX535">
        <f>IF(OR(DS$3="",DS$3&gt;TODAY()),"",IF(AND(DV535="",DW535=""),"",N(DW535)-N(DV535)))</f>
        <v/>
      </c>
      <c r="EB535">
        <f>IF(OR(DZ$3="",DZ$3&gt;TODAY()),"",IF(AND(DZ535="",EA535=""),"",N(EA535)-N(DZ535)))</f>
        <v/>
      </c>
      <c r="EE535">
        <f>IF(OR(DZ$3="",DZ$3&gt;TODAY()),"",IF(AND(EC535="",ED535=""),"",N(ED535)-N(EC535)))</f>
        <v/>
      </c>
      <c r="EI535">
        <f>IF(OR(EG$3="",EG$3&gt;TODAY()),"",IF(AND(EG535="",EH535=""),"",N(EH535)-N(EG535)))</f>
        <v/>
      </c>
      <c r="EL535">
        <f>IF(OR(EG$3="",EG$3&gt;TODAY()),"",IF(AND(EJ535="",EK535=""),"",N(EK535)-N(EJ535)))</f>
        <v/>
      </c>
      <c r="EP535">
        <f>IF(OR(EN$3="",EN$3&gt;TODAY()),"",IF(AND(EN535="",EO535=""),"",N(EO535)-N(EN535)))</f>
        <v/>
      </c>
      <c r="ES535">
        <f>IF(OR(EN$3="",EN$3&gt;TODAY()),"",IF(AND(EQ535="",ER535=""),"",N(ER535)-N(EQ535)))</f>
        <v/>
      </c>
      <c r="EW535">
        <f>IF(OR(EU$3="",EU$3&gt;TODAY()),"",IF(AND(EU535="",EV535=""),"",N(EV535)-N(EU535)))</f>
        <v/>
      </c>
      <c r="EZ535">
        <f>IF(OR(EU$3="",EU$3&gt;TODAY()),"",IF(AND(EX535="",EY535=""),"",N(EY535)-N(EX535)))</f>
        <v/>
      </c>
      <c r="FD535">
        <f>IF(OR(FB$3="",FB$3&gt;TODAY()),"",IF(AND(FB535="",FC535=""),"",N(FC535)-N(FB535)))</f>
        <v/>
      </c>
      <c r="FG535">
        <f>IF(OR(FB$3="",FB$3&gt;TODAY()),"",IF(AND(FE535="",FF535=""),"",N(FF535)-N(FE535)))</f>
        <v/>
      </c>
      <c r="FK535">
        <f>IF(OR(FI$3="",FI$3&gt;TODAY()),"",IF(AND(FI535="",FJ535=""),"",N(FJ535)-N(FI535)))</f>
        <v/>
      </c>
      <c r="FN535">
        <f>IF(OR(FI$3="",FI$3&gt;TODAY()),"",IF(AND(FL535="",FM535=""),"",N(FM535)-N(FL535)))</f>
        <v/>
      </c>
      <c r="FR535">
        <f>IF(OR(FP$3="",FP$3&gt;TODAY()),"",IF(AND(FP535="",FQ535=""),"",N(FQ535)-N(FP535)))</f>
        <v/>
      </c>
      <c r="FU535">
        <f>IF(OR(FP$3="",FP$3&gt;TODAY()),"",IF(AND(FS535="",FT535=""),"",N(FT535)-N(FS535)))</f>
        <v/>
      </c>
      <c r="FY535">
        <f>IF(OR(FW$3="",FW$3&gt;TODAY()),"",IF(AND(FW535="",FX535=""),"",N(FX535)-N(FW535)))</f>
        <v/>
      </c>
      <c r="GB535">
        <f>IF(OR(FW$3="",FW$3&gt;TODAY()),"",IF(AND(FZ535="",GA535=""),"",N(GA535)-N(FZ535)))</f>
        <v/>
      </c>
      <c r="GF535">
        <f>IF(OR(GD$3="",GD$3&gt;TODAY()),"",IF(AND(GD535="",GE535=""),"",N(GE535)-N(GD535)))</f>
        <v/>
      </c>
      <c r="GI535">
        <f>IF(OR(GD$3="",GD$3&gt;TODAY()),"",IF(AND(GG535="",GH535=""),"",N(GH535)-N(GG535)))</f>
        <v/>
      </c>
      <c r="GM535">
        <f>IF(OR(GK$3="",GK$3&gt;TODAY()),"",IF(AND(GK535="",GL535=""),"",N(GL535)-N(GK535)))</f>
        <v/>
      </c>
      <c r="GP535">
        <f>IF(OR(GK$3="",GK$3&gt;TODAY()),"",IF(AND(GN535="",GO535=""),"",N(GO535)-N(GN535)))</f>
        <v/>
      </c>
      <c r="GT535">
        <f>IF(OR(GR$3="",GR$3&gt;TODAY()),"",IF(AND(GR535="",GS535=""),"",N(GS535)-N(GR535)))</f>
        <v/>
      </c>
      <c r="GW535">
        <f>IF(OR(GR$3="",GR$3&gt;TODAY()),"",IF(AND(GU535="",GV535=""),"",N(GV535)-N(GU535)))</f>
        <v/>
      </c>
      <c r="HA535">
        <f>IF(OR(GY$3="",GY$3&gt;TODAY()),"",IF(AND(GY535="",GZ535=""),"",N(GZ535)-N(GY535)))</f>
        <v/>
      </c>
      <c r="HD535">
        <f>IF(OR(GY$3="",GY$3&gt;TODAY()),"",IF(AND(HB535="",HC535=""),"",N(HC535)-N(HB535)))</f>
        <v/>
      </c>
      <c r="HH535">
        <f>IF(OR(HF$3="",HF$3&gt;TODAY()),"",IF(AND(HF535="",HG535=""),"",N(HG535)-N(HF535)))</f>
        <v/>
      </c>
      <c r="HK535">
        <f>IF(OR(HF$3="",HF$3&gt;TODAY()),"",IF(AND(HI535="",HJ535=""),"",N(HJ535)-N(HI535)))</f>
        <v/>
      </c>
      <c r="HO535">
        <f>IF(OR(HM$3="",HM$3&gt;TODAY()),"",IF(AND(HM535="",HN535=""),"",N(HN535)-N(HM535)))</f>
        <v/>
      </c>
      <c r="HR535">
        <f>IF(OR(HM$3="",HM$3&gt;TODAY()),"",IF(AND(HP535="",HQ535=""),"",N(HQ535)-N(HP535)))</f>
        <v/>
      </c>
      <c r="HV535">
        <f>IF(OR(HT$3="",HT$3&gt;TODAY()),"",IF(AND(HT535="",HU535=""),"",N(HU535)-N(HT535)))</f>
        <v/>
      </c>
      <c r="HY535">
        <f>IF(OR(HT$3="",HT$3&gt;TODAY()),"",IF(AND(HW535="",HX535=""),"",N(HX535)-N(HW535)))</f>
        <v/>
      </c>
      <c r="IC535">
        <f>IF(OR(IA$3="",IA$3&gt;TODAY()),"",IF(AND(IA535="",IB535=""),"",N(IB535)-N(IA535)))</f>
        <v/>
      </c>
      <c r="IF535">
        <f>IF(OR(IA$3="",IA$3&gt;TODAY()),"",IF(AND(ID535="",IE535=""),"",N(IE535)-N(ID535)))</f>
        <v/>
      </c>
      <c r="IJ535">
        <f>IF(OR(IH$3="",IH$3&gt;TODAY()),"",IF(AND(IH535="",II535=""),"",N(II535)-N(IH535)))</f>
        <v/>
      </c>
      <c r="IM535">
        <f>IF(OR(IH$3="",IH$3&gt;TODAY()),"",IF(AND(IK535="",IL535=""),"",N(IL535)-N(IK535)))</f>
        <v/>
      </c>
    </row>
    <row r="536">
      <c r="A536" s="21" t="n"/>
      <c r="B536" s="21" t="n"/>
      <c r="C536" s="21" t="n"/>
      <c r="D536" s="21" t="n"/>
      <c r="E536" s="21" t="n"/>
      <c r="F536" s="21" t="n"/>
      <c r="G536" s="21" t="n"/>
      <c r="H536" s="21" t="n"/>
      <c r="I536" s="22" t="n"/>
      <c r="J536" s="22" t="n"/>
      <c r="K536" s="23" t="n"/>
      <c r="L536" s="22" t="n"/>
      <c r="M536" s="22" t="n"/>
      <c r="N536" s="21" t="n"/>
      <c r="O536" s="23" t="n"/>
      <c r="P536" s="23" t="n"/>
      <c r="Q536" s="23" t="n"/>
      <c r="R536" s="23" t="n"/>
      <c r="S536" s="22" t="n"/>
      <c r="T536" s="23" t="n"/>
      <c r="U536" s="23" t="n"/>
      <c r="V536" s="24">
        <f>IF(J536&lt;&gt;"",J536,IF(I536&lt;&gt;"",I536,""))</f>
        <v/>
      </c>
      <c r="W536" s="25">
        <f>IF($E536="","",N(O536)+SUMIFS($AF536:$IN536,$AF$4:$IN$4,"SEW_ACT"))</f>
        <v/>
      </c>
      <c r="X536" s="25">
        <f>IF($E536="","",N(P536)+SUMIFS($AF536:$IN536,$AF$4:$IN$4,"WASH_ACT"))</f>
        <v/>
      </c>
      <c r="Y536" s="25">
        <f>IF($E536="","",W536-X536-N(T536)-N(U536))</f>
        <v/>
      </c>
      <c r="Z536" s="25">
        <f>IF($E536="","",IF(N(K536)-X536&lt;=0.02*N(K536),0,N(K536)-X536))</f>
        <v/>
      </c>
      <c r="AA536" s="24">
        <f>IF($E536="","",IF(S536&lt;&gt;"",S536,IF(N(O536)&gt;0,IF(L536&lt;&gt;"",L536,99999),IFERROR(1/(1/_xlfn.MINIFS($AF$3:$IN$3,$AF$4:$IN$4,"SEW_ACT",$AF536:$IN536,"&gt;0")),99999))))</f>
        <v/>
      </c>
      <c r="AB536" s="26">
        <f>IF(OR($E536="",Z536=0,V536=""),"",1+COUNTIFS(Z$8:Z$707,"&gt;0",V$8:V$707,"&lt;"&amp;V536)+COUNTIFS(Z$8:Z$707,"&gt;0",V$8:V$707,V536,AA$8:AA$707,"&lt;"&amp;AA536)+COUNTIFS(Z$8:Z$707,"&gt;0",V$8:V$707,V536,AA$8:AA$707,AA536,E$8:E$707,"&lt;"&amp;$E536))</f>
        <v/>
      </c>
      <c r="AC536" s="24">
        <f>IF(OR($E536="",Z536=0),"",IFERROR(TODAY()+ROUNDUP(Z536/(SUMIFS($AF536:$IN536,$AF$4:$IN$4,"WASH_ACT")/COUNTIFS($AF$4:$IN$4,"WASH_ACT",$AF536:$IN536,"&gt;0")),0),"no output yet"))</f>
        <v/>
      </c>
      <c r="AD536" s="26">
        <f>IF($E536="","",IFERROR(ROUND(MAX(0,SUMIFS($AF536:$IN536,$AF$4:$IN$4,"SEW_PLAN",$AF$3:$IN$3,"&lt;="&amp;TODAY())-SUMIFS($AF536:$IN536,$AF$4:$IN$4,"SEW_ACT",$AF$3:$IN$3,"&lt;="&amp;TODAY())+N(Q536))/(SUMIFS($AF536:$IN536,$AF$4:$IN$4,"SEW_PLAN")/COUNTIFS($AF$4:$IN$4,"SEW_PLAN",$AF536:$IN536,"&gt;0")),1),0))</f>
        <v/>
      </c>
      <c r="AE536" s="26">
        <f>IF($E536="","",IF(AND(Z536&gt;0,OR(AND(M536&lt;&gt;"",TODAY()&gt;M536),AND(V536&lt;&gt;"",V536-TODAY()&lt;=7))),"Yes","No"))</f>
        <v/>
      </c>
      <c r="AH536">
        <f>IF(OR(AF$3="",AF$3&gt;TODAY()),"",IF(AND(AF536="",AG536=""),"",N(AG536)-N(AF536)))</f>
        <v/>
      </c>
      <c r="AK536">
        <f>IF(OR(AF$3="",AF$3&gt;TODAY()),"",IF(AND(AI536="",AJ536=""),"",N(AJ536)-N(AI536)))</f>
        <v/>
      </c>
      <c r="AO536">
        <f>IF(OR(AM$3="",AM$3&gt;TODAY()),"",IF(AND(AM536="",AN536=""),"",N(AN536)-N(AM536)))</f>
        <v/>
      </c>
      <c r="AR536">
        <f>IF(OR(AM$3="",AM$3&gt;TODAY()),"",IF(AND(AP536="",AQ536=""),"",N(AQ536)-N(AP536)))</f>
        <v/>
      </c>
      <c r="AV536">
        <f>IF(OR(AT$3="",AT$3&gt;TODAY()),"",IF(AND(AT536="",AU536=""),"",N(AU536)-N(AT536)))</f>
        <v/>
      </c>
      <c r="AY536">
        <f>IF(OR(AT$3="",AT$3&gt;TODAY()),"",IF(AND(AW536="",AX536=""),"",N(AX536)-N(AW536)))</f>
        <v/>
      </c>
      <c r="BC536">
        <f>IF(OR(BA$3="",BA$3&gt;TODAY()),"",IF(AND(BA536="",BB536=""),"",N(BB536)-N(BA536)))</f>
        <v/>
      </c>
      <c r="BF536">
        <f>IF(OR(BA$3="",BA$3&gt;TODAY()),"",IF(AND(BD536="",BE536=""),"",N(BE536)-N(BD536)))</f>
        <v/>
      </c>
      <c r="BJ536">
        <f>IF(OR(BH$3="",BH$3&gt;TODAY()),"",IF(AND(BH536="",BI536=""),"",N(BI536)-N(BH536)))</f>
        <v/>
      </c>
      <c r="BM536">
        <f>IF(OR(BH$3="",BH$3&gt;TODAY()),"",IF(AND(BK536="",BL536=""),"",N(BL536)-N(BK536)))</f>
        <v/>
      </c>
      <c r="BQ536">
        <f>IF(OR(BO$3="",BO$3&gt;TODAY()),"",IF(AND(BO536="",BP536=""),"",N(BP536)-N(BO536)))</f>
        <v/>
      </c>
      <c r="BT536">
        <f>IF(OR(BO$3="",BO$3&gt;TODAY()),"",IF(AND(BR536="",BS536=""),"",N(BS536)-N(BR536)))</f>
        <v/>
      </c>
      <c r="BX536">
        <f>IF(OR(BV$3="",BV$3&gt;TODAY()),"",IF(AND(BV536="",BW536=""),"",N(BW536)-N(BV536)))</f>
        <v/>
      </c>
      <c r="CA536">
        <f>IF(OR(BV$3="",BV$3&gt;TODAY()),"",IF(AND(BY536="",BZ536=""),"",N(BZ536)-N(BY536)))</f>
        <v/>
      </c>
      <c r="CE536">
        <f>IF(OR(CC$3="",CC$3&gt;TODAY()),"",IF(AND(CC536="",CD536=""),"",N(CD536)-N(CC536)))</f>
        <v/>
      </c>
      <c r="CH536">
        <f>IF(OR(CC$3="",CC$3&gt;TODAY()),"",IF(AND(CF536="",CG536=""),"",N(CG536)-N(CF536)))</f>
        <v/>
      </c>
      <c r="CL536">
        <f>IF(OR(CJ$3="",CJ$3&gt;TODAY()),"",IF(AND(CJ536="",CK536=""),"",N(CK536)-N(CJ536)))</f>
        <v/>
      </c>
      <c r="CO536">
        <f>IF(OR(CJ$3="",CJ$3&gt;TODAY()),"",IF(AND(CM536="",CN536=""),"",N(CN536)-N(CM536)))</f>
        <v/>
      </c>
      <c r="CS536">
        <f>IF(OR(CQ$3="",CQ$3&gt;TODAY()),"",IF(AND(CQ536="",CR536=""),"",N(CR536)-N(CQ536)))</f>
        <v/>
      </c>
      <c r="CV536">
        <f>IF(OR(CQ$3="",CQ$3&gt;TODAY()),"",IF(AND(CT536="",CU536=""),"",N(CU536)-N(CT536)))</f>
        <v/>
      </c>
      <c r="CZ536">
        <f>IF(OR(CX$3="",CX$3&gt;TODAY()),"",IF(AND(CX536="",CY536=""),"",N(CY536)-N(CX536)))</f>
        <v/>
      </c>
      <c r="DC536">
        <f>IF(OR(CX$3="",CX$3&gt;TODAY()),"",IF(AND(DA536="",DB536=""),"",N(DB536)-N(DA536)))</f>
        <v/>
      </c>
      <c r="DG536">
        <f>IF(OR(DE$3="",DE$3&gt;TODAY()),"",IF(AND(DE536="",DF536=""),"",N(DF536)-N(DE536)))</f>
        <v/>
      </c>
      <c r="DJ536">
        <f>IF(OR(DE$3="",DE$3&gt;TODAY()),"",IF(AND(DH536="",DI536=""),"",N(DI536)-N(DH536)))</f>
        <v/>
      </c>
      <c r="DN536">
        <f>IF(OR(DL$3="",DL$3&gt;TODAY()),"",IF(AND(DL536="",DM536=""),"",N(DM536)-N(DL536)))</f>
        <v/>
      </c>
      <c r="DQ536">
        <f>IF(OR(DL$3="",DL$3&gt;TODAY()),"",IF(AND(DO536="",DP536=""),"",N(DP536)-N(DO536)))</f>
        <v/>
      </c>
      <c r="DU536">
        <f>IF(OR(DS$3="",DS$3&gt;TODAY()),"",IF(AND(DS536="",DT536=""),"",N(DT536)-N(DS536)))</f>
        <v/>
      </c>
      <c r="DX536">
        <f>IF(OR(DS$3="",DS$3&gt;TODAY()),"",IF(AND(DV536="",DW536=""),"",N(DW536)-N(DV536)))</f>
        <v/>
      </c>
      <c r="EB536">
        <f>IF(OR(DZ$3="",DZ$3&gt;TODAY()),"",IF(AND(DZ536="",EA536=""),"",N(EA536)-N(DZ536)))</f>
        <v/>
      </c>
      <c r="EE536">
        <f>IF(OR(DZ$3="",DZ$3&gt;TODAY()),"",IF(AND(EC536="",ED536=""),"",N(ED536)-N(EC536)))</f>
        <v/>
      </c>
      <c r="EI536">
        <f>IF(OR(EG$3="",EG$3&gt;TODAY()),"",IF(AND(EG536="",EH536=""),"",N(EH536)-N(EG536)))</f>
        <v/>
      </c>
      <c r="EL536">
        <f>IF(OR(EG$3="",EG$3&gt;TODAY()),"",IF(AND(EJ536="",EK536=""),"",N(EK536)-N(EJ536)))</f>
        <v/>
      </c>
      <c r="EP536">
        <f>IF(OR(EN$3="",EN$3&gt;TODAY()),"",IF(AND(EN536="",EO536=""),"",N(EO536)-N(EN536)))</f>
        <v/>
      </c>
      <c r="ES536">
        <f>IF(OR(EN$3="",EN$3&gt;TODAY()),"",IF(AND(EQ536="",ER536=""),"",N(ER536)-N(EQ536)))</f>
        <v/>
      </c>
      <c r="EW536">
        <f>IF(OR(EU$3="",EU$3&gt;TODAY()),"",IF(AND(EU536="",EV536=""),"",N(EV536)-N(EU536)))</f>
        <v/>
      </c>
      <c r="EZ536">
        <f>IF(OR(EU$3="",EU$3&gt;TODAY()),"",IF(AND(EX536="",EY536=""),"",N(EY536)-N(EX536)))</f>
        <v/>
      </c>
      <c r="FD536">
        <f>IF(OR(FB$3="",FB$3&gt;TODAY()),"",IF(AND(FB536="",FC536=""),"",N(FC536)-N(FB536)))</f>
        <v/>
      </c>
      <c r="FG536">
        <f>IF(OR(FB$3="",FB$3&gt;TODAY()),"",IF(AND(FE536="",FF536=""),"",N(FF536)-N(FE536)))</f>
        <v/>
      </c>
      <c r="FK536">
        <f>IF(OR(FI$3="",FI$3&gt;TODAY()),"",IF(AND(FI536="",FJ536=""),"",N(FJ536)-N(FI536)))</f>
        <v/>
      </c>
      <c r="FN536">
        <f>IF(OR(FI$3="",FI$3&gt;TODAY()),"",IF(AND(FL536="",FM536=""),"",N(FM536)-N(FL536)))</f>
        <v/>
      </c>
      <c r="FR536">
        <f>IF(OR(FP$3="",FP$3&gt;TODAY()),"",IF(AND(FP536="",FQ536=""),"",N(FQ536)-N(FP536)))</f>
        <v/>
      </c>
      <c r="FU536">
        <f>IF(OR(FP$3="",FP$3&gt;TODAY()),"",IF(AND(FS536="",FT536=""),"",N(FT536)-N(FS536)))</f>
        <v/>
      </c>
      <c r="FY536">
        <f>IF(OR(FW$3="",FW$3&gt;TODAY()),"",IF(AND(FW536="",FX536=""),"",N(FX536)-N(FW536)))</f>
        <v/>
      </c>
      <c r="GB536">
        <f>IF(OR(FW$3="",FW$3&gt;TODAY()),"",IF(AND(FZ536="",GA536=""),"",N(GA536)-N(FZ536)))</f>
        <v/>
      </c>
      <c r="GF536">
        <f>IF(OR(GD$3="",GD$3&gt;TODAY()),"",IF(AND(GD536="",GE536=""),"",N(GE536)-N(GD536)))</f>
        <v/>
      </c>
      <c r="GI536">
        <f>IF(OR(GD$3="",GD$3&gt;TODAY()),"",IF(AND(GG536="",GH536=""),"",N(GH536)-N(GG536)))</f>
        <v/>
      </c>
      <c r="GM536">
        <f>IF(OR(GK$3="",GK$3&gt;TODAY()),"",IF(AND(GK536="",GL536=""),"",N(GL536)-N(GK536)))</f>
        <v/>
      </c>
      <c r="GP536">
        <f>IF(OR(GK$3="",GK$3&gt;TODAY()),"",IF(AND(GN536="",GO536=""),"",N(GO536)-N(GN536)))</f>
        <v/>
      </c>
      <c r="GT536">
        <f>IF(OR(GR$3="",GR$3&gt;TODAY()),"",IF(AND(GR536="",GS536=""),"",N(GS536)-N(GR536)))</f>
        <v/>
      </c>
      <c r="GW536">
        <f>IF(OR(GR$3="",GR$3&gt;TODAY()),"",IF(AND(GU536="",GV536=""),"",N(GV536)-N(GU536)))</f>
        <v/>
      </c>
      <c r="HA536">
        <f>IF(OR(GY$3="",GY$3&gt;TODAY()),"",IF(AND(GY536="",GZ536=""),"",N(GZ536)-N(GY536)))</f>
        <v/>
      </c>
      <c r="HD536">
        <f>IF(OR(GY$3="",GY$3&gt;TODAY()),"",IF(AND(HB536="",HC536=""),"",N(HC536)-N(HB536)))</f>
        <v/>
      </c>
      <c r="HH536">
        <f>IF(OR(HF$3="",HF$3&gt;TODAY()),"",IF(AND(HF536="",HG536=""),"",N(HG536)-N(HF536)))</f>
        <v/>
      </c>
      <c r="HK536">
        <f>IF(OR(HF$3="",HF$3&gt;TODAY()),"",IF(AND(HI536="",HJ536=""),"",N(HJ536)-N(HI536)))</f>
        <v/>
      </c>
      <c r="HO536">
        <f>IF(OR(HM$3="",HM$3&gt;TODAY()),"",IF(AND(HM536="",HN536=""),"",N(HN536)-N(HM536)))</f>
        <v/>
      </c>
      <c r="HR536">
        <f>IF(OR(HM$3="",HM$3&gt;TODAY()),"",IF(AND(HP536="",HQ536=""),"",N(HQ536)-N(HP536)))</f>
        <v/>
      </c>
      <c r="HV536">
        <f>IF(OR(HT$3="",HT$3&gt;TODAY()),"",IF(AND(HT536="",HU536=""),"",N(HU536)-N(HT536)))</f>
        <v/>
      </c>
      <c r="HY536">
        <f>IF(OR(HT$3="",HT$3&gt;TODAY()),"",IF(AND(HW536="",HX536=""),"",N(HX536)-N(HW536)))</f>
        <v/>
      </c>
      <c r="IC536">
        <f>IF(OR(IA$3="",IA$3&gt;TODAY()),"",IF(AND(IA536="",IB536=""),"",N(IB536)-N(IA536)))</f>
        <v/>
      </c>
      <c r="IF536">
        <f>IF(OR(IA$3="",IA$3&gt;TODAY()),"",IF(AND(ID536="",IE536=""),"",N(IE536)-N(ID536)))</f>
        <v/>
      </c>
      <c r="IJ536">
        <f>IF(OR(IH$3="",IH$3&gt;TODAY()),"",IF(AND(IH536="",II536=""),"",N(II536)-N(IH536)))</f>
        <v/>
      </c>
      <c r="IM536">
        <f>IF(OR(IH$3="",IH$3&gt;TODAY()),"",IF(AND(IK536="",IL536=""),"",N(IL536)-N(IK536)))</f>
        <v/>
      </c>
    </row>
    <row r="537">
      <c r="A537" s="21" t="n"/>
      <c r="B537" s="21" t="n"/>
      <c r="C537" s="21" t="n"/>
      <c r="D537" s="21" t="n"/>
      <c r="E537" s="21" t="n"/>
      <c r="F537" s="21" t="n"/>
      <c r="G537" s="21" t="n"/>
      <c r="H537" s="21" t="n"/>
      <c r="I537" s="22" t="n"/>
      <c r="J537" s="22" t="n"/>
      <c r="K537" s="23" t="n"/>
      <c r="L537" s="22" t="n"/>
      <c r="M537" s="22" t="n"/>
      <c r="N537" s="21" t="n"/>
      <c r="O537" s="23" t="n"/>
      <c r="P537" s="23" t="n"/>
      <c r="Q537" s="23" t="n"/>
      <c r="R537" s="23" t="n"/>
      <c r="S537" s="22" t="n"/>
      <c r="T537" s="23" t="n"/>
      <c r="U537" s="23" t="n"/>
      <c r="V537" s="24">
        <f>IF(J537&lt;&gt;"",J537,IF(I537&lt;&gt;"",I537,""))</f>
        <v/>
      </c>
      <c r="W537" s="25">
        <f>IF($E537="","",N(O537)+SUMIFS($AF537:$IN537,$AF$4:$IN$4,"SEW_ACT"))</f>
        <v/>
      </c>
      <c r="X537" s="25">
        <f>IF($E537="","",N(P537)+SUMIFS($AF537:$IN537,$AF$4:$IN$4,"WASH_ACT"))</f>
        <v/>
      </c>
      <c r="Y537" s="25">
        <f>IF($E537="","",W537-X537-N(T537)-N(U537))</f>
        <v/>
      </c>
      <c r="Z537" s="25">
        <f>IF($E537="","",IF(N(K537)-X537&lt;=0.02*N(K537),0,N(K537)-X537))</f>
        <v/>
      </c>
      <c r="AA537" s="24">
        <f>IF($E537="","",IF(S537&lt;&gt;"",S537,IF(N(O537)&gt;0,IF(L537&lt;&gt;"",L537,99999),IFERROR(1/(1/_xlfn.MINIFS($AF$3:$IN$3,$AF$4:$IN$4,"SEW_ACT",$AF537:$IN537,"&gt;0")),99999))))</f>
        <v/>
      </c>
      <c r="AB537" s="26">
        <f>IF(OR($E537="",Z537=0,V537=""),"",1+COUNTIFS(Z$8:Z$707,"&gt;0",V$8:V$707,"&lt;"&amp;V537)+COUNTIFS(Z$8:Z$707,"&gt;0",V$8:V$707,V537,AA$8:AA$707,"&lt;"&amp;AA537)+COUNTIFS(Z$8:Z$707,"&gt;0",V$8:V$707,V537,AA$8:AA$707,AA537,E$8:E$707,"&lt;"&amp;$E537))</f>
        <v/>
      </c>
      <c r="AC537" s="24">
        <f>IF(OR($E537="",Z537=0),"",IFERROR(TODAY()+ROUNDUP(Z537/(SUMIFS($AF537:$IN537,$AF$4:$IN$4,"WASH_ACT")/COUNTIFS($AF$4:$IN$4,"WASH_ACT",$AF537:$IN537,"&gt;0")),0),"no output yet"))</f>
        <v/>
      </c>
      <c r="AD537" s="26">
        <f>IF($E537="","",IFERROR(ROUND(MAX(0,SUMIFS($AF537:$IN537,$AF$4:$IN$4,"SEW_PLAN",$AF$3:$IN$3,"&lt;="&amp;TODAY())-SUMIFS($AF537:$IN537,$AF$4:$IN$4,"SEW_ACT",$AF$3:$IN$3,"&lt;="&amp;TODAY())+N(Q537))/(SUMIFS($AF537:$IN537,$AF$4:$IN$4,"SEW_PLAN")/COUNTIFS($AF$4:$IN$4,"SEW_PLAN",$AF537:$IN537,"&gt;0")),1),0))</f>
        <v/>
      </c>
      <c r="AE537" s="26">
        <f>IF($E537="","",IF(AND(Z537&gt;0,OR(AND(M537&lt;&gt;"",TODAY()&gt;M537),AND(V537&lt;&gt;"",V537-TODAY()&lt;=7))),"Yes","No"))</f>
        <v/>
      </c>
      <c r="AH537">
        <f>IF(OR(AF$3="",AF$3&gt;TODAY()),"",IF(AND(AF537="",AG537=""),"",N(AG537)-N(AF537)))</f>
        <v/>
      </c>
      <c r="AK537">
        <f>IF(OR(AF$3="",AF$3&gt;TODAY()),"",IF(AND(AI537="",AJ537=""),"",N(AJ537)-N(AI537)))</f>
        <v/>
      </c>
      <c r="AO537">
        <f>IF(OR(AM$3="",AM$3&gt;TODAY()),"",IF(AND(AM537="",AN537=""),"",N(AN537)-N(AM537)))</f>
        <v/>
      </c>
      <c r="AR537">
        <f>IF(OR(AM$3="",AM$3&gt;TODAY()),"",IF(AND(AP537="",AQ537=""),"",N(AQ537)-N(AP537)))</f>
        <v/>
      </c>
      <c r="AV537">
        <f>IF(OR(AT$3="",AT$3&gt;TODAY()),"",IF(AND(AT537="",AU537=""),"",N(AU537)-N(AT537)))</f>
        <v/>
      </c>
      <c r="AY537">
        <f>IF(OR(AT$3="",AT$3&gt;TODAY()),"",IF(AND(AW537="",AX537=""),"",N(AX537)-N(AW537)))</f>
        <v/>
      </c>
      <c r="BC537">
        <f>IF(OR(BA$3="",BA$3&gt;TODAY()),"",IF(AND(BA537="",BB537=""),"",N(BB537)-N(BA537)))</f>
        <v/>
      </c>
      <c r="BF537">
        <f>IF(OR(BA$3="",BA$3&gt;TODAY()),"",IF(AND(BD537="",BE537=""),"",N(BE537)-N(BD537)))</f>
        <v/>
      </c>
      <c r="BJ537">
        <f>IF(OR(BH$3="",BH$3&gt;TODAY()),"",IF(AND(BH537="",BI537=""),"",N(BI537)-N(BH537)))</f>
        <v/>
      </c>
      <c r="BM537">
        <f>IF(OR(BH$3="",BH$3&gt;TODAY()),"",IF(AND(BK537="",BL537=""),"",N(BL537)-N(BK537)))</f>
        <v/>
      </c>
      <c r="BQ537">
        <f>IF(OR(BO$3="",BO$3&gt;TODAY()),"",IF(AND(BO537="",BP537=""),"",N(BP537)-N(BO537)))</f>
        <v/>
      </c>
      <c r="BT537">
        <f>IF(OR(BO$3="",BO$3&gt;TODAY()),"",IF(AND(BR537="",BS537=""),"",N(BS537)-N(BR537)))</f>
        <v/>
      </c>
      <c r="BX537">
        <f>IF(OR(BV$3="",BV$3&gt;TODAY()),"",IF(AND(BV537="",BW537=""),"",N(BW537)-N(BV537)))</f>
        <v/>
      </c>
      <c r="CA537">
        <f>IF(OR(BV$3="",BV$3&gt;TODAY()),"",IF(AND(BY537="",BZ537=""),"",N(BZ537)-N(BY537)))</f>
        <v/>
      </c>
      <c r="CE537">
        <f>IF(OR(CC$3="",CC$3&gt;TODAY()),"",IF(AND(CC537="",CD537=""),"",N(CD537)-N(CC537)))</f>
        <v/>
      </c>
      <c r="CH537">
        <f>IF(OR(CC$3="",CC$3&gt;TODAY()),"",IF(AND(CF537="",CG537=""),"",N(CG537)-N(CF537)))</f>
        <v/>
      </c>
      <c r="CL537">
        <f>IF(OR(CJ$3="",CJ$3&gt;TODAY()),"",IF(AND(CJ537="",CK537=""),"",N(CK537)-N(CJ537)))</f>
        <v/>
      </c>
      <c r="CO537">
        <f>IF(OR(CJ$3="",CJ$3&gt;TODAY()),"",IF(AND(CM537="",CN537=""),"",N(CN537)-N(CM537)))</f>
        <v/>
      </c>
      <c r="CS537">
        <f>IF(OR(CQ$3="",CQ$3&gt;TODAY()),"",IF(AND(CQ537="",CR537=""),"",N(CR537)-N(CQ537)))</f>
        <v/>
      </c>
      <c r="CV537">
        <f>IF(OR(CQ$3="",CQ$3&gt;TODAY()),"",IF(AND(CT537="",CU537=""),"",N(CU537)-N(CT537)))</f>
        <v/>
      </c>
      <c r="CZ537">
        <f>IF(OR(CX$3="",CX$3&gt;TODAY()),"",IF(AND(CX537="",CY537=""),"",N(CY537)-N(CX537)))</f>
        <v/>
      </c>
      <c r="DC537">
        <f>IF(OR(CX$3="",CX$3&gt;TODAY()),"",IF(AND(DA537="",DB537=""),"",N(DB537)-N(DA537)))</f>
        <v/>
      </c>
      <c r="DG537">
        <f>IF(OR(DE$3="",DE$3&gt;TODAY()),"",IF(AND(DE537="",DF537=""),"",N(DF537)-N(DE537)))</f>
        <v/>
      </c>
      <c r="DJ537">
        <f>IF(OR(DE$3="",DE$3&gt;TODAY()),"",IF(AND(DH537="",DI537=""),"",N(DI537)-N(DH537)))</f>
        <v/>
      </c>
      <c r="DN537">
        <f>IF(OR(DL$3="",DL$3&gt;TODAY()),"",IF(AND(DL537="",DM537=""),"",N(DM537)-N(DL537)))</f>
        <v/>
      </c>
      <c r="DQ537">
        <f>IF(OR(DL$3="",DL$3&gt;TODAY()),"",IF(AND(DO537="",DP537=""),"",N(DP537)-N(DO537)))</f>
        <v/>
      </c>
      <c r="DU537">
        <f>IF(OR(DS$3="",DS$3&gt;TODAY()),"",IF(AND(DS537="",DT537=""),"",N(DT537)-N(DS537)))</f>
        <v/>
      </c>
      <c r="DX537">
        <f>IF(OR(DS$3="",DS$3&gt;TODAY()),"",IF(AND(DV537="",DW537=""),"",N(DW537)-N(DV537)))</f>
        <v/>
      </c>
      <c r="EB537">
        <f>IF(OR(DZ$3="",DZ$3&gt;TODAY()),"",IF(AND(DZ537="",EA537=""),"",N(EA537)-N(DZ537)))</f>
        <v/>
      </c>
      <c r="EE537">
        <f>IF(OR(DZ$3="",DZ$3&gt;TODAY()),"",IF(AND(EC537="",ED537=""),"",N(ED537)-N(EC537)))</f>
        <v/>
      </c>
      <c r="EI537">
        <f>IF(OR(EG$3="",EG$3&gt;TODAY()),"",IF(AND(EG537="",EH537=""),"",N(EH537)-N(EG537)))</f>
        <v/>
      </c>
      <c r="EL537">
        <f>IF(OR(EG$3="",EG$3&gt;TODAY()),"",IF(AND(EJ537="",EK537=""),"",N(EK537)-N(EJ537)))</f>
        <v/>
      </c>
      <c r="EP537">
        <f>IF(OR(EN$3="",EN$3&gt;TODAY()),"",IF(AND(EN537="",EO537=""),"",N(EO537)-N(EN537)))</f>
        <v/>
      </c>
      <c r="ES537">
        <f>IF(OR(EN$3="",EN$3&gt;TODAY()),"",IF(AND(EQ537="",ER537=""),"",N(ER537)-N(EQ537)))</f>
        <v/>
      </c>
      <c r="EW537">
        <f>IF(OR(EU$3="",EU$3&gt;TODAY()),"",IF(AND(EU537="",EV537=""),"",N(EV537)-N(EU537)))</f>
        <v/>
      </c>
      <c r="EZ537">
        <f>IF(OR(EU$3="",EU$3&gt;TODAY()),"",IF(AND(EX537="",EY537=""),"",N(EY537)-N(EX537)))</f>
        <v/>
      </c>
      <c r="FD537">
        <f>IF(OR(FB$3="",FB$3&gt;TODAY()),"",IF(AND(FB537="",FC537=""),"",N(FC537)-N(FB537)))</f>
        <v/>
      </c>
      <c r="FG537">
        <f>IF(OR(FB$3="",FB$3&gt;TODAY()),"",IF(AND(FE537="",FF537=""),"",N(FF537)-N(FE537)))</f>
        <v/>
      </c>
      <c r="FK537">
        <f>IF(OR(FI$3="",FI$3&gt;TODAY()),"",IF(AND(FI537="",FJ537=""),"",N(FJ537)-N(FI537)))</f>
        <v/>
      </c>
      <c r="FN537">
        <f>IF(OR(FI$3="",FI$3&gt;TODAY()),"",IF(AND(FL537="",FM537=""),"",N(FM537)-N(FL537)))</f>
        <v/>
      </c>
      <c r="FR537">
        <f>IF(OR(FP$3="",FP$3&gt;TODAY()),"",IF(AND(FP537="",FQ537=""),"",N(FQ537)-N(FP537)))</f>
        <v/>
      </c>
      <c r="FU537">
        <f>IF(OR(FP$3="",FP$3&gt;TODAY()),"",IF(AND(FS537="",FT537=""),"",N(FT537)-N(FS537)))</f>
        <v/>
      </c>
      <c r="FY537">
        <f>IF(OR(FW$3="",FW$3&gt;TODAY()),"",IF(AND(FW537="",FX537=""),"",N(FX537)-N(FW537)))</f>
        <v/>
      </c>
      <c r="GB537">
        <f>IF(OR(FW$3="",FW$3&gt;TODAY()),"",IF(AND(FZ537="",GA537=""),"",N(GA537)-N(FZ537)))</f>
        <v/>
      </c>
      <c r="GF537">
        <f>IF(OR(GD$3="",GD$3&gt;TODAY()),"",IF(AND(GD537="",GE537=""),"",N(GE537)-N(GD537)))</f>
        <v/>
      </c>
      <c r="GI537">
        <f>IF(OR(GD$3="",GD$3&gt;TODAY()),"",IF(AND(GG537="",GH537=""),"",N(GH537)-N(GG537)))</f>
        <v/>
      </c>
      <c r="GM537">
        <f>IF(OR(GK$3="",GK$3&gt;TODAY()),"",IF(AND(GK537="",GL537=""),"",N(GL537)-N(GK537)))</f>
        <v/>
      </c>
      <c r="GP537">
        <f>IF(OR(GK$3="",GK$3&gt;TODAY()),"",IF(AND(GN537="",GO537=""),"",N(GO537)-N(GN537)))</f>
        <v/>
      </c>
      <c r="GT537">
        <f>IF(OR(GR$3="",GR$3&gt;TODAY()),"",IF(AND(GR537="",GS537=""),"",N(GS537)-N(GR537)))</f>
        <v/>
      </c>
      <c r="GW537">
        <f>IF(OR(GR$3="",GR$3&gt;TODAY()),"",IF(AND(GU537="",GV537=""),"",N(GV537)-N(GU537)))</f>
        <v/>
      </c>
      <c r="HA537">
        <f>IF(OR(GY$3="",GY$3&gt;TODAY()),"",IF(AND(GY537="",GZ537=""),"",N(GZ537)-N(GY537)))</f>
        <v/>
      </c>
      <c r="HD537">
        <f>IF(OR(GY$3="",GY$3&gt;TODAY()),"",IF(AND(HB537="",HC537=""),"",N(HC537)-N(HB537)))</f>
        <v/>
      </c>
      <c r="HH537">
        <f>IF(OR(HF$3="",HF$3&gt;TODAY()),"",IF(AND(HF537="",HG537=""),"",N(HG537)-N(HF537)))</f>
        <v/>
      </c>
      <c r="HK537">
        <f>IF(OR(HF$3="",HF$3&gt;TODAY()),"",IF(AND(HI537="",HJ537=""),"",N(HJ537)-N(HI537)))</f>
        <v/>
      </c>
      <c r="HO537">
        <f>IF(OR(HM$3="",HM$3&gt;TODAY()),"",IF(AND(HM537="",HN537=""),"",N(HN537)-N(HM537)))</f>
        <v/>
      </c>
      <c r="HR537">
        <f>IF(OR(HM$3="",HM$3&gt;TODAY()),"",IF(AND(HP537="",HQ537=""),"",N(HQ537)-N(HP537)))</f>
        <v/>
      </c>
      <c r="HV537">
        <f>IF(OR(HT$3="",HT$3&gt;TODAY()),"",IF(AND(HT537="",HU537=""),"",N(HU537)-N(HT537)))</f>
        <v/>
      </c>
      <c r="HY537">
        <f>IF(OR(HT$3="",HT$3&gt;TODAY()),"",IF(AND(HW537="",HX537=""),"",N(HX537)-N(HW537)))</f>
        <v/>
      </c>
      <c r="IC537">
        <f>IF(OR(IA$3="",IA$3&gt;TODAY()),"",IF(AND(IA537="",IB537=""),"",N(IB537)-N(IA537)))</f>
        <v/>
      </c>
      <c r="IF537">
        <f>IF(OR(IA$3="",IA$3&gt;TODAY()),"",IF(AND(ID537="",IE537=""),"",N(IE537)-N(ID537)))</f>
        <v/>
      </c>
      <c r="IJ537">
        <f>IF(OR(IH$3="",IH$3&gt;TODAY()),"",IF(AND(IH537="",II537=""),"",N(II537)-N(IH537)))</f>
        <v/>
      </c>
      <c r="IM537">
        <f>IF(OR(IH$3="",IH$3&gt;TODAY()),"",IF(AND(IK537="",IL537=""),"",N(IL537)-N(IK537)))</f>
        <v/>
      </c>
    </row>
    <row r="538">
      <c r="A538" s="21" t="n"/>
      <c r="B538" s="21" t="n"/>
      <c r="C538" s="21" t="n"/>
      <c r="D538" s="21" t="n"/>
      <c r="E538" s="21" t="n"/>
      <c r="F538" s="21" t="n"/>
      <c r="G538" s="21" t="n"/>
      <c r="H538" s="21" t="n"/>
      <c r="I538" s="22" t="n"/>
      <c r="J538" s="22" t="n"/>
      <c r="K538" s="23" t="n"/>
      <c r="L538" s="22" t="n"/>
      <c r="M538" s="22" t="n"/>
      <c r="N538" s="21" t="n"/>
      <c r="O538" s="23" t="n"/>
      <c r="P538" s="23" t="n"/>
      <c r="Q538" s="23" t="n"/>
      <c r="R538" s="23" t="n"/>
      <c r="S538" s="22" t="n"/>
      <c r="T538" s="23" t="n"/>
      <c r="U538" s="23" t="n"/>
      <c r="V538" s="24">
        <f>IF(J538&lt;&gt;"",J538,IF(I538&lt;&gt;"",I538,""))</f>
        <v/>
      </c>
      <c r="W538" s="25">
        <f>IF($E538="","",N(O538)+SUMIFS($AF538:$IN538,$AF$4:$IN$4,"SEW_ACT"))</f>
        <v/>
      </c>
      <c r="X538" s="25">
        <f>IF($E538="","",N(P538)+SUMIFS($AF538:$IN538,$AF$4:$IN$4,"WASH_ACT"))</f>
        <v/>
      </c>
      <c r="Y538" s="25">
        <f>IF($E538="","",W538-X538-N(T538)-N(U538))</f>
        <v/>
      </c>
      <c r="Z538" s="25">
        <f>IF($E538="","",IF(N(K538)-X538&lt;=0.02*N(K538),0,N(K538)-X538))</f>
        <v/>
      </c>
      <c r="AA538" s="24">
        <f>IF($E538="","",IF(S538&lt;&gt;"",S538,IF(N(O538)&gt;0,IF(L538&lt;&gt;"",L538,99999),IFERROR(1/(1/_xlfn.MINIFS($AF$3:$IN$3,$AF$4:$IN$4,"SEW_ACT",$AF538:$IN538,"&gt;0")),99999))))</f>
        <v/>
      </c>
      <c r="AB538" s="26">
        <f>IF(OR($E538="",Z538=0,V538=""),"",1+COUNTIFS(Z$8:Z$707,"&gt;0",V$8:V$707,"&lt;"&amp;V538)+COUNTIFS(Z$8:Z$707,"&gt;0",V$8:V$707,V538,AA$8:AA$707,"&lt;"&amp;AA538)+COUNTIFS(Z$8:Z$707,"&gt;0",V$8:V$707,V538,AA$8:AA$707,AA538,E$8:E$707,"&lt;"&amp;$E538))</f>
        <v/>
      </c>
      <c r="AC538" s="24">
        <f>IF(OR($E538="",Z538=0),"",IFERROR(TODAY()+ROUNDUP(Z538/(SUMIFS($AF538:$IN538,$AF$4:$IN$4,"WASH_ACT")/COUNTIFS($AF$4:$IN$4,"WASH_ACT",$AF538:$IN538,"&gt;0")),0),"no output yet"))</f>
        <v/>
      </c>
      <c r="AD538" s="26">
        <f>IF($E538="","",IFERROR(ROUND(MAX(0,SUMIFS($AF538:$IN538,$AF$4:$IN$4,"SEW_PLAN",$AF$3:$IN$3,"&lt;="&amp;TODAY())-SUMIFS($AF538:$IN538,$AF$4:$IN$4,"SEW_ACT",$AF$3:$IN$3,"&lt;="&amp;TODAY())+N(Q538))/(SUMIFS($AF538:$IN538,$AF$4:$IN$4,"SEW_PLAN")/COUNTIFS($AF$4:$IN$4,"SEW_PLAN",$AF538:$IN538,"&gt;0")),1),0))</f>
        <v/>
      </c>
      <c r="AE538" s="26">
        <f>IF($E538="","",IF(AND(Z538&gt;0,OR(AND(M538&lt;&gt;"",TODAY()&gt;M538),AND(V538&lt;&gt;"",V538-TODAY()&lt;=7))),"Yes","No"))</f>
        <v/>
      </c>
      <c r="AH538">
        <f>IF(OR(AF$3="",AF$3&gt;TODAY()),"",IF(AND(AF538="",AG538=""),"",N(AG538)-N(AF538)))</f>
        <v/>
      </c>
      <c r="AK538">
        <f>IF(OR(AF$3="",AF$3&gt;TODAY()),"",IF(AND(AI538="",AJ538=""),"",N(AJ538)-N(AI538)))</f>
        <v/>
      </c>
      <c r="AO538">
        <f>IF(OR(AM$3="",AM$3&gt;TODAY()),"",IF(AND(AM538="",AN538=""),"",N(AN538)-N(AM538)))</f>
        <v/>
      </c>
      <c r="AR538">
        <f>IF(OR(AM$3="",AM$3&gt;TODAY()),"",IF(AND(AP538="",AQ538=""),"",N(AQ538)-N(AP538)))</f>
        <v/>
      </c>
      <c r="AV538">
        <f>IF(OR(AT$3="",AT$3&gt;TODAY()),"",IF(AND(AT538="",AU538=""),"",N(AU538)-N(AT538)))</f>
        <v/>
      </c>
      <c r="AY538">
        <f>IF(OR(AT$3="",AT$3&gt;TODAY()),"",IF(AND(AW538="",AX538=""),"",N(AX538)-N(AW538)))</f>
        <v/>
      </c>
      <c r="BC538">
        <f>IF(OR(BA$3="",BA$3&gt;TODAY()),"",IF(AND(BA538="",BB538=""),"",N(BB538)-N(BA538)))</f>
        <v/>
      </c>
      <c r="BF538">
        <f>IF(OR(BA$3="",BA$3&gt;TODAY()),"",IF(AND(BD538="",BE538=""),"",N(BE538)-N(BD538)))</f>
        <v/>
      </c>
      <c r="BJ538">
        <f>IF(OR(BH$3="",BH$3&gt;TODAY()),"",IF(AND(BH538="",BI538=""),"",N(BI538)-N(BH538)))</f>
        <v/>
      </c>
      <c r="BM538">
        <f>IF(OR(BH$3="",BH$3&gt;TODAY()),"",IF(AND(BK538="",BL538=""),"",N(BL538)-N(BK538)))</f>
        <v/>
      </c>
      <c r="BQ538">
        <f>IF(OR(BO$3="",BO$3&gt;TODAY()),"",IF(AND(BO538="",BP538=""),"",N(BP538)-N(BO538)))</f>
        <v/>
      </c>
      <c r="BT538">
        <f>IF(OR(BO$3="",BO$3&gt;TODAY()),"",IF(AND(BR538="",BS538=""),"",N(BS538)-N(BR538)))</f>
        <v/>
      </c>
      <c r="BX538">
        <f>IF(OR(BV$3="",BV$3&gt;TODAY()),"",IF(AND(BV538="",BW538=""),"",N(BW538)-N(BV538)))</f>
        <v/>
      </c>
      <c r="CA538">
        <f>IF(OR(BV$3="",BV$3&gt;TODAY()),"",IF(AND(BY538="",BZ538=""),"",N(BZ538)-N(BY538)))</f>
        <v/>
      </c>
      <c r="CE538">
        <f>IF(OR(CC$3="",CC$3&gt;TODAY()),"",IF(AND(CC538="",CD538=""),"",N(CD538)-N(CC538)))</f>
        <v/>
      </c>
      <c r="CH538">
        <f>IF(OR(CC$3="",CC$3&gt;TODAY()),"",IF(AND(CF538="",CG538=""),"",N(CG538)-N(CF538)))</f>
        <v/>
      </c>
      <c r="CL538">
        <f>IF(OR(CJ$3="",CJ$3&gt;TODAY()),"",IF(AND(CJ538="",CK538=""),"",N(CK538)-N(CJ538)))</f>
        <v/>
      </c>
      <c r="CO538">
        <f>IF(OR(CJ$3="",CJ$3&gt;TODAY()),"",IF(AND(CM538="",CN538=""),"",N(CN538)-N(CM538)))</f>
        <v/>
      </c>
      <c r="CS538">
        <f>IF(OR(CQ$3="",CQ$3&gt;TODAY()),"",IF(AND(CQ538="",CR538=""),"",N(CR538)-N(CQ538)))</f>
        <v/>
      </c>
      <c r="CV538">
        <f>IF(OR(CQ$3="",CQ$3&gt;TODAY()),"",IF(AND(CT538="",CU538=""),"",N(CU538)-N(CT538)))</f>
        <v/>
      </c>
      <c r="CZ538">
        <f>IF(OR(CX$3="",CX$3&gt;TODAY()),"",IF(AND(CX538="",CY538=""),"",N(CY538)-N(CX538)))</f>
        <v/>
      </c>
      <c r="DC538">
        <f>IF(OR(CX$3="",CX$3&gt;TODAY()),"",IF(AND(DA538="",DB538=""),"",N(DB538)-N(DA538)))</f>
        <v/>
      </c>
      <c r="DG538">
        <f>IF(OR(DE$3="",DE$3&gt;TODAY()),"",IF(AND(DE538="",DF538=""),"",N(DF538)-N(DE538)))</f>
        <v/>
      </c>
      <c r="DJ538">
        <f>IF(OR(DE$3="",DE$3&gt;TODAY()),"",IF(AND(DH538="",DI538=""),"",N(DI538)-N(DH538)))</f>
        <v/>
      </c>
      <c r="DN538">
        <f>IF(OR(DL$3="",DL$3&gt;TODAY()),"",IF(AND(DL538="",DM538=""),"",N(DM538)-N(DL538)))</f>
        <v/>
      </c>
      <c r="DQ538">
        <f>IF(OR(DL$3="",DL$3&gt;TODAY()),"",IF(AND(DO538="",DP538=""),"",N(DP538)-N(DO538)))</f>
        <v/>
      </c>
      <c r="DU538">
        <f>IF(OR(DS$3="",DS$3&gt;TODAY()),"",IF(AND(DS538="",DT538=""),"",N(DT538)-N(DS538)))</f>
        <v/>
      </c>
      <c r="DX538">
        <f>IF(OR(DS$3="",DS$3&gt;TODAY()),"",IF(AND(DV538="",DW538=""),"",N(DW538)-N(DV538)))</f>
        <v/>
      </c>
      <c r="EB538">
        <f>IF(OR(DZ$3="",DZ$3&gt;TODAY()),"",IF(AND(DZ538="",EA538=""),"",N(EA538)-N(DZ538)))</f>
        <v/>
      </c>
      <c r="EE538">
        <f>IF(OR(DZ$3="",DZ$3&gt;TODAY()),"",IF(AND(EC538="",ED538=""),"",N(ED538)-N(EC538)))</f>
        <v/>
      </c>
      <c r="EI538">
        <f>IF(OR(EG$3="",EG$3&gt;TODAY()),"",IF(AND(EG538="",EH538=""),"",N(EH538)-N(EG538)))</f>
        <v/>
      </c>
      <c r="EL538">
        <f>IF(OR(EG$3="",EG$3&gt;TODAY()),"",IF(AND(EJ538="",EK538=""),"",N(EK538)-N(EJ538)))</f>
        <v/>
      </c>
      <c r="EP538">
        <f>IF(OR(EN$3="",EN$3&gt;TODAY()),"",IF(AND(EN538="",EO538=""),"",N(EO538)-N(EN538)))</f>
        <v/>
      </c>
      <c r="ES538">
        <f>IF(OR(EN$3="",EN$3&gt;TODAY()),"",IF(AND(EQ538="",ER538=""),"",N(ER538)-N(EQ538)))</f>
        <v/>
      </c>
      <c r="EW538">
        <f>IF(OR(EU$3="",EU$3&gt;TODAY()),"",IF(AND(EU538="",EV538=""),"",N(EV538)-N(EU538)))</f>
        <v/>
      </c>
      <c r="EZ538">
        <f>IF(OR(EU$3="",EU$3&gt;TODAY()),"",IF(AND(EX538="",EY538=""),"",N(EY538)-N(EX538)))</f>
        <v/>
      </c>
      <c r="FD538">
        <f>IF(OR(FB$3="",FB$3&gt;TODAY()),"",IF(AND(FB538="",FC538=""),"",N(FC538)-N(FB538)))</f>
        <v/>
      </c>
      <c r="FG538">
        <f>IF(OR(FB$3="",FB$3&gt;TODAY()),"",IF(AND(FE538="",FF538=""),"",N(FF538)-N(FE538)))</f>
        <v/>
      </c>
      <c r="FK538">
        <f>IF(OR(FI$3="",FI$3&gt;TODAY()),"",IF(AND(FI538="",FJ538=""),"",N(FJ538)-N(FI538)))</f>
        <v/>
      </c>
      <c r="FN538">
        <f>IF(OR(FI$3="",FI$3&gt;TODAY()),"",IF(AND(FL538="",FM538=""),"",N(FM538)-N(FL538)))</f>
        <v/>
      </c>
      <c r="FR538">
        <f>IF(OR(FP$3="",FP$3&gt;TODAY()),"",IF(AND(FP538="",FQ538=""),"",N(FQ538)-N(FP538)))</f>
        <v/>
      </c>
      <c r="FU538">
        <f>IF(OR(FP$3="",FP$3&gt;TODAY()),"",IF(AND(FS538="",FT538=""),"",N(FT538)-N(FS538)))</f>
        <v/>
      </c>
      <c r="FY538">
        <f>IF(OR(FW$3="",FW$3&gt;TODAY()),"",IF(AND(FW538="",FX538=""),"",N(FX538)-N(FW538)))</f>
        <v/>
      </c>
      <c r="GB538">
        <f>IF(OR(FW$3="",FW$3&gt;TODAY()),"",IF(AND(FZ538="",GA538=""),"",N(GA538)-N(FZ538)))</f>
        <v/>
      </c>
      <c r="GF538">
        <f>IF(OR(GD$3="",GD$3&gt;TODAY()),"",IF(AND(GD538="",GE538=""),"",N(GE538)-N(GD538)))</f>
        <v/>
      </c>
      <c r="GI538">
        <f>IF(OR(GD$3="",GD$3&gt;TODAY()),"",IF(AND(GG538="",GH538=""),"",N(GH538)-N(GG538)))</f>
        <v/>
      </c>
      <c r="GM538">
        <f>IF(OR(GK$3="",GK$3&gt;TODAY()),"",IF(AND(GK538="",GL538=""),"",N(GL538)-N(GK538)))</f>
        <v/>
      </c>
      <c r="GP538">
        <f>IF(OR(GK$3="",GK$3&gt;TODAY()),"",IF(AND(GN538="",GO538=""),"",N(GO538)-N(GN538)))</f>
        <v/>
      </c>
      <c r="GT538">
        <f>IF(OR(GR$3="",GR$3&gt;TODAY()),"",IF(AND(GR538="",GS538=""),"",N(GS538)-N(GR538)))</f>
        <v/>
      </c>
      <c r="GW538">
        <f>IF(OR(GR$3="",GR$3&gt;TODAY()),"",IF(AND(GU538="",GV538=""),"",N(GV538)-N(GU538)))</f>
        <v/>
      </c>
      <c r="HA538">
        <f>IF(OR(GY$3="",GY$3&gt;TODAY()),"",IF(AND(GY538="",GZ538=""),"",N(GZ538)-N(GY538)))</f>
        <v/>
      </c>
      <c r="HD538">
        <f>IF(OR(GY$3="",GY$3&gt;TODAY()),"",IF(AND(HB538="",HC538=""),"",N(HC538)-N(HB538)))</f>
        <v/>
      </c>
      <c r="HH538">
        <f>IF(OR(HF$3="",HF$3&gt;TODAY()),"",IF(AND(HF538="",HG538=""),"",N(HG538)-N(HF538)))</f>
        <v/>
      </c>
      <c r="HK538">
        <f>IF(OR(HF$3="",HF$3&gt;TODAY()),"",IF(AND(HI538="",HJ538=""),"",N(HJ538)-N(HI538)))</f>
        <v/>
      </c>
      <c r="HO538">
        <f>IF(OR(HM$3="",HM$3&gt;TODAY()),"",IF(AND(HM538="",HN538=""),"",N(HN538)-N(HM538)))</f>
        <v/>
      </c>
      <c r="HR538">
        <f>IF(OR(HM$3="",HM$3&gt;TODAY()),"",IF(AND(HP538="",HQ538=""),"",N(HQ538)-N(HP538)))</f>
        <v/>
      </c>
      <c r="HV538">
        <f>IF(OR(HT$3="",HT$3&gt;TODAY()),"",IF(AND(HT538="",HU538=""),"",N(HU538)-N(HT538)))</f>
        <v/>
      </c>
      <c r="HY538">
        <f>IF(OR(HT$3="",HT$3&gt;TODAY()),"",IF(AND(HW538="",HX538=""),"",N(HX538)-N(HW538)))</f>
        <v/>
      </c>
      <c r="IC538">
        <f>IF(OR(IA$3="",IA$3&gt;TODAY()),"",IF(AND(IA538="",IB538=""),"",N(IB538)-N(IA538)))</f>
        <v/>
      </c>
      <c r="IF538">
        <f>IF(OR(IA$3="",IA$3&gt;TODAY()),"",IF(AND(ID538="",IE538=""),"",N(IE538)-N(ID538)))</f>
        <v/>
      </c>
      <c r="IJ538">
        <f>IF(OR(IH$3="",IH$3&gt;TODAY()),"",IF(AND(IH538="",II538=""),"",N(II538)-N(IH538)))</f>
        <v/>
      </c>
      <c r="IM538">
        <f>IF(OR(IH$3="",IH$3&gt;TODAY()),"",IF(AND(IK538="",IL538=""),"",N(IL538)-N(IK538)))</f>
        <v/>
      </c>
    </row>
    <row r="539">
      <c r="A539" s="21" t="n"/>
      <c r="B539" s="21" t="n"/>
      <c r="C539" s="21" t="n"/>
      <c r="D539" s="21" t="n"/>
      <c r="E539" s="21" t="n"/>
      <c r="F539" s="21" t="n"/>
      <c r="G539" s="21" t="n"/>
      <c r="H539" s="21" t="n"/>
      <c r="I539" s="22" t="n"/>
      <c r="J539" s="22" t="n"/>
      <c r="K539" s="23" t="n"/>
      <c r="L539" s="22" t="n"/>
      <c r="M539" s="22" t="n"/>
      <c r="N539" s="21" t="n"/>
      <c r="O539" s="23" t="n"/>
      <c r="P539" s="23" t="n"/>
      <c r="Q539" s="23" t="n"/>
      <c r="R539" s="23" t="n"/>
      <c r="S539" s="22" t="n"/>
      <c r="T539" s="23" t="n"/>
      <c r="U539" s="23" t="n"/>
      <c r="V539" s="24">
        <f>IF(J539&lt;&gt;"",J539,IF(I539&lt;&gt;"",I539,""))</f>
        <v/>
      </c>
      <c r="W539" s="25">
        <f>IF($E539="","",N(O539)+SUMIFS($AF539:$IN539,$AF$4:$IN$4,"SEW_ACT"))</f>
        <v/>
      </c>
      <c r="X539" s="25">
        <f>IF($E539="","",N(P539)+SUMIFS($AF539:$IN539,$AF$4:$IN$4,"WASH_ACT"))</f>
        <v/>
      </c>
      <c r="Y539" s="25">
        <f>IF($E539="","",W539-X539-N(T539)-N(U539))</f>
        <v/>
      </c>
      <c r="Z539" s="25">
        <f>IF($E539="","",IF(N(K539)-X539&lt;=0.02*N(K539),0,N(K539)-X539))</f>
        <v/>
      </c>
      <c r="AA539" s="24">
        <f>IF($E539="","",IF(S539&lt;&gt;"",S539,IF(N(O539)&gt;0,IF(L539&lt;&gt;"",L539,99999),IFERROR(1/(1/_xlfn.MINIFS($AF$3:$IN$3,$AF$4:$IN$4,"SEW_ACT",$AF539:$IN539,"&gt;0")),99999))))</f>
        <v/>
      </c>
      <c r="AB539" s="26">
        <f>IF(OR($E539="",Z539=0,V539=""),"",1+COUNTIFS(Z$8:Z$707,"&gt;0",V$8:V$707,"&lt;"&amp;V539)+COUNTIFS(Z$8:Z$707,"&gt;0",V$8:V$707,V539,AA$8:AA$707,"&lt;"&amp;AA539)+COUNTIFS(Z$8:Z$707,"&gt;0",V$8:V$707,V539,AA$8:AA$707,AA539,E$8:E$707,"&lt;"&amp;$E539))</f>
        <v/>
      </c>
      <c r="AC539" s="24">
        <f>IF(OR($E539="",Z539=0),"",IFERROR(TODAY()+ROUNDUP(Z539/(SUMIFS($AF539:$IN539,$AF$4:$IN$4,"WASH_ACT")/COUNTIFS($AF$4:$IN$4,"WASH_ACT",$AF539:$IN539,"&gt;0")),0),"no output yet"))</f>
        <v/>
      </c>
      <c r="AD539" s="26">
        <f>IF($E539="","",IFERROR(ROUND(MAX(0,SUMIFS($AF539:$IN539,$AF$4:$IN$4,"SEW_PLAN",$AF$3:$IN$3,"&lt;="&amp;TODAY())-SUMIFS($AF539:$IN539,$AF$4:$IN$4,"SEW_ACT",$AF$3:$IN$3,"&lt;="&amp;TODAY())+N(Q539))/(SUMIFS($AF539:$IN539,$AF$4:$IN$4,"SEW_PLAN")/COUNTIFS($AF$4:$IN$4,"SEW_PLAN",$AF539:$IN539,"&gt;0")),1),0))</f>
        <v/>
      </c>
      <c r="AE539" s="26">
        <f>IF($E539="","",IF(AND(Z539&gt;0,OR(AND(M539&lt;&gt;"",TODAY()&gt;M539),AND(V539&lt;&gt;"",V539-TODAY()&lt;=7))),"Yes","No"))</f>
        <v/>
      </c>
      <c r="AH539">
        <f>IF(OR(AF$3="",AF$3&gt;TODAY()),"",IF(AND(AF539="",AG539=""),"",N(AG539)-N(AF539)))</f>
        <v/>
      </c>
      <c r="AK539">
        <f>IF(OR(AF$3="",AF$3&gt;TODAY()),"",IF(AND(AI539="",AJ539=""),"",N(AJ539)-N(AI539)))</f>
        <v/>
      </c>
      <c r="AO539">
        <f>IF(OR(AM$3="",AM$3&gt;TODAY()),"",IF(AND(AM539="",AN539=""),"",N(AN539)-N(AM539)))</f>
        <v/>
      </c>
      <c r="AR539">
        <f>IF(OR(AM$3="",AM$3&gt;TODAY()),"",IF(AND(AP539="",AQ539=""),"",N(AQ539)-N(AP539)))</f>
        <v/>
      </c>
      <c r="AV539">
        <f>IF(OR(AT$3="",AT$3&gt;TODAY()),"",IF(AND(AT539="",AU539=""),"",N(AU539)-N(AT539)))</f>
        <v/>
      </c>
      <c r="AY539">
        <f>IF(OR(AT$3="",AT$3&gt;TODAY()),"",IF(AND(AW539="",AX539=""),"",N(AX539)-N(AW539)))</f>
        <v/>
      </c>
      <c r="BC539">
        <f>IF(OR(BA$3="",BA$3&gt;TODAY()),"",IF(AND(BA539="",BB539=""),"",N(BB539)-N(BA539)))</f>
        <v/>
      </c>
      <c r="BF539">
        <f>IF(OR(BA$3="",BA$3&gt;TODAY()),"",IF(AND(BD539="",BE539=""),"",N(BE539)-N(BD539)))</f>
        <v/>
      </c>
      <c r="BJ539">
        <f>IF(OR(BH$3="",BH$3&gt;TODAY()),"",IF(AND(BH539="",BI539=""),"",N(BI539)-N(BH539)))</f>
        <v/>
      </c>
      <c r="BM539">
        <f>IF(OR(BH$3="",BH$3&gt;TODAY()),"",IF(AND(BK539="",BL539=""),"",N(BL539)-N(BK539)))</f>
        <v/>
      </c>
      <c r="BQ539">
        <f>IF(OR(BO$3="",BO$3&gt;TODAY()),"",IF(AND(BO539="",BP539=""),"",N(BP539)-N(BO539)))</f>
        <v/>
      </c>
      <c r="BT539">
        <f>IF(OR(BO$3="",BO$3&gt;TODAY()),"",IF(AND(BR539="",BS539=""),"",N(BS539)-N(BR539)))</f>
        <v/>
      </c>
      <c r="BX539">
        <f>IF(OR(BV$3="",BV$3&gt;TODAY()),"",IF(AND(BV539="",BW539=""),"",N(BW539)-N(BV539)))</f>
        <v/>
      </c>
      <c r="CA539">
        <f>IF(OR(BV$3="",BV$3&gt;TODAY()),"",IF(AND(BY539="",BZ539=""),"",N(BZ539)-N(BY539)))</f>
        <v/>
      </c>
      <c r="CE539">
        <f>IF(OR(CC$3="",CC$3&gt;TODAY()),"",IF(AND(CC539="",CD539=""),"",N(CD539)-N(CC539)))</f>
        <v/>
      </c>
      <c r="CH539">
        <f>IF(OR(CC$3="",CC$3&gt;TODAY()),"",IF(AND(CF539="",CG539=""),"",N(CG539)-N(CF539)))</f>
        <v/>
      </c>
      <c r="CL539">
        <f>IF(OR(CJ$3="",CJ$3&gt;TODAY()),"",IF(AND(CJ539="",CK539=""),"",N(CK539)-N(CJ539)))</f>
        <v/>
      </c>
      <c r="CO539">
        <f>IF(OR(CJ$3="",CJ$3&gt;TODAY()),"",IF(AND(CM539="",CN539=""),"",N(CN539)-N(CM539)))</f>
        <v/>
      </c>
      <c r="CS539">
        <f>IF(OR(CQ$3="",CQ$3&gt;TODAY()),"",IF(AND(CQ539="",CR539=""),"",N(CR539)-N(CQ539)))</f>
        <v/>
      </c>
      <c r="CV539">
        <f>IF(OR(CQ$3="",CQ$3&gt;TODAY()),"",IF(AND(CT539="",CU539=""),"",N(CU539)-N(CT539)))</f>
        <v/>
      </c>
      <c r="CZ539">
        <f>IF(OR(CX$3="",CX$3&gt;TODAY()),"",IF(AND(CX539="",CY539=""),"",N(CY539)-N(CX539)))</f>
        <v/>
      </c>
      <c r="DC539">
        <f>IF(OR(CX$3="",CX$3&gt;TODAY()),"",IF(AND(DA539="",DB539=""),"",N(DB539)-N(DA539)))</f>
        <v/>
      </c>
      <c r="DG539">
        <f>IF(OR(DE$3="",DE$3&gt;TODAY()),"",IF(AND(DE539="",DF539=""),"",N(DF539)-N(DE539)))</f>
        <v/>
      </c>
      <c r="DJ539">
        <f>IF(OR(DE$3="",DE$3&gt;TODAY()),"",IF(AND(DH539="",DI539=""),"",N(DI539)-N(DH539)))</f>
        <v/>
      </c>
      <c r="DN539">
        <f>IF(OR(DL$3="",DL$3&gt;TODAY()),"",IF(AND(DL539="",DM539=""),"",N(DM539)-N(DL539)))</f>
        <v/>
      </c>
      <c r="DQ539">
        <f>IF(OR(DL$3="",DL$3&gt;TODAY()),"",IF(AND(DO539="",DP539=""),"",N(DP539)-N(DO539)))</f>
        <v/>
      </c>
      <c r="DU539">
        <f>IF(OR(DS$3="",DS$3&gt;TODAY()),"",IF(AND(DS539="",DT539=""),"",N(DT539)-N(DS539)))</f>
        <v/>
      </c>
      <c r="DX539">
        <f>IF(OR(DS$3="",DS$3&gt;TODAY()),"",IF(AND(DV539="",DW539=""),"",N(DW539)-N(DV539)))</f>
        <v/>
      </c>
      <c r="EB539">
        <f>IF(OR(DZ$3="",DZ$3&gt;TODAY()),"",IF(AND(DZ539="",EA539=""),"",N(EA539)-N(DZ539)))</f>
        <v/>
      </c>
      <c r="EE539">
        <f>IF(OR(DZ$3="",DZ$3&gt;TODAY()),"",IF(AND(EC539="",ED539=""),"",N(ED539)-N(EC539)))</f>
        <v/>
      </c>
      <c r="EI539">
        <f>IF(OR(EG$3="",EG$3&gt;TODAY()),"",IF(AND(EG539="",EH539=""),"",N(EH539)-N(EG539)))</f>
        <v/>
      </c>
      <c r="EL539">
        <f>IF(OR(EG$3="",EG$3&gt;TODAY()),"",IF(AND(EJ539="",EK539=""),"",N(EK539)-N(EJ539)))</f>
        <v/>
      </c>
      <c r="EP539">
        <f>IF(OR(EN$3="",EN$3&gt;TODAY()),"",IF(AND(EN539="",EO539=""),"",N(EO539)-N(EN539)))</f>
        <v/>
      </c>
      <c r="ES539">
        <f>IF(OR(EN$3="",EN$3&gt;TODAY()),"",IF(AND(EQ539="",ER539=""),"",N(ER539)-N(EQ539)))</f>
        <v/>
      </c>
      <c r="EW539">
        <f>IF(OR(EU$3="",EU$3&gt;TODAY()),"",IF(AND(EU539="",EV539=""),"",N(EV539)-N(EU539)))</f>
        <v/>
      </c>
      <c r="EZ539">
        <f>IF(OR(EU$3="",EU$3&gt;TODAY()),"",IF(AND(EX539="",EY539=""),"",N(EY539)-N(EX539)))</f>
        <v/>
      </c>
      <c r="FD539">
        <f>IF(OR(FB$3="",FB$3&gt;TODAY()),"",IF(AND(FB539="",FC539=""),"",N(FC539)-N(FB539)))</f>
        <v/>
      </c>
      <c r="FG539">
        <f>IF(OR(FB$3="",FB$3&gt;TODAY()),"",IF(AND(FE539="",FF539=""),"",N(FF539)-N(FE539)))</f>
        <v/>
      </c>
      <c r="FK539">
        <f>IF(OR(FI$3="",FI$3&gt;TODAY()),"",IF(AND(FI539="",FJ539=""),"",N(FJ539)-N(FI539)))</f>
        <v/>
      </c>
      <c r="FN539">
        <f>IF(OR(FI$3="",FI$3&gt;TODAY()),"",IF(AND(FL539="",FM539=""),"",N(FM539)-N(FL539)))</f>
        <v/>
      </c>
      <c r="FR539">
        <f>IF(OR(FP$3="",FP$3&gt;TODAY()),"",IF(AND(FP539="",FQ539=""),"",N(FQ539)-N(FP539)))</f>
        <v/>
      </c>
      <c r="FU539">
        <f>IF(OR(FP$3="",FP$3&gt;TODAY()),"",IF(AND(FS539="",FT539=""),"",N(FT539)-N(FS539)))</f>
        <v/>
      </c>
      <c r="FY539">
        <f>IF(OR(FW$3="",FW$3&gt;TODAY()),"",IF(AND(FW539="",FX539=""),"",N(FX539)-N(FW539)))</f>
        <v/>
      </c>
      <c r="GB539">
        <f>IF(OR(FW$3="",FW$3&gt;TODAY()),"",IF(AND(FZ539="",GA539=""),"",N(GA539)-N(FZ539)))</f>
        <v/>
      </c>
      <c r="GF539">
        <f>IF(OR(GD$3="",GD$3&gt;TODAY()),"",IF(AND(GD539="",GE539=""),"",N(GE539)-N(GD539)))</f>
        <v/>
      </c>
      <c r="GI539">
        <f>IF(OR(GD$3="",GD$3&gt;TODAY()),"",IF(AND(GG539="",GH539=""),"",N(GH539)-N(GG539)))</f>
        <v/>
      </c>
      <c r="GM539">
        <f>IF(OR(GK$3="",GK$3&gt;TODAY()),"",IF(AND(GK539="",GL539=""),"",N(GL539)-N(GK539)))</f>
        <v/>
      </c>
      <c r="GP539">
        <f>IF(OR(GK$3="",GK$3&gt;TODAY()),"",IF(AND(GN539="",GO539=""),"",N(GO539)-N(GN539)))</f>
        <v/>
      </c>
      <c r="GT539">
        <f>IF(OR(GR$3="",GR$3&gt;TODAY()),"",IF(AND(GR539="",GS539=""),"",N(GS539)-N(GR539)))</f>
        <v/>
      </c>
      <c r="GW539">
        <f>IF(OR(GR$3="",GR$3&gt;TODAY()),"",IF(AND(GU539="",GV539=""),"",N(GV539)-N(GU539)))</f>
        <v/>
      </c>
      <c r="HA539">
        <f>IF(OR(GY$3="",GY$3&gt;TODAY()),"",IF(AND(GY539="",GZ539=""),"",N(GZ539)-N(GY539)))</f>
        <v/>
      </c>
      <c r="HD539">
        <f>IF(OR(GY$3="",GY$3&gt;TODAY()),"",IF(AND(HB539="",HC539=""),"",N(HC539)-N(HB539)))</f>
        <v/>
      </c>
      <c r="HH539">
        <f>IF(OR(HF$3="",HF$3&gt;TODAY()),"",IF(AND(HF539="",HG539=""),"",N(HG539)-N(HF539)))</f>
        <v/>
      </c>
      <c r="HK539">
        <f>IF(OR(HF$3="",HF$3&gt;TODAY()),"",IF(AND(HI539="",HJ539=""),"",N(HJ539)-N(HI539)))</f>
        <v/>
      </c>
      <c r="HO539">
        <f>IF(OR(HM$3="",HM$3&gt;TODAY()),"",IF(AND(HM539="",HN539=""),"",N(HN539)-N(HM539)))</f>
        <v/>
      </c>
      <c r="HR539">
        <f>IF(OR(HM$3="",HM$3&gt;TODAY()),"",IF(AND(HP539="",HQ539=""),"",N(HQ539)-N(HP539)))</f>
        <v/>
      </c>
      <c r="HV539">
        <f>IF(OR(HT$3="",HT$3&gt;TODAY()),"",IF(AND(HT539="",HU539=""),"",N(HU539)-N(HT539)))</f>
        <v/>
      </c>
      <c r="HY539">
        <f>IF(OR(HT$3="",HT$3&gt;TODAY()),"",IF(AND(HW539="",HX539=""),"",N(HX539)-N(HW539)))</f>
        <v/>
      </c>
      <c r="IC539">
        <f>IF(OR(IA$3="",IA$3&gt;TODAY()),"",IF(AND(IA539="",IB539=""),"",N(IB539)-N(IA539)))</f>
        <v/>
      </c>
      <c r="IF539">
        <f>IF(OR(IA$3="",IA$3&gt;TODAY()),"",IF(AND(ID539="",IE539=""),"",N(IE539)-N(ID539)))</f>
        <v/>
      </c>
      <c r="IJ539">
        <f>IF(OR(IH$3="",IH$3&gt;TODAY()),"",IF(AND(IH539="",II539=""),"",N(II539)-N(IH539)))</f>
        <v/>
      </c>
      <c r="IM539">
        <f>IF(OR(IH$3="",IH$3&gt;TODAY()),"",IF(AND(IK539="",IL539=""),"",N(IL539)-N(IK539)))</f>
        <v/>
      </c>
    </row>
    <row r="540">
      <c r="A540" s="21" t="n"/>
      <c r="B540" s="21" t="n"/>
      <c r="C540" s="21" t="n"/>
      <c r="D540" s="21" t="n"/>
      <c r="E540" s="21" t="n"/>
      <c r="F540" s="21" t="n"/>
      <c r="G540" s="21" t="n"/>
      <c r="H540" s="21" t="n"/>
      <c r="I540" s="22" t="n"/>
      <c r="J540" s="22" t="n"/>
      <c r="K540" s="23" t="n"/>
      <c r="L540" s="22" t="n"/>
      <c r="M540" s="22" t="n"/>
      <c r="N540" s="21" t="n"/>
      <c r="O540" s="23" t="n"/>
      <c r="P540" s="23" t="n"/>
      <c r="Q540" s="23" t="n"/>
      <c r="R540" s="23" t="n"/>
      <c r="S540" s="22" t="n"/>
      <c r="T540" s="23" t="n"/>
      <c r="U540" s="23" t="n"/>
      <c r="V540" s="24">
        <f>IF(J540&lt;&gt;"",J540,IF(I540&lt;&gt;"",I540,""))</f>
        <v/>
      </c>
      <c r="W540" s="25">
        <f>IF($E540="","",N(O540)+SUMIFS($AF540:$IN540,$AF$4:$IN$4,"SEW_ACT"))</f>
        <v/>
      </c>
      <c r="X540" s="25">
        <f>IF($E540="","",N(P540)+SUMIFS($AF540:$IN540,$AF$4:$IN$4,"WASH_ACT"))</f>
        <v/>
      </c>
      <c r="Y540" s="25">
        <f>IF($E540="","",W540-X540-N(T540)-N(U540))</f>
        <v/>
      </c>
      <c r="Z540" s="25">
        <f>IF($E540="","",IF(N(K540)-X540&lt;=0.02*N(K540),0,N(K540)-X540))</f>
        <v/>
      </c>
      <c r="AA540" s="24">
        <f>IF($E540="","",IF(S540&lt;&gt;"",S540,IF(N(O540)&gt;0,IF(L540&lt;&gt;"",L540,99999),IFERROR(1/(1/_xlfn.MINIFS($AF$3:$IN$3,$AF$4:$IN$4,"SEW_ACT",$AF540:$IN540,"&gt;0")),99999))))</f>
        <v/>
      </c>
      <c r="AB540" s="26">
        <f>IF(OR($E540="",Z540=0,V540=""),"",1+COUNTIFS(Z$8:Z$707,"&gt;0",V$8:V$707,"&lt;"&amp;V540)+COUNTIFS(Z$8:Z$707,"&gt;0",V$8:V$707,V540,AA$8:AA$707,"&lt;"&amp;AA540)+COUNTIFS(Z$8:Z$707,"&gt;0",V$8:V$707,V540,AA$8:AA$707,AA540,E$8:E$707,"&lt;"&amp;$E540))</f>
        <v/>
      </c>
      <c r="AC540" s="24">
        <f>IF(OR($E540="",Z540=0),"",IFERROR(TODAY()+ROUNDUP(Z540/(SUMIFS($AF540:$IN540,$AF$4:$IN$4,"WASH_ACT")/COUNTIFS($AF$4:$IN$4,"WASH_ACT",$AF540:$IN540,"&gt;0")),0),"no output yet"))</f>
        <v/>
      </c>
      <c r="AD540" s="26">
        <f>IF($E540="","",IFERROR(ROUND(MAX(0,SUMIFS($AF540:$IN540,$AF$4:$IN$4,"SEW_PLAN",$AF$3:$IN$3,"&lt;="&amp;TODAY())-SUMIFS($AF540:$IN540,$AF$4:$IN$4,"SEW_ACT",$AF$3:$IN$3,"&lt;="&amp;TODAY())+N(Q540))/(SUMIFS($AF540:$IN540,$AF$4:$IN$4,"SEW_PLAN")/COUNTIFS($AF$4:$IN$4,"SEW_PLAN",$AF540:$IN540,"&gt;0")),1),0))</f>
        <v/>
      </c>
      <c r="AE540" s="26">
        <f>IF($E540="","",IF(AND(Z540&gt;0,OR(AND(M540&lt;&gt;"",TODAY()&gt;M540),AND(V540&lt;&gt;"",V540-TODAY()&lt;=7))),"Yes","No"))</f>
        <v/>
      </c>
      <c r="AH540">
        <f>IF(OR(AF$3="",AF$3&gt;TODAY()),"",IF(AND(AF540="",AG540=""),"",N(AG540)-N(AF540)))</f>
        <v/>
      </c>
      <c r="AK540">
        <f>IF(OR(AF$3="",AF$3&gt;TODAY()),"",IF(AND(AI540="",AJ540=""),"",N(AJ540)-N(AI540)))</f>
        <v/>
      </c>
      <c r="AO540">
        <f>IF(OR(AM$3="",AM$3&gt;TODAY()),"",IF(AND(AM540="",AN540=""),"",N(AN540)-N(AM540)))</f>
        <v/>
      </c>
      <c r="AR540">
        <f>IF(OR(AM$3="",AM$3&gt;TODAY()),"",IF(AND(AP540="",AQ540=""),"",N(AQ540)-N(AP540)))</f>
        <v/>
      </c>
      <c r="AV540">
        <f>IF(OR(AT$3="",AT$3&gt;TODAY()),"",IF(AND(AT540="",AU540=""),"",N(AU540)-N(AT540)))</f>
        <v/>
      </c>
      <c r="AY540">
        <f>IF(OR(AT$3="",AT$3&gt;TODAY()),"",IF(AND(AW540="",AX540=""),"",N(AX540)-N(AW540)))</f>
        <v/>
      </c>
      <c r="BC540">
        <f>IF(OR(BA$3="",BA$3&gt;TODAY()),"",IF(AND(BA540="",BB540=""),"",N(BB540)-N(BA540)))</f>
        <v/>
      </c>
      <c r="BF540">
        <f>IF(OR(BA$3="",BA$3&gt;TODAY()),"",IF(AND(BD540="",BE540=""),"",N(BE540)-N(BD540)))</f>
        <v/>
      </c>
      <c r="BJ540">
        <f>IF(OR(BH$3="",BH$3&gt;TODAY()),"",IF(AND(BH540="",BI540=""),"",N(BI540)-N(BH540)))</f>
        <v/>
      </c>
      <c r="BM540">
        <f>IF(OR(BH$3="",BH$3&gt;TODAY()),"",IF(AND(BK540="",BL540=""),"",N(BL540)-N(BK540)))</f>
        <v/>
      </c>
      <c r="BQ540">
        <f>IF(OR(BO$3="",BO$3&gt;TODAY()),"",IF(AND(BO540="",BP540=""),"",N(BP540)-N(BO540)))</f>
        <v/>
      </c>
      <c r="BT540">
        <f>IF(OR(BO$3="",BO$3&gt;TODAY()),"",IF(AND(BR540="",BS540=""),"",N(BS540)-N(BR540)))</f>
        <v/>
      </c>
      <c r="BX540">
        <f>IF(OR(BV$3="",BV$3&gt;TODAY()),"",IF(AND(BV540="",BW540=""),"",N(BW540)-N(BV540)))</f>
        <v/>
      </c>
      <c r="CA540">
        <f>IF(OR(BV$3="",BV$3&gt;TODAY()),"",IF(AND(BY540="",BZ540=""),"",N(BZ540)-N(BY540)))</f>
        <v/>
      </c>
      <c r="CE540">
        <f>IF(OR(CC$3="",CC$3&gt;TODAY()),"",IF(AND(CC540="",CD540=""),"",N(CD540)-N(CC540)))</f>
        <v/>
      </c>
      <c r="CH540">
        <f>IF(OR(CC$3="",CC$3&gt;TODAY()),"",IF(AND(CF540="",CG540=""),"",N(CG540)-N(CF540)))</f>
        <v/>
      </c>
      <c r="CL540">
        <f>IF(OR(CJ$3="",CJ$3&gt;TODAY()),"",IF(AND(CJ540="",CK540=""),"",N(CK540)-N(CJ540)))</f>
        <v/>
      </c>
      <c r="CO540">
        <f>IF(OR(CJ$3="",CJ$3&gt;TODAY()),"",IF(AND(CM540="",CN540=""),"",N(CN540)-N(CM540)))</f>
        <v/>
      </c>
      <c r="CS540">
        <f>IF(OR(CQ$3="",CQ$3&gt;TODAY()),"",IF(AND(CQ540="",CR540=""),"",N(CR540)-N(CQ540)))</f>
        <v/>
      </c>
      <c r="CV540">
        <f>IF(OR(CQ$3="",CQ$3&gt;TODAY()),"",IF(AND(CT540="",CU540=""),"",N(CU540)-N(CT540)))</f>
        <v/>
      </c>
      <c r="CZ540">
        <f>IF(OR(CX$3="",CX$3&gt;TODAY()),"",IF(AND(CX540="",CY540=""),"",N(CY540)-N(CX540)))</f>
        <v/>
      </c>
      <c r="DC540">
        <f>IF(OR(CX$3="",CX$3&gt;TODAY()),"",IF(AND(DA540="",DB540=""),"",N(DB540)-N(DA540)))</f>
        <v/>
      </c>
      <c r="DG540">
        <f>IF(OR(DE$3="",DE$3&gt;TODAY()),"",IF(AND(DE540="",DF540=""),"",N(DF540)-N(DE540)))</f>
        <v/>
      </c>
      <c r="DJ540">
        <f>IF(OR(DE$3="",DE$3&gt;TODAY()),"",IF(AND(DH540="",DI540=""),"",N(DI540)-N(DH540)))</f>
        <v/>
      </c>
      <c r="DN540">
        <f>IF(OR(DL$3="",DL$3&gt;TODAY()),"",IF(AND(DL540="",DM540=""),"",N(DM540)-N(DL540)))</f>
        <v/>
      </c>
      <c r="DQ540">
        <f>IF(OR(DL$3="",DL$3&gt;TODAY()),"",IF(AND(DO540="",DP540=""),"",N(DP540)-N(DO540)))</f>
        <v/>
      </c>
      <c r="DU540">
        <f>IF(OR(DS$3="",DS$3&gt;TODAY()),"",IF(AND(DS540="",DT540=""),"",N(DT540)-N(DS540)))</f>
        <v/>
      </c>
      <c r="DX540">
        <f>IF(OR(DS$3="",DS$3&gt;TODAY()),"",IF(AND(DV540="",DW540=""),"",N(DW540)-N(DV540)))</f>
        <v/>
      </c>
      <c r="EB540">
        <f>IF(OR(DZ$3="",DZ$3&gt;TODAY()),"",IF(AND(DZ540="",EA540=""),"",N(EA540)-N(DZ540)))</f>
        <v/>
      </c>
      <c r="EE540">
        <f>IF(OR(DZ$3="",DZ$3&gt;TODAY()),"",IF(AND(EC540="",ED540=""),"",N(ED540)-N(EC540)))</f>
        <v/>
      </c>
      <c r="EI540">
        <f>IF(OR(EG$3="",EG$3&gt;TODAY()),"",IF(AND(EG540="",EH540=""),"",N(EH540)-N(EG540)))</f>
        <v/>
      </c>
      <c r="EL540">
        <f>IF(OR(EG$3="",EG$3&gt;TODAY()),"",IF(AND(EJ540="",EK540=""),"",N(EK540)-N(EJ540)))</f>
        <v/>
      </c>
      <c r="EP540">
        <f>IF(OR(EN$3="",EN$3&gt;TODAY()),"",IF(AND(EN540="",EO540=""),"",N(EO540)-N(EN540)))</f>
        <v/>
      </c>
      <c r="ES540">
        <f>IF(OR(EN$3="",EN$3&gt;TODAY()),"",IF(AND(EQ540="",ER540=""),"",N(ER540)-N(EQ540)))</f>
        <v/>
      </c>
      <c r="EW540">
        <f>IF(OR(EU$3="",EU$3&gt;TODAY()),"",IF(AND(EU540="",EV540=""),"",N(EV540)-N(EU540)))</f>
        <v/>
      </c>
      <c r="EZ540">
        <f>IF(OR(EU$3="",EU$3&gt;TODAY()),"",IF(AND(EX540="",EY540=""),"",N(EY540)-N(EX540)))</f>
        <v/>
      </c>
      <c r="FD540">
        <f>IF(OR(FB$3="",FB$3&gt;TODAY()),"",IF(AND(FB540="",FC540=""),"",N(FC540)-N(FB540)))</f>
        <v/>
      </c>
      <c r="FG540">
        <f>IF(OR(FB$3="",FB$3&gt;TODAY()),"",IF(AND(FE540="",FF540=""),"",N(FF540)-N(FE540)))</f>
        <v/>
      </c>
      <c r="FK540">
        <f>IF(OR(FI$3="",FI$3&gt;TODAY()),"",IF(AND(FI540="",FJ540=""),"",N(FJ540)-N(FI540)))</f>
        <v/>
      </c>
      <c r="FN540">
        <f>IF(OR(FI$3="",FI$3&gt;TODAY()),"",IF(AND(FL540="",FM540=""),"",N(FM540)-N(FL540)))</f>
        <v/>
      </c>
      <c r="FR540">
        <f>IF(OR(FP$3="",FP$3&gt;TODAY()),"",IF(AND(FP540="",FQ540=""),"",N(FQ540)-N(FP540)))</f>
        <v/>
      </c>
      <c r="FU540">
        <f>IF(OR(FP$3="",FP$3&gt;TODAY()),"",IF(AND(FS540="",FT540=""),"",N(FT540)-N(FS540)))</f>
        <v/>
      </c>
      <c r="FY540">
        <f>IF(OR(FW$3="",FW$3&gt;TODAY()),"",IF(AND(FW540="",FX540=""),"",N(FX540)-N(FW540)))</f>
        <v/>
      </c>
      <c r="GB540">
        <f>IF(OR(FW$3="",FW$3&gt;TODAY()),"",IF(AND(FZ540="",GA540=""),"",N(GA540)-N(FZ540)))</f>
        <v/>
      </c>
      <c r="GF540">
        <f>IF(OR(GD$3="",GD$3&gt;TODAY()),"",IF(AND(GD540="",GE540=""),"",N(GE540)-N(GD540)))</f>
        <v/>
      </c>
      <c r="GI540">
        <f>IF(OR(GD$3="",GD$3&gt;TODAY()),"",IF(AND(GG540="",GH540=""),"",N(GH540)-N(GG540)))</f>
        <v/>
      </c>
      <c r="GM540">
        <f>IF(OR(GK$3="",GK$3&gt;TODAY()),"",IF(AND(GK540="",GL540=""),"",N(GL540)-N(GK540)))</f>
        <v/>
      </c>
      <c r="GP540">
        <f>IF(OR(GK$3="",GK$3&gt;TODAY()),"",IF(AND(GN540="",GO540=""),"",N(GO540)-N(GN540)))</f>
        <v/>
      </c>
      <c r="GT540">
        <f>IF(OR(GR$3="",GR$3&gt;TODAY()),"",IF(AND(GR540="",GS540=""),"",N(GS540)-N(GR540)))</f>
        <v/>
      </c>
      <c r="GW540">
        <f>IF(OR(GR$3="",GR$3&gt;TODAY()),"",IF(AND(GU540="",GV540=""),"",N(GV540)-N(GU540)))</f>
        <v/>
      </c>
      <c r="HA540">
        <f>IF(OR(GY$3="",GY$3&gt;TODAY()),"",IF(AND(GY540="",GZ540=""),"",N(GZ540)-N(GY540)))</f>
        <v/>
      </c>
      <c r="HD540">
        <f>IF(OR(GY$3="",GY$3&gt;TODAY()),"",IF(AND(HB540="",HC540=""),"",N(HC540)-N(HB540)))</f>
        <v/>
      </c>
      <c r="HH540">
        <f>IF(OR(HF$3="",HF$3&gt;TODAY()),"",IF(AND(HF540="",HG540=""),"",N(HG540)-N(HF540)))</f>
        <v/>
      </c>
      <c r="HK540">
        <f>IF(OR(HF$3="",HF$3&gt;TODAY()),"",IF(AND(HI540="",HJ540=""),"",N(HJ540)-N(HI540)))</f>
        <v/>
      </c>
      <c r="HO540">
        <f>IF(OR(HM$3="",HM$3&gt;TODAY()),"",IF(AND(HM540="",HN540=""),"",N(HN540)-N(HM540)))</f>
        <v/>
      </c>
      <c r="HR540">
        <f>IF(OR(HM$3="",HM$3&gt;TODAY()),"",IF(AND(HP540="",HQ540=""),"",N(HQ540)-N(HP540)))</f>
        <v/>
      </c>
      <c r="HV540">
        <f>IF(OR(HT$3="",HT$3&gt;TODAY()),"",IF(AND(HT540="",HU540=""),"",N(HU540)-N(HT540)))</f>
        <v/>
      </c>
      <c r="HY540">
        <f>IF(OR(HT$3="",HT$3&gt;TODAY()),"",IF(AND(HW540="",HX540=""),"",N(HX540)-N(HW540)))</f>
        <v/>
      </c>
      <c r="IC540">
        <f>IF(OR(IA$3="",IA$3&gt;TODAY()),"",IF(AND(IA540="",IB540=""),"",N(IB540)-N(IA540)))</f>
        <v/>
      </c>
      <c r="IF540">
        <f>IF(OR(IA$3="",IA$3&gt;TODAY()),"",IF(AND(ID540="",IE540=""),"",N(IE540)-N(ID540)))</f>
        <v/>
      </c>
      <c r="IJ540">
        <f>IF(OR(IH$3="",IH$3&gt;TODAY()),"",IF(AND(IH540="",II540=""),"",N(II540)-N(IH540)))</f>
        <v/>
      </c>
      <c r="IM540">
        <f>IF(OR(IH$3="",IH$3&gt;TODAY()),"",IF(AND(IK540="",IL540=""),"",N(IL540)-N(IK540)))</f>
        <v/>
      </c>
    </row>
    <row r="541">
      <c r="A541" s="21" t="n"/>
      <c r="B541" s="21" t="n"/>
      <c r="C541" s="21" t="n"/>
      <c r="D541" s="21" t="n"/>
      <c r="E541" s="21" t="n"/>
      <c r="F541" s="21" t="n"/>
      <c r="G541" s="21" t="n"/>
      <c r="H541" s="21" t="n"/>
      <c r="I541" s="22" t="n"/>
      <c r="J541" s="22" t="n"/>
      <c r="K541" s="23" t="n"/>
      <c r="L541" s="22" t="n"/>
      <c r="M541" s="22" t="n"/>
      <c r="N541" s="21" t="n"/>
      <c r="O541" s="23" t="n"/>
      <c r="P541" s="23" t="n"/>
      <c r="Q541" s="23" t="n"/>
      <c r="R541" s="23" t="n"/>
      <c r="S541" s="22" t="n"/>
      <c r="T541" s="23" t="n"/>
      <c r="U541" s="23" t="n"/>
      <c r="V541" s="24">
        <f>IF(J541&lt;&gt;"",J541,IF(I541&lt;&gt;"",I541,""))</f>
        <v/>
      </c>
      <c r="W541" s="25">
        <f>IF($E541="","",N(O541)+SUMIFS($AF541:$IN541,$AF$4:$IN$4,"SEW_ACT"))</f>
        <v/>
      </c>
      <c r="X541" s="25">
        <f>IF($E541="","",N(P541)+SUMIFS($AF541:$IN541,$AF$4:$IN$4,"WASH_ACT"))</f>
        <v/>
      </c>
      <c r="Y541" s="25">
        <f>IF($E541="","",W541-X541-N(T541)-N(U541))</f>
        <v/>
      </c>
      <c r="Z541" s="25">
        <f>IF($E541="","",IF(N(K541)-X541&lt;=0.02*N(K541),0,N(K541)-X541))</f>
        <v/>
      </c>
      <c r="AA541" s="24">
        <f>IF($E541="","",IF(S541&lt;&gt;"",S541,IF(N(O541)&gt;0,IF(L541&lt;&gt;"",L541,99999),IFERROR(1/(1/_xlfn.MINIFS($AF$3:$IN$3,$AF$4:$IN$4,"SEW_ACT",$AF541:$IN541,"&gt;0")),99999))))</f>
        <v/>
      </c>
      <c r="AB541" s="26">
        <f>IF(OR($E541="",Z541=0,V541=""),"",1+COUNTIFS(Z$8:Z$707,"&gt;0",V$8:V$707,"&lt;"&amp;V541)+COUNTIFS(Z$8:Z$707,"&gt;0",V$8:V$707,V541,AA$8:AA$707,"&lt;"&amp;AA541)+COUNTIFS(Z$8:Z$707,"&gt;0",V$8:V$707,V541,AA$8:AA$707,AA541,E$8:E$707,"&lt;"&amp;$E541))</f>
        <v/>
      </c>
      <c r="AC541" s="24">
        <f>IF(OR($E541="",Z541=0),"",IFERROR(TODAY()+ROUNDUP(Z541/(SUMIFS($AF541:$IN541,$AF$4:$IN$4,"WASH_ACT")/COUNTIFS($AF$4:$IN$4,"WASH_ACT",$AF541:$IN541,"&gt;0")),0),"no output yet"))</f>
        <v/>
      </c>
      <c r="AD541" s="26">
        <f>IF($E541="","",IFERROR(ROUND(MAX(0,SUMIFS($AF541:$IN541,$AF$4:$IN$4,"SEW_PLAN",$AF$3:$IN$3,"&lt;="&amp;TODAY())-SUMIFS($AF541:$IN541,$AF$4:$IN$4,"SEW_ACT",$AF$3:$IN$3,"&lt;="&amp;TODAY())+N(Q541))/(SUMIFS($AF541:$IN541,$AF$4:$IN$4,"SEW_PLAN")/COUNTIFS($AF$4:$IN$4,"SEW_PLAN",$AF541:$IN541,"&gt;0")),1),0))</f>
        <v/>
      </c>
      <c r="AE541" s="26">
        <f>IF($E541="","",IF(AND(Z541&gt;0,OR(AND(M541&lt;&gt;"",TODAY()&gt;M541),AND(V541&lt;&gt;"",V541-TODAY()&lt;=7))),"Yes","No"))</f>
        <v/>
      </c>
      <c r="AH541">
        <f>IF(OR(AF$3="",AF$3&gt;TODAY()),"",IF(AND(AF541="",AG541=""),"",N(AG541)-N(AF541)))</f>
        <v/>
      </c>
      <c r="AK541">
        <f>IF(OR(AF$3="",AF$3&gt;TODAY()),"",IF(AND(AI541="",AJ541=""),"",N(AJ541)-N(AI541)))</f>
        <v/>
      </c>
      <c r="AO541">
        <f>IF(OR(AM$3="",AM$3&gt;TODAY()),"",IF(AND(AM541="",AN541=""),"",N(AN541)-N(AM541)))</f>
        <v/>
      </c>
      <c r="AR541">
        <f>IF(OR(AM$3="",AM$3&gt;TODAY()),"",IF(AND(AP541="",AQ541=""),"",N(AQ541)-N(AP541)))</f>
        <v/>
      </c>
      <c r="AV541">
        <f>IF(OR(AT$3="",AT$3&gt;TODAY()),"",IF(AND(AT541="",AU541=""),"",N(AU541)-N(AT541)))</f>
        <v/>
      </c>
      <c r="AY541">
        <f>IF(OR(AT$3="",AT$3&gt;TODAY()),"",IF(AND(AW541="",AX541=""),"",N(AX541)-N(AW541)))</f>
        <v/>
      </c>
      <c r="BC541">
        <f>IF(OR(BA$3="",BA$3&gt;TODAY()),"",IF(AND(BA541="",BB541=""),"",N(BB541)-N(BA541)))</f>
        <v/>
      </c>
      <c r="BF541">
        <f>IF(OR(BA$3="",BA$3&gt;TODAY()),"",IF(AND(BD541="",BE541=""),"",N(BE541)-N(BD541)))</f>
        <v/>
      </c>
      <c r="BJ541">
        <f>IF(OR(BH$3="",BH$3&gt;TODAY()),"",IF(AND(BH541="",BI541=""),"",N(BI541)-N(BH541)))</f>
        <v/>
      </c>
      <c r="BM541">
        <f>IF(OR(BH$3="",BH$3&gt;TODAY()),"",IF(AND(BK541="",BL541=""),"",N(BL541)-N(BK541)))</f>
        <v/>
      </c>
      <c r="BQ541">
        <f>IF(OR(BO$3="",BO$3&gt;TODAY()),"",IF(AND(BO541="",BP541=""),"",N(BP541)-N(BO541)))</f>
        <v/>
      </c>
      <c r="BT541">
        <f>IF(OR(BO$3="",BO$3&gt;TODAY()),"",IF(AND(BR541="",BS541=""),"",N(BS541)-N(BR541)))</f>
        <v/>
      </c>
      <c r="BX541">
        <f>IF(OR(BV$3="",BV$3&gt;TODAY()),"",IF(AND(BV541="",BW541=""),"",N(BW541)-N(BV541)))</f>
        <v/>
      </c>
      <c r="CA541">
        <f>IF(OR(BV$3="",BV$3&gt;TODAY()),"",IF(AND(BY541="",BZ541=""),"",N(BZ541)-N(BY541)))</f>
        <v/>
      </c>
      <c r="CE541">
        <f>IF(OR(CC$3="",CC$3&gt;TODAY()),"",IF(AND(CC541="",CD541=""),"",N(CD541)-N(CC541)))</f>
        <v/>
      </c>
      <c r="CH541">
        <f>IF(OR(CC$3="",CC$3&gt;TODAY()),"",IF(AND(CF541="",CG541=""),"",N(CG541)-N(CF541)))</f>
        <v/>
      </c>
      <c r="CL541">
        <f>IF(OR(CJ$3="",CJ$3&gt;TODAY()),"",IF(AND(CJ541="",CK541=""),"",N(CK541)-N(CJ541)))</f>
        <v/>
      </c>
      <c r="CO541">
        <f>IF(OR(CJ$3="",CJ$3&gt;TODAY()),"",IF(AND(CM541="",CN541=""),"",N(CN541)-N(CM541)))</f>
        <v/>
      </c>
      <c r="CS541">
        <f>IF(OR(CQ$3="",CQ$3&gt;TODAY()),"",IF(AND(CQ541="",CR541=""),"",N(CR541)-N(CQ541)))</f>
        <v/>
      </c>
      <c r="CV541">
        <f>IF(OR(CQ$3="",CQ$3&gt;TODAY()),"",IF(AND(CT541="",CU541=""),"",N(CU541)-N(CT541)))</f>
        <v/>
      </c>
      <c r="CZ541">
        <f>IF(OR(CX$3="",CX$3&gt;TODAY()),"",IF(AND(CX541="",CY541=""),"",N(CY541)-N(CX541)))</f>
        <v/>
      </c>
      <c r="DC541">
        <f>IF(OR(CX$3="",CX$3&gt;TODAY()),"",IF(AND(DA541="",DB541=""),"",N(DB541)-N(DA541)))</f>
        <v/>
      </c>
      <c r="DG541">
        <f>IF(OR(DE$3="",DE$3&gt;TODAY()),"",IF(AND(DE541="",DF541=""),"",N(DF541)-N(DE541)))</f>
        <v/>
      </c>
      <c r="DJ541">
        <f>IF(OR(DE$3="",DE$3&gt;TODAY()),"",IF(AND(DH541="",DI541=""),"",N(DI541)-N(DH541)))</f>
        <v/>
      </c>
      <c r="DN541">
        <f>IF(OR(DL$3="",DL$3&gt;TODAY()),"",IF(AND(DL541="",DM541=""),"",N(DM541)-N(DL541)))</f>
        <v/>
      </c>
      <c r="DQ541">
        <f>IF(OR(DL$3="",DL$3&gt;TODAY()),"",IF(AND(DO541="",DP541=""),"",N(DP541)-N(DO541)))</f>
        <v/>
      </c>
      <c r="DU541">
        <f>IF(OR(DS$3="",DS$3&gt;TODAY()),"",IF(AND(DS541="",DT541=""),"",N(DT541)-N(DS541)))</f>
        <v/>
      </c>
      <c r="DX541">
        <f>IF(OR(DS$3="",DS$3&gt;TODAY()),"",IF(AND(DV541="",DW541=""),"",N(DW541)-N(DV541)))</f>
        <v/>
      </c>
      <c r="EB541">
        <f>IF(OR(DZ$3="",DZ$3&gt;TODAY()),"",IF(AND(DZ541="",EA541=""),"",N(EA541)-N(DZ541)))</f>
        <v/>
      </c>
      <c r="EE541">
        <f>IF(OR(DZ$3="",DZ$3&gt;TODAY()),"",IF(AND(EC541="",ED541=""),"",N(ED541)-N(EC541)))</f>
        <v/>
      </c>
      <c r="EI541">
        <f>IF(OR(EG$3="",EG$3&gt;TODAY()),"",IF(AND(EG541="",EH541=""),"",N(EH541)-N(EG541)))</f>
        <v/>
      </c>
      <c r="EL541">
        <f>IF(OR(EG$3="",EG$3&gt;TODAY()),"",IF(AND(EJ541="",EK541=""),"",N(EK541)-N(EJ541)))</f>
        <v/>
      </c>
      <c r="EP541">
        <f>IF(OR(EN$3="",EN$3&gt;TODAY()),"",IF(AND(EN541="",EO541=""),"",N(EO541)-N(EN541)))</f>
        <v/>
      </c>
      <c r="ES541">
        <f>IF(OR(EN$3="",EN$3&gt;TODAY()),"",IF(AND(EQ541="",ER541=""),"",N(ER541)-N(EQ541)))</f>
        <v/>
      </c>
      <c r="EW541">
        <f>IF(OR(EU$3="",EU$3&gt;TODAY()),"",IF(AND(EU541="",EV541=""),"",N(EV541)-N(EU541)))</f>
        <v/>
      </c>
      <c r="EZ541">
        <f>IF(OR(EU$3="",EU$3&gt;TODAY()),"",IF(AND(EX541="",EY541=""),"",N(EY541)-N(EX541)))</f>
        <v/>
      </c>
      <c r="FD541">
        <f>IF(OR(FB$3="",FB$3&gt;TODAY()),"",IF(AND(FB541="",FC541=""),"",N(FC541)-N(FB541)))</f>
        <v/>
      </c>
      <c r="FG541">
        <f>IF(OR(FB$3="",FB$3&gt;TODAY()),"",IF(AND(FE541="",FF541=""),"",N(FF541)-N(FE541)))</f>
        <v/>
      </c>
      <c r="FK541">
        <f>IF(OR(FI$3="",FI$3&gt;TODAY()),"",IF(AND(FI541="",FJ541=""),"",N(FJ541)-N(FI541)))</f>
        <v/>
      </c>
      <c r="FN541">
        <f>IF(OR(FI$3="",FI$3&gt;TODAY()),"",IF(AND(FL541="",FM541=""),"",N(FM541)-N(FL541)))</f>
        <v/>
      </c>
      <c r="FR541">
        <f>IF(OR(FP$3="",FP$3&gt;TODAY()),"",IF(AND(FP541="",FQ541=""),"",N(FQ541)-N(FP541)))</f>
        <v/>
      </c>
      <c r="FU541">
        <f>IF(OR(FP$3="",FP$3&gt;TODAY()),"",IF(AND(FS541="",FT541=""),"",N(FT541)-N(FS541)))</f>
        <v/>
      </c>
      <c r="FY541">
        <f>IF(OR(FW$3="",FW$3&gt;TODAY()),"",IF(AND(FW541="",FX541=""),"",N(FX541)-N(FW541)))</f>
        <v/>
      </c>
      <c r="GB541">
        <f>IF(OR(FW$3="",FW$3&gt;TODAY()),"",IF(AND(FZ541="",GA541=""),"",N(GA541)-N(FZ541)))</f>
        <v/>
      </c>
      <c r="GF541">
        <f>IF(OR(GD$3="",GD$3&gt;TODAY()),"",IF(AND(GD541="",GE541=""),"",N(GE541)-N(GD541)))</f>
        <v/>
      </c>
      <c r="GI541">
        <f>IF(OR(GD$3="",GD$3&gt;TODAY()),"",IF(AND(GG541="",GH541=""),"",N(GH541)-N(GG541)))</f>
        <v/>
      </c>
      <c r="GM541">
        <f>IF(OR(GK$3="",GK$3&gt;TODAY()),"",IF(AND(GK541="",GL541=""),"",N(GL541)-N(GK541)))</f>
        <v/>
      </c>
      <c r="GP541">
        <f>IF(OR(GK$3="",GK$3&gt;TODAY()),"",IF(AND(GN541="",GO541=""),"",N(GO541)-N(GN541)))</f>
        <v/>
      </c>
      <c r="GT541">
        <f>IF(OR(GR$3="",GR$3&gt;TODAY()),"",IF(AND(GR541="",GS541=""),"",N(GS541)-N(GR541)))</f>
        <v/>
      </c>
      <c r="GW541">
        <f>IF(OR(GR$3="",GR$3&gt;TODAY()),"",IF(AND(GU541="",GV541=""),"",N(GV541)-N(GU541)))</f>
        <v/>
      </c>
      <c r="HA541">
        <f>IF(OR(GY$3="",GY$3&gt;TODAY()),"",IF(AND(GY541="",GZ541=""),"",N(GZ541)-N(GY541)))</f>
        <v/>
      </c>
      <c r="HD541">
        <f>IF(OR(GY$3="",GY$3&gt;TODAY()),"",IF(AND(HB541="",HC541=""),"",N(HC541)-N(HB541)))</f>
        <v/>
      </c>
      <c r="HH541">
        <f>IF(OR(HF$3="",HF$3&gt;TODAY()),"",IF(AND(HF541="",HG541=""),"",N(HG541)-N(HF541)))</f>
        <v/>
      </c>
      <c r="HK541">
        <f>IF(OR(HF$3="",HF$3&gt;TODAY()),"",IF(AND(HI541="",HJ541=""),"",N(HJ541)-N(HI541)))</f>
        <v/>
      </c>
      <c r="HO541">
        <f>IF(OR(HM$3="",HM$3&gt;TODAY()),"",IF(AND(HM541="",HN541=""),"",N(HN541)-N(HM541)))</f>
        <v/>
      </c>
      <c r="HR541">
        <f>IF(OR(HM$3="",HM$3&gt;TODAY()),"",IF(AND(HP541="",HQ541=""),"",N(HQ541)-N(HP541)))</f>
        <v/>
      </c>
      <c r="HV541">
        <f>IF(OR(HT$3="",HT$3&gt;TODAY()),"",IF(AND(HT541="",HU541=""),"",N(HU541)-N(HT541)))</f>
        <v/>
      </c>
      <c r="HY541">
        <f>IF(OR(HT$3="",HT$3&gt;TODAY()),"",IF(AND(HW541="",HX541=""),"",N(HX541)-N(HW541)))</f>
        <v/>
      </c>
      <c r="IC541">
        <f>IF(OR(IA$3="",IA$3&gt;TODAY()),"",IF(AND(IA541="",IB541=""),"",N(IB541)-N(IA541)))</f>
        <v/>
      </c>
      <c r="IF541">
        <f>IF(OR(IA$3="",IA$3&gt;TODAY()),"",IF(AND(ID541="",IE541=""),"",N(IE541)-N(ID541)))</f>
        <v/>
      </c>
      <c r="IJ541">
        <f>IF(OR(IH$3="",IH$3&gt;TODAY()),"",IF(AND(IH541="",II541=""),"",N(II541)-N(IH541)))</f>
        <v/>
      </c>
      <c r="IM541">
        <f>IF(OR(IH$3="",IH$3&gt;TODAY()),"",IF(AND(IK541="",IL541=""),"",N(IL541)-N(IK541)))</f>
        <v/>
      </c>
    </row>
    <row r="542">
      <c r="A542" s="21" t="n"/>
      <c r="B542" s="21" t="n"/>
      <c r="C542" s="21" t="n"/>
      <c r="D542" s="21" t="n"/>
      <c r="E542" s="21" t="n"/>
      <c r="F542" s="21" t="n"/>
      <c r="G542" s="21" t="n"/>
      <c r="H542" s="21" t="n"/>
      <c r="I542" s="22" t="n"/>
      <c r="J542" s="22" t="n"/>
      <c r="K542" s="23" t="n"/>
      <c r="L542" s="22" t="n"/>
      <c r="M542" s="22" t="n"/>
      <c r="N542" s="21" t="n"/>
      <c r="O542" s="23" t="n"/>
      <c r="P542" s="23" t="n"/>
      <c r="Q542" s="23" t="n"/>
      <c r="R542" s="23" t="n"/>
      <c r="S542" s="22" t="n"/>
      <c r="T542" s="23" t="n"/>
      <c r="U542" s="23" t="n"/>
      <c r="V542" s="24">
        <f>IF(J542&lt;&gt;"",J542,IF(I542&lt;&gt;"",I542,""))</f>
        <v/>
      </c>
      <c r="W542" s="25">
        <f>IF($E542="","",N(O542)+SUMIFS($AF542:$IN542,$AF$4:$IN$4,"SEW_ACT"))</f>
        <v/>
      </c>
      <c r="X542" s="25">
        <f>IF($E542="","",N(P542)+SUMIFS($AF542:$IN542,$AF$4:$IN$4,"WASH_ACT"))</f>
        <v/>
      </c>
      <c r="Y542" s="25">
        <f>IF($E542="","",W542-X542-N(T542)-N(U542))</f>
        <v/>
      </c>
      <c r="Z542" s="25">
        <f>IF($E542="","",IF(N(K542)-X542&lt;=0.02*N(K542),0,N(K542)-X542))</f>
        <v/>
      </c>
      <c r="AA542" s="24">
        <f>IF($E542="","",IF(S542&lt;&gt;"",S542,IF(N(O542)&gt;0,IF(L542&lt;&gt;"",L542,99999),IFERROR(1/(1/_xlfn.MINIFS($AF$3:$IN$3,$AF$4:$IN$4,"SEW_ACT",$AF542:$IN542,"&gt;0")),99999))))</f>
        <v/>
      </c>
      <c r="AB542" s="26">
        <f>IF(OR($E542="",Z542=0,V542=""),"",1+COUNTIFS(Z$8:Z$707,"&gt;0",V$8:V$707,"&lt;"&amp;V542)+COUNTIFS(Z$8:Z$707,"&gt;0",V$8:V$707,V542,AA$8:AA$707,"&lt;"&amp;AA542)+COUNTIFS(Z$8:Z$707,"&gt;0",V$8:V$707,V542,AA$8:AA$707,AA542,E$8:E$707,"&lt;"&amp;$E542))</f>
        <v/>
      </c>
      <c r="AC542" s="24">
        <f>IF(OR($E542="",Z542=0),"",IFERROR(TODAY()+ROUNDUP(Z542/(SUMIFS($AF542:$IN542,$AF$4:$IN$4,"WASH_ACT")/COUNTIFS($AF$4:$IN$4,"WASH_ACT",$AF542:$IN542,"&gt;0")),0),"no output yet"))</f>
        <v/>
      </c>
      <c r="AD542" s="26">
        <f>IF($E542="","",IFERROR(ROUND(MAX(0,SUMIFS($AF542:$IN542,$AF$4:$IN$4,"SEW_PLAN",$AF$3:$IN$3,"&lt;="&amp;TODAY())-SUMIFS($AF542:$IN542,$AF$4:$IN$4,"SEW_ACT",$AF$3:$IN$3,"&lt;="&amp;TODAY())+N(Q542))/(SUMIFS($AF542:$IN542,$AF$4:$IN$4,"SEW_PLAN")/COUNTIFS($AF$4:$IN$4,"SEW_PLAN",$AF542:$IN542,"&gt;0")),1),0))</f>
        <v/>
      </c>
      <c r="AE542" s="26">
        <f>IF($E542="","",IF(AND(Z542&gt;0,OR(AND(M542&lt;&gt;"",TODAY()&gt;M542),AND(V542&lt;&gt;"",V542-TODAY()&lt;=7))),"Yes","No"))</f>
        <v/>
      </c>
      <c r="AH542">
        <f>IF(OR(AF$3="",AF$3&gt;TODAY()),"",IF(AND(AF542="",AG542=""),"",N(AG542)-N(AF542)))</f>
        <v/>
      </c>
      <c r="AK542">
        <f>IF(OR(AF$3="",AF$3&gt;TODAY()),"",IF(AND(AI542="",AJ542=""),"",N(AJ542)-N(AI542)))</f>
        <v/>
      </c>
      <c r="AO542">
        <f>IF(OR(AM$3="",AM$3&gt;TODAY()),"",IF(AND(AM542="",AN542=""),"",N(AN542)-N(AM542)))</f>
        <v/>
      </c>
      <c r="AR542">
        <f>IF(OR(AM$3="",AM$3&gt;TODAY()),"",IF(AND(AP542="",AQ542=""),"",N(AQ542)-N(AP542)))</f>
        <v/>
      </c>
      <c r="AV542">
        <f>IF(OR(AT$3="",AT$3&gt;TODAY()),"",IF(AND(AT542="",AU542=""),"",N(AU542)-N(AT542)))</f>
        <v/>
      </c>
      <c r="AY542">
        <f>IF(OR(AT$3="",AT$3&gt;TODAY()),"",IF(AND(AW542="",AX542=""),"",N(AX542)-N(AW542)))</f>
        <v/>
      </c>
      <c r="BC542">
        <f>IF(OR(BA$3="",BA$3&gt;TODAY()),"",IF(AND(BA542="",BB542=""),"",N(BB542)-N(BA542)))</f>
        <v/>
      </c>
      <c r="BF542">
        <f>IF(OR(BA$3="",BA$3&gt;TODAY()),"",IF(AND(BD542="",BE542=""),"",N(BE542)-N(BD542)))</f>
        <v/>
      </c>
      <c r="BJ542">
        <f>IF(OR(BH$3="",BH$3&gt;TODAY()),"",IF(AND(BH542="",BI542=""),"",N(BI542)-N(BH542)))</f>
        <v/>
      </c>
      <c r="BM542">
        <f>IF(OR(BH$3="",BH$3&gt;TODAY()),"",IF(AND(BK542="",BL542=""),"",N(BL542)-N(BK542)))</f>
        <v/>
      </c>
      <c r="BQ542">
        <f>IF(OR(BO$3="",BO$3&gt;TODAY()),"",IF(AND(BO542="",BP542=""),"",N(BP542)-N(BO542)))</f>
        <v/>
      </c>
      <c r="BT542">
        <f>IF(OR(BO$3="",BO$3&gt;TODAY()),"",IF(AND(BR542="",BS542=""),"",N(BS542)-N(BR542)))</f>
        <v/>
      </c>
      <c r="BX542">
        <f>IF(OR(BV$3="",BV$3&gt;TODAY()),"",IF(AND(BV542="",BW542=""),"",N(BW542)-N(BV542)))</f>
        <v/>
      </c>
      <c r="CA542">
        <f>IF(OR(BV$3="",BV$3&gt;TODAY()),"",IF(AND(BY542="",BZ542=""),"",N(BZ542)-N(BY542)))</f>
        <v/>
      </c>
      <c r="CE542">
        <f>IF(OR(CC$3="",CC$3&gt;TODAY()),"",IF(AND(CC542="",CD542=""),"",N(CD542)-N(CC542)))</f>
        <v/>
      </c>
      <c r="CH542">
        <f>IF(OR(CC$3="",CC$3&gt;TODAY()),"",IF(AND(CF542="",CG542=""),"",N(CG542)-N(CF542)))</f>
        <v/>
      </c>
      <c r="CL542">
        <f>IF(OR(CJ$3="",CJ$3&gt;TODAY()),"",IF(AND(CJ542="",CK542=""),"",N(CK542)-N(CJ542)))</f>
        <v/>
      </c>
      <c r="CO542">
        <f>IF(OR(CJ$3="",CJ$3&gt;TODAY()),"",IF(AND(CM542="",CN542=""),"",N(CN542)-N(CM542)))</f>
        <v/>
      </c>
      <c r="CS542">
        <f>IF(OR(CQ$3="",CQ$3&gt;TODAY()),"",IF(AND(CQ542="",CR542=""),"",N(CR542)-N(CQ542)))</f>
        <v/>
      </c>
      <c r="CV542">
        <f>IF(OR(CQ$3="",CQ$3&gt;TODAY()),"",IF(AND(CT542="",CU542=""),"",N(CU542)-N(CT542)))</f>
        <v/>
      </c>
      <c r="CZ542">
        <f>IF(OR(CX$3="",CX$3&gt;TODAY()),"",IF(AND(CX542="",CY542=""),"",N(CY542)-N(CX542)))</f>
        <v/>
      </c>
      <c r="DC542">
        <f>IF(OR(CX$3="",CX$3&gt;TODAY()),"",IF(AND(DA542="",DB542=""),"",N(DB542)-N(DA542)))</f>
        <v/>
      </c>
      <c r="DG542">
        <f>IF(OR(DE$3="",DE$3&gt;TODAY()),"",IF(AND(DE542="",DF542=""),"",N(DF542)-N(DE542)))</f>
        <v/>
      </c>
      <c r="DJ542">
        <f>IF(OR(DE$3="",DE$3&gt;TODAY()),"",IF(AND(DH542="",DI542=""),"",N(DI542)-N(DH542)))</f>
        <v/>
      </c>
      <c r="DN542">
        <f>IF(OR(DL$3="",DL$3&gt;TODAY()),"",IF(AND(DL542="",DM542=""),"",N(DM542)-N(DL542)))</f>
        <v/>
      </c>
      <c r="DQ542">
        <f>IF(OR(DL$3="",DL$3&gt;TODAY()),"",IF(AND(DO542="",DP542=""),"",N(DP542)-N(DO542)))</f>
        <v/>
      </c>
      <c r="DU542">
        <f>IF(OR(DS$3="",DS$3&gt;TODAY()),"",IF(AND(DS542="",DT542=""),"",N(DT542)-N(DS542)))</f>
        <v/>
      </c>
      <c r="DX542">
        <f>IF(OR(DS$3="",DS$3&gt;TODAY()),"",IF(AND(DV542="",DW542=""),"",N(DW542)-N(DV542)))</f>
        <v/>
      </c>
      <c r="EB542">
        <f>IF(OR(DZ$3="",DZ$3&gt;TODAY()),"",IF(AND(DZ542="",EA542=""),"",N(EA542)-N(DZ542)))</f>
        <v/>
      </c>
      <c r="EE542">
        <f>IF(OR(DZ$3="",DZ$3&gt;TODAY()),"",IF(AND(EC542="",ED542=""),"",N(ED542)-N(EC542)))</f>
        <v/>
      </c>
      <c r="EI542">
        <f>IF(OR(EG$3="",EG$3&gt;TODAY()),"",IF(AND(EG542="",EH542=""),"",N(EH542)-N(EG542)))</f>
        <v/>
      </c>
      <c r="EL542">
        <f>IF(OR(EG$3="",EG$3&gt;TODAY()),"",IF(AND(EJ542="",EK542=""),"",N(EK542)-N(EJ542)))</f>
        <v/>
      </c>
      <c r="EP542">
        <f>IF(OR(EN$3="",EN$3&gt;TODAY()),"",IF(AND(EN542="",EO542=""),"",N(EO542)-N(EN542)))</f>
        <v/>
      </c>
      <c r="ES542">
        <f>IF(OR(EN$3="",EN$3&gt;TODAY()),"",IF(AND(EQ542="",ER542=""),"",N(ER542)-N(EQ542)))</f>
        <v/>
      </c>
      <c r="EW542">
        <f>IF(OR(EU$3="",EU$3&gt;TODAY()),"",IF(AND(EU542="",EV542=""),"",N(EV542)-N(EU542)))</f>
        <v/>
      </c>
      <c r="EZ542">
        <f>IF(OR(EU$3="",EU$3&gt;TODAY()),"",IF(AND(EX542="",EY542=""),"",N(EY542)-N(EX542)))</f>
        <v/>
      </c>
      <c r="FD542">
        <f>IF(OR(FB$3="",FB$3&gt;TODAY()),"",IF(AND(FB542="",FC542=""),"",N(FC542)-N(FB542)))</f>
        <v/>
      </c>
      <c r="FG542">
        <f>IF(OR(FB$3="",FB$3&gt;TODAY()),"",IF(AND(FE542="",FF542=""),"",N(FF542)-N(FE542)))</f>
        <v/>
      </c>
      <c r="FK542">
        <f>IF(OR(FI$3="",FI$3&gt;TODAY()),"",IF(AND(FI542="",FJ542=""),"",N(FJ542)-N(FI542)))</f>
        <v/>
      </c>
      <c r="FN542">
        <f>IF(OR(FI$3="",FI$3&gt;TODAY()),"",IF(AND(FL542="",FM542=""),"",N(FM542)-N(FL542)))</f>
        <v/>
      </c>
      <c r="FR542">
        <f>IF(OR(FP$3="",FP$3&gt;TODAY()),"",IF(AND(FP542="",FQ542=""),"",N(FQ542)-N(FP542)))</f>
        <v/>
      </c>
      <c r="FU542">
        <f>IF(OR(FP$3="",FP$3&gt;TODAY()),"",IF(AND(FS542="",FT542=""),"",N(FT542)-N(FS542)))</f>
        <v/>
      </c>
      <c r="FY542">
        <f>IF(OR(FW$3="",FW$3&gt;TODAY()),"",IF(AND(FW542="",FX542=""),"",N(FX542)-N(FW542)))</f>
        <v/>
      </c>
      <c r="GB542">
        <f>IF(OR(FW$3="",FW$3&gt;TODAY()),"",IF(AND(FZ542="",GA542=""),"",N(GA542)-N(FZ542)))</f>
        <v/>
      </c>
      <c r="GF542">
        <f>IF(OR(GD$3="",GD$3&gt;TODAY()),"",IF(AND(GD542="",GE542=""),"",N(GE542)-N(GD542)))</f>
        <v/>
      </c>
      <c r="GI542">
        <f>IF(OR(GD$3="",GD$3&gt;TODAY()),"",IF(AND(GG542="",GH542=""),"",N(GH542)-N(GG542)))</f>
        <v/>
      </c>
      <c r="GM542">
        <f>IF(OR(GK$3="",GK$3&gt;TODAY()),"",IF(AND(GK542="",GL542=""),"",N(GL542)-N(GK542)))</f>
        <v/>
      </c>
      <c r="GP542">
        <f>IF(OR(GK$3="",GK$3&gt;TODAY()),"",IF(AND(GN542="",GO542=""),"",N(GO542)-N(GN542)))</f>
        <v/>
      </c>
      <c r="GT542">
        <f>IF(OR(GR$3="",GR$3&gt;TODAY()),"",IF(AND(GR542="",GS542=""),"",N(GS542)-N(GR542)))</f>
        <v/>
      </c>
      <c r="GW542">
        <f>IF(OR(GR$3="",GR$3&gt;TODAY()),"",IF(AND(GU542="",GV542=""),"",N(GV542)-N(GU542)))</f>
        <v/>
      </c>
      <c r="HA542">
        <f>IF(OR(GY$3="",GY$3&gt;TODAY()),"",IF(AND(GY542="",GZ542=""),"",N(GZ542)-N(GY542)))</f>
        <v/>
      </c>
      <c r="HD542">
        <f>IF(OR(GY$3="",GY$3&gt;TODAY()),"",IF(AND(HB542="",HC542=""),"",N(HC542)-N(HB542)))</f>
        <v/>
      </c>
      <c r="HH542">
        <f>IF(OR(HF$3="",HF$3&gt;TODAY()),"",IF(AND(HF542="",HG542=""),"",N(HG542)-N(HF542)))</f>
        <v/>
      </c>
      <c r="HK542">
        <f>IF(OR(HF$3="",HF$3&gt;TODAY()),"",IF(AND(HI542="",HJ542=""),"",N(HJ542)-N(HI542)))</f>
        <v/>
      </c>
      <c r="HO542">
        <f>IF(OR(HM$3="",HM$3&gt;TODAY()),"",IF(AND(HM542="",HN542=""),"",N(HN542)-N(HM542)))</f>
        <v/>
      </c>
      <c r="HR542">
        <f>IF(OR(HM$3="",HM$3&gt;TODAY()),"",IF(AND(HP542="",HQ542=""),"",N(HQ542)-N(HP542)))</f>
        <v/>
      </c>
      <c r="HV542">
        <f>IF(OR(HT$3="",HT$3&gt;TODAY()),"",IF(AND(HT542="",HU542=""),"",N(HU542)-N(HT542)))</f>
        <v/>
      </c>
      <c r="HY542">
        <f>IF(OR(HT$3="",HT$3&gt;TODAY()),"",IF(AND(HW542="",HX542=""),"",N(HX542)-N(HW542)))</f>
        <v/>
      </c>
      <c r="IC542">
        <f>IF(OR(IA$3="",IA$3&gt;TODAY()),"",IF(AND(IA542="",IB542=""),"",N(IB542)-N(IA542)))</f>
        <v/>
      </c>
      <c r="IF542">
        <f>IF(OR(IA$3="",IA$3&gt;TODAY()),"",IF(AND(ID542="",IE542=""),"",N(IE542)-N(ID542)))</f>
        <v/>
      </c>
      <c r="IJ542">
        <f>IF(OR(IH$3="",IH$3&gt;TODAY()),"",IF(AND(IH542="",II542=""),"",N(II542)-N(IH542)))</f>
        <v/>
      </c>
      <c r="IM542">
        <f>IF(OR(IH$3="",IH$3&gt;TODAY()),"",IF(AND(IK542="",IL542=""),"",N(IL542)-N(IK542)))</f>
        <v/>
      </c>
    </row>
    <row r="543">
      <c r="A543" s="21" t="n"/>
      <c r="B543" s="21" t="n"/>
      <c r="C543" s="21" t="n"/>
      <c r="D543" s="21" t="n"/>
      <c r="E543" s="21" t="n"/>
      <c r="F543" s="21" t="n"/>
      <c r="G543" s="21" t="n"/>
      <c r="H543" s="21" t="n"/>
      <c r="I543" s="22" t="n"/>
      <c r="J543" s="22" t="n"/>
      <c r="K543" s="23" t="n"/>
      <c r="L543" s="22" t="n"/>
      <c r="M543" s="22" t="n"/>
      <c r="N543" s="21" t="n"/>
      <c r="O543" s="23" t="n"/>
      <c r="P543" s="23" t="n"/>
      <c r="Q543" s="23" t="n"/>
      <c r="R543" s="23" t="n"/>
      <c r="S543" s="22" t="n"/>
      <c r="T543" s="23" t="n"/>
      <c r="U543" s="23" t="n"/>
      <c r="V543" s="24">
        <f>IF(J543&lt;&gt;"",J543,IF(I543&lt;&gt;"",I543,""))</f>
        <v/>
      </c>
      <c r="W543" s="25">
        <f>IF($E543="","",N(O543)+SUMIFS($AF543:$IN543,$AF$4:$IN$4,"SEW_ACT"))</f>
        <v/>
      </c>
      <c r="X543" s="25">
        <f>IF($E543="","",N(P543)+SUMIFS($AF543:$IN543,$AF$4:$IN$4,"WASH_ACT"))</f>
        <v/>
      </c>
      <c r="Y543" s="25">
        <f>IF($E543="","",W543-X543-N(T543)-N(U543))</f>
        <v/>
      </c>
      <c r="Z543" s="25">
        <f>IF($E543="","",IF(N(K543)-X543&lt;=0.02*N(K543),0,N(K543)-X543))</f>
        <v/>
      </c>
      <c r="AA543" s="24">
        <f>IF($E543="","",IF(S543&lt;&gt;"",S543,IF(N(O543)&gt;0,IF(L543&lt;&gt;"",L543,99999),IFERROR(1/(1/_xlfn.MINIFS($AF$3:$IN$3,$AF$4:$IN$4,"SEW_ACT",$AF543:$IN543,"&gt;0")),99999))))</f>
        <v/>
      </c>
      <c r="AB543" s="26">
        <f>IF(OR($E543="",Z543=0,V543=""),"",1+COUNTIFS(Z$8:Z$707,"&gt;0",V$8:V$707,"&lt;"&amp;V543)+COUNTIFS(Z$8:Z$707,"&gt;0",V$8:V$707,V543,AA$8:AA$707,"&lt;"&amp;AA543)+COUNTIFS(Z$8:Z$707,"&gt;0",V$8:V$707,V543,AA$8:AA$707,AA543,E$8:E$707,"&lt;"&amp;$E543))</f>
        <v/>
      </c>
      <c r="AC543" s="24">
        <f>IF(OR($E543="",Z543=0),"",IFERROR(TODAY()+ROUNDUP(Z543/(SUMIFS($AF543:$IN543,$AF$4:$IN$4,"WASH_ACT")/COUNTIFS($AF$4:$IN$4,"WASH_ACT",$AF543:$IN543,"&gt;0")),0),"no output yet"))</f>
        <v/>
      </c>
      <c r="AD543" s="26">
        <f>IF($E543="","",IFERROR(ROUND(MAX(0,SUMIFS($AF543:$IN543,$AF$4:$IN$4,"SEW_PLAN",$AF$3:$IN$3,"&lt;="&amp;TODAY())-SUMIFS($AF543:$IN543,$AF$4:$IN$4,"SEW_ACT",$AF$3:$IN$3,"&lt;="&amp;TODAY())+N(Q543))/(SUMIFS($AF543:$IN543,$AF$4:$IN$4,"SEW_PLAN")/COUNTIFS($AF$4:$IN$4,"SEW_PLAN",$AF543:$IN543,"&gt;0")),1),0))</f>
        <v/>
      </c>
      <c r="AE543" s="26">
        <f>IF($E543="","",IF(AND(Z543&gt;0,OR(AND(M543&lt;&gt;"",TODAY()&gt;M543),AND(V543&lt;&gt;"",V543-TODAY()&lt;=7))),"Yes","No"))</f>
        <v/>
      </c>
      <c r="AH543">
        <f>IF(OR(AF$3="",AF$3&gt;TODAY()),"",IF(AND(AF543="",AG543=""),"",N(AG543)-N(AF543)))</f>
        <v/>
      </c>
      <c r="AK543">
        <f>IF(OR(AF$3="",AF$3&gt;TODAY()),"",IF(AND(AI543="",AJ543=""),"",N(AJ543)-N(AI543)))</f>
        <v/>
      </c>
      <c r="AO543">
        <f>IF(OR(AM$3="",AM$3&gt;TODAY()),"",IF(AND(AM543="",AN543=""),"",N(AN543)-N(AM543)))</f>
        <v/>
      </c>
      <c r="AR543">
        <f>IF(OR(AM$3="",AM$3&gt;TODAY()),"",IF(AND(AP543="",AQ543=""),"",N(AQ543)-N(AP543)))</f>
        <v/>
      </c>
      <c r="AV543">
        <f>IF(OR(AT$3="",AT$3&gt;TODAY()),"",IF(AND(AT543="",AU543=""),"",N(AU543)-N(AT543)))</f>
        <v/>
      </c>
      <c r="AY543">
        <f>IF(OR(AT$3="",AT$3&gt;TODAY()),"",IF(AND(AW543="",AX543=""),"",N(AX543)-N(AW543)))</f>
        <v/>
      </c>
      <c r="BC543">
        <f>IF(OR(BA$3="",BA$3&gt;TODAY()),"",IF(AND(BA543="",BB543=""),"",N(BB543)-N(BA543)))</f>
        <v/>
      </c>
      <c r="BF543">
        <f>IF(OR(BA$3="",BA$3&gt;TODAY()),"",IF(AND(BD543="",BE543=""),"",N(BE543)-N(BD543)))</f>
        <v/>
      </c>
      <c r="BJ543">
        <f>IF(OR(BH$3="",BH$3&gt;TODAY()),"",IF(AND(BH543="",BI543=""),"",N(BI543)-N(BH543)))</f>
        <v/>
      </c>
      <c r="BM543">
        <f>IF(OR(BH$3="",BH$3&gt;TODAY()),"",IF(AND(BK543="",BL543=""),"",N(BL543)-N(BK543)))</f>
        <v/>
      </c>
      <c r="BQ543">
        <f>IF(OR(BO$3="",BO$3&gt;TODAY()),"",IF(AND(BO543="",BP543=""),"",N(BP543)-N(BO543)))</f>
        <v/>
      </c>
      <c r="BT543">
        <f>IF(OR(BO$3="",BO$3&gt;TODAY()),"",IF(AND(BR543="",BS543=""),"",N(BS543)-N(BR543)))</f>
        <v/>
      </c>
      <c r="BX543">
        <f>IF(OR(BV$3="",BV$3&gt;TODAY()),"",IF(AND(BV543="",BW543=""),"",N(BW543)-N(BV543)))</f>
        <v/>
      </c>
      <c r="CA543">
        <f>IF(OR(BV$3="",BV$3&gt;TODAY()),"",IF(AND(BY543="",BZ543=""),"",N(BZ543)-N(BY543)))</f>
        <v/>
      </c>
      <c r="CE543">
        <f>IF(OR(CC$3="",CC$3&gt;TODAY()),"",IF(AND(CC543="",CD543=""),"",N(CD543)-N(CC543)))</f>
        <v/>
      </c>
      <c r="CH543">
        <f>IF(OR(CC$3="",CC$3&gt;TODAY()),"",IF(AND(CF543="",CG543=""),"",N(CG543)-N(CF543)))</f>
        <v/>
      </c>
      <c r="CL543">
        <f>IF(OR(CJ$3="",CJ$3&gt;TODAY()),"",IF(AND(CJ543="",CK543=""),"",N(CK543)-N(CJ543)))</f>
        <v/>
      </c>
      <c r="CO543">
        <f>IF(OR(CJ$3="",CJ$3&gt;TODAY()),"",IF(AND(CM543="",CN543=""),"",N(CN543)-N(CM543)))</f>
        <v/>
      </c>
      <c r="CS543">
        <f>IF(OR(CQ$3="",CQ$3&gt;TODAY()),"",IF(AND(CQ543="",CR543=""),"",N(CR543)-N(CQ543)))</f>
        <v/>
      </c>
      <c r="CV543">
        <f>IF(OR(CQ$3="",CQ$3&gt;TODAY()),"",IF(AND(CT543="",CU543=""),"",N(CU543)-N(CT543)))</f>
        <v/>
      </c>
      <c r="CZ543">
        <f>IF(OR(CX$3="",CX$3&gt;TODAY()),"",IF(AND(CX543="",CY543=""),"",N(CY543)-N(CX543)))</f>
        <v/>
      </c>
      <c r="DC543">
        <f>IF(OR(CX$3="",CX$3&gt;TODAY()),"",IF(AND(DA543="",DB543=""),"",N(DB543)-N(DA543)))</f>
        <v/>
      </c>
      <c r="DG543">
        <f>IF(OR(DE$3="",DE$3&gt;TODAY()),"",IF(AND(DE543="",DF543=""),"",N(DF543)-N(DE543)))</f>
        <v/>
      </c>
      <c r="DJ543">
        <f>IF(OR(DE$3="",DE$3&gt;TODAY()),"",IF(AND(DH543="",DI543=""),"",N(DI543)-N(DH543)))</f>
        <v/>
      </c>
      <c r="DN543">
        <f>IF(OR(DL$3="",DL$3&gt;TODAY()),"",IF(AND(DL543="",DM543=""),"",N(DM543)-N(DL543)))</f>
        <v/>
      </c>
      <c r="DQ543">
        <f>IF(OR(DL$3="",DL$3&gt;TODAY()),"",IF(AND(DO543="",DP543=""),"",N(DP543)-N(DO543)))</f>
        <v/>
      </c>
      <c r="DU543">
        <f>IF(OR(DS$3="",DS$3&gt;TODAY()),"",IF(AND(DS543="",DT543=""),"",N(DT543)-N(DS543)))</f>
        <v/>
      </c>
      <c r="DX543">
        <f>IF(OR(DS$3="",DS$3&gt;TODAY()),"",IF(AND(DV543="",DW543=""),"",N(DW543)-N(DV543)))</f>
        <v/>
      </c>
      <c r="EB543">
        <f>IF(OR(DZ$3="",DZ$3&gt;TODAY()),"",IF(AND(DZ543="",EA543=""),"",N(EA543)-N(DZ543)))</f>
        <v/>
      </c>
      <c r="EE543">
        <f>IF(OR(DZ$3="",DZ$3&gt;TODAY()),"",IF(AND(EC543="",ED543=""),"",N(ED543)-N(EC543)))</f>
        <v/>
      </c>
      <c r="EI543">
        <f>IF(OR(EG$3="",EG$3&gt;TODAY()),"",IF(AND(EG543="",EH543=""),"",N(EH543)-N(EG543)))</f>
        <v/>
      </c>
      <c r="EL543">
        <f>IF(OR(EG$3="",EG$3&gt;TODAY()),"",IF(AND(EJ543="",EK543=""),"",N(EK543)-N(EJ543)))</f>
        <v/>
      </c>
      <c r="EP543">
        <f>IF(OR(EN$3="",EN$3&gt;TODAY()),"",IF(AND(EN543="",EO543=""),"",N(EO543)-N(EN543)))</f>
        <v/>
      </c>
      <c r="ES543">
        <f>IF(OR(EN$3="",EN$3&gt;TODAY()),"",IF(AND(EQ543="",ER543=""),"",N(ER543)-N(EQ543)))</f>
        <v/>
      </c>
      <c r="EW543">
        <f>IF(OR(EU$3="",EU$3&gt;TODAY()),"",IF(AND(EU543="",EV543=""),"",N(EV543)-N(EU543)))</f>
        <v/>
      </c>
      <c r="EZ543">
        <f>IF(OR(EU$3="",EU$3&gt;TODAY()),"",IF(AND(EX543="",EY543=""),"",N(EY543)-N(EX543)))</f>
        <v/>
      </c>
      <c r="FD543">
        <f>IF(OR(FB$3="",FB$3&gt;TODAY()),"",IF(AND(FB543="",FC543=""),"",N(FC543)-N(FB543)))</f>
        <v/>
      </c>
      <c r="FG543">
        <f>IF(OR(FB$3="",FB$3&gt;TODAY()),"",IF(AND(FE543="",FF543=""),"",N(FF543)-N(FE543)))</f>
        <v/>
      </c>
      <c r="FK543">
        <f>IF(OR(FI$3="",FI$3&gt;TODAY()),"",IF(AND(FI543="",FJ543=""),"",N(FJ543)-N(FI543)))</f>
        <v/>
      </c>
      <c r="FN543">
        <f>IF(OR(FI$3="",FI$3&gt;TODAY()),"",IF(AND(FL543="",FM543=""),"",N(FM543)-N(FL543)))</f>
        <v/>
      </c>
      <c r="FR543">
        <f>IF(OR(FP$3="",FP$3&gt;TODAY()),"",IF(AND(FP543="",FQ543=""),"",N(FQ543)-N(FP543)))</f>
        <v/>
      </c>
      <c r="FU543">
        <f>IF(OR(FP$3="",FP$3&gt;TODAY()),"",IF(AND(FS543="",FT543=""),"",N(FT543)-N(FS543)))</f>
        <v/>
      </c>
      <c r="FY543">
        <f>IF(OR(FW$3="",FW$3&gt;TODAY()),"",IF(AND(FW543="",FX543=""),"",N(FX543)-N(FW543)))</f>
        <v/>
      </c>
      <c r="GB543">
        <f>IF(OR(FW$3="",FW$3&gt;TODAY()),"",IF(AND(FZ543="",GA543=""),"",N(GA543)-N(FZ543)))</f>
        <v/>
      </c>
      <c r="GF543">
        <f>IF(OR(GD$3="",GD$3&gt;TODAY()),"",IF(AND(GD543="",GE543=""),"",N(GE543)-N(GD543)))</f>
        <v/>
      </c>
      <c r="GI543">
        <f>IF(OR(GD$3="",GD$3&gt;TODAY()),"",IF(AND(GG543="",GH543=""),"",N(GH543)-N(GG543)))</f>
        <v/>
      </c>
      <c r="GM543">
        <f>IF(OR(GK$3="",GK$3&gt;TODAY()),"",IF(AND(GK543="",GL543=""),"",N(GL543)-N(GK543)))</f>
        <v/>
      </c>
      <c r="GP543">
        <f>IF(OR(GK$3="",GK$3&gt;TODAY()),"",IF(AND(GN543="",GO543=""),"",N(GO543)-N(GN543)))</f>
        <v/>
      </c>
      <c r="GT543">
        <f>IF(OR(GR$3="",GR$3&gt;TODAY()),"",IF(AND(GR543="",GS543=""),"",N(GS543)-N(GR543)))</f>
        <v/>
      </c>
      <c r="GW543">
        <f>IF(OR(GR$3="",GR$3&gt;TODAY()),"",IF(AND(GU543="",GV543=""),"",N(GV543)-N(GU543)))</f>
        <v/>
      </c>
      <c r="HA543">
        <f>IF(OR(GY$3="",GY$3&gt;TODAY()),"",IF(AND(GY543="",GZ543=""),"",N(GZ543)-N(GY543)))</f>
        <v/>
      </c>
      <c r="HD543">
        <f>IF(OR(GY$3="",GY$3&gt;TODAY()),"",IF(AND(HB543="",HC543=""),"",N(HC543)-N(HB543)))</f>
        <v/>
      </c>
      <c r="HH543">
        <f>IF(OR(HF$3="",HF$3&gt;TODAY()),"",IF(AND(HF543="",HG543=""),"",N(HG543)-N(HF543)))</f>
        <v/>
      </c>
      <c r="HK543">
        <f>IF(OR(HF$3="",HF$3&gt;TODAY()),"",IF(AND(HI543="",HJ543=""),"",N(HJ543)-N(HI543)))</f>
        <v/>
      </c>
      <c r="HO543">
        <f>IF(OR(HM$3="",HM$3&gt;TODAY()),"",IF(AND(HM543="",HN543=""),"",N(HN543)-N(HM543)))</f>
        <v/>
      </c>
      <c r="HR543">
        <f>IF(OR(HM$3="",HM$3&gt;TODAY()),"",IF(AND(HP543="",HQ543=""),"",N(HQ543)-N(HP543)))</f>
        <v/>
      </c>
      <c r="HV543">
        <f>IF(OR(HT$3="",HT$3&gt;TODAY()),"",IF(AND(HT543="",HU543=""),"",N(HU543)-N(HT543)))</f>
        <v/>
      </c>
      <c r="HY543">
        <f>IF(OR(HT$3="",HT$3&gt;TODAY()),"",IF(AND(HW543="",HX543=""),"",N(HX543)-N(HW543)))</f>
        <v/>
      </c>
      <c r="IC543">
        <f>IF(OR(IA$3="",IA$3&gt;TODAY()),"",IF(AND(IA543="",IB543=""),"",N(IB543)-N(IA543)))</f>
        <v/>
      </c>
      <c r="IF543">
        <f>IF(OR(IA$3="",IA$3&gt;TODAY()),"",IF(AND(ID543="",IE543=""),"",N(IE543)-N(ID543)))</f>
        <v/>
      </c>
      <c r="IJ543">
        <f>IF(OR(IH$3="",IH$3&gt;TODAY()),"",IF(AND(IH543="",II543=""),"",N(II543)-N(IH543)))</f>
        <v/>
      </c>
      <c r="IM543">
        <f>IF(OR(IH$3="",IH$3&gt;TODAY()),"",IF(AND(IK543="",IL543=""),"",N(IL543)-N(IK543)))</f>
        <v/>
      </c>
    </row>
    <row r="544">
      <c r="A544" s="21" t="n"/>
      <c r="B544" s="21" t="n"/>
      <c r="C544" s="21" t="n"/>
      <c r="D544" s="21" t="n"/>
      <c r="E544" s="21" t="n"/>
      <c r="F544" s="21" t="n"/>
      <c r="G544" s="21" t="n"/>
      <c r="H544" s="21" t="n"/>
      <c r="I544" s="22" t="n"/>
      <c r="J544" s="22" t="n"/>
      <c r="K544" s="23" t="n"/>
      <c r="L544" s="22" t="n"/>
      <c r="M544" s="22" t="n"/>
      <c r="N544" s="21" t="n"/>
      <c r="O544" s="23" t="n"/>
      <c r="P544" s="23" t="n"/>
      <c r="Q544" s="23" t="n"/>
      <c r="R544" s="23" t="n"/>
      <c r="S544" s="22" t="n"/>
      <c r="T544" s="23" t="n"/>
      <c r="U544" s="23" t="n"/>
      <c r="V544" s="24">
        <f>IF(J544&lt;&gt;"",J544,IF(I544&lt;&gt;"",I544,""))</f>
        <v/>
      </c>
      <c r="W544" s="25">
        <f>IF($E544="","",N(O544)+SUMIFS($AF544:$IN544,$AF$4:$IN$4,"SEW_ACT"))</f>
        <v/>
      </c>
      <c r="X544" s="25">
        <f>IF($E544="","",N(P544)+SUMIFS($AF544:$IN544,$AF$4:$IN$4,"WASH_ACT"))</f>
        <v/>
      </c>
      <c r="Y544" s="25">
        <f>IF($E544="","",W544-X544-N(T544)-N(U544))</f>
        <v/>
      </c>
      <c r="Z544" s="25">
        <f>IF($E544="","",IF(N(K544)-X544&lt;=0.02*N(K544),0,N(K544)-X544))</f>
        <v/>
      </c>
      <c r="AA544" s="24">
        <f>IF($E544="","",IF(S544&lt;&gt;"",S544,IF(N(O544)&gt;0,IF(L544&lt;&gt;"",L544,99999),IFERROR(1/(1/_xlfn.MINIFS($AF$3:$IN$3,$AF$4:$IN$4,"SEW_ACT",$AF544:$IN544,"&gt;0")),99999))))</f>
        <v/>
      </c>
      <c r="AB544" s="26">
        <f>IF(OR($E544="",Z544=0,V544=""),"",1+COUNTIFS(Z$8:Z$707,"&gt;0",V$8:V$707,"&lt;"&amp;V544)+COUNTIFS(Z$8:Z$707,"&gt;0",V$8:V$707,V544,AA$8:AA$707,"&lt;"&amp;AA544)+COUNTIFS(Z$8:Z$707,"&gt;0",V$8:V$707,V544,AA$8:AA$707,AA544,E$8:E$707,"&lt;"&amp;$E544))</f>
        <v/>
      </c>
      <c r="AC544" s="24">
        <f>IF(OR($E544="",Z544=0),"",IFERROR(TODAY()+ROUNDUP(Z544/(SUMIFS($AF544:$IN544,$AF$4:$IN$4,"WASH_ACT")/COUNTIFS($AF$4:$IN$4,"WASH_ACT",$AF544:$IN544,"&gt;0")),0),"no output yet"))</f>
        <v/>
      </c>
      <c r="AD544" s="26">
        <f>IF($E544="","",IFERROR(ROUND(MAX(0,SUMIFS($AF544:$IN544,$AF$4:$IN$4,"SEW_PLAN",$AF$3:$IN$3,"&lt;="&amp;TODAY())-SUMIFS($AF544:$IN544,$AF$4:$IN$4,"SEW_ACT",$AF$3:$IN$3,"&lt;="&amp;TODAY())+N(Q544))/(SUMIFS($AF544:$IN544,$AF$4:$IN$4,"SEW_PLAN")/COUNTIFS($AF$4:$IN$4,"SEW_PLAN",$AF544:$IN544,"&gt;0")),1),0))</f>
        <v/>
      </c>
      <c r="AE544" s="26">
        <f>IF($E544="","",IF(AND(Z544&gt;0,OR(AND(M544&lt;&gt;"",TODAY()&gt;M544),AND(V544&lt;&gt;"",V544-TODAY()&lt;=7))),"Yes","No"))</f>
        <v/>
      </c>
      <c r="AH544">
        <f>IF(OR(AF$3="",AF$3&gt;TODAY()),"",IF(AND(AF544="",AG544=""),"",N(AG544)-N(AF544)))</f>
        <v/>
      </c>
      <c r="AK544">
        <f>IF(OR(AF$3="",AF$3&gt;TODAY()),"",IF(AND(AI544="",AJ544=""),"",N(AJ544)-N(AI544)))</f>
        <v/>
      </c>
      <c r="AO544">
        <f>IF(OR(AM$3="",AM$3&gt;TODAY()),"",IF(AND(AM544="",AN544=""),"",N(AN544)-N(AM544)))</f>
        <v/>
      </c>
      <c r="AR544">
        <f>IF(OR(AM$3="",AM$3&gt;TODAY()),"",IF(AND(AP544="",AQ544=""),"",N(AQ544)-N(AP544)))</f>
        <v/>
      </c>
      <c r="AV544">
        <f>IF(OR(AT$3="",AT$3&gt;TODAY()),"",IF(AND(AT544="",AU544=""),"",N(AU544)-N(AT544)))</f>
        <v/>
      </c>
      <c r="AY544">
        <f>IF(OR(AT$3="",AT$3&gt;TODAY()),"",IF(AND(AW544="",AX544=""),"",N(AX544)-N(AW544)))</f>
        <v/>
      </c>
      <c r="BC544">
        <f>IF(OR(BA$3="",BA$3&gt;TODAY()),"",IF(AND(BA544="",BB544=""),"",N(BB544)-N(BA544)))</f>
        <v/>
      </c>
      <c r="BF544">
        <f>IF(OR(BA$3="",BA$3&gt;TODAY()),"",IF(AND(BD544="",BE544=""),"",N(BE544)-N(BD544)))</f>
        <v/>
      </c>
      <c r="BJ544">
        <f>IF(OR(BH$3="",BH$3&gt;TODAY()),"",IF(AND(BH544="",BI544=""),"",N(BI544)-N(BH544)))</f>
        <v/>
      </c>
      <c r="BM544">
        <f>IF(OR(BH$3="",BH$3&gt;TODAY()),"",IF(AND(BK544="",BL544=""),"",N(BL544)-N(BK544)))</f>
        <v/>
      </c>
      <c r="BQ544">
        <f>IF(OR(BO$3="",BO$3&gt;TODAY()),"",IF(AND(BO544="",BP544=""),"",N(BP544)-N(BO544)))</f>
        <v/>
      </c>
      <c r="BT544">
        <f>IF(OR(BO$3="",BO$3&gt;TODAY()),"",IF(AND(BR544="",BS544=""),"",N(BS544)-N(BR544)))</f>
        <v/>
      </c>
      <c r="BX544">
        <f>IF(OR(BV$3="",BV$3&gt;TODAY()),"",IF(AND(BV544="",BW544=""),"",N(BW544)-N(BV544)))</f>
        <v/>
      </c>
      <c r="CA544">
        <f>IF(OR(BV$3="",BV$3&gt;TODAY()),"",IF(AND(BY544="",BZ544=""),"",N(BZ544)-N(BY544)))</f>
        <v/>
      </c>
      <c r="CE544">
        <f>IF(OR(CC$3="",CC$3&gt;TODAY()),"",IF(AND(CC544="",CD544=""),"",N(CD544)-N(CC544)))</f>
        <v/>
      </c>
      <c r="CH544">
        <f>IF(OR(CC$3="",CC$3&gt;TODAY()),"",IF(AND(CF544="",CG544=""),"",N(CG544)-N(CF544)))</f>
        <v/>
      </c>
      <c r="CL544">
        <f>IF(OR(CJ$3="",CJ$3&gt;TODAY()),"",IF(AND(CJ544="",CK544=""),"",N(CK544)-N(CJ544)))</f>
        <v/>
      </c>
      <c r="CO544">
        <f>IF(OR(CJ$3="",CJ$3&gt;TODAY()),"",IF(AND(CM544="",CN544=""),"",N(CN544)-N(CM544)))</f>
        <v/>
      </c>
      <c r="CS544">
        <f>IF(OR(CQ$3="",CQ$3&gt;TODAY()),"",IF(AND(CQ544="",CR544=""),"",N(CR544)-N(CQ544)))</f>
        <v/>
      </c>
      <c r="CV544">
        <f>IF(OR(CQ$3="",CQ$3&gt;TODAY()),"",IF(AND(CT544="",CU544=""),"",N(CU544)-N(CT544)))</f>
        <v/>
      </c>
      <c r="CZ544">
        <f>IF(OR(CX$3="",CX$3&gt;TODAY()),"",IF(AND(CX544="",CY544=""),"",N(CY544)-N(CX544)))</f>
        <v/>
      </c>
      <c r="DC544">
        <f>IF(OR(CX$3="",CX$3&gt;TODAY()),"",IF(AND(DA544="",DB544=""),"",N(DB544)-N(DA544)))</f>
        <v/>
      </c>
      <c r="DG544">
        <f>IF(OR(DE$3="",DE$3&gt;TODAY()),"",IF(AND(DE544="",DF544=""),"",N(DF544)-N(DE544)))</f>
        <v/>
      </c>
      <c r="DJ544">
        <f>IF(OR(DE$3="",DE$3&gt;TODAY()),"",IF(AND(DH544="",DI544=""),"",N(DI544)-N(DH544)))</f>
        <v/>
      </c>
      <c r="DN544">
        <f>IF(OR(DL$3="",DL$3&gt;TODAY()),"",IF(AND(DL544="",DM544=""),"",N(DM544)-N(DL544)))</f>
        <v/>
      </c>
      <c r="DQ544">
        <f>IF(OR(DL$3="",DL$3&gt;TODAY()),"",IF(AND(DO544="",DP544=""),"",N(DP544)-N(DO544)))</f>
        <v/>
      </c>
      <c r="DU544">
        <f>IF(OR(DS$3="",DS$3&gt;TODAY()),"",IF(AND(DS544="",DT544=""),"",N(DT544)-N(DS544)))</f>
        <v/>
      </c>
      <c r="DX544">
        <f>IF(OR(DS$3="",DS$3&gt;TODAY()),"",IF(AND(DV544="",DW544=""),"",N(DW544)-N(DV544)))</f>
        <v/>
      </c>
      <c r="EB544">
        <f>IF(OR(DZ$3="",DZ$3&gt;TODAY()),"",IF(AND(DZ544="",EA544=""),"",N(EA544)-N(DZ544)))</f>
        <v/>
      </c>
      <c r="EE544">
        <f>IF(OR(DZ$3="",DZ$3&gt;TODAY()),"",IF(AND(EC544="",ED544=""),"",N(ED544)-N(EC544)))</f>
        <v/>
      </c>
      <c r="EI544">
        <f>IF(OR(EG$3="",EG$3&gt;TODAY()),"",IF(AND(EG544="",EH544=""),"",N(EH544)-N(EG544)))</f>
        <v/>
      </c>
      <c r="EL544">
        <f>IF(OR(EG$3="",EG$3&gt;TODAY()),"",IF(AND(EJ544="",EK544=""),"",N(EK544)-N(EJ544)))</f>
        <v/>
      </c>
      <c r="EP544">
        <f>IF(OR(EN$3="",EN$3&gt;TODAY()),"",IF(AND(EN544="",EO544=""),"",N(EO544)-N(EN544)))</f>
        <v/>
      </c>
      <c r="ES544">
        <f>IF(OR(EN$3="",EN$3&gt;TODAY()),"",IF(AND(EQ544="",ER544=""),"",N(ER544)-N(EQ544)))</f>
        <v/>
      </c>
      <c r="EW544">
        <f>IF(OR(EU$3="",EU$3&gt;TODAY()),"",IF(AND(EU544="",EV544=""),"",N(EV544)-N(EU544)))</f>
        <v/>
      </c>
      <c r="EZ544">
        <f>IF(OR(EU$3="",EU$3&gt;TODAY()),"",IF(AND(EX544="",EY544=""),"",N(EY544)-N(EX544)))</f>
        <v/>
      </c>
      <c r="FD544">
        <f>IF(OR(FB$3="",FB$3&gt;TODAY()),"",IF(AND(FB544="",FC544=""),"",N(FC544)-N(FB544)))</f>
        <v/>
      </c>
      <c r="FG544">
        <f>IF(OR(FB$3="",FB$3&gt;TODAY()),"",IF(AND(FE544="",FF544=""),"",N(FF544)-N(FE544)))</f>
        <v/>
      </c>
      <c r="FK544">
        <f>IF(OR(FI$3="",FI$3&gt;TODAY()),"",IF(AND(FI544="",FJ544=""),"",N(FJ544)-N(FI544)))</f>
        <v/>
      </c>
      <c r="FN544">
        <f>IF(OR(FI$3="",FI$3&gt;TODAY()),"",IF(AND(FL544="",FM544=""),"",N(FM544)-N(FL544)))</f>
        <v/>
      </c>
      <c r="FR544">
        <f>IF(OR(FP$3="",FP$3&gt;TODAY()),"",IF(AND(FP544="",FQ544=""),"",N(FQ544)-N(FP544)))</f>
        <v/>
      </c>
      <c r="FU544">
        <f>IF(OR(FP$3="",FP$3&gt;TODAY()),"",IF(AND(FS544="",FT544=""),"",N(FT544)-N(FS544)))</f>
        <v/>
      </c>
      <c r="FY544">
        <f>IF(OR(FW$3="",FW$3&gt;TODAY()),"",IF(AND(FW544="",FX544=""),"",N(FX544)-N(FW544)))</f>
        <v/>
      </c>
      <c r="GB544">
        <f>IF(OR(FW$3="",FW$3&gt;TODAY()),"",IF(AND(FZ544="",GA544=""),"",N(GA544)-N(FZ544)))</f>
        <v/>
      </c>
      <c r="GF544">
        <f>IF(OR(GD$3="",GD$3&gt;TODAY()),"",IF(AND(GD544="",GE544=""),"",N(GE544)-N(GD544)))</f>
        <v/>
      </c>
      <c r="GI544">
        <f>IF(OR(GD$3="",GD$3&gt;TODAY()),"",IF(AND(GG544="",GH544=""),"",N(GH544)-N(GG544)))</f>
        <v/>
      </c>
      <c r="GM544">
        <f>IF(OR(GK$3="",GK$3&gt;TODAY()),"",IF(AND(GK544="",GL544=""),"",N(GL544)-N(GK544)))</f>
        <v/>
      </c>
      <c r="GP544">
        <f>IF(OR(GK$3="",GK$3&gt;TODAY()),"",IF(AND(GN544="",GO544=""),"",N(GO544)-N(GN544)))</f>
        <v/>
      </c>
      <c r="GT544">
        <f>IF(OR(GR$3="",GR$3&gt;TODAY()),"",IF(AND(GR544="",GS544=""),"",N(GS544)-N(GR544)))</f>
        <v/>
      </c>
      <c r="GW544">
        <f>IF(OR(GR$3="",GR$3&gt;TODAY()),"",IF(AND(GU544="",GV544=""),"",N(GV544)-N(GU544)))</f>
        <v/>
      </c>
      <c r="HA544">
        <f>IF(OR(GY$3="",GY$3&gt;TODAY()),"",IF(AND(GY544="",GZ544=""),"",N(GZ544)-N(GY544)))</f>
        <v/>
      </c>
      <c r="HD544">
        <f>IF(OR(GY$3="",GY$3&gt;TODAY()),"",IF(AND(HB544="",HC544=""),"",N(HC544)-N(HB544)))</f>
        <v/>
      </c>
      <c r="HH544">
        <f>IF(OR(HF$3="",HF$3&gt;TODAY()),"",IF(AND(HF544="",HG544=""),"",N(HG544)-N(HF544)))</f>
        <v/>
      </c>
      <c r="HK544">
        <f>IF(OR(HF$3="",HF$3&gt;TODAY()),"",IF(AND(HI544="",HJ544=""),"",N(HJ544)-N(HI544)))</f>
        <v/>
      </c>
      <c r="HO544">
        <f>IF(OR(HM$3="",HM$3&gt;TODAY()),"",IF(AND(HM544="",HN544=""),"",N(HN544)-N(HM544)))</f>
        <v/>
      </c>
      <c r="HR544">
        <f>IF(OR(HM$3="",HM$3&gt;TODAY()),"",IF(AND(HP544="",HQ544=""),"",N(HQ544)-N(HP544)))</f>
        <v/>
      </c>
      <c r="HV544">
        <f>IF(OR(HT$3="",HT$3&gt;TODAY()),"",IF(AND(HT544="",HU544=""),"",N(HU544)-N(HT544)))</f>
        <v/>
      </c>
      <c r="HY544">
        <f>IF(OR(HT$3="",HT$3&gt;TODAY()),"",IF(AND(HW544="",HX544=""),"",N(HX544)-N(HW544)))</f>
        <v/>
      </c>
      <c r="IC544">
        <f>IF(OR(IA$3="",IA$3&gt;TODAY()),"",IF(AND(IA544="",IB544=""),"",N(IB544)-N(IA544)))</f>
        <v/>
      </c>
      <c r="IF544">
        <f>IF(OR(IA$3="",IA$3&gt;TODAY()),"",IF(AND(ID544="",IE544=""),"",N(IE544)-N(ID544)))</f>
        <v/>
      </c>
      <c r="IJ544">
        <f>IF(OR(IH$3="",IH$3&gt;TODAY()),"",IF(AND(IH544="",II544=""),"",N(II544)-N(IH544)))</f>
        <v/>
      </c>
      <c r="IM544">
        <f>IF(OR(IH$3="",IH$3&gt;TODAY()),"",IF(AND(IK544="",IL544=""),"",N(IL544)-N(IK544)))</f>
        <v/>
      </c>
    </row>
    <row r="545">
      <c r="A545" s="21" t="n"/>
      <c r="B545" s="21" t="n"/>
      <c r="C545" s="21" t="n"/>
      <c r="D545" s="21" t="n"/>
      <c r="E545" s="21" t="n"/>
      <c r="F545" s="21" t="n"/>
      <c r="G545" s="21" t="n"/>
      <c r="H545" s="21" t="n"/>
      <c r="I545" s="22" t="n"/>
      <c r="J545" s="22" t="n"/>
      <c r="K545" s="23" t="n"/>
      <c r="L545" s="22" t="n"/>
      <c r="M545" s="22" t="n"/>
      <c r="N545" s="21" t="n"/>
      <c r="O545" s="23" t="n"/>
      <c r="P545" s="23" t="n"/>
      <c r="Q545" s="23" t="n"/>
      <c r="R545" s="23" t="n"/>
      <c r="S545" s="22" t="n"/>
      <c r="T545" s="23" t="n"/>
      <c r="U545" s="23" t="n"/>
      <c r="V545" s="24">
        <f>IF(J545&lt;&gt;"",J545,IF(I545&lt;&gt;"",I545,""))</f>
        <v/>
      </c>
      <c r="W545" s="25">
        <f>IF($E545="","",N(O545)+SUMIFS($AF545:$IN545,$AF$4:$IN$4,"SEW_ACT"))</f>
        <v/>
      </c>
      <c r="X545" s="25">
        <f>IF($E545="","",N(P545)+SUMIFS($AF545:$IN545,$AF$4:$IN$4,"WASH_ACT"))</f>
        <v/>
      </c>
      <c r="Y545" s="25">
        <f>IF($E545="","",W545-X545-N(T545)-N(U545))</f>
        <v/>
      </c>
      <c r="Z545" s="25">
        <f>IF($E545="","",IF(N(K545)-X545&lt;=0.02*N(K545),0,N(K545)-X545))</f>
        <v/>
      </c>
      <c r="AA545" s="24">
        <f>IF($E545="","",IF(S545&lt;&gt;"",S545,IF(N(O545)&gt;0,IF(L545&lt;&gt;"",L545,99999),IFERROR(1/(1/_xlfn.MINIFS($AF$3:$IN$3,$AF$4:$IN$4,"SEW_ACT",$AF545:$IN545,"&gt;0")),99999))))</f>
        <v/>
      </c>
      <c r="AB545" s="26">
        <f>IF(OR($E545="",Z545=0,V545=""),"",1+COUNTIFS(Z$8:Z$707,"&gt;0",V$8:V$707,"&lt;"&amp;V545)+COUNTIFS(Z$8:Z$707,"&gt;0",V$8:V$707,V545,AA$8:AA$707,"&lt;"&amp;AA545)+COUNTIFS(Z$8:Z$707,"&gt;0",V$8:V$707,V545,AA$8:AA$707,AA545,E$8:E$707,"&lt;"&amp;$E545))</f>
        <v/>
      </c>
      <c r="AC545" s="24">
        <f>IF(OR($E545="",Z545=0),"",IFERROR(TODAY()+ROUNDUP(Z545/(SUMIFS($AF545:$IN545,$AF$4:$IN$4,"WASH_ACT")/COUNTIFS($AF$4:$IN$4,"WASH_ACT",$AF545:$IN545,"&gt;0")),0),"no output yet"))</f>
        <v/>
      </c>
      <c r="AD545" s="26">
        <f>IF($E545="","",IFERROR(ROUND(MAX(0,SUMIFS($AF545:$IN545,$AF$4:$IN$4,"SEW_PLAN",$AF$3:$IN$3,"&lt;="&amp;TODAY())-SUMIFS($AF545:$IN545,$AF$4:$IN$4,"SEW_ACT",$AF$3:$IN$3,"&lt;="&amp;TODAY())+N(Q545))/(SUMIFS($AF545:$IN545,$AF$4:$IN$4,"SEW_PLAN")/COUNTIFS($AF$4:$IN$4,"SEW_PLAN",$AF545:$IN545,"&gt;0")),1),0))</f>
        <v/>
      </c>
      <c r="AE545" s="26">
        <f>IF($E545="","",IF(AND(Z545&gt;0,OR(AND(M545&lt;&gt;"",TODAY()&gt;M545),AND(V545&lt;&gt;"",V545-TODAY()&lt;=7))),"Yes","No"))</f>
        <v/>
      </c>
      <c r="AH545">
        <f>IF(OR(AF$3="",AF$3&gt;TODAY()),"",IF(AND(AF545="",AG545=""),"",N(AG545)-N(AF545)))</f>
        <v/>
      </c>
      <c r="AK545">
        <f>IF(OR(AF$3="",AF$3&gt;TODAY()),"",IF(AND(AI545="",AJ545=""),"",N(AJ545)-N(AI545)))</f>
        <v/>
      </c>
      <c r="AO545">
        <f>IF(OR(AM$3="",AM$3&gt;TODAY()),"",IF(AND(AM545="",AN545=""),"",N(AN545)-N(AM545)))</f>
        <v/>
      </c>
      <c r="AR545">
        <f>IF(OR(AM$3="",AM$3&gt;TODAY()),"",IF(AND(AP545="",AQ545=""),"",N(AQ545)-N(AP545)))</f>
        <v/>
      </c>
      <c r="AV545">
        <f>IF(OR(AT$3="",AT$3&gt;TODAY()),"",IF(AND(AT545="",AU545=""),"",N(AU545)-N(AT545)))</f>
        <v/>
      </c>
      <c r="AY545">
        <f>IF(OR(AT$3="",AT$3&gt;TODAY()),"",IF(AND(AW545="",AX545=""),"",N(AX545)-N(AW545)))</f>
        <v/>
      </c>
      <c r="BC545">
        <f>IF(OR(BA$3="",BA$3&gt;TODAY()),"",IF(AND(BA545="",BB545=""),"",N(BB545)-N(BA545)))</f>
        <v/>
      </c>
      <c r="BF545">
        <f>IF(OR(BA$3="",BA$3&gt;TODAY()),"",IF(AND(BD545="",BE545=""),"",N(BE545)-N(BD545)))</f>
        <v/>
      </c>
      <c r="BJ545">
        <f>IF(OR(BH$3="",BH$3&gt;TODAY()),"",IF(AND(BH545="",BI545=""),"",N(BI545)-N(BH545)))</f>
        <v/>
      </c>
      <c r="BM545">
        <f>IF(OR(BH$3="",BH$3&gt;TODAY()),"",IF(AND(BK545="",BL545=""),"",N(BL545)-N(BK545)))</f>
        <v/>
      </c>
      <c r="BQ545">
        <f>IF(OR(BO$3="",BO$3&gt;TODAY()),"",IF(AND(BO545="",BP545=""),"",N(BP545)-N(BO545)))</f>
        <v/>
      </c>
      <c r="BT545">
        <f>IF(OR(BO$3="",BO$3&gt;TODAY()),"",IF(AND(BR545="",BS545=""),"",N(BS545)-N(BR545)))</f>
        <v/>
      </c>
      <c r="BX545">
        <f>IF(OR(BV$3="",BV$3&gt;TODAY()),"",IF(AND(BV545="",BW545=""),"",N(BW545)-N(BV545)))</f>
        <v/>
      </c>
      <c r="CA545">
        <f>IF(OR(BV$3="",BV$3&gt;TODAY()),"",IF(AND(BY545="",BZ545=""),"",N(BZ545)-N(BY545)))</f>
        <v/>
      </c>
      <c r="CE545">
        <f>IF(OR(CC$3="",CC$3&gt;TODAY()),"",IF(AND(CC545="",CD545=""),"",N(CD545)-N(CC545)))</f>
        <v/>
      </c>
      <c r="CH545">
        <f>IF(OR(CC$3="",CC$3&gt;TODAY()),"",IF(AND(CF545="",CG545=""),"",N(CG545)-N(CF545)))</f>
        <v/>
      </c>
      <c r="CL545">
        <f>IF(OR(CJ$3="",CJ$3&gt;TODAY()),"",IF(AND(CJ545="",CK545=""),"",N(CK545)-N(CJ545)))</f>
        <v/>
      </c>
      <c r="CO545">
        <f>IF(OR(CJ$3="",CJ$3&gt;TODAY()),"",IF(AND(CM545="",CN545=""),"",N(CN545)-N(CM545)))</f>
        <v/>
      </c>
      <c r="CS545">
        <f>IF(OR(CQ$3="",CQ$3&gt;TODAY()),"",IF(AND(CQ545="",CR545=""),"",N(CR545)-N(CQ545)))</f>
        <v/>
      </c>
      <c r="CV545">
        <f>IF(OR(CQ$3="",CQ$3&gt;TODAY()),"",IF(AND(CT545="",CU545=""),"",N(CU545)-N(CT545)))</f>
        <v/>
      </c>
      <c r="CZ545">
        <f>IF(OR(CX$3="",CX$3&gt;TODAY()),"",IF(AND(CX545="",CY545=""),"",N(CY545)-N(CX545)))</f>
        <v/>
      </c>
      <c r="DC545">
        <f>IF(OR(CX$3="",CX$3&gt;TODAY()),"",IF(AND(DA545="",DB545=""),"",N(DB545)-N(DA545)))</f>
        <v/>
      </c>
      <c r="DG545">
        <f>IF(OR(DE$3="",DE$3&gt;TODAY()),"",IF(AND(DE545="",DF545=""),"",N(DF545)-N(DE545)))</f>
        <v/>
      </c>
      <c r="DJ545">
        <f>IF(OR(DE$3="",DE$3&gt;TODAY()),"",IF(AND(DH545="",DI545=""),"",N(DI545)-N(DH545)))</f>
        <v/>
      </c>
      <c r="DN545">
        <f>IF(OR(DL$3="",DL$3&gt;TODAY()),"",IF(AND(DL545="",DM545=""),"",N(DM545)-N(DL545)))</f>
        <v/>
      </c>
      <c r="DQ545">
        <f>IF(OR(DL$3="",DL$3&gt;TODAY()),"",IF(AND(DO545="",DP545=""),"",N(DP545)-N(DO545)))</f>
        <v/>
      </c>
      <c r="DU545">
        <f>IF(OR(DS$3="",DS$3&gt;TODAY()),"",IF(AND(DS545="",DT545=""),"",N(DT545)-N(DS545)))</f>
        <v/>
      </c>
      <c r="DX545">
        <f>IF(OR(DS$3="",DS$3&gt;TODAY()),"",IF(AND(DV545="",DW545=""),"",N(DW545)-N(DV545)))</f>
        <v/>
      </c>
      <c r="EB545">
        <f>IF(OR(DZ$3="",DZ$3&gt;TODAY()),"",IF(AND(DZ545="",EA545=""),"",N(EA545)-N(DZ545)))</f>
        <v/>
      </c>
      <c r="EE545">
        <f>IF(OR(DZ$3="",DZ$3&gt;TODAY()),"",IF(AND(EC545="",ED545=""),"",N(ED545)-N(EC545)))</f>
        <v/>
      </c>
      <c r="EI545">
        <f>IF(OR(EG$3="",EG$3&gt;TODAY()),"",IF(AND(EG545="",EH545=""),"",N(EH545)-N(EG545)))</f>
        <v/>
      </c>
      <c r="EL545">
        <f>IF(OR(EG$3="",EG$3&gt;TODAY()),"",IF(AND(EJ545="",EK545=""),"",N(EK545)-N(EJ545)))</f>
        <v/>
      </c>
      <c r="EP545">
        <f>IF(OR(EN$3="",EN$3&gt;TODAY()),"",IF(AND(EN545="",EO545=""),"",N(EO545)-N(EN545)))</f>
        <v/>
      </c>
      <c r="ES545">
        <f>IF(OR(EN$3="",EN$3&gt;TODAY()),"",IF(AND(EQ545="",ER545=""),"",N(ER545)-N(EQ545)))</f>
        <v/>
      </c>
      <c r="EW545">
        <f>IF(OR(EU$3="",EU$3&gt;TODAY()),"",IF(AND(EU545="",EV545=""),"",N(EV545)-N(EU545)))</f>
        <v/>
      </c>
      <c r="EZ545">
        <f>IF(OR(EU$3="",EU$3&gt;TODAY()),"",IF(AND(EX545="",EY545=""),"",N(EY545)-N(EX545)))</f>
        <v/>
      </c>
      <c r="FD545">
        <f>IF(OR(FB$3="",FB$3&gt;TODAY()),"",IF(AND(FB545="",FC545=""),"",N(FC545)-N(FB545)))</f>
        <v/>
      </c>
      <c r="FG545">
        <f>IF(OR(FB$3="",FB$3&gt;TODAY()),"",IF(AND(FE545="",FF545=""),"",N(FF545)-N(FE545)))</f>
        <v/>
      </c>
      <c r="FK545">
        <f>IF(OR(FI$3="",FI$3&gt;TODAY()),"",IF(AND(FI545="",FJ545=""),"",N(FJ545)-N(FI545)))</f>
        <v/>
      </c>
      <c r="FN545">
        <f>IF(OR(FI$3="",FI$3&gt;TODAY()),"",IF(AND(FL545="",FM545=""),"",N(FM545)-N(FL545)))</f>
        <v/>
      </c>
      <c r="FR545">
        <f>IF(OR(FP$3="",FP$3&gt;TODAY()),"",IF(AND(FP545="",FQ545=""),"",N(FQ545)-N(FP545)))</f>
        <v/>
      </c>
      <c r="FU545">
        <f>IF(OR(FP$3="",FP$3&gt;TODAY()),"",IF(AND(FS545="",FT545=""),"",N(FT545)-N(FS545)))</f>
        <v/>
      </c>
      <c r="FY545">
        <f>IF(OR(FW$3="",FW$3&gt;TODAY()),"",IF(AND(FW545="",FX545=""),"",N(FX545)-N(FW545)))</f>
        <v/>
      </c>
      <c r="GB545">
        <f>IF(OR(FW$3="",FW$3&gt;TODAY()),"",IF(AND(FZ545="",GA545=""),"",N(GA545)-N(FZ545)))</f>
        <v/>
      </c>
      <c r="GF545">
        <f>IF(OR(GD$3="",GD$3&gt;TODAY()),"",IF(AND(GD545="",GE545=""),"",N(GE545)-N(GD545)))</f>
        <v/>
      </c>
      <c r="GI545">
        <f>IF(OR(GD$3="",GD$3&gt;TODAY()),"",IF(AND(GG545="",GH545=""),"",N(GH545)-N(GG545)))</f>
        <v/>
      </c>
      <c r="GM545">
        <f>IF(OR(GK$3="",GK$3&gt;TODAY()),"",IF(AND(GK545="",GL545=""),"",N(GL545)-N(GK545)))</f>
        <v/>
      </c>
      <c r="GP545">
        <f>IF(OR(GK$3="",GK$3&gt;TODAY()),"",IF(AND(GN545="",GO545=""),"",N(GO545)-N(GN545)))</f>
        <v/>
      </c>
      <c r="GT545">
        <f>IF(OR(GR$3="",GR$3&gt;TODAY()),"",IF(AND(GR545="",GS545=""),"",N(GS545)-N(GR545)))</f>
        <v/>
      </c>
      <c r="GW545">
        <f>IF(OR(GR$3="",GR$3&gt;TODAY()),"",IF(AND(GU545="",GV545=""),"",N(GV545)-N(GU545)))</f>
        <v/>
      </c>
      <c r="HA545">
        <f>IF(OR(GY$3="",GY$3&gt;TODAY()),"",IF(AND(GY545="",GZ545=""),"",N(GZ545)-N(GY545)))</f>
        <v/>
      </c>
      <c r="HD545">
        <f>IF(OR(GY$3="",GY$3&gt;TODAY()),"",IF(AND(HB545="",HC545=""),"",N(HC545)-N(HB545)))</f>
        <v/>
      </c>
      <c r="HH545">
        <f>IF(OR(HF$3="",HF$3&gt;TODAY()),"",IF(AND(HF545="",HG545=""),"",N(HG545)-N(HF545)))</f>
        <v/>
      </c>
      <c r="HK545">
        <f>IF(OR(HF$3="",HF$3&gt;TODAY()),"",IF(AND(HI545="",HJ545=""),"",N(HJ545)-N(HI545)))</f>
        <v/>
      </c>
      <c r="HO545">
        <f>IF(OR(HM$3="",HM$3&gt;TODAY()),"",IF(AND(HM545="",HN545=""),"",N(HN545)-N(HM545)))</f>
        <v/>
      </c>
      <c r="HR545">
        <f>IF(OR(HM$3="",HM$3&gt;TODAY()),"",IF(AND(HP545="",HQ545=""),"",N(HQ545)-N(HP545)))</f>
        <v/>
      </c>
      <c r="HV545">
        <f>IF(OR(HT$3="",HT$3&gt;TODAY()),"",IF(AND(HT545="",HU545=""),"",N(HU545)-N(HT545)))</f>
        <v/>
      </c>
      <c r="HY545">
        <f>IF(OR(HT$3="",HT$3&gt;TODAY()),"",IF(AND(HW545="",HX545=""),"",N(HX545)-N(HW545)))</f>
        <v/>
      </c>
      <c r="IC545">
        <f>IF(OR(IA$3="",IA$3&gt;TODAY()),"",IF(AND(IA545="",IB545=""),"",N(IB545)-N(IA545)))</f>
        <v/>
      </c>
      <c r="IF545">
        <f>IF(OR(IA$3="",IA$3&gt;TODAY()),"",IF(AND(ID545="",IE545=""),"",N(IE545)-N(ID545)))</f>
        <v/>
      </c>
      <c r="IJ545">
        <f>IF(OR(IH$3="",IH$3&gt;TODAY()),"",IF(AND(IH545="",II545=""),"",N(II545)-N(IH545)))</f>
        <v/>
      </c>
      <c r="IM545">
        <f>IF(OR(IH$3="",IH$3&gt;TODAY()),"",IF(AND(IK545="",IL545=""),"",N(IL545)-N(IK545)))</f>
        <v/>
      </c>
    </row>
    <row r="546">
      <c r="A546" s="21" t="n"/>
      <c r="B546" s="21" t="n"/>
      <c r="C546" s="21" t="n"/>
      <c r="D546" s="21" t="n"/>
      <c r="E546" s="21" t="n"/>
      <c r="F546" s="21" t="n"/>
      <c r="G546" s="21" t="n"/>
      <c r="H546" s="21" t="n"/>
      <c r="I546" s="22" t="n"/>
      <c r="J546" s="22" t="n"/>
      <c r="K546" s="23" t="n"/>
      <c r="L546" s="22" t="n"/>
      <c r="M546" s="22" t="n"/>
      <c r="N546" s="21" t="n"/>
      <c r="O546" s="23" t="n"/>
      <c r="P546" s="23" t="n"/>
      <c r="Q546" s="23" t="n"/>
      <c r="R546" s="23" t="n"/>
      <c r="S546" s="22" t="n"/>
      <c r="T546" s="23" t="n"/>
      <c r="U546" s="23" t="n"/>
      <c r="V546" s="24">
        <f>IF(J546&lt;&gt;"",J546,IF(I546&lt;&gt;"",I546,""))</f>
        <v/>
      </c>
      <c r="W546" s="25">
        <f>IF($E546="","",N(O546)+SUMIFS($AF546:$IN546,$AF$4:$IN$4,"SEW_ACT"))</f>
        <v/>
      </c>
      <c r="X546" s="25">
        <f>IF($E546="","",N(P546)+SUMIFS($AF546:$IN546,$AF$4:$IN$4,"WASH_ACT"))</f>
        <v/>
      </c>
      <c r="Y546" s="25">
        <f>IF($E546="","",W546-X546-N(T546)-N(U546))</f>
        <v/>
      </c>
      <c r="Z546" s="25">
        <f>IF($E546="","",IF(N(K546)-X546&lt;=0.02*N(K546),0,N(K546)-X546))</f>
        <v/>
      </c>
      <c r="AA546" s="24">
        <f>IF($E546="","",IF(S546&lt;&gt;"",S546,IF(N(O546)&gt;0,IF(L546&lt;&gt;"",L546,99999),IFERROR(1/(1/_xlfn.MINIFS($AF$3:$IN$3,$AF$4:$IN$4,"SEW_ACT",$AF546:$IN546,"&gt;0")),99999))))</f>
        <v/>
      </c>
      <c r="AB546" s="26">
        <f>IF(OR($E546="",Z546=0,V546=""),"",1+COUNTIFS(Z$8:Z$707,"&gt;0",V$8:V$707,"&lt;"&amp;V546)+COUNTIFS(Z$8:Z$707,"&gt;0",V$8:V$707,V546,AA$8:AA$707,"&lt;"&amp;AA546)+COUNTIFS(Z$8:Z$707,"&gt;0",V$8:V$707,V546,AA$8:AA$707,AA546,E$8:E$707,"&lt;"&amp;$E546))</f>
        <v/>
      </c>
      <c r="AC546" s="24">
        <f>IF(OR($E546="",Z546=0),"",IFERROR(TODAY()+ROUNDUP(Z546/(SUMIFS($AF546:$IN546,$AF$4:$IN$4,"WASH_ACT")/COUNTIFS($AF$4:$IN$4,"WASH_ACT",$AF546:$IN546,"&gt;0")),0),"no output yet"))</f>
        <v/>
      </c>
      <c r="AD546" s="26">
        <f>IF($E546="","",IFERROR(ROUND(MAX(0,SUMIFS($AF546:$IN546,$AF$4:$IN$4,"SEW_PLAN",$AF$3:$IN$3,"&lt;="&amp;TODAY())-SUMIFS($AF546:$IN546,$AF$4:$IN$4,"SEW_ACT",$AF$3:$IN$3,"&lt;="&amp;TODAY())+N(Q546))/(SUMIFS($AF546:$IN546,$AF$4:$IN$4,"SEW_PLAN")/COUNTIFS($AF$4:$IN$4,"SEW_PLAN",$AF546:$IN546,"&gt;0")),1),0))</f>
        <v/>
      </c>
      <c r="AE546" s="26">
        <f>IF($E546="","",IF(AND(Z546&gt;0,OR(AND(M546&lt;&gt;"",TODAY()&gt;M546),AND(V546&lt;&gt;"",V546-TODAY()&lt;=7))),"Yes","No"))</f>
        <v/>
      </c>
      <c r="AH546">
        <f>IF(OR(AF$3="",AF$3&gt;TODAY()),"",IF(AND(AF546="",AG546=""),"",N(AG546)-N(AF546)))</f>
        <v/>
      </c>
      <c r="AK546">
        <f>IF(OR(AF$3="",AF$3&gt;TODAY()),"",IF(AND(AI546="",AJ546=""),"",N(AJ546)-N(AI546)))</f>
        <v/>
      </c>
      <c r="AO546">
        <f>IF(OR(AM$3="",AM$3&gt;TODAY()),"",IF(AND(AM546="",AN546=""),"",N(AN546)-N(AM546)))</f>
        <v/>
      </c>
      <c r="AR546">
        <f>IF(OR(AM$3="",AM$3&gt;TODAY()),"",IF(AND(AP546="",AQ546=""),"",N(AQ546)-N(AP546)))</f>
        <v/>
      </c>
      <c r="AV546">
        <f>IF(OR(AT$3="",AT$3&gt;TODAY()),"",IF(AND(AT546="",AU546=""),"",N(AU546)-N(AT546)))</f>
        <v/>
      </c>
      <c r="AY546">
        <f>IF(OR(AT$3="",AT$3&gt;TODAY()),"",IF(AND(AW546="",AX546=""),"",N(AX546)-N(AW546)))</f>
        <v/>
      </c>
      <c r="BC546">
        <f>IF(OR(BA$3="",BA$3&gt;TODAY()),"",IF(AND(BA546="",BB546=""),"",N(BB546)-N(BA546)))</f>
        <v/>
      </c>
      <c r="BF546">
        <f>IF(OR(BA$3="",BA$3&gt;TODAY()),"",IF(AND(BD546="",BE546=""),"",N(BE546)-N(BD546)))</f>
        <v/>
      </c>
      <c r="BJ546">
        <f>IF(OR(BH$3="",BH$3&gt;TODAY()),"",IF(AND(BH546="",BI546=""),"",N(BI546)-N(BH546)))</f>
        <v/>
      </c>
      <c r="BM546">
        <f>IF(OR(BH$3="",BH$3&gt;TODAY()),"",IF(AND(BK546="",BL546=""),"",N(BL546)-N(BK546)))</f>
        <v/>
      </c>
      <c r="BQ546">
        <f>IF(OR(BO$3="",BO$3&gt;TODAY()),"",IF(AND(BO546="",BP546=""),"",N(BP546)-N(BO546)))</f>
        <v/>
      </c>
      <c r="BT546">
        <f>IF(OR(BO$3="",BO$3&gt;TODAY()),"",IF(AND(BR546="",BS546=""),"",N(BS546)-N(BR546)))</f>
        <v/>
      </c>
      <c r="BX546">
        <f>IF(OR(BV$3="",BV$3&gt;TODAY()),"",IF(AND(BV546="",BW546=""),"",N(BW546)-N(BV546)))</f>
        <v/>
      </c>
      <c r="CA546">
        <f>IF(OR(BV$3="",BV$3&gt;TODAY()),"",IF(AND(BY546="",BZ546=""),"",N(BZ546)-N(BY546)))</f>
        <v/>
      </c>
      <c r="CE546">
        <f>IF(OR(CC$3="",CC$3&gt;TODAY()),"",IF(AND(CC546="",CD546=""),"",N(CD546)-N(CC546)))</f>
        <v/>
      </c>
      <c r="CH546">
        <f>IF(OR(CC$3="",CC$3&gt;TODAY()),"",IF(AND(CF546="",CG546=""),"",N(CG546)-N(CF546)))</f>
        <v/>
      </c>
      <c r="CL546">
        <f>IF(OR(CJ$3="",CJ$3&gt;TODAY()),"",IF(AND(CJ546="",CK546=""),"",N(CK546)-N(CJ546)))</f>
        <v/>
      </c>
      <c r="CO546">
        <f>IF(OR(CJ$3="",CJ$3&gt;TODAY()),"",IF(AND(CM546="",CN546=""),"",N(CN546)-N(CM546)))</f>
        <v/>
      </c>
      <c r="CS546">
        <f>IF(OR(CQ$3="",CQ$3&gt;TODAY()),"",IF(AND(CQ546="",CR546=""),"",N(CR546)-N(CQ546)))</f>
        <v/>
      </c>
      <c r="CV546">
        <f>IF(OR(CQ$3="",CQ$3&gt;TODAY()),"",IF(AND(CT546="",CU546=""),"",N(CU546)-N(CT546)))</f>
        <v/>
      </c>
      <c r="CZ546">
        <f>IF(OR(CX$3="",CX$3&gt;TODAY()),"",IF(AND(CX546="",CY546=""),"",N(CY546)-N(CX546)))</f>
        <v/>
      </c>
      <c r="DC546">
        <f>IF(OR(CX$3="",CX$3&gt;TODAY()),"",IF(AND(DA546="",DB546=""),"",N(DB546)-N(DA546)))</f>
        <v/>
      </c>
      <c r="DG546">
        <f>IF(OR(DE$3="",DE$3&gt;TODAY()),"",IF(AND(DE546="",DF546=""),"",N(DF546)-N(DE546)))</f>
        <v/>
      </c>
      <c r="DJ546">
        <f>IF(OR(DE$3="",DE$3&gt;TODAY()),"",IF(AND(DH546="",DI546=""),"",N(DI546)-N(DH546)))</f>
        <v/>
      </c>
      <c r="DN546">
        <f>IF(OR(DL$3="",DL$3&gt;TODAY()),"",IF(AND(DL546="",DM546=""),"",N(DM546)-N(DL546)))</f>
        <v/>
      </c>
      <c r="DQ546">
        <f>IF(OR(DL$3="",DL$3&gt;TODAY()),"",IF(AND(DO546="",DP546=""),"",N(DP546)-N(DO546)))</f>
        <v/>
      </c>
      <c r="DU546">
        <f>IF(OR(DS$3="",DS$3&gt;TODAY()),"",IF(AND(DS546="",DT546=""),"",N(DT546)-N(DS546)))</f>
        <v/>
      </c>
      <c r="DX546">
        <f>IF(OR(DS$3="",DS$3&gt;TODAY()),"",IF(AND(DV546="",DW546=""),"",N(DW546)-N(DV546)))</f>
        <v/>
      </c>
      <c r="EB546">
        <f>IF(OR(DZ$3="",DZ$3&gt;TODAY()),"",IF(AND(DZ546="",EA546=""),"",N(EA546)-N(DZ546)))</f>
        <v/>
      </c>
      <c r="EE546">
        <f>IF(OR(DZ$3="",DZ$3&gt;TODAY()),"",IF(AND(EC546="",ED546=""),"",N(ED546)-N(EC546)))</f>
        <v/>
      </c>
      <c r="EI546">
        <f>IF(OR(EG$3="",EG$3&gt;TODAY()),"",IF(AND(EG546="",EH546=""),"",N(EH546)-N(EG546)))</f>
        <v/>
      </c>
      <c r="EL546">
        <f>IF(OR(EG$3="",EG$3&gt;TODAY()),"",IF(AND(EJ546="",EK546=""),"",N(EK546)-N(EJ546)))</f>
        <v/>
      </c>
      <c r="EP546">
        <f>IF(OR(EN$3="",EN$3&gt;TODAY()),"",IF(AND(EN546="",EO546=""),"",N(EO546)-N(EN546)))</f>
        <v/>
      </c>
      <c r="ES546">
        <f>IF(OR(EN$3="",EN$3&gt;TODAY()),"",IF(AND(EQ546="",ER546=""),"",N(ER546)-N(EQ546)))</f>
        <v/>
      </c>
      <c r="EW546">
        <f>IF(OR(EU$3="",EU$3&gt;TODAY()),"",IF(AND(EU546="",EV546=""),"",N(EV546)-N(EU546)))</f>
        <v/>
      </c>
      <c r="EZ546">
        <f>IF(OR(EU$3="",EU$3&gt;TODAY()),"",IF(AND(EX546="",EY546=""),"",N(EY546)-N(EX546)))</f>
        <v/>
      </c>
      <c r="FD546">
        <f>IF(OR(FB$3="",FB$3&gt;TODAY()),"",IF(AND(FB546="",FC546=""),"",N(FC546)-N(FB546)))</f>
        <v/>
      </c>
      <c r="FG546">
        <f>IF(OR(FB$3="",FB$3&gt;TODAY()),"",IF(AND(FE546="",FF546=""),"",N(FF546)-N(FE546)))</f>
        <v/>
      </c>
      <c r="FK546">
        <f>IF(OR(FI$3="",FI$3&gt;TODAY()),"",IF(AND(FI546="",FJ546=""),"",N(FJ546)-N(FI546)))</f>
        <v/>
      </c>
      <c r="FN546">
        <f>IF(OR(FI$3="",FI$3&gt;TODAY()),"",IF(AND(FL546="",FM546=""),"",N(FM546)-N(FL546)))</f>
        <v/>
      </c>
      <c r="FR546">
        <f>IF(OR(FP$3="",FP$3&gt;TODAY()),"",IF(AND(FP546="",FQ546=""),"",N(FQ546)-N(FP546)))</f>
        <v/>
      </c>
      <c r="FU546">
        <f>IF(OR(FP$3="",FP$3&gt;TODAY()),"",IF(AND(FS546="",FT546=""),"",N(FT546)-N(FS546)))</f>
        <v/>
      </c>
      <c r="FY546">
        <f>IF(OR(FW$3="",FW$3&gt;TODAY()),"",IF(AND(FW546="",FX546=""),"",N(FX546)-N(FW546)))</f>
        <v/>
      </c>
      <c r="GB546">
        <f>IF(OR(FW$3="",FW$3&gt;TODAY()),"",IF(AND(FZ546="",GA546=""),"",N(GA546)-N(FZ546)))</f>
        <v/>
      </c>
      <c r="GF546">
        <f>IF(OR(GD$3="",GD$3&gt;TODAY()),"",IF(AND(GD546="",GE546=""),"",N(GE546)-N(GD546)))</f>
        <v/>
      </c>
      <c r="GI546">
        <f>IF(OR(GD$3="",GD$3&gt;TODAY()),"",IF(AND(GG546="",GH546=""),"",N(GH546)-N(GG546)))</f>
        <v/>
      </c>
      <c r="GM546">
        <f>IF(OR(GK$3="",GK$3&gt;TODAY()),"",IF(AND(GK546="",GL546=""),"",N(GL546)-N(GK546)))</f>
        <v/>
      </c>
      <c r="GP546">
        <f>IF(OR(GK$3="",GK$3&gt;TODAY()),"",IF(AND(GN546="",GO546=""),"",N(GO546)-N(GN546)))</f>
        <v/>
      </c>
      <c r="GT546">
        <f>IF(OR(GR$3="",GR$3&gt;TODAY()),"",IF(AND(GR546="",GS546=""),"",N(GS546)-N(GR546)))</f>
        <v/>
      </c>
      <c r="GW546">
        <f>IF(OR(GR$3="",GR$3&gt;TODAY()),"",IF(AND(GU546="",GV546=""),"",N(GV546)-N(GU546)))</f>
        <v/>
      </c>
      <c r="HA546">
        <f>IF(OR(GY$3="",GY$3&gt;TODAY()),"",IF(AND(GY546="",GZ546=""),"",N(GZ546)-N(GY546)))</f>
        <v/>
      </c>
      <c r="HD546">
        <f>IF(OR(GY$3="",GY$3&gt;TODAY()),"",IF(AND(HB546="",HC546=""),"",N(HC546)-N(HB546)))</f>
        <v/>
      </c>
      <c r="HH546">
        <f>IF(OR(HF$3="",HF$3&gt;TODAY()),"",IF(AND(HF546="",HG546=""),"",N(HG546)-N(HF546)))</f>
        <v/>
      </c>
      <c r="HK546">
        <f>IF(OR(HF$3="",HF$3&gt;TODAY()),"",IF(AND(HI546="",HJ546=""),"",N(HJ546)-N(HI546)))</f>
        <v/>
      </c>
      <c r="HO546">
        <f>IF(OR(HM$3="",HM$3&gt;TODAY()),"",IF(AND(HM546="",HN546=""),"",N(HN546)-N(HM546)))</f>
        <v/>
      </c>
      <c r="HR546">
        <f>IF(OR(HM$3="",HM$3&gt;TODAY()),"",IF(AND(HP546="",HQ546=""),"",N(HQ546)-N(HP546)))</f>
        <v/>
      </c>
      <c r="HV546">
        <f>IF(OR(HT$3="",HT$3&gt;TODAY()),"",IF(AND(HT546="",HU546=""),"",N(HU546)-N(HT546)))</f>
        <v/>
      </c>
      <c r="HY546">
        <f>IF(OR(HT$3="",HT$3&gt;TODAY()),"",IF(AND(HW546="",HX546=""),"",N(HX546)-N(HW546)))</f>
        <v/>
      </c>
      <c r="IC546">
        <f>IF(OR(IA$3="",IA$3&gt;TODAY()),"",IF(AND(IA546="",IB546=""),"",N(IB546)-N(IA546)))</f>
        <v/>
      </c>
      <c r="IF546">
        <f>IF(OR(IA$3="",IA$3&gt;TODAY()),"",IF(AND(ID546="",IE546=""),"",N(IE546)-N(ID546)))</f>
        <v/>
      </c>
      <c r="IJ546">
        <f>IF(OR(IH$3="",IH$3&gt;TODAY()),"",IF(AND(IH546="",II546=""),"",N(II546)-N(IH546)))</f>
        <v/>
      </c>
      <c r="IM546">
        <f>IF(OR(IH$3="",IH$3&gt;TODAY()),"",IF(AND(IK546="",IL546=""),"",N(IL546)-N(IK546)))</f>
        <v/>
      </c>
    </row>
    <row r="547">
      <c r="A547" s="21" t="n"/>
      <c r="B547" s="21" t="n"/>
      <c r="C547" s="21" t="n"/>
      <c r="D547" s="21" t="n"/>
      <c r="E547" s="21" t="n"/>
      <c r="F547" s="21" t="n"/>
      <c r="G547" s="21" t="n"/>
      <c r="H547" s="21" t="n"/>
      <c r="I547" s="22" t="n"/>
      <c r="J547" s="22" t="n"/>
      <c r="K547" s="23" t="n"/>
      <c r="L547" s="22" t="n"/>
      <c r="M547" s="22" t="n"/>
      <c r="N547" s="21" t="n"/>
      <c r="O547" s="23" t="n"/>
      <c r="P547" s="23" t="n"/>
      <c r="Q547" s="23" t="n"/>
      <c r="R547" s="23" t="n"/>
      <c r="S547" s="22" t="n"/>
      <c r="T547" s="23" t="n"/>
      <c r="U547" s="23" t="n"/>
      <c r="V547" s="24">
        <f>IF(J547&lt;&gt;"",J547,IF(I547&lt;&gt;"",I547,""))</f>
        <v/>
      </c>
      <c r="W547" s="25">
        <f>IF($E547="","",N(O547)+SUMIFS($AF547:$IN547,$AF$4:$IN$4,"SEW_ACT"))</f>
        <v/>
      </c>
      <c r="X547" s="25">
        <f>IF($E547="","",N(P547)+SUMIFS($AF547:$IN547,$AF$4:$IN$4,"WASH_ACT"))</f>
        <v/>
      </c>
      <c r="Y547" s="25">
        <f>IF($E547="","",W547-X547-N(T547)-N(U547))</f>
        <v/>
      </c>
      <c r="Z547" s="25">
        <f>IF($E547="","",IF(N(K547)-X547&lt;=0.02*N(K547),0,N(K547)-X547))</f>
        <v/>
      </c>
      <c r="AA547" s="24">
        <f>IF($E547="","",IF(S547&lt;&gt;"",S547,IF(N(O547)&gt;0,IF(L547&lt;&gt;"",L547,99999),IFERROR(1/(1/_xlfn.MINIFS($AF$3:$IN$3,$AF$4:$IN$4,"SEW_ACT",$AF547:$IN547,"&gt;0")),99999))))</f>
        <v/>
      </c>
      <c r="AB547" s="26">
        <f>IF(OR($E547="",Z547=0,V547=""),"",1+COUNTIFS(Z$8:Z$707,"&gt;0",V$8:V$707,"&lt;"&amp;V547)+COUNTIFS(Z$8:Z$707,"&gt;0",V$8:V$707,V547,AA$8:AA$707,"&lt;"&amp;AA547)+COUNTIFS(Z$8:Z$707,"&gt;0",V$8:V$707,V547,AA$8:AA$707,AA547,E$8:E$707,"&lt;"&amp;$E547))</f>
        <v/>
      </c>
      <c r="AC547" s="24">
        <f>IF(OR($E547="",Z547=0),"",IFERROR(TODAY()+ROUNDUP(Z547/(SUMIFS($AF547:$IN547,$AF$4:$IN$4,"WASH_ACT")/COUNTIFS($AF$4:$IN$4,"WASH_ACT",$AF547:$IN547,"&gt;0")),0),"no output yet"))</f>
        <v/>
      </c>
      <c r="AD547" s="26">
        <f>IF($E547="","",IFERROR(ROUND(MAX(0,SUMIFS($AF547:$IN547,$AF$4:$IN$4,"SEW_PLAN",$AF$3:$IN$3,"&lt;="&amp;TODAY())-SUMIFS($AF547:$IN547,$AF$4:$IN$4,"SEW_ACT",$AF$3:$IN$3,"&lt;="&amp;TODAY())+N(Q547))/(SUMIFS($AF547:$IN547,$AF$4:$IN$4,"SEW_PLAN")/COUNTIFS($AF$4:$IN$4,"SEW_PLAN",$AF547:$IN547,"&gt;0")),1),0))</f>
        <v/>
      </c>
      <c r="AE547" s="26">
        <f>IF($E547="","",IF(AND(Z547&gt;0,OR(AND(M547&lt;&gt;"",TODAY()&gt;M547),AND(V547&lt;&gt;"",V547-TODAY()&lt;=7))),"Yes","No"))</f>
        <v/>
      </c>
      <c r="AH547">
        <f>IF(OR(AF$3="",AF$3&gt;TODAY()),"",IF(AND(AF547="",AG547=""),"",N(AG547)-N(AF547)))</f>
        <v/>
      </c>
      <c r="AK547">
        <f>IF(OR(AF$3="",AF$3&gt;TODAY()),"",IF(AND(AI547="",AJ547=""),"",N(AJ547)-N(AI547)))</f>
        <v/>
      </c>
      <c r="AO547">
        <f>IF(OR(AM$3="",AM$3&gt;TODAY()),"",IF(AND(AM547="",AN547=""),"",N(AN547)-N(AM547)))</f>
        <v/>
      </c>
      <c r="AR547">
        <f>IF(OR(AM$3="",AM$3&gt;TODAY()),"",IF(AND(AP547="",AQ547=""),"",N(AQ547)-N(AP547)))</f>
        <v/>
      </c>
      <c r="AV547">
        <f>IF(OR(AT$3="",AT$3&gt;TODAY()),"",IF(AND(AT547="",AU547=""),"",N(AU547)-N(AT547)))</f>
        <v/>
      </c>
      <c r="AY547">
        <f>IF(OR(AT$3="",AT$3&gt;TODAY()),"",IF(AND(AW547="",AX547=""),"",N(AX547)-N(AW547)))</f>
        <v/>
      </c>
      <c r="BC547">
        <f>IF(OR(BA$3="",BA$3&gt;TODAY()),"",IF(AND(BA547="",BB547=""),"",N(BB547)-N(BA547)))</f>
        <v/>
      </c>
      <c r="BF547">
        <f>IF(OR(BA$3="",BA$3&gt;TODAY()),"",IF(AND(BD547="",BE547=""),"",N(BE547)-N(BD547)))</f>
        <v/>
      </c>
      <c r="BJ547">
        <f>IF(OR(BH$3="",BH$3&gt;TODAY()),"",IF(AND(BH547="",BI547=""),"",N(BI547)-N(BH547)))</f>
        <v/>
      </c>
      <c r="BM547">
        <f>IF(OR(BH$3="",BH$3&gt;TODAY()),"",IF(AND(BK547="",BL547=""),"",N(BL547)-N(BK547)))</f>
        <v/>
      </c>
      <c r="BQ547">
        <f>IF(OR(BO$3="",BO$3&gt;TODAY()),"",IF(AND(BO547="",BP547=""),"",N(BP547)-N(BO547)))</f>
        <v/>
      </c>
      <c r="BT547">
        <f>IF(OR(BO$3="",BO$3&gt;TODAY()),"",IF(AND(BR547="",BS547=""),"",N(BS547)-N(BR547)))</f>
        <v/>
      </c>
      <c r="BX547">
        <f>IF(OR(BV$3="",BV$3&gt;TODAY()),"",IF(AND(BV547="",BW547=""),"",N(BW547)-N(BV547)))</f>
        <v/>
      </c>
      <c r="CA547">
        <f>IF(OR(BV$3="",BV$3&gt;TODAY()),"",IF(AND(BY547="",BZ547=""),"",N(BZ547)-N(BY547)))</f>
        <v/>
      </c>
      <c r="CE547">
        <f>IF(OR(CC$3="",CC$3&gt;TODAY()),"",IF(AND(CC547="",CD547=""),"",N(CD547)-N(CC547)))</f>
        <v/>
      </c>
      <c r="CH547">
        <f>IF(OR(CC$3="",CC$3&gt;TODAY()),"",IF(AND(CF547="",CG547=""),"",N(CG547)-N(CF547)))</f>
        <v/>
      </c>
      <c r="CL547">
        <f>IF(OR(CJ$3="",CJ$3&gt;TODAY()),"",IF(AND(CJ547="",CK547=""),"",N(CK547)-N(CJ547)))</f>
        <v/>
      </c>
      <c r="CO547">
        <f>IF(OR(CJ$3="",CJ$3&gt;TODAY()),"",IF(AND(CM547="",CN547=""),"",N(CN547)-N(CM547)))</f>
        <v/>
      </c>
      <c r="CS547">
        <f>IF(OR(CQ$3="",CQ$3&gt;TODAY()),"",IF(AND(CQ547="",CR547=""),"",N(CR547)-N(CQ547)))</f>
        <v/>
      </c>
      <c r="CV547">
        <f>IF(OR(CQ$3="",CQ$3&gt;TODAY()),"",IF(AND(CT547="",CU547=""),"",N(CU547)-N(CT547)))</f>
        <v/>
      </c>
      <c r="CZ547">
        <f>IF(OR(CX$3="",CX$3&gt;TODAY()),"",IF(AND(CX547="",CY547=""),"",N(CY547)-N(CX547)))</f>
        <v/>
      </c>
      <c r="DC547">
        <f>IF(OR(CX$3="",CX$3&gt;TODAY()),"",IF(AND(DA547="",DB547=""),"",N(DB547)-N(DA547)))</f>
        <v/>
      </c>
      <c r="DG547">
        <f>IF(OR(DE$3="",DE$3&gt;TODAY()),"",IF(AND(DE547="",DF547=""),"",N(DF547)-N(DE547)))</f>
        <v/>
      </c>
      <c r="DJ547">
        <f>IF(OR(DE$3="",DE$3&gt;TODAY()),"",IF(AND(DH547="",DI547=""),"",N(DI547)-N(DH547)))</f>
        <v/>
      </c>
      <c r="DN547">
        <f>IF(OR(DL$3="",DL$3&gt;TODAY()),"",IF(AND(DL547="",DM547=""),"",N(DM547)-N(DL547)))</f>
        <v/>
      </c>
      <c r="DQ547">
        <f>IF(OR(DL$3="",DL$3&gt;TODAY()),"",IF(AND(DO547="",DP547=""),"",N(DP547)-N(DO547)))</f>
        <v/>
      </c>
      <c r="DU547">
        <f>IF(OR(DS$3="",DS$3&gt;TODAY()),"",IF(AND(DS547="",DT547=""),"",N(DT547)-N(DS547)))</f>
        <v/>
      </c>
      <c r="DX547">
        <f>IF(OR(DS$3="",DS$3&gt;TODAY()),"",IF(AND(DV547="",DW547=""),"",N(DW547)-N(DV547)))</f>
        <v/>
      </c>
      <c r="EB547">
        <f>IF(OR(DZ$3="",DZ$3&gt;TODAY()),"",IF(AND(DZ547="",EA547=""),"",N(EA547)-N(DZ547)))</f>
        <v/>
      </c>
      <c r="EE547">
        <f>IF(OR(DZ$3="",DZ$3&gt;TODAY()),"",IF(AND(EC547="",ED547=""),"",N(ED547)-N(EC547)))</f>
        <v/>
      </c>
      <c r="EI547">
        <f>IF(OR(EG$3="",EG$3&gt;TODAY()),"",IF(AND(EG547="",EH547=""),"",N(EH547)-N(EG547)))</f>
        <v/>
      </c>
      <c r="EL547">
        <f>IF(OR(EG$3="",EG$3&gt;TODAY()),"",IF(AND(EJ547="",EK547=""),"",N(EK547)-N(EJ547)))</f>
        <v/>
      </c>
      <c r="EP547">
        <f>IF(OR(EN$3="",EN$3&gt;TODAY()),"",IF(AND(EN547="",EO547=""),"",N(EO547)-N(EN547)))</f>
        <v/>
      </c>
      <c r="ES547">
        <f>IF(OR(EN$3="",EN$3&gt;TODAY()),"",IF(AND(EQ547="",ER547=""),"",N(ER547)-N(EQ547)))</f>
        <v/>
      </c>
      <c r="EW547">
        <f>IF(OR(EU$3="",EU$3&gt;TODAY()),"",IF(AND(EU547="",EV547=""),"",N(EV547)-N(EU547)))</f>
        <v/>
      </c>
      <c r="EZ547">
        <f>IF(OR(EU$3="",EU$3&gt;TODAY()),"",IF(AND(EX547="",EY547=""),"",N(EY547)-N(EX547)))</f>
        <v/>
      </c>
      <c r="FD547">
        <f>IF(OR(FB$3="",FB$3&gt;TODAY()),"",IF(AND(FB547="",FC547=""),"",N(FC547)-N(FB547)))</f>
        <v/>
      </c>
      <c r="FG547">
        <f>IF(OR(FB$3="",FB$3&gt;TODAY()),"",IF(AND(FE547="",FF547=""),"",N(FF547)-N(FE547)))</f>
        <v/>
      </c>
      <c r="FK547">
        <f>IF(OR(FI$3="",FI$3&gt;TODAY()),"",IF(AND(FI547="",FJ547=""),"",N(FJ547)-N(FI547)))</f>
        <v/>
      </c>
      <c r="FN547">
        <f>IF(OR(FI$3="",FI$3&gt;TODAY()),"",IF(AND(FL547="",FM547=""),"",N(FM547)-N(FL547)))</f>
        <v/>
      </c>
      <c r="FR547">
        <f>IF(OR(FP$3="",FP$3&gt;TODAY()),"",IF(AND(FP547="",FQ547=""),"",N(FQ547)-N(FP547)))</f>
        <v/>
      </c>
      <c r="FU547">
        <f>IF(OR(FP$3="",FP$3&gt;TODAY()),"",IF(AND(FS547="",FT547=""),"",N(FT547)-N(FS547)))</f>
        <v/>
      </c>
      <c r="FY547">
        <f>IF(OR(FW$3="",FW$3&gt;TODAY()),"",IF(AND(FW547="",FX547=""),"",N(FX547)-N(FW547)))</f>
        <v/>
      </c>
      <c r="GB547">
        <f>IF(OR(FW$3="",FW$3&gt;TODAY()),"",IF(AND(FZ547="",GA547=""),"",N(GA547)-N(FZ547)))</f>
        <v/>
      </c>
      <c r="GF547">
        <f>IF(OR(GD$3="",GD$3&gt;TODAY()),"",IF(AND(GD547="",GE547=""),"",N(GE547)-N(GD547)))</f>
        <v/>
      </c>
      <c r="GI547">
        <f>IF(OR(GD$3="",GD$3&gt;TODAY()),"",IF(AND(GG547="",GH547=""),"",N(GH547)-N(GG547)))</f>
        <v/>
      </c>
      <c r="GM547">
        <f>IF(OR(GK$3="",GK$3&gt;TODAY()),"",IF(AND(GK547="",GL547=""),"",N(GL547)-N(GK547)))</f>
        <v/>
      </c>
      <c r="GP547">
        <f>IF(OR(GK$3="",GK$3&gt;TODAY()),"",IF(AND(GN547="",GO547=""),"",N(GO547)-N(GN547)))</f>
        <v/>
      </c>
      <c r="GT547">
        <f>IF(OR(GR$3="",GR$3&gt;TODAY()),"",IF(AND(GR547="",GS547=""),"",N(GS547)-N(GR547)))</f>
        <v/>
      </c>
      <c r="GW547">
        <f>IF(OR(GR$3="",GR$3&gt;TODAY()),"",IF(AND(GU547="",GV547=""),"",N(GV547)-N(GU547)))</f>
        <v/>
      </c>
      <c r="HA547">
        <f>IF(OR(GY$3="",GY$3&gt;TODAY()),"",IF(AND(GY547="",GZ547=""),"",N(GZ547)-N(GY547)))</f>
        <v/>
      </c>
      <c r="HD547">
        <f>IF(OR(GY$3="",GY$3&gt;TODAY()),"",IF(AND(HB547="",HC547=""),"",N(HC547)-N(HB547)))</f>
        <v/>
      </c>
      <c r="HH547">
        <f>IF(OR(HF$3="",HF$3&gt;TODAY()),"",IF(AND(HF547="",HG547=""),"",N(HG547)-N(HF547)))</f>
        <v/>
      </c>
      <c r="HK547">
        <f>IF(OR(HF$3="",HF$3&gt;TODAY()),"",IF(AND(HI547="",HJ547=""),"",N(HJ547)-N(HI547)))</f>
        <v/>
      </c>
      <c r="HO547">
        <f>IF(OR(HM$3="",HM$3&gt;TODAY()),"",IF(AND(HM547="",HN547=""),"",N(HN547)-N(HM547)))</f>
        <v/>
      </c>
      <c r="HR547">
        <f>IF(OR(HM$3="",HM$3&gt;TODAY()),"",IF(AND(HP547="",HQ547=""),"",N(HQ547)-N(HP547)))</f>
        <v/>
      </c>
      <c r="HV547">
        <f>IF(OR(HT$3="",HT$3&gt;TODAY()),"",IF(AND(HT547="",HU547=""),"",N(HU547)-N(HT547)))</f>
        <v/>
      </c>
      <c r="HY547">
        <f>IF(OR(HT$3="",HT$3&gt;TODAY()),"",IF(AND(HW547="",HX547=""),"",N(HX547)-N(HW547)))</f>
        <v/>
      </c>
      <c r="IC547">
        <f>IF(OR(IA$3="",IA$3&gt;TODAY()),"",IF(AND(IA547="",IB547=""),"",N(IB547)-N(IA547)))</f>
        <v/>
      </c>
      <c r="IF547">
        <f>IF(OR(IA$3="",IA$3&gt;TODAY()),"",IF(AND(ID547="",IE547=""),"",N(IE547)-N(ID547)))</f>
        <v/>
      </c>
      <c r="IJ547">
        <f>IF(OR(IH$3="",IH$3&gt;TODAY()),"",IF(AND(IH547="",II547=""),"",N(II547)-N(IH547)))</f>
        <v/>
      </c>
      <c r="IM547">
        <f>IF(OR(IH$3="",IH$3&gt;TODAY()),"",IF(AND(IK547="",IL547=""),"",N(IL547)-N(IK547)))</f>
        <v/>
      </c>
    </row>
    <row r="548">
      <c r="A548" s="21" t="n"/>
      <c r="B548" s="21" t="n"/>
      <c r="C548" s="21" t="n"/>
      <c r="D548" s="21" t="n"/>
      <c r="E548" s="21" t="n"/>
      <c r="F548" s="21" t="n"/>
      <c r="G548" s="21" t="n"/>
      <c r="H548" s="21" t="n"/>
      <c r="I548" s="22" t="n"/>
      <c r="J548" s="22" t="n"/>
      <c r="K548" s="23" t="n"/>
      <c r="L548" s="22" t="n"/>
      <c r="M548" s="22" t="n"/>
      <c r="N548" s="21" t="n"/>
      <c r="O548" s="23" t="n"/>
      <c r="P548" s="23" t="n"/>
      <c r="Q548" s="23" t="n"/>
      <c r="R548" s="23" t="n"/>
      <c r="S548" s="22" t="n"/>
      <c r="T548" s="23" t="n"/>
      <c r="U548" s="23" t="n"/>
      <c r="V548" s="24">
        <f>IF(J548&lt;&gt;"",J548,IF(I548&lt;&gt;"",I548,""))</f>
        <v/>
      </c>
      <c r="W548" s="25">
        <f>IF($E548="","",N(O548)+SUMIFS($AF548:$IN548,$AF$4:$IN$4,"SEW_ACT"))</f>
        <v/>
      </c>
      <c r="X548" s="25">
        <f>IF($E548="","",N(P548)+SUMIFS($AF548:$IN548,$AF$4:$IN$4,"WASH_ACT"))</f>
        <v/>
      </c>
      <c r="Y548" s="25">
        <f>IF($E548="","",W548-X548-N(T548)-N(U548))</f>
        <v/>
      </c>
      <c r="Z548" s="25">
        <f>IF($E548="","",IF(N(K548)-X548&lt;=0.02*N(K548),0,N(K548)-X548))</f>
        <v/>
      </c>
      <c r="AA548" s="24">
        <f>IF($E548="","",IF(S548&lt;&gt;"",S548,IF(N(O548)&gt;0,IF(L548&lt;&gt;"",L548,99999),IFERROR(1/(1/_xlfn.MINIFS($AF$3:$IN$3,$AF$4:$IN$4,"SEW_ACT",$AF548:$IN548,"&gt;0")),99999))))</f>
        <v/>
      </c>
      <c r="AB548" s="26">
        <f>IF(OR($E548="",Z548=0,V548=""),"",1+COUNTIFS(Z$8:Z$707,"&gt;0",V$8:V$707,"&lt;"&amp;V548)+COUNTIFS(Z$8:Z$707,"&gt;0",V$8:V$707,V548,AA$8:AA$707,"&lt;"&amp;AA548)+COUNTIFS(Z$8:Z$707,"&gt;0",V$8:V$707,V548,AA$8:AA$707,AA548,E$8:E$707,"&lt;"&amp;$E548))</f>
        <v/>
      </c>
      <c r="AC548" s="24">
        <f>IF(OR($E548="",Z548=0),"",IFERROR(TODAY()+ROUNDUP(Z548/(SUMIFS($AF548:$IN548,$AF$4:$IN$4,"WASH_ACT")/COUNTIFS($AF$4:$IN$4,"WASH_ACT",$AF548:$IN548,"&gt;0")),0),"no output yet"))</f>
        <v/>
      </c>
      <c r="AD548" s="26">
        <f>IF($E548="","",IFERROR(ROUND(MAX(0,SUMIFS($AF548:$IN548,$AF$4:$IN$4,"SEW_PLAN",$AF$3:$IN$3,"&lt;="&amp;TODAY())-SUMIFS($AF548:$IN548,$AF$4:$IN$4,"SEW_ACT",$AF$3:$IN$3,"&lt;="&amp;TODAY())+N(Q548))/(SUMIFS($AF548:$IN548,$AF$4:$IN$4,"SEW_PLAN")/COUNTIFS($AF$4:$IN$4,"SEW_PLAN",$AF548:$IN548,"&gt;0")),1),0))</f>
        <v/>
      </c>
      <c r="AE548" s="26">
        <f>IF($E548="","",IF(AND(Z548&gt;0,OR(AND(M548&lt;&gt;"",TODAY()&gt;M548),AND(V548&lt;&gt;"",V548-TODAY()&lt;=7))),"Yes","No"))</f>
        <v/>
      </c>
      <c r="AH548">
        <f>IF(OR(AF$3="",AF$3&gt;TODAY()),"",IF(AND(AF548="",AG548=""),"",N(AG548)-N(AF548)))</f>
        <v/>
      </c>
      <c r="AK548">
        <f>IF(OR(AF$3="",AF$3&gt;TODAY()),"",IF(AND(AI548="",AJ548=""),"",N(AJ548)-N(AI548)))</f>
        <v/>
      </c>
      <c r="AO548">
        <f>IF(OR(AM$3="",AM$3&gt;TODAY()),"",IF(AND(AM548="",AN548=""),"",N(AN548)-N(AM548)))</f>
        <v/>
      </c>
      <c r="AR548">
        <f>IF(OR(AM$3="",AM$3&gt;TODAY()),"",IF(AND(AP548="",AQ548=""),"",N(AQ548)-N(AP548)))</f>
        <v/>
      </c>
      <c r="AV548">
        <f>IF(OR(AT$3="",AT$3&gt;TODAY()),"",IF(AND(AT548="",AU548=""),"",N(AU548)-N(AT548)))</f>
        <v/>
      </c>
      <c r="AY548">
        <f>IF(OR(AT$3="",AT$3&gt;TODAY()),"",IF(AND(AW548="",AX548=""),"",N(AX548)-N(AW548)))</f>
        <v/>
      </c>
      <c r="BC548">
        <f>IF(OR(BA$3="",BA$3&gt;TODAY()),"",IF(AND(BA548="",BB548=""),"",N(BB548)-N(BA548)))</f>
        <v/>
      </c>
      <c r="BF548">
        <f>IF(OR(BA$3="",BA$3&gt;TODAY()),"",IF(AND(BD548="",BE548=""),"",N(BE548)-N(BD548)))</f>
        <v/>
      </c>
      <c r="BJ548">
        <f>IF(OR(BH$3="",BH$3&gt;TODAY()),"",IF(AND(BH548="",BI548=""),"",N(BI548)-N(BH548)))</f>
        <v/>
      </c>
      <c r="BM548">
        <f>IF(OR(BH$3="",BH$3&gt;TODAY()),"",IF(AND(BK548="",BL548=""),"",N(BL548)-N(BK548)))</f>
        <v/>
      </c>
      <c r="BQ548">
        <f>IF(OR(BO$3="",BO$3&gt;TODAY()),"",IF(AND(BO548="",BP548=""),"",N(BP548)-N(BO548)))</f>
        <v/>
      </c>
      <c r="BT548">
        <f>IF(OR(BO$3="",BO$3&gt;TODAY()),"",IF(AND(BR548="",BS548=""),"",N(BS548)-N(BR548)))</f>
        <v/>
      </c>
      <c r="BX548">
        <f>IF(OR(BV$3="",BV$3&gt;TODAY()),"",IF(AND(BV548="",BW548=""),"",N(BW548)-N(BV548)))</f>
        <v/>
      </c>
      <c r="CA548">
        <f>IF(OR(BV$3="",BV$3&gt;TODAY()),"",IF(AND(BY548="",BZ548=""),"",N(BZ548)-N(BY548)))</f>
        <v/>
      </c>
      <c r="CE548">
        <f>IF(OR(CC$3="",CC$3&gt;TODAY()),"",IF(AND(CC548="",CD548=""),"",N(CD548)-N(CC548)))</f>
        <v/>
      </c>
      <c r="CH548">
        <f>IF(OR(CC$3="",CC$3&gt;TODAY()),"",IF(AND(CF548="",CG548=""),"",N(CG548)-N(CF548)))</f>
        <v/>
      </c>
      <c r="CL548">
        <f>IF(OR(CJ$3="",CJ$3&gt;TODAY()),"",IF(AND(CJ548="",CK548=""),"",N(CK548)-N(CJ548)))</f>
        <v/>
      </c>
      <c r="CO548">
        <f>IF(OR(CJ$3="",CJ$3&gt;TODAY()),"",IF(AND(CM548="",CN548=""),"",N(CN548)-N(CM548)))</f>
        <v/>
      </c>
      <c r="CS548">
        <f>IF(OR(CQ$3="",CQ$3&gt;TODAY()),"",IF(AND(CQ548="",CR548=""),"",N(CR548)-N(CQ548)))</f>
        <v/>
      </c>
      <c r="CV548">
        <f>IF(OR(CQ$3="",CQ$3&gt;TODAY()),"",IF(AND(CT548="",CU548=""),"",N(CU548)-N(CT548)))</f>
        <v/>
      </c>
      <c r="CZ548">
        <f>IF(OR(CX$3="",CX$3&gt;TODAY()),"",IF(AND(CX548="",CY548=""),"",N(CY548)-N(CX548)))</f>
        <v/>
      </c>
      <c r="DC548">
        <f>IF(OR(CX$3="",CX$3&gt;TODAY()),"",IF(AND(DA548="",DB548=""),"",N(DB548)-N(DA548)))</f>
        <v/>
      </c>
      <c r="DG548">
        <f>IF(OR(DE$3="",DE$3&gt;TODAY()),"",IF(AND(DE548="",DF548=""),"",N(DF548)-N(DE548)))</f>
        <v/>
      </c>
      <c r="DJ548">
        <f>IF(OR(DE$3="",DE$3&gt;TODAY()),"",IF(AND(DH548="",DI548=""),"",N(DI548)-N(DH548)))</f>
        <v/>
      </c>
      <c r="DN548">
        <f>IF(OR(DL$3="",DL$3&gt;TODAY()),"",IF(AND(DL548="",DM548=""),"",N(DM548)-N(DL548)))</f>
        <v/>
      </c>
      <c r="DQ548">
        <f>IF(OR(DL$3="",DL$3&gt;TODAY()),"",IF(AND(DO548="",DP548=""),"",N(DP548)-N(DO548)))</f>
        <v/>
      </c>
      <c r="DU548">
        <f>IF(OR(DS$3="",DS$3&gt;TODAY()),"",IF(AND(DS548="",DT548=""),"",N(DT548)-N(DS548)))</f>
        <v/>
      </c>
      <c r="DX548">
        <f>IF(OR(DS$3="",DS$3&gt;TODAY()),"",IF(AND(DV548="",DW548=""),"",N(DW548)-N(DV548)))</f>
        <v/>
      </c>
      <c r="EB548">
        <f>IF(OR(DZ$3="",DZ$3&gt;TODAY()),"",IF(AND(DZ548="",EA548=""),"",N(EA548)-N(DZ548)))</f>
        <v/>
      </c>
      <c r="EE548">
        <f>IF(OR(DZ$3="",DZ$3&gt;TODAY()),"",IF(AND(EC548="",ED548=""),"",N(ED548)-N(EC548)))</f>
        <v/>
      </c>
      <c r="EI548">
        <f>IF(OR(EG$3="",EG$3&gt;TODAY()),"",IF(AND(EG548="",EH548=""),"",N(EH548)-N(EG548)))</f>
        <v/>
      </c>
      <c r="EL548">
        <f>IF(OR(EG$3="",EG$3&gt;TODAY()),"",IF(AND(EJ548="",EK548=""),"",N(EK548)-N(EJ548)))</f>
        <v/>
      </c>
      <c r="EP548">
        <f>IF(OR(EN$3="",EN$3&gt;TODAY()),"",IF(AND(EN548="",EO548=""),"",N(EO548)-N(EN548)))</f>
        <v/>
      </c>
      <c r="ES548">
        <f>IF(OR(EN$3="",EN$3&gt;TODAY()),"",IF(AND(EQ548="",ER548=""),"",N(ER548)-N(EQ548)))</f>
        <v/>
      </c>
      <c r="EW548">
        <f>IF(OR(EU$3="",EU$3&gt;TODAY()),"",IF(AND(EU548="",EV548=""),"",N(EV548)-N(EU548)))</f>
        <v/>
      </c>
      <c r="EZ548">
        <f>IF(OR(EU$3="",EU$3&gt;TODAY()),"",IF(AND(EX548="",EY548=""),"",N(EY548)-N(EX548)))</f>
        <v/>
      </c>
      <c r="FD548">
        <f>IF(OR(FB$3="",FB$3&gt;TODAY()),"",IF(AND(FB548="",FC548=""),"",N(FC548)-N(FB548)))</f>
        <v/>
      </c>
      <c r="FG548">
        <f>IF(OR(FB$3="",FB$3&gt;TODAY()),"",IF(AND(FE548="",FF548=""),"",N(FF548)-N(FE548)))</f>
        <v/>
      </c>
      <c r="FK548">
        <f>IF(OR(FI$3="",FI$3&gt;TODAY()),"",IF(AND(FI548="",FJ548=""),"",N(FJ548)-N(FI548)))</f>
        <v/>
      </c>
      <c r="FN548">
        <f>IF(OR(FI$3="",FI$3&gt;TODAY()),"",IF(AND(FL548="",FM548=""),"",N(FM548)-N(FL548)))</f>
        <v/>
      </c>
      <c r="FR548">
        <f>IF(OR(FP$3="",FP$3&gt;TODAY()),"",IF(AND(FP548="",FQ548=""),"",N(FQ548)-N(FP548)))</f>
        <v/>
      </c>
      <c r="FU548">
        <f>IF(OR(FP$3="",FP$3&gt;TODAY()),"",IF(AND(FS548="",FT548=""),"",N(FT548)-N(FS548)))</f>
        <v/>
      </c>
      <c r="FY548">
        <f>IF(OR(FW$3="",FW$3&gt;TODAY()),"",IF(AND(FW548="",FX548=""),"",N(FX548)-N(FW548)))</f>
        <v/>
      </c>
      <c r="GB548">
        <f>IF(OR(FW$3="",FW$3&gt;TODAY()),"",IF(AND(FZ548="",GA548=""),"",N(GA548)-N(FZ548)))</f>
        <v/>
      </c>
      <c r="GF548">
        <f>IF(OR(GD$3="",GD$3&gt;TODAY()),"",IF(AND(GD548="",GE548=""),"",N(GE548)-N(GD548)))</f>
        <v/>
      </c>
      <c r="GI548">
        <f>IF(OR(GD$3="",GD$3&gt;TODAY()),"",IF(AND(GG548="",GH548=""),"",N(GH548)-N(GG548)))</f>
        <v/>
      </c>
      <c r="GM548">
        <f>IF(OR(GK$3="",GK$3&gt;TODAY()),"",IF(AND(GK548="",GL548=""),"",N(GL548)-N(GK548)))</f>
        <v/>
      </c>
      <c r="GP548">
        <f>IF(OR(GK$3="",GK$3&gt;TODAY()),"",IF(AND(GN548="",GO548=""),"",N(GO548)-N(GN548)))</f>
        <v/>
      </c>
      <c r="GT548">
        <f>IF(OR(GR$3="",GR$3&gt;TODAY()),"",IF(AND(GR548="",GS548=""),"",N(GS548)-N(GR548)))</f>
        <v/>
      </c>
      <c r="GW548">
        <f>IF(OR(GR$3="",GR$3&gt;TODAY()),"",IF(AND(GU548="",GV548=""),"",N(GV548)-N(GU548)))</f>
        <v/>
      </c>
      <c r="HA548">
        <f>IF(OR(GY$3="",GY$3&gt;TODAY()),"",IF(AND(GY548="",GZ548=""),"",N(GZ548)-N(GY548)))</f>
        <v/>
      </c>
      <c r="HD548">
        <f>IF(OR(GY$3="",GY$3&gt;TODAY()),"",IF(AND(HB548="",HC548=""),"",N(HC548)-N(HB548)))</f>
        <v/>
      </c>
      <c r="HH548">
        <f>IF(OR(HF$3="",HF$3&gt;TODAY()),"",IF(AND(HF548="",HG548=""),"",N(HG548)-N(HF548)))</f>
        <v/>
      </c>
      <c r="HK548">
        <f>IF(OR(HF$3="",HF$3&gt;TODAY()),"",IF(AND(HI548="",HJ548=""),"",N(HJ548)-N(HI548)))</f>
        <v/>
      </c>
      <c r="HO548">
        <f>IF(OR(HM$3="",HM$3&gt;TODAY()),"",IF(AND(HM548="",HN548=""),"",N(HN548)-N(HM548)))</f>
        <v/>
      </c>
      <c r="HR548">
        <f>IF(OR(HM$3="",HM$3&gt;TODAY()),"",IF(AND(HP548="",HQ548=""),"",N(HQ548)-N(HP548)))</f>
        <v/>
      </c>
      <c r="HV548">
        <f>IF(OR(HT$3="",HT$3&gt;TODAY()),"",IF(AND(HT548="",HU548=""),"",N(HU548)-N(HT548)))</f>
        <v/>
      </c>
      <c r="HY548">
        <f>IF(OR(HT$3="",HT$3&gt;TODAY()),"",IF(AND(HW548="",HX548=""),"",N(HX548)-N(HW548)))</f>
        <v/>
      </c>
      <c r="IC548">
        <f>IF(OR(IA$3="",IA$3&gt;TODAY()),"",IF(AND(IA548="",IB548=""),"",N(IB548)-N(IA548)))</f>
        <v/>
      </c>
      <c r="IF548">
        <f>IF(OR(IA$3="",IA$3&gt;TODAY()),"",IF(AND(ID548="",IE548=""),"",N(IE548)-N(ID548)))</f>
        <v/>
      </c>
      <c r="IJ548">
        <f>IF(OR(IH$3="",IH$3&gt;TODAY()),"",IF(AND(IH548="",II548=""),"",N(II548)-N(IH548)))</f>
        <v/>
      </c>
      <c r="IM548">
        <f>IF(OR(IH$3="",IH$3&gt;TODAY()),"",IF(AND(IK548="",IL548=""),"",N(IL548)-N(IK548)))</f>
        <v/>
      </c>
    </row>
    <row r="549">
      <c r="A549" s="21" t="n"/>
      <c r="B549" s="21" t="n"/>
      <c r="C549" s="21" t="n"/>
      <c r="D549" s="21" t="n"/>
      <c r="E549" s="21" t="n"/>
      <c r="F549" s="21" t="n"/>
      <c r="G549" s="21" t="n"/>
      <c r="H549" s="21" t="n"/>
      <c r="I549" s="22" t="n"/>
      <c r="J549" s="22" t="n"/>
      <c r="K549" s="23" t="n"/>
      <c r="L549" s="22" t="n"/>
      <c r="M549" s="22" t="n"/>
      <c r="N549" s="21" t="n"/>
      <c r="O549" s="23" t="n"/>
      <c r="P549" s="23" t="n"/>
      <c r="Q549" s="23" t="n"/>
      <c r="R549" s="23" t="n"/>
      <c r="S549" s="22" t="n"/>
      <c r="T549" s="23" t="n"/>
      <c r="U549" s="23" t="n"/>
      <c r="V549" s="24">
        <f>IF(J549&lt;&gt;"",J549,IF(I549&lt;&gt;"",I549,""))</f>
        <v/>
      </c>
      <c r="W549" s="25">
        <f>IF($E549="","",N(O549)+SUMIFS($AF549:$IN549,$AF$4:$IN$4,"SEW_ACT"))</f>
        <v/>
      </c>
      <c r="X549" s="25">
        <f>IF($E549="","",N(P549)+SUMIFS($AF549:$IN549,$AF$4:$IN$4,"WASH_ACT"))</f>
        <v/>
      </c>
      <c r="Y549" s="25">
        <f>IF($E549="","",W549-X549-N(T549)-N(U549))</f>
        <v/>
      </c>
      <c r="Z549" s="25">
        <f>IF($E549="","",IF(N(K549)-X549&lt;=0.02*N(K549),0,N(K549)-X549))</f>
        <v/>
      </c>
      <c r="AA549" s="24">
        <f>IF($E549="","",IF(S549&lt;&gt;"",S549,IF(N(O549)&gt;0,IF(L549&lt;&gt;"",L549,99999),IFERROR(1/(1/_xlfn.MINIFS($AF$3:$IN$3,$AF$4:$IN$4,"SEW_ACT",$AF549:$IN549,"&gt;0")),99999))))</f>
        <v/>
      </c>
      <c r="AB549" s="26">
        <f>IF(OR($E549="",Z549=0,V549=""),"",1+COUNTIFS(Z$8:Z$707,"&gt;0",V$8:V$707,"&lt;"&amp;V549)+COUNTIFS(Z$8:Z$707,"&gt;0",V$8:V$707,V549,AA$8:AA$707,"&lt;"&amp;AA549)+COUNTIFS(Z$8:Z$707,"&gt;0",V$8:V$707,V549,AA$8:AA$707,AA549,E$8:E$707,"&lt;"&amp;$E549))</f>
        <v/>
      </c>
      <c r="AC549" s="24">
        <f>IF(OR($E549="",Z549=0),"",IFERROR(TODAY()+ROUNDUP(Z549/(SUMIFS($AF549:$IN549,$AF$4:$IN$4,"WASH_ACT")/COUNTIFS($AF$4:$IN$4,"WASH_ACT",$AF549:$IN549,"&gt;0")),0),"no output yet"))</f>
        <v/>
      </c>
      <c r="AD549" s="26">
        <f>IF($E549="","",IFERROR(ROUND(MAX(0,SUMIFS($AF549:$IN549,$AF$4:$IN$4,"SEW_PLAN",$AF$3:$IN$3,"&lt;="&amp;TODAY())-SUMIFS($AF549:$IN549,$AF$4:$IN$4,"SEW_ACT",$AF$3:$IN$3,"&lt;="&amp;TODAY())+N(Q549))/(SUMIFS($AF549:$IN549,$AF$4:$IN$4,"SEW_PLAN")/COUNTIFS($AF$4:$IN$4,"SEW_PLAN",$AF549:$IN549,"&gt;0")),1),0))</f>
        <v/>
      </c>
      <c r="AE549" s="26">
        <f>IF($E549="","",IF(AND(Z549&gt;0,OR(AND(M549&lt;&gt;"",TODAY()&gt;M549),AND(V549&lt;&gt;"",V549-TODAY()&lt;=7))),"Yes","No"))</f>
        <v/>
      </c>
      <c r="AH549">
        <f>IF(OR(AF$3="",AF$3&gt;TODAY()),"",IF(AND(AF549="",AG549=""),"",N(AG549)-N(AF549)))</f>
        <v/>
      </c>
      <c r="AK549">
        <f>IF(OR(AF$3="",AF$3&gt;TODAY()),"",IF(AND(AI549="",AJ549=""),"",N(AJ549)-N(AI549)))</f>
        <v/>
      </c>
      <c r="AO549">
        <f>IF(OR(AM$3="",AM$3&gt;TODAY()),"",IF(AND(AM549="",AN549=""),"",N(AN549)-N(AM549)))</f>
        <v/>
      </c>
      <c r="AR549">
        <f>IF(OR(AM$3="",AM$3&gt;TODAY()),"",IF(AND(AP549="",AQ549=""),"",N(AQ549)-N(AP549)))</f>
        <v/>
      </c>
      <c r="AV549">
        <f>IF(OR(AT$3="",AT$3&gt;TODAY()),"",IF(AND(AT549="",AU549=""),"",N(AU549)-N(AT549)))</f>
        <v/>
      </c>
      <c r="AY549">
        <f>IF(OR(AT$3="",AT$3&gt;TODAY()),"",IF(AND(AW549="",AX549=""),"",N(AX549)-N(AW549)))</f>
        <v/>
      </c>
      <c r="BC549">
        <f>IF(OR(BA$3="",BA$3&gt;TODAY()),"",IF(AND(BA549="",BB549=""),"",N(BB549)-N(BA549)))</f>
        <v/>
      </c>
      <c r="BF549">
        <f>IF(OR(BA$3="",BA$3&gt;TODAY()),"",IF(AND(BD549="",BE549=""),"",N(BE549)-N(BD549)))</f>
        <v/>
      </c>
      <c r="BJ549">
        <f>IF(OR(BH$3="",BH$3&gt;TODAY()),"",IF(AND(BH549="",BI549=""),"",N(BI549)-N(BH549)))</f>
        <v/>
      </c>
      <c r="BM549">
        <f>IF(OR(BH$3="",BH$3&gt;TODAY()),"",IF(AND(BK549="",BL549=""),"",N(BL549)-N(BK549)))</f>
        <v/>
      </c>
      <c r="BQ549">
        <f>IF(OR(BO$3="",BO$3&gt;TODAY()),"",IF(AND(BO549="",BP549=""),"",N(BP549)-N(BO549)))</f>
        <v/>
      </c>
      <c r="BT549">
        <f>IF(OR(BO$3="",BO$3&gt;TODAY()),"",IF(AND(BR549="",BS549=""),"",N(BS549)-N(BR549)))</f>
        <v/>
      </c>
      <c r="BX549">
        <f>IF(OR(BV$3="",BV$3&gt;TODAY()),"",IF(AND(BV549="",BW549=""),"",N(BW549)-N(BV549)))</f>
        <v/>
      </c>
      <c r="CA549">
        <f>IF(OR(BV$3="",BV$3&gt;TODAY()),"",IF(AND(BY549="",BZ549=""),"",N(BZ549)-N(BY549)))</f>
        <v/>
      </c>
      <c r="CE549">
        <f>IF(OR(CC$3="",CC$3&gt;TODAY()),"",IF(AND(CC549="",CD549=""),"",N(CD549)-N(CC549)))</f>
        <v/>
      </c>
      <c r="CH549">
        <f>IF(OR(CC$3="",CC$3&gt;TODAY()),"",IF(AND(CF549="",CG549=""),"",N(CG549)-N(CF549)))</f>
        <v/>
      </c>
      <c r="CL549">
        <f>IF(OR(CJ$3="",CJ$3&gt;TODAY()),"",IF(AND(CJ549="",CK549=""),"",N(CK549)-N(CJ549)))</f>
        <v/>
      </c>
      <c r="CO549">
        <f>IF(OR(CJ$3="",CJ$3&gt;TODAY()),"",IF(AND(CM549="",CN549=""),"",N(CN549)-N(CM549)))</f>
        <v/>
      </c>
      <c r="CS549">
        <f>IF(OR(CQ$3="",CQ$3&gt;TODAY()),"",IF(AND(CQ549="",CR549=""),"",N(CR549)-N(CQ549)))</f>
        <v/>
      </c>
      <c r="CV549">
        <f>IF(OR(CQ$3="",CQ$3&gt;TODAY()),"",IF(AND(CT549="",CU549=""),"",N(CU549)-N(CT549)))</f>
        <v/>
      </c>
      <c r="CZ549">
        <f>IF(OR(CX$3="",CX$3&gt;TODAY()),"",IF(AND(CX549="",CY549=""),"",N(CY549)-N(CX549)))</f>
        <v/>
      </c>
      <c r="DC549">
        <f>IF(OR(CX$3="",CX$3&gt;TODAY()),"",IF(AND(DA549="",DB549=""),"",N(DB549)-N(DA549)))</f>
        <v/>
      </c>
      <c r="DG549">
        <f>IF(OR(DE$3="",DE$3&gt;TODAY()),"",IF(AND(DE549="",DF549=""),"",N(DF549)-N(DE549)))</f>
        <v/>
      </c>
      <c r="DJ549">
        <f>IF(OR(DE$3="",DE$3&gt;TODAY()),"",IF(AND(DH549="",DI549=""),"",N(DI549)-N(DH549)))</f>
        <v/>
      </c>
      <c r="DN549">
        <f>IF(OR(DL$3="",DL$3&gt;TODAY()),"",IF(AND(DL549="",DM549=""),"",N(DM549)-N(DL549)))</f>
        <v/>
      </c>
      <c r="DQ549">
        <f>IF(OR(DL$3="",DL$3&gt;TODAY()),"",IF(AND(DO549="",DP549=""),"",N(DP549)-N(DO549)))</f>
        <v/>
      </c>
      <c r="DU549">
        <f>IF(OR(DS$3="",DS$3&gt;TODAY()),"",IF(AND(DS549="",DT549=""),"",N(DT549)-N(DS549)))</f>
        <v/>
      </c>
      <c r="DX549">
        <f>IF(OR(DS$3="",DS$3&gt;TODAY()),"",IF(AND(DV549="",DW549=""),"",N(DW549)-N(DV549)))</f>
        <v/>
      </c>
      <c r="EB549">
        <f>IF(OR(DZ$3="",DZ$3&gt;TODAY()),"",IF(AND(DZ549="",EA549=""),"",N(EA549)-N(DZ549)))</f>
        <v/>
      </c>
      <c r="EE549">
        <f>IF(OR(DZ$3="",DZ$3&gt;TODAY()),"",IF(AND(EC549="",ED549=""),"",N(ED549)-N(EC549)))</f>
        <v/>
      </c>
      <c r="EI549">
        <f>IF(OR(EG$3="",EG$3&gt;TODAY()),"",IF(AND(EG549="",EH549=""),"",N(EH549)-N(EG549)))</f>
        <v/>
      </c>
      <c r="EL549">
        <f>IF(OR(EG$3="",EG$3&gt;TODAY()),"",IF(AND(EJ549="",EK549=""),"",N(EK549)-N(EJ549)))</f>
        <v/>
      </c>
      <c r="EP549">
        <f>IF(OR(EN$3="",EN$3&gt;TODAY()),"",IF(AND(EN549="",EO549=""),"",N(EO549)-N(EN549)))</f>
        <v/>
      </c>
      <c r="ES549">
        <f>IF(OR(EN$3="",EN$3&gt;TODAY()),"",IF(AND(EQ549="",ER549=""),"",N(ER549)-N(EQ549)))</f>
        <v/>
      </c>
      <c r="EW549">
        <f>IF(OR(EU$3="",EU$3&gt;TODAY()),"",IF(AND(EU549="",EV549=""),"",N(EV549)-N(EU549)))</f>
        <v/>
      </c>
      <c r="EZ549">
        <f>IF(OR(EU$3="",EU$3&gt;TODAY()),"",IF(AND(EX549="",EY549=""),"",N(EY549)-N(EX549)))</f>
        <v/>
      </c>
      <c r="FD549">
        <f>IF(OR(FB$3="",FB$3&gt;TODAY()),"",IF(AND(FB549="",FC549=""),"",N(FC549)-N(FB549)))</f>
        <v/>
      </c>
      <c r="FG549">
        <f>IF(OR(FB$3="",FB$3&gt;TODAY()),"",IF(AND(FE549="",FF549=""),"",N(FF549)-N(FE549)))</f>
        <v/>
      </c>
      <c r="FK549">
        <f>IF(OR(FI$3="",FI$3&gt;TODAY()),"",IF(AND(FI549="",FJ549=""),"",N(FJ549)-N(FI549)))</f>
        <v/>
      </c>
      <c r="FN549">
        <f>IF(OR(FI$3="",FI$3&gt;TODAY()),"",IF(AND(FL549="",FM549=""),"",N(FM549)-N(FL549)))</f>
        <v/>
      </c>
      <c r="FR549">
        <f>IF(OR(FP$3="",FP$3&gt;TODAY()),"",IF(AND(FP549="",FQ549=""),"",N(FQ549)-N(FP549)))</f>
        <v/>
      </c>
      <c r="FU549">
        <f>IF(OR(FP$3="",FP$3&gt;TODAY()),"",IF(AND(FS549="",FT549=""),"",N(FT549)-N(FS549)))</f>
        <v/>
      </c>
      <c r="FY549">
        <f>IF(OR(FW$3="",FW$3&gt;TODAY()),"",IF(AND(FW549="",FX549=""),"",N(FX549)-N(FW549)))</f>
        <v/>
      </c>
      <c r="GB549">
        <f>IF(OR(FW$3="",FW$3&gt;TODAY()),"",IF(AND(FZ549="",GA549=""),"",N(GA549)-N(FZ549)))</f>
        <v/>
      </c>
      <c r="GF549">
        <f>IF(OR(GD$3="",GD$3&gt;TODAY()),"",IF(AND(GD549="",GE549=""),"",N(GE549)-N(GD549)))</f>
        <v/>
      </c>
      <c r="GI549">
        <f>IF(OR(GD$3="",GD$3&gt;TODAY()),"",IF(AND(GG549="",GH549=""),"",N(GH549)-N(GG549)))</f>
        <v/>
      </c>
      <c r="GM549">
        <f>IF(OR(GK$3="",GK$3&gt;TODAY()),"",IF(AND(GK549="",GL549=""),"",N(GL549)-N(GK549)))</f>
        <v/>
      </c>
      <c r="GP549">
        <f>IF(OR(GK$3="",GK$3&gt;TODAY()),"",IF(AND(GN549="",GO549=""),"",N(GO549)-N(GN549)))</f>
        <v/>
      </c>
      <c r="GT549">
        <f>IF(OR(GR$3="",GR$3&gt;TODAY()),"",IF(AND(GR549="",GS549=""),"",N(GS549)-N(GR549)))</f>
        <v/>
      </c>
      <c r="GW549">
        <f>IF(OR(GR$3="",GR$3&gt;TODAY()),"",IF(AND(GU549="",GV549=""),"",N(GV549)-N(GU549)))</f>
        <v/>
      </c>
      <c r="HA549">
        <f>IF(OR(GY$3="",GY$3&gt;TODAY()),"",IF(AND(GY549="",GZ549=""),"",N(GZ549)-N(GY549)))</f>
        <v/>
      </c>
      <c r="HD549">
        <f>IF(OR(GY$3="",GY$3&gt;TODAY()),"",IF(AND(HB549="",HC549=""),"",N(HC549)-N(HB549)))</f>
        <v/>
      </c>
      <c r="HH549">
        <f>IF(OR(HF$3="",HF$3&gt;TODAY()),"",IF(AND(HF549="",HG549=""),"",N(HG549)-N(HF549)))</f>
        <v/>
      </c>
      <c r="HK549">
        <f>IF(OR(HF$3="",HF$3&gt;TODAY()),"",IF(AND(HI549="",HJ549=""),"",N(HJ549)-N(HI549)))</f>
        <v/>
      </c>
      <c r="HO549">
        <f>IF(OR(HM$3="",HM$3&gt;TODAY()),"",IF(AND(HM549="",HN549=""),"",N(HN549)-N(HM549)))</f>
        <v/>
      </c>
      <c r="HR549">
        <f>IF(OR(HM$3="",HM$3&gt;TODAY()),"",IF(AND(HP549="",HQ549=""),"",N(HQ549)-N(HP549)))</f>
        <v/>
      </c>
      <c r="HV549">
        <f>IF(OR(HT$3="",HT$3&gt;TODAY()),"",IF(AND(HT549="",HU549=""),"",N(HU549)-N(HT549)))</f>
        <v/>
      </c>
      <c r="HY549">
        <f>IF(OR(HT$3="",HT$3&gt;TODAY()),"",IF(AND(HW549="",HX549=""),"",N(HX549)-N(HW549)))</f>
        <v/>
      </c>
      <c r="IC549">
        <f>IF(OR(IA$3="",IA$3&gt;TODAY()),"",IF(AND(IA549="",IB549=""),"",N(IB549)-N(IA549)))</f>
        <v/>
      </c>
      <c r="IF549">
        <f>IF(OR(IA$3="",IA$3&gt;TODAY()),"",IF(AND(ID549="",IE549=""),"",N(IE549)-N(ID549)))</f>
        <v/>
      </c>
      <c r="IJ549">
        <f>IF(OR(IH$3="",IH$3&gt;TODAY()),"",IF(AND(IH549="",II549=""),"",N(II549)-N(IH549)))</f>
        <v/>
      </c>
      <c r="IM549">
        <f>IF(OR(IH$3="",IH$3&gt;TODAY()),"",IF(AND(IK549="",IL549=""),"",N(IL549)-N(IK549)))</f>
        <v/>
      </c>
    </row>
    <row r="550">
      <c r="A550" s="21" t="n"/>
      <c r="B550" s="21" t="n"/>
      <c r="C550" s="21" t="n"/>
      <c r="D550" s="21" t="n"/>
      <c r="E550" s="21" t="n"/>
      <c r="F550" s="21" t="n"/>
      <c r="G550" s="21" t="n"/>
      <c r="H550" s="21" t="n"/>
      <c r="I550" s="22" t="n"/>
      <c r="J550" s="22" t="n"/>
      <c r="K550" s="23" t="n"/>
      <c r="L550" s="22" t="n"/>
      <c r="M550" s="22" t="n"/>
      <c r="N550" s="21" t="n"/>
      <c r="O550" s="23" t="n"/>
      <c r="P550" s="23" t="n"/>
      <c r="Q550" s="23" t="n"/>
      <c r="R550" s="23" t="n"/>
      <c r="S550" s="22" t="n"/>
      <c r="T550" s="23" t="n"/>
      <c r="U550" s="23" t="n"/>
      <c r="V550" s="24">
        <f>IF(J550&lt;&gt;"",J550,IF(I550&lt;&gt;"",I550,""))</f>
        <v/>
      </c>
      <c r="W550" s="25">
        <f>IF($E550="","",N(O550)+SUMIFS($AF550:$IN550,$AF$4:$IN$4,"SEW_ACT"))</f>
        <v/>
      </c>
      <c r="X550" s="25">
        <f>IF($E550="","",N(P550)+SUMIFS($AF550:$IN550,$AF$4:$IN$4,"WASH_ACT"))</f>
        <v/>
      </c>
      <c r="Y550" s="25">
        <f>IF($E550="","",W550-X550-N(T550)-N(U550))</f>
        <v/>
      </c>
      <c r="Z550" s="25">
        <f>IF($E550="","",IF(N(K550)-X550&lt;=0.02*N(K550),0,N(K550)-X550))</f>
        <v/>
      </c>
      <c r="AA550" s="24">
        <f>IF($E550="","",IF(S550&lt;&gt;"",S550,IF(N(O550)&gt;0,IF(L550&lt;&gt;"",L550,99999),IFERROR(1/(1/_xlfn.MINIFS($AF$3:$IN$3,$AF$4:$IN$4,"SEW_ACT",$AF550:$IN550,"&gt;0")),99999))))</f>
        <v/>
      </c>
      <c r="AB550" s="26">
        <f>IF(OR($E550="",Z550=0,V550=""),"",1+COUNTIFS(Z$8:Z$707,"&gt;0",V$8:V$707,"&lt;"&amp;V550)+COUNTIFS(Z$8:Z$707,"&gt;0",V$8:V$707,V550,AA$8:AA$707,"&lt;"&amp;AA550)+COUNTIFS(Z$8:Z$707,"&gt;0",V$8:V$707,V550,AA$8:AA$707,AA550,E$8:E$707,"&lt;"&amp;$E550))</f>
        <v/>
      </c>
      <c r="AC550" s="24">
        <f>IF(OR($E550="",Z550=0),"",IFERROR(TODAY()+ROUNDUP(Z550/(SUMIFS($AF550:$IN550,$AF$4:$IN$4,"WASH_ACT")/COUNTIFS($AF$4:$IN$4,"WASH_ACT",$AF550:$IN550,"&gt;0")),0),"no output yet"))</f>
        <v/>
      </c>
      <c r="AD550" s="26">
        <f>IF($E550="","",IFERROR(ROUND(MAX(0,SUMIFS($AF550:$IN550,$AF$4:$IN$4,"SEW_PLAN",$AF$3:$IN$3,"&lt;="&amp;TODAY())-SUMIFS($AF550:$IN550,$AF$4:$IN$4,"SEW_ACT",$AF$3:$IN$3,"&lt;="&amp;TODAY())+N(Q550))/(SUMIFS($AF550:$IN550,$AF$4:$IN$4,"SEW_PLAN")/COUNTIFS($AF$4:$IN$4,"SEW_PLAN",$AF550:$IN550,"&gt;0")),1),0))</f>
        <v/>
      </c>
      <c r="AE550" s="26">
        <f>IF($E550="","",IF(AND(Z550&gt;0,OR(AND(M550&lt;&gt;"",TODAY()&gt;M550),AND(V550&lt;&gt;"",V550-TODAY()&lt;=7))),"Yes","No"))</f>
        <v/>
      </c>
      <c r="AH550">
        <f>IF(OR(AF$3="",AF$3&gt;TODAY()),"",IF(AND(AF550="",AG550=""),"",N(AG550)-N(AF550)))</f>
        <v/>
      </c>
      <c r="AK550">
        <f>IF(OR(AF$3="",AF$3&gt;TODAY()),"",IF(AND(AI550="",AJ550=""),"",N(AJ550)-N(AI550)))</f>
        <v/>
      </c>
      <c r="AO550">
        <f>IF(OR(AM$3="",AM$3&gt;TODAY()),"",IF(AND(AM550="",AN550=""),"",N(AN550)-N(AM550)))</f>
        <v/>
      </c>
      <c r="AR550">
        <f>IF(OR(AM$3="",AM$3&gt;TODAY()),"",IF(AND(AP550="",AQ550=""),"",N(AQ550)-N(AP550)))</f>
        <v/>
      </c>
      <c r="AV550">
        <f>IF(OR(AT$3="",AT$3&gt;TODAY()),"",IF(AND(AT550="",AU550=""),"",N(AU550)-N(AT550)))</f>
        <v/>
      </c>
      <c r="AY550">
        <f>IF(OR(AT$3="",AT$3&gt;TODAY()),"",IF(AND(AW550="",AX550=""),"",N(AX550)-N(AW550)))</f>
        <v/>
      </c>
      <c r="BC550">
        <f>IF(OR(BA$3="",BA$3&gt;TODAY()),"",IF(AND(BA550="",BB550=""),"",N(BB550)-N(BA550)))</f>
        <v/>
      </c>
      <c r="BF550">
        <f>IF(OR(BA$3="",BA$3&gt;TODAY()),"",IF(AND(BD550="",BE550=""),"",N(BE550)-N(BD550)))</f>
        <v/>
      </c>
      <c r="BJ550">
        <f>IF(OR(BH$3="",BH$3&gt;TODAY()),"",IF(AND(BH550="",BI550=""),"",N(BI550)-N(BH550)))</f>
        <v/>
      </c>
      <c r="BM550">
        <f>IF(OR(BH$3="",BH$3&gt;TODAY()),"",IF(AND(BK550="",BL550=""),"",N(BL550)-N(BK550)))</f>
        <v/>
      </c>
      <c r="BQ550">
        <f>IF(OR(BO$3="",BO$3&gt;TODAY()),"",IF(AND(BO550="",BP550=""),"",N(BP550)-N(BO550)))</f>
        <v/>
      </c>
      <c r="BT550">
        <f>IF(OR(BO$3="",BO$3&gt;TODAY()),"",IF(AND(BR550="",BS550=""),"",N(BS550)-N(BR550)))</f>
        <v/>
      </c>
      <c r="BX550">
        <f>IF(OR(BV$3="",BV$3&gt;TODAY()),"",IF(AND(BV550="",BW550=""),"",N(BW550)-N(BV550)))</f>
        <v/>
      </c>
      <c r="CA550">
        <f>IF(OR(BV$3="",BV$3&gt;TODAY()),"",IF(AND(BY550="",BZ550=""),"",N(BZ550)-N(BY550)))</f>
        <v/>
      </c>
      <c r="CE550">
        <f>IF(OR(CC$3="",CC$3&gt;TODAY()),"",IF(AND(CC550="",CD550=""),"",N(CD550)-N(CC550)))</f>
        <v/>
      </c>
      <c r="CH550">
        <f>IF(OR(CC$3="",CC$3&gt;TODAY()),"",IF(AND(CF550="",CG550=""),"",N(CG550)-N(CF550)))</f>
        <v/>
      </c>
      <c r="CL550">
        <f>IF(OR(CJ$3="",CJ$3&gt;TODAY()),"",IF(AND(CJ550="",CK550=""),"",N(CK550)-N(CJ550)))</f>
        <v/>
      </c>
      <c r="CO550">
        <f>IF(OR(CJ$3="",CJ$3&gt;TODAY()),"",IF(AND(CM550="",CN550=""),"",N(CN550)-N(CM550)))</f>
        <v/>
      </c>
      <c r="CS550">
        <f>IF(OR(CQ$3="",CQ$3&gt;TODAY()),"",IF(AND(CQ550="",CR550=""),"",N(CR550)-N(CQ550)))</f>
        <v/>
      </c>
      <c r="CV550">
        <f>IF(OR(CQ$3="",CQ$3&gt;TODAY()),"",IF(AND(CT550="",CU550=""),"",N(CU550)-N(CT550)))</f>
        <v/>
      </c>
      <c r="CZ550">
        <f>IF(OR(CX$3="",CX$3&gt;TODAY()),"",IF(AND(CX550="",CY550=""),"",N(CY550)-N(CX550)))</f>
        <v/>
      </c>
      <c r="DC550">
        <f>IF(OR(CX$3="",CX$3&gt;TODAY()),"",IF(AND(DA550="",DB550=""),"",N(DB550)-N(DA550)))</f>
        <v/>
      </c>
      <c r="DG550">
        <f>IF(OR(DE$3="",DE$3&gt;TODAY()),"",IF(AND(DE550="",DF550=""),"",N(DF550)-N(DE550)))</f>
        <v/>
      </c>
      <c r="DJ550">
        <f>IF(OR(DE$3="",DE$3&gt;TODAY()),"",IF(AND(DH550="",DI550=""),"",N(DI550)-N(DH550)))</f>
        <v/>
      </c>
      <c r="DN550">
        <f>IF(OR(DL$3="",DL$3&gt;TODAY()),"",IF(AND(DL550="",DM550=""),"",N(DM550)-N(DL550)))</f>
        <v/>
      </c>
      <c r="DQ550">
        <f>IF(OR(DL$3="",DL$3&gt;TODAY()),"",IF(AND(DO550="",DP550=""),"",N(DP550)-N(DO550)))</f>
        <v/>
      </c>
      <c r="DU550">
        <f>IF(OR(DS$3="",DS$3&gt;TODAY()),"",IF(AND(DS550="",DT550=""),"",N(DT550)-N(DS550)))</f>
        <v/>
      </c>
      <c r="DX550">
        <f>IF(OR(DS$3="",DS$3&gt;TODAY()),"",IF(AND(DV550="",DW550=""),"",N(DW550)-N(DV550)))</f>
        <v/>
      </c>
      <c r="EB550">
        <f>IF(OR(DZ$3="",DZ$3&gt;TODAY()),"",IF(AND(DZ550="",EA550=""),"",N(EA550)-N(DZ550)))</f>
        <v/>
      </c>
      <c r="EE550">
        <f>IF(OR(DZ$3="",DZ$3&gt;TODAY()),"",IF(AND(EC550="",ED550=""),"",N(ED550)-N(EC550)))</f>
        <v/>
      </c>
      <c r="EI550">
        <f>IF(OR(EG$3="",EG$3&gt;TODAY()),"",IF(AND(EG550="",EH550=""),"",N(EH550)-N(EG550)))</f>
        <v/>
      </c>
      <c r="EL550">
        <f>IF(OR(EG$3="",EG$3&gt;TODAY()),"",IF(AND(EJ550="",EK550=""),"",N(EK550)-N(EJ550)))</f>
        <v/>
      </c>
      <c r="EP550">
        <f>IF(OR(EN$3="",EN$3&gt;TODAY()),"",IF(AND(EN550="",EO550=""),"",N(EO550)-N(EN550)))</f>
        <v/>
      </c>
      <c r="ES550">
        <f>IF(OR(EN$3="",EN$3&gt;TODAY()),"",IF(AND(EQ550="",ER550=""),"",N(ER550)-N(EQ550)))</f>
        <v/>
      </c>
      <c r="EW550">
        <f>IF(OR(EU$3="",EU$3&gt;TODAY()),"",IF(AND(EU550="",EV550=""),"",N(EV550)-N(EU550)))</f>
        <v/>
      </c>
      <c r="EZ550">
        <f>IF(OR(EU$3="",EU$3&gt;TODAY()),"",IF(AND(EX550="",EY550=""),"",N(EY550)-N(EX550)))</f>
        <v/>
      </c>
      <c r="FD550">
        <f>IF(OR(FB$3="",FB$3&gt;TODAY()),"",IF(AND(FB550="",FC550=""),"",N(FC550)-N(FB550)))</f>
        <v/>
      </c>
      <c r="FG550">
        <f>IF(OR(FB$3="",FB$3&gt;TODAY()),"",IF(AND(FE550="",FF550=""),"",N(FF550)-N(FE550)))</f>
        <v/>
      </c>
      <c r="FK550">
        <f>IF(OR(FI$3="",FI$3&gt;TODAY()),"",IF(AND(FI550="",FJ550=""),"",N(FJ550)-N(FI550)))</f>
        <v/>
      </c>
      <c r="FN550">
        <f>IF(OR(FI$3="",FI$3&gt;TODAY()),"",IF(AND(FL550="",FM550=""),"",N(FM550)-N(FL550)))</f>
        <v/>
      </c>
      <c r="FR550">
        <f>IF(OR(FP$3="",FP$3&gt;TODAY()),"",IF(AND(FP550="",FQ550=""),"",N(FQ550)-N(FP550)))</f>
        <v/>
      </c>
      <c r="FU550">
        <f>IF(OR(FP$3="",FP$3&gt;TODAY()),"",IF(AND(FS550="",FT550=""),"",N(FT550)-N(FS550)))</f>
        <v/>
      </c>
      <c r="FY550">
        <f>IF(OR(FW$3="",FW$3&gt;TODAY()),"",IF(AND(FW550="",FX550=""),"",N(FX550)-N(FW550)))</f>
        <v/>
      </c>
      <c r="GB550">
        <f>IF(OR(FW$3="",FW$3&gt;TODAY()),"",IF(AND(FZ550="",GA550=""),"",N(GA550)-N(FZ550)))</f>
        <v/>
      </c>
      <c r="GF550">
        <f>IF(OR(GD$3="",GD$3&gt;TODAY()),"",IF(AND(GD550="",GE550=""),"",N(GE550)-N(GD550)))</f>
        <v/>
      </c>
      <c r="GI550">
        <f>IF(OR(GD$3="",GD$3&gt;TODAY()),"",IF(AND(GG550="",GH550=""),"",N(GH550)-N(GG550)))</f>
        <v/>
      </c>
      <c r="GM550">
        <f>IF(OR(GK$3="",GK$3&gt;TODAY()),"",IF(AND(GK550="",GL550=""),"",N(GL550)-N(GK550)))</f>
        <v/>
      </c>
      <c r="GP550">
        <f>IF(OR(GK$3="",GK$3&gt;TODAY()),"",IF(AND(GN550="",GO550=""),"",N(GO550)-N(GN550)))</f>
        <v/>
      </c>
      <c r="GT550">
        <f>IF(OR(GR$3="",GR$3&gt;TODAY()),"",IF(AND(GR550="",GS550=""),"",N(GS550)-N(GR550)))</f>
        <v/>
      </c>
      <c r="GW550">
        <f>IF(OR(GR$3="",GR$3&gt;TODAY()),"",IF(AND(GU550="",GV550=""),"",N(GV550)-N(GU550)))</f>
        <v/>
      </c>
      <c r="HA550">
        <f>IF(OR(GY$3="",GY$3&gt;TODAY()),"",IF(AND(GY550="",GZ550=""),"",N(GZ550)-N(GY550)))</f>
        <v/>
      </c>
      <c r="HD550">
        <f>IF(OR(GY$3="",GY$3&gt;TODAY()),"",IF(AND(HB550="",HC550=""),"",N(HC550)-N(HB550)))</f>
        <v/>
      </c>
      <c r="HH550">
        <f>IF(OR(HF$3="",HF$3&gt;TODAY()),"",IF(AND(HF550="",HG550=""),"",N(HG550)-N(HF550)))</f>
        <v/>
      </c>
      <c r="HK550">
        <f>IF(OR(HF$3="",HF$3&gt;TODAY()),"",IF(AND(HI550="",HJ550=""),"",N(HJ550)-N(HI550)))</f>
        <v/>
      </c>
      <c r="HO550">
        <f>IF(OR(HM$3="",HM$3&gt;TODAY()),"",IF(AND(HM550="",HN550=""),"",N(HN550)-N(HM550)))</f>
        <v/>
      </c>
      <c r="HR550">
        <f>IF(OR(HM$3="",HM$3&gt;TODAY()),"",IF(AND(HP550="",HQ550=""),"",N(HQ550)-N(HP550)))</f>
        <v/>
      </c>
      <c r="HV550">
        <f>IF(OR(HT$3="",HT$3&gt;TODAY()),"",IF(AND(HT550="",HU550=""),"",N(HU550)-N(HT550)))</f>
        <v/>
      </c>
      <c r="HY550">
        <f>IF(OR(HT$3="",HT$3&gt;TODAY()),"",IF(AND(HW550="",HX550=""),"",N(HX550)-N(HW550)))</f>
        <v/>
      </c>
      <c r="IC550">
        <f>IF(OR(IA$3="",IA$3&gt;TODAY()),"",IF(AND(IA550="",IB550=""),"",N(IB550)-N(IA550)))</f>
        <v/>
      </c>
      <c r="IF550">
        <f>IF(OR(IA$3="",IA$3&gt;TODAY()),"",IF(AND(ID550="",IE550=""),"",N(IE550)-N(ID550)))</f>
        <v/>
      </c>
      <c r="IJ550">
        <f>IF(OR(IH$3="",IH$3&gt;TODAY()),"",IF(AND(IH550="",II550=""),"",N(II550)-N(IH550)))</f>
        <v/>
      </c>
      <c r="IM550">
        <f>IF(OR(IH$3="",IH$3&gt;TODAY()),"",IF(AND(IK550="",IL550=""),"",N(IL550)-N(IK550)))</f>
        <v/>
      </c>
    </row>
    <row r="551">
      <c r="A551" s="21" t="n"/>
      <c r="B551" s="21" t="n"/>
      <c r="C551" s="21" t="n"/>
      <c r="D551" s="21" t="n"/>
      <c r="E551" s="21" t="n"/>
      <c r="F551" s="21" t="n"/>
      <c r="G551" s="21" t="n"/>
      <c r="H551" s="21" t="n"/>
      <c r="I551" s="22" t="n"/>
      <c r="J551" s="22" t="n"/>
      <c r="K551" s="23" t="n"/>
      <c r="L551" s="22" t="n"/>
      <c r="M551" s="22" t="n"/>
      <c r="N551" s="21" t="n"/>
      <c r="O551" s="23" t="n"/>
      <c r="P551" s="23" t="n"/>
      <c r="Q551" s="23" t="n"/>
      <c r="R551" s="23" t="n"/>
      <c r="S551" s="22" t="n"/>
      <c r="T551" s="23" t="n"/>
      <c r="U551" s="23" t="n"/>
      <c r="V551" s="24">
        <f>IF(J551&lt;&gt;"",J551,IF(I551&lt;&gt;"",I551,""))</f>
        <v/>
      </c>
      <c r="W551" s="25">
        <f>IF($E551="","",N(O551)+SUMIFS($AF551:$IN551,$AF$4:$IN$4,"SEW_ACT"))</f>
        <v/>
      </c>
      <c r="X551" s="25">
        <f>IF($E551="","",N(P551)+SUMIFS($AF551:$IN551,$AF$4:$IN$4,"WASH_ACT"))</f>
        <v/>
      </c>
      <c r="Y551" s="25">
        <f>IF($E551="","",W551-X551-N(T551)-N(U551))</f>
        <v/>
      </c>
      <c r="Z551" s="25">
        <f>IF($E551="","",IF(N(K551)-X551&lt;=0.02*N(K551),0,N(K551)-X551))</f>
        <v/>
      </c>
      <c r="AA551" s="24">
        <f>IF($E551="","",IF(S551&lt;&gt;"",S551,IF(N(O551)&gt;0,IF(L551&lt;&gt;"",L551,99999),IFERROR(1/(1/_xlfn.MINIFS($AF$3:$IN$3,$AF$4:$IN$4,"SEW_ACT",$AF551:$IN551,"&gt;0")),99999))))</f>
        <v/>
      </c>
      <c r="AB551" s="26">
        <f>IF(OR($E551="",Z551=0,V551=""),"",1+COUNTIFS(Z$8:Z$707,"&gt;0",V$8:V$707,"&lt;"&amp;V551)+COUNTIFS(Z$8:Z$707,"&gt;0",V$8:V$707,V551,AA$8:AA$707,"&lt;"&amp;AA551)+COUNTIFS(Z$8:Z$707,"&gt;0",V$8:V$707,V551,AA$8:AA$707,AA551,E$8:E$707,"&lt;"&amp;$E551))</f>
        <v/>
      </c>
      <c r="AC551" s="24">
        <f>IF(OR($E551="",Z551=0),"",IFERROR(TODAY()+ROUNDUP(Z551/(SUMIFS($AF551:$IN551,$AF$4:$IN$4,"WASH_ACT")/COUNTIFS($AF$4:$IN$4,"WASH_ACT",$AF551:$IN551,"&gt;0")),0),"no output yet"))</f>
        <v/>
      </c>
      <c r="AD551" s="26">
        <f>IF($E551="","",IFERROR(ROUND(MAX(0,SUMIFS($AF551:$IN551,$AF$4:$IN$4,"SEW_PLAN",$AF$3:$IN$3,"&lt;="&amp;TODAY())-SUMIFS($AF551:$IN551,$AF$4:$IN$4,"SEW_ACT",$AF$3:$IN$3,"&lt;="&amp;TODAY())+N(Q551))/(SUMIFS($AF551:$IN551,$AF$4:$IN$4,"SEW_PLAN")/COUNTIFS($AF$4:$IN$4,"SEW_PLAN",$AF551:$IN551,"&gt;0")),1),0))</f>
        <v/>
      </c>
      <c r="AE551" s="26">
        <f>IF($E551="","",IF(AND(Z551&gt;0,OR(AND(M551&lt;&gt;"",TODAY()&gt;M551),AND(V551&lt;&gt;"",V551-TODAY()&lt;=7))),"Yes","No"))</f>
        <v/>
      </c>
      <c r="AH551">
        <f>IF(OR(AF$3="",AF$3&gt;TODAY()),"",IF(AND(AF551="",AG551=""),"",N(AG551)-N(AF551)))</f>
        <v/>
      </c>
      <c r="AK551">
        <f>IF(OR(AF$3="",AF$3&gt;TODAY()),"",IF(AND(AI551="",AJ551=""),"",N(AJ551)-N(AI551)))</f>
        <v/>
      </c>
      <c r="AO551">
        <f>IF(OR(AM$3="",AM$3&gt;TODAY()),"",IF(AND(AM551="",AN551=""),"",N(AN551)-N(AM551)))</f>
        <v/>
      </c>
      <c r="AR551">
        <f>IF(OR(AM$3="",AM$3&gt;TODAY()),"",IF(AND(AP551="",AQ551=""),"",N(AQ551)-N(AP551)))</f>
        <v/>
      </c>
      <c r="AV551">
        <f>IF(OR(AT$3="",AT$3&gt;TODAY()),"",IF(AND(AT551="",AU551=""),"",N(AU551)-N(AT551)))</f>
        <v/>
      </c>
      <c r="AY551">
        <f>IF(OR(AT$3="",AT$3&gt;TODAY()),"",IF(AND(AW551="",AX551=""),"",N(AX551)-N(AW551)))</f>
        <v/>
      </c>
      <c r="BC551">
        <f>IF(OR(BA$3="",BA$3&gt;TODAY()),"",IF(AND(BA551="",BB551=""),"",N(BB551)-N(BA551)))</f>
        <v/>
      </c>
      <c r="BF551">
        <f>IF(OR(BA$3="",BA$3&gt;TODAY()),"",IF(AND(BD551="",BE551=""),"",N(BE551)-N(BD551)))</f>
        <v/>
      </c>
      <c r="BJ551">
        <f>IF(OR(BH$3="",BH$3&gt;TODAY()),"",IF(AND(BH551="",BI551=""),"",N(BI551)-N(BH551)))</f>
        <v/>
      </c>
      <c r="BM551">
        <f>IF(OR(BH$3="",BH$3&gt;TODAY()),"",IF(AND(BK551="",BL551=""),"",N(BL551)-N(BK551)))</f>
        <v/>
      </c>
      <c r="BQ551">
        <f>IF(OR(BO$3="",BO$3&gt;TODAY()),"",IF(AND(BO551="",BP551=""),"",N(BP551)-N(BO551)))</f>
        <v/>
      </c>
      <c r="BT551">
        <f>IF(OR(BO$3="",BO$3&gt;TODAY()),"",IF(AND(BR551="",BS551=""),"",N(BS551)-N(BR551)))</f>
        <v/>
      </c>
      <c r="BX551">
        <f>IF(OR(BV$3="",BV$3&gt;TODAY()),"",IF(AND(BV551="",BW551=""),"",N(BW551)-N(BV551)))</f>
        <v/>
      </c>
      <c r="CA551">
        <f>IF(OR(BV$3="",BV$3&gt;TODAY()),"",IF(AND(BY551="",BZ551=""),"",N(BZ551)-N(BY551)))</f>
        <v/>
      </c>
      <c r="CE551">
        <f>IF(OR(CC$3="",CC$3&gt;TODAY()),"",IF(AND(CC551="",CD551=""),"",N(CD551)-N(CC551)))</f>
        <v/>
      </c>
      <c r="CH551">
        <f>IF(OR(CC$3="",CC$3&gt;TODAY()),"",IF(AND(CF551="",CG551=""),"",N(CG551)-N(CF551)))</f>
        <v/>
      </c>
      <c r="CL551">
        <f>IF(OR(CJ$3="",CJ$3&gt;TODAY()),"",IF(AND(CJ551="",CK551=""),"",N(CK551)-N(CJ551)))</f>
        <v/>
      </c>
      <c r="CO551">
        <f>IF(OR(CJ$3="",CJ$3&gt;TODAY()),"",IF(AND(CM551="",CN551=""),"",N(CN551)-N(CM551)))</f>
        <v/>
      </c>
      <c r="CS551">
        <f>IF(OR(CQ$3="",CQ$3&gt;TODAY()),"",IF(AND(CQ551="",CR551=""),"",N(CR551)-N(CQ551)))</f>
        <v/>
      </c>
      <c r="CV551">
        <f>IF(OR(CQ$3="",CQ$3&gt;TODAY()),"",IF(AND(CT551="",CU551=""),"",N(CU551)-N(CT551)))</f>
        <v/>
      </c>
      <c r="CZ551">
        <f>IF(OR(CX$3="",CX$3&gt;TODAY()),"",IF(AND(CX551="",CY551=""),"",N(CY551)-N(CX551)))</f>
        <v/>
      </c>
      <c r="DC551">
        <f>IF(OR(CX$3="",CX$3&gt;TODAY()),"",IF(AND(DA551="",DB551=""),"",N(DB551)-N(DA551)))</f>
        <v/>
      </c>
      <c r="DG551">
        <f>IF(OR(DE$3="",DE$3&gt;TODAY()),"",IF(AND(DE551="",DF551=""),"",N(DF551)-N(DE551)))</f>
        <v/>
      </c>
      <c r="DJ551">
        <f>IF(OR(DE$3="",DE$3&gt;TODAY()),"",IF(AND(DH551="",DI551=""),"",N(DI551)-N(DH551)))</f>
        <v/>
      </c>
      <c r="DN551">
        <f>IF(OR(DL$3="",DL$3&gt;TODAY()),"",IF(AND(DL551="",DM551=""),"",N(DM551)-N(DL551)))</f>
        <v/>
      </c>
      <c r="DQ551">
        <f>IF(OR(DL$3="",DL$3&gt;TODAY()),"",IF(AND(DO551="",DP551=""),"",N(DP551)-N(DO551)))</f>
        <v/>
      </c>
      <c r="DU551">
        <f>IF(OR(DS$3="",DS$3&gt;TODAY()),"",IF(AND(DS551="",DT551=""),"",N(DT551)-N(DS551)))</f>
        <v/>
      </c>
      <c r="DX551">
        <f>IF(OR(DS$3="",DS$3&gt;TODAY()),"",IF(AND(DV551="",DW551=""),"",N(DW551)-N(DV551)))</f>
        <v/>
      </c>
      <c r="EB551">
        <f>IF(OR(DZ$3="",DZ$3&gt;TODAY()),"",IF(AND(DZ551="",EA551=""),"",N(EA551)-N(DZ551)))</f>
        <v/>
      </c>
      <c r="EE551">
        <f>IF(OR(DZ$3="",DZ$3&gt;TODAY()),"",IF(AND(EC551="",ED551=""),"",N(ED551)-N(EC551)))</f>
        <v/>
      </c>
      <c r="EI551">
        <f>IF(OR(EG$3="",EG$3&gt;TODAY()),"",IF(AND(EG551="",EH551=""),"",N(EH551)-N(EG551)))</f>
        <v/>
      </c>
      <c r="EL551">
        <f>IF(OR(EG$3="",EG$3&gt;TODAY()),"",IF(AND(EJ551="",EK551=""),"",N(EK551)-N(EJ551)))</f>
        <v/>
      </c>
      <c r="EP551">
        <f>IF(OR(EN$3="",EN$3&gt;TODAY()),"",IF(AND(EN551="",EO551=""),"",N(EO551)-N(EN551)))</f>
        <v/>
      </c>
      <c r="ES551">
        <f>IF(OR(EN$3="",EN$3&gt;TODAY()),"",IF(AND(EQ551="",ER551=""),"",N(ER551)-N(EQ551)))</f>
        <v/>
      </c>
      <c r="EW551">
        <f>IF(OR(EU$3="",EU$3&gt;TODAY()),"",IF(AND(EU551="",EV551=""),"",N(EV551)-N(EU551)))</f>
        <v/>
      </c>
      <c r="EZ551">
        <f>IF(OR(EU$3="",EU$3&gt;TODAY()),"",IF(AND(EX551="",EY551=""),"",N(EY551)-N(EX551)))</f>
        <v/>
      </c>
      <c r="FD551">
        <f>IF(OR(FB$3="",FB$3&gt;TODAY()),"",IF(AND(FB551="",FC551=""),"",N(FC551)-N(FB551)))</f>
        <v/>
      </c>
      <c r="FG551">
        <f>IF(OR(FB$3="",FB$3&gt;TODAY()),"",IF(AND(FE551="",FF551=""),"",N(FF551)-N(FE551)))</f>
        <v/>
      </c>
      <c r="FK551">
        <f>IF(OR(FI$3="",FI$3&gt;TODAY()),"",IF(AND(FI551="",FJ551=""),"",N(FJ551)-N(FI551)))</f>
        <v/>
      </c>
      <c r="FN551">
        <f>IF(OR(FI$3="",FI$3&gt;TODAY()),"",IF(AND(FL551="",FM551=""),"",N(FM551)-N(FL551)))</f>
        <v/>
      </c>
      <c r="FR551">
        <f>IF(OR(FP$3="",FP$3&gt;TODAY()),"",IF(AND(FP551="",FQ551=""),"",N(FQ551)-N(FP551)))</f>
        <v/>
      </c>
      <c r="FU551">
        <f>IF(OR(FP$3="",FP$3&gt;TODAY()),"",IF(AND(FS551="",FT551=""),"",N(FT551)-N(FS551)))</f>
        <v/>
      </c>
      <c r="FY551">
        <f>IF(OR(FW$3="",FW$3&gt;TODAY()),"",IF(AND(FW551="",FX551=""),"",N(FX551)-N(FW551)))</f>
        <v/>
      </c>
      <c r="GB551">
        <f>IF(OR(FW$3="",FW$3&gt;TODAY()),"",IF(AND(FZ551="",GA551=""),"",N(GA551)-N(FZ551)))</f>
        <v/>
      </c>
      <c r="GF551">
        <f>IF(OR(GD$3="",GD$3&gt;TODAY()),"",IF(AND(GD551="",GE551=""),"",N(GE551)-N(GD551)))</f>
        <v/>
      </c>
      <c r="GI551">
        <f>IF(OR(GD$3="",GD$3&gt;TODAY()),"",IF(AND(GG551="",GH551=""),"",N(GH551)-N(GG551)))</f>
        <v/>
      </c>
      <c r="GM551">
        <f>IF(OR(GK$3="",GK$3&gt;TODAY()),"",IF(AND(GK551="",GL551=""),"",N(GL551)-N(GK551)))</f>
        <v/>
      </c>
      <c r="GP551">
        <f>IF(OR(GK$3="",GK$3&gt;TODAY()),"",IF(AND(GN551="",GO551=""),"",N(GO551)-N(GN551)))</f>
        <v/>
      </c>
      <c r="GT551">
        <f>IF(OR(GR$3="",GR$3&gt;TODAY()),"",IF(AND(GR551="",GS551=""),"",N(GS551)-N(GR551)))</f>
        <v/>
      </c>
      <c r="GW551">
        <f>IF(OR(GR$3="",GR$3&gt;TODAY()),"",IF(AND(GU551="",GV551=""),"",N(GV551)-N(GU551)))</f>
        <v/>
      </c>
      <c r="HA551">
        <f>IF(OR(GY$3="",GY$3&gt;TODAY()),"",IF(AND(GY551="",GZ551=""),"",N(GZ551)-N(GY551)))</f>
        <v/>
      </c>
      <c r="HD551">
        <f>IF(OR(GY$3="",GY$3&gt;TODAY()),"",IF(AND(HB551="",HC551=""),"",N(HC551)-N(HB551)))</f>
        <v/>
      </c>
      <c r="HH551">
        <f>IF(OR(HF$3="",HF$3&gt;TODAY()),"",IF(AND(HF551="",HG551=""),"",N(HG551)-N(HF551)))</f>
        <v/>
      </c>
      <c r="HK551">
        <f>IF(OR(HF$3="",HF$3&gt;TODAY()),"",IF(AND(HI551="",HJ551=""),"",N(HJ551)-N(HI551)))</f>
        <v/>
      </c>
      <c r="HO551">
        <f>IF(OR(HM$3="",HM$3&gt;TODAY()),"",IF(AND(HM551="",HN551=""),"",N(HN551)-N(HM551)))</f>
        <v/>
      </c>
      <c r="HR551">
        <f>IF(OR(HM$3="",HM$3&gt;TODAY()),"",IF(AND(HP551="",HQ551=""),"",N(HQ551)-N(HP551)))</f>
        <v/>
      </c>
      <c r="HV551">
        <f>IF(OR(HT$3="",HT$3&gt;TODAY()),"",IF(AND(HT551="",HU551=""),"",N(HU551)-N(HT551)))</f>
        <v/>
      </c>
      <c r="HY551">
        <f>IF(OR(HT$3="",HT$3&gt;TODAY()),"",IF(AND(HW551="",HX551=""),"",N(HX551)-N(HW551)))</f>
        <v/>
      </c>
      <c r="IC551">
        <f>IF(OR(IA$3="",IA$3&gt;TODAY()),"",IF(AND(IA551="",IB551=""),"",N(IB551)-N(IA551)))</f>
        <v/>
      </c>
      <c r="IF551">
        <f>IF(OR(IA$3="",IA$3&gt;TODAY()),"",IF(AND(ID551="",IE551=""),"",N(IE551)-N(ID551)))</f>
        <v/>
      </c>
      <c r="IJ551">
        <f>IF(OR(IH$3="",IH$3&gt;TODAY()),"",IF(AND(IH551="",II551=""),"",N(II551)-N(IH551)))</f>
        <v/>
      </c>
      <c r="IM551">
        <f>IF(OR(IH$3="",IH$3&gt;TODAY()),"",IF(AND(IK551="",IL551=""),"",N(IL551)-N(IK551)))</f>
        <v/>
      </c>
    </row>
    <row r="552">
      <c r="A552" s="21" t="n"/>
      <c r="B552" s="21" t="n"/>
      <c r="C552" s="21" t="n"/>
      <c r="D552" s="21" t="n"/>
      <c r="E552" s="21" t="n"/>
      <c r="F552" s="21" t="n"/>
      <c r="G552" s="21" t="n"/>
      <c r="H552" s="21" t="n"/>
      <c r="I552" s="22" t="n"/>
      <c r="J552" s="22" t="n"/>
      <c r="K552" s="23" t="n"/>
      <c r="L552" s="22" t="n"/>
      <c r="M552" s="22" t="n"/>
      <c r="N552" s="21" t="n"/>
      <c r="O552" s="23" t="n"/>
      <c r="P552" s="23" t="n"/>
      <c r="Q552" s="23" t="n"/>
      <c r="R552" s="23" t="n"/>
      <c r="S552" s="22" t="n"/>
      <c r="T552" s="23" t="n"/>
      <c r="U552" s="23" t="n"/>
      <c r="V552" s="24">
        <f>IF(J552&lt;&gt;"",J552,IF(I552&lt;&gt;"",I552,""))</f>
        <v/>
      </c>
      <c r="W552" s="25">
        <f>IF($E552="","",N(O552)+SUMIFS($AF552:$IN552,$AF$4:$IN$4,"SEW_ACT"))</f>
        <v/>
      </c>
      <c r="X552" s="25">
        <f>IF($E552="","",N(P552)+SUMIFS($AF552:$IN552,$AF$4:$IN$4,"WASH_ACT"))</f>
        <v/>
      </c>
      <c r="Y552" s="25">
        <f>IF($E552="","",W552-X552-N(T552)-N(U552))</f>
        <v/>
      </c>
      <c r="Z552" s="25">
        <f>IF($E552="","",IF(N(K552)-X552&lt;=0.02*N(K552),0,N(K552)-X552))</f>
        <v/>
      </c>
      <c r="AA552" s="24">
        <f>IF($E552="","",IF(S552&lt;&gt;"",S552,IF(N(O552)&gt;0,IF(L552&lt;&gt;"",L552,99999),IFERROR(1/(1/_xlfn.MINIFS($AF$3:$IN$3,$AF$4:$IN$4,"SEW_ACT",$AF552:$IN552,"&gt;0")),99999))))</f>
        <v/>
      </c>
      <c r="AB552" s="26">
        <f>IF(OR($E552="",Z552=0,V552=""),"",1+COUNTIFS(Z$8:Z$707,"&gt;0",V$8:V$707,"&lt;"&amp;V552)+COUNTIFS(Z$8:Z$707,"&gt;0",V$8:V$707,V552,AA$8:AA$707,"&lt;"&amp;AA552)+COUNTIFS(Z$8:Z$707,"&gt;0",V$8:V$707,V552,AA$8:AA$707,AA552,E$8:E$707,"&lt;"&amp;$E552))</f>
        <v/>
      </c>
      <c r="AC552" s="24">
        <f>IF(OR($E552="",Z552=0),"",IFERROR(TODAY()+ROUNDUP(Z552/(SUMIFS($AF552:$IN552,$AF$4:$IN$4,"WASH_ACT")/COUNTIFS($AF$4:$IN$4,"WASH_ACT",$AF552:$IN552,"&gt;0")),0),"no output yet"))</f>
        <v/>
      </c>
      <c r="AD552" s="26">
        <f>IF($E552="","",IFERROR(ROUND(MAX(0,SUMIFS($AF552:$IN552,$AF$4:$IN$4,"SEW_PLAN",$AF$3:$IN$3,"&lt;="&amp;TODAY())-SUMIFS($AF552:$IN552,$AF$4:$IN$4,"SEW_ACT",$AF$3:$IN$3,"&lt;="&amp;TODAY())+N(Q552))/(SUMIFS($AF552:$IN552,$AF$4:$IN$4,"SEW_PLAN")/COUNTIFS($AF$4:$IN$4,"SEW_PLAN",$AF552:$IN552,"&gt;0")),1),0))</f>
        <v/>
      </c>
      <c r="AE552" s="26">
        <f>IF($E552="","",IF(AND(Z552&gt;0,OR(AND(M552&lt;&gt;"",TODAY()&gt;M552),AND(V552&lt;&gt;"",V552-TODAY()&lt;=7))),"Yes","No"))</f>
        <v/>
      </c>
      <c r="AH552">
        <f>IF(OR(AF$3="",AF$3&gt;TODAY()),"",IF(AND(AF552="",AG552=""),"",N(AG552)-N(AF552)))</f>
        <v/>
      </c>
      <c r="AK552">
        <f>IF(OR(AF$3="",AF$3&gt;TODAY()),"",IF(AND(AI552="",AJ552=""),"",N(AJ552)-N(AI552)))</f>
        <v/>
      </c>
      <c r="AO552">
        <f>IF(OR(AM$3="",AM$3&gt;TODAY()),"",IF(AND(AM552="",AN552=""),"",N(AN552)-N(AM552)))</f>
        <v/>
      </c>
      <c r="AR552">
        <f>IF(OR(AM$3="",AM$3&gt;TODAY()),"",IF(AND(AP552="",AQ552=""),"",N(AQ552)-N(AP552)))</f>
        <v/>
      </c>
      <c r="AV552">
        <f>IF(OR(AT$3="",AT$3&gt;TODAY()),"",IF(AND(AT552="",AU552=""),"",N(AU552)-N(AT552)))</f>
        <v/>
      </c>
      <c r="AY552">
        <f>IF(OR(AT$3="",AT$3&gt;TODAY()),"",IF(AND(AW552="",AX552=""),"",N(AX552)-N(AW552)))</f>
        <v/>
      </c>
      <c r="BC552">
        <f>IF(OR(BA$3="",BA$3&gt;TODAY()),"",IF(AND(BA552="",BB552=""),"",N(BB552)-N(BA552)))</f>
        <v/>
      </c>
      <c r="BF552">
        <f>IF(OR(BA$3="",BA$3&gt;TODAY()),"",IF(AND(BD552="",BE552=""),"",N(BE552)-N(BD552)))</f>
        <v/>
      </c>
      <c r="BJ552">
        <f>IF(OR(BH$3="",BH$3&gt;TODAY()),"",IF(AND(BH552="",BI552=""),"",N(BI552)-N(BH552)))</f>
        <v/>
      </c>
      <c r="BM552">
        <f>IF(OR(BH$3="",BH$3&gt;TODAY()),"",IF(AND(BK552="",BL552=""),"",N(BL552)-N(BK552)))</f>
        <v/>
      </c>
      <c r="BQ552">
        <f>IF(OR(BO$3="",BO$3&gt;TODAY()),"",IF(AND(BO552="",BP552=""),"",N(BP552)-N(BO552)))</f>
        <v/>
      </c>
      <c r="BT552">
        <f>IF(OR(BO$3="",BO$3&gt;TODAY()),"",IF(AND(BR552="",BS552=""),"",N(BS552)-N(BR552)))</f>
        <v/>
      </c>
      <c r="BX552">
        <f>IF(OR(BV$3="",BV$3&gt;TODAY()),"",IF(AND(BV552="",BW552=""),"",N(BW552)-N(BV552)))</f>
        <v/>
      </c>
      <c r="CA552">
        <f>IF(OR(BV$3="",BV$3&gt;TODAY()),"",IF(AND(BY552="",BZ552=""),"",N(BZ552)-N(BY552)))</f>
        <v/>
      </c>
      <c r="CE552">
        <f>IF(OR(CC$3="",CC$3&gt;TODAY()),"",IF(AND(CC552="",CD552=""),"",N(CD552)-N(CC552)))</f>
        <v/>
      </c>
      <c r="CH552">
        <f>IF(OR(CC$3="",CC$3&gt;TODAY()),"",IF(AND(CF552="",CG552=""),"",N(CG552)-N(CF552)))</f>
        <v/>
      </c>
      <c r="CL552">
        <f>IF(OR(CJ$3="",CJ$3&gt;TODAY()),"",IF(AND(CJ552="",CK552=""),"",N(CK552)-N(CJ552)))</f>
        <v/>
      </c>
      <c r="CO552">
        <f>IF(OR(CJ$3="",CJ$3&gt;TODAY()),"",IF(AND(CM552="",CN552=""),"",N(CN552)-N(CM552)))</f>
        <v/>
      </c>
      <c r="CS552">
        <f>IF(OR(CQ$3="",CQ$3&gt;TODAY()),"",IF(AND(CQ552="",CR552=""),"",N(CR552)-N(CQ552)))</f>
        <v/>
      </c>
      <c r="CV552">
        <f>IF(OR(CQ$3="",CQ$3&gt;TODAY()),"",IF(AND(CT552="",CU552=""),"",N(CU552)-N(CT552)))</f>
        <v/>
      </c>
      <c r="CZ552">
        <f>IF(OR(CX$3="",CX$3&gt;TODAY()),"",IF(AND(CX552="",CY552=""),"",N(CY552)-N(CX552)))</f>
        <v/>
      </c>
      <c r="DC552">
        <f>IF(OR(CX$3="",CX$3&gt;TODAY()),"",IF(AND(DA552="",DB552=""),"",N(DB552)-N(DA552)))</f>
        <v/>
      </c>
      <c r="DG552">
        <f>IF(OR(DE$3="",DE$3&gt;TODAY()),"",IF(AND(DE552="",DF552=""),"",N(DF552)-N(DE552)))</f>
        <v/>
      </c>
      <c r="DJ552">
        <f>IF(OR(DE$3="",DE$3&gt;TODAY()),"",IF(AND(DH552="",DI552=""),"",N(DI552)-N(DH552)))</f>
        <v/>
      </c>
      <c r="DN552">
        <f>IF(OR(DL$3="",DL$3&gt;TODAY()),"",IF(AND(DL552="",DM552=""),"",N(DM552)-N(DL552)))</f>
        <v/>
      </c>
      <c r="DQ552">
        <f>IF(OR(DL$3="",DL$3&gt;TODAY()),"",IF(AND(DO552="",DP552=""),"",N(DP552)-N(DO552)))</f>
        <v/>
      </c>
      <c r="DU552">
        <f>IF(OR(DS$3="",DS$3&gt;TODAY()),"",IF(AND(DS552="",DT552=""),"",N(DT552)-N(DS552)))</f>
        <v/>
      </c>
      <c r="DX552">
        <f>IF(OR(DS$3="",DS$3&gt;TODAY()),"",IF(AND(DV552="",DW552=""),"",N(DW552)-N(DV552)))</f>
        <v/>
      </c>
      <c r="EB552">
        <f>IF(OR(DZ$3="",DZ$3&gt;TODAY()),"",IF(AND(DZ552="",EA552=""),"",N(EA552)-N(DZ552)))</f>
        <v/>
      </c>
      <c r="EE552">
        <f>IF(OR(DZ$3="",DZ$3&gt;TODAY()),"",IF(AND(EC552="",ED552=""),"",N(ED552)-N(EC552)))</f>
        <v/>
      </c>
      <c r="EI552">
        <f>IF(OR(EG$3="",EG$3&gt;TODAY()),"",IF(AND(EG552="",EH552=""),"",N(EH552)-N(EG552)))</f>
        <v/>
      </c>
      <c r="EL552">
        <f>IF(OR(EG$3="",EG$3&gt;TODAY()),"",IF(AND(EJ552="",EK552=""),"",N(EK552)-N(EJ552)))</f>
        <v/>
      </c>
      <c r="EP552">
        <f>IF(OR(EN$3="",EN$3&gt;TODAY()),"",IF(AND(EN552="",EO552=""),"",N(EO552)-N(EN552)))</f>
        <v/>
      </c>
      <c r="ES552">
        <f>IF(OR(EN$3="",EN$3&gt;TODAY()),"",IF(AND(EQ552="",ER552=""),"",N(ER552)-N(EQ552)))</f>
        <v/>
      </c>
      <c r="EW552">
        <f>IF(OR(EU$3="",EU$3&gt;TODAY()),"",IF(AND(EU552="",EV552=""),"",N(EV552)-N(EU552)))</f>
        <v/>
      </c>
      <c r="EZ552">
        <f>IF(OR(EU$3="",EU$3&gt;TODAY()),"",IF(AND(EX552="",EY552=""),"",N(EY552)-N(EX552)))</f>
        <v/>
      </c>
      <c r="FD552">
        <f>IF(OR(FB$3="",FB$3&gt;TODAY()),"",IF(AND(FB552="",FC552=""),"",N(FC552)-N(FB552)))</f>
        <v/>
      </c>
      <c r="FG552">
        <f>IF(OR(FB$3="",FB$3&gt;TODAY()),"",IF(AND(FE552="",FF552=""),"",N(FF552)-N(FE552)))</f>
        <v/>
      </c>
      <c r="FK552">
        <f>IF(OR(FI$3="",FI$3&gt;TODAY()),"",IF(AND(FI552="",FJ552=""),"",N(FJ552)-N(FI552)))</f>
        <v/>
      </c>
      <c r="FN552">
        <f>IF(OR(FI$3="",FI$3&gt;TODAY()),"",IF(AND(FL552="",FM552=""),"",N(FM552)-N(FL552)))</f>
        <v/>
      </c>
      <c r="FR552">
        <f>IF(OR(FP$3="",FP$3&gt;TODAY()),"",IF(AND(FP552="",FQ552=""),"",N(FQ552)-N(FP552)))</f>
        <v/>
      </c>
      <c r="FU552">
        <f>IF(OR(FP$3="",FP$3&gt;TODAY()),"",IF(AND(FS552="",FT552=""),"",N(FT552)-N(FS552)))</f>
        <v/>
      </c>
      <c r="FY552">
        <f>IF(OR(FW$3="",FW$3&gt;TODAY()),"",IF(AND(FW552="",FX552=""),"",N(FX552)-N(FW552)))</f>
        <v/>
      </c>
      <c r="GB552">
        <f>IF(OR(FW$3="",FW$3&gt;TODAY()),"",IF(AND(FZ552="",GA552=""),"",N(GA552)-N(FZ552)))</f>
        <v/>
      </c>
      <c r="GF552">
        <f>IF(OR(GD$3="",GD$3&gt;TODAY()),"",IF(AND(GD552="",GE552=""),"",N(GE552)-N(GD552)))</f>
        <v/>
      </c>
      <c r="GI552">
        <f>IF(OR(GD$3="",GD$3&gt;TODAY()),"",IF(AND(GG552="",GH552=""),"",N(GH552)-N(GG552)))</f>
        <v/>
      </c>
      <c r="GM552">
        <f>IF(OR(GK$3="",GK$3&gt;TODAY()),"",IF(AND(GK552="",GL552=""),"",N(GL552)-N(GK552)))</f>
        <v/>
      </c>
      <c r="GP552">
        <f>IF(OR(GK$3="",GK$3&gt;TODAY()),"",IF(AND(GN552="",GO552=""),"",N(GO552)-N(GN552)))</f>
        <v/>
      </c>
      <c r="GT552">
        <f>IF(OR(GR$3="",GR$3&gt;TODAY()),"",IF(AND(GR552="",GS552=""),"",N(GS552)-N(GR552)))</f>
        <v/>
      </c>
      <c r="GW552">
        <f>IF(OR(GR$3="",GR$3&gt;TODAY()),"",IF(AND(GU552="",GV552=""),"",N(GV552)-N(GU552)))</f>
        <v/>
      </c>
      <c r="HA552">
        <f>IF(OR(GY$3="",GY$3&gt;TODAY()),"",IF(AND(GY552="",GZ552=""),"",N(GZ552)-N(GY552)))</f>
        <v/>
      </c>
      <c r="HD552">
        <f>IF(OR(GY$3="",GY$3&gt;TODAY()),"",IF(AND(HB552="",HC552=""),"",N(HC552)-N(HB552)))</f>
        <v/>
      </c>
      <c r="HH552">
        <f>IF(OR(HF$3="",HF$3&gt;TODAY()),"",IF(AND(HF552="",HG552=""),"",N(HG552)-N(HF552)))</f>
        <v/>
      </c>
      <c r="HK552">
        <f>IF(OR(HF$3="",HF$3&gt;TODAY()),"",IF(AND(HI552="",HJ552=""),"",N(HJ552)-N(HI552)))</f>
        <v/>
      </c>
      <c r="HO552">
        <f>IF(OR(HM$3="",HM$3&gt;TODAY()),"",IF(AND(HM552="",HN552=""),"",N(HN552)-N(HM552)))</f>
        <v/>
      </c>
      <c r="HR552">
        <f>IF(OR(HM$3="",HM$3&gt;TODAY()),"",IF(AND(HP552="",HQ552=""),"",N(HQ552)-N(HP552)))</f>
        <v/>
      </c>
      <c r="HV552">
        <f>IF(OR(HT$3="",HT$3&gt;TODAY()),"",IF(AND(HT552="",HU552=""),"",N(HU552)-N(HT552)))</f>
        <v/>
      </c>
      <c r="HY552">
        <f>IF(OR(HT$3="",HT$3&gt;TODAY()),"",IF(AND(HW552="",HX552=""),"",N(HX552)-N(HW552)))</f>
        <v/>
      </c>
      <c r="IC552">
        <f>IF(OR(IA$3="",IA$3&gt;TODAY()),"",IF(AND(IA552="",IB552=""),"",N(IB552)-N(IA552)))</f>
        <v/>
      </c>
      <c r="IF552">
        <f>IF(OR(IA$3="",IA$3&gt;TODAY()),"",IF(AND(ID552="",IE552=""),"",N(IE552)-N(ID552)))</f>
        <v/>
      </c>
      <c r="IJ552">
        <f>IF(OR(IH$3="",IH$3&gt;TODAY()),"",IF(AND(IH552="",II552=""),"",N(II552)-N(IH552)))</f>
        <v/>
      </c>
      <c r="IM552">
        <f>IF(OR(IH$3="",IH$3&gt;TODAY()),"",IF(AND(IK552="",IL552=""),"",N(IL552)-N(IK552)))</f>
        <v/>
      </c>
    </row>
    <row r="553">
      <c r="A553" s="21" t="n"/>
      <c r="B553" s="21" t="n"/>
      <c r="C553" s="21" t="n"/>
      <c r="D553" s="21" t="n"/>
      <c r="E553" s="21" t="n"/>
      <c r="F553" s="21" t="n"/>
      <c r="G553" s="21" t="n"/>
      <c r="H553" s="21" t="n"/>
      <c r="I553" s="22" t="n"/>
      <c r="J553" s="22" t="n"/>
      <c r="K553" s="23" t="n"/>
      <c r="L553" s="22" t="n"/>
      <c r="M553" s="22" t="n"/>
      <c r="N553" s="21" t="n"/>
      <c r="O553" s="23" t="n"/>
      <c r="P553" s="23" t="n"/>
      <c r="Q553" s="23" t="n"/>
      <c r="R553" s="23" t="n"/>
      <c r="S553" s="22" t="n"/>
      <c r="T553" s="23" t="n"/>
      <c r="U553" s="23" t="n"/>
      <c r="V553" s="24">
        <f>IF(J553&lt;&gt;"",J553,IF(I553&lt;&gt;"",I553,""))</f>
        <v/>
      </c>
      <c r="W553" s="25">
        <f>IF($E553="","",N(O553)+SUMIFS($AF553:$IN553,$AF$4:$IN$4,"SEW_ACT"))</f>
        <v/>
      </c>
      <c r="X553" s="25">
        <f>IF($E553="","",N(P553)+SUMIFS($AF553:$IN553,$AF$4:$IN$4,"WASH_ACT"))</f>
        <v/>
      </c>
      <c r="Y553" s="25">
        <f>IF($E553="","",W553-X553-N(T553)-N(U553))</f>
        <v/>
      </c>
      <c r="Z553" s="25">
        <f>IF($E553="","",IF(N(K553)-X553&lt;=0.02*N(K553),0,N(K553)-X553))</f>
        <v/>
      </c>
      <c r="AA553" s="24">
        <f>IF($E553="","",IF(S553&lt;&gt;"",S553,IF(N(O553)&gt;0,IF(L553&lt;&gt;"",L553,99999),IFERROR(1/(1/_xlfn.MINIFS($AF$3:$IN$3,$AF$4:$IN$4,"SEW_ACT",$AF553:$IN553,"&gt;0")),99999))))</f>
        <v/>
      </c>
      <c r="AB553" s="26">
        <f>IF(OR($E553="",Z553=0,V553=""),"",1+COUNTIFS(Z$8:Z$707,"&gt;0",V$8:V$707,"&lt;"&amp;V553)+COUNTIFS(Z$8:Z$707,"&gt;0",V$8:V$707,V553,AA$8:AA$707,"&lt;"&amp;AA553)+COUNTIFS(Z$8:Z$707,"&gt;0",V$8:V$707,V553,AA$8:AA$707,AA553,E$8:E$707,"&lt;"&amp;$E553))</f>
        <v/>
      </c>
      <c r="AC553" s="24">
        <f>IF(OR($E553="",Z553=0),"",IFERROR(TODAY()+ROUNDUP(Z553/(SUMIFS($AF553:$IN553,$AF$4:$IN$4,"WASH_ACT")/COUNTIFS($AF$4:$IN$4,"WASH_ACT",$AF553:$IN553,"&gt;0")),0),"no output yet"))</f>
        <v/>
      </c>
      <c r="AD553" s="26">
        <f>IF($E553="","",IFERROR(ROUND(MAX(0,SUMIFS($AF553:$IN553,$AF$4:$IN$4,"SEW_PLAN",$AF$3:$IN$3,"&lt;="&amp;TODAY())-SUMIFS($AF553:$IN553,$AF$4:$IN$4,"SEW_ACT",$AF$3:$IN$3,"&lt;="&amp;TODAY())+N(Q553))/(SUMIFS($AF553:$IN553,$AF$4:$IN$4,"SEW_PLAN")/COUNTIFS($AF$4:$IN$4,"SEW_PLAN",$AF553:$IN553,"&gt;0")),1),0))</f>
        <v/>
      </c>
      <c r="AE553" s="26">
        <f>IF($E553="","",IF(AND(Z553&gt;0,OR(AND(M553&lt;&gt;"",TODAY()&gt;M553),AND(V553&lt;&gt;"",V553-TODAY()&lt;=7))),"Yes","No"))</f>
        <v/>
      </c>
      <c r="AH553">
        <f>IF(OR(AF$3="",AF$3&gt;TODAY()),"",IF(AND(AF553="",AG553=""),"",N(AG553)-N(AF553)))</f>
        <v/>
      </c>
      <c r="AK553">
        <f>IF(OR(AF$3="",AF$3&gt;TODAY()),"",IF(AND(AI553="",AJ553=""),"",N(AJ553)-N(AI553)))</f>
        <v/>
      </c>
      <c r="AO553">
        <f>IF(OR(AM$3="",AM$3&gt;TODAY()),"",IF(AND(AM553="",AN553=""),"",N(AN553)-N(AM553)))</f>
        <v/>
      </c>
      <c r="AR553">
        <f>IF(OR(AM$3="",AM$3&gt;TODAY()),"",IF(AND(AP553="",AQ553=""),"",N(AQ553)-N(AP553)))</f>
        <v/>
      </c>
      <c r="AV553">
        <f>IF(OR(AT$3="",AT$3&gt;TODAY()),"",IF(AND(AT553="",AU553=""),"",N(AU553)-N(AT553)))</f>
        <v/>
      </c>
      <c r="AY553">
        <f>IF(OR(AT$3="",AT$3&gt;TODAY()),"",IF(AND(AW553="",AX553=""),"",N(AX553)-N(AW553)))</f>
        <v/>
      </c>
      <c r="BC553">
        <f>IF(OR(BA$3="",BA$3&gt;TODAY()),"",IF(AND(BA553="",BB553=""),"",N(BB553)-N(BA553)))</f>
        <v/>
      </c>
      <c r="BF553">
        <f>IF(OR(BA$3="",BA$3&gt;TODAY()),"",IF(AND(BD553="",BE553=""),"",N(BE553)-N(BD553)))</f>
        <v/>
      </c>
      <c r="BJ553">
        <f>IF(OR(BH$3="",BH$3&gt;TODAY()),"",IF(AND(BH553="",BI553=""),"",N(BI553)-N(BH553)))</f>
        <v/>
      </c>
      <c r="BM553">
        <f>IF(OR(BH$3="",BH$3&gt;TODAY()),"",IF(AND(BK553="",BL553=""),"",N(BL553)-N(BK553)))</f>
        <v/>
      </c>
      <c r="BQ553">
        <f>IF(OR(BO$3="",BO$3&gt;TODAY()),"",IF(AND(BO553="",BP553=""),"",N(BP553)-N(BO553)))</f>
        <v/>
      </c>
      <c r="BT553">
        <f>IF(OR(BO$3="",BO$3&gt;TODAY()),"",IF(AND(BR553="",BS553=""),"",N(BS553)-N(BR553)))</f>
        <v/>
      </c>
      <c r="BX553">
        <f>IF(OR(BV$3="",BV$3&gt;TODAY()),"",IF(AND(BV553="",BW553=""),"",N(BW553)-N(BV553)))</f>
        <v/>
      </c>
      <c r="CA553">
        <f>IF(OR(BV$3="",BV$3&gt;TODAY()),"",IF(AND(BY553="",BZ553=""),"",N(BZ553)-N(BY553)))</f>
        <v/>
      </c>
      <c r="CE553">
        <f>IF(OR(CC$3="",CC$3&gt;TODAY()),"",IF(AND(CC553="",CD553=""),"",N(CD553)-N(CC553)))</f>
        <v/>
      </c>
      <c r="CH553">
        <f>IF(OR(CC$3="",CC$3&gt;TODAY()),"",IF(AND(CF553="",CG553=""),"",N(CG553)-N(CF553)))</f>
        <v/>
      </c>
      <c r="CL553">
        <f>IF(OR(CJ$3="",CJ$3&gt;TODAY()),"",IF(AND(CJ553="",CK553=""),"",N(CK553)-N(CJ553)))</f>
        <v/>
      </c>
      <c r="CO553">
        <f>IF(OR(CJ$3="",CJ$3&gt;TODAY()),"",IF(AND(CM553="",CN553=""),"",N(CN553)-N(CM553)))</f>
        <v/>
      </c>
      <c r="CS553">
        <f>IF(OR(CQ$3="",CQ$3&gt;TODAY()),"",IF(AND(CQ553="",CR553=""),"",N(CR553)-N(CQ553)))</f>
        <v/>
      </c>
      <c r="CV553">
        <f>IF(OR(CQ$3="",CQ$3&gt;TODAY()),"",IF(AND(CT553="",CU553=""),"",N(CU553)-N(CT553)))</f>
        <v/>
      </c>
      <c r="CZ553">
        <f>IF(OR(CX$3="",CX$3&gt;TODAY()),"",IF(AND(CX553="",CY553=""),"",N(CY553)-N(CX553)))</f>
        <v/>
      </c>
      <c r="DC553">
        <f>IF(OR(CX$3="",CX$3&gt;TODAY()),"",IF(AND(DA553="",DB553=""),"",N(DB553)-N(DA553)))</f>
        <v/>
      </c>
      <c r="DG553">
        <f>IF(OR(DE$3="",DE$3&gt;TODAY()),"",IF(AND(DE553="",DF553=""),"",N(DF553)-N(DE553)))</f>
        <v/>
      </c>
      <c r="DJ553">
        <f>IF(OR(DE$3="",DE$3&gt;TODAY()),"",IF(AND(DH553="",DI553=""),"",N(DI553)-N(DH553)))</f>
        <v/>
      </c>
      <c r="DN553">
        <f>IF(OR(DL$3="",DL$3&gt;TODAY()),"",IF(AND(DL553="",DM553=""),"",N(DM553)-N(DL553)))</f>
        <v/>
      </c>
      <c r="DQ553">
        <f>IF(OR(DL$3="",DL$3&gt;TODAY()),"",IF(AND(DO553="",DP553=""),"",N(DP553)-N(DO553)))</f>
        <v/>
      </c>
      <c r="DU553">
        <f>IF(OR(DS$3="",DS$3&gt;TODAY()),"",IF(AND(DS553="",DT553=""),"",N(DT553)-N(DS553)))</f>
        <v/>
      </c>
      <c r="DX553">
        <f>IF(OR(DS$3="",DS$3&gt;TODAY()),"",IF(AND(DV553="",DW553=""),"",N(DW553)-N(DV553)))</f>
        <v/>
      </c>
      <c r="EB553">
        <f>IF(OR(DZ$3="",DZ$3&gt;TODAY()),"",IF(AND(DZ553="",EA553=""),"",N(EA553)-N(DZ553)))</f>
        <v/>
      </c>
      <c r="EE553">
        <f>IF(OR(DZ$3="",DZ$3&gt;TODAY()),"",IF(AND(EC553="",ED553=""),"",N(ED553)-N(EC553)))</f>
        <v/>
      </c>
      <c r="EI553">
        <f>IF(OR(EG$3="",EG$3&gt;TODAY()),"",IF(AND(EG553="",EH553=""),"",N(EH553)-N(EG553)))</f>
        <v/>
      </c>
      <c r="EL553">
        <f>IF(OR(EG$3="",EG$3&gt;TODAY()),"",IF(AND(EJ553="",EK553=""),"",N(EK553)-N(EJ553)))</f>
        <v/>
      </c>
      <c r="EP553">
        <f>IF(OR(EN$3="",EN$3&gt;TODAY()),"",IF(AND(EN553="",EO553=""),"",N(EO553)-N(EN553)))</f>
        <v/>
      </c>
      <c r="ES553">
        <f>IF(OR(EN$3="",EN$3&gt;TODAY()),"",IF(AND(EQ553="",ER553=""),"",N(ER553)-N(EQ553)))</f>
        <v/>
      </c>
      <c r="EW553">
        <f>IF(OR(EU$3="",EU$3&gt;TODAY()),"",IF(AND(EU553="",EV553=""),"",N(EV553)-N(EU553)))</f>
        <v/>
      </c>
      <c r="EZ553">
        <f>IF(OR(EU$3="",EU$3&gt;TODAY()),"",IF(AND(EX553="",EY553=""),"",N(EY553)-N(EX553)))</f>
        <v/>
      </c>
      <c r="FD553">
        <f>IF(OR(FB$3="",FB$3&gt;TODAY()),"",IF(AND(FB553="",FC553=""),"",N(FC553)-N(FB553)))</f>
        <v/>
      </c>
      <c r="FG553">
        <f>IF(OR(FB$3="",FB$3&gt;TODAY()),"",IF(AND(FE553="",FF553=""),"",N(FF553)-N(FE553)))</f>
        <v/>
      </c>
      <c r="FK553">
        <f>IF(OR(FI$3="",FI$3&gt;TODAY()),"",IF(AND(FI553="",FJ553=""),"",N(FJ553)-N(FI553)))</f>
        <v/>
      </c>
      <c r="FN553">
        <f>IF(OR(FI$3="",FI$3&gt;TODAY()),"",IF(AND(FL553="",FM553=""),"",N(FM553)-N(FL553)))</f>
        <v/>
      </c>
      <c r="FR553">
        <f>IF(OR(FP$3="",FP$3&gt;TODAY()),"",IF(AND(FP553="",FQ553=""),"",N(FQ553)-N(FP553)))</f>
        <v/>
      </c>
      <c r="FU553">
        <f>IF(OR(FP$3="",FP$3&gt;TODAY()),"",IF(AND(FS553="",FT553=""),"",N(FT553)-N(FS553)))</f>
        <v/>
      </c>
      <c r="FY553">
        <f>IF(OR(FW$3="",FW$3&gt;TODAY()),"",IF(AND(FW553="",FX553=""),"",N(FX553)-N(FW553)))</f>
        <v/>
      </c>
      <c r="GB553">
        <f>IF(OR(FW$3="",FW$3&gt;TODAY()),"",IF(AND(FZ553="",GA553=""),"",N(GA553)-N(FZ553)))</f>
        <v/>
      </c>
      <c r="GF553">
        <f>IF(OR(GD$3="",GD$3&gt;TODAY()),"",IF(AND(GD553="",GE553=""),"",N(GE553)-N(GD553)))</f>
        <v/>
      </c>
      <c r="GI553">
        <f>IF(OR(GD$3="",GD$3&gt;TODAY()),"",IF(AND(GG553="",GH553=""),"",N(GH553)-N(GG553)))</f>
        <v/>
      </c>
      <c r="GM553">
        <f>IF(OR(GK$3="",GK$3&gt;TODAY()),"",IF(AND(GK553="",GL553=""),"",N(GL553)-N(GK553)))</f>
        <v/>
      </c>
      <c r="GP553">
        <f>IF(OR(GK$3="",GK$3&gt;TODAY()),"",IF(AND(GN553="",GO553=""),"",N(GO553)-N(GN553)))</f>
        <v/>
      </c>
      <c r="GT553">
        <f>IF(OR(GR$3="",GR$3&gt;TODAY()),"",IF(AND(GR553="",GS553=""),"",N(GS553)-N(GR553)))</f>
        <v/>
      </c>
      <c r="GW553">
        <f>IF(OR(GR$3="",GR$3&gt;TODAY()),"",IF(AND(GU553="",GV553=""),"",N(GV553)-N(GU553)))</f>
        <v/>
      </c>
      <c r="HA553">
        <f>IF(OR(GY$3="",GY$3&gt;TODAY()),"",IF(AND(GY553="",GZ553=""),"",N(GZ553)-N(GY553)))</f>
        <v/>
      </c>
      <c r="HD553">
        <f>IF(OR(GY$3="",GY$3&gt;TODAY()),"",IF(AND(HB553="",HC553=""),"",N(HC553)-N(HB553)))</f>
        <v/>
      </c>
      <c r="HH553">
        <f>IF(OR(HF$3="",HF$3&gt;TODAY()),"",IF(AND(HF553="",HG553=""),"",N(HG553)-N(HF553)))</f>
        <v/>
      </c>
      <c r="HK553">
        <f>IF(OR(HF$3="",HF$3&gt;TODAY()),"",IF(AND(HI553="",HJ553=""),"",N(HJ553)-N(HI553)))</f>
        <v/>
      </c>
      <c r="HO553">
        <f>IF(OR(HM$3="",HM$3&gt;TODAY()),"",IF(AND(HM553="",HN553=""),"",N(HN553)-N(HM553)))</f>
        <v/>
      </c>
      <c r="HR553">
        <f>IF(OR(HM$3="",HM$3&gt;TODAY()),"",IF(AND(HP553="",HQ553=""),"",N(HQ553)-N(HP553)))</f>
        <v/>
      </c>
      <c r="HV553">
        <f>IF(OR(HT$3="",HT$3&gt;TODAY()),"",IF(AND(HT553="",HU553=""),"",N(HU553)-N(HT553)))</f>
        <v/>
      </c>
      <c r="HY553">
        <f>IF(OR(HT$3="",HT$3&gt;TODAY()),"",IF(AND(HW553="",HX553=""),"",N(HX553)-N(HW553)))</f>
        <v/>
      </c>
      <c r="IC553">
        <f>IF(OR(IA$3="",IA$3&gt;TODAY()),"",IF(AND(IA553="",IB553=""),"",N(IB553)-N(IA553)))</f>
        <v/>
      </c>
      <c r="IF553">
        <f>IF(OR(IA$3="",IA$3&gt;TODAY()),"",IF(AND(ID553="",IE553=""),"",N(IE553)-N(ID553)))</f>
        <v/>
      </c>
      <c r="IJ553">
        <f>IF(OR(IH$3="",IH$3&gt;TODAY()),"",IF(AND(IH553="",II553=""),"",N(II553)-N(IH553)))</f>
        <v/>
      </c>
      <c r="IM553">
        <f>IF(OR(IH$3="",IH$3&gt;TODAY()),"",IF(AND(IK553="",IL553=""),"",N(IL553)-N(IK553)))</f>
        <v/>
      </c>
    </row>
    <row r="554">
      <c r="A554" s="21" t="n"/>
      <c r="B554" s="21" t="n"/>
      <c r="C554" s="21" t="n"/>
      <c r="D554" s="21" t="n"/>
      <c r="E554" s="21" t="n"/>
      <c r="F554" s="21" t="n"/>
      <c r="G554" s="21" t="n"/>
      <c r="H554" s="21" t="n"/>
      <c r="I554" s="22" t="n"/>
      <c r="J554" s="22" t="n"/>
      <c r="K554" s="23" t="n"/>
      <c r="L554" s="22" t="n"/>
      <c r="M554" s="22" t="n"/>
      <c r="N554" s="21" t="n"/>
      <c r="O554" s="23" t="n"/>
      <c r="P554" s="23" t="n"/>
      <c r="Q554" s="23" t="n"/>
      <c r="R554" s="23" t="n"/>
      <c r="S554" s="22" t="n"/>
      <c r="T554" s="23" t="n"/>
      <c r="U554" s="23" t="n"/>
      <c r="V554" s="24">
        <f>IF(J554&lt;&gt;"",J554,IF(I554&lt;&gt;"",I554,""))</f>
        <v/>
      </c>
      <c r="W554" s="25">
        <f>IF($E554="","",N(O554)+SUMIFS($AF554:$IN554,$AF$4:$IN$4,"SEW_ACT"))</f>
        <v/>
      </c>
      <c r="X554" s="25">
        <f>IF($E554="","",N(P554)+SUMIFS($AF554:$IN554,$AF$4:$IN$4,"WASH_ACT"))</f>
        <v/>
      </c>
      <c r="Y554" s="25">
        <f>IF($E554="","",W554-X554-N(T554)-N(U554))</f>
        <v/>
      </c>
      <c r="Z554" s="25">
        <f>IF($E554="","",IF(N(K554)-X554&lt;=0.02*N(K554),0,N(K554)-X554))</f>
        <v/>
      </c>
      <c r="AA554" s="24">
        <f>IF($E554="","",IF(S554&lt;&gt;"",S554,IF(N(O554)&gt;0,IF(L554&lt;&gt;"",L554,99999),IFERROR(1/(1/_xlfn.MINIFS($AF$3:$IN$3,$AF$4:$IN$4,"SEW_ACT",$AF554:$IN554,"&gt;0")),99999))))</f>
        <v/>
      </c>
      <c r="AB554" s="26">
        <f>IF(OR($E554="",Z554=0,V554=""),"",1+COUNTIFS(Z$8:Z$707,"&gt;0",V$8:V$707,"&lt;"&amp;V554)+COUNTIFS(Z$8:Z$707,"&gt;0",V$8:V$707,V554,AA$8:AA$707,"&lt;"&amp;AA554)+COUNTIFS(Z$8:Z$707,"&gt;0",V$8:V$707,V554,AA$8:AA$707,AA554,E$8:E$707,"&lt;"&amp;$E554))</f>
        <v/>
      </c>
      <c r="AC554" s="24">
        <f>IF(OR($E554="",Z554=0),"",IFERROR(TODAY()+ROUNDUP(Z554/(SUMIFS($AF554:$IN554,$AF$4:$IN$4,"WASH_ACT")/COUNTIFS($AF$4:$IN$4,"WASH_ACT",$AF554:$IN554,"&gt;0")),0),"no output yet"))</f>
        <v/>
      </c>
      <c r="AD554" s="26">
        <f>IF($E554="","",IFERROR(ROUND(MAX(0,SUMIFS($AF554:$IN554,$AF$4:$IN$4,"SEW_PLAN",$AF$3:$IN$3,"&lt;="&amp;TODAY())-SUMIFS($AF554:$IN554,$AF$4:$IN$4,"SEW_ACT",$AF$3:$IN$3,"&lt;="&amp;TODAY())+N(Q554))/(SUMIFS($AF554:$IN554,$AF$4:$IN$4,"SEW_PLAN")/COUNTIFS($AF$4:$IN$4,"SEW_PLAN",$AF554:$IN554,"&gt;0")),1),0))</f>
        <v/>
      </c>
      <c r="AE554" s="26">
        <f>IF($E554="","",IF(AND(Z554&gt;0,OR(AND(M554&lt;&gt;"",TODAY()&gt;M554),AND(V554&lt;&gt;"",V554-TODAY()&lt;=7))),"Yes","No"))</f>
        <v/>
      </c>
      <c r="AH554">
        <f>IF(OR(AF$3="",AF$3&gt;TODAY()),"",IF(AND(AF554="",AG554=""),"",N(AG554)-N(AF554)))</f>
        <v/>
      </c>
      <c r="AK554">
        <f>IF(OR(AF$3="",AF$3&gt;TODAY()),"",IF(AND(AI554="",AJ554=""),"",N(AJ554)-N(AI554)))</f>
        <v/>
      </c>
      <c r="AO554">
        <f>IF(OR(AM$3="",AM$3&gt;TODAY()),"",IF(AND(AM554="",AN554=""),"",N(AN554)-N(AM554)))</f>
        <v/>
      </c>
      <c r="AR554">
        <f>IF(OR(AM$3="",AM$3&gt;TODAY()),"",IF(AND(AP554="",AQ554=""),"",N(AQ554)-N(AP554)))</f>
        <v/>
      </c>
      <c r="AV554">
        <f>IF(OR(AT$3="",AT$3&gt;TODAY()),"",IF(AND(AT554="",AU554=""),"",N(AU554)-N(AT554)))</f>
        <v/>
      </c>
      <c r="AY554">
        <f>IF(OR(AT$3="",AT$3&gt;TODAY()),"",IF(AND(AW554="",AX554=""),"",N(AX554)-N(AW554)))</f>
        <v/>
      </c>
      <c r="BC554">
        <f>IF(OR(BA$3="",BA$3&gt;TODAY()),"",IF(AND(BA554="",BB554=""),"",N(BB554)-N(BA554)))</f>
        <v/>
      </c>
      <c r="BF554">
        <f>IF(OR(BA$3="",BA$3&gt;TODAY()),"",IF(AND(BD554="",BE554=""),"",N(BE554)-N(BD554)))</f>
        <v/>
      </c>
      <c r="BJ554">
        <f>IF(OR(BH$3="",BH$3&gt;TODAY()),"",IF(AND(BH554="",BI554=""),"",N(BI554)-N(BH554)))</f>
        <v/>
      </c>
      <c r="BM554">
        <f>IF(OR(BH$3="",BH$3&gt;TODAY()),"",IF(AND(BK554="",BL554=""),"",N(BL554)-N(BK554)))</f>
        <v/>
      </c>
      <c r="BQ554">
        <f>IF(OR(BO$3="",BO$3&gt;TODAY()),"",IF(AND(BO554="",BP554=""),"",N(BP554)-N(BO554)))</f>
        <v/>
      </c>
      <c r="BT554">
        <f>IF(OR(BO$3="",BO$3&gt;TODAY()),"",IF(AND(BR554="",BS554=""),"",N(BS554)-N(BR554)))</f>
        <v/>
      </c>
      <c r="BX554">
        <f>IF(OR(BV$3="",BV$3&gt;TODAY()),"",IF(AND(BV554="",BW554=""),"",N(BW554)-N(BV554)))</f>
        <v/>
      </c>
      <c r="CA554">
        <f>IF(OR(BV$3="",BV$3&gt;TODAY()),"",IF(AND(BY554="",BZ554=""),"",N(BZ554)-N(BY554)))</f>
        <v/>
      </c>
      <c r="CE554">
        <f>IF(OR(CC$3="",CC$3&gt;TODAY()),"",IF(AND(CC554="",CD554=""),"",N(CD554)-N(CC554)))</f>
        <v/>
      </c>
      <c r="CH554">
        <f>IF(OR(CC$3="",CC$3&gt;TODAY()),"",IF(AND(CF554="",CG554=""),"",N(CG554)-N(CF554)))</f>
        <v/>
      </c>
      <c r="CL554">
        <f>IF(OR(CJ$3="",CJ$3&gt;TODAY()),"",IF(AND(CJ554="",CK554=""),"",N(CK554)-N(CJ554)))</f>
        <v/>
      </c>
      <c r="CO554">
        <f>IF(OR(CJ$3="",CJ$3&gt;TODAY()),"",IF(AND(CM554="",CN554=""),"",N(CN554)-N(CM554)))</f>
        <v/>
      </c>
      <c r="CS554">
        <f>IF(OR(CQ$3="",CQ$3&gt;TODAY()),"",IF(AND(CQ554="",CR554=""),"",N(CR554)-N(CQ554)))</f>
        <v/>
      </c>
      <c r="CV554">
        <f>IF(OR(CQ$3="",CQ$3&gt;TODAY()),"",IF(AND(CT554="",CU554=""),"",N(CU554)-N(CT554)))</f>
        <v/>
      </c>
      <c r="CZ554">
        <f>IF(OR(CX$3="",CX$3&gt;TODAY()),"",IF(AND(CX554="",CY554=""),"",N(CY554)-N(CX554)))</f>
        <v/>
      </c>
      <c r="DC554">
        <f>IF(OR(CX$3="",CX$3&gt;TODAY()),"",IF(AND(DA554="",DB554=""),"",N(DB554)-N(DA554)))</f>
        <v/>
      </c>
      <c r="DG554">
        <f>IF(OR(DE$3="",DE$3&gt;TODAY()),"",IF(AND(DE554="",DF554=""),"",N(DF554)-N(DE554)))</f>
        <v/>
      </c>
      <c r="DJ554">
        <f>IF(OR(DE$3="",DE$3&gt;TODAY()),"",IF(AND(DH554="",DI554=""),"",N(DI554)-N(DH554)))</f>
        <v/>
      </c>
      <c r="DN554">
        <f>IF(OR(DL$3="",DL$3&gt;TODAY()),"",IF(AND(DL554="",DM554=""),"",N(DM554)-N(DL554)))</f>
        <v/>
      </c>
      <c r="DQ554">
        <f>IF(OR(DL$3="",DL$3&gt;TODAY()),"",IF(AND(DO554="",DP554=""),"",N(DP554)-N(DO554)))</f>
        <v/>
      </c>
      <c r="DU554">
        <f>IF(OR(DS$3="",DS$3&gt;TODAY()),"",IF(AND(DS554="",DT554=""),"",N(DT554)-N(DS554)))</f>
        <v/>
      </c>
      <c r="DX554">
        <f>IF(OR(DS$3="",DS$3&gt;TODAY()),"",IF(AND(DV554="",DW554=""),"",N(DW554)-N(DV554)))</f>
        <v/>
      </c>
      <c r="EB554">
        <f>IF(OR(DZ$3="",DZ$3&gt;TODAY()),"",IF(AND(DZ554="",EA554=""),"",N(EA554)-N(DZ554)))</f>
        <v/>
      </c>
      <c r="EE554">
        <f>IF(OR(DZ$3="",DZ$3&gt;TODAY()),"",IF(AND(EC554="",ED554=""),"",N(ED554)-N(EC554)))</f>
        <v/>
      </c>
      <c r="EI554">
        <f>IF(OR(EG$3="",EG$3&gt;TODAY()),"",IF(AND(EG554="",EH554=""),"",N(EH554)-N(EG554)))</f>
        <v/>
      </c>
      <c r="EL554">
        <f>IF(OR(EG$3="",EG$3&gt;TODAY()),"",IF(AND(EJ554="",EK554=""),"",N(EK554)-N(EJ554)))</f>
        <v/>
      </c>
      <c r="EP554">
        <f>IF(OR(EN$3="",EN$3&gt;TODAY()),"",IF(AND(EN554="",EO554=""),"",N(EO554)-N(EN554)))</f>
        <v/>
      </c>
      <c r="ES554">
        <f>IF(OR(EN$3="",EN$3&gt;TODAY()),"",IF(AND(EQ554="",ER554=""),"",N(ER554)-N(EQ554)))</f>
        <v/>
      </c>
      <c r="EW554">
        <f>IF(OR(EU$3="",EU$3&gt;TODAY()),"",IF(AND(EU554="",EV554=""),"",N(EV554)-N(EU554)))</f>
        <v/>
      </c>
      <c r="EZ554">
        <f>IF(OR(EU$3="",EU$3&gt;TODAY()),"",IF(AND(EX554="",EY554=""),"",N(EY554)-N(EX554)))</f>
        <v/>
      </c>
      <c r="FD554">
        <f>IF(OR(FB$3="",FB$3&gt;TODAY()),"",IF(AND(FB554="",FC554=""),"",N(FC554)-N(FB554)))</f>
        <v/>
      </c>
      <c r="FG554">
        <f>IF(OR(FB$3="",FB$3&gt;TODAY()),"",IF(AND(FE554="",FF554=""),"",N(FF554)-N(FE554)))</f>
        <v/>
      </c>
      <c r="FK554">
        <f>IF(OR(FI$3="",FI$3&gt;TODAY()),"",IF(AND(FI554="",FJ554=""),"",N(FJ554)-N(FI554)))</f>
        <v/>
      </c>
      <c r="FN554">
        <f>IF(OR(FI$3="",FI$3&gt;TODAY()),"",IF(AND(FL554="",FM554=""),"",N(FM554)-N(FL554)))</f>
        <v/>
      </c>
      <c r="FR554">
        <f>IF(OR(FP$3="",FP$3&gt;TODAY()),"",IF(AND(FP554="",FQ554=""),"",N(FQ554)-N(FP554)))</f>
        <v/>
      </c>
      <c r="FU554">
        <f>IF(OR(FP$3="",FP$3&gt;TODAY()),"",IF(AND(FS554="",FT554=""),"",N(FT554)-N(FS554)))</f>
        <v/>
      </c>
      <c r="FY554">
        <f>IF(OR(FW$3="",FW$3&gt;TODAY()),"",IF(AND(FW554="",FX554=""),"",N(FX554)-N(FW554)))</f>
        <v/>
      </c>
      <c r="GB554">
        <f>IF(OR(FW$3="",FW$3&gt;TODAY()),"",IF(AND(FZ554="",GA554=""),"",N(GA554)-N(FZ554)))</f>
        <v/>
      </c>
      <c r="GF554">
        <f>IF(OR(GD$3="",GD$3&gt;TODAY()),"",IF(AND(GD554="",GE554=""),"",N(GE554)-N(GD554)))</f>
        <v/>
      </c>
      <c r="GI554">
        <f>IF(OR(GD$3="",GD$3&gt;TODAY()),"",IF(AND(GG554="",GH554=""),"",N(GH554)-N(GG554)))</f>
        <v/>
      </c>
      <c r="GM554">
        <f>IF(OR(GK$3="",GK$3&gt;TODAY()),"",IF(AND(GK554="",GL554=""),"",N(GL554)-N(GK554)))</f>
        <v/>
      </c>
      <c r="GP554">
        <f>IF(OR(GK$3="",GK$3&gt;TODAY()),"",IF(AND(GN554="",GO554=""),"",N(GO554)-N(GN554)))</f>
        <v/>
      </c>
      <c r="GT554">
        <f>IF(OR(GR$3="",GR$3&gt;TODAY()),"",IF(AND(GR554="",GS554=""),"",N(GS554)-N(GR554)))</f>
        <v/>
      </c>
      <c r="GW554">
        <f>IF(OR(GR$3="",GR$3&gt;TODAY()),"",IF(AND(GU554="",GV554=""),"",N(GV554)-N(GU554)))</f>
        <v/>
      </c>
      <c r="HA554">
        <f>IF(OR(GY$3="",GY$3&gt;TODAY()),"",IF(AND(GY554="",GZ554=""),"",N(GZ554)-N(GY554)))</f>
        <v/>
      </c>
      <c r="HD554">
        <f>IF(OR(GY$3="",GY$3&gt;TODAY()),"",IF(AND(HB554="",HC554=""),"",N(HC554)-N(HB554)))</f>
        <v/>
      </c>
      <c r="HH554">
        <f>IF(OR(HF$3="",HF$3&gt;TODAY()),"",IF(AND(HF554="",HG554=""),"",N(HG554)-N(HF554)))</f>
        <v/>
      </c>
      <c r="HK554">
        <f>IF(OR(HF$3="",HF$3&gt;TODAY()),"",IF(AND(HI554="",HJ554=""),"",N(HJ554)-N(HI554)))</f>
        <v/>
      </c>
      <c r="HO554">
        <f>IF(OR(HM$3="",HM$3&gt;TODAY()),"",IF(AND(HM554="",HN554=""),"",N(HN554)-N(HM554)))</f>
        <v/>
      </c>
      <c r="HR554">
        <f>IF(OR(HM$3="",HM$3&gt;TODAY()),"",IF(AND(HP554="",HQ554=""),"",N(HQ554)-N(HP554)))</f>
        <v/>
      </c>
      <c r="HV554">
        <f>IF(OR(HT$3="",HT$3&gt;TODAY()),"",IF(AND(HT554="",HU554=""),"",N(HU554)-N(HT554)))</f>
        <v/>
      </c>
      <c r="HY554">
        <f>IF(OR(HT$3="",HT$3&gt;TODAY()),"",IF(AND(HW554="",HX554=""),"",N(HX554)-N(HW554)))</f>
        <v/>
      </c>
      <c r="IC554">
        <f>IF(OR(IA$3="",IA$3&gt;TODAY()),"",IF(AND(IA554="",IB554=""),"",N(IB554)-N(IA554)))</f>
        <v/>
      </c>
      <c r="IF554">
        <f>IF(OR(IA$3="",IA$3&gt;TODAY()),"",IF(AND(ID554="",IE554=""),"",N(IE554)-N(ID554)))</f>
        <v/>
      </c>
      <c r="IJ554">
        <f>IF(OR(IH$3="",IH$3&gt;TODAY()),"",IF(AND(IH554="",II554=""),"",N(II554)-N(IH554)))</f>
        <v/>
      </c>
      <c r="IM554">
        <f>IF(OR(IH$3="",IH$3&gt;TODAY()),"",IF(AND(IK554="",IL554=""),"",N(IL554)-N(IK554)))</f>
        <v/>
      </c>
    </row>
    <row r="555">
      <c r="A555" s="21" t="n"/>
      <c r="B555" s="21" t="n"/>
      <c r="C555" s="21" t="n"/>
      <c r="D555" s="21" t="n"/>
      <c r="E555" s="21" t="n"/>
      <c r="F555" s="21" t="n"/>
      <c r="G555" s="21" t="n"/>
      <c r="H555" s="21" t="n"/>
      <c r="I555" s="22" t="n"/>
      <c r="J555" s="22" t="n"/>
      <c r="K555" s="23" t="n"/>
      <c r="L555" s="22" t="n"/>
      <c r="M555" s="22" t="n"/>
      <c r="N555" s="21" t="n"/>
      <c r="O555" s="23" t="n"/>
      <c r="P555" s="23" t="n"/>
      <c r="Q555" s="23" t="n"/>
      <c r="R555" s="23" t="n"/>
      <c r="S555" s="22" t="n"/>
      <c r="T555" s="23" t="n"/>
      <c r="U555" s="23" t="n"/>
      <c r="V555" s="24">
        <f>IF(J555&lt;&gt;"",J555,IF(I555&lt;&gt;"",I555,""))</f>
        <v/>
      </c>
      <c r="W555" s="25">
        <f>IF($E555="","",N(O555)+SUMIFS($AF555:$IN555,$AF$4:$IN$4,"SEW_ACT"))</f>
        <v/>
      </c>
      <c r="X555" s="25">
        <f>IF($E555="","",N(P555)+SUMIFS($AF555:$IN555,$AF$4:$IN$4,"WASH_ACT"))</f>
        <v/>
      </c>
      <c r="Y555" s="25">
        <f>IF($E555="","",W555-X555-N(T555)-N(U555))</f>
        <v/>
      </c>
      <c r="Z555" s="25">
        <f>IF($E555="","",IF(N(K555)-X555&lt;=0.02*N(K555),0,N(K555)-X555))</f>
        <v/>
      </c>
      <c r="AA555" s="24">
        <f>IF($E555="","",IF(S555&lt;&gt;"",S555,IF(N(O555)&gt;0,IF(L555&lt;&gt;"",L555,99999),IFERROR(1/(1/_xlfn.MINIFS($AF$3:$IN$3,$AF$4:$IN$4,"SEW_ACT",$AF555:$IN555,"&gt;0")),99999))))</f>
        <v/>
      </c>
      <c r="AB555" s="26">
        <f>IF(OR($E555="",Z555=0,V555=""),"",1+COUNTIFS(Z$8:Z$707,"&gt;0",V$8:V$707,"&lt;"&amp;V555)+COUNTIFS(Z$8:Z$707,"&gt;0",V$8:V$707,V555,AA$8:AA$707,"&lt;"&amp;AA555)+COUNTIFS(Z$8:Z$707,"&gt;0",V$8:V$707,V555,AA$8:AA$707,AA555,E$8:E$707,"&lt;"&amp;$E555))</f>
        <v/>
      </c>
      <c r="AC555" s="24">
        <f>IF(OR($E555="",Z555=0),"",IFERROR(TODAY()+ROUNDUP(Z555/(SUMIFS($AF555:$IN555,$AF$4:$IN$4,"WASH_ACT")/COUNTIFS($AF$4:$IN$4,"WASH_ACT",$AF555:$IN555,"&gt;0")),0),"no output yet"))</f>
        <v/>
      </c>
      <c r="AD555" s="26">
        <f>IF($E555="","",IFERROR(ROUND(MAX(0,SUMIFS($AF555:$IN555,$AF$4:$IN$4,"SEW_PLAN",$AF$3:$IN$3,"&lt;="&amp;TODAY())-SUMIFS($AF555:$IN555,$AF$4:$IN$4,"SEW_ACT",$AF$3:$IN$3,"&lt;="&amp;TODAY())+N(Q555))/(SUMIFS($AF555:$IN555,$AF$4:$IN$4,"SEW_PLAN")/COUNTIFS($AF$4:$IN$4,"SEW_PLAN",$AF555:$IN555,"&gt;0")),1),0))</f>
        <v/>
      </c>
      <c r="AE555" s="26">
        <f>IF($E555="","",IF(AND(Z555&gt;0,OR(AND(M555&lt;&gt;"",TODAY()&gt;M555),AND(V555&lt;&gt;"",V555-TODAY()&lt;=7))),"Yes","No"))</f>
        <v/>
      </c>
      <c r="AH555">
        <f>IF(OR(AF$3="",AF$3&gt;TODAY()),"",IF(AND(AF555="",AG555=""),"",N(AG555)-N(AF555)))</f>
        <v/>
      </c>
      <c r="AK555">
        <f>IF(OR(AF$3="",AF$3&gt;TODAY()),"",IF(AND(AI555="",AJ555=""),"",N(AJ555)-N(AI555)))</f>
        <v/>
      </c>
      <c r="AO555">
        <f>IF(OR(AM$3="",AM$3&gt;TODAY()),"",IF(AND(AM555="",AN555=""),"",N(AN555)-N(AM555)))</f>
        <v/>
      </c>
      <c r="AR555">
        <f>IF(OR(AM$3="",AM$3&gt;TODAY()),"",IF(AND(AP555="",AQ555=""),"",N(AQ555)-N(AP555)))</f>
        <v/>
      </c>
      <c r="AV555">
        <f>IF(OR(AT$3="",AT$3&gt;TODAY()),"",IF(AND(AT555="",AU555=""),"",N(AU555)-N(AT555)))</f>
        <v/>
      </c>
      <c r="AY555">
        <f>IF(OR(AT$3="",AT$3&gt;TODAY()),"",IF(AND(AW555="",AX555=""),"",N(AX555)-N(AW555)))</f>
        <v/>
      </c>
      <c r="BC555">
        <f>IF(OR(BA$3="",BA$3&gt;TODAY()),"",IF(AND(BA555="",BB555=""),"",N(BB555)-N(BA555)))</f>
        <v/>
      </c>
      <c r="BF555">
        <f>IF(OR(BA$3="",BA$3&gt;TODAY()),"",IF(AND(BD555="",BE555=""),"",N(BE555)-N(BD555)))</f>
        <v/>
      </c>
      <c r="BJ555">
        <f>IF(OR(BH$3="",BH$3&gt;TODAY()),"",IF(AND(BH555="",BI555=""),"",N(BI555)-N(BH555)))</f>
        <v/>
      </c>
      <c r="BM555">
        <f>IF(OR(BH$3="",BH$3&gt;TODAY()),"",IF(AND(BK555="",BL555=""),"",N(BL555)-N(BK555)))</f>
        <v/>
      </c>
      <c r="BQ555">
        <f>IF(OR(BO$3="",BO$3&gt;TODAY()),"",IF(AND(BO555="",BP555=""),"",N(BP555)-N(BO555)))</f>
        <v/>
      </c>
      <c r="BT555">
        <f>IF(OR(BO$3="",BO$3&gt;TODAY()),"",IF(AND(BR555="",BS555=""),"",N(BS555)-N(BR555)))</f>
        <v/>
      </c>
      <c r="BX555">
        <f>IF(OR(BV$3="",BV$3&gt;TODAY()),"",IF(AND(BV555="",BW555=""),"",N(BW555)-N(BV555)))</f>
        <v/>
      </c>
      <c r="CA555">
        <f>IF(OR(BV$3="",BV$3&gt;TODAY()),"",IF(AND(BY555="",BZ555=""),"",N(BZ555)-N(BY555)))</f>
        <v/>
      </c>
      <c r="CE555">
        <f>IF(OR(CC$3="",CC$3&gt;TODAY()),"",IF(AND(CC555="",CD555=""),"",N(CD555)-N(CC555)))</f>
        <v/>
      </c>
      <c r="CH555">
        <f>IF(OR(CC$3="",CC$3&gt;TODAY()),"",IF(AND(CF555="",CG555=""),"",N(CG555)-N(CF555)))</f>
        <v/>
      </c>
      <c r="CL555">
        <f>IF(OR(CJ$3="",CJ$3&gt;TODAY()),"",IF(AND(CJ555="",CK555=""),"",N(CK555)-N(CJ555)))</f>
        <v/>
      </c>
      <c r="CO555">
        <f>IF(OR(CJ$3="",CJ$3&gt;TODAY()),"",IF(AND(CM555="",CN555=""),"",N(CN555)-N(CM555)))</f>
        <v/>
      </c>
      <c r="CS555">
        <f>IF(OR(CQ$3="",CQ$3&gt;TODAY()),"",IF(AND(CQ555="",CR555=""),"",N(CR555)-N(CQ555)))</f>
        <v/>
      </c>
      <c r="CV555">
        <f>IF(OR(CQ$3="",CQ$3&gt;TODAY()),"",IF(AND(CT555="",CU555=""),"",N(CU555)-N(CT555)))</f>
        <v/>
      </c>
      <c r="CZ555">
        <f>IF(OR(CX$3="",CX$3&gt;TODAY()),"",IF(AND(CX555="",CY555=""),"",N(CY555)-N(CX555)))</f>
        <v/>
      </c>
      <c r="DC555">
        <f>IF(OR(CX$3="",CX$3&gt;TODAY()),"",IF(AND(DA555="",DB555=""),"",N(DB555)-N(DA555)))</f>
        <v/>
      </c>
      <c r="DG555">
        <f>IF(OR(DE$3="",DE$3&gt;TODAY()),"",IF(AND(DE555="",DF555=""),"",N(DF555)-N(DE555)))</f>
        <v/>
      </c>
      <c r="DJ555">
        <f>IF(OR(DE$3="",DE$3&gt;TODAY()),"",IF(AND(DH555="",DI555=""),"",N(DI555)-N(DH555)))</f>
        <v/>
      </c>
      <c r="DN555">
        <f>IF(OR(DL$3="",DL$3&gt;TODAY()),"",IF(AND(DL555="",DM555=""),"",N(DM555)-N(DL555)))</f>
        <v/>
      </c>
      <c r="DQ555">
        <f>IF(OR(DL$3="",DL$3&gt;TODAY()),"",IF(AND(DO555="",DP555=""),"",N(DP555)-N(DO555)))</f>
        <v/>
      </c>
      <c r="DU555">
        <f>IF(OR(DS$3="",DS$3&gt;TODAY()),"",IF(AND(DS555="",DT555=""),"",N(DT555)-N(DS555)))</f>
        <v/>
      </c>
      <c r="DX555">
        <f>IF(OR(DS$3="",DS$3&gt;TODAY()),"",IF(AND(DV555="",DW555=""),"",N(DW555)-N(DV555)))</f>
        <v/>
      </c>
      <c r="EB555">
        <f>IF(OR(DZ$3="",DZ$3&gt;TODAY()),"",IF(AND(DZ555="",EA555=""),"",N(EA555)-N(DZ555)))</f>
        <v/>
      </c>
      <c r="EE555">
        <f>IF(OR(DZ$3="",DZ$3&gt;TODAY()),"",IF(AND(EC555="",ED555=""),"",N(ED555)-N(EC555)))</f>
        <v/>
      </c>
      <c r="EI555">
        <f>IF(OR(EG$3="",EG$3&gt;TODAY()),"",IF(AND(EG555="",EH555=""),"",N(EH555)-N(EG555)))</f>
        <v/>
      </c>
      <c r="EL555">
        <f>IF(OR(EG$3="",EG$3&gt;TODAY()),"",IF(AND(EJ555="",EK555=""),"",N(EK555)-N(EJ555)))</f>
        <v/>
      </c>
      <c r="EP555">
        <f>IF(OR(EN$3="",EN$3&gt;TODAY()),"",IF(AND(EN555="",EO555=""),"",N(EO555)-N(EN555)))</f>
        <v/>
      </c>
      <c r="ES555">
        <f>IF(OR(EN$3="",EN$3&gt;TODAY()),"",IF(AND(EQ555="",ER555=""),"",N(ER555)-N(EQ555)))</f>
        <v/>
      </c>
      <c r="EW555">
        <f>IF(OR(EU$3="",EU$3&gt;TODAY()),"",IF(AND(EU555="",EV555=""),"",N(EV555)-N(EU555)))</f>
        <v/>
      </c>
      <c r="EZ555">
        <f>IF(OR(EU$3="",EU$3&gt;TODAY()),"",IF(AND(EX555="",EY555=""),"",N(EY555)-N(EX555)))</f>
        <v/>
      </c>
      <c r="FD555">
        <f>IF(OR(FB$3="",FB$3&gt;TODAY()),"",IF(AND(FB555="",FC555=""),"",N(FC555)-N(FB555)))</f>
        <v/>
      </c>
      <c r="FG555">
        <f>IF(OR(FB$3="",FB$3&gt;TODAY()),"",IF(AND(FE555="",FF555=""),"",N(FF555)-N(FE555)))</f>
        <v/>
      </c>
      <c r="FK555">
        <f>IF(OR(FI$3="",FI$3&gt;TODAY()),"",IF(AND(FI555="",FJ555=""),"",N(FJ555)-N(FI555)))</f>
        <v/>
      </c>
      <c r="FN555">
        <f>IF(OR(FI$3="",FI$3&gt;TODAY()),"",IF(AND(FL555="",FM555=""),"",N(FM555)-N(FL555)))</f>
        <v/>
      </c>
      <c r="FR555">
        <f>IF(OR(FP$3="",FP$3&gt;TODAY()),"",IF(AND(FP555="",FQ555=""),"",N(FQ555)-N(FP555)))</f>
        <v/>
      </c>
      <c r="FU555">
        <f>IF(OR(FP$3="",FP$3&gt;TODAY()),"",IF(AND(FS555="",FT555=""),"",N(FT555)-N(FS555)))</f>
        <v/>
      </c>
      <c r="FY555">
        <f>IF(OR(FW$3="",FW$3&gt;TODAY()),"",IF(AND(FW555="",FX555=""),"",N(FX555)-N(FW555)))</f>
        <v/>
      </c>
      <c r="GB555">
        <f>IF(OR(FW$3="",FW$3&gt;TODAY()),"",IF(AND(FZ555="",GA555=""),"",N(GA555)-N(FZ555)))</f>
        <v/>
      </c>
      <c r="GF555">
        <f>IF(OR(GD$3="",GD$3&gt;TODAY()),"",IF(AND(GD555="",GE555=""),"",N(GE555)-N(GD555)))</f>
        <v/>
      </c>
      <c r="GI555">
        <f>IF(OR(GD$3="",GD$3&gt;TODAY()),"",IF(AND(GG555="",GH555=""),"",N(GH555)-N(GG555)))</f>
        <v/>
      </c>
      <c r="GM555">
        <f>IF(OR(GK$3="",GK$3&gt;TODAY()),"",IF(AND(GK555="",GL555=""),"",N(GL555)-N(GK555)))</f>
        <v/>
      </c>
      <c r="GP555">
        <f>IF(OR(GK$3="",GK$3&gt;TODAY()),"",IF(AND(GN555="",GO555=""),"",N(GO555)-N(GN555)))</f>
        <v/>
      </c>
      <c r="GT555">
        <f>IF(OR(GR$3="",GR$3&gt;TODAY()),"",IF(AND(GR555="",GS555=""),"",N(GS555)-N(GR555)))</f>
        <v/>
      </c>
      <c r="GW555">
        <f>IF(OR(GR$3="",GR$3&gt;TODAY()),"",IF(AND(GU555="",GV555=""),"",N(GV555)-N(GU555)))</f>
        <v/>
      </c>
      <c r="HA555">
        <f>IF(OR(GY$3="",GY$3&gt;TODAY()),"",IF(AND(GY555="",GZ555=""),"",N(GZ555)-N(GY555)))</f>
        <v/>
      </c>
      <c r="HD555">
        <f>IF(OR(GY$3="",GY$3&gt;TODAY()),"",IF(AND(HB555="",HC555=""),"",N(HC555)-N(HB555)))</f>
        <v/>
      </c>
      <c r="HH555">
        <f>IF(OR(HF$3="",HF$3&gt;TODAY()),"",IF(AND(HF555="",HG555=""),"",N(HG555)-N(HF555)))</f>
        <v/>
      </c>
      <c r="HK555">
        <f>IF(OR(HF$3="",HF$3&gt;TODAY()),"",IF(AND(HI555="",HJ555=""),"",N(HJ555)-N(HI555)))</f>
        <v/>
      </c>
      <c r="HO555">
        <f>IF(OR(HM$3="",HM$3&gt;TODAY()),"",IF(AND(HM555="",HN555=""),"",N(HN555)-N(HM555)))</f>
        <v/>
      </c>
      <c r="HR555">
        <f>IF(OR(HM$3="",HM$3&gt;TODAY()),"",IF(AND(HP555="",HQ555=""),"",N(HQ555)-N(HP555)))</f>
        <v/>
      </c>
      <c r="HV555">
        <f>IF(OR(HT$3="",HT$3&gt;TODAY()),"",IF(AND(HT555="",HU555=""),"",N(HU555)-N(HT555)))</f>
        <v/>
      </c>
      <c r="HY555">
        <f>IF(OR(HT$3="",HT$3&gt;TODAY()),"",IF(AND(HW555="",HX555=""),"",N(HX555)-N(HW555)))</f>
        <v/>
      </c>
      <c r="IC555">
        <f>IF(OR(IA$3="",IA$3&gt;TODAY()),"",IF(AND(IA555="",IB555=""),"",N(IB555)-N(IA555)))</f>
        <v/>
      </c>
      <c r="IF555">
        <f>IF(OR(IA$3="",IA$3&gt;TODAY()),"",IF(AND(ID555="",IE555=""),"",N(IE555)-N(ID555)))</f>
        <v/>
      </c>
      <c r="IJ555">
        <f>IF(OR(IH$3="",IH$3&gt;TODAY()),"",IF(AND(IH555="",II555=""),"",N(II555)-N(IH555)))</f>
        <v/>
      </c>
      <c r="IM555">
        <f>IF(OR(IH$3="",IH$3&gt;TODAY()),"",IF(AND(IK555="",IL555=""),"",N(IL555)-N(IK555)))</f>
        <v/>
      </c>
    </row>
    <row r="556">
      <c r="A556" s="21" t="n"/>
      <c r="B556" s="21" t="n"/>
      <c r="C556" s="21" t="n"/>
      <c r="D556" s="21" t="n"/>
      <c r="E556" s="21" t="n"/>
      <c r="F556" s="21" t="n"/>
      <c r="G556" s="21" t="n"/>
      <c r="H556" s="21" t="n"/>
      <c r="I556" s="22" t="n"/>
      <c r="J556" s="22" t="n"/>
      <c r="K556" s="23" t="n"/>
      <c r="L556" s="22" t="n"/>
      <c r="M556" s="22" t="n"/>
      <c r="N556" s="21" t="n"/>
      <c r="O556" s="23" t="n"/>
      <c r="P556" s="23" t="n"/>
      <c r="Q556" s="23" t="n"/>
      <c r="R556" s="23" t="n"/>
      <c r="S556" s="22" t="n"/>
      <c r="T556" s="23" t="n"/>
      <c r="U556" s="23" t="n"/>
      <c r="V556" s="24">
        <f>IF(J556&lt;&gt;"",J556,IF(I556&lt;&gt;"",I556,""))</f>
        <v/>
      </c>
      <c r="W556" s="25">
        <f>IF($E556="","",N(O556)+SUMIFS($AF556:$IN556,$AF$4:$IN$4,"SEW_ACT"))</f>
        <v/>
      </c>
      <c r="X556" s="25">
        <f>IF($E556="","",N(P556)+SUMIFS($AF556:$IN556,$AF$4:$IN$4,"WASH_ACT"))</f>
        <v/>
      </c>
      <c r="Y556" s="25">
        <f>IF($E556="","",W556-X556-N(T556)-N(U556))</f>
        <v/>
      </c>
      <c r="Z556" s="25">
        <f>IF($E556="","",IF(N(K556)-X556&lt;=0.02*N(K556),0,N(K556)-X556))</f>
        <v/>
      </c>
      <c r="AA556" s="24">
        <f>IF($E556="","",IF(S556&lt;&gt;"",S556,IF(N(O556)&gt;0,IF(L556&lt;&gt;"",L556,99999),IFERROR(1/(1/_xlfn.MINIFS($AF$3:$IN$3,$AF$4:$IN$4,"SEW_ACT",$AF556:$IN556,"&gt;0")),99999))))</f>
        <v/>
      </c>
      <c r="AB556" s="26">
        <f>IF(OR($E556="",Z556=0,V556=""),"",1+COUNTIFS(Z$8:Z$707,"&gt;0",V$8:V$707,"&lt;"&amp;V556)+COUNTIFS(Z$8:Z$707,"&gt;0",V$8:V$707,V556,AA$8:AA$707,"&lt;"&amp;AA556)+COUNTIFS(Z$8:Z$707,"&gt;0",V$8:V$707,V556,AA$8:AA$707,AA556,E$8:E$707,"&lt;"&amp;$E556))</f>
        <v/>
      </c>
      <c r="AC556" s="24">
        <f>IF(OR($E556="",Z556=0),"",IFERROR(TODAY()+ROUNDUP(Z556/(SUMIFS($AF556:$IN556,$AF$4:$IN$4,"WASH_ACT")/COUNTIFS($AF$4:$IN$4,"WASH_ACT",$AF556:$IN556,"&gt;0")),0),"no output yet"))</f>
        <v/>
      </c>
      <c r="AD556" s="26">
        <f>IF($E556="","",IFERROR(ROUND(MAX(0,SUMIFS($AF556:$IN556,$AF$4:$IN$4,"SEW_PLAN",$AF$3:$IN$3,"&lt;="&amp;TODAY())-SUMIFS($AF556:$IN556,$AF$4:$IN$4,"SEW_ACT",$AF$3:$IN$3,"&lt;="&amp;TODAY())+N(Q556))/(SUMIFS($AF556:$IN556,$AF$4:$IN$4,"SEW_PLAN")/COUNTIFS($AF$4:$IN$4,"SEW_PLAN",$AF556:$IN556,"&gt;0")),1),0))</f>
        <v/>
      </c>
      <c r="AE556" s="26">
        <f>IF($E556="","",IF(AND(Z556&gt;0,OR(AND(M556&lt;&gt;"",TODAY()&gt;M556),AND(V556&lt;&gt;"",V556-TODAY()&lt;=7))),"Yes","No"))</f>
        <v/>
      </c>
      <c r="AH556">
        <f>IF(OR(AF$3="",AF$3&gt;TODAY()),"",IF(AND(AF556="",AG556=""),"",N(AG556)-N(AF556)))</f>
        <v/>
      </c>
      <c r="AK556">
        <f>IF(OR(AF$3="",AF$3&gt;TODAY()),"",IF(AND(AI556="",AJ556=""),"",N(AJ556)-N(AI556)))</f>
        <v/>
      </c>
      <c r="AO556">
        <f>IF(OR(AM$3="",AM$3&gt;TODAY()),"",IF(AND(AM556="",AN556=""),"",N(AN556)-N(AM556)))</f>
        <v/>
      </c>
      <c r="AR556">
        <f>IF(OR(AM$3="",AM$3&gt;TODAY()),"",IF(AND(AP556="",AQ556=""),"",N(AQ556)-N(AP556)))</f>
        <v/>
      </c>
      <c r="AV556">
        <f>IF(OR(AT$3="",AT$3&gt;TODAY()),"",IF(AND(AT556="",AU556=""),"",N(AU556)-N(AT556)))</f>
        <v/>
      </c>
      <c r="AY556">
        <f>IF(OR(AT$3="",AT$3&gt;TODAY()),"",IF(AND(AW556="",AX556=""),"",N(AX556)-N(AW556)))</f>
        <v/>
      </c>
      <c r="BC556">
        <f>IF(OR(BA$3="",BA$3&gt;TODAY()),"",IF(AND(BA556="",BB556=""),"",N(BB556)-N(BA556)))</f>
        <v/>
      </c>
      <c r="BF556">
        <f>IF(OR(BA$3="",BA$3&gt;TODAY()),"",IF(AND(BD556="",BE556=""),"",N(BE556)-N(BD556)))</f>
        <v/>
      </c>
      <c r="BJ556">
        <f>IF(OR(BH$3="",BH$3&gt;TODAY()),"",IF(AND(BH556="",BI556=""),"",N(BI556)-N(BH556)))</f>
        <v/>
      </c>
      <c r="BM556">
        <f>IF(OR(BH$3="",BH$3&gt;TODAY()),"",IF(AND(BK556="",BL556=""),"",N(BL556)-N(BK556)))</f>
        <v/>
      </c>
      <c r="BQ556">
        <f>IF(OR(BO$3="",BO$3&gt;TODAY()),"",IF(AND(BO556="",BP556=""),"",N(BP556)-N(BO556)))</f>
        <v/>
      </c>
      <c r="BT556">
        <f>IF(OR(BO$3="",BO$3&gt;TODAY()),"",IF(AND(BR556="",BS556=""),"",N(BS556)-N(BR556)))</f>
        <v/>
      </c>
      <c r="BX556">
        <f>IF(OR(BV$3="",BV$3&gt;TODAY()),"",IF(AND(BV556="",BW556=""),"",N(BW556)-N(BV556)))</f>
        <v/>
      </c>
      <c r="CA556">
        <f>IF(OR(BV$3="",BV$3&gt;TODAY()),"",IF(AND(BY556="",BZ556=""),"",N(BZ556)-N(BY556)))</f>
        <v/>
      </c>
      <c r="CE556">
        <f>IF(OR(CC$3="",CC$3&gt;TODAY()),"",IF(AND(CC556="",CD556=""),"",N(CD556)-N(CC556)))</f>
        <v/>
      </c>
      <c r="CH556">
        <f>IF(OR(CC$3="",CC$3&gt;TODAY()),"",IF(AND(CF556="",CG556=""),"",N(CG556)-N(CF556)))</f>
        <v/>
      </c>
      <c r="CL556">
        <f>IF(OR(CJ$3="",CJ$3&gt;TODAY()),"",IF(AND(CJ556="",CK556=""),"",N(CK556)-N(CJ556)))</f>
        <v/>
      </c>
      <c r="CO556">
        <f>IF(OR(CJ$3="",CJ$3&gt;TODAY()),"",IF(AND(CM556="",CN556=""),"",N(CN556)-N(CM556)))</f>
        <v/>
      </c>
      <c r="CS556">
        <f>IF(OR(CQ$3="",CQ$3&gt;TODAY()),"",IF(AND(CQ556="",CR556=""),"",N(CR556)-N(CQ556)))</f>
        <v/>
      </c>
      <c r="CV556">
        <f>IF(OR(CQ$3="",CQ$3&gt;TODAY()),"",IF(AND(CT556="",CU556=""),"",N(CU556)-N(CT556)))</f>
        <v/>
      </c>
      <c r="CZ556">
        <f>IF(OR(CX$3="",CX$3&gt;TODAY()),"",IF(AND(CX556="",CY556=""),"",N(CY556)-N(CX556)))</f>
        <v/>
      </c>
      <c r="DC556">
        <f>IF(OR(CX$3="",CX$3&gt;TODAY()),"",IF(AND(DA556="",DB556=""),"",N(DB556)-N(DA556)))</f>
        <v/>
      </c>
      <c r="DG556">
        <f>IF(OR(DE$3="",DE$3&gt;TODAY()),"",IF(AND(DE556="",DF556=""),"",N(DF556)-N(DE556)))</f>
        <v/>
      </c>
      <c r="DJ556">
        <f>IF(OR(DE$3="",DE$3&gt;TODAY()),"",IF(AND(DH556="",DI556=""),"",N(DI556)-N(DH556)))</f>
        <v/>
      </c>
      <c r="DN556">
        <f>IF(OR(DL$3="",DL$3&gt;TODAY()),"",IF(AND(DL556="",DM556=""),"",N(DM556)-N(DL556)))</f>
        <v/>
      </c>
      <c r="DQ556">
        <f>IF(OR(DL$3="",DL$3&gt;TODAY()),"",IF(AND(DO556="",DP556=""),"",N(DP556)-N(DO556)))</f>
        <v/>
      </c>
      <c r="DU556">
        <f>IF(OR(DS$3="",DS$3&gt;TODAY()),"",IF(AND(DS556="",DT556=""),"",N(DT556)-N(DS556)))</f>
        <v/>
      </c>
      <c r="DX556">
        <f>IF(OR(DS$3="",DS$3&gt;TODAY()),"",IF(AND(DV556="",DW556=""),"",N(DW556)-N(DV556)))</f>
        <v/>
      </c>
      <c r="EB556">
        <f>IF(OR(DZ$3="",DZ$3&gt;TODAY()),"",IF(AND(DZ556="",EA556=""),"",N(EA556)-N(DZ556)))</f>
        <v/>
      </c>
      <c r="EE556">
        <f>IF(OR(DZ$3="",DZ$3&gt;TODAY()),"",IF(AND(EC556="",ED556=""),"",N(ED556)-N(EC556)))</f>
        <v/>
      </c>
      <c r="EI556">
        <f>IF(OR(EG$3="",EG$3&gt;TODAY()),"",IF(AND(EG556="",EH556=""),"",N(EH556)-N(EG556)))</f>
        <v/>
      </c>
      <c r="EL556">
        <f>IF(OR(EG$3="",EG$3&gt;TODAY()),"",IF(AND(EJ556="",EK556=""),"",N(EK556)-N(EJ556)))</f>
        <v/>
      </c>
      <c r="EP556">
        <f>IF(OR(EN$3="",EN$3&gt;TODAY()),"",IF(AND(EN556="",EO556=""),"",N(EO556)-N(EN556)))</f>
        <v/>
      </c>
      <c r="ES556">
        <f>IF(OR(EN$3="",EN$3&gt;TODAY()),"",IF(AND(EQ556="",ER556=""),"",N(ER556)-N(EQ556)))</f>
        <v/>
      </c>
      <c r="EW556">
        <f>IF(OR(EU$3="",EU$3&gt;TODAY()),"",IF(AND(EU556="",EV556=""),"",N(EV556)-N(EU556)))</f>
        <v/>
      </c>
      <c r="EZ556">
        <f>IF(OR(EU$3="",EU$3&gt;TODAY()),"",IF(AND(EX556="",EY556=""),"",N(EY556)-N(EX556)))</f>
        <v/>
      </c>
      <c r="FD556">
        <f>IF(OR(FB$3="",FB$3&gt;TODAY()),"",IF(AND(FB556="",FC556=""),"",N(FC556)-N(FB556)))</f>
        <v/>
      </c>
      <c r="FG556">
        <f>IF(OR(FB$3="",FB$3&gt;TODAY()),"",IF(AND(FE556="",FF556=""),"",N(FF556)-N(FE556)))</f>
        <v/>
      </c>
      <c r="FK556">
        <f>IF(OR(FI$3="",FI$3&gt;TODAY()),"",IF(AND(FI556="",FJ556=""),"",N(FJ556)-N(FI556)))</f>
        <v/>
      </c>
      <c r="FN556">
        <f>IF(OR(FI$3="",FI$3&gt;TODAY()),"",IF(AND(FL556="",FM556=""),"",N(FM556)-N(FL556)))</f>
        <v/>
      </c>
      <c r="FR556">
        <f>IF(OR(FP$3="",FP$3&gt;TODAY()),"",IF(AND(FP556="",FQ556=""),"",N(FQ556)-N(FP556)))</f>
        <v/>
      </c>
      <c r="FU556">
        <f>IF(OR(FP$3="",FP$3&gt;TODAY()),"",IF(AND(FS556="",FT556=""),"",N(FT556)-N(FS556)))</f>
        <v/>
      </c>
      <c r="FY556">
        <f>IF(OR(FW$3="",FW$3&gt;TODAY()),"",IF(AND(FW556="",FX556=""),"",N(FX556)-N(FW556)))</f>
        <v/>
      </c>
      <c r="GB556">
        <f>IF(OR(FW$3="",FW$3&gt;TODAY()),"",IF(AND(FZ556="",GA556=""),"",N(GA556)-N(FZ556)))</f>
        <v/>
      </c>
      <c r="GF556">
        <f>IF(OR(GD$3="",GD$3&gt;TODAY()),"",IF(AND(GD556="",GE556=""),"",N(GE556)-N(GD556)))</f>
        <v/>
      </c>
      <c r="GI556">
        <f>IF(OR(GD$3="",GD$3&gt;TODAY()),"",IF(AND(GG556="",GH556=""),"",N(GH556)-N(GG556)))</f>
        <v/>
      </c>
      <c r="GM556">
        <f>IF(OR(GK$3="",GK$3&gt;TODAY()),"",IF(AND(GK556="",GL556=""),"",N(GL556)-N(GK556)))</f>
        <v/>
      </c>
      <c r="GP556">
        <f>IF(OR(GK$3="",GK$3&gt;TODAY()),"",IF(AND(GN556="",GO556=""),"",N(GO556)-N(GN556)))</f>
        <v/>
      </c>
      <c r="GT556">
        <f>IF(OR(GR$3="",GR$3&gt;TODAY()),"",IF(AND(GR556="",GS556=""),"",N(GS556)-N(GR556)))</f>
        <v/>
      </c>
      <c r="GW556">
        <f>IF(OR(GR$3="",GR$3&gt;TODAY()),"",IF(AND(GU556="",GV556=""),"",N(GV556)-N(GU556)))</f>
        <v/>
      </c>
      <c r="HA556">
        <f>IF(OR(GY$3="",GY$3&gt;TODAY()),"",IF(AND(GY556="",GZ556=""),"",N(GZ556)-N(GY556)))</f>
        <v/>
      </c>
      <c r="HD556">
        <f>IF(OR(GY$3="",GY$3&gt;TODAY()),"",IF(AND(HB556="",HC556=""),"",N(HC556)-N(HB556)))</f>
        <v/>
      </c>
      <c r="HH556">
        <f>IF(OR(HF$3="",HF$3&gt;TODAY()),"",IF(AND(HF556="",HG556=""),"",N(HG556)-N(HF556)))</f>
        <v/>
      </c>
      <c r="HK556">
        <f>IF(OR(HF$3="",HF$3&gt;TODAY()),"",IF(AND(HI556="",HJ556=""),"",N(HJ556)-N(HI556)))</f>
        <v/>
      </c>
      <c r="HO556">
        <f>IF(OR(HM$3="",HM$3&gt;TODAY()),"",IF(AND(HM556="",HN556=""),"",N(HN556)-N(HM556)))</f>
        <v/>
      </c>
      <c r="HR556">
        <f>IF(OR(HM$3="",HM$3&gt;TODAY()),"",IF(AND(HP556="",HQ556=""),"",N(HQ556)-N(HP556)))</f>
        <v/>
      </c>
      <c r="HV556">
        <f>IF(OR(HT$3="",HT$3&gt;TODAY()),"",IF(AND(HT556="",HU556=""),"",N(HU556)-N(HT556)))</f>
        <v/>
      </c>
      <c r="HY556">
        <f>IF(OR(HT$3="",HT$3&gt;TODAY()),"",IF(AND(HW556="",HX556=""),"",N(HX556)-N(HW556)))</f>
        <v/>
      </c>
      <c r="IC556">
        <f>IF(OR(IA$3="",IA$3&gt;TODAY()),"",IF(AND(IA556="",IB556=""),"",N(IB556)-N(IA556)))</f>
        <v/>
      </c>
      <c r="IF556">
        <f>IF(OR(IA$3="",IA$3&gt;TODAY()),"",IF(AND(ID556="",IE556=""),"",N(IE556)-N(ID556)))</f>
        <v/>
      </c>
      <c r="IJ556">
        <f>IF(OR(IH$3="",IH$3&gt;TODAY()),"",IF(AND(IH556="",II556=""),"",N(II556)-N(IH556)))</f>
        <v/>
      </c>
      <c r="IM556">
        <f>IF(OR(IH$3="",IH$3&gt;TODAY()),"",IF(AND(IK556="",IL556=""),"",N(IL556)-N(IK556)))</f>
        <v/>
      </c>
    </row>
    <row r="557">
      <c r="A557" s="21" t="n"/>
      <c r="B557" s="21" t="n"/>
      <c r="C557" s="21" t="n"/>
      <c r="D557" s="21" t="n"/>
      <c r="E557" s="21" t="n"/>
      <c r="F557" s="21" t="n"/>
      <c r="G557" s="21" t="n"/>
      <c r="H557" s="21" t="n"/>
      <c r="I557" s="22" t="n"/>
      <c r="J557" s="22" t="n"/>
      <c r="K557" s="23" t="n"/>
      <c r="L557" s="22" t="n"/>
      <c r="M557" s="22" t="n"/>
      <c r="N557" s="21" t="n"/>
      <c r="O557" s="23" t="n"/>
      <c r="P557" s="23" t="n"/>
      <c r="Q557" s="23" t="n"/>
      <c r="R557" s="23" t="n"/>
      <c r="S557" s="22" t="n"/>
      <c r="T557" s="23" t="n"/>
      <c r="U557" s="23" t="n"/>
      <c r="V557" s="24">
        <f>IF(J557&lt;&gt;"",J557,IF(I557&lt;&gt;"",I557,""))</f>
        <v/>
      </c>
      <c r="W557" s="25">
        <f>IF($E557="","",N(O557)+SUMIFS($AF557:$IN557,$AF$4:$IN$4,"SEW_ACT"))</f>
        <v/>
      </c>
      <c r="X557" s="25">
        <f>IF($E557="","",N(P557)+SUMIFS($AF557:$IN557,$AF$4:$IN$4,"WASH_ACT"))</f>
        <v/>
      </c>
      <c r="Y557" s="25">
        <f>IF($E557="","",W557-X557-N(T557)-N(U557))</f>
        <v/>
      </c>
      <c r="Z557" s="25">
        <f>IF($E557="","",IF(N(K557)-X557&lt;=0.02*N(K557),0,N(K557)-X557))</f>
        <v/>
      </c>
      <c r="AA557" s="24">
        <f>IF($E557="","",IF(S557&lt;&gt;"",S557,IF(N(O557)&gt;0,IF(L557&lt;&gt;"",L557,99999),IFERROR(1/(1/_xlfn.MINIFS($AF$3:$IN$3,$AF$4:$IN$4,"SEW_ACT",$AF557:$IN557,"&gt;0")),99999))))</f>
        <v/>
      </c>
      <c r="AB557" s="26">
        <f>IF(OR($E557="",Z557=0,V557=""),"",1+COUNTIFS(Z$8:Z$707,"&gt;0",V$8:V$707,"&lt;"&amp;V557)+COUNTIFS(Z$8:Z$707,"&gt;0",V$8:V$707,V557,AA$8:AA$707,"&lt;"&amp;AA557)+COUNTIFS(Z$8:Z$707,"&gt;0",V$8:V$707,V557,AA$8:AA$707,AA557,E$8:E$707,"&lt;"&amp;$E557))</f>
        <v/>
      </c>
      <c r="AC557" s="24">
        <f>IF(OR($E557="",Z557=0),"",IFERROR(TODAY()+ROUNDUP(Z557/(SUMIFS($AF557:$IN557,$AF$4:$IN$4,"WASH_ACT")/COUNTIFS($AF$4:$IN$4,"WASH_ACT",$AF557:$IN557,"&gt;0")),0),"no output yet"))</f>
        <v/>
      </c>
      <c r="AD557" s="26">
        <f>IF($E557="","",IFERROR(ROUND(MAX(0,SUMIFS($AF557:$IN557,$AF$4:$IN$4,"SEW_PLAN",$AF$3:$IN$3,"&lt;="&amp;TODAY())-SUMIFS($AF557:$IN557,$AF$4:$IN$4,"SEW_ACT",$AF$3:$IN$3,"&lt;="&amp;TODAY())+N(Q557))/(SUMIFS($AF557:$IN557,$AF$4:$IN$4,"SEW_PLAN")/COUNTIFS($AF$4:$IN$4,"SEW_PLAN",$AF557:$IN557,"&gt;0")),1),0))</f>
        <v/>
      </c>
      <c r="AE557" s="26">
        <f>IF($E557="","",IF(AND(Z557&gt;0,OR(AND(M557&lt;&gt;"",TODAY()&gt;M557),AND(V557&lt;&gt;"",V557-TODAY()&lt;=7))),"Yes","No"))</f>
        <v/>
      </c>
      <c r="AH557">
        <f>IF(OR(AF$3="",AF$3&gt;TODAY()),"",IF(AND(AF557="",AG557=""),"",N(AG557)-N(AF557)))</f>
        <v/>
      </c>
      <c r="AK557">
        <f>IF(OR(AF$3="",AF$3&gt;TODAY()),"",IF(AND(AI557="",AJ557=""),"",N(AJ557)-N(AI557)))</f>
        <v/>
      </c>
      <c r="AO557">
        <f>IF(OR(AM$3="",AM$3&gt;TODAY()),"",IF(AND(AM557="",AN557=""),"",N(AN557)-N(AM557)))</f>
        <v/>
      </c>
      <c r="AR557">
        <f>IF(OR(AM$3="",AM$3&gt;TODAY()),"",IF(AND(AP557="",AQ557=""),"",N(AQ557)-N(AP557)))</f>
        <v/>
      </c>
      <c r="AV557">
        <f>IF(OR(AT$3="",AT$3&gt;TODAY()),"",IF(AND(AT557="",AU557=""),"",N(AU557)-N(AT557)))</f>
        <v/>
      </c>
      <c r="AY557">
        <f>IF(OR(AT$3="",AT$3&gt;TODAY()),"",IF(AND(AW557="",AX557=""),"",N(AX557)-N(AW557)))</f>
        <v/>
      </c>
      <c r="BC557">
        <f>IF(OR(BA$3="",BA$3&gt;TODAY()),"",IF(AND(BA557="",BB557=""),"",N(BB557)-N(BA557)))</f>
        <v/>
      </c>
      <c r="BF557">
        <f>IF(OR(BA$3="",BA$3&gt;TODAY()),"",IF(AND(BD557="",BE557=""),"",N(BE557)-N(BD557)))</f>
        <v/>
      </c>
      <c r="BJ557">
        <f>IF(OR(BH$3="",BH$3&gt;TODAY()),"",IF(AND(BH557="",BI557=""),"",N(BI557)-N(BH557)))</f>
        <v/>
      </c>
      <c r="BM557">
        <f>IF(OR(BH$3="",BH$3&gt;TODAY()),"",IF(AND(BK557="",BL557=""),"",N(BL557)-N(BK557)))</f>
        <v/>
      </c>
      <c r="BQ557">
        <f>IF(OR(BO$3="",BO$3&gt;TODAY()),"",IF(AND(BO557="",BP557=""),"",N(BP557)-N(BO557)))</f>
        <v/>
      </c>
      <c r="BT557">
        <f>IF(OR(BO$3="",BO$3&gt;TODAY()),"",IF(AND(BR557="",BS557=""),"",N(BS557)-N(BR557)))</f>
        <v/>
      </c>
      <c r="BX557">
        <f>IF(OR(BV$3="",BV$3&gt;TODAY()),"",IF(AND(BV557="",BW557=""),"",N(BW557)-N(BV557)))</f>
        <v/>
      </c>
      <c r="CA557">
        <f>IF(OR(BV$3="",BV$3&gt;TODAY()),"",IF(AND(BY557="",BZ557=""),"",N(BZ557)-N(BY557)))</f>
        <v/>
      </c>
      <c r="CE557">
        <f>IF(OR(CC$3="",CC$3&gt;TODAY()),"",IF(AND(CC557="",CD557=""),"",N(CD557)-N(CC557)))</f>
        <v/>
      </c>
      <c r="CH557">
        <f>IF(OR(CC$3="",CC$3&gt;TODAY()),"",IF(AND(CF557="",CG557=""),"",N(CG557)-N(CF557)))</f>
        <v/>
      </c>
      <c r="CL557">
        <f>IF(OR(CJ$3="",CJ$3&gt;TODAY()),"",IF(AND(CJ557="",CK557=""),"",N(CK557)-N(CJ557)))</f>
        <v/>
      </c>
      <c r="CO557">
        <f>IF(OR(CJ$3="",CJ$3&gt;TODAY()),"",IF(AND(CM557="",CN557=""),"",N(CN557)-N(CM557)))</f>
        <v/>
      </c>
      <c r="CS557">
        <f>IF(OR(CQ$3="",CQ$3&gt;TODAY()),"",IF(AND(CQ557="",CR557=""),"",N(CR557)-N(CQ557)))</f>
        <v/>
      </c>
      <c r="CV557">
        <f>IF(OR(CQ$3="",CQ$3&gt;TODAY()),"",IF(AND(CT557="",CU557=""),"",N(CU557)-N(CT557)))</f>
        <v/>
      </c>
      <c r="CZ557">
        <f>IF(OR(CX$3="",CX$3&gt;TODAY()),"",IF(AND(CX557="",CY557=""),"",N(CY557)-N(CX557)))</f>
        <v/>
      </c>
      <c r="DC557">
        <f>IF(OR(CX$3="",CX$3&gt;TODAY()),"",IF(AND(DA557="",DB557=""),"",N(DB557)-N(DA557)))</f>
        <v/>
      </c>
      <c r="DG557">
        <f>IF(OR(DE$3="",DE$3&gt;TODAY()),"",IF(AND(DE557="",DF557=""),"",N(DF557)-N(DE557)))</f>
        <v/>
      </c>
      <c r="DJ557">
        <f>IF(OR(DE$3="",DE$3&gt;TODAY()),"",IF(AND(DH557="",DI557=""),"",N(DI557)-N(DH557)))</f>
        <v/>
      </c>
      <c r="DN557">
        <f>IF(OR(DL$3="",DL$3&gt;TODAY()),"",IF(AND(DL557="",DM557=""),"",N(DM557)-N(DL557)))</f>
        <v/>
      </c>
      <c r="DQ557">
        <f>IF(OR(DL$3="",DL$3&gt;TODAY()),"",IF(AND(DO557="",DP557=""),"",N(DP557)-N(DO557)))</f>
        <v/>
      </c>
      <c r="DU557">
        <f>IF(OR(DS$3="",DS$3&gt;TODAY()),"",IF(AND(DS557="",DT557=""),"",N(DT557)-N(DS557)))</f>
        <v/>
      </c>
      <c r="DX557">
        <f>IF(OR(DS$3="",DS$3&gt;TODAY()),"",IF(AND(DV557="",DW557=""),"",N(DW557)-N(DV557)))</f>
        <v/>
      </c>
      <c r="EB557">
        <f>IF(OR(DZ$3="",DZ$3&gt;TODAY()),"",IF(AND(DZ557="",EA557=""),"",N(EA557)-N(DZ557)))</f>
        <v/>
      </c>
      <c r="EE557">
        <f>IF(OR(DZ$3="",DZ$3&gt;TODAY()),"",IF(AND(EC557="",ED557=""),"",N(ED557)-N(EC557)))</f>
        <v/>
      </c>
      <c r="EI557">
        <f>IF(OR(EG$3="",EG$3&gt;TODAY()),"",IF(AND(EG557="",EH557=""),"",N(EH557)-N(EG557)))</f>
        <v/>
      </c>
      <c r="EL557">
        <f>IF(OR(EG$3="",EG$3&gt;TODAY()),"",IF(AND(EJ557="",EK557=""),"",N(EK557)-N(EJ557)))</f>
        <v/>
      </c>
      <c r="EP557">
        <f>IF(OR(EN$3="",EN$3&gt;TODAY()),"",IF(AND(EN557="",EO557=""),"",N(EO557)-N(EN557)))</f>
        <v/>
      </c>
      <c r="ES557">
        <f>IF(OR(EN$3="",EN$3&gt;TODAY()),"",IF(AND(EQ557="",ER557=""),"",N(ER557)-N(EQ557)))</f>
        <v/>
      </c>
      <c r="EW557">
        <f>IF(OR(EU$3="",EU$3&gt;TODAY()),"",IF(AND(EU557="",EV557=""),"",N(EV557)-N(EU557)))</f>
        <v/>
      </c>
      <c r="EZ557">
        <f>IF(OR(EU$3="",EU$3&gt;TODAY()),"",IF(AND(EX557="",EY557=""),"",N(EY557)-N(EX557)))</f>
        <v/>
      </c>
      <c r="FD557">
        <f>IF(OR(FB$3="",FB$3&gt;TODAY()),"",IF(AND(FB557="",FC557=""),"",N(FC557)-N(FB557)))</f>
        <v/>
      </c>
      <c r="FG557">
        <f>IF(OR(FB$3="",FB$3&gt;TODAY()),"",IF(AND(FE557="",FF557=""),"",N(FF557)-N(FE557)))</f>
        <v/>
      </c>
      <c r="FK557">
        <f>IF(OR(FI$3="",FI$3&gt;TODAY()),"",IF(AND(FI557="",FJ557=""),"",N(FJ557)-N(FI557)))</f>
        <v/>
      </c>
      <c r="FN557">
        <f>IF(OR(FI$3="",FI$3&gt;TODAY()),"",IF(AND(FL557="",FM557=""),"",N(FM557)-N(FL557)))</f>
        <v/>
      </c>
      <c r="FR557">
        <f>IF(OR(FP$3="",FP$3&gt;TODAY()),"",IF(AND(FP557="",FQ557=""),"",N(FQ557)-N(FP557)))</f>
        <v/>
      </c>
      <c r="FU557">
        <f>IF(OR(FP$3="",FP$3&gt;TODAY()),"",IF(AND(FS557="",FT557=""),"",N(FT557)-N(FS557)))</f>
        <v/>
      </c>
      <c r="FY557">
        <f>IF(OR(FW$3="",FW$3&gt;TODAY()),"",IF(AND(FW557="",FX557=""),"",N(FX557)-N(FW557)))</f>
        <v/>
      </c>
      <c r="GB557">
        <f>IF(OR(FW$3="",FW$3&gt;TODAY()),"",IF(AND(FZ557="",GA557=""),"",N(GA557)-N(FZ557)))</f>
        <v/>
      </c>
      <c r="GF557">
        <f>IF(OR(GD$3="",GD$3&gt;TODAY()),"",IF(AND(GD557="",GE557=""),"",N(GE557)-N(GD557)))</f>
        <v/>
      </c>
      <c r="GI557">
        <f>IF(OR(GD$3="",GD$3&gt;TODAY()),"",IF(AND(GG557="",GH557=""),"",N(GH557)-N(GG557)))</f>
        <v/>
      </c>
      <c r="GM557">
        <f>IF(OR(GK$3="",GK$3&gt;TODAY()),"",IF(AND(GK557="",GL557=""),"",N(GL557)-N(GK557)))</f>
        <v/>
      </c>
      <c r="GP557">
        <f>IF(OR(GK$3="",GK$3&gt;TODAY()),"",IF(AND(GN557="",GO557=""),"",N(GO557)-N(GN557)))</f>
        <v/>
      </c>
      <c r="GT557">
        <f>IF(OR(GR$3="",GR$3&gt;TODAY()),"",IF(AND(GR557="",GS557=""),"",N(GS557)-N(GR557)))</f>
        <v/>
      </c>
      <c r="GW557">
        <f>IF(OR(GR$3="",GR$3&gt;TODAY()),"",IF(AND(GU557="",GV557=""),"",N(GV557)-N(GU557)))</f>
        <v/>
      </c>
      <c r="HA557">
        <f>IF(OR(GY$3="",GY$3&gt;TODAY()),"",IF(AND(GY557="",GZ557=""),"",N(GZ557)-N(GY557)))</f>
        <v/>
      </c>
      <c r="HD557">
        <f>IF(OR(GY$3="",GY$3&gt;TODAY()),"",IF(AND(HB557="",HC557=""),"",N(HC557)-N(HB557)))</f>
        <v/>
      </c>
      <c r="HH557">
        <f>IF(OR(HF$3="",HF$3&gt;TODAY()),"",IF(AND(HF557="",HG557=""),"",N(HG557)-N(HF557)))</f>
        <v/>
      </c>
      <c r="HK557">
        <f>IF(OR(HF$3="",HF$3&gt;TODAY()),"",IF(AND(HI557="",HJ557=""),"",N(HJ557)-N(HI557)))</f>
        <v/>
      </c>
      <c r="HO557">
        <f>IF(OR(HM$3="",HM$3&gt;TODAY()),"",IF(AND(HM557="",HN557=""),"",N(HN557)-N(HM557)))</f>
        <v/>
      </c>
      <c r="HR557">
        <f>IF(OR(HM$3="",HM$3&gt;TODAY()),"",IF(AND(HP557="",HQ557=""),"",N(HQ557)-N(HP557)))</f>
        <v/>
      </c>
      <c r="HV557">
        <f>IF(OR(HT$3="",HT$3&gt;TODAY()),"",IF(AND(HT557="",HU557=""),"",N(HU557)-N(HT557)))</f>
        <v/>
      </c>
      <c r="HY557">
        <f>IF(OR(HT$3="",HT$3&gt;TODAY()),"",IF(AND(HW557="",HX557=""),"",N(HX557)-N(HW557)))</f>
        <v/>
      </c>
      <c r="IC557">
        <f>IF(OR(IA$3="",IA$3&gt;TODAY()),"",IF(AND(IA557="",IB557=""),"",N(IB557)-N(IA557)))</f>
        <v/>
      </c>
      <c r="IF557">
        <f>IF(OR(IA$3="",IA$3&gt;TODAY()),"",IF(AND(ID557="",IE557=""),"",N(IE557)-N(ID557)))</f>
        <v/>
      </c>
      <c r="IJ557">
        <f>IF(OR(IH$3="",IH$3&gt;TODAY()),"",IF(AND(IH557="",II557=""),"",N(II557)-N(IH557)))</f>
        <v/>
      </c>
      <c r="IM557">
        <f>IF(OR(IH$3="",IH$3&gt;TODAY()),"",IF(AND(IK557="",IL557=""),"",N(IL557)-N(IK557)))</f>
        <v/>
      </c>
    </row>
    <row r="558">
      <c r="A558" s="21" t="n"/>
      <c r="B558" s="21" t="n"/>
      <c r="C558" s="21" t="n"/>
      <c r="D558" s="21" t="n"/>
      <c r="E558" s="21" t="n"/>
      <c r="F558" s="21" t="n"/>
      <c r="G558" s="21" t="n"/>
      <c r="H558" s="21" t="n"/>
      <c r="I558" s="22" t="n"/>
      <c r="J558" s="22" t="n"/>
      <c r="K558" s="23" t="n"/>
      <c r="L558" s="22" t="n"/>
      <c r="M558" s="22" t="n"/>
      <c r="N558" s="21" t="n"/>
      <c r="O558" s="23" t="n"/>
      <c r="P558" s="23" t="n"/>
      <c r="Q558" s="23" t="n"/>
      <c r="R558" s="23" t="n"/>
      <c r="S558" s="22" t="n"/>
      <c r="T558" s="23" t="n"/>
      <c r="U558" s="23" t="n"/>
      <c r="V558" s="24">
        <f>IF(J558&lt;&gt;"",J558,IF(I558&lt;&gt;"",I558,""))</f>
        <v/>
      </c>
      <c r="W558" s="25">
        <f>IF($E558="","",N(O558)+SUMIFS($AF558:$IN558,$AF$4:$IN$4,"SEW_ACT"))</f>
        <v/>
      </c>
      <c r="X558" s="25">
        <f>IF($E558="","",N(P558)+SUMIFS($AF558:$IN558,$AF$4:$IN$4,"WASH_ACT"))</f>
        <v/>
      </c>
      <c r="Y558" s="25">
        <f>IF($E558="","",W558-X558-N(T558)-N(U558))</f>
        <v/>
      </c>
      <c r="Z558" s="25">
        <f>IF($E558="","",IF(N(K558)-X558&lt;=0.02*N(K558),0,N(K558)-X558))</f>
        <v/>
      </c>
      <c r="AA558" s="24">
        <f>IF($E558="","",IF(S558&lt;&gt;"",S558,IF(N(O558)&gt;0,IF(L558&lt;&gt;"",L558,99999),IFERROR(1/(1/_xlfn.MINIFS($AF$3:$IN$3,$AF$4:$IN$4,"SEW_ACT",$AF558:$IN558,"&gt;0")),99999))))</f>
        <v/>
      </c>
      <c r="AB558" s="26">
        <f>IF(OR($E558="",Z558=0,V558=""),"",1+COUNTIFS(Z$8:Z$707,"&gt;0",V$8:V$707,"&lt;"&amp;V558)+COUNTIFS(Z$8:Z$707,"&gt;0",V$8:V$707,V558,AA$8:AA$707,"&lt;"&amp;AA558)+COUNTIFS(Z$8:Z$707,"&gt;0",V$8:V$707,V558,AA$8:AA$707,AA558,E$8:E$707,"&lt;"&amp;$E558))</f>
        <v/>
      </c>
      <c r="AC558" s="24">
        <f>IF(OR($E558="",Z558=0),"",IFERROR(TODAY()+ROUNDUP(Z558/(SUMIFS($AF558:$IN558,$AF$4:$IN$4,"WASH_ACT")/COUNTIFS($AF$4:$IN$4,"WASH_ACT",$AF558:$IN558,"&gt;0")),0),"no output yet"))</f>
        <v/>
      </c>
      <c r="AD558" s="26">
        <f>IF($E558="","",IFERROR(ROUND(MAX(0,SUMIFS($AF558:$IN558,$AF$4:$IN$4,"SEW_PLAN",$AF$3:$IN$3,"&lt;="&amp;TODAY())-SUMIFS($AF558:$IN558,$AF$4:$IN$4,"SEW_ACT",$AF$3:$IN$3,"&lt;="&amp;TODAY())+N(Q558))/(SUMIFS($AF558:$IN558,$AF$4:$IN$4,"SEW_PLAN")/COUNTIFS($AF$4:$IN$4,"SEW_PLAN",$AF558:$IN558,"&gt;0")),1),0))</f>
        <v/>
      </c>
      <c r="AE558" s="26">
        <f>IF($E558="","",IF(AND(Z558&gt;0,OR(AND(M558&lt;&gt;"",TODAY()&gt;M558),AND(V558&lt;&gt;"",V558-TODAY()&lt;=7))),"Yes","No"))</f>
        <v/>
      </c>
      <c r="AH558">
        <f>IF(OR(AF$3="",AF$3&gt;TODAY()),"",IF(AND(AF558="",AG558=""),"",N(AG558)-N(AF558)))</f>
        <v/>
      </c>
      <c r="AK558">
        <f>IF(OR(AF$3="",AF$3&gt;TODAY()),"",IF(AND(AI558="",AJ558=""),"",N(AJ558)-N(AI558)))</f>
        <v/>
      </c>
      <c r="AO558">
        <f>IF(OR(AM$3="",AM$3&gt;TODAY()),"",IF(AND(AM558="",AN558=""),"",N(AN558)-N(AM558)))</f>
        <v/>
      </c>
      <c r="AR558">
        <f>IF(OR(AM$3="",AM$3&gt;TODAY()),"",IF(AND(AP558="",AQ558=""),"",N(AQ558)-N(AP558)))</f>
        <v/>
      </c>
      <c r="AV558">
        <f>IF(OR(AT$3="",AT$3&gt;TODAY()),"",IF(AND(AT558="",AU558=""),"",N(AU558)-N(AT558)))</f>
        <v/>
      </c>
      <c r="AY558">
        <f>IF(OR(AT$3="",AT$3&gt;TODAY()),"",IF(AND(AW558="",AX558=""),"",N(AX558)-N(AW558)))</f>
        <v/>
      </c>
      <c r="BC558">
        <f>IF(OR(BA$3="",BA$3&gt;TODAY()),"",IF(AND(BA558="",BB558=""),"",N(BB558)-N(BA558)))</f>
        <v/>
      </c>
      <c r="BF558">
        <f>IF(OR(BA$3="",BA$3&gt;TODAY()),"",IF(AND(BD558="",BE558=""),"",N(BE558)-N(BD558)))</f>
        <v/>
      </c>
      <c r="BJ558">
        <f>IF(OR(BH$3="",BH$3&gt;TODAY()),"",IF(AND(BH558="",BI558=""),"",N(BI558)-N(BH558)))</f>
        <v/>
      </c>
      <c r="BM558">
        <f>IF(OR(BH$3="",BH$3&gt;TODAY()),"",IF(AND(BK558="",BL558=""),"",N(BL558)-N(BK558)))</f>
        <v/>
      </c>
      <c r="BQ558">
        <f>IF(OR(BO$3="",BO$3&gt;TODAY()),"",IF(AND(BO558="",BP558=""),"",N(BP558)-N(BO558)))</f>
        <v/>
      </c>
      <c r="BT558">
        <f>IF(OR(BO$3="",BO$3&gt;TODAY()),"",IF(AND(BR558="",BS558=""),"",N(BS558)-N(BR558)))</f>
        <v/>
      </c>
      <c r="BX558">
        <f>IF(OR(BV$3="",BV$3&gt;TODAY()),"",IF(AND(BV558="",BW558=""),"",N(BW558)-N(BV558)))</f>
        <v/>
      </c>
      <c r="CA558">
        <f>IF(OR(BV$3="",BV$3&gt;TODAY()),"",IF(AND(BY558="",BZ558=""),"",N(BZ558)-N(BY558)))</f>
        <v/>
      </c>
      <c r="CE558">
        <f>IF(OR(CC$3="",CC$3&gt;TODAY()),"",IF(AND(CC558="",CD558=""),"",N(CD558)-N(CC558)))</f>
        <v/>
      </c>
      <c r="CH558">
        <f>IF(OR(CC$3="",CC$3&gt;TODAY()),"",IF(AND(CF558="",CG558=""),"",N(CG558)-N(CF558)))</f>
        <v/>
      </c>
      <c r="CL558">
        <f>IF(OR(CJ$3="",CJ$3&gt;TODAY()),"",IF(AND(CJ558="",CK558=""),"",N(CK558)-N(CJ558)))</f>
        <v/>
      </c>
      <c r="CO558">
        <f>IF(OR(CJ$3="",CJ$3&gt;TODAY()),"",IF(AND(CM558="",CN558=""),"",N(CN558)-N(CM558)))</f>
        <v/>
      </c>
      <c r="CS558">
        <f>IF(OR(CQ$3="",CQ$3&gt;TODAY()),"",IF(AND(CQ558="",CR558=""),"",N(CR558)-N(CQ558)))</f>
        <v/>
      </c>
      <c r="CV558">
        <f>IF(OR(CQ$3="",CQ$3&gt;TODAY()),"",IF(AND(CT558="",CU558=""),"",N(CU558)-N(CT558)))</f>
        <v/>
      </c>
      <c r="CZ558">
        <f>IF(OR(CX$3="",CX$3&gt;TODAY()),"",IF(AND(CX558="",CY558=""),"",N(CY558)-N(CX558)))</f>
        <v/>
      </c>
      <c r="DC558">
        <f>IF(OR(CX$3="",CX$3&gt;TODAY()),"",IF(AND(DA558="",DB558=""),"",N(DB558)-N(DA558)))</f>
        <v/>
      </c>
      <c r="DG558">
        <f>IF(OR(DE$3="",DE$3&gt;TODAY()),"",IF(AND(DE558="",DF558=""),"",N(DF558)-N(DE558)))</f>
        <v/>
      </c>
      <c r="DJ558">
        <f>IF(OR(DE$3="",DE$3&gt;TODAY()),"",IF(AND(DH558="",DI558=""),"",N(DI558)-N(DH558)))</f>
        <v/>
      </c>
      <c r="DN558">
        <f>IF(OR(DL$3="",DL$3&gt;TODAY()),"",IF(AND(DL558="",DM558=""),"",N(DM558)-N(DL558)))</f>
        <v/>
      </c>
      <c r="DQ558">
        <f>IF(OR(DL$3="",DL$3&gt;TODAY()),"",IF(AND(DO558="",DP558=""),"",N(DP558)-N(DO558)))</f>
        <v/>
      </c>
      <c r="DU558">
        <f>IF(OR(DS$3="",DS$3&gt;TODAY()),"",IF(AND(DS558="",DT558=""),"",N(DT558)-N(DS558)))</f>
        <v/>
      </c>
      <c r="DX558">
        <f>IF(OR(DS$3="",DS$3&gt;TODAY()),"",IF(AND(DV558="",DW558=""),"",N(DW558)-N(DV558)))</f>
        <v/>
      </c>
      <c r="EB558">
        <f>IF(OR(DZ$3="",DZ$3&gt;TODAY()),"",IF(AND(DZ558="",EA558=""),"",N(EA558)-N(DZ558)))</f>
        <v/>
      </c>
      <c r="EE558">
        <f>IF(OR(DZ$3="",DZ$3&gt;TODAY()),"",IF(AND(EC558="",ED558=""),"",N(ED558)-N(EC558)))</f>
        <v/>
      </c>
      <c r="EI558">
        <f>IF(OR(EG$3="",EG$3&gt;TODAY()),"",IF(AND(EG558="",EH558=""),"",N(EH558)-N(EG558)))</f>
        <v/>
      </c>
      <c r="EL558">
        <f>IF(OR(EG$3="",EG$3&gt;TODAY()),"",IF(AND(EJ558="",EK558=""),"",N(EK558)-N(EJ558)))</f>
        <v/>
      </c>
      <c r="EP558">
        <f>IF(OR(EN$3="",EN$3&gt;TODAY()),"",IF(AND(EN558="",EO558=""),"",N(EO558)-N(EN558)))</f>
        <v/>
      </c>
      <c r="ES558">
        <f>IF(OR(EN$3="",EN$3&gt;TODAY()),"",IF(AND(EQ558="",ER558=""),"",N(ER558)-N(EQ558)))</f>
        <v/>
      </c>
      <c r="EW558">
        <f>IF(OR(EU$3="",EU$3&gt;TODAY()),"",IF(AND(EU558="",EV558=""),"",N(EV558)-N(EU558)))</f>
        <v/>
      </c>
      <c r="EZ558">
        <f>IF(OR(EU$3="",EU$3&gt;TODAY()),"",IF(AND(EX558="",EY558=""),"",N(EY558)-N(EX558)))</f>
        <v/>
      </c>
      <c r="FD558">
        <f>IF(OR(FB$3="",FB$3&gt;TODAY()),"",IF(AND(FB558="",FC558=""),"",N(FC558)-N(FB558)))</f>
        <v/>
      </c>
      <c r="FG558">
        <f>IF(OR(FB$3="",FB$3&gt;TODAY()),"",IF(AND(FE558="",FF558=""),"",N(FF558)-N(FE558)))</f>
        <v/>
      </c>
      <c r="FK558">
        <f>IF(OR(FI$3="",FI$3&gt;TODAY()),"",IF(AND(FI558="",FJ558=""),"",N(FJ558)-N(FI558)))</f>
        <v/>
      </c>
      <c r="FN558">
        <f>IF(OR(FI$3="",FI$3&gt;TODAY()),"",IF(AND(FL558="",FM558=""),"",N(FM558)-N(FL558)))</f>
        <v/>
      </c>
      <c r="FR558">
        <f>IF(OR(FP$3="",FP$3&gt;TODAY()),"",IF(AND(FP558="",FQ558=""),"",N(FQ558)-N(FP558)))</f>
        <v/>
      </c>
      <c r="FU558">
        <f>IF(OR(FP$3="",FP$3&gt;TODAY()),"",IF(AND(FS558="",FT558=""),"",N(FT558)-N(FS558)))</f>
        <v/>
      </c>
      <c r="FY558">
        <f>IF(OR(FW$3="",FW$3&gt;TODAY()),"",IF(AND(FW558="",FX558=""),"",N(FX558)-N(FW558)))</f>
        <v/>
      </c>
      <c r="GB558">
        <f>IF(OR(FW$3="",FW$3&gt;TODAY()),"",IF(AND(FZ558="",GA558=""),"",N(GA558)-N(FZ558)))</f>
        <v/>
      </c>
      <c r="GF558">
        <f>IF(OR(GD$3="",GD$3&gt;TODAY()),"",IF(AND(GD558="",GE558=""),"",N(GE558)-N(GD558)))</f>
        <v/>
      </c>
      <c r="GI558">
        <f>IF(OR(GD$3="",GD$3&gt;TODAY()),"",IF(AND(GG558="",GH558=""),"",N(GH558)-N(GG558)))</f>
        <v/>
      </c>
      <c r="GM558">
        <f>IF(OR(GK$3="",GK$3&gt;TODAY()),"",IF(AND(GK558="",GL558=""),"",N(GL558)-N(GK558)))</f>
        <v/>
      </c>
      <c r="GP558">
        <f>IF(OR(GK$3="",GK$3&gt;TODAY()),"",IF(AND(GN558="",GO558=""),"",N(GO558)-N(GN558)))</f>
        <v/>
      </c>
      <c r="GT558">
        <f>IF(OR(GR$3="",GR$3&gt;TODAY()),"",IF(AND(GR558="",GS558=""),"",N(GS558)-N(GR558)))</f>
        <v/>
      </c>
      <c r="GW558">
        <f>IF(OR(GR$3="",GR$3&gt;TODAY()),"",IF(AND(GU558="",GV558=""),"",N(GV558)-N(GU558)))</f>
        <v/>
      </c>
      <c r="HA558">
        <f>IF(OR(GY$3="",GY$3&gt;TODAY()),"",IF(AND(GY558="",GZ558=""),"",N(GZ558)-N(GY558)))</f>
        <v/>
      </c>
      <c r="HD558">
        <f>IF(OR(GY$3="",GY$3&gt;TODAY()),"",IF(AND(HB558="",HC558=""),"",N(HC558)-N(HB558)))</f>
        <v/>
      </c>
      <c r="HH558">
        <f>IF(OR(HF$3="",HF$3&gt;TODAY()),"",IF(AND(HF558="",HG558=""),"",N(HG558)-N(HF558)))</f>
        <v/>
      </c>
      <c r="HK558">
        <f>IF(OR(HF$3="",HF$3&gt;TODAY()),"",IF(AND(HI558="",HJ558=""),"",N(HJ558)-N(HI558)))</f>
        <v/>
      </c>
      <c r="HO558">
        <f>IF(OR(HM$3="",HM$3&gt;TODAY()),"",IF(AND(HM558="",HN558=""),"",N(HN558)-N(HM558)))</f>
        <v/>
      </c>
      <c r="HR558">
        <f>IF(OR(HM$3="",HM$3&gt;TODAY()),"",IF(AND(HP558="",HQ558=""),"",N(HQ558)-N(HP558)))</f>
        <v/>
      </c>
      <c r="HV558">
        <f>IF(OR(HT$3="",HT$3&gt;TODAY()),"",IF(AND(HT558="",HU558=""),"",N(HU558)-N(HT558)))</f>
        <v/>
      </c>
      <c r="HY558">
        <f>IF(OR(HT$3="",HT$3&gt;TODAY()),"",IF(AND(HW558="",HX558=""),"",N(HX558)-N(HW558)))</f>
        <v/>
      </c>
      <c r="IC558">
        <f>IF(OR(IA$3="",IA$3&gt;TODAY()),"",IF(AND(IA558="",IB558=""),"",N(IB558)-N(IA558)))</f>
        <v/>
      </c>
      <c r="IF558">
        <f>IF(OR(IA$3="",IA$3&gt;TODAY()),"",IF(AND(ID558="",IE558=""),"",N(IE558)-N(ID558)))</f>
        <v/>
      </c>
      <c r="IJ558">
        <f>IF(OR(IH$3="",IH$3&gt;TODAY()),"",IF(AND(IH558="",II558=""),"",N(II558)-N(IH558)))</f>
        <v/>
      </c>
      <c r="IM558">
        <f>IF(OR(IH$3="",IH$3&gt;TODAY()),"",IF(AND(IK558="",IL558=""),"",N(IL558)-N(IK558)))</f>
        <v/>
      </c>
    </row>
    <row r="559">
      <c r="A559" s="21" t="n"/>
      <c r="B559" s="21" t="n"/>
      <c r="C559" s="21" t="n"/>
      <c r="D559" s="21" t="n"/>
      <c r="E559" s="21" t="n"/>
      <c r="F559" s="21" t="n"/>
      <c r="G559" s="21" t="n"/>
      <c r="H559" s="21" t="n"/>
      <c r="I559" s="22" t="n"/>
      <c r="J559" s="22" t="n"/>
      <c r="K559" s="23" t="n"/>
      <c r="L559" s="22" t="n"/>
      <c r="M559" s="22" t="n"/>
      <c r="N559" s="21" t="n"/>
      <c r="O559" s="23" t="n"/>
      <c r="P559" s="23" t="n"/>
      <c r="Q559" s="23" t="n"/>
      <c r="R559" s="23" t="n"/>
      <c r="S559" s="22" t="n"/>
      <c r="T559" s="23" t="n"/>
      <c r="U559" s="23" t="n"/>
      <c r="V559" s="24">
        <f>IF(J559&lt;&gt;"",J559,IF(I559&lt;&gt;"",I559,""))</f>
        <v/>
      </c>
      <c r="W559" s="25">
        <f>IF($E559="","",N(O559)+SUMIFS($AF559:$IN559,$AF$4:$IN$4,"SEW_ACT"))</f>
        <v/>
      </c>
      <c r="X559" s="25">
        <f>IF($E559="","",N(P559)+SUMIFS($AF559:$IN559,$AF$4:$IN$4,"WASH_ACT"))</f>
        <v/>
      </c>
      <c r="Y559" s="25">
        <f>IF($E559="","",W559-X559-N(T559)-N(U559))</f>
        <v/>
      </c>
      <c r="Z559" s="25">
        <f>IF($E559="","",IF(N(K559)-X559&lt;=0.02*N(K559),0,N(K559)-X559))</f>
        <v/>
      </c>
      <c r="AA559" s="24">
        <f>IF($E559="","",IF(S559&lt;&gt;"",S559,IF(N(O559)&gt;0,IF(L559&lt;&gt;"",L559,99999),IFERROR(1/(1/_xlfn.MINIFS($AF$3:$IN$3,$AF$4:$IN$4,"SEW_ACT",$AF559:$IN559,"&gt;0")),99999))))</f>
        <v/>
      </c>
      <c r="AB559" s="26">
        <f>IF(OR($E559="",Z559=0,V559=""),"",1+COUNTIFS(Z$8:Z$707,"&gt;0",V$8:V$707,"&lt;"&amp;V559)+COUNTIFS(Z$8:Z$707,"&gt;0",V$8:V$707,V559,AA$8:AA$707,"&lt;"&amp;AA559)+COUNTIFS(Z$8:Z$707,"&gt;0",V$8:V$707,V559,AA$8:AA$707,AA559,E$8:E$707,"&lt;"&amp;$E559))</f>
        <v/>
      </c>
      <c r="AC559" s="24">
        <f>IF(OR($E559="",Z559=0),"",IFERROR(TODAY()+ROUNDUP(Z559/(SUMIFS($AF559:$IN559,$AF$4:$IN$4,"WASH_ACT")/COUNTIFS($AF$4:$IN$4,"WASH_ACT",$AF559:$IN559,"&gt;0")),0),"no output yet"))</f>
        <v/>
      </c>
      <c r="AD559" s="26">
        <f>IF($E559="","",IFERROR(ROUND(MAX(0,SUMIFS($AF559:$IN559,$AF$4:$IN$4,"SEW_PLAN",$AF$3:$IN$3,"&lt;="&amp;TODAY())-SUMIFS($AF559:$IN559,$AF$4:$IN$4,"SEW_ACT",$AF$3:$IN$3,"&lt;="&amp;TODAY())+N(Q559))/(SUMIFS($AF559:$IN559,$AF$4:$IN$4,"SEW_PLAN")/COUNTIFS($AF$4:$IN$4,"SEW_PLAN",$AF559:$IN559,"&gt;0")),1),0))</f>
        <v/>
      </c>
      <c r="AE559" s="26">
        <f>IF($E559="","",IF(AND(Z559&gt;0,OR(AND(M559&lt;&gt;"",TODAY()&gt;M559),AND(V559&lt;&gt;"",V559-TODAY()&lt;=7))),"Yes","No"))</f>
        <v/>
      </c>
      <c r="AH559">
        <f>IF(OR(AF$3="",AF$3&gt;TODAY()),"",IF(AND(AF559="",AG559=""),"",N(AG559)-N(AF559)))</f>
        <v/>
      </c>
      <c r="AK559">
        <f>IF(OR(AF$3="",AF$3&gt;TODAY()),"",IF(AND(AI559="",AJ559=""),"",N(AJ559)-N(AI559)))</f>
        <v/>
      </c>
      <c r="AO559">
        <f>IF(OR(AM$3="",AM$3&gt;TODAY()),"",IF(AND(AM559="",AN559=""),"",N(AN559)-N(AM559)))</f>
        <v/>
      </c>
      <c r="AR559">
        <f>IF(OR(AM$3="",AM$3&gt;TODAY()),"",IF(AND(AP559="",AQ559=""),"",N(AQ559)-N(AP559)))</f>
        <v/>
      </c>
      <c r="AV559">
        <f>IF(OR(AT$3="",AT$3&gt;TODAY()),"",IF(AND(AT559="",AU559=""),"",N(AU559)-N(AT559)))</f>
        <v/>
      </c>
      <c r="AY559">
        <f>IF(OR(AT$3="",AT$3&gt;TODAY()),"",IF(AND(AW559="",AX559=""),"",N(AX559)-N(AW559)))</f>
        <v/>
      </c>
      <c r="BC559">
        <f>IF(OR(BA$3="",BA$3&gt;TODAY()),"",IF(AND(BA559="",BB559=""),"",N(BB559)-N(BA559)))</f>
        <v/>
      </c>
      <c r="BF559">
        <f>IF(OR(BA$3="",BA$3&gt;TODAY()),"",IF(AND(BD559="",BE559=""),"",N(BE559)-N(BD559)))</f>
        <v/>
      </c>
      <c r="BJ559">
        <f>IF(OR(BH$3="",BH$3&gt;TODAY()),"",IF(AND(BH559="",BI559=""),"",N(BI559)-N(BH559)))</f>
        <v/>
      </c>
      <c r="BM559">
        <f>IF(OR(BH$3="",BH$3&gt;TODAY()),"",IF(AND(BK559="",BL559=""),"",N(BL559)-N(BK559)))</f>
        <v/>
      </c>
      <c r="BQ559">
        <f>IF(OR(BO$3="",BO$3&gt;TODAY()),"",IF(AND(BO559="",BP559=""),"",N(BP559)-N(BO559)))</f>
        <v/>
      </c>
      <c r="BT559">
        <f>IF(OR(BO$3="",BO$3&gt;TODAY()),"",IF(AND(BR559="",BS559=""),"",N(BS559)-N(BR559)))</f>
        <v/>
      </c>
      <c r="BX559">
        <f>IF(OR(BV$3="",BV$3&gt;TODAY()),"",IF(AND(BV559="",BW559=""),"",N(BW559)-N(BV559)))</f>
        <v/>
      </c>
      <c r="CA559">
        <f>IF(OR(BV$3="",BV$3&gt;TODAY()),"",IF(AND(BY559="",BZ559=""),"",N(BZ559)-N(BY559)))</f>
        <v/>
      </c>
      <c r="CE559">
        <f>IF(OR(CC$3="",CC$3&gt;TODAY()),"",IF(AND(CC559="",CD559=""),"",N(CD559)-N(CC559)))</f>
        <v/>
      </c>
      <c r="CH559">
        <f>IF(OR(CC$3="",CC$3&gt;TODAY()),"",IF(AND(CF559="",CG559=""),"",N(CG559)-N(CF559)))</f>
        <v/>
      </c>
      <c r="CL559">
        <f>IF(OR(CJ$3="",CJ$3&gt;TODAY()),"",IF(AND(CJ559="",CK559=""),"",N(CK559)-N(CJ559)))</f>
        <v/>
      </c>
      <c r="CO559">
        <f>IF(OR(CJ$3="",CJ$3&gt;TODAY()),"",IF(AND(CM559="",CN559=""),"",N(CN559)-N(CM559)))</f>
        <v/>
      </c>
      <c r="CS559">
        <f>IF(OR(CQ$3="",CQ$3&gt;TODAY()),"",IF(AND(CQ559="",CR559=""),"",N(CR559)-N(CQ559)))</f>
        <v/>
      </c>
      <c r="CV559">
        <f>IF(OR(CQ$3="",CQ$3&gt;TODAY()),"",IF(AND(CT559="",CU559=""),"",N(CU559)-N(CT559)))</f>
        <v/>
      </c>
      <c r="CZ559">
        <f>IF(OR(CX$3="",CX$3&gt;TODAY()),"",IF(AND(CX559="",CY559=""),"",N(CY559)-N(CX559)))</f>
        <v/>
      </c>
      <c r="DC559">
        <f>IF(OR(CX$3="",CX$3&gt;TODAY()),"",IF(AND(DA559="",DB559=""),"",N(DB559)-N(DA559)))</f>
        <v/>
      </c>
      <c r="DG559">
        <f>IF(OR(DE$3="",DE$3&gt;TODAY()),"",IF(AND(DE559="",DF559=""),"",N(DF559)-N(DE559)))</f>
        <v/>
      </c>
      <c r="DJ559">
        <f>IF(OR(DE$3="",DE$3&gt;TODAY()),"",IF(AND(DH559="",DI559=""),"",N(DI559)-N(DH559)))</f>
        <v/>
      </c>
      <c r="DN559">
        <f>IF(OR(DL$3="",DL$3&gt;TODAY()),"",IF(AND(DL559="",DM559=""),"",N(DM559)-N(DL559)))</f>
        <v/>
      </c>
      <c r="DQ559">
        <f>IF(OR(DL$3="",DL$3&gt;TODAY()),"",IF(AND(DO559="",DP559=""),"",N(DP559)-N(DO559)))</f>
        <v/>
      </c>
      <c r="DU559">
        <f>IF(OR(DS$3="",DS$3&gt;TODAY()),"",IF(AND(DS559="",DT559=""),"",N(DT559)-N(DS559)))</f>
        <v/>
      </c>
      <c r="DX559">
        <f>IF(OR(DS$3="",DS$3&gt;TODAY()),"",IF(AND(DV559="",DW559=""),"",N(DW559)-N(DV559)))</f>
        <v/>
      </c>
      <c r="EB559">
        <f>IF(OR(DZ$3="",DZ$3&gt;TODAY()),"",IF(AND(DZ559="",EA559=""),"",N(EA559)-N(DZ559)))</f>
        <v/>
      </c>
      <c r="EE559">
        <f>IF(OR(DZ$3="",DZ$3&gt;TODAY()),"",IF(AND(EC559="",ED559=""),"",N(ED559)-N(EC559)))</f>
        <v/>
      </c>
      <c r="EI559">
        <f>IF(OR(EG$3="",EG$3&gt;TODAY()),"",IF(AND(EG559="",EH559=""),"",N(EH559)-N(EG559)))</f>
        <v/>
      </c>
      <c r="EL559">
        <f>IF(OR(EG$3="",EG$3&gt;TODAY()),"",IF(AND(EJ559="",EK559=""),"",N(EK559)-N(EJ559)))</f>
        <v/>
      </c>
      <c r="EP559">
        <f>IF(OR(EN$3="",EN$3&gt;TODAY()),"",IF(AND(EN559="",EO559=""),"",N(EO559)-N(EN559)))</f>
        <v/>
      </c>
      <c r="ES559">
        <f>IF(OR(EN$3="",EN$3&gt;TODAY()),"",IF(AND(EQ559="",ER559=""),"",N(ER559)-N(EQ559)))</f>
        <v/>
      </c>
      <c r="EW559">
        <f>IF(OR(EU$3="",EU$3&gt;TODAY()),"",IF(AND(EU559="",EV559=""),"",N(EV559)-N(EU559)))</f>
        <v/>
      </c>
      <c r="EZ559">
        <f>IF(OR(EU$3="",EU$3&gt;TODAY()),"",IF(AND(EX559="",EY559=""),"",N(EY559)-N(EX559)))</f>
        <v/>
      </c>
      <c r="FD559">
        <f>IF(OR(FB$3="",FB$3&gt;TODAY()),"",IF(AND(FB559="",FC559=""),"",N(FC559)-N(FB559)))</f>
        <v/>
      </c>
      <c r="FG559">
        <f>IF(OR(FB$3="",FB$3&gt;TODAY()),"",IF(AND(FE559="",FF559=""),"",N(FF559)-N(FE559)))</f>
        <v/>
      </c>
      <c r="FK559">
        <f>IF(OR(FI$3="",FI$3&gt;TODAY()),"",IF(AND(FI559="",FJ559=""),"",N(FJ559)-N(FI559)))</f>
        <v/>
      </c>
      <c r="FN559">
        <f>IF(OR(FI$3="",FI$3&gt;TODAY()),"",IF(AND(FL559="",FM559=""),"",N(FM559)-N(FL559)))</f>
        <v/>
      </c>
      <c r="FR559">
        <f>IF(OR(FP$3="",FP$3&gt;TODAY()),"",IF(AND(FP559="",FQ559=""),"",N(FQ559)-N(FP559)))</f>
        <v/>
      </c>
      <c r="FU559">
        <f>IF(OR(FP$3="",FP$3&gt;TODAY()),"",IF(AND(FS559="",FT559=""),"",N(FT559)-N(FS559)))</f>
        <v/>
      </c>
      <c r="FY559">
        <f>IF(OR(FW$3="",FW$3&gt;TODAY()),"",IF(AND(FW559="",FX559=""),"",N(FX559)-N(FW559)))</f>
        <v/>
      </c>
      <c r="GB559">
        <f>IF(OR(FW$3="",FW$3&gt;TODAY()),"",IF(AND(FZ559="",GA559=""),"",N(GA559)-N(FZ559)))</f>
        <v/>
      </c>
      <c r="GF559">
        <f>IF(OR(GD$3="",GD$3&gt;TODAY()),"",IF(AND(GD559="",GE559=""),"",N(GE559)-N(GD559)))</f>
        <v/>
      </c>
      <c r="GI559">
        <f>IF(OR(GD$3="",GD$3&gt;TODAY()),"",IF(AND(GG559="",GH559=""),"",N(GH559)-N(GG559)))</f>
        <v/>
      </c>
      <c r="GM559">
        <f>IF(OR(GK$3="",GK$3&gt;TODAY()),"",IF(AND(GK559="",GL559=""),"",N(GL559)-N(GK559)))</f>
        <v/>
      </c>
      <c r="GP559">
        <f>IF(OR(GK$3="",GK$3&gt;TODAY()),"",IF(AND(GN559="",GO559=""),"",N(GO559)-N(GN559)))</f>
        <v/>
      </c>
      <c r="GT559">
        <f>IF(OR(GR$3="",GR$3&gt;TODAY()),"",IF(AND(GR559="",GS559=""),"",N(GS559)-N(GR559)))</f>
        <v/>
      </c>
      <c r="GW559">
        <f>IF(OR(GR$3="",GR$3&gt;TODAY()),"",IF(AND(GU559="",GV559=""),"",N(GV559)-N(GU559)))</f>
        <v/>
      </c>
      <c r="HA559">
        <f>IF(OR(GY$3="",GY$3&gt;TODAY()),"",IF(AND(GY559="",GZ559=""),"",N(GZ559)-N(GY559)))</f>
        <v/>
      </c>
      <c r="HD559">
        <f>IF(OR(GY$3="",GY$3&gt;TODAY()),"",IF(AND(HB559="",HC559=""),"",N(HC559)-N(HB559)))</f>
        <v/>
      </c>
      <c r="HH559">
        <f>IF(OR(HF$3="",HF$3&gt;TODAY()),"",IF(AND(HF559="",HG559=""),"",N(HG559)-N(HF559)))</f>
        <v/>
      </c>
      <c r="HK559">
        <f>IF(OR(HF$3="",HF$3&gt;TODAY()),"",IF(AND(HI559="",HJ559=""),"",N(HJ559)-N(HI559)))</f>
        <v/>
      </c>
      <c r="HO559">
        <f>IF(OR(HM$3="",HM$3&gt;TODAY()),"",IF(AND(HM559="",HN559=""),"",N(HN559)-N(HM559)))</f>
        <v/>
      </c>
      <c r="HR559">
        <f>IF(OR(HM$3="",HM$3&gt;TODAY()),"",IF(AND(HP559="",HQ559=""),"",N(HQ559)-N(HP559)))</f>
        <v/>
      </c>
      <c r="HV559">
        <f>IF(OR(HT$3="",HT$3&gt;TODAY()),"",IF(AND(HT559="",HU559=""),"",N(HU559)-N(HT559)))</f>
        <v/>
      </c>
      <c r="HY559">
        <f>IF(OR(HT$3="",HT$3&gt;TODAY()),"",IF(AND(HW559="",HX559=""),"",N(HX559)-N(HW559)))</f>
        <v/>
      </c>
      <c r="IC559">
        <f>IF(OR(IA$3="",IA$3&gt;TODAY()),"",IF(AND(IA559="",IB559=""),"",N(IB559)-N(IA559)))</f>
        <v/>
      </c>
      <c r="IF559">
        <f>IF(OR(IA$3="",IA$3&gt;TODAY()),"",IF(AND(ID559="",IE559=""),"",N(IE559)-N(ID559)))</f>
        <v/>
      </c>
      <c r="IJ559">
        <f>IF(OR(IH$3="",IH$3&gt;TODAY()),"",IF(AND(IH559="",II559=""),"",N(II559)-N(IH559)))</f>
        <v/>
      </c>
      <c r="IM559">
        <f>IF(OR(IH$3="",IH$3&gt;TODAY()),"",IF(AND(IK559="",IL559=""),"",N(IL559)-N(IK559)))</f>
        <v/>
      </c>
    </row>
    <row r="560">
      <c r="A560" s="21" t="n"/>
      <c r="B560" s="21" t="n"/>
      <c r="C560" s="21" t="n"/>
      <c r="D560" s="21" t="n"/>
      <c r="E560" s="21" t="n"/>
      <c r="F560" s="21" t="n"/>
      <c r="G560" s="21" t="n"/>
      <c r="H560" s="21" t="n"/>
      <c r="I560" s="22" t="n"/>
      <c r="J560" s="22" t="n"/>
      <c r="K560" s="23" t="n"/>
      <c r="L560" s="22" t="n"/>
      <c r="M560" s="22" t="n"/>
      <c r="N560" s="21" t="n"/>
      <c r="O560" s="23" t="n"/>
      <c r="P560" s="23" t="n"/>
      <c r="Q560" s="23" t="n"/>
      <c r="R560" s="23" t="n"/>
      <c r="S560" s="22" t="n"/>
      <c r="T560" s="23" t="n"/>
      <c r="U560" s="23" t="n"/>
      <c r="V560" s="24">
        <f>IF(J560&lt;&gt;"",J560,IF(I560&lt;&gt;"",I560,""))</f>
        <v/>
      </c>
      <c r="W560" s="25">
        <f>IF($E560="","",N(O560)+SUMIFS($AF560:$IN560,$AF$4:$IN$4,"SEW_ACT"))</f>
        <v/>
      </c>
      <c r="X560" s="25">
        <f>IF($E560="","",N(P560)+SUMIFS($AF560:$IN560,$AF$4:$IN$4,"WASH_ACT"))</f>
        <v/>
      </c>
      <c r="Y560" s="25">
        <f>IF($E560="","",W560-X560-N(T560)-N(U560))</f>
        <v/>
      </c>
      <c r="Z560" s="25">
        <f>IF($E560="","",IF(N(K560)-X560&lt;=0.02*N(K560),0,N(K560)-X560))</f>
        <v/>
      </c>
      <c r="AA560" s="24">
        <f>IF($E560="","",IF(S560&lt;&gt;"",S560,IF(N(O560)&gt;0,IF(L560&lt;&gt;"",L560,99999),IFERROR(1/(1/_xlfn.MINIFS($AF$3:$IN$3,$AF$4:$IN$4,"SEW_ACT",$AF560:$IN560,"&gt;0")),99999))))</f>
        <v/>
      </c>
      <c r="AB560" s="26">
        <f>IF(OR($E560="",Z560=0,V560=""),"",1+COUNTIFS(Z$8:Z$707,"&gt;0",V$8:V$707,"&lt;"&amp;V560)+COUNTIFS(Z$8:Z$707,"&gt;0",V$8:V$707,V560,AA$8:AA$707,"&lt;"&amp;AA560)+COUNTIFS(Z$8:Z$707,"&gt;0",V$8:V$707,V560,AA$8:AA$707,AA560,E$8:E$707,"&lt;"&amp;$E560))</f>
        <v/>
      </c>
      <c r="AC560" s="24">
        <f>IF(OR($E560="",Z560=0),"",IFERROR(TODAY()+ROUNDUP(Z560/(SUMIFS($AF560:$IN560,$AF$4:$IN$4,"WASH_ACT")/COUNTIFS($AF$4:$IN$4,"WASH_ACT",$AF560:$IN560,"&gt;0")),0),"no output yet"))</f>
        <v/>
      </c>
      <c r="AD560" s="26">
        <f>IF($E560="","",IFERROR(ROUND(MAX(0,SUMIFS($AF560:$IN560,$AF$4:$IN$4,"SEW_PLAN",$AF$3:$IN$3,"&lt;="&amp;TODAY())-SUMIFS($AF560:$IN560,$AF$4:$IN$4,"SEW_ACT",$AF$3:$IN$3,"&lt;="&amp;TODAY())+N(Q560))/(SUMIFS($AF560:$IN560,$AF$4:$IN$4,"SEW_PLAN")/COUNTIFS($AF$4:$IN$4,"SEW_PLAN",$AF560:$IN560,"&gt;0")),1),0))</f>
        <v/>
      </c>
      <c r="AE560" s="26">
        <f>IF($E560="","",IF(AND(Z560&gt;0,OR(AND(M560&lt;&gt;"",TODAY()&gt;M560),AND(V560&lt;&gt;"",V560-TODAY()&lt;=7))),"Yes","No"))</f>
        <v/>
      </c>
      <c r="AH560">
        <f>IF(OR(AF$3="",AF$3&gt;TODAY()),"",IF(AND(AF560="",AG560=""),"",N(AG560)-N(AF560)))</f>
        <v/>
      </c>
      <c r="AK560">
        <f>IF(OR(AF$3="",AF$3&gt;TODAY()),"",IF(AND(AI560="",AJ560=""),"",N(AJ560)-N(AI560)))</f>
        <v/>
      </c>
      <c r="AO560">
        <f>IF(OR(AM$3="",AM$3&gt;TODAY()),"",IF(AND(AM560="",AN560=""),"",N(AN560)-N(AM560)))</f>
        <v/>
      </c>
      <c r="AR560">
        <f>IF(OR(AM$3="",AM$3&gt;TODAY()),"",IF(AND(AP560="",AQ560=""),"",N(AQ560)-N(AP560)))</f>
        <v/>
      </c>
      <c r="AV560">
        <f>IF(OR(AT$3="",AT$3&gt;TODAY()),"",IF(AND(AT560="",AU560=""),"",N(AU560)-N(AT560)))</f>
        <v/>
      </c>
      <c r="AY560">
        <f>IF(OR(AT$3="",AT$3&gt;TODAY()),"",IF(AND(AW560="",AX560=""),"",N(AX560)-N(AW560)))</f>
        <v/>
      </c>
      <c r="BC560">
        <f>IF(OR(BA$3="",BA$3&gt;TODAY()),"",IF(AND(BA560="",BB560=""),"",N(BB560)-N(BA560)))</f>
        <v/>
      </c>
      <c r="BF560">
        <f>IF(OR(BA$3="",BA$3&gt;TODAY()),"",IF(AND(BD560="",BE560=""),"",N(BE560)-N(BD560)))</f>
        <v/>
      </c>
      <c r="BJ560">
        <f>IF(OR(BH$3="",BH$3&gt;TODAY()),"",IF(AND(BH560="",BI560=""),"",N(BI560)-N(BH560)))</f>
        <v/>
      </c>
      <c r="BM560">
        <f>IF(OR(BH$3="",BH$3&gt;TODAY()),"",IF(AND(BK560="",BL560=""),"",N(BL560)-N(BK560)))</f>
        <v/>
      </c>
      <c r="BQ560">
        <f>IF(OR(BO$3="",BO$3&gt;TODAY()),"",IF(AND(BO560="",BP560=""),"",N(BP560)-N(BO560)))</f>
        <v/>
      </c>
      <c r="BT560">
        <f>IF(OR(BO$3="",BO$3&gt;TODAY()),"",IF(AND(BR560="",BS560=""),"",N(BS560)-N(BR560)))</f>
        <v/>
      </c>
      <c r="BX560">
        <f>IF(OR(BV$3="",BV$3&gt;TODAY()),"",IF(AND(BV560="",BW560=""),"",N(BW560)-N(BV560)))</f>
        <v/>
      </c>
      <c r="CA560">
        <f>IF(OR(BV$3="",BV$3&gt;TODAY()),"",IF(AND(BY560="",BZ560=""),"",N(BZ560)-N(BY560)))</f>
        <v/>
      </c>
      <c r="CE560">
        <f>IF(OR(CC$3="",CC$3&gt;TODAY()),"",IF(AND(CC560="",CD560=""),"",N(CD560)-N(CC560)))</f>
        <v/>
      </c>
      <c r="CH560">
        <f>IF(OR(CC$3="",CC$3&gt;TODAY()),"",IF(AND(CF560="",CG560=""),"",N(CG560)-N(CF560)))</f>
        <v/>
      </c>
      <c r="CL560">
        <f>IF(OR(CJ$3="",CJ$3&gt;TODAY()),"",IF(AND(CJ560="",CK560=""),"",N(CK560)-N(CJ560)))</f>
        <v/>
      </c>
      <c r="CO560">
        <f>IF(OR(CJ$3="",CJ$3&gt;TODAY()),"",IF(AND(CM560="",CN560=""),"",N(CN560)-N(CM560)))</f>
        <v/>
      </c>
      <c r="CS560">
        <f>IF(OR(CQ$3="",CQ$3&gt;TODAY()),"",IF(AND(CQ560="",CR560=""),"",N(CR560)-N(CQ560)))</f>
        <v/>
      </c>
      <c r="CV560">
        <f>IF(OR(CQ$3="",CQ$3&gt;TODAY()),"",IF(AND(CT560="",CU560=""),"",N(CU560)-N(CT560)))</f>
        <v/>
      </c>
      <c r="CZ560">
        <f>IF(OR(CX$3="",CX$3&gt;TODAY()),"",IF(AND(CX560="",CY560=""),"",N(CY560)-N(CX560)))</f>
        <v/>
      </c>
      <c r="DC560">
        <f>IF(OR(CX$3="",CX$3&gt;TODAY()),"",IF(AND(DA560="",DB560=""),"",N(DB560)-N(DA560)))</f>
        <v/>
      </c>
      <c r="DG560">
        <f>IF(OR(DE$3="",DE$3&gt;TODAY()),"",IF(AND(DE560="",DF560=""),"",N(DF560)-N(DE560)))</f>
        <v/>
      </c>
      <c r="DJ560">
        <f>IF(OR(DE$3="",DE$3&gt;TODAY()),"",IF(AND(DH560="",DI560=""),"",N(DI560)-N(DH560)))</f>
        <v/>
      </c>
      <c r="DN560">
        <f>IF(OR(DL$3="",DL$3&gt;TODAY()),"",IF(AND(DL560="",DM560=""),"",N(DM560)-N(DL560)))</f>
        <v/>
      </c>
      <c r="DQ560">
        <f>IF(OR(DL$3="",DL$3&gt;TODAY()),"",IF(AND(DO560="",DP560=""),"",N(DP560)-N(DO560)))</f>
        <v/>
      </c>
      <c r="DU560">
        <f>IF(OR(DS$3="",DS$3&gt;TODAY()),"",IF(AND(DS560="",DT560=""),"",N(DT560)-N(DS560)))</f>
        <v/>
      </c>
      <c r="DX560">
        <f>IF(OR(DS$3="",DS$3&gt;TODAY()),"",IF(AND(DV560="",DW560=""),"",N(DW560)-N(DV560)))</f>
        <v/>
      </c>
      <c r="EB560">
        <f>IF(OR(DZ$3="",DZ$3&gt;TODAY()),"",IF(AND(DZ560="",EA560=""),"",N(EA560)-N(DZ560)))</f>
        <v/>
      </c>
      <c r="EE560">
        <f>IF(OR(DZ$3="",DZ$3&gt;TODAY()),"",IF(AND(EC560="",ED560=""),"",N(ED560)-N(EC560)))</f>
        <v/>
      </c>
      <c r="EI560">
        <f>IF(OR(EG$3="",EG$3&gt;TODAY()),"",IF(AND(EG560="",EH560=""),"",N(EH560)-N(EG560)))</f>
        <v/>
      </c>
      <c r="EL560">
        <f>IF(OR(EG$3="",EG$3&gt;TODAY()),"",IF(AND(EJ560="",EK560=""),"",N(EK560)-N(EJ560)))</f>
        <v/>
      </c>
      <c r="EP560">
        <f>IF(OR(EN$3="",EN$3&gt;TODAY()),"",IF(AND(EN560="",EO560=""),"",N(EO560)-N(EN560)))</f>
        <v/>
      </c>
      <c r="ES560">
        <f>IF(OR(EN$3="",EN$3&gt;TODAY()),"",IF(AND(EQ560="",ER560=""),"",N(ER560)-N(EQ560)))</f>
        <v/>
      </c>
      <c r="EW560">
        <f>IF(OR(EU$3="",EU$3&gt;TODAY()),"",IF(AND(EU560="",EV560=""),"",N(EV560)-N(EU560)))</f>
        <v/>
      </c>
      <c r="EZ560">
        <f>IF(OR(EU$3="",EU$3&gt;TODAY()),"",IF(AND(EX560="",EY560=""),"",N(EY560)-N(EX560)))</f>
        <v/>
      </c>
      <c r="FD560">
        <f>IF(OR(FB$3="",FB$3&gt;TODAY()),"",IF(AND(FB560="",FC560=""),"",N(FC560)-N(FB560)))</f>
        <v/>
      </c>
      <c r="FG560">
        <f>IF(OR(FB$3="",FB$3&gt;TODAY()),"",IF(AND(FE560="",FF560=""),"",N(FF560)-N(FE560)))</f>
        <v/>
      </c>
      <c r="FK560">
        <f>IF(OR(FI$3="",FI$3&gt;TODAY()),"",IF(AND(FI560="",FJ560=""),"",N(FJ560)-N(FI560)))</f>
        <v/>
      </c>
      <c r="FN560">
        <f>IF(OR(FI$3="",FI$3&gt;TODAY()),"",IF(AND(FL560="",FM560=""),"",N(FM560)-N(FL560)))</f>
        <v/>
      </c>
      <c r="FR560">
        <f>IF(OR(FP$3="",FP$3&gt;TODAY()),"",IF(AND(FP560="",FQ560=""),"",N(FQ560)-N(FP560)))</f>
        <v/>
      </c>
      <c r="FU560">
        <f>IF(OR(FP$3="",FP$3&gt;TODAY()),"",IF(AND(FS560="",FT560=""),"",N(FT560)-N(FS560)))</f>
        <v/>
      </c>
      <c r="FY560">
        <f>IF(OR(FW$3="",FW$3&gt;TODAY()),"",IF(AND(FW560="",FX560=""),"",N(FX560)-N(FW560)))</f>
        <v/>
      </c>
      <c r="GB560">
        <f>IF(OR(FW$3="",FW$3&gt;TODAY()),"",IF(AND(FZ560="",GA560=""),"",N(GA560)-N(FZ560)))</f>
        <v/>
      </c>
      <c r="GF560">
        <f>IF(OR(GD$3="",GD$3&gt;TODAY()),"",IF(AND(GD560="",GE560=""),"",N(GE560)-N(GD560)))</f>
        <v/>
      </c>
      <c r="GI560">
        <f>IF(OR(GD$3="",GD$3&gt;TODAY()),"",IF(AND(GG560="",GH560=""),"",N(GH560)-N(GG560)))</f>
        <v/>
      </c>
      <c r="GM560">
        <f>IF(OR(GK$3="",GK$3&gt;TODAY()),"",IF(AND(GK560="",GL560=""),"",N(GL560)-N(GK560)))</f>
        <v/>
      </c>
      <c r="GP560">
        <f>IF(OR(GK$3="",GK$3&gt;TODAY()),"",IF(AND(GN560="",GO560=""),"",N(GO560)-N(GN560)))</f>
        <v/>
      </c>
      <c r="GT560">
        <f>IF(OR(GR$3="",GR$3&gt;TODAY()),"",IF(AND(GR560="",GS560=""),"",N(GS560)-N(GR560)))</f>
        <v/>
      </c>
      <c r="GW560">
        <f>IF(OR(GR$3="",GR$3&gt;TODAY()),"",IF(AND(GU560="",GV560=""),"",N(GV560)-N(GU560)))</f>
        <v/>
      </c>
      <c r="HA560">
        <f>IF(OR(GY$3="",GY$3&gt;TODAY()),"",IF(AND(GY560="",GZ560=""),"",N(GZ560)-N(GY560)))</f>
        <v/>
      </c>
      <c r="HD560">
        <f>IF(OR(GY$3="",GY$3&gt;TODAY()),"",IF(AND(HB560="",HC560=""),"",N(HC560)-N(HB560)))</f>
        <v/>
      </c>
      <c r="HH560">
        <f>IF(OR(HF$3="",HF$3&gt;TODAY()),"",IF(AND(HF560="",HG560=""),"",N(HG560)-N(HF560)))</f>
        <v/>
      </c>
      <c r="HK560">
        <f>IF(OR(HF$3="",HF$3&gt;TODAY()),"",IF(AND(HI560="",HJ560=""),"",N(HJ560)-N(HI560)))</f>
        <v/>
      </c>
      <c r="HO560">
        <f>IF(OR(HM$3="",HM$3&gt;TODAY()),"",IF(AND(HM560="",HN560=""),"",N(HN560)-N(HM560)))</f>
        <v/>
      </c>
      <c r="HR560">
        <f>IF(OR(HM$3="",HM$3&gt;TODAY()),"",IF(AND(HP560="",HQ560=""),"",N(HQ560)-N(HP560)))</f>
        <v/>
      </c>
      <c r="HV560">
        <f>IF(OR(HT$3="",HT$3&gt;TODAY()),"",IF(AND(HT560="",HU560=""),"",N(HU560)-N(HT560)))</f>
        <v/>
      </c>
      <c r="HY560">
        <f>IF(OR(HT$3="",HT$3&gt;TODAY()),"",IF(AND(HW560="",HX560=""),"",N(HX560)-N(HW560)))</f>
        <v/>
      </c>
      <c r="IC560">
        <f>IF(OR(IA$3="",IA$3&gt;TODAY()),"",IF(AND(IA560="",IB560=""),"",N(IB560)-N(IA560)))</f>
        <v/>
      </c>
      <c r="IF560">
        <f>IF(OR(IA$3="",IA$3&gt;TODAY()),"",IF(AND(ID560="",IE560=""),"",N(IE560)-N(ID560)))</f>
        <v/>
      </c>
      <c r="IJ560">
        <f>IF(OR(IH$3="",IH$3&gt;TODAY()),"",IF(AND(IH560="",II560=""),"",N(II560)-N(IH560)))</f>
        <v/>
      </c>
      <c r="IM560">
        <f>IF(OR(IH$3="",IH$3&gt;TODAY()),"",IF(AND(IK560="",IL560=""),"",N(IL560)-N(IK560)))</f>
        <v/>
      </c>
    </row>
    <row r="561">
      <c r="A561" s="21" t="n"/>
      <c r="B561" s="21" t="n"/>
      <c r="C561" s="21" t="n"/>
      <c r="D561" s="21" t="n"/>
      <c r="E561" s="21" t="n"/>
      <c r="F561" s="21" t="n"/>
      <c r="G561" s="21" t="n"/>
      <c r="H561" s="21" t="n"/>
      <c r="I561" s="22" t="n"/>
      <c r="J561" s="22" t="n"/>
      <c r="K561" s="23" t="n"/>
      <c r="L561" s="22" t="n"/>
      <c r="M561" s="22" t="n"/>
      <c r="N561" s="21" t="n"/>
      <c r="O561" s="23" t="n"/>
      <c r="P561" s="23" t="n"/>
      <c r="Q561" s="23" t="n"/>
      <c r="R561" s="23" t="n"/>
      <c r="S561" s="22" t="n"/>
      <c r="T561" s="23" t="n"/>
      <c r="U561" s="23" t="n"/>
      <c r="V561" s="24">
        <f>IF(J561&lt;&gt;"",J561,IF(I561&lt;&gt;"",I561,""))</f>
        <v/>
      </c>
      <c r="W561" s="25">
        <f>IF($E561="","",N(O561)+SUMIFS($AF561:$IN561,$AF$4:$IN$4,"SEW_ACT"))</f>
        <v/>
      </c>
      <c r="X561" s="25">
        <f>IF($E561="","",N(P561)+SUMIFS($AF561:$IN561,$AF$4:$IN$4,"WASH_ACT"))</f>
        <v/>
      </c>
      <c r="Y561" s="25">
        <f>IF($E561="","",W561-X561-N(T561)-N(U561))</f>
        <v/>
      </c>
      <c r="Z561" s="25">
        <f>IF($E561="","",IF(N(K561)-X561&lt;=0.02*N(K561),0,N(K561)-X561))</f>
        <v/>
      </c>
      <c r="AA561" s="24">
        <f>IF($E561="","",IF(S561&lt;&gt;"",S561,IF(N(O561)&gt;0,IF(L561&lt;&gt;"",L561,99999),IFERROR(1/(1/_xlfn.MINIFS($AF$3:$IN$3,$AF$4:$IN$4,"SEW_ACT",$AF561:$IN561,"&gt;0")),99999))))</f>
        <v/>
      </c>
      <c r="AB561" s="26">
        <f>IF(OR($E561="",Z561=0,V561=""),"",1+COUNTIFS(Z$8:Z$707,"&gt;0",V$8:V$707,"&lt;"&amp;V561)+COUNTIFS(Z$8:Z$707,"&gt;0",V$8:V$707,V561,AA$8:AA$707,"&lt;"&amp;AA561)+COUNTIFS(Z$8:Z$707,"&gt;0",V$8:V$707,V561,AA$8:AA$707,AA561,E$8:E$707,"&lt;"&amp;$E561))</f>
        <v/>
      </c>
      <c r="AC561" s="24">
        <f>IF(OR($E561="",Z561=0),"",IFERROR(TODAY()+ROUNDUP(Z561/(SUMIFS($AF561:$IN561,$AF$4:$IN$4,"WASH_ACT")/COUNTIFS($AF$4:$IN$4,"WASH_ACT",$AF561:$IN561,"&gt;0")),0),"no output yet"))</f>
        <v/>
      </c>
      <c r="AD561" s="26">
        <f>IF($E561="","",IFERROR(ROUND(MAX(0,SUMIFS($AF561:$IN561,$AF$4:$IN$4,"SEW_PLAN",$AF$3:$IN$3,"&lt;="&amp;TODAY())-SUMIFS($AF561:$IN561,$AF$4:$IN$4,"SEW_ACT",$AF$3:$IN$3,"&lt;="&amp;TODAY())+N(Q561))/(SUMIFS($AF561:$IN561,$AF$4:$IN$4,"SEW_PLAN")/COUNTIFS($AF$4:$IN$4,"SEW_PLAN",$AF561:$IN561,"&gt;0")),1),0))</f>
        <v/>
      </c>
      <c r="AE561" s="26">
        <f>IF($E561="","",IF(AND(Z561&gt;0,OR(AND(M561&lt;&gt;"",TODAY()&gt;M561),AND(V561&lt;&gt;"",V561-TODAY()&lt;=7))),"Yes","No"))</f>
        <v/>
      </c>
      <c r="AH561">
        <f>IF(OR(AF$3="",AF$3&gt;TODAY()),"",IF(AND(AF561="",AG561=""),"",N(AG561)-N(AF561)))</f>
        <v/>
      </c>
      <c r="AK561">
        <f>IF(OR(AF$3="",AF$3&gt;TODAY()),"",IF(AND(AI561="",AJ561=""),"",N(AJ561)-N(AI561)))</f>
        <v/>
      </c>
      <c r="AO561">
        <f>IF(OR(AM$3="",AM$3&gt;TODAY()),"",IF(AND(AM561="",AN561=""),"",N(AN561)-N(AM561)))</f>
        <v/>
      </c>
      <c r="AR561">
        <f>IF(OR(AM$3="",AM$3&gt;TODAY()),"",IF(AND(AP561="",AQ561=""),"",N(AQ561)-N(AP561)))</f>
        <v/>
      </c>
      <c r="AV561">
        <f>IF(OR(AT$3="",AT$3&gt;TODAY()),"",IF(AND(AT561="",AU561=""),"",N(AU561)-N(AT561)))</f>
        <v/>
      </c>
      <c r="AY561">
        <f>IF(OR(AT$3="",AT$3&gt;TODAY()),"",IF(AND(AW561="",AX561=""),"",N(AX561)-N(AW561)))</f>
        <v/>
      </c>
      <c r="BC561">
        <f>IF(OR(BA$3="",BA$3&gt;TODAY()),"",IF(AND(BA561="",BB561=""),"",N(BB561)-N(BA561)))</f>
        <v/>
      </c>
      <c r="BF561">
        <f>IF(OR(BA$3="",BA$3&gt;TODAY()),"",IF(AND(BD561="",BE561=""),"",N(BE561)-N(BD561)))</f>
        <v/>
      </c>
      <c r="BJ561">
        <f>IF(OR(BH$3="",BH$3&gt;TODAY()),"",IF(AND(BH561="",BI561=""),"",N(BI561)-N(BH561)))</f>
        <v/>
      </c>
      <c r="BM561">
        <f>IF(OR(BH$3="",BH$3&gt;TODAY()),"",IF(AND(BK561="",BL561=""),"",N(BL561)-N(BK561)))</f>
        <v/>
      </c>
      <c r="BQ561">
        <f>IF(OR(BO$3="",BO$3&gt;TODAY()),"",IF(AND(BO561="",BP561=""),"",N(BP561)-N(BO561)))</f>
        <v/>
      </c>
      <c r="BT561">
        <f>IF(OR(BO$3="",BO$3&gt;TODAY()),"",IF(AND(BR561="",BS561=""),"",N(BS561)-N(BR561)))</f>
        <v/>
      </c>
      <c r="BX561">
        <f>IF(OR(BV$3="",BV$3&gt;TODAY()),"",IF(AND(BV561="",BW561=""),"",N(BW561)-N(BV561)))</f>
        <v/>
      </c>
      <c r="CA561">
        <f>IF(OR(BV$3="",BV$3&gt;TODAY()),"",IF(AND(BY561="",BZ561=""),"",N(BZ561)-N(BY561)))</f>
        <v/>
      </c>
      <c r="CE561">
        <f>IF(OR(CC$3="",CC$3&gt;TODAY()),"",IF(AND(CC561="",CD561=""),"",N(CD561)-N(CC561)))</f>
        <v/>
      </c>
      <c r="CH561">
        <f>IF(OR(CC$3="",CC$3&gt;TODAY()),"",IF(AND(CF561="",CG561=""),"",N(CG561)-N(CF561)))</f>
        <v/>
      </c>
      <c r="CL561">
        <f>IF(OR(CJ$3="",CJ$3&gt;TODAY()),"",IF(AND(CJ561="",CK561=""),"",N(CK561)-N(CJ561)))</f>
        <v/>
      </c>
      <c r="CO561">
        <f>IF(OR(CJ$3="",CJ$3&gt;TODAY()),"",IF(AND(CM561="",CN561=""),"",N(CN561)-N(CM561)))</f>
        <v/>
      </c>
      <c r="CS561">
        <f>IF(OR(CQ$3="",CQ$3&gt;TODAY()),"",IF(AND(CQ561="",CR561=""),"",N(CR561)-N(CQ561)))</f>
        <v/>
      </c>
      <c r="CV561">
        <f>IF(OR(CQ$3="",CQ$3&gt;TODAY()),"",IF(AND(CT561="",CU561=""),"",N(CU561)-N(CT561)))</f>
        <v/>
      </c>
      <c r="CZ561">
        <f>IF(OR(CX$3="",CX$3&gt;TODAY()),"",IF(AND(CX561="",CY561=""),"",N(CY561)-N(CX561)))</f>
        <v/>
      </c>
      <c r="DC561">
        <f>IF(OR(CX$3="",CX$3&gt;TODAY()),"",IF(AND(DA561="",DB561=""),"",N(DB561)-N(DA561)))</f>
        <v/>
      </c>
      <c r="DG561">
        <f>IF(OR(DE$3="",DE$3&gt;TODAY()),"",IF(AND(DE561="",DF561=""),"",N(DF561)-N(DE561)))</f>
        <v/>
      </c>
      <c r="DJ561">
        <f>IF(OR(DE$3="",DE$3&gt;TODAY()),"",IF(AND(DH561="",DI561=""),"",N(DI561)-N(DH561)))</f>
        <v/>
      </c>
      <c r="DN561">
        <f>IF(OR(DL$3="",DL$3&gt;TODAY()),"",IF(AND(DL561="",DM561=""),"",N(DM561)-N(DL561)))</f>
        <v/>
      </c>
      <c r="DQ561">
        <f>IF(OR(DL$3="",DL$3&gt;TODAY()),"",IF(AND(DO561="",DP561=""),"",N(DP561)-N(DO561)))</f>
        <v/>
      </c>
      <c r="DU561">
        <f>IF(OR(DS$3="",DS$3&gt;TODAY()),"",IF(AND(DS561="",DT561=""),"",N(DT561)-N(DS561)))</f>
        <v/>
      </c>
      <c r="DX561">
        <f>IF(OR(DS$3="",DS$3&gt;TODAY()),"",IF(AND(DV561="",DW561=""),"",N(DW561)-N(DV561)))</f>
        <v/>
      </c>
      <c r="EB561">
        <f>IF(OR(DZ$3="",DZ$3&gt;TODAY()),"",IF(AND(DZ561="",EA561=""),"",N(EA561)-N(DZ561)))</f>
        <v/>
      </c>
      <c r="EE561">
        <f>IF(OR(DZ$3="",DZ$3&gt;TODAY()),"",IF(AND(EC561="",ED561=""),"",N(ED561)-N(EC561)))</f>
        <v/>
      </c>
      <c r="EI561">
        <f>IF(OR(EG$3="",EG$3&gt;TODAY()),"",IF(AND(EG561="",EH561=""),"",N(EH561)-N(EG561)))</f>
        <v/>
      </c>
      <c r="EL561">
        <f>IF(OR(EG$3="",EG$3&gt;TODAY()),"",IF(AND(EJ561="",EK561=""),"",N(EK561)-N(EJ561)))</f>
        <v/>
      </c>
      <c r="EP561">
        <f>IF(OR(EN$3="",EN$3&gt;TODAY()),"",IF(AND(EN561="",EO561=""),"",N(EO561)-N(EN561)))</f>
        <v/>
      </c>
      <c r="ES561">
        <f>IF(OR(EN$3="",EN$3&gt;TODAY()),"",IF(AND(EQ561="",ER561=""),"",N(ER561)-N(EQ561)))</f>
        <v/>
      </c>
      <c r="EW561">
        <f>IF(OR(EU$3="",EU$3&gt;TODAY()),"",IF(AND(EU561="",EV561=""),"",N(EV561)-N(EU561)))</f>
        <v/>
      </c>
      <c r="EZ561">
        <f>IF(OR(EU$3="",EU$3&gt;TODAY()),"",IF(AND(EX561="",EY561=""),"",N(EY561)-N(EX561)))</f>
        <v/>
      </c>
      <c r="FD561">
        <f>IF(OR(FB$3="",FB$3&gt;TODAY()),"",IF(AND(FB561="",FC561=""),"",N(FC561)-N(FB561)))</f>
        <v/>
      </c>
      <c r="FG561">
        <f>IF(OR(FB$3="",FB$3&gt;TODAY()),"",IF(AND(FE561="",FF561=""),"",N(FF561)-N(FE561)))</f>
        <v/>
      </c>
      <c r="FK561">
        <f>IF(OR(FI$3="",FI$3&gt;TODAY()),"",IF(AND(FI561="",FJ561=""),"",N(FJ561)-N(FI561)))</f>
        <v/>
      </c>
      <c r="FN561">
        <f>IF(OR(FI$3="",FI$3&gt;TODAY()),"",IF(AND(FL561="",FM561=""),"",N(FM561)-N(FL561)))</f>
        <v/>
      </c>
      <c r="FR561">
        <f>IF(OR(FP$3="",FP$3&gt;TODAY()),"",IF(AND(FP561="",FQ561=""),"",N(FQ561)-N(FP561)))</f>
        <v/>
      </c>
      <c r="FU561">
        <f>IF(OR(FP$3="",FP$3&gt;TODAY()),"",IF(AND(FS561="",FT561=""),"",N(FT561)-N(FS561)))</f>
        <v/>
      </c>
      <c r="FY561">
        <f>IF(OR(FW$3="",FW$3&gt;TODAY()),"",IF(AND(FW561="",FX561=""),"",N(FX561)-N(FW561)))</f>
        <v/>
      </c>
      <c r="GB561">
        <f>IF(OR(FW$3="",FW$3&gt;TODAY()),"",IF(AND(FZ561="",GA561=""),"",N(GA561)-N(FZ561)))</f>
        <v/>
      </c>
      <c r="GF561">
        <f>IF(OR(GD$3="",GD$3&gt;TODAY()),"",IF(AND(GD561="",GE561=""),"",N(GE561)-N(GD561)))</f>
        <v/>
      </c>
      <c r="GI561">
        <f>IF(OR(GD$3="",GD$3&gt;TODAY()),"",IF(AND(GG561="",GH561=""),"",N(GH561)-N(GG561)))</f>
        <v/>
      </c>
      <c r="GM561">
        <f>IF(OR(GK$3="",GK$3&gt;TODAY()),"",IF(AND(GK561="",GL561=""),"",N(GL561)-N(GK561)))</f>
        <v/>
      </c>
      <c r="GP561">
        <f>IF(OR(GK$3="",GK$3&gt;TODAY()),"",IF(AND(GN561="",GO561=""),"",N(GO561)-N(GN561)))</f>
        <v/>
      </c>
      <c r="GT561">
        <f>IF(OR(GR$3="",GR$3&gt;TODAY()),"",IF(AND(GR561="",GS561=""),"",N(GS561)-N(GR561)))</f>
        <v/>
      </c>
      <c r="GW561">
        <f>IF(OR(GR$3="",GR$3&gt;TODAY()),"",IF(AND(GU561="",GV561=""),"",N(GV561)-N(GU561)))</f>
        <v/>
      </c>
      <c r="HA561">
        <f>IF(OR(GY$3="",GY$3&gt;TODAY()),"",IF(AND(GY561="",GZ561=""),"",N(GZ561)-N(GY561)))</f>
        <v/>
      </c>
      <c r="HD561">
        <f>IF(OR(GY$3="",GY$3&gt;TODAY()),"",IF(AND(HB561="",HC561=""),"",N(HC561)-N(HB561)))</f>
        <v/>
      </c>
      <c r="HH561">
        <f>IF(OR(HF$3="",HF$3&gt;TODAY()),"",IF(AND(HF561="",HG561=""),"",N(HG561)-N(HF561)))</f>
        <v/>
      </c>
      <c r="HK561">
        <f>IF(OR(HF$3="",HF$3&gt;TODAY()),"",IF(AND(HI561="",HJ561=""),"",N(HJ561)-N(HI561)))</f>
        <v/>
      </c>
      <c r="HO561">
        <f>IF(OR(HM$3="",HM$3&gt;TODAY()),"",IF(AND(HM561="",HN561=""),"",N(HN561)-N(HM561)))</f>
        <v/>
      </c>
      <c r="HR561">
        <f>IF(OR(HM$3="",HM$3&gt;TODAY()),"",IF(AND(HP561="",HQ561=""),"",N(HQ561)-N(HP561)))</f>
        <v/>
      </c>
      <c r="HV561">
        <f>IF(OR(HT$3="",HT$3&gt;TODAY()),"",IF(AND(HT561="",HU561=""),"",N(HU561)-N(HT561)))</f>
        <v/>
      </c>
      <c r="HY561">
        <f>IF(OR(HT$3="",HT$3&gt;TODAY()),"",IF(AND(HW561="",HX561=""),"",N(HX561)-N(HW561)))</f>
        <v/>
      </c>
      <c r="IC561">
        <f>IF(OR(IA$3="",IA$3&gt;TODAY()),"",IF(AND(IA561="",IB561=""),"",N(IB561)-N(IA561)))</f>
        <v/>
      </c>
      <c r="IF561">
        <f>IF(OR(IA$3="",IA$3&gt;TODAY()),"",IF(AND(ID561="",IE561=""),"",N(IE561)-N(ID561)))</f>
        <v/>
      </c>
      <c r="IJ561">
        <f>IF(OR(IH$3="",IH$3&gt;TODAY()),"",IF(AND(IH561="",II561=""),"",N(II561)-N(IH561)))</f>
        <v/>
      </c>
      <c r="IM561">
        <f>IF(OR(IH$3="",IH$3&gt;TODAY()),"",IF(AND(IK561="",IL561=""),"",N(IL561)-N(IK561)))</f>
        <v/>
      </c>
    </row>
    <row r="562">
      <c r="A562" s="21" t="n"/>
      <c r="B562" s="21" t="n"/>
      <c r="C562" s="21" t="n"/>
      <c r="D562" s="21" t="n"/>
      <c r="E562" s="21" t="n"/>
      <c r="F562" s="21" t="n"/>
      <c r="G562" s="21" t="n"/>
      <c r="H562" s="21" t="n"/>
      <c r="I562" s="22" t="n"/>
      <c r="J562" s="22" t="n"/>
      <c r="K562" s="23" t="n"/>
      <c r="L562" s="22" t="n"/>
      <c r="M562" s="22" t="n"/>
      <c r="N562" s="21" t="n"/>
      <c r="O562" s="23" t="n"/>
      <c r="P562" s="23" t="n"/>
      <c r="Q562" s="23" t="n"/>
      <c r="R562" s="23" t="n"/>
      <c r="S562" s="22" t="n"/>
      <c r="T562" s="23" t="n"/>
      <c r="U562" s="23" t="n"/>
      <c r="V562" s="24">
        <f>IF(J562&lt;&gt;"",J562,IF(I562&lt;&gt;"",I562,""))</f>
        <v/>
      </c>
      <c r="W562" s="25">
        <f>IF($E562="","",N(O562)+SUMIFS($AF562:$IN562,$AF$4:$IN$4,"SEW_ACT"))</f>
        <v/>
      </c>
      <c r="X562" s="25">
        <f>IF($E562="","",N(P562)+SUMIFS($AF562:$IN562,$AF$4:$IN$4,"WASH_ACT"))</f>
        <v/>
      </c>
      <c r="Y562" s="25">
        <f>IF($E562="","",W562-X562-N(T562)-N(U562))</f>
        <v/>
      </c>
      <c r="Z562" s="25">
        <f>IF($E562="","",IF(N(K562)-X562&lt;=0.02*N(K562),0,N(K562)-X562))</f>
        <v/>
      </c>
      <c r="AA562" s="24">
        <f>IF($E562="","",IF(S562&lt;&gt;"",S562,IF(N(O562)&gt;0,IF(L562&lt;&gt;"",L562,99999),IFERROR(1/(1/_xlfn.MINIFS($AF$3:$IN$3,$AF$4:$IN$4,"SEW_ACT",$AF562:$IN562,"&gt;0")),99999))))</f>
        <v/>
      </c>
      <c r="AB562" s="26">
        <f>IF(OR($E562="",Z562=0,V562=""),"",1+COUNTIFS(Z$8:Z$707,"&gt;0",V$8:V$707,"&lt;"&amp;V562)+COUNTIFS(Z$8:Z$707,"&gt;0",V$8:V$707,V562,AA$8:AA$707,"&lt;"&amp;AA562)+COUNTIFS(Z$8:Z$707,"&gt;0",V$8:V$707,V562,AA$8:AA$707,AA562,E$8:E$707,"&lt;"&amp;$E562))</f>
        <v/>
      </c>
      <c r="AC562" s="24">
        <f>IF(OR($E562="",Z562=0),"",IFERROR(TODAY()+ROUNDUP(Z562/(SUMIFS($AF562:$IN562,$AF$4:$IN$4,"WASH_ACT")/COUNTIFS($AF$4:$IN$4,"WASH_ACT",$AF562:$IN562,"&gt;0")),0),"no output yet"))</f>
        <v/>
      </c>
      <c r="AD562" s="26">
        <f>IF($E562="","",IFERROR(ROUND(MAX(0,SUMIFS($AF562:$IN562,$AF$4:$IN$4,"SEW_PLAN",$AF$3:$IN$3,"&lt;="&amp;TODAY())-SUMIFS($AF562:$IN562,$AF$4:$IN$4,"SEW_ACT",$AF$3:$IN$3,"&lt;="&amp;TODAY())+N(Q562))/(SUMIFS($AF562:$IN562,$AF$4:$IN$4,"SEW_PLAN")/COUNTIFS($AF$4:$IN$4,"SEW_PLAN",$AF562:$IN562,"&gt;0")),1),0))</f>
        <v/>
      </c>
      <c r="AE562" s="26">
        <f>IF($E562="","",IF(AND(Z562&gt;0,OR(AND(M562&lt;&gt;"",TODAY()&gt;M562),AND(V562&lt;&gt;"",V562-TODAY()&lt;=7))),"Yes","No"))</f>
        <v/>
      </c>
      <c r="AH562">
        <f>IF(OR(AF$3="",AF$3&gt;TODAY()),"",IF(AND(AF562="",AG562=""),"",N(AG562)-N(AF562)))</f>
        <v/>
      </c>
      <c r="AK562">
        <f>IF(OR(AF$3="",AF$3&gt;TODAY()),"",IF(AND(AI562="",AJ562=""),"",N(AJ562)-N(AI562)))</f>
        <v/>
      </c>
      <c r="AO562">
        <f>IF(OR(AM$3="",AM$3&gt;TODAY()),"",IF(AND(AM562="",AN562=""),"",N(AN562)-N(AM562)))</f>
        <v/>
      </c>
      <c r="AR562">
        <f>IF(OR(AM$3="",AM$3&gt;TODAY()),"",IF(AND(AP562="",AQ562=""),"",N(AQ562)-N(AP562)))</f>
        <v/>
      </c>
      <c r="AV562">
        <f>IF(OR(AT$3="",AT$3&gt;TODAY()),"",IF(AND(AT562="",AU562=""),"",N(AU562)-N(AT562)))</f>
        <v/>
      </c>
      <c r="AY562">
        <f>IF(OR(AT$3="",AT$3&gt;TODAY()),"",IF(AND(AW562="",AX562=""),"",N(AX562)-N(AW562)))</f>
        <v/>
      </c>
      <c r="BC562">
        <f>IF(OR(BA$3="",BA$3&gt;TODAY()),"",IF(AND(BA562="",BB562=""),"",N(BB562)-N(BA562)))</f>
        <v/>
      </c>
      <c r="BF562">
        <f>IF(OR(BA$3="",BA$3&gt;TODAY()),"",IF(AND(BD562="",BE562=""),"",N(BE562)-N(BD562)))</f>
        <v/>
      </c>
      <c r="BJ562">
        <f>IF(OR(BH$3="",BH$3&gt;TODAY()),"",IF(AND(BH562="",BI562=""),"",N(BI562)-N(BH562)))</f>
        <v/>
      </c>
      <c r="BM562">
        <f>IF(OR(BH$3="",BH$3&gt;TODAY()),"",IF(AND(BK562="",BL562=""),"",N(BL562)-N(BK562)))</f>
        <v/>
      </c>
      <c r="BQ562">
        <f>IF(OR(BO$3="",BO$3&gt;TODAY()),"",IF(AND(BO562="",BP562=""),"",N(BP562)-N(BO562)))</f>
        <v/>
      </c>
      <c r="BT562">
        <f>IF(OR(BO$3="",BO$3&gt;TODAY()),"",IF(AND(BR562="",BS562=""),"",N(BS562)-N(BR562)))</f>
        <v/>
      </c>
      <c r="BX562">
        <f>IF(OR(BV$3="",BV$3&gt;TODAY()),"",IF(AND(BV562="",BW562=""),"",N(BW562)-N(BV562)))</f>
        <v/>
      </c>
      <c r="CA562">
        <f>IF(OR(BV$3="",BV$3&gt;TODAY()),"",IF(AND(BY562="",BZ562=""),"",N(BZ562)-N(BY562)))</f>
        <v/>
      </c>
      <c r="CE562">
        <f>IF(OR(CC$3="",CC$3&gt;TODAY()),"",IF(AND(CC562="",CD562=""),"",N(CD562)-N(CC562)))</f>
        <v/>
      </c>
      <c r="CH562">
        <f>IF(OR(CC$3="",CC$3&gt;TODAY()),"",IF(AND(CF562="",CG562=""),"",N(CG562)-N(CF562)))</f>
        <v/>
      </c>
      <c r="CL562">
        <f>IF(OR(CJ$3="",CJ$3&gt;TODAY()),"",IF(AND(CJ562="",CK562=""),"",N(CK562)-N(CJ562)))</f>
        <v/>
      </c>
      <c r="CO562">
        <f>IF(OR(CJ$3="",CJ$3&gt;TODAY()),"",IF(AND(CM562="",CN562=""),"",N(CN562)-N(CM562)))</f>
        <v/>
      </c>
      <c r="CS562">
        <f>IF(OR(CQ$3="",CQ$3&gt;TODAY()),"",IF(AND(CQ562="",CR562=""),"",N(CR562)-N(CQ562)))</f>
        <v/>
      </c>
      <c r="CV562">
        <f>IF(OR(CQ$3="",CQ$3&gt;TODAY()),"",IF(AND(CT562="",CU562=""),"",N(CU562)-N(CT562)))</f>
        <v/>
      </c>
      <c r="CZ562">
        <f>IF(OR(CX$3="",CX$3&gt;TODAY()),"",IF(AND(CX562="",CY562=""),"",N(CY562)-N(CX562)))</f>
        <v/>
      </c>
      <c r="DC562">
        <f>IF(OR(CX$3="",CX$3&gt;TODAY()),"",IF(AND(DA562="",DB562=""),"",N(DB562)-N(DA562)))</f>
        <v/>
      </c>
      <c r="DG562">
        <f>IF(OR(DE$3="",DE$3&gt;TODAY()),"",IF(AND(DE562="",DF562=""),"",N(DF562)-N(DE562)))</f>
        <v/>
      </c>
      <c r="DJ562">
        <f>IF(OR(DE$3="",DE$3&gt;TODAY()),"",IF(AND(DH562="",DI562=""),"",N(DI562)-N(DH562)))</f>
        <v/>
      </c>
      <c r="DN562">
        <f>IF(OR(DL$3="",DL$3&gt;TODAY()),"",IF(AND(DL562="",DM562=""),"",N(DM562)-N(DL562)))</f>
        <v/>
      </c>
      <c r="DQ562">
        <f>IF(OR(DL$3="",DL$3&gt;TODAY()),"",IF(AND(DO562="",DP562=""),"",N(DP562)-N(DO562)))</f>
        <v/>
      </c>
      <c r="DU562">
        <f>IF(OR(DS$3="",DS$3&gt;TODAY()),"",IF(AND(DS562="",DT562=""),"",N(DT562)-N(DS562)))</f>
        <v/>
      </c>
      <c r="DX562">
        <f>IF(OR(DS$3="",DS$3&gt;TODAY()),"",IF(AND(DV562="",DW562=""),"",N(DW562)-N(DV562)))</f>
        <v/>
      </c>
      <c r="EB562">
        <f>IF(OR(DZ$3="",DZ$3&gt;TODAY()),"",IF(AND(DZ562="",EA562=""),"",N(EA562)-N(DZ562)))</f>
        <v/>
      </c>
      <c r="EE562">
        <f>IF(OR(DZ$3="",DZ$3&gt;TODAY()),"",IF(AND(EC562="",ED562=""),"",N(ED562)-N(EC562)))</f>
        <v/>
      </c>
      <c r="EI562">
        <f>IF(OR(EG$3="",EG$3&gt;TODAY()),"",IF(AND(EG562="",EH562=""),"",N(EH562)-N(EG562)))</f>
        <v/>
      </c>
      <c r="EL562">
        <f>IF(OR(EG$3="",EG$3&gt;TODAY()),"",IF(AND(EJ562="",EK562=""),"",N(EK562)-N(EJ562)))</f>
        <v/>
      </c>
      <c r="EP562">
        <f>IF(OR(EN$3="",EN$3&gt;TODAY()),"",IF(AND(EN562="",EO562=""),"",N(EO562)-N(EN562)))</f>
        <v/>
      </c>
      <c r="ES562">
        <f>IF(OR(EN$3="",EN$3&gt;TODAY()),"",IF(AND(EQ562="",ER562=""),"",N(ER562)-N(EQ562)))</f>
        <v/>
      </c>
      <c r="EW562">
        <f>IF(OR(EU$3="",EU$3&gt;TODAY()),"",IF(AND(EU562="",EV562=""),"",N(EV562)-N(EU562)))</f>
        <v/>
      </c>
      <c r="EZ562">
        <f>IF(OR(EU$3="",EU$3&gt;TODAY()),"",IF(AND(EX562="",EY562=""),"",N(EY562)-N(EX562)))</f>
        <v/>
      </c>
      <c r="FD562">
        <f>IF(OR(FB$3="",FB$3&gt;TODAY()),"",IF(AND(FB562="",FC562=""),"",N(FC562)-N(FB562)))</f>
        <v/>
      </c>
      <c r="FG562">
        <f>IF(OR(FB$3="",FB$3&gt;TODAY()),"",IF(AND(FE562="",FF562=""),"",N(FF562)-N(FE562)))</f>
        <v/>
      </c>
      <c r="FK562">
        <f>IF(OR(FI$3="",FI$3&gt;TODAY()),"",IF(AND(FI562="",FJ562=""),"",N(FJ562)-N(FI562)))</f>
        <v/>
      </c>
      <c r="FN562">
        <f>IF(OR(FI$3="",FI$3&gt;TODAY()),"",IF(AND(FL562="",FM562=""),"",N(FM562)-N(FL562)))</f>
        <v/>
      </c>
      <c r="FR562">
        <f>IF(OR(FP$3="",FP$3&gt;TODAY()),"",IF(AND(FP562="",FQ562=""),"",N(FQ562)-N(FP562)))</f>
        <v/>
      </c>
      <c r="FU562">
        <f>IF(OR(FP$3="",FP$3&gt;TODAY()),"",IF(AND(FS562="",FT562=""),"",N(FT562)-N(FS562)))</f>
        <v/>
      </c>
      <c r="FY562">
        <f>IF(OR(FW$3="",FW$3&gt;TODAY()),"",IF(AND(FW562="",FX562=""),"",N(FX562)-N(FW562)))</f>
        <v/>
      </c>
      <c r="GB562">
        <f>IF(OR(FW$3="",FW$3&gt;TODAY()),"",IF(AND(FZ562="",GA562=""),"",N(GA562)-N(FZ562)))</f>
        <v/>
      </c>
      <c r="GF562">
        <f>IF(OR(GD$3="",GD$3&gt;TODAY()),"",IF(AND(GD562="",GE562=""),"",N(GE562)-N(GD562)))</f>
        <v/>
      </c>
      <c r="GI562">
        <f>IF(OR(GD$3="",GD$3&gt;TODAY()),"",IF(AND(GG562="",GH562=""),"",N(GH562)-N(GG562)))</f>
        <v/>
      </c>
      <c r="GM562">
        <f>IF(OR(GK$3="",GK$3&gt;TODAY()),"",IF(AND(GK562="",GL562=""),"",N(GL562)-N(GK562)))</f>
        <v/>
      </c>
      <c r="GP562">
        <f>IF(OR(GK$3="",GK$3&gt;TODAY()),"",IF(AND(GN562="",GO562=""),"",N(GO562)-N(GN562)))</f>
        <v/>
      </c>
      <c r="GT562">
        <f>IF(OR(GR$3="",GR$3&gt;TODAY()),"",IF(AND(GR562="",GS562=""),"",N(GS562)-N(GR562)))</f>
        <v/>
      </c>
      <c r="GW562">
        <f>IF(OR(GR$3="",GR$3&gt;TODAY()),"",IF(AND(GU562="",GV562=""),"",N(GV562)-N(GU562)))</f>
        <v/>
      </c>
      <c r="HA562">
        <f>IF(OR(GY$3="",GY$3&gt;TODAY()),"",IF(AND(GY562="",GZ562=""),"",N(GZ562)-N(GY562)))</f>
        <v/>
      </c>
      <c r="HD562">
        <f>IF(OR(GY$3="",GY$3&gt;TODAY()),"",IF(AND(HB562="",HC562=""),"",N(HC562)-N(HB562)))</f>
        <v/>
      </c>
      <c r="HH562">
        <f>IF(OR(HF$3="",HF$3&gt;TODAY()),"",IF(AND(HF562="",HG562=""),"",N(HG562)-N(HF562)))</f>
        <v/>
      </c>
      <c r="HK562">
        <f>IF(OR(HF$3="",HF$3&gt;TODAY()),"",IF(AND(HI562="",HJ562=""),"",N(HJ562)-N(HI562)))</f>
        <v/>
      </c>
      <c r="HO562">
        <f>IF(OR(HM$3="",HM$3&gt;TODAY()),"",IF(AND(HM562="",HN562=""),"",N(HN562)-N(HM562)))</f>
        <v/>
      </c>
      <c r="HR562">
        <f>IF(OR(HM$3="",HM$3&gt;TODAY()),"",IF(AND(HP562="",HQ562=""),"",N(HQ562)-N(HP562)))</f>
        <v/>
      </c>
      <c r="HV562">
        <f>IF(OR(HT$3="",HT$3&gt;TODAY()),"",IF(AND(HT562="",HU562=""),"",N(HU562)-N(HT562)))</f>
        <v/>
      </c>
      <c r="HY562">
        <f>IF(OR(HT$3="",HT$3&gt;TODAY()),"",IF(AND(HW562="",HX562=""),"",N(HX562)-N(HW562)))</f>
        <v/>
      </c>
      <c r="IC562">
        <f>IF(OR(IA$3="",IA$3&gt;TODAY()),"",IF(AND(IA562="",IB562=""),"",N(IB562)-N(IA562)))</f>
        <v/>
      </c>
      <c r="IF562">
        <f>IF(OR(IA$3="",IA$3&gt;TODAY()),"",IF(AND(ID562="",IE562=""),"",N(IE562)-N(ID562)))</f>
        <v/>
      </c>
      <c r="IJ562">
        <f>IF(OR(IH$3="",IH$3&gt;TODAY()),"",IF(AND(IH562="",II562=""),"",N(II562)-N(IH562)))</f>
        <v/>
      </c>
      <c r="IM562">
        <f>IF(OR(IH$3="",IH$3&gt;TODAY()),"",IF(AND(IK562="",IL562=""),"",N(IL562)-N(IK562)))</f>
        <v/>
      </c>
    </row>
    <row r="563">
      <c r="A563" s="21" t="n"/>
      <c r="B563" s="21" t="n"/>
      <c r="C563" s="21" t="n"/>
      <c r="D563" s="21" t="n"/>
      <c r="E563" s="21" t="n"/>
      <c r="F563" s="21" t="n"/>
      <c r="G563" s="21" t="n"/>
      <c r="H563" s="21" t="n"/>
      <c r="I563" s="22" t="n"/>
      <c r="J563" s="22" t="n"/>
      <c r="K563" s="23" t="n"/>
      <c r="L563" s="22" t="n"/>
      <c r="M563" s="22" t="n"/>
      <c r="N563" s="21" t="n"/>
      <c r="O563" s="23" t="n"/>
      <c r="P563" s="23" t="n"/>
      <c r="Q563" s="23" t="n"/>
      <c r="R563" s="23" t="n"/>
      <c r="S563" s="22" t="n"/>
      <c r="T563" s="23" t="n"/>
      <c r="U563" s="23" t="n"/>
      <c r="V563" s="24">
        <f>IF(J563&lt;&gt;"",J563,IF(I563&lt;&gt;"",I563,""))</f>
        <v/>
      </c>
      <c r="W563" s="25">
        <f>IF($E563="","",N(O563)+SUMIFS($AF563:$IN563,$AF$4:$IN$4,"SEW_ACT"))</f>
        <v/>
      </c>
      <c r="X563" s="25">
        <f>IF($E563="","",N(P563)+SUMIFS($AF563:$IN563,$AF$4:$IN$4,"WASH_ACT"))</f>
        <v/>
      </c>
      <c r="Y563" s="25">
        <f>IF($E563="","",W563-X563-N(T563)-N(U563))</f>
        <v/>
      </c>
      <c r="Z563" s="25">
        <f>IF($E563="","",IF(N(K563)-X563&lt;=0.02*N(K563),0,N(K563)-X563))</f>
        <v/>
      </c>
      <c r="AA563" s="24">
        <f>IF($E563="","",IF(S563&lt;&gt;"",S563,IF(N(O563)&gt;0,IF(L563&lt;&gt;"",L563,99999),IFERROR(1/(1/_xlfn.MINIFS($AF$3:$IN$3,$AF$4:$IN$4,"SEW_ACT",$AF563:$IN563,"&gt;0")),99999))))</f>
        <v/>
      </c>
      <c r="AB563" s="26">
        <f>IF(OR($E563="",Z563=0,V563=""),"",1+COUNTIFS(Z$8:Z$707,"&gt;0",V$8:V$707,"&lt;"&amp;V563)+COUNTIFS(Z$8:Z$707,"&gt;0",V$8:V$707,V563,AA$8:AA$707,"&lt;"&amp;AA563)+COUNTIFS(Z$8:Z$707,"&gt;0",V$8:V$707,V563,AA$8:AA$707,AA563,E$8:E$707,"&lt;"&amp;$E563))</f>
        <v/>
      </c>
      <c r="AC563" s="24">
        <f>IF(OR($E563="",Z563=0),"",IFERROR(TODAY()+ROUNDUP(Z563/(SUMIFS($AF563:$IN563,$AF$4:$IN$4,"WASH_ACT")/COUNTIFS($AF$4:$IN$4,"WASH_ACT",$AF563:$IN563,"&gt;0")),0),"no output yet"))</f>
        <v/>
      </c>
      <c r="AD563" s="26">
        <f>IF($E563="","",IFERROR(ROUND(MAX(0,SUMIFS($AF563:$IN563,$AF$4:$IN$4,"SEW_PLAN",$AF$3:$IN$3,"&lt;="&amp;TODAY())-SUMIFS($AF563:$IN563,$AF$4:$IN$4,"SEW_ACT",$AF$3:$IN$3,"&lt;="&amp;TODAY())+N(Q563))/(SUMIFS($AF563:$IN563,$AF$4:$IN$4,"SEW_PLAN")/COUNTIFS($AF$4:$IN$4,"SEW_PLAN",$AF563:$IN563,"&gt;0")),1),0))</f>
        <v/>
      </c>
      <c r="AE563" s="26">
        <f>IF($E563="","",IF(AND(Z563&gt;0,OR(AND(M563&lt;&gt;"",TODAY()&gt;M563),AND(V563&lt;&gt;"",V563-TODAY()&lt;=7))),"Yes","No"))</f>
        <v/>
      </c>
      <c r="AH563">
        <f>IF(OR(AF$3="",AF$3&gt;TODAY()),"",IF(AND(AF563="",AG563=""),"",N(AG563)-N(AF563)))</f>
        <v/>
      </c>
      <c r="AK563">
        <f>IF(OR(AF$3="",AF$3&gt;TODAY()),"",IF(AND(AI563="",AJ563=""),"",N(AJ563)-N(AI563)))</f>
        <v/>
      </c>
      <c r="AO563">
        <f>IF(OR(AM$3="",AM$3&gt;TODAY()),"",IF(AND(AM563="",AN563=""),"",N(AN563)-N(AM563)))</f>
        <v/>
      </c>
      <c r="AR563">
        <f>IF(OR(AM$3="",AM$3&gt;TODAY()),"",IF(AND(AP563="",AQ563=""),"",N(AQ563)-N(AP563)))</f>
        <v/>
      </c>
      <c r="AV563">
        <f>IF(OR(AT$3="",AT$3&gt;TODAY()),"",IF(AND(AT563="",AU563=""),"",N(AU563)-N(AT563)))</f>
        <v/>
      </c>
      <c r="AY563">
        <f>IF(OR(AT$3="",AT$3&gt;TODAY()),"",IF(AND(AW563="",AX563=""),"",N(AX563)-N(AW563)))</f>
        <v/>
      </c>
      <c r="BC563">
        <f>IF(OR(BA$3="",BA$3&gt;TODAY()),"",IF(AND(BA563="",BB563=""),"",N(BB563)-N(BA563)))</f>
        <v/>
      </c>
      <c r="BF563">
        <f>IF(OR(BA$3="",BA$3&gt;TODAY()),"",IF(AND(BD563="",BE563=""),"",N(BE563)-N(BD563)))</f>
        <v/>
      </c>
      <c r="BJ563">
        <f>IF(OR(BH$3="",BH$3&gt;TODAY()),"",IF(AND(BH563="",BI563=""),"",N(BI563)-N(BH563)))</f>
        <v/>
      </c>
      <c r="BM563">
        <f>IF(OR(BH$3="",BH$3&gt;TODAY()),"",IF(AND(BK563="",BL563=""),"",N(BL563)-N(BK563)))</f>
        <v/>
      </c>
      <c r="BQ563">
        <f>IF(OR(BO$3="",BO$3&gt;TODAY()),"",IF(AND(BO563="",BP563=""),"",N(BP563)-N(BO563)))</f>
        <v/>
      </c>
      <c r="BT563">
        <f>IF(OR(BO$3="",BO$3&gt;TODAY()),"",IF(AND(BR563="",BS563=""),"",N(BS563)-N(BR563)))</f>
        <v/>
      </c>
      <c r="BX563">
        <f>IF(OR(BV$3="",BV$3&gt;TODAY()),"",IF(AND(BV563="",BW563=""),"",N(BW563)-N(BV563)))</f>
        <v/>
      </c>
      <c r="CA563">
        <f>IF(OR(BV$3="",BV$3&gt;TODAY()),"",IF(AND(BY563="",BZ563=""),"",N(BZ563)-N(BY563)))</f>
        <v/>
      </c>
      <c r="CE563">
        <f>IF(OR(CC$3="",CC$3&gt;TODAY()),"",IF(AND(CC563="",CD563=""),"",N(CD563)-N(CC563)))</f>
        <v/>
      </c>
      <c r="CH563">
        <f>IF(OR(CC$3="",CC$3&gt;TODAY()),"",IF(AND(CF563="",CG563=""),"",N(CG563)-N(CF563)))</f>
        <v/>
      </c>
      <c r="CL563">
        <f>IF(OR(CJ$3="",CJ$3&gt;TODAY()),"",IF(AND(CJ563="",CK563=""),"",N(CK563)-N(CJ563)))</f>
        <v/>
      </c>
      <c r="CO563">
        <f>IF(OR(CJ$3="",CJ$3&gt;TODAY()),"",IF(AND(CM563="",CN563=""),"",N(CN563)-N(CM563)))</f>
        <v/>
      </c>
      <c r="CS563">
        <f>IF(OR(CQ$3="",CQ$3&gt;TODAY()),"",IF(AND(CQ563="",CR563=""),"",N(CR563)-N(CQ563)))</f>
        <v/>
      </c>
      <c r="CV563">
        <f>IF(OR(CQ$3="",CQ$3&gt;TODAY()),"",IF(AND(CT563="",CU563=""),"",N(CU563)-N(CT563)))</f>
        <v/>
      </c>
      <c r="CZ563">
        <f>IF(OR(CX$3="",CX$3&gt;TODAY()),"",IF(AND(CX563="",CY563=""),"",N(CY563)-N(CX563)))</f>
        <v/>
      </c>
      <c r="DC563">
        <f>IF(OR(CX$3="",CX$3&gt;TODAY()),"",IF(AND(DA563="",DB563=""),"",N(DB563)-N(DA563)))</f>
        <v/>
      </c>
      <c r="DG563">
        <f>IF(OR(DE$3="",DE$3&gt;TODAY()),"",IF(AND(DE563="",DF563=""),"",N(DF563)-N(DE563)))</f>
        <v/>
      </c>
      <c r="DJ563">
        <f>IF(OR(DE$3="",DE$3&gt;TODAY()),"",IF(AND(DH563="",DI563=""),"",N(DI563)-N(DH563)))</f>
        <v/>
      </c>
      <c r="DN563">
        <f>IF(OR(DL$3="",DL$3&gt;TODAY()),"",IF(AND(DL563="",DM563=""),"",N(DM563)-N(DL563)))</f>
        <v/>
      </c>
      <c r="DQ563">
        <f>IF(OR(DL$3="",DL$3&gt;TODAY()),"",IF(AND(DO563="",DP563=""),"",N(DP563)-N(DO563)))</f>
        <v/>
      </c>
      <c r="DU563">
        <f>IF(OR(DS$3="",DS$3&gt;TODAY()),"",IF(AND(DS563="",DT563=""),"",N(DT563)-N(DS563)))</f>
        <v/>
      </c>
      <c r="DX563">
        <f>IF(OR(DS$3="",DS$3&gt;TODAY()),"",IF(AND(DV563="",DW563=""),"",N(DW563)-N(DV563)))</f>
        <v/>
      </c>
      <c r="EB563">
        <f>IF(OR(DZ$3="",DZ$3&gt;TODAY()),"",IF(AND(DZ563="",EA563=""),"",N(EA563)-N(DZ563)))</f>
        <v/>
      </c>
      <c r="EE563">
        <f>IF(OR(DZ$3="",DZ$3&gt;TODAY()),"",IF(AND(EC563="",ED563=""),"",N(ED563)-N(EC563)))</f>
        <v/>
      </c>
      <c r="EI563">
        <f>IF(OR(EG$3="",EG$3&gt;TODAY()),"",IF(AND(EG563="",EH563=""),"",N(EH563)-N(EG563)))</f>
        <v/>
      </c>
      <c r="EL563">
        <f>IF(OR(EG$3="",EG$3&gt;TODAY()),"",IF(AND(EJ563="",EK563=""),"",N(EK563)-N(EJ563)))</f>
        <v/>
      </c>
      <c r="EP563">
        <f>IF(OR(EN$3="",EN$3&gt;TODAY()),"",IF(AND(EN563="",EO563=""),"",N(EO563)-N(EN563)))</f>
        <v/>
      </c>
      <c r="ES563">
        <f>IF(OR(EN$3="",EN$3&gt;TODAY()),"",IF(AND(EQ563="",ER563=""),"",N(ER563)-N(EQ563)))</f>
        <v/>
      </c>
      <c r="EW563">
        <f>IF(OR(EU$3="",EU$3&gt;TODAY()),"",IF(AND(EU563="",EV563=""),"",N(EV563)-N(EU563)))</f>
        <v/>
      </c>
      <c r="EZ563">
        <f>IF(OR(EU$3="",EU$3&gt;TODAY()),"",IF(AND(EX563="",EY563=""),"",N(EY563)-N(EX563)))</f>
        <v/>
      </c>
      <c r="FD563">
        <f>IF(OR(FB$3="",FB$3&gt;TODAY()),"",IF(AND(FB563="",FC563=""),"",N(FC563)-N(FB563)))</f>
        <v/>
      </c>
      <c r="FG563">
        <f>IF(OR(FB$3="",FB$3&gt;TODAY()),"",IF(AND(FE563="",FF563=""),"",N(FF563)-N(FE563)))</f>
        <v/>
      </c>
      <c r="FK563">
        <f>IF(OR(FI$3="",FI$3&gt;TODAY()),"",IF(AND(FI563="",FJ563=""),"",N(FJ563)-N(FI563)))</f>
        <v/>
      </c>
      <c r="FN563">
        <f>IF(OR(FI$3="",FI$3&gt;TODAY()),"",IF(AND(FL563="",FM563=""),"",N(FM563)-N(FL563)))</f>
        <v/>
      </c>
      <c r="FR563">
        <f>IF(OR(FP$3="",FP$3&gt;TODAY()),"",IF(AND(FP563="",FQ563=""),"",N(FQ563)-N(FP563)))</f>
        <v/>
      </c>
      <c r="FU563">
        <f>IF(OR(FP$3="",FP$3&gt;TODAY()),"",IF(AND(FS563="",FT563=""),"",N(FT563)-N(FS563)))</f>
        <v/>
      </c>
      <c r="FY563">
        <f>IF(OR(FW$3="",FW$3&gt;TODAY()),"",IF(AND(FW563="",FX563=""),"",N(FX563)-N(FW563)))</f>
        <v/>
      </c>
      <c r="GB563">
        <f>IF(OR(FW$3="",FW$3&gt;TODAY()),"",IF(AND(FZ563="",GA563=""),"",N(GA563)-N(FZ563)))</f>
        <v/>
      </c>
      <c r="GF563">
        <f>IF(OR(GD$3="",GD$3&gt;TODAY()),"",IF(AND(GD563="",GE563=""),"",N(GE563)-N(GD563)))</f>
        <v/>
      </c>
      <c r="GI563">
        <f>IF(OR(GD$3="",GD$3&gt;TODAY()),"",IF(AND(GG563="",GH563=""),"",N(GH563)-N(GG563)))</f>
        <v/>
      </c>
      <c r="GM563">
        <f>IF(OR(GK$3="",GK$3&gt;TODAY()),"",IF(AND(GK563="",GL563=""),"",N(GL563)-N(GK563)))</f>
        <v/>
      </c>
      <c r="GP563">
        <f>IF(OR(GK$3="",GK$3&gt;TODAY()),"",IF(AND(GN563="",GO563=""),"",N(GO563)-N(GN563)))</f>
        <v/>
      </c>
      <c r="GT563">
        <f>IF(OR(GR$3="",GR$3&gt;TODAY()),"",IF(AND(GR563="",GS563=""),"",N(GS563)-N(GR563)))</f>
        <v/>
      </c>
      <c r="GW563">
        <f>IF(OR(GR$3="",GR$3&gt;TODAY()),"",IF(AND(GU563="",GV563=""),"",N(GV563)-N(GU563)))</f>
        <v/>
      </c>
      <c r="HA563">
        <f>IF(OR(GY$3="",GY$3&gt;TODAY()),"",IF(AND(GY563="",GZ563=""),"",N(GZ563)-N(GY563)))</f>
        <v/>
      </c>
      <c r="HD563">
        <f>IF(OR(GY$3="",GY$3&gt;TODAY()),"",IF(AND(HB563="",HC563=""),"",N(HC563)-N(HB563)))</f>
        <v/>
      </c>
      <c r="HH563">
        <f>IF(OR(HF$3="",HF$3&gt;TODAY()),"",IF(AND(HF563="",HG563=""),"",N(HG563)-N(HF563)))</f>
        <v/>
      </c>
      <c r="HK563">
        <f>IF(OR(HF$3="",HF$3&gt;TODAY()),"",IF(AND(HI563="",HJ563=""),"",N(HJ563)-N(HI563)))</f>
        <v/>
      </c>
      <c r="HO563">
        <f>IF(OR(HM$3="",HM$3&gt;TODAY()),"",IF(AND(HM563="",HN563=""),"",N(HN563)-N(HM563)))</f>
        <v/>
      </c>
      <c r="HR563">
        <f>IF(OR(HM$3="",HM$3&gt;TODAY()),"",IF(AND(HP563="",HQ563=""),"",N(HQ563)-N(HP563)))</f>
        <v/>
      </c>
      <c r="HV563">
        <f>IF(OR(HT$3="",HT$3&gt;TODAY()),"",IF(AND(HT563="",HU563=""),"",N(HU563)-N(HT563)))</f>
        <v/>
      </c>
      <c r="HY563">
        <f>IF(OR(HT$3="",HT$3&gt;TODAY()),"",IF(AND(HW563="",HX563=""),"",N(HX563)-N(HW563)))</f>
        <v/>
      </c>
      <c r="IC563">
        <f>IF(OR(IA$3="",IA$3&gt;TODAY()),"",IF(AND(IA563="",IB563=""),"",N(IB563)-N(IA563)))</f>
        <v/>
      </c>
      <c r="IF563">
        <f>IF(OR(IA$3="",IA$3&gt;TODAY()),"",IF(AND(ID563="",IE563=""),"",N(IE563)-N(ID563)))</f>
        <v/>
      </c>
      <c r="IJ563">
        <f>IF(OR(IH$3="",IH$3&gt;TODAY()),"",IF(AND(IH563="",II563=""),"",N(II563)-N(IH563)))</f>
        <v/>
      </c>
      <c r="IM563">
        <f>IF(OR(IH$3="",IH$3&gt;TODAY()),"",IF(AND(IK563="",IL563=""),"",N(IL563)-N(IK563)))</f>
        <v/>
      </c>
    </row>
    <row r="564">
      <c r="A564" s="21" t="n"/>
      <c r="B564" s="21" t="n"/>
      <c r="C564" s="21" t="n"/>
      <c r="D564" s="21" t="n"/>
      <c r="E564" s="21" t="n"/>
      <c r="F564" s="21" t="n"/>
      <c r="G564" s="21" t="n"/>
      <c r="H564" s="21" t="n"/>
      <c r="I564" s="22" t="n"/>
      <c r="J564" s="22" t="n"/>
      <c r="K564" s="23" t="n"/>
      <c r="L564" s="22" t="n"/>
      <c r="M564" s="22" t="n"/>
      <c r="N564" s="21" t="n"/>
      <c r="O564" s="23" t="n"/>
      <c r="P564" s="23" t="n"/>
      <c r="Q564" s="23" t="n"/>
      <c r="R564" s="23" t="n"/>
      <c r="S564" s="22" t="n"/>
      <c r="T564" s="23" t="n"/>
      <c r="U564" s="23" t="n"/>
      <c r="V564" s="24">
        <f>IF(J564&lt;&gt;"",J564,IF(I564&lt;&gt;"",I564,""))</f>
        <v/>
      </c>
      <c r="W564" s="25">
        <f>IF($E564="","",N(O564)+SUMIFS($AF564:$IN564,$AF$4:$IN$4,"SEW_ACT"))</f>
        <v/>
      </c>
      <c r="X564" s="25">
        <f>IF($E564="","",N(P564)+SUMIFS($AF564:$IN564,$AF$4:$IN$4,"WASH_ACT"))</f>
        <v/>
      </c>
      <c r="Y564" s="25">
        <f>IF($E564="","",W564-X564-N(T564)-N(U564))</f>
        <v/>
      </c>
      <c r="Z564" s="25">
        <f>IF($E564="","",IF(N(K564)-X564&lt;=0.02*N(K564),0,N(K564)-X564))</f>
        <v/>
      </c>
      <c r="AA564" s="24">
        <f>IF($E564="","",IF(S564&lt;&gt;"",S564,IF(N(O564)&gt;0,IF(L564&lt;&gt;"",L564,99999),IFERROR(1/(1/_xlfn.MINIFS($AF$3:$IN$3,$AF$4:$IN$4,"SEW_ACT",$AF564:$IN564,"&gt;0")),99999))))</f>
        <v/>
      </c>
      <c r="AB564" s="26">
        <f>IF(OR($E564="",Z564=0,V564=""),"",1+COUNTIFS(Z$8:Z$707,"&gt;0",V$8:V$707,"&lt;"&amp;V564)+COUNTIFS(Z$8:Z$707,"&gt;0",V$8:V$707,V564,AA$8:AA$707,"&lt;"&amp;AA564)+COUNTIFS(Z$8:Z$707,"&gt;0",V$8:V$707,V564,AA$8:AA$707,AA564,E$8:E$707,"&lt;"&amp;$E564))</f>
        <v/>
      </c>
      <c r="AC564" s="24">
        <f>IF(OR($E564="",Z564=0),"",IFERROR(TODAY()+ROUNDUP(Z564/(SUMIFS($AF564:$IN564,$AF$4:$IN$4,"WASH_ACT")/COUNTIFS($AF$4:$IN$4,"WASH_ACT",$AF564:$IN564,"&gt;0")),0),"no output yet"))</f>
        <v/>
      </c>
      <c r="AD564" s="26">
        <f>IF($E564="","",IFERROR(ROUND(MAX(0,SUMIFS($AF564:$IN564,$AF$4:$IN$4,"SEW_PLAN",$AF$3:$IN$3,"&lt;="&amp;TODAY())-SUMIFS($AF564:$IN564,$AF$4:$IN$4,"SEW_ACT",$AF$3:$IN$3,"&lt;="&amp;TODAY())+N(Q564))/(SUMIFS($AF564:$IN564,$AF$4:$IN$4,"SEW_PLAN")/COUNTIFS($AF$4:$IN$4,"SEW_PLAN",$AF564:$IN564,"&gt;0")),1),0))</f>
        <v/>
      </c>
      <c r="AE564" s="26">
        <f>IF($E564="","",IF(AND(Z564&gt;0,OR(AND(M564&lt;&gt;"",TODAY()&gt;M564),AND(V564&lt;&gt;"",V564-TODAY()&lt;=7))),"Yes","No"))</f>
        <v/>
      </c>
      <c r="AH564">
        <f>IF(OR(AF$3="",AF$3&gt;TODAY()),"",IF(AND(AF564="",AG564=""),"",N(AG564)-N(AF564)))</f>
        <v/>
      </c>
      <c r="AK564">
        <f>IF(OR(AF$3="",AF$3&gt;TODAY()),"",IF(AND(AI564="",AJ564=""),"",N(AJ564)-N(AI564)))</f>
        <v/>
      </c>
      <c r="AO564">
        <f>IF(OR(AM$3="",AM$3&gt;TODAY()),"",IF(AND(AM564="",AN564=""),"",N(AN564)-N(AM564)))</f>
        <v/>
      </c>
      <c r="AR564">
        <f>IF(OR(AM$3="",AM$3&gt;TODAY()),"",IF(AND(AP564="",AQ564=""),"",N(AQ564)-N(AP564)))</f>
        <v/>
      </c>
      <c r="AV564">
        <f>IF(OR(AT$3="",AT$3&gt;TODAY()),"",IF(AND(AT564="",AU564=""),"",N(AU564)-N(AT564)))</f>
        <v/>
      </c>
      <c r="AY564">
        <f>IF(OR(AT$3="",AT$3&gt;TODAY()),"",IF(AND(AW564="",AX564=""),"",N(AX564)-N(AW564)))</f>
        <v/>
      </c>
      <c r="BC564">
        <f>IF(OR(BA$3="",BA$3&gt;TODAY()),"",IF(AND(BA564="",BB564=""),"",N(BB564)-N(BA564)))</f>
        <v/>
      </c>
      <c r="BF564">
        <f>IF(OR(BA$3="",BA$3&gt;TODAY()),"",IF(AND(BD564="",BE564=""),"",N(BE564)-N(BD564)))</f>
        <v/>
      </c>
      <c r="BJ564">
        <f>IF(OR(BH$3="",BH$3&gt;TODAY()),"",IF(AND(BH564="",BI564=""),"",N(BI564)-N(BH564)))</f>
        <v/>
      </c>
      <c r="BM564">
        <f>IF(OR(BH$3="",BH$3&gt;TODAY()),"",IF(AND(BK564="",BL564=""),"",N(BL564)-N(BK564)))</f>
        <v/>
      </c>
      <c r="BQ564">
        <f>IF(OR(BO$3="",BO$3&gt;TODAY()),"",IF(AND(BO564="",BP564=""),"",N(BP564)-N(BO564)))</f>
        <v/>
      </c>
      <c r="BT564">
        <f>IF(OR(BO$3="",BO$3&gt;TODAY()),"",IF(AND(BR564="",BS564=""),"",N(BS564)-N(BR564)))</f>
        <v/>
      </c>
      <c r="BX564">
        <f>IF(OR(BV$3="",BV$3&gt;TODAY()),"",IF(AND(BV564="",BW564=""),"",N(BW564)-N(BV564)))</f>
        <v/>
      </c>
      <c r="CA564">
        <f>IF(OR(BV$3="",BV$3&gt;TODAY()),"",IF(AND(BY564="",BZ564=""),"",N(BZ564)-N(BY564)))</f>
        <v/>
      </c>
      <c r="CE564">
        <f>IF(OR(CC$3="",CC$3&gt;TODAY()),"",IF(AND(CC564="",CD564=""),"",N(CD564)-N(CC564)))</f>
        <v/>
      </c>
      <c r="CH564">
        <f>IF(OR(CC$3="",CC$3&gt;TODAY()),"",IF(AND(CF564="",CG564=""),"",N(CG564)-N(CF564)))</f>
        <v/>
      </c>
      <c r="CL564">
        <f>IF(OR(CJ$3="",CJ$3&gt;TODAY()),"",IF(AND(CJ564="",CK564=""),"",N(CK564)-N(CJ564)))</f>
        <v/>
      </c>
      <c r="CO564">
        <f>IF(OR(CJ$3="",CJ$3&gt;TODAY()),"",IF(AND(CM564="",CN564=""),"",N(CN564)-N(CM564)))</f>
        <v/>
      </c>
      <c r="CS564">
        <f>IF(OR(CQ$3="",CQ$3&gt;TODAY()),"",IF(AND(CQ564="",CR564=""),"",N(CR564)-N(CQ564)))</f>
        <v/>
      </c>
      <c r="CV564">
        <f>IF(OR(CQ$3="",CQ$3&gt;TODAY()),"",IF(AND(CT564="",CU564=""),"",N(CU564)-N(CT564)))</f>
        <v/>
      </c>
      <c r="CZ564">
        <f>IF(OR(CX$3="",CX$3&gt;TODAY()),"",IF(AND(CX564="",CY564=""),"",N(CY564)-N(CX564)))</f>
        <v/>
      </c>
      <c r="DC564">
        <f>IF(OR(CX$3="",CX$3&gt;TODAY()),"",IF(AND(DA564="",DB564=""),"",N(DB564)-N(DA564)))</f>
        <v/>
      </c>
      <c r="DG564">
        <f>IF(OR(DE$3="",DE$3&gt;TODAY()),"",IF(AND(DE564="",DF564=""),"",N(DF564)-N(DE564)))</f>
        <v/>
      </c>
      <c r="DJ564">
        <f>IF(OR(DE$3="",DE$3&gt;TODAY()),"",IF(AND(DH564="",DI564=""),"",N(DI564)-N(DH564)))</f>
        <v/>
      </c>
      <c r="DN564">
        <f>IF(OR(DL$3="",DL$3&gt;TODAY()),"",IF(AND(DL564="",DM564=""),"",N(DM564)-N(DL564)))</f>
        <v/>
      </c>
      <c r="DQ564">
        <f>IF(OR(DL$3="",DL$3&gt;TODAY()),"",IF(AND(DO564="",DP564=""),"",N(DP564)-N(DO564)))</f>
        <v/>
      </c>
      <c r="DU564">
        <f>IF(OR(DS$3="",DS$3&gt;TODAY()),"",IF(AND(DS564="",DT564=""),"",N(DT564)-N(DS564)))</f>
        <v/>
      </c>
      <c r="DX564">
        <f>IF(OR(DS$3="",DS$3&gt;TODAY()),"",IF(AND(DV564="",DW564=""),"",N(DW564)-N(DV564)))</f>
        <v/>
      </c>
      <c r="EB564">
        <f>IF(OR(DZ$3="",DZ$3&gt;TODAY()),"",IF(AND(DZ564="",EA564=""),"",N(EA564)-N(DZ564)))</f>
        <v/>
      </c>
      <c r="EE564">
        <f>IF(OR(DZ$3="",DZ$3&gt;TODAY()),"",IF(AND(EC564="",ED564=""),"",N(ED564)-N(EC564)))</f>
        <v/>
      </c>
      <c r="EI564">
        <f>IF(OR(EG$3="",EG$3&gt;TODAY()),"",IF(AND(EG564="",EH564=""),"",N(EH564)-N(EG564)))</f>
        <v/>
      </c>
      <c r="EL564">
        <f>IF(OR(EG$3="",EG$3&gt;TODAY()),"",IF(AND(EJ564="",EK564=""),"",N(EK564)-N(EJ564)))</f>
        <v/>
      </c>
      <c r="EP564">
        <f>IF(OR(EN$3="",EN$3&gt;TODAY()),"",IF(AND(EN564="",EO564=""),"",N(EO564)-N(EN564)))</f>
        <v/>
      </c>
      <c r="ES564">
        <f>IF(OR(EN$3="",EN$3&gt;TODAY()),"",IF(AND(EQ564="",ER564=""),"",N(ER564)-N(EQ564)))</f>
        <v/>
      </c>
      <c r="EW564">
        <f>IF(OR(EU$3="",EU$3&gt;TODAY()),"",IF(AND(EU564="",EV564=""),"",N(EV564)-N(EU564)))</f>
        <v/>
      </c>
      <c r="EZ564">
        <f>IF(OR(EU$3="",EU$3&gt;TODAY()),"",IF(AND(EX564="",EY564=""),"",N(EY564)-N(EX564)))</f>
        <v/>
      </c>
      <c r="FD564">
        <f>IF(OR(FB$3="",FB$3&gt;TODAY()),"",IF(AND(FB564="",FC564=""),"",N(FC564)-N(FB564)))</f>
        <v/>
      </c>
      <c r="FG564">
        <f>IF(OR(FB$3="",FB$3&gt;TODAY()),"",IF(AND(FE564="",FF564=""),"",N(FF564)-N(FE564)))</f>
        <v/>
      </c>
      <c r="FK564">
        <f>IF(OR(FI$3="",FI$3&gt;TODAY()),"",IF(AND(FI564="",FJ564=""),"",N(FJ564)-N(FI564)))</f>
        <v/>
      </c>
      <c r="FN564">
        <f>IF(OR(FI$3="",FI$3&gt;TODAY()),"",IF(AND(FL564="",FM564=""),"",N(FM564)-N(FL564)))</f>
        <v/>
      </c>
      <c r="FR564">
        <f>IF(OR(FP$3="",FP$3&gt;TODAY()),"",IF(AND(FP564="",FQ564=""),"",N(FQ564)-N(FP564)))</f>
        <v/>
      </c>
      <c r="FU564">
        <f>IF(OR(FP$3="",FP$3&gt;TODAY()),"",IF(AND(FS564="",FT564=""),"",N(FT564)-N(FS564)))</f>
        <v/>
      </c>
      <c r="FY564">
        <f>IF(OR(FW$3="",FW$3&gt;TODAY()),"",IF(AND(FW564="",FX564=""),"",N(FX564)-N(FW564)))</f>
        <v/>
      </c>
      <c r="GB564">
        <f>IF(OR(FW$3="",FW$3&gt;TODAY()),"",IF(AND(FZ564="",GA564=""),"",N(GA564)-N(FZ564)))</f>
        <v/>
      </c>
      <c r="GF564">
        <f>IF(OR(GD$3="",GD$3&gt;TODAY()),"",IF(AND(GD564="",GE564=""),"",N(GE564)-N(GD564)))</f>
        <v/>
      </c>
      <c r="GI564">
        <f>IF(OR(GD$3="",GD$3&gt;TODAY()),"",IF(AND(GG564="",GH564=""),"",N(GH564)-N(GG564)))</f>
        <v/>
      </c>
      <c r="GM564">
        <f>IF(OR(GK$3="",GK$3&gt;TODAY()),"",IF(AND(GK564="",GL564=""),"",N(GL564)-N(GK564)))</f>
        <v/>
      </c>
      <c r="GP564">
        <f>IF(OR(GK$3="",GK$3&gt;TODAY()),"",IF(AND(GN564="",GO564=""),"",N(GO564)-N(GN564)))</f>
        <v/>
      </c>
      <c r="GT564">
        <f>IF(OR(GR$3="",GR$3&gt;TODAY()),"",IF(AND(GR564="",GS564=""),"",N(GS564)-N(GR564)))</f>
        <v/>
      </c>
      <c r="GW564">
        <f>IF(OR(GR$3="",GR$3&gt;TODAY()),"",IF(AND(GU564="",GV564=""),"",N(GV564)-N(GU564)))</f>
        <v/>
      </c>
      <c r="HA564">
        <f>IF(OR(GY$3="",GY$3&gt;TODAY()),"",IF(AND(GY564="",GZ564=""),"",N(GZ564)-N(GY564)))</f>
        <v/>
      </c>
      <c r="HD564">
        <f>IF(OR(GY$3="",GY$3&gt;TODAY()),"",IF(AND(HB564="",HC564=""),"",N(HC564)-N(HB564)))</f>
        <v/>
      </c>
      <c r="HH564">
        <f>IF(OR(HF$3="",HF$3&gt;TODAY()),"",IF(AND(HF564="",HG564=""),"",N(HG564)-N(HF564)))</f>
        <v/>
      </c>
      <c r="HK564">
        <f>IF(OR(HF$3="",HF$3&gt;TODAY()),"",IF(AND(HI564="",HJ564=""),"",N(HJ564)-N(HI564)))</f>
        <v/>
      </c>
      <c r="HO564">
        <f>IF(OR(HM$3="",HM$3&gt;TODAY()),"",IF(AND(HM564="",HN564=""),"",N(HN564)-N(HM564)))</f>
        <v/>
      </c>
      <c r="HR564">
        <f>IF(OR(HM$3="",HM$3&gt;TODAY()),"",IF(AND(HP564="",HQ564=""),"",N(HQ564)-N(HP564)))</f>
        <v/>
      </c>
      <c r="HV564">
        <f>IF(OR(HT$3="",HT$3&gt;TODAY()),"",IF(AND(HT564="",HU564=""),"",N(HU564)-N(HT564)))</f>
        <v/>
      </c>
      <c r="HY564">
        <f>IF(OR(HT$3="",HT$3&gt;TODAY()),"",IF(AND(HW564="",HX564=""),"",N(HX564)-N(HW564)))</f>
        <v/>
      </c>
      <c r="IC564">
        <f>IF(OR(IA$3="",IA$3&gt;TODAY()),"",IF(AND(IA564="",IB564=""),"",N(IB564)-N(IA564)))</f>
        <v/>
      </c>
      <c r="IF564">
        <f>IF(OR(IA$3="",IA$3&gt;TODAY()),"",IF(AND(ID564="",IE564=""),"",N(IE564)-N(ID564)))</f>
        <v/>
      </c>
      <c r="IJ564">
        <f>IF(OR(IH$3="",IH$3&gt;TODAY()),"",IF(AND(IH564="",II564=""),"",N(II564)-N(IH564)))</f>
        <v/>
      </c>
      <c r="IM564">
        <f>IF(OR(IH$3="",IH$3&gt;TODAY()),"",IF(AND(IK564="",IL564=""),"",N(IL564)-N(IK564)))</f>
        <v/>
      </c>
    </row>
    <row r="565">
      <c r="A565" s="21" t="n"/>
      <c r="B565" s="21" t="n"/>
      <c r="C565" s="21" t="n"/>
      <c r="D565" s="21" t="n"/>
      <c r="E565" s="21" t="n"/>
      <c r="F565" s="21" t="n"/>
      <c r="G565" s="21" t="n"/>
      <c r="H565" s="21" t="n"/>
      <c r="I565" s="22" t="n"/>
      <c r="J565" s="22" t="n"/>
      <c r="K565" s="23" t="n"/>
      <c r="L565" s="22" t="n"/>
      <c r="M565" s="22" t="n"/>
      <c r="N565" s="21" t="n"/>
      <c r="O565" s="23" t="n"/>
      <c r="P565" s="23" t="n"/>
      <c r="Q565" s="23" t="n"/>
      <c r="R565" s="23" t="n"/>
      <c r="S565" s="22" t="n"/>
      <c r="T565" s="23" t="n"/>
      <c r="U565" s="23" t="n"/>
      <c r="V565" s="24">
        <f>IF(J565&lt;&gt;"",J565,IF(I565&lt;&gt;"",I565,""))</f>
        <v/>
      </c>
      <c r="W565" s="25">
        <f>IF($E565="","",N(O565)+SUMIFS($AF565:$IN565,$AF$4:$IN$4,"SEW_ACT"))</f>
        <v/>
      </c>
      <c r="X565" s="25">
        <f>IF($E565="","",N(P565)+SUMIFS($AF565:$IN565,$AF$4:$IN$4,"WASH_ACT"))</f>
        <v/>
      </c>
      <c r="Y565" s="25">
        <f>IF($E565="","",W565-X565-N(T565)-N(U565))</f>
        <v/>
      </c>
      <c r="Z565" s="25">
        <f>IF($E565="","",IF(N(K565)-X565&lt;=0.02*N(K565),0,N(K565)-X565))</f>
        <v/>
      </c>
      <c r="AA565" s="24">
        <f>IF($E565="","",IF(S565&lt;&gt;"",S565,IF(N(O565)&gt;0,IF(L565&lt;&gt;"",L565,99999),IFERROR(1/(1/_xlfn.MINIFS($AF$3:$IN$3,$AF$4:$IN$4,"SEW_ACT",$AF565:$IN565,"&gt;0")),99999))))</f>
        <v/>
      </c>
      <c r="AB565" s="26">
        <f>IF(OR($E565="",Z565=0,V565=""),"",1+COUNTIFS(Z$8:Z$707,"&gt;0",V$8:V$707,"&lt;"&amp;V565)+COUNTIFS(Z$8:Z$707,"&gt;0",V$8:V$707,V565,AA$8:AA$707,"&lt;"&amp;AA565)+COUNTIFS(Z$8:Z$707,"&gt;0",V$8:V$707,V565,AA$8:AA$707,AA565,E$8:E$707,"&lt;"&amp;$E565))</f>
        <v/>
      </c>
      <c r="AC565" s="24">
        <f>IF(OR($E565="",Z565=0),"",IFERROR(TODAY()+ROUNDUP(Z565/(SUMIFS($AF565:$IN565,$AF$4:$IN$4,"WASH_ACT")/COUNTIFS($AF$4:$IN$4,"WASH_ACT",$AF565:$IN565,"&gt;0")),0),"no output yet"))</f>
        <v/>
      </c>
      <c r="AD565" s="26">
        <f>IF($E565="","",IFERROR(ROUND(MAX(0,SUMIFS($AF565:$IN565,$AF$4:$IN$4,"SEW_PLAN",$AF$3:$IN$3,"&lt;="&amp;TODAY())-SUMIFS($AF565:$IN565,$AF$4:$IN$4,"SEW_ACT",$AF$3:$IN$3,"&lt;="&amp;TODAY())+N(Q565))/(SUMIFS($AF565:$IN565,$AF$4:$IN$4,"SEW_PLAN")/COUNTIFS($AF$4:$IN$4,"SEW_PLAN",$AF565:$IN565,"&gt;0")),1),0))</f>
        <v/>
      </c>
      <c r="AE565" s="26">
        <f>IF($E565="","",IF(AND(Z565&gt;0,OR(AND(M565&lt;&gt;"",TODAY()&gt;M565),AND(V565&lt;&gt;"",V565-TODAY()&lt;=7))),"Yes","No"))</f>
        <v/>
      </c>
      <c r="AH565">
        <f>IF(OR(AF$3="",AF$3&gt;TODAY()),"",IF(AND(AF565="",AG565=""),"",N(AG565)-N(AF565)))</f>
        <v/>
      </c>
      <c r="AK565">
        <f>IF(OR(AF$3="",AF$3&gt;TODAY()),"",IF(AND(AI565="",AJ565=""),"",N(AJ565)-N(AI565)))</f>
        <v/>
      </c>
      <c r="AO565">
        <f>IF(OR(AM$3="",AM$3&gt;TODAY()),"",IF(AND(AM565="",AN565=""),"",N(AN565)-N(AM565)))</f>
        <v/>
      </c>
      <c r="AR565">
        <f>IF(OR(AM$3="",AM$3&gt;TODAY()),"",IF(AND(AP565="",AQ565=""),"",N(AQ565)-N(AP565)))</f>
        <v/>
      </c>
      <c r="AV565">
        <f>IF(OR(AT$3="",AT$3&gt;TODAY()),"",IF(AND(AT565="",AU565=""),"",N(AU565)-N(AT565)))</f>
        <v/>
      </c>
      <c r="AY565">
        <f>IF(OR(AT$3="",AT$3&gt;TODAY()),"",IF(AND(AW565="",AX565=""),"",N(AX565)-N(AW565)))</f>
        <v/>
      </c>
      <c r="BC565">
        <f>IF(OR(BA$3="",BA$3&gt;TODAY()),"",IF(AND(BA565="",BB565=""),"",N(BB565)-N(BA565)))</f>
        <v/>
      </c>
      <c r="BF565">
        <f>IF(OR(BA$3="",BA$3&gt;TODAY()),"",IF(AND(BD565="",BE565=""),"",N(BE565)-N(BD565)))</f>
        <v/>
      </c>
      <c r="BJ565">
        <f>IF(OR(BH$3="",BH$3&gt;TODAY()),"",IF(AND(BH565="",BI565=""),"",N(BI565)-N(BH565)))</f>
        <v/>
      </c>
      <c r="BM565">
        <f>IF(OR(BH$3="",BH$3&gt;TODAY()),"",IF(AND(BK565="",BL565=""),"",N(BL565)-N(BK565)))</f>
        <v/>
      </c>
      <c r="BQ565">
        <f>IF(OR(BO$3="",BO$3&gt;TODAY()),"",IF(AND(BO565="",BP565=""),"",N(BP565)-N(BO565)))</f>
        <v/>
      </c>
      <c r="BT565">
        <f>IF(OR(BO$3="",BO$3&gt;TODAY()),"",IF(AND(BR565="",BS565=""),"",N(BS565)-N(BR565)))</f>
        <v/>
      </c>
      <c r="BX565">
        <f>IF(OR(BV$3="",BV$3&gt;TODAY()),"",IF(AND(BV565="",BW565=""),"",N(BW565)-N(BV565)))</f>
        <v/>
      </c>
      <c r="CA565">
        <f>IF(OR(BV$3="",BV$3&gt;TODAY()),"",IF(AND(BY565="",BZ565=""),"",N(BZ565)-N(BY565)))</f>
        <v/>
      </c>
      <c r="CE565">
        <f>IF(OR(CC$3="",CC$3&gt;TODAY()),"",IF(AND(CC565="",CD565=""),"",N(CD565)-N(CC565)))</f>
        <v/>
      </c>
      <c r="CH565">
        <f>IF(OR(CC$3="",CC$3&gt;TODAY()),"",IF(AND(CF565="",CG565=""),"",N(CG565)-N(CF565)))</f>
        <v/>
      </c>
      <c r="CL565">
        <f>IF(OR(CJ$3="",CJ$3&gt;TODAY()),"",IF(AND(CJ565="",CK565=""),"",N(CK565)-N(CJ565)))</f>
        <v/>
      </c>
      <c r="CO565">
        <f>IF(OR(CJ$3="",CJ$3&gt;TODAY()),"",IF(AND(CM565="",CN565=""),"",N(CN565)-N(CM565)))</f>
        <v/>
      </c>
      <c r="CS565">
        <f>IF(OR(CQ$3="",CQ$3&gt;TODAY()),"",IF(AND(CQ565="",CR565=""),"",N(CR565)-N(CQ565)))</f>
        <v/>
      </c>
      <c r="CV565">
        <f>IF(OR(CQ$3="",CQ$3&gt;TODAY()),"",IF(AND(CT565="",CU565=""),"",N(CU565)-N(CT565)))</f>
        <v/>
      </c>
      <c r="CZ565">
        <f>IF(OR(CX$3="",CX$3&gt;TODAY()),"",IF(AND(CX565="",CY565=""),"",N(CY565)-N(CX565)))</f>
        <v/>
      </c>
      <c r="DC565">
        <f>IF(OR(CX$3="",CX$3&gt;TODAY()),"",IF(AND(DA565="",DB565=""),"",N(DB565)-N(DA565)))</f>
        <v/>
      </c>
      <c r="DG565">
        <f>IF(OR(DE$3="",DE$3&gt;TODAY()),"",IF(AND(DE565="",DF565=""),"",N(DF565)-N(DE565)))</f>
        <v/>
      </c>
      <c r="DJ565">
        <f>IF(OR(DE$3="",DE$3&gt;TODAY()),"",IF(AND(DH565="",DI565=""),"",N(DI565)-N(DH565)))</f>
        <v/>
      </c>
      <c r="DN565">
        <f>IF(OR(DL$3="",DL$3&gt;TODAY()),"",IF(AND(DL565="",DM565=""),"",N(DM565)-N(DL565)))</f>
        <v/>
      </c>
      <c r="DQ565">
        <f>IF(OR(DL$3="",DL$3&gt;TODAY()),"",IF(AND(DO565="",DP565=""),"",N(DP565)-N(DO565)))</f>
        <v/>
      </c>
      <c r="DU565">
        <f>IF(OR(DS$3="",DS$3&gt;TODAY()),"",IF(AND(DS565="",DT565=""),"",N(DT565)-N(DS565)))</f>
        <v/>
      </c>
      <c r="DX565">
        <f>IF(OR(DS$3="",DS$3&gt;TODAY()),"",IF(AND(DV565="",DW565=""),"",N(DW565)-N(DV565)))</f>
        <v/>
      </c>
      <c r="EB565">
        <f>IF(OR(DZ$3="",DZ$3&gt;TODAY()),"",IF(AND(DZ565="",EA565=""),"",N(EA565)-N(DZ565)))</f>
        <v/>
      </c>
      <c r="EE565">
        <f>IF(OR(DZ$3="",DZ$3&gt;TODAY()),"",IF(AND(EC565="",ED565=""),"",N(ED565)-N(EC565)))</f>
        <v/>
      </c>
      <c r="EI565">
        <f>IF(OR(EG$3="",EG$3&gt;TODAY()),"",IF(AND(EG565="",EH565=""),"",N(EH565)-N(EG565)))</f>
        <v/>
      </c>
      <c r="EL565">
        <f>IF(OR(EG$3="",EG$3&gt;TODAY()),"",IF(AND(EJ565="",EK565=""),"",N(EK565)-N(EJ565)))</f>
        <v/>
      </c>
      <c r="EP565">
        <f>IF(OR(EN$3="",EN$3&gt;TODAY()),"",IF(AND(EN565="",EO565=""),"",N(EO565)-N(EN565)))</f>
        <v/>
      </c>
      <c r="ES565">
        <f>IF(OR(EN$3="",EN$3&gt;TODAY()),"",IF(AND(EQ565="",ER565=""),"",N(ER565)-N(EQ565)))</f>
        <v/>
      </c>
      <c r="EW565">
        <f>IF(OR(EU$3="",EU$3&gt;TODAY()),"",IF(AND(EU565="",EV565=""),"",N(EV565)-N(EU565)))</f>
        <v/>
      </c>
      <c r="EZ565">
        <f>IF(OR(EU$3="",EU$3&gt;TODAY()),"",IF(AND(EX565="",EY565=""),"",N(EY565)-N(EX565)))</f>
        <v/>
      </c>
      <c r="FD565">
        <f>IF(OR(FB$3="",FB$3&gt;TODAY()),"",IF(AND(FB565="",FC565=""),"",N(FC565)-N(FB565)))</f>
        <v/>
      </c>
      <c r="FG565">
        <f>IF(OR(FB$3="",FB$3&gt;TODAY()),"",IF(AND(FE565="",FF565=""),"",N(FF565)-N(FE565)))</f>
        <v/>
      </c>
      <c r="FK565">
        <f>IF(OR(FI$3="",FI$3&gt;TODAY()),"",IF(AND(FI565="",FJ565=""),"",N(FJ565)-N(FI565)))</f>
        <v/>
      </c>
      <c r="FN565">
        <f>IF(OR(FI$3="",FI$3&gt;TODAY()),"",IF(AND(FL565="",FM565=""),"",N(FM565)-N(FL565)))</f>
        <v/>
      </c>
      <c r="FR565">
        <f>IF(OR(FP$3="",FP$3&gt;TODAY()),"",IF(AND(FP565="",FQ565=""),"",N(FQ565)-N(FP565)))</f>
        <v/>
      </c>
      <c r="FU565">
        <f>IF(OR(FP$3="",FP$3&gt;TODAY()),"",IF(AND(FS565="",FT565=""),"",N(FT565)-N(FS565)))</f>
        <v/>
      </c>
      <c r="FY565">
        <f>IF(OR(FW$3="",FW$3&gt;TODAY()),"",IF(AND(FW565="",FX565=""),"",N(FX565)-N(FW565)))</f>
        <v/>
      </c>
      <c r="GB565">
        <f>IF(OR(FW$3="",FW$3&gt;TODAY()),"",IF(AND(FZ565="",GA565=""),"",N(GA565)-N(FZ565)))</f>
        <v/>
      </c>
      <c r="GF565">
        <f>IF(OR(GD$3="",GD$3&gt;TODAY()),"",IF(AND(GD565="",GE565=""),"",N(GE565)-N(GD565)))</f>
        <v/>
      </c>
      <c r="GI565">
        <f>IF(OR(GD$3="",GD$3&gt;TODAY()),"",IF(AND(GG565="",GH565=""),"",N(GH565)-N(GG565)))</f>
        <v/>
      </c>
      <c r="GM565">
        <f>IF(OR(GK$3="",GK$3&gt;TODAY()),"",IF(AND(GK565="",GL565=""),"",N(GL565)-N(GK565)))</f>
        <v/>
      </c>
      <c r="GP565">
        <f>IF(OR(GK$3="",GK$3&gt;TODAY()),"",IF(AND(GN565="",GO565=""),"",N(GO565)-N(GN565)))</f>
        <v/>
      </c>
      <c r="GT565">
        <f>IF(OR(GR$3="",GR$3&gt;TODAY()),"",IF(AND(GR565="",GS565=""),"",N(GS565)-N(GR565)))</f>
        <v/>
      </c>
      <c r="GW565">
        <f>IF(OR(GR$3="",GR$3&gt;TODAY()),"",IF(AND(GU565="",GV565=""),"",N(GV565)-N(GU565)))</f>
        <v/>
      </c>
      <c r="HA565">
        <f>IF(OR(GY$3="",GY$3&gt;TODAY()),"",IF(AND(GY565="",GZ565=""),"",N(GZ565)-N(GY565)))</f>
        <v/>
      </c>
      <c r="HD565">
        <f>IF(OR(GY$3="",GY$3&gt;TODAY()),"",IF(AND(HB565="",HC565=""),"",N(HC565)-N(HB565)))</f>
        <v/>
      </c>
      <c r="HH565">
        <f>IF(OR(HF$3="",HF$3&gt;TODAY()),"",IF(AND(HF565="",HG565=""),"",N(HG565)-N(HF565)))</f>
        <v/>
      </c>
      <c r="HK565">
        <f>IF(OR(HF$3="",HF$3&gt;TODAY()),"",IF(AND(HI565="",HJ565=""),"",N(HJ565)-N(HI565)))</f>
        <v/>
      </c>
      <c r="HO565">
        <f>IF(OR(HM$3="",HM$3&gt;TODAY()),"",IF(AND(HM565="",HN565=""),"",N(HN565)-N(HM565)))</f>
        <v/>
      </c>
      <c r="HR565">
        <f>IF(OR(HM$3="",HM$3&gt;TODAY()),"",IF(AND(HP565="",HQ565=""),"",N(HQ565)-N(HP565)))</f>
        <v/>
      </c>
      <c r="HV565">
        <f>IF(OR(HT$3="",HT$3&gt;TODAY()),"",IF(AND(HT565="",HU565=""),"",N(HU565)-N(HT565)))</f>
        <v/>
      </c>
      <c r="HY565">
        <f>IF(OR(HT$3="",HT$3&gt;TODAY()),"",IF(AND(HW565="",HX565=""),"",N(HX565)-N(HW565)))</f>
        <v/>
      </c>
      <c r="IC565">
        <f>IF(OR(IA$3="",IA$3&gt;TODAY()),"",IF(AND(IA565="",IB565=""),"",N(IB565)-N(IA565)))</f>
        <v/>
      </c>
      <c r="IF565">
        <f>IF(OR(IA$3="",IA$3&gt;TODAY()),"",IF(AND(ID565="",IE565=""),"",N(IE565)-N(ID565)))</f>
        <v/>
      </c>
      <c r="IJ565">
        <f>IF(OR(IH$3="",IH$3&gt;TODAY()),"",IF(AND(IH565="",II565=""),"",N(II565)-N(IH565)))</f>
        <v/>
      </c>
      <c r="IM565">
        <f>IF(OR(IH$3="",IH$3&gt;TODAY()),"",IF(AND(IK565="",IL565=""),"",N(IL565)-N(IK565)))</f>
        <v/>
      </c>
    </row>
    <row r="566">
      <c r="A566" s="21" t="n"/>
      <c r="B566" s="21" t="n"/>
      <c r="C566" s="21" t="n"/>
      <c r="D566" s="21" t="n"/>
      <c r="E566" s="21" t="n"/>
      <c r="F566" s="21" t="n"/>
      <c r="G566" s="21" t="n"/>
      <c r="H566" s="21" t="n"/>
      <c r="I566" s="22" t="n"/>
      <c r="J566" s="22" t="n"/>
      <c r="K566" s="23" t="n"/>
      <c r="L566" s="22" t="n"/>
      <c r="M566" s="22" t="n"/>
      <c r="N566" s="21" t="n"/>
      <c r="O566" s="23" t="n"/>
      <c r="P566" s="23" t="n"/>
      <c r="Q566" s="23" t="n"/>
      <c r="R566" s="23" t="n"/>
      <c r="S566" s="22" t="n"/>
      <c r="T566" s="23" t="n"/>
      <c r="U566" s="23" t="n"/>
      <c r="V566" s="24">
        <f>IF(J566&lt;&gt;"",J566,IF(I566&lt;&gt;"",I566,""))</f>
        <v/>
      </c>
      <c r="W566" s="25">
        <f>IF($E566="","",N(O566)+SUMIFS($AF566:$IN566,$AF$4:$IN$4,"SEW_ACT"))</f>
        <v/>
      </c>
      <c r="X566" s="25">
        <f>IF($E566="","",N(P566)+SUMIFS($AF566:$IN566,$AF$4:$IN$4,"WASH_ACT"))</f>
        <v/>
      </c>
      <c r="Y566" s="25">
        <f>IF($E566="","",W566-X566-N(T566)-N(U566))</f>
        <v/>
      </c>
      <c r="Z566" s="25">
        <f>IF($E566="","",IF(N(K566)-X566&lt;=0.02*N(K566),0,N(K566)-X566))</f>
        <v/>
      </c>
      <c r="AA566" s="24">
        <f>IF($E566="","",IF(S566&lt;&gt;"",S566,IF(N(O566)&gt;0,IF(L566&lt;&gt;"",L566,99999),IFERROR(1/(1/_xlfn.MINIFS($AF$3:$IN$3,$AF$4:$IN$4,"SEW_ACT",$AF566:$IN566,"&gt;0")),99999))))</f>
        <v/>
      </c>
      <c r="AB566" s="26">
        <f>IF(OR($E566="",Z566=0,V566=""),"",1+COUNTIFS(Z$8:Z$707,"&gt;0",V$8:V$707,"&lt;"&amp;V566)+COUNTIFS(Z$8:Z$707,"&gt;0",V$8:V$707,V566,AA$8:AA$707,"&lt;"&amp;AA566)+COUNTIFS(Z$8:Z$707,"&gt;0",V$8:V$707,V566,AA$8:AA$707,AA566,E$8:E$707,"&lt;"&amp;$E566))</f>
        <v/>
      </c>
      <c r="AC566" s="24">
        <f>IF(OR($E566="",Z566=0),"",IFERROR(TODAY()+ROUNDUP(Z566/(SUMIFS($AF566:$IN566,$AF$4:$IN$4,"WASH_ACT")/COUNTIFS($AF$4:$IN$4,"WASH_ACT",$AF566:$IN566,"&gt;0")),0),"no output yet"))</f>
        <v/>
      </c>
      <c r="AD566" s="26">
        <f>IF($E566="","",IFERROR(ROUND(MAX(0,SUMIFS($AF566:$IN566,$AF$4:$IN$4,"SEW_PLAN",$AF$3:$IN$3,"&lt;="&amp;TODAY())-SUMIFS($AF566:$IN566,$AF$4:$IN$4,"SEW_ACT",$AF$3:$IN$3,"&lt;="&amp;TODAY())+N(Q566))/(SUMIFS($AF566:$IN566,$AF$4:$IN$4,"SEW_PLAN")/COUNTIFS($AF$4:$IN$4,"SEW_PLAN",$AF566:$IN566,"&gt;0")),1),0))</f>
        <v/>
      </c>
      <c r="AE566" s="26">
        <f>IF($E566="","",IF(AND(Z566&gt;0,OR(AND(M566&lt;&gt;"",TODAY()&gt;M566),AND(V566&lt;&gt;"",V566-TODAY()&lt;=7))),"Yes","No"))</f>
        <v/>
      </c>
      <c r="AH566">
        <f>IF(OR(AF$3="",AF$3&gt;TODAY()),"",IF(AND(AF566="",AG566=""),"",N(AG566)-N(AF566)))</f>
        <v/>
      </c>
      <c r="AK566">
        <f>IF(OR(AF$3="",AF$3&gt;TODAY()),"",IF(AND(AI566="",AJ566=""),"",N(AJ566)-N(AI566)))</f>
        <v/>
      </c>
      <c r="AO566">
        <f>IF(OR(AM$3="",AM$3&gt;TODAY()),"",IF(AND(AM566="",AN566=""),"",N(AN566)-N(AM566)))</f>
        <v/>
      </c>
      <c r="AR566">
        <f>IF(OR(AM$3="",AM$3&gt;TODAY()),"",IF(AND(AP566="",AQ566=""),"",N(AQ566)-N(AP566)))</f>
        <v/>
      </c>
      <c r="AV566">
        <f>IF(OR(AT$3="",AT$3&gt;TODAY()),"",IF(AND(AT566="",AU566=""),"",N(AU566)-N(AT566)))</f>
        <v/>
      </c>
      <c r="AY566">
        <f>IF(OR(AT$3="",AT$3&gt;TODAY()),"",IF(AND(AW566="",AX566=""),"",N(AX566)-N(AW566)))</f>
        <v/>
      </c>
      <c r="BC566">
        <f>IF(OR(BA$3="",BA$3&gt;TODAY()),"",IF(AND(BA566="",BB566=""),"",N(BB566)-N(BA566)))</f>
        <v/>
      </c>
      <c r="BF566">
        <f>IF(OR(BA$3="",BA$3&gt;TODAY()),"",IF(AND(BD566="",BE566=""),"",N(BE566)-N(BD566)))</f>
        <v/>
      </c>
      <c r="BJ566">
        <f>IF(OR(BH$3="",BH$3&gt;TODAY()),"",IF(AND(BH566="",BI566=""),"",N(BI566)-N(BH566)))</f>
        <v/>
      </c>
      <c r="BM566">
        <f>IF(OR(BH$3="",BH$3&gt;TODAY()),"",IF(AND(BK566="",BL566=""),"",N(BL566)-N(BK566)))</f>
        <v/>
      </c>
      <c r="BQ566">
        <f>IF(OR(BO$3="",BO$3&gt;TODAY()),"",IF(AND(BO566="",BP566=""),"",N(BP566)-N(BO566)))</f>
        <v/>
      </c>
      <c r="BT566">
        <f>IF(OR(BO$3="",BO$3&gt;TODAY()),"",IF(AND(BR566="",BS566=""),"",N(BS566)-N(BR566)))</f>
        <v/>
      </c>
      <c r="BX566">
        <f>IF(OR(BV$3="",BV$3&gt;TODAY()),"",IF(AND(BV566="",BW566=""),"",N(BW566)-N(BV566)))</f>
        <v/>
      </c>
      <c r="CA566">
        <f>IF(OR(BV$3="",BV$3&gt;TODAY()),"",IF(AND(BY566="",BZ566=""),"",N(BZ566)-N(BY566)))</f>
        <v/>
      </c>
      <c r="CE566">
        <f>IF(OR(CC$3="",CC$3&gt;TODAY()),"",IF(AND(CC566="",CD566=""),"",N(CD566)-N(CC566)))</f>
        <v/>
      </c>
      <c r="CH566">
        <f>IF(OR(CC$3="",CC$3&gt;TODAY()),"",IF(AND(CF566="",CG566=""),"",N(CG566)-N(CF566)))</f>
        <v/>
      </c>
      <c r="CL566">
        <f>IF(OR(CJ$3="",CJ$3&gt;TODAY()),"",IF(AND(CJ566="",CK566=""),"",N(CK566)-N(CJ566)))</f>
        <v/>
      </c>
      <c r="CO566">
        <f>IF(OR(CJ$3="",CJ$3&gt;TODAY()),"",IF(AND(CM566="",CN566=""),"",N(CN566)-N(CM566)))</f>
        <v/>
      </c>
      <c r="CS566">
        <f>IF(OR(CQ$3="",CQ$3&gt;TODAY()),"",IF(AND(CQ566="",CR566=""),"",N(CR566)-N(CQ566)))</f>
        <v/>
      </c>
      <c r="CV566">
        <f>IF(OR(CQ$3="",CQ$3&gt;TODAY()),"",IF(AND(CT566="",CU566=""),"",N(CU566)-N(CT566)))</f>
        <v/>
      </c>
      <c r="CZ566">
        <f>IF(OR(CX$3="",CX$3&gt;TODAY()),"",IF(AND(CX566="",CY566=""),"",N(CY566)-N(CX566)))</f>
        <v/>
      </c>
      <c r="DC566">
        <f>IF(OR(CX$3="",CX$3&gt;TODAY()),"",IF(AND(DA566="",DB566=""),"",N(DB566)-N(DA566)))</f>
        <v/>
      </c>
      <c r="DG566">
        <f>IF(OR(DE$3="",DE$3&gt;TODAY()),"",IF(AND(DE566="",DF566=""),"",N(DF566)-N(DE566)))</f>
        <v/>
      </c>
      <c r="DJ566">
        <f>IF(OR(DE$3="",DE$3&gt;TODAY()),"",IF(AND(DH566="",DI566=""),"",N(DI566)-N(DH566)))</f>
        <v/>
      </c>
      <c r="DN566">
        <f>IF(OR(DL$3="",DL$3&gt;TODAY()),"",IF(AND(DL566="",DM566=""),"",N(DM566)-N(DL566)))</f>
        <v/>
      </c>
      <c r="DQ566">
        <f>IF(OR(DL$3="",DL$3&gt;TODAY()),"",IF(AND(DO566="",DP566=""),"",N(DP566)-N(DO566)))</f>
        <v/>
      </c>
      <c r="DU566">
        <f>IF(OR(DS$3="",DS$3&gt;TODAY()),"",IF(AND(DS566="",DT566=""),"",N(DT566)-N(DS566)))</f>
        <v/>
      </c>
      <c r="DX566">
        <f>IF(OR(DS$3="",DS$3&gt;TODAY()),"",IF(AND(DV566="",DW566=""),"",N(DW566)-N(DV566)))</f>
        <v/>
      </c>
      <c r="EB566">
        <f>IF(OR(DZ$3="",DZ$3&gt;TODAY()),"",IF(AND(DZ566="",EA566=""),"",N(EA566)-N(DZ566)))</f>
        <v/>
      </c>
      <c r="EE566">
        <f>IF(OR(DZ$3="",DZ$3&gt;TODAY()),"",IF(AND(EC566="",ED566=""),"",N(ED566)-N(EC566)))</f>
        <v/>
      </c>
      <c r="EI566">
        <f>IF(OR(EG$3="",EG$3&gt;TODAY()),"",IF(AND(EG566="",EH566=""),"",N(EH566)-N(EG566)))</f>
        <v/>
      </c>
      <c r="EL566">
        <f>IF(OR(EG$3="",EG$3&gt;TODAY()),"",IF(AND(EJ566="",EK566=""),"",N(EK566)-N(EJ566)))</f>
        <v/>
      </c>
      <c r="EP566">
        <f>IF(OR(EN$3="",EN$3&gt;TODAY()),"",IF(AND(EN566="",EO566=""),"",N(EO566)-N(EN566)))</f>
        <v/>
      </c>
      <c r="ES566">
        <f>IF(OR(EN$3="",EN$3&gt;TODAY()),"",IF(AND(EQ566="",ER566=""),"",N(ER566)-N(EQ566)))</f>
        <v/>
      </c>
      <c r="EW566">
        <f>IF(OR(EU$3="",EU$3&gt;TODAY()),"",IF(AND(EU566="",EV566=""),"",N(EV566)-N(EU566)))</f>
        <v/>
      </c>
      <c r="EZ566">
        <f>IF(OR(EU$3="",EU$3&gt;TODAY()),"",IF(AND(EX566="",EY566=""),"",N(EY566)-N(EX566)))</f>
        <v/>
      </c>
      <c r="FD566">
        <f>IF(OR(FB$3="",FB$3&gt;TODAY()),"",IF(AND(FB566="",FC566=""),"",N(FC566)-N(FB566)))</f>
        <v/>
      </c>
      <c r="FG566">
        <f>IF(OR(FB$3="",FB$3&gt;TODAY()),"",IF(AND(FE566="",FF566=""),"",N(FF566)-N(FE566)))</f>
        <v/>
      </c>
      <c r="FK566">
        <f>IF(OR(FI$3="",FI$3&gt;TODAY()),"",IF(AND(FI566="",FJ566=""),"",N(FJ566)-N(FI566)))</f>
        <v/>
      </c>
      <c r="FN566">
        <f>IF(OR(FI$3="",FI$3&gt;TODAY()),"",IF(AND(FL566="",FM566=""),"",N(FM566)-N(FL566)))</f>
        <v/>
      </c>
      <c r="FR566">
        <f>IF(OR(FP$3="",FP$3&gt;TODAY()),"",IF(AND(FP566="",FQ566=""),"",N(FQ566)-N(FP566)))</f>
        <v/>
      </c>
      <c r="FU566">
        <f>IF(OR(FP$3="",FP$3&gt;TODAY()),"",IF(AND(FS566="",FT566=""),"",N(FT566)-N(FS566)))</f>
        <v/>
      </c>
      <c r="FY566">
        <f>IF(OR(FW$3="",FW$3&gt;TODAY()),"",IF(AND(FW566="",FX566=""),"",N(FX566)-N(FW566)))</f>
        <v/>
      </c>
      <c r="GB566">
        <f>IF(OR(FW$3="",FW$3&gt;TODAY()),"",IF(AND(FZ566="",GA566=""),"",N(GA566)-N(FZ566)))</f>
        <v/>
      </c>
      <c r="GF566">
        <f>IF(OR(GD$3="",GD$3&gt;TODAY()),"",IF(AND(GD566="",GE566=""),"",N(GE566)-N(GD566)))</f>
        <v/>
      </c>
      <c r="GI566">
        <f>IF(OR(GD$3="",GD$3&gt;TODAY()),"",IF(AND(GG566="",GH566=""),"",N(GH566)-N(GG566)))</f>
        <v/>
      </c>
      <c r="GM566">
        <f>IF(OR(GK$3="",GK$3&gt;TODAY()),"",IF(AND(GK566="",GL566=""),"",N(GL566)-N(GK566)))</f>
        <v/>
      </c>
      <c r="GP566">
        <f>IF(OR(GK$3="",GK$3&gt;TODAY()),"",IF(AND(GN566="",GO566=""),"",N(GO566)-N(GN566)))</f>
        <v/>
      </c>
      <c r="GT566">
        <f>IF(OR(GR$3="",GR$3&gt;TODAY()),"",IF(AND(GR566="",GS566=""),"",N(GS566)-N(GR566)))</f>
        <v/>
      </c>
      <c r="GW566">
        <f>IF(OR(GR$3="",GR$3&gt;TODAY()),"",IF(AND(GU566="",GV566=""),"",N(GV566)-N(GU566)))</f>
        <v/>
      </c>
      <c r="HA566">
        <f>IF(OR(GY$3="",GY$3&gt;TODAY()),"",IF(AND(GY566="",GZ566=""),"",N(GZ566)-N(GY566)))</f>
        <v/>
      </c>
      <c r="HD566">
        <f>IF(OR(GY$3="",GY$3&gt;TODAY()),"",IF(AND(HB566="",HC566=""),"",N(HC566)-N(HB566)))</f>
        <v/>
      </c>
      <c r="HH566">
        <f>IF(OR(HF$3="",HF$3&gt;TODAY()),"",IF(AND(HF566="",HG566=""),"",N(HG566)-N(HF566)))</f>
        <v/>
      </c>
      <c r="HK566">
        <f>IF(OR(HF$3="",HF$3&gt;TODAY()),"",IF(AND(HI566="",HJ566=""),"",N(HJ566)-N(HI566)))</f>
        <v/>
      </c>
      <c r="HO566">
        <f>IF(OR(HM$3="",HM$3&gt;TODAY()),"",IF(AND(HM566="",HN566=""),"",N(HN566)-N(HM566)))</f>
        <v/>
      </c>
      <c r="HR566">
        <f>IF(OR(HM$3="",HM$3&gt;TODAY()),"",IF(AND(HP566="",HQ566=""),"",N(HQ566)-N(HP566)))</f>
        <v/>
      </c>
      <c r="HV566">
        <f>IF(OR(HT$3="",HT$3&gt;TODAY()),"",IF(AND(HT566="",HU566=""),"",N(HU566)-N(HT566)))</f>
        <v/>
      </c>
      <c r="HY566">
        <f>IF(OR(HT$3="",HT$3&gt;TODAY()),"",IF(AND(HW566="",HX566=""),"",N(HX566)-N(HW566)))</f>
        <v/>
      </c>
      <c r="IC566">
        <f>IF(OR(IA$3="",IA$3&gt;TODAY()),"",IF(AND(IA566="",IB566=""),"",N(IB566)-N(IA566)))</f>
        <v/>
      </c>
      <c r="IF566">
        <f>IF(OR(IA$3="",IA$3&gt;TODAY()),"",IF(AND(ID566="",IE566=""),"",N(IE566)-N(ID566)))</f>
        <v/>
      </c>
      <c r="IJ566">
        <f>IF(OR(IH$3="",IH$3&gt;TODAY()),"",IF(AND(IH566="",II566=""),"",N(II566)-N(IH566)))</f>
        <v/>
      </c>
      <c r="IM566">
        <f>IF(OR(IH$3="",IH$3&gt;TODAY()),"",IF(AND(IK566="",IL566=""),"",N(IL566)-N(IK566)))</f>
        <v/>
      </c>
    </row>
    <row r="567">
      <c r="A567" s="21" t="n"/>
      <c r="B567" s="21" t="n"/>
      <c r="C567" s="21" t="n"/>
      <c r="D567" s="21" t="n"/>
      <c r="E567" s="21" t="n"/>
      <c r="F567" s="21" t="n"/>
      <c r="G567" s="21" t="n"/>
      <c r="H567" s="21" t="n"/>
      <c r="I567" s="22" t="n"/>
      <c r="J567" s="22" t="n"/>
      <c r="K567" s="23" t="n"/>
      <c r="L567" s="22" t="n"/>
      <c r="M567" s="22" t="n"/>
      <c r="N567" s="21" t="n"/>
      <c r="O567" s="23" t="n"/>
      <c r="P567" s="23" t="n"/>
      <c r="Q567" s="23" t="n"/>
      <c r="R567" s="23" t="n"/>
      <c r="S567" s="22" t="n"/>
      <c r="T567" s="23" t="n"/>
      <c r="U567" s="23" t="n"/>
      <c r="V567" s="24">
        <f>IF(J567&lt;&gt;"",J567,IF(I567&lt;&gt;"",I567,""))</f>
        <v/>
      </c>
      <c r="W567" s="25">
        <f>IF($E567="","",N(O567)+SUMIFS($AF567:$IN567,$AF$4:$IN$4,"SEW_ACT"))</f>
        <v/>
      </c>
      <c r="X567" s="25">
        <f>IF($E567="","",N(P567)+SUMIFS($AF567:$IN567,$AF$4:$IN$4,"WASH_ACT"))</f>
        <v/>
      </c>
      <c r="Y567" s="25">
        <f>IF($E567="","",W567-X567-N(T567)-N(U567))</f>
        <v/>
      </c>
      <c r="Z567" s="25">
        <f>IF($E567="","",IF(N(K567)-X567&lt;=0.02*N(K567),0,N(K567)-X567))</f>
        <v/>
      </c>
      <c r="AA567" s="24">
        <f>IF($E567="","",IF(S567&lt;&gt;"",S567,IF(N(O567)&gt;0,IF(L567&lt;&gt;"",L567,99999),IFERROR(1/(1/_xlfn.MINIFS($AF$3:$IN$3,$AF$4:$IN$4,"SEW_ACT",$AF567:$IN567,"&gt;0")),99999))))</f>
        <v/>
      </c>
      <c r="AB567" s="26">
        <f>IF(OR($E567="",Z567=0,V567=""),"",1+COUNTIFS(Z$8:Z$707,"&gt;0",V$8:V$707,"&lt;"&amp;V567)+COUNTIFS(Z$8:Z$707,"&gt;0",V$8:V$707,V567,AA$8:AA$707,"&lt;"&amp;AA567)+COUNTIFS(Z$8:Z$707,"&gt;0",V$8:V$707,V567,AA$8:AA$707,AA567,E$8:E$707,"&lt;"&amp;$E567))</f>
        <v/>
      </c>
      <c r="AC567" s="24">
        <f>IF(OR($E567="",Z567=0),"",IFERROR(TODAY()+ROUNDUP(Z567/(SUMIFS($AF567:$IN567,$AF$4:$IN$4,"WASH_ACT")/COUNTIFS($AF$4:$IN$4,"WASH_ACT",$AF567:$IN567,"&gt;0")),0),"no output yet"))</f>
        <v/>
      </c>
      <c r="AD567" s="26">
        <f>IF($E567="","",IFERROR(ROUND(MAX(0,SUMIFS($AF567:$IN567,$AF$4:$IN$4,"SEW_PLAN",$AF$3:$IN$3,"&lt;="&amp;TODAY())-SUMIFS($AF567:$IN567,$AF$4:$IN$4,"SEW_ACT",$AF$3:$IN$3,"&lt;="&amp;TODAY())+N(Q567))/(SUMIFS($AF567:$IN567,$AF$4:$IN$4,"SEW_PLAN")/COUNTIFS($AF$4:$IN$4,"SEW_PLAN",$AF567:$IN567,"&gt;0")),1),0))</f>
        <v/>
      </c>
      <c r="AE567" s="26">
        <f>IF($E567="","",IF(AND(Z567&gt;0,OR(AND(M567&lt;&gt;"",TODAY()&gt;M567),AND(V567&lt;&gt;"",V567-TODAY()&lt;=7))),"Yes","No"))</f>
        <v/>
      </c>
      <c r="AH567">
        <f>IF(OR(AF$3="",AF$3&gt;TODAY()),"",IF(AND(AF567="",AG567=""),"",N(AG567)-N(AF567)))</f>
        <v/>
      </c>
      <c r="AK567">
        <f>IF(OR(AF$3="",AF$3&gt;TODAY()),"",IF(AND(AI567="",AJ567=""),"",N(AJ567)-N(AI567)))</f>
        <v/>
      </c>
      <c r="AO567">
        <f>IF(OR(AM$3="",AM$3&gt;TODAY()),"",IF(AND(AM567="",AN567=""),"",N(AN567)-N(AM567)))</f>
        <v/>
      </c>
      <c r="AR567">
        <f>IF(OR(AM$3="",AM$3&gt;TODAY()),"",IF(AND(AP567="",AQ567=""),"",N(AQ567)-N(AP567)))</f>
        <v/>
      </c>
      <c r="AV567">
        <f>IF(OR(AT$3="",AT$3&gt;TODAY()),"",IF(AND(AT567="",AU567=""),"",N(AU567)-N(AT567)))</f>
        <v/>
      </c>
      <c r="AY567">
        <f>IF(OR(AT$3="",AT$3&gt;TODAY()),"",IF(AND(AW567="",AX567=""),"",N(AX567)-N(AW567)))</f>
        <v/>
      </c>
      <c r="BC567">
        <f>IF(OR(BA$3="",BA$3&gt;TODAY()),"",IF(AND(BA567="",BB567=""),"",N(BB567)-N(BA567)))</f>
        <v/>
      </c>
      <c r="BF567">
        <f>IF(OR(BA$3="",BA$3&gt;TODAY()),"",IF(AND(BD567="",BE567=""),"",N(BE567)-N(BD567)))</f>
        <v/>
      </c>
      <c r="BJ567">
        <f>IF(OR(BH$3="",BH$3&gt;TODAY()),"",IF(AND(BH567="",BI567=""),"",N(BI567)-N(BH567)))</f>
        <v/>
      </c>
      <c r="BM567">
        <f>IF(OR(BH$3="",BH$3&gt;TODAY()),"",IF(AND(BK567="",BL567=""),"",N(BL567)-N(BK567)))</f>
        <v/>
      </c>
      <c r="BQ567">
        <f>IF(OR(BO$3="",BO$3&gt;TODAY()),"",IF(AND(BO567="",BP567=""),"",N(BP567)-N(BO567)))</f>
        <v/>
      </c>
      <c r="BT567">
        <f>IF(OR(BO$3="",BO$3&gt;TODAY()),"",IF(AND(BR567="",BS567=""),"",N(BS567)-N(BR567)))</f>
        <v/>
      </c>
      <c r="BX567">
        <f>IF(OR(BV$3="",BV$3&gt;TODAY()),"",IF(AND(BV567="",BW567=""),"",N(BW567)-N(BV567)))</f>
        <v/>
      </c>
      <c r="CA567">
        <f>IF(OR(BV$3="",BV$3&gt;TODAY()),"",IF(AND(BY567="",BZ567=""),"",N(BZ567)-N(BY567)))</f>
        <v/>
      </c>
      <c r="CE567">
        <f>IF(OR(CC$3="",CC$3&gt;TODAY()),"",IF(AND(CC567="",CD567=""),"",N(CD567)-N(CC567)))</f>
        <v/>
      </c>
      <c r="CH567">
        <f>IF(OR(CC$3="",CC$3&gt;TODAY()),"",IF(AND(CF567="",CG567=""),"",N(CG567)-N(CF567)))</f>
        <v/>
      </c>
      <c r="CL567">
        <f>IF(OR(CJ$3="",CJ$3&gt;TODAY()),"",IF(AND(CJ567="",CK567=""),"",N(CK567)-N(CJ567)))</f>
        <v/>
      </c>
      <c r="CO567">
        <f>IF(OR(CJ$3="",CJ$3&gt;TODAY()),"",IF(AND(CM567="",CN567=""),"",N(CN567)-N(CM567)))</f>
        <v/>
      </c>
      <c r="CS567">
        <f>IF(OR(CQ$3="",CQ$3&gt;TODAY()),"",IF(AND(CQ567="",CR567=""),"",N(CR567)-N(CQ567)))</f>
        <v/>
      </c>
      <c r="CV567">
        <f>IF(OR(CQ$3="",CQ$3&gt;TODAY()),"",IF(AND(CT567="",CU567=""),"",N(CU567)-N(CT567)))</f>
        <v/>
      </c>
      <c r="CZ567">
        <f>IF(OR(CX$3="",CX$3&gt;TODAY()),"",IF(AND(CX567="",CY567=""),"",N(CY567)-N(CX567)))</f>
        <v/>
      </c>
      <c r="DC567">
        <f>IF(OR(CX$3="",CX$3&gt;TODAY()),"",IF(AND(DA567="",DB567=""),"",N(DB567)-N(DA567)))</f>
        <v/>
      </c>
      <c r="DG567">
        <f>IF(OR(DE$3="",DE$3&gt;TODAY()),"",IF(AND(DE567="",DF567=""),"",N(DF567)-N(DE567)))</f>
        <v/>
      </c>
      <c r="DJ567">
        <f>IF(OR(DE$3="",DE$3&gt;TODAY()),"",IF(AND(DH567="",DI567=""),"",N(DI567)-N(DH567)))</f>
        <v/>
      </c>
      <c r="DN567">
        <f>IF(OR(DL$3="",DL$3&gt;TODAY()),"",IF(AND(DL567="",DM567=""),"",N(DM567)-N(DL567)))</f>
        <v/>
      </c>
      <c r="DQ567">
        <f>IF(OR(DL$3="",DL$3&gt;TODAY()),"",IF(AND(DO567="",DP567=""),"",N(DP567)-N(DO567)))</f>
        <v/>
      </c>
      <c r="DU567">
        <f>IF(OR(DS$3="",DS$3&gt;TODAY()),"",IF(AND(DS567="",DT567=""),"",N(DT567)-N(DS567)))</f>
        <v/>
      </c>
      <c r="DX567">
        <f>IF(OR(DS$3="",DS$3&gt;TODAY()),"",IF(AND(DV567="",DW567=""),"",N(DW567)-N(DV567)))</f>
        <v/>
      </c>
      <c r="EB567">
        <f>IF(OR(DZ$3="",DZ$3&gt;TODAY()),"",IF(AND(DZ567="",EA567=""),"",N(EA567)-N(DZ567)))</f>
        <v/>
      </c>
      <c r="EE567">
        <f>IF(OR(DZ$3="",DZ$3&gt;TODAY()),"",IF(AND(EC567="",ED567=""),"",N(ED567)-N(EC567)))</f>
        <v/>
      </c>
      <c r="EI567">
        <f>IF(OR(EG$3="",EG$3&gt;TODAY()),"",IF(AND(EG567="",EH567=""),"",N(EH567)-N(EG567)))</f>
        <v/>
      </c>
      <c r="EL567">
        <f>IF(OR(EG$3="",EG$3&gt;TODAY()),"",IF(AND(EJ567="",EK567=""),"",N(EK567)-N(EJ567)))</f>
        <v/>
      </c>
      <c r="EP567">
        <f>IF(OR(EN$3="",EN$3&gt;TODAY()),"",IF(AND(EN567="",EO567=""),"",N(EO567)-N(EN567)))</f>
        <v/>
      </c>
      <c r="ES567">
        <f>IF(OR(EN$3="",EN$3&gt;TODAY()),"",IF(AND(EQ567="",ER567=""),"",N(ER567)-N(EQ567)))</f>
        <v/>
      </c>
      <c r="EW567">
        <f>IF(OR(EU$3="",EU$3&gt;TODAY()),"",IF(AND(EU567="",EV567=""),"",N(EV567)-N(EU567)))</f>
        <v/>
      </c>
      <c r="EZ567">
        <f>IF(OR(EU$3="",EU$3&gt;TODAY()),"",IF(AND(EX567="",EY567=""),"",N(EY567)-N(EX567)))</f>
        <v/>
      </c>
      <c r="FD567">
        <f>IF(OR(FB$3="",FB$3&gt;TODAY()),"",IF(AND(FB567="",FC567=""),"",N(FC567)-N(FB567)))</f>
        <v/>
      </c>
      <c r="FG567">
        <f>IF(OR(FB$3="",FB$3&gt;TODAY()),"",IF(AND(FE567="",FF567=""),"",N(FF567)-N(FE567)))</f>
        <v/>
      </c>
      <c r="FK567">
        <f>IF(OR(FI$3="",FI$3&gt;TODAY()),"",IF(AND(FI567="",FJ567=""),"",N(FJ567)-N(FI567)))</f>
        <v/>
      </c>
      <c r="FN567">
        <f>IF(OR(FI$3="",FI$3&gt;TODAY()),"",IF(AND(FL567="",FM567=""),"",N(FM567)-N(FL567)))</f>
        <v/>
      </c>
      <c r="FR567">
        <f>IF(OR(FP$3="",FP$3&gt;TODAY()),"",IF(AND(FP567="",FQ567=""),"",N(FQ567)-N(FP567)))</f>
        <v/>
      </c>
      <c r="FU567">
        <f>IF(OR(FP$3="",FP$3&gt;TODAY()),"",IF(AND(FS567="",FT567=""),"",N(FT567)-N(FS567)))</f>
        <v/>
      </c>
      <c r="FY567">
        <f>IF(OR(FW$3="",FW$3&gt;TODAY()),"",IF(AND(FW567="",FX567=""),"",N(FX567)-N(FW567)))</f>
        <v/>
      </c>
      <c r="GB567">
        <f>IF(OR(FW$3="",FW$3&gt;TODAY()),"",IF(AND(FZ567="",GA567=""),"",N(GA567)-N(FZ567)))</f>
        <v/>
      </c>
      <c r="GF567">
        <f>IF(OR(GD$3="",GD$3&gt;TODAY()),"",IF(AND(GD567="",GE567=""),"",N(GE567)-N(GD567)))</f>
        <v/>
      </c>
      <c r="GI567">
        <f>IF(OR(GD$3="",GD$3&gt;TODAY()),"",IF(AND(GG567="",GH567=""),"",N(GH567)-N(GG567)))</f>
        <v/>
      </c>
      <c r="GM567">
        <f>IF(OR(GK$3="",GK$3&gt;TODAY()),"",IF(AND(GK567="",GL567=""),"",N(GL567)-N(GK567)))</f>
        <v/>
      </c>
      <c r="GP567">
        <f>IF(OR(GK$3="",GK$3&gt;TODAY()),"",IF(AND(GN567="",GO567=""),"",N(GO567)-N(GN567)))</f>
        <v/>
      </c>
      <c r="GT567">
        <f>IF(OR(GR$3="",GR$3&gt;TODAY()),"",IF(AND(GR567="",GS567=""),"",N(GS567)-N(GR567)))</f>
        <v/>
      </c>
      <c r="GW567">
        <f>IF(OR(GR$3="",GR$3&gt;TODAY()),"",IF(AND(GU567="",GV567=""),"",N(GV567)-N(GU567)))</f>
        <v/>
      </c>
      <c r="HA567">
        <f>IF(OR(GY$3="",GY$3&gt;TODAY()),"",IF(AND(GY567="",GZ567=""),"",N(GZ567)-N(GY567)))</f>
        <v/>
      </c>
      <c r="HD567">
        <f>IF(OR(GY$3="",GY$3&gt;TODAY()),"",IF(AND(HB567="",HC567=""),"",N(HC567)-N(HB567)))</f>
        <v/>
      </c>
      <c r="HH567">
        <f>IF(OR(HF$3="",HF$3&gt;TODAY()),"",IF(AND(HF567="",HG567=""),"",N(HG567)-N(HF567)))</f>
        <v/>
      </c>
      <c r="HK567">
        <f>IF(OR(HF$3="",HF$3&gt;TODAY()),"",IF(AND(HI567="",HJ567=""),"",N(HJ567)-N(HI567)))</f>
        <v/>
      </c>
      <c r="HO567">
        <f>IF(OR(HM$3="",HM$3&gt;TODAY()),"",IF(AND(HM567="",HN567=""),"",N(HN567)-N(HM567)))</f>
        <v/>
      </c>
      <c r="HR567">
        <f>IF(OR(HM$3="",HM$3&gt;TODAY()),"",IF(AND(HP567="",HQ567=""),"",N(HQ567)-N(HP567)))</f>
        <v/>
      </c>
      <c r="HV567">
        <f>IF(OR(HT$3="",HT$3&gt;TODAY()),"",IF(AND(HT567="",HU567=""),"",N(HU567)-N(HT567)))</f>
        <v/>
      </c>
      <c r="HY567">
        <f>IF(OR(HT$3="",HT$3&gt;TODAY()),"",IF(AND(HW567="",HX567=""),"",N(HX567)-N(HW567)))</f>
        <v/>
      </c>
      <c r="IC567">
        <f>IF(OR(IA$3="",IA$3&gt;TODAY()),"",IF(AND(IA567="",IB567=""),"",N(IB567)-N(IA567)))</f>
        <v/>
      </c>
      <c r="IF567">
        <f>IF(OR(IA$3="",IA$3&gt;TODAY()),"",IF(AND(ID567="",IE567=""),"",N(IE567)-N(ID567)))</f>
        <v/>
      </c>
      <c r="IJ567">
        <f>IF(OR(IH$3="",IH$3&gt;TODAY()),"",IF(AND(IH567="",II567=""),"",N(II567)-N(IH567)))</f>
        <v/>
      </c>
      <c r="IM567">
        <f>IF(OR(IH$3="",IH$3&gt;TODAY()),"",IF(AND(IK567="",IL567=""),"",N(IL567)-N(IK567)))</f>
        <v/>
      </c>
    </row>
    <row r="568">
      <c r="A568" s="21" t="n"/>
      <c r="B568" s="21" t="n"/>
      <c r="C568" s="21" t="n"/>
      <c r="D568" s="21" t="n"/>
      <c r="E568" s="21" t="n"/>
      <c r="F568" s="21" t="n"/>
      <c r="G568" s="21" t="n"/>
      <c r="H568" s="21" t="n"/>
      <c r="I568" s="22" t="n"/>
      <c r="J568" s="22" t="n"/>
      <c r="K568" s="23" t="n"/>
      <c r="L568" s="22" t="n"/>
      <c r="M568" s="22" t="n"/>
      <c r="N568" s="21" t="n"/>
      <c r="O568" s="23" t="n"/>
      <c r="P568" s="23" t="n"/>
      <c r="Q568" s="23" t="n"/>
      <c r="R568" s="23" t="n"/>
      <c r="S568" s="22" t="n"/>
      <c r="T568" s="23" t="n"/>
      <c r="U568" s="23" t="n"/>
      <c r="V568" s="24">
        <f>IF(J568&lt;&gt;"",J568,IF(I568&lt;&gt;"",I568,""))</f>
        <v/>
      </c>
      <c r="W568" s="25">
        <f>IF($E568="","",N(O568)+SUMIFS($AF568:$IN568,$AF$4:$IN$4,"SEW_ACT"))</f>
        <v/>
      </c>
      <c r="X568" s="25">
        <f>IF($E568="","",N(P568)+SUMIFS($AF568:$IN568,$AF$4:$IN$4,"WASH_ACT"))</f>
        <v/>
      </c>
      <c r="Y568" s="25">
        <f>IF($E568="","",W568-X568-N(T568)-N(U568))</f>
        <v/>
      </c>
      <c r="Z568" s="25">
        <f>IF($E568="","",IF(N(K568)-X568&lt;=0.02*N(K568),0,N(K568)-X568))</f>
        <v/>
      </c>
      <c r="AA568" s="24">
        <f>IF($E568="","",IF(S568&lt;&gt;"",S568,IF(N(O568)&gt;0,IF(L568&lt;&gt;"",L568,99999),IFERROR(1/(1/_xlfn.MINIFS($AF$3:$IN$3,$AF$4:$IN$4,"SEW_ACT",$AF568:$IN568,"&gt;0")),99999))))</f>
        <v/>
      </c>
      <c r="AB568" s="26">
        <f>IF(OR($E568="",Z568=0,V568=""),"",1+COUNTIFS(Z$8:Z$707,"&gt;0",V$8:V$707,"&lt;"&amp;V568)+COUNTIFS(Z$8:Z$707,"&gt;0",V$8:V$707,V568,AA$8:AA$707,"&lt;"&amp;AA568)+COUNTIFS(Z$8:Z$707,"&gt;0",V$8:V$707,V568,AA$8:AA$707,AA568,E$8:E$707,"&lt;"&amp;$E568))</f>
        <v/>
      </c>
      <c r="AC568" s="24">
        <f>IF(OR($E568="",Z568=0),"",IFERROR(TODAY()+ROUNDUP(Z568/(SUMIFS($AF568:$IN568,$AF$4:$IN$4,"WASH_ACT")/COUNTIFS($AF$4:$IN$4,"WASH_ACT",$AF568:$IN568,"&gt;0")),0),"no output yet"))</f>
        <v/>
      </c>
      <c r="AD568" s="26">
        <f>IF($E568="","",IFERROR(ROUND(MAX(0,SUMIFS($AF568:$IN568,$AF$4:$IN$4,"SEW_PLAN",$AF$3:$IN$3,"&lt;="&amp;TODAY())-SUMIFS($AF568:$IN568,$AF$4:$IN$4,"SEW_ACT",$AF$3:$IN$3,"&lt;="&amp;TODAY())+N(Q568))/(SUMIFS($AF568:$IN568,$AF$4:$IN$4,"SEW_PLAN")/COUNTIFS($AF$4:$IN$4,"SEW_PLAN",$AF568:$IN568,"&gt;0")),1),0))</f>
        <v/>
      </c>
      <c r="AE568" s="26">
        <f>IF($E568="","",IF(AND(Z568&gt;0,OR(AND(M568&lt;&gt;"",TODAY()&gt;M568),AND(V568&lt;&gt;"",V568-TODAY()&lt;=7))),"Yes","No"))</f>
        <v/>
      </c>
      <c r="AH568">
        <f>IF(OR(AF$3="",AF$3&gt;TODAY()),"",IF(AND(AF568="",AG568=""),"",N(AG568)-N(AF568)))</f>
        <v/>
      </c>
      <c r="AK568">
        <f>IF(OR(AF$3="",AF$3&gt;TODAY()),"",IF(AND(AI568="",AJ568=""),"",N(AJ568)-N(AI568)))</f>
        <v/>
      </c>
      <c r="AO568">
        <f>IF(OR(AM$3="",AM$3&gt;TODAY()),"",IF(AND(AM568="",AN568=""),"",N(AN568)-N(AM568)))</f>
        <v/>
      </c>
      <c r="AR568">
        <f>IF(OR(AM$3="",AM$3&gt;TODAY()),"",IF(AND(AP568="",AQ568=""),"",N(AQ568)-N(AP568)))</f>
        <v/>
      </c>
      <c r="AV568">
        <f>IF(OR(AT$3="",AT$3&gt;TODAY()),"",IF(AND(AT568="",AU568=""),"",N(AU568)-N(AT568)))</f>
        <v/>
      </c>
      <c r="AY568">
        <f>IF(OR(AT$3="",AT$3&gt;TODAY()),"",IF(AND(AW568="",AX568=""),"",N(AX568)-N(AW568)))</f>
        <v/>
      </c>
      <c r="BC568">
        <f>IF(OR(BA$3="",BA$3&gt;TODAY()),"",IF(AND(BA568="",BB568=""),"",N(BB568)-N(BA568)))</f>
        <v/>
      </c>
      <c r="BF568">
        <f>IF(OR(BA$3="",BA$3&gt;TODAY()),"",IF(AND(BD568="",BE568=""),"",N(BE568)-N(BD568)))</f>
        <v/>
      </c>
      <c r="BJ568">
        <f>IF(OR(BH$3="",BH$3&gt;TODAY()),"",IF(AND(BH568="",BI568=""),"",N(BI568)-N(BH568)))</f>
        <v/>
      </c>
      <c r="BM568">
        <f>IF(OR(BH$3="",BH$3&gt;TODAY()),"",IF(AND(BK568="",BL568=""),"",N(BL568)-N(BK568)))</f>
        <v/>
      </c>
      <c r="BQ568">
        <f>IF(OR(BO$3="",BO$3&gt;TODAY()),"",IF(AND(BO568="",BP568=""),"",N(BP568)-N(BO568)))</f>
        <v/>
      </c>
      <c r="BT568">
        <f>IF(OR(BO$3="",BO$3&gt;TODAY()),"",IF(AND(BR568="",BS568=""),"",N(BS568)-N(BR568)))</f>
        <v/>
      </c>
      <c r="BX568">
        <f>IF(OR(BV$3="",BV$3&gt;TODAY()),"",IF(AND(BV568="",BW568=""),"",N(BW568)-N(BV568)))</f>
        <v/>
      </c>
      <c r="CA568">
        <f>IF(OR(BV$3="",BV$3&gt;TODAY()),"",IF(AND(BY568="",BZ568=""),"",N(BZ568)-N(BY568)))</f>
        <v/>
      </c>
      <c r="CE568">
        <f>IF(OR(CC$3="",CC$3&gt;TODAY()),"",IF(AND(CC568="",CD568=""),"",N(CD568)-N(CC568)))</f>
        <v/>
      </c>
      <c r="CH568">
        <f>IF(OR(CC$3="",CC$3&gt;TODAY()),"",IF(AND(CF568="",CG568=""),"",N(CG568)-N(CF568)))</f>
        <v/>
      </c>
      <c r="CL568">
        <f>IF(OR(CJ$3="",CJ$3&gt;TODAY()),"",IF(AND(CJ568="",CK568=""),"",N(CK568)-N(CJ568)))</f>
        <v/>
      </c>
      <c r="CO568">
        <f>IF(OR(CJ$3="",CJ$3&gt;TODAY()),"",IF(AND(CM568="",CN568=""),"",N(CN568)-N(CM568)))</f>
        <v/>
      </c>
      <c r="CS568">
        <f>IF(OR(CQ$3="",CQ$3&gt;TODAY()),"",IF(AND(CQ568="",CR568=""),"",N(CR568)-N(CQ568)))</f>
        <v/>
      </c>
      <c r="CV568">
        <f>IF(OR(CQ$3="",CQ$3&gt;TODAY()),"",IF(AND(CT568="",CU568=""),"",N(CU568)-N(CT568)))</f>
        <v/>
      </c>
      <c r="CZ568">
        <f>IF(OR(CX$3="",CX$3&gt;TODAY()),"",IF(AND(CX568="",CY568=""),"",N(CY568)-N(CX568)))</f>
        <v/>
      </c>
      <c r="DC568">
        <f>IF(OR(CX$3="",CX$3&gt;TODAY()),"",IF(AND(DA568="",DB568=""),"",N(DB568)-N(DA568)))</f>
        <v/>
      </c>
      <c r="DG568">
        <f>IF(OR(DE$3="",DE$3&gt;TODAY()),"",IF(AND(DE568="",DF568=""),"",N(DF568)-N(DE568)))</f>
        <v/>
      </c>
      <c r="DJ568">
        <f>IF(OR(DE$3="",DE$3&gt;TODAY()),"",IF(AND(DH568="",DI568=""),"",N(DI568)-N(DH568)))</f>
        <v/>
      </c>
      <c r="DN568">
        <f>IF(OR(DL$3="",DL$3&gt;TODAY()),"",IF(AND(DL568="",DM568=""),"",N(DM568)-N(DL568)))</f>
        <v/>
      </c>
      <c r="DQ568">
        <f>IF(OR(DL$3="",DL$3&gt;TODAY()),"",IF(AND(DO568="",DP568=""),"",N(DP568)-N(DO568)))</f>
        <v/>
      </c>
      <c r="DU568">
        <f>IF(OR(DS$3="",DS$3&gt;TODAY()),"",IF(AND(DS568="",DT568=""),"",N(DT568)-N(DS568)))</f>
        <v/>
      </c>
      <c r="DX568">
        <f>IF(OR(DS$3="",DS$3&gt;TODAY()),"",IF(AND(DV568="",DW568=""),"",N(DW568)-N(DV568)))</f>
        <v/>
      </c>
      <c r="EB568">
        <f>IF(OR(DZ$3="",DZ$3&gt;TODAY()),"",IF(AND(DZ568="",EA568=""),"",N(EA568)-N(DZ568)))</f>
        <v/>
      </c>
      <c r="EE568">
        <f>IF(OR(DZ$3="",DZ$3&gt;TODAY()),"",IF(AND(EC568="",ED568=""),"",N(ED568)-N(EC568)))</f>
        <v/>
      </c>
      <c r="EI568">
        <f>IF(OR(EG$3="",EG$3&gt;TODAY()),"",IF(AND(EG568="",EH568=""),"",N(EH568)-N(EG568)))</f>
        <v/>
      </c>
      <c r="EL568">
        <f>IF(OR(EG$3="",EG$3&gt;TODAY()),"",IF(AND(EJ568="",EK568=""),"",N(EK568)-N(EJ568)))</f>
        <v/>
      </c>
      <c r="EP568">
        <f>IF(OR(EN$3="",EN$3&gt;TODAY()),"",IF(AND(EN568="",EO568=""),"",N(EO568)-N(EN568)))</f>
        <v/>
      </c>
      <c r="ES568">
        <f>IF(OR(EN$3="",EN$3&gt;TODAY()),"",IF(AND(EQ568="",ER568=""),"",N(ER568)-N(EQ568)))</f>
        <v/>
      </c>
      <c r="EW568">
        <f>IF(OR(EU$3="",EU$3&gt;TODAY()),"",IF(AND(EU568="",EV568=""),"",N(EV568)-N(EU568)))</f>
        <v/>
      </c>
      <c r="EZ568">
        <f>IF(OR(EU$3="",EU$3&gt;TODAY()),"",IF(AND(EX568="",EY568=""),"",N(EY568)-N(EX568)))</f>
        <v/>
      </c>
      <c r="FD568">
        <f>IF(OR(FB$3="",FB$3&gt;TODAY()),"",IF(AND(FB568="",FC568=""),"",N(FC568)-N(FB568)))</f>
        <v/>
      </c>
      <c r="FG568">
        <f>IF(OR(FB$3="",FB$3&gt;TODAY()),"",IF(AND(FE568="",FF568=""),"",N(FF568)-N(FE568)))</f>
        <v/>
      </c>
      <c r="FK568">
        <f>IF(OR(FI$3="",FI$3&gt;TODAY()),"",IF(AND(FI568="",FJ568=""),"",N(FJ568)-N(FI568)))</f>
        <v/>
      </c>
      <c r="FN568">
        <f>IF(OR(FI$3="",FI$3&gt;TODAY()),"",IF(AND(FL568="",FM568=""),"",N(FM568)-N(FL568)))</f>
        <v/>
      </c>
      <c r="FR568">
        <f>IF(OR(FP$3="",FP$3&gt;TODAY()),"",IF(AND(FP568="",FQ568=""),"",N(FQ568)-N(FP568)))</f>
        <v/>
      </c>
      <c r="FU568">
        <f>IF(OR(FP$3="",FP$3&gt;TODAY()),"",IF(AND(FS568="",FT568=""),"",N(FT568)-N(FS568)))</f>
        <v/>
      </c>
      <c r="FY568">
        <f>IF(OR(FW$3="",FW$3&gt;TODAY()),"",IF(AND(FW568="",FX568=""),"",N(FX568)-N(FW568)))</f>
        <v/>
      </c>
      <c r="GB568">
        <f>IF(OR(FW$3="",FW$3&gt;TODAY()),"",IF(AND(FZ568="",GA568=""),"",N(GA568)-N(FZ568)))</f>
        <v/>
      </c>
      <c r="GF568">
        <f>IF(OR(GD$3="",GD$3&gt;TODAY()),"",IF(AND(GD568="",GE568=""),"",N(GE568)-N(GD568)))</f>
        <v/>
      </c>
      <c r="GI568">
        <f>IF(OR(GD$3="",GD$3&gt;TODAY()),"",IF(AND(GG568="",GH568=""),"",N(GH568)-N(GG568)))</f>
        <v/>
      </c>
      <c r="GM568">
        <f>IF(OR(GK$3="",GK$3&gt;TODAY()),"",IF(AND(GK568="",GL568=""),"",N(GL568)-N(GK568)))</f>
        <v/>
      </c>
      <c r="GP568">
        <f>IF(OR(GK$3="",GK$3&gt;TODAY()),"",IF(AND(GN568="",GO568=""),"",N(GO568)-N(GN568)))</f>
        <v/>
      </c>
      <c r="GT568">
        <f>IF(OR(GR$3="",GR$3&gt;TODAY()),"",IF(AND(GR568="",GS568=""),"",N(GS568)-N(GR568)))</f>
        <v/>
      </c>
      <c r="GW568">
        <f>IF(OR(GR$3="",GR$3&gt;TODAY()),"",IF(AND(GU568="",GV568=""),"",N(GV568)-N(GU568)))</f>
        <v/>
      </c>
      <c r="HA568">
        <f>IF(OR(GY$3="",GY$3&gt;TODAY()),"",IF(AND(GY568="",GZ568=""),"",N(GZ568)-N(GY568)))</f>
        <v/>
      </c>
      <c r="HD568">
        <f>IF(OR(GY$3="",GY$3&gt;TODAY()),"",IF(AND(HB568="",HC568=""),"",N(HC568)-N(HB568)))</f>
        <v/>
      </c>
      <c r="HH568">
        <f>IF(OR(HF$3="",HF$3&gt;TODAY()),"",IF(AND(HF568="",HG568=""),"",N(HG568)-N(HF568)))</f>
        <v/>
      </c>
      <c r="HK568">
        <f>IF(OR(HF$3="",HF$3&gt;TODAY()),"",IF(AND(HI568="",HJ568=""),"",N(HJ568)-N(HI568)))</f>
        <v/>
      </c>
      <c r="HO568">
        <f>IF(OR(HM$3="",HM$3&gt;TODAY()),"",IF(AND(HM568="",HN568=""),"",N(HN568)-N(HM568)))</f>
        <v/>
      </c>
      <c r="HR568">
        <f>IF(OR(HM$3="",HM$3&gt;TODAY()),"",IF(AND(HP568="",HQ568=""),"",N(HQ568)-N(HP568)))</f>
        <v/>
      </c>
      <c r="HV568">
        <f>IF(OR(HT$3="",HT$3&gt;TODAY()),"",IF(AND(HT568="",HU568=""),"",N(HU568)-N(HT568)))</f>
        <v/>
      </c>
      <c r="HY568">
        <f>IF(OR(HT$3="",HT$3&gt;TODAY()),"",IF(AND(HW568="",HX568=""),"",N(HX568)-N(HW568)))</f>
        <v/>
      </c>
      <c r="IC568">
        <f>IF(OR(IA$3="",IA$3&gt;TODAY()),"",IF(AND(IA568="",IB568=""),"",N(IB568)-N(IA568)))</f>
        <v/>
      </c>
      <c r="IF568">
        <f>IF(OR(IA$3="",IA$3&gt;TODAY()),"",IF(AND(ID568="",IE568=""),"",N(IE568)-N(ID568)))</f>
        <v/>
      </c>
      <c r="IJ568">
        <f>IF(OR(IH$3="",IH$3&gt;TODAY()),"",IF(AND(IH568="",II568=""),"",N(II568)-N(IH568)))</f>
        <v/>
      </c>
      <c r="IM568">
        <f>IF(OR(IH$3="",IH$3&gt;TODAY()),"",IF(AND(IK568="",IL568=""),"",N(IL568)-N(IK568)))</f>
        <v/>
      </c>
    </row>
    <row r="569">
      <c r="A569" s="21" t="n"/>
      <c r="B569" s="21" t="n"/>
      <c r="C569" s="21" t="n"/>
      <c r="D569" s="21" t="n"/>
      <c r="E569" s="21" t="n"/>
      <c r="F569" s="21" t="n"/>
      <c r="G569" s="21" t="n"/>
      <c r="H569" s="21" t="n"/>
      <c r="I569" s="22" t="n"/>
      <c r="J569" s="22" t="n"/>
      <c r="K569" s="23" t="n"/>
      <c r="L569" s="22" t="n"/>
      <c r="M569" s="22" t="n"/>
      <c r="N569" s="21" t="n"/>
      <c r="O569" s="23" t="n"/>
      <c r="P569" s="23" t="n"/>
      <c r="Q569" s="23" t="n"/>
      <c r="R569" s="23" t="n"/>
      <c r="S569" s="22" t="n"/>
      <c r="T569" s="23" t="n"/>
      <c r="U569" s="23" t="n"/>
      <c r="V569" s="24">
        <f>IF(J569&lt;&gt;"",J569,IF(I569&lt;&gt;"",I569,""))</f>
        <v/>
      </c>
      <c r="W569" s="25">
        <f>IF($E569="","",N(O569)+SUMIFS($AF569:$IN569,$AF$4:$IN$4,"SEW_ACT"))</f>
        <v/>
      </c>
      <c r="X569" s="25">
        <f>IF($E569="","",N(P569)+SUMIFS($AF569:$IN569,$AF$4:$IN$4,"WASH_ACT"))</f>
        <v/>
      </c>
      <c r="Y569" s="25">
        <f>IF($E569="","",W569-X569-N(T569)-N(U569))</f>
        <v/>
      </c>
      <c r="Z569" s="25">
        <f>IF($E569="","",IF(N(K569)-X569&lt;=0.02*N(K569),0,N(K569)-X569))</f>
        <v/>
      </c>
      <c r="AA569" s="24">
        <f>IF($E569="","",IF(S569&lt;&gt;"",S569,IF(N(O569)&gt;0,IF(L569&lt;&gt;"",L569,99999),IFERROR(1/(1/_xlfn.MINIFS($AF$3:$IN$3,$AF$4:$IN$4,"SEW_ACT",$AF569:$IN569,"&gt;0")),99999))))</f>
        <v/>
      </c>
      <c r="AB569" s="26">
        <f>IF(OR($E569="",Z569=0,V569=""),"",1+COUNTIFS(Z$8:Z$707,"&gt;0",V$8:V$707,"&lt;"&amp;V569)+COUNTIFS(Z$8:Z$707,"&gt;0",V$8:V$707,V569,AA$8:AA$707,"&lt;"&amp;AA569)+COUNTIFS(Z$8:Z$707,"&gt;0",V$8:V$707,V569,AA$8:AA$707,AA569,E$8:E$707,"&lt;"&amp;$E569))</f>
        <v/>
      </c>
      <c r="AC569" s="24">
        <f>IF(OR($E569="",Z569=0),"",IFERROR(TODAY()+ROUNDUP(Z569/(SUMIFS($AF569:$IN569,$AF$4:$IN$4,"WASH_ACT")/COUNTIFS($AF$4:$IN$4,"WASH_ACT",$AF569:$IN569,"&gt;0")),0),"no output yet"))</f>
        <v/>
      </c>
      <c r="AD569" s="26">
        <f>IF($E569="","",IFERROR(ROUND(MAX(0,SUMIFS($AF569:$IN569,$AF$4:$IN$4,"SEW_PLAN",$AF$3:$IN$3,"&lt;="&amp;TODAY())-SUMIFS($AF569:$IN569,$AF$4:$IN$4,"SEW_ACT",$AF$3:$IN$3,"&lt;="&amp;TODAY())+N(Q569))/(SUMIFS($AF569:$IN569,$AF$4:$IN$4,"SEW_PLAN")/COUNTIFS($AF$4:$IN$4,"SEW_PLAN",$AF569:$IN569,"&gt;0")),1),0))</f>
        <v/>
      </c>
      <c r="AE569" s="26">
        <f>IF($E569="","",IF(AND(Z569&gt;0,OR(AND(M569&lt;&gt;"",TODAY()&gt;M569),AND(V569&lt;&gt;"",V569-TODAY()&lt;=7))),"Yes","No"))</f>
        <v/>
      </c>
      <c r="AH569">
        <f>IF(OR(AF$3="",AF$3&gt;TODAY()),"",IF(AND(AF569="",AG569=""),"",N(AG569)-N(AF569)))</f>
        <v/>
      </c>
      <c r="AK569">
        <f>IF(OR(AF$3="",AF$3&gt;TODAY()),"",IF(AND(AI569="",AJ569=""),"",N(AJ569)-N(AI569)))</f>
        <v/>
      </c>
      <c r="AO569">
        <f>IF(OR(AM$3="",AM$3&gt;TODAY()),"",IF(AND(AM569="",AN569=""),"",N(AN569)-N(AM569)))</f>
        <v/>
      </c>
      <c r="AR569">
        <f>IF(OR(AM$3="",AM$3&gt;TODAY()),"",IF(AND(AP569="",AQ569=""),"",N(AQ569)-N(AP569)))</f>
        <v/>
      </c>
      <c r="AV569">
        <f>IF(OR(AT$3="",AT$3&gt;TODAY()),"",IF(AND(AT569="",AU569=""),"",N(AU569)-N(AT569)))</f>
        <v/>
      </c>
      <c r="AY569">
        <f>IF(OR(AT$3="",AT$3&gt;TODAY()),"",IF(AND(AW569="",AX569=""),"",N(AX569)-N(AW569)))</f>
        <v/>
      </c>
      <c r="BC569">
        <f>IF(OR(BA$3="",BA$3&gt;TODAY()),"",IF(AND(BA569="",BB569=""),"",N(BB569)-N(BA569)))</f>
        <v/>
      </c>
      <c r="BF569">
        <f>IF(OR(BA$3="",BA$3&gt;TODAY()),"",IF(AND(BD569="",BE569=""),"",N(BE569)-N(BD569)))</f>
        <v/>
      </c>
      <c r="BJ569">
        <f>IF(OR(BH$3="",BH$3&gt;TODAY()),"",IF(AND(BH569="",BI569=""),"",N(BI569)-N(BH569)))</f>
        <v/>
      </c>
      <c r="BM569">
        <f>IF(OR(BH$3="",BH$3&gt;TODAY()),"",IF(AND(BK569="",BL569=""),"",N(BL569)-N(BK569)))</f>
        <v/>
      </c>
      <c r="BQ569">
        <f>IF(OR(BO$3="",BO$3&gt;TODAY()),"",IF(AND(BO569="",BP569=""),"",N(BP569)-N(BO569)))</f>
        <v/>
      </c>
      <c r="BT569">
        <f>IF(OR(BO$3="",BO$3&gt;TODAY()),"",IF(AND(BR569="",BS569=""),"",N(BS569)-N(BR569)))</f>
        <v/>
      </c>
      <c r="BX569">
        <f>IF(OR(BV$3="",BV$3&gt;TODAY()),"",IF(AND(BV569="",BW569=""),"",N(BW569)-N(BV569)))</f>
        <v/>
      </c>
      <c r="CA569">
        <f>IF(OR(BV$3="",BV$3&gt;TODAY()),"",IF(AND(BY569="",BZ569=""),"",N(BZ569)-N(BY569)))</f>
        <v/>
      </c>
      <c r="CE569">
        <f>IF(OR(CC$3="",CC$3&gt;TODAY()),"",IF(AND(CC569="",CD569=""),"",N(CD569)-N(CC569)))</f>
        <v/>
      </c>
      <c r="CH569">
        <f>IF(OR(CC$3="",CC$3&gt;TODAY()),"",IF(AND(CF569="",CG569=""),"",N(CG569)-N(CF569)))</f>
        <v/>
      </c>
      <c r="CL569">
        <f>IF(OR(CJ$3="",CJ$3&gt;TODAY()),"",IF(AND(CJ569="",CK569=""),"",N(CK569)-N(CJ569)))</f>
        <v/>
      </c>
      <c r="CO569">
        <f>IF(OR(CJ$3="",CJ$3&gt;TODAY()),"",IF(AND(CM569="",CN569=""),"",N(CN569)-N(CM569)))</f>
        <v/>
      </c>
      <c r="CS569">
        <f>IF(OR(CQ$3="",CQ$3&gt;TODAY()),"",IF(AND(CQ569="",CR569=""),"",N(CR569)-N(CQ569)))</f>
        <v/>
      </c>
      <c r="CV569">
        <f>IF(OR(CQ$3="",CQ$3&gt;TODAY()),"",IF(AND(CT569="",CU569=""),"",N(CU569)-N(CT569)))</f>
        <v/>
      </c>
      <c r="CZ569">
        <f>IF(OR(CX$3="",CX$3&gt;TODAY()),"",IF(AND(CX569="",CY569=""),"",N(CY569)-N(CX569)))</f>
        <v/>
      </c>
      <c r="DC569">
        <f>IF(OR(CX$3="",CX$3&gt;TODAY()),"",IF(AND(DA569="",DB569=""),"",N(DB569)-N(DA569)))</f>
        <v/>
      </c>
      <c r="DG569">
        <f>IF(OR(DE$3="",DE$3&gt;TODAY()),"",IF(AND(DE569="",DF569=""),"",N(DF569)-N(DE569)))</f>
        <v/>
      </c>
      <c r="DJ569">
        <f>IF(OR(DE$3="",DE$3&gt;TODAY()),"",IF(AND(DH569="",DI569=""),"",N(DI569)-N(DH569)))</f>
        <v/>
      </c>
      <c r="DN569">
        <f>IF(OR(DL$3="",DL$3&gt;TODAY()),"",IF(AND(DL569="",DM569=""),"",N(DM569)-N(DL569)))</f>
        <v/>
      </c>
      <c r="DQ569">
        <f>IF(OR(DL$3="",DL$3&gt;TODAY()),"",IF(AND(DO569="",DP569=""),"",N(DP569)-N(DO569)))</f>
        <v/>
      </c>
      <c r="DU569">
        <f>IF(OR(DS$3="",DS$3&gt;TODAY()),"",IF(AND(DS569="",DT569=""),"",N(DT569)-N(DS569)))</f>
        <v/>
      </c>
      <c r="DX569">
        <f>IF(OR(DS$3="",DS$3&gt;TODAY()),"",IF(AND(DV569="",DW569=""),"",N(DW569)-N(DV569)))</f>
        <v/>
      </c>
      <c r="EB569">
        <f>IF(OR(DZ$3="",DZ$3&gt;TODAY()),"",IF(AND(DZ569="",EA569=""),"",N(EA569)-N(DZ569)))</f>
        <v/>
      </c>
      <c r="EE569">
        <f>IF(OR(DZ$3="",DZ$3&gt;TODAY()),"",IF(AND(EC569="",ED569=""),"",N(ED569)-N(EC569)))</f>
        <v/>
      </c>
      <c r="EI569">
        <f>IF(OR(EG$3="",EG$3&gt;TODAY()),"",IF(AND(EG569="",EH569=""),"",N(EH569)-N(EG569)))</f>
        <v/>
      </c>
      <c r="EL569">
        <f>IF(OR(EG$3="",EG$3&gt;TODAY()),"",IF(AND(EJ569="",EK569=""),"",N(EK569)-N(EJ569)))</f>
        <v/>
      </c>
      <c r="EP569">
        <f>IF(OR(EN$3="",EN$3&gt;TODAY()),"",IF(AND(EN569="",EO569=""),"",N(EO569)-N(EN569)))</f>
        <v/>
      </c>
      <c r="ES569">
        <f>IF(OR(EN$3="",EN$3&gt;TODAY()),"",IF(AND(EQ569="",ER569=""),"",N(ER569)-N(EQ569)))</f>
        <v/>
      </c>
      <c r="EW569">
        <f>IF(OR(EU$3="",EU$3&gt;TODAY()),"",IF(AND(EU569="",EV569=""),"",N(EV569)-N(EU569)))</f>
        <v/>
      </c>
      <c r="EZ569">
        <f>IF(OR(EU$3="",EU$3&gt;TODAY()),"",IF(AND(EX569="",EY569=""),"",N(EY569)-N(EX569)))</f>
        <v/>
      </c>
      <c r="FD569">
        <f>IF(OR(FB$3="",FB$3&gt;TODAY()),"",IF(AND(FB569="",FC569=""),"",N(FC569)-N(FB569)))</f>
        <v/>
      </c>
      <c r="FG569">
        <f>IF(OR(FB$3="",FB$3&gt;TODAY()),"",IF(AND(FE569="",FF569=""),"",N(FF569)-N(FE569)))</f>
        <v/>
      </c>
      <c r="FK569">
        <f>IF(OR(FI$3="",FI$3&gt;TODAY()),"",IF(AND(FI569="",FJ569=""),"",N(FJ569)-N(FI569)))</f>
        <v/>
      </c>
      <c r="FN569">
        <f>IF(OR(FI$3="",FI$3&gt;TODAY()),"",IF(AND(FL569="",FM569=""),"",N(FM569)-N(FL569)))</f>
        <v/>
      </c>
      <c r="FR569">
        <f>IF(OR(FP$3="",FP$3&gt;TODAY()),"",IF(AND(FP569="",FQ569=""),"",N(FQ569)-N(FP569)))</f>
        <v/>
      </c>
      <c r="FU569">
        <f>IF(OR(FP$3="",FP$3&gt;TODAY()),"",IF(AND(FS569="",FT569=""),"",N(FT569)-N(FS569)))</f>
        <v/>
      </c>
      <c r="FY569">
        <f>IF(OR(FW$3="",FW$3&gt;TODAY()),"",IF(AND(FW569="",FX569=""),"",N(FX569)-N(FW569)))</f>
        <v/>
      </c>
      <c r="GB569">
        <f>IF(OR(FW$3="",FW$3&gt;TODAY()),"",IF(AND(FZ569="",GA569=""),"",N(GA569)-N(FZ569)))</f>
        <v/>
      </c>
      <c r="GF569">
        <f>IF(OR(GD$3="",GD$3&gt;TODAY()),"",IF(AND(GD569="",GE569=""),"",N(GE569)-N(GD569)))</f>
        <v/>
      </c>
      <c r="GI569">
        <f>IF(OR(GD$3="",GD$3&gt;TODAY()),"",IF(AND(GG569="",GH569=""),"",N(GH569)-N(GG569)))</f>
        <v/>
      </c>
      <c r="GM569">
        <f>IF(OR(GK$3="",GK$3&gt;TODAY()),"",IF(AND(GK569="",GL569=""),"",N(GL569)-N(GK569)))</f>
        <v/>
      </c>
      <c r="GP569">
        <f>IF(OR(GK$3="",GK$3&gt;TODAY()),"",IF(AND(GN569="",GO569=""),"",N(GO569)-N(GN569)))</f>
        <v/>
      </c>
      <c r="GT569">
        <f>IF(OR(GR$3="",GR$3&gt;TODAY()),"",IF(AND(GR569="",GS569=""),"",N(GS569)-N(GR569)))</f>
        <v/>
      </c>
      <c r="GW569">
        <f>IF(OR(GR$3="",GR$3&gt;TODAY()),"",IF(AND(GU569="",GV569=""),"",N(GV569)-N(GU569)))</f>
        <v/>
      </c>
      <c r="HA569">
        <f>IF(OR(GY$3="",GY$3&gt;TODAY()),"",IF(AND(GY569="",GZ569=""),"",N(GZ569)-N(GY569)))</f>
        <v/>
      </c>
      <c r="HD569">
        <f>IF(OR(GY$3="",GY$3&gt;TODAY()),"",IF(AND(HB569="",HC569=""),"",N(HC569)-N(HB569)))</f>
        <v/>
      </c>
      <c r="HH569">
        <f>IF(OR(HF$3="",HF$3&gt;TODAY()),"",IF(AND(HF569="",HG569=""),"",N(HG569)-N(HF569)))</f>
        <v/>
      </c>
      <c r="HK569">
        <f>IF(OR(HF$3="",HF$3&gt;TODAY()),"",IF(AND(HI569="",HJ569=""),"",N(HJ569)-N(HI569)))</f>
        <v/>
      </c>
      <c r="HO569">
        <f>IF(OR(HM$3="",HM$3&gt;TODAY()),"",IF(AND(HM569="",HN569=""),"",N(HN569)-N(HM569)))</f>
        <v/>
      </c>
      <c r="HR569">
        <f>IF(OR(HM$3="",HM$3&gt;TODAY()),"",IF(AND(HP569="",HQ569=""),"",N(HQ569)-N(HP569)))</f>
        <v/>
      </c>
      <c r="HV569">
        <f>IF(OR(HT$3="",HT$3&gt;TODAY()),"",IF(AND(HT569="",HU569=""),"",N(HU569)-N(HT569)))</f>
        <v/>
      </c>
      <c r="HY569">
        <f>IF(OR(HT$3="",HT$3&gt;TODAY()),"",IF(AND(HW569="",HX569=""),"",N(HX569)-N(HW569)))</f>
        <v/>
      </c>
      <c r="IC569">
        <f>IF(OR(IA$3="",IA$3&gt;TODAY()),"",IF(AND(IA569="",IB569=""),"",N(IB569)-N(IA569)))</f>
        <v/>
      </c>
      <c r="IF569">
        <f>IF(OR(IA$3="",IA$3&gt;TODAY()),"",IF(AND(ID569="",IE569=""),"",N(IE569)-N(ID569)))</f>
        <v/>
      </c>
      <c r="IJ569">
        <f>IF(OR(IH$3="",IH$3&gt;TODAY()),"",IF(AND(IH569="",II569=""),"",N(II569)-N(IH569)))</f>
        <v/>
      </c>
      <c r="IM569">
        <f>IF(OR(IH$3="",IH$3&gt;TODAY()),"",IF(AND(IK569="",IL569=""),"",N(IL569)-N(IK569)))</f>
        <v/>
      </c>
    </row>
    <row r="570">
      <c r="A570" s="21" t="n"/>
      <c r="B570" s="21" t="n"/>
      <c r="C570" s="21" t="n"/>
      <c r="D570" s="21" t="n"/>
      <c r="E570" s="21" t="n"/>
      <c r="F570" s="21" t="n"/>
      <c r="G570" s="21" t="n"/>
      <c r="H570" s="21" t="n"/>
      <c r="I570" s="22" t="n"/>
      <c r="J570" s="22" t="n"/>
      <c r="K570" s="23" t="n"/>
      <c r="L570" s="22" t="n"/>
      <c r="M570" s="22" t="n"/>
      <c r="N570" s="21" t="n"/>
      <c r="O570" s="23" t="n"/>
      <c r="P570" s="23" t="n"/>
      <c r="Q570" s="23" t="n"/>
      <c r="R570" s="23" t="n"/>
      <c r="S570" s="22" t="n"/>
      <c r="T570" s="23" t="n"/>
      <c r="U570" s="23" t="n"/>
      <c r="V570" s="24">
        <f>IF(J570&lt;&gt;"",J570,IF(I570&lt;&gt;"",I570,""))</f>
        <v/>
      </c>
      <c r="W570" s="25">
        <f>IF($E570="","",N(O570)+SUMIFS($AF570:$IN570,$AF$4:$IN$4,"SEW_ACT"))</f>
        <v/>
      </c>
      <c r="X570" s="25">
        <f>IF($E570="","",N(P570)+SUMIFS($AF570:$IN570,$AF$4:$IN$4,"WASH_ACT"))</f>
        <v/>
      </c>
      <c r="Y570" s="25">
        <f>IF($E570="","",W570-X570-N(T570)-N(U570))</f>
        <v/>
      </c>
      <c r="Z570" s="25">
        <f>IF($E570="","",IF(N(K570)-X570&lt;=0.02*N(K570),0,N(K570)-X570))</f>
        <v/>
      </c>
      <c r="AA570" s="24">
        <f>IF($E570="","",IF(S570&lt;&gt;"",S570,IF(N(O570)&gt;0,IF(L570&lt;&gt;"",L570,99999),IFERROR(1/(1/_xlfn.MINIFS($AF$3:$IN$3,$AF$4:$IN$4,"SEW_ACT",$AF570:$IN570,"&gt;0")),99999))))</f>
        <v/>
      </c>
      <c r="AB570" s="26">
        <f>IF(OR($E570="",Z570=0,V570=""),"",1+COUNTIFS(Z$8:Z$707,"&gt;0",V$8:V$707,"&lt;"&amp;V570)+COUNTIFS(Z$8:Z$707,"&gt;0",V$8:V$707,V570,AA$8:AA$707,"&lt;"&amp;AA570)+COUNTIFS(Z$8:Z$707,"&gt;0",V$8:V$707,V570,AA$8:AA$707,AA570,E$8:E$707,"&lt;"&amp;$E570))</f>
        <v/>
      </c>
      <c r="AC570" s="24">
        <f>IF(OR($E570="",Z570=0),"",IFERROR(TODAY()+ROUNDUP(Z570/(SUMIFS($AF570:$IN570,$AF$4:$IN$4,"WASH_ACT")/COUNTIFS($AF$4:$IN$4,"WASH_ACT",$AF570:$IN570,"&gt;0")),0),"no output yet"))</f>
        <v/>
      </c>
      <c r="AD570" s="26">
        <f>IF($E570="","",IFERROR(ROUND(MAX(0,SUMIFS($AF570:$IN570,$AF$4:$IN$4,"SEW_PLAN",$AF$3:$IN$3,"&lt;="&amp;TODAY())-SUMIFS($AF570:$IN570,$AF$4:$IN$4,"SEW_ACT",$AF$3:$IN$3,"&lt;="&amp;TODAY())+N(Q570))/(SUMIFS($AF570:$IN570,$AF$4:$IN$4,"SEW_PLAN")/COUNTIFS($AF$4:$IN$4,"SEW_PLAN",$AF570:$IN570,"&gt;0")),1),0))</f>
        <v/>
      </c>
      <c r="AE570" s="26">
        <f>IF($E570="","",IF(AND(Z570&gt;0,OR(AND(M570&lt;&gt;"",TODAY()&gt;M570),AND(V570&lt;&gt;"",V570-TODAY()&lt;=7))),"Yes","No"))</f>
        <v/>
      </c>
      <c r="AH570">
        <f>IF(OR(AF$3="",AF$3&gt;TODAY()),"",IF(AND(AF570="",AG570=""),"",N(AG570)-N(AF570)))</f>
        <v/>
      </c>
      <c r="AK570">
        <f>IF(OR(AF$3="",AF$3&gt;TODAY()),"",IF(AND(AI570="",AJ570=""),"",N(AJ570)-N(AI570)))</f>
        <v/>
      </c>
      <c r="AO570">
        <f>IF(OR(AM$3="",AM$3&gt;TODAY()),"",IF(AND(AM570="",AN570=""),"",N(AN570)-N(AM570)))</f>
        <v/>
      </c>
      <c r="AR570">
        <f>IF(OR(AM$3="",AM$3&gt;TODAY()),"",IF(AND(AP570="",AQ570=""),"",N(AQ570)-N(AP570)))</f>
        <v/>
      </c>
      <c r="AV570">
        <f>IF(OR(AT$3="",AT$3&gt;TODAY()),"",IF(AND(AT570="",AU570=""),"",N(AU570)-N(AT570)))</f>
        <v/>
      </c>
      <c r="AY570">
        <f>IF(OR(AT$3="",AT$3&gt;TODAY()),"",IF(AND(AW570="",AX570=""),"",N(AX570)-N(AW570)))</f>
        <v/>
      </c>
      <c r="BC570">
        <f>IF(OR(BA$3="",BA$3&gt;TODAY()),"",IF(AND(BA570="",BB570=""),"",N(BB570)-N(BA570)))</f>
        <v/>
      </c>
      <c r="BF570">
        <f>IF(OR(BA$3="",BA$3&gt;TODAY()),"",IF(AND(BD570="",BE570=""),"",N(BE570)-N(BD570)))</f>
        <v/>
      </c>
      <c r="BJ570">
        <f>IF(OR(BH$3="",BH$3&gt;TODAY()),"",IF(AND(BH570="",BI570=""),"",N(BI570)-N(BH570)))</f>
        <v/>
      </c>
      <c r="BM570">
        <f>IF(OR(BH$3="",BH$3&gt;TODAY()),"",IF(AND(BK570="",BL570=""),"",N(BL570)-N(BK570)))</f>
        <v/>
      </c>
      <c r="BQ570">
        <f>IF(OR(BO$3="",BO$3&gt;TODAY()),"",IF(AND(BO570="",BP570=""),"",N(BP570)-N(BO570)))</f>
        <v/>
      </c>
      <c r="BT570">
        <f>IF(OR(BO$3="",BO$3&gt;TODAY()),"",IF(AND(BR570="",BS570=""),"",N(BS570)-N(BR570)))</f>
        <v/>
      </c>
      <c r="BX570">
        <f>IF(OR(BV$3="",BV$3&gt;TODAY()),"",IF(AND(BV570="",BW570=""),"",N(BW570)-N(BV570)))</f>
        <v/>
      </c>
      <c r="CA570">
        <f>IF(OR(BV$3="",BV$3&gt;TODAY()),"",IF(AND(BY570="",BZ570=""),"",N(BZ570)-N(BY570)))</f>
        <v/>
      </c>
      <c r="CE570">
        <f>IF(OR(CC$3="",CC$3&gt;TODAY()),"",IF(AND(CC570="",CD570=""),"",N(CD570)-N(CC570)))</f>
        <v/>
      </c>
      <c r="CH570">
        <f>IF(OR(CC$3="",CC$3&gt;TODAY()),"",IF(AND(CF570="",CG570=""),"",N(CG570)-N(CF570)))</f>
        <v/>
      </c>
      <c r="CL570">
        <f>IF(OR(CJ$3="",CJ$3&gt;TODAY()),"",IF(AND(CJ570="",CK570=""),"",N(CK570)-N(CJ570)))</f>
        <v/>
      </c>
      <c r="CO570">
        <f>IF(OR(CJ$3="",CJ$3&gt;TODAY()),"",IF(AND(CM570="",CN570=""),"",N(CN570)-N(CM570)))</f>
        <v/>
      </c>
      <c r="CS570">
        <f>IF(OR(CQ$3="",CQ$3&gt;TODAY()),"",IF(AND(CQ570="",CR570=""),"",N(CR570)-N(CQ570)))</f>
        <v/>
      </c>
      <c r="CV570">
        <f>IF(OR(CQ$3="",CQ$3&gt;TODAY()),"",IF(AND(CT570="",CU570=""),"",N(CU570)-N(CT570)))</f>
        <v/>
      </c>
      <c r="CZ570">
        <f>IF(OR(CX$3="",CX$3&gt;TODAY()),"",IF(AND(CX570="",CY570=""),"",N(CY570)-N(CX570)))</f>
        <v/>
      </c>
      <c r="DC570">
        <f>IF(OR(CX$3="",CX$3&gt;TODAY()),"",IF(AND(DA570="",DB570=""),"",N(DB570)-N(DA570)))</f>
        <v/>
      </c>
      <c r="DG570">
        <f>IF(OR(DE$3="",DE$3&gt;TODAY()),"",IF(AND(DE570="",DF570=""),"",N(DF570)-N(DE570)))</f>
        <v/>
      </c>
      <c r="DJ570">
        <f>IF(OR(DE$3="",DE$3&gt;TODAY()),"",IF(AND(DH570="",DI570=""),"",N(DI570)-N(DH570)))</f>
        <v/>
      </c>
      <c r="DN570">
        <f>IF(OR(DL$3="",DL$3&gt;TODAY()),"",IF(AND(DL570="",DM570=""),"",N(DM570)-N(DL570)))</f>
        <v/>
      </c>
      <c r="DQ570">
        <f>IF(OR(DL$3="",DL$3&gt;TODAY()),"",IF(AND(DO570="",DP570=""),"",N(DP570)-N(DO570)))</f>
        <v/>
      </c>
      <c r="DU570">
        <f>IF(OR(DS$3="",DS$3&gt;TODAY()),"",IF(AND(DS570="",DT570=""),"",N(DT570)-N(DS570)))</f>
        <v/>
      </c>
      <c r="DX570">
        <f>IF(OR(DS$3="",DS$3&gt;TODAY()),"",IF(AND(DV570="",DW570=""),"",N(DW570)-N(DV570)))</f>
        <v/>
      </c>
      <c r="EB570">
        <f>IF(OR(DZ$3="",DZ$3&gt;TODAY()),"",IF(AND(DZ570="",EA570=""),"",N(EA570)-N(DZ570)))</f>
        <v/>
      </c>
      <c r="EE570">
        <f>IF(OR(DZ$3="",DZ$3&gt;TODAY()),"",IF(AND(EC570="",ED570=""),"",N(ED570)-N(EC570)))</f>
        <v/>
      </c>
      <c r="EI570">
        <f>IF(OR(EG$3="",EG$3&gt;TODAY()),"",IF(AND(EG570="",EH570=""),"",N(EH570)-N(EG570)))</f>
        <v/>
      </c>
      <c r="EL570">
        <f>IF(OR(EG$3="",EG$3&gt;TODAY()),"",IF(AND(EJ570="",EK570=""),"",N(EK570)-N(EJ570)))</f>
        <v/>
      </c>
      <c r="EP570">
        <f>IF(OR(EN$3="",EN$3&gt;TODAY()),"",IF(AND(EN570="",EO570=""),"",N(EO570)-N(EN570)))</f>
        <v/>
      </c>
      <c r="ES570">
        <f>IF(OR(EN$3="",EN$3&gt;TODAY()),"",IF(AND(EQ570="",ER570=""),"",N(ER570)-N(EQ570)))</f>
        <v/>
      </c>
      <c r="EW570">
        <f>IF(OR(EU$3="",EU$3&gt;TODAY()),"",IF(AND(EU570="",EV570=""),"",N(EV570)-N(EU570)))</f>
        <v/>
      </c>
      <c r="EZ570">
        <f>IF(OR(EU$3="",EU$3&gt;TODAY()),"",IF(AND(EX570="",EY570=""),"",N(EY570)-N(EX570)))</f>
        <v/>
      </c>
      <c r="FD570">
        <f>IF(OR(FB$3="",FB$3&gt;TODAY()),"",IF(AND(FB570="",FC570=""),"",N(FC570)-N(FB570)))</f>
        <v/>
      </c>
      <c r="FG570">
        <f>IF(OR(FB$3="",FB$3&gt;TODAY()),"",IF(AND(FE570="",FF570=""),"",N(FF570)-N(FE570)))</f>
        <v/>
      </c>
      <c r="FK570">
        <f>IF(OR(FI$3="",FI$3&gt;TODAY()),"",IF(AND(FI570="",FJ570=""),"",N(FJ570)-N(FI570)))</f>
        <v/>
      </c>
      <c r="FN570">
        <f>IF(OR(FI$3="",FI$3&gt;TODAY()),"",IF(AND(FL570="",FM570=""),"",N(FM570)-N(FL570)))</f>
        <v/>
      </c>
      <c r="FR570">
        <f>IF(OR(FP$3="",FP$3&gt;TODAY()),"",IF(AND(FP570="",FQ570=""),"",N(FQ570)-N(FP570)))</f>
        <v/>
      </c>
      <c r="FU570">
        <f>IF(OR(FP$3="",FP$3&gt;TODAY()),"",IF(AND(FS570="",FT570=""),"",N(FT570)-N(FS570)))</f>
        <v/>
      </c>
      <c r="FY570">
        <f>IF(OR(FW$3="",FW$3&gt;TODAY()),"",IF(AND(FW570="",FX570=""),"",N(FX570)-N(FW570)))</f>
        <v/>
      </c>
      <c r="GB570">
        <f>IF(OR(FW$3="",FW$3&gt;TODAY()),"",IF(AND(FZ570="",GA570=""),"",N(GA570)-N(FZ570)))</f>
        <v/>
      </c>
      <c r="GF570">
        <f>IF(OR(GD$3="",GD$3&gt;TODAY()),"",IF(AND(GD570="",GE570=""),"",N(GE570)-N(GD570)))</f>
        <v/>
      </c>
      <c r="GI570">
        <f>IF(OR(GD$3="",GD$3&gt;TODAY()),"",IF(AND(GG570="",GH570=""),"",N(GH570)-N(GG570)))</f>
        <v/>
      </c>
      <c r="GM570">
        <f>IF(OR(GK$3="",GK$3&gt;TODAY()),"",IF(AND(GK570="",GL570=""),"",N(GL570)-N(GK570)))</f>
        <v/>
      </c>
      <c r="GP570">
        <f>IF(OR(GK$3="",GK$3&gt;TODAY()),"",IF(AND(GN570="",GO570=""),"",N(GO570)-N(GN570)))</f>
        <v/>
      </c>
      <c r="GT570">
        <f>IF(OR(GR$3="",GR$3&gt;TODAY()),"",IF(AND(GR570="",GS570=""),"",N(GS570)-N(GR570)))</f>
        <v/>
      </c>
      <c r="GW570">
        <f>IF(OR(GR$3="",GR$3&gt;TODAY()),"",IF(AND(GU570="",GV570=""),"",N(GV570)-N(GU570)))</f>
        <v/>
      </c>
      <c r="HA570">
        <f>IF(OR(GY$3="",GY$3&gt;TODAY()),"",IF(AND(GY570="",GZ570=""),"",N(GZ570)-N(GY570)))</f>
        <v/>
      </c>
      <c r="HD570">
        <f>IF(OR(GY$3="",GY$3&gt;TODAY()),"",IF(AND(HB570="",HC570=""),"",N(HC570)-N(HB570)))</f>
        <v/>
      </c>
      <c r="HH570">
        <f>IF(OR(HF$3="",HF$3&gt;TODAY()),"",IF(AND(HF570="",HG570=""),"",N(HG570)-N(HF570)))</f>
        <v/>
      </c>
      <c r="HK570">
        <f>IF(OR(HF$3="",HF$3&gt;TODAY()),"",IF(AND(HI570="",HJ570=""),"",N(HJ570)-N(HI570)))</f>
        <v/>
      </c>
      <c r="HO570">
        <f>IF(OR(HM$3="",HM$3&gt;TODAY()),"",IF(AND(HM570="",HN570=""),"",N(HN570)-N(HM570)))</f>
        <v/>
      </c>
      <c r="HR570">
        <f>IF(OR(HM$3="",HM$3&gt;TODAY()),"",IF(AND(HP570="",HQ570=""),"",N(HQ570)-N(HP570)))</f>
        <v/>
      </c>
      <c r="HV570">
        <f>IF(OR(HT$3="",HT$3&gt;TODAY()),"",IF(AND(HT570="",HU570=""),"",N(HU570)-N(HT570)))</f>
        <v/>
      </c>
      <c r="HY570">
        <f>IF(OR(HT$3="",HT$3&gt;TODAY()),"",IF(AND(HW570="",HX570=""),"",N(HX570)-N(HW570)))</f>
        <v/>
      </c>
      <c r="IC570">
        <f>IF(OR(IA$3="",IA$3&gt;TODAY()),"",IF(AND(IA570="",IB570=""),"",N(IB570)-N(IA570)))</f>
        <v/>
      </c>
      <c r="IF570">
        <f>IF(OR(IA$3="",IA$3&gt;TODAY()),"",IF(AND(ID570="",IE570=""),"",N(IE570)-N(ID570)))</f>
        <v/>
      </c>
      <c r="IJ570">
        <f>IF(OR(IH$3="",IH$3&gt;TODAY()),"",IF(AND(IH570="",II570=""),"",N(II570)-N(IH570)))</f>
        <v/>
      </c>
      <c r="IM570">
        <f>IF(OR(IH$3="",IH$3&gt;TODAY()),"",IF(AND(IK570="",IL570=""),"",N(IL570)-N(IK570)))</f>
        <v/>
      </c>
    </row>
    <row r="571">
      <c r="A571" s="21" t="n"/>
      <c r="B571" s="21" t="n"/>
      <c r="C571" s="21" t="n"/>
      <c r="D571" s="21" t="n"/>
      <c r="E571" s="21" t="n"/>
      <c r="F571" s="21" t="n"/>
      <c r="G571" s="21" t="n"/>
      <c r="H571" s="21" t="n"/>
      <c r="I571" s="22" t="n"/>
      <c r="J571" s="22" t="n"/>
      <c r="K571" s="23" t="n"/>
      <c r="L571" s="22" t="n"/>
      <c r="M571" s="22" t="n"/>
      <c r="N571" s="21" t="n"/>
      <c r="O571" s="23" t="n"/>
      <c r="P571" s="23" t="n"/>
      <c r="Q571" s="23" t="n"/>
      <c r="R571" s="23" t="n"/>
      <c r="S571" s="22" t="n"/>
      <c r="T571" s="23" t="n"/>
      <c r="U571" s="23" t="n"/>
      <c r="V571" s="24">
        <f>IF(J571&lt;&gt;"",J571,IF(I571&lt;&gt;"",I571,""))</f>
        <v/>
      </c>
      <c r="W571" s="25">
        <f>IF($E571="","",N(O571)+SUMIFS($AF571:$IN571,$AF$4:$IN$4,"SEW_ACT"))</f>
        <v/>
      </c>
      <c r="X571" s="25">
        <f>IF($E571="","",N(P571)+SUMIFS($AF571:$IN571,$AF$4:$IN$4,"WASH_ACT"))</f>
        <v/>
      </c>
      <c r="Y571" s="25">
        <f>IF($E571="","",W571-X571-N(T571)-N(U571))</f>
        <v/>
      </c>
      <c r="Z571" s="25">
        <f>IF($E571="","",IF(N(K571)-X571&lt;=0.02*N(K571),0,N(K571)-X571))</f>
        <v/>
      </c>
      <c r="AA571" s="24">
        <f>IF($E571="","",IF(S571&lt;&gt;"",S571,IF(N(O571)&gt;0,IF(L571&lt;&gt;"",L571,99999),IFERROR(1/(1/_xlfn.MINIFS($AF$3:$IN$3,$AF$4:$IN$4,"SEW_ACT",$AF571:$IN571,"&gt;0")),99999))))</f>
        <v/>
      </c>
      <c r="AB571" s="26">
        <f>IF(OR($E571="",Z571=0,V571=""),"",1+COUNTIFS(Z$8:Z$707,"&gt;0",V$8:V$707,"&lt;"&amp;V571)+COUNTIFS(Z$8:Z$707,"&gt;0",V$8:V$707,V571,AA$8:AA$707,"&lt;"&amp;AA571)+COUNTIFS(Z$8:Z$707,"&gt;0",V$8:V$707,V571,AA$8:AA$707,AA571,E$8:E$707,"&lt;"&amp;$E571))</f>
        <v/>
      </c>
      <c r="AC571" s="24">
        <f>IF(OR($E571="",Z571=0),"",IFERROR(TODAY()+ROUNDUP(Z571/(SUMIFS($AF571:$IN571,$AF$4:$IN$4,"WASH_ACT")/COUNTIFS($AF$4:$IN$4,"WASH_ACT",$AF571:$IN571,"&gt;0")),0),"no output yet"))</f>
        <v/>
      </c>
      <c r="AD571" s="26">
        <f>IF($E571="","",IFERROR(ROUND(MAX(0,SUMIFS($AF571:$IN571,$AF$4:$IN$4,"SEW_PLAN",$AF$3:$IN$3,"&lt;="&amp;TODAY())-SUMIFS($AF571:$IN571,$AF$4:$IN$4,"SEW_ACT",$AF$3:$IN$3,"&lt;="&amp;TODAY())+N(Q571))/(SUMIFS($AF571:$IN571,$AF$4:$IN$4,"SEW_PLAN")/COUNTIFS($AF$4:$IN$4,"SEW_PLAN",$AF571:$IN571,"&gt;0")),1),0))</f>
        <v/>
      </c>
      <c r="AE571" s="26">
        <f>IF($E571="","",IF(AND(Z571&gt;0,OR(AND(M571&lt;&gt;"",TODAY()&gt;M571),AND(V571&lt;&gt;"",V571-TODAY()&lt;=7))),"Yes","No"))</f>
        <v/>
      </c>
      <c r="AH571">
        <f>IF(OR(AF$3="",AF$3&gt;TODAY()),"",IF(AND(AF571="",AG571=""),"",N(AG571)-N(AF571)))</f>
        <v/>
      </c>
      <c r="AK571">
        <f>IF(OR(AF$3="",AF$3&gt;TODAY()),"",IF(AND(AI571="",AJ571=""),"",N(AJ571)-N(AI571)))</f>
        <v/>
      </c>
      <c r="AO571">
        <f>IF(OR(AM$3="",AM$3&gt;TODAY()),"",IF(AND(AM571="",AN571=""),"",N(AN571)-N(AM571)))</f>
        <v/>
      </c>
      <c r="AR571">
        <f>IF(OR(AM$3="",AM$3&gt;TODAY()),"",IF(AND(AP571="",AQ571=""),"",N(AQ571)-N(AP571)))</f>
        <v/>
      </c>
      <c r="AV571">
        <f>IF(OR(AT$3="",AT$3&gt;TODAY()),"",IF(AND(AT571="",AU571=""),"",N(AU571)-N(AT571)))</f>
        <v/>
      </c>
      <c r="AY571">
        <f>IF(OR(AT$3="",AT$3&gt;TODAY()),"",IF(AND(AW571="",AX571=""),"",N(AX571)-N(AW571)))</f>
        <v/>
      </c>
      <c r="BC571">
        <f>IF(OR(BA$3="",BA$3&gt;TODAY()),"",IF(AND(BA571="",BB571=""),"",N(BB571)-N(BA571)))</f>
        <v/>
      </c>
      <c r="BF571">
        <f>IF(OR(BA$3="",BA$3&gt;TODAY()),"",IF(AND(BD571="",BE571=""),"",N(BE571)-N(BD571)))</f>
        <v/>
      </c>
      <c r="BJ571">
        <f>IF(OR(BH$3="",BH$3&gt;TODAY()),"",IF(AND(BH571="",BI571=""),"",N(BI571)-N(BH571)))</f>
        <v/>
      </c>
      <c r="BM571">
        <f>IF(OR(BH$3="",BH$3&gt;TODAY()),"",IF(AND(BK571="",BL571=""),"",N(BL571)-N(BK571)))</f>
        <v/>
      </c>
      <c r="BQ571">
        <f>IF(OR(BO$3="",BO$3&gt;TODAY()),"",IF(AND(BO571="",BP571=""),"",N(BP571)-N(BO571)))</f>
        <v/>
      </c>
      <c r="BT571">
        <f>IF(OR(BO$3="",BO$3&gt;TODAY()),"",IF(AND(BR571="",BS571=""),"",N(BS571)-N(BR571)))</f>
        <v/>
      </c>
      <c r="BX571">
        <f>IF(OR(BV$3="",BV$3&gt;TODAY()),"",IF(AND(BV571="",BW571=""),"",N(BW571)-N(BV571)))</f>
        <v/>
      </c>
      <c r="CA571">
        <f>IF(OR(BV$3="",BV$3&gt;TODAY()),"",IF(AND(BY571="",BZ571=""),"",N(BZ571)-N(BY571)))</f>
        <v/>
      </c>
      <c r="CE571">
        <f>IF(OR(CC$3="",CC$3&gt;TODAY()),"",IF(AND(CC571="",CD571=""),"",N(CD571)-N(CC571)))</f>
        <v/>
      </c>
      <c r="CH571">
        <f>IF(OR(CC$3="",CC$3&gt;TODAY()),"",IF(AND(CF571="",CG571=""),"",N(CG571)-N(CF571)))</f>
        <v/>
      </c>
      <c r="CL571">
        <f>IF(OR(CJ$3="",CJ$3&gt;TODAY()),"",IF(AND(CJ571="",CK571=""),"",N(CK571)-N(CJ571)))</f>
        <v/>
      </c>
      <c r="CO571">
        <f>IF(OR(CJ$3="",CJ$3&gt;TODAY()),"",IF(AND(CM571="",CN571=""),"",N(CN571)-N(CM571)))</f>
        <v/>
      </c>
      <c r="CS571">
        <f>IF(OR(CQ$3="",CQ$3&gt;TODAY()),"",IF(AND(CQ571="",CR571=""),"",N(CR571)-N(CQ571)))</f>
        <v/>
      </c>
      <c r="CV571">
        <f>IF(OR(CQ$3="",CQ$3&gt;TODAY()),"",IF(AND(CT571="",CU571=""),"",N(CU571)-N(CT571)))</f>
        <v/>
      </c>
      <c r="CZ571">
        <f>IF(OR(CX$3="",CX$3&gt;TODAY()),"",IF(AND(CX571="",CY571=""),"",N(CY571)-N(CX571)))</f>
        <v/>
      </c>
      <c r="DC571">
        <f>IF(OR(CX$3="",CX$3&gt;TODAY()),"",IF(AND(DA571="",DB571=""),"",N(DB571)-N(DA571)))</f>
        <v/>
      </c>
      <c r="DG571">
        <f>IF(OR(DE$3="",DE$3&gt;TODAY()),"",IF(AND(DE571="",DF571=""),"",N(DF571)-N(DE571)))</f>
        <v/>
      </c>
      <c r="DJ571">
        <f>IF(OR(DE$3="",DE$3&gt;TODAY()),"",IF(AND(DH571="",DI571=""),"",N(DI571)-N(DH571)))</f>
        <v/>
      </c>
      <c r="DN571">
        <f>IF(OR(DL$3="",DL$3&gt;TODAY()),"",IF(AND(DL571="",DM571=""),"",N(DM571)-N(DL571)))</f>
        <v/>
      </c>
      <c r="DQ571">
        <f>IF(OR(DL$3="",DL$3&gt;TODAY()),"",IF(AND(DO571="",DP571=""),"",N(DP571)-N(DO571)))</f>
        <v/>
      </c>
      <c r="DU571">
        <f>IF(OR(DS$3="",DS$3&gt;TODAY()),"",IF(AND(DS571="",DT571=""),"",N(DT571)-N(DS571)))</f>
        <v/>
      </c>
      <c r="DX571">
        <f>IF(OR(DS$3="",DS$3&gt;TODAY()),"",IF(AND(DV571="",DW571=""),"",N(DW571)-N(DV571)))</f>
        <v/>
      </c>
      <c r="EB571">
        <f>IF(OR(DZ$3="",DZ$3&gt;TODAY()),"",IF(AND(DZ571="",EA571=""),"",N(EA571)-N(DZ571)))</f>
        <v/>
      </c>
      <c r="EE571">
        <f>IF(OR(DZ$3="",DZ$3&gt;TODAY()),"",IF(AND(EC571="",ED571=""),"",N(ED571)-N(EC571)))</f>
        <v/>
      </c>
      <c r="EI571">
        <f>IF(OR(EG$3="",EG$3&gt;TODAY()),"",IF(AND(EG571="",EH571=""),"",N(EH571)-N(EG571)))</f>
        <v/>
      </c>
      <c r="EL571">
        <f>IF(OR(EG$3="",EG$3&gt;TODAY()),"",IF(AND(EJ571="",EK571=""),"",N(EK571)-N(EJ571)))</f>
        <v/>
      </c>
      <c r="EP571">
        <f>IF(OR(EN$3="",EN$3&gt;TODAY()),"",IF(AND(EN571="",EO571=""),"",N(EO571)-N(EN571)))</f>
        <v/>
      </c>
      <c r="ES571">
        <f>IF(OR(EN$3="",EN$3&gt;TODAY()),"",IF(AND(EQ571="",ER571=""),"",N(ER571)-N(EQ571)))</f>
        <v/>
      </c>
      <c r="EW571">
        <f>IF(OR(EU$3="",EU$3&gt;TODAY()),"",IF(AND(EU571="",EV571=""),"",N(EV571)-N(EU571)))</f>
        <v/>
      </c>
      <c r="EZ571">
        <f>IF(OR(EU$3="",EU$3&gt;TODAY()),"",IF(AND(EX571="",EY571=""),"",N(EY571)-N(EX571)))</f>
        <v/>
      </c>
      <c r="FD571">
        <f>IF(OR(FB$3="",FB$3&gt;TODAY()),"",IF(AND(FB571="",FC571=""),"",N(FC571)-N(FB571)))</f>
        <v/>
      </c>
      <c r="FG571">
        <f>IF(OR(FB$3="",FB$3&gt;TODAY()),"",IF(AND(FE571="",FF571=""),"",N(FF571)-N(FE571)))</f>
        <v/>
      </c>
      <c r="FK571">
        <f>IF(OR(FI$3="",FI$3&gt;TODAY()),"",IF(AND(FI571="",FJ571=""),"",N(FJ571)-N(FI571)))</f>
        <v/>
      </c>
      <c r="FN571">
        <f>IF(OR(FI$3="",FI$3&gt;TODAY()),"",IF(AND(FL571="",FM571=""),"",N(FM571)-N(FL571)))</f>
        <v/>
      </c>
      <c r="FR571">
        <f>IF(OR(FP$3="",FP$3&gt;TODAY()),"",IF(AND(FP571="",FQ571=""),"",N(FQ571)-N(FP571)))</f>
        <v/>
      </c>
      <c r="FU571">
        <f>IF(OR(FP$3="",FP$3&gt;TODAY()),"",IF(AND(FS571="",FT571=""),"",N(FT571)-N(FS571)))</f>
        <v/>
      </c>
      <c r="FY571">
        <f>IF(OR(FW$3="",FW$3&gt;TODAY()),"",IF(AND(FW571="",FX571=""),"",N(FX571)-N(FW571)))</f>
        <v/>
      </c>
      <c r="GB571">
        <f>IF(OR(FW$3="",FW$3&gt;TODAY()),"",IF(AND(FZ571="",GA571=""),"",N(GA571)-N(FZ571)))</f>
        <v/>
      </c>
      <c r="GF571">
        <f>IF(OR(GD$3="",GD$3&gt;TODAY()),"",IF(AND(GD571="",GE571=""),"",N(GE571)-N(GD571)))</f>
        <v/>
      </c>
      <c r="GI571">
        <f>IF(OR(GD$3="",GD$3&gt;TODAY()),"",IF(AND(GG571="",GH571=""),"",N(GH571)-N(GG571)))</f>
        <v/>
      </c>
      <c r="GM571">
        <f>IF(OR(GK$3="",GK$3&gt;TODAY()),"",IF(AND(GK571="",GL571=""),"",N(GL571)-N(GK571)))</f>
        <v/>
      </c>
      <c r="GP571">
        <f>IF(OR(GK$3="",GK$3&gt;TODAY()),"",IF(AND(GN571="",GO571=""),"",N(GO571)-N(GN571)))</f>
        <v/>
      </c>
      <c r="GT571">
        <f>IF(OR(GR$3="",GR$3&gt;TODAY()),"",IF(AND(GR571="",GS571=""),"",N(GS571)-N(GR571)))</f>
        <v/>
      </c>
      <c r="GW571">
        <f>IF(OR(GR$3="",GR$3&gt;TODAY()),"",IF(AND(GU571="",GV571=""),"",N(GV571)-N(GU571)))</f>
        <v/>
      </c>
      <c r="HA571">
        <f>IF(OR(GY$3="",GY$3&gt;TODAY()),"",IF(AND(GY571="",GZ571=""),"",N(GZ571)-N(GY571)))</f>
        <v/>
      </c>
      <c r="HD571">
        <f>IF(OR(GY$3="",GY$3&gt;TODAY()),"",IF(AND(HB571="",HC571=""),"",N(HC571)-N(HB571)))</f>
        <v/>
      </c>
      <c r="HH571">
        <f>IF(OR(HF$3="",HF$3&gt;TODAY()),"",IF(AND(HF571="",HG571=""),"",N(HG571)-N(HF571)))</f>
        <v/>
      </c>
      <c r="HK571">
        <f>IF(OR(HF$3="",HF$3&gt;TODAY()),"",IF(AND(HI571="",HJ571=""),"",N(HJ571)-N(HI571)))</f>
        <v/>
      </c>
      <c r="HO571">
        <f>IF(OR(HM$3="",HM$3&gt;TODAY()),"",IF(AND(HM571="",HN571=""),"",N(HN571)-N(HM571)))</f>
        <v/>
      </c>
      <c r="HR571">
        <f>IF(OR(HM$3="",HM$3&gt;TODAY()),"",IF(AND(HP571="",HQ571=""),"",N(HQ571)-N(HP571)))</f>
        <v/>
      </c>
      <c r="HV571">
        <f>IF(OR(HT$3="",HT$3&gt;TODAY()),"",IF(AND(HT571="",HU571=""),"",N(HU571)-N(HT571)))</f>
        <v/>
      </c>
      <c r="HY571">
        <f>IF(OR(HT$3="",HT$3&gt;TODAY()),"",IF(AND(HW571="",HX571=""),"",N(HX571)-N(HW571)))</f>
        <v/>
      </c>
      <c r="IC571">
        <f>IF(OR(IA$3="",IA$3&gt;TODAY()),"",IF(AND(IA571="",IB571=""),"",N(IB571)-N(IA571)))</f>
        <v/>
      </c>
      <c r="IF571">
        <f>IF(OR(IA$3="",IA$3&gt;TODAY()),"",IF(AND(ID571="",IE571=""),"",N(IE571)-N(ID571)))</f>
        <v/>
      </c>
      <c r="IJ571">
        <f>IF(OR(IH$3="",IH$3&gt;TODAY()),"",IF(AND(IH571="",II571=""),"",N(II571)-N(IH571)))</f>
        <v/>
      </c>
      <c r="IM571">
        <f>IF(OR(IH$3="",IH$3&gt;TODAY()),"",IF(AND(IK571="",IL571=""),"",N(IL571)-N(IK571)))</f>
        <v/>
      </c>
    </row>
    <row r="572">
      <c r="A572" s="21" t="n"/>
      <c r="B572" s="21" t="n"/>
      <c r="C572" s="21" t="n"/>
      <c r="D572" s="21" t="n"/>
      <c r="E572" s="21" t="n"/>
      <c r="F572" s="21" t="n"/>
      <c r="G572" s="21" t="n"/>
      <c r="H572" s="21" t="n"/>
      <c r="I572" s="22" t="n"/>
      <c r="J572" s="22" t="n"/>
      <c r="K572" s="23" t="n"/>
      <c r="L572" s="22" t="n"/>
      <c r="M572" s="22" t="n"/>
      <c r="N572" s="21" t="n"/>
      <c r="O572" s="23" t="n"/>
      <c r="P572" s="23" t="n"/>
      <c r="Q572" s="23" t="n"/>
      <c r="R572" s="23" t="n"/>
      <c r="S572" s="22" t="n"/>
      <c r="T572" s="23" t="n"/>
      <c r="U572" s="23" t="n"/>
      <c r="V572" s="24">
        <f>IF(J572&lt;&gt;"",J572,IF(I572&lt;&gt;"",I572,""))</f>
        <v/>
      </c>
      <c r="W572" s="25">
        <f>IF($E572="","",N(O572)+SUMIFS($AF572:$IN572,$AF$4:$IN$4,"SEW_ACT"))</f>
        <v/>
      </c>
      <c r="X572" s="25">
        <f>IF($E572="","",N(P572)+SUMIFS($AF572:$IN572,$AF$4:$IN$4,"WASH_ACT"))</f>
        <v/>
      </c>
      <c r="Y572" s="25">
        <f>IF($E572="","",W572-X572-N(T572)-N(U572))</f>
        <v/>
      </c>
      <c r="Z572" s="25">
        <f>IF($E572="","",IF(N(K572)-X572&lt;=0.02*N(K572),0,N(K572)-X572))</f>
        <v/>
      </c>
      <c r="AA572" s="24">
        <f>IF($E572="","",IF(S572&lt;&gt;"",S572,IF(N(O572)&gt;0,IF(L572&lt;&gt;"",L572,99999),IFERROR(1/(1/_xlfn.MINIFS($AF$3:$IN$3,$AF$4:$IN$4,"SEW_ACT",$AF572:$IN572,"&gt;0")),99999))))</f>
        <v/>
      </c>
      <c r="AB572" s="26">
        <f>IF(OR($E572="",Z572=0,V572=""),"",1+COUNTIFS(Z$8:Z$707,"&gt;0",V$8:V$707,"&lt;"&amp;V572)+COUNTIFS(Z$8:Z$707,"&gt;0",V$8:V$707,V572,AA$8:AA$707,"&lt;"&amp;AA572)+COUNTIFS(Z$8:Z$707,"&gt;0",V$8:V$707,V572,AA$8:AA$707,AA572,E$8:E$707,"&lt;"&amp;$E572))</f>
        <v/>
      </c>
      <c r="AC572" s="24">
        <f>IF(OR($E572="",Z572=0),"",IFERROR(TODAY()+ROUNDUP(Z572/(SUMIFS($AF572:$IN572,$AF$4:$IN$4,"WASH_ACT")/COUNTIFS($AF$4:$IN$4,"WASH_ACT",$AF572:$IN572,"&gt;0")),0),"no output yet"))</f>
        <v/>
      </c>
      <c r="AD572" s="26">
        <f>IF($E572="","",IFERROR(ROUND(MAX(0,SUMIFS($AF572:$IN572,$AF$4:$IN$4,"SEW_PLAN",$AF$3:$IN$3,"&lt;="&amp;TODAY())-SUMIFS($AF572:$IN572,$AF$4:$IN$4,"SEW_ACT",$AF$3:$IN$3,"&lt;="&amp;TODAY())+N(Q572))/(SUMIFS($AF572:$IN572,$AF$4:$IN$4,"SEW_PLAN")/COUNTIFS($AF$4:$IN$4,"SEW_PLAN",$AF572:$IN572,"&gt;0")),1),0))</f>
        <v/>
      </c>
      <c r="AE572" s="26">
        <f>IF($E572="","",IF(AND(Z572&gt;0,OR(AND(M572&lt;&gt;"",TODAY()&gt;M572),AND(V572&lt;&gt;"",V572-TODAY()&lt;=7))),"Yes","No"))</f>
        <v/>
      </c>
      <c r="AH572">
        <f>IF(OR(AF$3="",AF$3&gt;TODAY()),"",IF(AND(AF572="",AG572=""),"",N(AG572)-N(AF572)))</f>
        <v/>
      </c>
      <c r="AK572">
        <f>IF(OR(AF$3="",AF$3&gt;TODAY()),"",IF(AND(AI572="",AJ572=""),"",N(AJ572)-N(AI572)))</f>
        <v/>
      </c>
      <c r="AO572">
        <f>IF(OR(AM$3="",AM$3&gt;TODAY()),"",IF(AND(AM572="",AN572=""),"",N(AN572)-N(AM572)))</f>
        <v/>
      </c>
      <c r="AR572">
        <f>IF(OR(AM$3="",AM$3&gt;TODAY()),"",IF(AND(AP572="",AQ572=""),"",N(AQ572)-N(AP572)))</f>
        <v/>
      </c>
      <c r="AV572">
        <f>IF(OR(AT$3="",AT$3&gt;TODAY()),"",IF(AND(AT572="",AU572=""),"",N(AU572)-N(AT572)))</f>
        <v/>
      </c>
      <c r="AY572">
        <f>IF(OR(AT$3="",AT$3&gt;TODAY()),"",IF(AND(AW572="",AX572=""),"",N(AX572)-N(AW572)))</f>
        <v/>
      </c>
      <c r="BC572">
        <f>IF(OR(BA$3="",BA$3&gt;TODAY()),"",IF(AND(BA572="",BB572=""),"",N(BB572)-N(BA572)))</f>
        <v/>
      </c>
      <c r="BF572">
        <f>IF(OR(BA$3="",BA$3&gt;TODAY()),"",IF(AND(BD572="",BE572=""),"",N(BE572)-N(BD572)))</f>
        <v/>
      </c>
      <c r="BJ572">
        <f>IF(OR(BH$3="",BH$3&gt;TODAY()),"",IF(AND(BH572="",BI572=""),"",N(BI572)-N(BH572)))</f>
        <v/>
      </c>
      <c r="BM572">
        <f>IF(OR(BH$3="",BH$3&gt;TODAY()),"",IF(AND(BK572="",BL572=""),"",N(BL572)-N(BK572)))</f>
        <v/>
      </c>
      <c r="BQ572">
        <f>IF(OR(BO$3="",BO$3&gt;TODAY()),"",IF(AND(BO572="",BP572=""),"",N(BP572)-N(BO572)))</f>
        <v/>
      </c>
      <c r="BT572">
        <f>IF(OR(BO$3="",BO$3&gt;TODAY()),"",IF(AND(BR572="",BS572=""),"",N(BS572)-N(BR572)))</f>
        <v/>
      </c>
      <c r="BX572">
        <f>IF(OR(BV$3="",BV$3&gt;TODAY()),"",IF(AND(BV572="",BW572=""),"",N(BW572)-N(BV572)))</f>
        <v/>
      </c>
      <c r="CA572">
        <f>IF(OR(BV$3="",BV$3&gt;TODAY()),"",IF(AND(BY572="",BZ572=""),"",N(BZ572)-N(BY572)))</f>
        <v/>
      </c>
      <c r="CE572">
        <f>IF(OR(CC$3="",CC$3&gt;TODAY()),"",IF(AND(CC572="",CD572=""),"",N(CD572)-N(CC572)))</f>
        <v/>
      </c>
      <c r="CH572">
        <f>IF(OR(CC$3="",CC$3&gt;TODAY()),"",IF(AND(CF572="",CG572=""),"",N(CG572)-N(CF572)))</f>
        <v/>
      </c>
      <c r="CL572">
        <f>IF(OR(CJ$3="",CJ$3&gt;TODAY()),"",IF(AND(CJ572="",CK572=""),"",N(CK572)-N(CJ572)))</f>
        <v/>
      </c>
      <c r="CO572">
        <f>IF(OR(CJ$3="",CJ$3&gt;TODAY()),"",IF(AND(CM572="",CN572=""),"",N(CN572)-N(CM572)))</f>
        <v/>
      </c>
      <c r="CS572">
        <f>IF(OR(CQ$3="",CQ$3&gt;TODAY()),"",IF(AND(CQ572="",CR572=""),"",N(CR572)-N(CQ572)))</f>
        <v/>
      </c>
      <c r="CV572">
        <f>IF(OR(CQ$3="",CQ$3&gt;TODAY()),"",IF(AND(CT572="",CU572=""),"",N(CU572)-N(CT572)))</f>
        <v/>
      </c>
      <c r="CZ572">
        <f>IF(OR(CX$3="",CX$3&gt;TODAY()),"",IF(AND(CX572="",CY572=""),"",N(CY572)-N(CX572)))</f>
        <v/>
      </c>
      <c r="DC572">
        <f>IF(OR(CX$3="",CX$3&gt;TODAY()),"",IF(AND(DA572="",DB572=""),"",N(DB572)-N(DA572)))</f>
        <v/>
      </c>
      <c r="DG572">
        <f>IF(OR(DE$3="",DE$3&gt;TODAY()),"",IF(AND(DE572="",DF572=""),"",N(DF572)-N(DE572)))</f>
        <v/>
      </c>
      <c r="DJ572">
        <f>IF(OR(DE$3="",DE$3&gt;TODAY()),"",IF(AND(DH572="",DI572=""),"",N(DI572)-N(DH572)))</f>
        <v/>
      </c>
      <c r="DN572">
        <f>IF(OR(DL$3="",DL$3&gt;TODAY()),"",IF(AND(DL572="",DM572=""),"",N(DM572)-N(DL572)))</f>
        <v/>
      </c>
      <c r="DQ572">
        <f>IF(OR(DL$3="",DL$3&gt;TODAY()),"",IF(AND(DO572="",DP572=""),"",N(DP572)-N(DO572)))</f>
        <v/>
      </c>
      <c r="DU572">
        <f>IF(OR(DS$3="",DS$3&gt;TODAY()),"",IF(AND(DS572="",DT572=""),"",N(DT572)-N(DS572)))</f>
        <v/>
      </c>
      <c r="DX572">
        <f>IF(OR(DS$3="",DS$3&gt;TODAY()),"",IF(AND(DV572="",DW572=""),"",N(DW572)-N(DV572)))</f>
        <v/>
      </c>
      <c r="EB572">
        <f>IF(OR(DZ$3="",DZ$3&gt;TODAY()),"",IF(AND(DZ572="",EA572=""),"",N(EA572)-N(DZ572)))</f>
        <v/>
      </c>
      <c r="EE572">
        <f>IF(OR(DZ$3="",DZ$3&gt;TODAY()),"",IF(AND(EC572="",ED572=""),"",N(ED572)-N(EC572)))</f>
        <v/>
      </c>
      <c r="EI572">
        <f>IF(OR(EG$3="",EG$3&gt;TODAY()),"",IF(AND(EG572="",EH572=""),"",N(EH572)-N(EG572)))</f>
        <v/>
      </c>
      <c r="EL572">
        <f>IF(OR(EG$3="",EG$3&gt;TODAY()),"",IF(AND(EJ572="",EK572=""),"",N(EK572)-N(EJ572)))</f>
        <v/>
      </c>
      <c r="EP572">
        <f>IF(OR(EN$3="",EN$3&gt;TODAY()),"",IF(AND(EN572="",EO572=""),"",N(EO572)-N(EN572)))</f>
        <v/>
      </c>
      <c r="ES572">
        <f>IF(OR(EN$3="",EN$3&gt;TODAY()),"",IF(AND(EQ572="",ER572=""),"",N(ER572)-N(EQ572)))</f>
        <v/>
      </c>
      <c r="EW572">
        <f>IF(OR(EU$3="",EU$3&gt;TODAY()),"",IF(AND(EU572="",EV572=""),"",N(EV572)-N(EU572)))</f>
        <v/>
      </c>
      <c r="EZ572">
        <f>IF(OR(EU$3="",EU$3&gt;TODAY()),"",IF(AND(EX572="",EY572=""),"",N(EY572)-N(EX572)))</f>
        <v/>
      </c>
      <c r="FD572">
        <f>IF(OR(FB$3="",FB$3&gt;TODAY()),"",IF(AND(FB572="",FC572=""),"",N(FC572)-N(FB572)))</f>
        <v/>
      </c>
      <c r="FG572">
        <f>IF(OR(FB$3="",FB$3&gt;TODAY()),"",IF(AND(FE572="",FF572=""),"",N(FF572)-N(FE572)))</f>
        <v/>
      </c>
      <c r="FK572">
        <f>IF(OR(FI$3="",FI$3&gt;TODAY()),"",IF(AND(FI572="",FJ572=""),"",N(FJ572)-N(FI572)))</f>
        <v/>
      </c>
      <c r="FN572">
        <f>IF(OR(FI$3="",FI$3&gt;TODAY()),"",IF(AND(FL572="",FM572=""),"",N(FM572)-N(FL572)))</f>
        <v/>
      </c>
      <c r="FR572">
        <f>IF(OR(FP$3="",FP$3&gt;TODAY()),"",IF(AND(FP572="",FQ572=""),"",N(FQ572)-N(FP572)))</f>
        <v/>
      </c>
      <c r="FU572">
        <f>IF(OR(FP$3="",FP$3&gt;TODAY()),"",IF(AND(FS572="",FT572=""),"",N(FT572)-N(FS572)))</f>
        <v/>
      </c>
      <c r="FY572">
        <f>IF(OR(FW$3="",FW$3&gt;TODAY()),"",IF(AND(FW572="",FX572=""),"",N(FX572)-N(FW572)))</f>
        <v/>
      </c>
      <c r="GB572">
        <f>IF(OR(FW$3="",FW$3&gt;TODAY()),"",IF(AND(FZ572="",GA572=""),"",N(GA572)-N(FZ572)))</f>
        <v/>
      </c>
      <c r="GF572">
        <f>IF(OR(GD$3="",GD$3&gt;TODAY()),"",IF(AND(GD572="",GE572=""),"",N(GE572)-N(GD572)))</f>
        <v/>
      </c>
      <c r="GI572">
        <f>IF(OR(GD$3="",GD$3&gt;TODAY()),"",IF(AND(GG572="",GH572=""),"",N(GH572)-N(GG572)))</f>
        <v/>
      </c>
      <c r="GM572">
        <f>IF(OR(GK$3="",GK$3&gt;TODAY()),"",IF(AND(GK572="",GL572=""),"",N(GL572)-N(GK572)))</f>
        <v/>
      </c>
      <c r="GP572">
        <f>IF(OR(GK$3="",GK$3&gt;TODAY()),"",IF(AND(GN572="",GO572=""),"",N(GO572)-N(GN572)))</f>
        <v/>
      </c>
      <c r="GT572">
        <f>IF(OR(GR$3="",GR$3&gt;TODAY()),"",IF(AND(GR572="",GS572=""),"",N(GS572)-N(GR572)))</f>
        <v/>
      </c>
      <c r="GW572">
        <f>IF(OR(GR$3="",GR$3&gt;TODAY()),"",IF(AND(GU572="",GV572=""),"",N(GV572)-N(GU572)))</f>
        <v/>
      </c>
      <c r="HA572">
        <f>IF(OR(GY$3="",GY$3&gt;TODAY()),"",IF(AND(GY572="",GZ572=""),"",N(GZ572)-N(GY572)))</f>
        <v/>
      </c>
      <c r="HD572">
        <f>IF(OR(GY$3="",GY$3&gt;TODAY()),"",IF(AND(HB572="",HC572=""),"",N(HC572)-N(HB572)))</f>
        <v/>
      </c>
      <c r="HH572">
        <f>IF(OR(HF$3="",HF$3&gt;TODAY()),"",IF(AND(HF572="",HG572=""),"",N(HG572)-N(HF572)))</f>
        <v/>
      </c>
      <c r="HK572">
        <f>IF(OR(HF$3="",HF$3&gt;TODAY()),"",IF(AND(HI572="",HJ572=""),"",N(HJ572)-N(HI572)))</f>
        <v/>
      </c>
      <c r="HO572">
        <f>IF(OR(HM$3="",HM$3&gt;TODAY()),"",IF(AND(HM572="",HN572=""),"",N(HN572)-N(HM572)))</f>
        <v/>
      </c>
      <c r="HR572">
        <f>IF(OR(HM$3="",HM$3&gt;TODAY()),"",IF(AND(HP572="",HQ572=""),"",N(HQ572)-N(HP572)))</f>
        <v/>
      </c>
      <c r="HV572">
        <f>IF(OR(HT$3="",HT$3&gt;TODAY()),"",IF(AND(HT572="",HU572=""),"",N(HU572)-N(HT572)))</f>
        <v/>
      </c>
      <c r="HY572">
        <f>IF(OR(HT$3="",HT$3&gt;TODAY()),"",IF(AND(HW572="",HX572=""),"",N(HX572)-N(HW572)))</f>
        <v/>
      </c>
      <c r="IC572">
        <f>IF(OR(IA$3="",IA$3&gt;TODAY()),"",IF(AND(IA572="",IB572=""),"",N(IB572)-N(IA572)))</f>
        <v/>
      </c>
      <c r="IF572">
        <f>IF(OR(IA$3="",IA$3&gt;TODAY()),"",IF(AND(ID572="",IE572=""),"",N(IE572)-N(ID572)))</f>
        <v/>
      </c>
      <c r="IJ572">
        <f>IF(OR(IH$3="",IH$3&gt;TODAY()),"",IF(AND(IH572="",II572=""),"",N(II572)-N(IH572)))</f>
        <v/>
      </c>
      <c r="IM572">
        <f>IF(OR(IH$3="",IH$3&gt;TODAY()),"",IF(AND(IK572="",IL572=""),"",N(IL572)-N(IK572)))</f>
        <v/>
      </c>
    </row>
    <row r="573">
      <c r="A573" s="21" t="n"/>
      <c r="B573" s="21" t="n"/>
      <c r="C573" s="21" t="n"/>
      <c r="D573" s="21" t="n"/>
      <c r="E573" s="21" t="n"/>
      <c r="F573" s="21" t="n"/>
      <c r="G573" s="21" t="n"/>
      <c r="H573" s="21" t="n"/>
      <c r="I573" s="22" t="n"/>
      <c r="J573" s="22" t="n"/>
      <c r="K573" s="23" t="n"/>
      <c r="L573" s="22" t="n"/>
      <c r="M573" s="22" t="n"/>
      <c r="N573" s="21" t="n"/>
      <c r="O573" s="23" t="n"/>
      <c r="P573" s="23" t="n"/>
      <c r="Q573" s="23" t="n"/>
      <c r="R573" s="23" t="n"/>
      <c r="S573" s="22" t="n"/>
      <c r="T573" s="23" t="n"/>
      <c r="U573" s="23" t="n"/>
      <c r="V573" s="24">
        <f>IF(J573&lt;&gt;"",J573,IF(I573&lt;&gt;"",I573,""))</f>
        <v/>
      </c>
      <c r="W573" s="25">
        <f>IF($E573="","",N(O573)+SUMIFS($AF573:$IN573,$AF$4:$IN$4,"SEW_ACT"))</f>
        <v/>
      </c>
      <c r="X573" s="25">
        <f>IF($E573="","",N(P573)+SUMIFS($AF573:$IN573,$AF$4:$IN$4,"WASH_ACT"))</f>
        <v/>
      </c>
      <c r="Y573" s="25">
        <f>IF($E573="","",W573-X573-N(T573)-N(U573))</f>
        <v/>
      </c>
      <c r="Z573" s="25">
        <f>IF($E573="","",IF(N(K573)-X573&lt;=0.02*N(K573),0,N(K573)-X573))</f>
        <v/>
      </c>
      <c r="AA573" s="24">
        <f>IF($E573="","",IF(S573&lt;&gt;"",S573,IF(N(O573)&gt;0,IF(L573&lt;&gt;"",L573,99999),IFERROR(1/(1/_xlfn.MINIFS($AF$3:$IN$3,$AF$4:$IN$4,"SEW_ACT",$AF573:$IN573,"&gt;0")),99999))))</f>
        <v/>
      </c>
      <c r="AB573" s="26">
        <f>IF(OR($E573="",Z573=0,V573=""),"",1+COUNTIFS(Z$8:Z$707,"&gt;0",V$8:V$707,"&lt;"&amp;V573)+COUNTIFS(Z$8:Z$707,"&gt;0",V$8:V$707,V573,AA$8:AA$707,"&lt;"&amp;AA573)+COUNTIFS(Z$8:Z$707,"&gt;0",V$8:V$707,V573,AA$8:AA$707,AA573,E$8:E$707,"&lt;"&amp;$E573))</f>
        <v/>
      </c>
      <c r="AC573" s="24">
        <f>IF(OR($E573="",Z573=0),"",IFERROR(TODAY()+ROUNDUP(Z573/(SUMIFS($AF573:$IN573,$AF$4:$IN$4,"WASH_ACT")/COUNTIFS($AF$4:$IN$4,"WASH_ACT",$AF573:$IN573,"&gt;0")),0),"no output yet"))</f>
        <v/>
      </c>
      <c r="AD573" s="26">
        <f>IF($E573="","",IFERROR(ROUND(MAX(0,SUMIFS($AF573:$IN573,$AF$4:$IN$4,"SEW_PLAN",$AF$3:$IN$3,"&lt;="&amp;TODAY())-SUMIFS($AF573:$IN573,$AF$4:$IN$4,"SEW_ACT",$AF$3:$IN$3,"&lt;="&amp;TODAY())+N(Q573))/(SUMIFS($AF573:$IN573,$AF$4:$IN$4,"SEW_PLAN")/COUNTIFS($AF$4:$IN$4,"SEW_PLAN",$AF573:$IN573,"&gt;0")),1),0))</f>
        <v/>
      </c>
      <c r="AE573" s="26">
        <f>IF($E573="","",IF(AND(Z573&gt;0,OR(AND(M573&lt;&gt;"",TODAY()&gt;M573),AND(V573&lt;&gt;"",V573-TODAY()&lt;=7))),"Yes","No"))</f>
        <v/>
      </c>
      <c r="AH573">
        <f>IF(OR(AF$3="",AF$3&gt;TODAY()),"",IF(AND(AF573="",AG573=""),"",N(AG573)-N(AF573)))</f>
        <v/>
      </c>
      <c r="AK573">
        <f>IF(OR(AF$3="",AF$3&gt;TODAY()),"",IF(AND(AI573="",AJ573=""),"",N(AJ573)-N(AI573)))</f>
        <v/>
      </c>
      <c r="AO573">
        <f>IF(OR(AM$3="",AM$3&gt;TODAY()),"",IF(AND(AM573="",AN573=""),"",N(AN573)-N(AM573)))</f>
        <v/>
      </c>
      <c r="AR573">
        <f>IF(OR(AM$3="",AM$3&gt;TODAY()),"",IF(AND(AP573="",AQ573=""),"",N(AQ573)-N(AP573)))</f>
        <v/>
      </c>
      <c r="AV573">
        <f>IF(OR(AT$3="",AT$3&gt;TODAY()),"",IF(AND(AT573="",AU573=""),"",N(AU573)-N(AT573)))</f>
        <v/>
      </c>
      <c r="AY573">
        <f>IF(OR(AT$3="",AT$3&gt;TODAY()),"",IF(AND(AW573="",AX573=""),"",N(AX573)-N(AW573)))</f>
        <v/>
      </c>
      <c r="BC573">
        <f>IF(OR(BA$3="",BA$3&gt;TODAY()),"",IF(AND(BA573="",BB573=""),"",N(BB573)-N(BA573)))</f>
        <v/>
      </c>
      <c r="BF573">
        <f>IF(OR(BA$3="",BA$3&gt;TODAY()),"",IF(AND(BD573="",BE573=""),"",N(BE573)-N(BD573)))</f>
        <v/>
      </c>
      <c r="BJ573">
        <f>IF(OR(BH$3="",BH$3&gt;TODAY()),"",IF(AND(BH573="",BI573=""),"",N(BI573)-N(BH573)))</f>
        <v/>
      </c>
      <c r="BM573">
        <f>IF(OR(BH$3="",BH$3&gt;TODAY()),"",IF(AND(BK573="",BL573=""),"",N(BL573)-N(BK573)))</f>
        <v/>
      </c>
      <c r="BQ573">
        <f>IF(OR(BO$3="",BO$3&gt;TODAY()),"",IF(AND(BO573="",BP573=""),"",N(BP573)-N(BO573)))</f>
        <v/>
      </c>
      <c r="BT573">
        <f>IF(OR(BO$3="",BO$3&gt;TODAY()),"",IF(AND(BR573="",BS573=""),"",N(BS573)-N(BR573)))</f>
        <v/>
      </c>
      <c r="BX573">
        <f>IF(OR(BV$3="",BV$3&gt;TODAY()),"",IF(AND(BV573="",BW573=""),"",N(BW573)-N(BV573)))</f>
        <v/>
      </c>
      <c r="CA573">
        <f>IF(OR(BV$3="",BV$3&gt;TODAY()),"",IF(AND(BY573="",BZ573=""),"",N(BZ573)-N(BY573)))</f>
        <v/>
      </c>
      <c r="CE573">
        <f>IF(OR(CC$3="",CC$3&gt;TODAY()),"",IF(AND(CC573="",CD573=""),"",N(CD573)-N(CC573)))</f>
        <v/>
      </c>
      <c r="CH573">
        <f>IF(OR(CC$3="",CC$3&gt;TODAY()),"",IF(AND(CF573="",CG573=""),"",N(CG573)-N(CF573)))</f>
        <v/>
      </c>
      <c r="CL573">
        <f>IF(OR(CJ$3="",CJ$3&gt;TODAY()),"",IF(AND(CJ573="",CK573=""),"",N(CK573)-N(CJ573)))</f>
        <v/>
      </c>
      <c r="CO573">
        <f>IF(OR(CJ$3="",CJ$3&gt;TODAY()),"",IF(AND(CM573="",CN573=""),"",N(CN573)-N(CM573)))</f>
        <v/>
      </c>
      <c r="CS573">
        <f>IF(OR(CQ$3="",CQ$3&gt;TODAY()),"",IF(AND(CQ573="",CR573=""),"",N(CR573)-N(CQ573)))</f>
        <v/>
      </c>
      <c r="CV573">
        <f>IF(OR(CQ$3="",CQ$3&gt;TODAY()),"",IF(AND(CT573="",CU573=""),"",N(CU573)-N(CT573)))</f>
        <v/>
      </c>
      <c r="CZ573">
        <f>IF(OR(CX$3="",CX$3&gt;TODAY()),"",IF(AND(CX573="",CY573=""),"",N(CY573)-N(CX573)))</f>
        <v/>
      </c>
      <c r="DC573">
        <f>IF(OR(CX$3="",CX$3&gt;TODAY()),"",IF(AND(DA573="",DB573=""),"",N(DB573)-N(DA573)))</f>
        <v/>
      </c>
      <c r="DG573">
        <f>IF(OR(DE$3="",DE$3&gt;TODAY()),"",IF(AND(DE573="",DF573=""),"",N(DF573)-N(DE573)))</f>
        <v/>
      </c>
      <c r="DJ573">
        <f>IF(OR(DE$3="",DE$3&gt;TODAY()),"",IF(AND(DH573="",DI573=""),"",N(DI573)-N(DH573)))</f>
        <v/>
      </c>
      <c r="DN573">
        <f>IF(OR(DL$3="",DL$3&gt;TODAY()),"",IF(AND(DL573="",DM573=""),"",N(DM573)-N(DL573)))</f>
        <v/>
      </c>
      <c r="DQ573">
        <f>IF(OR(DL$3="",DL$3&gt;TODAY()),"",IF(AND(DO573="",DP573=""),"",N(DP573)-N(DO573)))</f>
        <v/>
      </c>
      <c r="DU573">
        <f>IF(OR(DS$3="",DS$3&gt;TODAY()),"",IF(AND(DS573="",DT573=""),"",N(DT573)-N(DS573)))</f>
        <v/>
      </c>
      <c r="DX573">
        <f>IF(OR(DS$3="",DS$3&gt;TODAY()),"",IF(AND(DV573="",DW573=""),"",N(DW573)-N(DV573)))</f>
        <v/>
      </c>
      <c r="EB573">
        <f>IF(OR(DZ$3="",DZ$3&gt;TODAY()),"",IF(AND(DZ573="",EA573=""),"",N(EA573)-N(DZ573)))</f>
        <v/>
      </c>
      <c r="EE573">
        <f>IF(OR(DZ$3="",DZ$3&gt;TODAY()),"",IF(AND(EC573="",ED573=""),"",N(ED573)-N(EC573)))</f>
        <v/>
      </c>
      <c r="EI573">
        <f>IF(OR(EG$3="",EG$3&gt;TODAY()),"",IF(AND(EG573="",EH573=""),"",N(EH573)-N(EG573)))</f>
        <v/>
      </c>
      <c r="EL573">
        <f>IF(OR(EG$3="",EG$3&gt;TODAY()),"",IF(AND(EJ573="",EK573=""),"",N(EK573)-N(EJ573)))</f>
        <v/>
      </c>
      <c r="EP573">
        <f>IF(OR(EN$3="",EN$3&gt;TODAY()),"",IF(AND(EN573="",EO573=""),"",N(EO573)-N(EN573)))</f>
        <v/>
      </c>
      <c r="ES573">
        <f>IF(OR(EN$3="",EN$3&gt;TODAY()),"",IF(AND(EQ573="",ER573=""),"",N(ER573)-N(EQ573)))</f>
        <v/>
      </c>
      <c r="EW573">
        <f>IF(OR(EU$3="",EU$3&gt;TODAY()),"",IF(AND(EU573="",EV573=""),"",N(EV573)-N(EU573)))</f>
        <v/>
      </c>
      <c r="EZ573">
        <f>IF(OR(EU$3="",EU$3&gt;TODAY()),"",IF(AND(EX573="",EY573=""),"",N(EY573)-N(EX573)))</f>
        <v/>
      </c>
      <c r="FD573">
        <f>IF(OR(FB$3="",FB$3&gt;TODAY()),"",IF(AND(FB573="",FC573=""),"",N(FC573)-N(FB573)))</f>
        <v/>
      </c>
      <c r="FG573">
        <f>IF(OR(FB$3="",FB$3&gt;TODAY()),"",IF(AND(FE573="",FF573=""),"",N(FF573)-N(FE573)))</f>
        <v/>
      </c>
      <c r="FK573">
        <f>IF(OR(FI$3="",FI$3&gt;TODAY()),"",IF(AND(FI573="",FJ573=""),"",N(FJ573)-N(FI573)))</f>
        <v/>
      </c>
      <c r="FN573">
        <f>IF(OR(FI$3="",FI$3&gt;TODAY()),"",IF(AND(FL573="",FM573=""),"",N(FM573)-N(FL573)))</f>
        <v/>
      </c>
      <c r="FR573">
        <f>IF(OR(FP$3="",FP$3&gt;TODAY()),"",IF(AND(FP573="",FQ573=""),"",N(FQ573)-N(FP573)))</f>
        <v/>
      </c>
      <c r="FU573">
        <f>IF(OR(FP$3="",FP$3&gt;TODAY()),"",IF(AND(FS573="",FT573=""),"",N(FT573)-N(FS573)))</f>
        <v/>
      </c>
      <c r="FY573">
        <f>IF(OR(FW$3="",FW$3&gt;TODAY()),"",IF(AND(FW573="",FX573=""),"",N(FX573)-N(FW573)))</f>
        <v/>
      </c>
      <c r="GB573">
        <f>IF(OR(FW$3="",FW$3&gt;TODAY()),"",IF(AND(FZ573="",GA573=""),"",N(GA573)-N(FZ573)))</f>
        <v/>
      </c>
      <c r="GF573">
        <f>IF(OR(GD$3="",GD$3&gt;TODAY()),"",IF(AND(GD573="",GE573=""),"",N(GE573)-N(GD573)))</f>
        <v/>
      </c>
      <c r="GI573">
        <f>IF(OR(GD$3="",GD$3&gt;TODAY()),"",IF(AND(GG573="",GH573=""),"",N(GH573)-N(GG573)))</f>
        <v/>
      </c>
      <c r="GM573">
        <f>IF(OR(GK$3="",GK$3&gt;TODAY()),"",IF(AND(GK573="",GL573=""),"",N(GL573)-N(GK573)))</f>
        <v/>
      </c>
      <c r="GP573">
        <f>IF(OR(GK$3="",GK$3&gt;TODAY()),"",IF(AND(GN573="",GO573=""),"",N(GO573)-N(GN573)))</f>
        <v/>
      </c>
      <c r="GT573">
        <f>IF(OR(GR$3="",GR$3&gt;TODAY()),"",IF(AND(GR573="",GS573=""),"",N(GS573)-N(GR573)))</f>
        <v/>
      </c>
      <c r="GW573">
        <f>IF(OR(GR$3="",GR$3&gt;TODAY()),"",IF(AND(GU573="",GV573=""),"",N(GV573)-N(GU573)))</f>
        <v/>
      </c>
      <c r="HA573">
        <f>IF(OR(GY$3="",GY$3&gt;TODAY()),"",IF(AND(GY573="",GZ573=""),"",N(GZ573)-N(GY573)))</f>
        <v/>
      </c>
      <c r="HD573">
        <f>IF(OR(GY$3="",GY$3&gt;TODAY()),"",IF(AND(HB573="",HC573=""),"",N(HC573)-N(HB573)))</f>
        <v/>
      </c>
      <c r="HH573">
        <f>IF(OR(HF$3="",HF$3&gt;TODAY()),"",IF(AND(HF573="",HG573=""),"",N(HG573)-N(HF573)))</f>
        <v/>
      </c>
      <c r="HK573">
        <f>IF(OR(HF$3="",HF$3&gt;TODAY()),"",IF(AND(HI573="",HJ573=""),"",N(HJ573)-N(HI573)))</f>
        <v/>
      </c>
      <c r="HO573">
        <f>IF(OR(HM$3="",HM$3&gt;TODAY()),"",IF(AND(HM573="",HN573=""),"",N(HN573)-N(HM573)))</f>
        <v/>
      </c>
      <c r="HR573">
        <f>IF(OR(HM$3="",HM$3&gt;TODAY()),"",IF(AND(HP573="",HQ573=""),"",N(HQ573)-N(HP573)))</f>
        <v/>
      </c>
      <c r="HV573">
        <f>IF(OR(HT$3="",HT$3&gt;TODAY()),"",IF(AND(HT573="",HU573=""),"",N(HU573)-N(HT573)))</f>
        <v/>
      </c>
      <c r="HY573">
        <f>IF(OR(HT$3="",HT$3&gt;TODAY()),"",IF(AND(HW573="",HX573=""),"",N(HX573)-N(HW573)))</f>
        <v/>
      </c>
      <c r="IC573">
        <f>IF(OR(IA$3="",IA$3&gt;TODAY()),"",IF(AND(IA573="",IB573=""),"",N(IB573)-N(IA573)))</f>
        <v/>
      </c>
      <c r="IF573">
        <f>IF(OR(IA$3="",IA$3&gt;TODAY()),"",IF(AND(ID573="",IE573=""),"",N(IE573)-N(ID573)))</f>
        <v/>
      </c>
      <c r="IJ573">
        <f>IF(OR(IH$3="",IH$3&gt;TODAY()),"",IF(AND(IH573="",II573=""),"",N(II573)-N(IH573)))</f>
        <v/>
      </c>
      <c r="IM573">
        <f>IF(OR(IH$3="",IH$3&gt;TODAY()),"",IF(AND(IK573="",IL573=""),"",N(IL573)-N(IK573)))</f>
        <v/>
      </c>
    </row>
    <row r="574">
      <c r="A574" s="21" t="n"/>
      <c r="B574" s="21" t="n"/>
      <c r="C574" s="21" t="n"/>
      <c r="D574" s="21" t="n"/>
      <c r="E574" s="21" t="n"/>
      <c r="F574" s="21" t="n"/>
      <c r="G574" s="21" t="n"/>
      <c r="H574" s="21" t="n"/>
      <c r="I574" s="22" t="n"/>
      <c r="J574" s="22" t="n"/>
      <c r="K574" s="23" t="n"/>
      <c r="L574" s="22" t="n"/>
      <c r="M574" s="22" t="n"/>
      <c r="N574" s="21" t="n"/>
      <c r="O574" s="23" t="n"/>
      <c r="P574" s="23" t="n"/>
      <c r="Q574" s="23" t="n"/>
      <c r="R574" s="23" t="n"/>
      <c r="S574" s="22" t="n"/>
      <c r="T574" s="23" t="n"/>
      <c r="U574" s="23" t="n"/>
      <c r="V574" s="24">
        <f>IF(J574&lt;&gt;"",J574,IF(I574&lt;&gt;"",I574,""))</f>
        <v/>
      </c>
      <c r="W574" s="25">
        <f>IF($E574="","",N(O574)+SUMIFS($AF574:$IN574,$AF$4:$IN$4,"SEW_ACT"))</f>
        <v/>
      </c>
      <c r="X574" s="25">
        <f>IF($E574="","",N(P574)+SUMIFS($AF574:$IN574,$AF$4:$IN$4,"WASH_ACT"))</f>
        <v/>
      </c>
      <c r="Y574" s="25">
        <f>IF($E574="","",W574-X574-N(T574)-N(U574))</f>
        <v/>
      </c>
      <c r="Z574" s="25">
        <f>IF($E574="","",IF(N(K574)-X574&lt;=0.02*N(K574),0,N(K574)-X574))</f>
        <v/>
      </c>
      <c r="AA574" s="24">
        <f>IF($E574="","",IF(S574&lt;&gt;"",S574,IF(N(O574)&gt;0,IF(L574&lt;&gt;"",L574,99999),IFERROR(1/(1/_xlfn.MINIFS($AF$3:$IN$3,$AF$4:$IN$4,"SEW_ACT",$AF574:$IN574,"&gt;0")),99999))))</f>
        <v/>
      </c>
      <c r="AB574" s="26">
        <f>IF(OR($E574="",Z574=0,V574=""),"",1+COUNTIFS(Z$8:Z$707,"&gt;0",V$8:V$707,"&lt;"&amp;V574)+COUNTIFS(Z$8:Z$707,"&gt;0",V$8:V$707,V574,AA$8:AA$707,"&lt;"&amp;AA574)+COUNTIFS(Z$8:Z$707,"&gt;0",V$8:V$707,V574,AA$8:AA$707,AA574,E$8:E$707,"&lt;"&amp;$E574))</f>
        <v/>
      </c>
      <c r="AC574" s="24">
        <f>IF(OR($E574="",Z574=0),"",IFERROR(TODAY()+ROUNDUP(Z574/(SUMIFS($AF574:$IN574,$AF$4:$IN$4,"WASH_ACT")/COUNTIFS($AF$4:$IN$4,"WASH_ACT",$AF574:$IN574,"&gt;0")),0),"no output yet"))</f>
        <v/>
      </c>
      <c r="AD574" s="26">
        <f>IF($E574="","",IFERROR(ROUND(MAX(0,SUMIFS($AF574:$IN574,$AF$4:$IN$4,"SEW_PLAN",$AF$3:$IN$3,"&lt;="&amp;TODAY())-SUMIFS($AF574:$IN574,$AF$4:$IN$4,"SEW_ACT",$AF$3:$IN$3,"&lt;="&amp;TODAY())+N(Q574))/(SUMIFS($AF574:$IN574,$AF$4:$IN$4,"SEW_PLAN")/COUNTIFS($AF$4:$IN$4,"SEW_PLAN",$AF574:$IN574,"&gt;0")),1),0))</f>
        <v/>
      </c>
      <c r="AE574" s="26">
        <f>IF($E574="","",IF(AND(Z574&gt;0,OR(AND(M574&lt;&gt;"",TODAY()&gt;M574),AND(V574&lt;&gt;"",V574-TODAY()&lt;=7))),"Yes","No"))</f>
        <v/>
      </c>
      <c r="AH574">
        <f>IF(OR(AF$3="",AF$3&gt;TODAY()),"",IF(AND(AF574="",AG574=""),"",N(AG574)-N(AF574)))</f>
        <v/>
      </c>
      <c r="AK574">
        <f>IF(OR(AF$3="",AF$3&gt;TODAY()),"",IF(AND(AI574="",AJ574=""),"",N(AJ574)-N(AI574)))</f>
        <v/>
      </c>
      <c r="AO574">
        <f>IF(OR(AM$3="",AM$3&gt;TODAY()),"",IF(AND(AM574="",AN574=""),"",N(AN574)-N(AM574)))</f>
        <v/>
      </c>
      <c r="AR574">
        <f>IF(OR(AM$3="",AM$3&gt;TODAY()),"",IF(AND(AP574="",AQ574=""),"",N(AQ574)-N(AP574)))</f>
        <v/>
      </c>
      <c r="AV574">
        <f>IF(OR(AT$3="",AT$3&gt;TODAY()),"",IF(AND(AT574="",AU574=""),"",N(AU574)-N(AT574)))</f>
        <v/>
      </c>
      <c r="AY574">
        <f>IF(OR(AT$3="",AT$3&gt;TODAY()),"",IF(AND(AW574="",AX574=""),"",N(AX574)-N(AW574)))</f>
        <v/>
      </c>
      <c r="BC574">
        <f>IF(OR(BA$3="",BA$3&gt;TODAY()),"",IF(AND(BA574="",BB574=""),"",N(BB574)-N(BA574)))</f>
        <v/>
      </c>
      <c r="BF574">
        <f>IF(OR(BA$3="",BA$3&gt;TODAY()),"",IF(AND(BD574="",BE574=""),"",N(BE574)-N(BD574)))</f>
        <v/>
      </c>
      <c r="BJ574">
        <f>IF(OR(BH$3="",BH$3&gt;TODAY()),"",IF(AND(BH574="",BI574=""),"",N(BI574)-N(BH574)))</f>
        <v/>
      </c>
      <c r="BM574">
        <f>IF(OR(BH$3="",BH$3&gt;TODAY()),"",IF(AND(BK574="",BL574=""),"",N(BL574)-N(BK574)))</f>
        <v/>
      </c>
      <c r="BQ574">
        <f>IF(OR(BO$3="",BO$3&gt;TODAY()),"",IF(AND(BO574="",BP574=""),"",N(BP574)-N(BO574)))</f>
        <v/>
      </c>
      <c r="BT574">
        <f>IF(OR(BO$3="",BO$3&gt;TODAY()),"",IF(AND(BR574="",BS574=""),"",N(BS574)-N(BR574)))</f>
        <v/>
      </c>
      <c r="BX574">
        <f>IF(OR(BV$3="",BV$3&gt;TODAY()),"",IF(AND(BV574="",BW574=""),"",N(BW574)-N(BV574)))</f>
        <v/>
      </c>
      <c r="CA574">
        <f>IF(OR(BV$3="",BV$3&gt;TODAY()),"",IF(AND(BY574="",BZ574=""),"",N(BZ574)-N(BY574)))</f>
        <v/>
      </c>
      <c r="CE574">
        <f>IF(OR(CC$3="",CC$3&gt;TODAY()),"",IF(AND(CC574="",CD574=""),"",N(CD574)-N(CC574)))</f>
        <v/>
      </c>
      <c r="CH574">
        <f>IF(OR(CC$3="",CC$3&gt;TODAY()),"",IF(AND(CF574="",CG574=""),"",N(CG574)-N(CF574)))</f>
        <v/>
      </c>
      <c r="CL574">
        <f>IF(OR(CJ$3="",CJ$3&gt;TODAY()),"",IF(AND(CJ574="",CK574=""),"",N(CK574)-N(CJ574)))</f>
        <v/>
      </c>
      <c r="CO574">
        <f>IF(OR(CJ$3="",CJ$3&gt;TODAY()),"",IF(AND(CM574="",CN574=""),"",N(CN574)-N(CM574)))</f>
        <v/>
      </c>
      <c r="CS574">
        <f>IF(OR(CQ$3="",CQ$3&gt;TODAY()),"",IF(AND(CQ574="",CR574=""),"",N(CR574)-N(CQ574)))</f>
        <v/>
      </c>
      <c r="CV574">
        <f>IF(OR(CQ$3="",CQ$3&gt;TODAY()),"",IF(AND(CT574="",CU574=""),"",N(CU574)-N(CT574)))</f>
        <v/>
      </c>
      <c r="CZ574">
        <f>IF(OR(CX$3="",CX$3&gt;TODAY()),"",IF(AND(CX574="",CY574=""),"",N(CY574)-N(CX574)))</f>
        <v/>
      </c>
      <c r="DC574">
        <f>IF(OR(CX$3="",CX$3&gt;TODAY()),"",IF(AND(DA574="",DB574=""),"",N(DB574)-N(DA574)))</f>
        <v/>
      </c>
      <c r="DG574">
        <f>IF(OR(DE$3="",DE$3&gt;TODAY()),"",IF(AND(DE574="",DF574=""),"",N(DF574)-N(DE574)))</f>
        <v/>
      </c>
      <c r="DJ574">
        <f>IF(OR(DE$3="",DE$3&gt;TODAY()),"",IF(AND(DH574="",DI574=""),"",N(DI574)-N(DH574)))</f>
        <v/>
      </c>
      <c r="DN574">
        <f>IF(OR(DL$3="",DL$3&gt;TODAY()),"",IF(AND(DL574="",DM574=""),"",N(DM574)-N(DL574)))</f>
        <v/>
      </c>
      <c r="DQ574">
        <f>IF(OR(DL$3="",DL$3&gt;TODAY()),"",IF(AND(DO574="",DP574=""),"",N(DP574)-N(DO574)))</f>
        <v/>
      </c>
      <c r="DU574">
        <f>IF(OR(DS$3="",DS$3&gt;TODAY()),"",IF(AND(DS574="",DT574=""),"",N(DT574)-N(DS574)))</f>
        <v/>
      </c>
      <c r="DX574">
        <f>IF(OR(DS$3="",DS$3&gt;TODAY()),"",IF(AND(DV574="",DW574=""),"",N(DW574)-N(DV574)))</f>
        <v/>
      </c>
      <c r="EB574">
        <f>IF(OR(DZ$3="",DZ$3&gt;TODAY()),"",IF(AND(DZ574="",EA574=""),"",N(EA574)-N(DZ574)))</f>
        <v/>
      </c>
      <c r="EE574">
        <f>IF(OR(DZ$3="",DZ$3&gt;TODAY()),"",IF(AND(EC574="",ED574=""),"",N(ED574)-N(EC574)))</f>
        <v/>
      </c>
      <c r="EI574">
        <f>IF(OR(EG$3="",EG$3&gt;TODAY()),"",IF(AND(EG574="",EH574=""),"",N(EH574)-N(EG574)))</f>
        <v/>
      </c>
      <c r="EL574">
        <f>IF(OR(EG$3="",EG$3&gt;TODAY()),"",IF(AND(EJ574="",EK574=""),"",N(EK574)-N(EJ574)))</f>
        <v/>
      </c>
      <c r="EP574">
        <f>IF(OR(EN$3="",EN$3&gt;TODAY()),"",IF(AND(EN574="",EO574=""),"",N(EO574)-N(EN574)))</f>
        <v/>
      </c>
      <c r="ES574">
        <f>IF(OR(EN$3="",EN$3&gt;TODAY()),"",IF(AND(EQ574="",ER574=""),"",N(ER574)-N(EQ574)))</f>
        <v/>
      </c>
      <c r="EW574">
        <f>IF(OR(EU$3="",EU$3&gt;TODAY()),"",IF(AND(EU574="",EV574=""),"",N(EV574)-N(EU574)))</f>
        <v/>
      </c>
      <c r="EZ574">
        <f>IF(OR(EU$3="",EU$3&gt;TODAY()),"",IF(AND(EX574="",EY574=""),"",N(EY574)-N(EX574)))</f>
        <v/>
      </c>
      <c r="FD574">
        <f>IF(OR(FB$3="",FB$3&gt;TODAY()),"",IF(AND(FB574="",FC574=""),"",N(FC574)-N(FB574)))</f>
        <v/>
      </c>
      <c r="FG574">
        <f>IF(OR(FB$3="",FB$3&gt;TODAY()),"",IF(AND(FE574="",FF574=""),"",N(FF574)-N(FE574)))</f>
        <v/>
      </c>
      <c r="FK574">
        <f>IF(OR(FI$3="",FI$3&gt;TODAY()),"",IF(AND(FI574="",FJ574=""),"",N(FJ574)-N(FI574)))</f>
        <v/>
      </c>
      <c r="FN574">
        <f>IF(OR(FI$3="",FI$3&gt;TODAY()),"",IF(AND(FL574="",FM574=""),"",N(FM574)-N(FL574)))</f>
        <v/>
      </c>
      <c r="FR574">
        <f>IF(OR(FP$3="",FP$3&gt;TODAY()),"",IF(AND(FP574="",FQ574=""),"",N(FQ574)-N(FP574)))</f>
        <v/>
      </c>
      <c r="FU574">
        <f>IF(OR(FP$3="",FP$3&gt;TODAY()),"",IF(AND(FS574="",FT574=""),"",N(FT574)-N(FS574)))</f>
        <v/>
      </c>
      <c r="FY574">
        <f>IF(OR(FW$3="",FW$3&gt;TODAY()),"",IF(AND(FW574="",FX574=""),"",N(FX574)-N(FW574)))</f>
        <v/>
      </c>
      <c r="GB574">
        <f>IF(OR(FW$3="",FW$3&gt;TODAY()),"",IF(AND(FZ574="",GA574=""),"",N(GA574)-N(FZ574)))</f>
        <v/>
      </c>
      <c r="GF574">
        <f>IF(OR(GD$3="",GD$3&gt;TODAY()),"",IF(AND(GD574="",GE574=""),"",N(GE574)-N(GD574)))</f>
        <v/>
      </c>
      <c r="GI574">
        <f>IF(OR(GD$3="",GD$3&gt;TODAY()),"",IF(AND(GG574="",GH574=""),"",N(GH574)-N(GG574)))</f>
        <v/>
      </c>
      <c r="GM574">
        <f>IF(OR(GK$3="",GK$3&gt;TODAY()),"",IF(AND(GK574="",GL574=""),"",N(GL574)-N(GK574)))</f>
        <v/>
      </c>
      <c r="GP574">
        <f>IF(OR(GK$3="",GK$3&gt;TODAY()),"",IF(AND(GN574="",GO574=""),"",N(GO574)-N(GN574)))</f>
        <v/>
      </c>
      <c r="GT574">
        <f>IF(OR(GR$3="",GR$3&gt;TODAY()),"",IF(AND(GR574="",GS574=""),"",N(GS574)-N(GR574)))</f>
        <v/>
      </c>
      <c r="GW574">
        <f>IF(OR(GR$3="",GR$3&gt;TODAY()),"",IF(AND(GU574="",GV574=""),"",N(GV574)-N(GU574)))</f>
        <v/>
      </c>
      <c r="HA574">
        <f>IF(OR(GY$3="",GY$3&gt;TODAY()),"",IF(AND(GY574="",GZ574=""),"",N(GZ574)-N(GY574)))</f>
        <v/>
      </c>
      <c r="HD574">
        <f>IF(OR(GY$3="",GY$3&gt;TODAY()),"",IF(AND(HB574="",HC574=""),"",N(HC574)-N(HB574)))</f>
        <v/>
      </c>
      <c r="HH574">
        <f>IF(OR(HF$3="",HF$3&gt;TODAY()),"",IF(AND(HF574="",HG574=""),"",N(HG574)-N(HF574)))</f>
        <v/>
      </c>
      <c r="HK574">
        <f>IF(OR(HF$3="",HF$3&gt;TODAY()),"",IF(AND(HI574="",HJ574=""),"",N(HJ574)-N(HI574)))</f>
        <v/>
      </c>
      <c r="HO574">
        <f>IF(OR(HM$3="",HM$3&gt;TODAY()),"",IF(AND(HM574="",HN574=""),"",N(HN574)-N(HM574)))</f>
        <v/>
      </c>
      <c r="HR574">
        <f>IF(OR(HM$3="",HM$3&gt;TODAY()),"",IF(AND(HP574="",HQ574=""),"",N(HQ574)-N(HP574)))</f>
        <v/>
      </c>
      <c r="HV574">
        <f>IF(OR(HT$3="",HT$3&gt;TODAY()),"",IF(AND(HT574="",HU574=""),"",N(HU574)-N(HT574)))</f>
        <v/>
      </c>
      <c r="HY574">
        <f>IF(OR(HT$3="",HT$3&gt;TODAY()),"",IF(AND(HW574="",HX574=""),"",N(HX574)-N(HW574)))</f>
        <v/>
      </c>
      <c r="IC574">
        <f>IF(OR(IA$3="",IA$3&gt;TODAY()),"",IF(AND(IA574="",IB574=""),"",N(IB574)-N(IA574)))</f>
        <v/>
      </c>
      <c r="IF574">
        <f>IF(OR(IA$3="",IA$3&gt;TODAY()),"",IF(AND(ID574="",IE574=""),"",N(IE574)-N(ID574)))</f>
        <v/>
      </c>
      <c r="IJ574">
        <f>IF(OR(IH$3="",IH$3&gt;TODAY()),"",IF(AND(IH574="",II574=""),"",N(II574)-N(IH574)))</f>
        <v/>
      </c>
      <c r="IM574">
        <f>IF(OR(IH$3="",IH$3&gt;TODAY()),"",IF(AND(IK574="",IL574=""),"",N(IL574)-N(IK574)))</f>
        <v/>
      </c>
    </row>
    <row r="575">
      <c r="A575" s="21" t="n"/>
      <c r="B575" s="21" t="n"/>
      <c r="C575" s="21" t="n"/>
      <c r="D575" s="21" t="n"/>
      <c r="E575" s="21" t="n"/>
      <c r="F575" s="21" t="n"/>
      <c r="G575" s="21" t="n"/>
      <c r="H575" s="21" t="n"/>
      <c r="I575" s="22" t="n"/>
      <c r="J575" s="22" t="n"/>
      <c r="K575" s="23" t="n"/>
      <c r="L575" s="22" t="n"/>
      <c r="M575" s="22" t="n"/>
      <c r="N575" s="21" t="n"/>
      <c r="O575" s="23" t="n"/>
      <c r="P575" s="23" t="n"/>
      <c r="Q575" s="23" t="n"/>
      <c r="R575" s="23" t="n"/>
      <c r="S575" s="22" t="n"/>
      <c r="T575" s="23" t="n"/>
      <c r="U575" s="23" t="n"/>
      <c r="V575" s="24">
        <f>IF(J575&lt;&gt;"",J575,IF(I575&lt;&gt;"",I575,""))</f>
        <v/>
      </c>
      <c r="W575" s="25">
        <f>IF($E575="","",N(O575)+SUMIFS($AF575:$IN575,$AF$4:$IN$4,"SEW_ACT"))</f>
        <v/>
      </c>
      <c r="X575" s="25">
        <f>IF($E575="","",N(P575)+SUMIFS($AF575:$IN575,$AF$4:$IN$4,"WASH_ACT"))</f>
        <v/>
      </c>
      <c r="Y575" s="25">
        <f>IF($E575="","",W575-X575-N(T575)-N(U575))</f>
        <v/>
      </c>
      <c r="Z575" s="25">
        <f>IF($E575="","",IF(N(K575)-X575&lt;=0.02*N(K575),0,N(K575)-X575))</f>
        <v/>
      </c>
      <c r="AA575" s="24">
        <f>IF($E575="","",IF(S575&lt;&gt;"",S575,IF(N(O575)&gt;0,IF(L575&lt;&gt;"",L575,99999),IFERROR(1/(1/_xlfn.MINIFS($AF$3:$IN$3,$AF$4:$IN$4,"SEW_ACT",$AF575:$IN575,"&gt;0")),99999))))</f>
        <v/>
      </c>
      <c r="AB575" s="26">
        <f>IF(OR($E575="",Z575=0,V575=""),"",1+COUNTIFS(Z$8:Z$707,"&gt;0",V$8:V$707,"&lt;"&amp;V575)+COUNTIFS(Z$8:Z$707,"&gt;0",V$8:V$707,V575,AA$8:AA$707,"&lt;"&amp;AA575)+COUNTIFS(Z$8:Z$707,"&gt;0",V$8:V$707,V575,AA$8:AA$707,AA575,E$8:E$707,"&lt;"&amp;$E575))</f>
        <v/>
      </c>
      <c r="AC575" s="24">
        <f>IF(OR($E575="",Z575=0),"",IFERROR(TODAY()+ROUNDUP(Z575/(SUMIFS($AF575:$IN575,$AF$4:$IN$4,"WASH_ACT")/COUNTIFS($AF$4:$IN$4,"WASH_ACT",$AF575:$IN575,"&gt;0")),0),"no output yet"))</f>
        <v/>
      </c>
      <c r="AD575" s="26">
        <f>IF($E575="","",IFERROR(ROUND(MAX(0,SUMIFS($AF575:$IN575,$AF$4:$IN$4,"SEW_PLAN",$AF$3:$IN$3,"&lt;="&amp;TODAY())-SUMIFS($AF575:$IN575,$AF$4:$IN$4,"SEW_ACT",$AF$3:$IN$3,"&lt;="&amp;TODAY())+N(Q575))/(SUMIFS($AF575:$IN575,$AF$4:$IN$4,"SEW_PLAN")/COUNTIFS($AF$4:$IN$4,"SEW_PLAN",$AF575:$IN575,"&gt;0")),1),0))</f>
        <v/>
      </c>
      <c r="AE575" s="26">
        <f>IF($E575="","",IF(AND(Z575&gt;0,OR(AND(M575&lt;&gt;"",TODAY()&gt;M575),AND(V575&lt;&gt;"",V575-TODAY()&lt;=7))),"Yes","No"))</f>
        <v/>
      </c>
      <c r="AH575">
        <f>IF(OR(AF$3="",AF$3&gt;TODAY()),"",IF(AND(AF575="",AG575=""),"",N(AG575)-N(AF575)))</f>
        <v/>
      </c>
      <c r="AK575">
        <f>IF(OR(AF$3="",AF$3&gt;TODAY()),"",IF(AND(AI575="",AJ575=""),"",N(AJ575)-N(AI575)))</f>
        <v/>
      </c>
      <c r="AO575">
        <f>IF(OR(AM$3="",AM$3&gt;TODAY()),"",IF(AND(AM575="",AN575=""),"",N(AN575)-N(AM575)))</f>
        <v/>
      </c>
      <c r="AR575">
        <f>IF(OR(AM$3="",AM$3&gt;TODAY()),"",IF(AND(AP575="",AQ575=""),"",N(AQ575)-N(AP575)))</f>
        <v/>
      </c>
      <c r="AV575">
        <f>IF(OR(AT$3="",AT$3&gt;TODAY()),"",IF(AND(AT575="",AU575=""),"",N(AU575)-N(AT575)))</f>
        <v/>
      </c>
      <c r="AY575">
        <f>IF(OR(AT$3="",AT$3&gt;TODAY()),"",IF(AND(AW575="",AX575=""),"",N(AX575)-N(AW575)))</f>
        <v/>
      </c>
      <c r="BC575">
        <f>IF(OR(BA$3="",BA$3&gt;TODAY()),"",IF(AND(BA575="",BB575=""),"",N(BB575)-N(BA575)))</f>
        <v/>
      </c>
      <c r="BF575">
        <f>IF(OR(BA$3="",BA$3&gt;TODAY()),"",IF(AND(BD575="",BE575=""),"",N(BE575)-N(BD575)))</f>
        <v/>
      </c>
      <c r="BJ575">
        <f>IF(OR(BH$3="",BH$3&gt;TODAY()),"",IF(AND(BH575="",BI575=""),"",N(BI575)-N(BH575)))</f>
        <v/>
      </c>
      <c r="BM575">
        <f>IF(OR(BH$3="",BH$3&gt;TODAY()),"",IF(AND(BK575="",BL575=""),"",N(BL575)-N(BK575)))</f>
        <v/>
      </c>
      <c r="BQ575">
        <f>IF(OR(BO$3="",BO$3&gt;TODAY()),"",IF(AND(BO575="",BP575=""),"",N(BP575)-N(BO575)))</f>
        <v/>
      </c>
      <c r="BT575">
        <f>IF(OR(BO$3="",BO$3&gt;TODAY()),"",IF(AND(BR575="",BS575=""),"",N(BS575)-N(BR575)))</f>
        <v/>
      </c>
      <c r="BX575">
        <f>IF(OR(BV$3="",BV$3&gt;TODAY()),"",IF(AND(BV575="",BW575=""),"",N(BW575)-N(BV575)))</f>
        <v/>
      </c>
      <c r="CA575">
        <f>IF(OR(BV$3="",BV$3&gt;TODAY()),"",IF(AND(BY575="",BZ575=""),"",N(BZ575)-N(BY575)))</f>
        <v/>
      </c>
      <c r="CE575">
        <f>IF(OR(CC$3="",CC$3&gt;TODAY()),"",IF(AND(CC575="",CD575=""),"",N(CD575)-N(CC575)))</f>
        <v/>
      </c>
      <c r="CH575">
        <f>IF(OR(CC$3="",CC$3&gt;TODAY()),"",IF(AND(CF575="",CG575=""),"",N(CG575)-N(CF575)))</f>
        <v/>
      </c>
      <c r="CL575">
        <f>IF(OR(CJ$3="",CJ$3&gt;TODAY()),"",IF(AND(CJ575="",CK575=""),"",N(CK575)-N(CJ575)))</f>
        <v/>
      </c>
      <c r="CO575">
        <f>IF(OR(CJ$3="",CJ$3&gt;TODAY()),"",IF(AND(CM575="",CN575=""),"",N(CN575)-N(CM575)))</f>
        <v/>
      </c>
      <c r="CS575">
        <f>IF(OR(CQ$3="",CQ$3&gt;TODAY()),"",IF(AND(CQ575="",CR575=""),"",N(CR575)-N(CQ575)))</f>
        <v/>
      </c>
      <c r="CV575">
        <f>IF(OR(CQ$3="",CQ$3&gt;TODAY()),"",IF(AND(CT575="",CU575=""),"",N(CU575)-N(CT575)))</f>
        <v/>
      </c>
      <c r="CZ575">
        <f>IF(OR(CX$3="",CX$3&gt;TODAY()),"",IF(AND(CX575="",CY575=""),"",N(CY575)-N(CX575)))</f>
        <v/>
      </c>
      <c r="DC575">
        <f>IF(OR(CX$3="",CX$3&gt;TODAY()),"",IF(AND(DA575="",DB575=""),"",N(DB575)-N(DA575)))</f>
        <v/>
      </c>
      <c r="DG575">
        <f>IF(OR(DE$3="",DE$3&gt;TODAY()),"",IF(AND(DE575="",DF575=""),"",N(DF575)-N(DE575)))</f>
        <v/>
      </c>
      <c r="DJ575">
        <f>IF(OR(DE$3="",DE$3&gt;TODAY()),"",IF(AND(DH575="",DI575=""),"",N(DI575)-N(DH575)))</f>
        <v/>
      </c>
      <c r="DN575">
        <f>IF(OR(DL$3="",DL$3&gt;TODAY()),"",IF(AND(DL575="",DM575=""),"",N(DM575)-N(DL575)))</f>
        <v/>
      </c>
      <c r="DQ575">
        <f>IF(OR(DL$3="",DL$3&gt;TODAY()),"",IF(AND(DO575="",DP575=""),"",N(DP575)-N(DO575)))</f>
        <v/>
      </c>
      <c r="DU575">
        <f>IF(OR(DS$3="",DS$3&gt;TODAY()),"",IF(AND(DS575="",DT575=""),"",N(DT575)-N(DS575)))</f>
        <v/>
      </c>
      <c r="DX575">
        <f>IF(OR(DS$3="",DS$3&gt;TODAY()),"",IF(AND(DV575="",DW575=""),"",N(DW575)-N(DV575)))</f>
        <v/>
      </c>
      <c r="EB575">
        <f>IF(OR(DZ$3="",DZ$3&gt;TODAY()),"",IF(AND(DZ575="",EA575=""),"",N(EA575)-N(DZ575)))</f>
        <v/>
      </c>
      <c r="EE575">
        <f>IF(OR(DZ$3="",DZ$3&gt;TODAY()),"",IF(AND(EC575="",ED575=""),"",N(ED575)-N(EC575)))</f>
        <v/>
      </c>
      <c r="EI575">
        <f>IF(OR(EG$3="",EG$3&gt;TODAY()),"",IF(AND(EG575="",EH575=""),"",N(EH575)-N(EG575)))</f>
        <v/>
      </c>
      <c r="EL575">
        <f>IF(OR(EG$3="",EG$3&gt;TODAY()),"",IF(AND(EJ575="",EK575=""),"",N(EK575)-N(EJ575)))</f>
        <v/>
      </c>
      <c r="EP575">
        <f>IF(OR(EN$3="",EN$3&gt;TODAY()),"",IF(AND(EN575="",EO575=""),"",N(EO575)-N(EN575)))</f>
        <v/>
      </c>
      <c r="ES575">
        <f>IF(OR(EN$3="",EN$3&gt;TODAY()),"",IF(AND(EQ575="",ER575=""),"",N(ER575)-N(EQ575)))</f>
        <v/>
      </c>
      <c r="EW575">
        <f>IF(OR(EU$3="",EU$3&gt;TODAY()),"",IF(AND(EU575="",EV575=""),"",N(EV575)-N(EU575)))</f>
        <v/>
      </c>
      <c r="EZ575">
        <f>IF(OR(EU$3="",EU$3&gt;TODAY()),"",IF(AND(EX575="",EY575=""),"",N(EY575)-N(EX575)))</f>
        <v/>
      </c>
      <c r="FD575">
        <f>IF(OR(FB$3="",FB$3&gt;TODAY()),"",IF(AND(FB575="",FC575=""),"",N(FC575)-N(FB575)))</f>
        <v/>
      </c>
      <c r="FG575">
        <f>IF(OR(FB$3="",FB$3&gt;TODAY()),"",IF(AND(FE575="",FF575=""),"",N(FF575)-N(FE575)))</f>
        <v/>
      </c>
      <c r="FK575">
        <f>IF(OR(FI$3="",FI$3&gt;TODAY()),"",IF(AND(FI575="",FJ575=""),"",N(FJ575)-N(FI575)))</f>
        <v/>
      </c>
      <c r="FN575">
        <f>IF(OR(FI$3="",FI$3&gt;TODAY()),"",IF(AND(FL575="",FM575=""),"",N(FM575)-N(FL575)))</f>
        <v/>
      </c>
      <c r="FR575">
        <f>IF(OR(FP$3="",FP$3&gt;TODAY()),"",IF(AND(FP575="",FQ575=""),"",N(FQ575)-N(FP575)))</f>
        <v/>
      </c>
      <c r="FU575">
        <f>IF(OR(FP$3="",FP$3&gt;TODAY()),"",IF(AND(FS575="",FT575=""),"",N(FT575)-N(FS575)))</f>
        <v/>
      </c>
      <c r="FY575">
        <f>IF(OR(FW$3="",FW$3&gt;TODAY()),"",IF(AND(FW575="",FX575=""),"",N(FX575)-N(FW575)))</f>
        <v/>
      </c>
      <c r="GB575">
        <f>IF(OR(FW$3="",FW$3&gt;TODAY()),"",IF(AND(FZ575="",GA575=""),"",N(GA575)-N(FZ575)))</f>
        <v/>
      </c>
      <c r="GF575">
        <f>IF(OR(GD$3="",GD$3&gt;TODAY()),"",IF(AND(GD575="",GE575=""),"",N(GE575)-N(GD575)))</f>
        <v/>
      </c>
      <c r="GI575">
        <f>IF(OR(GD$3="",GD$3&gt;TODAY()),"",IF(AND(GG575="",GH575=""),"",N(GH575)-N(GG575)))</f>
        <v/>
      </c>
      <c r="GM575">
        <f>IF(OR(GK$3="",GK$3&gt;TODAY()),"",IF(AND(GK575="",GL575=""),"",N(GL575)-N(GK575)))</f>
        <v/>
      </c>
      <c r="GP575">
        <f>IF(OR(GK$3="",GK$3&gt;TODAY()),"",IF(AND(GN575="",GO575=""),"",N(GO575)-N(GN575)))</f>
        <v/>
      </c>
      <c r="GT575">
        <f>IF(OR(GR$3="",GR$3&gt;TODAY()),"",IF(AND(GR575="",GS575=""),"",N(GS575)-N(GR575)))</f>
        <v/>
      </c>
      <c r="GW575">
        <f>IF(OR(GR$3="",GR$3&gt;TODAY()),"",IF(AND(GU575="",GV575=""),"",N(GV575)-N(GU575)))</f>
        <v/>
      </c>
      <c r="HA575">
        <f>IF(OR(GY$3="",GY$3&gt;TODAY()),"",IF(AND(GY575="",GZ575=""),"",N(GZ575)-N(GY575)))</f>
        <v/>
      </c>
      <c r="HD575">
        <f>IF(OR(GY$3="",GY$3&gt;TODAY()),"",IF(AND(HB575="",HC575=""),"",N(HC575)-N(HB575)))</f>
        <v/>
      </c>
      <c r="HH575">
        <f>IF(OR(HF$3="",HF$3&gt;TODAY()),"",IF(AND(HF575="",HG575=""),"",N(HG575)-N(HF575)))</f>
        <v/>
      </c>
      <c r="HK575">
        <f>IF(OR(HF$3="",HF$3&gt;TODAY()),"",IF(AND(HI575="",HJ575=""),"",N(HJ575)-N(HI575)))</f>
        <v/>
      </c>
      <c r="HO575">
        <f>IF(OR(HM$3="",HM$3&gt;TODAY()),"",IF(AND(HM575="",HN575=""),"",N(HN575)-N(HM575)))</f>
        <v/>
      </c>
      <c r="HR575">
        <f>IF(OR(HM$3="",HM$3&gt;TODAY()),"",IF(AND(HP575="",HQ575=""),"",N(HQ575)-N(HP575)))</f>
        <v/>
      </c>
      <c r="HV575">
        <f>IF(OR(HT$3="",HT$3&gt;TODAY()),"",IF(AND(HT575="",HU575=""),"",N(HU575)-N(HT575)))</f>
        <v/>
      </c>
      <c r="HY575">
        <f>IF(OR(HT$3="",HT$3&gt;TODAY()),"",IF(AND(HW575="",HX575=""),"",N(HX575)-N(HW575)))</f>
        <v/>
      </c>
      <c r="IC575">
        <f>IF(OR(IA$3="",IA$3&gt;TODAY()),"",IF(AND(IA575="",IB575=""),"",N(IB575)-N(IA575)))</f>
        <v/>
      </c>
      <c r="IF575">
        <f>IF(OR(IA$3="",IA$3&gt;TODAY()),"",IF(AND(ID575="",IE575=""),"",N(IE575)-N(ID575)))</f>
        <v/>
      </c>
      <c r="IJ575">
        <f>IF(OR(IH$3="",IH$3&gt;TODAY()),"",IF(AND(IH575="",II575=""),"",N(II575)-N(IH575)))</f>
        <v/>
      </c>
      <c r="IM575">
        <f>IF(OR(IH$3="",IH$3&gt;TODAY()),"",IF(AND(IK575="",IL575=""),"",N(IL575)-N(IK575)))</f>
        <v/>
      </c>
    </row>
    <row r="576">
      <c r="A576" s="21" t="n"/>
      <c r="B576" s="21" t="n"/>
      <c r="C576" s="21" t="n"/>
      <c r="D576" s="21" t="n"/>
      <c r="E576" s="21" t="n"/>
      <c r="F576" s="21" t="n"/>
      <c r="G576" s="21" t="n"/>
      <c r="H576" s="21" t="n"/>
      <c r="I576" s="22" t="n"/>
      <c r="J576" s="22" t="n"/>
      <c r="K576" s="23" t="n"/>
      <c r="L576" s="22" t="n"/>
      <c r="M576" s="22" t="n"/>
      <c r="N576" s="21" t="n"/>
      <c r="O576" s="23" t="n"/>
      <c r="P576" s="23" t="n"/>
      <c r="Q576" s="23" t="n"/>
      <c r="R576" s="23" t="n"/>
      <c r="S576" s="22" t="n"/>
      <c r="T576" s="23" t="n"/>
      <c r="U576" s="23" t="n"/>
      <c r="V576" s="24">
        <f>IF(J576&lt;&gt;"",J576,IF(I576&lt;&gt;"",I576,""))</f>
        <v/>
      </c>
      <c r="W576" s="25">
        <f>IF($E576="","",N(O576)+SUMIFS($AF576:$IN576,$AF$4:$IN$4,"SEW_ACT"))</f>
        <v/>
      </c>
      <c r="X576" s="25">
        <f>IF($E576="","",N(P576)+SUMIFS($AF576:$IN576,$AF$4:$IN$4,"WASH_ACT"))</f>
        <v/>
      </c>
      <c r="Y576" s="25">
        <f>IF($E576="","",W576-X576-N(T576)-N(U576))</f>
        <v/>
      </c>
      <c r="Z576" s="25">
        <f>IF($E576="","",IF(N(K576)-X576&lt;=0.02*N(K576),0,N(K576)-X576))</f>
        <v/>
      </c>
      <c r="AA576" s="24">
        <f>IF($E576="","",IF(S576&lt;&gt;"",S576,IF(N(O576)&gt;0,IF(L576&lt;&gt;"",L576,99999),IFERROR(1/(1/_xlfn.MINIFS($AF$3:$IN$3,$AF$4:$IN$4,"SEW_ACT",$AF576:$IN576,"&gt;0")),99999))))</f>
        <v/>
      </c>
      <c r="AB576" s="26">
        <f>IF(OR($E576="",Z576=0,V576=""),"",1+COUNTIFS(Z$8:Z$707,"&gt;0",V$8:V$707,"&lt;"&amp;V576)+COUNTIFS(Z$8:Z$707,"&gt;0",V$8:V$707,V576,AA$8:AA$707,"&lt;"&amp;AA576)+COUNTIFS(Z$8:Z$707,"&gt;0",V$8:V$707,V576,AA$8:AA$707,AA576,E$8:E$707,"&lt;"&amp;$E576))</f>
        <v/>
      </c>
      <c r="AC576" s="24">
        <f>IF(OR($E576="",Z576=0),"",IFERROR(TODAY()+ROUNDUP(Z576/(SUMIFS($AF576:$IN576,$AF$4:$IN$4,"WASH_ACT")/COUNTIFS($AF$4:$IN$4,"WASH_ACT",$AF576:$IN576,"&gt;0")),0),"no output yet"))</f>
        <v/>
      </c>
      <c r="AD576" s="26">
        <f>IF($E576="","",IFERROR(ROUND(MAX(0,SUMIFS($AF576:$IN576,$AF$4:$IN$4,"SEW_PLAN",$AF$3:$IN$3,"&lt;="&amp;TODAY())-SUMIFS($AF576:$IN576,$AF$4:$IN$4,"SEW_ACT",$AF$3:$IN$3,"&lt;="&amp;TODAY())+N(Q576))/(SUMIFS($AF576:$IN576,$AF$4:$IN$4,"SEW_PLAN")/COUNTIFS($AF$4:$IN$4,"SEW_PLAN",$AF576:$IN576,"&gt;0")),1),0))</f>
        <v/>
      </c>
      <c r="AE576" s="26">
        <f>IF($E576="","",IF(AND(Z576&gt;0,OR(AND(M576&lt;&gt;"",TODAY()&gt;M576),AND(V576&lt;&gt;"",V576-TODAY()&lt;=7))),"Yes","No"))</f>
        <v/>
      </c>
      <c r="AH576">
        <f>IF(OR(AF$3="",AF$3&gt;TODAY()),"",IF(AND(AF576="",AG576=""),"",N(AG576)-N(AF576)))</f>
        <v/>
      </c>
      <c r="AK576">
        <f>IF(OR(AF$3="",AF$3&gt;TODAY()),"",IF(AND(AI576="",AJ576=""),"",N(AJ576)-N(AI576)))</f>
        <v/>
      </c>
      <c r="AO576">
        <f>IF(OR(AM$3="",AM$3&gt;TODAY()),"",IF(AND(AM576="",AN576=""),"",N(AN576)-N(AM576)))</f>
        <v/>
      </c>
      <c r="AR576">
        <f>IF(OR(AM$3="",AM$3&gt;TODAY()),"",IF(AND(AP576="",AQ576=""),"",N(AQ576)-N(AP576)))</f>
        <v/>
      </c>
      <c r="AV576">
        <f>IF(OR(AT$3="",AT$3&gt;TODAY()),"",IF(AND(AT576="",AU576=""),"",N(AU576)-N(AT576)))</f>
        <v/>
      </c>
      <c r="AY576">
        <f>IF(OR(AT$3="",AT$3&gt;TODAY()),"",IF(AND(AW576="",AX576=""),"",N(AX576)-N(AW576)))</f>
        <v/>
      </c>
      <c r="BC576">
        <f>IF(OR(BA$3="",BA$3&gt;TODAY()),"",IF(AND(BA576="",BB576=""),"",N(BB576)-N(BA576)))</f>
        <v/>
      </c>
      <c r="BF576">
        <f>IF(OR(BA$3="",BA$3&gt;TODAY()),"",IF(AND(BD576="",BE576=""),"",N(BE576)-N(BD576)))</f>
        <v/>
      </c>
      <c r="BJ576">
        <f>IF(OR(BH$3="",BH$3&gt;TODAY()),"",IF(AND(BH576="",BI576=""),"",N(BI576)-N(BH576)))</f>
        <v/>
      </c>
      <c r="BM576">
        <f>IF(OR(BH$3="",BH$3&gt;TODAY()),"",IF(AND(BK576="",BL576=""),"",N(BL576)-N(BK576)))</f>
        <v/>
      </c>
      <c r="BQ576">
        <f>IF(OR(BO$3="",BO$3&gt;TODAY()),"",IF(AND(BO576="",BP576=""),"",N(BP576)-N(BO576)))</f>
        <v/>
      </c>
      <c r="BT576">
        <f>IF(OR(BO$3="",BO$3&gt;TODAY()),"",IF(AND(BR576="",BS576=""),"",N(BS576)-N(BR576)))</f>
        <v/>
      </c>
      <c r="BX576">
        <f>IF(OR(BV$3="",BV$3&gt;TODAY()),"",IF(AND(BV576="",BW576=""),"",N(BW576)-N(BV576)))</f>
        <v/>
      </c>
      <c r="CA576">
        <f>IF(OR(BV$3="",BV$3&gt;TODAY()),"",IF(AND(BY576="",BZ576=""),"",N(BZ576)-N(BY576)))</f>
        <v/>
      </c>
      <c r="CE576">
        <f>IF(OR(CC$3="",CC$3&gt;TODAY()),"",IF(AND(CC576="",CD576=""),"",N(CD576)-N(CC576)))</f>
        <v/>
      </c>
      <c r="CH576">
        <f>IF(OR(CC$3="",CC$3&gt;TODAY()),"",IF(AND(CF576="",CG576=""),"",N(CG576)-N(CF576)))</f>
        <v/>
      </c>
      <c r="CL576">
        <f>IF(OR(CJ$3="",CJ$3&gt;TODAY()),"",IF(AND(CJ576="",CK576=""),"",N(CK576)-N(CJ576)))</f>
        <v/>
      </c>
      <c r="CO576">
        <f>IF(OR(CJ$3="",CJ$3&gt;TODAY()),"",IF(AND(CM576="",CN576=""),"",N(CN576)-N(CM576)))</f>
        <v/>
      </c>
      <c r="CS576">
        <f>IF(OR(CQ$3="",CQ$3&gt;TODAY()),"",IF(AND(CQ576="",CR576=""),"",N(CR576)-N(CQ576)))</f>
        <v/>
      </c>
      <c r="CV576">
        <f>IF(OR(CQ$3="",CQ$3&gt;TODAY()),"",IF(AND(CT576="",CU576=""),"",N(CU576)-N(CT576)))</f>
        <v/>
      </c>
      <c r="CZ576">
        <f>IF(OR(CX$3="",CX$3&gt;TODAY()),"",IF(AND(CX576="",CY576=""),"",N(CY576)-N(CX576)))</f>
        <v/>
      </c>
      <c r="DC576">
        <f>IF(OR(CX$3="",CX$3&gt;TODAY()),"",IF(AND(DA576="",DB576=""),"",N(DB576)-N(DA576)))</f>
        <v/>
      </c>
      <c r="DG576">
        <f>IF(OR(DE$3="",DE$3&gt;TODAY()),"",IF(AND(DE576="",DF576=""),"",N(DF576)-N(DE576)))</f>
        <v/>
      </c>
      <c r="DJ576">
        <f>IF(OR(DE$3="",DE$3&gt;TODAY()),"",IF(AND(DH576="",DI576=""),"",N(DI576)-N(DH576)))</f>
        <v/>
      </c>
      <c r="DN576">
        <f>IF(OR(DL$3="",DL$3&gt;TODAY()),"",IF(AND(DL576="",DM576=""),"",N(DM576)-N(DL576)))</f>
        <v/>
      </c>
      <c r="DQ576">
        <f>IF(OR(DL$3="",DL$3&gt;TODAY()),"",IF(AND(DO576="",DP576=""),"",N(DP576)-N(DO576)))</f>
        <v/>
      </c>
      <c r="DU576">
        <f>IF(OR(DS$3="",DS$3&gt;TODAY()),"",IF(AND(DS576="",DT576=""),"",N(DT576)-N(DS576)))</f>
        <v/>
      </c>
      <c r="DX576">
        <f>IF(OR(DS$3="",DS$3&gt;TODAY()),"",IF(AND(DV576="",DW576=""),"",N(DW576)-N(DV576)))</f>
        <v/>
      </c>
      <c r="EB576">
        <f>IF(OR(DZ$3="",DZ$3&gt;TODAY()),"",IF(AND(DZ576="",EA576=""),"",N(EA576)-N(DZ576)))</f>
        <v/>
      </c>
      <c r="EE576">
        <f>IF(OR(DZ$3="",DZ$3&gt;TODAY()),"",IF(AND(EC576="",ED576=""),"",N(ED576)-N(EC576)))</f>
        <v/>
      </c>
      <c r="EI576">
        <f>IF(OR(EG$3="",EG$3&gt;TODAY()),"",IF(AND(EG576="",EH576=""),"",N(EH576)-N(EG576)))</f>
        <v/>
      </c>
      <c r="EL576">
        <f>IF(OR(EG$3="",EG$3&gt;TODAY()),"",IF(AND(EJ576="",EK576=""),"",N(EK576)-N(EJ576)))</f>
        <v/>
      </c>
      <c r="EP576">
        <f>IF(OR(EN$3="",EN$3&gt;TODAY()),"",IF(AND(EN576="",EO576=""),"",N(EO576)-N(EN576)))</f>
        <v/>
      </c>
      <c r="ES576">
        <f>IF(OR(EN$3="",EN$3&gt;TODAY()),"",IF(AND(EQ576="",ER576=""),"",N(ER576)-N(EQ576)))</f>
        <v/>
      </c>
      <c r="EW576">
        <f>IF(OR(EU$3="",EU$3&gt;TODAY()),"",IF(AND(EU576="",EV576=""),"",N(EV576)-N(EU576)))</f>
        <v/>
      </c>
      <c r="EZ576">
        <f>IF(OR(EU$3="",EU$3&gt;TODAY()),"",IF(AND(EX576="",EY576=""),"",N(EY576)-N(EX576)))</f>
        <v/>
      </c>
      <c r="FD576">
        <f>IF(OR(FB$3="",FB$3&gt;TODAY()),"",IF(AND(FB576="",FC576=""),"",N(FC576)-N(FB576)))</f>
        <v/>
      </c>
      <c r="FG576">
        <f>IF(OR(FB$3="",FB$3&gt;TODAY()),"",IF(AND(FE576="",FF576=""),"",N(FF576)-N(FE576)))</f>
        <v/>
      </c>
      <c r="FK576">
        <f>IF(OR(FI$3="",FI$3&gt;TODAY()),"",IF(AND(FI576="",FJ576=""),"",N(FJ576)-N(FI576)))</f>
        <v/>
      </c>
      <c r="FN576">
        <f>IF(OR(FI$3="",FI$3&gt;TODAY()),"",IF(AND(FL576="",FM576=""),"",N(FM576)-N(FL576)))</f>
        <v/>
      </c>
      <c r="FR576">
        <f>IF(OR(FP$3="",FP$3&gt;TODAY()),"",IF(AND(FP576="",FQ576=""),"",N(FQ576)-N(FP576)))</f>
        <v/>
      </c>
      <c r="FU576">
        <f>IF(OR(FP$3="",FP$3&gt;TODAY()),"",IF(AND(FS576="",FT576=""),"",N(FT576)-N(FS576)))</f>
        <v/>
      </c>
      <c r="FY576">
        <f>IF(OR(FW$3="",FW$3&gt;TODAY()),"",IF(AND(FW576="",FX576=""),"",N(FX576)-N(FW576)))</f>
        <v/>
      </c>
      <c r="GB576">
        <f>IF(OR(FW$3="",FW$3&gt;TODAY()),"",IF(AND(FZ576="",GA576=""),"",N(GA576)-N(FZ576)))</f>
        <v/>
      </c>
      <c r="GF576">
        <f>IF(OR(GD$3="",GD$3&gt;TODAY()),"",IF(AND(GD576="",GE576=""),"",N(GE576)-N(GD576)))</f>
        <v/>
      </c>
      <c r="GI576">
        <f>IF(OR(GD$3="",GD$3&gt;TODAY()),"",IF(AND(GG576="",GH576=""),"",N(GH576)-N(GG576)))</f>
        <v/>
      </c>
      <c r="GM576">
        <f>IF(OR(GK$3="",GK$3&gt;TODAY()),"",IF(AND(GK576="",GL576=""),"",N(GL576)-N(GK576)))</f>
        <v/>
      </c>
      <c r="GP576">
        <f>IF(OR(GK$3="",GK$3&gt;TODAY()),"",IF(AND(GN576="",GO576=""),"",N(GO576)-N(GN576)))</f>
        <v/>
      </c>
      <c r="GT576">
        <f>IF(OR(GR$3="",GR$3&gt;TODAY()),"",IF(AND(GR576="",GS576=""),"",N(GS576)-N(GR576)))</f>
        <v/>
      </c>
      <c r="GW576">
        <f>IF(OR(GR$3="",GR$3&gt;TODAY()),"",IF(AND(GU576="",GV576=""),"",N(GV576)-N(GU576)))</f>
        <v/>
      </c>
      <c r="HA576">
        <f>IF(OR(GY$3="",GY$3&gt;TODAY()),"",IF(AND(GY576="",GZ576=""),"",N(GZ576)-N(GY576)))</f>
        <v/>
      </c>
      <c r="HD576">
        <f>IF(OR(GY$3="",GY$3&gt;TODAY()),"",IF(AND(HB576="",HC576=""),"",N(HC576)-N(HB576)))</f>
        <v/>
      </c>
      <c r="HH576">
        <f>IF(OR(HF$3="",HF$3&gt;TODAY()),"",IF(AND(HF576="",HG576=""),"",N(HG576)-N(HF576)))</f>
        <v/>
      </c>
      <c r="HK576">
        <f>IF(OR(HF$3="",HF$3&gt;TODAY()),"",IF(AND(HI576="",HJ576=""),"",N(HJ576)-N(HI576)))</f>
        <v/>
      </c>
      <c r="HO576">
        <f>IF(OR(HM$3="",HM$3&gt;TODAY()),"",IF(AND(HM576="",HN576=""),"",N(HN576)-N(HM576)))</f>
        <v/>
      </c>
      <c r="HR576">
        <f>IF(OR(HM$3="",HM$3&gt;TODAY()),"",IF(AND(HP576="",HQ576=""),"",N(HQ576)-N(HP576)))</f>
        <v/>
      </c>
      <c r="HV576">
        <f>IF(OR(HT$3="",HT$3&gt;TODAY()),"",IF(AND(HT576="",HU576=""),"",N(HU576)-N(HT576)))</f>
        <v/>
      </c>
      <c r="HY576">
        <f>IF(OR(HT$3="",HT$3&gt;TODAY()),"",IF(AND(HW576="",HX576=""),"",N(HX576)-N(HW576)))</f>
        <v/>
      </c>
      <c r="IC576">
        <f>IF(OR(IA$3="",IA$3&gt;TODAY()),"",IF(AND(IA576="",IB576=""),"",N(IB576)-N(IA576)))</f>
        <v/>
      </c>
      <c r="IF576">
        <f>IF(OR(IA$3="",IA$3&gt;TODAY()),"",IF(AND(ID576="",IE576=""),"",N(IE576)-N(ID576)))</f>
        <v/>
      </c>
      <c r="IJ576">
        <f>IF(OR(IH$3="",IH$3&gt;TODAY()),"",IF(AND(IH576="",II576=""),"",N(II576)-N(IH576)))</f>
        <v/>
      </c>
      <c r="IM576">
        <f>IF(OR(IH$3="",IH$3&gt;TODAY()),"",IF(AND(IK576="",IL576=""),"",N(IL576)-N(IK576)))</f>
        <v/>
      </c>
    </row>
    <row r="577">
      <c r="A577" s="21" t="n"/>
      <c r="B577" s="21" t="n"/>
      <c r="C577" s="21" t="n"/>
      <c r="D577" s="21" t="n"/>
      <c r="E577" s="21" t="n"/>
      <c r="F577" s="21" t="n"/>
      <c r="G577" s="21" t="n"/>
      <c r="H577" s="21" t="n"/>
      <c r="I577" s="22" t="n"/>
      <c r="J577" s="22" t="n"/>
      <c r="K577" s="23" t="n"/>
      <c r="L577" s="22" t="n"/>
      <c r="M577" s="22" t="n"/>
      <c r="N577" s="21" t="n"/>
      <c r="O577" s="23" t="n"/>
      <c r="P577" s="23" t="n"/>
      <c r="Q577" s="23" t="n"/>
      <c r="R577" s="23" t="n"/>
      <c r="S577" s="22" t="n"/>
      <c r="T577" s="23" t="n"/>
      <c r="U577" s="23" t="n"/>
      <c r="V577" s="24">
        <f>IF(J577&lt;&gt;"",J577,IF(I577&lt;&gt;"",I577,""))</f>
        <v/>
      </c>
      <c r="W577" s="25">
        <f>IF($E577="","",N(O577)+SUMIFS($AF577:$IN577,$AF$4:$IN$4,"SEW_ACT"))</f>
        <v/>
      </c>
      <c r="X577" s="25">
        <f>IF($E577="","",N(P577)+SUMIFS($AF577:$IN577,$AF$4:$IN$4,"WASH_ACT"))</f>
        <v/>
      </c>
      <c r="Y577" s="25">
        <f>IF($E577="","",W577-X577-N(T577)-N(U577))</f>
        <v/>
      </c>
      <c r="Z577" s="25">
        <f>IF($E577="","",IF(N(K577)-X577&lt;=0.02*N(K577),0,N(K577)-X577))</f>
        <v/>
      </c>
      <c r="AA577" s="24">
        <f>IF($E577="","",IF(S577&lt;&gt;"",S577,IF(N(O577)&gt;0,IF(L577&lt;&gt;"",L577,99999),IFERROR(1/(1/_xlfn.MINIFS($AF$3:$IN$3,$AF$4:$IN$4,"SEW_ACT",$AF577:$IN577,"&gt;0")),99999))))</f>
        <v/>
      </c>
      <c r="AB577" s="26">
        <f>IF(OR($E577="",Z577=0,V577=""),"",1+COUNTIFS(Z$8:Z$707,"&gt;0",V$8:V$707,"&lt;"&amp;V577)+COUNTIFS(Z$8:Z$707,"&gt;0",V$8:V$707,V577,AA$8:AA$707,"&lt;"&amp;AA577)+COUNTIFS(Z$8:Z$707,"&gt;0",V$8:V$707,V577,AA$8:AA$707,AA577,E$8:E$707,"&lt;"&amp;$E577))</f>
        <v/>
      </c>
      <c r="AC577" s="24">
        <f>IF(OR($E577="",Z577=0),"",IFERROR(TODAY()+ROUNDUP(Z577/(SUMIFS($AF577:$IN577,$AF$4:$IN$4,"WASH_ACT")/COUNTIFS($AF$4:$IN$4,"WASH_ACT",$AF577:$IN577,"&gt;0")),0),"no output yet"))</f>
        <v/>
      </c>
      <c r="AD577" s="26">
        <f>IF($E577="","",IFERROR(ROUND(MAX(0,SUMIFS($AF577:$IN577,$AF$4:$IN$4,"SEW_PLAN",$AF$3:$IN$3,"&lt;="&amp;TODAY())-SUMIFS($AF577:$IN577,$AF$4:$IN$4,"SEW_ACT",$AF$3:$IN$3,"&lt;="&amp;TODAY())+N(Q577))/(SUMIFS($AF577:$IN577,$AF$4:$IN$4,"SEW_PLAN")/COUNTIFS($AF$4:$IN$4,"SEW_PLAN",$AF577:$IN577,"&gt;0")),1),0))</f>
        <v/>
      </c>
      <c r="AE577" s="26">
        <f>IF($E577="","",IF(AND(Z577&gt;0,OR(AND(M577&lt;&gt;"",TODAY()&gt;M577),AND(V577&lt;&gt;"",V577-TODAY()&lt;=7))),"Yes","No"))</f>
        <v/>
      </c>
      <c r="AH577">
        <f>IF(OR(AF$3="",AF$3&gt;TODAY()),"",IF(AND(AF577="",AG577=""),"",N(AG577)-N(AF577)))</f>
        <v/>
      </c>
      <c r="AK577">
        <f>IF(OR(AF$3="",AF$3&gt;TODAY()),"",IF(AND(AI577="",AJ577=""),"",N(AJ577)-N(AI577)))</f>
        <v/>
      </c>
      <c r="AO577">
        <f>IF(OR(AM$3="",AM$3&gt;TODAY()),"",IF(AND(AM577="",AN577=""),"",N(AN577)-N(AM577)))</f>
        <v/>
      </c>
      <c r="AR577">
        <f>IF(OR(AM$3="",AM$3&gt;TODAY()),"",IF(AND(AP577="",AQ577=""),"",N(AQ577)-N(AP577)))</f>
        <v/>
      </c>
      <c r="AV577">
        <f>IF(OR(AT$3="",AT$3&gt;TODAY()),"",IF(AND(AT577="",AU577=""),"",N(AU577)-N(AT577)))</f>
        <v/>
      </c>
      <c r="AY577">
        <f>IF(OR(AT$3="",AT$3&gt;TODAY()),"",IF(AND(AW577="",AX577=""),"",N(AX577)-N(AW577)))</f>
        <v/>
      </c>
      <c r="BC577">
        <f>IF(OR(BA$3="",BA$3&gt;TODAY()),"",IF(AND(BA577="",BB577=""),"",N(BB577)-N(BA577)))</f>
        <v/>
      </c>
      <c r="BF577">
        <f>IF(OR(BA$3="",BA$3&gt;TODAY()),"",IF(AND(BD577="",BE577=""),"",N(BE577)-N(BD577)))</f>
        <v/>
      </c>
      <c r="BJ577">
        <f>IF(OR(BH$3="",BH$3&gt;TODAY()),"",IF(AND(BH577="",BI577=""),"",N(BI577)-N(BH577)))</f>
        <v/>
      </c>
      <c r="BM577">
        <f>IF(OR(BH$3="",BH$3&gt;TODAY()),"",IF(AND(BK577="",BL577=""),"",N(BL577)-N(BK577)))</f>
        <v/>
      </c>
      <c r="BQ577">
        <f>IF(OR(BO$3="",BO$3&gt;TODAY()),"",IF(AND(BO577="",BP577=""),"",N(BP577)-N(BO577)))</f>
        <v/>
      </c>
      <c r="BT577">
        <f>IF(OR(BO$3="",BO$3&gt;TODAY()),"",IF(AND(BR577="",BS577=""),"",N(BS577)-N(BR577)))</f>
        <v/>
      </c>
      <c r="BX577">
        <f>IF(OR(BV$3="",BV$3&gt;TODAY()),"",IF(AND(BV577="",BW577=""),"",N(BW577)-N(BV577)))</f>
        <v/>
      </c>
      <c r="CA577">
        <f>IF(OR(BV$3="",BV$3&gt;TODAY()),"",IF(AND(BY577="",BZ577=""),"",N(BZ577)-N(BY577)))</f>
        <v/>
      </c>
      <c r="CE577">
        <f>IF(OR(CC$3="",CC$3&gt;TODAY()),"",IF(AND(CC577="",CD577=""),"",N(CD577)-N(CC577)))</f>
        <v/>
      </c>
      <c r="CH577">
        <f>IF(OR(CC$3="",CC$3&gt;TODAY()),"",IF(AND(CF577="",CG577=""),"",N(CG577)-N(CF577)))</f>
        <v/>
      </c>
      <c r="CL577">
        <f>IF(OR(CJ$3="",CJ$3&gt;TODAY()),"",IF(AND(CJ577="",CK577=""),"",N(CK577)-N(CJ577)))</f>
        <v/>
      </c>
      <c r="CO577">
        <f>IF(OR(CJ$3="",CJ$3&gt;TODAY()),"",IF(AND(CM577="",CN577=""),"",N(CN577)-N(CM577)))</f>
        <v/>
      </c>
      <c r="CS577">
        <f>IF(OR(CQ$3="",CQ$3&gt;TODAY()),"",IF(AND(CQ577="",CR577=""),"",N(CR577)-N(CQ577)))</f>
        <v/>
      </c>
      <c r="CV577">
        <f>IF(OR(CQ$3="",CQ$3&gt;TODAY()),"",IF(AND(CT577="",CU577=""),"",N(CU577)-N(CT577)))</f>
        <v/>
      </c>
      <c r="CZ577">
        <f>IF(OR(CX$3="",CX$3&gt;TODAY()),"",IF(AND(CX577="",CY577=""),"",N(CY577)-N(CX577)))</f>
        <v/>
      </c>
      <c r="DC577">
        <f>IF(OR(CX$3="",CX$3&gt;TODAY()),"",IF(AND(DA577="",DB577=""),"",N(DB577)-N(DA577)))</f>
        <v/>
      </c>
      <c r="DG577">
        <f>IF(OR(DE$3="",DE$3&gt;TODAY()),"",IF(AND(DE577="",DF577=""),"",N(DF577)-N(DE577)))</f>
        <v/>
      </c>
      <c r="DJ577">
        <f>IF(OR(DE$3="",DE$3&gt;TODAY()),"",IF(AND(DH577="",DI577=""),"",N(DI577)-N(DH577)))</f>
        <v/>
      </c>
      <c r="DN577">
        <f>IF(OR(DL$3="",DL$3&gt;TODAY()),"",IF(AND(DL577="",DM577=""),"",N(DM577)-N(DL577)))</f>
        <v/>
      </c>
      <c r="DQ577">
        <f>IF(OR(DL$3="",DL$3&gt;TODAY()),"",IF(AND(DO577="",DP577=""),"",N(DP577)-N(DO577)))</f>
        <v/>
      </c>
      <c r="DU577">
        <f>IF(OR(DS$3="",DS$3&gt;TODAY()),"",IF(AND(DS577="",DT577=""),"",N(DT577)-N(DS577)))</f>
        <v/>
      </c>
      <c r="DX577">
        <f>IF(OR(DS$3="",DS$3&gt;TODAY()),"",IF(AND(DV577="",DW577=""),"",N(DW577)-N(DV577)))</f>
        <v/>
      </c>
      <c r="EB577">
        <f>IF(OR(DZ$3="",DZ$3&gt;TODAY()),"",IF(AND(DZ577="",EA577=""),"",N(EA577)-N(DZ577)))</f>
        <v/>
      </c>
      <c r="EE577">
        <f>IF(OR(DZ$3="",DZ$3&gt;TODAY()),"",IF(AND(EC577="",ED577=""),"",N(ED577)-N(EC577)))</f>
        <v/>
      </c>
      <c r="EI577">
        <f>IF(OR(EG$3="",EG$3&gt;TODAY()),"",IF(AND(EG577="",EH577=""),"",N(EH577)-N(EG577)))</f>
        <v/>
      </c>
      <c r="EL577">
        <f>IF(OR(EG$3="",EG$3&gt;TODAY()),"",IF(AND(EJ577="",EK577=""),"",N(EK577)-N(EJ577)))</f>
        <v/>
      </c>
      <c r="EP577">
        <f>IF(OR(EN$3="",EN$3&gt;TODAY()),"",IF(AND(EN577="",EO577=""),"",N(EO577)-N(EN577)))</f>
        <v/>
      </c>
      <c r="ES577">
        <f>IF(OR(EN$3="",EN$3&gt;TODAY()),"",IF(AND(EQ577="",ER577=""),"",N(ER577)-N(EQ577)))</f>
        <v/>
      </c>
      <c r="EW577">
        <f>IF(OR(EU$3="",EU$3&gt;TODAY()),"",IF(AND(EU577="",EV577=""),"",N(EV577)-N(EU577)))</f>
        <v/>
      </c>
      <c r="EZ577">
        <f>IF(OR(EU$3="",EU$3&gt;TODAY()),"",IF(AND(EX577="",EY577=""),"",N(EY577)-N(EX577)))</f>
        <v/>
      </c>
      <c r="FD577">
        <f>IF(OR(FB$3="",FB$3&gt;TODAY()),"",IF(AND(FB577="",FC577=""),"",N(FC577)-N(FB577)))</f>
        <v/>
      </c>
      <c r="FG577">
        <f>IF(OR(FB$3="",FB$3&gt;TODAY()),"",IF(AND(FE577="",FF577=""),"",N(FF577)-N(FE577)))</f>
        <v/>
      </c>
      <c r="FK577">
        <f>IF(OR(FI$3="",FI$3&gt;TODAY()),"",IF(AND(FI577="",FJ577=""),"",N(FJ577)-N(FI577)))</f>
        <v/>
      </c>
      <c r="FN577">
        <f>IF(OR(FI$3="",FI$3&gt;TODAY()),"",IF(AND(FL577="",FM577=""),"",N(FM577)-N(FL577)))</f>
        <v/>
      </c>
      <c r="FR577">
        <f>IF(OR(FP$3="",FP$3&gt;TODAY()),"",IF(AND(FP577="",FQ577=""),"",N(FQ577)-N(FP577)))</f>
        <v/>
      </c>
      <c r="FU577">
        <f>IF(OR(FP$3="",FP$3&gt;TODAY()),"",IF(AND(FS577="",FT577=""),"",N(FT577)-N(FS577)))</f>
        <v/>
      </c>
      <c r="FY577">
        <f>IF(OR(FW$3="",FW$3&gt;TODAY()),"",IF(AND(FW577="",FX577=""),"",N(FX577)-N(FW577)))</f>
        <v/>
      </c>
      <c r="GB577">
        <f>IF(OR(FW$3="",FW$3&gt;TODAY()),"",IF(AND(FZ577="",GA577=""),"",N(GA577)-N(FZ577)))</f>
        <v/>
      </c>
      <c r="GF577">
        <f>IF(OR(GD$3="",GD$3&gt;TODAY()),"",IF(AND(GD577="",GE577=""),"",N(GE577)-N(GD577)))</f>
        <v/>
      </c>
      <c r="GI577">
        <f>IF(OR(GD$3="",GD$3&gt;TODAY()),"",IF(AND(GG577="",GH577=""),"",N(GH577)-N(GG577)))</f>
        <v/>
      </c>
      <c r="GM577">
        <f>IF(OR(GK$3="",GK$3&gt;TODAY()),"",IF(AND(GK577="",GL577=""),"",N(GL577)-N(GK577)))</f>
        <v/>
      </c>
      <c r="GP577">
        <f>IF(OR(GK$3="",GK$3&gt;TODAY()),"",IF(AND(GN577="",GO577=""),"",N(GO577)-N(GN577)))</f>
        <v/>
      </c>
      <c r="GT577">
        <f>IF(OR(GR$3="",GR$3&gt;TODAY()),"",IF(AND(GR577="",GS577=""),"",N(GS577)-N(GR577)))</f>
        <v/>
      </c>
      <c r="GW577">
        <f>IF(OR(GR$3="",GR$3&gt;TODAY()),"",IF(AND(GU577="",GV577=""),"",N(GV577)-N(GU577)))</f>
        <v/>
      </c>
      <c r="HA577">
        <f>IF(OR(GY$3="",GY$3&gt;TODAY()),"",IF(AND(GY577="",GZ577=""),"",N(GZ577)-N(GY577)))</f>
        <v/>
      </c>
      <c r="HD577">
        <f>IF(OR(GY$3="",GY$3&gt;TODAY()),"",IF(AND(HB577="",HC577=""),"",N(HC577)-N(HB577)))</f>
        <v/>
      </c>
      <c r="HH577">
        <f>IF(OR(HF$3="",HF$3&gt;TODAY()),"",IF(AND(HF577="",HG577=""),"",N(HG577)-N(HF577)))</f>
        <v/>
      </c>
      <c r="HK577">
        <f>IF(OR(HF$3="",HF$3&gt;TODAY()),"",IF(AND(HI577="",HJ577=""),"",N(HJ577)-N(HI577)))</f>
        <v/>
      </c>
      <c r="HO577">
        <f>IF(OR(HM$3="",HM$3&gt;TODAY()),"",IF(AND(HM577="",HN577=""),"",N(HN577)-N(HM577)))</f>
        <v/>
      </c>
      <c r="HR577">
        <f>IF(OR(HM$3="",HM$3&gt;TODAY()),"",IF(AND(HP577="",HQ577=""),"",N(HQ577)-N(HP577)))</f>
        <v/>
      </c>
      <c r="HV577">
        <f>IF(OR(HT$3="",HT$3&gt;TODAY()),"",IF(AND(HT577="",HU577=""),"",N(HU577)-N(HT577)))</f>
        <v/>
      </c>
      <c r="HY577">
        <f>IF(OR(HT$3="",HT$3&gt;TODAY()),"",IF(AND(HW577="",HX577=""),"",N(HX577)-N(HW577)))</f>
        <v/>
      </c>
      <c r="IC577">
        <f>IF(OR(IA$3="",IA$3&gt;TODAY()),"",IF(AND(IA577="",IB577=""),"",N(IB577)-N(IA577)))</f>
        <v/>
      </c>
      <c r="IF577">
        <f>IF(OR(IA$3="",IA$3&gt;TODAY()),"",IF(AND(ID577="",IE577=""),"",N(IE577)-N(ID577)))</f>
        <v/>
      </c>
      <c r="IJ577">
        <f>IF(OR(IH$3="",IH$3&gt;TODAY()),"",IF(AND(IH577="",II577=""),"",N(II577)-N(IH577)))</f>
        <v/>
      </c>
      <c r="IM577">
        <f>IF(OR(IH$3="",IH$3&gt;TODAY()),"",IF(AND(IK577="",IL577=""),"",N(IL577)-N(IK577)))</f>
        <v/>
      </c>
    </row>
    <row r="578">
      <c r="A578" s="21" t="n"/>
      <c r="B578" s="21" t="n"/>
      <c r="C578" s="21" t="n"/>
      <c r="D578" s="21" t="n"/>
      <c r="E578" s="21" t="n"/>
      <c r="F578" s="21" t="n"/>
      <c r="G578" s="21" t="n"/>
      <c r="H578" s="21" t="n"/>
      <c r="I578" s="22" t="n"/>
      <c r="J578" s="22" t="n"/>
      <c r="K578" s="23" t="n"/>
      <c r="L578" s="22" t="n"/>
      <c r="M578" s="22" t="n"/>
      <c r="N578" s="21" t="n"/>
      <c r="O578" s="23" t="n"/>
      <c r="P578" s="23" t="n"/>
      <c r="Q578" s="23" t="n"/>
      <c r="R578" s="23" t="n"/>
      <c r="S578" s="22" t="n"/>
      <c r="T578" s="23" t="n"/>
      <c r="U578" s="23" t="n"/>
      <c r="V578" s="24">
        <f>IF(J578&lt;&gt;"",J578,IF(I578&lt;&gt;"",I578,""))</f>
        <v/>
      </c>
      <c r="W578" s="25">
        <f>IF($E578="","",N(O578)+SUMIFS($AF578:$IN578,$AF$4:$IN$4,"SEW_ACT"))</f>
        <v/>
      </c>
      <c r="X578" s="25">
        <f>IF($E578="","",N(P578)+SUMIFS($AF578:$IN578,$AF$4:$IN$4,"WASH_ACT"))</f>
        <v/>
      </c>
      <c r="Y578" s="25">
        <f>IF($E578="","",W578-X578-N(T578)-N(U578))</f>
        <v/>
      </c>
      <c r="Z578" s="25">
        <f>IF($E578="","",IF(N(K578)-X578&lt;=0.02*N(K578),0,N(K578)-X578))</f>
        <v/>
      </c>
      <c r="AA578" s="24">
        <f>IF($E578="","",IF(S578&lt;&gt;"",S578,IF(N(O578)&gt;0,IF(L578&lt;&gt;"",L578,99999),IFERROR(1/(1/_xlfn.MINIFS($AF$3:$IN$3,$AF$4:$IN$4,"SEW_ACT",$AF578:$IN578,"&gt;0")),99999))))</f>
        <v/>
      </c>
      <c r="AB578" s="26">
        <f>IF(OR($E578="",Z578=0,V578=""),"",1+COUNTIFS(Z$8:Z$707,"&gt;0",V$8:V$707,"&lt;"&amp;V578)+COUNTIFS(Z$8:Z$707,"&gt;0",V$8:V$707,V578,AA$8:AA$707,"&lt;"&amp;AA578)+COUNTIFS(Z$8:Z$707,"&gt;0",V$8:V$707,V578,AA$8:AA$707,AA578,E$8:E$707,"&lt;"&amp;$E578))</f>
        <v/>
      </c>
      <c r="AC578" s="24">
        <f>IF(OR($E578="",Z578=0),"",IFERROR(TODAY()+ROUNDUP(Z578/(SUMIFS($AF578:$IN578,$AF$4:$IN$4,"WASH_ACT")/COUNTIFS($AF$4:$IN$4,"WASH_ACT",$AF578:$IN578,"&gt;0")),0),"no output yet"))</f>
        <v/>
      </c>
      <c r="AD578" s="26">
        <f>IF($E578="","",IFERROR(ROUND(MAX(0,SUMIFS($AF578:$IN578,$AF$4:$IN$4,"SEW_PLAN",$AF$3:$IN$3,"&lt;="&amp;TODAY())-SUMIFS($AF578:$IN578,$AF$4:$IN$4,"SEW_ACT",$AF$3:$IN$3,"&lt;="&amp;TODAY())+N(Q578))/(SUMIFS($AF578:$IN578,$AF$4:$IN$4,"SEW_PLAN")/COUNTIFS($AF$4:$IN$4,"SEW_PLAN",$AF578:$IN578,"&gt;0")),1),0))</f>
        <v/>
      </c>
      <c r="AE578" s="26">
        <f>IF($E578="","",IF(AND(Z578&gt;0,OR(AND(M578&lt;&gt;"",TODAY()&gt;M578),AND(V578&lt;&gt;"",V578-TODAY()&lt;=7))),"Yes","No"))</f>
        <v/>
      </c>
      <c r="AH578">
        <f>IF(OR(AF$3="",AF$3&gt;TODAY()),"",IF(AND(AF578="",AG578=""),"",N(AG578)-N(AF578)))</f>
        <v/>
      </c>
      <c r="AK578">
        <f>IF(OR(AF$3="",AF$3&gt;TODAY()),"",IF(AND(AI578="",AJ578=""),"",N(AJ578)-N(AI578)))</f>
        <v/>
      </c>
      <c r="AO578">
        <f>IF(OR(AM$3="",AM$3&gt;TODAY()),"",IF(AND(AM578="",AN578=""),"",N(AN578)-N(AM578)))</f>
        <v/>
      </c>
      <c r="AR578">
        <f>IF(OR(AM$3="",AM$3&gt;TODAY()),"",IF(AND(AP578="",AQ578=""),"",N(AQ578)-N(AP578)))</f>
        <v/>
      </c>
      <c r="AV578">
        <f>IF(OR(AT$3="",AT$3&gt;TODAY()),"",IF(AND(AT578="",AU578=""),"",N(AU578)-N(AT578)))</f>
        <v/>
      </c>
      <c r="AY578">
        <f>IF(OR(AT$3="",AT$3&gt;TODAY()),"",IF(AND(AW578="",AX578=""),"",N(AX578)-N(AW578)))</f>
        <v/>
      </c>
      <c r="BC578">
        <f>IF(OR(BA$3="",BA$3&gt;TODAY()),"",IF(AND(BA578="",BB578=""),"",N(BB578)-N(BA578)))</f>
        <v/>
      </c>
      <c r="BF578">
        <f>IF(OR(BA$3="",BA$3&gt;TODAY()),"",IF(AND(BD578="",BE578=""),"",N(BE578)-N(BD578)))</f>
        <v/>
      </c>
      <c r="BJ578">
        <f>IF(OR(BH$3="",BH$3&gt;TODAY()),"",IF(AND(BH578="",BI578=""),"",N(BI578)-N(BH578)))</f>
        <v/>
      </c>
      <c r="BM578">
        <f>IF(OR(BH$3="",BH$3&gt;TODAY()),"",IF(AND(BK578="",BL578=""),"",N(BL578)-N(BK578)))</f>
        <v/>
      </c>
      <c r="BQ578">
        <f>IF(OR(BO$3="",BO$3&gt;TODAY()),"",IF(AND(BO578="",BP578=""),"",N(BP578)-N(BO578)))</f>
        <v/>
      </c>
      <c r="BT578">
        <f>IF(OR(BO$3="",BO$3&gt;TODAY()),"",IF(AND(BR578="",BS578=""),"",N(BS578)-N(BR578)))</f>
        <v/>
      </c>
      <c r="BX578">
        <f>IF(OR(BV$3="",BV$3&gt;TODAY()),"",IF(AND(BV578="",BW578=""),"",N(BW578)-N(BV578)))</f>
        <v/>
      </c>
      <c r="CA578">
        <f>IF(OR(BV$3="",BV$3&gt;TODAY()),"",IF(AND(BY578="",BZ578=""),"",N(BZ578)-N(BY578)))</f>
        <v/>
      </c>
      <c r="CE578">
        <f>IF(OR(CC$3="",CC$3&gt;TODAY()),"",IF(AND(CC578="",CD578=""),"",N(CD578)-N(CC578)))</f>
        <v/>
      </c>
      <c r="CH578">
        <f>IF(OR(CC$3="",CC$3&gt;TODAY()),"",IF(AND(CF578="",CG578=""),"",N(CG578)-N(CF578)))</f>
        <v/>
      </c>
      <c r="CL578">
        <f>IF(OR(CJ$3="",CJ$3&gt;TODAY()),"",IF(AND(CJ578="",CK578=""),"",N(CK578)-N(CJ578)))</f>
        <v/>
      </c>
      <c r="CO578">
        <f>IF(OR(CJ$3="",CJ$3&gt;TODAY()),"",IF(AND(CM578="",CN578=""),"",N(CN578)-N(CM578)))</f>
        <v/>
      </c>
      <c r="CS578">
        <f>IF(OR(CQ$3="",CQ$3&gt;TODAY()),"",IF(AND(CQ578="",CR578=""),"",N(CR578)-N(CQ578)))</f>
        <v/>
      </c>
      <c r="CV578">
        <f>IF(OR(CQ$3="",CQ$3&gt;TODAY()),"",IF(AND(CT578="",CU578=""),"",N(CU578)-N(CT578)))</f>
        <v/>
      </c>
      <c r="CZ578">
        <f>IF(OR(CX$3="",CX$3&gt;TODAY()),"",IF(AND(CX578="",CY578=""),"",N(CY578)-N(CX578)))</f>
        <v/>
      </c>
      <c r="DC578">
        <f>IF(OR(CX$3="",CX$3&gt;TODAY()),"",IF(AND(DA578="",DB578=""),"",N(DB578)-N(DA578)))</f>
        <v/>
      </c>
      <c r="DG578">
        <f>IF(OR(DE$3="",DE$3&gt;TODAY()),"",IF(AND(DE578="",DF578=""),"",N(DF578)-N(DE578)))</f>
        <v/>
      </c>
      <c r="DJ578">
        <f>IF(OR(DE$3="",DE$3&gt;TODAY()),"",IF(AND(DH578="",DI578=""),"",N(DI578)-N(DH578)))</f>
        <v/>
      </c>
      <c r="DN578">
        <f>IF(OR(DL$3="",DL$3&gt;TODAY()),"",IF(AND(DL578="",DM578=""),"",N(DM578)-N(DL578)))</f>
        <v/>
      </c>
      <c r="DQ578">
        <f>IF(OR(DL$3="",DL$3&gt;TODAY()),"",IF(AND(DO578="",DP578=""),"",N(DP578)-N(DO578)))</f>
        <v/>
      </c>
      <c r="DU578">
        <f>IF(OR(DS$3="",DS$3&gt;TODAY()),"",IF(AND(DS578="",DT578=""),"",N(DT578)-N(DS578)))</f>
        <v/>
      </c>
      <c r="DX578">
        <f>IF(OR(DS$3="",DS$3&gt;TODAY()),"",IF(AND(DV578="",DW578=""),"",N(DW578)-N(DV578)))</f>
        <v/>
      </c>
      <c r="EB578">
        <f>IF(OR(DZ$3="",DZ$3&gt;TODAY()),"",IF(AND(DZ578="",EA578=""),"",N(EA578)-N(DZ578)))</f>
        <v/>
      </c>
      <c r="EE578">
        <f>IF(OR(DZ$3="",DZ$3&gt;TODAY()),"",IF(AND(EC578="",ED578=""),"",N(ED578)-N(EC578)))</f>
        <v/>
      </c>
      <c r="EI578">
        <f>IF(OR(EG$3="",EG$3&gt;TODAY()),"",IF(AND(EG578="",EH578=""),"",N(EH578)-N(EG578)))</f>
        <v/>
      </c>
      <c r="EL578">
        <f>IF(OR(EG$3="",EG$3&gt;TODAY()),"",IF(AND(EJ578="",EK578=""),"",N(EK578)-N(EJ578)))</f>
        <v/>
      </c>
      <c r="EP578">
        <f>IF(OR(EN$3="",EN$3&gt;TODAY()),"",IF(AND(EN578="",EO578=""),"",N(EO578)-N(EN578)))</f>
        <v/>
      </c>
      <c r="ES578">
        <f>IF(OR(EN$3="",EN$3&gt;TODAY()),"",IF(AND(EQ578="",ER578=""),"",N(ER578)-N(EQ578)))</f>
        <v/>
      </c>
      <c r="EW578">
        <f>IF(OR(EU$3="",EU$3&gt;TODAY()),"",IF(AND(EU578="",EV578=""),"",N(EV578)-N(EU578)))</f>
        <v/>
      </c>
      <c r="EZ578">
        <f>IF(OR(EU$3="",EU$3&gt;TODAY()),"",IF(AND(EX578="",EY578=""),"",N(EY578)-N(EX578)))</f>
        <v/>
      </c>
      <c r="FD578">
        <f>IF(OR(FB$3="",FB$3&gt;TODAY()),"",IF(AND(FB578="",FC578=""),"",N(FC578)-N(FB578)))</f>
        <v/>
      </c>
      <c r="FG578">
        <f>IF(OR(FB$3="",FB$3&gt;TODAY()),"",IF(AND(FE578="",FF578=""),"",N(FF578)-N(FE578)))</f>
        <v/>
      </c>
      <c r="FK578">
        <f>IF(OR(FI$3="",FI$3&gt;TODAY()),"",IF(AND(FI578="",FJ578=""),"",N(FJ578)-N(FI578)))</f>
        <v/>
      </c>
      <c r="FN578">
        <f>IF(OR(FI$3="",FI$3&gt;TODAY()),"",IF(AND(FL578="",FM578=""),"",N(FM578)-N(FL578)))</f>
        <v/>
      </c>
      <c r="FR578">
        <f>IF(OR(FP$3="",FP$3&gt;TODAY()),"",IF(AND(FP578="",FQ578=""),"",N(FQ578)-N(FP578)))</f>
        <v/>
      </c>
      <c r="FU578">
        <f>IF(OR(FP$3="",FP$3&gt;TODAY()),"",IF(AND(FS578="",FT578=""),"",N(FT578)-N(FS578)))</f>
        <v/>
      </c>
      <c r="FY578">
        <f>IF(OR(FW$3="",FW$3&gt;TODAY()),"",IF(AND(FW578="",FX578=""),"",N(FX578)-N(FW578)))</f>
        <v/>
      </c>
      <c r="GB578">
        <f>IF(OR(FW$3="",FW$3&gt;TODAY()),"",IF(AND(FZ578="",GA578=""),"",N(GA578)-N(FZ578)))</f>
        <v/>
      </c>
      <c r="GF578">
        <f>IF(OR(GD$3="",GD$3&gt;TODAY()),"",IF(AND(GD578="",GE578=""),"",N(GE578)-N(GD578)))</f>
        <v/>
      </c>
      <c r="GI578">
        <f>IF(OR(GD$3="",GD$3&gt;TODAY()),"",IF(AND(GG578="",GH578=""),"",N(GH578)-N(GG578)))</f>
        <v/>
      </c>
      <c r="GM578">
        <f>IF(OR(GK$3="",GK$3&gt;TODAY()),"",IF(AND(GK578="",GL578=""),"",N(GL578)-N(GK578)))</f>
        <v/>
      </c>
      <c r="GP578">
        <f>IF(OR(GK$3="",GK$3&gt;TODAY()),"",IF(AND(GN578="",GO578=""),"",N(GO578)-N(GN578)))</f>
        <v/>
      </c>
      <c r="GT578">
        <f>IF(OR(GR$3="",GR$3&gt;TODAY()),"",IF(AND(GR578="",GS578=""),"",N(GS578)-N(GR578)))</f>
        <v/>
      </c>
      <c r="GW578">
        <f>IF(OR(GR$3="",GR$3&gt;TODAY()),"",IF(AND(GU578="",GV578=""),"",N(GV578)-N(GU578)))</f>
        <v/>
      </c>
      <c r="HA578">
        <f>IF(OR(GY$3="",GY$3&gt;TODAY()),"",IF(AND(GY578="",GZ578=""),"",N(GZ578)-N(GY578)))</f>
        <v/>
      </c>
      <c r="HD578">
        <f>IF(OR(GY$3="",GY$3&gt;TODAY()),"",IF(AND(HB578="",HC578=""),"",N(HC578)-N(HB578)))</f>
        <v/>
      </c>
      <c r="HH578">
        <f>IF(OR(HF$3="",HF$3&gt;TODAY()),"",IF(AND(HF578="",HG578=""),"",N(HG578)-N(HF578)))</f>
        <v/>
      </c>
      <c r="HK578">
        <f>IF(OR(HF$3="",HF$3&gt;TODAY()),"",IF(AND(HI578="",HJ578=""),"",N(HJ578)-N(HI578)))</f>
        <v/>
      </c>
      <c r="HO578">
        <f>IF(OR(HM$3="",HM$3&gt;TODAY()),"",IF(AND(HM578="",HN578=""),"",N(HN578)-N(HM578)))</f>
        <v/>
      </c>
      <c r="HR578">
        <f>IF(OR(HM$3="",HM$3&gt;TODAY()),"",IF(AND(HP578="",HQ578=""),"",N(HQ578)-N(HP578)))</f>
        <v/>
      </c>
      <c r="HV578">
        <f>IF(OR(HT$3="",HT$3&gt;TODAY()),"",IF(AND(HT578="",HU578=""),"",N(HU578)-N(HT578)))</f>
        <v/>
      </c>
      <c r="HY578">
        <f>IF(OR(HT$3="",HT$3&gt;TODAY()),"",IF(AND(HW578="",HX578=""),"",N(HX578)-N(HW578)))</f>
        <v/>
      </c>
      <c r="IC578">
        <f>IF(OR(IA$3="",IA$3&gt;TODAY()),"",IF(AND(IA578="",IB578=""),"",N(IB578)-N(IA578)))</f>
        <v/>
      </c>
      <c r="IF578">
        <f>IF(OR(IA$3="",IA$3&gt;TODAY()),"",IF(AND(ID578="",IE578=""),"",N(IE578)-N(ID578)))</f>
        <v/>
      </c>
      <c r="IJ578">
        <f>IF(OR(IH$3="",IH$3&gt;TODAY()),"",IF(AND(IH578="",II578=""),"",N(II578)-N(IH578)))</f>
        <v/>
      </c>
      <c r="IM578">
        <f>IF(OR(IH$3="",IH$3&gt;TODAY()),"",IF(AND(IK578="",IL578=""),"",N(IL578)-N(IK578)))</f>
        <v/>
      </c>
    </row>
    <row r="579">
      <c r="A579" s="21" t="n"/>
      <c r="B579" s="21" t="n"/>
      <c r="C579" s="21" t="n"/>
      <c r="D579" s="21" t="n"/>
      <c r="E579" s="21" t="n"/>
      <c r="F579" s="21" t="n"/>
      <c r="G579" s="21" t="n"/>
      <c r="H579" s="21" t="n"/>
      <c r="I579" s="22" t="n"/>
      <c r="J579" s="22" t="n"/>
      <c r="K579" s="23" t="n"/>
      <c r="L579" s="22" t="n"/>
      <c r="M579" s="22" t="n"/>
      <c r="N579" s="21" t="n"/>
      <c r="O579" s="23" t="n"/>
      <c r="P579" s="23" t="n"/>
      <c r="Q579" s="23" t="n"/>
      <c r="R579" s="23" t="n"/>
      <c r="S579" s="22" t="n"/>
      <c r="T579" s="23" t="n"/>
      <c r="U579" s="23" t="n"/>
      <c r="V579" s="24">
        <f>IF(J579&lt;&gt;"",J579,IF(I579&lt;&gt;"",I579,""))</f>
        <v/>
      </c>
      <c r="W579" s="25">
        <f>IF($E579="","",N(O579)+SUMIFS($AF579:$IN579,$AF$4:$IN$4,"SEW_ACT"))</f>
        <v/>
      </c>
      <c r="X579" s="25">
        <f>IF($E579="","",N(P579)+SUMIFS($AF579:$IN579,$AF$4:$IN$4,"WASH_ACT"))</f>
        <v/>
      </c>
      <c r="Y579" s="25">
        <f>IF($E579="","",W579-X579-N(T579)-N(U579))</f>
        <v/>
      </c>
      <c r="Z579" s="25">
        <f>IF($E579="","",IF(N(K579)-X579&lt;=0.02*N(K579),0,N(K579)-X579))</f>
        <v/>
      </c>
      <c r="AA579" s="24">
        <f>IF($E579="","",IF(S579&lt;&gt;"",S579,IF(N(O579)&gt;0,IF(L579&lt;&gt;"",L579,99999),IFERROR(1/(1/_xlfn.MINIFS($AF$3:$IN$3,$AF$4:$IN$4,"SEW_ACT",$AF579:$IN579,"&gt;0")),99999))))</f>
        <v/>
      </c>
      <c r="AB579" s="26">
        <f>IF(OR($E579="",Z579=0,V579=""),"",1+COUNTIFS(Z$8:Z$707,"&gt;0",V$8:V$707,"&lt;"&amp;V579)+COUNTIFS(Z$8:Z$707,"&gt;0",V$8:V$707,V579,AA$8:AA$707,"&lt;"&amp;AA579)+COUNTIFS(Z$8:Z$707,"&gt;0",V$8:V$707,V579,AA$8:AA$707,AA579,E$8:E$707,"&lt;"&amp;$E579))</f>
        <v/>
      </c>
      <c r="AC579" s="24">
        <f>IF(OR($E579="",Z579=0),"",IFERROR(TODAY()+ROUNDUP(Z579/(SUMIFS($AF579:$IN579,$AF$4:$IN$4,"WASH_ACT")/COUNTIFS($AF$4:$IN$4,"WASH_ACT",$AF579:$IN579,"&gt;0")),0),"no output yet"))</f>
        <v/>
      </c>
      <c r="AD579" s="26">
        <f>IF($E579="","",IFERROR(ROUND(MAX(0,SUMIFS($AF579:$IN579,$AF$4:$IN$4,"SEW_PLAN",$AF$3:$IN$3,"&lt;="&amp;TODAY())-SUMIFS($AF579:$IN579,$AF$4:$IN$4,"SEW_ACT",$AF$3:$IN$3,"&lt;="&amp;TODAY())+N(Q579))/(SUMIFS($AF579:$IN579,$AF$4:$IN$4,"SEW_PLAN")/COUNTIFS($AF$4:$IN$4,"SEW_PLAN",$AF579:$IN579,"&gt;0")),1),0))</f>
        <v/>
      </c>
      <c r="AE579" s="26">
        <f>IF($E579="","",IF(AND(Z579&gt;0,OR(AND(M579&lt;&gt;"",TODAY()&gt;M579),AND(V579&lt;&gt;"",V579-TODAY()&lt;=7))),"Yes","No"))</f>
        <v/>
      </c>
      <c r="AH579">
        <f>IF(OR(AF$3="",AF$3&gt;TODAY()),"",IF(AND(AF579="",AG579=""),"",N(AG579)-N(AF579)))</f>
        <v/>
      </c>
      <c r="AK579">
        <f>IF(OR(AF$3="",AF$3&gt;TODAY()),"",IF(AND(AI579="",AJ579=""),"",N(AJ579)-N(AI579)))</f>
        <v/>
      </c>
      <c r="AO579">
        <f>IF(OR(AM$3="",AM$3&gt;TODAY()),"",IF(AND(AM579="",AN579=""),"",N(AN579)-N(AM579)))</f>
        <v/>
      </c>
      <c r="AR579">
        <f>IF(OR(AM$3="",AM$3&gt;TODAY()),"",IF(AND(AP579="",AQ579=""),"",N(AQ579)-N(AP579)))</f>
        <v/>
      </c>
      <c r="AV579">
        <f>IF(OR(AT$3="",AT$3&gt;TODAY()),"",IF(AND(AT579="",AU579=""),"",N(AU579)-N(AT579)))</f>
        <v/>
      </c>
      <c r="AY579">
        <f>IF(OR(AT$3="",AT$3&gt;TODAY()),"",IF(AND(AW579="",AX579=""),"",N(AX579)-N(AW579)))</f>
        <v/>
      </c>
      <c r="BC579">
        <f>IF(OR(BA$3="",BA$3&gt;TODAY()),"",IF(AND(BA579="",BB579=""),"",N(BB579)-N(BA579)))</f>
        <v/>
      </c>
      <c r="BF579">
        <f>IF(OR(BA$3="",BA$3&gt;TODAY()),"",IF(AND(BD579="",BE579=""),"",N(BE579)-N(BD579)))</f>
        <v/>
      </c>
      <c r="BJ579">
        <f>IF(OR(BH$3="",BH$3&gt;TODAY()),"",IF(AND(BH579="",BI579=""),"",N(BI579)-N(BH579)))</f>
        <v/>
      </c>
      <c r="BM579">
        <f>IF(OR(BH$3="",BH$3&gt;TODAY()),"",IF(AND(BK579="",BL579=""),"",N(BL579)-N(BK579)))</f>
        <v/>
      </c>
      <c r="BQ579">
        <f>IF(OR(BO$3="",BO$3&gt;TODAY()),"",IF(AND(BO579="",BP579=""),"",N(BP579)-N(BO579)))</f>
        <v/>
      </c>
      <c r="BT579">
        <f>IF(OR(BO$3="",BO$3&gt;TODAY()),"",IF(AND(BR579="",BS579=""),"",N(BS579)-N(BR579)))</f>
        <v/>
      </c>
      <c r="BX579">
        <f>IF(OR(BV$3="",BV$3&gt;TODAY()),"",IF(AND(BV579="",BW579=""),"",N(BW579)-N(BV579)))</f>
        <v/>
      </c>
      <c r="CA579">
        <f>IF(OR(BV$3="",BV$3&gt;TODAY()),"",IF(AND(BY579="",BZ579=""),"",N(BZ579)-N(BY579)))</f>
        <v/>
      </c>
      <c r="CE579">
        <f>IF(OR(CC$3="",CC$3&gt;TODAY()),"",IF(AND(CC579="",CD579=""),"",N(CD579)-N(CC579)))</f>
        <v/>
      </c>
      <c r="CH579">
        <f>IF(OR(CC$3="",CC$3&gt;TODAY()),"",IF(AND(CF579="",CG579=""),"",N(CG579)-N(CF579)))</f>
        <v/>
      </c>
      <c r="CL579">
        <f>IF(OR(CJ$3="",CJ$3&gt;TODAY()),"",IF(AND(CJ579="",CK579=""),"",N(CK579)-N(CJ579)))</f>
        <v/>
      </c>
      <c r="CO579">
        <f>IF(OR(CJ$3="",CJ$3&gt;TODAY()),"",IF(AND(CM579="",CN579=""),"",N(CN579)-N(CM579)))</f>
        <v/>
      </c>
      <c r="CS579">
        <f>IF(OR(CQ$3="",CQ$3&gt;TODAY()),"",IF(AND(CQ579="",CR579=""),"",N(CR579)-N(CQ579)))</f>
        <v/>
      </c>
      <c r="CV579">
        <f>IF(OR(CQ$3="",CQ$3&gt;TODAY()),"",IF(AND(CT579="",CU579=""),"",N(CU579)-N(CT579)))</f>
        <v/>
      </c>
      <c r="CZ579">
        <f>IF(OR(CX$3="",CX$3&gt;TODAY()),"",IF(AND(CX579="",CY579=""),"",N(CY579)-N(CX579)))</f>
        <v/>
      </c>
      <c r="DC579">
        <f>IF(OR(CX$3="",CX$3&gt;TODAY()),"",IF(AND(DA579="",DB579=""),"",N(DB579)-N(DA579)))</f>
        <v/>
      </c>
      <c r="DG579">
        <f>IF(OR(DE$3="",DE$3&gt;TODAY()),"",IF(AND(DE579="",DF579=""),"",N(DF579)-N(DE579)))</f>
        <v/>
      </c>
      <c r="DJ579">
        <f>IF(OR(DE$3="",DE$3&gt;TODAY()),"",IF(AND(DH579="",DI579=""),"",N(DI579)-N(DH579)))</f>
        <v/>
      </c>
      <c r="DN579">
        <f>IF(OR(DL$3="",DL$3&gt;TODAY()),"",IF(AND(DL579="",DM579=""),"",N(DM579)-N(DL579)))</f>
        <v/>
      </c>
      <c r="DQ579">
        <f>IF(OR(DL$3="",DL$3&gt;TODAY()),"",IF(AND(DO579="",DP579=""),"",N(DP579)-N(DO579)))</f>
        <v/>
      </c>
      <c r="DU579">
        <f>IF(OR(DS$3="",DS$3&gt;TODAY()),"",IF(AND(DS579="",DT579=""),"",N(DT579)-N(DS579)))</f>
        <v/>
      </c>
      <c r="DX579">
        <f>IF(OR(DS$3="",DS$3&gt;TODAY()),"",IF(AND(DV579="",DW579=""),"",N(DW579)-N(DV579)))</f>
        <v/>
      </c>
      <c r="EB579">
        <f>IF(OR(DZ$3="",DZ$3&gt;TODAY()),"",IF(AND(DZ579="",EA579=""),"",N(EA579)-N(DZ579)))</f>
        <v/>
      </c>
      <c r="EE579">
        <f>IF(OR(DZ$3="",DZ$3&gt;TODAY()),"",IF(AND(EC579="",ED579=""),"",N(ED579)-N(EC579)))</f>
        <v/>
      </c>
      <c r="EI579">
        <f>IF(OR(EG$3="",EG$3&gt;TODAY()),"",IF(AND(EG579="",EH579=""),"",N(EH579)-N(EG579)))</f>
        <v/>
      </c>
      <c r="EL579">
        <f>IF(OR(EG$3="",EG$3&gt;TODAY()),"",IF(AND(EJ579="",EK579=""),"",N(EK579)-N(EJ579)))</f>
        <v/>
      </c>
      <c r="EP579">
        <f>IF(OR(EN$3="",EN$3&gt;TODAY()),"",IF(AND(EN579="",EO579=""),"",N(EO579)-N(EN579)))</f>
        <v/>
      </c>
      <c r="ES579">
        <f>IF(OR(EN$3="",EN$3&gt;TODAY()),"",IF(AND(EQ579="",ER579=""),"",N(ER579)-N(EQ579)))</f>
        <v/>
      </c>
      <c r="EW579">
        <f>IF(OR(EU$3="",EU$3&gt;TODAY()),"",IF(AND(EU579="",EV579=""),"",N(EV579)-N(EU579)))</f>
        <v/>
      </c>
      <c r="EZ579">
        <f>IF(OR(EU$3="",EU$3&gt;TODAY()),"",IF(AND(EX579="",EY579=""),"",N(EY579)-N(EX579)))</f>
        <v/>
      </c>
      <c r="FD579">
        <f>IF(OR(FB$3="",FB$3&gt;TODAY()),"",IF(AND(FB579="",FC579=""),"",N(FC579)-N(FB579)))</f>
        <v/>
      </c>
      <c r="FG579">
        <f>IF(OR(FB$3="",FB$3&gt;TODAY()),"",IF(AND(FE579="",FF579=""),"",N(FF579)-N(FE579)))</f>
        <v/>
      </c>
      <c r="FK579">
        <f>IF(OR(FI$3="",FI$3&gt;TODAY()),"",IF(AND(FI579="",FJ579=""),"",N(FJ579)-N(FI579)))</f>
        <v/>
      </c>
      <c r="FN579">
        <f>IF(OR(FI$3="",FI$3&gt;TODAY()),"",IF(AND(FL579="",FM579=""),"",N(FM579)-N(FL579)))</f>
        <v/>
      </c>
      <c r="FR579">
        <f>IF(OR(FP$3="",FP$3&gt;TODAY()),"",IF(AND(FP579="",FQ579=""),"",N(FQ579)-N(FP579)))</f>
        <v/>
      </c>
      <c r="FU579">
        <f>IF(OR(FP$3="",FP$3&gt;TODAY()),"",IF(AND(FS579="",FT579=""),"",N(FT579)-N(FS579)))</f>
        <v/>
      </c>
      <c r="FY579">
        <f>IF(OR(FW$3="",FW$3&gt;TODAY()),"",IF(AND(FW579="",FX579=""),"",N(FX579)-N(FW579)))</f>
        <v/>
      </c>
      <c r="GB579">
        <f>IF(OR(FW$3="",FW$3&gt;TODAY()),"",IF(AND(FZ579="",GA579=""),"",N(GA579)-N(FZ579)))</f>
        <v/>
      </c>
      <c r="GF579">
        <f>IF(OR(GD$3="",GD$3&gt;TODAY()),"",IF(AND(GD579="",GE579=""),"",N(GE579)-N(GD579)))</f>
        <v/>
      </c>
      <c r="GI579">
        <f>IF(OR(GD$3="",GD$3&gt;TODAY()),"",IF(AND(GG579="",GH579=""),"",N(GH579)-N(GG579)))</f>
        <v/>
      </c>
      <c r="GM579">
        <f>IF(OR(GK$3="",GK$3&gt;TODAY()),"",IF(AND(GK579="",GL579=""),"",N(GL579)-N(GK579)))</f>
        <v/>
      </c>
      <c r="GP579">
        <f>IF(OR(GK$3="",GK$3&gt;TODAY()),"",IF(AND(GN579="",GO579=""),"",N(GO579)-N(GN579)))</f>
        <v/>
      </c>
      <c r="GT579">
        <f>IF(OR(GR$3="",GR$3&gt;TODAY()),"",IF(AND(GR579="",GS579=""),"",N(GS579)-N(GR579)))</f>
        <v/>
      </c>
      <c r="GW579">
        <f>IF(OR(GR$3="",GR$3&gt;TODAY()),"",IF(AND(GU579="",GV579=""),"",N(GV579)-N(GU579)))</f>
        <v/>
      </c>
      <c r="HA579">
        <f>IF(OR(GY$3="",GY$3&gt;TODAY()),"",IF(AND(GY579="",GZ579=""),"",N(GZ579)-N(GY579)))</f>
        <v/>
      </c>
      <c r="HD579">
        <f>IF(OR(GY$3="",GY$3&gt;TODAY()),"",IF(AND(HB579="",HC579=""),"",N(HC579)-N(HB579)))</f>
        <v/>
      </c>
      <c r="HH579">
        <f>IF(OR(HF$3="",HF$3&gt;TODAY()),"",IF(AND(HF579="",HG579=""),"",N(HG579)-N(HF579)))</f>
        <v/>
      </c>
      <c r="HK579">
        <f>IF(OR(HF$3="",HF$3&gt;TODAY()),"",IF(AND(HI579="",HJ579=""),"",N(HJ579)-N(HI579)))</f>
        <v/>
      </c>
      <c r="HO579">
        <f>IF(OR(HM$3="",HM$3&gt;TODAY()),"",IF(AND(HM579="",HN579=""),"",N(HN579)-N(HM579)))</f>
        <v/>
      </c>
      <c r="HR579">
        <f>IF(OR(HM$3="",HM$3&gt;TODAY()),"",IF(AND(HP579="",HQ579=""),"",N(HQ579)-N(HP579)))</f>
        <v/>
      </c>
      <c r="HV579">
        <f>IF(OR(HT$3="",HT$3&gt;TODAY()),"",IF(AND(HT579="",HU579=""),"",N(HU579)-N(HT579)))</f>
        <v/>
      </c>
      <c r="HY579">
        <f>IF(OR(HT$3="",HT$3&gt;TODAY()),"",IF(AND(HW579="",HX579=""),"",N(HX579)-N(HW579)))</f>
        <v/>
      </c>
      <c r="IC579">
        <f>IF(OR(IA$3="",IA$3&gt;TODAY()),"",IF(AND(IA579="",IB579=""),"",N(IB579)-N(IA579)))</f>
        <v/>
      </c>
      <c r="IF579">
        <f>IF(OR(IA$3="",IA$3&gt;TODAY()),"",IF(AND(ID579="",IE579=""),"",N(IE579)-N(ID579)))</f>
        <v/>
      </c>
      <c r="IJ579">
        <f>IF(OR(IH$3="",IH$3&gt;TODAY()),"",IF(AND(IH579="",II579=""),"",N(II579)-N(IH579)))</f>
        <v/>
      </c>
      <c r="IM579">
        <f>IF(OR(IH$3="",IH$3&gt;TODAY()),"",IF(AND(IK579="",IL579=""),"",N(IL579)-N(IK579)))</f>
        <v/>
      </c>
    </row>
    <row r="580">
      <c r="A580" s="21" t="n"/>
      <c r="B580" s="21" t="n"/>
      <c r="C580" s="21" t="n"/>
      <c r="D580" s="21" t="n"/>
      <c r="E580" s="21" t="n"/>
      <c r="F580" s="21" t="n"/>
      <c r="G580" s="21" t="n"/>
      <c r="H580" s="21" t="n"/>
      <c r="I580" s="22" t="n"/>
      <c r="J580" s="22" t="n"/>
      <c r="K580" s="23" t="n"/>
      <c r="L580" s="22" t="n"/>
      <c r="M580" s="22" t="n"/>
      <c r="N580" s="21" t="n"/>
      <c r="O580" s="23" t="n"/>
      <c r="P580" s="23" t="n"/>
      <c r="Q580" s="23" t="n"/>
      <c r="R580" s="23" t="n"/>
      <c r="S580" s="22" t="n"/>
      <c r="T580" s="23" t="n"/>
      <c r="U580" s="23" t="n"/>
      <c r="V580" s="24">
        <f>IF(J580&lt;&gt;"",J580,IF(I580&lt;&gt;"",I580,""))</f>
        <v/>
      </c>
      <c r="W580" s="25">
        <f>IF($E580="","",N(O580)+SUMIFS($AF580:$IN580,$AF$4:$IN$4,"SEW_ACT"))</f>
        <v/>
      </c>
      <c r="X580" s="25">
        <f>IF($E580="","",N(P580)+SUMIFS($AF580:$IN580,$AF$4:$IN$4,"WASH_ACT"))</f>
        <v/>
      </c>
      <c r="Y580" s="25">
        <f>IF($E580="","",W580-X580-N(T580)-N(U580))</f>
        <v/>
      </c>
      <c r="Z580" s="25">
        <f>IF($E580="","",IF(N(K580)-X580&lt;=0.02*N(K580),0,N(K580)-X580))</f>
        <v/>
      </c>
      <c r="AA580" s="24">
        <f>IF($E580="","",IF(S580&lt;&gt;"",S580,IF(N(O580)&gt;0,IF(L580&lt;&gt;"",L580,99999),IFERROR(1/(1/_xlfn.MINIFS($AF$3:$IN$3,$AF$4:$IN$4,"SEW_ACT",$AF580:$IN580,"&gt;0")),99999))))</f>
        <v/>
      </c>
      <c r="AB580" s="26">
        <f>IF(OR($E580="",Z580=0,V580=""),"",1+COUNTIFS(Z$8:Z$707,"&gt;0",V$8:V$707,"&lt;"&amp;V580)+COUNTIFS(Z$8:Z$707,"&gt;0",V$8:V$707,V580,AA$8:AA$707,"&lt;"&amp;AA580)+COUNTIFS(Z$8:Z$707,"&gt;0",V$8:V$707,V580,AA$8:AA$707,AA580,E$8:E$707,"&lt;"&amp;$E580))</f>
        <v/>
      </c>
      <c r="AC580" s="24">
        <f>IF(OR($E580="",Z580=0),"",IFERROR(TODAY()+ROUNDUP(Z580/(SUMIFS($AF580:$IN580,$AF$4:$IN$4,"WASH_ACT")/COUNTIFS($AF$4:$IN$4,"WASH_ACT",$AF580:$IN580,"&gt;0")),0),"no output yet"))</f>
        <v/>
      </c>
      <c r="AD580" s="26">
        <f>IF($E580="","",IFERROR(ROUND(MAX(0,SUMIFS($AF580:$IN580,$AF$4:$IN$4,"SEW_PLAN",$AF$3:$IN$3,"&lt;="&amp;TODAY())-SUMIFS($AF580:$IN580,$AF$4:$IN$4,"SEW_ACT",$AF$3:$IN$3,"&lt;="&amp;TODAY())+N(Q580))/(SUMIFS($AF580:$IN580,$AF$4:$IN$4,"SEW_PLAN")/COUNTIFS($AF$4:$IN$4,"SEW_PLAN",$AF580:$IN580,"&gt;0")),1),0))</f>
        <v/>
      </c>
      <c r="AE580" s="26">
        <f>IF($E580="","",IF(AND(Z580&gt;0,OR(AND(M580&lt;&gt;"",TODAY()&gt;M580),AND(V580&lt;&gt;"",V580-TODAY()&lt;=7))),"Yes","No"))</f>
        <v/>
      </c>
      <c r="AH580">
        <f>IF(OR(AF$3="",AF$3&gt;TODAY()),"",IF(AND(AF580="",AG580=""),"",N(AG580)-N(AF580)))</f>
        <v/>
      </c>
      <c r="AK580">
        <f>IF(OR(AF$3="",AF$3&gt;TODAY()),"",IF(AND(AI580="",AJ580=""),"",N(AJ580)-N(AI580)))</f>
        <v/>
      </c>
      <c r="AO580">
        <f>IF(OR(AM$3="",AM$3&gt;TODAY()),"",IF(AND(AM580="",AN580=""),"",N(AN580)-N(AM580)))</f>
        <v/>
      </c>
      <c r="AR580">
        <f>IF(OR(AM$3="",AM$3&gt;TODAY()),"",IF(AND(AP580="",AQ580=""),"",N(AQ580)-N(AP580)))</f>
        <v/>
      </c>
      <c r="AV580">
        <f>IF(OR(AT$3="",AT$3&gt;TODAY()),"",IF(AND(AT580="",AU580=""),"",N(AU580)-N(AT580)))</f>
        <v/>
      </c>
      <c r="AY580">
        <f>IF(OR(AT$3="",AT$3&gt;TODAY()),"",IF(AND(AW580="",AX580=""),"",N(AX580)-N(AW580)))</f>
        <v/>
      </c>
      <c r="BC580">
        <f>IF(OR(BA$3="",BA$3&gt;TODAY()),"",IF(AND(BA580="",BB580=""),"",N(BB580)-N(BA580)))</f>
        <v/>
      </c>
      <c r="BF580">
        <f>IF(OR(BA$3="",BA$3&gt;TODAY()),"",IF(AND(BD580="",BE580=""),"",N(BE580)-N(BD580)))</f>
        <v/>
      </c>
      <c r="BJ580">
        <f>IF(OR(BH$3="",BH$3&gt;TODAY()),"",IF(AND(BH580="",BI580=""),"",N(BI580)-N(BH580)))</f>
        <v/>
      </c>
      <c r="BM580">
        <f>IF(OR(BH$3="",BH$3&gt;TODAY()),"",IF(AND(BK580="",BL580=""),"",N(BL580)-N(BK580)))</f>
        <v/>
      </c>
      <c r="BQ580">
        <f>IF(OR(BO$3="",BO$3&gt;TODAY()),"",IF(AND(BO580="",BP580=""),"",N(BP580)-N(BO580)))</f>
        <v/>
      </c>
      <c r="BT580">
        <f>IF(OR(BO$3="",BO$3&gt;TODAY()),"",IF(AND(BR580="",BS580=""),"",N(BS580)-N(BR580)))</f>
        <v/>
      </c>
      <c r="BX580">
        <f>IF(OR(BV$3="",BV$3&gt;TODAY()),"",IF(AND(BV580="",BW580=""),"",N(BW580)-N(BV580)))</f>
        <v/>
      </c>
      <c r="CA580">
        <f>IF(OR(BV$3="",BV$3&gt;TODAY()),"",IF(AND(BY580="",BZ580=""),"",N(BZ580)-N(BY580)))</f>
        <v/>
      </c>
      <c r="CE580">
        <f>IF(OR(CC$3="",CC$3&gt;TODAY()),"",IF(AND(CC580="",CD580=""),"",N(CD580)-N(CC580)))</f>
        <v/>
      </c>
      <c r="CH580">
        <f>IF(OR(CC$3="",CC$3&gt;TODAY()),"",IF(AND(CF580="",CG580=""),"",N(CG580)-N(CF580)))</f>
        <v/>
      </c>
      <c r="CL580">
        <f>IF(OR(CJ$3="",CJ$3&gt;TODAY()),"",IF(AND(CJ580="",CK580=""),"",N(CK580)-N(CJ580)))</f>
        <v/>
      </c>
      <c r="CO580">
        <f>IF(OR(CJ$3="",CJ$3&gt;TODAY()),"",IF(AND(CM580="",CN580=""),"",N(CN580)-N(CM580)))</f>
        <v/>
      </c>
      <c r="CS580">
        <f>IF(OR(CQ$3="",CQ$3&gt;TODAY()),"",IF(AND(CQ580="",CR580=""),"",N(CR580)-N(CQ580)))</f>
        <v/>
      </c>
      <c r="CV580">
        <f>IF(OR(CQ$3="",CQ$3&gt;TODAY()),"",IF(AND(CT580="",CU580=""),"",N(CU580)-N(CT580)))</f>
        <v/>
      </c>
      <c r="CZ580">
        <f>IF(OR(CX$3="",CX$3&gt;TODAY()),"",IF(AND(CX580="",CY580=""),"",N(CY580)-N(CX580)))</f>
        <v/>
      </c>
      <c r="DC580">
        <f>IF(OR(CX$3="",CX$3&gt;TODAY()),"",IF(AND(DA580="",DB580=""),"",N(DB580)-N(DA580)))</f>
        <v/>
      </c>
      <c r="DG580">
        <f>IF(OR(DE$3="",DE$3&gt;TODAY()),"",IF(AND(DE580="",DF580=""),"",N(DF580)-N(DE580)))</f>
        <v/>
      </c>
      <c r="DJ580">
        <f>IF(OR(DE$3="",DE$3&gt;TODAY()),"",IF(AND(DH580="",DI580=""),"",N(DI580)-N(DH580)))</f>
        <v/>
      </c>
      <c r="DN580">
        <f>IF(OR(DL$3="",DL$3&gt;TODAY()),"",IF(AND(DL580="",DM580=""),"",N(DM580)-N(DL580)))</f>
        <v/>
      </c>
      <c r="DQ580">
        <f>IF(OR(DL$3="",DL$3&gt;TODAY()),"",IF(AND(DO580="",DP580=""),"",N(DP580)-N(DO580)))</f>
        <v/>
      </c>
      <c r="DU580">
        <f>IF(OR(DS$3="",DS$3&gt;TODAY()),"",IF(AND(DS580="",DT580=""),"",N(DT580)-N(DS580)))</f>
        <v/>
      </c>
      <c r="DX580">
        <f>IF(OR(DS$3="",DS$3&gt;TODAY()),"",IF(AND(DV580="",DW580=""),"",N(DW580)-N(DV580)))</f>
        <v/>
      </c>
      <c r="EB580">
        <f>IF(OR(DZ$3="",DZ$3&gt;TODAY()),"",IF(AND(DZ580="",EA580=""),"",N(EA580)-N(DZ580)))</f>
        <v/>
      </c>
      <c r="EE580">
        <f>IF(OR(DZ$3="",DZ$3&gt;TODAY()),"",IF(AND(EC580="",ED580=""),"",N(ED580)-N(EC580)))</f>
        <v/>
      </c>
      <c r="EI580">
        <f>IF(OR(EG$3="",EG$3&gt;TODAY()),"",IF(AND(EG580="",EH580=""),"",N(EH580)-N(EG580)))</f>
        <v/>
      </c>
      <c r="EL580">
        <f>IF(OR(EG$3="",EG$3&gt;TODAY()),"",IF(AND(EJ580="",EK580=""),"",N(EK580)-N(EJ580)))</f>
        <v/>
      </c>
      <c r="EP580">
        <f>IF(OR(EN$3="",EN$3&gt;TODAY()),"",IF(AND(EN580="",EO580=""),"",N(EO580)-N(EN580)))</f>
        <v/>
      </c>
      <c r="ES580">
        <f>IF(OR(EN$3="",EN$3&gt;TODAY()),"",IF(AND(EQ580="",ER580=""),"",N(ER580)-N(EQ580)))</f>
        <v/>
      </c>
      <c r="EW580">
        <f>IF(OR(EU$3="",EU$3&gt;TODAY()),"",IF(AND(EU580="",EV580=""),"",N(EV580)-N(EU580)))</f>
        <v/>
      </c>
      <c r="EZ580">
        <f>IF(OR(EU$3="",EU$3&gt;TODAY()),"",IF(AND(EX580="",EY580=""),"",N(EY580)-N(EX580)))</f>
        <v/>
      </c>
      <c r="FD580">
        <f>IF(OR(FB$3="",FB$3&gt;TODAY()),"",IF(AND(FB580="",FC580=""),"",N(FC580)-N(FB580)))</f>
        <v/>
      </c>
      <c r="FG580">
        <f>IF(OR(FB$3="",FB$3&gt;TODAY()),"",IF(AND(FE580="",FF580=""),"",N(FF580)-N(FE580)))</f>
        <v/>
      </c>
      <c r="FK580">
        <f>IF(OR(FI$3="",FI$3&gt;TODAY()),"",IF(AND(FI580="",FJ580=""),"",N(FJ580)-N(FI580)))</f>
        <v/>
      </c>
      <c r="FN580">
        <f>IF(OR(FI$3="",FI$3&gt;TODAY()),"",IF(AND(FL580="",FM580=""),"",N(FM580)-N(FL580)))</f>
        <v/>
      </c>
      <c r="FR580">
        <f>IF(OR(FP$3="",FP$3&gt;TODAY()),"",IF(AND(FP580="",FQ580=""),"",N(FQ580)-N(FP580)))</f>
        <v/>
      </c>
      <c r="FU580">
        <f>IF(OR(FP$3="",FP$3&gt;TODAY()),"",IF(AND(FS580="",FT580=""),"",N(FT580)-N(FS580)))</f>
        <v/>
      </c>
      <c r="FY580">
        <f>IF(OR(FW$3="",FW$3&gt;TODAY()),"",IF(AND(FW580="",FX580=""),"",N(FX580)-N(FW580)))</f>
        <v/>
      </c>
      <c r="GB580">
        <f>IF(OR(FW$3="",FW$3&gt;TODAY()),"",IF(AND(FZ580="",GA580=""),"",N(GA580)-N(FZ580)))</f>
        <v/>
      </c>
      <c r="GF580">
        <f>IF(OR(GD$3="",GD$3&gt;TODAY()),"",IF(AND(GD580="",GE580=""),"",N(GE580)-N(GD580)))</f>
        <v/>
      </c>
      <c r="GI580">
        <f>IF(OR(GD$3="",GD$3&gt;TODAY()),"",IF(AND(GG580="",GH580=""),"",N(GH580)-N(GG580)))</f>
        <v/>
      </c>
      <c r="GM580">
        <f>IF(OR(GK$3="",GK$3&gt;TODAY()),"",IF(AND(GK580="",GL580=""),"",N(GL580)-N(GK580)))</f>
        <v/>
      </c>
      <c r="GP580">
        <f>IF(OR(GK$3="",GK$3&gt;TODAY()),"",IF(AND(GN580="",GO580=""),"",N(GO580)-N(GN580)))</f>
        <v/>
      </c>
      <c r="GT580">
        <f>IF(OR(GR$3="",GR$3&gt;TODAY()),"",IF(AND(GR580="",GS580=""),"",N(GS580)-N(GR580)))</f>
        <v/>
      </c>
      <c r="GW580">
        <f>IF(OR(GR$3="",GR$3&gt;TODAY()),"",IF(AND(GU580="",GV580=""),"",N(GV580)-N(GU580)))</f>
        <v/>
      </c>
      <c r="HA580">
        <f>IF(OR(GY$3="",GY$3&gt;TODAY()),"",IF(AND(GY580="",GZ580=""),"",N(GZ580)-N(GY580)))</f>
        <v/>
      </c>
      <c r="HD580">
        <f>IF(OR(GY$3="",GY$3&gt;TODAY()),"",IF(AND(HB580="",HC580=""),"",N(HC580)-N(HB580)))</f>
        <v/>
      </c>
      <c r="HH580">
        <f>IF(OR(HF$3="",HF$3&gt;TODAY()),"",IF(AND(HF580="",HG580=""),"",N(HG580)-N(HF580)))</f>
        <v/>
      </c>
      <c r="HK580">
        <f>IF(OR(HF$3="",HF$3&gt;TODAY()),"",IF(AND(HI580="",HJ580=""),"",N(HJ580)-N(HI580)))</f>
        <v/>
      </c>
      <c r="HO580">
        <f>IF(OR(HM$3="",HM$3&gt;TODAY()),"",IF(AND(HM580="",HN580=""),"",N(HN580)-N(HM580)))</f>
        <v/>
      </c>
      <c r="HR580">
        <f>IF(OR(HM$3="",HM$3&gt;TODAY()),"",IF(AND(HP580="",HQ580=""),"",N(HQ580)-N(HP580)))</f>
        <v/>
      </c>
      <c r="HV580">
        <f>IF(OR(HT$3="",HT$3&gt;TODAY()),"",IF(AND(HT580="",HU580=""),"",N(HU580)-N(HT580)))</f>
        <v/>
      </c>
      <c r="HY580">
        <f>IF(OR(HT$3="",HT$3&gt;TODAY()),"",IF(AND(HW580="",HX580=""),"",N(HX580)-N(HW580)))</f>
        <v/>
      </c>
      <c r="IC580">
        <f>IF(OR(IA$3="",IA$3&gt;TODAY()),"",IF(AND(IA580="",IB580=""),"",N(IB580)-N(IA580)))</f>
        <v/>
      </c>
      <c r="IF580">
        <f>IF(OR(IA$3="",IA$3&gt;TODAY()),"",IF(AND(ID580="",IE580=""),"",N(IE580)-N(ID580)))</f>
        <v/>
      </c>
      <c r="IJ580">
        <f>IF(OR(IH$3="",IH$3&gt;TODAY()),"",IF(AND(IH580="",II580=""),"",N(II580)-N(IH580)))</f>
        <v/>
      </c>
      <c r="IM580">
        <f>IF(OR(IH$3="",IH$3&gt;TODAY()),"",IF(AND(IK580="",IL580=""),"",N(IL580)-N(IK580)))</f>
        <v/>
      </c>
    </row>
    <row r="581">
      <c r="A581" s="21" t="n"/>
      <c r="B581" s="21" t="n"/>
      <c r="C581" s="21" t="n"/>
      <c r="D581" s="21" t="n"/>
      <c r="E581" s="21" t="n"/>
      <c r="F581" s="21" t="n"/>
      <c r="G581" s="21" t="n"/>
      <c r="H581" s="21" t="n"/>
      <c r="I581" s="22" t="n"/>
      <c r="J581" s="22" t="n"/>
      <c r="K581" s="23" t="n"/>
      <c r="L581" s="22" t="n"/>
      <c r="M581" s="22" t="n"/>
      <c r="N581" s="21" t="n"/>
      <c r="O581" s="23" t="n"/>
      <c r="P581" s="23" t="n"/>
      <c r="Q581" s="23" t="n"/>
      <c r="R581" s="23" t="n"/>
      <c r="S581" s="22" t="n"/>
      <c r="T581" s="23" t="n"/>
      <c r="U581" s="23" t="n"/>
      <c r="V581" s="24">
        <f>IF(J581&lt;&gt;"",J581,IF(I581&lt;&gt;"",I581,""))</f>
        <v/>
      </c>
      <c r="W581" s="25">
        <f>IF($E581="","",N(O581)+SUMIFS($AF581:$IN581,$AF$4:$IN$4,"SEW_ACT"))</f>
        <v/>
      </c>
      <c r="X581" s="25">
        <f>IF($E581="","",N(P581)+SUMIFS($AF581:$IN581,$AF$4:$IN$4,"WASH_ACT"))</f>
        <v/>
      </c>
      <c r="Y581" s="25">
        <f>IF($E581="","",W581-X581-N(T581)-N(U581))</f>
        <v/>
      </c>
      <c r="Z581" s="25">
        <f>IF($E581="","",IF(N(K581)-X581&lt;=0.02*N(K581),0,N(K581)-X581))</f>
        <v/>
      </c>
      <c r="AA581" s="24">
        <f>IF($E581="","",IF(S581&lt;&gt;"",S581,IF(N(O581)&gt;0,IF(L581&lt;&gt;"",L581,99999),IFERROR(1/(1/_xlfn.MINIFS($AF$3:$IN$3,$AF$4:$IN$4,"SEW_ACT",$AF581:$IN581,"&gt;0")),99999))))</f>
        <v/>
      </c>
      <c r="AB581" s="26">
        <f>IF(OR($E581="",Z581=0,V581=""),"",1+COUNTIFS(Z$8:Z$707,"&gt;0",V$8:V$707,"&lt;"&amp;V581)+COUNTIFS(Z$8:Z$707,"&gt;0",V$8:V$707,V581,AA$8:AA$707,"&lt;"&amp;AA581)+COUNTIFS(Z$8:Z$707,"&gt;0",V$8:V$707,V581,AA$8:AA$707,AA581,E$8:E$707,"&lt;"&amp;$E581))</f>
        <v/>
      </c>
      <c r="AC581" s="24">
        <f>IF(OR($E581="",Z581=0),"",IFERROR(TODAY()+ROUNDUP(Z581/(SUMIFS($AF581:$IN581,$AF$4:$IN$4,"WASH_ACT")/COUNTIFS($AF$4:$IN$4,"WASH_ACT",$AF581:$IN581,"&gt;0")),0),"no output yet"))</f>
        <v/>
      </c>
      <c r="AD581" s="26">
        <f>IF($E581="","",IFERROR(ROUND(MAX(0,SUMIFS($AF581:$IN581,$AF$4:$IN$4,"SEW_PLAN",$AF$3:$IN$3,"&lt;="&amp;TODAY())-SUMIFS($AF581:$IN581,$AF$4:$IN$4,"SEW_ACT",$AF$3:$IN$3,"&lt;="&amp;TODAY())+N(Q581))/(SUMIFS($AF581:$IN581,$AF$4:$IN$4,"SEW_PLAN")/COUNTIFS($AF$4:$IN$4,"SEW_PLAN",$AF581:$IN581,"&gt;0")),1),0))</f>
        <v/>
      </c>
      <c r="AE581" s="26">
        <f>IF($E581="","",IF(AND(Z581&gt;0,OR(AND(M581&lt;&gt;"",TODAY()&gt;M581),AND(V581&lt;&gt;"",V581-TODAY()&lt;=7))),"Yes","No"))</f>
        <v/>
      </c>
      <c r="AH581">
        <f>IF(OR(AF$3="",AF$3&gt;TODAY()),"",IF(AND(AF581="",AG581=""),"",N(AG581)-N(AF581)))</f>
        <v/>
      </c>
      <c r="AK581">
        <f>IF(OR(AF$3="",AF$3&gt;TODAY()),"",IF(AND(AI581="",AJ581=""),"",N(AJ581)-N(AI581)))</f>
        <v/>
      </c>
      <c r="AO581">
        <f>IF(OR(AM$3="",AM$3&gt;TODAY()),"",IF(AND(AM581="",AN581=""),"",N(AN581)-N(AM581)))</f>
        <v/>
      </c>
      <c r="AR581">
        <f>IF(OR(AM$3="",AM$3&gt;TODAY()),"",IF(AND(AP581="",AQ581=""),"",N(AQ581)-N(AP581)))</f>
        <v/>
      </c>
      <c r="AV581">
        <f>IF(OR(AT$3="",AT$3&gt;TODAY()),"",IF(AND(AT581="",AU581=""),"",N(AU581)-N(AT581)))</f>
        <v/>
      </c>
      <c r="AY581">
        <f>IF(OR(AT$3="",AT$3&gt;TODAY()),"",IF(AND(AW581="",AX581=""),"",N(AX581)-N(AW581)))</f>
        <v/>
      </c>
      <c r="BC581">
        <f>IF(OR(BA$3="",BA$3&gt;TODAY()),"",IF(AND(BA581="",BB581=""),"",N(BB581)-N(BA581)))</f>
        <v/>
      </c>
      <c r="BF581">
        <f>IF(OR(BA$3="",BA$3&gt;TODAY()),"",IF(AND(BD581="",BE581=""),"",N(BE581)-N(BD581)))</f>
        <v/>
      </c>
      <c r="BJ581">
        <f>IF(OR(BH$3="",BH$3&gt;TODAY()),"",IF(AND(BH581="",BI581=""),"",N(BI581)-N(BH581)))</f>
        <v/>
      </c>
      <c r="BM581">
        <f>IF(OR(BH$3="",BH$3&gt;TODAY()),"",IF(AND(BK581="",BL581=""),"",N(BL581)-N(BK581)))</f>
        <v/>
      </c>
      <c r="BQ581">
        <f>IF(OR(BO$3="",BO$3&gt;TODAY()),"",IF(AND(BO581="",BP581=""),"",N(BP581)-N(BO581)))</f>
        <v/>
      </c>
      <c r="BT581">
        <f>IF(OR(BO$3="",BO$3&gt;TODAY()),"",IF(AND(BR581="",BS581=""),"",N(BS581)-N(BR581)))</f>
        <v/>
      </c>
      <c r="BX581">
        <f>IF(OR(BV$3="",BV$3&gt;TODAY()),"",IF(AND(BV581="",BW581=""),"",N(BW581)-N(BV581)))</f>
        <v/>
      </c>
      <c r="CA581">
        <f>IF(OR(BV$3="",BV$3&gt;TODAY()),"",IF(AND(BY581="",BZ581=""),"",N(BZ581)-N(BY581)))</f>
        <v/>
      </c>
      <c r="CE581">
        <f>IF(OR(CC$3="",CC$3&gt;TODAY()),"",IF(AND(CC581="",CD581=""),"",N(CD581)-N(CC581)))</f>
        <v/>
      </c>
      <c r="CH581">
        <f>IF(OR(CC$3="",CC$3&gt;TODAY()),"",IF(AND(CF581="",CG581=""),"",N(CG581)-N(CF581)))</f>
        <v/>
      </c>
      <c r="CL581">
        <f>IF(OR(CJ$3="",CJ$3&gt;TODAY()),"",IF(AND(CJ581="",CK581=""),"",N(CK581)-N(CJ581)))</f>
        <v/>
      </c>
      <c r="CO581">
        <f>IF(OR(CJ$3="",CJ$3&gt;TODAY()),"",IF(AND(CM581="",CN581=""),"",N(CN581)-N(CM581)))</f>
        <v/>
      </c>
      <c r="CS581">
        <f>IF(OR(CQ$3="",CQ$3&gt;TODAY()),"",IF(AND(CQ581="",CR581=""),"",N(CR581)-N(CQ581)))</f>
        <v/>
      </c>
      <c r="CV581">
        <f>IF(OR(CQ$3="",CQ$3&gt;TODAY()),"",IF(AND(CT581="",CU581=""),"",N(CU581)-N(CT581)))</f>
        <v/>
      </c>
      <c r="CZ581">
        <f>IF(OR(CX$3="",CX$3&gt;TODAY()),"",IF(AND(CX581="",CY581=""),"",N(CY581)-N(CX581)))</f>
        <v/>
      </c>
      <c r="DC581">
        <f>IF(OR(CX$3="",CX$3&gt;TODAY()),"",IF(AND(DA581="",DB581=""),"",N(DB581)-N(DA581)))</f>
        <v/>
      </c>
      <c r="DG581">
        <f>IF(OR(DE$3="",DE$3&gt;TODAY()),"",IF(AND(DE581="",DF581=""),"",N(DF581)-N(DE581)))</f>
        <v/>
      </c>
      <c r="DJ581">
        <f>IF(OR(DE$3="",DE$3&gt;TODAY()),"",IF(AND(DH581="",DI581=""),"",N(DI581)-N(DH581)))</f>
        <v/>
      </c>
      <c r="DN581">
        <f>IF(OR(DL$3="",DL$3&gt;TODAY()),"",IF(AND(DL581="",DM581=""),"",N(DM581)-N(DL581)))</f>
        <v/>
      </c>
      <c r="DQ581">
        <f>IF(OR(DL$3="",DL$3&gt;TODAY()),"",IF(AND(DO581="",DP581=""),"",N(DP581)-N(DO581)))</f>
        <v/>
      </c>
      <c r="DU581">
        <f>IF(OR(DS$3="",DS$3&gt;TODAY()),"",IF(AND(DS581="",DT581=""),"",N(DT581)-N(DS581)))</f>
        <v/>
      </c>
      <c r="DX581">
        <f>IF(OR(DS$3="",DS$3&gt;TODAY()),"",IF(AND(DV581="",DW581=""),"",N(DW581)-N(DV581)))</f>
        <v/>
      </c>
      <c r="EB581">
        <f>IF(OR(DZ$3="",DZ$3&gt;TODAY()),"",IF(AND(DZ581="",EA581=""),"",N(EA581)-N(DZ581)))</f>
        <v/>
      </c>
      <c r="EE581">
        <f>IF(OR(DZ$3="",DZ$3&gt;TODAY()),"",IF(AND(EC581="",ED581=""),"",N(ED581)-N(EC581)))</f>
        <v/>
      </c>
      <c r="EI581">
        <f>IF(OR(EG$3="",EG$3&gt;TODAY()),"",IF(AND(EG581="",EH581=""),"",N(EH581)-N(EG581)))</f>
        <v/>
      </c>
      <c r="EL581">
        <f>IF(OR(EG$3="",EG$3&gt;TODAY()),"",IF(AND(EJ581="",EK581=""),"",N(EK581)-N(EJ581)))</f>
        <v/>
      </c>
      <c r="EP581">
        <f>IF(OR(EN$3="",EN$3&gt;TODAY()),"",IF(AND(EN581="",EO581=""),"",N(EO581)-N(EN581)))</f>
        <v/>
      </c>
      <c r="ES581">
        <f>IF(OR(EN$3="",EN$3&gt;TODAY()),"",IF(AND(EQ581="",ER581=""),"",N(ER581)-N(EQ581)))</f>
        <v/>
      </c>
      <c r="EW581">
        <f>IF(OR(EU$3="",EU$3&gt;TODAY()),"",IF(AND(EU581="",EV581=""),"",N(EV581)-N(EU581)))</f>
        <v/>
      </c>
      <c r="EZ581">
        <f>IF(OR(EU$3="",EU$3&gt;TODAY()),"",IF(AND(EX581="",EY581=""),"",N(EY581)-N(EX581)))</f>
        <v/>
      </c>
      <c r="FD581">
        <f>IF(OR(FB$3="",FB$3&gt;TODAY()),"",IF(AND(FB581="",FC581=""),"",N(FC581)-N(FB581)))</f>
        <v/>
      </c>
      <c r="FG581">
        <f>IF(OR(FB$3="",FB$3&gt;TODAY()),"",IF(AND(FE581="",FF581=""),"",N(FF581)-N(FE581)))</f>
        <v/>
      </c>
      <c r="FK581">
        <f>IF(OR(FI$3="",FI$3&gt;TODAY()),"",IF(AND(FI581="",FJ581=""),"",N(FJ581)-N(FI581)))</f>
        <v/>
      </c>
      <c r="FN581">
        <f>IF(OR(FI$3="",FI$3&gt;TODAY()),"",IF(AND(FL581="",FM581=""),"",N(FM581)-N(FL581)))</f>
        <v/>
      </c>
      <c r="FR581">
        <f>IF(OR(FP$3="",FP$3&gt;TODAY()),"",IF(AND(FP581="",FQ581=""),"",N(FQ581)-N(FP581)))</f>
        <v/>
      </c>
      <c r="FU581">
        <f>IF(OR(FP$3="",FP$3&gt;TODAY()),"",IF(AND(FS581="",FT581=""),"",N(FT581)-N(FS581)))</f>
        <v/>
      </c>
      <c r="FY581">
        <f>IF(OR(FW$3="",FW$3&gt;TODAY()),"",IF(AND(FW581="",FX581=""),"",N(FX581)-N(FW581)))</f>
        <v/>
      </c>
      <c r="GB581">
        <f>IF(OR(FW$3="",FW$3&gt;TODAY()),"",IF(AND(FZ581="",GA581=""),"",N(GA581)-N(FZ581)))</f>
        <v/>
      </c>
      <c r="GF581">
        <f>IF(OR(GD$3="",GD$3&gt;TODAY()),"",IF(AND(GD581="",GE581=""),"",N(GE581)-N(GD581)))</f>
        <v/>
      </c>
      <c r="GI581">
        <f>IF(OR(GD$3="",GD$3&gt;TODAY()),"",IF(AND(GG581="",GH581=""),"",N(GH581)-N(GG581)))</f>
        <v/>
      </c>
      <c r="GM581">
        <f>IF(OR(GK$3="",GK$3&gt;TODAY()),"",IF(AND(GK581="",GL581=""),"",N(GL581)-N(GK581)))</f>
        <v/>
      </c>
      <c r="GP581">
        <f>IF(OR(GK$3="",GK$3&gt;TODAY()),"",IF(AND(GN581="",GO581=""),"",N(GO581)-N(GN581)))</f>
        <v/>
      </c>
      <c r="GT581">
        <f>IF(OR(GR$3="",GR$3&gt;TODAY()),"",IF(AND(GR581="",GS581=""),"",N(GS581)-N(GR581)))</f>
        <v/>
      </c>
      <c r="GW581">
        <f>IF(OR(GR$3="",GR$3&gt;TODAY()),"",IF(AND(GU581="",GV581=""),"",N(GV581)-N(GU581)))</f>
        <v/>
      </c>
      <c r="HA581">
        <f>IF(OR(GY$3="",GY$3&gt;TODAY()),"",IF(AND(GY581="",GZ581=""),"",N(GZ581)-N(GY581)))</f>
        <v/>
      </c>
      <c r="HD581">
        <f>IF(OR(GY$3="",GY$3&gt;TODAY()),"",IF(AND(HB581="",HC581=""),"",N(HC581)-N(HB581)))</f>
        <v/>
      </c>
      <c r="HH581">
        <f>IF(OR(HF$3="",HF$3&gt;TODAY()),"",IF(AND(HF581="",HG581=""),"",N(HG581)-N(HF581)))</f>
        <v/>
      </c>
      <c r="HK581">
        <f>IF(OR(HF$3="",HF$3&gt;TODAY()),"",IF(AND(HI581="",HJ581=""),"",N(HJ581)-N(HI581)))</f>
        <v/>
      </c>
      <c r="HO581">
        <f>IF(OR(HM$3="",HM$3&gt;TODAY()),"",IF(AND(HM581="",HN581=""),"",N(HN581)-N(HM581)))</f>
        <v/>
      </c>
      <c r="HR581">
        <f>IF(OR(HM$3="",HM$3&gt;TODAY()),"",IF(AND(HP581="",HQ581=""),"",N(HQ581)-N(HP581)))</f>
        <v/>
      </c>
      <c r="HV581">
        <f>IF(OR(HT$3="",HT$3&gt;TODAY()),"",IF(AND(HT581="",HU581=""),"",N(HU581)-N(HT581)))</f>
        <v/>
      </c>
      <c r="HY581">
        <f>IF(OR(HT$3="",HT$3&gt;TODAY()),"",IF(AND(HW581="",HX581=""),"",N(HX581)-N(HW581)))</f>
        <v/>
      </c>
      <c r="IC581">
        <f>IF(OR(IA$3="",IA$3&gt;TODAY()),"",IF(AND(IA581="",IB581=""),"",N(IB581)-N(IA581)))</f>
        <v/>
      </c>
      <c r="IF581">
        <f>IF(OR(IA$3="",IA$3&gt;TODAY()),"",IF(AND(ID581="",IE581=""),"",N(IE581)-N(ID581)))</f>
        <v/>
      </c>
      <c r="IJ581">
        <f>IF(OR(IH$3="",IH$3&gt;TODAY()),"",IF(AND(IH581="",II581=""),"",N(II581)-N(IH581)))</f>
        <v/>
      </c>
      <c r="IM581">
        <f>IF(OR(IH$3="",IH$3&gt;TODAY()),"",IF(AND(IK581="",IL581=""),"",N(IL581)-N(IK581)))</f>
        <v/>
      </c>
    </row>
    <row r="582">
      <c r="A582" s="21" t="n"/>
      <c r="B582" s="21" t="n"/>
      <c r="C582" s="21" t="n"/>
      <c r="D582" s="21" t="n"/>
      <c r="E582" s="21" t="n"/>
      <c r="F582" s="21" t="n"/>
      <c r="G582" s="21" t="n"/>
      <c r="H582" s="21" t="n"/>
      <c r="I582" s="22" t="n"/>
      <c r="J582" s="22" t="n"/>
      <c r="K582" s="23" t="n"/>
      <c r="L582" s="22" t="n"/>
      <c r="M582" s="22" t="n"/>
      <c r="N582" s="21" t="n"/>
      <c r="O582" s="23" t="n"/>
      <c r="P582" s="23" t="n"/>
      <c r="Q582" s="23" t="n"/>
      <c r="R582" s="23" t="n"/>
      <c r="S582" s="22" t="n"/>
      <c r="T582" s="23" t="n"/>
      <c r="U582" s="23" t="n"/>
      <c r="V582" s="24">
        <f>IF(J582&lt;&gt;"",J582,IF(I582&lt;&gt;"",I582,""))</f>
        <v/>
      </c>
      <c r="W582" s="25">
        <f>IF($E582="","",N(O582)+SUMIFS($AF582:$IN582,$AF$4:$IN$4,"SEW_ACT"))</f>
        <v/>
      </c>
      <c r="X582" s="25">
        <f>IF($E582="","",N(P582)+SUMIFS($AF582:$IN582,$AF$4:$IN$4,"WASH_ACT"))</f>
        <v/>
      </c>
      <c r="Y582" s="25">
        <f>IF($E582="","",W582-X582-N(T582)-N(U582))</f>
        <v/>
      </c>
      <c r="Z582" s="25">
        <f>IF($E582="","",IF(N(K582)-X582&lt;=0.02*N(K582),0,N(K582)-X582))</f>
        <v/>
      </c>
      <c r="AA582" s="24">
        <f>IF($E582="","",IF(S582&lt;&gt;"",S582,IF(N(O582)&gt;0,IF(L582&lt;&gt;"",L582,99999),IFERROR(1/(1/_xlfn.MINIFS($AF$3:$IN$3,$AF$4:$IN$4,"SEW_ACT",$AF582:$IN582,"&gt;0")),99999))))</f>
        <v/>
      </c>
      <c r="AB582" s="26">
        <f>IF(OR($E582="",Z582=0,V582=""),"",1+COUNTIFS(Z$8:Z$707,"&gt;0",V$8:V$707,"&lt;"&amp;V582)+COUNTIFS(Z$8:Z$707,"&gt;0",V$8:V$707,V582,AA$8:AA$707,"&lt;"&amp;AA582)+COUNTIFS(Z$8:Z$707,"&gt;0",V$8:V$707,V582,AA$8:AA$707,AA582,E$8:E$707,"&lt;"&amp;$E582))</f>
        <v/>
      </c>
      <c r="AC582" s="24">
        <f>IF(OR($E582="",Z582=0),"",IFERROR(TODAY()+ROUNDUP(Z582/(SUMIFS($AF582:$IN582,$AF$4:$IN$4,"WASH_ACT")/COUNTIFS($AF$4:$IN$4,"WASH_ACT",$AF582:$IN582,"&gt;0")),0),"no output yet"))</f>
        <v/>
      </c>
      <c r="AD582" s="26">
        <f>IF($E582="","",IFERROR(ROUND(MAX(0,SUMIFS($AF582:$IN582,$AF$4:$IN$4,"SEW_PLAN",$AF$3:$IN$3,"&lt;="&amp;TODAY())-SUMIFS($AF582:$IN582,$AF$4:$IN$4,"SEW_ACT",$AF$3:$IN$3,"&lt;="&amp;TODAY())+N(Q582))/(SUMIFS($AF582:$IN582,$AF$4:$IN$4,"SEW_PLAN")/COUNTIFS($AF$4:$IN$4,"SEW_PLAN",$AF582:$IN582,"&gt;0")),1),0))</f>
        <v/>
      </c>
      <c r="AE582" s="26">
        <f>IF($E582="","",IF(AND(Z582&gt;0,OR(AND(M582&lt;&gt;"",TODAY()&gt;M582),AND(V582&lt;&gt;"",V582-TODAY()&lt;=7))),"Yes","No"))</f>
        <v/>
      </c>
      <c r="AH582">
        <f>IF(OR(AF$3="",AF$3&gt;TODAY()),"",IF(AND(AF582="",AG582=""),"",N(AG582)-N(AF582)))</f>
        <v/>
      </c>
      <c r="AK582">
        <f>IF(OR(AF$3="",AF$3&gt;TODAY()),"",IF(AND(AI582="",AJ582=""),"",N(AJ582)-N(AI582)))</f>
        <v/>
      </c>
      <c r="AO582">
        <f>IF(OR(AM$3="",AM$3&gt;TODAY()),"",IF(AND(AM582="",AN582=""),"",N(AN582)-N(AM582)))</f>
        <v/>
      </c>
      <c r="AR582">
        <f>IF(OR(AM$3="",AM$3&gt;TODAY()),"",IF(AND(AP582="",AQ582=""),"",N(AQ582)-N(AP582)))</f>
        <v/>
      </c>
      <c r="AV582">
        <f>IF(OR(AT$3="",AT$3&gt;TODAY()),"",IF(AND(AT582="",AU582=""),"",N(AU582)-N(AT582)))</f>
        <v/>
      </c>
      <c r="AY582">
        <f>IF(OR(AT$3="",AT$3&gt;TODAY()),"",IF(AND(AW582="",AX582=""),"",N(AX582)-N(AW582)))</f>
        <v/>
      </c>
      <c r="BC582">
        <f>IF(OR(BA$3="",BA$3&gt;TODAY()),"",IF(AND(BA582="",BB582=""),"",N(BB582)-N(BA582)))</f>
        <v/>
      </c>
      <c r="BF582">
        <f>IF(OR(BA$3="",BA$3&gt;TODAY()),"",IF(AND(BD582="",BE582=""),"",N(BE582)-N(BD582)))</f>
        <v/>
      </c>
      <c r="BJ582">
        <f>IF(OR(BH$3="",BH$3&gt;TODAY()),"",IF(AND(BH582="",BI582=""),"",N(BI582)-N(BH582)))</f>
        <v/>
      </c>
      <c r="BM582">
        <f>IF(OR(BH$3="",BH$3&gt;TODAY()),"",IF(AND(BK582="",BL582=""),"",N(BL582)-N(BK582)))</f>
        <v/>
      </c>
      <c r="BQ582">
        <f>IF(OR(BO$3="",BO$3&gt;TODAY()),"",IF(AND(BO582="",BP582=""),"",N(BP582)-N(BO582)))</f>
        <v/>
      </c>
      <c r="BT582">
        <f>IF(OR(BO$3="",BO$3&gt;TODAY()),"",IF(AND(BR582="",BS582=""),"",N(BS582)-N(BR582)))</f>
        <v/>
      </c>
      <c r="BX582">
        <f>IF(OR(BV$3="",BV$3&gt;TODAY()),"",IF(AND(BV582="",BW582=""),"",N(BW582)-N(BV582)))</f>
        <v/>
      </c>
      <c r="CA582">
        <f>IF(OR(BV$3="",BV$3&gt;TODAY()),"",IF(AND(BY582="",BZ582=""),"",N(BZ582)-N(BY582)))</f>
        <v/>
      </c>
      <c r="CE582">
        <f>IF(OR(CC$3="",CC$3&gt;TODAY()),"",IF(AND(CC582="",CD582=""),"",N(CD582)-N(CC582)))</f>
        <v/>
      </c>
      <c r="CH582">
        <f>IF(OR(CC$3="",CC$3&gt;TODAY()),"",IF(AND(CF582="",CG582=""),"",N(CG582)-N(CF582)))</f>
        <v/>
      </c>
      <c r="CL582">
        <f>IF(OR(CJ$3="",CJ$3&gt;TODAY()),"",IF(AND(CJ582="",CK582=""),"",N(CK582)-N(CJ582)))</f>
        <v/>
      </c>
      <c r="CO582">
        <f>IF(OR(CJ$3="",CJ$3&gt;TODAY()),"",IF(AND(CM582="",CN582=""),"",N(CN582)-N(CM582)))</f>
        <v/>
      </c>
      <c r="CS582">
        <f>IF(OR(CQ$3="",CQ$3&gt;TODAY()),"",IF(AND(CQ582="",CR582=""),"",N(CR582)-N(CQ582)))</f>
        <v/>
      </c>
      <c r="CV582">
        <f>IF(OR(CQ$3="",CQ$3&gt;TODAY()),"",IF(AND(CT582="",CU582=""),"",N(CU582)-N(CT582)))</f>
        <v/>
      </c>
      <c r="CZ582">
        <f>IF(OR(CX$3="",CX$3&gt;TODAY()),"",IF(AND(CX582="",CY582=""),"",N(CY582)-N(CX582)))</f>
        <v/>
      </c>
      <c r="DC582">
        <f>IF(OR(CX$3="",CX$3&gt;TODAY()),"",IF(AND(DA582="",DB582=""),"",N(DB582)-N(DA582)))</f>
        <v/>
      </c>
      <c r="DG582">
        <f>IF(OR(DE$3="",DE$3&gt;TODAY()),"",IF(AND(DE582="",DF582=""),"",N(DF582)-N(DE582)))</f>
        <v/>
      </c>
      <c r="DJ582">
        <f>IF(OR(DE$3="",DE$3&gt;TODAY()),"",IF(AND(DH582="",DI582=""),"",N(DI582)-N(DH582)))</f>
        <v/>
      </c>
      <c r="DN582">
        <f>IF(OR(DL$3="",DL$3&gt;TODAY()),"",IF(AND(DL582="",DM582=""),"",N(DM582)-N(DL582)))</f>
        <v/>
      </c>
      <c r="DQ582">
        <f>IF(OR(DL$3="",DL$3&gt;TODAY()),"",IF(AND(DO582="",DP582=""),"",N(DP582)-N(DO582)))</f>
        <v/>
      </c>
      <c r="DU582">
        <f>IF(OR(DS$3="",DS$3&gt;TODAY()),"",IF(AND(DS582="",DT582=""),"",N(DT582)-N(DS582)))</f>
        <v/>
      </c>
      <c r="DX582">
        <f>IF(OR(DS$3="",DS$3&gt;TODAY()),"",IF(AND(DV582="",DW582=""),"",N(DW582)-N(DV582)))</f>
        <v/>
      </c>
      <c r="EB582">
        <f>IF(OR(DZ$3="",DZ$3&gt;TODAY()),"",IF(AND(DZ582="",EA582=""),"",N(EA582)-N(DZ582)))</f>
        <v/>
      </c>
      <c r="EE582">
        <f>IF(OR(DZ$3="",DZ$3&gt;TODAY()),"",IF(AND(EC582="",ED582=""),"",N(ED582)-N(EC582)))</f>
        <v/>
      </c>
      <c r="EI582">
        <f>IF(OR(EG$3="",EG$3&gt;TODAY()),"",IF(AND(EG582="",EH582=""),"",N(EH582)-N(EG582)))</f>
        <v/>
      </c>
      <c r="EL582">
        <f>IF(OR(EG$3="",EG$3&gt;TODAY()),"",IF(AND(EJ582="",EK582=""),"",N(EK582)-N(EJ582)))</f>
        <v/>
      </c>
      <c r="EP582">
        <f>IF(OR(EN$3="",EN$3&gt;TODAY()),"",IF(AND(EN582="",EO582=""),"",N(EO582)-N(EN582)))</f>
        <v/>
      </c>
      <c r="ES582">
        <f>IF(OR(EN$3="",EN$3&gt;TODAY()),"",IF(AND(EQ582="",ER582=""),"",N(ER582)-N(EQ582)))</f>
        <v/>
      </c>
      <c r="EW582">
        <f>IF(OR(EU$3="",EU$3&gt;TODAY()),"",IF(AND(EU582="",EV582=""),"",N(EV582)-N(EU582)))</f>
        <v/>
      </c>
      <c r="EZ582">
        <f>IF(OR(EU$3="",EU$3&gt;TODAY()),"",IF(AND(EX582="",EY582=""),"",N(EY582)-N(EX582)))</f>
        <v/>
      </c>
      <c r="FD582">
        <f>IF(OR(FB$3="",FB$3&gt;TODAY()),"",IF(AND(FB582="",FC582=""),"",N(FC582)-N(FB582)))</f>
        <v/>
      </c>
      <c r="FG582">
        <f>IF(OR(FB$3="",FB$3&gt;TODAY()),"",IF(AND(FE582="",FF582=""),"",N(FF582)-N(FE582)))</f>
        <v/>
      </c>
      <c r="FK582">
        <f>IF(OR(FI$3="",FI$3&gt;TODAY()),"",IF(AND(FI582="",FJ582=""),"",N(FJ582)-N(FI582)))</f>
        <v/>
      </c>
      <c r="FN582">
        <f>IF(OR(FI$3="",FI$3&gt;TODAY()),"",IF(AND(FL582="",FM582=""),"",N(FM582)-N(FL582)))</f>
        <v/>
      </c>
      <c r="FR582">
        <f>IF(OR(FP$3="",FP$3&gt;TODAY()),"",IF(AND(FP582="",FQ582=""),"",N(FQ582)-N(FP582)))</f>
        <v/>
      </c>
      <c r="FU582">
        <f>IF(OR(FP$3="",FP$3&gt;TODAY()),"",IF(AND(FS582="",FT582=""),"",N(FT582)-N(FS582)))</f>
        <v/>
      </c>
      <c r="FY582">
        <f>IF(OR(FW$3="",FW$3&gt;TODAY()),"",IF(AND(FW582="",FX582=""),"",N(FX582)-N(FW582)))</f>
        <v/>
      </c>
      <c r="GB582">
        <f>IF(OR(FW$3="",FW$3&gt;TODAY()),"",IF(AND(FZ582="",GA582=""),"",N(GA582)-N(FZ582)))</f>
        <v/>
      </c>
      <c r="GF582">
        <f>IF(OR(GD$3="",GD$3&gt;TODAY()),"",IF(AND(GD582="",GE582=""),"",N(GE582)-N(GD582)))</f>
        <v/>
      </c>
      <c r="GI582">
        <f>IF(OR(GD$3="",GD$3&gt;TODAY()),"",IF(AND(GG582="",GH582=""),"",N(GH582)-N(GG582)))</f>
        <v/>
      </c>
      <c r="GM582">
        <f>IF(OR(GK$3="",GK$3&gt;TODAY()),"",IF(AND(GK582="",GL582=""),"",N(GL582)-N(GK582)))</f>
        <v/>
      </c>
      <c r="GP582">
        <f>IF(OR(GK$3="",GK$3&gt;TODAY()),"",IF(AND(GN582="",GO582=""),"",N(GO582)-N(GN582)))</f>
        <v/>
      </c>
      <c r="GT582">
        <f>IF(OR(GR$3="",GR$3&gt;TODAY()),"",IF(AND(GR582="",GS582=""),"",N(GS582)-N(GR582)))</f>
        <v/>
      </c>
      <c r="GW582">
        <f>IF(OR(GR$3="",GR$3&gt;TODAY()),"",IF(AND(GU582="",GV582=""),"",N(GV582)-N(GU582)))</f>
        <v/>
      </c>
      <c r="HA582">
        <f>IF(OR(GY$3="",GY$3&gt;TODAY()),"",IF(AND(GY582="",GZ582=""),"",N(GZ582)-N(GY582)))</f>
        <v/>
      </c>
      <c r="HD582">
        <f>IF(OR(GY$3="",GY$3&gt;TODAY()),"",IF(AND(HB582="",HC582=""),"",N(HC582)-N(HB582)))</f>
        <v/>
      </c>
      <c r="HH582">
        <f>IF(OR(HF$3="",HF$3&gt;TODAY()),"",IF(AND(HF582="",HG582=""),"",N(HG582)-N(HF582)))</f>
        <v/>
      </c>
      <c r="HK582">
        <f>IF(OR(HF$3="",HF$3&gt;TODAY()),"",IF(AND(HI582="",HJ582=""),"",N(HJ582)-N(HI582)))</f>
        <v/>
      </c>
      <c r="HO582">
        <f>IF(OR(HM$3="",HM$3&gt;TODAY()),"",IF(AND(HM582="",HN582=""),"",N(HN582)-N(HM582)))</f>
        <v/>
      </c>
      <c r="HR582">
        <f>IF(OR(HM$3="",HM$3&gt;TODAY()),"",IF(AND(HP582="",HQ582=""),"",N(HQ582)-N(HP582)))</f>
        <v/>
      </c>
      <c r="HV582">
        <f>IF(OR(HT$3="",HT$3&gt;TODAY()),"",IF(AND(HT582="",HU582=""),"",N(HU582)-N(HT582)))</f>
        <v/>
      </c>
      <c r="HY582">
        <f>IF(OR(HT$3="",HT$3&gt;TODAY()),"",IF(AND(HW582="",HX582=""),"",N(HX582)-N(HW582)))</f>
        <v/>
      </c>
      <c r="IC582">
        <f>IF(OR(IA$3="",IA$3&gt;TODAY()),"",IF(AND(IA582="",IB582=""),"",N(IB582)-N(IA582)))</f>
        <v/>
      </c>
      <c r="IF582">
        <f>IF(OR(IA$3="",IA$3&gt;TODAY()),"",IF(AND(ID582="",IE582=""),"",N(IE582)-N(ID582)))</f>
        <v/>
      </c>
      <c r="IJ582">
        <f>IF(OR(IH$3="",IH$3&gt;TODAY()),"",IF(AND(IH582="",II582=""),"",N(II582)-N(IH582)))</f>
        <v/>
      </c>
      <c r="IM582">
        <f>IF(OR(IH$3="",IH$3&gt;TODAY()),"",IF(AND(IK582="",IL582=""),"",N(IL582)-N(IK582)))</f>
        <v/>
      </c>
    </row>
    <row r="583">
      <c r="A583" s="21" t="n"/>
      <c r="B583" s="21" t="n"/>
      <c r="C583" s="21" t="n"/>
      <c r="D583" s="21" t="n"/>
      <c r="E583" s="21" t="n"/>
      <c r="F583" s="21" t="n"/>
      <c r="G583" s="21" t="n"/>
      <c r="H583" s="21" t="n"/>
      <c r="I583" s="22" t="n"/>
      <c r="J583" s="22" t="n"/>
      <c r="K583" s="23" t="n"/>
      <c r="L583" s="22" t="n"/>
      <c r="M583" s="22" t="n"/>
      <c r="N583" s="21" t="n"/>
      <c r="O583" s="23" t="n"/>
      <c r="P583" s="23" t="n"/>
      <c r="Q583" s="23" t="n"/>
      <c r="R583" s="23" t="n"/>
      <c r="S583" s="22" t="n"/>
      <c r="T583" s="23" t="n"/>
      <c r="U583" s="23" t="n"/>
      <c r="V583" s="24">
        <f>IF(J583&lt;&gt;"",J583,IF(I583&lt;&gt;"",I583,""))</f>
        <v/>
      </c>
      <c r="W583" s="25">
        <f>IF($E583="","",N(O583)+SUMIFS($AF583:$IN583,$AF$4:$IN$4,"SEW_ACT"))</f>
        <v/>
      </c>
      <c r="X583" s="25">
        <f>IF($E583="","",N(P583)+SUMIFS($AF583:$IN583,$AF$4:$IN$4,"WASH_ACT"))</f>
        <v/>
      </c>
      <c r="Y583" s="25">
        <f>IF($E583="","",W583-X583-N(T583)-N(U583))</f>
        <v/>
      </c>
      <c r="Z583" s="25">
        <f>IF($E583="","",IF(N(K583)-X583&lt;=0.02*N(K583),0,N(K583)-X583))</f>
        <v/>
      </c>
      <c r="AA583" s="24">
        <f>IF($E583="","",IF(S583&lt;&gt;"",S583,IF(N(O583)&gt;0,IF(L583&lt;&gt;"",L583,99999),IFERROR(1/(1/_xlfn.MINIFS($AF$3:$IN$3,$AF$4:$IN$4,"SEW_ACT",$AF583:$IN583,"&gt;0")),99999))))</f>
        <v/>
      </c>
      <c r="AB583" s="26">
        <f>IF(OR($E583="",Z583=0,V583=""),"",1+COUNTIFS(Z$8:Z$707,"&gt;0",V$8:V$707,"&lt;"&amp;V583)+COUNTIFS(Z$8:Z$707,"&gt;0",V$8:V$707,V583,AA$8:AA$707,"&lt;"&amp;AA583)+COUNTIFS(Z$8:Z$707,"&gt;0",V$8:V$707,V583,AA$8:AA$707,AA583,E$8:E$707,"&lt;"&amp;$E583))</f>
        <v/>
      </c>
      <c r="AC583" s="24">
        <f>IF(OR($E583="",Z583=0),"",IFERROR(TODAY()+ROUNDUP(Z583/(SUMIFS($AF583:$IN583,$AF$4:$IN$4,"WASH_ACT")/COUNTIFS($AF$4:$IN$4,"WASH_ACT",$AF583:$IN583,"&gt;0")),0),"no output yet"))</f>
        <v/>
      </c>
      <c r="AD583" s="26">
        <f>IF($E583="","",IFERROR(ROUND(MAX(0,SUMIFS($AF583:$IN583,$AF$4:$IN$4,"SEW_PLAN",$AF$3:$IN$3,"&lt;="&amp;TODAY())-SUMIFS($AF583:$IN583,$AF$4:$IN$4,"SEW_ACT",$AF$3:$IN$3,"&lt;="&amp;TODAY())+N(Q583))/(SUMIFS($AF583:$IN583,$AF$4:$IN$4,"SEW_PLAN")/COUNTIFS($AF$4:$IN$4,"SEW_PLAN",$AF583:$IN583,"&gt;0")),1),0))</f>
        <v/>
      </c>
      <c r="AE583" s="26">
        <f>IF($E583="","",IF(AND(Z583&gt;0,OR(AND(M583&lt;&gt;"",TODAY()&gt;M583),AND(V583&lt;&gt;"",V583-TODAY()&lt;=7))),"Yes","No"))</f>
        <v/>
      </c>
      <c r="AH583">
        <f>IF(OR(AF$3="",AF$3&gt;TODAY()),"",IF(AND(AF583="",AG583=""),"",N(AG583)-N(AF583)))</f>
        <v/>
      </c>
      <c r="AK583">
        <f>IF(OR(AF$3="",AF$3&gt;TODAY()),"",IF(AND(AI583="",AJ583=""),"",N(AJ583)-N(AI583)))</f>
        <v/>
      </c>
      <c r="AO583">
        <f>IF(OR(AM$3="",AM$3&gt;TODAY()),"",IF(AND(AM583="",AN583=""),"",N(AN583)-N(AM583)))</f>
        <v/>
      </c>
      <c r="AR583">
        <f>IF(OR(AM$3="",AM$3&gt;TODAY()),"",IF(AND(AP583="",AQ583=""),"",N(AQ583)-N(AP583)))</f>
        <v/>
      </c>
      <c r="AV583">
        <f>IF(OR(AT$3="",AT$3&gt;TODAY()),"",IF(AND(AT583="",AU583=""),"",N(AU583)-N(AT583)))</f>
        <v/>
      </c>
      <c r="AY583">
        <f>IF(OR(AT$3="",AT$3&gt;TODAY()),"",IF(AND(AW583="",AX583=""),"",N(AX583)-N(AW583)))</f>
        <v/>
      </c>
      <c r="BC583">
        <f>IF(OR(BA$3="",BA$3&gt;TODAY()),"",IF(AND(BA583="",BB583=""),"",N(BB583)-N(BA583)))</f>
        <v/>
      </c>
      <c r="BF583">
        <f>IF(OR(BA$3="",BA$3&gt;TODAY()),"",IF(AND(BD583="",BE583=""),"",N(BE583)-N(BD583)))</f>
        <v/>
      </c>
      <c r="BJ583">
        <f>IF(OR(BH$3="",BH$3&gt;TODAY()),"",IF(AND(BH583="",BI583=""),"",N(BI583)-N(BH583)))</f>
        <v/>
      </c>
      <c r="BM583">
        <f>IF(OR(BH$3="",BH$3&gt;TODAY()),"",IF(AND(BK583="",BL583=""),"",N(BL583)-N(BK583)))</f>
        <v/>
      </c>
      <c r="BQ583">
        <f>IF(OR(BO$3="",BO$3&gt;TODAY()),"",IF(AND(BO583="",BP583=""),"",N(BP583)-N(BO583)))</f>
        <v/>
      </c>
      <c r="BT583">
        <f>IF(OR(BO$3="",BO$3&gt;TODAY()),"",IF(AND(BR583="",BS583=""),"",N(BS583)-N(BR583)))</f>
        <v/>
      </c>
      <c r="BX583">
        <f>IF(OR(BV$3="",BV$3&gt;TODAY()),"",IF(AND(BV583="",BW583=""),"",N(BW583)-N(BV583)))</f>
        <v/>
      </c>
      <c r="CA583">
        <f>IF(OR(BV$3="",BV$3&gt;TODAY()),"",IF(AND(BY583="",BZ583=""),"",N(BZ583)-N(BY583)))</f>
        <v/>
      </c>
      <c r="CE583">
        <f>IF(OR(CC$3="",CC$3&gt;TODAY()),"",IF(AND(CC583="",CD583=""),"",N(CD583)-N(CC583)))</f>
        <v/>
      </c>
      <c r="CH583">
        <f>IF(OR(CC$3="",CC$3&gt;TODAY()),"",IF(AND(CF583="",CG583=""),"",N(CG583)-N(CF583)))</f>
        <v/>
      </c>
      <c r="CL583">
        <f>IF(OR(CJ$3="",CJ$3&gt;TODAY()),"",IF(AND(CJ583="",CK583=""),"",N(CK583)-N(CJ583)))</f>
        <v/>
      </c>
      <c r="CO583">
        <f>IF(OR(CJ$3="",CJ$3&gt;TODAY()),"",IF(AND(CM583="",CN583=""),"",N(CN583)-N(CM583)))</f>
        <v/>
      </c>
      <c r="CS583">
        <f>IF(OR(CQ$3="",CQ$3&gt;TODAY()),"",IF(AND(CQ583="",CR583=""),"",N(CR583)-N(CQ583)))</f>
        <v/>
      </c>
      <c r="CV583">
        <f>IF(OR(CQ$3="",CQ$3&gt;TODAY()),"",IF(AND(CT583="",CU583=""),"",N(CU583)-N(CT583)))</f>
        <v/>
      </c>
      <c r="CZ583">
        <f>IF(OR(CX$3="",CX$3&gt;TODAY()),"",IF(AND(CX583="",CY583=""),"",N(CY583)-N(CX583)))</f>
        <v/>
      </c>
      <c r="DC583">
        <f>IF(OR(CX$3="",CX$3&gt;TODAY()),"",IF(AND(DA583="",DB583=""),"",N(DB583)-N(DA583)))</f>
        <v/>
      </c>
      <c r="DG583">
        <f>IF(OR(DE$3="",DE$3&gt;TODAY()),"",IF(AND(DE583="",DF583=""),"",N(DF583)-N(DE583)))</f>
        <v/>
      </c>
      <c r="DJ583">
        <f>IF(OR(DE$3="",DE$3&gt;TODAY()),"",IF(AND(DH583="",DI583=""),"",N(DI583)-N(DH583)))</f>
        <v/>
      </c>
      <c r="DN583">
        <f>IF(OR(DL$3="",DL$3&gt;TODAY()),"",IF(AND(DL583="",DM583=""),"",N(DM583)-N(DL583)))</f>
        <v/>
      </c>
      <c r="DQ583">
        <f>IF(OR(DL$3="",DL$3&gt;TODAY()),"",IF(AND(DO583="",DP583=""),"",N(DP583)-N(DO583)))</f>
        <v/>
      </c>
      <c r="DU583">
        <f>IF(OR(DS$3="",DS$3&gt;TODAY()),"",IF(AND(DS583="",DT583=""),"",N(DT583)-N(DS583)))</f>
        <v/>
      </c>
      <c r="DX583">
        <f>IF(OR(DS$3="",DS$3&gt;TODAY()),"",IF(AND(DV583="",DW583=""),"",N(DW583)-N(DV583)))</f>
        <v/>
      </c>
      <c r="EB583">
        <f>IF(OR(DZ$3="",DZ$3&gt;TODAY()),"",IF(AND(DZ583="",EA583=""),"",N(EA583)-N(DZ583)))</f>
        <v/>
      </c>
      <c r="EE583">
        <f>IF(OR(DZ$3="",DZ$3&gt;TODAY()),"",IF(AND(EC583="",ED583=""),"",N(ED583)-N(EC583)))</f>
        <v/>
      </c>
      <c r="EI583">
        <f>IF(OR(EG$3="",EG$3&gt;TODAY()),"",IF(AND(EG583="",EH583=""),"",N(EH583)-N(EG583)))</f>
        <v/>
      </c>
      <c r="EL583">
        <f>IF(OR(EG$3="",EG$3&gt;TODAY()),"",IF(AND(EJ583="",EK583=""),"",N(EK583)-N(EJ583)))</f>
        <v/>
      </c>
      <c r="EP583">
        <f>IF(OR(EN$3="",EN$3&gt;TODAY()),"",IF(AND(EN583="",EO583=""),"",N(EO583)-N(EN583)))</f>
        <v/>
      </c>
      <c r="ES583">
        <f>IF(OR(EN$3="",EN$3&gt;TODAY()),"",IF(AND(EQ583="",ER583=""),"",N(ER583)-N(EQ583)))</f>
        <v/>
      </c>
      <c r="EW583">
        <f>IF(OR(EU$3="",EU$3&gt;TODAY()),"",IF(AND(EU583="",EV583=""),"",N(EV583)-N(EU583)))</f>
        <v/>
      </c>
      <c r="EZ583">
        <f>IF(OR(EU$3="",EU$3&gt;TODAY()),"",IF(AND(EX583="",EY583=""),"",N(EY583)-N(EX583)))</f>
        <v/>
      </c>
      <c r="FD583">
        <f>IF(OR(FB$3="",FB$3&gt;TODAY()),"",IF(AND(FB583="",FC583=""),"",N(FC583)-N(FB583)))</f>
        <v/>
      </c>
      <c r="FG583">
        <f>IF(OR(FB$3="",FB$3&gt;TODAY()),"",IF(AND(FE583="",FF583=""),"",N(FF583)-N(FE583)))</f>
        <v/>
      </c>
      <c r="FK583">
        <f>IF(OR(FI$3="",FI$3&gt;TODAY()),"",IF(AND(FI583="",FJ583=""),"",N(FJ583)-N(FI583)))</f>
        <v/>
      </c>
      <c r="FN583">
        <f>IF(OR(FI$3="",FI$3&gt;TODAY()),"",IF(AND(FL583="",FM583=""),"",N(FM583)-N(FL583)))</f>
        <v/>
      </c>
      <c r="FR583">
        <f>IF(OR(FP$3="",FP$3&gt;TODAY()),"",IF(AND(FP583="",FQ583=""),"",N(FQ583)-N(FP583)))</f>
        <v/>
      </c>
      <c r="FU583">
        <f>IF(OR(FP$3="",FP$3&gt;TODAY()),"",IF(AND(FS583="",FT583=""),"",N(FT583)-N(FS583)))</f>
        <v/>
      </c>
      <c r="FY583">
        <f>IF(OR(FW$3="",FW$3&gt;TODAY()),"",IF(AND(FW583="",FX583=""),"",N(FX583)-N(FW583)))</f>
        <v/>
      </c>
      <c r="GB583">
        <f>IF(OR(FW$3="",FW$3&gt;TODAY()),"",IF(AND(FZ583="",GA583=""),"",N(GA583)-N(FZ583)))</f>
        <v/>
      </c>
      <c r="GF583">
        <f>IF(OR(GD$3="",GD$3&gt;TODAY()),"",IF(AND(GD583="",GE583=""),"",N(GE583)-N(GD583)))</f>
        <v/>
      </c>
      <c r="GI583">
        <f>IF(OR(GD$3="",GD$3&gt;TODAY()),"",IF(AND(GG583="",GH583=""),"",N(GH583)-N(GG583)))</f>
        <v/>
      </c>
      <c r="GM583">
        <f>IF(OR(GK$3="",GK$3&gt;TODAY()),"",IF(AND(GK583="",GL583=""),"",N(GL583)-N(GK583)))</f>
        <v/>
      </c>
      <c r="GP583">
        <f>IF(OR(GK$3="",GK$3&gt;TODAY()),"",IF(AND(GN583="",GO583=""),"",N(GO583)-N(GN583)))</f>
        <v/>
      </c>
      <c r="GT583">
        <f>IF(OR(GR$3="",GR$3&gt;TODAY()),"",IF(AND(GR583="",GS583=""),"",N(GS583)-N(GR583)))</f>
        <v/>
      </c>
      <c r="GW583">
        <f>IF(OR(GR$3="",GR$3&gt;TODAY()),"",IF(AND(GU583="",GV583=""),"",N(GV583)-N(GU583)))</f>
        <v/>
      </c>
      <c r="HA583">
        <f>IF(OR(GY$3="",GY$3&gt;TODAY()),"",IF(AND(GY583="",GZ583=""),"",N(GZ583)-N(GY583)))</f>
        <v/>
      </c>
      <c r="HD583">
        <f>IF(OR(GY$3="",GY$3&gt;TODAY()),"",IF(AND(HB583="",HC583=""),"",N(HC583)-N(HB583)))</f>
        <v/>
      </c>
      <c r="HH583">
        <f>IF(OR(HF$3="",HF$3&gt;TODAY()),"",IF(AND(HF583="",HG583=""),"",N(HG583)-N(HF583)))</f>
        <v/>
      </c>
      <c r="HK583">
        <f>IF(OR(HF$3="",HF$3&gt;TODAY()),"",IF(AND(HI583="",HJ583=""),"",N(HJ583)-N(HI583)))</f>
        <v/>
      </c>
      <c r="HO583">
        <f>IF(OR(HM$3="",HM$3&gt;TODAY()),"",IF(AND(HM583="",HN583=""),"",N(HN583)-N(HM583)))</f>
        <v/>
      </c>
      <c r="HR583">
        <f>IF(OR(HM$3="",HM$3&gt;TODAY()),"",IF(AND(HP583="",HQ583=""),"",N(HQ583)-N(HP583)))</f>
        <v/>
      </c>
      <c r="HV583">
        <f>IF(OR(HT$3="",HT$3&gt;TODAY()),"",IF(AND(HT583="",HU583=""),"",N(HU583)-N(HT583)))</f>
        <v/>
      </c>
      <c r="HY583">
        <f>IF(OR(HT$3="",HT$3&gt;TODAY()),"",IF(AND(HW583="",HX583=""),"",N(HX583)-N(HW583)))</f>
        <v/>
      </c>
      <c r="IC583">
        <f>IF(OR(IA$3="",IA$3&gt;TODAY()),"",IF(AND(IA583="",IB583=""),"",N(IB583)-N(IA583)))</f>
        <v/>
      </c>
      <c r="IF583">
        <f>IF(OR(IA$3="",IA$3&gt;TODAY()),"",IF(AND(ID583="",IE583=""),"",N(IE583)-N(ID583)))</f>
        <v/>
      </c>
      <c r="IJ583">
        <f>IF(OR(IH$3="",IH$3&gt;TODAY()),"",IF(AND(IH583="",II583=""),"",N(II583)-N(IH583)))</f>
        <v/>
      </c>
      <c r="IM583">
        <f>IF(OR(IH$3="",IH$3&gt;TODAY()),"",IF(AND(IK583="",IL583=""),"",N(IL583)-N(IK583)))</f>
        <v/>
      </c>
    </row>
    <row r="584">
      <c r="A584" s="21" t="n"/>
      <c r="B584" s="21" t="n"/>
      <c r="C584" s="21" t="n"/>
      <c r="D584" s="21" t="n"/>
      <c r="E584" s="21" t="n"/>
      <c r="F584" s="21" t="n"/>
      <c r="G584" s="21" t="n"/>
      <c r="H584" s="21" t="n"/>
      <c r="I584" s="22" t="n"/>
      <c r="J584" s="22" t="n"/>
      <c r="K584" s="23" t="n"/>
      <c r="L584" s="22" t="n"/>
      <c r="M584" s="22" t="n"/>
      <c r="N584" s="21" t="n"/>
      <c r="O584" s="23" t="n"/>
      <c r="P584" s="23" t="n"/>
      <c r="Q584" s="23" t="n"/>
      <c r="R584" s="23" t="n"/>
      <c r="S584" s="22" t="n"/>
      <c r="T584" s="23" t="n"/>
      <c r="U584" s="23" t="n"/>
      <c r="V584" s="24">
        <f>IF(J584&lt;&gt;"",J584,IF(I584&lt;&gt;"",I584,""))</f>
        <v/>
      </c>
      <c r="W584" s="25">
        <f>IF($E584="","",N(O584)+SUMIFS($AF584:$IN584,$AF$4:$IN$4,"SEW_ACT"))</f>
        <v/>
      </c>
      <c r="X584" s="25">
        <f>IF($E584="","",N(P584)+SUMIFS($AF584:$IN584,$AF$4:$IN$4,"WASH_ACT"))</f>
        <v/>
      </c>
      <c r="Y584" s="25">
        <f>IF($E584="","",W584-X584-N(T584)-N(U584))</f>
        <v/>
      </c>
      <c r="Z584" s="25">
        <f>IF($E584="","",IF(N(K584)-X584&lt;=0.02*N(K584),0,N(K584)-X584))</f>
        <v/>
      </c>
      <c r="AA584" s="24">
        <f>IF($E584="","",IF(S584&lt;&gt;"",S584,IF(N(O584)&gt;0,IF(L584&lt;&gt;"",L584,99999),IFERROR(1/(1/_xlfn.MINIFS($AF$3:$IN$3,$AF$4:$IN$4,"SEW_ACT",$AF584:$IN584,"&gt;0")),99999))))</f>
        <v/>
      </c>
      <c r="AB584" s="26">
        <f>IF(OR($E584="",Z584=0,V584=""),"",1+COUNTIFS(Z$8:Z$707,"&gt;0",V$8:V$707,"&lt;"&amp;V584)+COUNTIFS(Z$8:Z$707,"&gt;0",V$8:V$707,V584,AA$8:AA$707,"&lt;"&amp;AA584)+COUNTIFS(Z$8:Z$707,"&gt;0",V$8:V$707,V584,AA$8:AA$707,AA584,E$8:E$707,"&lt;"&amp;$E584))</f>
        <v/>
      </c>
      <c r="AC584" s="24">
        <f>IF(OR($E584="",Z584=0),"",IFERROR(TODAY()+ROUNDUP(Z584/(SUMIFS($AF584:$IN584,$AF$4:$IN$4,"WASH_ACT")/COUNTIFS($AF$4:$IN$4,"WASH_ACT",$AF584:$IN584,"&gt;0")),0),"no output yet"))</f>
        <v/>
      </c>
      <c r="AD584" s="26">
        <f>IF($E584="","",IFERROR(ROUND(MAX(0,SUMIFS($AF584:$IN584,$AF$4:$IN$4,"SEW_PLAN",$AF$3:$IN$3,"&lt;="&amp;TODAY())-SUMIFS($AF584:$IN584,$AF$4:$IN$4,"SEW_ACT",$AF$3:$IN$3,"&lt;="&amp;TODAY())+N(Q584))/(SUMIFS($AF584:$IN584,$AF$4:$IN$4,"SEW_PLAN")/COUNTIFS($AF$4:$IN$4,"SEW_PLAN",$AF584:$IN584,"&gt;0")),1),0))</f>
        <v/>
      </c>
      <c r="AE584" s="26">
        <f>IF($E584="","",IF(AND(Z584&gt;0,OR(AND(M584&lt;&gt;"",TODAY()&gt;M584),AND(V584&lt;&gt;"",V584-TODAY()&lt;=7))),"Yes","No"))</f>
        <v/>
      </c>
      <c r="AH584">
        <f>IF(OR(AF$3="",AF$3&gt;TODAY()),"",IF(AND(AF584="",AG584=""),"",N(AG584)-N(AF584)))</f>
        <v/>
      </c>
      <c r="AK584">
        <f>IF(OR(AF$3="",AF$3&gt;TODAY()),"",IF(AND(AI584="",AJ584=""),"",N(AJ584)-N(AI584)))</f>
        <v/>
      </c>
      <c r="AO584">
        <f>IF(OR(AM$3="",AM$3&gt;TODAY()),"",IF(AND(AM584="",AN584=""),"",N(AN584)-N(AM584)))</f>
        <v/>
      </c>
      <c r="AR584">
        <f>IF(OR(AM$3="",AM$3&gt;TODAY()),"",IF(AND(AP584="",AQ584=""),"",N(AQ584)-N(AP584)))</f>
        <v/>
      </c>
      <c r="AV584">
        <f>IF(OR(AT$3="",AT$3&gt;TODAY()),"",IF(AND(AT584="",AU584=""),"",N(AU584)-N(AT584)))</f>
        <v/>
      </c>
      <c r="AY584">
        <f>IF(OR(AT$3="",AT$3&gt;TODAY()),"",IF(AND(AW584="",AX584=""),"",N(AX584)-N(AW584)))</f>
        <v/>
      </c>
      <c r="BC584">
        <f>IF(OR(BA$3="",BA$3&gt;TODAY()),"",IF(AND(BA584="",BB584=""),"",N(BB584)-N(BA584)))</f>
        <v/>
      </c>
      <c r="BF584">
        <f>IF(OR(BA$3="",BA$3&gt;TODAY()),"",IF(AND(BD584="",BE584=""),"",N(BE584)-N(BD584)))</f>
        <v/>
      </c>
      <c r="BJ584">
        <f>IF(OR(BH$3="",BH$3&gt;TODAY()),"",IF(AND(BH584="",BI584=""),"",N(BI584)-N(BH584)))</f>
        <v/>
      </c>
      <c r="BM584">
        <f>IF(OR(BH$3="",BH$3&gt;TODAY()),"",IF(AND(BK584="",BL584=""),"",N(BL584)-N(BK584)))</f>
        <v/>
      </c>
      <c r="BQ584">
        <f>IF(OR(BO$3="",BO$3&gt;TODAY()),"",IF(AND(BO584="",BP584=""),"",N(BP584)-N(BO584)))</f>
        <v/>
      </c>
      <c r="BT584">
        <f>IF(OR(BO$3="",BO$3&gt;TODAY()),"",IF(AND(BR584="",BS584=""),"",N(BS584)-N(BR584)))</f>
        <v/>
      </c>
      <c r="BX584">
        <f>IF(OR(BV$3="",BV$3&gt;TODAY()),"",IF(AND(BV584="",BW584=""),"",N(BW584)-N(BV584)))</f>
        <v/>
      </c>
      <c r="CA584">
        <f>IF(OR(BV$3="",BV$3&gt;TODAY()),"",IF(AND(BY584="",BZ584=""),"",N(BZ584)-N(BY584)))</f>
        <v/>
      </c>
      <c r="CE584">
        <f>IF(OR(CC$3="",CC$3&gt;TODAY()),"",IF(AND(CC584="",CD584=""),"",N(CD584)-N(CC584)))</f>
        <v/>
      </c>
      <c r="CH584">
        <f>IF(OR(CC$3="",CC$3&gt;TODAY()),"",IF(AND(CF584="",CG584=""),"",N(CG584)-N(CF584)))</f>
        <v/>
      </c>
      <c r="CL584">
        <f>IF(OR(CJ$3="",CJ$3&gt;TODAY()),"",IF(AND(CJ584="",CK584=""),"",N(CK584)-N(CJ584)))</f>
        <v/>
      </c>
      <c r="CO584">
        <f>IF(OR(CJ$3="",CJ$3&gt;TODAY()),"",IF(AND(CM584="",CN584=""),"",N(CN584)-N(CM584)))</f>
        <v/>
      </c>
      <c r="CS584">
        <f>IF(OR(CQ$3="",CQ$3&gt;TODAY()),"",IF(AND(CQ584="",CR584=""),"",N(CR584)-N(CQ584)))</f>
        <v/>
      </c>
      <c r="CV584">
        <f>IF(OR(CQ$3="",CQ$3&gt;TODAY()),"",IF(AND(CT584="",CU584=""),"",N(CU584)-N(CT584)))</f>
        <v/>
      </c>
      <c r="CZ584">
        <f>IF(OR(CX$3="",CX$3&gt;TODAY()),"",IF(AND(CX584="",CY584=""),"",N(CY584)-N(CX584)))</f>
        <v/>
      </c>
      <c r="DC584">
        <f>IF(OR(CX$3="",CX$3&gt;TODAY()),"",IF(AND(DA584="",DB584=""),"",N(DB584)-N(DA584)))</f>
        <v/>
      </c>
      <c r="DG584">
        <f>IF(OR(DE$3="",DE$3&gt;TODAY()),"",IF(AND(DE584="",DF584=""),"",N(DF584)-N(DE584)))</f>
        <v/>
      </c>
      <c r="DJ584">
        <f>IF(OR(DE$3="",DE$3&gt;TODAY()),"",IF(AND(DH584="",DI584=""),"",N(DI584)-N(DH584)))</f>
        <v/>
      </c>
      <c r="DN584">
        <f>IF(OR(DL$3="",DL$3&gt;TODAY()),"",IF(AND(DL584="",DM584=""),"",N(DM584)-N(DL584)))</f>
        <v/>
      </c>
      <c r="DQ584">
        <f>IF(OR(DL$3="",DL$3&gt;TODAY()),"",IF(AND(DO584="",DP584=""),"",N(DP584)-N(DO584)))</f>
        <v/>
      </c>
      <c r="DU584">
        <f>IF(OR(DS$3="",DS$3&gt;TODAY()),"",IF(AND(DS584="",DT584=""),"",N(DT584)-N(DS584)))</f>
        <v/>
      </c>
      <c r="DX584">
        <f>IF(OR(DS$3="",DS$3&gt;TODAY()),"",IF(AND(DV584="",DW584=""),"",N(DW584)-N(DV584)))</f>
        <v/>
      </c>
      <c r="EB584">
        <f>IF(OR(DZ$3="",DZ$3&gt;TODAY()),"",IF(AND(DZ584="",EA584=""),"",N(EA584)-N(DZ584)))</f>
        <v/>
      </c>
      <c r="EE584">
        <f>IF(OR(DZ$3="",DZ$3&gt;TODAY()),"",IF(AND(EC584="",ED584=""),"",N(ED584)-N(EC584)))</f>
        <v/>
      </c>
      <c r="EI584">
        <f>IF(OR(EG$3="",EG$3&gt;TODAY()),"",IF(AND(EG584="",EH584=""),"",N(EH584)-N(EG584)))</f>
        <v/>
      </c>
      <c r="EL584">
        <f>IF(OR(EG$3="",EG$3&gt;TODAY()),"",IF(AND(EJ584="",EK584=""),"",N(EK584)-N(EJ584)))</f>
        <v/>
      </c>
      <c r="EP584">
        <f>IF(OR(EN$3="",EN$3&gt;TODAY()),"",IF(AND(EN584="",EO584=""),"",N(EO584)-N(EN584)))</f>
        <v/>
      </c>
      <c r="ES584">
        <f>IF(OR(EN$3="",EN$3&gt;TODAY()),"",IF(AND(EQ584="",ER584=""),"",N(ER584)-N(EQ584)))</f>
        <v/>
      </c>
      <c r="EW584">
        <f>IF(OR(EU$3="",EU$3&gt;TODAY()),"",IF(AND(EU584="",EV584=""),"",N(EV584)-N(EU584)))</f>
        <v/>
      </c>
      <c r="EZ584">
        <f>IF(OR(EU$3="",EU$3&gt;TODAY()),"",IF(AND(EX584="",EY584=""),"",N(EY584)-N(EX584)))</f>
        <v/>
      </c>
      <c r="FD584">
        <f>IF(OR(FB$3="",FB$3&gt;TODAY()),"",IF(AND(FB584="",FC584=""),"",N(FC584)-N(FB584)))</f>
        <v/>
      </c>
      <c r="FG584">
        <f>IF(OR(FB$3="",FB$3&gt;TODAY()),"",IF(AND(FE584="",FF584=""),"",N(FF584)-N(FE584)))</f>
        <v/>
      </c>
      <c r="FK584">
        <f>IF(OR(FI$3="",FI$3&gt;TODAY()),"",IF(AND(FI584="",FJ584=""),"",N(FJ584)-N(FI584)))</f>
        <v/>
      </c>
      <c r="FN584">
        <f>IF(OR(FI$3="",FI$3&gt;TODAY()),"",IF(AND(FL584="",FM584=""),"",N(FM584)-N(FL584)))</f>
        <v/>
      </c>
      <c r="FR584">
        <f>IF(OR(FP$3="",FP$3&gt;TODAY()),"",IF(AND(FP584="",FQ584=""),"",N(FQ584)-N(FP584)))</f>
        <v/>
      </c>
      <c r="FU584">
        <f>IF(OR(FP$3="",FP$3&gt;TODAY()),"",IF(AND(FS584="",FT584=""),"",N(FT584)-N(FS584)))</f>
        <v/>
      </c>
      <c r="FY584">
        <f>IF(OR(FW$3="",FW$3&gt;TODAY()),"",IF(AND(FW584="",FX584=""),"",N(FX584)-N(FW584)))</f>
        <v/>
      </c>
      <c r="GB584">
        <f>IF(OR(FW$3="",FW$3&gt;TODAY()),"",IF(AND(FZ584="",GA584=""),"",N(GA584)-N(FZ584)))</f>
        <v/>
      </c>
      <c r="GF584">
        <f>IF(OR(GD$3="",GD$3&gt;TODAY()),"",IF(AND(GD584="",GE584=""),"",N(GE584)-N(GD584)))</f>
        <v/>
      </c>
      <c r="GI584">
        <f>IF(OR(GD$3="",GD$3&gt;TODAY()),"",IF(AND(GG584="",GH584=""),"",N(GH584)-N(GG584)))</f>
        <v/>
      </c>
      <c r="GM584">
        <f>IF(OR(GK$3="",GK$3&gt;TODAY()),"",IF(AND(GK584="",GL584=""),"",N(GL584)-N(GK584)))</f>
        <v/>
      </c>
      <c r="GP584">
        <f>IF(OR(GK$3="",GK$3&gt;TODAY()),"",IF(AND(GN584="",GO584=""),"",N(GO584)-N(GN584)))</f>
        <v/>
      </c>
      <c r="GT584">
        <f>IF(OR(GR$3="",GR$3&gt;TODAY()),"",IF(AND(GR584="",GS584=""),"",N(GS584)-N(GR584)))</f>
        <v/>
      </c>
      <c r="GW584">
        <f>IF(OR(GR$3="",GR$3&gt;TODAY()),"",IF(AND(GU584="",GV584=""),"",N(GV584)-N(GU584)))</f>
        <v/>
      </c>
      <c r="HA584">
        <f>IF(OR(GY$3="",GY$3&gt;TODAY()),"",IF(AND(GY584="",GZ584=""),"",N(GZ584)-N(GY584)))</f>
        <v/>
      </c>
      <c r="HD584">
        <f>IF(OR(GY$3="",GY$3&gt;TODAY()),"",IF(AND(HB584="",HC584=""),"",N(HC584)-N(HB584)))</f>
        <v/>
      </c>
      <c r="HH584">
        <f>IF(OR(HF$3="",HF$3&gt;TODAY()),"",IF(AND(HF584="",HG584=""),"",N(HG584)-N(HF584)))</f>
        <v/>
      </c>
      <c r="HK584">
        <f>IF(OR(HF$3="",HF$3&gt;TODAY()),"",IF(AND(HI584="",HJ584=""),"",N(HJ584)-N(HI584)))</f>
        <v/>
      </c>
      <c r="HO584">
        <f>IF(OR(HM$3="",HM$3&gt;TODAY()),"",IF(AND(HM584="",HN584=""),"",N(HN584)-N(HM584)))</f>
        <v/>
      </c>
      <c r="HR584">
        <f>IF(OR(HM$3="",HM$3&gt;TODAY()),"",IF(AND(HP584="",HQ584=""),"",N(HQ584)-N(HP584)))</f>
        <v/>
      </c>
      <c r="HV584">
        <f>IF(OR(HT$3="",HT$3&gt;TODAY()),"",IF(AND(HT584="",HU584=""),"",N(HU584)-N(HT584)))</f>
        <v/>
      </c>
      <c r="HY584">
        <f>IF(OR(HT$3="",HT$3&gt;TODAY()),"",IF(AND(HW584="",HX584=""),"",N(HX584)-N(HW584)))</f>
        <v/>
      </c>
      <c r="IC584">
        <f>IF(OR(IA$3="",IA$3&gt;TODAY()),"",IF(AND(IA584="",IB584=""),"",N(IB584)-N(IA584)))</f>
        <v/>
      </c>
      <c r="IF584">
        <f>IF(OR(IA$3="",IA$3&gt;TODAY()),"",IF(AND(ID584="",IE584=""),"",N(IE584)-N(ID584)))</f>
        <v/>
      </c>
      <c r="IJ584">
        <f>IF(OR(IH$3="",IH$3&gt;TODAY()),"",IF(AND(IH584="",II584=""),"",N(II584)-N(IH584)))</f>
        <v/>
      </c>
      <c r="IM584">
        <f>IF(OR(IH$3="",IH$3&gt;TODAY()),"",IF(AND(IK584="",IL584=""),"",N(IL584)-N(IK584)))</f>
        <v/>
      </c>
    </row>
    <row r="585">
      <c r="A585" s="21" t="n"/>
      <c r="B585" s="21" t="n"/>
      <c r="C585" s="21" t="n"/>
      <c r="D585" s="21" t="n"/>
      <c r="E585" s="21" t="n"/>
      <c r="F585" s="21" t="n"/>
      <c r="G585" s="21" t="n"/>
      <c r="H585" s="21" t="n"/>
      <c r="I585" s="22" t="n"/>
      <c r="J585" s="22" t="n"/>
      <c r="K585" s="23" t="n"/>
      <c r="L585" s="22" t="n"/>
      <c r="M585" s="22" t="n"/>
      <c r="N585" s="21" t="n"/>
      <c r="O585" s="23" t="n"/>
      <c r="P585" s="23" t="n"/>
      <c r="Q585" s="23" t="n"/>
      <c r="R585" s="23" t="n"/>
      <c r="S585" s="22" t="n"/>
      <c r="T585" s="23" t="n"/>
      <c r="U585" s="23" t="n"/>
      <c r="V585" s="24">
        <f>IF(J585&lt;&gt;"",J585,IF(I585&lt;&gt;"",I585,""))</f>
        <v/>
      </c>
      <c r="W585" s="25">
        <f>IF($E585="","",N(O585)+SUMIFS($AF585:$IN585,$AF$4:$IN$4,"SEW_ACT"))</f>
        <v/>
      </c>
      <c r="X585" s="25">
        <f>IF($E585="","",N(P585)+SUMIFS($AF585:$IN585,$AF$4:$IN$4,"WASH_ACT"))</f>
        <v/>
      </c>
      <c r="Y585" s="25">
        <f>IF($E585="","",W585-X585-N(T585)-N(U585))</f>
        <v/>
      </c>
      <c r="Z585" s="25">
        <f>IF($E585="","",IF(N(K585)-X585&lt;=0.02*N(K585),0,N(K585)-X585))</f>
        <v/>
      </c>
      <c r="AA585" s="24">
        <f>IF($E585="","",IF(S585&lt;&gt;"",S585,IF(N(O585)&gt;0,IF(L585&lt;&gt;"",L585,99999),IFERROR(1/(1/_xlfn.MINIFS($AF$3:$IN$3,$AF$4:$IN$4,"SEW_ACT",$AF585:$IN585,"&gt;0")),99999))))</f>
        <v/>
      </c>
      <c r="AB585" s="26">
        <f>IF(OR($E585="",Z585=0,V585=""),"",1+COUNTIFS(Z$8:Z$707,"&gt;0",V$8:V$707,"&lt;"&amp;V585)+COUNTIFS(Z$8:Z$707,"&gt;0",V$8:V$707,V585,AA$8:AA$707,"&lt;"&amp;AA585)+COUNTIFS(Z$8:Z$707,"&gt;0",V$8:V$707,V585,AA$8:AA$707,AA585,E$8:E$707,"&lt;"&amp;$E585))</f>
        <v/>
      </c>
      <c r="AC585" s="24">
        <f>IF(OR($E585="",Z585=0),"",IFERROR(TODAY()+ROUNDUP(Z585/(SUMIFS($AF585:$IN585,$AF$4:$IN$4,"WASH_ACT")/COUNTIFS($AF$4:$IN$4,"WASH_ACT",$AF585:$IN585,"&gt;0")),0),"no output yet"))</f>
        <v/>
      </c>
      <c r="AD585" s="26">
        <f>IF($E585="","",IFERROR(ROUND(MAX(0,SUMIFS($AF585:$IN585,$AF$4:$IN$4,"SEW_PLAN",$AF$3:$IN$3,"&lt;="&amp;TODAY())-SUMIFS($AF585:$IN585,$AF$4:$IN$4,"SEW_ACT",$AF$3:$IN$3,"&lt;="&amp;TODAY())+N(Q585))/(SUMIFS($AF585:$IN585,$AF$4:$IN$4,"SEW_PLAN")/COUNTIFS($AF$4:$IN$4,"SEW_PLAN",$AF585:$IN585,"&gt;0")),1),0))</f>
        <v/>
      </c>
      <c r="AE585" s="26">
        <f>IF($E585="","",IF(AND(Z585&gt;0,OR(AND(M585&lt;&gt;"",TODAY()&gt;M585),AND(V585&lt;&gt;"",V585-TODAY()&lt;=7))),"Yes","No"))</f>
        <v/>
      </c>
      <c r="AH585">
        <f>IF(OR(AF$3="",AF$3&gt;TODAY()),"",IF(AND(AF585="",AG585=""),"",N(AG585)-N(AF585)))</f>
        <v/>
      </c>
      <c r="AK585">
        <f>IF(OR(AF$3="",AF$3&gt;TODAY()),"",IF(AND(AI585="",AJ585=""),"",N(AJ585)-N(AI585)))</f>
        <v/>
      </c>
      <c r="AO585">
        <f>IF(OR(AM$3="",AM$3&gt;TODAY()),"",IF(AND(AM585="",AN585=""),"",N(AN585)-N(AM585)))</f>
        <v/>
      </c>
      <c r="AR585">
        <f>IF(OR(AM$3="",AM$3&gt;TODAY()),"",IF(AND(AP585="",AQ585=""),"",N(AQ585)-N(AP585)))</f>
        <v/>
      </c>
      <c r="AV585">
        <f>IF(OR(AT$3="",AT$3&gt;TODAY()),"",IF(AND(AT585="",AU585=""),"",N(AU585)-N(AT585)))</f>
        <v/>
      </c>
      <c r="AY585">
        <f>IF(OR(AT$3="",AT$3&gt;TODAY()),"",IF(AND(AW585="",AX585=""),"",N(AX585)-N(AW585)))</f>
        <v/>
      </c>
      <c r="BC585">
        <f>IF(OR(BA$3="",BA$3&gt;TODAY()),"",IF(AND(BA585="",BB585=""),"",N(BB585)-N(BA585)))</f>
        <v/>
      </c>
      <c r="BF585">
        <f>IF(OR(BA$3="",BA$3&gt;TODAY()),"",IF(AND(BD585="",BE585=""),"",N(BE585)-N(BD585)))</f>
        <v/>
      </c>
      <c r="BJ585">
        <f>IF(OR(BH$3="",BH$3&gt;TODAY()),"",IF(AND(BH585="",BI585=""),"",N(BI585)-N(BH585)))</f>
        <v/>
      </c>
      <c r="BM585">
        <f>IF(OR(BH$3="",BH$3&gt;TODAY()),"",IF(AND(BK585="",BL585=""),"",N(BL585)-N(BK585)))</f>
        <v/>
      </c>
      <c r="BQ585">
        <f>IF(OR(BO$3="",BO$3&gt;TODAY()),"",IF(AND(BO585="",BP585=""),"",N(BP585)-N(BO585)))</f>
        <v/>
      </c>
      <c r="BT585">
        <f>IF(OR(BO$3="",BO$3&gt;TODAY()),"",IF(AND(BR585="",BS585=""),"",N(BS585)-N(BR585)))</f>
        <v/>
      </c>
      <c r="BX585">
        <f>IF(OR(BV$3="",BV$3&gt;TODAY()),"",IF(AND(BV585="",BW585=""),"",N(BW585)-N(BV585)))</f>
        <v/>
      </c>
      <c r="CA585">
        <f>IF(OR(BV$3="",BV$3&gt;TODAY()),"",IF(AND(BY585="",BZ585=""),"",N(BZ585)-N(BY585)))</f>
        <v/>
      </c>
      <c r="CE585">
        <f>IF(OR(CC$3="",CC$3&gt;TODAY()),"",IF(AND(CC585="",CD585=""),"",N(CD585)-N(CC585)))</f>
        <v/>
      </c>
      <c r="CH585">
        <f>IF(OR(CC$3="",CC$3&gt;TODAY()),"",IF(AND(CF585="",CG585=""),"",N(CG585)-N(CF585)))</f>
        <v/>
      </c>
      <c r="CL585">
        <f>IF(OR(CJ$3="",CJ$3&gt;TODAY()),"",IF(AND(CJ585="",CK585=""),"",N(CK585)-N(CJ585)))</f>
        <v/>
      </c>
      <c r="CO585">
        <f>IF(OR(CJ$3="",CJ$3&gt;TODAY()),"",IF(AND(CM585="",CN585=""),"",N(CN585)-N(CM585)))</f>
        <v/>
      </c>
      <c r="CS585">
        <f>IF(OR(CQ$3="",CQ$3&gt;TODAY()),"",IF(AND(CQ585="",CR585=""),"",N(CR585)-N(CQ585)))</f>
        <v/>
      </c>
      <c r="CV585">
        <f>IF(OR(CQ$3="",CQ$3&gt;TODAY()),"",IF(AND(CT585="",CU585=""),"",N(CU585)-N(CT585)))</f>
        <v/>
      </c>
      <c r="CZ585">
        <f>IF(OR(CX$3="",CX$3&gt;TODAY()),"",IF(AND(CX585="",CY585=""),"",N(CY585)-N(CX585)))</f>
        <v/>
      </c>
      <c r="DC585">
        <f>IF(OR(CX$3="",CX$3&gt;TODAY()),"",IF(AND(DA585="",DB585=""),"",N(DB585)-N(DA585)))</f>
        <v/>
      </c>
      <c r="DG585">
        <f>IF(OR(DE$3="",DE$3&gt;TODAY()),"",IF(AND(DE585="",DF585=""),"",N(DF585)-N(DE585)))</f>
        <v/>
      </c>
      <c r="DJ585">
        <f>IF(OR(DE$3="",DE$3&gt;TODAY()),"",IF(AND(DH585="",DI585=""),"",N(DI585)-N(DH585)))</f>
        <v/>
      </c>
      <c r="DN585">
        <f>IF(OR(DL$3="",DL$3&gt;TODAY()),"",IF(AND(DL585="",DM585=""),"",N(DM585)-N(DL585)))</f>
        <v/>
      </c>
      <c r="DQ585">
        <f>IF(OR(DL$3="",DL$3&gt;TODAY()),"",IF(AND(DO585="",DP585=""),"",N(DP585)-N(DO585)))</f>
        <v/>
      </c>
      <c r="DU585">
        <f>IF(OR(DS$3="",DS$3&gt;TODAY()),"",IF(AND(DS585="",DT585=""),"",N(DT585)-N(DS585)))</f>
        <v/>
      </c>
      <c r="DX585">
        <f>IF(OR(DS$3="",DS$3&gt;TODAY()),"",IF(AND(DV585="",DW585=""),"",N(DW585)-N(DV585)))</f>
        <v/>
      </c>
      <c r="EB585">
        <f>IF(OR(DZ$3="",DZ$3&gt;TODAY()),"",IF(AND(DZ585="",EA585=""),"",N(EA585)-N(DZ585)))</f>
        <v/>
      </c>
      <c r="EE585">
        <f>IF(OR(DZ$3="",DZ$3&gt;TODAY()),"",IF(AND(EC585="",ED585=""),"",N(ED585)-N(EC585)))</f>
        <v/>
      </c>
      <c r="EI585">
        <f>IF(OR(EG$3="",EG$3&gt;TODAY()),"",IF(AND(EG585="",EH585=""),"",N(EH585)-N(EG585)))</f>
        <v/>
      </c>
      <c r="EL585">
        <f>IF(OR(EG$3="",EG$3&gt;TODAY()),"",IF(AND(EJ585="",EK585=""),"",N(EK585)-N(EJ585)))</f>
        <v/>
      </c>
      <c r="EP585">
        <f>IF(OR(EN$3="",EN$3&gt;TODAY()),"",IF(AND(EN585="",EO585=""),"",N(EO585)-N(EN585)))</f>
        <v/>
      </c>
      <c r="ES585">
        <f>IF(OR(EN$3="",EN$3&gt;TODAY()),"",IF(AND(EQ585="",ER585=""),"",N(ER585)-N(EQ585)))</f>
        <v/>
      </c>
      <c r="EW585">
        <f>IF(OR(EU$3="",EU$3&gt;TODAY()),"",IF(AND(EU585="",EV585=""),"",N(EV585)-N(EU585)))</f>
        <v/>
      </c>
      <c r="EZ585">
        <f>IF(OR(EU$3="",EU$3&gt;TODAY()),"",IF(AND(EX585="",EY585=""),"",N(EY585)-N(EX585)))</f>
        <v/>
      </c>
      <c r="FD585">
        <f>IF(OR(FB$3="",FB$3&gt;TODAY()),"",IF(AND(FB585="",FC585=""),"",N(FC585)-N(FB585)))</f>
        <v/>
      </c>
      <c r="FG585">
        <f>IF(OR(FB$3="",FB$3&gt;TODAY()),"",IF(AND(FE585="",FF585=""),"",N(FF585)-N(FE585)))</f>
        <v/>
      </c>
      <c r="FK585">
        <f>IF(OR(FI$3="",FI$3&gt;TODAY()),"",IF(AND(FI585="",FJ585=""),"",N(FJ585)-N(FI585)))</f>
        <v/>
      </c>
      <c r="FN585">
        <f>IF(OR(FI$3="",FI$3&gt;TODAY()),"",IF(AND(FL585="",FM585=""),"",N(FM585)-N(FL585)))</f>
        <v/>
      </c>
      <c r="FR585">
        <f>IF(OR(FP$3="",FP$3&gt;TODAY()),"",IF(AND(FP585="",FQ585=""),"",N(FQ585)-N(FP585)))</f>
        <v/>
      </c>
      <c r="FU585">
        <f>IF(OR(FP$3="",FP$3&gt;TODAY()),"",IF(AND(FS585="",FT585=""),"",N(FT585)-N(FS585)))</f>
        <v/>
      </c>
      <c r="FY585">
        <f>IF(OR(FW$3="",FW$3&gt;TODAY()),"",IF(AND(FW585="",FX585=""),"",N(FX585)-N(FW585)))</f>
        <v/>
      </c>
      <c r="GB585">
        <f>IF(OR(FW$3="",FW$3&gt;TODAY()),"",IF(AND(FZ585="",GA585=""),"",N(GA585)-N(FZ585)))</f>
        <v/>
      </c>
      <c r="GF585">
        <f>IF(OR(GD$3="",GD$3&gt;TODAY()),"",IF(AND(GD585="",GE585=""),"",N(GE585)-N(GD585)))</f>
        <v/>
      </c>
      <c r="GI585">
        <f>IF(OR(GD$3="",GD$3&gt;TODAY()),"",IF(AND(GG585="",GH585=""),"",N(GH585)-N(GG585)))</f>
        <v/>
      </c>
      <c r="GM585">
        <f>IF(OR(GK$3="",GK$3&gt;TODAY()),"",IF(AND(GK585="",GL585=""),"",N(GL585)-N(GK585)))</f>
        <v/>
      </c>
      <c r="GP585">
        <f>IF(OR(GK$3="",GK$3&gt;TODAY()),"",IF(AND(GN585="",GO585=""),"",N(GO585)-N(GN585)))</f>
        <v/>
      </c>
      <c r="GT585">
        <f>IF(OR(GR$3="",GR$3&gt;TODAY()),"",IF(AND(GR585="",GS585=""),"",N(GS585)-N(GR585)))</f>
        <v/>
      </c>
      <c r="GW585">
        <f>IF(OR(GR$3="",GR$3&gt;TODAY()),"",IF(AND(GU585="",GV585=""),"",N(GV585)-N(GU585)))</f>
        <v/>
      </c>
      <c r="HA585">
        <f>IF(OR(GY$3="",GY$3&gt;TODAY()),"",IF(AND(GY585="",GZ585=""),"",N(GZ585)-N(GY585)))</f>
        <v/>
      </c>
      <c r="HD585">
        <f>IF(OR(GY$3="",GY$3&gt;TODAY()),"",IF(AND(HB585="",HC585=""),"",N(HC585)-N(HB585)))</f>
        <v/>
      </c>
      <c r="HH585">
        <f>IF(OR(HF$3="",HF$3&gt;TODAY()),"",IF(AND(HF585="",HG585=""),"",N(HG585)-N(HF585)))</f>
        <v/>
      </c>
      <c r="HK585">
        <f>IF(OR(HF$3="",HF$3&gt;TODAY()),"",IF(AND(HI585="",HJ585=""),"",N(HJ585)-N(HI585)))</f>
        <v/>
      </c>
      <c r="HO585">
        <f>IF(OR(HM$3="",HM$3&gt;TODAY()),"",IF(AND(HM585="",HN585=""),"",N(HN585)-N(HM585)))</f>
        <v/>
      </c>
      <c r="HR585">
        <f>IF(OR(HM$3="",HM$3&gt;TODAY()),"",IF(AND(HP585="",HQ585=""),"",N(HQ585)-N(HP585)))</f>
        <v/>
      </c>
      <c r="HV585">
        <f>IF(OR(HT$3="",HT$3&gt;TODAY()),"",IF(AND(HT585="",HU585=""),"",N(HU585)-N(HT585)))</f>
        <v/>
      </c>
      <c r="HY585">
        <f>IF(OR(HT$3="",HT$3&gt;TODAY()),"",IF(AND(HW585="",HX585=""),"",N(HX585)-N(HW585)))</f>
        <v/>
      </c>
      <c r="IC585">
        <f>IF(OR(IA$3="",IA$3&gt;TODAY()),"",IF(AND(IA585="",IB585=""),"",N(IB585)-N(IA585)))</f>
        <v/>
      </c>
      <c r="IF585">
        <f>IF(OR(IA$3="",IA$3&gt;TODAY()),"",IF(AND(ID585="",IE585=""),"",N(IE585)-N(ID585)))</f>
        <v/>
      </c>
      <c r="IJ585">
        <f>IF(OR(IH$3="",IH$3&gt;TODAY()),"",IF(AND(IH585="",II585=""),"",N(II585)-N(IH585)))</f>
        <v/>
      </c>
      <c r="IM585">
        <f>IF(OR(IH$3="",IH$3&gt;TODAY()),"",IF(AND(IK585="",IL585=""),"",N(IL585)-N(IK585)))</f>
        <v/>
      </c>
    </row>
    <row r="586">
      <c r="A586" s="21" t="n"/>
      <c r="B586" s="21" t="n"/>
      <c r="C586" s="21" t="n"/>
      <c r="D586" s="21" t="n"/>
      <c r="E586" s="21" t="n"/>
      <c r="F586" s="21" t="n"/>
      <c r="G586" s="21" t="n"/>
      <c r="H586" s="21" t="n"/>
      <c r="I586" s="22" t="n"/>
      <c r="J586" s="22" t="n"/>
      <c r="K586" s="23" t="n"/>
      <c r="L586" s="22" t="n"/>
      <c r="M586" s="22" t="n"/>
      <c r="N586" s="21" t="n"/>
      <c r="O586" s="23" t="n"/>
      <c r="P586" s="23" t="n"/>
      <c r="Q586" s="23" t="n"/>
      <c r="R586" s="23" t="n"/>
      <c r="S586" s="22" t="n"/>
      <c r="T586" s="23" t="n"/>
      <c r="U586" s="23" t="n"/>
      <c r="V586" s="24">
        <f>IF(J586&lt;&gt;"",J586,IF(I586&lt;&gt;"",I586,""))</f>
        <v/>
      </c>
      <c r="W586" s="25">
        <f>IF($E586="","",N(O586)+SUMIFS($AF586:$IN586,$AF$4:$IN$4,"SEW_ACT"))</f>
        <v/>
      </c>
      <c r="X586" s="25">
        <f>IF($E586="","",N(P586)+SUMIFS($AF586:$IN586,$AF$4:$IN$4,"WASH_ACT"))</f>
        <v/>
      </c>
      <c r="Y586" s="25">
        <f>IF($E586="","",W586-X586-N(T586)-N(U586))</f>
        <v/>
      </c>
      <c r="Z586" s="25">
        <f>IF($E586="","",IF(N(K586)-X586&lt;=0.02*N(K586),0,N(K586)-X586))</f>
        <v/>
      </c>
      <c r="AA586" s="24">
        <f>IF($E586="","",IF(S586&lt;&gt;"",S586,IF(N(O586)&gt;0,IF(L586&lt;&gt;"",L586,99999),IFERROR(1/(1/_xlfn.MINIFS($AF$3:$IN$3,$AF$4:$IN$4,"SEW_ACT",$AF586:$IN586,"&gt;0")),99999))))</f>
        <v/>
      </c>
      <c r="AB586" s="26">
        <f>IF(OR($E586="",Z586=0,V586=""),"",1+COUNTIFS(Z$8:Z$707,"&gt;0",V$8:V$707,"&lt;"&amp;V586)+COUNTIFS(Z$8:Z$707,"&gt;0",V$8:V$707,V586,AA$8:AA$707,"&lt;"&amp;AA586)+COUNTIFS(Z$8:Z$707,"&gt;0",V$8:V$707,V586,AA$8:AA$707,AA586,E$8:E$707,"&lt;"&amp;$E586))</f>
        <v/>
      </c>
      <c r="AC586" s="24">
        <f>IF(OR($E586="",Z586=0),"",IFERROR(TODAY()+ROUNDUP(Z586/(SUMIFS($AF586:$IN586,$AF$4:$IN$4,"WASH_ACT")/COUNTIFS($AF$4:$IN$4,"WASH_ACT",$AF586:$IN586,"&gt;0")),0),"no output yet"))</f>
        <v/>
      </c>
      <c r="AD586" s="26">
        <f>IF($E586="","",IFERROR(ROUND(MAX(0,SUMIFS($AF586:$IN586,$AF$4:$IN$4,"SEW_PLAN",$AF$3:$IN$3,"&lt;="&amp;TODAY())-SUMIFS($AF586:$IN586,$AF$4:$IN$4,"SEW_ACT",$AF$3:$IN$3,"&lt;="&amp;TODAY())+N(Q586))/(SUMIFS($AF586:$IN586,$AF$4:$IN$4,"SEW_PLAN")/COUNTIFS($AF$4:$IN$4,"SEW_PLAN",$AF586:$IN586,"&gt;0")),1),0))</f>
        <v/>
      </c>
      <c r="AE586" s="26">
        <f>IF($E586="","",IF(AND(Z586&gt;0,OR(AND(M586&lt;&gt;"",TODAY()&gt;M586),AND(V586&lt;&gt;"",V586-TODAY()&lt;=7))),"Yes","No"))</f>
        <v/>
      </c>
      <c r="AH586">
        <f>IF(OR(AF$3="",AF$3&gt;TODAY()),"",IF(AND(AF586="",AG586=""),"",N(AG586)-N(AF586)))</f>
        <v/>
      </c>
      <c r="AK586">
        <f>IF(OR(AF$3="",AF$3&gt;TODAY()),"",IF(AND(AI586="",AJ586=""),"",N(AJ586)-N(AI586)))</f>
        <v/>
      </c>
      <c r="AO586">
        <f>IF(OR(AM$3="",AM$3&gt;TODAY()),"",IF(AND(AM586="",AN586=""),"",N(AN586)-N(AM586)))</f>
        <v/>
      </c>
      <c r="AR586">
        <f>IF(OR(AM$3="",AM$3&gt;TODAY()),"",IF(AND(AP586="",AQ586=""),"",N(AQ586)-N(AP586)))</f>
        <v/>
      </c>
      <c r="AV586">
        <f>IF(OR(AT$3="",AT$3&gt;TODAY()),"",IF(AND(AT586="",AU586=""),"",N(AU586)-N(AT586)))</f>
        <v/>
      </c>
      <c r="AY586">
        <f>IF(OR(AT$3="",AT$3&gt;TODAY()),"",IF(AND(AW586="",AX586=""),"",N(AX586)-N(AW586)))</f>
        <v/>
      </c>
      <c r="BC586">
        <f>IF(OR(BA$3="",BA$3&gt;TODAY()),"",IF(AND(BA586="",BB586=""),"",N(BB586)-N(BA586)))</f>
        <v/>
      </c>
      <c r="BF586">
        <f>IF(OR(BA$3="",BA$3&gt;TODAY()),"",IF(AND(BD586="",BE586=""),"",N(BE586)-N(BD586)))</f>
        <v/>
      </c>
      <c r="BJ586">
        <f>IF(OR(BH$3="",BH$3&gt;TODAY()),"",IF(AND(BH586="",BI586=""),"",N(BI586)-N(BH586)))</f>
        <v/>
      </c>
      <c r="BM586">
        <f>IF(OR(BH$3="",BH$3&gt;TODAY()),"",IF(AND(BK586="",BL586=""),"",N(BL586)-N(BK586)))</f>
        <v/>
      </c>
      <c r="BQ586">
        <f>IF(OR(BO$3="",BO$3&gt;TODAY()),"",IF(AND(BO586="",BP586=""),"",N(BP586)-N(BO586)))</f>
        <v/>
      </c>
      <c r="BT586">
        <f>IF(OR(BO$3="",BO$3&gt;TODAY()),"",IF(AND(BR586="",BS586=""),"",N(BS586)-N(BR586)))</f>
        <v/>
      </c>
      <c r="BX586">
        <f>IF(OR(BV$3="",BV$3&gt;TODAY()),"",IF(AND(BV586="",BW586=""),"",N(BW586)-N(BV586)))</f>
        <v/>
      </c>
      <c r="CA586">
        <f>IF(OR(BV$3="",BV$3&gt;TODAY()),"",IF(AND(BY586="",BZ586=""),"",N(BZ586)-N(BY586)))</f>
        <v/>
      </c>
      <c r="CE586">
        <f>IF(OR(CC$3="",CC$3&gt;TODAY()),"",IF(AND(CC586="",CD586=""),"",N(CD586)-N(CC586)))</f>
        <v/>
      </c>
      <c r="CH586">
        <f>IF(OR(CC$3="",CC$3&gt;TODAY()),"",IF(AND(CF586="",CG586=""),"",N(CG586)-N(CF586)))</f>
        <v/>
      </c>
      <c r="CL586">
        <f>IF(OR(CJ$3="",CJ$3&gt;TODAY()),"",IF(AND(CJ586="",CK586=""),"",N(CK586)-N(CJ586)))</f>
        <v/>
      </c>
      <c r="CO586">
        <f>IF(OR(CJ$3="",CJ$3&gt;TODAY()),"",IF(AND(CM586="",CN586=""),"",N(CN586)-N(CM586)))</f>
        <v/>
      </c>
      <c r="CS586">
        <f>IF(OR(CQ$3="",CQ$3&gt;TODAY()),"",IF(AND(CQ586="",CR586=""),"",N(CR586)-N(CQ586)))</f>
        <v/>
      </c>
      <c r="CV586">
        <f>IF(OR(CQ$3="",CQ$3&gt;TODAY()),"",IF(AND(CT586="",CU586=""),"",N(CU586)-N(CT586)))</f>
        <v/>
      </c>
      <c r="CZ586">
        <f>IF(OR(CX$3="",CX$3&gt;TODAY()),"",IF(AND(CX586="",CY586=""),"",N(CY586)-N(CX586)))</f>
        <v/>
      </c>
      <c r="DC586">
        <f>IF(OR(CX$3="",CX$3&gt;TODAY()),"",IF(AND(DA586="",DB586=""),"",N(DB586)-N(DA586)))</f>
        <v/>
      </c>
      <c r="DG586">
        <f>IF(OR(DE$3="",DE$3&gt;TODAY()),"",IF(AND(DE586="",DF586=""),"",N(DF586)-N(DE586)))</f>
        <v/>
      </c>
      <c r="DJ586">
        <f>IF(OR(DE$3="",DE$3&gt;TODAY()),"",IF(AND(DH586="",DI586=""),"",N(DI586)-N(DH586)))</f>
        <v/>
      </c>
      <c r="DN586">
        <f>IF(OR(DL$3="",DL$3&gt;TODAY()),"",IF(AND(DL586="",DM586=""),"",N(DM586)-N(DL586)))</f>
        <v/>
      </c>
      <c r="DQ586">
        <f>IF(OR(DL$3="",DL$3&gt;TODAY()),"",IF(AND(DO586="",DP586=""),"",N(DP586)-N(DO586)))</f>
        <v/>
      </c>
      <c r="DU586">
        <f>IF(OR(DS$3="",DS$3&gt;TODAY()),"",IF(AND(DS586="",DT586=""),"",N(DT586)-N(DS586)))</f>
        <v/>
      </c>
      <c r="DX586">
        <f>IF(OR(DS$3="",DS$3&gt;TODAY()),"",IF(AND(DV586="",DW586=""),"",N(DW586)-N(DV586)))</f>
        <v/>
      </c>
      <c r="EB586">
        <f>IF(OR(DZ$3="",DZ$3&gt;TODAY()),"",IF(AND(DZ586="",EA586=""),"",N(EA586)-N(DZ586)))</f>
        <v/>
      </c>
      <c r="EE586">
        <f>IF(OR(DZ$3="",DZ$3&gt;TODAY()),"",IF(AND(EC586="",ED586=""),"",N(ED586)-N(EC586)))</f>
        <v/>
      </c>
      <c r="EI586">
        <f>IF(OR(EG$3="",EG$3&gt;TODAY()),"",IF(AND(EG586="",EH586=""),"",N(EH586)-N(EG586)))</f>
        <v/>
      </c>
      <c r="EL586">
        <f>IF(OR(EG$3="",EG$3&gt;TODAY()),"",IF(AND(EJ586="",EK586=""),"",N(EK586)-N(EJ586)))</f>
        <v/>
      </c>
      <c r="EP586">
        <f>IF(OR(EN$3="",EN$3&gt;TODAY()),"",IF(AND(EN586="",EO586=""),"",N(EO586)-N(EN586)))</f>
        <v/>
      </c>
      <c r="ES586">
        <f>IF(OR(EN$3="",EN$3&gt;TODAY()),"",IF(AND(EQ586="",ER586=""),"",N(ER586)-N(EQ586)))</f>
        <v/>
      </c>
      <c r="EW586">
        <f>IF(OR(EU$3="",EU$3&gt;TODAY()),"",IF(AND(EU586="",EV586=""),"",N(EV586)-N(EU586)))</f>
        <v/>
      </c>
      <c r="EZ586">
        <f>IF(OR(EU$3="",EU$3&gt;TODAY()),"",IF(AND(EX586="",EY586=""),"",N(EY586)-N(EX586)))</f>
        <v/>
      </c>
      <c r="FD586">
        <f>IF(OR(FB$3="",FB$3&gt;TODAY()),"",IF(AND(FB586="",FC586=""),"",N(FC586)-N(FB586)))</f>
        <v/>
      </c>
      <c r="FG586">
        <f>IF(OR(FB$3="",FB$3&gt;TODAY()),"",IF(AND(FE586="",FF586=""),"",N(FF586)-N(FE586)))</f>
        <v/>
      </c>
      <c r="FK586">
        <f>IF(OR(FI$3="",FI$3&gt;TODAY()),"",IF(AND(FI586="",FJ586=""),"",N(FJ586)-N(FI586)))</f>
        <v/>
      </c>
      <c r="FN586">
        <f>IF(OR(FI$3="",FI$3&gt;TODAY()),"",IF(AND(FL586="",FM586=""),"",N(FM586)-N(FL586)))</f>
        <v/>
      </c>
      <c r="FR586">
        <f>IF(OR(FP$3="",FP$3&gt;TODAY()),"",IF(AND(FP586="",FQ586=""),"",N(FQ586)-N(FP586)))</f>
        <v/>
      </c>
      <c r="FU586">
        <f>IF(OR(FP$3="",FP$3&gt;TODAY()),"",IF(AND(FS586="",FT586=""),"",N(FT586)-N(FS586)))</f>
        <v/>
      </c>
      <c r="FY586">
        <f>IF(OR(FW$3="",FW$3&gt;TODAY()),"",IF(AND(FW586="",FX586=""),"",N(FX586)-N(FW586)))</f>
        <v/>
      </c>
      <c r="GB586">
        <f>IF(OR(FW$3="",FW$3&gt;TODAY()),"",IF(AND(FZ586="",GA586=""),"",N(GA586)-N(FZ586)))</f>
        <v/>
      </c>
      <c r="GF586">
        <f>IF(OR(GD$3="",GD$3&gt;TODAY()),"",IF(AND(GD586="",GE586=""),"",N(GE586)-N(GD586)))</f>
        <v/>
      </c>
      <c r="GI586">
        <f>IF(OR(GD$3="",GD$3&gt;TODAY()),"",IF(AND(GG586="",GH586=""),"",N(GH586)-N(GG586)))</f>
        <v/>
      </c>
      <c r="GM586">
        <f>IF(OR(GK$3="",GK$3&gt;TODAY()),"",IF(AND(GK586="",GL586=""),"",N(GL586)-N(GK586)))</f>
        <v/>
      </c>
      <c r="GP586">
        <f>IF(OR(GK$3="",GK$3&gt;TODAY()),"",IF(AND(GN586="",GO586=""),"",N(GO586)-N(GN586)))</f>
        <v/>
      </c>
      <c r="GT586">
        <f>IF(OR(GR$3="",GR$3&gt;TODAY()),"",IF(AND(GR586="",GS586=""),"",N(GS586)-N(GR586)))</f>
        <v/>
      </c>
      <c r="GW586">
        <f>IF(OR(GR$3="",GR$3&gt;TODAY()),"",IF(AND(GU586="",GV586=""),"",N(GV586)-N(GU586)))</f>
        <v/>
      </c>
      <c r="HA586">
        <f>IF(OR(GY$3="",GY$3&gt;TODAY()),"",IF(AND(GY586="",GZ586=""),"",N(GZ586)-N(GY586)))</f>
        <v/>
      </c>
      <c r="HD586">
        <f>IF(OR(GY$3="",GY$3&gt;TODAY()),"",IF(AND(HB586="",HC586=""),"",N(HC586)-N(HB586)))</f>
        <v/>
      </c>
      <c r="HH586">
        <f>IF(OR(HF$3="",HF$3&gt;TODAY()),"",IF(AND(HF586="",HG586=""),"",N(HG586)-N(HF586)))</f>
        <v/>
      </c>
      <c r="HK586">
        <f>IF(OR(HF$3="",HF$3&gt;TODAY()),"",IF(AND(HI586="",HJ586=""),"",N(HJ586)-N(HI586)))</f>
        <v/>
      </c>
      <c r="HO586">
        <f>IF(OR(HM$3="",HM$3&gt;TODAY()),"",IF(AND(HM586="",HN586=""),"",N(HN586)-N(HM586)))</f>
        <v/>
      </c>
      <c r="HR586">
        <f>IF(OR(HM$3="",HM$3&gt;TODAY()),"",IF(AND(HP586="",HQ586=""),"",N(HQ586)-N(HP586)))</f>
        <v/>
      </c>
      <c r="HV586">
        <f>IF(OR(HT$3="",HT$3&gt;TODAY()),"",IF(AND(HT586="",HU586=""),"",N(HU586)-N(HT586)))</f>
        <v/>
      </c>
      <c r="HY586">
        <f>IF(OR(HT$3="",HT$3&gt;TODAY()),"",IF(AND(HW586="",HX586=""),"",N(HX586)-N(HW586)))</f>
        <v/>
      </c>
      <c r="IC586">
        <f>IF(OR(IA$3="",IA$3&gt;TODAY()),"",IF(AND(IA586="",IB586=""),"",N(IB586)-N(IA586)))</f>
        <v/>
      </c>
      <c r="IF586">
        <f>IF(OR(IA$3="",IA$3&gt;TODAY()),"",IF(AND(ID586="",IE586=""),"",N(IE586)-N(ID586)))</f>
        <v/>
      </c>
      <c r="IJ586">
        <f>IF(OR(IH$3="",IH$3&gt;TODAY()),"",IF(AND(IH586="",II586=""),"",N(II586)-N(IH586)))</f>
        <v/>
      </c>
      <c r="IM586">
        <f>IF(OR(IH$3="",IH$3&gt;TODAY()),"",IF(AND(IK586="",IL586=""),"",N(IL586)-N(IK586)))</f>
        <v/>
      </c>
    </row>
    <row r="587">
      <c r="A587" s="21" t="n"/>
      <c r="B587" s="21" t="n"/>
      <c r="C587" s="21" t="n"/>
      <c r="D587" s="21" t="n"/>
      <c r="E587" s="21" t="n"/>
      <c r="F587" s="21" t="n"/>
      <c r="G587" s="21" t="n"/>
      <c r="H587" s="21" t="n"/>
      <c r="I587" s="22" t="n"/>
      <c r="J587" s="22" t="n"/>
      <c r="K587" s="23" t="n"/>
      <c r="L587" s="22" t="n"/>
      <c r="M587" s="22" t="n"/>
      <c r="N587" s="21" t="n"/>
      <c r="O587" s="23" t="n"/>
      <c r="P587" s="23" t="n"/>
      <c r="Q587" s="23" t="n"/>
      <c r="R587" s="23" t="n"/>
      <c r="S587" s="22" t="n"/>
      <c r="T587" s="23" t="n"/>
      <c r="U587" s="23" t="n"/>
      <c r="V587" s="24">
        <f>IF(J587&lt;&gt;"",J587,IF(I587&lt;&gt;"",I587,""))</f>
        <v/>
      </c>
      <c r="W587" s="25">
        <f>IF($E587="","",N(O587)+SUMIFS($AF587:$IN587,$AF$4:$IN$4,"SEW_ACT"))</f>
        <v/>
      </c>
      <c r="X587" s="25">
        <f>IF($E587="","",N(P587)+SUMIFS($AF587:$IN587,$AF$4:$IN$4,"WASH_ACT"))</f>
        <v/>
      </c>
      <c r="Y587" s="25">
        <f>IF($E587="","",W587-X587-N(T587)-N(U587))</f>
        <v/>
      </c>
      <c r="Z587" s="25">
        <f>IF($E587="","",IF(N(K587)-X587&lt;=0.02*N(K587),0,N(K587)-X587))</f>
        <v/>
      </c>
      <c r="AA587" s="24">
        <f>IF($E587="","",IF(S587&lt;&gt;"",S587,IF(N(O587)&gt;0,IF(L587&lt;&gt;"",L587,99999),IFERROR(1/(1/_xlfn.MINIFS($AF$3:$IN$3,$AF$4:$IN$4,"SEW_ACT",$AF587:$IN587,"&gt;0")),99999))))</f>
        <v/>
      </c>
      <c r="AB587" s="26">
        <f>IF(OR($E587="",Z587=0,V587=""),"",1+COUNTIFS(Z$8:Z$707,"&gt;0",V$8:V$707,"&lt;"&amp;V587)+COUNTIFS(Z$8:Z$707,"&gt;0",V$8:V$707,V587,AA$8:AA$707,"&lt;"&amp;AA587)+COUNTIFS(Z$8:Z$707,"&gt;0",V$8:V$707,V587,AA$8:AA$707,AA587,E$8:E$707,"&lt;"&amp;$E587))</f>
        <v/>
      </c>
      <c r="AC587" s="24">
        <f>IF(OR($E587="",Z587=0),"",IFERROR(TODAY()+ROUNDUP(Z587/(SUMIFS($AF587:$IN587,$AF$4:$IN$4,"WASH_ACT")/COUNTIFS($AF$4:$IN$4,"WASH_ACT",$AF587:$IN587,"&gt;0")),0),"no output yet"))</f>
        <v/>
      </c>
      <c r="AD587" s="26">
        <f>IF($E587="","",IFERROR(ROUND(MAX(0,SUMIFS($AF587:$IN587,$AF$4:$IN$4,"SEW_PLAN",$AF$3:$IN$3,"&lt;="&amp;TODAY())-SUMIFS($AF587:$IN587,$AF$4:$IN$4,"SEW_ACT",$AF$3:$IN$3,"&lt;="&amp;TODAY())+N(Q587))/(SUMIFS($AF587:$IN587,$AF$4:$IN$4,"SEW_PLAN")/COUNTIFS($AF$4:$IN$4,"SEW_PLAN",$AF587:$IN587,"&gt;0")),1),0))</f>
        <v/>
      </c>
      <c r="AE587" s="26">
        <f>IF($E587="","",IF(AND(Z587&gt;0,OR(AND(M587&lt;&gt;"",TODAY()&gt;M587),AND(V587&lt;&gt;"",V587-TODAY()&lt;=7))),"Yes","No"))</f>
        <v/>
      </c>
      <c r="AH587">
        <f>IF(OR(AF$3="",AF$3&gt;TODAY()),"",IF(AND(AF587="",AG587=""),"",N(AG587)-N(AF587)))</f>
        <v/>
      </c>
      <c r="AK587">
        <f>IF(OR(AF$3="",AF$3&gt;TODAY()),"",IF(AND(AI587="",AJ587=""),"",N(AJ587)-N(AI587)))</f>
        <v/>
      </c>
      <c r="AO587">
        <f>IF(OR(AM$3="",AM$3&gt;TODAY()),"",IF(AND(AM587="",AN587=""),"",N(AN587)-N(AM587)))</f>
        <v/>
      </c>
      <c r="AR587">
        <f>IF(OR(AM$3="",AM$3&gt;TODAY()),"",IF(AND(AP587="",AQ587=""),"",N(AQ587)-N(AP587)))</f>
        <v/>
      </c>
      <c r="AV587">
        <f>IF(OR(AT$3="",AT$3&gt;TODAY()),"",IF(AND(AT587="",AU587=""),"",N(AU587)-N(AT587)))</f>
        <v/>
      </c>
      <c r="AY587">
        <f>IF(OR(AT$3="",AT$3&gt;TODAY()),"",IF(AND(AW587="",AX587=""),"",N(AX587)-N(AW587)))</f>
        <v/>
      </c>
      <c r="BC587">
        <f>IF(OR(BA$3="",BA$3&gt;TODAY()),"",IF(AND(BA587="",BB587=""),"",N(BB587)-N(BA587)))</f>
        <v/>
      </c>
      <c r="BF587">
        <f>IF(OR(BA$3="",BA$3&gt;TODAY()),"",IF(AND(BD587="",BE587=""),"",N(BE587)-N(BD587)))</f>
        <v/>
      </c>
      <c r="BJ587">
        <f>IF(OR(BH$3="",BH$3&gt;TODAY()),"",IF(AND(BH587="",BI587=""),"",N(BI587)-N(BH587)))</f>
        <v/>
      </c>
      <c r="BM587">
        <f>IF(OR(BH$3="",BH$3&gt;TODAY()),"",IF(AND(BK587="",BL587=""),"",N(BL587)-N(BK587)))</f>
        <v/>
      </c>
      <c r="BQ587">
        <f>IF(OR(BO$3="",BO$3&gt;TODAY()),"",IF(AND(BO587="",BP587=""),"",N(BP587)-N(BO587)))</f>
        <v/>
      </c>
      <c r="BT587">
        <f>IF(OR(BO$3="",BO$3&gt;TODAY()),"",IF(AND(BR587="",BS587=""),"",N(BS587)-N(BR587)))</f>
        <v/>
      </c>
      <c r="BX587">
        <f>IF(OR(BV$3="",BV$3&gt;TODAY()),"",IF(AND(BV587="",BW587=""),"",N(BW587)-N(BV587)))</f>
        <v/>
      </c>
      <c r="CA587">
        <f>IF(OR(BV$3="",BV$3&gt;TODAY()),"",IF(AND(BY587="",BZ587=""),"",N(BZ587)-N(BY587)))</f>
        <v/>
      </c>
      <c r="CE587">
        <f>IF(OR(CC$3="",CC$3&gt;TODAY()),"",IF(AND(CC587="",CD587=""),"",N(CD587)-N(CC587)))</f>
        <v/>
      </c>
      <c r="CH587">
        <f>IF(OR(CC$3="",CC$3&gt;TODAY()),"",IF(AND(CF587="",CG587=""),"",N(CG587)-N(CF587)))</f>
        <v/>
      </c>
      <c r="CL587">
        <f>IF(OR(CJ$3="",CJ$3&gt;TODAY()),"",IF(AND(CJ587="",CK587=""),"",N(CK587)-N(CJ587)))</f>
        <v/>
      </c>
      <c r="CO587">
        <f>IF(OR(CJ$3="",CJ$3&gt;TODAY()),"",IF(AND(CM587="",CN587=""),"",N(CN587)-N(CM587)))</f>
        <v/>
      </c>
      <c r="CS587">
        <f>IF(OR(CQ$3="",CQ$3&gt;TODAY()),"",IF(AND(CQ587="",CR587=""),"",N(CR587)-N(CQ587)))</f>
        <v/>
      </c>
      <c r="CV587">
        <f>IF(OR(CQ$3="",CQ$3&gt;TODAY()),"",IF(AND(CT587="",CU587=""),"",N(CU587)-N(CT587)))</f>
        <v/>
      </c>
      <c r="CZ587">
        <f>IF(OR(CX$3="",CX$3&gt;TODAY()),"",IF(AND(CX587="",CY587=""),"",N(CY587)-N(CX587)))</f>
        <v/>
      </c>
      <c r="DC587">
        <f>IF(OR(CX$3="",CX$3&gt;TODAY()),"",IF(AND(DA587="",DB587=""),"",N(DB587)-N(DA587)))</f>
        <v/>
      </c>
      <c r="DG587">
        <f>IF(OR(DE$3="",DE$3&gt;TODAY()),"",IF(AND(DE587="",DF587=""),"",N(DF587)-N(DE587)))</f>
        <v/>
      </c>
      <c r="DJ587">
        <f>IF(OR(DE$3="",DE$3&gt;TODAY()),"",IF(AND(DH587="",DI587=""),"",N(DI587)-N(DH587)))</f>
        <v/>
      </c>
      <c r="DN587">
        <f>IF(OR(DL$3="",DL$3&gt;TODAY()),"",IF(AND(DL587="",DM587=""),"",N(DM587)-N(DL587)))</f>
        <v/>
      </c>
      <c r="DQ587">
        <f>IF(OR(DL$3="",DL$3&gt;TODAY()),"",IF(AND(DO587="",DP587=""),"",N(DP587)-N(DO587)))</f>
        <v/>
      </c>
      <c r="DU587">
        <f>IF(OR(DS$3="",DS$3&gt;TODAY()),"",IF(AND(DS587="",DT587=""),"",N(DT587)-N(DS587)))</f>
        <v/>
      </c>
      <c r="DX587">
        <f>IF(OR(DS$3="",DS$3&gt;TODAY()),"",IF(AND(DV587="",DW587=""),"",N(DW587)-N(DV587)))</f>
        <v/>
      </c>
      <c r="EB587">
        <f>IF(OR(DZ$3="",DZ$3&gt;TODAY()),"",IF(AND(DZ587="",EA587=""),"",N(EA587)-N(DZ587)))</f>
        <v/>
      </c>
      <c r="EE587">
        <f>IF(OR(DZ$3="",DZ$3&gt;TODAY()),"",IF(AND(EC587="",ED587=""),"",N(ED587)-N(EC587)))</f>
        <v/>
      </c>
      <c r="EI587">
        <f>IF(OR(EG$3="",EG$3&gt;TODAY()),"",IF(AND(EG587="",EH587=""),"",N(EH587)-N(EG587)))</f>
        <v/>
      </c>
      <c r="EL587">
        <f>IF(OR(EG$3="",EG$3&gt;TODAY()),"",IF(AND(EJ587="",EK587=""),"",N(EK587)-N(EJ587)))</f>
        <v/>
      </c>
      <c r="EP587">
        <f>IF(OR(EN$3="",EN$3&gt;TODAY()),"",IF(AND(EN587="",EO587=""),"",N(EO587)-N(EN587)))</f>
        <v/>
      </c>
      <c r="ES587">
        <f>IF(OR(EN$3="",EN$3&gt;TODAY()),"",IF(AND(EQ587="",ER587=""),"",N(ER587)-N(EQ587)))</f>
        <v/>
      </c>
      <c r="EW587">
        <f>IF(OR(EU$3="",EU$3&gt;TODAY()),"",IF(AND(EU587="",EV587=""),"",N(EV587)-N(EU587)))</f>
        <v/>
      </c>
      <c r="EZ587">
        <f>IF(OR(EU$3="",EU$3&gt;TODAY()),"",IF(AND(EX587="",EY587=""),"",N(EY587)-N(EX587)))</f>
        <v/>
      </c>
      <c r="FD587">
        <f>IF(OR(FB$3="",FB$3&gt;TODAY()),"",IF(AND(FB587="",FC587=""),"",N(FC587)-N(FB587)))</f>
        <v/>
      </c>
      <c r="FG587">
        <f>IF(OR(FB$3="",FB$3&gt;TODAY()),"",IF(AND(FE587="",FF587=""),"",N(FF587)-N(FE587)))</f>
        <v/>
      </c>
      <c r="FK587">
        <f>IF(OR(FI$3="",FI$3&gt;TODAY()),"",IF(AND(FI587="",FJ587=""),"",N(FJ587)-N(FI587)))</f>
        <v/>
      </c>
      <c r="FN587">
        <f>IF(OR(FI$3="",FI$3&gt;TODAY()),"",IF(AND(FL587="",FM587=""),"",N(FM587)-N(FL587)))</f>
        <v/>
      </c>
      <c r="FR587">
        <f>IF(OR(FP$3="",FP$3&gt;TODAY()),"",IF(AND(FP587="",FQ587=""),"",N(FQ587)-N(FP587)))</f>
        <v/>
      </c>
      <c r="FU587">
        <f>IF(OR(FP$3="",FP$3&gt;TODAY()),"",IF(AND(FS587="",FT587=""),"",N(FT587)-N(FS587)))</f>
        <v/>
      </c>
      <c r="FY587">
        <f>IF(OR(FW$3="",FW$3&gt;TODAY()),"",IF(AND(FW587="",FX587=""),"",N(FX587)-N(FW587)))</f>
        <v/>
      </c>
      <c r="GB587">
        <f>IF(OR(FW$3="",FW$3&gt;TODAY()),"",IF(AND(FZ587="",GA587=""),"",N(GA587)-N(FZ587)))</f>
        <v/>
      </c>
      <c r="GF587">
        <f>IF(OR(GD$3="",GD$3&gt;TODAY()),"",IF(AND(GD587="",GE587=""),"",N(GE587)-N(GD587)))</f>
        <v/>
      </c>
      <c r="GI587">
        <f>IF(OR(GD$3="",GD$3&gt;TODAY()),"",IF(AND(GG587="",GH587=""),"",N(GH587)-N(GG587)))</f>
        <v/>
      </c>
      <c r="GM587">
        <f>IF(OR(GK$3="",GK$3&gt;TODAY()),"",IF(AND(GK587="",GL587=""),"",N(GL587)-N(GK587)))</f>
        <v/>
      </c>
      <c r="GP587">
        <f>IF(OR(GK$3="",GK$3&gt;TODAY()),"",IF(AND(GN587="",GO587=""),"",N(GO587)-N(GN587)))</f>
        <v/>
      </c>
      <c r="GT587">
        <f>IF(OR(GR$3="",GR$3&gt;TODAY()),"",IF(AND(GR587="",GS587=""),"",N(GS587)-N(GR587)))</f>
        <v/>
      </c>
      <c r="GW587">
        <f>IF(OR(GR$3="",GR$3&gt;TODAY()),"",IF(AND(GU587="",GV587=""),"",N(GV587)-N(GU587)))</f>
        <v/>
      </c>
      <c r="HA587">
        <f>IF(OR(GY$3="",GY$3&gt;TODAY()),"",IF(AND(GY587="",GZ587=""),"",N(GZ587)-N(GY587)))</f>
        <v/>
      </c>
      <c r="HD587">
        <f>IF(OR(GY$3="",GY$3&gt;TODAY()),"",IF(AND(HB587="",HC587=""),"",N(HC587)-N(HB587)))</f>
        <v/>
      </c>
      <c r="HH587">
        <f>IF(OR(HF$3="",HF$3&gt;TODAY()),"",IF(AND(HF587="",HG587=""),"",N(HG587)-N(HF587)))</f>
        <v/>
      </c>
      <c r="HK587">
        <f>IF(OR(HF$3="",HF$3&gt;TODAY()),"",IF(AND(HI587="",HJ587=""),"",N(HJ587)-N(HI587)))</f>
        <v/>
      </c>
      <c r="HO587">
        <f>IF(OR(HM$3="",HM$3&gt;TODAY()),"",IF(AND(HM587="",HN587=""),"",N(HN587)-N(HM587)))</f>
        <v/>
      </c>
      <c r="HR587">
        <f>IF(OR(HM$3="",HM$3&gt;TODAY()),"",IF(AND(HP587="",HQ587=""),"",N(HQ587)-N(HP587)))</f>
        <v/>
      </c>
      <c r="HV587">
        <f>IF(OR(HT$3="",HT$3&gt;TODAY()),"",IF(AND(HT587="",HU587=""),"",N(HU587)-N(HT587)))</f>
        <v/>
      </c>
      <c r="HY587">
        <f>IF(OR(HT$3="",HT$3&gt;TODAY()),"",IF(AND(HW587="",HX587=""),"",N(HX587)-N(HW587)))</f>
        <v/>
      </c>
      <c r="IC587">
        <f>IF(OR(IA$3="",IA$3&gt;TODAY()),"",IF(AND(IA587="",IB587=""),"",N(IB587)-N(IA587)))</f>
        <v/>
      </c>
      <c r="IF587">
        <f>IF(OR(IA$3="",IA$3&gt;TODAY()),"",IF(AND(ID587="",IE587=""),"",N(IE587)-N(ID587)))</f>
        <v/>
      </c>
      <c r="IJ587">
        <f>IF(OR(IH$3="",IH$3&gt;TODAY()),"",IF(AND(IH587="",II587=""),"",N(II587)-N(IH587)))</f>
        <v/>
      </c>
      <c r="IM587">
        <f>IF(OR(IH$3="",IH$3&gt;TODAY()),"",IF(AND(IK587="",IL587=""),"",N(IL587)-N(IK587)))</f>
        <v/>
      </c>
    </row>
    <row r="588">
      <c r="A588" s="21" t="n"/>
      <c r="B588" s="21" t="n"/>
      <c r="C588" s="21" t="n"/>
      <c r="D588" s="21" t="n"/>
      <c r="E588" s="21" t="n"/>
      <c r="F588" s="21" t="n"/>
      <c r="G588" s="21" t="n"/>
      <c r="H588" s="21" t="n"/>
      <c r="I588" s="22" t="n"/>
      <c r="J588" s="22" t="n"/>
      <c r="K588" s="23" t="n"/>
      <c r="L588" s="22" t="n"/>
      <c r="M588" s="22" t="n"/>
      <c r="N588" s="21" t="n"/>
      <c r="O588" s="23" t="n"/>
      <c r="P588" s="23" t="n"/>
      <c r="Q588" s="23" t="n"/>
      <c r="R588" s="23" t="n"/>
      <c r="S588" s="22" t="n"/>
      <c r="T588" s="23" t="n"/>
      <c r="U588" s="23" t="n"/>
      <c r="V588" s="24">
        <f>IF(J588&lt;&gt;"",J588,IF(I588&lt;&gt;"",I588,""))</f>
        <v/>
      </c>
      <c r="W588" s="25">
        <f>IF($E588="","",N(O588)+SUMIFS($AF588:$IN588,$AF$4:$IN$4,"SEW_ACT"))</f>
        <v/>
      </c>
      <c r="X588" s="25">
        <f>IF($E588="","",N(P588)+SUMIFS($AF588:$IN588,$AF$4:$IN$4,"WASH_ACT"))</f>
        <v/>
      </c>
      <c r="Y588" s="25">
        <f>IF($E588="","",W588-X588-N(T588)-N(U588))</f>
        <v/>
      </c>
      <c r="Z588" s="25">
        <f>IF($E588="","",IF(N(K588)-X588&lt;=0.02*N(K588),0,N(K588)-X588))</f>
        <v/>
      </c>
      <c r="AA588" s="24">
        <f>IF($E588="","",IF(S588&lt;&gt;"",S588,IF(N(O588)&gt;0,IF(L588&lt;&gt;"",L588,99999),IFERROR(1/(1/_xlfn.MINIFS($AF$3:$IN$3,$AF$4:$IN$4,"SEW_ACT",$AF588:$IN588,"&gt;0")),99999))))</f>
        <v/>
      </c>
      <c r="AB588" s="26">
        <f>IF(OR($E588="",Z588=0,V588=""),"",1+COUNTIFS(Z$8:Z$707,"&gt;0",V$8:V$707,"&lt;"&amp;V588)+COUNTIFS(Z$8:Z$707,"&gt;0",V$8:V$707,V588,AA$8:AA$707,"&lt;"&amp;AA588)+COUNTIFS(Z$8:Z$707,"&gt;0",V$8:V$707,V588,AA$8:AA$707,AA588,E$8:E$707,"&lt;"&amp;$E588))</f>
        <v/>
      </c>
      <c r="AC588" s="24">
        <f>IF(OR($E588="",Z588=0),"",IFERROR(TODAY()+ROUNDUP(Z588/(SUMIFS($AF588:$IN588,$AF$4:$IN$4,"WASH_ACT")/COUNTIFS($AF$4:$IN$4,"WASH_ACT",$AF588:$IN588,"&gt;0")),0),"no output yet"))</f>
        <v/>
      </c>
      <c r="AD588" s="26">
        <f>IF($E588="","",IFERROR(ROUND(MAX(0,SUMIFS($AF588:$IN588,$AF$4:$IN$4,"SEW_PLAN",$AF$3:$IN$3,"&lt;="&amp;TODAY())-SUMIFS($AF588:$IN588,$AF$4:$IN$4,"SEW_ACT",$AF$3:$IN$3,"&lt;="&amp;TODAY())+N(Q588))/(SUMIFS($AF588:$IN588,$AF$4:$IN$4,"SEW_PLAN")/COUNTIFS($AF$4:$IN$4,"SEW_PLAN",$AF588:$IN588,"&gt;0")),1),0))</f>
        <v/>
      </c>
      <c r="AE588" s="26">
        <f>IF($E588="","",IF(AND(Z588&gt;0,OR(AND(M588&lt;&gt;"",TODAY()&gt;M588),AND(V588&lt;&gt;"",V588-TODAY()&lt;=7))),"Yes","No"))</f>
        <v/>
      </c>
      <c r="AH588">
        <f>IF(OR(AF$3="",AF$3&gt;TODAY()),"",IF(AND(AF588="",AG588=""),"",N(AG588)-N(AF588)))</f>
        <v/>
      </c>
      <c r="AK588">
        <f>IF(OR(AF$3="",AF$3&gt;TODAY()),"",IF(AND(AI588="",AJ588=""),"",N(AJ588)-N(AI588)))</f>
        <v/>
      </c>
      <c r="AO588">
        <f>IF(OR(AM$3="",AM$3&gt;TODAY()),"",IF(AND(AM588="",AN588=""),"",N(AN588)-N(AM588)))</f>
        <v/>
      </c>
      <c r="AR588">
        <f>IF(OR(AM$3="",AM$3&gt;TODAY()),"",IF(AND(AP588="",AQ588=""),"",N(AQ588)-N(AP588)))</f>
        <v/>
      </c>
      <c r="AV588">
        <f>IF(OR(AT$3="",AT$3&gt;TODAY()),"",IF(AND(AT588="",AU588=""),"",N(AU588)-N(AT588)))</f>
        <v/>
      </c>
      <c r="AY588">
        <f>IF(OR(AT$3="",AT$3&gt;TODAY()),"",IF(AND(AW588="",AX588=""),"",N(AX588)-N(AW588)))</f>
        <v/>
      </c>
      <c r="BC588">
        <f>IF(OR(BA$3="",BA$3&gt;TODAY()),"",IF(AND(BA588="",BB588=""),"",N(BB588)-N(BA588)))</f>
        <v/>
      </c>
      <c r="BF588">
        <f>IF(OR(BA$3="",BA$3&gt;TODAY()),"",IF(AND(BD588="",BE588=""),"",N(BE588)-N(BD588)))</f>
        <v/>
      </c>
      <c r="BJ588">
        <f>IF(OR(BH$3="",BH$3&gt;TODAY()),"",IF(AND(BH588="",BI588=""),"",N(BI588)-N(BH588)))</f>
        <v/>
      </c>
      <c r="BM588">
        <f>IF(OR(BH$3="",BH$3&gt;TODAY()),"",IF(AND(BK588="",BL588=""),"",N(BL588)-N(BK588)))</f>
        <v/>
      </c>
      <c r="BQ588">
        <f>IF(OR(BO$3="",BO$3&gt;TODAY()),"",IF(AND(BO588="",BP588=""),"",N(BP588)-N(BO588)))</f>
        <v/>
      </c>
      <c r="BT588">
        <f>IF(OR(BO$3="",BO$3&gt;TODAY()),"",IF(AND(BR588="",BS588=""),"",N(BS588)-N(BR588)))</f>
        <v/>
      </c>
      <c r="BX588">
        <f>IF(OR(BV$3="",BV$3&gt;TODAY()),"",IF(AND(BV588="",BW588=""),"",N(BW588)-N(BV588)))</f>
        <v/>
      </c>
      <c r="CA588">
        <f>IF(OR(BV$3="",BV$3&gt;TODAY()),"",IF(AND(BY588="",BZ588=""),"",N(BZ588)-N(BY588)))</f>
        <v/>
      </c>
      <c r="CE588">
        <f>IF(OR(CC$3="",CC$3&gt;TODAY()),"",IF(AND(CC588="",CD588=""),"",N(CD588)-N(CC588)))</f>
        <v/>
      </c>
      <c r="CH588">
        <f>IF(OR(CC$3="",CC$3&gt;TODAY()),"",IF(AND(CF588="",CG588=""),"",N(CG588)-N(CF588)))</f>
        <v/>
      </c>
      <c r="CL588">
        <f>IF(OR(CJ$3="",CJ$3&gt;TODAY()),"",IF(AND(CJ588="",CK588=""),"",N(CK588)-N(CJ588)))</f>
        <v/>
      </c>
      <c r="CO588">
        <f>IF(OR(CJ$3="",CJ$3&gt;TODAY()),"",IF(AND(CM588="",CN588=""),"",N(CN588)-N(CM588)))</f>
        <v/>
      </c>
      <c r="CS588">
        <f>IF(OR(CQ$3="",CQ$3&gt;TODAY()),"",IF(AND(CQ588="",CR588=""),"",N(CR588)-N(CQ588)))</f>
        <v/>
      </c>
      <c r="CV588">
        <f>IF(OR(CQ$3="",CQ$3&gt;TODAY()),"",IF(AND(CT588="",CU588=""),"",N(CU588)-N(CT588)))</f>
        <v/>
      </c>
      <c r="CZ588">
        <f>IF(OR(CX$3="",CX$3&gt;TODAY()),"",IF(AND(CX588="",CY588=""),"",N(CY588)-N(CX588)))</f>
        <v/>
      </c>
      <c r="DC588">
        <f>IF(OR(CX$3="",CX$3&gt;TODAY()),"",IF(AND(DA588="",DB588=""),"",N(DB588)-N(DA588)))</f>
        <v/>
      </c>
      <c r="DG588">
        <f>IF(OR(DE$3="",DE$3&gt;TODAY()),"",IF(AND(DE588="",DF588=""),"",N(DF588)-N(DE588)))</f>
        <v/>
      </c>
      <c r="DJ588">
        <f>IF(OR(DE$3="",DE$3&gt;TODAY()),"",IF(AND(DH588="",DI588=""),"",N(DI588)-N(DH588)))</f>
        <v/>
      </c>
      <c r="DN588">
        <f>IF(OR(DL$3="",DL$3&gt;TODAY()),"",IF(AND(DL588="",DM588=""),"",N(DM588)-N(DL588)))</f>
        <v/>
      </c>
      <c r="DQ588">
        <f>IF(OR(DL$3="",DL$3&gt;TODAY()),"",IF(AND(DO588="",DP588=""),"",N(DP588)-N(DO588)))</f>
        <v/>
      </c>
      <c r="DU588">
        <f>IF(OR(DS$3="",DS$3&gt;TODAY()),"",IF(AND(DS588="",DT588=""),"",N(DT588)-N(DS588)))</f>
        <v/>
      </c>
      <c r="DX588">
        <f>IF(OR(DS$3="",DS$3&gt;TODAY()),"",IF(AND(DV588="",DW588=""),"",N(DW588)-N(DV588)))</f>
        <v/>
      </c>
      <c r="EB588">
        <f>IF(OR(DZ$3="",DZ$3&gt;TODAY()),"",IF(AND(DZ588="",EA588=""),"",N(EA588)-N(DZ588)))</f>
        <v/>
      </c>
      <c r="EE588">
        <f>IF(OR(DZ$3="",DZ$3&gt;TODAY()),"",IF(AND(EC588="",ED588=""),"",N(ED588)-N(EC588)))</f>
        <v/>
      </c>
      <c r="EI588">
        <f>IF(OR(EG$3="",EG$3&gt;TODAY()),"",IF(AND(EG588="",EH588=""),"",N(EH588)-N(EG588)))</f>
        <v/>
      </c>
      <c r="EL588">
        <f>IF(OR(EG$3="",EG$3&gt;TODAY()),"",IF(AND(EJ588="",EK588=""),"",N(EK588)-N(EJ588)))</f>
        <v/>
      </c>
      <c r="EP588">
        <f>IF(OR(EN$3="",EN$3&gt;TODAY()),"",IF(AND(EN588="",EO588=""),"",N(EO588)-N(EN588)))</f>
        <v/>
      </c>
      <c r="ES588">
        <f>IF(OR(EN$3="",EN$3&gt;TODAY()),"",IF(AND(EQ588="",ER588=""),"",N(ER588)-N(EQ588)))</f>
        <v/>
      </c>
      <c r="EW588">
        <f>IF(OR(EU$3="",EU$3&gt;TODAY()),"",IF(AND(EU588="",EV588=""),"",N(EV588)-N(EU588)))</f>
        <v/>
      </c>
      <c r="EZ588">
        <f>IF(OR(EU$3="",EU$3&gt;TODAY()),"",IF(AND(EX588="",EY588=""),"",N(EY588)-N(EX588)))</f>
        <v/>
      </c>
      <c r="FD588">
        <f>IF(OR(FB$3="",FB$3&gt;TODAY()),"",IF(AND(FB588="",FC588=""),"",N(FC588)-N(FB588)))</f>
        <v/>
      </c>
      <c r="FG588">
        <f>IF(OR(FB$3="",FB$3&gt;TODAY()),"",IF(AND(FE588="",FF588=""),"",N(FF588)-N(FE588)))</f>
        <v/>
      </c>
      <c r="FK588">
        <f>IF(OR(FI$3="",FI$3&gt;TODAY()),"",IF(AND(FI588="",FJ588=""),"",N(FJ588)-N(FI588)))</f>
        <v/>
      </c>
      <c r="FN588">
        <f>IF(OR(FI$3="",FI$3&gt;TODAY()),"",IF(AND(FL588="",FM588=""),"",N(FM588)-N(FL588)))</f>
        <v/>
      </c>
      <c r="FR588">
        <f>IF(OR(FP$3="",FP$3&gt;TODAY()),"",IF(AND(FP588="",FQ588=""),"",N(FQ588)-N(FP588)))</f>
        <v/>
      </c>
      <c r="FU588">
        <f>IF(OR(FP$3="",FP$3&gt;TODAY()),"",IF(AND(FS588="",FT588=""),"",N(FT588)-N(FS588)))</f>
        <v/>
      </c>
      <c r="FY588">
        <f>IF(OR(FW$3="",FW$3&gt;TODAY()),"",IF(AND(FW588="",FX588=""),"",N(FX588)-N(FW588)))</f>
        <v/>
      </c>
      <c r="GB588">
        <f>IF(OR(FW$3="",FW$3&gt;TODAY()),"",IF(AND(FZ588="",GA588=""),"",N(GA588)-N(FZ588)))</f>
        <v/>
      </c>
      <c r="GF588">
        <f>IF(OR(GD$3="",GD$3&gt;TODAY()),"",IF(AND(GD588="",GE588=""),"",N(GE588)-N(GD588)))</f>
        <v/>
      </c>
      <c r="GI588">
        <f>IF(OR(GD$3="",GD$3&gt;TODAY()),"",IF(AND(GG588="",GH588=""),"",N(GH588)-N(GG588)))</f>
        <v/>
      </c>
      <c r="GM588">
        <f>IF(OR(GK$3="",GK$3&gt;TODAY()),"",IF(AND(GK588="",GL588=""),"",N(GL588)-N(GK588)))</f>
        <v/>
      </c>
      <c r="GP588">
        <f>IF(OR(GK$3="",GK$3&gt;TODAY()),"",IF(AND(GN588="",GO588=""),"",N(GO588)-N(GN588)))</f>
        <v/>
      </c>
      <c r="GT588">
        <f>IF(OR(GR$3="",GR$3&gt;TODAY()),"",IF(AND(GR588="",GS588=""),"",N(GS588)-N(GR588)))</f>
        <v/>
      </c>
      <c r="GW588">
        <f>IF(OR(GR$3="",GR$3&gt;TODAY()),"",IF(AND(GU588="",GV588=""),"",N(GV588)-N(GU588)))</f>
        <v/>
      </c>
      <c r="HA588">
        <f>IF(OR(GY$3="",GY$3&gt;TODAY()),"",IF(AND(GY588="",GZ588=""),"",N(GZ588)-N(GY588)))</f>
        <v/>
      </c>
      <c r="HD588">
        <f>IF(OR(GY$3="",GY$3&gt;TODAY()),"",IF(AND(HB588="",HC588=""),"",N(HC588)-N(HB588)))</f>
        <v/>
      </c>
      <c r="HH588">
        <f>IF(OR(HF$3="",HF$3&gt;TODAY()),"",IF(AND(HF588="",HG588=""),"",N(HG588)-N(HF588)))</f>
        <v/>
      </c>
      <c r="HK588">
        <f>IF(OR(HF$3="",HF$3&gt;TODAY()),"",IF(AND(HI588="",HJ588=""),"",N(HJ588)-N(HI588)))</f>
        <v/>
      </c>
      <c r="HO588">
        <f>IF(OR(HM$3="",HM$3&gt;TODAY()),"",IF(AND(HM588="",HN588=""),"",N(HN588)-N(HM588)))</f>
        <v/>
      </c>
      <c r="HR588">
        <f>IF(OR(HM$3="",HM$3&gt;TODAY()),"",IF(AND(HP588="",HQ588=""),"",N(HQ588)-N(HP588)))</f>
        <v/>
      </c>
      <c r="HV588">
        <f>IF(OR(HT$3="",HT$3&gt;TODAY()),"",IF(AND(HT588="",HU588=""),"",N(HU588)-N(HT588)))</f>
        <v/>
      </c>
      <c r="HY588">
        <f>IF(OR(HT$3="",HT$3&gt;TODAY()),"",IF(AND(HW588="",HX588=""),"",N(HX588)-N(HW588)))</f>
        <v/>
      </c>
      <c r="IC588">
        <f>IF(OR(IA$3="",IA$3&gt;TODAY()),"",IF(AND(IA588="",IB588=""),"",N(IB588)-N(IA588)))</f>
        <v/>
      </c>
      <c r="IF588">
        <f>IF(OR(IA$3="",IA$3&gt;TODAY()),"",IF(AND(ID588="",IE588=""),"",N(IE588)-N(ID588)))</f>
        <v/>
      </c>
      <c r="IJ588">
        <f>IF(OR(IH$3="",IH$3&gt;TODAY()),"",IF(AND(IH588="",II588=""),"",N(II588)-N(IH588)))</f>
        <v/>
      </c>
      <c r="IM588">
        <f>IF(OR(IH$3="",IH$3&gt;TODAY()),"",IF(AND(IK588="",IL588=""),"",N(IL588)-N(IK588)))</f>
        <v/>
      </c>
    </row>
    <row r="589">
      <c r="A589" s="21" t="n"/>
      <c r="B589" s="21" t="n"/>
      <c r="C589" s="21" t="n"/>
      <c r="D589" s="21" t="n"/>
      <c r="E589" s="21" t="n"/>
      <c r="F589" s="21" t="n"/>
      <c r="G589" s="21" t="n"/>
      <c r="H589" s="21" t="n"/>
      <c r="I589" s="22" t="n"/>
      <c r="J589" s="22" t="n"/>
      <c r="K589" s="23" t="n"/>
      <c r="L589" s="22" t="n"/>
      <c r="M589" s="22" t="n"/>
      <c r="N589" s="21" t="n"/>
      <c r="O589" s="23" t="n"/>
      <c r="P589" s="23" t="n"/>
      <c r="Q589" s="23" t="n"/>
      <c r="R589" s="23" t="n"/>
      <c r="S589" s="22" t="n"/>
      <c r="T589" s="23" t="n"/>
      <c r="U589" s="23" t="n"/>
      <c r="V589" s="24">
        <f>IF(J589&lt;&gt;"",J589,IF(I589&lt;&gt;"",I589,""))</f>
        <v/>
      </c>
      <c r="W589" s="25">
        <f>IF($E589="","",N(O589)+SUMIFS($AF589:$IN589,$AF$4:$IN$4,"SEW_ACT"))</f>
        <v/>
      </c>
      <c r="X589" s="25">
        <f>IF($E589="","",N(P589)+SUMIFS($AF589:$IN589,$AF$4:$IN$4,"WASH_ACT"))</f>
        <v/>
      </c>
      <c r="Y589" s="25">
        <f>IF($E589="","",W589-X589-N(T589)-N(U589))</f>
        <v/>
      </c>
      <c r="Z589" s="25">
        <f>IF($E589="","",IF(N(K589)-X589&lt;=0.02*N(K589),0,N(K589)-X589))</f>
        <v/>
      </c>
      <c r="AA589" s="24">
        <f>IF($E589="","",IF(S589&lt;&gt;"",S589,IF(N(O589)&gt;0,IF(L589&lt;&gt;"",L589,99999),IFERROR(1/(1/_xlfn.MINIFS($AF$3:$IN$3,$AF$4:$IN$4,"SEW_ACT",$AF589:$IN589,"&gt;0")),99999))))</f>
        <v/>
      </c>
      <c r="AB589" s="26">
        <f>IF(OR($E589="",Z589=0,V589=""),"",1+COUNTIFS(Z$8:Z$707,"&gt;0",V$8:V$707,"&lt;"&amp;V589)+COUNTIFS(Z$8:Z$707,"&gt;0",V$8:V$707,V589,AA$8:AA$707,"&lt;"&amp;AA589)+COUNTIFS(Z$8:Z$707,"&gt;0",V$8:V$707,V589,AA$8:AA$707,AA589,E$8:E$707,"&lt;"&amp;$E589))</f>
        <v/>
      </c>
      <c r="AC589" s="24">
        <f>IF(OR($E589="",Z589=0),"",IFERROR(TODAY()+ROUNDUP(Z589/(SUMIFS($AF589:$IN589,$AF$4:$IN$4,"WASH_ACT")/COUNTIFS($AF$4:$IN$4,"WASH_ACT",$AF589:$IN589,"&gt;0")),0),"no output yet"))</f>
        <v/>
      </c>
      <c r="AD589" s="26">
        <f>IF($E589="","",IFERROR(ROUND(MAX(0,SUMIFS($AF589:$IN589,$AF$4:$IN$4,"SEW_PLAN",$AF$3:$IN$3,"&lt;="&amp;TODAY())-SUMIFS($AF589:$IN589,$AF$4:$IN$4,"SEW_ACT",$AF$3:$IN$3,"&lt;="&amp;TODAY())+N(Q589))/(SUMIFS($AF589:$IN589,$AF$4:$IN$4,"SEW_PLAN")/COUNTIFS($AF$4:$IN$4,"SEW_PLAN",$AF589:$IN589,"&gt;0")),1),0))</f>
        <v/>
      </c>
      <c r="AE589" s="26">
        <f>IF($E589="","",IF(AND(Z589&gt;0,OR(AND(M589&lt;&gt;"",TODAY()&gt;M589),AND(V589&lt;&gt;"",V589-TODAY()&lt;=7))),"Yes","No"))</f>
        <v/>
      </c>
      <c r="AH589">
        <f>IF(OR(AF$3="",AF$3&gt;TODAY()),"",IF(AND(AF589="",AG589=""),"",N(AG589)-N(AF589)))</f>
        <v/>
      </c>
      <c r="AK589">
        <f>IF(OR(AF$3="",AF$3&gt;TODAY()),"",IF(AND(AI589="",AJ589=""),"",N(AJ589)-N(AI589)))</f>
        <v/>
      </c>
      <c r="AO589">
        <f>IF(OR(AM$3="",AM$3&gt;TODAY()),"",IF(AND(AM589="",AN589=""),"",N(AN589)-N(AM589)))</f>
        <v/>
      </c>
      <c r="AR589">
        <f>IF(OR(AM$3="",AM$3&gt;TODAY()),"",IF(AND(AP589="",AQ589=""),"",N(AQ589)-N(AP589)))</f>
        <v/>
      </c>
      <c r="AV589">
        <f>IF(OR(AT$3="",AT$3&gt;TODAY()),"",IF(AND(AT589="",AU589=""),"",N(AU589)-N(AT589)))</f>
        <v/>
      </c>
      <c r="AY589">
        <f>IF(OR(AT$3="",AT$3&gt;TODAY()),"",IF(AND(AW589="",AX589=""),"",N(AX589)-N(AW589)))</f>
        <v/>
      </c>
      <c r="BC589">
        <f>IF(OR(BA$3="",BA$3&gt;TODAY()),"",IF(AND(BA589="",BB589=""),"",N(BB589)-N(BA589)))</f>
        <v/>
      </c>
      <c r="BF589">
        <f>IF(OR(BA$3="",BA$3&gt;TODAY()),"",IF(AND(BD589="",BE589=""),"",N(BE589)-N(BD589)))</f>
        <v/>
      </c>
      <c r="BJ589">
        <f>IF(OR(BH$3="",BH$3&gt;TODAY()),"",IF(AND(BH589="",BI589=""),"",N(BI589)-N(BH589)))</f>
        <v/>
      </c>
      <c r="BM589">
        <f>IF(OR(BH$3="",BH$3&gt;TODAY()),"",IF(AND(BK589="",BL589=""),"",N(BL589)-N(BK589)))</f>
        <v/>
      </c>
      <c r="BQ589">
        <f>IF(OR(BO$3="",BO$3&gt;TODAY()),"",IF(AND(BO589="",BP589=""),"",N(BP589)-N(BO589)))</f>
        <v/>
      </c>
      <c r="BT589">
        <f>IF(OR(BO$3="",BO$3&gt;TODAY()),"",IF(AND(BR589="",BS589=""),"",N(BS589)-N(BR589)))</f>
        <v/>
      </c>
      <c r="BX589">
        <f>IF(OR(BV$3="",BV$3&gt;TODAY()),"",IF(AND(BV589="",BW589=""),"",N(BW589)-N(BV589)))</f>
        <v/>
      </c>
      <c r="CA589">
        <f>IF(OR(BV$3="",BV$3&gt;TODAY()),"",IF(AND(BY589="",BZ589=""),"",N(BZ589)-N(BY589)))</f>
        <v/>
      </c>
      <c r="CE589">
        <f>IF(OR(CC$3="",CC$3&gt;TODAY()),"",IF(AND(CC589="",CD589=""),"",N(CD589)-N(CC589)))</f>
        <v/>
      </c>
      <c r="CH589">
        <f>IF(OR(CC$3="",CC$3&gt;TODAY()),"",IF(AND(CF589="",CG589=""),"",N(CG589)-N(CF589)))</f>
        <v/>
      </c>
      <c r="CL589">
        <f>IF(OR(CJ$3="",CJ$3&gt;TODAY()),"",IF(AND(CJ589="",CK589=""),"",N(CK589)-N(CJ589)))</f>
        <v/>
      </c>
      <c r="CO589">
        <f>IF(OR(CJ$3="",CJ$3&gt;TODAY()),"",IF(AND(CM589="",CN589=""),"",N(CN589)-N(CM589)))</f>
        <v/>
      </c>
      <c r="CS589">
        <f>IF(OR(CQ$3="",CQ$3&gt;TODAY()),"",IF(AND(CQ589="",CR589=""),"",N(CR589)-N(CQ589)))</f>
        <v/>
      </c>
      <c r="CV589">
        <f>IF(OR(CQ$3="",CQ$3&gt;TODAY()),"",IF(AND(CT589="",CU589=""),"",N(CU589)-N(CT589)))</f>
        <v/>
      </c>
      <c r="CZ589">
        <f>IF(OR(CX$3="",CX$3&gt;TODAY()),"",IF(AND(CX589="",CY589=""),"",N(CY589)-N(CX589)))</f>
        <v/>
      </c>
      <c r="DC589">
        <f>IF(OR(CX$3="",CX$3&gt;TODAY()),"",IF(AND(DA589="",DB589=""),"",N(DB589)-N(DA589)))</f>
        <v/>
      </c>
      <c r="DG589">
        <f>IF(OR(DE$3="",DE$3&gt;TODAY()),"",IF(AND(DE589="",DF589=""),"",N(DF589)-N(DE589)))</f>
        <v/>
      </c>
      <c r="DJ589">
        <f>IF(OR(DE$3="",DE$3&gt;TODAY()),"",IF(AND(DH589="",DI589=""),"",N(DI589)-N(DH589)))</f>
        <v/>
      </c>
      <c r="DN589">
        <f>IF(OR(DL$3="",DL$3&gt;TODAY()),"",IF(AND(DL589="",DM589=""),"",N(DM589)-N(DL589)))</f>
        <v/>
      </c>
      <c r="DQ589">
        <f>IF(OR(DL$3="",DL$3&gt;TODAY()),"",IF(AND(DO589="",DP589=""),"",N(DP589)-N(DO589)))</f>
        <v/>
      </c>
      <c r="DU589">
        <f>IF(OR(DS$3="",DS$3&gt;TODAY()),"",IF(AND(DS589="",DT589=""),"",N(DT589)-N(DS589)))</f>
        <v/>
      </c>
      <c r="DX589">
        <f>IF(OR(DS$3="",DS$3&gt;TODAY()),"",IF(AND(DV589="",DW589=""),"",N(DW589)-N(DV589)))</f>
        <v/>
      </c>
      <c r="EB589">
        <f>IF(OR(DZ$3="",DZ$3&gt;TODAY()),"",IF(AND(DZ589="",EA589=""),"",N(EA589)-N(DZ589)))</f>
        <v/>
      </c>
      <c r="EE589">
        <f>IF(OR(DZ$3="",DZ$3&gt;TODAY()),"",IF(AND(EC589="",ED589=""),"",N(ED589)-N(EC589)))</f>
        <v/>
      </c>
      <c r="EI589">
        <f>IF(OR(EG$3="",EG$3&gt;TODAY()),"",IF(AND(EG589="",EH589=""),"",N(EH589)-N(EG589)))</f>
        <v/>
      </c>
      <c r="EL589">
        <f>IF(OR(EG$3="",EG$3&gt;TODAY()),"",IF(AND(EJ589="",EK589=""),"",N(EK589)-N(EJ589)))</f>
        <v/>
      </c>
      <c r="EP589">
        <f>IF(OR(EN$3="",EN$3&gt;TODAY()),"",IF(AND(EN589="",EO589=""),"",N(EO589)-N(EN589)))</f>
        <v/>
      </c>
      <c r="ES589">
        <f>IF(OR(EN$3="",EN$3&gt;TODAY()),"",IF(AND(EQ589="",ER589=""),"",N(ER589)-N(EQ589)))</f>
        <v/>
      </c>
      <c r="EW589">
        <f>IF(OR(EU$3="",EU$3&gt;TODAY()),"",IF(AND(EU589="",EV589=""),"",N(EV589)-N(EU589)))</f>
        <v/>
      </c>
      <c r="EZ589">
        <f>IF(OR(EU$3="",EU$3&gt;TODAY()),"",IF(AND(EX589="",EY589=""),"",N(EY589)-N(EX589)))</f>
        <v/>
      </c>
      <c r="FD589">
        <f>IF(OR(FB$3="",FB$3&gt;TODAY()),"",IF(AND(FB589="",FC589=""),"",N(FC589)-N(FB589)))</f>
        <v/>
      </c>
      <c r="FG589">
        <f>IF(OR(FB$3="",FB$3&gt;TODAY()),"",IF(AND(FE589="",FF589=""),"",N(FF589)-N(FE589)))</f>
        <v/>
      </c>
      <c r="FK589">
        <f>IF(OR(FI$3="",FI$3&gt;TODAY()),"",IF(AND(FI589="",FJ589=""),"",N(FJ589)-N(FI589)))</f>
        <v/>
      </c>
      <c r="FN589">
        <f>IF(OR(FI$3="",FI$3&gt;TODAY()),"",IF(AND(FL589="",FM589=""),"",N(FM589)-N(FL589)))</f>
        <v/>
      </c>
      <c r="FR589">
        <f>IF(OR(FP$3="",FP$3&gt;TODAY()),"",IF(AND(FP589="",FQ589=""),"",N(FQ589)-N(FP589)))</f>
        <v/>
      </c>
      <c r="FU589">
        <f>IF(OR(FP$3="",FP$3&gt;TODAY()),"",IF(AND(FS589="",FT589=""),"",N(FT589)-N(FS589)))</f>
        <v/>
      </c>
      <c r="FY589">
        <f>IF(OR(FW$3="",FW$3&gt;TODAY()),"",IF(AND(FW589="",FX589=""),"",N(FX589)-N(FW589)))</f>
        <v/>
      </c>
      <c r="GB589">
        <f>IF(OR(FW$3="",FW$3&gt;TODAY()),"",IF(AND(FZ589="",GA589=""),"",N(GA589)-N(FZ589)))</f>
        <v/>
      </c>
      <c r="GF589">
        <f>IF(OR(GD$3="",GD$3&gt;TODAY()),"",IF(AND(GD589="",GE589=""),"",N(GE589)-N(GD589)))</f>
        <v/>
      </c>
      <c r="GI589">
        <f>IF(OR(GD$3="",GD$3&gt;TODAY()),"",IF(AND(GG589="",GH589=""),"",N(GH589)-N(GG589)))</f>
        <v/>
      </c>
      <c r="GM589">
        <f>IF(OR(GK$3="",GK$3&gt;TODAY()),"",IF(AND(GK589="",GL589=""),"",N(GL589)-N(GK589)))</f>
        <v/>
      </c>
      <c r="GP589">
        <f>IF(OR(GK$3="",GK$3&gt;TODAY()),"",IF(AND(GN589="",GO589=""),"",N(GO589)-N(GN589)))</f>
        <v/>
      </c>
      <c r="GT589">
        <f>IF(OR(GR$3="",GR$3&gt;TODAY()),"",IF(AND(GR589="",GS589=""),"",N(GS589)-N(GR589)))</f>
        <v/>
      </c>
      <c r="GW589">
        <f>IF(OR(GR$3="",GR$3&gt;TODAY()),"",IF(AND(GU589="",GV589=""),"",N(GV589)-N(GU589)))</f>
        <v/>
      </c>
      <c r="HA589">
        <f>IF(OR(GY$3="",GY$3&gt;TODAY()),"",IF(AND(GY589="",GZ589=""),"",N(GZ589)-N(GY589)))</f>
        <v/>
      </c>
      <c r="HD589">
        <f>IF(OR(GY$3="",GY$3&gt;TODAY()),"",IF(AND(HB589="",HC589=""),"",N(HC589)-N(HB589)))</f>
        <v/>
      </c>
      <c r="HH589">
        <f>IF(OR(HF$3="",HF$3&gt;TODAY()),"",IF(AND(HF589="",HG589=""),"",N(HG589)-N(HF589)))</f>
        <v/>
      </c>
      <c r="HK589">
        <f>IF(OR(HF$3="",HF$3&gt;TODAY()),"",IF(AND(HI589="",HJ589=""),"",N(HJ589)-N(HI589)))</f>
        <v/>
      </c>
      <c r="HO589">
        <f>IF(OR(HM$3="",HM$3&gt;TODAY()),"",IF(AND(HM589="",HN589=""),"",N(HN589)-N(HM589)))</f>
        <v/>
      </c>
      <c r="HR589">
        <f>IF(OR(HM$3="",HM$3&gt;TODAY()),"",IF(AND(HP589="",HQ589=""),"",N(HQ589)-N(HP589)))</f>
        <v/>
      </c>
      <c r="HV589">
        <f>IF(OR(HT$3="",HT$3&gt;TODAY()),"",IF(AND(HT589="",HU589=""),"",N(HU589)-N(HT589)))</f>
        <v/>
      </c>
      <c r="HY589">
        <f>IF(OR(HT$3="",HT$3&gt;TODAY()),"",IF(AND(HW589="",HX589=""),"",N(HX589)-N(HW589)))</f>
        <v/>
      </c>
      <c r="IC589">
        <f>IF(OR(IA$3="",IA$3&gt;TODAY()),"",IF(AND(IA589="",IB589=""),"",N(IB589)-N(IA589)))</f>
        <v/>
      </c>
      <c r="IF589">
        <f>IF(OR(IA$3="",IA$3&gt;TODAY()),"",IF(AND(ID589="",IE589=""),"",N(IE589)-N(ID589)))</f>
        <v/>
      </c>
      <c r="IJ589">
        <f>IF(OR(IH$3="",IH$3&gt;TODAY()),"",IF(AND(IH589="",II589=""),"",N(II589)-N(IH589)))</f>
        <v/>
      </c>
      <c r="IM589">
        <f>IF(OR(IH$3="",IH$3&gt;TODAY()),"",IF(AND(IK589="",IL589=""),"",N(IL589)-N(IK589)))</f>
        <v/>
      </c>
    </row>
    <row r="590">
      <c r="A590" s="21" t="n"/>
      <c r="B590" s="21" t="n"/>
      <c r="C590" s="21" t="n"/>
      <c r="D590" s="21" t="n"/>
      <c r="E590" s="21" t="n"/>
      <c r="F590" s="21" t="n"/>
      <c r="G590" s="21" t="n"/>
      <c r="H590" s="21" t="n"/>
      <c r="I590" s="22" t="n"/>
      <c r="J590" s="22" t="n"/>
      <c r="K590" s="23" t="n"/>
      <c r="L590" s="22" t="n"/>
      <c r="M590" s="22" t="n"/>
      <c r="N590" s="21" t="n"/>
      <c r="O590" s="23" t="n"/>
      <c r="P590" s="23" t="n"/>
      <c r="Q590" s="23" t="n"/>
      <c r="R590" s="23" t="n"/>
      <c r="S590" s="22" t="n"/>
      <c r="T590" s="23" t="n"/>
      <c r="U590" s="23" t="n"/>
      <c r="V590" s="24">
        <f>IF(J590&lt;&gt;"",J590,IF(I590&lt;&gt;"",I590,""))</f>
        <v/>
      </c>
      <c r="W590" s="25">
        <f>IF($E590="","",N(O590)+SUMIFS($AF590:$IN590,$AF$4:$IN$4,"SEW_ACT"))</f>
        <v/>
      </c>
      <c r="X590" s="25">
        <f>IF($E590="","",N(P590)+SUMIFS($AF590:$IN590,$AF$4:$IN$4,"WASH_ACT"))</f>
        <v/>
      </c>
      <c r="Y590" s="25">
        <f>IF($E590="","",W590-X590-N(T590)-N(U590))</f>
        <v/>
      </c>
      <c r="Z590" s="25">
        <f>IF($E590="","",IF(N(K590)-X590&lt;=0.02*N(K590),0,N(K590)-X590))</f>
        <v/>
      </c>
      <c r="AA590" s="24">
        <f>IF($E590="","",IF(S590&lt;&gt;"",S590,IF(N(O590)&gt;0,IF(L590&lt;&gt;"",L590,99999),IFERROR(1/(1/_xlfn.MINIFS($AF$3:$IN$3,$AF$4:$IN$4,"SEW_ACT",$AF590:$IN590,"&gt;0")),99999))))</f>
        <v/>
      </c>
      <c r="AB590" s="26">
        <f>IF(OR($E590="",Z590=0,V590=""),"",1+COUNTIFS(Z$8:Z$707,"&gt;0",V$8:V$707,"&lt;"&amp;V590)+COUNTIFS(Z$8:Z$707,"&gt;0",V$8:V$707,V590,AA$8:AA$707,"&lt;"&amp;AA590)+COUNTIFS(Z$8:Z$707,"&gt;0",V$8:V$707,V590,AA$8:AA$707,AA590,E$8:E$707,"&lt;"&amp;$E590))</f>
        <v/>
      </c>
      <c r="AC590" s="24">
        <f>IF(OR($E590="",Z590=0),"",IFERROR(TODAY()+ROUNDUP(Z590/(SUMIFS($AF590:$IN590,$AF$4:$IN$4,"WASH_ACT")/COUNTIFS($AF$4:$IN$4,"WASH_ACT",$AF590:$IN590,"&gt;0")),0),"no output yet"))</f>
        <v/>
      </c>
      <c r="AD590" s="26">
        <f>IF($E590="","",IFERROR(ROUND(MAX(0,SUMIFS($AF590:$IN590,$AF$4:$IN$4,"SEW_PLAN",$AF$3:$IN$3,"&lt;="&amp;TODAY())-SUMIFS($AF590:$IN590,$AF$4:$IN$4,"SEW_ACT",$AF$3:$IN$3,"&lt;="&amp;TODAY())+N(Q590))/(SUMIFS($AF590:$IN590,$AF$4:$IN$4,"SEW_PLAN")/COUNTIFS($AF$4:$IN$4,"SEW_PLAN",$AF590:$IN590,"&gt;0")),1),0))</f>
        <v/>
      </c>
      <c r="AE590" s="26">
        <f>IF($E590="","",IF(AND(Z590&gt;0,OR(AND(M590&lt;&gt;"",TODAY()&gt;M590),AND(V590&lt;&gt;"",V590-TODAY()&lt;=7))),"Yes","No"))</f>
        <v/>
      </c>
      <c r="AH590">
        <f>IF(OR(AF$3="",AF$3&gt;TODAY()),"",IF(AND(AF590="",AG590=""),"",N(AG590)-N(AF590)))</f>
        <v/>
      </c>
      <c r="AK590">
        <f>IF(OR(AF$3="",AF$3&gt;TODAY()),"",IF(AND(AI590="",AJ590=""),"",N(AJ590)-N(AI590)))</f>
        <v/>
      </c>
      <c r="AO590">
        <f>IF(OR(AM$3="",AM$3&gt;TODAY()),"",IF(AND(AM590="",AN590=""),"",N(AN590)-N(AM590)))</f>
        <v/>
      </c>
      <c r="AR590">
        <f>IF(OR(AM$3="",AM$3&gt;TODAY()),"",IF(AND(AP590="",AQ590=""),"",N(AQ590)-N(AP590)))</f>
        <v/>
      </c>
      <c r="AV590">
        <f>IF(OR(AT$3="",AT$3&gt;TODAY()),"",IF(AND(AT590="",AU590=""),"",N(AU590)-N(AT590)))</f>
        <v/>
      </c>
      <c r="AY590">
        <f>IF(OR(AT$3="",AT$3&gt;TODAY()),"",IF(AND(AW590="",AX590=""),"",N(AX590)-N(AW590)))</f>
        <v/>
      </c>
      <c r="BC590">
        <f>IF(OR(BA$3="",BA$3&gt;TODAY()),"",IF(AND(BA590="",BB590=""),"",N(BB590)-N(BA590)))</f>
        <v/>
      </c>
      <c r="BF590">
        <f>IF(OR(BA$3="",BA$3&gt;TODAY()),"",IF(AND(BD590="",BE590=""),"",N(BE590)-N(BD590)))</f>
        <v/>
      </c>
      <c r="BJ590">
        <f>IF(OR(BH$3="",BH$3&gt;TODAY()),"",IF(AND(BH590="",BI590=""),"",N(BI590)-N(BH590)))</f>
        <v/>
      </c>
      <c r="BM590">
        <f>IF(OR(BH$3="",BH$3&gt;TODAY()),"",IF(AND(BK590="",BL590=""),"",N(BL590)-N(BK590)))</f>
        <v/>
      </c>
      <c r="BQ590">
        <f>IF(OR(BO$3="",BO$3&gt;TODAY()),"",IF(AND(BO590="",BP590=""),"",N(BP590)-N(BO590)))</f>
        <v/>
      </c>
      <c r="BT590">
        <f>IF(OR(BO$3="",BO$3&gt;TODAY()),"",IF(AND(BR590="",BS590=""),"",N(BS590)-N(BR590)))</f>
        <v/>
      </c>
      <c r="BX590">
        <f>IF(OR(BV$3="",BV$3&gt;TODAY()),"",IF(AND(BV590="",BW590=""),"",N(BW590)-N(BV590)))</f>
        <v/>
      </c>
      <c r="CA590">
        <f>IF(OR(BV$3="",BV$3&gt;TODAY()),"",IF(AND(BY590="",BZ590=""),"",N(BZ590)-N(BY590)))</f>
        <v/>
      </c>
      <c r="CE590">
        <f>IF(OR(CC$3="",CC$3&gt;TODAY()),"",IF(AND(CC590="",CD590=""),"",N(CD590)-N(CC590)))</f>
        <v/>
      </c>
      <c r="CH590">
        <f>IF(OR(CC$3="",CC$3&gt;TODAY()),"",IF(AND(CF590="",CG590=""),"",N(CG590)-N(CF590)))</f>
        <v/>
      </c>
      <c r="CL590">
        <f>IF(OR(CJ$3="",CJ$3&gt;TODAY()),"",IF(AND(CJ590="",CK590=""),"",N(CK590)-N(CJ590)))</f>
        <v/>
      </c>
      <c r="CO590">
        <f>IF(OR(CJ$3="",CJ$3&gt;TODAY()),"",IF(AND(CM590="",CN590=""),"",N(CN590)-N(CM590)))</f>
        <v/>
      </c>
      <c r="CS590">
        <f>IF(OR(CQ$3="",CQ$3&gt;TODAY()),"",IF(AND(CQ590="",CR590=""),"",N(CR590)-N(CQ590)))</f>
        <v/>
      </c>
      <c r="CV590">
        <f>IF(OR(CQ$3="",CQ$3&gt;TODAY()),"",IF(AND(CT590="",CU590=""),"",N(CU590)-N(CT590)))</f>
        <v/>
      </c>
      <c r="CZ590">
        <f>IF(OR(CX$3="",CX$3&gt;TODAY()),"",IF(AND(CX590="",CY590=""),"",N(CY590)-N(CX590)))</f>
        <v/>
      </c>
      <c r="DC590">
        <f>IF(OR(CX$3="",CX$3&gt;TODAY()),"",IF(AND(DA590="",DB590=""),"",N(DB590)-N(DA590)))</f>
        <v/>
      </c>
      <c r="DG590">
        <f>IF(OR(DE$3="",DE$3&gt;TODAY()),"",IF(AND(DE590="",DF590=""),"",N(DF590)-N(DE590)))</f>
        <v/>
      </c>
      <c r="DJ590">
        <f>IF(OR(DE$3="",DE$3&gt;TODAY()),"",IF(AND(DH590="",DI590=""),"",N(DI590)-N(DH590)))</f>
        <v/>
      </c>
      <c r="DN590">
        <f>IF(OR(DL$3="",DL$3&gt;TODAY()),"",IF(AND(DL590="",DM590=""),"",N(DM590)-N(DL590)))</f>
        <v/>
      </c>
      <c r="DQ590">
        <f>IF(OR(DL$3="",DL$3&gt;TODAY()),"",IF(AND(DO590="",DP590=""),"",N(DP590)-N(DO590)))</f>
        <v/>
      </c>
      <c r="DU590">
        <f>IF(OR(DS$3="",DS$3&gt;TODAY()),"",IF(AND(DS590="",DT590=""),"",N(DT590)-N(DS590)))</f>
        <v/>
      </c>
      <c r="DX590">
        <f>IF(OR(DS$3="",DS$3&gt;TODAY()),"",IF(AND(DV590="",DW590=""),"",N(DW590)-N(DV590)))</f>
        <v/>
      </c>
      <c r="EB590">
        <f>IF(OR(DZ$3="",DZ$3&gt;TODAY()),"",IF(AND(DZ590="",EA590=""),"",N(EA590)-N(DZ590)))</f>
        <v/>
      </c>
      <c r="EE590">
        <f>IF(OR(DZ$3="",DZ$3&gt;TODAY()),"",IF(AND(EC590="",ED590=""),"",N(ED590)-N(EC590)))</f>
        <v/>
      </c>
      <c r="EI590">
        <f>IF(OR(EG$3="",EG$3&gt;TODAY()),"",IF(AND(EG590="",EH590=""),"",N(EH590)-N(EG590)))</f>
        <v/>
      </c>
      <c r="EL590">
        <f>IF(OR(EG$3="",EG$3&gt;TODAY()),"",IF(AND(EJ590="",EK590=""),"",N(EK590)-N(EJ590)))</f>
        <v/>
      </c>
      <c r="EP590">
        <f>IF(OR(EN$3="",EN$3&gt;TODAY()),"",IF(AND(EN590="",EO590=""),"",N(EO590)-N(EN590)))</f>
        <v/>
      </c>
      <c r="ES590">
        <f>IF(OR(EN$3="",EN$3&gt;TODAY()),"",IF(AND(EQ590="",ER590=""),"",N(ER590)-N(EQ590)))</f>
        <v/>
      </c>
      <c r="EW590">
        <f>IF(OR(EU$3="",EU$3&gt;TODAY()),"",IF(AND(EU590="",EV590=""),"",N(EV590)-N(EU590)))</f>
        <v/>
      </c>
      <c r="EZ590">
        <f>IF(OR(EU$3="",EU$3&gt;TODAY()),"",IF(AND(EX590="",EY590=""),"",N(EY590)-N(EX590)))</f>
        <v/>
      </c>
      <c r="FD590">
        <f>IF(OR(FB$3="",FB$3&gt;TODAY()),"",IF(AND(FB590="",FC590=""),"",N(FC590)-N(FB590)))</f>
        <v/>
      </c>
      <c r="FG590">
        <f>IF(OR(FB$3="",FB$3&gt;TODAY()),"",IF(AND(FE590="",FF590=""),"",N(FF590)-N(FE590)))</f>
        <v/>
      </c>
      <c r="FK590">
        <f>IF(OR(FI$3="",FI$3&gt;TODAY()),"",IF(AND(FI590="",FJ590=""),"",N(FJ590)-N(FI590)))</f>
        <v/>
      </c>
      <c r="FN590">
        <f>IF(OR(FI$3="",FI$3&gt;TODAY()),"",IF(AND(FL590="",FM590=""),"",N(FM590)-N(FL590)))</f>
        <v/>
      </c>
      <c r="FR590">
        <f>IF(OR(FP$3="",FP$3&gt;TODAY()),"",IF(AND(FP590="",FQ590=""),"",N(FQ590)-N(FP590)))</f>
        <v/>
      </c>
      <c r="FU590">
        <f>IF(OR(FP$3="",FP$3&gt;TODAY()),"",IF(AND(FS590="",FT590=""),"",N(FT590)-N(FS590)))</f>
        <v/>
      </c>
      <c r="FY590">
        <f>IF(OR(FW$3="",FW$3&gt;TODAY()),"",IF(AND(FW590="",FX590=""),"",N(FX590)-N(FW590)))</f>
        <v/>
      </c>
      <c r="GB590">
        <f>IF(OR(FW$3="",FW$3&gt;TODAY()),"",IF(AND(FZ590="",GA590=""),"",N(GA590)-N(FZ590)))</f>
        <v/>
      </c>
      <c r="GF590">
        <f>IF(OR(GD$3="",GD$3&gt;TODAY()),"",IF(AND(GD590="",GE590=""),"",N(GE590)-N(GD590)))</f>
        <v/>
      </c>
      <c r="GI590">
        <f>IF(OR(GD$3="",GD$3&gt;TODAY()),"",IF(AND(GG590="",GH590=""),"",N(GH590)-N(GG590)))</f>
        <v/>
      </c>
      <c r="GM590">
        <f>IF(OR(GK$3="",GK$3&gt;TODAY()),"",IF(AND(GK590="",GL590=""),"",N(GL590)-N(GK590)))</f>
        <v/>
      </c>
      <c r="GP590">
        <f>IF(OR(GK$3="",GK$3&gt;TODAY()),"",IF(AND(GN590="",GO590=""),"",N(GO590)-N(GN590)))</f>
        <v/>
      </c>
      <c r="GT590">
        <f>IF(OR(GR$3="",GR$3&gt;TODAY()),"",IF(AND(GR590="",GS590=""),"",N(GS590)-N(GR590)))</f>
        <v/>
      </c>
      <c r="GW590">
        <f>IF(OR(GR$3="",GR$3&gt;TODAY()),"",IF(AND(GU590="",GV590=""),"",N(GV590)-N(GU590)))</f>
        <v/>
      </c>
      <c r="HA590">
        <f>IF(OR(GY$3="",GY$3&gt;TODAY()),"",IF(AND(GY590="",GZ590=""),"",N(GZ590)-N(GY590)))</f>
        <v/>
      </c>
      <c r="HD590">
        <f>IF(OR(GY$3="",GY$3&gt;TODAY()),"",IF(AND(HB590="",HC590=""),"",N(HC590)-N(HB590)))</f>
        <v/>
      </c>
      <c r="HH590">
        <f>IF(OR(HF$3="",HF$3&gt;TODAY()),"",IF(AND(HF590="",HG590=""),"",N(HG590)-N(HF590)))</f>
        <v/>
      </c>
      <c r="HK590">
        <f>IF(OR(HF$3="",HF$3&gt;TODAY()),"",IF(AND(HI590="",HJ590=""),"",N(HJ590)-N(HI590)))</f>
        <v/>
      </c>
      <c r="HO590">
        <f>IF(OR(HM$3="",HM$3&gt;TODAY()),"",IF(AND(HM590="",HN590=""),"",N(HN590)-N(HM590)))</f>
        <v/>
      </c>
      <c r="HR590">
        <f>IF(OR(HM$3="",HM$3&gt;TODAY()),"",IF(AND(HP590="",HQ590=""),"",N(HQ590)-N(HP590)))</f>
        <v/>
      </c>
      <c r="HV590">
        <f>IF(OR(HT$3="",HT$3&gt;TODAY()),"",IF(AND(HT590="",HU590=""),"",N(HU590)-N(HT590)))</f>
        <v/>
      </c>
      <c r="HY590">
        <f>IF(OR(HT$3="",HT$3&gt;TODAY()),"",IF(AND(HW590="",HX590=""),"",N(HX590)-N(HW590)))</f>
        <v/>
      </c>
      <c r="IC590">
        <f>IF(OR(IA$3="",IA$3&gt;TODAY()),"",IF(AND(IA590="",IB590=""),"",N(IB590)-N(IA590)))</f>
        <v/>
      </c>
      <c r="IF590">
        <f>IF(OR(IA$3="",IA$3&gt;TODAY()),"",IF(AND(ID590="",IE590=""),"",N(IE590)-N(ID590)))</f>
        <v/>
      </c>
      <c r="IJ590">
        <f>IF(OR(IH$3="",IH$3&gt;TODAY()),"",IF(AND(IH590="",II590=""),"",N(II590)-N(IH590)))</f>
        <v/>
      </c>
      <c r="IM590">
        <f>IF(OR(IH$3="",IH$3&gt;TODAY()),"",IF(AND(IK590="",IL590=""),"",N(IL590)-N(IK590)))</f>
        <v/>
      </c>
    </row>
    <row r="591">
      <c r="A591" s="21" t="n"/>
      <c r="B591" s="21" t="n"/>
      <c r="C591" s="21" t="n"/>
      <c r="D591" s="21" t="n"/>
      <c r="E591" s="21" t="n"/>
      <c r="F591" s="21" t="n"/>
      <c r="G591" s="21" t="n"/>
      <c r="H591" s="21" t="n"/>
      <c r="I591" s="22" t="n"/>
      <c r="J591" s="22" t="n"/>
      <c r="K591" s="23" t="n"/>
      <c r="L591" s="22" t="n"/>
      <c r="M591" s="22" t="n"/>
      <c r="N591" s="21" t="n"/>
      <c r="O591" s="23" t="n"/>
      <c r="P591" s="23" t="n"/>
      <c r="Q591" s="23" t="n"/>
      <c r="R591" s="23" t="n"/>
      <c r="S591" s="22" t="n"/>
      <c r="T591" s="23" t="n"/>
      <c r="U591" s="23" t="n"/>
      <c r="V591" s="24">
        <f>IF(J591&lt;&gt;"",J591,IF(I591&lt;&gt;"",I591,""))</f>
        <v/>
      </c>
      <c r="W591" s="25">
        <f>IF($E591="","",N(O591)+SUMIFS($AF591:$IN591,$AF$4:$IN$4,"SEW_ACT"))</f>
        <v/>
      </c>
      <c r="X591" s="25">
        <f>IF($E591="","",N(P591)+SUMIFS($AF591:$IN591,$AF$4:$IN$4,"WASH_ACT"))</f>
        <v/>
      </c>
      <c r="Y591" s="25">
        <f>IF($E591="","",W591-X591-N(T591)-N(U591))</f>
        <v/>
      </c>
      <c r="Z591" s="25">
        <f>IF($E591="","",IF(N(K591)-X591&lt;=0.02*N(K591),0,N(K591)-X591))</f>
        <v/>
      </c>
      <c r="AA591" s="24">
        <f>IF($E591="","",IF(S591&lt;&gt;"",S591,IF(N(O591)&gt;0,IF(L591&lt;&gt;"",L591,99999),IFERROR(1/(1/_xlfn.MINIFS($AF$3:$IN$3,$AF$4:$IN$4,"SEW_ACT",$AF591:$IN591,"&gt;0")),99999))))</f>
        <v/>
      </c>
      <c r="AB591" s="26">
        <f>IF(OR($E591="",Z591=0,V591=""),"",1+COUNTIFS(Z$8:Z$707,"&gt;0",V$8:V$707,"&lt;"&amp;V591)+COUNTIFS(Z$8:Z$707,"&gt;0",V$8:V$707,V591,AA$8:AA$707,"&lt;"&amp;AA591)+COUNTIFS(Z$8:Z$707,"&gt;0",V$8:V$707,V591,AA$8:AA$707,AA591,E$8:E$707,"&lt;"&amp;$E591))</f>
        <v/>
      </c>
      <c r="AC591" s="24">
        <f>IF(OR($E591="",Z591=0),"",IFERROR(TODAY()+ROUNDUP(Z591/(SUMIFS($AF591:$IN591,$AF$4:$IN$4,"WASH_ACT")/COUNTIFS($AF$4:$IN$4,"WASH_ACT",$AF591:$IN591,"&gt;0")),0),"no output yet"))</f>
        <v/>
      </c>
      <c r="AD591" s="26">
        <f>IF($E591="","",IFERROR(ROUND(MAX(0,SUMIFS($AF591:$IN591,$AF$4:$IN$4,"SEW_PLAN",$AF$3:$IN$3,"&lt;="&amp;TODAY())-SUMIFS($AF591:$IN591,$AF$4:$IN$4,"SEW_ACT",$AF$3:$IN$3,"&lt;="&amp;TODAY())+N(Q591))/(SUMIFS($AF591:$IN591,$AF$4:$IN$4,"SEW_PLAN")/COUNTIFS($AF$4:$IN$4,"SEW_PLAN",$AF591:$IN591,"&gt;0")),1),0))</f>
        <v/>
      </c>
      <c r="AE591" s="26">
        <f>IF($E591="","",IF(AND(Z591&gt;0,OR(AND(M591&lt;&gt;"",TODAY()&gt;M591),AND(V591&lt;&gt;"",V591-TODAY()&lt;=7))),"Yes","No"))</f>
        <v/>
      </c>
      <c r="AH591">
        <f>IF(OR(AF$3="",AF$3&gt;TODAY()),"",IF(AND(AF591="",AG591=""),"",N(AG591)-N(AF591)))</f>
        <v/>
      </c>
      <c r="AK591">
        <f>IF(OR(AF$3="",AF$3&gt;TODAY()),"",IF(AND(AI591="",AJ591=""),"",N(AJ591)-N(AI591)))</f>
        <v/>
      </c>
      <c r="AO591">
        <f>IF(OR(AM$3="",AM$3&gt;TODAY()),"",IF(AND(AM591="",AN591=""),"",N(AN591)-N(AM591)))</f>
        <v/>
      </c>
      <c r="AR591">
        <f>IF(OR(AM$3="",AM$3&gt;TODAY()),"",IF(AND(AP591="",AQ591=""),"",N(AQ591)-N(AP591)))</f>
        <v/>
      </c>
      <c r="AV591">
        <f>IF(OR(AT$3="",AT$3&gt;TODAY()),"",IF(AND(AT591="",AU591=""),"",N(AU591)-N(AT591)))</f>
        <v/>
      </c>
      <c r="AY591">
        <f>IF(OR(AT$3="",AT$3&gt;TODAY()),"",IF(AND(AW591="",AX591=""),"",N(AX591)-N(AW591)))</f>
        <v/>
      </c>
      <c r="BC591">
        <f>IF(OR(BA$3="",BA$3&gt;TODAY()),"",IF(AND(BA591="",BB591=""),"",N(BB591)-N(BA591)))</f>
        <v/>
      </c>
      <c r="BF591">
        <f>IF(OR(BA$3="",BA$3&gt;TODAY()),"",IF(AND(BD591="",BE591=""),"",N(BE591)-N(BD591)))</f>
        <v/>
      </c>
      <c r="BJ591">
        <f>IF(OR(BH$3="",BH$3&gt;TODAY()),"",IF(AND(BH591="",BI591=""),"",N(BI591)-N(BH591)))</f>
        <v/>
      </c>
      <c r="BM591">
        <f>IF(OR(BH$3="",BH$3&gt;TODAY()),"",IF(AND(BK591="",BL591=""),"",N(BL591)-N(BK591)))</f>
        <v/>
      </c>
      <c r="BQ591">
        <f>IF(OR(BO$3="",BO$3&gt;TODAY()),"",IF(AND(BO591="",BP591=""),"",N(BP591)-N(BO591)))</f>
        <v/>
      </c>
      <c r="BT591">
        <f>IF(OR(BO$3="",BO$3&gt;TODAY()),"",IF(AND(BR591="",BS591=""),"",N(BS591)-N(BR591)))</f>
        <v/>
      </c>
      <c r="BX591">
        <f>IF(OR(BV$3="",BV$3&gt;TODAY()),"",IF(AND(BV591="",BW591=""),"",N(BW591)-N(BV591)))</f>
        <v/>
      </c>
      <c r="CA591">
        <f>IF(OR(BV$3="",BV$3&gt;TODAY()),"",IF(AND(BY591="",BZ591=""),"",N(BZ591)-N(BY591)))</f>
        <v/>
      </c>
      <c r="CE591">
        <f>IF(OR(CC$3="",CC$3&gt;TODAY()),"",IF(AND(CC591="",CD591=""),"",N(CD591)-N(CC591)))</f>
        <v/>
      </c>
      <c r="CH591">
        <f>IF(OR(CC$3="",CC$3&gt;TODAY()),"",IF(AND(CF591="",CG591=""),"",N(CG591)-N(CF591)))</f>
        <v/>
      </c>
      <c r="CL591">
        <f>IF(OR(CJ$3="",CJ$3&gt;TODAY()),"",IF(AND(CJ591="",CK591=""),"",N(CK591)-N(CJ591)))</f>
        <v/>
      </c>
      <c r="CO591">
        <f>IF(OR(CJ$3="",CJ$3&gt;TODAY()),"",IF(AND(CM591="",CN591=""),"",N(CN591)-N(CM591)))</f>
        <v/>
      </c>
      <c r="CS591">
        <f>IF(OR(CQ$3="",CQ$3&gt;TODAY()),"",IF(AND(CQ591="",CR591=""),"",N(CR591)-N(CQ591)))</f>
        <v/>
      </c>
      <c r="CV591">
        <f>IF(OR(CQ$3="",CQ$3&gt;TODAY()),"",IF(AND(CT591="",CU591=""),"",N(CU591)-N(CT591)))</f>
        <v/>
      </c>
      <c r="CZ591">
        <f>IF(OR(CX$3="",CX$3&gt;TODAY()),"",IF(AND(CX591="",CY591=""),"",N(CY591)-N(CX591)))</f>
        <v/>
      </c>
      <c r="DC591">
        <f>IF(OR(CX$3="",CX$3&gt;TODAY()),"",IF(AND(DA591="",DB591=""),"",N(DB591)-N(DA591)))</f>
        <v/>
      </c>
      <c r="DG591">
        <f>IF(OR(DE$3="",DE$3&gt;TODAY()),"",IF(AND(DE591="",DF591=""),"",N(DF591)-N(DE591)))</f>
        <v/>
      </c>
      <c r="DJ591">
        <f>IF(OR(DE$3="",DE$3&gt;TODAY()),"",IF(AND(DH591="",DI591=""),"",N(DI591)-N(DH591)))</f>
        <v/>
      </c>
      <c r="DN591">
        <f>IF(OR(DL$3="",DL$3&gt;TODAY()),"",IF(AND(DL591="",DM591=""),"",N(DM591)-N(DL591)))</f>
        <v/>
      </c>
      <c r="DQ591">
        <f>IF(OR(DL$3="",DL$3&gt;TODAY()),"",IF(AND(DO591="",DP591=""),"",N(DP591)-N(DO591)))</f>
        <v/>
      </c>
      <c r="DU591">
        <f>IF(OR(DS$3="",DS$3&gt;TODAY()),"",IF(AND(DS591="",DT591=""),"",N(DT591)-N(DS591)))</f>
        <v/>
      </c>
      <c r="DX591">
        <f>IF(OR(DS$3="",DS$3&gt;TODAY()),"",IF(AND(DV591="",DW591=""),"",N(DW591)-N(DV591)))</f>
        <v/>
      </c>
      <c r="EB591">
        <f>IF(OR(DZ$3="",DZ$3&gt;TODAY()),"",IF(AND(DZ591="",EA591=""),"",N(EA591)-N(DZ591)))</f>
        <v/>
      </c>
      <c r="EE591">
        <f>IF(OR(DZ$3="",DZ$3&gt;TODAY()),"",IF(AND(EC591="",ED591=""),"",N(ED591)-N(EC591)))</f>
        <v/>
      </c>
      <c r="EI591">
        <f>IF(OR(EG$3="",EG$3&gt;TODAY()),"",IF(AND(EG591="",EH591=""),"",N(EH591)-N(EG591)))</f>
        <v/>
      </c>
      <c r="EL591">
        <f>IF(OR(EG$3="",EG$3&gt;TODAY()),"",IF(AND(EJ591="",EK591=""),"",N(EK591)-N(EJ591)))</f>
        <v/>
      </c>
      <c r="EP591">
        <f>IF(OR(EN$3="",EN$3&gt;TODAY()),"",IF(AND(EN591="",EO591=""),"",N(EO591)-N(EN591)))</f>
        <v/>
      </c>
      <c r="ES591">
        <f>IF(OR(EN$3="",EN$3&gt;TODAY()),"",IF(AND(EQ591="",ER591=""),"",N(ER591)-N(EQ591)))</f>
        <v/>
      </c>
      <c r="EW591">
        <f>IF(OR(EU$3="",EU$3&gt;TODAY()),"",IF(AND(EU591="",EV591=""),"",N(EV591)-N(EU591)))</f>
        <v/>
      </c>
      <c r="EZ591">
        <f>IF(OR(EU$3="",EU$3&gt;TODAY()),"",IF(AND(EX591="",EY591=""),"",N(EY591)-N(EX591)))</f>
        <v/>
      </c>
      <c r="FD591">
        <f>IF(OR(FB$3="",FB$3&gt;TODAY()),"",IF(AND(FB591="",FC591=""),"",N(FC591)-N(FB591)))</f>
        <v/>
      </c>
      <c r="FG591">
        <f>IF(OR(FB$3="",FB$3&gt;TODAY()),"",IF(AND(FE591="",FF591=""),"",N(FF591)-N(FE591)))</f>
        <v/>
      </c>
      <c r="FK591">
        <f>IF(OR(FI$3="",FI$3&gt;TODAY()),"",IF(AND(FI591="",FJ591=""),"",N(FJ591)-N(FI591)))</f>
        <v/>
      </c>
      <c r="FN591">
        <f>IF(OR(FI$3="",FI$3&gt;TODAY()),"",IF(AND(FL591="",FM591=""),"",N(FM591)-N(FL591)))</f>
        <v/>
      </c>
      <c r="FR591">
        <f>IF(OR(FP$3="",FP$3&gt;TODAY()),"",IF(AND(FP591="",FQ591=""),"",N(FQ591)-N(FP591)))</f>
        <v/>
      </c>
      <c r="FU591">
        <f>IF(OR(FP$3="",FP$3&gt;TODAY()),"",IF(AND(FS591="",FT591=""),"",N(FT591)-N(FS591)))</f>
        <v/>
      </c>
      <c r="FY591">
        <f>IF(OR(FW$3="",FW$3&gt;TODAY()),"",IF(AND(FW591="",FX591=""),"",N(FX591)-N(FW591)))</f>
        <v/>
      </c>
      <c r="GB591">
        <f>IF(OR(FW$3="",FW$3&gt;TODAY()),"",IF(AND(FZ591="",GA591=""),"",N(GA591)-N(FZ591)))</f>
        <v/>
      </c>
      <c r="GF591">
        <f>IF(OR(GD$3="",GD$3&gt;TODAY()),"",IF(AND(GD591="",GE591=""),"",N(GE591)-N(GD591)))</f>
        <v/>
      </c>
      <c r="GI591">
        <f>IF(OR(GD$3="",GD$3&gt;TODAY()),"",IF(AND(GG591="",GH591=""),"",N(GH591)-N(GG591)))</f>
        <v/>
      </c>
      <c r="GM591">
        <f>IF(OR(GK$3="",GK$3&gt;TODAY()),"",IF(AND(GK591="",GL591=""),"",N(GL591)-N(GK591)))</f>
        <v/>
      </c>
      <c r="GP591">
        <f>IF(OR(GK$3="",GK$3&gt;TODAY()),"",IF(AND(GN591="",GO591=""),"",N(GO591)-N(GN591)))</f>
        <v/>
      </c>
      <c r="GT591">
        <f>IF(OR(GR$3="",GR$3&gt;TODAY()),"",IF(AND(GR591="",GS591=""),"",N(GS591)-N(GR591)))</f>
        <v/>
      </c>
      <c r="GW591">
        <f>IF(OR(GR$3="",GR$3&gt;TODAY()),"",IF(AND(GU591="",GV591=""),"",N(GV591)-N(GU591)))</f>
        <v/>
      </c>
      <c r="HA591">
        <f>IF(OR(GY$3="",GY$3&gt;TODAY()),"",IF(AND(GY591="",GZ591=""),"",N(GZ591)-N(GY591)))</f>
        <v/>
      </c>
      <c r="HD591">
        <f>IF(OR(GY$3="",GY$3&gt;TODAY()),"",IF(AND(HB591="",HC591=""),"",N(HC591)-N(HB591)))</f>
        <v/>
      </c>
      <c r="HH591">
        <f>IF(OR(HF$3="",HF$3&gt;TODAY()),"",IF(AND(HF591="",HG591=""),"",N(HG591)-N(HF591)))</f>
        <v/>
      </c>
      <c r="HK591">
        <f>IF(OR(HF$3="",HF$3&gt;TODAY()),"",IF(AND(HI591="",HJ591=""),"",N(HJ591)-N(HI591)))</f>
        <v/>
      </c>
      <c r="HO591">
        <f>IF(OR(HM$3="",HM$3&gt;TODAY()),"",IF(AND(HM591="",HN591=""),"",N(HN591)-N(HM591)))</f>
        <v/>
      </c>
      <c r="HR591">
        <f>IF(OR(HM$3="",HM$3&gt;TODAY()),"",IF(AND(HP591="",HQ591=""),"",N(HQ591)-N(HP591)))</f>
        <v/>
      </c>
      <c r="HV591">
        <f>IF(OR(HT$3="",HT$3&gt;TODAY()),"",IF(AND(HT591="",HU591=""),"",N(HU591)-N(HT591)))</f>
        <v/>
      </c>
      <c r="HY591">
        <f>IF(OR(HT$3="",HT$3&gt;TODAY()),"",IF(AND(HW591="",HX591=""),"",N(HX591)-N(HW591)))</f>
        <v/>
      </c>
      <c r="IC591">
        <f>IF(OR(IA$3="",IA$3&gt;TODAY()),"",IF(AND(IA591="",IB591=""),"",N(IB591)-N(IA591)))</f>
        <v/>
      </c>
      <c r="IF591">
        <f>IF(OR(IA$3="",IA$3&gt;TODAY()),"",IF(AND(ID591="",IE591=""),"",N(IE591)-N(ID591)))</f>
        <v/>
      </c>
      <c r="IJ591">
        <f>IF(OR(IH$3="",IH$3&gt;TODAY()),"",IF(AND(IH591="",II591=""),"",N(II591)-N(IH591)))</f>
        <v/>
      </c>
      <c r="IM591">
        <f>IF(OR(IH$3="",IH$3&gt;TODAY()),"",IF(AND(IK591="",IL591=""),"",N(IL591)-N(IK591)))</f>
        <v/>
      </c>
    </row>
    <row r="592">
      <c r="A592" s="21" t="n"/>
      <c r="B592" s="21" t="n"/>
      <c r="C592" s="21" t="n"/>
      <c r="D592" s="21" t="n"/>
      <c r="E592" s="21" t="n"/>
      <c r="F592" s="21" t="n"/>
      <c r="G592" s="21" t="n"/>
      <c r="H592" s="21" t="n"/>
      <c r="I592" s="22" t="n"/>
      <c r="J592" s="22" t="n"/>
      <c r="K592" s="23" t="n"/>
      <c r="L592" s="22" t="n"/>
      <c r="M592" s="22" t="n"/>
      <c r="N592" s="21" t="n"/>
      <c r="O592" s="23" t="n"/>
      <c r="P592" s="23" t="n"/>
      <c r="Q592" s="23" t="n"/>
      <c r="R592" s="23" t="n"/>
      <c r="S592" s="22" t="n"/>
      <c r="T592" s="23" t="n"/>
      <c r="U592" s="23" t="n"/>
      <c r="V592" s="24">
        <f>IF(J592&lt;&gt;"",J592,IF(I592&lt;&gt;"",I592,""))</f>
        <v/>
      </c>
      <c r="W592" s="25">
        <f>IF($E592="","",N(O592)+SUMIFS($AF592:$IN592,$AF$4:$IN$4,"SEW_ACT"))</f>
        <v/>
      </c>
      <c r="X592" s="25">
        <f>IF($E592="","",N(P592)+SUMIFS($AF592:$IN592,$AF$4:$IN$4,"WASH_ACT"))</f>
        <v/>
      </c>
      <c r="Y592" s="25">
        <f>IF($E592="","",W592-X592-N(T592)-N(U592))</f>
        <v/>
      </c>
      <c r="Z592" s="25">
        <f>IF($E592="","",IF(N(K592)-X592&lt;=0.02*N(K592),0,N(K592)-X592))</f>
        <v/>
      </c>
      <c r="AA592" s="24">
        <f>IF($E592="","",IF(S592&lt;&gt;"",S592,IF(N(O592)&gt;0,IF(L592&lt;&gt;"",L592,99999),IFERROR(1/(1/_xlfn.MINIFS($AF$3:$IN$3,$AF$4:$IN$4,"SEW_ACT",$AF592:$IN592,"&gt;0")),99999))))</f>
        <v/>
      </c>
      <c r="AB592" s="26">
        <f>IF(OR($E592="",Z592=0,V592=""),"",1+COUNTIFS(Z$8:Z$707,"&gt;0",V$8:V$707,"&lt;"&amp;V592)+COUNTIFS(Z$8:Z$707,"&gt;0",V$8:V$707,V592,AA$8:AA$707,"&lt;"&amp;AA592)+COUNTIFS(Z$8:Z$707,"&gt;0",V$8:V$707,V592,AA$8:AA$707,AA592,E$8:E$707,"&lt;"&amp;$E592))</f>
        <v/>
      </c>
      <c r="AC592" s="24">
        <f>IF(OR($E592="",Z592=0),"",IFERROR(TODAY()+ROUNDUP(Z592/(SUMIFS($AF592:$IN592,$AF$4:$IN$4,"WASH_ACT")/COUNTIFS($AF$4:$IN$4,"WASH_ACT",$AF592:$IN592,"&gt;0")),0),"no output yet"))</f>
        <v/>
      </c>
      <c r="AD592" s="26">
        <f>IF($E592="","",IFERROR(ROUND(MAX(0,SUMIFS($AF592:$IN592,$AF$4:$IN$4,"SEW_PLAN",$AF$3:$IN$3,"&lt;="&amp;TODAY())-SUMIFS($AF592:$IN592,$AF$4:$IN$4,"SEW_ACT",$AF$3:$IN$3,"&lt;="&amp;TODAY())+N(Q592))/(SUMIFS($AF592:$IN592,$AF$4:$IN$4,"SEW_PLAN")/COUNTIFS($AF$4:$IN$4,"SEW_PLAN",$AF592:$IN592,"&gt;0")),1),0))</f>
        <v/>
      </c>
      <c r="AE592" s="26">
        <f>IF($E592="","",IF(AND(Z592&gt;0,OR(AND(M592&lt;&gt;"",TODAY()&gt;M592),AND(V592&lt;&gt;"",V592-TODAY()&lt;=7))),"Yes","No"))</f>
        <v/>
      </c>
      <c r="AH592">
        <f>IF(OR(AF$3="",AF$3&gt;TODAY()),"",IF(AND(AF592="",AG592=""),"",N(AG592)-N(AF592)))</f>
        <v/>
      </c>
      <c r="AK592">
        <f>IF(OR(AF$3="",AF$3&gt;TODAY()),"",IF(AND(AI592="",AJ592=""),"",N(AJ592)-N(AI592)))</f>
        <v/>
      </c>
      <c r="AO592">
        <f>IF(OR(AM$3="",AM$3&gt;TODAY()),"",IF(AND(AM592="",AN592=""),"",N(AN592)-N(AM592)))</f>
        <v/>
      </c>
      <c r="AR592">
        <f>IF(OR(AM$3="",AM$3&gt;TODAY()),"",IF(AND(AP592="",AQ592=""),"",N(AQ592)-N(AP592)))</f>
        <v/>
      </c>
      <c r="AV592">
        <f>IF(OR(AT$3="",AT$3&gt;TODAY()),"",IF(AND(AT592="",AU592=""),"",N(AU592)-N(AT592)))</f>
        <v/>
      </c>
      <c r="AY592">
        <f>IF(OR(AT$3="",AT$3&gt;TODAY()),"",IF(AND(AW592="",AX592=""),"",N(AX592)-N(AW592)))</f>
        <v/>
      </c>
      <c r="BC592">
        <f>IF(OR(BA$3="",BA$3&gt;TODAY()),"",IF(AND(BA592="",BB592=""),"",N(BB592)-N(BA592)))</f>
        <v/>
      </c>
      <c r="BF592">
        <f>IF(OR(BA$3="",BA$3&gt;TODAY()),"",IF(AND(BD592="",BE592=""),"",N(BE592)-N(BD592)))</f>
        <v/>
      </c>
      <c r="BJ592">
        <f>IF(OR(BH$3="",BH$3&gt;TODAY()),"",IF(AND(BH592="",BI592=""),"",N(BI592)-N(BH592)))</f>
        <v/>
      </c>
      <c r="BM592">
        <f>IF(OR(BH$3="",BH$3&gt;TODAY()),"",IF(AND(BK592="",BL592=""),"",N(BL592)-N(BK592)))</f>
        <v/>
      </c>
      <c r="BQ592">
        <f>IF(OR(BO$3="",BO$3&gt;TODAY()),"",IF(AND(BO592="",BP592=""),"",N(BP592)-N(BO592)))</f>
        <v/>
      </c>
      <c r="BT592">
        <f>IF(OR(BO$3="",BO$3&gt;TODAY()),"",IF(AND(BR592="",BS592=""),"",N(BS592)-N(BR592)))</f>
        <v/>
      </c>
      <c r="BX592">
        <f>IF(OR(BV$3="",BV$3&gt;TODAY()),"",IF(AND(BV592="",BW592=""),"",N(BW592)-N(BV592)))</f>
        <v/>
      </c>
      <c r="CA592">
        <f>IF(OR(BV$3="",BV$3&gt;TODAY()),"",IF(AND(BY592="",BZ592=""),"",N(BZ592)-N(BY592)))</f>
        <v/>
      </c>
      <c r="CE592">
        <f>IF(OR(CC$3="",CC$3&gt;TODAY()),"",IF(AND(CC592="",CD592=""),"",N(CD592)-N(CC592)))</f>
        <v/>
      </c>
      <c r="CH592">
        <f>IF(OR(CC$3="",CC$3&gt;TODAY()),"",IF(AND(CF592="",CG592=""),"",N(CG592)-N(CF592)))</f>
        <v/>
      </c>
      <c r="CL592">
        <f>IF(OR(CJ$3="",CJ$3&gt;TODAY()),"",IF(AND(CJ592="",CK592=""),"",N(CK592)-N(CJ592)))</f>
        <v/>
      </c>
      <c r="CO592">
        <f>IF(OR(CJ$3="",CJ$3&gt;TODAY()),"",IF(AND(CM592="",CN592=""),"",N(CN592)-N(CM592)))</f>
        <v/>
      </c>
      <c r="CS592">
        <f>IF(OR(CQ$3="",CQ$3&gt;TODAY()),"",IF(AND(CQ592="",CR592=""),"",N(CR592)-N(CQ592)))</f>
        <v/>
      </c>
      <c r="CV592">
        <f>IF(OR(CQ$3="",CQ$3&gt;TODAY()),"",IF(AND(CT592="",CU592=""),"",N(CU592)-N(CT592)))</f>
        <v/>
      </c>
      <c r="CZ592">
        <f>IF(OR(CX$3="",CX$3&gt;TODAY()),"",IF(AND(CX592="",CY592=""),"",N(CY592)-N(CX592)))</f>
        <v/>
      </c>
      <c r="DC592">
        <f>IF(OR(CX$3="",CX$3&gt;TODAY()),"",IF(AND(DA592="",DB592=""),"",N(DB592)-N(DA592)))</f>
        <v/>
      </c>
      <c r="DG592">
        <f>IF(OR(DE$3="",DE$3&gt;TODAY()),"",IF(AND(DE592="",DF592=""),"",N(DF592)-N(DE592)))</f>
        <v/>
      </c>
      <c r="DJ592">
        <f>IF(OR(DE$3="",DE$3&gt;TODAY()),"",IF(AND(DH592="",DI592=""),"",N(DI592)-N(DH592)))</f>
        <v/>
      </c>
      <c r="DN592">
        <f>IF(OR(DL$3="",DL$3&gt;TODAY()),"",IF(AND(DL592="",DM592=""),"",N(DM592)-N(DL592)))</f>
        <v/>
      </c>
      <c r="DQ592">
        <f>IF(OR(DL$3="",DL$3&gt;TODAY()),"",IF(AND(DO592="",DP592=""),"",N(DP592)-N(DO592)))</f>
        <v/>
      </c>
      <c r="DU592">
        <f>IF(OR(DS$3="",DS$3&gt;TODAY()),"",IF(AND(DS592="",DT592=""),"",N(DT592)-N(DS592)))</f>
        <v/>
      </c>
      <c r="DX592">
        <f>IF(OR(DS$3="",DS$3&gt;TODAY()),"",IF(AND(DV592="",DW592=""),"",N(DW592)-N(DV592)))</f>
        <v/>
      </c>
      <c r="EB592">
        <f>IF(OR(DZ$3="",DZ$3&gt;TODAY()),"",IF(AND(DZ592="",EA592=""),"",N(EA592)-N(DZ592)))</f>
        <v/>
      </c>
      <c r="EE592">
        <f>IF(OR(DZ$3="",DZ$3&gt;TODAY()),"",IF(AND(EC592="",ED592=""),"",N(ED592)-N(EC592)))</f>
        <v/>
      </c>
      <c r="EI592">
        <f>IF(OR(EG$3="",EG$3&gt;TODAY()),"",IF(AND(EG592="",EH592=""),"",N(EH592)-N(EG592)))</f>
        <v/>
      </c>
      <c r="EL592">
        <f>IF(OR(EG$3="",EG$3&gt;TODAY()),"",IF(AND(EJ592="",EK592=""),"",N(EK592)-N(EJ592)))</f>
        <v/>
      </c>
      <c r="EP592">
        <f>IF(OR(EN$3="",EN$3&gt;TODAY()),"",IF(AND(EN592="",EO592=""),"",N(EO592)-N(EN592)))</f>
        <v/>
      </c>
      <c r="ES592">
        <f>IF(OR(EN$3="",EN$3&gt;TODAY()),"",IF(AND(EQ592="",ER592=""),"",N(ER592)-N(EQ592)))</f>
        <v/>
      </c>
      <c r="EW592">
        <f>IF(OR(EU$3="",EU$3&gt;TODAY()),"",IF(AND(EU592="",EV592=""),"",N(EV592)-N(EU592)))</f>
        <v/>
      </c>
      <c r="EZ592">
        <f>IF(OR(EU$3="",EU$3&gt;TODAY()),"",IF(AND(EX592="",EY592=""),"",N(EY592)-N(EX592)))</f>
        <v/>
      </c>
      <c r="FD592">
        <f>IF(OR(FB$3="",FB$3&gt;TODAY()),"",IF(AND(FB592="",FC592=""),"",N(FC592)-N(FB592)))</f>
        <v/>
      </c>
      <c r="FG592">
        <f>IF(OR(FB$3="",FB$3&gt;TODAY()),"",IF(AND(FE592="",FF592=""),"",N(FF592)-N(FE592)))</f>
        <v/>
      </c>
      <c r="FK592">
        <f>IF(OR(FI$3="",FI$3&gt;TODAY()),"",IF(AND(FI592="",FJ592=""),"",N(FJ592)-N(FI592)))</f>
        <v/>
      </c>
      <c r="FN592">
        <f>IF(OR(FI$3="",FI$3&gt;TODAY()),"",IF(AND(FL592="",FM592=""),"",N(FM592)-N(FL592)))</f>
        <v/>
      </c>
      <c r="FR592">
        <f>IF(OR(FP$3="",FP$3&gt;TODAY()),"",IF(AND(FP592="",FQ592=""),"",N(FQ592)-N(FP592)))</f>
        <v/>
      </c>
      <c r="FU592">
        <f>IF(OR(FP$3="",FP$3&gt;TODAY()),"",IF(AND(FS592="",FT592=""),"",N(FT592)-N(FS592)))</f>
        <v/>
      </c>
      <c r="FY592">
        <f>IF(OR(FW$3="",FW$3&gt;TODAY()),"",IF(AND(FW592="",FX592=""),"",N(FX592)-N(FW592)))</f>
        <v/>
      </c>
      <c r="GB592">
        <f>IF(OR(FW$3="",FW$3&gt;TODAY()),"",IF(AND(FZ592="",GA592=""),"",N(GA592)-N(FZ592)))</f>
        <v/>
      </c>
      <c r="GF592">
        <f>IF(OR(GD$3="",GD$3&gt;TODAY()),"",IF(AND(GD592="",GE592=""),"",N(GE592)-N(GD592)))</f>
        <v/>
      </c>
      <c r="GI592">
        <f>IF(OR(GD$3="",GD$3&gt;TODAY()),"",IF(AND(GG592="",GH592=""),"",N(GH592)-N(GG592)))</f>
        <v/>
      </c>
      <c r="GM592">
        <f>IF(OR(GK$3="",GK$3&gt;TODAY()),"",IF(AND(GK592="",GL592=""),"",N(GL592)-N(GK592)))</f>
        <v/>
      </c>
      <c r="GP592">
        <f>IF(OR(GK$3="",GK$3&gt;TODAY()),"",IF(AND(GN592="",GO592=""),"",N(GO592)-N(GN592)))</f>
        <v/>
      </c>
      <c r="GT592">
        <f>IF(OR(GR$3="",GR$3&gt;TODAY()),"",IF(AND(GR592="",GS592=""),"",N(GS592)-N(GR592)))</f>
        <v/>
      </c>
      <c r="GW592">
        <f>IF(OR(GR$3="",GR$3&gt;TODAY()),"",IF(AND(GU592="",GV592=""),"",N(GV592)-N(GU592)))</f>
        <v/>
      </c>
      <c r="HA592">
        <f>IF(OR(GY$3="",GY$3&gt;TODAY()),"",IF(AND(GY592="",GZ592=""),"",N(GZ592)-N(GY592)))</f>
        <v/>
      </c>
      <c r="HD592">
        <f>IF(OR(GY$3="",GY$3&gt;TODAY()),"",IF(AND(HB592="",HC592=""),"",N(HC592)-N(HB592)))</f>
        <v/>
      </c>
      <c r="HH592">
        <f>IF(OR(HF$3="",HF$3&gt;TODAY()),"",IF(AND(HF592="",HG592=""),"",N(HG592)-N(HF592)))</f>
        <v/>
      </c>
      <c r="HK592">
        <f>IF(OR(HF$3="",HF$3&gt;TODAY()),"",IF(AND(HI592="",HJ592=""),"",N(HJ592)-N(HI592)))</f>
        <v/>
      </c>
      <c r="HO592">
        <f>IF(OR(HM$3="",HM$3&gt;TODAY()),"",IF(AND(HM592="",HN592=""),"",N(HN592)-N(HM592)))</f>
        <v/>
      </c>
      <c r="HR592">
        <f>IF(OR(HM$3="",HM$3&gt;TODAY()),"",IF(AND(HP592="",HQ592=""),"",N(HQ592)-N(HP592)))</f>
        <v/>
      </c>
      <c r="HV592">
        <f>IF(OR(HT$3="",HT$3&gt;TODAY()),"",IF(AND(HT592="",HU592=""),"",N(HU592)-N(HT592)))</f>
        <v/>
      </c>
      <c r="HY592">
        <f>IF(OR(HT$3="",HT$3&gt;TODAY()),"",IF(AND(HW592="",HX592=""),"",N(HX592)-N(HW592)))</f>
        <v/>
      </c>
      <c r="IC592">
        <f>IF(OR(IA$3="",IA$3&gt;TODAY()),"",IF(AND(IA592="",IB592=""),"",N(IB592)-N(IA592)))</f>
        <v/>
      </c>
      <c r="IF592">
        <f>IF(OR(IA$3="",IA$3&gt;TODAY()),"",IF(AND(ID592="",IE592=""),"",N(IE592)-N(ID592)))</f>
        <v/>
      </c>
      <c r="IJ592">
        <f>IF(OR(IH$3="",IH$3&gt;TODAY()),"",IF(AND(IH592="",II592=""),"",N(II592)-N(IH592)))</f>
        <v/>
      </c>
      <c r="IM592">
        <f>IF(OR(IH$3="",IH$3&gt;TODAY()),"",IF(AND(IK592="",IL592=""),"",N(IL592)-N(IK592)))</f>
        <v/>
      </c>
    </row>
    <row r="593">
      <c r="A593" s="21" t="n"/>
      <c r="B593" s="21" t="n"/>
      <c r="C593" s="21" t="n"/>
      <c r="D593" s="21" t="n"/>
      <c r="E593" s="21" t="n"/>
      <c r="F593" s="21" t="n"/>
      <c r="G593" s="21" t="n"/>
      <c r="H593" s="21" t="n"/>
      <c r="I593" s="22" t="n"/>
      <c r="J593" s="22" t="n"/>
      <c r="K593" s="23" t="n"/>
      <c r="L593" s="22" t="n"/>
      <c r="M593" s="22" t="n"/>
      <c r="N593" s="21" t="n"/>
      <c r="O593" s="23" t="n"/>
      <c r="P593" s="23" t="n"/>
      <c r="Q593" s="23" t="n"/>
      <c r="R593" s="23" t="n"/>
      <c r="S593" s="22" t="n"/>
      <c r="T593" s="23" t="n"/>
      <c r="U593" s="23" t="n"/>
      <c r="V593" s="24">
        <f>IF(J593&lt;&gt;"",J593,IF(I593&lt;&gt;"",I593,""))</f>
        <v/>
      </c>
      <c r="W593" s="25">
        <f>IF($E593="","",N(O593)+SUMIFS($AF593:$IN593,$AF$4:$IN$4,"SEW_ACT"))</f>
        <v/>
      </c>
      <c r="X593" s="25">
        <f>IF($E593="","",N(P593)+SUMIFS($AF593:$IN593,$AF$4:$IN$4,"WASH_ACT"))</f>
        <v/>
      </c>
      <c r="Y593" s="25">
        <f>IF($E593="","",W593-X593-N(T593)-N(U593))</f>
        <v/>
      </c>
      <c r="Z593" s="25">
        <f>IF($E593="","",IF(N(K593)-X593&lt;=0.02*N(K593),0,N(K593)-X593))</f>
        <v/>
      </c>
      <c r="AA593" s="24">
        <f>IF($E593="","",IF(S593&lt;&gt;"",S593,IF(N(O593)&gt;0,IF(L593&lt;&gt;"",L593,99999),IFERROR(1/(1/_xlfn.MINIFS($AF$3:$IN$3,$AF$4:$IN$4,"SEW_ACT",$AF593:$IN593,"&gt;0")),99999))))</f>
        <v/>
      </c>
      <c r="AB593" s="26">
        <f>IF(OR($E593="",Z593=0,V593=""),"",1+COUNTIFS(Z$8:Z$707,"&gt;0",V$8:V$707,"&lt;"&amp;V593)+COUNTIFS(Z$8:Z$707,"&gt;0",V$8:V$707,V593,AA$8:AA$707,"&lt;"&amp;AA593)+COUNTIFS(Z$8:Z$707,"&gt;0",V$8:V$707,V593,AA$8:AA$707,AA593,E$8:E$707,"&lt;"&amp;$E593))</f>
        <v/>
      </c>
      <c r="AC593" s="24">
        <f>IF(OR($E593="",Z593=0),"",IFERROR(TODAY()+ROUNDUP(Z593/(SUMIFS($AF593:$IN593,$AF$4:$IN$4,"WASH_ACT")/COUNTIFS($AF$4:$IN$4,"WASH_ACT",$AF593:$IN593,"&gt;0")),0),"no output yet"))</f>
        <v/>
      </c>
      <c r="AD593" s="26">
        <f>IF($E593="","",IFERROR(ROUND(MAX(0,SUMIFS($AF593:$IN593,$AF$4:$IN$4,"SEW_PLAN",$AF$3:$IN$3,"&lt;="&amp;TODAY())-SUMIFS($AF593:$IN593,$AF$4:$IN$4,"SEW_ACT",$AF$3:$IN$3,"&lt;="&amp;TODAY())+N(Q593))/(SUMIFS($AF593:$IN593,$AF$4:$IN$4,"SEW_PLAN")/COUNTIFS($AF$4:$IN$4,"SEW_PLAN",$AF593:$IN593,"&gt;0")),1),0))</f>
        <v/>
      </c>
      <c r="AE593" s="26">
        <f>IF($E593="","",IF(AND(Z593&gt;0,OR(AND(M593&lt;&gt;"",TODAY()&gt;M593),AND(V593&lt;&gt;"",V593-TODAY()&lt;=7))),"Yes","No"))</f>
        <v/>
      </c>
      <c r="AH593">
        <f>IF(OR(AF$3="",AF$3&gt;TODAY()),"",IF(AND(AF593="",AG593=""),"",N(AG593)-N(AF593)))</f>
        <v/>
      </c>
      <c r="AK593">
        <f>IF(OR(AF$3="",AF$3&gt;TODAY()),"",IF(AND(AI593="",AJ593=""),"",N(AJ593)-N(AI593)))</f>
        <v/>
      </c>
      <c r="AO593">
        <f>IF(OR(AM$3="",AM$3&gt;TODAY()),"",IF(AND(AM593="",AN593=""),"",N(AN593)-N(AM593)))</f>
        <v/>
      </c>
      <c r="AR593">
        <f>IF(OR(AM$3="",AM$3&gt;TODAY()),"",IF(AND(AP593="",AQ593=""),"",N(AQ593)-N(AP593)))</f>
        <v/>
      </c>
      <c r="AV593">
        <f>IF(OR(AT$3="",AT$3&gt;TODAY()),"",IF(AND(AT593="",AU593=""),"",N(AU593)-N(AT593)))</f>
        <v/>
      </c>
      <c r="AY593">
        <f>IF(OR(AT$3="",AT$3&gt;TODAY()),"",IF(AND(AW593="",AX593=""),"",N(AX593)-N(AW593)))</f>
        <v/>
      </c>
      <c r="BC593">
        <f>IF(OR(BA$3="",BA$3&gt;TODAY()),"",IF(AND(BA593="",BB593=""),"",N(BB593)-N(BA593)))</f>
        <v/>
      </c>
      <c r="BF593">
        <f>IF(OR(BA$3="",BA$3&gt;TODAY()),"",IF(AND(BD593="",BE593=""),"",N(BE593)-N(BD593)))</f>
        <v/>
      </c>
      <c r="BJ593">
        <f>IF(OR(BH$3="",BH$3&gt;TODAY()),"",IF(AND(BH593="",BI593=""),"",N(BI593)-N(BH593)))</f>
        <v/>
      </c>
      <c r="BM593">
        <f>IF(OR(BH$3="",BH$3&gt;TODAY()),"",IF(AND(BK593="",BL593=""),"",N(BL593)-N(BK593)))</f>
        <v/>
      </c>
      <c r="BQ593">
        <f>IF(OR(BO$3="",BO$3&gt;TODAY()),"",IF(AND(BO593="",BP593=""),"",N(BP593)-N(BO593)))</f>
        <v/>
      </c>
      <c r="BT593">
        <f>IF(OR(BO$3="",BO$3&gt;TODAY()),"",IF(AND(BR593="",BS593=""),"",N(BS593)-N(BR593)))</f>
        <v/>
      </c>
      <c r="BX593">
        <f>IF(OR(BV$3="",BV$3&gt;TODAY()),"",IF(AND(BV593="",BW593=""),"",N(BW593)-N(BV593)))</f>
        <v/>
      </c>
      <c r="CA593">
        <f>IF(OR(BV$3="",BV$3&gt;TODAY()),"",IF(AND(BY593="",BZ593=""),"",N(BZ593)-N(BY593)))</f>
        <v/>
      </c>
      <c r="CE593">
        <f>IF(OR(CC$3="",CC$3&gt;TODAY()),"",IF(AND(CC593="",CD593=""),"",N(CD593)-N(CC593)))</f>
        <v/>
      </c>
      <c r="CH593">
        <f>IF(OR(CC$3="",CC$3&gt;TODAY()),"",IF(AND(CF593="",CG593=""),"",N(CG593)-N(CF593)))</f>
        <v/>
      </c>
      <c r="CL593">
        <f>IF(OR(CJ$3="",CJ$3&gt;TODAY()),"",IF(AND(CJ593="",CK593=""),"",N(CK593)-N(CJ593)))</f>
        <v/>
      </c>
      <c r="CO593">
        <f>IF(OR(CJ$3="",CJ$3&gt;TODAY()),"",IF(AND(CM593="",CN593=""),"",N(CN593)-N(CM593)))</f>
        <v/>
      </c>
      <c r="CS593">
        <f>IF(OR(CQ$3="",CQ$3&gt;TODAY()),"",IF(AND(CQ593="",CR593=""),"",N(CR593)-N(CQ593)))</f>
        <v/>
      </c>
      <c r="CV593">
        <f>IF(OR(CQ$3="",CQ$3&gt;TODAY()),"",IF(AND(CT593="",CU593=""),"",N(CU593)-N(CT593)))</f>
        <v/>
      </c>
      <c r="CZ593">
        <f>IF(OR(CX$3="",CX$3&gt;TODAY()),"",IF(AND(CX593="",CY593=""),"",N(CY593)-N(CX593)))</f>
        <v/>
      </c>
      <c r="DC593">
        <f>IF(OR(CX$3="",CX$3&gt;TODAY()),"",IF(AND(DA593="",DB593=""),"",N(DB593)-N(DA593)))</f>
        <v/>
      </c>
      <c r="DG593">
        <f>IF(OR(DE$3="",DE$3&gt;TODAY()),"",IF(AND(DE593="",DF593=""),"",N(DF593)-N(DE593)))</f>
        <v/>
      </c>
      <c r="DJ593">
        <f>IF(OR(DE$3="",DE$3&gt;TODAY()),"",IF(AND(DH593="",DI593=""),"",N(DI593)-N(DH593)))</f>
        <v/>
      </c>
      <c r="DN593">
        <f>IF(OR(DL$3="",DL$3&gt;TODAY()),"",IF(AND(DL593="",DM593=""),"",N(DM593)-N(DL593)))</f>
        <v/>
      </c>
      <c r="DQ593">
        <f>IF(OR(DL$3="",DL$3&gt;TODAY()),"",IF(AND(DO593="",DP593=""),"",N(DP593)-N(DO593)))</f>
        <v/>
      </c>
      <c r="DU593">
        <f>IF(OR(DS$3="",DS$3&gt;TODAY()),"",IF(AND(DS593="",DT593=""),"",N(DT593)-N(DS593)))</f>
        <v/>
      </c>
      <c r="DX593">
        <f>IF(OR(DS$3="",DS$3&gt;TODAY()),"",IF(AND(DV593="",DW593=""),"",N(DW593)-N(DV593)))</f>
        <v/>
      </c>
      <c r="EB593">
        <f>IF(OR(DZ$3="",DZ$3&gt;TODAY()),"",IF(AND(DZ593="",EA593=""),"",N(EA593)-N(DZ593)))</f>
        <v/>
      </c>
      <c r="EE593">
        <f>IF(OR(DZ$3="",DZ$3&gt;TODAY()),"",IF(AND(EC593="",ED593=""),"",N(ED593)-N(EC593)))</f>
        <v/>
      </c>
      <c r="EI593">
        <f>IF(OR(EG$3="",EG$3&gt;TODAY()),"",IF(AND(EG593="",EH593=""),"",N(EH593)-N(EG593)))</f>
        <v/>
      </c>
      <c r="EL593">
        <f>IF(OR(EG$3="",EG$3&gt;TODAY()),"",IF(AND(EJ593="",EK593=""),"",N(EK593)-N(EJ593)))</f>
        <v/>
      </c>
      <c r="EP593">
        <f>IF(OR(EN$3="",EN$3&gt;TODAY()),"",IF(AND(EN593="",EO593=""),"",N(EO593)-N(EN593)))</f>
        <v/>
      </c>
      <c r="ES593">
        <f>IF(OR(EN$3="",EN$3&gt;TODAY()),"",IF(AND(EQ593="",ER593=""),"",N(ER593)-N(EQ593)))</f>
        <v/>
      </c>
      <c r="EW593">
        <f>IF(OR(EU$3="",EU$3&gt;TODAY()),"",IF(AND(EU593="",EV593=""),"",N(EV593)-N(EU593)))</f>
        <v/>
      </c>
      <c r="EZ593">
        <f>IF(OR(EU$3="",EU$3&gt;TODAY()),"",IF(AND(EX593="",EY593=""),"",N(EY593)-N(EX593)))</f>
        <v/>
      </c>
      <c r="FD593">
        <f>IF(OR(FB$3="",FB$3&gt;TODAY()),"",IF(AND(FB593="",FC593=""),"",N(FC593)-N(FB593)))</f>
        <v/>
      </c>
      <c r="FG593">
        <f>IF(OR(FB$3="",FB$3&gt;TODAY()),"",IF(AND(FE593="",FF593=""),"",N(FF593)-N(FE593)))</f>
        <v/>
      </c>
      <c r="FK593">
        <f>IF(OR(FI$3="",FI$3&gt;TODAY()),"",IF(AND(FI593="",FJ593=""),"",N(FJ593)-N(FI593)))</f>
        <v/>
      </c>
      <c r="FN593">
        <f>IF(OR(FI$3="",FI$3&gt;TODAY()),"",IF(AND(FL593="",FM593=""),"",N(FM593)-N(FL593)))</f>
        <v/>
      </c>
      <c r="FR593">
        <f>IF(OR(FP$3="",FP$3&gt;TODAY()),"",IF(AND(FP593="",FQ593=""),"",N(FQ593)-N(FP593)))</f>
        <v/>
      </c>
      <c r="FU593">
        <f>IF(OR(FP$3="",FP$3&gt;TODAY()),"",IF(AND(FS593="",FT593=""),"",N(FT593)-N(FS593)))</f>
        <v/>
      </c>
      <c r="FY593">
        <f>IF(OR(FW$3="",FW$3&gt;TODAY()),"",IF(AND(FW593="",FX593=""),"",N(FX593)-N(FW593)))</f>
        <v/>
      </c>
      <c r="GB593">
        <f>IF(OR(FW$3="",FW$3&gt;TODAY()),"",IF(AND(FZ593="",GA593=""),"",N(GA593)-N(FZ593)))</f>
        <v/>
      </c>
      <c r="GF593">
        <f>IF(OR(GD$3="",GD$3&gt;TODAY()),"",IF(AND(GD593="",GE593=""),"",N(GE593)-N(GD593)))</f>
        <v/>
      </c>
      <c r="GI593">
        <f>IF(OR(GD$3="",GD$3&gt;TODAY()),"",IF(AND(GG593="",GH593=""),"",N(GH593)-N(GG593)))</f>
        <v/>
      </c>
      <c r="GM593">
        <f>IF(OR(GK$3="",GK$3&gt;TODAY()),"",IF(AND(GK593="",GL593=""),"",N(GL593)-N(GK593)))</f>
        <v/>
      </c>
      <c r="GP593">
        <f>IF(OR(GK$3="",GK$3&gt;TODAY()),"",IF(AND(GN593="",GO593=""),"",N(GO593)-N(GN593)))</f>
        <v/>
      </c>
      <c r="GT593">
        <f>IF(OR(GR$3="",GR$3&gt;TODAY()),"",IF(AND(GR593="",GS593=""),"",N(GS593)-N(GR593)))</f>
        <v/>
      </c>
      <c r="GW593">
        <f>IF(OR(GR$3="",GR$3&gt;TODAY()),"",IF(AND(GU593="",GV593=""),"",N(GV593)-N(GU593)))</f>
        <v/>
      </c>
      <c r="HA593">
        <f>IF(OR(GY$3="",GY$3&gt;TODAY()),"",IF(AND(GY593="",GZ593=""),"",N(GZ593)-N(GY593)))</f>
        <v/>
      </c>
      <c r="HD593">
        <f>IF(OR(GY$3="",GY$3&gt;TODAY()),"",IF(AND(HB593="",HC593=""),"",N(HC593)-N(HB593)))</f>
        <v/>
      </c>
      <c r="HH593">
        <f>IF(OR(HF$3="",HF$3&gt;TODAY()),"",IF(AND(HF593="",HG593=""),"",N(HG593)-N(HF593)))</f>
        <v/>
      </c>
      <c r="HK593">
        <f>IF(OR(HF$3="",HF$3&gt;TODAY()),"",IF(AND(HI593="",HJ593=""),"",N(HJ593)-N(HI593)))</f>
        <v/>
      </c>
      <c r="HO593">
        <f>IF(OR(HM$3="",HM$3&gt;TODAY()),"",IF(AND(HM593="",HN593=""),"",N(HN593)-N(HM593)))</f>
        <v/>
      </c>
      <c r="HR593">
        <f>IF(OR(HM$3="",HM$3&gt;TODAY()),"",IF(AND(HP593="",HQ593=""),"",N(HQ593)-N(HP593)))</f>
        <v/>
      </c>
      <c r="HV593">
        <f>IF(OR(HT$3="",HT$3&gt;TODAY()),"",IF(AND(HT593="",HU593=""),"",N(HU593)-N(HT593)))</f>
        <v/>
      </c>
      <c r="HY593">
        <f>IF(OR(HT$3="",HT$3&gt;TODAY()),"",IF(AND(HW593="",HX593=""),"",N(HX593)-N(HW593)))</f>
        <v/>
      </c>
      <c r="IC593">
        <f>IF(OR(IA$3="",IA$3&gt;TODAY()),"",IF(AND(IA593="",IB593=""),"",N(IB593)-N(IA593)))</f>
        <v/>
      </c>
      <c r="IF593">
        <f>IF(OR(IA$3="",IA$3&gt;TODAY()),"",IF(AND(ID593="",IE593=""),"",N(IE593)-N(ID593)))</f>
        <v/>
      </c>
      <c r="IJ593">
        <f>IF(OR(IH$3="",IH$3&gt;TODAY()),"",IF(AND(IH593="",II593=""),"",N(II593)-N(IH593)))</f>
        <v/>
      </c>
      <c r="IM593">
        <f>IF(OR(IH$3="",IH$3&gt;TODAY()),"",IF(AND(IK593="",IL593=""),"",N(IL593)-N(IK593)))</f>
        <v/>
      </c>
    </row>
    <row r="594">
      <c r="A594" s="21" t="n"/>
      <c r="B594" s="21" t="n"/>
      <c r="C594" s="21" t="n"/>
      <c r="D594" s="21" t="n"/>
      <c r="E594" s="21" t="n"/>
      <c r="F594" s="21" t="n"/>
      <c r="G594" s="21" t="n"/>
      <c r="H594" s="21" t="n"/>
      <c r="I594" s="22" t="n"/>
      <c r="J594" s="22" t="n"/>
      <c r="K594" s="23" t="n"/>
      <c r="L594" s="22" t="n"/>
      <c r="M594" s="22" t="n"/>
      <c r="N594" s="21" t="n"/>
      <c r="O594" s="23" t="n"/>
      <c r="P594" s="23" t="n"/>
      <c r="Q594" s="23" t="n"/>
      <c r="R594" s="23" t="n"/>
      <c r="S594" s="22" t="n"/>
      <c r="T594" s="23" t="n"/>
      <c r="U594" s="23" t="n"/>
      <c r="V594" s="24">
        <f>IF(J594&lt;&gt;"",J594,IF(I594&lt;&gt;"",I594,""))</f>
        <v/>
      </c>
      <c r="W594" s="25">
        <f>IF($E594="","",N(O594)+SUMIFS($AF594:$IN594,$AF$4:$IN$4,"SEW_ACT"))</f>
        <v/>
      </c>
      <c r="X594" s="25">
        <f>IF($E594="","",N(P594)+SUMIFS($AF594:$IN594,$AF$4:$IN$4,"WASH_ACT"))</f>
        <v/>
      </c>
      <c r="Y594" s="25">
        <f>IF($E594="","",W594-X594-N(T594)-N(U594))</f>
        <v/>
      </c>
      <c r="Z594" s="25">
        <f>IF($E594="","",IF(N(K594)-X594&lt;=0.02*N(K594),0,N(K594)-X594))</f>
        <v/>
      </c>
      <c r="AA594" s="24">
        <f>IF($E594="","",IF(S594&lt;&gt;"",S594,IF(N(O594)&gt;0,IF(L594&lt;&gt;"",L594,99999),IFERROR(1/(1/_xlfn.MINIFS($AF$3:$IN$3,$AF$4:$IN$4,"SEW_ACT",$AF594:$IN594,"&gt;0")),99999))))</f>
        <v/>
      </c>
      <c r="AB594" s="26">
        <f>IF(OR($E594="",Z594=0,V594=""),"",1+COUNTIFS(Z$8:Z$707,"&gt;0",V$8:V$707,"&lt;"&amp;V594)+COUNTIFS(Z$8:Z$707,"&gt;0",V$8:V$707,V594,AA$8:AA$707,"&lt;"&amp;AA594)+COUNTIFS(Z$8:Z$707,"&gt;0",V$8:V$707,V594,AA$8:AA$707,AA594,E$8:E$707,"&lt;"&amp;$E594))</f>
        <v/>
      </c>
      <c r="AC594" s="24">
        <f>IF(OR($E594="",Z594=0),"",IFERROR(TODAY()+ROUNDUP(Z594/(SUMIFS($AF594:$IN594,$AF$4:$IN$4,"WASH_ACT")/COUNTIFS($AF$4:$IN$4,"WASH_ACT",$AF594:$IN594,"&gt;0")),0),"no output yet"))</f>
        <v/>
      </c>
      <c r="AD594" s="26">
        <f>IF($E594="","",IFERROR(ROUND(MAX(0,SUMIFS($AF594:$IN594,$AF$4:$IN$4,"SEW_PLAN",$AF$3:$IN$3,"&lt;="&amp;TODAY())-SUMIFS($AF594:$IN594,$AF$4:$IN$4,"SEW_ACT",$AF$3:$IN$3,"&lt;="&amp;TODAY())+N(Q594))/(SUMIFS($AF594:$IN594,$AF$4:$IN$4,"SEW_PLAN")/COUNTIFS($AF$4:$IN$4,"SEW_PLAN",$AF594:$IN594,"&gt;0")),1),0))</f>
        <v/>
      </c>
      <c r="AE594" s="26">
        <f>IF($E594="","",IF(AND(Z594&gt;0,OR(AND(M594&lt;&gt;"",TODAY()&gt;M594),AND(V594&lt;&gt;"",V594-TODAY()&lt;=7))),"Yes","No"))</f>
        <v/>
      </c>
      <c r="AH594">
        <f>IF(OR(AF$3="",AF$3&gt;TODAY()),"",IF(AND(AF594="",AG594=""),"",N(AG594)-N(AF594)))</f>
        <v/>
      </c>
      <c r="AK594">
        <f>IF(OR(AF$3="",AF$3&gt;TODAY()),"",IF(AND(AI594="",AJ594=""),"",N(AJ594)-N(AI594)))</f>
        <v/>
      </c>
      <c r="AO594">
        <f>IF(OR(AM$3="",AM$3&gt;TODAY()),"",IF(AND(AM594="",AN594=""),"",N(AN594)-N(AM594)))</f>
        <v/>
      </c>
      <c r="AR594">
        <f>IF(OR(AM$3="",AM$3&gt;TODAY()),"",IF(AND(AP594="",AQ594=""),"",N(AQ594)-N(AP594)))</f>
        <v/>
      </c>
      <c r="AV594">
        <f>IF(OR(AT$3="",AT$3&gt;TODAY()),"",IF(AND(AT594="",AU594=""),"",N(AU594)-N(AT594)))</f>
        <v/>
      </c>
      <c r="AY594">
        <f>IF(OR(AT$3="",AT$3&gt;TODAY()),"",IF(AND(AW594="",AX594=""),"",N(AX594)-N(AW594)))</f>
        <v/>
      </c>
      <c r="BC594">
        <f>IF(OR(BA$3="",BA$3&gt;TODAY()),"",IF(AND(BA594="",BB594=""),"",N(BB594)-N(BA594)))</f>
        <v/>
      </c>
      <c r="BF594">
        <f>IF(OR(BA$3="",BA$3&gt;TODAY()),"",IF(AND(BD594="",BE594=""),"",N(BE594)-N(BD594)))</f>
        <v/>
      </c>
      <c r="BJ594">
        <f>IF(OR(BH$3="",BH$3&gt;TODAY()),"",IF(AND(BH594="",BI594=""),"",N(BI594)-N(BH594)))</f>
        <v/>
      </c>
      <c r="BM594">
        <f>IF(OR(BH$3="",BH$3&gt;TODAY()),"",IF(AND(BK594="",BL594=""),"",N(BL594)-N(BK594)))</f>
        <v/>
      </c>
      <c r="BQ594">
        <f>IF(OR(BO$3="",BO$3&gt;TODAY()),"",IF(AND(BO594="",BP594=""),"",N(BP594)-N(BO594)))</f>
        <v/>
      </c>
      <c r="BT594">
        <f>IF(OR(BO$3="",BO$3&gt;TODAY()),"",IF(AND(BR594="",BS594=""),"",N(BS594)-N(BR594)))</f>
        <v/>
      </c>
      <c r="BX594">
        <f>IF(OR(BV$3="",BV$3&gt;TODAY()),"",IF(AND(BV594="",BW594=""),"",N(BW594)-N(BV594)))</f>
        <v/>
      </c>
      <c r="CA594">
        <f>IF(OR(BV$3="",BV$3&gt;TODAY()),"",IF(AND(BY594="",BZ594=""),"",N(BZ594)-N(BY594)))</f>
        <v/>
      </c>
      <c r="CE594">
        <f>IF(OR(CC$3="",CC$3&gt;TODAY()),"",IF(AND(CC594="",CD594=""),"",N(CD594)-N(CC594)))</f>
        <v/>
      </c>
      <c r="CH594">
        <f>IF(OR(CC$3="",CC$3&gt;TODAY()),"",IF(AND(CF594="",CG594=""),"",N(CG594)-N(CF594)))</f>
        <v/>
      </c>
      <c r="CL594">
        <f>IF(OR(CJ$3="",CJ$3&gt;TODAY()),"",IF(AND(CJ594="",CK594=""),"",N(CK594)-N(CJ594)))</f>
        <v/>
      </c>
      <c r="CO594">
        <f>IF(OR(CJ$3="",CJ$3&gt;TODAY()),"",IF(AND(CM594="",CN594=""),"",N(CN594)-N(CM594)))</f>
        <v/>
      </c>
      <c r="CS594">
        <f>IF(OR(CQ$3="",CQ$3&gt;TODAY()),"",IF(AND(CQ594="",CR594=""),"",N(CR594)-N(CQ594)))</f>
        <v/>
      </c>
      <c r="CV594">
        <f>IF(OR(CQ$3="",CQ$3&gt;TODAY()),"",IF(AND(CT594="",CU594=""),"",N(CU594)-N(CT594)))</f>
        <v/>
      </c>
      <c r="CZ594">
        <f>IF(OR(CX$3="",CX$3&gt;TODAY()),"",IF(AND(CX594="",CY594=""),"",N(CY594)-N(CX594)))</f>
        <v/>
      </c>
      <c r="DC594">
        <f>IF(OR(CX$3="",CX$3&gt;TODAY()),"",IF(AND(DA594="",DB594=""),"",N(DB594)-N(DA594)))</f>
        <v/>
      </c>
      <c r="DG594">
        <f>IF(OR(DE$3="",DE$3&gt;TODAY()),"",IF(AND(DE594="",DF594=""),"",N(DF594)-N(DE594)))</f>
        <v/>
      </c>
      <c r="DJ594">
        <f>IF(OR(DE$3="",DE$3&gt;TODAY()),"",IF(AND(DH594="",DI594=""),"",N(DI594)-N(DH594)))</f>
        <v/>
      </c>
      <c r="DN594">
        <f>IF(OR(DL$3="",DL$3&gt;TODAY()),"",IF(AND(DL594="",DM594=""),"",N(DM594)-N(DL594)))</f>
        <v/>
      </c>
      <c r="DQ594">
        <f>IF(OR(DL$3="",DL$3&gt;TODAY()),"",IF(AND(DO594="",DP594=""),"",N(DP594)-N(DO594)))</f>
        <v/>
      </c>
      <c r="DU594">
        <f>IF(OR(DS$3="",DS$3&gt;TODAY()),"",IF(AND(DS594="",DT594=""),"",N(DT594)-N(DS594)))</f>
        <v/>
      </c>
      <c r="DX594">
        <f>IF(OR(DS$3="",DS$3&gt;TODAY()),"",IF(AND(DV594="",DW594=""),"",N(DW594)-N(DV594)))</f>
        <v/>
      </c>
      <c r="EB594">
        <f>IF(OR(DZ$3="",DZ$3&gt;TODAY()),"",IF(AND(DZ594="",EA594=""),"",N(EA594)-N(DZ594)))</f>
        <v/>
      </c>
      <c r="EE594">
        <f>IF(OR(DZ$3="",DZ$3&gt;TODAY()),"",IF(AND(EC594="",ED594=""),"",N(ED594)-N(EC594)))</f>
        <v/>
      </c>
      <c r="EI594">
        <f>IF(OR(EG$3="",EG$3&gt;TODAY()),"",IF(AND(EG594="",EH594=""),"",N(EH594)-N(EG594)))</f>
        <v/>
      </c>
      <c r="EL594">
        <f>IF(OR(EG$3="",EG$3&gt;TODAY()),"",IF(AND(EJ594="",EK594=""),"",N(EK594)-N(EJ594)))</f>
        <v/>
      </c>
      <c r="EP594">
        <f>IF(OR(EN$3="",EN$3&gt;TODAY()),"",IF(AND(EN594="",EO594=""),"",N(EO594)-N(EN594)))</f>
        <v/>
      </c>
      <c r="ES594">
        <f>IF(OR(EN$3="",EN$3&gt;TODAY()),"",IF(AND(EQ594="",ER594=""),"",N(ER594)-N(EQ594)))</f>
        <v/>
      </c>
      <c r="EW594">
        <f>IF(OR(EU$3="",EU$3&gt;TODAY()),"",IF(AND(EU594="",EV594=""),"",N(EV594)-N(EU594)))</f>
        <v/>
      </c>
      <c r="EZ594">
        <f>IF(OR(EU$3="",EU$3&gt;TODAY()),"",IF(AND(EX594="",EY594=""),"",N(EY594)-N(EX594)))</f>
        <v/>
      </c>
      <c r="FD594">
        <f>IF(OR(FB$3="",FB$3&gt;TODAY()),"",IF(AND(FB594="",FC594=""),"",N(FC594)-N(FB594)))</f>
        <v/>
      </c>
      <c r="FG594">
        <f>IF(OR(FB$3="",FB$3&gt;TODAY()),"",IF(AND(FE594="",FF594=""),"",N(FF594)-N(FE594)))</f>
        <v/>
      </c>
      <c r="FK594">
        <f>IF(OR(FI$3="",FI$3&gt;TODAY()),"",IF(AND(FI594="",FJ594=""),"",N(FJ594)-N(FI594)))</f>
        <v/>
      </c>
      <c r="FN594">
        <f>IF(OR(FI$3="",FI$3&gt;TODAY()),"",IF(AND(FL594="",FM594=""),"",N(FM594)-N(FL594)))</f>
        <v/>
      </c>
      <c r="FR594">
        <f>IF(OR(FP$3="",FP$3&gt;TODAY()),"",IF(AND(FP594="",FQ594=""),"",N(FQ594)-N(FP594)))</f>
        <v/>
      </c>
      <c r="FU594">
        <f>IF(OR(FP$3="",FP$3&gt;TODAY()),"",IF(AND(FS594="",FT594=""),"",N(FT594)-N(FS594)))</f>
        <v/>
      </c>
      <c r="FY594">
        <f>IF(OR(FW$3="",FW$3&gt;TODAY()),"",IF(AND(FW594="",FX594=""),"",N(FX594)-N(FW594)))</f>
        <v/>
      </c>
      <c r="GB594">
        <f>IF(OR(FW$3="",FW$3&gt;TODAY()),"",IF(AND(FZ594="",GA594=""),"",N(GA594)-N(FZ594)))</f>
        <v/>
      </c>
      <c r="GF594">
        <f>IF(OR(GD$3="",GD$3&gt;TODAY()),"",IF(AND(GD594="",GE594=""),"",N(GE594)-N(GD594)))</f>
        <v/>
      </c>
      <c r="GI594">
        <f>IF(OR(GD$3="",GD$3&gt;TODAY()),"",IF(AND(GG594="",GH594=""),"",N(GH594)-N(GG594)))</f>
        <v/>
      </c>
      <c r="GM594">
        <f>IF(OR(GK$3="",GK$3&gt;TODAY()),"",IF(AND(GK594="",GL594=""),"",N(GL594)-N(GK594)))</f>
        <v/>
      </c>
      <c r="GP594">
        <f>IF(OR(GK$3="",GK$3&gt;TODAY()),"",IF(AND(GN594="",GO594=""),"",N(GO594)-N(GN594)))</f>
        <v/>
      </c>
      <c r="GT594">
        <f>IF(OR(GR$3="",GR$3&gt;TODAY()),"",IF(AND(GR594="",GS594=""),"",N(GS594)-N(GR594)))</f>
        <v/>
      </c>
      <c r="GW594">
        <f>IF(OR(GR$3="",GR$3&gt;TODAY()),"",IF(AND(GU594="",GV594=""),"",N(GV594)-N(GU594)))</f>
        <v/>
      </c>
      <c r="HA594">
        <f>IF(OR(GY$3="",GY$3&gt;TODAY()),"",IF(AND(GY594="",GZ594=""),"",N(GZ594)-N(GY594)))</f>
        <v/>
      </c>
      <c r="HD594">
        <f>IF(OR(GY$3="",GY$3&gt;TODAY()),"",IF(AND(HB594="",HC594=""),"",N(HC594)-N(HB594)))</f>
        <v/>
      </c>
      <c r="HH594">
        <f>IF(OR(HF$3="",HF$3&gt;TODAY()),"",IF(AND(HF594="",HG594=""),"",N(HG594)-N(HF594)))</f>
        <v/>
      </c>
      <c r="HK594">
        <f>IF(OR(HF$3="",HF$3&gt;TODAY()),"",IF(AND(HI594="",HJ594=""),"",N(HJ594)-N(HI594)))</f>
        <v/>
      </c>
      <c r="HO594">
        <f>IF(OR(HM$3="",HM$3&gt;TODAY()),"",IF(AND(HM594="",HN594=""),"",N(HN594)-N(HM594)))</f>
        <v/>
      </c>
      <c r="HR594">
        <f>IF(OR(HM$3="",HM$3&gt;TODAY()),"",IF(AND(HP594="",HQ594=""),"",N(HQ594)-N(HP594)))</f>
        <v/>
      </c>
      <c r="HV594">
        <f>IF(OR(HT$3="",HT$3&gt;TODAY()),"",IF(AND(HT594="",HU594=""),"",N(HU594)-N(HT594)))</f>
        <v/>
      </c>
      <c r="HY594">
        <f>IF(OR(HT$3="",HT$3&gt;TODAY()),"",IF(AND(HW594="",HX594=""),"",N(HX594)-N(HW594)))</f>
        <v/>
      </c>
      <c r="IC594">
        <f>IF(OR(IA$3="",IA$3&gt;TODAY()),"",IF(AND(IA594="",IB594=""),"",N(IB594)-N(IA594)))</f>
        <v/>
      </c>
      <c r="IF594">
        <f>IF(OR(IA$3="",IA$3&gt;TODAY()),"",IF(AND(ID594="",IE594=""),"",N(IE594)-N(ID594)))</f>
        <v/>
      </c>
      <c r="IJ594">
        <f>IF(OR(IH$3="",IH$3&gt;TODAY()),"",IF(AND(IH594="",II594=""),"",N(II594)-N(IH594)))</f>
        <v/>
      </c>
      <c r="IM594">
        <f>IF(OR(IH$3="",IH$3&gt;TODAY()),"",IF(AND(IK594="",IL594=""),"",N(IL594)-N(IK594)))</f>
        <v/>
      </c>
    </row>
    <row r="595">
      <c r="A595" s="21" t="n"/>
      <c r="B595" s="21" t="n"/>
      <c r="C595" s="21" t="n"/>
      <c r="D595" s="21" t="n"/>
      <c r="E595" s="21" t="n"/>
      <c r="F595" s="21" t="n"/>
      <c r="G595" s="21" t="n"/>
      <c r="H595" s="21" t="n"/>
      <c r="I595" s="22" t="n"/>
      <c r="J595" s="22" t="n"/>
      <c r="K595" s="23" t="n"/>
      <c r="L595" s="22" t="n"/>
      <c r="M595" s="22" t="n"/>
      <c r="N595" s="21" t="n"/>
      <c r="O595" s="23" t="n"/>
      <c r="P595" s="23" t="n"/>
      <c r="Q595" s="23" t="n"/>
      <c r="R595" s="23" t="n"/>
      <c r="S595" s="22" t="n"/>
      <c r="T595" s="23" t="n"/>
      <c r="U595" s="23" t="n"/>
      <c r="V595" s="24">
        <f>IF(J595&lt;&gt;"",J595,IF(I595&lt;&gt;"",I595,""))</f>
        <v/>
      </c>
      <c r="W595" s="25">
        <f>IF($E595="","",N(O595)+SUMIFS($AF595:$IN595,$AF$4:$IN$4,"SEW_ACT"))</f>
        <v/>
      </c>
      <c r="X595" s="25">
        <f>IF($E595="","",N(P595)+SUMIFS($AF595:$IN595,$AF$4:$IN$4,"WASH_ACT"))</f>
        <v/>
      </c>
      <c r="Y595" s="25">
        <f>IF($E595="","",W595-X595-N(T595)-N(U595))</f>
        <v/>
      </c>
      <c r="Z595" s="25">
        <f>IF($E595="","",IF(N(K595)-X595&lt;=0.02*N(K595),0,N(K595)-X595))</f>
        <v/>
      </c>
      <c r="AA595" s="24">
        <f>IF($E595="","",IF(S595&lt;&gt;"",S595,IF(N(O595)&gt;0,IF(L595&lt;&gt;"",L595,99999),IFERROR(1/(1/_xlfn.MINIFS($AF$3:$IN$3,$AF$4:$IN$4,"SEW_ACT",$AF595:$IN595,"&gt;0")),99999))))</f>
        <v/>
      </c>
      <c r="AB595" s="26">
        <f>IF(OR($E595="",Z595=0,V595=""),"",1+COUNTIFS(Z$8:Z$707,"&gt;0",V$8:V$707,"&lt;"&amp;V595)+COUNTIFS(Z$8:Z$707,"&gt;0",V$8:V$707,V595,AA$8:AA$707,"&lt;"&amp;AA595)+COUNTIFS(Z$8:Z$707,"&gt;0",V$8:V$707,V595,AA$8:AA$707,AA595,E$8:E$707,"&lt;"&amp;$E595))</f>
        <v/>
      </c>
      <c r="AC595" s="24">
        <f>IF(OR($E595="",Z595=0),"",IFERROR(TODAY()+ROUNDUP(Z595/(SUMIFS($AF595:$IN595,$AF$4:$IN$4,"WASH_ACT")/COUNTIFS($AF$4:$IN$4,"WASH_ACT",$AF595:$IN595,"&gt;0")),0),"no output yet"))</f>
        <v/>
      </c>
      <c r="AD595" s="26">
        <f>IF($E595="","",IFERROR(ROUND(MAX(0,SUMIFS($AF595:$IN595,$AF$4:$IN$4,"SEW_PLAN",$AF$3:$IN$3,"&lt;="&amp;TODAY())-SUMIFS($AF595:$IN595,$AF$4:$IN$4,"SEW_ACT",$AF$3:$IN$3,"&lt;="&amp;TODAY())+N(Q595))/(SUMIFS($AF595:$IN595,$AF$4:$IN$4,"SEW_PLAN")/COUNTIFS($AF$4:$IN$4,"SEW_PLAN",$AF595:$IN595,"&gt;0")),1),0))</f>
        <v/>
      </c>
      <c r="AE595" s="26">
        <f>IF($E595="","",IF(AND(Z595&gt;0,OR(AND(M595&lt;&gt;"",TODAY()&gt;M595),AND(V595&lt;&gt;"",V595-TODAY()&lt;=7))),"Yes","No"))</f>
        <v/>
      </c>
      <c r="AH595">
        <f>IF(OR(AF$3="",AF$3&gt;TODAY()),"",IF(AND(AF595="",AG595=""),"",N(AG595)-N(AF595)))</f>
        <v/>
      </c>
      <c r="AK595">
        <f>IF(OR(AF$3="",AF$3&gt;TODAY()),"",IF(AND(AI595="",AJ595=""),"",N(AJ595)-N(AI595)))</f>
        <v/>
      </c>
      <c r="AO595">
        <f>IF(OR(AM$3="",AM$3&gt;TODAY()),"",IF(AND(AM595="",AN595=""),"",N(AN595)-N(AM595)))</f>
        <v/>
      </c>
      <c r="AR595">
        <f>IF(OR(AM$3="",AM$3&gt;TODAY()),"",IF(AND(AP595="",AQ595=""),"",N(AQ595)-N(AP595)))</f>
        <v/>
      </c>
      <c r="AV595">
        <f>IF(OR(AT$3="",AT$3&gt;TODAY()),"",IF(AND(AT595="",AU595=""),"",N(AU595)-N(AT595)))</f>
        <v/>
      </c>
      <c r="AY595">
        <f>IF(OR(AT$3="",AT$3&gt;TODAY()),"",IF(AND(AW595="",AX595=""),"",N(AX595)-N(AW595)))</f>
        <v/>
      </c>
      <c r="BC595">
        <f>IF(OR(BA$3="",BA$3&gt;TODAY()),"",IF(AND(BA595="",BB595=""),"",N(BB595)-N(BA595)))</f>
        <v/>
      </c>
      <c r="BF595">
        <f>IF(OR(BA$3="",BA$3&gt;TODAY()),"",IF(AND(BD595="",BE595=""),"",N(BE595)-N(BD595)))</f>
        <v/>
      </c>
      <c r="BJ595">
        <f>IF(OR(BH$3="",BH$3&gt;TODAY()),"",IF(AND(BH595="",BI595=""),"",N(BI595)-N(BH595)))</f>
        <v/>
      </c>
      <c r="BM595">
        <f>IF(OR(BH$3="",BH$3&gt;TODAY()),"",IF(AND(BK595="",BL595=""),"",N(BL595)-N(BK595)))</f>
        <v/>
      </c>
      <c r="BQ595">
        <f>IF(OR(BO$3="",BO$3&gt;TODAY()),"",IF(AND(BO595="",BP595=""),"",N(BP595)-N(BO595)))</f>
        <v/>
      </c>
      <c r="BT595">
        <f>IF(OR(BO$3="",BO$3&gt;TODAY()),"",IF(AND(BR595="",BS595=""),"",N(BS595)-N(BR595)))</f>
        <v/>
      </c>
      <c r="BX595">
        <f>IF(OR(BV$3="",BV$3&gt;TODAY()),"",IF(AND(BV595="",BW595=""),"",N(BW595)-N(BV595)))</f>
        <v/>
      </c>
      <c r="CA595">
        <f>IF(OR(BV$3="",BV$3&gt;TODAY()),"",IF(AND(BY595="",BZ595=""),"",N(BZ595)-N(BY595)))</f>
        <v/>
      </c>
      <c r="CE595">
        <f>IF(OR(CC$3="",CC$3&gt;TODAY()),"",IF(AND(CC595="",CD595=""),"",N(CD595)-N(CC595)))</f>
        <v/>
      </c>
      <c r="CH595">
        <f>IF(OR(CC$3="",CC$3&gt;TODAY()),"",IF(AND(CF595="",CG595=""),"",N(CG595)-N(CF595)))</f>
        <v/>
      </c>
      <c r="CL595">
        <f>IF(OR(CJ$3="",CJ$3&gt;TODAY()),"",IF(AND(CJ595="",CK595=""),"",N(CK595)-N(CJ595)))</f>
        <v/>
      </c>
      <c r="CO595">
        <f>IF(OR(CJ$3="",CJ$3&gt;TODAY()),"",IF(AND(CM595="",CN595=""),"",N(CN595)-N(CM595)))</f>
        <v/>
      </c>
      <c r="CS595">
        <f>IF(OR(CQ$3="",CQ$3&gt;TODAY()),"",IF(AND(CQ595="",CR595=""),"",N(CR595)-N(CQ595)))</f>
        <v/>
      </c>
      <c r="CV595">
        <f>IF(OR(CQ$3="",CQ$3&gt;TODAY()),"",IF(AND(CT595="",CU595=""),"",N(CU595)-N(CT595)))</f>
        <v/>
      </c>
      <c r="CZ595">
        <f>IF(OR(CX$3="",CX$3&gt;TODAY()),"",IF(AND(CX595="",CY595=""),"",N(CY595)-N(CX595)))</f>
        <v/>
      </c>
      <c r="DC595">
        <f>IF(OR(CX$3="",CX$3&gt;TODAY()),"",IF(AND(DA595="",DB595=""),"",N(DB595)-N(DA595)))</f>
        <v/>
      </c>
      <c r="DG595">
        <f>IF(OR(DE$3="",DE$3&gt;TODAY()),"",IF(AND(DE595="",DF595=""),"",N(DF595)-N(DE595)))</f>
        <v/>
      </c>
      <c r="DJ595">
        <f>IF(OR(DE$3="",DE$3&gt;TODAY()),"",IF(AND(DH595="",DI595=""),"",N(DI595)-N(DH595)))</f>
        <v/>
      </c>
      <c r="DN595">
        <f>IF(OR(DL$3="",DL$3&gt;TODAY()),"",IF(AND(DL595="",DM595=""),"",N(DM595)-N(DL595)))</f>
        <v/>
      </c>
      <c r="DQ595">
        <f>IF(OR(DL$3="",DL$3&gt;TODAY()),"",IF(AND(DO595="",DP595=""),"",N(DP595)-N(DO595)))</f>
        <v/>
      </c>
      <c r="DU595">
        <f>IF(OR(DS$3="",DS$3&gt;TODAY()),"",IF(AND(DS595="",DT595=""),"",N(DT595)-N(DS595)))</f>
        <v/>
      </c>
      <c r="DX595">
        <f>IF(OR(DS$3="",DS$3&gt;TODAY()),"",IF(AND(DV595="",DW595=""),"",N(DW595)-N(DV595)))</f>
        <v/>
      </c>
      <c r="EB595">
        <f>IF(OR(DZ$3="",DZ$3&gt;TODAY()),"",IF(AND(DZ595="",EA595=""),"",N(EA595)-N(DZ595)))</f>
        <v/>
      </c>
      <c r="EE595">
        <f>IF(OR(DZ$3="",DZ$3&gt;TODAY()),"",IF(AND(EC595="",ED595=""),"",N(ED595)-N(EC595)))</f>
        <v/>
      </c>
      <c r="EI595">
        <f>IF(OR(EG$3="",EG$3&gt;TODAY()),"",IF(AND(EG595="",EH595=""),"",N(EH595)-N(EG595)))</f>
        <v/>
      </c>
      <c r="EL595">
        <f>IF(OR(EG$3="",EG$3&gt;TODAY()),"",IF(AND(EJ595="",EK595=""),"",N(EK595)-N(EJ595)))</f>
        <v/>
      </c>
      <c r="EP595">
        <f>IF(OR(EN$3="",EN$3&gt;TODAY()),"",IF(AND(EN595="",EO595=""),"",N(EO595)-N(EN595)))</f>
        <v/>
      </c>
      <c r="ES595">
        <f>IF(OR(EN$3="",EN$3&gt;TODAY()),"",IF(AND(EQ595="",ER595=""),"",N(ER595)-N(EQ595)))</f>
        <v/>
      </c>
      <c r="EW595">
        <f>IF(OR(EU$3="",EU$3&gt;TODAY()),"",IF(AND(EU595="",EV595=""),"",N(EV595)-N(EU595)))</f>
        <v/>
      </c>
      <c r="EZ595">
        <f>IF(OR(EU$3="",EU$3&gt;TODAY()),"",IF(AND(EX595="",EY595=""),"",N(EY595)-N(EX595)))</f>
        <v/>
      </c>
      <c r="FD595">
        <f>IF(OR(FB$3="",FB$3&gt;TODAY()),"",IF(AND(FB595="",FC595=""),"",N(FC595)-N(FB595)))</f>
        <v/>
      </c>
      <c r="FG595">
        <f>IF(OR(FB$3="",FB$3&gt;TODAY()),"",IF(AND(FE595="",FF595=""),"",N(FF595)-N(FE595)))</f>
        <v/>
      </c>
      <c r="FK595">
        <f>IF(OR(FI$3="",FI$3&gt;TODAY()),"",IF(AND(FI595="",FJ595=""),"",N(FJ595)-N(FI595)))</f>
        <v/>
      </c>
      <c r="FN595">
        <f>IF(OR(FI$3="",FI$3&gt;TODAY()),"",IF(AND(FL595="",FM595=""),"",N(FM595)-N(FL595)))</f>
        <v/>
      </c>
      <c r="FR595">
        <f>IF(OR(FP$3="",FP$3&gt;TODAY()),"",IF(AND(FP595="",FQ595=""),"",N(FQ595)-N(FP595)))</f>
        <v/>
      </c>
      <c r="FU595">
        <f>IF(OR(FP$3="",FP$3&gt;TODAY()),"",IF(AND(FS595="",FT595=""),"",N(FT595)-N(FS595)))</f>
        <v/>
      </c>
      <c r="FY595">
        <f>IF(OR(FW$3="",FW$3&gt;TODAY()),"",IF(AND(FW595="",FX595=""),"",N(FX595)-N(FW595)))</f>
        <v/>
      </c>
      <c r="GB595">
        <f>IF(OR(FW$3="",FW$3&gt;TODAY()),"",IF(AND(FZ595="",GA595=""),"",N(GA595)-N(FZ595)))</f>
        <v/>
      </c>
      <c r="GF595">
        <f>IF(OR(GD$3="",GD$3&gt;TODAY()),"",IF(AND(GD595="",GE595=""),"",N(GE595)-N(GD595)))</f>
        <v/>
      </c>
      <c r="GI595">
        <f>IF(OR(GD$3="",GD$3&gt;TODAY()),"",IF(AND(GG595="",GH595=""),"",N(GH595)-N(GG595)))</f>
        <v/>
      </c>
      <c r="GM595">
        <f>IF(OR(GK$3="",GK$3&gt;TODAY()),"",IF(AND(GK595="",GL595=""),"",N(GL595)-N(GK595)))</f>
        <v/>
      </c>
      <c r="GP595">
        <f>IF(OR(GK$3="",GK$3&gt;TODAY()),"",IF(AND(GN595="",GO595=""),"",N(GO595)-N(GN595)))</f>
        <v/>
      </c>
      <c r="GT595">
        <f>IF(OR(GR$3="",GR$3&gt;TODAY()),"",IF(AND(GR595="",GS595=""),"",N(GS595)-N(GR595)))</f>
        <v/>
      </c>
      <c r="GW595">
        <f>IF(OR(GR$3="",GR$3&gt;TODAY()),"",IF(AND(GU595="",GV595=""),"",N(GV595)-N(GU595)))</f>
        <v/>
      </c>
      <c r="HA595">
        <f>IF(OR(GY$3="",GY$3&gt;TODAY()),"",IF(AND(GY595="",GZ595=""),"",N(GZ595)-N(GY595)))</f>
        <v/>
      </c>
      <c r="HD595">
        <f>IF(OR(GY$3="",GY$3&gt;TODAY()),"",IF(AND(HB595="",HC595=""),"",N(HC595)-N(HB595)))</f>
        <v/>
      </c>
      <c r="HH595">
        <f>IF(OR(HF$3="",HF$3&gt;TODAY()),"",IF(AND(HF595="",HG595=""),"",N(HG595)-N(HF595)))</f>
        <v/>
      </c>
      <c r="HK595">
        <f>IF(OR(HF$3="",HF$3&gt;TODAY()),"",IF(AND(HI595="",HJ595=""),"",N(HJ595)-N(HI595)))</f>
        <v/>
      </c>
      <c r="HO595">
        <f>IF(OR(HM$3="",HM$3&gt;TODAY()),"",IF(AND(HM595="",HN595=""),"",N(HN595)-N(HM595)))</f>
        <v/>
      </c>
      <c r="HR595">
        <f>IF(OR(HM$3="",HM$3&gt;TODAY()),"",IF(AND(HP595="",HQ595=""),"",N(HQ595)-N(HP595)))</f>
        <v/>
      </c>
      <c r="HV595">
        <f>IF(OR(HT$3="",HT$3&gt;TODAY()),"",IF(AND(HT595="",HU595=""),"",N(HU595)-N(HT595)))</f>
        <v/>
      </c>
      <c r="HY595">
        <f>IF(OR(HT$3="",HT$3&gt;TODAY()),"",IF(AND(HW595="",HX595=""),"",N(HX595)-N(HW595)))</f>
        <v/>
      </c>
      <c r="IC595">
        <f>IF(OR(IA$3="",IA$3&gt;TODAY()),"",IF(AND(IA595="",IB595=""),"",N(IB595)-N(IA595)))</f>
        <v/>
      </c>
      <c r="IF595">
        <f>IF(OR(IA$3="",IA$3&gt;TODAY()),"",IF(AND(ID595="",IE595=""),"",N(IE595)-N(ID595)))</f>
        <v/>
      </c>
      <c r="IJ595">
        <f>IF(OR(IH$3="",IH$3&gt;TODAY()),"",IF(AND(IH595="",II595=""),"",N(II595)-N(IH595)))</f>
        <v/>
      </c>
      <c r="IM595">
        <f>IF(OR(IH$3="",IH$3&gt;TODAY()),"",IF(AND(IK595="",IL595=""),"",N(IL595)-N(IK595)))</f>
        <v/>
      </c>
    </row>
    <row r="596">
      <c r="A596" s="21" t="n"/>
      <c r="B596" s="21" t="n"/>
      <c r="C596" s="21" t="n"/>
      <c r="D596" s="21" t="n"/>
      <c r="E596" s="21" t="n"/>
      <c r="F596" s="21" t="n"/>
      <c r="G596" s="21" t="n"/>
      <c r="H596" s="21" t="n"/>
      <c r="I596" s="22" t="n"/>
      <c r="J596" s="22" t="n"/>
      <c r="K596" s="23" t="n"/>
      <c r="L596" s="22" t="n"/>
      <c r="M596" s="22" t="n"/>
      <c r="N596" s="21" t="n"/>
      <c r="O596" s="23" t="n"/>
      <c r="P596" s="23" t="n"/>
      <c r="Q596" s="23" t="n"/>
      <c r="R596" s="23" t="n"/>
      <c r="S596" s="22" t="n"/>
      <c r="T596" s="23" t="n"/>
      <c r="U596" s="23" t="n"/>
      <c r="V596" s="24">
        <f>IF(J596&lt;&gt;"",J596,IF(I596&lt;&gt;"",I596,""))</f>
        <v/>
      </c>
      <c r="W596" s="25">
        <f>IF($E596="","",N(O596)+SUMIFS($AF596:$IN596,$AF$4:$IN$4,"SEW_ACT"))</f>
        <v/>
      </c>
      <c r="X596" s="25">
        <f>IF($E596="","",N(P596)+SUMIFS($AF596:$IN596,$AF$4:$IN$4,"WASH_ACT"))</f>
        <v/>
      </c>
      <c r="Y596" s="25">
        <f>IF($E596="","",W596-X596-N(T596)-N(U596))</f>
        <v/>
      </c>
      <c r="Z596" s="25">
        <f>IF($E596="","",IF(N(K596)-X596&lt;=0.02*N(K596),0,N(K596)-X596))</f>
        <v/>
      </c>
      <c r="AA596" s="24">
        <f>IF($E596="","",IF(S596&lt;&gt;"",S596,IF(N(O596)&gt;0,IF(L596&lt;&gt;"",L596,99999),IFERROR(1/(1/_xlfn.MINIFS($AF$3:$IN$3,$AF$4:$IN$4,"SEW_ACT",$AF596:$IN596,"&gt;0")),99999))))</f>
        <v/>
      </c>
      <c r="AB596" s="26">
        <f>IF(OR($E596="",Z596=0,V596=""),"",1+COUNTIFS(Z$8:Z$707,"&gt;0",V$8:V$707,"&lt;"&amp;V596)+COUNTIFS(Z$8:Z$707,"&gt;0",V$8:V$707,V596,AA$8:AA$707,"&lt;"&amp;AA596)+COUNTIFS(Z$8:Z$707,"&gt;0",V$8:V$707,V596,AA$8:AA$707,AA596,E$8:E$707,"&lt;"&amp;$E596))</f>
        <v/>
      </c>
      <c r="AC596" s="24">
        <f>IF(OR($E596="",Z596=0),"",IFERROR(TODAY()+ROUNDUP(Z596/(SUMIFS($AF596:$IN596,$AF$4:$IN$4,"WASH_ACT")/COUNTIFS($AF$4:$IN$4,"WASH_ACT",$AF596:$IN596,"&gt;0")),0),"no output yet"))</f>
        <v/>
      </c>
      <c r="AD596" s="26">
        <f>IF($E596="","",IFERROR(ROUND(MAX(0,SUMIFS($AF596:$IN596,$AF$4:$IN$4,"SEW_PLAN",$AF$3:$IN$3,"&lt;="&amp;TODAY())-SUMIFS($AF596:$IN596,$AF$4:$IN$4,"SEW_ACT",$AF$3:$IN$3,"&lt;="&amp;TODAY())+N(Q596))/(SUMIFS($AF596:$IN596,$AF$4:$IN$4,"SEW_PLAN")/COUNTIFS($AF$4:$IN$4,"SEW_PLAN",$AF596:$IN596,"&gt;0")),1),0))</f>
        <v/>
      </c>
      <c r="AE596" s="26">
        <f>IF($E596="","",IF(AND(Z596&gt;0,OR(AND(M596&lt;&gt;"",TODAY()&gt;M596),AND(V596&lt;&gt;"",V596-TODAY()&lt;=7))),"Yes","No"))</f>
        <v/>
      </c>
      <c r="AH596">
        <f>IF(OR(AF$3="",AF$3&gt;TODAY()),"",IF(AND(AF596="",AG596=""),"",N(AG596)-N(AF596)))</f>
        <v/>
      </c>
      <c r="AK596">
        <f>IF(OR(AF$3="",AF$3&gt;TODAY()),"",IF(AND(AI596="",AJ596=""),"",N(AJ596)-N(AI596)))</f>
        <v/>
      </c>
      <c r="AO596">
        <f>IF(OR(AM$3="",AM$3&gt;TODAY()),"",IF(AND(AM596="",AN596=""),"",N(AN596)-N(AM596)))</f>
        <v/>
      </c>
      <c r="AR596">
        <f>IF(OR(AM$3="",AM$3&gt;TODAY()),"",IF(AND(AP596="",AQ596=""),"",N(AQ596)-N(AP596)))</f>
        <v/>
      </c>
      <c r="AV596">
        <f>IF(OR(AT$3="",AT$3&gt;TODAY()),"",IF(AND(AT596="",AU596=""),"",N(AU596)-N(AT596)))</f>
        <v/>
      </c>
      <c r="AY596">
        <f>IF(OR(AT$3="",AT$3&gt;TODAY()),"",IF(AND(AW596="",AX596=""),"",N(AX596)-N(AW596)))</f>
        <v/>
      </c>
      <c r="BC596">
        <f>IF(OR(BA$3="",BA$3&gt;TODAY()),"",IF(AND(BA596="",BB596=""),"",N(BB596)-N(BA596)))</f>
        <v/>
      </c>
      <c r="BF596">
        <f>IF(OR(BA$3="",BA$3&gt;TODAY()),"",IF(AND(BD596="",BE596=""),"",N(BE596)-N(BD596)))</f>
        <v/>
      </c>
      <c r="BJ596">
        <f>IF(OR(BH$3="",BH$3&gt;TODAY()),"",IF(AND(BH596="",BI596=""),"",N(BI596)-N(BH596)))</f>
        <v/>
      </c>
      <c r="BM596">
        <f>IF(OR(BH$3="",BH$3&gt;TODAY()),"",IF(AND(BK596="",BL596=""),"",N(BL596)-N(BK596)))</f>
        <v/>
      </c>
      <c r="BQ596">
        <f>IF(OR(BO$3="",BO$3&gt;TODAY()),"",IF(AND(BO596="",BP596=""),"",N(BP596)-N(BO596)))</f>
        <v/>
      </c>
      <c r="BT596">
        <f>IF(OR(BO$3="",BO$3&gt;TODAY()),"",IF(AND(BR596="",BS596=""),"",N(BS596)-N(BR596)))</f>
        <v/>
      </c>
      <c r="BX596">
        <f>IF(OR(BV$3="",BV$3&gt;TODAY()),"",IF(AND(BV596="",BW596=""),"",N(BW596)-N(BV596)))</f>
        <v/>
      </c>
      <c r="CA596">
        <f>IF(OR(BV$3="",BV$3&gt;TODAY()),"",IF(AND(BY596="",BZ596=""),"",N(BZ596)-N(BY596)))</f>
        <v/>
      </c>
      <c r="CE596">
        <f>IF(OR(CC$3="",CC$3&gt;TODAY()),"",IF(AND(CC596="",CD596=""),"",N(CD596)-N(CC596)))</f>
        <v/>
      </c>
      <c r="CH596">
        <f>IF(OR(CC$3="",CC$3&gt;TODAY()),"",IF(AND(CF596="",CG596=""),"",N(CG596)-N(CF596)))</f>
        <v/>
      </c>
      <c r="CL596">
        <f>IF(OR(CJ$3="",CJ$3&gt;TODAY()),"",IF(AND(CJ596="",CK596=""),"",N(CK596)-N(CJ596)))</f>
        <v/>
      </c>
      <c r="CO596">
        <f>IF(OR(CJ$3="",CJ$3&gt;TODAY()),"",IF(AND(CM596="",CN596=""),"",N(CN596)-N(CM596)))</f>
        <v/>
      </c>
      <c r="CS596">
        <f>IF(OR(CQ$3="",CQ$3&gt;TODAY()),"",IF(AND(CQ596="",CR596=""),"",N(CR596)-N(CQ596)))</f>
        <v/>
      </c>
      <c r="CV596">
        <f>IF(OR(CQ$3="",CQ$3&gt;TODAY()),"",IF(AND(CT596="",CU596=""),"",N(CU596)-N(CT596)))</f>
        <v/>
      </c>
      <c r="CZ596">
        <f>IF(OR(CX$3="",CX$3&gt;TODAY()),"",IF(AND(CX596="",CY596=""),"",N(CY596)-N(CX596)))</f>
        <v/>
      </c>
      <c r="DC596">
        <f>IF(OR(CX$3="",CX$3&gt;TODAY()),"",IF(AND(DA596="",DB596=""),"",N(DB596)-N(DA596)))</f>
        <v/>
      </c>
      <c r="DG596">
        <f>IF(OR(DE$3="",DE$3&gt;TODAY()),"",IF(AND(DE596="",DF596=""),"",N(DF596)-N(DE596)))</f>
        <v/>
      </c>
      <c r="DJ596">
        <f>IF(OR(DE$3="",DE$3&gt;TODAY()),"",IF(AND(DH596="",DI596=""),"",N(DI596)-N(DH596)))</f>
        <v/>
      </c>
      <c r="DN596">
        <f>IF(OR(DL$3="",DL$3&gt;TODAY()),"",IF(AND(DL596="",DM596=""),"",N(DM596)-N(DL596)))</f>
        <v/>
      </c>
      <c r="DQ596">
        <f>IF(OR(DL$3="",DL$3&gt;TODAY()),"",IF(AND(DO596="",DP596=""),"",N(DP596)-N(DO596)))</f>
        <v/>
      </c>
      <c r="DU596">
        <f>IF(OR(DS$3="",DS$3&gt;TODAY()),"",IF(AND(DS596="",DT596=""),"",N(DT596)-N(DS596)))</f>
        <v/>
      </c>
      <c r="DX596">
        <f>IF(OR(DS$3="",DS$3&gt;TODAY()),"",IF(AND(DV596="",DW596=""),"",N(DW596)-N(DV596)))</f>
        <v/>
      </c>
      <c r="EB596">
        <f>IF(OR(DZ$3="",DZ$3&gt;TODAY()),"",IF(AND(DZ596="",EA596=""),"",N(EA596)-N(DZ596)))</f>
        <v/>
      </c>
      <c r="EE596">
        <f>IF(OR(DZ$3="",DZ$3&gt;TODAY()),"",IF(AND(EC596="",ED596=""),"",N(ED596)-N(EC596)))</f>
        <v/>
      </c>
      <c r="EI596">
        <f>IF(OR(EG$3="",EG$3&gt;TODAY()),"",IF(AND(EG596="",EH596=""),"",N(EH596)-N(EG596)))</f>
        <v/>
      </c>
      <c r="EL596">
        <f>IF(OR(EG$3="",EG$3&gt;TODAY()),"",IF(AND(EJ596="",EK596=""),"",N(EK596)-N(EJ596)))</f>
        <v/>
      </c>
      <c r="EP596">
        <f>IF(OR(EN$3="",EN$3&gt;TODAY()),"",IF(AND(EN596="",EO596=""),"",N(EO596)-N(EN596)))</f>
        <v/>
      </c>
      <c r="ES596">
        <f>IF(OR(EN$3="",EN$3&gt;TODAY()),"",IF(AND(EQ596="",ER596=""),"",N(ER596)-N(EQ596)))</f>
        <v/>
      </c>
      <c r="EW596">
        <f>IF(OR(EU$3="",EU$3&gt;TODAY()),"",IF(AND(EU596="",EV596=""),"",N(EV596)-N(EU596)))</f>
        <v/>
      </c>
      <c r="EZ596">
        <f>IF(OR(EU$3="",EU$3&gt;TODAY()),"",IF(AND(EX596="",EY596=""),"",N(EY596)-N(EX596)))</f>
        <v/>
      </c>
      <c r="FD596">
        <f>IF(OR(FB$3="",FB$3&gt;TODAY()),"",IF(AND(FB596="",FC596=""),"",N(FC596)-N(FB596)))</f>
        <v/>
      </c>
      <c r="FG596">
        <f>IF(OR(FB$3="",FB$3&gt;TODAY()),"",IF(AND(FE596="",FF596=""),"",N(FF596)-N(FE596)))</f>
        <v/>
      </c>
      <c r="FK596">
        <f>IF(OR(FI$3="",FI$3&gt;TODAY()),"",IF(AND(FI596="",FJ596=""),"",N(FJ596)-N(FI596)))</f>
        <v/>
      </c>
      <c r="FN596">
        <f>IF(OR(FI$3="",FI$3&gt;TODAY()),"",IF(AND(FL596="",FM596=""),"",N(FM596)-N(FL596)))</f>
        <v/>
      </c>
      <c r="FR596">
        <f>IF(OR(FP$3="",FP$3&gt;TODAY()),"",IF(AND(FP596="",FQ596=""),"",N(FQ596)-N(FP596)))</f>
        <v/>
      </c>
      <c r="FU596">
        <f>IF(OR(FP$3="",FP$3&gt;TODAY()),"",IF(AND(FS596="",FT596=""),"",N(FT596)-N(FS596)))</f>
        <v/>
      </c>
      <c r="FY596">
        <f>IF(OR(FW$3="",FW$3&gt;TODAY()),"",IF(AND(FW596="",FX596=""),"",N(FX596)-N(FW596)))</f>
        <v/>
      </c>
      <c r="GB596">
        <f>IF(OR(FW$3="",FW$3&gt;TODAY()),"",IF(AND(FZ596="",GA596=""),"",N(GA596)-N(FZ596)))</f>
        <v/>
      </c>
      <c r="GF596">
        <f>IF(OR(GD$3="",GD$3&gt;TODAY()),"",IF(AND(GD596="",GE596=""),"",N(GE596)-N(GD596)))</f>
        <v/>
      </c>
      <c r="GI596">
        <f>IF(OR(GD$3="",GD$3&gt;TODAY()),"",IF(AND(GG596="",GH596=""),"",N(GH596)-N(GG596)))</f>
        <v/>
      </c>
      <c r="GM596">
        <f>IF(OR(GK$3="",GK$3&gt;TODAY()),"",IF(AND(GK596="",GL596=""),"",N(GL596)-N(GK596)))</f>
        <v/>
      </c>
      <c r="GP596">
        <f>IF(OR(GK$3="",GK$3&gt;TODAY()),"",IF(AND(GN596="",GO596=""),"",N(GO596)-N(GN596)))</f>
        <v/>
      </c>
      <c r="GT596">
        <f>IF(OR(GR$3="",GR$3&gt;TODAY()),"",IF(AND(GR596="",GS596=""),"",N(GS596)-N(GR596)))</f>
        <v/>
      </c>
      <c r="GW596">
        <f>IF(OR(GR$3="",GR$3&gt;TODAY()),"",IF(AND(GU596="",GV596=""),"",N(GV596)-N(GU596)))</f>
        <v/>
      </c>
      <c r="HA596">
        <f>IF(OR(GY$3="",GY$3&gt;TODAY()),"",IF(AND(GY596="",GZ596=""),"",N(GZ596)-N(GY596)))</f>
        <v/>
      </c>
      <c r="HD596">
        <f>IF(OR(GY$3="",GY$3&gt;TODAY()),"",IF(AND(HB596="",HC596=""),"",N(HC596)-N(HB596)))</f>
        <v/>
      </c>
      <c r="HH596">
        <f>IF(OR(HF$3="",HF$3&gt;TODAY()),"",IF(AND(HF596="",HG596=""),"",N(HG596)-N(HF596)))</f>
        <v/>
      </c>
      <c r="HK596">
        <f>IF(OR(HF$3="",HF$3&gt;TODAY()),"",IF(AND(HI596="",HJ596=""),"",N(HJ596)-N(HI596)))</f>
        <v/>
      </c>
      <c r="HO596">
        <f>IF(OR(HM$3="",HM$3&gt;TODAY()),"",IF(AND(HM596="",HN596=""),"",N(HN596)-N(HM596)))</f>
        <v/>
      </c>
      <c r="HR596">
        <f>IF(OR(HM$3="",HM$3&gt;TODAY()),"",IF(AND(HP596="",HQ596=""),"",N(HQ596)-N(HP596)))</f>
        <v/>
      </c>
      <c r="HV596">
        <f>IF(OR(HT$3="",HT$3&gt;TODAY()),"",IF(AND(HT596="",HU596=""),"",N(HU596)-N(HT596)))</f>
        <v/>
      </c>
      <c r="HY596">
        <f>IF(OR(HT$3="",HT$3&gt;TODAY()),"",IF(AND(HW596="",HX596=""),"",N(HX596)-N(HW596)))</f>
        <v/>
      </c>
      <c r="IC596">
        <f>IF(OR(IA$3="",IA$3&gt;TODAY()),"",IF(AND(IA596="",IB596=""),"",N(IB596)-N(IA596)))</f>
        <v/>
      </c>
      <c r="IF596">
        <f>IF(OR(IA$3="",IA$3&gt;TODAY()),"",IF(AND(ID596="",IE596=""),"",N(IE596)-N(ID596)))</f>
        <v/>
      </c>
      <c r="IJ596">
        <f>IF(OR(IH$3="",IH$3&gt;TODAY()),"",IF(AND(IH596="",II596=""),"",N(II596)-N(IH596)))</f>
        <v/>
      </c>
      <c r="IM596">
        <f>IF(OR(IH$3="",IH$3&gt;TODAY()),"",IF(AND(IK596="",IL596=""),"",N(IL596)-N(IK596)))</f>
        <v/>
      </c>
    </row>
    <row r="597">
      <c r="A597" s="21" t="n"/>
      <c r="B597" s="21" t="n"/>
      <c r="C597" s="21" t="n"/>
      <c r="D597" s="21" t="n"/>
      <c r="E597" s="21" t="n"/>
      <c r="F597" s="21" t="n"/>
      <c r="G597" s="21" t="n"/>
      <c r="H597" s="21" t="n"/>
      <c r="I597" s="22" t="n"/>
      <c r="J597" s="22" t="n"/>
      <c r="K597" s="23" t="n"/>
      <c r="L597" s="22" t="n"/>
      <c r="M597" s="22" t="n"/>
      <c r="N597" s="21" t="n"/>
      <c r="O597" s="23" t="n"/>
      <c r="P597" s="23" t="n"/>
      <c r="Q597" s="23" t="n"/>
      <c r="R597" s="23" t="n"/>
      <c r="S597" s="22" t="n"/>
      <c r="T597" s="23" t="n"/>
      <c r="U597" s="23" t="n"/>
      <c r="V597" s="24">
        <f>IF(J597&lt;&gt;"",J597,IF(I597&lt;&gt;"",I597,""))</f>
        <v/>
      </c>
      <c r="W597" s="25">
        <f>IF($E597="","",N(O597)+SUMIFS($AF597:$IN597,$AF$4:$IN$4,"SEW_ACT"))</f>
        <v/>
      </c>
      <c r="X597" s="25">
        <f>IF($E597="","",N(P597)+SUMIFS($AF597:$IN597,$AF$4:$IN$4,"WASH_ACT"))</f>
        <v/>
      </c>
      <c r="Y597" s="25">
        <f>IF($E597="","",W597-X597-N(T597)-N(U597))</f>
        <v/>
      </c>
      <c r="Z597" s="25">
        <f>IF($E597="","",IF(N(K597)-X597&lt;=0.02*N(K597),0,N(K597)-X597))</f>
        <v/>
      </c>
      <c r="AA597" s="24">
        <f>IF($E597="","",IF(S597&lt;&gt;"",S597,IF(N(O597)&gt;0,IF(L597&lt;&gt;"",L597,99999),IFERROR(1/(1/_xlfn.MINIFS($AF$3:$IN$3,$AF$4:$IN$4,"SEW_ACT",$AF597:$IN597,"&gt;0")),99999))))</f>
        <v/>
      </c>
      <c r="AB597" s="26">
        <f>IF(OR($E597="",Z597=0,V597=""),"",1+COUNTIFS(Z$8:Z$707,"&gt;0",V$8:V$707,"&lt;"&amp;V597)+COUNTIFS(Z$8:Z$707,"&gt;0",V$8:V$707,V597,AA$8:AA$707,"&lt;"&amp;AA597)+COUNTIFS(Z$8:Z$707,"&gt;0",V$8:V$707,V597,AA$8:AA$707,AA597,E$8:E$707,"&lt;"&amp;$E597))</f>
        <v/>
      </c>
      <c r="AC597" s="24">
        <f>IF(OR($E597="",Z597=0),"",IFERROR(TODAY()+ROUNDUP(Z597/(SUMIFS($AF597:$IN597,$AF$4:$IN$4,"WASH_ACT")/COUNTIFS($AF$4:$IN$4,"WASH_ACT",$AF597:$IN597,"&gt;0")),0),"no output yet"))</f>
        <v/>
      </c>
      <c r="AD597" s="26">
        <f>IF($E597="","",IFERROR(ROUND(MAX(0,SUMIFS($AF597:$IN597,$AF$4:$IN$4,"SEW_PLAN",$AF$3:$IN$3,"&lt;="&amp;TODAY())-SUMIFS($AF597:$IN597,$AF$4:$IN$4,"SEW_ACT",$AF$3:$IN$3,"&lt;="&amp;TODAY())+N(Q597))/(SUMIFS($AF597:$IN597,$AF$4:$IN$4,"SEW_PLAN")/COUNTIFS($AF$4:$IN$4,"SEW_PLAN",$AF597:$IN597,"&gt;0")),1),0))</f>
        <v/>
      </c>
      <c r="AE597" s="26">
        <f>IF($E597="","",IF(AND(Z597&gt;0,OR(AND(M597&lt;&gt;"",TODAY()&gt;M597),AND(V597&lt;&gt;"",V597-TODAY()&lt;=7))),"Yes","No"))</f>
        <v/>
      </c>
      <c r="AH597">
        <f>IF(OR(AF$3="",AF$3&gt;TODAY()),"",IF(AND(AF597="",AG597=""),"",N(AG597)-N(AF597)))</f>
        <v/>
      </c>
      <c r="AK597">
        <f>IF(OR(AF$3="",AF$3&gt;TODAY()),"",IF(AND(AI597="",AJ597=""),"",N(AJ597)-N(AI597)))</f>
        <v/>
      </c>
      <c r="AO597">
        <f>IF(OR(AM$3="",AM$3&gt;TODAY()),"",IF(AND(AM597="",AN597=""),"",N(AN597)-N(AM597)))</f>
        <v/>
      </c>
      <c r="AR597">
        <f>IF(OR(AM$3="",AM$3&gt;TODAY()),"",IF(AND(AP597="",AQ597=""),"",N(AQ597)-N(AP597)))</f>
        <v/>
      </c>
      <c r="AV597">
        <f>IF(OR(AT$3="",AT$3&gt;TODAY()),"",IF(AND(AT597="",AU597=""),"",N(AU597)-N(AT597)))</f>
        <v/>
      </c>
      <c r="AY597">
        <f>IF(OR(AT$3="",AT$3&gt;TODAY()),"",IF(AND(AW597="",AX597=""),"",N(AX597)-N(AW597)))</f>
        <v/>
      </c>
      <c r="BC597">
        <f>IF(OR(BA$3="",BA$3&gt;TODAY()),"",IF(AND(BA597="",BB597=""),"",N(BB597)-N(BA597)))</f>
        <v/>
      </c>
      <c r="BF597">
        <f>IF(OR(BA$3="",BA$3&gt;TODAY()),"",IF(AND(BD597="",BE597=""),"",N(BE597)-N(BD597)))</f>
        <v/>
      </c>
      <c r="BJ597">
        <f>IF(OR(BH$3="",BH$3&gt;TODAY()),"",IF(AND(BH597="",BI597=""),"",N(BI597)-N(BH597)))</f>
        <v/>
      </c>
      <c r="BM597">
        <f>IF(OR(BH$3="",BH$3&gt;TODAY()),"",IF(AND(BK597="",BL597=""),"",N(BL597)-N(BK597)))</f>
        <v/>
      </c>
      <c r="BQ597">
        <f>IF(OR(BO$3="",BO$3&gt;TODAY()),"",IF(AND(BO597="",BP597=""),"",N(BP597)-N(BO597)))</f>
        <v/>
      </c>
      <c r="BT597">
        <f>IF(OR(BO$3="",BO$3&gt;TODAY()),"",IF(AND(BR597="",BS597=""),"",N(BS597)-N(BR597)))</f>
        <v/>
      </c>
      <c r="BX597">
        <f>IF(OR(BV$3="",BV$3&gt;TODAY()),"",IF(AND(BV597="",BW597=""),"",N(BW597)-N(BV597)))</f>
        <v/>
      </c>
      <c r="CA597">
        <f>IF(OR(BV$3="",BV$3&gt;TODAY()),"",IF(AND(BY597="",BZ597=""),"",N(BZ597)-N(BY597)))</f>
        <v/>
      </c>
      <c r="CE597">
        <f>IF(OR(CC$3="",CC$3&gt;TODAY()),"",IF(AND(CC597="",CD597=""),"",N(CD597)-N(CC597)))</f>
        <v/>
      </c>
      <c r="CH597">
        <f>IF(OR(CC$3="",CC$3&gt;TODAY()),"",IF(AND(CF597="",CG597=""),"",N(CG597)-N(CF597)))</f>
        <v/>
      </c>
      <c r="CL597">
        <f>IF(OR(CJ$3="",CJ$3&gt;TODAY()),"",IF(AND(CJ597="",CK597=""),"",N(CK597)-N(CJ597)))</f>
        <v/>
      </c>
      <c r="CO597">
        <f>IF(OR(CJ$3="",CJ$3&gt;TODAY()),"",IF(AND(CM597="",CN597=""),"",N(CN597)-N(CM597)))</f>
        <v/>
      </c>
      <c r="CS597">
        <f>IF(OR(CQ$3="",CQ$3&gt;TODAY()),"",IF(AND(CQ597="",CR597=""),"",N(CR597)-N(CQ597)))</f>
        <v/>
      </c>
      <c r="CV597">
        <f>IF(OR(CQ$3="",CQ$3&gt;TODAY()),"",IF(AND(CT597="",CU597=""),"",N(CU597)-N(CT597)))</f>
        <v/>
      </c>
      <c r="CZ597">
        <f>IF(OR(CX$3="",CX$3&gt;TODAY()),"",IF(AND(CX597="",CY597=""),"",N(CY597)-N(CX597)))</f>
        <v/>
      </c>
      <c r="DC597">
        <f>IF(OR(CX$3="",CX$3&gt;TODAY()),"",IF(AND(DA597="",DB597=""),"",N(DB597)-N(DA597)))</f>
        <v/>
      </c>
      <c r="DG597">
        <f>IF(OR(DE$3="",DE$3&gt;TODAY()),"",IF(AND(DE597="",DF597=""),"",N(DF597)-N(DE597)))</f>
        <v/>
      </c>
      <c r="DJ597">
        <f>IF(OR(DE$3="",DE$3&gt;TODAY()),"",IF(AND(DH597="",DI597=""),"",N(DI597)-N(DH597)))</f>
        <v/>
      </c>
      <c r="DN597">
        <f>IF(OR(DL$3="",DL$3&gt;TODAY()),"",IF(AND(DL597="",DM597=""),"",N(DM597)-N(DL597)))</f>
        <v/>
      </c>
      <c r="DQ597">
        <f>IF(OR(DL$3="",DL$3&gt;TODAY()),"",IF(AND(DO597="",DP597=""),"",N(DP597)-N(DO597)))</f>
        <v/>
      </c>
      <c r="DU597">
        <f>IF(OR(DS$3="",DS$3&gt;TODAY()),"",IF(AND(DS597="",DT597=""),"",N(DT597)-N(DS597)))</f>
        <v/>
      </c>
      <c r="DX597">
        <f>IF(OR(DS$3="",DS$3&gt;TODAY()),"",IF(AND(DV597="",DW597=""),"",N(DW597)-N(DV597)))</f>
        <v/>
      </c>
      <c r="EB597">
        <f>IF(OR(DZ$3="",DZ$3&gt;TODAY()),"",IF(AND(DZ597="",EA597=""),"",N(EA597)-N(DZ597)))</f>
        <v/>
      </c>
      <c r="EE597">
        <f>IF(OR(DZ$3="",DZ$3&gt;TODAY()),"",IF(AND(EC597="",ED597=""),"",N(ED597)-N(EC597)))</f>
        <v/>
      </c>
      <c r="EI597">
        <f>IF(OR(EG$3="",EG$3&gt;TODAY()),"",IF(AND(EG597="",EH597=""),"",N(EH597)-N(EG597)))</f>
        <v/>
      </c>
      <c r="EL597">
        <f>IF(OR(EG$3="",EG$3&gt;TODAY()),"",IF(AND(EJ597="",EK597=""),"",N(EK597)-N(EJ597)))</f>
        <v/>
      </c>
      <c r="EP597">
        <f>IF(OR(EN$3="",EN$3&gt;TODAY()),"",IF(AND(EN597="",EO597=""),"",N(EO597)-N(EN597)))</f>
        <v/>
      </c>
      <c r="ES597">
        <f>IF(OR(EN$3="",EN$3&gt;TODAY()),"",IF(AND(EQ597="",ER597=""),"",N(ER597)-N(EQ597)))</f>
        <v/>
      </c>
      <c r="EW597">
        <f>IF(OR(EU$3="",EU$3&gt;TODAY()),"",IF(AND(EU597="",EV597=""),"",N(EV597)-N(EU597)))</f>
        <v/>
      </c>
      <c r="EZ597">
        <f>IF(OR(EU$3="",EU$3&gt;TODAY()),"",IF(AND(EX597="",EY597=""),"",N(EY597)-N(EX597)))</f>
        <v/>
      </c>
      <c r="FD597">
        <f>IF(OR(FB$3="",FB$3&gt;TODAY()),"",IF(AND(FB597="",FC597=""),"",N(FC597)-N(FB597)))</f>
        <v/>
      </c>
      <c r="FG597">
        <f>IF(OR(FB$3="",FB$3&gt;TODAY()),"",IF(AND(FE597="",FF597=""),"",N(FF597)-N(FE597)))</f>
        <v/>
      </c>
      <c r="FK597">
        <f>IF(OR(FI$3="",FI$3&gt;TODAY()),"",IF(AND(FI597="",FJ597=""),"",N(FJ597)-N(FI597)))</f>
        <v/>
      </c>
      <c r="FN597">
        <f>IF(OR(FI$3="",FI$3&gt;TODAY()),"",IF(AND(FL597="",FM597=""),"",N(FM597)-N(FL597)))</f>
        <v/>
      </c>
      <c r="FR597">
        <f>IF(OR(FP$3="",FP$3&gt;TODAY()),"",IF(AND(FP597="",FQ597=""),"",N(FQ597)-N(FP597)))</f>
        <v/>
      </c>
      <c r="FU597">
        <f>IF(OR(FP$3="",FP$3&gt;TODAY()),"",IF(AND(FS597="",FT597=""),"",N(FT597)-N(FS597)))</f>
        <v/>
      </c>
      <c r="FY597">
        <f>IF(OR(FW$3="",FW$3&gt;TODAY()),"",IF(AND(FW597="",FX597=""),"",N(FX597)-N(FW597)))</f>
        <v/>
      </c>
      <c r="GB597">
        <f>IF(OR(FW$3="",FW$3&gt;TODAY()),"",IF(AND(FZ597="",GA597=""),"",N(GA597)-N(FZ597)))</f>
        <v/>
      </c>
      <c r="GF597">
        <f>IF(OR(GD$3="",GD$3&gt;TODAY()),"",IF(AND(GD597="",GE597=""),"",N(GE597)-N(GD597)))</f>
        <v/>
      </c>
      <c r="GI597">
        <f>IF(OR(GD$3="",GD$3&gt;TODAY()),"",IF(AND(GG597="",GH597=""),"",N(GH597)-N(GG597)))</f>
        <v/>
      </c>
      <c r="GM597">
        <f>IF(OR(GK$3="",GK$3&gt;TODAY()),"",IF(AND(GK597="",GL597=""),"",N(GL597)-N(GK597)))</f>
        <v/>
      </c>
      <c r="GP597">
        <f>IF(OR(GK$3="",GK$3&gt;TODAY()),"",IF(AND(GN597="",GO597=""),"",N(GO597)-N(GN597)))</f>
        <v/>
      </c>
      <c r="GT597">
        <f>IF(OR(GR$3="",GR$3&gt;TODAY()),"",IF(AND(GR597="",GS597=""),"",N(GS597)-N(GR597)))</f>
        <v/>
      </c>
      <c r="GW597">
        <f>IF(OR(GR$3="",GR$3&gt;TODAY()),"",IF(AND(GU597="",GV597=""),"",N(GV597)-N(GU597)))</f>
        <v/>
      </c>
      <c r="HA597">
        <f>IF(OR(GY$3="",GY$3&gt;TODAY()),"",IF(AND(GY597="",GZ597=""),"",N(GZ597)-N(GY597)))</f>
        <v/>
      </c>
      <c r="HD597">
        <f>IF(OR(GY$3="",GY$3&gt;TODAY()),"",IF(AND(HB597="",HC597=""),"",N(HC597)-N(HB597)))</f>
        <v/>
      </c>
      <c r="HH597">
        <f>IF(OR(HF$3="",HF$3&gt;TODAY()),"",IF(AND(HF597="",HG597=""),"",N(HG597)-N(HF597)))</f>
        <v/>
      </c>
      <c r="HK597">
        <f>IF(OR(HF$3="",HF$3&gt;TODAY()),"",IF(AND(HI597="",HJ597=""),"",N(HJ597)-N(HI597)))</f>
        <v/>
      </c>
      <c r="HO597">
        <f>IF(OR(HM$3="",HM$3&gt;TODAY()),"",IF(AND(HM597="",HN597=""),"",N(HN597)-N(HM597)))</f>
        <v/>
      </c>
      <c r="HR597">
        <f>IF(OR(HM$3="",HM$3&gt;TODAY()),"",IF(AND(HP597="",HQ597=""),"",N(HQ597)-N(HP597)))</f>
        <v/>
      </c>
      <c r="HV597">
        <f>IF(OR(HT$3="",HT$3&gt;TODAY()),"",IF(AND(HT597="",HU597=""),"",N(HU597)-N(HT597)))</f>
        <v/>
      </c>
      <c r="HY597">
        <f>IF(OR(HT$3="",HT$3&gt;TODAY()),"",IF(AND(HW597="",HX597=""),"",N(HX597)-N(HW597)))</f>
        <v/>
      </c>
      <c r="IC597">
        <f>IF(OR(IA$3="",IA$3&gt;TODAY()),"",IF(AND(IA597="",IB597=""),"",N(IB597)-N(IA597)))</f>
        <v/>
      </c>
      <c r="IF597">
        <f>IF(OR(IA$3="",IA$3&gt;TODAY()),"",IF(AND(ID597="",IE597=""),"",N(IE597)-N(ID597)))</f>
        <v/>
      </c>
      <c r="IJ597">
        <f>IF(OR(IH$3="",IH$3&gt;TODAY()),"",IF(AND(IH597="",II597=""),"",N(II597)-N(IH597)))</f>
        <v/>
      </c>
      <c r="IM597">
        <f>IF(OR(IH$3="",IH$3&gt;TODAY()),"",IF(AND(IK597="",IL597=""),"",N(IL597)-N(IK597)))</f>
        <v/>
      </c>
    </row>
    <row r="598">
      <c r="A598" s="21" t="n"/>
      <c r="B598" s="21" t="n"/>
      <c r="C598" s="21" t="n"/>
      <c r="D598" s="21" t="n"/>
      <c r="E598" s="21" t="n"/>
      <c r="F598" s="21" t="n"/>
      <c r="G598" s="21" t="n"/>
      <c r="H598" s="21" t="n"/>
      <c r="I598" s="22" t="n"/>
      <c r="J598" s="22" t="n"/>
      <c r="K598" s="23" t="n"/>
      <c r="L598" s="22" t="n"/>
      <c r="M598" s="22" t="n"/>
      <c r="N598" s="21" t="n"/>
      <c r="O598" s="23" t="n"/>
      <c r="P598" s="23" t="n"/>
      <c r="Q598" s="23" t="n"/>
      <c r="R598" s="23" t="n"/>
      <c r="S598" s="22" t="n"/>
      <c r="T598" s="23" t="n"/>
      <c r="U598" s="23" t="n"/>
      <c r="V598" s="24">
        <f>IF(J598&lt;&gt;"",J598,IF(I598&lt;&gt;"",I598,""))</f>
        <v/>
      </c>
      <c r="W598" s="25">
        <f>IF($E598="","",N(O598)+SUMIFS($AF598:$IN598,$AF$4:$IN$4,"SEW_ACT"))</f>
        <v/>
      </c>
      <c r="X598" s="25">
        <f>IF($E598="","",N(P598)+SUMIFS($AF598:$IN598,$AF$4:$IN$4,"WASH_ACT"))</f>
        <v/>
      </c>
      <c r="Y598" s="25">
        <f>IF($E598="","",W598-X598-N(T598)-N(U598))</f>
        <v/>
      </c>
      <c r="Z598" s="25">
        <f>IF($E598="","",IF(N(K598)-X598&lt;=0.02*N(K598),0,N(K598)-X598))</f>
        <v/>
      </c>
      <c r="AA598" s="24">
        <f>IF($E598="","",IF(S598&lt;&gt;"",S598,IF(N(O598)&gt;0,IF(L598&lt;&gt;"",L598,99999),IFERROR(1/(1/_xlfn.MINIFS($AF$3:$IN$3,$AF$4:$IN$4,"SEW_ACT",$AF598:$IN598,"&gt;0")),99999))))</f>
        <v/>
      </c>
      <c r="AB598" s="26">
        <f>IF(OR($E598="",Z598=0,V598=""),"",1+COUNTIFS(Z$8:Z$707,"&gt;0",V$8:V$707,"&lt;"&amp;V598)+COUNTIFS(Z$8:Z$707,"&gt;0",V$8:V$707,V598,AA$8:AA$707,"&lt;"&amp;AA598)+COUNTIFS(Z$8:Z$707,"&gt;0",V$8:V$707,V598,AA$8:AA$707,AA598,E$8:E$707,"&lt;"&amp;$E598))</f>
        <v/>
      </c>
      <c r="AC598" s="24">
        <f>IF(OR($E598="",Z598=0),"",IFERROR(TODAY()+ROUNDUP(Z598/(SUMIFS($AF598:$IN598,$AF$4:$IN$4,"WASH_ACT")/COUNTIFS($AF$4:$IN$4,"WASH_ACT",$AF598:$IN598,"&gt;0")),0),"no output yet"))</f>
        <v/>
      </c>
      <c r="AD598" s="26">
        <f>IF($E598="","",IFERROR(ROUND(MAX(0,SUMIFS($AF598:$IN598,$AF$4:$IN$4,"SEW_PLAN",$AF$3:$IN$3,"&lt;="&amp;TODAY())-SUMIFS($AF598:$IN598,$AF$4:$IN$4,"SEW_ACT",$AF$3:$IN$3,"&lt;="&amp;TODAY())+N(Q598))/(SUMIFS($AF598:$IN598,$AF$4:$IN$4,"SEW_PLAN")/COUNTIFS($AF$4:$IN$4,"SEW_PLAN",$AF598:$IN598,"&gt;0")),1),0))</f>
        <v/>
      </c>
      <c r="AE598" s="26">
        <f>IF($E598="","",IF(AND(Z598&gt;0,OR(AND(M598&lt;&gt;"",TODAY()&gt;M598),AND(V598&lt;&gt;"",V598-TODAY()&lt;=7))),"Yes","No"))</f>
        <v/>
      </c>
      <c r="AH598">
        <f>IF(OR(AF$3="",AF$3&gt;TODAY()),"",IF(AND(AF598="",AG598=""),"",N(AG598)-N(AF598)))</f>
        <v/>
      </c>
      <c r="AK598">
        <f>IF(OR(AF$3="",AF$3&gt;TODAY()),"",IF(AND(AI598="",AJ598=""),"",N(AJ598)-N(AI598)))</f>
        <v/>
      </c>
      <c r="AO598">
        <f>IF(OR(AM$3="",AM$3&gt;TODAY()),"",IF(AND(AM598="",AN598=""),"",N(AN598)-N(AM598)))</f>
        <v/>
      </c>
      <c r="AR598">
        <f>IF(OR(AM$3="",AM$3&gt;TODAY()),"",IF(AND(AP598="",AQ598=""),"",N(AQ598)-N(AP598)))</f>
        <v/>
      </c>
      <c r="AV598">
        <f>IF(OR(AT$3="",AT$3&gt;TODAY()),"",IF(AND(AT598="",AU598=""),"",N(AU598)-N(AT598)))</f>
        <v/>
      </c>
      <c r="AY598">
        <f>IF(OR(AT$3="",AT$3&gt;TODAY()),"",IF(AND(AW598="",AX598=""),"",N(AX598)-N(AW598)))</f>
        <v/>
      </c>
      <c r="BC598">
        <f>IF(OR(BA$3="",BA$3&gt;TODAY()),"",IF(AND(BA598="",BB598=""),"",N(BB598)-N(BA598)))</f>
        <v/>
      </c>
      <c r="BF598">
        <f>IF(OR(BA$3="",BA$3&gt;TODAY()),"",IF(AND(BD598="",BE598=""),"",N(BE598)-N(BD598)))</f>
        <v/>
      </c>
      <c r="BJ598">
        <f>IF(OR(BH$3="",BH$3&gt;TODAY()),"",IF(AND(BH598="",BI598=""),"",N(BI598)-N(BH598)))</f>
        <v/>
      </c>
      <c r="BM598">
        <f>IF(OR(BH$3="",BH$3&gt;TODAY()),"",IF(AND(BK598="",BL598=""),"",N(BL598)-N(BK598)))</f>
        <v/>
      </c>
      <c r="BQ598">
        <f>IF(OR(BO$3="",BO$3&gt;TODAY()),"",IF(AND(BO598="",BP598=""),"",N(BP598)-N(BO598)))</f>
        <v/>
      </c>
      <c r="BT598">
        <f>IF(OR(BO$3="",BO$3&gt;TODAY()),"",IF(AND(BR598="",BS598=""),"",N(BS598)-N(BR598)))</f>
        <v/>
      </c>
      <c r="BX598">
        <f>IF(OR(BV$3="",BV$3&gt;TODAY()),"",IF(AND(BV598="",BW598=""),"",N(BW598)-N(BV598)))</f>
        <v/>
      </c>
      <c r="CA598">
        <f>IF(OR(BV$3="",BV$3&gt;TODAY()),"",IF(AND(BY598="",BZ598=""),"",N(BZ598)-N(BY598)))</f>
        <v/>
      </c>
      <c r="CE598">
        <f>IF(OR(CC$3="",CC$3&gt;TODAY()),"",IF(AND(CC598="",CD598=""),"",N(CD598)-N(CC598)))</f>
        <v/>
      </c>
      <c r="CH598">
        <f>IF(OR(CC$3="",CC$3&gt;TODAY()),"",IF(AND(CF598="",CG598=""),"",N(CG598)-N(CF598)))</f>
        <v/>
      </c>
      <c r="CL598">
        <f>IF(OR(CJ$3="",CJ$3&gt;TODAY()),"",IF(AND(CJ598="",CK598=""),"",N(CK598)-N(CJ598)))</f>
        <v/>
      </c>
      <c r="CO598">
        <f>IF(OR(CJ$3="",CJ$3&gt;TODAY()),"",IF(AND(CM598="",CN598=""),"",N(CN598)-N(CM598)))</f>
        <v/>
      </c>
      <c r="CS598">
        <f>IF(OR(CQ$3="",CQ$3&gt;TODAY()),"",IF(AND(CQ598="",CR598=""),"",N(CR598)-N(CQ598)))</f>
        <v/>
      </c>
      <c r="CV598">
        <f>IF(OR(CQ$3="",CQ$3&gt;TODAY()),"",IF(AND(CT598="",CU598=""),"",N(CU598)-N(CT598)))</f>
        <v/>
      </c>
      <c r="CZ598">
        <f>IF(OR(CX$3="",CX$3&gt;TODAY()),"",IF(AND(CX598="",CY598=""),"",N(CY598)-N(CX598)))</f>
        <v/>
      </c>
      <c r="DC598">
        <f>IF(OR(CX$3="",CX$3&gt;TODAY()),"",IF(AND(DA598="",DB598=""),"",N(DB598)-N(DA598)))</f>
        <v/>
      </c>
      <c r="DG598">
        <f>IF(OR(DE$3="",DE$3&gt;TODAY()),"",IF(AND(DE598="",DF598=""),"",N(DF598)-N(DE598)))</f>
        <v/>
      </c>
      <c r="DJ598">
        <f>IF(OR(DE$3="",DE$3&gt;TODAY()),"",IF(AND(DH598="",DI598=""),"",N(DI598)-N(DH598)))</f>
        <v/>
      </c>
      <c r="DN598">
        <f>IF(OR(DL$3="",DL$3&gt;TODAY()),"",IF(AND(DL598="",DM598=""),"",N(DM598)-N(DL598)))</f>
        <v/>
      </c>
      <c r="DQ598">
        <f>IF(OR(DL$3="",DL$3&gt;TODAY()),"",IF(AND(DO598="",DP598=""),"",N(DP598)-N(DO598)))</f>
        <v/>
      </c>
      <c r="DU598">
        <f>IF(OR(DS$3="",DS$3&gt;TODAY()),"",IF(AND(DS598="",DT598=""),"",N(DT598)-N(DS598)))</f>
        <v/>
      </c>
      <c r="DX598">
        <f>IF(OR(DS$3="",DS$3&gt;TODAY()),"",IF(AND(DV598="",DW598=""),"",N(DW598)-N(DV598)))</f>
        <v/>
      </c>
      <c r="EB598">
        <f>IF(OR(DZ$3="",DZ$3&gt;TODAY()),"",IF(AND(DZ598="",EA598=""),"",N(EA598)-N(DZ598)))</f>
        <v/>
      </c>
      <c r="EE598">
        <f>IF(OR(DZ$3="",DZ$3&gt;TODAY()),"",IF(AND(EC598="",ED598=""),"",N(ED598)-N(EC598)))</f>
        <v/>
      </c>
      <c r="EI598">
        <f>IF(OR(EG$3="",EG$3&gt;TODAY()),"",IF(AND(EG598="",EH598=""),"",N(EH598)-N(EG598)))</f>
        <v/>
      </c>
      <c r="EL598">
        <f>IF(OR(EG$3="",EG$3&gt;TODAY()),"",IF(AND(EJ598="",EK598=""),"",N(EK598)-N(EJ598)))</f>
        <v/>
      </c>
      <c r="EP598">
        <f>IF(OR(EN$3="",EN$3&gt;TODAY()),"",IF(AND(EN598="",EO598=""),"",N(EO598)-N(EN598)))</f>
        <v/>
      </c>
      <c r="ES598">
        <f>IF(OR(EN$3="",EN$3&gt;TODAY()),"",IF(AND(EQ598="",ER598=""),"",N(ER598)-N(EQ598)))</f>
        <v/>
      </c>
      <c r="EW598">
        <f>IF(OR(EU$3="",EU$3&gt;TODAY()),"",IF(AND(EU598="",EV598=""),"",N(EV598)-N(EU598)))</f>
        <v/>
      </c>
      <c r="EZ598">
        <f>IF(OR(EU$3="",EU$3&gt;TODAY()),"",IF(AND(EX598="",EY598=""),"",N(EY598)-N(EX598)))</f>
        <v/>
      </c>
      <c r="FD598">
        <f>IF(OR(FB$3="",FB$3&gt;TODAY()),"",IF(AND(FB598="",FC598=""),"",N(FC598)-N(FB598)))</f>
        <v/>
      </c>
      <c r="FG598">
        <f>IF(OR(FB$3="",FB$3&gt;TODAY()),"",IF(AND(FE598="",FF598=""),"",N(FF598)-N(FE598)))</f>
        <v/>
      </c>
      <c r="FK598">
        <f>IF(OR(FI$3="",FI$3&gt;TODAY()),"",IF(AND(FI598="",FJ598=""),"",N(FJ598)-N(FI598)))</f>
        <v/>
      </c>
      <c r="FN598">
        <f>IF(OR(FI$3="",FI$3&gt;TODAY()),"",IF(AND(FL598="",FM598=""),"",N(FM598)-N(FL598)))</f>
        <v/>
      </c>
      <c r="FR598">
        <f>IF(OR(FP$3="",FP$3&gt;TODAY()),"",IF(AND(FP598="",FQ598=""),"",N(FQ598)-N(FP598)))</f>
        <v/>
      </c>
      <c r="FU598">
        <f>IF(OR(FP$3="",FP$3&gt;TODAY()),"",IF(AND(FS598="",FT598=""),"",N(FT598)-N(FS598)))</f>
        <v/>
      </c>
      <c r="FY598">
        <f>IF(OR(FW$3="",FW$3&gt;TODAY()),"",IF(AND(FW598="",FX598=""),"",N(FX598)-N(FW598)))</f>
        <v/>
      </c>
      <c r="GB598">
        <f>IF(OR(FW$3="",FW$3&gt;TODAY()),"",IF(AND(FZ598="",GA598=""),"",N(GA598)-N(FZ598)))</f>
        <v/>
      </c>
      <c r="GF598">
        <f>IF(OR(GD$3="",GD$3&gt;TODAY()),"",IF(AND(GD598="",GE598=""),"",N(GE598)-N(GD598)))</f>
        <v/>
      </c>
      <c r="GI598">
        <f>IF(OR(GD$3="",GD$3&gt;TODAY()),"",IF(AND(GG598="",GH598=""),"",N(GH598)-N(GG598)))</f>
        <v/>
      </c>
      <c r="GM598">
        <f>IF(OR(GK$3="",GK$3&gt;TODAY()),"",IF(AND(GK598="",GL598=""),"",N(GL598)-N(GK598)))</f>
        <v/>
      </c>
      <c r="GP598">
        <f>IF(OR(GK$3="",GK$3&gt;TODAY()),"",IF(AND(GN598="",GO598=""),"",N(GO598)-N(GN598)))</f>
        <v/>
      </c>
      <c r="GT598">
        <f>IF(OR(GR$3="",GR$3&gt;TODAY()),"",IF(AND(GR598="",GS598=""),"",N(GS598)-N(GR598)))</f>
        <v/>
      </c>
      <c r="GW598">
        <f>IF(OR(GR$3="",GR$3&gt;TODAY()),"",IF(AND(GU598="",GV598=""),"",N(GV598)-N(GU598)))</f>
        <v/>
      </c>
      <c r="HA598">
        <f>IF(OR(GY$3="",GY$3&gt;TODAY()),"",IF(AND(GY598="",GZ598=""),"",N(GZ598)-N(GY598)))</f>
        <v/>
      </c>
      <c r="HD598">
        <f>IF(OR(GY$3="",GY$3&gt;TODAY()),"",IF(AND(HB598="",HC598=""),"",N(HC598)-N(HB598)))</f>
        <v/>
      </c>
      <c r="HH598">
        <f>IF(OR(HF$3="",HF$3&gt;TODAY()),"",IF(AND(HF598="",HG598=""),"",N(HG598)-N(HF598)))</f>
        <v/>
      </c>
      <c r="HK598">
        <f>IF(OR(HF$3="",HF$3&gt;TODAY()),"",IF(AND(HI598="",HJ598=""),"",N(HJ598)-N(HI598)))</f>
        <v/>
      </c>
      <c r="HO598">
        <f>IF(OR(HM$3="",HM$3&gt;TODAY()),"",IF(AND(HM598="",HN598=""),"",N(HN598)-N(HM598)))</f>
        <v/>
      </c>
      <c r="HR598">
        <f>IF(OR(HM$3="",HM$3&gt;TODAY()),"",IF(AND(HP598="",HQ598=""),"",N(HQ598)-N(HP598)))</f>
        <v/>
      </c>
      <c r="HV598">
        <f>IF(OR(HT$3="",HT$3&gt;TODAY()),"",IF(AND(HT598="",HU598=""),"",N(HU598)-N(HT598)))</f>
        <v/>
      </c>
      <c r="HY598">
        <f>IF(OR(HT$3="",HT$3&gt;TODAY()),"",IF(AND(HW598="",HX598=""),"",N(HX598)-N(HW598)))</f>
        <v/>
      </c>
      <c r="IC598">
        <f>IF(OR(IA$3="",IA$3&gt;TODAY()),"",IF(AND(IA598="",IB598=""),"",N(IB598)-N(IA598)))</f>
        <v/>
      </c>
      <c r="IF598">
        <f>IF(OR(IA$3="",IA$3&gt;TODAY()),"",IF(AND(ID598="",IE598=""),"",N(IE598)-N(ID598)))</f>
        <v/>
      </c>
      <c r="IJ598">
        <f>IF(OR(IH$3="",IH$3&gt;TODAY()),"",IF(AND(IH598="",II598=""),"",N(II598)-N(IH598)))</f>
        <v/>
      </c>
      <c r="IM598">
        <f>IF(OR(IH$3="",IH$3&gt;TODAY()),"",IF(AND(IK598="",IL598=""),"",N(IL598)-N(IK598)))</f>
        <v/>
      </c>
    </row>
    <row r="599">
      <c r="A599" s="21" t="n"/>
      <c r="B599" s="21" t="n"/>
      <c r="C599" s="21" t="n"/>
      <c r="D599" s="21" t="n"/>
      <c r="E599" s="21" t="n"/>
      <c r="F599" s="21" t="n"/>
      <c r="G599" s="21" t="n"/>
      <c r="H599" s="21" t="n"/>
      <c r="I599" s="22" t="n"/>
      <c r="J599" s="22" t="n"/>
      <c r="K599" s="23" t="n"/>
      <c r="L599" s="22" t="n"/>
      <c r="M599" s="22" t="n"/>
      <c r="N599" s="21" t="n"/>
      <c r="O599" s="23" t="n"/>
      <c r="P599" s="23" t="n"/>
      <c r="Q599" s="23" t="n"/>
      <c r="R599" s="23" t="n"/>
      <c r="S599" s="22" t="n"/>
      <c r="T599" s="23" t="n"/>
      <c r="U599" s="23" t="n"/>
      <c r="V599" s="24">
        <f>IF(J599&lt;&gt;"",J599,IF(I599&lt;&gt;"",I599,""))</f>
        <v/>
      </c>
      <c r="W599" s="25">
        <f>IF($E599="","",N(O599)+SUMIFS($AF599:$IN599,$AF$4:$IN$4,"SEW_ACT"))</f>
        <v/>
      </c>
      <c r="X599" s="25">
        <f>IF($E599="","",N(P599)+SUMIFS($AF599:$IN599,$AF$4:$IN$4,"WASH_ACT"))</f>
        <v/>
      </c>
      <c r="Y599" s="25">
        <f>IF($E599="","",W599-X599-N(T599)-N(U599))</f>
        <v/>
      </c>
      <c r="Z599" s="25">
        <f>IF($E599="","",IF(N(K599)-X599&lt;=0.02*N(K599),0,N(K599)-X599))</f>
        <v/>
      </c>
      <c r="AA599" s="24">
        <f>IF($E599="","",IF(S599&lt;&gt;"",S599,IF(N(O599)&gt;0,IF(L599&lt;&gt;"",L599,99999),IFERROR(1/(1/_xlfn.MINIFS($AF$3:$IN$3,$AF$4:$IN$4,"SEW_ACT",$AF599:$IN599,"&gt;0")),99999))))</f>
        <v/>
      </c>
      <c r="AB599" s="26">
        <f>IF(OR($E599="",Z599=0,V599=""),"",1+COUNTIFS(Z$8:Z$707,"&gt;0",V$8:V$707,"&lt;"&amp;V599)+COUNTIFS(Z$8:Z$707,"&gt;0",V$8:V$707,V599,AA$8:AA$707,"&lt;"&amp;AA599)+COUNTIFS(Z$8:Z$707,"&gt;0",V$8:V$707,V599,AA$8:AA$707,AA599,E$8:E$707,"&lt;"&amp;$E599))</f>
        <v/>
      </c>
      <c r="AC599" s="24">
        <f>IF(OR($E599="",Z599=0),"",IFERROR(TODAY()+ROUNDUP(Z599/(SUMIFS($AF599:$IN599,$AF$4:$IN$4,"WASH_ACT")/COUNTIFS($AF$4:$IN$4,"WASH_ACT",$AF599:$IN599,"&gt;0")),0),"no output yet"))</f>
        <v/>
      </c>
      <c r="AD599" s="26">
        <f>IF($E599="","",IFERROR(ROUND(MAX(0,SUMIFS($AF599:$IN599,$AF$4:$IN$4,"SEW_PLAN",$AF$3:$IN$3,"&lt;="&amp;TODAY())-SUMIFS($AF599:$IN599,$AF$4:$IN$4,"SEW_ACT",$AF$3:$IN$3,"&lt;="&amp;TODAY())+N(Q599))/(SUMIFS($AF599:$IN599,$AF$4:$IN$4,"SEW_PLAN")/COUNTIFS($AF$4:$IN$4,"SEW_PLAN",$AF599:$IN599,"&gt;0")),1),0))</f>
        <v/>
      </c>
      <c r="AE599" s="26">
        <f>IF($E599="","",IF(AND(Z599&gt;0,OR(AND(M599&lt;&gt;"",TODAY()&gt;M599),AND(V599&lt;&gt;"",V599-TODAY()&lt;=7))),"Yes","No"))</f>
        <v/>
      </c>
      <c r="AH599">
        <f>IF(OR(AF$3="",AF$3&gt;TODAY()),"",IF(AND(AF599="",AG599=""),"",N(AG599)-N(AF599)))</f>
        <v/>
      </c>
      <c r="AK599">
        <f>IF(OR(AF$3="",AF$3&gt;TODAY()),"",IF(AND(AI599="",AJ599=""),"",N(AJ599)-N(AI599)))</f>
        <v/>
      </c>
      <c r="AO599">
        <f>IF(OR(AM$3="",AM$3&gt;TODAY()),"",IF(AND(AM599="",AN599=""),"",N(AN599)-N(AM599)))</f>
        <v/>
      </c>
      <c r="AR599">
        <f>IF(OR(AM$3="",AM$3&gt;TODAY()),"",IF(AND(AP599="",AQ599=""),"",N(AQ599)-N(AP599)))</f>
        <v/>
      </c>
      <c r="AV599">
        <f>IF(OR(AT$3="",AT$3&gt;TODAY()),"",IF(AND(AT599="",AU599=""),"",N(AU599)-N(AT599)))</f>
        <v/>
      </c>
      <c r="AY599">
        <f>IF(OR(AT$3="",AT$3&gt;TODAY()),"",IF(AND(AW599="",AX599=""),"",N(AX599)-N(AW599)))</f>
        <v/>
      </c>
      <c r="BC599">
        <f>IF(OR(BA$3="",BA$3&gt;TODAY()),"",IF(AND(BA599="",BB599=""),"",N(BB599)-N(BA599)))</f>
        <v/>
      </c>
      <c r="BF599">
        <f>IF(OR(BA$3="",BA$3&gt;TODAY()),"",IF(AND(BD599="",BE599=""),"",N(BE599)-N(BD599)))</f>
        <v/>
      </c>
      <c r="BJ599">
        <f>IF(OR(BH$3="",BH$3&gt;TODAY()),"",IF(AND(BH599="",BI599=""),"",N(BI599)-N(BH599)))</f>
        <v/>
      </c>
      <c r="BM599">
        <f>IF(OR(BH$3="",BH$3&gt;TODAY()),"",IF(AND(BK599="",BL599=""),"",N(BL599)-N(BK599)))</f>
        <v/>
      </c>
      <c r="BQ599">
        <f>IF(OR(BO$3="",BO$3&gt;TODAY()),"",IF(AND(BO599="",BP599=""),"",N(BP599)-N(BO599)))</f>
        <v/>
      </c>
      <c r="BT599">
        <f>IF(OR(BO$3="",BO$3&gt;TODAY()),"",IF(AND(BR599="",BS599=""),"",N(BS599)-N(BR599)))</f>
        <v/>
      </c>
      <c r="BX599">
        <f>IF(OR(BV$3="",BV$3&gt;TODAY()),"",IF(AND(BV599="",BW599=""),"",N(BW599)-N(BV599)))</f>
        <v/>
      </c>
      <c r="CA599">
        <f>IF(OR(BV$3="",BV$3&gt;TODAY()),"",IF(AND(BY599="",BZ599=""),"",N(BZ599)-N(BY599)))</f>
        <v/>
      </c>
      <c r="CE599">
        <f>IF(OR(CC$3="",CC$3&gt;TODAY()),"",IF(AND(CC599="",CD599=""),"",N(CD599)-N(CC599)))</f>
        <v/>
      </c>
      <c r="CH599">
        <f>IF(OR(CC$3="",CC$3&gt;TODAY()),"",IF(AND(CF599="",CG599=""),"",N(CG599)-N(CF599)))</f>
        <v/>
      </c>
      <c r="CL599">
        <f>IF(OR(CJ$3="",CJ$3&gt;TODAY()),"",IF(AND(CJ599="",CK599=""),"",N(CK599)-N(CJ599)))</f>
        <v/>
      </c>
      <c r="CO599">
        <f>IF(OR(CJ$3="",CJ$3&gt;TODAY()),"",IF(AND(CM599="",CN599=""),"",N(CN599)-N(CM599)))</f>
        <v/>
      </c>
      <c r="CS599">
        <f>IF(OR(CQ$3="",CQ$3&gt;TODAY()),"",IF(AND(CQ599="",CR599=""),"",N(CR599)-N(CQ599)))</f>
        <v/>
      </c>
      <c r="CV599">
        <f>IF(OR(CQ$3="",CQ$3&gt;TODAY()),"",IF(AND(CT599="",CU599=""),"",N(CU599)-N(CT599)))</f>
        <v/>
      </c>
      <c r="CZ599">
        <f>IF(OR(CX$3="",CX$3&gt;TODAY()),"",IF(AND(CX599="",CY599=""),"",N(CY599)-N(CX599)))</f>
        <v/>
      </c>
      <c r="DC599">
        <f>IF(OR(CX$3="",CX$3&gt;TODAY()),"",IF(AND(DA599="",DB599=""),"",N(DB599)-N(DA599)))</f>
        <v/>
      </c>
      <c r="DG599">
        <f>IF(OR(DE$3="",DE$3&gt;TODAY()),"",IF(AND(DE599="",DF599=""),"",N(DF599)-N(DE599)))</f>
        <v/>
      </c>
      <c r="DJ599">
        <f>IF(OR(DE$3="",DE$3&gt;TODAY()),"",IF(AND(DH599="",DI599=""),"",N(DI599)-N(DH599)))</f>
        <v/>
      </c>
      <c r="DN599">
        <f>IF(OR(DL$3="",DL$3&gt;TODAY()),"",IF(AND(DL599="",DM599=""),"",N(DM599)-N(DL599)))</f>
        <v/>
      </c>
      <c r="DQ599">
        <f>IF(OR(DL$3="",DL$3&gt;TODAY()),"",IF(AND(DO599="",DP599=""),"",N(DP599)-N(DO599)))</f>
        <v/>
      </c>
      <c r="DU599">
        <f>IF(OR(DS$3="",DS$3&gt;TODAY()),"",IF(AND(DS599="",DT599=""),"",N(DT599)-N(DS599)))</f>
        <v/>
      </c>
      <c r="DX599">
        <f>IF(OR(DS$3="",DS$3&gt;TODAY()),"",IF(AND(DV599="",DW599=""),"",N(DW599)-N(DV599)))</f>
        <v/>
      </c>
      <c r="EB599">
        <f>IF(OR(DZ$3="",DZ$3&gt;TODAY()),"",IF(AND(DZ599="",EA599=""),"",N(EA599)-N(DZ599)))</f>
        <v/>
      </c>
      <c r="EE599">
        <f>IF(OR(DZ$3="",DZ$3&gt;TODAY()),"",IF(AND(EC599="",ED599=""),"",N(ED599)-N(EC599)))</f>
        <v/>
      </c>
      <c r="EI599">
        <f>IF(OR(EG$3="",EG$3&gt;TODAY()),"",IF(AND(EG599="",EH599=""),"",N(EH599)-N(EG599)))</f>
        <v/>
      </c>
      <c r="EL599">
        <f>IF(OR(EG$3="",EG$3&gt;TODAY()),"",IF(AND(EJ599="",EK599=""),"",N(EK599)-N(EJ599)))</f>
        <v/>
      </c>
      <c r="EP599">
        <f>IF(OR(EN$3="",EN$3&gt;TODAY()),"",IF(AND(EN599="",EO599=""),"",N(EO599)-N(EN599)))</f>
        <v/>
      </c>
      <c r="ES599">
        <f>IF(OR(EN$3="",EN$3&gt;TODAY()),"",IF(AND(EQ599="",ER599=""),"",N(ER599)-N(EQ599)))</f>
        <v/>
      </c>
      <c r="EW599">
        <f>IF(OR(EU$3="",EU$3&gt;TODAY()),"",IF(AND(EU599="",EV599=""),"",N(EV599)-N(EU599)))</f>
        <v/>
      </c>
      <c r="EZ599">
        <f>IF(OR(EU$3="",EU$3&gt;TODAY()),"",IF(AND(EX599="",EY599=""),"",N(EY599)-N(EX599)))</f>
        <v/>
      </c>
      <c r="FD599">
        <f>IF(OR(FB$3="",FB$3&gt;TODAY()),"",IF(AND(FB599="",FC599=""),"",N(FC599)-N(FB599)))</f>
        <v/>
      </c>
      <c r="FG599">
        <f>IF(OR(FB$3="",FB$3&gt;TODAY()),"",IF(AND(FE599="",FF599=""),"",N(FF599)-N(FE599)))</f>
        <v/>
      </c>
      <c r="FK599">
        <f>IF(OR(FI$3="",FI$3&gt;TODAY()),"",IF(AND(FI599="",FJ599=""),"",N(FJ599)-N(FI599)))</f>
        <v/>
      </c>
      <c r="FN599">
        <f>IF(OR(FI$3="",FI$3&gt;TODAY()),"",IF(AND(FL599="",FM599=""),"",N(FM599)-N(FL599)))</f>
        <v/>
      </c>
      <c r="FR599">
        <f>IF(OR(FP$3="",FP$3&gt;TODAY()),"",IF(AND(FP599="",FQ599=""),"",N(FQ599)-N(FP599)))</f>
        <v/>
      </c>
      <c r="FU599">
        <f>IF(OR(FP$3="",FP$3&gt;TODAY()),"",IF(AND(FS599="",FT599=""),"",N(FT599)-N(FS599)))</f>
        <v/>
      </c>
      <c r="FY599">
        <f>IF(OR(FW$3="",FW$3&gt;TODAY()),"",IF(AND(FW599="",FX599=""),"",N(FX599)-N(FW599)))</f>
        <v/>
      </c>
      <c r="GB599">
        <f>IF(OR(FW$3="",FW$3&gt;TODAY()),"",IF(AND(FZ599="",GA599=""),"",N(GA599)-N(FZ599)))</f>
        <v/>
      </c>
      <c r="GF599">
        <f>IF(OR(GD$3="",GD$3&gt;TODAY()),"",IF(AND(GD599="",GE599=""),"",N(GE599)-N(GD599)))</f>
        <v/>
      </c>
      <c r="GI599">
        <f>IF(OR(GD$3="",GD$3&gt;TODAY()),"",IF(AND(GG599="",GH599=""),"",N(GH599)-N(GG599)))</f>
        <v/>
      </c>
      <c r="GM599">
        <f>IF(OR(GK$3="",GK$3&gt;TODAY()),"",IF(AND(GK599="",GL599=""),"",N(GL599)-N(GK599)))</f>
        <v/>
      </c>
      <c r="GP599">
        <f>IF(OR(GK$3="",GK$3&gt;TODAY()),"",IF(AND(GN599="",GO599=""),"",N(GO599)-N(GN599)))</f>
        <v/>
      </c>
      <c r="GT599">
        <f>IF(OR(GR$3="",GR$3&gt;TODAY()),"",IF(AND(GR599="",GS599=""),"",N(GS599)-N(GR599)))</f>
        <v/>
      </c>
      <c r="GW599">
        <f>IF(OR(GR$3="",GR$3&gt;TODAY()),"",IF(AND(GU599="",GV599=""),"",N(GV599)-N(GU599)))</f>
        <v/>
      </c>
      <c r="HA599">
        <f>IF(OR(GY$3="",GY$3&gt;TODAY()),"",IF(AND(GY599="",GZ599=""),"",N(GZ599)-N(GY599)))</f>
        <v/>
      </c>
      <c r="HD599">
        <f>IF(OR(GY$3="",GY$3&gt;TODAY()),"",IF(AND(HB599="",HC599=""),"",N(HC599)-N(HB599)))</f>
        <v/>
      </c>
      <c r="HH599">
        <f>IF(OR(HF$3="",HF$3&gt;TODAY()),"",IF(AND(HF599="",HG599=""),"",N(HG599)-N(HF599)))</f>
        <v/>
      </c>
      <c r="HK599">
        <f>IF(OR(HF$3="",HF$3&gt;TODAY()),"",IF(AND(HI599="",HJ599=""),"",N(HJ599)-N(HI599)))</f>
        <v/>
      </c>
      <c r="HO599">
        <f>IF(OR(HM$3="",HM$3&gt;TODAY()),"",IF(AND(HM599="",HN599=""),"",N(HN599)-N(HM599)))</f>
        <v/>
      </c>
      <c r="HR599">
        <f>IF(OR(HM$3="",HM$3&gt;TODAY()),"",IF(AND(HP599="",HQ599=""),"",N(HQ599)-N(HP599)))</f>
        <v/>
      </c>
      <c r="HV599">
        <f>IF(OR(HT$3="",HT$3&gt;TODAY()),"",IF(AND(HT599="",HU599=""),"",N(HU599)-N(HT599)))</f>
        <v/>
      </c>
      <c r="HY599">
        <f>IF(OR(HT$3="",HT$3&gt;TODAY()),"",IF(AND(HW599="",HX599=""),"",N(HX599)-N(HW599)))</f>
        <v/>
      </c>
      <c r="IC599">
        <f>IF(OR(IA$3="",IA$3&gt;TODAY()),"",IF(AND(IA599="",IB599=""),"",N(IB599)-N(IA599)))</f>
        <v/>
      </c>
      <c r="IF599">
        <f>IF(OR(IA$3="",IA$3&gt;TODAY()),"",IF(AND(ID599="",IE599=""),"",N(IE599)-N(ID599)))</f>
        <v/>
      </c>
      <c r="IJ599">
        <f>IF(OR(IH$3="",IH$3&gt;TODAY()),"",IF(AND(IH599="",II599=""),"",N(II599)-N(IH599)))</f>
        <v/>
      </c>
      <c r="IM599">
        <f>IF(OR(IH$3="",IH$3&gt;TODAY()),"",IF(AND(IK599="",IL599=""),"",N(IL599)-N(IK599)))</f>
        <v/>
      </c>
    </row>
    <row r="600">
      <c r="A600" s="21" t="n"/>
      <c r="B600" s="21" t="n"/>
      <c r="C600" s="21" t="n"/>
      <c r="D600" s="21" t="n"/>
      <c r="E600" s="21" t="n"/>
      <c r="F600" s="21" t="n"/>
      <c r="G600" s="21" t="n"/>
      <c r="H600" s="21" t="n"/>
      <c r="I600" s="22" t="n"/>
      <c r="J600" s="22" t="n"/>
      <c r="K600" s="23" t="n"/>
      <c r="L600" s="22" t="n"/>
      <c r="M600" s="22" t="n"/>
      <c r="N600" s="21" t="n"/>
      <c r="O600" s="23" t="n"/>
      <c r="P600" s="23" t="n"/>
      <c r="Q600" s="23" t="n"/>
      <c r="R600" s="23" t="n"/>
      <c r="S600" s="22" t="n"/>
      <c r="T600" s="23" t="n"/>
      <c r="U600" s="23" t="n"/>
      <c r="V600" s="24">
        <f>IF(J600&lt;&gt;"",J600,IF(I600&lt;&gt;"",I600,""))</f>
        <v/>
      </c>
      <c r="W600" s="25">
        <f>IF($E600="","",N(O600)+SUMIFS($AF600:$IN600,$AF$4:$IN$4,"SEW_ACT"))</f>
        <v/>
      </c>
      <c r="X600" s="25">
        <f>IF($E600="","",N(P600)+SUMIFS($AF600:$IN600,$AF$4:$IN$4,"WASH_ACT"))</f>
        <v/>
      </c>
      <c r="Y600" s="25">
        <f>IF($E600="","",W600-X600-N(T600)-N(U600))</f>
        <v/>
      </c>
      <c r="Z600" s="25">
        <f>IF($E600="","",IF(N(K600)-X600&lt;=0.02*N(K600),0,N(K600)-X600))</f>
        <v/>
      </c>
      <c r="AA600" s="24">
        <f>IF($E600="","",IF(S600&lt;&gt;"",S600,IF(N(O600)&gt;0,IF(L600&lt;&gt;"",L600,99999),IFERROR(1/(1/_xlfn.MINIFS($AF$3:$IN$3,$AF$4:$IN$4,"SEW_ACT",$AF600:$IN600,"&gt;0")),99999))))</f>
        <v/>
      </c>
      <c r="AB600" s="26">
        <f>IF(OR($E600="",Z600=0,V600=""),"",1+COUNTIFS(Z$8:Z$707,"&gt;0",V$8:V$707,"&lt;"&amp;V600)+COUNTIFS(Z$8:Z$707,"&gt;0",V$8:V$707,V600,AA$8:AA$707,"&lt;"&amp;AA600)+COUNTIFS(Z$8:Z$707,"&gt;0",V$8:V$707,V600,AA$8:AA$707,AA600,E$8:E$707,"&lt;"&amp;$E600))</f>
        <v/>
      </c>
      <c r="AC600" s="24">
        <f>IF(OR($E600="",Z600=0),"",IFERROR(TODAY()+ROUNDUP(Z600/(SUMIFS($AF600:$IN600,$AF$4:$IN$4,"WASH_ACT")/COUNTIFS($AF$4:$IN$4,"WASH_ACT",$AF600:$IN600,"&gt;0")),0),"no output yet"))</f>
        <v/>
      </c>
      <c r="AD600" s="26">
        <f>IF($E600="","",IFERROR(ROUND(MAX(0,SUMIFS($AF600:$IN600,$AF$4:$IN$4,"SEW_PLAN",$AF$3:$IN$3,"&lt;="&amp;TODAY())-SUMIFS($AF600:$IN600,$AF$4:$IN$4,"SEW_ACT",$AF$3:$IN$3,"&lt;="&amp;TODAY())+N(Q600))/(SUMIFS($AF600:$IN600,$AF$4:$IN$4,"SEW_PLAN")/COUNTIFS($AF$4:$IN$4,"SEW_PLAN",$AF600:$IN600,"&gt;0")),1),0))</f>
        <v/>
      </c>
      <c r="AE600" s="26">
        <f>IF($E600="","",IF(AND(Z600&gt;0,OR(AND(M600&lt;&gt;"",TODAY()&gt;M600),AND(V600&lt;&gt;"",V600-TODAY()&lt;=7))),"Yes","No"))</f>
        <v/>
      </c>
      <c r="AH600">
        <f>IF(OR(AF$3="",AF$3&gt;TODAY()),"",IF(AND(AF600="",AG600=""),"",N(AG600)-N(AF600)))</f>
        <v/>
      </c>
      <c r="AK600">
        <f>IF(OR(AF$3="",AF$3&gt;TODAY()),"",IF(AND(AI600="",AJ600=""),"",N(AJ600)-N(AI600)))</f>
        <v/>
      </c>
      <c r="AO600">
        <f>IF(OR(AM$3="",AM$3&gt;TODAY()),"",IF(AND(AM600="",AN600=""),"",N(AN600)-N(AM600)))</f>
        <v/>
      </c>
      <c r="AR600">
        <f>IF(OR(AM$3="",AM$3&gt;TODAY()),"",IF(AND(AP600="",AQ600=""),"",N(AQ600)-N(AP600)))</f>
        <v/>
      </c>
      <c r="AV600">
        <f>IF(OR(AT$3="",AT$3&gt;TODAY()),"",IF(AND(AT600="",AU600=""),"",N(AU600)-N(AT600)))</f>
        <v/>
      </c>
      <c r="AY600">
        <f>IF(OR(AT$3="",AT$3&gt;TODAY()),"",IF(AND(AW600="",AX600=""),"",N(AX600)-N(AW600)))</f>
        <v/>
      </c>
      <c r="BC600">
        <f>IF(OR(BA$3="",BA$3&gt;TODAY()),"",IF(AND(BA600="",BB600=""),"",N(BB600)-N(BA600)))</f>
        <v/>
      </c>
      <c r="BF600">
        <f>IF(OR(BA$3="",BA$3&gt;TODAY()),"",IF(AND(BD600="",BE600=""),"",N(BE600)-N(BD600)))</f>
        <v/>
      </c>
      <c r="BJ600">
        <f>IF(OR(BH$3="",BH$3&gt;TODAY()),"",IF(AND(BH600="",BI600=""),"",N(BI600)-N(BH600)))</f>
        <v/>
      </c>
      <c r="BM600">
        <f>IF(OR(BH$3="",BH$3&gt;TODAY()),"",IF(AND(BK600="",BL600=""),"",N(BL600)-N(BK600)))</f>
        <v/>
      </c>
      <c r="BQ600">
        <f>IF(OR(BO$3="",BO$3&gt;TODAY()),"",IF(AND(BO600="",BP600=""),"",N(BP600)-N(BO600)))</f>
        <v/>
      </c>
      <c r="BT600">
        <f>IF(OR(BO$3="",BO$3&gt;TODAY()),"",IF(AND(BR600="",BS600=""),"",N(BS600)-N(BR600)))</f>
        <v/>
      </c>
      <c r="BX600">
        <f>IF(OR(BV$3="",BV$3&gt;TODAY()),"",IF(AND(BV600="",BW600=""),"",N(BW600)-N(BV600)))</f>
        <v/>
      </c>
      <c r="CA600">
        <f>IF(OR(BV$3="",BV$3&gt;TODAY()),"",IF(AND(BY600="",BZ600=""),"",N(BZ600)-N(BY600)))</f>
        <v/>
      </c>
      <c r="CE600">
        <f>IF(OR(CC$3="",CC$3&gt;TODAY()),"",IF(AND(CC600="",CD600=""),"",N(CD600)-N(CC600)))</f>
        <v/>
      </c>
      <c r="CH600">
        <f>IF(OR(CC$3="",CC$3&gt;TODAY()),"",IF(AND(CF600="",CG600=""),"",N(CG600)-N(CF600)))</f>
        <v/>
      </c>
      <c r="CL600">
        <f>IF(OR(CJ$3="",CJ$3&gt;TODAY()),"",IF(AND(CJ600="",CK600=""),"",N(CK600)-N(CJ600)))</f>
        <v/>
      </c>
      <c r="CO600">
        <f>IF(OR(CJ$3="",CJ$3&gt;TODAY()),"",IF(AND(CM600="",CN600=""),"",N(CN600)-N(CM600)))</f>
        <v/>
      </c>
      <c r="CS600">
        <f>IF(OR(CQ$3="",CQ$3&gt;TODAY()),"",IF(AND(CQ600="",CR600=""),"",N(CR600)-N(CQ600)))</f>
        <v/>
      </c>
      <c r="CV600">
        <f>IF(OR(CQ$3="",CQ$3&gt;TODAY()),"",IF(AND(CT600="",CU600=""),"",N(CU600)-N(CT600)))</f>
        <v/>
      </c>
      <c r="CZ600">
        <f>IF(OR(CX$3="",CX$3&gt;TODAY()),"",IF(AND(CX600="",CY600=""),"",N(CY600)-N(CX600)))</f>
        <v/>
      </c>
      <c r="DC600">
        <f>IF(OR(CX$3="",CX$3&gt;TODAY()),"",IF(AND(DA600="",DB600=""),"",N(DB600)-N(DA600)))</f>
        <v/>
      </c>
      <c r="DG600">
        <f>IF(OR(DE$3="",DE$3&gt;TODAY()),"",IF(AND(DE600="",DF600=""),"",N(DF600)-N(DE600)))</f>
        <v/>
      </c>
      <c r="DJ600">
        <f>IF(OR(DE$3="",DE$3&gt;TODAY()),"",IF(AND(DH600="",DI600=""),"",N(DI600)-N(DH600)))</f>
        <v/>
      </c>
      <c r="DN600">
        <f>IF(OR(DL$3="",DL$3&gt;TODAY()),"",IF(AND(DL600="",DM600=""),"",N(DM600)-N(DL600)))</f>
        <v/>
      </c>
      <c r="DQ600">
        <f>IF(OR(DL$3="",DL$3&gt;TODAY()),"",IF(AND(DO600="",DP600=""),"",N(DP600)-N(DO600)))</f>
        <v/>
      </c>
      <c r="DU600">
        <f>IF(OR(DS$3="",DS$3&gt;TODAY()),"",IF(AND(DS600="",DT600=""),"",N(DT600)-N(DS600)))</f>
        <v/>
      </c>
      <c r="DX600">
        <f>IF(OR(DS$3="",DS$3&gt;TODAY()),"",IF(AND(DV600="",DW600=""),"",N(DW600)-N(DV600)))</f>
        <v/>
      </c>
      <c r="EB600">
        <f>IF(OR(DZ$3="",DZ$3&gt;TODAY()),"",IF(AND(DZ600="",EA600=""),"",N(EA600)-N(DZ600)))</f>
        <v/>
      </c>
      <c r="EE600">
        <f>IF(OR(DZ$3="",DZ$3&gt;TODAY()),"",IF(AND(EC600="",ED600=""),"",N(ED600)-N(EC600)))</f>
        <v/>
      </c>
      <c r="EI600">
        <f>IF(OR(EG$3="",EG$3&gt;TODAY()),"",IF(AND(EG600="",EH600=""),"",N(EH600)-N(EG600)))</f>
        <v/>
      </c>
      <c r="EL600">
        <f>IF(OR(EG$3="",EG$3&gt;TODAY()),"",IF(AND(EJ600="",EK600=""),"",N(EK600)-N(EJ600)))</f>
        <v/>
      </c>
      <c r="EP600">
        <f>IF(OR(EN$3="",EN$3&gt;TODAY()),"",IF(AND(EN600="",EO600=""),"",N(EO600)-N(EN600)))</f>
        <v/>
      </c>
      <c r="ES600">
        <f>IF(OR(EN$3="",EN$3&gt;TODAY()),"",IF(AND(EQ600="",ER600=""),"",N(ER600)-N(EQ600)))</f>
        <v/>
      </c>
      <c r="EW600">
        <f>IF(OR(EU$3="",EU$3&gt;TODAY()),"",IF(AND(EU600="",EV600=""),"",N(EV600)-N(EU600)))</f>
        <v/>
      </c>
      <c r="EZ600">
        <f>IF(OR(EU$3="",EU$3&gt;TODAY()),"",IF(AND(EX600="",EY600=""),"",N(EY600)-N(EX600)))</f>
        <v/>
      </c>
      <c r="FD600">
        <f>IF(OR(FB$3="",FB$3&gt;TODAY()),"",IF(AND(FB600="",FC600=""),"",N(FC600)-N(FB600)))</f>
        <v/>
      </c>
      <c r="FG600">
        <f>IF(OR(FB$3="",FB$3&gt;TODAY()),"",IF(AND(FE600="",FF600=""),"",N(FF600)-N(FE600)))</f>
        <v/>
      </c>
      <c r="FK600">
        <f>IF(OR(FI$3="",FI$3&gt;TODAY()),"",IF(AND(FI600="",FJ600=""),"",N(FJ600)-N(FI600)))</f>
        <v/>
      </c>
      <c r="FN600">
        <f>IF(OR(FI$3="",FI$3&gt;TODAY()),"",IF(AND(FL600="",FM600=""),"",N(FM600)-N(FL600)))</f>
        <v/>
      </c>
      <c r="FR600">
        <f>IF(OR(FP$3="",FP$3&gt;TODAY()),"",IF(AND(FP600="",FQ600=""),"",N(FQ600)-N(FP600)))</f>
        <v/>
      </c>
      <c r="FU600">
        <f>IF(OR(FP$3="",FP$3&gt;TODAY()),"",IF(AND(FS600="",FT600=""),"",N(FT600)-N(FS600)))</f>
        <v/>
      </c>
      <c r="FY600">
        <f>IF(OR(FW$3="",FW$3&gt;TODAY()),"",IF(AND(FW600="",FX600=""),"",N(FX600)-N(FW600)))</f>
        <v/>
      </c>
      <c r="GB600">
        <f>IF(OR(FW$3="",FW$3&gt;TODAY()),"",IF(AND(FZ600="",GA600=""),"",N(GA600)-N(FZ600)))</f>
        <v/>
      </c>
      <c r="GF600">
        <f>IF(OR(GD$3="",GD$3&gt;TODAY()),"",IF(AND(GD600="",GE600=""),"",N(GE600)-N(GD600)))</f>
        <v/>
      </c>
      <c r="GI600">
        <f>IF(OR(GD$3="",GD$3&gt;TODAY()),"",IF(AND(GG600="",GH600=""),"",N(GH600)-N(GG600)))</f>
        <v/>
      </c>
      <c r="GM600">
        <f>IF(OR(GK$3="",GK$3&gt;TODAY()),"",IF(AND(GK600="",GL600=""),"",N(GL600)-N(GK600)))</f>
        <v/>
      </c>
      <c r="GP600">
        <f>IF(OR(GK$3="",GK$3&gt;TODAY()),"",IF(AND(GN600="",GO600=""),"",N(GO600)-N(GN600)))</f>
        <v/>
      </c>
      <c r="GT600">
        <f>IF(OR(GR$3="",GR$3&gt;TODAY()),"",IF(AND(GR600="",GS600=""),"",N(GS600)-N(GR600)))</f>
        <v/>
      </c>
      <c r="GW600">
        <f>IF(OR(GR$3="",GR$3&gt;TODAY()),"",IF(AND(GU600="",GV600=""),"",N(GV600)-N(GU600)))</f>
        <v/>
      </c>
      <c r="HA600">
        <f>IF(OR(GY$3="",GY$3&gt;TODAY()),"",IF(AND(GY600="",GZ600=""),"",N(GZ600)-N(GY600)))</f>
        <v/>
      </c>
      <c r="HD600">
        <f>IF(OR(GY$3="",GY$3&gt;TODAY()),"",IF(AND(HB600="",HC600=""),"",N(HC600)-N(HB600)))</f>
        <v/>
      </c>
      <c r="HH600">
        <f>IF(OR(HF$3="",HF$3&gt;TODAY()),"",IF(AND(HF600="",HG600=""),"",N(HG600)-N(HF600)))</f>
        <v/>
      </c>
      <c r="HK600">
        <f>IF(OR(HF$3="",HF$3&gt;TODAY()),"",IF(AND(HI600="",HJ600=""),"",N(HJ600)-N(HI600)))</f>
        <v/>
      </c>
      <c r="HO600">
        <f>IF(OR(HM$3="",HM$3&gt;TODAY()),"",IF(AND(HM600="",HN600=""),"",N(HN600)-N(HM600)))</f>
        <v/>
      </c>
      <c r="HR600">
        <f>IF(OR(HM$3="",HM$3&gt;TODAY()),"",IF(AND(HP600="",HQ600=""),"",N(HQ600)-N(HP600)))</f>
        <v/>
      </c>
      <c r="HV600">
        <f>IF(OR(HT$3="",HT$3&gt;TODAY()),"",IF(AND(HT600="",HU600=""),"",N(HU600)-N(HT600)))</f>
        <v/>
      </c>
      <c r="HY600">
        <f>IF(OR(HT$3="",HT$3&gt;TODAY()),"",IF(AND(HW600="",HX600=""),"",N(HX600)-N(HW600)))</f>
        <v/>
      </c>
      <c r="IC600">
        <f>IF(OR(IA$3="",IA$3&gt;TODAY()),"",IF(AND(IA600="",IB600=""),"",N(IB600)-N(IA600)))</f>
        <v/>
      </c>
      <c r="IF600">
        <f>IF(OR(IA$3="",IA$3&gt;TODAY()),"",IF(AND(ID600="",IE600=""),"",N(IE600)-N(ID600)))</f>
        <v/>
      </c>
      <c r="IJ600">
        <f>IF(OR(IH$3="",IH$3&gt;TODAY()),"",IF(AND(IH600="",II600=""),"",N(II600)-N(IH600)))</f>
        <v/>
      </c>
      <c r="IM600">
        <f>IF(OR(IH$3="",IH$3&gt;TODAY()),"",IF(AND(IK600="",IL600=""),"",N(IL600)-N(IK600)))</f>
        <v/>
      </c>
    </row>
    <row r="601">
      <c r="A601" s="21" t="n"/>
      <c r="B601" s="21" t="n"/>
      <c r="C601" s="21" t="n"/>
      <c r="D601" s="21" t="n"/>
      <c r="E601" s="21" t="n"/>
      <c r="F601" s="21" t="n"/>
      <c r="G601" s="21" t="n"/>
      <c r="H601" s="21" t="n"/>
      <c r="I601" s="22" t="n"/>
      <c r="J601" s="22" t="n"/>
      <c r="K601" s="23" t="n"/>
      <c r="L601" s="22" t="n"/>
      <c r="M601" s="22" t="n"/>
      <c r="N601" s="21" t="n"/>
      <c r="O601" s="23" t="n"/>
      <c r="P601" s="23" t="n"/>
      <c r="Q601" s="23" t="n"/>
      <c r="R601" s="23" t="n"/>
      <c r="S601" s="22" t="n"/>
      <c r="T601" s="23" t="n"/>
      <c r="U601" s="23" t="n"/>
      <c r="V601" s="24">
        <f>IF(J601&lt;&gt;"",J601,IF(I601&lt;&gt;"",I601,""))</f>
        <v/>
      </c>
      <c r="W601" s="25">
        <f>IF($E601="","",N(O601)+SUMIFS($AF601:$IN601,$AF$4:$IN$4,"SEW_ACT"))</f>
        <v/>
      </c>
      <c r="X601" s="25">
        <f>IF($E601="","",N(P601)+SUMIFS($AF601:$IN601,$AF$4:$IN$4,"WASH_ACT"))</f>
        <v/>
      </c>
      <c r="Y601" s="25">
        <f>IF($E601="","",W601-X601-N(T601)-N(U601))</f>
        <v/>
      </c>
      <c r="Z601" s="25">
        <f>IF($E601="","",IF(N(K601)-X601&lt;=0.02*N(K601),0,N(K601)-X601))</f>
        <v/>
      </c>
      <c r="AA601" s="24">
        <f>IF($E601="","",IF(S601&lt;&gt;"",S601,IF(N(O601)&gt;0,IF(L601&lt;&gt;"",L601,99999),IFERROR(1/(1/_xlfn.MINIFS($AF$3:$IN$3,$AF$4:$IN$4,"SEW_ACT",$AF601:$IN601,"&gt;0")),99999))))</f>
        <v/>
      </c>
      <c r="AB601" s="26">
        <f>IF(OR($E601="",Z601=0,V601=""),"",1+COUNTIFS(Z$8:Z$707,"&gt;0",V$8:V$707,"&lt;"&amp;V601)+COUNTIFS(Z$8:Z$707,"&gt;0",V$8:V$707,V601,AA$8:AA$707,"&lt;"&amp;AA601)+COUNTIFS(Z$8:Z$707,"&gt;0",V$8:V$707,V601,AA$8:AA$707,AA601,E$8:E$707,"&lt;"&amp;$E601))</f>
        <v/>
      </c>
      <c r="AC601" s="24">
        <f>IF(OR($E601="",Z601=0),"",IFERROR(TODAY()+ROUNDUP(Z601/(SUMIFS($AF601:$IN601,$AF$4:$IN$4,"WASH_ACT")/COUNTIFS($AF$4:$IN$4,"WASH_ACT",$AF601:$IN601,"&gt;0")),0),"no output yet"))</f>
        <v/>
      </c>
      <c r="AD601" s="26">
        <f>IF($E601="","",IFERROR(ROUND(MAX(0,SUMIFS($AF601:$IN601,$AF$4:$IN$4,"SEW_PLAN",$AF$3:$IN$3,"&lt;="&amp;TODAY())-SUMIFS($AF601:$IN601,$AF$4:$IN$4,"SEW_ACT",$AF$3:$IN$3,"&lt;="&amp;TODAY())+N(Q601))/(SUMIFS($AF601:$IN601,$AF$4:$IN$4,"SEW_PLAN")/COUNTIFS($AF$4:$IN$4,"SEW_PLAN",$AF601:$IN601,"&gt;0")),1),0))</f>
        <v/>
      </c>
      <c r="AE601" s="26">
        <f>IF($E601="","",IF(AND(Z601&gt;0,OR(AND(M601&lt;&gt;"",TODAY()&gt;M601),AND(V601&lt;&gt;"",V601-TODAY()&lt;=7))),"Yes","No"))</f>
        <v/>
      </c>
      <c r="AH601">
        <f>IF(OR(AF$3="",AF$3&gt;TODAY()),"",IF(AND(AF601="",AG601=""),"",N(AG601)-N(AF601)))</f>
        <v/>
      </c>
      <c r="AK601">
        <f>IF(OR(AF$3="",AF$3&gt;TODAY()),"",IF(AND(AI601="",AJ601=""),"",N(AJ601)-N(AI601)))</f>
        <v/>
      </c>
      <c r="AO601">
        <f>IF(OR(AM$3="",AM$3&gt;TODAY()),"",IF(AND(AM601="",AN601=""),"",N(AN601)-N(AM601)))</f>
        <v/>
      </c>
      <c r="AR601">
        <f>IF(OR(AM$3="",AM$3&gt;TODAY()),"",IF(AND(AP601="",AQ601=""),"",N(AQ601)-N(AP601)))</f>
        <v/>
      </c>
      <c r="AV601">
        <f>IF(OR(AT$3="",AT$3&gt;TODAY()),"",IF(AND(AT601="",AU601=""),"",N(AU601)-N(AT601)))</f>
        <v/>
      </c>
      <c r="AY601">
        <f>IF(OR(AT$3="",AT$3&gt;TODAY()),"",IF(AND(AW601="",AX601=""),"",N(AX601)-N(AW601)))</f>
        <v/>
      </c>
      <c r="BC601">
        <f>IF(OR(BA$3="",BA$3&gt;TODAY()),"",IF(AND(BA601="",BB601=""),"",N(BB601)-N(BA601)))</f>
        <v/>
      </c>
      <c r="BF601">
        <f>IF(OR(BA$3="",BA$3&gt;TODAY()),"",IF(AND(BD601="",BE601=""),"",N(BE601)-N(BD601)))</f>
        <v/>
      </c>
      <c r="BJ601">
        <f>IF(OR(BH$3="",BH$3&gt;TODAY()),"",IF(AND(BH601="",BI601=""),"",N(BI601)-N(BH601)))</f>
        <v/>
      </c>
      <c r="BM601">
        <f>IF(OR(BH$3="",BH$3&gt;TODAY()),"",IF(AND(BK601="",BL601=""),"",N(BL601)-N(BK601)))</f>
        <v/>
      </c>
      <c r="BQ601">
        <f>IF(OR(BO$3="",BO$3&gt;TODAY()),"",IF(AND(BO601="",BP601=""),"",N(BP601)-N(BO601)))</f>
        <v/>
      </c>
      <c r="BT601">
        <f>IF(OR(BO$3="",BO$3&gt;TODAY()),"",IF(AND(BR601="",BS601=""),"",N(BS601)-N(BR601)))</f>
        <v/>
      </c>
      <c r="BX601">
        <f>IF(OR(BV$3="",BV$3&gt;TODAY()),"",IF(AND(BV601="",BW601=""),"",N(BW601)-N(BV601)))</f>
        <v/>
      </c>
      <c r="CA601">
        <f>IF(OR(BV$3="",BV$3&gt;TODAY()),"",IF(AND(BY601="",BZ601=""),"",N(BZ601)-N(BY601)))</f>
        <v/>
      </c>
      <c r="CE601">
        <f>IF(OR(CC$3="",CC$3&gt;TODAY()),"",IF(AND(CC601="",CD601=""),"",N(CD601)-N(CC601)))</f>
        <v/>
      </c>
      <c r="CH601">
        <f>IF(OR(CC$3="",CC$3&gt;TODAY()),"",IF(AND(CF601="",CG601=""),"",N(CG601)-N(CF601)))</f>
        <v/>
      </c>
      <c r="CL601">
        <f>IF(OR(CJ$3="",CJ$3&gt;TODAY()),"",IF(AND(CJ601="",CK601=""),"",N(CK601)-N(CJ601)))</f>
        <v/>
      </c>
      <c r="CO601">
        <f>IF(OR(CJ$3="",CJ$3&gt;TODAY()),"",IF(AND(CM601="",CN601=""),"",N(CN601)-N(CM601)))</f>
        <v/>
      </c>
      <c r="CS601">
        <f>IF(OR(CQ$3="",CQ$3&gt;TODAY()),"",IF(AND(CQ601="",CR601=""),"",N(CR601)-N(CQ601)))</f>
        <v/>
      </c>
      <c r="CV601">
        <f>IF(OR(CQ$3="",CQ$3&gt;TODAY()),"",IF(AND(CT601="",CU601=""),"",N(CU601)-N(CT601)))</f>
        <v/>
      </c>
      <c r="CZ601">
        <f>IF(OR(CX$3="",CX$3&gt;TODAY()),"",IF(AND(CX601="",CY601=""),"",N(CY601)-N(CX601)))</f>
        <v/>
      </c>
      <c r="DC601">
        <f>IF(OR(CX$3="",CX$3&gt;TODAY()),"",IF(AND(DA601="",DB601=""),"",N(DB601)-N(DA601)))</f>
        <v/>
      </c>
      <c r="DG601">
        <f>IF(OR(DE$3="",DE$3&gt;TODAY()),"",IF(AND(DE601="",DF601=""),"",N(DF601)-N(DE601)))</f>
        <v/>
      </c>
      <c r="DJ601">
        <f>IF(OR(DE$3="",DE$3&gt;TODAY()),"",IF(AND(DH601="",DI601=""),"",N(DI601)-N(DH601)))</f>
        <v/>
      </c>
      <c r="DN601">
        <f>IF(OR(DL$3="",DL$3&gt;TODAY()),"",IF(AND(DL601="",DM601=""),"",N(DM601)-N(DL601)))</f>
        <v/>
      </c>
      <c r="DQ601">
        <f>IF(OR(DL$3="",DL$3&gt;TODAY()),"",IF(AND(DO601="",DP601=""),"",N(DP601)-N(DO601)))</f>
        <v/>
      </c>
      <c r="DU601">
        <f>IF(OR(DS$3="",DS$3&gt;TODAY()),"",IF(AND(DS601="",DT601=""),"",N(DT601)-N(DS601)))</f>
        <v/>
      </c>
      <c r="DX601">
        <f>IF(OR(DS$3="",DS$3&gt;TODAY()),"",IF(AND(DV601="",DW601=""),"",N(DW601)-N(DV601)))</f>
        <v/>
      </c>
      <c r="EB601">
        <f>IF(OR(DZ$3="",DZ$3&gt;TODAY()),"",IF(AND(DZ601="",EA601=""),"",N(EA601)-N(DZ601)))</f>
        <v/>
      </c>
      <c r="EE601">
        <f>IF(OR(DZ$3="",DZ$3&gt;TODAY()),"",IF(AND(EC601="",ED601=""),"",N(ED601)-N(EC601)))</f>
        <v/>
      </c>
      <c r="EI601">
        <f>IF(OR(EG$3="",EG$3&gt;TODAY()),"",IF(AND(EG601="",EH601=""),"",N(EH601)-N(EG601)))</f>
        <v/>
      </c>
      <c r="EL601">
        <f>IF(OR(EG$3="",EG$3&gt;TODAY()),"",IF(AND(EJ601="",EK601=""),"",N(EK601)-N(EJ601)))</f>
        <v/>
      </c>
      <c r="EP601">
        <f>IF(OR(EN$3="",EN$3&gt;TODAY()),"",IF(AND(EN601="",EO601=""),"",N(EO601)-N(EN601)))</f>
        <v/>
      </c>
      <c r="ES601">
        <f>IF(OR(EN$3="",EN$3&gt;TODAY()),"",IF(AND(EQ601="",ER601=""),"",N(ER601)-N(EQ601)))</f>
        <v/>
      </c>
      <c r="EW601">
        <f>IF(OR(EU$3="",EU$3&gt;TODAY()),"",IF(AND(EU601="",EV601=""),"",N(EV601)-N(EU601)))</f>
        <v/>
      </c>
      <c r="EZ601">
        <f>IF(OR(EU$3="",EU$3&gt;TODAY()),"",IF(AND(EX601="",EY601=""),"",N(EY601)-N(EX601)))</f>
        <v/>
      </c>
      <c r="FD601">
        <f>IF(OR(FB$3="",FB$3&gt;TODAY()),"",IF(AND(FB601="",FC601=""),"",N(FC601)-N(FB601)))</f>
        <v/>
      </c>
      <c r="FG601">
        <f>IF(OR(FB$3="",FB$3&gt;TODAY()),"",IF(AND(FE601="",FF601=""),"",N(FF601)-N(FE601)))</f>
        <v/>
      </c>
      <c r="FK601">
        <f>IF(OR(FI$3="",FI$3&gt;TODAY()),"",IF(AND(FI601="",FJ601=""),"",N(FJ601)-N(FI601)))</f>
        <v/>
      </c>
      <c r="FN601">
        <f>IF(OR(FI$3="",FI$3&gt;TODAY()),"",IF(AND(FL601="",FM601=""),"",N(FM601)-N(FL601)))</f>
        <v/>
      </c>
      <c r="FR601">
        <f>IF(OR(FP$3="",FP$3&gt;TODAY()),"",IF(AND(FP601="",FQ601=""),"",N(FQ601)-N(FP601)))</f>
        <v/>
      </c>
      <c r="FU601">
        <f>IF(OR(FP$3="",FP$3&gt;TODAY()),"",IF(AND(FS601="",FT601=""),"",N(FT601)-N(FS601)))</f>
        <v/>
      </c>
      <c r="FY601">
        <f>IF(OR(FW$3="",FW$3&gt;TODAY()),"",IF(AND(FW601="",FX601=""),"",N(FX601)-N(FW601)))</f>
        <v/>
      </c>
      <c r="GB601">
        <f>IF(OR(FW$3="",FW$3&gt;TODAY()),"",IF(AND(FZ601="",GA601=""),"",N(GA601)-N(FZ601)))</f>
        <v/>
      </c>
      <c r="GF601">
        <f>IF(OR(GD$3="",GD$3&gt;TODAY()),"",IF(AND(GD601="",GE601=""),"",N(GE601)-N(GD601)))</f>
        <v/>
      </c>
      <c r="GI601">
        <f>IF(OR(GD$3="",GD$3&gt;TODAY()),"",IF(AND(GG601="",GH601=""),"",N(GH601)-N(GG601)))</f>
        <v/>
      </c>
      <c r="GM601">
        <f>IF(OR(GK$3="",GK$3&gt;TODAY()),"",IF(AND(GK601="",GL601=""),"",N(GL601)-N(GK601)))</f>
        <v/>
      </c>
      <c r="GP601">
        <f>IF(OR(GK$3="",GK$3&gt;TODAY()),"",IF(AND(GN601="",GO601=""),"",N(GO601)-N(GN601)))</f>
        <v/>
      </c>
      <c r="GT601">
        <f>IF(OR(GR$3="",GR$3&gt;TODAY()),"",IF(AND(GR601="",GS601=""),"",N(GS601)-N(GR601)))</f>
        <v/>
      </c>
      <c r="GW601">
        <f>IF(OR(GR$3="",GR$3&gt;TODAY()),"",IF(AND(GU601="",GV601=""),"",N(GV601)-N(GU601)))</f>
        <v/>
      </c>
      <c r="HA601">
        <f>IF(OR(GY$3="",GY$3&gt;TODAY()),"",IF(AND(GY601="",GZ601=""),"",N(GZ601)-N(GY601)))</f>
        <v/>
      </c>
      <c r="HD601">
        <f>IF(OR(GY$3="",GY$3&gt;TODAY()),"",IF(AND(HB601="",HC601=""),"",N(HC601)-N(HB601)))</f>
        <v/>
      </c>
      <c r="HH601">
        <f>IF(OR(HF$3="",HF$3&gt;TODAY()),"",IF(AND(HF601="",HG601=""),"",N(HG601)-N(HF601)))</f>
        <v/>
      </c>
      <c r="HK601">
        <f>IF(OR(HF$3="",HF$3&gt;TODAY()),"",IF(AND(HI601="",HJ601=""),"",N(HJ601)-N(HI601)))</f>
        <v/>
      </c>
      <c r="HO601">
        <f>IF(OR(HM$3="",HM$3&gt;TODAY()),"",IF(AND(HM601="",HN601=""),"",N(HN601)-N(HM601)))</f>
        <v/>
      </c>
      <c r="HR601">
        <f>IF(OR(HM$3="",HM$3&gt;TODAY()),"",IF(AND(HP601="",HQ601=""),"",N(HQ601)-N(HP601)))</f>
        <v/>
      </c>
      <c r="HV601">
        <f>IF(OR(HT$3="",HT$3&gt;TODAY()),"",IF(AND(HT601="",HU601=""),"",N(HU601)-N(HT601)))</f>
        <v/>
      </c>
      <c r="HY601">
        <f>IF(OR(HT$3="",HT$3&gt;TODAY()),"",IF(AND(HW601="",HX601=""),"",N(HX601)-N(HW601)))</f>
        <v/>
      </c>
      <c r="IC601">
        <f>IF(OR(IA$3="",IA$3&gt;TODAY()),"",IF(AND(IA601="",IB601=""),"",N(IB601)-N(IA601)))</f>
        <v/>
      </c>
      <c r="IF601">
        <f>IF(OR(IA$3="",IA$3&gt;TODAY()),"",IF(AND(ID601="",IE601=""),"",N(IE601)-N(ID601)))</f>
        <v/>
      </c>
      <c r="IJ601">
        <f>IF(OR(IH$3="",IH$3&gt;TODAY()),"",IF(AND(IH601="",II601=""),"",N(II601)-N(IH601)))</f>
        <v/>
      </c>
      <c r="IM601">
        <f>IF(OR(IH$3="",IH$3&gt;TODAY()),"",IF(AND(IK601="",IL601=""),"",N(IL601)-N(IK601)))</f>
        <v/>
      </c>
    </row>
    <row r="602">
      <c r="A602" s="21" t="n"/>
      <c r="B602" s="21" t="n"/>
      <c r="C602" s="21" t="n"/>
      <c r="D602" s="21" t="n"/>
      <c r="E602" s="21" t="n"/>
      <c r="F602" s="21" t="n"/>
      <c r="G602" s="21" t="n"/>
      <c r="H602" s="21" t="n"/>
      <c r="I602" s="22" t="n"/>
      <c r="J602" s="22" t="n"/>
      <c r="K602" s="23" t="n"/>
      <c r="L602" s="22" t="n"/>
      <c r="M602" s="22" t="n"/>
      <c r="N602" s="21" t="n"/>
      <c r="O602" s="23" t="n"/>
      <c r="P602" s="23" t="n"/>
      <c r="Q602" s="23" t="n"/>
      <c r="R602" s="23" t="n"/>
      <c r="S602" s="22" t="n"/>
      <c r="T602" s="23" t="n"/>
      <c r="U602" s="23" t="n"/>
      <c r="V602" s="24">
        <f>IF(J602&lt;&gt;"",J602,IF(I602&lt;&gt;"",I602,""))</f>
        <v/>
      </c>
      <c r="W602" s="25">
        <f>IF($E602="","",N(O602)+SUMIFS($AF602:$IN602,$AF$4:$IN$4,"SEW_ACT"))</f>
        <v/>
      </c>
      <c r="X602" s="25">
        <f>IF($E602="","",N(P602)+SUMIFS($AF602:$IN602,$AF$4:$IN$4,"WASH_ACT"))</f>
        <v/>
      </c>
      <c r="Y602" s="25">
        <f>IF($E602="","",W602-X602-N(T602)-N(U602))</f>
        <v/>
      </c>
      <c r="Z602" s="25">
        <f>IF($E602="","",IF(N(K602)-X602&lt;=0.02*N(K602),0,N(K602)-X602))</f>
        <v/>
      </c>
      <c r="AA602" s="24">
        <f>IF($E602="","",IF(S602&lt;&gt;"",S602,IF(N(O602)&gt;0,IF(L602&lt;&gt;"",L602,99999),IFERROR(1/(1/_xlfn.MINIFS($AF$3:$IN$3,$AF$4:$IN$4,"SEW_ACT",$AF602:$IN602,"&gt;0")),99999))))</f>
        <v/>
      </c>
      <c r="AB602" s="26">
        <f>IF(OR($E602="",Z602=0,V602=""),"",1+COUNTIFS(Z$8:Z$707,"&gt;0",V$8:V$707,"&lt;"&amp;V602)+COUNTIFS(Z$8:Z$707,"&gt;0",V$8:V$707,V602,AA$8:AA$707,"&lt;"&amp;AA602)+COUNTIFS(Z$8:Z$707,"&gt;0",V$8:V$707,V602,AA$8:AA$707,AA602,E$8:E$707,"&lt;"&amp;$E602))</f>
        <v/>
      </c>
      <c r="AC602" s="24">
        <f>IF(OR($E602="",Z602=0),"",IFERROR(TODAY()+ROUNDUP(Z602/(SUMIFS($AF602:$IN602,$AF$4:$IN$4,"WASH_ACT")/COUNTIFS($AF$4:$IN$4,"WASH_ACT",$AF602:$IN602,"&gt;0")),0),"no output yet"))</f>
        <v/>
      </c>
      <c r="AD602" s="26">
        <f>IF($E602="","",IFERROR(ROUND(MAX(0,SUMIFS($AF602:$IN602,$AF$4:$IN$4,"SEW_PLAN",$AF$3:$IN$3,"&lt;="&amp;TODAY())-SUMIFS($AF602:$IN602,$AF$4:$IN$4,"SEW_ACT",$AF$3:$IN$3,"&lt;="&amp;TODAY())+N(Q602))/(SUMIFS($AF602:$IN602,$AF$4:$IN$4,"SEW_PLAN")/COUNTIFS($AF$4:$IN$4,"SEW_PLAN",$AF602:$IN602,"&gt;0")),1),0))</f>
        <v/>
      </c>
      <c r="AE602" s="26">
        <f>IF($E602="","",IF(AND(Z602&gt;0,OR(AND(M602&lt;&gt;"",TODAY()&gt;M602),AND(V602&lt;&gt;"",V602-TODAY()&lt;=7))),"Yes","No"))</f>
        <v/>
      </c>
      <c r="AH602">
        <f>IF(OR(AF$3="",AF$3&gt;TODAY()),"",IF(AND(AF602="",AG602=""),"",N(AG602)-N(AF602)))</f>
        <v/>
      </c>
      <c r="AK602">
        <f>IF(OR(AF$3="",AF$3&gt;TODAY()),"",IF(AND(AI602="",AJ602=""),"",N(AJ602)-N(AI602)))</f>
        <v/>
      </c>
      <c r="AO602">
        <f>IF(OR(AM$3="",AM$3&gt;TODAY()),"",IF(AND(AM602="",AN602=""),"",N(AN602)-N(AM602)))</f>
        <v/>
      </c>
      <c r="AR602">
        <f>IF(OR(AM$3="",AM$3&gt;TODAY()),"",IF(AND(AP602="",AQ602=""),"",N(AQ602)-N(AP602)))</f>
        <v/>
      </c>
      <c r="AV602">
        <f>IF(OR(AT$3="",AT$3&gt;TODAY()),"",IF(AND(AT602="",AU602=""),"",N(AU602)-N(AT602)))</f>
        <v/>
      </c>
      <c r="AY602">
        <f>IF(OR(AT$3="",AT$3&gt;TODAY()),"",IF(AND(AW602="",AX602=""),"",N(AX602)-N(AW602)))</f>
        <v/>
      </c>
      <c r="BC602">
        <f>IF(OR(BA$3="",BA$3&gt;TODAY()),"",IF(AND(BA602="",BB602=""),"",N(BB602)-N(BA602)))</f>
        <v/>
      </c>
      <c r="BF602">
        <f>IF(OR(BA$3="",BA$3&gt;TODAY()),"",IF(AND(BD602="",BE602=""),"",N(BE602)-N(BD602)))</f>
        <v/>
      </c>
      <c r="BJ602">
        <f>IF(OR(BH$3="",BH$3&gt;TODAY()),"",IF(AND(BH602="",BI602=""),"",N(BI602)-N(BH602)))</f>
        <v/>
      </c>
      <c r="BM602">
        <f>IF(OR(BH$3="",BH$3&gt;TODAY()),"",IF(AND(BK602="",BL602=""),"",N(BL602)-N(BK602)))</f>
        <v/>
      </c>
      <c r="BQ602">
        <f>IF(OR(BO$3="",BO$3&gt;TODAY()),"",IF(AND(BO602="",BP602=""),"",N(BP602)-N(BO602)))</f>
        <v/>
      </c>
      <c r="BT602">
        <f>IF(OR(BO$3="",BO$3&gt;TODAY()),"",IF(AND(BR602="",BS602=""),"",N(BS602)-N(BR602)))</f>
        <v/>
      </c>
      <c r="BX602">
        <f>IF(OR(BV$3="",BV$3&gt;TODAY()),"",IF(AND(BV602="",BW602=""),"",N(BW602)-N(BV602)))</f>
        <v/>
      </c>
      <c r="CA602">
        <f>IF(OR(BV$3="",BV$3&gt;TODAY()),"",IF(AND(BY602="",BZ602=""),"",N(BZ602)-N(BY602)))</f>
        <v/>
      </c>
      <c r="CE602">
        <f>IF(OR(CC$3="",CC$3&gt;TODAY()),"",IF(AND(CC602="",CD602=""),"",N(CD602)-N(CC602)))</f>
        <v/>
      </c>
      <c r="CH602">
        <f>IF(OR(CC$3="",CC$3&gt;TODAY()),"",IF(AND(CF602="",CG602=""),"",N(CG602)-N(CF602)))</f>
        <v/>
      </c>
      <c r="CL602">
        <f>IF(OR(CJ$3="",CJ$3&gt;TODAY()),"",IF(AND(CJ602="",CK602=""),"",N(CK602)-N(CJ602)))</f>
        <v/>
      </c>
      <c r="CO602">
        <f>IF(OR(CJ$3="",CJ$3&gt;TODAY()),"",IF(AND(CM602="",CN602=""),"",N(CN602)-N(CM602)))</f>
        <v/>
      </c>
      <c r="CS602">
        <f>IF(OR(CQ$3="",CQ$3&gt;TODAY()),"",IF(AND(CQ602="",CR602=""),"",N(CR602)-N(CQ602)))</f>
        <v/>
      </c>
      <c r="CV602">
        <f>IF(OR(CQ$3="",CQ$3&gt;TODAY()),"",IF(AND(CT602="",CU602=""),"",N(CU602)-N(CT602)))</f>
        <v/>
      </c>
      <c r="CZ602">
        <f>IF(OR(CX$3="",CX$3&gt;TODAY()),"",IF(AND(CX602="",CY602=""),"",N(CY602)-N(CX602)))</f>
        <v/>
      </c>
      <c r="DC602">
        <f>IF(OR(CX$3="",CX$3&gt;TODAY()),"",IF(AND(DA602="",DB602=""),"",N(DB602)-N(DA602)))</f>
        <v/>
      </c>
      <c r="DG602">
        <f>IF(OR(DE$3="",DE$3&gt;TODAY()),"",IF(AND(DE602="",DF602=""),"",N(DF602)-N(DE602)))</f>
        <v/>
      </c>
      <c r="DJ602">
        <f>IF(OR(DE$3="",DE$3&gt;TODAY()),"",IF(AND(DH602="",DI602=""),"",N(DI602)-N(DH602)))</f>
        <v/>
      </c>
      <c r="DN602">
        <f>IF(OR(DL$3="",DL$3&gt;TODAY()),"",IF(AND(DL602="",DM602=""),"",N(DM602)-N(DL602)))</f>
        <v/>
      </c>
      <c r="DQ602">
        <f>IF(OR(DL$3="",DL$3&gt;TODAY()),"",IF(AND(DO602="",DP602=""),"",N(DP602)-N(DO602)))</f>
        <v/>
      </c>
      <c r="DU602">
        <f>IF(OR(DS$3="",DS$3&gt;TODAY()),"",IF(AND(DS602="",DT602=""),"",N(DT602)-N(DS602)))</f>
        <v/>
      </c>
      <c r="DX602">
        <f>IF(OR(DS$3="",DS$3&gt;TODAY()),"",IF(AND(DV602="",DW602=""),"",N(DW602)-N(DV602)))</f>
        <v/>
      </c>
      <c r="EB602">
        <f>IF(OR(DZ$3="",DZ$3&gt;TODAY()),"",IF(AND(DZ602="",EA602=""),"",N(EA602)-N(DZ602)))</f>
        <v/>
      </c>
      <c r="EE602">
        <f>IF(OR(DZ$3="",DZ$3&gt;TODAY()),"",IF(AND(EC602="",ED602=""),"",N(ED602)-N(EC602)))</f>
        <v/>
      </c>
      <c r="EI602">
        <f>IF(OR(EG$3="",EG$3&gt;TODAY()),"",IF(AND(EG602="",EH602=""),"",N(EH602)-N(EG602)))</f>
        <v/>
      </c>
      <c r="EL602">
        <f>IF(OR(EG$3="",EG$3&gt;TODAY()),"",IF(AND(EJ602="",EK602=""),"",N(EK602)-N(EJ602)))</f>
        <v/>
      </c>
      <c r="EP602">
        <f>IF(OR(EN$3="",EN$3&gt;TODAY()),"",IF(AND(EN602="",EO602=""),"",N(EO602)-N(EN602)))</f>
        <v/>
      </c>
      <c r="ES602">
        <f>IF(OR(EN$3="",EN$3&gt;TODAY()),"",IF(AND(EQ602="",ER602=""),"",N(ER602)-N(EQ602)))</f>
        <v/>
      </c>
      <c r="EW602">
        <f>IF(OR(EU$3="",EU$3&gt;TODAY()),"",IF(AND(EU602="",EV602=""),"",N(EV602)-N(EU602)))</f>
        <v/>
      </c>
      <c r="EZ602">
        <f>IF(OR(EU$3="",EU$3&gt;TODAY()),"",IF(AND(EX602="",EY602=""),"",N(EY602)-N(EX602)))</f>
        <v/>
      </c>
      <c r="FD602">
        <f>IF(OR(FB$3="",FB$3&gt;TODAY()),"",IF(AND(FB602="",FC602=""),"",N(FC602)-N(FB602)))</f>
        <v/>
      </c>
      <c r="FG602">
        <f>IF(OR(FB$3="",FB$3&gt;TODAY()),"",IF(AND(FE602="",FF602=""),"",N(FF602)-N(FE602)))</f>
        <v/>
      </c>
      <c r="FK602">
        <f>IF(OR(FI$3="",FI$3&gt;TODAY()),"",IF(AND(FI602="",FJ602=""),"",N(FJ602)-N(FI602)))</f>
        <v/>
      </c>
      <c r="FN602">
        <f>IF(OR(FI$3="",FI$3&gt;TODAY()),"",IF(AND(FL602="",FM602=""),"",N(FM602)-N(FL602)))</f>
        <v/>
      </c>
      <c r="FR602">
        <f>IF(OR(FP$3="",FP$3&gt;TODAY()),"",IF(AND(FP602="",FQ602=""),"",N(FQ602)-N(FP602)))</f>
        <v/>
      </c>
      <c r="FU602">
        <f>IF(OR(FP$3="",FP$3&gt;TODAY()),"",IF(AND(FS602="",FT602=""),"",N(FT602)-N(FS602)))</f>
        <v/>
      </c>
      <c r="FY602">
        <f>IF(OR(FW$3="",FW$3&gt;TODAY()),"",IF(AND(FW602="",FX602=""),"",N(FX602)-N(FW602)))</f>
        <v/>
      </c>
      <c r="GB602">
        <f>IF(OR(FW$3="",FW$3&gt;TODAY()),"",IF(AND(FZ602="",GA602=""),"",N(GA602)-N(FZ602)))</f>
        <v/>
      </c>
      <c r="GF602">
        <f>IF(OR(GD$3="",GD$3&gt;TODAY()),"",IF(AND(GD602="",GE602=""),"",N(GE602)-N(GD602)))</f>
        <v/>
      </c>
      <c r="GI602">
        <f>IF(OR(GD$3="",GD$3&gt;TODAY()),"",IF(AND(GG602="",GH602=""),"",N(GH602)-N(GG602)))</f>
        <v/>
      </c>
      <c r="GM602">
        <f>IF(OR(GK$3="",GK$3&gt;TODAY()),"",IF(AND(GK602="",GL602=""),"",N(GL602)-N(GK602)))</f>
        <v/>
      </c>
      <c r="GP602">
        <f>IF(OR(GK$3="",GK$3&gt;TODAY()),"",IF(AND(GN602="",GO602=""),"",N(GO602)-N(GN602)))</f>
        <v/>
      </c>
      <c r="GT602">
        <f>IF(OR(GR$3="",GR$3&gt;TODAY()),"",IF(AND(GR602="",GS602=""),"",N(GS602)-N(GR602)))</f>
        <v/>
      </c>
      <c r="GW602">
        <f>IF(OR(GR$3="",GR$3&gt;TODAY()),"",IF(AND(GU602="",GV602=""),"",N(GV602)-N(GU602)))</f>
        <v/>
      </c>
      <c r="HA602">
        <f>IF(OR(GY$3="",GY$3&gt;TODAY()),"",IF(AND(GY602="",GZ602=""),"",N(GZ602)-N(GY602)))</f>
        <v/>
      </c>
      <c r="HD602">
        <f>IF(OR(GY$3="",GY$3&gt;TODAY()),"",IF(AND(HB602="",HC602=""),"",N(HC602)-N(HB602)))</f>
        <v/>
      </c>
      <c r="HH602">
        <f>IF(OR(HF$3="",HF$3&gt;TODAY()),"",IF(AND(HF602="",HG602=""),"",N(HG602)-N(HF602)))</f>
        <v/>
      </c>
      <c r="HK602">
        <f>IF(OR(HF$3="",HF$3&gt;TODAY()),"",IF(AND(HI602="",HJ602=""),"",N(HJ602)-N(HI602)))</f>
        <v/>
      </c>
      <c r="HO602">
        <f>IF(OR(HM$3="",HM$3&gt;TODAY()),"",IF(AND(HM602="",HN602=""),"",N(HN602)-N(HM602)))</f>
        <v/>
      </c>
      <c r="HR602">
        <f>IF(OR(HM$3="",HM$3&gt;TODAY()),"",IF(AND(HP602="",HQ602=""),"",N(HQ602)-N(HP602)))</f>
        <v/>
      </c>
      <c r="HV602">
        <f>IF(OR(HT$3="",HT$3&gt;TODAY()),"",IF(AND(HT602="",HU602=""),"",N(HU602)-N(HT602)))</f>
        <v/>
      </c>
      <c r="HY602">
        <f>IF(OR(HT$3="",HT$3&gt;TODAY()),"",IF(AND(HW602="",HX602=""),"",N(HX602)-N(HW602)))</f>
        <v/>
      </c>
      <c r="IC602">
        <f>IF(OR(IA$3="",IA$3&gt;TODAY()),"",IF(AND(IA602="",IB602=""),"",N(IB602)-N(IA602)))</f>
        <v/>
      </c>
      <c r="IF602">
        <f>IF(OR(IA$3="",IA$3&gt;TODAY()),"",IF(AND(ID602="",IE602=""),"",N(IE602)-N(ID602)))</f>
        <v/>
      </c>
      <c r="IJ602">
        <f>IF(OR(IH$3="",IH$3&gt;TODAY()),"",IF(AND(IH602="",II602=""),"",N(II602)-N(IH602)))</f>
        <v/>
      </c>
      <c r="IM602">
        <f>IF(OR(IH$3="",IH$3&gt;TODAY()),"",IF(AND(IK602="",IL602=""),"",N(IL602)-N(IK602)))</f>
        <v/>
      </c>
    </row>
    <row r="603">
      <c r="A603" s="21" t="n"/>
      <c r="B603" s="21" t="n"/>
      <c r="C603" s="21" t="n"/>
      <c r="D603" s="21" t="n"/>
      <c r="E603" s="21" t="n"/>
      <c r="F603" s="21" t="n"/>
      <c r="G603" s="21" t="n"/>
      <c r="H603" s="21" t="n"/>
      <c r="I603" s="22" t="n"/>
      <c r="J603" s="22" t="n"/>
      <c r="K603" s="23" t="n"/>
      <c r="L603" s="22" t="n"/>
      <c r="M603" s="22" t="n"/>
      <c r="N603" s="21" t="n"/>
      <c r="O603" s="23" t="n"/>
      <c r="P603" s="23" t="n"/>
      <c r="Q603" s="23" t="n"/>
      <c r="R603" s="23" t="n"/>
      <c r="S603" s="22" t="n"/>
      <c r="T603" s="23" t="n"/>
      <c r="U603" s="23" t="n"/>
      <c r="V603" s="24">
        <f>IF(J603&lt;&gt;"",J603,IF(I603&lt;&gt;"",I603,""))</f>
        <v/>
      </c>
      <c r="W603" s="25">
        <f>IF($E603="","",N(O603)+SUMIFS($AF603:$IN603,$AF$4:$IN$4,"SEW_ACT"))</f>
        <v/>
      </c>
      <c r="X603" s="25">
        <f>IF($E603="","",N(P603)+SUMIFS($AF603:$IN603,$AF$4:$IN$4,"WASH_ACT"))</f>
        <v/>
      </c>
      <c r="Y603" s="25">
        <f>IF($E603="","",W603-X603-N(T603)-N(U603))</f>
        <v/>
      </c>
      <c r="Z603" s="25">
        <f>IF($E603="","",IF(N(K603)-X603&lt;=0.02*N(K603),0,N(K603)-X603))</f>
        <v/>
      </c>
      <c r="AA603" s="24">
        <f>IF($E603="","",IF(S603&lt;&gt;"",S603,IF(N(O603)&gt;0,IF(L603&lt;&gt;"",L603,99999),IFERROR(1/(1/_xlfn.MINIFS($AF$3:$IN$3,$AF$4:$IN$4,"SEW_ACT",$AF603:$IN603,"&gt;0")),99999))))</f>
        <v/>
      </c>
      <c r="AB603" s="26">
        <f>IF(OR($E603="",Z603=0,V603=""),"",1+COUNTIFS(Z$8:Z$707,"&gt;0",V$8:V$707,"&lt;"&amp;V603)+COUNTIFS(Z$8:Z$707,"&gt;0",V$8:V$707,V603,AA$8:AA$707,"&lt;"&amp;AA603)+COUNTIFS(Z$8:Z$707,"&gt;0",V$8:V$707,V603,AA$8:AA$707,AA603,E$8:E$707,"&lt;"&amp;$E603))</f>
        <v/>
      </c>
      <c r="AC603" s="24">
        <f>IF(OR($E603="",Z603=0),"",IFERROR(TODAY()+ROUNDUP(Z603/(SUMIFS($AF603:$IN603,$AF$4:$IN$4,"WASH_ACT")/COUNTIFS($AF$4:$IN$4,"WASH_ACT",$AF603:$IN603,"&gt;0")),0),"no output yet"))</f>
        <v/>
      </c>
      <c r="AD603" s="26">
        <f>IF($E603="","",IFERROR(ROUND(MAX(0,SUMIFS($AF603:$IN603,$AF$4:$IN$4,"SEW_PLAN",$AF$3:$IN$3,"&lt;="&amp;TODAY())-SUMIFS($AF603:$IN603,$AF$4:$IN$4,"SEW_ACT",$AF$3:$IN$3,"&lt;="&amp;TODAY())+N(Q603))/(SUMIFS($AF603:$IN603,$AF$4:$IN$4,"SEW_PLAN")/COUNTIFS($AF$4:$IN$4,"SEW_PLAN",$AF603:$IN603,"&gt;0")),1),0))</f>
        <v/>
      </c>
      <c r="AE603" s="26">
        <f>IF($E603="","",IF(AND(Z603&gt;0,OR(AND(M603&lt;&gt;"",TODAY()&gt;M603),AND(V603&lt;&gt;"",V603-TODAY()&lt;=7))),"Yes","No"))</f>
        <v/>
      </c>
      <c r="AH603">
        <f>IF(OR(AF$3="",AF$3&gt;TODAY()),"",IF(AND(AF603="",AG603=""),"",N(AG603)-N(AF603)))</f>
        <v/>
      </c>
      <c r="AK603">
        <f>IF(OR(AF$3="",AF$3&gt;TODAY()),"",IF(AND(AI603="",AJ603=""),"",N(AJ603)-N(AI603)))</f>
        <v/>
      </c>
      <c r="AO603">
        <f>IF(OR(AM$3="",AM$3&gt;TODAY()),"",IF(AND(AM603="",AN603=""),"",N(AN603)-N(AM603)))</f>
        <v/>
      </c>
      <c r="AR603">
        <f>IF(OR(AM$3="",AM$3&gt;TODAY()),"",IF(AND(AP603="",AQ603=""),"",N(AQ603)-N(AP603)))</f>
        <v/>
      </c>
      <c r="AV603">
        <f>IF(OR(AT$3="",AT$3&gt;TODAY()),"",IF(AND(AT603="",AU603=""),"",N(AU603)-N(AT603)))</f>
        <v/>
      </c>
      <c r="AY603">
        <f>IF(OR(AT$3="",AT$3&gt;TODAY()),"",IF(AND(AW603="",AX603=""),"",N(AX603)-N(AW603)))</f>
        <v/>
      </c>
      <c r="BC603">
        <f>IF(OR(BA$3="",BA$3&gt;TODAY()),"",IF(AND(BA603="",BB603=""),"",N(BB603)-N(BA603)))</f>
        <v/>
      </c>
      <c r="BF603">
        <f>IF(OR(BA$3="",BA$3&gt;TODAY()),"",IF(AND(BD603="",BE603=""),"",N(BE603)-N(BD603)))</f>
        <v/>
      </c>
      <c r="BJ603">
        <f>IF(OR(BH$3="",BH$3&gt;TODAY()),"",IF(AND(BH603="",BI603=""),"",N(BI603)-N(BH603)))</f>
        <v/>
      </c>
      <c r="BM603">
        <f>IF(OR(BH$3="",BH$3&gt;TODAY()),"",IF(AND(BK603="",BL603=""),"",N(BL603)-N(BK603)))</f>
        <v/>
      </c>
      <c r="BQ603">
        <f>IF(OR(BO$3="",BO$3&gt;TODAY()),"",IF(AND(BO603="",BP603=""),"",N(BP603)-N(BO603)))</f>
        <v/>
      </c>
      <c r="BT603">
        <f>IF(OR(BO$3="",BO$3&gt;TODAY()),"",IF(AND(BR603="",BS603=""),"",N(BS603)-N(BR603)))</f>
        <v/>
      </c>
      <c r="BX603">
        <f>IF(OR(BV$3="",BV$3&gt;TODAY()),"",IF(AND(BV603="",BW603=""),"",N(BW603)-N(BV603)))</f>
        <v/>
      </c>
      <c r="CA603">
        <f>IF(OR(BV$3="",BV$3&gt;TODAY()),"",IF(AND(BY603="",BZ603=""),"",N(BZ603)-N(BY603)))</f>
        <v/>
      </c>
      <c r="CE603">
        <f>IF(OR(CC$3="",CC$3&gt;TODAY()),"",IF(AND(CC603="",CD603=""),"",N(CD603)-N(CC603)))</f>
        <v/>
      </c>
      <c r="CH603">
        <f>IF(OR(CC$3="",CC$3&gt;TODAY()),"",IF(AND(CF603="",CG603=""),"",N(CG603)-N(CF603)))</f>
        <v/>
      </c>
      <c r="CL603">
        <f>IF(OR(CJ$3="",CJ$3&gt;TODAY()),"",IF(AND(CJ603="",CK603=""),"",N(CK603)-N(CJ603)))</f>
        <v/>
      </c>
      <c r="CO603">
        <f>IF(OR(CJ$3="",CJ$3&gt;TODAY()),"",IF(AND(CM603="",CN603=""),"",N(CN603)-N(CM603)))</f>
        <v/>
      </c>
      <c r="CS603">
        <f>IF(OR(CQ$3="",CQ$3&gt;TODAY()),"",IF(AND(CQ603="",CR603=""),"",N(CR603)-N(CQ603)))</f>
        <v/>
      </c>
      <c r="CV603">
        <f>IF(OR(CQ$3="",CQ$3&gt;TODAY()),"",IF(AND(CT603="",CU603=""),"",N(CU603)-N(CT603)))</f>
        <v/>
      </c>
      <c r="CZ603">
        <f>IF(OR(CX$3="",CX$3&gt;TODAY()),"",IF(AND(CX603="",CY603=""),"",N(CY603)-N(CX603)))</f>
        <v/>
      </c>
      <c r="DC603">
        <f>IF(OR(CX$3="",CX$3&gt;TODAY()),"",IF(AND(DA603="",DB603=""),"",N(DB603)-N(DA603)))</f>
        <v/>
      </c>
      <c r="DG603">
        <f>IF(OR(DE$3="",DE$3&gt;TODAY()),"",IF(AND(DE603="",DF603=""),"",N(DF603)-N(DE603)))</f>
        <v/>
      </c>
      <c r="DJ603">
        <f>IF(OR(DE$3="",DE$3&gt;TODAY()),"",IF(AND(DH603="",DI603=""),"",N(DI603)-N(DH603)))</f>
        <v/>
      </c>
      <c r="DN603">
        <f>IF(OR(DL$3="",DL$3&gt;TODAY()),"",IF(AND(DL603="",DM603=""),"",N(DM603)-N(DL603)))</f>
        <v/>
      </c>
      <c r="DQ603">
        <f>IF(OR(DL$3="",DL$3&gt;TODAY()),"",IF(AND(DO603="",DP603=""),"",N(DP603)-N(DO603)))</f>
        <v/>
      </c>
      <c r="DU603">
        <f>IF(OR(DS$3="",DS$3&gt;TODAY()),"",IF(AND(DS603="",DT603=""),"",N(DT603)-N(DS603)))</f>
        <v/>
      </c>
      <c r="DX603">
        <f>IF(OR(DS$3="",DS$3&gt;TODAY()),"",IF(AND(DV603="",DW603=""),"",N(DW603)-N(DV603)))</f>
        <v/>
      </c>
      <c r="EB603">
        <f>IF(OR(DZ$3="",DZ$3&gt;TODAY()),"",IF(AND(DZ603="",EA603=""),"",N(EA603)-N(DZ603)))</f>
        <v/>
      </c>
      <c r="EE603">
        <f>IF(OR(DZ$3="",DZ$3&gt;TODAY()),"",IF(AND(EC603="",ED603=""),"",N(ED603)-N(EC603)))</f>
        <v/>
      </c>
      <c r="EI603">
        <f>IF(OR(EG$3="",EG$3&gt;TODAY()),"",IF(AND(EG603="",EH603=""),"",N(EH603)-N(EG603)))</f>
        <v/>
      </c>
      <c r="EL603">
        <f>IF(OR(EG$3="",EG$3&gt;TODAY()),"",IF(AND(EJ603="",EK603=""),"",N(EK603)-N(EJ603)))</f>
        <v/>
      </c>
      <c r="EP603">
        <f>IF(OR(EN$3="",EN$3&gt;TODAY()),"",IF(AND(EN603="",EO603=""),"",N(EO603)-N(EN603)))</f>
        <v/>
      </c>
      <c r="ES603">
        <f>IF(OR(EN$3="",EN$3&gt;TODAY()),"",IF(AND(EQ603="",ER603=""),"",N(ER603)-N(EQ603)))</f>
        <v/>
      </c>
      <c r="EW603">
        <f>IF(OR(EU$3="",EU$3&gt;TODAY()),"",IF(AND(EU603="",EV603=""),"",N(EV603)-N(EU603)))</f>
        <v/>
      </c>
      <c r="EZ603">
        <f>IF(OR(EU$3="",EU$3&gt;TODAY()),"",IF(AND(EX603="",EY603=""),"",N(EY603)-N(EX603)))</f>
        <v/>
      </c>
      <c r="FD603">
        <f>IF(OR(FB$3="",FB$3&gt;TODAY()),"",IF(AND(FB603="",FC603=""),"",N(FC603)-N(FB603)))</f>
        <v/>
      </c>
      <c r="FG603">
        <f>IF(OR(FB$3="",FB$3&gt;TODAY()),"",IF(AND(FE603="",FF603=""),"",N(FF603)-N(FE603)))</f>
        <v/>
      </c>
      <c r="FK603">
        <f>IF(OR(FI$3="",FI$3&gt;TODAY()),"",IF(AND(FI603="",FJ603=""),"",N(FJ603)-N(FI603)))</f>
        <v/>
      </c>
      <c r="FN603">
        <f>IF(OR(FI$3="",FI$3&gt;TODAY()),"",IF(AND(FL603="",FM603=""),"",N(FM603)-N(FL603)))</f>
        <v/>
      </c>
      <c r="FR603">
        <f>IF(OR(FP$3="",FP$3&gt;TODAY()),"",IF(AND(FP603="",FQ603=""),"",N(FQ603)-N(FP603)))</f>
        <v/>
      </c>
      <c r="FU603">
        <f>IF(OR(FP$3="",FP$3&gt;TODAY()),"",IF(AND(FS603="",FT603=""),"",N(FT603)-N(FS603)))</f>
        <v/>
      </c>
      <c r="FY603">
        <f>IF(OR(FW$3="",FW$3&gt;TODAY()),"",IF(AND(FW603="",FX603=""),"",N(FX603)-N(FW603)))</f>
        <v/>
      </c>
      <c r="GB603">
        <f>IF(OR(FW$3="",FW$3&gt;TODAY()),"",IF(AND(FZ603="",GA603=""),"",N(GA603)-N(FZ603)))</f>
        <v/>
      </c>
      <c r="GF603">
        <f>IF(OR(GD$3="",GD$3&gt;TODAY()),"",IF(AND(GD603="",GE603=""),"",N(GE603)-N(GD603)))</f>
        <v/>
      </c>
      <c r="GI603">
        <f>IF(OR(GD$3="",GD$3&gt;TODAY()),"",IF(AND(GG603="",GH603=""),"",N(GH603)-N(GG603)))</f>
        <v/>
      </c>
      <c r="GM603">
        <f>IF(OR(GK$3="",GK$3&gt;TODAY()),"",IF(AND(GK603="",GL603=""),"",N(GL603)-N(GK603)))</f>
        <v/>
      </c>
      <c r="GP603">
        <f>IF(OR(GK$3="",GK$3&gt;TODAY()),"",IF(AND(GN603="",GO603=""),"",N(GO603)-N(GN603)))</f>
        <v/>
      </c>
      <c r="GT603">
        <f>IF(OR(GR$3="",GR$3&gt;TODAY()),"",IF(AND(GR603="",GS603=""),"",N(GS603)-N(GR603)))</f>
        <v/>
      </c>
      <c r="GW603">
        <f>IF(OR(GR$3="",GR$3&gt;TODAY()),"",IF(AND(GU603="",GV603=""),"",N(GV603)-N(GU603)))</f>
        <v/>
      </c>
      <c r="HA603">
        <f>IF(OR(GY$3="",GY$3&gt;TODAY()),"",IF(AND(GY603="",GZ603=""),"",N(GZ603)-N(GY603)))</f>
        <v/>
      </c>
      <c r="HD603">
        <f>IF(OR(GY$3="",GY$3&gt;TODAY()),"",IF(AND(HB603="",HC603=""),"",N(HC603)-N(HB603)))</f>
        <v/>
      </c>
      <c r="HH603">
        <f>IF(OR(HF$3="",HF$3&gt;TODAY()),"",IF(AND(HF603="",HG603=""),"",N(HG603)-N(HF603)))</f>
        <v/>
      </c>
      <c r="HK603">
        <f>IF(OR(HF$3="",HF$3&gt;TODAY()),"",IF(AND(HI603="",HJ603=""),"",N(HJ603)-N(HI603)))</f>
        <v/>
      </c>
      <c r="HO603">
        <f>IF(OR(HM$3="",HM$3&gt;TODAY()),"",IF(AND(HM603="",HN603=""),"",N(HN603)-N(HM603)))</f>
        <v/>
      </c>
      <c r="HR603">
        <f>IF(OR(HM$3="",HM$3&gt;TODAY()),"",IF(AND(HP603="",HQ603=""),"",N(HQ603)-N(HP603)))</f>
        <v/>
      </c>
      <c r="HV603">
        <f>IF(OR(HT$3="",HT$3&gt;TODAY()),"",IF(AND(HT603="",HU603=""),"",N(HU603)-N(HT603)))</f>
        <v/>
      </c>
      <c r="HY603">
        <f>IF(OR(HT$3="",HT$3&gt;TODAY()),"",IF(AND(HW603="",HX603=""),"",N(HX603)-N(HW603)))</f>
        <v/>
      </c>
      <c r="IC603">
        <f>IF(OR(IA$3="",IA$3&gt;TODAY()),"",IF(AND(IA603="",IB603=""),"",N(IB603)-N(IA603)))</f>
        <v/>
      </c>
      <c r="IF603">
        <f>IF(OR(IA$3="",IA$3&gt;TODAY()),"",IF(AND(ID603="",IE603=""),"",N(IE603)-N(ID603)))</f>
        <v/>
      </c>
      <c r="IJ603">
        <f>IF(OR(IH$3="",IH$3&gt;TODAY()),"",IF(AND(IH603="",II603=""),"",N(II603)-N(IH603)))</f>
        <v/>
      </c>
      <c r="IM603">
        <f>IF(OR(IH$3="",IH$3&gt;TODAY()),"",IF(AND(IK603="",IL603=""),"",N(IL603)-N(IK603)))</f>
        <v/>
      </c>
    </row>
    <row r="604">
      <c r="A604" s="21" t="n"/>
      <c r="B604" s="21" t="n"/>
      <c r="C604" s="21" t="n"/>
      <c r="D604" s="21" t="n"/>
      <c r="E604" s="21" t="n"/>
      <c r="F604" s="21" t="n"/>
      <c r="G604" s="21" t="n"/>
      <c r="H604" s="21" t="n"/>
      <c r="I604" s="22" t="n"/>
      <c r="J604" s="22" t="n"/>
      <c r="K604" s="23" t="n"/>
      <c r="L604" s="22" t="n"/>
      <c r="M604" s="22" t="n"/>
      <c r="N604" s="21" t="n"/>
      <c r="O604" s="23" t="n"/>
      <c r="P604" s="23" t="n"/>
      <c r="Q604" s="23" t="n"/>
      <c r="R604" s="23" t="n"/>
      <c r="S604" s="22" t="n"/>
      <c r="T604" s="23" t="n"/>
      <c r="U604" s="23" t="n"/>
      <c r="V604" s="24">
        <f>IF(J604&lt;&gt;"",J604,IF(I604&lt;&gt;"",I604,""))</f>
        <v/>
      </c>
      <c r="W604" s="25">
        <f>IF($E604="","",N(O604)+SUMIFS($AF604:$IN604,$AF$4:$IN$4,"SEW_ACT"))</f>
        <v/>
      </c>
      <c r="X604" s="25">
        <f>IF($E604="","",N(P604)+SUMIFS($AF604:$IN604,$AF$4:$IN$4,"WASH_ACT"))</f>
        <v/>
      </c>
      <c r="Y604" s="25">
        <f>IF($E604="","",W604-X604-N(T604)-N(U604))</f>
        <v/>
      </c>
      <c r="Z604" s="25">
        <f>IF($E604="","",IF(N(K604)-X604&lt;=0.02*N(K604),0,N(K604)-X604))</f>
        <v/>
      </c>
      <c r="AA604" s="24">
        <f>IF($E604="","",IF(S604&lt;&gt;"",S604,IF(N(O604)&gt;0,IF(L604&lt;&gt;"",L604,99999),IFERROR(1/(1/_xlfn.MINIFS($AF$3:$IN$3,$AF$4:$IN$4,"SEW_ACT",$AF604:$IN604,"&gt;0")),99999))))</f>
        <v/>
      </c>
      <c r="AB604" s="26">
        <f>IF(OR($E604="",Z604=0,V604=""),"",1+COUNTIFS(Z$8:Z$707,"&gt;0",V$8:V$707,"&lt;"&amp;V604)+COUNTIFS(Z$8:Z$707,"&gt;0",V$8:V$707,V604,AA$8:AA$707,"&lt;"&amp;AA604)+COUNTIFS(Z$8:Z$707,"&gt;0",V$8:V$707,V604,AA$8:AA$707,AA604,E$8:E$707,"&lt;"&amp;$E604))</f>
        <v/>
      </c>
      <c r="AC604" s="24">
        <f>IF(OR($E604="",Z604=0),"",IFERROR(TODAY()+ROUNDUP(Z604/(SUMIFS($AF604:$IN604,$AF$4:$IN$4,"WASH_ACT")/COUNTIFS($AF$4:$IN$4,"WASH_ACT",$AF604:$IN604,"&gt;0")),0),"no output yet"))</f>
        <v/>
      </c>
      <c r="AD604" s="26">
        <f>IF($E604="","",IFERROR(ROUND(MAX(0,SUMIFS($AF604:$IN604,$AF$4:$IN$4,"SEW_PLAN",$AF$3:$IN$3,"&lt;="&amp;TODAY())-SUMIFS($AF604:$IN604,$AF$4:$IN$4,"SEW_ACT",$AF$3:$IN$3,"&lt;="&amp;TODAY())+N(Q604))/(SUMIFS($AF604:$IN604,$AF$4:$IN$4,"SEW_PLAN")/COUNTIFS($AF$4:$IN$4,"SEW_PLAN",$AF604:$IN604,"&gt;0")),1),0))</f>
        <v/>
      </c>
      <c r="AE604" s="26">
        <f>IF($E604="","",IF(AND(Z604&gt;0,OR(AND(M604&lt;&gt;"",TODAY()&gt;M604),AND(V604&lt;&gt;"",V604-TODAY()&lt;=7))),"Yes","No"))</f>
        <v/>
      </c>
      <c r="AH604">
        <f>IF(OR(AF$3="",AF$3&gt;TODAY()),"",IF(AND(AF604="",AG604=""),"",N(AG604)-N(AF604)))</f>
        <v/>
      </c>
      <c r="AK604">
        <f>IF(OR(AF$3="",AF$3&gt;TODAY()),"",IF(AND(AI604="",AJ604=""),"",N(AJ604)-N(AI604)))</f>
        <v/>
      </c>
      <c r="AO604">
        <f>IF(OR(AM$3="",AM$3&gt;TODAY()),"",IF(AND(AM604="",AN604=""),"",N(AN604)-N(AM604)))</f>
        <v/>
      </c>
      <c r="AR604">
        <f>IF(OR(AM$3="",AM$3&gt;TODAY()),"",IF(AND(AP604="",AQ604=""),"",N(AQ604)-N(AP604)))</f>
        <v/>
      </c>
      <c r="AV604">
        <f>IF(OR(AT$3="",AT$3&gt;TODAY()),"",IF(AND(AT604="",AU604=""),"",N(AU604)-N(AT604)))</f>
        <v/>
      </c>
      <c r="AY604">
        <f>IF(OR(AT$3="",AT$3&gt;TODAY()),"",IF(AND(AW604="",AX604=""),"",N(AX604)-N(AW604)))</f>
        <v/>
      </c>
      <c r="BC604">
        <f>IF(OR(BA$3="",BA$3&gt;TODAY()),"",IF(AND(BA604="",BB604=""),"",N(BB604)-N(BA604)))</f>
        <v/>
      </c>
      <c r="BF604">
        <f>IF(OR(BA$3="",BA$3&gt;TODAY()),"",IF(AND(BD604="",BE604=""),"",N(BE604)-N(BD604)))</f>
        <v/>
      </c>
      <c r="BJ604">
        <f>IF(OR(BH$3="",BH$3&gt;TODAY()),"",IF(AND(BH604="",BI604=""),"",N(BI604)-N(BH604)))</f>
        <v/>
      </c>
      <c r="BM604">
        <f>IF(OR(BH$3="",BH$3&gt;TODAY()),"",IF(AND(BK604="",BL604=""),"",N(BL604)-N(BK604)))</f>
        <v/>
      </c>
      <c r="BQ604">
        <f>IF(OR(BO$3="",BO$3&gt;TODAY()),"",IF(AND(BO604="",BP604=""),"",N(BP604)-N(BO604)))</f>
        <v/>
      </c>
      <c r="BT604">
        <f>IF(OR(BO$3="",BO$3&gt;TODAY()),"",IF(AND(BR604="",BS604=""),"",N(BS604)-N(BR604)))</f>
        <v/>
      </c>
      <c r="BX604">
        <f>IF(OR(BV$3="",BV$3&gt;TODAY()),"",IF(AND(BV604="",BW604=""),"",N(BW604)-N(BV604)))</f>
        <v/>
      </c>
      <c r="CA604">
        <f>IF(OR(BV$3="",BV$3&gt;TODAY()),"",IF(AND(BY604="",BZ604=""),"",N(BZ604)-N(BY604)))</f>
        <v/>
      </c>
      <c r="CE604">
        <f>IF(OR(CC$3="",CC$3&gt;TODAY()),"",IF(AND(CC604="",CD604=""),"",N(CD604)-N(CC604)))</f>
        <v/>
      </c>
      <c r="CH604">
        <f>IF(OR(CC$3="",CC$3&gt;TODAY()),"",IF(AND(CF604="",CG604=""),"",N(CG604)-N(CF604)))</f>
        <v/>
      </c>
      <c r="CL604">
        <f>IF(OR(CJ$3="",CJ$3&gt;TODAY()),"",IF(AND(CJ604="",CK604=""),"",N(CK604)-N(CJ604)))</f>
        <v/>
      </c>
      <c r="CO604">
        <f>IF(OR(CJ$3="",CJ$3&gt;TODAY()),"",IF(AND(CM604="",CN604=""),"",N(CN604)-N(CM604)))</f>
        <v/>
      </c>
      <c r="CS604">
        <f>IF(OR(CQ$3="",CQ$3&gt;TODAY()),"",IF(AND(CQ604="",CR604=""),"",N(CR604)-N(CQ604)))</f>
        <v/>
      </c>
      <c r="CV604">
        <f>IF(OR(CQ$3="",CQ$3&gt;TODAY()),"",IF(AND(CT604="",CU604=""),"",N(CU604)-N(CT604)))</f>
        <v/>
      </c>
      <c r="CZ604">
        <f>IF(OR(CX$3="",CX$3&gt;TODAY()),"",IF(AND(CX604="",CY604=""),"",N(CY604)-N(CX604)))</f>
        <v/>
      </c>
      <c r="DC604">
        <f>IF(OR(CX$3="",CX$3&gt;TODAY()),"",IF(AND(DA604="",DB604=""),"",N(DB604)-N(DA604)))</f>
        <v/>
      </c>
      <c r="DG604">
        <f>IF(OR(DE$3="",DE$3&gt;TODAY()),"",IF(AND(DE604="",DF604=""),"",N(DF604)-N(DE604)))</f>
        <v/>
      </c>
      <c r="DJ604">
        <f>IF(OR(DE$3="",DE$3&gt;TODAY()),"",IF(AND(DH604="",DI604=""),"",N(DI604)-N(DH604)))</f>
        <v/>
      </c>
      <c r="DN604">
        <f>IF(OR(DL$3="",DL$3&gt;TODAY()),"",IF(AND(DL604="",DM604=""),"",N(DM604)-N(DL604)))</f>
        <v/>
      </c>
      <c r="DQ604">
        <f>IF(OR(DL$3="",DL$3&gt;TODAY()),"",IF(AND(DO604="",DP604=""),"",N(DP604)-N(DO604)))</f>
        <v/>
      </c>
      <c r="DU604">
        <f>IF(OR(DS$3="",DS$3&gt;TODAY()),"",IF(AND(DS604="",DT604=""),"",N(DT604)-N(DS604)))</f>
        <v/>
      </c>
      <c r="DX604">
        <f>IF(OR(DS$3="",DS$3&gt;TODAY()),"",IF(AND(DV604="",DW604=""),"",N(DW604)-N(DV604)))</f>
        <v/>
      </c>
      <c r="EB604">
        <f>IF(OR(DZ$3="",DZ$3&gt;TODAY()),"",IF(AND(DZ604="",EA604=""),"",N(EA604)-N(DZ604)))</f>
        <v/>
      </c>
      <c r="EE604">
        <f>IF(OR(DZ$3="",DZ$3&gt;TODAY()),"",IF(AND(EC604="",ED604=""),"",N(ED604)-N(EC604)))</f>
        <v/>
      </c>
      <c r="EI604">
        <f>IF(OR(EG$3="",EG$3&gt;TODAY()),"",IF(AND(EG604="",EH604=""),"",N(EH604)-N(EG604)))</f>
        <v/>
      </c>
      <c r="EL604">
        <f>IF(OR(EG$3="",EG$3&gt;TODAY()),"",IF(AND(EJ604="",EK604=""),"",N(EK604)-N(EJ604)))</f>
        <v/>
      </c>
      <c r="EP604">
        <f>IF(OR(EN$3="",EN$3&gt;TODAY()),"",IF(AND(EN604="",EO604=""),"",N(EO604)-N(EN604)))</f>
        <v/>
      </c>
      <c r="ES604">
        <f>IF(OR(EN$3="",EN$3&gt;TODAY()),"",IF(AND(EQ604="",ER604=""),"",N(ER604)-N(EQ604)))</f>
        <v/>
      </c>
      <c r="EW604">
        <f>IF(OR(EU$3="",EU$3&gt;TODAY()),"",IF(AND(EU604="",EV604=""),"",N(EV604)-N(EU604)))</f>
        <v/>
      </c>
      <c r="EZ604">
        <f>IF(OR(EU$3="",EU$3&gt;TODAY()),"",IF(AND(EX604="",EY604=""),"",N(EY604)-N(EX604)))</f>
        <v/>
      </c>
      <c r="FD604">
        <f>IF(OR(FB$3="",FB$3&gt;TODAY()),"",IF(AND(FB604="",FC604=""),"",N(FC604)-N(FB604)))</f>
        <v/>
      </c>
      <c r="FG604">
        <f>IF(OR(FB$3="",FB$3&gt;TODAY()),"",IF(AND(FE604="",FF604=""),"",N(FF604)-N(FE604)))</f>
        <v/>
      </c>
      <c r="FK604">
        <f>IF(OR(FI$3="",FI$3&gt;TODAY()),"",IF(AND(FI604="",FJ604=""),"",N(FJ604)-N(FI604)))</f>
        <v/>
      </c>
      <c r="FN604">
        <f>IF(OR(FI$3="",FI$3&gt;TODAY()),"",IF(AND(FL604="",FM604=""),"",N(FM604)-N(FL604)))</f>
        <v/>
      </c>
      <c r="FR604">
        <f>IF(OR(FP$3="",FP$3&gt;TODAY()),"",IF(AND(FP604="",FQ604=""),"",N(FQ604)-N(FP604)))</f>
        <v/>
      </c>
      <c r="FU604">
        <f>IF(OR(FP$3="",FP$3&gt;TODAY()),"",IF(AND(FS604="",FT604=""),"",N(FT604)-N(FS604)))</f>
        <v/>
      </c>
      <c r="FY604">
        <f>IF(OR(FW$3="",FW$3&gt;TODAY()),"",IF(AND(FW604="",FX604=""),"",N(FX604)-N(FW604)))</f>
        <v/>
      </c>
      <c r="GB604">
        <f>IF(OR(FW$3="",FW$3&gt;TODAY()),"",IF(AND(FZ604="",GA604=""),"",N(GA604)-N(FZ604)))</f>
        <v/>
      </c>
      <c r="GF604">
        <f>IF(OR(GD$3="",GD$3&gt;TODAY()),"",IF(AND(GD604="",GE604=""),"",N(GE604)-N(GD604)))</f>
        <v/>
      </c>
      <c r="GI604">
        <f>IF(OR(GD$3="",GD$3&gt;TODAY()),"",IF(AND(GG604="",GH604=""),"",N(GH604)-N(GG604)))</f>
        <v/>
      </c>
      <c r="GM604">
        <f>IF(OR(GK$3="",GK$3&gt;TODAY()),"",IF(AND(GK604="",GL604=""),"",N(GL604)-N(GK604)))</f>
        <v/>
      </c>
      <c r="GP604">
        <f>IF(OR(GK$3="",GK$3&gt;TODAY()),"",IF(AND(GN604="",GO604=""),"",N(GO604)-N(GN604)))</f>
        <v/>
      </c>
      <c r="GT604">
        <f>IF(OR(GR$3="",GR$3&gt;TODAY()),"",IF(AND(GR604="",GS604=""),"",N(GS604)-N(GR604)))</f>
        <v/>
      </c>
      <c r="GW604">
        <f>IF(OR(GR$3="",GR$3&gt;TODAY()),"",IF(AND(GU604="",GV604=""),"",N(GV604)-N(GU604)))</f>
        <v/>
      </c>
      <c r="HA604">
        <f>IF(OR(GY$3="",GY$3&gt;TODAY()),"",IF(AND(GY604="",GZ604=""),"",N(GZ604)-N(GY604)))</f>
        <v/>
      </c>
      <c r="HD604">
        <f>IF(OR(GY$3="",GY$3&gt;TODAY()),"",IF(AND(HB604="",HC604=""),"",N(HC604)-N(HB604)))</f>
        <v/>
      </c>
      <c r="HH604">
        <f>IF(OR(HF$3="",HF$3&gt;TODAY()),"",IF(AND(HF604="",HG604=""),"",N(HG604)-N(HF604)))</f>
        <v/>
      </c>
      <c r="HK604">
        <f>IF(OR(HF$3="",HF$3&gt;TODAY()),"",IF(AND(HI604="",HJ604=""),"",N(HJ604)-N(HI604)))</f>
        <v/>
      </c>
      <c r="HO604">
        <f>IF(OR(HM$3="",HM$3&gt;TODAY()),"",IF(AND(HM604="",HN604=""),"",N(HN604)-N(HM604)))</f>
        <v/>
      </c>
      <c r="HR604">
        <f>IF(OR(HM$3="",HM$3&gt;TODAY()),"",IF(AND(HP604="",HQ604=""),"",N(HQ604)-N(HP604)))</f>
        <v/>
      </c>
      <c r="HV604">
        <f>IF(OR(HT$3="",HT$3&gt;TODAY()),"",IF(AND(HT604="",HU604=""),"",N(HU604)-N(HT604)))</f>
        <v/>
      </c>
      <c r="HY604">
        <f>IF(OR(HT$3="",HT$3&gt;TODAY()),"",IF(AND(HW604="",HX604=""),"",N(HX604)-N(HW604)))</f>
        <v/>
      </c>
      <c r="IC604">
        <f>IF(OR(IA$3="",IA$3&gt;TODAY()),"",IF(AND(IA604="",IB604=""),"",N(IB604)-N(IA604)))</f>
        <v/>
      </c>
      <c r="IF604">
        <f>IF(OR(IA$3="",IA$3&gt;TODAY()),"",IF(AND(ID604="",IE604=""),"",N(IE604)-N(ID604)))</f>
        <v/>
      </c>
      <c r="IJ604">
        <f>IF(OR(IH$3="",IH$3&gt;TODAY()),"",IF(AND(IH604="",II604=""),"",N(II604)-N(IH604)))</f>
        <v/>
      </c>
      <c r="IM604">
        <f>IF(OR(IH$3="",IH$3&gt;TODAY()),"",IF(AND(IK604="",IL604=""),"",N(IL604)-N(IK604)))</f>
        <v/>
      </c>
    </row>
    <row r="605">
      <c r="A605" s="21" t="n"/>
      <c r="B605" s="21" t="n"/>
      <c r="C605" s="21" t="n"/>
      <c r="D605" s="21" t="n"/>
      <c r="E605" s="21" t="n"/>
      <c r="F605" s="21" t="n"/>
      <c r="G605" s="21" t="n"/>
      <c r="H605" s="21" t="n"/>
      <c r="I605" s="22" t="n"/>
      <c r="J605" s="22" t="n"/>
      <c r="K605" s="23" t="n"/>
      <c r="L605" s="22" t="n"/>
      <c r="M605" s="22" t="n"/>
      <c r="N605" s="21" t="n"/>
      <c r="O605" s="23" t="n"/>
      <c r="P605" s="23" t="n"/>
      <c r="Q605" s="23" t="n"/>
      <c r="R605" s="23" t="n"/>
      <c r="S605" s="22" t="n"/>
      <c r="T605" s="23" t="n"/>
      <c r="U605" s="23" t="n"/>
      <c r="V605" s="24">
        <f>IF(J605&lt;&gt;"",J605,IF(I605&lt;&gt;"",I605,""))</f>
        <v/>
      </c>
      <c r="W605" s="25">
        <f>IF($E605="","",N(O605)+SUMIFS($AF605:$IN605,$AF$4:$IN$4,"SEW_ACT"))</f>
        <v/>
      </c>
      <c r="X605" s="25">
        <f>IF($E605="","",N(P605)+SUMIFS($AF605:$IN605,$AF$4:$IN$4,"WASH_ACT"))</f>
        <v/>
      </c>
      <c r="Y605" s="25">
        <f>IF($E605="","",W605-X605-N(T605)-N(U605))</f>
        <v/>
      </c>
      <c r="Z605" s="25">
        <f>IF($E605="","",IF(N(K605)-X605&lt;=0.02*N(K605),0,N(K605)-X605))</f>
        <v/>
      </c>
      <c r="AA605" s="24">
        <f>IF($E605="","",IF(S605&lt;&gt;"",S605,IF(N(O605)&gt;0,IF(L605&lt;&gt;"",L605,99999),IFERROR(1/(1/_xlfn.MINIFS($AF$3:$IN$3,$AF$4:$IN$4,"SEW_ACT",$AF605:$IN605,"&gt;0")),99999))))</f>
        <v/>
      </c>
      <c r="AB605" s="26">
        <f>IF(OR($E605="",Z605=0,V605=""),"",1+COUNTIFS(Z$8:Z$707,"&gt;0",V$8:V$707,"&lt;"&amp;V605)+COUNTIFS(Z$8:Z$707,"&gt;0",V$8:V$707,V605,AA$8:AA$707,"&lt;"&amp;AA605)+COUNTIFS(Z$8:Z$707,"&gt;0",V$8:V$707,V605,AA$8:AA$707,AA605,E$8:E$707,"&lt;"&amp;$E605))</f>
        <v/>
      </c>
      <c r="AC605" s="24">
        <f>IF(OR($E605="",Z605=0),"",IFERROR(TODAY()+ROUNDUP(Z605/(SUMIFS($AF605:$IN605,$AF$4:$IN$4,"WASH_ACT")/COUNTIFS($AF$4:$IN$4,"WASH_ACT",$AF605:$IN605,"&gt;0")),0),"no output yet"))</f>
        <v/>
      </c>
      <c r="AD605" s="26">
        <f>IF($E605="","",IFERROR(ROUND(MAX(0,SUMIFS($AF605:$IN605,$AF$4:$IN$4,"SEW_PLAN",$AF$3:$IN$3,"&lt;="&amp;TODAY())-SUMIFS($AF605:$IN605,$AF$4:$IN$4,"SEW_ACT",$AF$3:$IN$3,"&lt;="&amp;TODAY())+N(Q605))/(SUMIFS($AF605:$IN605,$AF$4:$IN$4,"SEW_PLAN")/COUNTIFS($AF$4:$IN$4,"SEW_PLAN",$AF605:$IN605,"&gt;0")),1),0))</f>
        <v/>
      </c>
      <c r="AE605" s="26">
        <f>IF($E605="","",IF(AND(Z605&gt;0,OR(AND(M605&lt;&gt;"",TODAY()&gt;M605),AND(V605&lt;&gt;"",V605-TODAY()&lt;=7))),"Yes","No"))</f>
        <v/>
      </c>
      <c r="AH605">
        <f>IF(OR(AF$3="",AF$3&gt;TODAY()),"",IF(AND(AF605="",AG605=""),"",N(AG605)-N(AF605)))</f>
        <v/>
      </c>
      <c r="AK605">
        <f>IF(OR(AF$3="",AF$3&gt;TODAY()),"",IF(AND(AI605="",AJ605=""),"",N(AJ605)-N(AI605)))</f>
        <v/>
      </c>
      <c r="AO605">
        <f>IF(OR(AM$3="",AM$3&gt;TODAY()),"",IF(AND(AM605="",AN605=""),"",N(AN605)-N(AM605)))</f>
        <v/>
      </c>
      <c r="AR605">
        <f>IF(OR(AM$3="",AM$3&gt;TODAY()),"",IF(AND(AP605="",AQ605=""),"",N(AQ605)-N(AP605)))</f>
        <v/>
      </c>
      <c r="AV605">
        <f>IF(OR(AT$3="",AT$3&gt;TODAY()),"",IF(AND(AT605="",AU605=""),"",N(AU605)-N(AT605)))</f>
        <v/>
      </c>
      <c r="AY605">
        <f>IF(OR(AT$3="",AT$3&gt;TODAY()),"",IF(AND(AW605="",AX605=""),"",N(AX605)-N(AW605)))</f>
        <v/>
      </c>
      <c r="BC605">
        <f>IF(OR(BA$3="",BA$3&gt;TODAY()),"",IF(AND(BA605="",BB605=""),"",N(BB605)-N(BA605)))</f>
        <v/>
      </c>
      <c r="BF605">
        <f>IF(OR(BA$3="",BA$3&gt;TODAY()),"",IF(AND(BD605="",BE605=""),"",N(BE605)-N(BD605)))</f>
        <v/>
      </c>
      <c r="BJ605">
        <f>IF(OR(BH$3="",BH$3&gt;TODAY()),"",IF(AND(BH605="",BI605=""),"",N(BI605)-N(BH605)))</f>
        <v/>
      </c>
      <c r="BM605">
        <f>IF(OR(BH$3="",BH$3&gt;TODAY()),"",IF(AND(BK605="",BL605=""),"",N(BL605)-N(BK605)))</f>
        <v/>
      </c>
      <c r="BQ605">
        <f>IF(OR(BO$3="",BO$3&gt;TODAY()),"",IF(AND(BO605="",BP605=""),"",N(BP605)-N(BO605)))</f>
        <v/>
      </c>
      <c r="BT605">
        <f>IF(OR(BO$3="",BO$3&gt;TODAY()),"",IF(AND(BR605="",BS605=""),"",N(BS605)-N(BR605)))</f>
        <v/>
      </c>
      <c r="BX605">
        <f>IF(OR(BV$3="",BV$3&gt;TODAY()),"",IF(AND(BV605="",BW605=""),"",N(BW605)-N(BV605)))</f>
        <v/>
      </c>
      <c r="CA605">
        <f>IF(OR(BV$3="",BV$3&gt;TODAY()),"",IF(AND(BY605="",BZ605=""),"",N(BZ605)-N(BY605)))</f>
        <v/>
      </c>
      <c r="CE605">
        <f>IF(OR(CC$3="",CC$3&gt;TODAY()),"",IF(AND(CC605="",CD605=""),"",N(CD605)-N(CC605)))</f>
        <v/>
      </c>
      <c r="CH605">
        <f>IF(OR(CC$3="",CC$3&gt;TODAY()),"",IF(AND(CF605="",CG605=""),"",N(CG605)-N(CF605)))</f>
        <v/>
      </c>
      <c r="CL605">
        <f>IF(OR(CJ$3="",CJ$3&gt;TODAY()),"",IF(AND(CJ605="",CK605=""),"",N(CK605)-N(CJ605)))</f>
        <v/>
      </c>
      <c r="CO605">
        <f>IF(OR(CJ$3="",CJ$3&gt;TODAY()),"",IF(AND(CM605="",CN605=""),"",N(CN605)-N(CM605)))</f>
        <v/>
      </c>
      <c r="CS605">
        <f>IF(OR(CQ$3="",CQ$3&gt;TODAY()),"",IF(AND(CQ605="",CR605=""),"",N(CR605)-N(CQ605)))</f>
        <v/>
      </c>
      <c r="CV605">
        <f>IF(OR(CQ$3="",CQ$3&gt;TODAY()),"",IF(AND(CT605="",CU605=""),"",N(CU605)-N(CT605)))</f>
        <v/>
      </c>
      <c r="CZ605">
        <f>IF(OR(CX$3="",CX$3&gt;TODAY()),"",IF(AND(CX605="",CY605=""),"",N(CY605)-N(CX605)))</f>
        <v/>
      </c>
      <c r="DC605">
        <f>IF(OR(CX$3="",CX$3&gt;TODAY()),"",IF(AND(DA605="",DB605=""),"",N(DB605)-N(DA605)))</f>
        <v/>
      </c>
      <c r="DG605">
        <f>IF(OR(DE$3="",DE$3&gt;TODAY()),"",IF(AND(DE605="",DF605=""),"",N(DF605)-N(DE605)))</f>
        <v/>
      </c>
      <c r="DJ605">
        <f>IF(OR(DE$3="",DE$3&gt;TODAY()),"",IF(AND(DH605="",DI605=""),"",N(DI605)-N(DH605)))</f>
        <v/>
      </c>
      <c r="DN605">
        <f>IF(OR(DL$3="",DL$3&gt;TODAY()),"",IF(AND(DL605="",DM605=""),"",N(DM605)-N(DL605)))</f>
        <v/>
      </c>
      <c r="DQ605">
        <f>IF(OR(DL$3="",DL$3&gt;TODAY()),"",IF(AND(DO605="",DP605=""),"",N(DP605)-N(DO605)))</f>
        <v/>
      </c>
      <c r="DU605">
        <f>IF(OR(DS$3="",DS$3&gt;TODAY()),"",IF(AND(DS605="",DT605=""),"",N(DT605)-N(DS605)))</f>
        <v/>
      </c>
      <c r="DX605">
        <f>IF(OR(DS$3="",DS$3&gt;TODAY()),"",IF(AND(DV605="",DW605=""),"",N(DW605)-N(DV605)))</f>
        <v/>
      </c>
      <c r="EB605">
        <f>IF(OR(DZ$3="",DZ$3&gt;TODAY()),"",IF(AND(DZ605="",EA605=""),"",N(EA605)-N(DZ605)))</f>
        <v/>
      </c>
      <c r="EE605">
        <f>IF(OR(DZ$3="",DZ$3&gt;TODAY()),"",IF(AND(EC605="",ED605=""),"",N(ED605)-N(EC605)))</f>
        <v/>
      </c>
      <c r="EI605">
        <f>IF(OR(EG$3="",EG$3&gt;TODAY()),"",IF(AND(EG605="",EH605=""),"",N(EH605)-N(EG605)))</f>
        <v/>
      </c>
      <c r="EL605">
        <f>IF(OR(EG$3="",EG$3&gt;TODAY()),"",IF(AND(EJ605="",EK605=""),"",N(EK605)-N(EJ605)))</f>
        <v/>
      </c>
      <c r="EP605">
        <f>IF(OR(EN$3="",EN$3&gt;TODAY()),"",IF(AND(EN605="",EO605=""),"",N(EO605)-N(EN605)))</f>
        <v/>
      </c>
      <c r="ES605">
        <f>IF(OR(EN$3="",EN$3&gt;TODAY()),"",IF(AND(EQ605="",ER605=""),"",N(ER605)-N(EQ605)))</f>
        <v/>
      </c>
      <c r="EW605">
        <f>IF(OR(EU$3="",EU$3&gt;TODAY()),"",IF(AND(EU605="",EV605=""),"",N(EV605)-N(EU605)))</f>
        <v/>
      </c>
      <c r="EZ605">
        <f>IF(OR(EU$3="",EU$3&gt;TODAY()),"",IF(AND(EX605="",EY605=""),"",N(EY605)-N(EX605)))</f>
        <v/>
      </c>
      <c r="FD605">
        <f>IF(OR(FB$3="",FB$3&gt;TODAY()),"",IF(AND(FB605="",FC605=""),"",N(FC605)-N(FB605)))</f>
        <v/>
      </c>
      <c r="FG605">
        <f>IF(OR(FB$3="",FB$3&gt;TODAY()),"",IF(AND(FE605="",FF605=""),"",N(FF605)-N(FE605)))</f>
        <v/>
      </c>
      <c r="FK605">
        <f>IF(OR(FI$3="",FI$3&gt;TODAY()),"",IF(AND(FI605="",FJ605=""),"",N(FJ605)-N(FI605)))</f>
        <v/>
      </c>
      <c r="FN605">
        <f>IF(OR(FI$3="",FI$3&gt;TODAY()),"",IF(AND(FL605="",FM605=""),"",N(FM605)-N(FL605)))</f>
        <v/>
      </c>
      <c r="FR605">
        <f>IF(OR(FP$3="",FP$3&gt;TODAY()),"",IF(AND(FP605="",FQ605=""),"",N(FQ605)-N(FP605)))</f>
        <v/>
      </c>
      <c r="FU605">
        <f>IF(OR(FP$3="",FP$3&gt;TODAY()),"",IF(AND(FS605="",FT605=""),"",N(FT605)-N(FS605)))</f>
        <v/>
      </c>
      <c r="FY605">
        <f>IF(OR(FW$3="",FW$3&gt;TODAY()),"",IF(AND(FW605="",FX605=""),"",N(FX605)-N(FW605)))</f>
        <v/>
      </c>
      <c r="GB605">
        <f>IF(OR(FW$3="",FW$3&gt;TODAY()),"",IF(AND(FZ605="",GA605=""),"",N(GA605)-N(FZ605)))</f>
        <v/>
      </c>
      <c r="GF605">
        <f>IF(OR(GD$3="",GD$3&gt;TODAY()),"",IF(AND(GD605="",GE605=""),"",N(GE605)-N(GD605)))</f>
        <v/>
      </c>
      <c r="GI605">
        <f>IF(OR(GD$3="",GD$3&gt;TODAY()),"",IF(AND(GG605="",GH605=""),"",N(GH605)-N(GG605)))</f>
        <v/>
      </c>
      <c r="GM605">
        <f>IF(OR(GK$3="",GK$3&gt;TODAY()),"",IF(AND(GK605="",GL605=""),"",N(GL605)-N(GK605)))</f>
        <v/>
      </c>
      <c r="GP605">
        <f>IF(OR(GK$3="",GK$3&gt;TODAY()),"",IF(AND(GN605="",GO605=""),"",N(GO605)-N(GN605)))</f>
        <v/>
      </c>
      <c r="GT605">
        <f>IF(OR(GR$3="",GR$3&gt;TODAY()),"",IF(AND(GR605="",GS605=""),"",N(GS605)-N(GR605)))</f>
        <v/>
      </c>
      <c r="GW605">
        <f>IF(OR(GR$3="",GR$3&gt;TODAY()),"",IF(AND(GU605="",GV605=""),"",N(GV605)-N(GU605)))</f>
        <v/>
      </c>
      <c r="HA605">
        <f>IF(OR(GY$3="",GY$3&gt;TODAY()),"",IF(AND(GY605="",GZ605=""),"",N(GZ605)-N(GY605)))</f>
        <v/>
      </c>
      <c r="HD605">
        <f>IF(OR(GY$3="",GY$3&gt;TODAY()),"",IF(AND(HB605="",HC605=""),"",N(HC605)-N(HB605)))</f>
        <v/>
      </c>
      <c r="HH605">
        <f>IF(OR(HF$3="",HF$3&gt;TODAY()),"",IF(AND(HF605="",HG605=""),"",N(HG605)-N(HF605)))</f>
        <v/>
      </c>
      <c r="HK605">
        <f>IF(OR(HF$3="",HF$3&gt;TODAY()),"",IF(AND(HI605="",HJ605=""),"",N(HJ605)-N(HI605)))</f>
        <v/>
      </c>
      <c r="HO605">
        <f>IF(OR(HM$3="",HM$3&gt;TODAY()),"",IF(AND(HM605="",HN605=""),"",N(HN605)-N(HM605)))</f>
        <v/>
      </c>
      <c r="HR605">
        <f>IF(OR(HM$3="",HM$3&gt;TODAY()),"",IF(AND(HP605="",HQ605=""),"",N(HQ605)-N(HP605)))</f>
        <v/>
      </c>
      <c r="HV605">
        <f>IF(OR(HT$3="",HT$3&gt;TODAY()),"",IF(AND(HT605="",HU605=""),"",N(HU605)-N(HT605)))</f>
        <v/>
      </c>
      <c r="HY605">
        <f>IF(OR(HT$3="",HT$3&gt;TODAY()),"",IF(AND(HW605="",HX605=""),"",N(HX605)-N(HW605)))</f>
        <v/>
      </c>
      <c r="IC605">
        <f>IF(OR(IA$3="",IA$3&gt;TODAY()),"",IF(AND(IA605="",IB605=""),"",N(IB605)-N(IA605)))</f>
        <v/>
      </c>
      <c r="IF605">
        <f>IF(OR(IA$3="",IA$3&gt;TODAY()),"",IF(AND(ID605="",IE605=""),"",N(IE605)-N(ID605)))</f>
        <v/>
      </c>
      <c r="IJ605">
        <f>IF(OR(IH$3="",IH$3&gt;TODAY()),"",IF(AND(IH605="",II605=""),"",N(II605)-N(IH605)))</f>
        <v/>
      </c>
      <c r="IM605">
        <f>IF(OR(IH$3="",IH$3&gt;TODAY()),"",IF(AND(IK605="",IL605=""),"",N(IL605)-N(IK605)))</f>
        <v/>
      </c>
    </row>
    <row r="606">
      <c r="A606" s="21" t="n"/>
      <c r="B606" s="21" t="n"/>
      <c r="C606" s="21" t="n"/>
      <c r="D606" s="21" t="n"/>
      <c r="E606" s="21" t="n"/>
      <c r="F606" s="21" t="n"/>
      <c r="G606" s="21" t="n"/>
      <c r="H606" s="21" t="n"/>
      <c r="I606" s="22" t="n"/>
      <c r="J606" s="22" t="n"/>
      <c r="K606" s="23" t="n"/>
      <c r="L606" s="22" t="n"/>
      <c r="M606" s="22" t="n"/>
      <c r="N606" s="21" t="n"/>
      <c r="O606" s="23" t="n"/>
      <c r="P606" s="23" t="n"/>
      <c r="Q606" s="23" t="n"/>
      <c r="R606" s="23" t="n"/>
      <c r="S606" s="22" t="n"/>
      <c r="T606" s="23" t="n"/>
      <c r="U606" s="23" t="n"/>
      <c r="V606" s="24">
        <f>IF(J606&lt;&gt;"",J606,IF(I606&lt;&gt;"",I606,""))</f>
        <v/>
      </c>
      <c r="W606" s="25">
        <f>IF($E606="","",N(O606)+SUMIFS($AF606:$IN606,$AF$4:$IN$4,"SEW_ACT"))</f>
        <v/>
      </c>
      <c r="X606" s="25">
        <f>IF($E606="","",N(P606)+SUMIFS($AF606:$IN606,$AF$4:$IN$4,"WASH_ACT"))</f>
        <v/>
      </c>
      <c r="Y606" s="25">
        <f>IF($E606="","",W606-X606-N(T606)-N(U606))</f>
        <v/>
      </c>
      <c r="Z606" s="25">
        <f>IF($E606="","",IF(N(K606)-X606&lt;=0.02*N(K606),0,N(K606)-X606))</f>
        <v/>
      </c>
      <c r="AA606" s="24">
        <f>IF($E606="","",IF(S606&lt;&gt;"",S606,IF(N(O606)&gt;0,IF(L606&lt;&gt;"",L606,99999),IFERROR(1/(1/_xlfn.MINIFS($AF$3:$IN$3,$AF$4:$IN$4,"SEW_ACT",$AF606:$IN606,"&gt;0")),99999))))</f>
        <v/>
      </c>
      <c r="AB606" s="26">
        <f>IF(OR($E606="",Z606=0,V606=""),"",1+COUNTIFS(Z$8:Z$707,"&gt;0",V$8:V$707,"&lt;"&amp;V606)+COUNTIFS(Z$8:Z$707,"&gt;0",V$8:V$707,V606,AA$8:AA$707,"&lt;"&amp;AA606)+COUNTIFS(Z$8:Z$707,"&gt;0",V$8:V$707,V606,AA$8:AA$707,AA606,E$8:E$707,"&lt;"&amp;$E606))</f>
        <v/>
      </c>
      <c r="AC606" s="24">
        <f>IF(OR($E606="",Z606=0),"",IFERROR(TODAY()+ROUNDUP(Z606/(SUMIFS($AF606:$IN606,$AF$4:$IN$4,"WASH_ACT")/COUNTIFS($AF$4:$IN$4,"WASH_ACT",$AF606:$IN606,"&gt;0")),0),"no output yet"))</f>
        <v/>
      </c>
      <c r="AD606" s="26">
        <f>IF($E606="","",IFERROR(ROUND(MAX(0,SUMIFS($AF606:$IN606,$AF$4:$IN$4,"SEW_PLAN",$AF$3:$IN$3,"&lt;="&amp;TODAY())-SUMIFS($AF606:$IN606,$AF$4:$IN$4,"SEW_ACT",$AF$3:$IN$3,"&lt;="&amp;TODAY())+N(Q606))/(SUMIFS($AF606:$IN606,$AF$4:$IN$4,"SEW_PLAN")/COUNTIFS($AF$4:$IN$4,"SEW_PLAN",$AF606:$IN606,"&gt;0")),1),0))</f>
        <v/>
      </c>
      <c r="AE606" s="26">
        <f>IF($E606="","",IF(AND(Z606&gt;0,OR(AND(M606&lt;&gt;"",TODAY()&gt;M606),AND(V606&lt;&gt;"",V606-TODAY()&lt;=7))),"Yes","No"))</f>
        <v/>
      </c>
      <c r="AH606">
        <f>IF(OR(AF$3="",AF$3&gt;TODAY()),"",IF(AND(AF606="",AG606=""),"",N(AG606)-N(AF606)))</f>
        <v/>
      </c>
      <c r="AK606">
        <f>IF(OR(AF$3="",AF$3&gt;TODAY()),"",IF(AND(AI606="",AJ606=""),"",N(AJ606)-N(AI606)))</f>
        <v/>
      </c>
      <c r="AO606">
        <f>IF(OR(AM$3="",AM$3&gt;TODAY()),"",IF(AND(AM606="",AN606=""),"",N(AN606)-N(AM606)))</f>
        <v/>
      </c>
      <c r="AR606">
        <f>IF(OR(AM$3="",AM$3&gt;TODAY()),"",IF(AND(AP606="",AQ606=""),"",N(AQ606)-N(AP606)))</f>
        <v/>
      </c>
      <c r="AV606">
        <f>IF(OR(AT$3="",AT$3&gt;TODAY()),"",IF(AND(AT606="",AU606=""),"",N(AU606)-N(AT606)))</f>
        <v/>
      </c>
      <c r="AY606">
        <f>IF(OR(AT$3="",AT$3&gt;TODAY()),"",IF(AND(AW606="",AX606=""),"",N(AX606)-N(AW606)))</f>
        <v/>
      </c>
      <c r="BC606">
        <f>IF(OR(BA$3="",BA$3&gt;TODAY()),"",IF(AND(BA606="",BB606=""),"",N(BB606)-N(BA606)))</f>
        <v/>
      </c>
      <c r="BF606">
        <f>IF(OR(BA$3="",BA$3&gt;TODAY()),"",IF(AND(BD606="",BE606=""),"",N(BE606)-N(BD606)))</f>
        <v/>
      </c>
      <c r="BJ606">
        <f>IF(OR(BH$3="",BH$3&gt;TODAY()),"",IF(AND(BH606="",BI606=""),"",N(BI606)-N(BH606)))</f>
        <v/>
      </c>
      <c r="BM606">
        <f>IF(OR(BH$3="",BH$3&gt;TODAY()),"",IF(AND(BK606="",BL606=""),"",N(BL606)-N(BK606)))</f>
        <v/>
      </c>
      <c r="BQ606">
        <f>IF(OR(BO$3="",BO$3&gt;TODAY()),"",IF(AND(BO606="",BP606=""),"",N(BP606)-N(BO606)))</f>
        <v/>
      </c>
      <c r="BT606">
        <f>IF(OR(BO$3="",BO$3&gt;TODAY()),"",IF(AND(BR606="",BS606=""),"",N(BS606)-N(BR606)))</f>
        <v/>
      </c>
      <c r="BX606">
        <f>IF(OR(BV$3="",BV$3&gt;TODAY()),"",IF(AND(BV606="",BW606=""),"",N(BW606)-N(BV606)))</f>
        <v/>
      </c>
      <c r="CA606">
        <f>IF(OR(BV$3="",BV$3&gt;TODAY()),"",IF(AND(BY606="",BZ606=""),"",N(BZ606)-N(BY606)))</f>
        <v/>
      </c>
      <c r="CE606">
        <f>IF(OR(CC$3="",CC$3&gt;TODAY()),"",IF(AND(CC606="",CD606=""),"",N(CD606)-N(CC606)))</f>
        <v/>
      </c>
      <c r="CH606">
        <f>IF(OR(CC$3="",CC$3&gt;TODAY()),"",IF(AND(CF606="",CG606=""),"",N(CG606)-N(CF606)))</f>
        <v/>
      </c>
      <c r="CL606">
        <f>IF(OR(CJ$3="",CJ$3&gt;TODAY()),"",IF(AND(CJ606="",CK606=""),"",N(CK606)-N(CJ606)))</f>
        <v/>
      </c>
      <c r="CO606">
        <f>IF(OR(CJ$3="",CJ$3&gt;TODAY()),"",IF(AND(CM606="",CN606=""),"",N(CN606)-N(CM606)))</f>
        <v/>
      </c>
      <c r="CS606">
        <f>IF(OR(CQ$3="",CQ$3&gt;TODAY()),"",IF(AND(CQ606="",CR606=""),"",N(CR606)-N(CQ606)))</f>
        <v/>
      </c>
      <c r="CV606">
        <f>IF(OR(CQ$3="",CQ$3&gt;TODAY()),"",IF(AND(CT606="",CU606=""),"",N(CU606)-N(CT606)))</f>
        <v/>
      </c>
      <c r="CZ606">
        <f>IF(OR(CX$3="",CX$3&gt;TODAY()),"",IF(AND(CX606="",CY606=""),"",N(CY606)-N(CX606)))</f>
        <v/>
      </c>
      <c r="DC606">
        <f>IF(OR(CX$3="",CX$3&gt;TODAY()),"",IF(AND(DA606="",DB606=""),"",N(DB606)-N(DA606)))</f>
        <v/>
      </c>
      <c r="DG606">
        <f>IF(OR(DE$3="",DE$3&gt;TODAY()),"",IF(AND(DE606="",DF606=""),"",N(DF606)-N(DE606)))</f>
        <v/>
      </c>
      <c r="DJ606">
        <f>IF(OR(DE$3="",DE$3&gt;TODAY()),"",IF(AND(DH606="",DI606=""),"",N(DI606)-N(DH606)))</f>
        <v/>
      </c>
      <c r="DN606">
        <f>IF(OR(DL$3="",DL$3&gt;TODAY()),"",IF(AND(DL606="",DM606=""),"",N(DM606)-N(DL606)))</f>
        <v/>
      </c>
      <c r="DQ606">
        <f>IF(OR(DL$3="",DL$3&gt;TODAY()),"",IF(AND(DO606="",DP606=""),"",N(DP606)-N(DO606)))</f>
        <v/>
      </c>
      <c r="DU606">
        <f>IF(OR(DS$3="",DS$3&gt;TODAY()),"",IF(AND(DS606="",DT606=""),"",N(DT606)-N(DS606)))</f>
        <v/>
      </c>
      <c r="DX606">
        <f>IF(OR(DS$3="",DS$3&gt;TODAY()),"",IF(AND(DV606="",DW606=""),"",N(DW606)-N(DV606)))</f>
        <v/>
      </c>
      <c r="EB606">
        <f>IF(OR(DZ$3="",DZ$3&gt;TODAY()),"",IF(AND(DZ606="",EA606=""),"",N(EA606)-N(DZ606)))</f>
        <v/>
      </c>
      <c r="EE606">
        <f>IF(OR(DZ$3="",DZ$3&gt;TODAY()),"",IF(AND(EC606="",ED606=""),"",N(ED606)-N(EC606)))</f>
        <v/>
      </c>
      <c r="EI606">
        <f>IF(OR(EG$3="",EG$3&gt;TODAY()),"",IF(AND(EG606="",EH606=""),"",N(EH606)-N(EG606)))</f>
        <v/>
      </c>
      <c r="EL606">
        <f>IF(OR(EG$3="",EG$3&gt;TODAY()),"",IF(AND(EJ606="",EK606=""),"",N(EK606)-N(EJ606)))</f>
        <v/>
      </c>
      <c r="EP606">
        <f>IF(OR(EN$3="",EN$3&gt;TODAY()),"",IF(AND(EN606="",EO606=""),"",N(EO606)-N(EN606)))</f>
        <v/>
      </c>
      <c r="ES606">
        <f>IF(OR(EN$3="",EN$3&gt;TODAY()),"",IF(AND(EQ606="",ER606=""),"",N(ER606)-N(EQ606)))</f>
        <v/>
      </c>
      <c r="EW606">
        <f>IF(OR(EU$3="",EU$3&gt;TODAY()),"",IF(AND(EU606="",EV606=""),"",N(EV606)-N(EU606)))</f>
        <v/>
      </c>
      <c r="EZ606">
        <f>IF(OR(EU$3="",EU$3&gt;TODAY()),"",IF(AND(EX606="",EY606=""),"",N(EY606)-N(EX606)))</f>
        <v/>
      </c>
      <c r="FD606">
        <f>IF(OR(FB$3="",FB$3&gt;TODAY()),"",IF(AND(FB606="",FC606=""),"",N(FC606)-N(FB606)))</f>
        <v/>
      </c>
      <c r="FG606">
        <f>IF(OR(FB$3="",FB$3&gt;TODAY()),"",IF(AND(FE606="",FF606=""),"",N(FF606)-N(FE606)))</f>
        <v/>
      </c>
      <c r="FK606">
        <f>IF(OR(FI$3="",FI$3&gt;TODAY()),"",IF(AND(FI606="",FJ606=""),"",N(FJ606)-N(FI606)))</f>
        <v/>
      </c>
      <c r="FN606">
        <f>IF(OR(FI$3="",FI$3&gt;TODAY()),"",IF(AND(FL606="",FM606=""),"",N(FM606)-N(FL606)))</f>
        <v/>
      </c>
      <c r="FR606">
        <f>IF(OR(FP$3="",FP$3&gt;TODAY()),"",IF(AND(FP606="",FQ606=""),"",N(FQ606)-N(FP606)))</f>
        <v/>
      </c>
      <c r="FU606">
        <f>IF(OR(FP$3="",FP$3&gt;TODAY()),"",IF(AND(FS606="",FT606=""),"",N(FT606)-N(FS606)))</f>
        <v/>
      </c>
      <c r="FY606">
        <f>IF(OR(FW$3="",FW$3&gt;TODAY()),"",IF(AND(FW606="",FX606=""),"",N(FX606)-N(FW606)))</f>
        <v/>
      </c>
      <c r="GB606">
        <f>IF(OR(FW$3="",FW$3&gt;TODAY()),"",IF(AND(FZ606="",GA606=""),"",N(GA606)-N(FZ606)))</f>
        <v/>
      </c>
      <c r="GF606">
        <f>IF(OR(GD$3="",GD$3&gt;TODAY()),"",IF(AND(GD606="",GE606=""),"",N(GE606)-N(GD606)))</f>
        <v/>
      </c>
      <c r="GI606">
        <f>IF(OR(GD$3="",GD$3&gt;TODAY()),"",IF(AND(GG606="",GH606=""),"",N(GH606)-N(GG606)))</f>
        <v/>
      </c>
      <c r="GM606">
        <f>IF(OR(GK$3="",GK$3&gt;TODAY()),"",IF(AND(GK606="",GL606=""),"",N(GL606)-N(GK606)))</f>
        <v/>
      </c>
      <c r="GP606">
        <f>IF(OR(GK$3="",GK$3&gt;TODAY()),"",IF(AND(GN606="",GO606=""),"",N(GO606)-N(GN606)))</f>
        <v/>
      </c>
      <c r="GT606">
        <f>IF(OR(GR$3="",GR$3&gt;TODAY()),"",IF(AND(GR606="",GS606=""),"",N(GS606)-N(GR606)))</f>
        <v/>
      </c>
      <c r="GW606">
        <f>IF(OR(GR$3="",GR$3&gt;TODAY()),"",IF(AND(GU606="",GV606=""),"",N(GV606)-N(GU606)))</f>
        <v/>
      </c>
      <c r="HA606">
        <f>IF(OR(GY$3="",GY$3&gt;TODAY()),"",IF(AND(GY606="",GZ606=""),"",N(GZ606)-N(GY606)))</f>
        <v/>
      </c>
      <c r="HD606">
        <f>IF(OR(GY$3="",GY$3&gt;TODAY()),"",IF(AND(HB606="",HC606=""),"",N(HC606)-N(HB606)))</f>
        <v/>
      </c>
      <c r="HH606">
        <f>IF(OR(HF$3="",HF$3&gt;TODAY()),"",IF(AND(HF606="",HG606=""),"",N(HG606)-N(HF606)))</f>
        <v/>
      </c>
      <c r="HK606">
        <f>IF(OR(HF$3="",HF$3&gt;TODAY()),"",IF(AND(HI606="",HJ606=""),"",N(HJ606)-N(HI606)))</f>
        <v/>
      </c>
      <c r="HO606">
        <f>IF(OR(HM$3="",HM$3&gt;TODAY()),"",IF(AND(HM606="",HN606=""),"",N(HN606)-N(HM606)))</f>
        <v/>
      </c>
      <c r="HR606">
        <f>IF(OR(HM$3="",HM$3&gt;TODAY()),"",IF(AND(HP606="",HQ606=""),"",N(HQ606)-N(HP606)))</f>
        <v/>
      </c>
      <c r="HV606">
        <f>IF(OR(HT$3="",HT$3&gt;TODAY()),"",IF(AND(HT606="",HU606=""),"",N(HU606)-N(HT606)))</f>
        <v/>
      </c>
      <c r="HY606">
        <f>IF(OR(HT$3="",HT$3&gt;TODAY()),"",IF(AND(HW606="",HX606=""),"",N(HX606)-N(HW606)))</f>
        <v/>
      </c>
      <c r="IC606">
        <f>IF(OR(IA$3="",IA$3&gt;TODAY()),"",IF(AND(IA606="",IB606=""),"",N(IB606)-N(IA606)))</f>
        <v/>
      </c>
      <c r="IF606">
        <f>IF(OR(IA$3="",IA$3&gt;TODAY()),"",IF(AND(ID606="",IE606=""),"",N(IE606)-N(ID606)))</f>
        <v/>
      </c>
      <c r="IJ606">
        <f>IF(OR(IH$3="",IH$3&gt;TODAY()),"",IF(AND(IH606="",II606=""),"",N(II606)-N(IH606)))</f>
        <v/>
      </c>
      <c r="IM606">
        <f>IF(OR(IH$3="",IH$3&gt;TODAY()),"",IF(AND(IK606="",IL606=""),"",N(IL606)-N(IK606)))</f>
        <v/>
      </c>
    </row>
    <row r="607">
      <c r="A607" s="21" t="n"/>
      <c r="B607" s="21" t="n"/>
      <c r="C607" s="21" t="n"/>
      <c r="D607" s="21" t="n"/>
      <c r="E607" s="21" t="n"/>
      <c r="F607" s="21" t="n"/>
      <c r="G607" s="21" t="n"/>
      <c r="H607" s="21" t="n"/>
      <c r="I607" s="22" t="n"/>
      <c r="J607" s="22" t="n"/>
      <c r="K607" s="23" t="n"/>
      <c r="L607" s="22" t="n"/>
      <c r="M607" s="22" t="n"/>
      <c r="N607" s="21" t="n"/>
      <c r="O607" s="23" t="n"/>
      <c r="P607" s="23" t="n"/>
      <c r="Q607" s="23" t="n"/>
      <c r="R607" s="23" t="n"/>
      <c r="S607" s="22" t="n"/>
      <c r="T607" s="23" t="n"/>
      <c r="U607" s="23" t="n"/>
      <c r="V607" s="24">
        <f>IF(J607&lt;&gt;"",J607,IF(I607&lt;&gt;"",I607,""))</f>
        <v/>
      </c>
      <c r="W607" s="25">
        <f>IF($E607="","",N(O607)+SUMIFS($AF607:$IN607,$AF$4:$IN$4,"SEW_ACT"))</f>
        <v/>
      </c>
      <c r="X607" s="25">
        <f>IF($E607="","",N(P607)+SUMIFS($AF607:$IN607,$AF$4:$IN$4,"WASH_ACT"))</f>
        <v/>
      </c>
      <c r="Y607" s="25">
        <f>IF($E607="","",W607-X607-N(T607)-N(U607))</f>
        <v/>
      </c>
      <c r="Z607" s="25">
        <f>IF($E607="","",IF(N(K607)-X607&lt;=0.02*N(K607),0,N(K607)-X607))</f>
        <v/>
      </c>
      <c r="AA607" s="24">
        <f>IF($E607="","",IF(S607&lt;&gt;"",S607,IF(N(O607)&gt;0,IF(L607&lt;&gt;"",L607,99999),IFERROR(1/(1/_xlfn.MINIFS($AF$3:$IN$3,$AF$4:$IN$4,"SEW_ACT",$AF607:$IN607,"&gt;0")),99999))))</f>
        <v/>
      </c>
      <c r="AB607" s="26">
        <f>IF(OR($E607="",Z607=0,V607=""),"",1+COUNTIFS(Z$8:Z$707,"&gt;0",V$8:V$707,"&lt;"&amp;V607)+COUNTIFS(Z$8:Z$707,"&gt;0",V$8:V$707,V607,AA$8:AA$707,"&lt;"&amp;AA607)+COUNTIFS(Z$8:Z$707,"&gt;0",V$8:V$707,V607,AA$8:AA$707,AA607,E$8:E$707,"&lt;"&amp;$E607))</f>
        <v/>
      </c>
      <c r="AC607" s="24">
        <f>IF(OR($E607="",Z607=0),"",IFERROR(TODAY()+ROUNDUP(Z607/(SUMIFS($AF607:$IN607,$AF$4:$IN$4,"WASH_ACT")/COUNTIFS($AF$4:$IN$4,"WASH_ACT",$AF607:$IN607,"&gt;0")),0),"no output yet"))</f>
        <v/>
      </c>
      <c r="AD607" s="26">
        <f>IF($E607="","",IFERROR(ROUND(MAX(0,SUMIFS($AF607:$IN607,$AF$4:$IN$4,"SEW_PLAN",$AF$3:$IN$3,"&lt;="&amp;TODAY())-SUMIFS($AF607:$IN607,$AF$4:$IN$4,"SEW_ACT",$AF$3:$IN$3,"&lt;="&amp;TODAY())+N(Q607))/(SUMIFS($AF607:$IN607,$AF$4:$IN$4,"SEW_PLAN")/COUNTIFS($AF$4:$IN$4,"SEW_PLAN",$AF607:$IN607,"&gt;0")),1),0))</f>
        <v/>
      </c>
      <c r="AE607" s="26">
        <f>IF($E607="","",IF(AND(Z607&gt;0,OR(AND(M607&lt;&gt;"",TODAY()&gt;M607),AND(V607&lt;&gt;"",V607-TODAY()&lt;=7))),"Yes","No"))</f>
        <v/>
      </c>
      <c r="AH607">
        <f>IF(OR(AF$3="",AF$3&gt;TODAY()),"",IF(AND(AF607="",AG607=""),"",N(AG607)-N(AF607)))</f>
        <v/>
      </c>
      <c r="AK607">
        <f>IF(OR(AF$3="",AF$3&gt;TODAY()),"",IF(AND(AI607="",AJ607=""),"",N(AJ607)-N(AI607)))</f>
        <v/>
      </c>
      <c r="AO607">
        <f>IF(OR(AM$3="",AM$3&gt;TODAY()),"",IF(AND(AM607="",AN607=""),"",N(AN607)-N(AM607)))</f>
        <v/>
      </c>
      <c r="AR607">
        <f>IF(OR(AM$3="",AM$3&gt;TODAY()),"",IF(AND(AP607="",AQ607=""),"",N(AQ607)-N(AP607)))</f>
        <v/>
      </c>
      <c r="AV607">
        <f>IF(OR(AT$3="",AT$3&gt;TODAY()),"",IF(AND(AT607="",AU607=""),"",N(AU607)-N(AT607)))</f>
        <v/>
      </c>
      <c r="AY607">
        <f>IF(OR(AT$3="",AT$3&gt;TODAY()),"",IF(AND(AW607="",AX607=""),"",N(AX607)-N(AW607)))</f>
        <v/>
      </c>
      <c r="BC607">
        <f>IF(OR(BA$3="",BA$3&gt;TODAY()),"",IF(AND(BA607="",BB607=""),"",N(BB607)-N(BA607)))</f>
        <v/>
      </c>
      <c r="BF607">
        <f>IF(OR(BA$3="",BA$3&gt;TODAY()),"",IF(AND(BD607="",BE607=""),"",N(BE607)-N(BD607)))</f>
        <v/>
      </c>
      <c r="BJ607">
        <f>IF(OR(BH$3="",BH$3&gt;TODAY()),"",IF(AND(BH607="",BI607=""),"",N(BI607)-N(BH607)))</f>
        <v/>
      </c>
      <c r="BM607">
        <f>IF(OR(BH$3="",BH$3&gt;TODAY()),"",IF(AND(BK607="",BL607=""),"",N(BL607)-N(BK607)))</f>
        <v/>
      </c>
      <c r="BQ607">
        <f>IF(OR(BO$3="",BO$3&gt;TODAY()),"",IF(AND(BO607="",BP607=""),"",N(BP607)-N(BO607)))</f>
        <v/>
      </c>
      <c r="BT607">
        <f>IF(OR(BO$3="",BO$3&gt;TODAY()),"",IF(AND(BR607="",BS607=""),"",N(BS607)-N(BR607)))</f>
        <v/>
      </c>
      <c r="BX607">
        <f>IF(OR(BV$3="",BV$3&gt;TODAY()),"",IF(AND(BV607="",BW607=""),"",N(BW607)-N(BV607)))</f>
        <v/>
      </c>
      <c r="CA607">
        <f>IF(OR(BV$3="",BV$3&gt;TODAY()),"",IF(AND(BY607="",BZ607=""),"",N(BZ607)-N(BY607)))</f>
        <v/>
      </c>
      <c r="CE607">
        <f>IF(OR(CC$3="",CC$3&gt;TODAY()),"",IF(AND(CC607="",CD607=""),"",N(CD607)-N(CC607)))</f>
        <v/>
      </c>
      <c r="CH607">
        <f>IF(OR(CC$3="",CC$3&gt;TODAY()),"",IF(AND(CF607="",CG607=""),"",N(CG607)-N(CF607)))</f>
        <v/>
      </c>
      <c r="CL607">
        <f>IF(OR(CJ$3="",CJ$3&gt;TODAY()),"",IF(AND(CJ607="",CK607=""),"",N(CK607)-N(CJ607)))</f>
        <v/>
      </c>
      <c r="CO607">
        <f>IF(OR(CJ$3="",CJ$3&gt;TODAY()),"",IF(AND(CM607="",CN607=""),"",N(CN607)-N(CM607)))</f>
        <v/>
      </c>
      <c r="CS607">
        <f>IF(OR(CQ$3="",CQ$3&gt;TODAY()),"",IF(AND(CQ607="",CR607=""),"",N(CR607)-N(CQ607)))</f>
        <v/>
      </c>
      <c r="CV607">
        <f>IF(OR(CQ$3="",CQ$3&gt;TODAY()),"",IF(AND(CT607="",CU607=""),"",N(CU607)-N(CT607)))</f>
        <v/>
      </c>
      <c r="CZ607">
        <f>IF(OR(CX$3="",CX$3&gt;TODAY()),"",IF(AND(CX607="",CY607=""),"",N(CY607)-N(CX607)))</f>
        <v/>
      </c>
      <c r="DC607">
        <f>IF(OR(CX$3="",CX$3&gt;TODAY()),"",IF(AND(DA607="",DB607=""),"",N(DB607)-N(DA607)))</f>
        <v/>
      </c>
      <c r="DG607">
        <f>IF(OR(DE$3="",DE$3&gt;TODAY()),"",IF(AND(DE607="",DF607=""),"",N(DF607)-N(DE607)))</f>
        <v/>
      </c>
      <c r="DJ607">
        <f>IF(OR(DE$3="",DE$3&gt;TODAY()),"",IF(AND(DH607="",DI607=""),"",N(DI607)-N(DH607)))</f>
        <v/>
      </c>
      <c r="DN607">
        <f>IF(OR(DL$3="",DL$3&gt;TODAY()),"",IF(AND(DL607="",DM607=""),"",N(DM607)-N(DL607)))</f>
        <v/>
      </c>
      <c r="DQ607">
        <f>IF(OR(DL$3="",DL$3&gt;TODAY()),"",IF(AND(DO607="",DP607=""),"",N(DP607)-N(DO607)))</f>
        <v/>
      </c>
      <c r="DU607">
        <f>IF(OR(DS$3="",DS$3&gt;TODAY()),"",IF(AND(DS607="",DT607=""),"",N(DT607)-N(DS607)))</f>
        <v/>
      </c>
      <c r="DX607">
        <f>IF(OR(DS$3="",DS$3&gt;TODAY()),"",IF(AND(DV607="",DW607=""),"",N(DW607)-N(DV607)))</f>
        <v/>
      </c>
      <c r="EB607">
        <f>IF(OR(DZ$3="",DZ$3&gt;TODAY()),"",IF(AND(DZ607="",EA607=""),"",N(EA607)-N(DZ607)))</f>
        <v/>
      </c>
      <c r="EE607">
        <f>IF(OR(DZ$3="",DZ$3&gt;TODAY()),"",IF(AND(EC607="",ED607=""),"",N(ED607)-N(EC607)))</f>
        <v/>
      </c>
      <c r="EI607">
        <f>IF(OR(EG$3="",EG$3&gt;TODAY()),"",IF(AND(EG607="",EH607=""),"",N(EH607)-N(EG607)))</f>
        <v/>
      </c>
      <c r="EL607">
        <f>IF(OR(EG$3="",EG$3&gt;TODAY()),"",IF(AND(EJ607="",EK607=""),"",N(EK607)-N(EJ607)))</f>
        <v/>
      </c>
      <c r="EP607">
        <f>IF(OR(EN$3="",EN$3&gt;TODAY()),"",IF(AND(EN607="",EO607=""),"",N(EO607)-N(EN607)))</f>
        <v/>
      </c>
      <c r="ES607">
        <f>IF(OR(EN$3="",EN$3&gt;TODAY()),"",IF(AND(EQ607="",ER607=""),"",N(ER607)-N(EQ607)))</f>
        <v/>
      </c>
      <c r="EW607">
        <f>IF(OR(EU$3="",EU$3&gt;TODAY()),"",IF(AND(EU607="",EV607=""),"",N(EV607)-N(EU607)))</f>
        <v/>
      </c>
      <c r="EZ607">
        <f>IF(OR(EU$3="",EU$3&gt;TODAY()),"",IF(AND(EX607="",EY607=""),"",N(EY607)-N(EX607)))</f>
        <v/>
      </c>
      <c r="FD607">
        <f>IF(OR(FB$3="",FB$3&gt;TODAY()),"",IF(AND(FB607="",FC607=""),"",N(FC607)-N(FB607)))</f>
        <v/>
      </c>
      <c r="FG607">
        <f>IF(OR(FB$3="",FB$3&gt;TODAY()),"",IF(AND(FE607="",FF607=""),"",N(FF607)-N(FE607)))</f>
        <v/>
      </c>
      <c r="FK607">
        <f>IF(OR(FI$3="",FI$3&gt;TODAY()),"",IF(AND(FI607="",FJ607=""),"",N(FJ607)-N(FI607)))</f>
        <v/>
      </c>
      <c r="FN607">
        <f>IF(OR(FI$3="",FI$3&gt;TODAY()),"",IF(AND(FL607="",FM607=""),"",N(FM607)-N(FL607)))</f>
        <v/>
      </c>
      <c r="FR607">
        <f>IF(OR(FP$3="",FP$3&gt;TODAY()),"",IF(AND(FP607="",FQ607=""),"",N(FQ607)-N(FP607)))</f>
        <v/>
      </c>
      <c r="FU607">
        <f>IF(OR(FP$3="",FP$3&gt;TODAY()),"",IF(AND(FS607="",FT607=""),"",N(FT607)-N(FS607)))</f>
        <v/>
      </c>
      <c r="FY607">
        <f>IF(OR(FW$3="",FW$3&gt;TODAY()),"",IF(AND(FW607="",FX607=""),"",N(FX607)-N(FW607)))</f>
        <v/>
      </c>
      <c r="GB607">
        <f>IF(OR(FW$3="",FW$3&gt;TODAY()),"",IF(AND(FZ607="",GA607=""),"",N(GA607)-N(FZ607)))</f>
        <v/>
      </c>
      <c r="GF607">
        <f>IF(OR(GD$3="",GD$3&gt;TODAY()),"",IF(AND(GD607="",GE607=""),"",N(GE607)-N(GD607)))</f>
        <v/>
      </c>
      <c r="GI607">
        <f>IF(OR(GD$3="",GD$3&gt;TODAY()),"",IF(AND(GG607="",GH607=""),"",N(GH607)-N(GG607)))</f>
        <v/>
      </c>
      <c r="GM607">
        <f>IF(OR(GK$3="",GK$3&gt;TODAY()),"",IF(AND(GK607="",GL607=""),"",N(GL607)-N(GK607)))</f>
        <v/>
      </c>
      <c r="GP607">
        <f>IF(OR(GK$3="",GK$3&gt;TODAY()),"",IF(AND(GN607="",GO607=""),"",N(GO607)-N(GN607)))</f>
        <v/>
      </c>
      <c r="GT607">
        <f>IF(OR(GR$3="",GR$3&gt;TODAY()),"",IF(AND(GR607="",GS607=""),"",N(GS607)-N(GR607)))</f>
        <v/>
      </c>
      <c r="GW607">
        <f>IF(OR(GR$3="",GR$3&gt;TODAY()),"",IF(AND(GU607="",GV607=""),"",N(GV607)-N(GU607)))</f>
        <v/>
      </c>
      <c r="HA607">
        <f>IF(OR(GY$3="",GY$3&gt;TODAY()),"",IF(AND(GY607="",GZ607=""),"",N(GZ607)-N(GY607)))</f>
        <v/>
      </c>
      <c r="HD607">
        <f>IF(OR(GY$3="",GY$3&gt;TODAY()),"",IF(AND(HB607="",HC607=""),"",N(HC607)-N(HB607)))</f>
        <v/>
      </c>
      <c r="HH607">
        <f>IF(OR(HF$3="",HF$3&gt;TODAY()),"",IF(AND(HF607="",HG607=""),"",N(HG607)-N(HF607)))</f>
        <v/>
      </c>
      <c r="HK607">
        <f>IF(OR(HF$3="",HF$3&gt;TODAY()),"",IF(AND(HI607="",HJ607=""),"",N(HJ607)-N(HI607)))</f>
        <v/>
      </c>
      <c r="HO607">
        <f>IF(OR(HM$3="",HM$3&gt;TODAY()),"",IF(AND(HM607="",HN607=""),"",N(HN607)-N(HM607)))</f>
        <v/>
      </c>
      <c r="HR607">
        <f>IF(OR(HM$3="",HM$3&gt;TODAY()),"",IF(AND(HP607="",HQ607=""),"",N(HQ607)-N(HP607)))</f>
        <v/>
      </c>
      <c r="HV607">
        <f>IF(OR(HT$3="",HT$3&gt;TODAY()),"",IF(AND(HT607="",HU607=""),"",N(HU607)-N(HT607)))</f>
        <v/>
      </c>
      <c r="HY607">
        <f>IF(OR(HT$3="",HT$3&gt;TODAY()),"",IF(AND(HW607="",HX607=""),"",N(HX607)-N(HW607)))</f>
        <v/>
      </c>
      <c r="IC607">
        <f>IF(OR(IA$3="",IA$3&gt;TODAY()),"",IF(AND(IA607="",IB607=""),"",N(IB607)-N(IA607)))</f>
        <v/>
      </c>
      <c r="IF607">
        <f>IF(OR(IA$3="",IA$3&gt;TODAY()),"",IF(AND(ID607="",IE607=""),"",N(IE607)-N(ID607)))</f>
        <v/>
      </c>
      <c r="IJ607">
        <f>IF(OR(IH$3="",IH$3&gt;TODAY()),"",IF(AND(IH607="",II607=""),"",N(II607)-N(IH607)))</f>
        <v/>
      </c>
      <c r="IM607">
        <f>IF(OR(IH$3="",IH$3&gt;TODAY()),"",IF(AND(IK607="",IL607=""),"",N(IL607)-N(IK607)))</f>
        <v/>
      </c>
    </row>
    <row r="608">
      <c r="A608" s="21" t="n"/>
      <c r="B608" s="21" t="n"/>
      <c r="C608" s="21" t="n"/>
      <c r="D608" s="21" t="n"/>
      <c r="E608" s="21" t="n"/>
      <c r="F608" s="21" t="n"/>
      <c r="G608" s="21" t="n"/>
      <c r="H608" s="21" t="n"/>
      <c r="I608" s="22" t="n"/>
      <c r="J608" s="22" t="n"/>
      <c r="K608" s="23" t="n"/>
      <c r="L608" s="22" t="n"/>
      <c r="M608" s="22" t="n"/>
      <c r="N608" s="21" t="n"/>
      <c r="O608" s="23" t="n"/>
      <c r="P608" s="23" t="n"/>
      <c r="Q608" s="23" t="n"/>
      <c r="R608" s="23" t="n"/>
      <c r="S608" s="22" t="n"/>
      <c r="T608" s="23" t="n"/>
      <c r="U608" s="23" t="n"/>
      <c r="V608" s="24">
        <f>IF(J608&lt;&gt;"",J608,IF(I608&lt;&gt;"",I608,""))</f>
        <v/>
      </c>
      <c r="W608" s="25">
        <f>IF($E608="","",N(O608)+SUMIFS($AF608:$IN608,$AF$4:$IN$4,"SEW_ACT"))</f>
        <v/>
      </c>
      <c r="X608" s="25">
        <f>IF($E608="","",N(P608)+SUMIFS($AF608:$IN608,$AF$4:$IN$4,"WASH_ACT"))</f>
        <v/>
      </c>
      <c r="Y608" s="25">
        <f>IF($E608="","",W608-X608-N(T608)-N(U608))</f>
        <v/>
      </c>
      <c r="Z608" s="25">
        <f>IF($E608="","",IF(N(K608)-X608&lt;=0.02*N(K608),0,N(K608)-X608))</f>
        <v/>
      </c>
      <c r="AA608" s="24">
        <f>IF($E608="","",IF(S608&lt;&gt;"",S608,IF(N(O608)&gt;0,IF(L608&lt;&gt;"",L608,99999),IFERROR(1/(1/_xlfn.MINIFS($AF$3:$IN$3,$AF$4:$IN$4,"SEW_ACT",$AF608:$IN608,"&gt;0")),99999))))</f>
        <v/>
      </c>
      <c r="AB608" s="26">
        <f>IF(OR($E608="",Z608=0,V608=""),"",1+COUNTIFS(Z$8:Z$707,"&gt;0",V$8:V$707,"&lt;"&amp;V608)+COUNTIFS(Z$8:Z$707,"&gt;0",V$8:V$707,V608,AA$8:AA$707,"&lt;"&amp;AA608)+COUNTIFS(Z$8:Z$707,"&gt;0",V$8:V$707,V608,AA$8:AA$707,AA608,E$8:E$707,"&lt;"&amp;$E608))</f>
        <v/>
      </c>
      <c r="AC608" s="24">
        <f>IF(OR($E608="",Z608=0),"",IFERROR(TODAY()+ROUNDUP(Z608/(SUMIFS($AF608:$IN608,$AF$4:$IN$4,"WASH_ACT")/COUNTIFS($AF$4:$IN$4,"WASH_ACT",$AF608:$IN608,"&gt;0")),0),"no output yet"))</f>
        <v/>
      </c>
      <c r="AD608" s="26">
        <f>IF($E608="","",IFERROR(ROUND(MAX(0,SUMIFS($AF608:$IN608,$AF$4:$IN$4,"SEW_PLAN",$AF$3:$IN$3,"&lt;="&amp;TODAY())-SUMIFS($AF608:$IN608,$AF$4:$IN$4,"SEW_ACT",$AF$3:$IN$3,"&lt;="&amp;TODAY())+N(Q608))/(SUMIFS($AF608:$IN608,$AF$4:$IN$4,"SEW_PLAN")/COUNTIFS($AF$4:$IN$4,"SEW_PLAN",$AF608:$IN608,"&gt;0")),1),0))</f>
        <v/>
      </c>
      <c r="AE608" s="26">
        <f>IF($E608="","",IF(AND(Z608&gt;0,OR(AND(M608&lt;&gt;"",TODAY()&gt;M608),AND(V608&lt;&gt;"",V608-TODAY()&lt;=7))),"Yes","No"))</f>
        <v/>
      </c>
      <c r="AH608">
        <f>IF(OR(AF$3="",AF$3&gt;TODAY()),"",IF(AND(AF608="",AG608=""),"",N(AG608)-N(AF608)))</f>
        <v/>
      </c>
      <c r="AK608">
        <f>IF(OR(AF$3="",AF$3&gt;TODAY()),"",IF(AND(AI608="",AJ608=""),"",N(AJ608)-N(AI608)))</f>
        <v/>
      </c>
      <c r="AO608">
        <f>IF(OR(AM$3="",AM$3&gt;TODAY()),"",IF(AND(AM608="",AN608=""),"",N(AN608)-N(AM608)))</f>
        <v/>
      </c>
      <c r="AR608">
        <f>IF(OR(AM$3="",AM$3&gt;TODAY()),"",IF(AND(AP608="",AQ608=""),"",N(AQ608)-N(AP608)))</f>
        <v/>
      </c>
      <c r="AV608">
        <f>IF(OR(AT$3="",AT$3&gt;TODAY()),"",IF(AND(AT608="",AU608=""),"",N(AU608)-N(AT608)))</f>
        <v/>
      </c>
      <c r="AY608">
        <f>IF(OR(AT$3="",AT$3&gt;TODAY()),"",IF(AND(AW608="",AX608=""),"",N(AX608)-N(AW608)))</f>
        <v/>
      </c>
      <c r="BC608">
        <f>IF(OR(BA$3="",BA$3&gt;TODAY()),"",IF(AND(BA608="",BB608=""),"",N(BB608)-N(BA608)))</f>
        <v/>
      </c>
      <c r="BF608">
        <f>IF(OR(BA$3="",BA$3&gt;TODAY()),"",IF(AND(BD608="",BE608=""),"",N(BE608)-N(BD608)))</f>
        <v/>
      </c>
      <c r="BJ608">
        <f>IF(OR(BH$3="",BH$3&gt;TODAY()),"",IF(AND(BH608="",BI608=""),"",N(BI608)-N(BH608)))</f>
        <v/>
      </c>
      <c r="BM608">
        <f>IF(OR(BH$3="",BH$3&gt;TODAY()),"",IF(AND(BK608="",BL608=""),"",N(BL608)-N(BK608)))</f>
        <v/>
      </c>
      <c r="BQ608">
        <f>IF(OR(BO$3="",BO$3&gt;TODAY()),"",IF(AND(BO608="",BP608=""),"",N(BP608)-N(BO608)))</f>
        <v/>
      </c>
      <c r="BT608">
        <f>IF(OR(BO$3="",BO$3&gt;TODAY()),"",IF(AND(BR608="",BS608=""),"",N(BS608)-N(BR608)))</f>
        <v/>
      </c>
      <c r="BX608">
        <f>IF(OR(BV$3="",BV$3&gt;TODAY()),"",IF(AND(BV608="",BW608=""),"",N(BW608)-N(BV608)))</f>
        <v/>
      </c>
      <c r="CA608">
        <f>IF(OR(BV$3="",BV$3&gt;TODAY()),"",IF(AND(BY608="",BZ608=""),"",N(BZ608)-N(BY608)))</f>
        <v/>
      </c>
      <c r="CE608">
        <f>IF(OR(CC$3="",CC$3&gt;TODAY()),"",IF(AND(CC608="",CD608=""),"",N(CD608)-N(CC608)))</f>
        <v/>
      </c>
      <c r="CH608">
        <f>IF(OR(CC$3="",CC$3&gt;TODAY()),"",IF(AND(CF608="",CG608=""),"",N(CG608)-N(CF608)))</f>
        <v/>
      </c>
      <c r="CL608">
        <f>IF(OR(CJ$3="",CJ$3&gt;TODAY()),"",IF(AND(CJ608="",CK608=""),"",N(CK608)-N(CJ608)))</f>
        <v/>
      </c>
      <c r="CO608">
        <f>IF(OR(CJ$3="",CJ$3&gt;TODAY()),"",IF(AND(CM608="",CN608=""),"",N(CN608)-N(CM608)))</f>
        <v/>
      </c>
      <c r="CS608">
        <f>IF(OR(CQ$3="",CQ$3&gt;TODAY()),"",IF(AND(CQ608="",CR608=""),"",N(CR608)-N(CQ608)))</f>
        <v/>
      </c>
      <c r="CV608">
        <f>IF(OR(CQ$3="",CQ$3&gt;TODAY()),"",IF(AND(CT608="",CU608=""),"",N(CU608)-N(CT608)))</f>
        <v/>
      </c>
      <c r="CZ608">
        <f>IF(OR(CX$3="",CX$3&gt;TODAY()),"",IF(AND(CX608="",CY608=""),"",N(CY608)-N(CX608)))</f>
        <v/>
      </c>
      <c r="DC608">
        <f>IF(OR(CX$3="",CX$3&gt;TODAY()),"",IF(AND(DA608="",DB608=""),"",N(DB608)-N(DA608)))</f>
        <v/>
      </c>
      <c r="DG608">
        <f>IF(OR(DE$3="",DE$3&gt;TODAY()),"",IF(AND(DE608="",DF608=""),"",N(DF608)-N(DE608)))</f>
        <v/>
      </c>
      <c r="DJ608">
        <f>IF(OR(DE$3="",DE$3&gt;TODAY()),"",IF(AND(DH608="",DI608=""),"",N(DI608)-N(DH608)))</f>
        <v/>
      </c>
      <c r="DN608">
        <f>IF(OR(DL$3="",DL$3&gt;TODAY()),"",IF(AND(DL608="",DM608=""),"",N(DM608)-N(DL608)))</f>
        <v/>
      </c>
      <c r="DQ608">
        <f>IF(OR(DL$3="",DL$3&gt;TODAY()),"",IF(AND(DO608="",DP608=""),"",N(DP608)-N(DO608)))</f>
        <v/>
      </c>
      <c r="DU608">
        <f>IF(OR(DS$3="",DS$3&gt;TODAY()),"",IF(AND(DS608="",DT608=""),"",N(DT608)-N(DS608)))</f>
        <v/>
      </c>
      <c r="DX608">
        <f>IF(OR(DS$3="",DS$3&gt;TODAY()),"",IF(AND(DV608="",DW608=""),"",N(DW608)-N(DV608)))</f>
        <v/>
      </c>
      <c r="EB608">
        <f>IF(OR(DZ$3="",DZ$3&gt;TODAY()),"",IF(AND(DZ608="",EA608=""),"",N(EA608)-N(DZ608)))</f>
        <v/>
      </c>
      <c r="EE608">
        <f>IF(OR(DZ$3="",DZ$3&gt;TODAY()),"",IF(AND(EC608="",ED608=""),"",N(ED608)-N(EC608)))</f>
        <v/>
      </c>
      <c r="EI608">
        <f>IF(OR(EG$3="",EG$3&gt;TODAY()),"",IF(AND(EG608="",EH608=""),"",N(EH608)-N(EG608)))</f>
        <v/>
      </c>
      <c r="EL608">
        <f>IF(OR(EG$3="",EG$3&gt;TODAY()),"",IF(AND(EJ608="",EK608=""),"",N(EK608)-N(EJ608)))</f>
        <v/>
      </c>
      <c r="EP608">
        <f>IF(OR(EN$3="",EN$3&gt;TODAY()),"",IF(AND(EN608="",EO608=""),"",N(EO608)-N(EN608)))</f>
        <v/>
      </c>
      <c r="ES608">
        <f>IF(OR(EN$3="",EN$3&gt;TODAY()),"",IF(AND(EQ608="",ER608=""),"",N(ER608)-N(EQ608)))</f>
        <v/>
      </c>
      <c r="EW608">
        <f>IF(OR(EU$3="",EU$3&gt;TODAY()),"",IF(AND(EU608="",EV608=""),"",N(EV608)-N(EU608)))</f>
        <v/>
      </c>
      <c r="EZ608">
        <f>IF(OR(EU$3="",EU$3&gt;TODAY()),"",IF(AND(EX608="",EY608=""),"",N(EY608)-N(EX608)))</f>
        <v/>
      </c>
      <c r="FD608">
        <f>IF(OR(FB$3="",FB$3&gt;TODAY()),"",IF(AND(FB608="",FC608=""),"",N(FC608)-N(FB608)))</f>
        <v/>
      </c>
      <c r="FG608">
        <f>IF(OR(FB$3="",FB$3&gt;TODAY()),"",IF(AND(FE608="",FF608=""),"",N(FF608)-N(FE608)))</f>
        <v/>
      </c>
      <c r="FK608">
        <f>IF(OR(FI$3="",FI$3&gt;TODAY()),"",IF(AND(FI608="",FJ608=""),"",N(FJ608)-N(FI608)))</f>
        <v/>
      </c>
      <c r="FN608">
        <f>IF(OR(FI$3="",FI$3&gt;TODAY()),"",IF(AND(FL608="",FM608=""),"",N(FM608)-N(FL608)))</f>
        <v/>
      </c>
      <c r="FR608">
        <f>IF(OR(FP$3="",FP$3&gt;TODAY()),"",IF(AND(FP608="",FQ608=""),"",N(FQ608)-N(FP608)))</f>
        <v/>
      </c>
      <c r="FU608">
        <f>IF(OR(FP$3="",FP$3&gt;TODAY()),"",IF(AND(FS608="",FT608=""),"",N(FT608)-N(FS608)))</f>
        <v/>
      </c>
      <c r="FY608">
        <f>IF(OR(FW$3="",FW$3&gt;TODAY()),"",IF(AND(FW608="",FX608=""),"",N(FX608)-N(FW608)))</f>
        <v/>
      </c>
      <c r="GB608">
        <f>IF(OR(FW$3="",FW$3&gt;TODAY()),"",IF(AND(FZ608="",GA608=""),"",N(GA608)-N(FZ608)))</f>
        <v/>
      </c>
      <c r="GF608">
        <f>IF(OR(GD$3="",GD$3&gt;TODAY()),"",IF(AND(GD608="",GE608=""),"",N(GE608)-N(GD608)))</f>
        <v/>
      </c>
      <c r="GI608">
        <f>IF(OR(GD$3="",GD$3&gt;TODAY()),"",IF(AND(GG608="",GH608=""),"",N(GH608)-N(GG608)))</f>
        <v/>
      </c>
      <c r="GM608">
        <f>IF(OR(GK$3="",GK$3&gt;TODAY()),"",IF(AND(GK608="",GL608=""),"",N(GL608)-N(GK608)))</f>
        <v/>
      </c>
      <c r="GP608">
        <f>IF(OR(GK$3="",GK$3&gt;TODAY()),"",IF(AND(GN608="",GO608=""),"",N(GO608)-N(GN608)))</f>
        <v/>
      </c>
      <c r="GT608">
        <f>IF(OR(GR$3="",GR$3&gt;TODAY()),"",IF(AND(GR608="",GS608=""),"",N(GS608)-N(GR608)))</f>
        <v/>
      </c>
      <c r="GW608">
        <f>IF(OR(GR$3="",GR$3&gt;TODAY()),"",IF(AND(GU608="",GV608=""),"",N(GV608)-N(GU608)))</f>
        <v/>
      </c>
      <c r="HA608">
        <f>IF(OR(GY$3="",GY$3&gt;TODAY()),"",IF(AND(GY608="",GZ608=""),"",N(GZ608)-N(GY608)))</f>
        <v/>
      </c>
      <c r="HD608">
        <f>IF(OR(GY$3="",GY$3&gt;TODAY()),"",IF(AND(HB608="",HC608=""),"",N(HC608)-N(HB608)))</f>
        <v/>
      </c>
      <c r="HH608">
        <f>IF(OR(HF$3="",HF$3&gt;TODAY()),"",IF(AND(HF608="",HG608=""),"",N(HG608)-N(HF608)))</f>
        <v/>
      </c>
      <c r="HK608">
        <f>IF(OR(HF$3="",HF$3&gt;TODAY()),"",IF(AND(HI608="",HJ608=""),"",N(HJ608)-N(HI608)))</f>
        <v/>
      </c>
      <c r="HO608">
        <f>IF(OR(HM$3="",HM$3&gt;TODAY()),"",IF(AND(HM608="",HN608=""),"",N(HN608)-N(HM608)))</f>
        <v/>
      </c>
      <c r="HR608">
        <f>IF(OR(HM$3="",HM$3&gt;TODAY()),"",IF(AND(HP608="",HQ608=""),"",N(HQ608)-N(HP608)))</f>
        <v/>
      </c>
      <c r="HV608">
        <f>IF(OR(HT$3="",HT$3&gt;TODAY()),"",IF(AND(HT608="",HU608=""),"",N(HU608)-N(HT608)))</f>
        <v/>
      </c>
      <c r="HY608">
        <f>IF(OR(HT$3="",HT$3&gt;TODAY()),"",IF(AND(HW608="",HX608=""),"",N(HX608)-N(HW608)))</f>
        <v/>
      </c>
      <c r="IC608">
        <f>IF(OR(IA$3="",IA$3&gt;TODAY()),"",IF(AND(IA608="",IB608=""),"",N(IB608)-N(IA608)))</f>
        <v/>
      </c>
      <c r="IF608">
        <f>IF(OR(IA$3="",IA$3&gt;TODAY()),"",IF(AND(ID608="",IE608=""),"",N(IE608)-N(ID608)))</f>
        <v/>
      </c>
      <c r="IJ608">
        <f>IF(OR(IH$3="",IH$3&gt;TODAY()),"",IF(AND(IH608="",II608=""),"",N(II608)-N(IH608)))</f>
        <v/>
      </c>
      <c r="IM608">
        <f>IF(OR(IH$3="",IH$3&gt;TODAY()),"",IF(AND(IK608="",IL608=""),"",N(IL608)-N(IK608)))</f>
        <v/>
      </c>
    </row>
    <row r="609">
      <c r="A609" s="21" t="n"/>
      <c r="B609" s="21" t="n"/>
      <c r="C609" s="21" t="n"/>
      <c r="D609" s="21" t="n"/>
      <c r="E609" s="21" t="n"/>
      <c r="F609" s="21" t="n"/>
      <c r="G609" s="21" t="n"/>
      <c r="H609" s="21" t="n"/>
      <c r="I609" s="22" t="n"/>
      <c r="J609" s="22" t="n"/>
      <c r="K609" s="23" t="n"/>
      <c r="L609" s="22" t="n"/>
      <c r="M609" s="22" t="n"/>
      <c r="N609" s="21" t="n"/>
      <c r="O609" s="23" t="n"/>
      <c r="P609" s="23" t="n"/>
      <c r="Q609" s="23" t="n"/>
      <c r="R609" s="23" t="n"/>
      <c r="S609" s="22" t="n"/>
      <c r="T609" s="23" t="n"/>
      <c r="U609" s="23" t="n"/>
      <c r="V609" s="24">
        <f>IF(J609&lt;&gt;"",J609,IF(I609&lt;&gt;"",I609,""))</f>
        <v/>
      </c>
      <c r="W609" s="25">
        <f>IF($E609="","",N(O609)+SUMIFS($AF609:$IN609,$AF$4:$IN$4,"SEW_ACT"))</f>
        <v/>
      </c>
      <c r="X609" s="25">
        <f>IF($E609="","",N(P609)+SUMIFS($AF609:$IN609,$AF$4:$IN$4,"WASH_ACT"))</f>
        <v/>
      </c>
      <c r="Y609" s="25">
        <f>IF($E609="","",W609-X609-N(T609)-N(U609))</f>
        <v/>
      </c>
      <c r="Z609" s="25">
        <f>IF($E609="","",IF(N(K609)-X609&lt;=0.02*N(K609),0,N(K609)-X609))</f>
        <v/>
      </c>
      <c r="AA609" s="24">
        <f>IF($E609="","",IF(S609&lt;&gt;"",S609,IF(N(O609)&gt;0,IF(L609&lt;&gt;"",L609,99999),IFERROR(1/(1/_xlfn.MINIFS($AF$3:$IN$3,$AF$4:$IN$4,"SEW_ACT",$AF609:$IN609,"&gt;0")),99999))))</f>
        <v/>
      </c>
      <c r="AB609" s="26">
        <f>IF(OR($E609="",Z609=0,V609=""),"",1+COUNTIFS(Z$8:Z$707,"&gt;0",V$8:V$707,"&lt;"&amp;V609)+COUNTIFS(Z$8:Z$707,"&gt;0",V$8:V$707,V609,AA$8:AA$707,"&lt;"&amp;AA609)+COUNTIFS(Z$8:Z$707,"&gt;0",V$8:V$707,V609,AA$8:AA$707,AA609,E$8:E$707,"&lt;"&amp;$E609))</f>
        <v/>
      </c>
      <c r="AC609" s="24">
        <f>IF(OR($E609="",Z609=0),"",IFERROR(TODAY()+ROUNDUP(Z609/(SUMIFS($AF609:$IN609,$AF$4:$IN$4,"WASH_ACT")/COUNTIFS($AF$4:$IN$4,"WASH_ACT",$AF609:$IN609,"&gt;0")),0),"no output yet"))</f>
        <v/>
      </c>
      <c r="AD609" s="26">
        <f>IF($E609="","",IFERROR(ROUND(MAX(0,SUMIFS($AF609:$IN609,$AF$4:$IN$4,"SEW_PLAN",$AF$3:$IN$3,"&lt;="&amp;TODAY())-SUMIFS($AF609:$IN609,$AF$4:$IN$4,"SEW_ACT",$AF$3:$IN$3,"&lt;="&amp;TODAY())+N(Q609))/(SUMIFS($AF609:$IN609,$AF$4:$IN$4,"SEW_PLAN")/COUNTIFS($AF$4:$IN$4,"SEW_PLAN",$AF609:$IN609,"&gt;0")),1),0))</f>
        <v/>
      </c>
      <c r="AE609" s="26">
        <f>IF($E609="","",IF(AND(Z609&gt;0,OR(AND(M609&lt;&gt;"",TODAY()&gt;M609),AND(V609&lt;&gt;"",V609-TODAY()&lt;=7))),"Yes","No"))</f>
        <v/>
      </c>
      <c r="AH609">
        <f>IF(OR(AF$3="",AF$3&gt;TODAY()),"",IF(AND(AF609="",AG609=""),"",N(AG609)-N(AF609)))</f>
        <v/>
      </c>
      <c r="AK609">
        <f>IF(OR(AF$3="",AF$3&gt;TODAY()),"",IF(AND(AI609="",AJ609=""),"",N(AJ609)-N(AI609)))</f>
        <v/>
      </c>
      <c r="AO609">
        <f>IF(OR(AM$3="",AM$3&gt;TODAY()),"",IF(AND(AM609="",AN609=""),"",N(AN609)-N(AM609)))</f>
        <v/>
      </c>
      <c r="AR609">
        <f>IF(OR(AM$3="",AM$3&gt;TODAY()),"",IF(AND(AP609="",AQ609=""),"",N(AQ609)-N(AP609)))</f>
        <v/>
      </c>
      <c r="AV609">
        <f>IF(OR(AT$3="",AT$3&gt;TODAY()),"",IF(AND(AT609="",AU609=""),"",N(AU609)-N(AT609)))</f>
        <v/>
      </c>
      <c r="AY609">
        <f>IF(OR(AT$3="",AT$3&gt;TODAY()),"",IF(AND(AW609="",AX609=""),"",N(AX609)-N(AW609)))</f>
        <v/>
      </c>
      <c r="BC609">
        <f>IF(OR(BA$3="",BA$3&gt;TODAY()),"",IF(AND(BA609="",BB609=""),"",N(BB609)-N(BA609)))</f>
        <v/>
      </c>
      <c r="BF609">
        <f>IF(OR(BA$3="",BA$3&gt;TODAY()),"",IF(AND(BD609="",BE609=""),"",N(BE609)-N(BD609)))</f>
        <v/>
      </c>
      <c r="BJ609">
        <f>IF(OR(BH$3="",BH$3&gt;TODAY()),"",IF(AND(BH609="",BI609=""),"",N(BI609)-N(BH609)))</f>
        <v/>
      </c>
      <c r="BM609">
        <f>IF(OR(BH$3="",BH$3&gt;TODAY()),"",IF(AND(BK609="",BL609=""),"",N(BL609)-N(BK609)))</f>
        <v/>
      </c>
      <c r="BQ609">
        <f>IF(OR(BO$3="",BO$3&gt;TODAY()),"",IF(AND(BO609="",BP609=""),"",N(BP609)-N(BO609)))</f>
        <v/>
      </c>
      <c r="BT609">
        <f>IF(OR(BO$3="",BO$3&gt;TODAY()),"",IF(AND(BR609="",BS609=""),"",N(BS609)-N(BR609)))</f>
        <v/>
      </c>
      <c r="BX609">
        <f>IF(OR(BV$3="",BV$3&gt;TODAY()),"",IF(AND(BV609="",BW609=""),"",N(BW609)-N(BV609)))</f>
        <v/>
      </c>
      <c r="CA609">
        <f>IF(OR(BV$3="",BV$3&gt;TODAY()),"",IF(AND(BY609="",BZ609=""),"",N(BZ609)-N(BY609)))</f>
        <v/>
      </c>
      <c r="CE609">
        <f>IF(OR(CC$3="",CC$3&gt;TODAY()),"",IF(AND(CC609="",CD609=""),"",N(CD609)-N(CC609)))</f>
        <v/>
      </c>
      <c r="CH609">
        <f>IF(OR(CC$3="",CC$3&gt;TODAY()),"",IF(AND(CF609="",CG609=""),"",N(CG609)-N(CF609)))</f>
        <v/>
      </c>
      <c r="CL609">
        <f>IF(OR(CJ$3="",CJ$3&gt;TODAY()),"",IF(AND(CJ609="",CK609=""),"",N(CK609)-N(CJ609)))</f>
        <v/>
      </c>
      <c r="CO609">
        <f>IF(OR(CJ$3="",CJ$3&gt;TODAY()),"",IF(AND(CM609="",CN609=""),"",N(CN609)-N(CM609)))</f>
        <v/>
      </c>
      <c r="CS609">
        <f>IF(OR(CQ$3="",CQ$3&gt;TODAY()),"",IF(AND(CQ609="",CR609=""),"",N(CR609)-N(CQ609)))</f>
        <v/>
      </c>
      <c r="CV609">
        <f>IF(OR(CQ$3="",CQ$3&gt;TODAY()),"",IF(AND(CT609="",CU609=""),"",N(CU609)-N(CT609)))</f>
        <v/>
      </c>
      <c r="CZ609">
        <f>IF(OR(CX$3="",CX$3&gt;TODAY()),"",IF(AND(CX609="",CY609=""),"",N(CY609)-N(CX609)))</f>
        <v/>
      </c>
      <c r="DC609">
        <f>IF(OR(CX$3="",CX$3&gt;TODAY()),"",IF(AND(DA609="",DB609=""),"",N(DB609)-N(DA609)))</f>
        <v/>
      </c>
      <c r="DG609">
        <f>IF(OR(DE$3="",DE$3&gt;TODAY()),"",IF(AND(DE609="",DF609=""),"",N(DF609)-N(DE609)))</f>
        <v/>
      </c>
      <c r="DJ609">
        <f>IF(OR(DE$3="",DE$3&gt;TODAY()),"",IF(AND(DH609="",DI609=""),"",N(DI609)-N(DH609)))</f>
        <v/>
      </c>
      <c r="DN609">
        <f>IF(OR(DL$3="",DL$3&gt;TODAY()),"",IF(AND(DL609="",DM609=""),"",N(DM609)-N(DL609)))</f>
        <v/>
      </c>
      <c r="DQ609">
        <f>IF(OR(DL$3="",DL$3&gt;TODAY()),"",IF(AND(DO609="",DP609=""),"",N(DP609)-N(DO609)))</f>
        <v/>
      </c>
      <c r="DU609">
        <f>IF(OR(DS$3="",DS$3&gt;TODAY()),"",IF(AND(DS609="",DT609=""),"",N(DT609)-N(DS609)))</f>
        <v/>
      </c>
      <c r="DX609">
        <f>IF(OR(DS$3="",DS$3&gt;TODAY()),"",IF(AND(DV609="",DW609=""),"",N(DW609)-N(DV609)))</f>
        <v/>
      </c>
      <c r="EB609">
        <f>IF(OR(DZ$3="",DZ$3&gt;TODAY()),"",IF(AND(DZ609="",EA609=""),"",N(EA609)-N(DZ609)))</f>
        <v/>
      </c>
      <c r="EE609">
        <f>IF(OR(DZ$3="",DZ$3&gt;TODAY()),"",IF(AND(EC609="",ED609=""),"",N(ED609)-N(EC609)))</f>
        <v/>
      </c>
      <c r="EI609">
        <f>IF(OR(EG$3="",EG$3&gt;TODAY()),"",IF(AND(EG609="",EH609=""),"",N(EH609)-N(EG609)))</f>
        <v/>
      </c>
      <c r="EL609">
        <f>IF(OR(EG$3="",EG$3&gt;TODAY()),"",IF(AND(EJ609="",EK609=""),"",N(EK609)-N(EJ609)))</f>
        <v/>
      </c>
      <c r="EP609">
        <f>IF(OR(EN$3="",EN$3&gt;TODAY()),"",IF(AND(EN609="",EO609=""),"",N(EO609)-N(EN609)))</f>
        <v/>
      </c>
      <c r="ES609">
        <f>IF(OR(EN$3="",EN$3&gt;TODAY()),"",IF(AND(EQ609="",ER609=""),"",N(ER609)-N(EQ609)))</f>
        <v/>
      </c>
      <c r="EW609">
        <f>IF(OR(EU$3="",EU$3&gt;TODAY()),"",IF(AND(EU609="",EV609=""),"",N(EV609)-N(EU609)))</f>
        <v/>
      </c>
      <c r="EZ609">
        <f>IF(OR(EU$3="",EU$3&gt;TODAY()),"",IF(AND(EX609="",EY609=""),"",N(EY609)-N(EX609)))</f>
        <v/>
      </c>
      <c r="FD609">
        <f>IF(OR(FB$3="",FB$3&gt;TODAY()),"",IF(AND(FB609="",FC609=""),"",N(FC609)-N(FB609)))</f>
        <v/>
      </c>
      <c r="FG609">
        <f>IF(OR(FB$3="",FB$3&gt;TODAY()),"",IF(AND(FE609="",FF609=""),"",N(FF609)-N(FE609)))</f>
        <v/>
      </c>
      <c r="FK609">
        <f>IF(OR(FI$3="",FI$3&gt;TODAY()),"",IF(AND(FI609="",FJ609=""),"",N(FJ609)-N(FI609)))</f>
        <v/>
      </c>
      <c r="FN609">
        <f>IF(OR(FI$3="",FI$3&gt;TODAY()),"",IF(AND(FL609="",FM609=""),"",N(FM609)-N(FL609)))</f>
        <v/>
      </c>
      <c r="FR609">
        <f>IF(OR(FP$3="",FP$3&gt;TODAY()),"",IF(AND(FP609="",FQ609=""),"",N(FQ609)-N(FP609)))</f>
        <v/>
      </c>
      <c r="FU609">
        <f>IF(OR(FP$3="",FP$3&gt;TODAY()),"",IF(AND(FS609="",FT609=""),"",N(FT609)-N(FS609)))</f>
        <v/>
      </c>
      <c r="FY609">
        <f>IF(OR(FW$3="",FW$3&gt;TODAY()),"",IF(AND(FW609="",FX609=""),"",N(FX609)-N(FW609)))</f>
        <v/>
      </c>
      <c r="GB609">
        <f>IF(OR(FW$3="",FW$3&gt;TODAY()),"",IF(AND(FZ609="",GA609=""),"",N(GA609)-N(FZ609)))</f>
        <v/>
      </c>
      <c r="GF609">
        <f>IF(OR(GD$3="",GD$3&gt;TODAY()),"",IF(AND(GD609="",GE609=""),"",N(GE609)-N(GD609)))</f>
        <v/>
      </c>
      <c r="GI609">
        <f>IF(OR(GD$3="",GD$3&gt;TODAY()),"",IF(AND(GG609="",GH609=""),"",N(GH609)-N(GG609)))</f>
        <v/>
      </c>
      <c r="GM609">
        <f>IF(OR(GK$3="",GK$3&gt;TODAY()),"",IF(AND(GK609="",GL609=""),"",N(GL609)-N(GK609)))</f>
        <v/>
      </c>
      <c r="GP609">
        <f>IF(OR(GK$3="",GK$3&gt;TODAY()),"",IF(AND(GN609="",GO609=""),"",N(GO609)-N(GN609)))</f>
        <v/>
      </c>
      <c r="GT609">
        <f>IF(OR(GR$3="",GR$3&gt;TODAY()),"",IF(AND(GR609="",GS609=""),"",N(GS609)-N(GR609)))</f>
        <v/>
      </c>
      <c r="GW609">
        <f>IF(OR(GR$3="",GR$3&gt;TODAY()),"",IF(AND(GU609="",GV609=""),"",N(GV609)-N(GU609)))</f>
        <v/>
      </c>
      <c r="HA609">
        <f>IF(OR(GY$3="",GY$3&gt;TODAY()),"",IF(AND(GY609="",GZ609=""),"",N(GZ609)-N(GY609)))</f>
        <v/>
      </c>
      <c r="HD609">
        <f>IF(OR(GY$3="",GY$3&gt;TODAY()),"",IF(AND(HB609="",HC609=""),"",N(HC609)-N(HB609)))</f>
        <v/>
      </c>
      <c r="HH609">
        <f>IF(OR(HF$3="",HF$3&gt;TODAY()),"",IF(AND(HF609="",HG609=""),"",N(HG609)-N(HF609)))</f>
        <v/>
      </c>
      <c r="HK609">
        <f>IF(OR(HF$3="",HF$3&gt;TODAY()),"",IF(AND(HI609="",HJ609=""),"",N(HJ609)-N(HI609)))</f>
        <v/>
      </c>
      <c r="HO609">
        <f>IF(OR(HM$3="",HM$3&gt;TODAY()),"",IF(AND(HM609="",HN609=""),"",N(HN609)-N(HM609)))</f>
        <v/>
      </c>
      <c r="HR609">
        <f>IF(OR(HM$3="",HM$3&gt;TODAY()),"",IF(AND(HP609="",HQ609=""),"",N(HQ609)-N(HP609)))</f>
        <v/>
      </c>
      <c r="HV609">
        <f>IF(OR(HT$3="",HT$3&gt;TODAY()),"",IF(AND(HT609="",HU609=""),"",N(HU609)-N(HT609)))</f>
        <v/>
      </c>
      <c r="HY609">
        <f>IF(OR(HT$3="",HT$3&gt;TODAY()),"",IF(AND(HW609="",HX609=""),"",N(HX609)-N(HW609)))</f>
        <v/>
      </c>
      <c r="IC609">
        <f>IF(OR(IA$3="",IA$3&gt;TODAY()),"",IF(AND(IA609="",IB609=""),"",N(IB609)-N(IA609)))</f>
        <v/>
      </c>
      <c r="IF609">
        <f>IF(OR(IA$3="",IA$3&gt;TODAY()),"",IF(AND(ID609="",IE609=""),"",N(IE609)-N(ID609)))</f>
        <v/>
      </c>
      <c r="IJ609">
        <f>IF(OR(IH$3="",IH$3&gt;TODAY()),"",IF(AND(IH609="",II609=""),"",N(II609)-N(IH609)))</f>
        <v/>
      </c>
      <c r="IM609">
        <f>IF(OR(IH$3="",IH$3&gt;TODAY()),"",IF(AND(IK609="",IL609=""),"",N(IL609)-N(IK609)))</f>
        <v/>
      </c>
    </row>
    <row r="610">
      <c r="A610" s="21" t="n"/>
      <c r="B610" s="21" t="n"/>
      <c r="C610" s="21" t="n"/>
      <c r="D610" s="21" t="n"/>
      <c r="E610" s="21" t="n"/>
      <c r="F610" s="21" t="n"/>
      <c r="G610" s="21" t="n"/>
      <c r="H610" s="21" t="n"/>
      <c r="I610" s="22" t="n"/>
      <c r="J610" s="22" t="n"/>
      <c r="K610" s="23" t="n"/>
      <c r="L610" s="22" t="n"/>
      <c r="M610" s="22" t="n"/>
      <c r="N610" s="21" t="n"/>
      <c r="O610" s="23" t="n"/>
      <c r="P610" s="23" t="n"/>
      <c r="Q610" s="23" t="n"/>
      <c r="R610" s="23" t="n"/>
      <c r="S610" s="22" t="n"/>
      <c r="T610" s="23" t="n"/>
      <c r="U610" s="23" t="n"/>
      <c r="V610" s="24">
        <f>IF(J610&lt;&gt;"",J610,IF(I610&lt;&gt;"",I610,""))</f>
        <v/>
      </c>
      <c r="W610" s="25">
        <f>IF($E610="","",N(O610)+SUMIFS($AF610:$IN610,$AF$4:$IN$4,"SEW_ACT"))</f>
        <v/>
      </c>
      <c r="X610" s="25">
        <f>IF($E610="","",N(P610)+SUMIFS($AF610:$IN610,$AF$4:$IN$4,"WASH_ACT"))</f>
        <v/>
      </c>
      <c r="Y610" s="25">
        <f>IF($E610="","",W610-X610-N(T610)-N(U610))</f>
        <v/>
      </c>
      <c r="Z610" s="25">
        <f>IF($E610="","",IF(N(K610)-X610&lt;=0.02*N(K610),0,N(K610)-X610))</f>
        <v/>
      </c>
      <c r="AA610" s="24">
        <f>IF($E610="","",IF(S610&lt;&gt;"",S610,IF(N(O610)&gt;0,IF(L610&lt;&gt;"",L610,99999),IFERROR(1/(1/_xlfn.MINIFS($AF$3:$IN$3,$AF$4:$IN$4,"SEW_ACT",$AF610:$IN610,"&gt;0")),99999))))</f>
        <v/>
      </c>
      <c r="AB610" s="26">
        <f>IF(OR($E610="",Z610=0,V610=""),"",1+COUNTIFS(Z$8:Z$707,"&gt;0",V$8:V$707,"&lt;"&amp;V610)+COUNTIFS(Z$8:Z$707,"&gt;0",V$8:V$707,V610,AA$8:AA$707,"&lt;"&amp;AA610)+COUNTIFS(Z$8:Z$707,"&gt;0",V$8:V$707,V610,AA$8:AA$707,AA610,E$8:E$707,"&lt;"&amp;$E610))</f>
        <v/>
      </c>
      <c r="AC610" s="24">
        <f>IF(OR($E610="",Z610=0),"",IFERROR(TODAY()+ROUNDUP(Z610/(SUMIFS($AF610:$IN610,$AF$4:$IN$4,"WASH_ACT")/COUNTIFS($AF$4:$IN$4,"WASH_ACT",$AF610:$IN610,"&gt;0")),0),"no output yet"))</f>
        <v/>
      </c>
      <c r="AD610" s="26">
        <f>IF($E610="","",IFERROR(ROUND(MAX(0,SUMIFS($AF610:$IN610,$AF$4:$IN$4,"SEW_PLAN",$AF$3:$IN$3,"&lt;="&amp;TODAY())-SUMIFS($AF610:$IN610,$AF$4:$IN$4,"SEW_ACT",$AF$3:$IN$3,"&lt;="&amp;TODAY())+N(Q610))/(SUMIFS($AF610:$IN610,$AF$4:$IN$4,"SEW_PLAN")/COUNTIFS($AF$4:$IN$4,"SEW_PLAN",$AF610:$IN610,"&gt;0")),1),0))</f>
        <v/>
      </c>
      <c r="AE610" s="26">
        <f>IF($E610="","",IF(AND(Z610&gt;0,OR(AND(M610&lt;&gt;"",TODAY()&gt;M610),AND(V610&lt;&gt;"",V610-TODAY()&lt;=7))),"Yes","No"))</f>
        <v/>
      </c>
      <c r="AH610">
        <f>IF(OR(AF$3="",AF$3&gt;TODAY()),"",IF(AND(AF610="",AG610=""),"",N(AG610)-N(AF610)))</f>
        <v/>
      </c>
      <c r="AK610">
        <f>IF(OR(AF$3="",AF$3&gt;TODAY()),"",IF(AND(AI610="",AJ610=""),"",N(AJ610)-N(AI610)))</f>
        <v/>
      </c>
      <c r="AO610">
        <f>IF(OR(AM$3="",AM$3&gt;TODAY()),"",IF(AND(AM610="",AN610=""),"",N(AN610)-N(AM610)))</f>
        <v/>
      </c>
      <c r="AR610">
        <f>IF(OR(AM$3="",AM$3&gt;TODAY()),"",IF(AND(AP610="",AQ610=""),"",N(AQ610)-N(AP610)))</f>
        <v/>
      </c>
      <c r="AV610">
        <f>IF(OR(AT$3="",AT$3&gt;TODAY()),"",IF(AND(AT610="",AU610=""),"",N(AU610)-N(AT610)))</f>
        <v/>
      </c>
      <c r="AY610">
        <f>IF(OR(AT$3="",AT$3&gt;TODAY()),"",IF(AND(AW610="",AX610=""),"",N(AX610)-N(AW610)))</f>
        <v/>
      </c>
      <c r="BC610">
        <f>IF(OR(BA$3="",BA$3&gt;TODAY()),"",IF(AND(BA610="",BB610=""),"",N(BB610)-N(BA610)))</f>
        <v/>
      </c>
      <c r="BF610">
        <f>IF(OR(BA$3="",BA$3&gt;TODAY()),"",IF(AND(BD610="",BE610=""),"",N(BE610)-N(BD610)))</f>
        <v/>
      </c>
      <c r="BJ610">
        <f>IF(OR(BH$3="",BH$3&gt;TODAY()),"",IF(AND(BH610="",BI610=""),"",N(BI610)-N(BH610)))</f>
        <v/>
      </c>
      <c r="BM610">
        <f>IF(OR(BH$3="",BH$3&gt;TODAY()),"",IF(AND(BK610="",BL610=""),"",N(BL610)-N(BK610)))</f>
        <v/>
      </c>
      <c r="BQ610">
        <f>IF(OR(BO$3="",BO$3&gt;TODAY()),"",IF(AND(BO610="",BP610=""),"",N(BP610)-N(BO610)))</f>
        <v/>
      </c>
      <c r="BT610">
        <f>IF(OR(BO$3="",BO$3&gt;TODAY()),"",IF(AND(BR610="",BS610=""),"",N(BS610)-N(BR610)))</f>
        <v/>
      </c>
      <c r="BX610">
        <f>IF(OR(BV$3="",BV$3&gt;TODAY()),"",IF(AND(BV610="",BW610=""),"",N(BW610)-N(BV610)))</f>
        <v/>
      </c>
      <c r="CA610">
        <f>IF(OR(BV$3="",BV$3&gt;TODAY()),"",IF(AND(BY610="",BZ610=""),"",N(BZ610)-N(BY610)))</f>
        <v/>
      </c>
      <c r="CE610">
        <f>IF(OR(CC$3="",CC$3&gt;TODAY()),"",IF(AND(CC610="",CD610=""),"",N(CD610)-N(CC610)))</f>
        <v/>
      </c>
      <c r="CH610">
        <f>IF(OR(CC$3="",CC$3&gt;TODAY()),"",IF(AND(CF610="",CG610=""),"",N(CG610)-N(CF610)))</f>
        <v/>
      </c>
      <c r="CL610">
        <f>IF(OR(CJ$3="",CJ$3&gt;TODAY()),"",IF(AND(CJ610="",CK610=""),"",N(CK610)-N(CJ610)))</f>
        <v/>
      </c>
      <c r="CO610">
        <f>IF(OR(CJ$3="",CJ$3&gt;TODAY()),"",IF(AND(CM610="",CN610=""),"",N(CN610)-N(CM610)))</f>
        <v/>
      </c>
      <c r="CS610">
        <f>IF(OR(CQ$3="",CQ$3&gt;TODAY()),"",IF(AND(CQ610="",CR610=""),"",N(CR610)-N(CQ610)))</f>
        <v/>
      </c>
      <c r="CV610">
        <f>IF(OR(CQ$3="",CQ$3&gt;TODAY()),"",IF(AND(CT610="",CU610=""),"",N(CU610)-N(CT610)))</f>
        <v/>
      </c>
      <c r="CZ610">
        <f>IF(OR(CX$3="",CX$3&gt;TODAY()),"",IF(AND(CX610="",CY610=""),"",N(CY610)-N(CX610)))</f>
        <v/>
      </c>
      <c r="DC610">
        <f>IF(OR(CX$3="",CX$3&gt;TODAY()),"",IF(AND(DA610="",DB610=""),"",N(DB610)-N(DA610)))</f>
        <v/>
      </c>
      <c r="DG610">
        <f>IF(OR(DE$3="",DE$3&gt;TODAY()),"",IF(AND(DE610="",DF610=""),"",N(DF610)-N(DE610)))</f>
        <v/>
      </c>
      <c r="DJ610">
        <f>IF(OR(DE$3="",DE$3&gt;TODAY()),"",IF(AND(DH610="",DI610=""),"",N(DI610)-N(DH610)))</f>
        <v/>
      </c>
      <c r="DN610">
        <f>IF(OR(DL$3="",DL$3&gt;TODAY()),"",IF(AND(DL610="",DM610=""),"",N(DM610)-N(DL610)))</f>
        <v/>
      </c>
      <c r="DQ610">
        <f>IF(OR(DL$3="",DL$3&gt;TODAY()),"",IF(AND(DO610="",DP610=""),"",N(DP610)-N(DO610)))</f>
        <v/>
      </c>
      <c r="DU610">
        <f>IF(OR(DS$3="",DS$3&gt;TODAY()),"",IF(AND(DS610="",DT610=""),"",N(DT610)-N(DS610)))</f>
        <v/>
      </c>
      <c r="DX610">
        <f>IF(OR(DS$3="",DS$3&gt;TODAY()),"",IF(AND(DV610="",DW610=""),"",N(DW610)-N(DV610)))</f>
        <v/>
      </c>
      <c r="EB610">
        <f>IF(OR(DZ$3="",DZ$3&gt;TODAY()),"",IF(AND(DZ610="",EA610=""),"",N(EA610)-N(DZ610)))</f>
        <v/>
      </c>
      <c r="EE610">
        <f>IF(OR(DZ$3="",DZ$3&gt;TODAY()),"",IF(AND(EC610="",ED610=""),"",N(ED610)-N(EC610)))</f>
        <v/>
      </c>
      <c r="EI610">
        <f>IF(OR(EG$3="",EG$3&gt;TODAY()),"",IF(AND(EG610="",EH610=""),"",N(EH610)-N(EG610)))</f>
        <v/>
      </c>
      <c r="EL610">
        <f>IF(OR(EG$3="",EG$3&gt;TODAY()),"",IF(AND(EJ610="",EK610=""),"",N(EK610)-N(EJ610)))</f>
        <v/>
      </c>
      <c r="EP610">
        <f>IF(OR(EN$3="",EN$3&gt;TODAY()),"",IF(AND(EN610="",EO610=""),"",N(EO610)-N(EN610)))</f>
        <v/>
      </c>
      <c r="ES610">
        <f>IF(OR(EN$3="",EN$3&gt;TODAY()),"",IF(AND(EQ610="",ER610=""),"",N(ER610)-N(EQ610)))</f>
        <v/>
      </c>
      <c r="EW610">
        <f>IF(OR(EU$3="",EU$3&gt;TODAY()),"",IF(AND(EU610="",EV610=""),"",N(EV610)-N(EU610)))</f>
        <v/>
      </c>
      <c r="EZ610">
        <f>IF(OR(EU$3="",EU$3&gt;TODAY()),"",IF(AND(EX610="",EY610=""),"",N(EY610)-N(EX610)))</f>
        <v/>
      </c>
      <c r="FD610">
        <f>IF(OR(FB$3="",FB$3&gt;TODAY()),"",IF(AND(FB610="",FC610=""),"",N(FC610)-N(FB610)))</f>
        <v/>
      </c>
      <c r="FG610">
        <f>IF(OR(FB$3="",FB$3&gt;TODAY()),"",IF(AND(FE610="",FF610=""),"",N(FF610)-N(FE610)))</f>
        <v/>
      </c>
      <c r="FK610">
        <f>IF(OR(FI$3="",FI$3&gt;TODAY()),"",IF(AND(FI610="",FJ610=""),"",N(FJ610)-N(FI610)))</f>
        <v/>
      </c>
      <c r="FN610">
        <f>IF(OR(FI$3="",FI$3&gt;TODAY()),"",IF(AND(FL610="",FM610=""),"",N(FM610)-N(FL610)))</f>
        <v/>
      </c>
      <c r="FR610">
        <f>IF(OR(FP$3="",FP$3&gt;TODAY()),"",IF(AND(FP610="",FQ610=""),"",N(FQ610)-N(FP610)))</f>
        <v/>
      </c>
      <c r="FU610">
        <f>IF(OR(FP$3="",FP$3&gt;TODAY()),"",IF(AND(FS610="",FT610=""),"",N(FT610)-N(FS610)))</f>
        <v/>
      </c>
      <c r="FY610">
        <f>IF(OR(FW$3="",FW$3&gt;TODAY()),"",IF(AND(FW610="",FX610=""),"",N(FX610)-N(FW610)))</f>
        <v/>
      </c>
      <c r="GB610">
        <f>IF(OR(FW$3="",FW$3&gt;TODAY()),"",IF(AND(FZ610="",GA610=""),"",N(GA610)-N(FZ610)))</f>
        <v/>
      </c>
      <c r="GF610">
        <f>IF(OR(GD$3="",GD$3&gt;TODAY()),"",IF(AND(GD610="",GE610=""),"",N(GE610)-N(GD610)))</f>
        <v/>
      </c>
      <c r="GI610">
        <f>IF(OR(GD$3="",GD$3&gt;TODAY()),"",IF(AND(GG610="",GH610=""),"",N(GH610)-N(GG610)))</f>
        <v/>
      </c>
      <c r="GM610">
        <f>IF(OR(GK$3="",GK$3&gt;TODAY()),"",IF(AND(GK610="",GL610=""),"",N(GL610)-N(GK610)))</f>
        <v/>
      </c>
      <c r="GP610">
        <f>IF(OR(GK$3="",GK$3&gt;TODAY()),"",IF(AND(GN610="",GO610=""),"",N(GO610)-N(GN610)))</f>
        <v/>
      </c>
      <c r="GT610">
        <f>IF(OR(GR$3="",GR$3&gt;TODAY()),"",IF(AND(GR610="",GS610=""),"",N(GS610)-N(GR610)))</f>
        <v/>
      </c>
      <c r="GW610">
        <f>IF(OR(GR$3="",GR$3&gt;TODAY()),"",IF(AND(GU610="",GV610=""),"",N(GV610)-N(GU610)))</f>
        <v/>
      </c>
      <c r="HA610">
        <f>IF(OR(GY$3="",GY$3&gt;TODAY()),"",IF(AND(GY610="",GZ610=""),"",N(GZ610)-N(GY610)))</f>
        <v/>
      </c>
      <c r="HD610">
        <f>IF(OR(GY$3="",GY$3&gt;TODAY()),"",IF(AND(HB610="",HC610=""),"",N(HC610)-N(HB610)))</f>
        <v/>
      </c>
      <c r="HH610">
        <f>IF(OR(HF$3="",HF$3&gt;TODAY()),"",IF(AND(HF610="",HG610=""),"",N(HG610)-N(HF610)))</f>
        <v/>
      </c>
      <c r="HK610">
        <f>IF(OR(HF$3="",HF$3&gt;TODAY()),"",IF(AND(HI610="",HJ610=""),"",N(HJ610)-N(HI610)))</f>
        <v/>
      </c>
      <c r="HO610">
        <f>IF(OR(HM$3="",HM$3&gt;TODAY()),"",IF(AND(HM610="",HN610=""),"",N(HN610)-N(HM610)))</f>
        <v/>
      </c>
      <c r="HR610">
        <f>IF(OR(HM$3="",HM$3&gt;TODAY()),"",IF(AND(HP610="",HQ610=""),"",N(HQ610)-N(HP610)))</f>
        <v/>
      </c>
      <c r="HV610">
        <f>IF(OR(HT$3="",HT$3&gt;TODAY()),"",IF(AND(HT610="",HU610=""),"",N(HU610)-N(HT610)))</f>
        <v/>
      </c>
      <c r="HY610">
        <f>IF(OR(HT$3="",HT$3&gt;TODAY()),"",IF(AND(HW610="",HX610=""),"",N(HX610)-N(HW610)))</f>
        <v/>
      </c>
      <c r="IC610">
        <f>IF(OR(IA$3="",IA$3&gt;TODAY()),"",IF(AND(IA610="",IB610=""),"",N(IB610)-N(IA610)))</f>
        <v/>
      </c>
      <c r="IF610">
        <f>IF(OR(IA$3="",IA$3&gt;TODAY()),"",IF(AND(ID610="",IE610=""),"",N(IE610)-N(ID610)))</f>
        <v/>
      </c>
      <c r="IJ610">
        <f>IF(OR(IH$3="",IH$3&gt;TODAY()),"",IF(AND(IH610="",II610=""),"",N(II610)-N(IH610)))</f>
        <v/>
      </c>
      <c r="IM610">
        <f>IF(OR(IH$3="",IH$3&gt;TODAY()),"",IF(AND(IK610="",IL610=""),"",N(IL610)-N(IK610)))</f>
        <v/>
      </c>
    </row>
    <row r="611">
      <c r="A611" s="21" t="n"/>
      <c r="B611" s="21" t="n"/>
      <c r="C611" s="21" t="n"/>
      <c r="D611" s="21" t="n"/>
      <c r="E611" s="21" t="n"/>
      <c r="F611" s="21" t="n"/>
      <c r="G611" s="21" t="n"/>
      <c r="H611" s="21" t="n"/>
      <c r="I611" s="22" t="n"/>
      <c r="J611" s="22" t="n"/>
      <c r="K611" s="23" t="n"/>
      <c r="L611" s="22" t="n"/>
      <c r="M611" s="22" t="n"/>
      <c r="N611" s="21" t="n"/>
      <c r="O611" s="23" t="n"/>
      <c r="P611" s="23" t="n"/>
      <c r="Q611" s="23" t="n"/>
      <c r="R611" s="23" t="n"/>
      <c r="S611" s="22" t="n"/>
      <c r="T611" s="23" t="n"/>
      <c r="U611" s="23" t="n"/>
      <c r="V611" s="24">
        <f>IF(J611&lt;&gt;"",J611,IF(I611&lt;&gt;"",I611,""))</f>
        <v/>
      </c>
      <c r="W611" s="25">
        <f>IF($E611="","",N(O611)+SUMIFS($AF611:$IN611,$AF$4:$IN$4,"SEW_ACT"))</f>
        <v/>
      </c>
      <c r="X611" s="25">
        <f>IF($E611="","",N(P611)+SUMIFS($AF611:$IN611,$AF$4:$IN$4,"WASH_ACT"))</f>
        <v/>
      </c>
      <c r="Y611" s="25">
        <f>IF($E611="","",W611-X611-N(T611)-N(U611))</f>
        <v/>
      </c>
      <c r="Z611" s="25">
        <f>IF($E611="","",IF(N(K611)-X611&lt;=0.02*N(K611),0,N(K611)-X611))</f>
        <v/>
      </c>
      <c r="AA611" s="24">
        <f>IF($E611="","",IF(S611&lt;&gt;"",S611,IF(N(O611)&gt;0,IF(L611&lt;&gt;"",L611,99999),IFERROR(1/(1/_xlfn.MINIFS($AF$3:$IN$3,$AF$4:$IN$4,"SEW_ACT",$AF611:$IN611,"&gt;0")),99999))))</f>
        <v/>
      </c>
      <c r="AB611" s="26">
        <f>IF(OR($E611="",Z611=0,V611=""),"",1+COUNTIFS(Z$8:Z$707,"&gt;0",V$8:V$707,"&lt;"&amp;V611)+COUNTIFS(Z$8:Z$707,"&gt;0",V$8:V$707,V611,AA$8:AA$707,"&lt;"&amp;AA611)+COUNTIFS(Z$8:Z$707,"&gt;0",V$8:V$707,V611,AA$8:AA$707,AA611,E$8:E$707,"&lt;"&amp;$E611))</f>
        <v/>
      </c>
      <c r="AC611" s="24">
        <f>IF(OR($E611="",Z611=0),"",IFERROR(TODAY()+ROUNDUP(Z611/(SUMIFS($AF611:$IN611,$AF$4:$IN$4,"WASH_ACT")/COUNTIFS($AF$4:$IN$4,"WASH_ACT",$AF611:$IN611,"&gt;0")),0),"no output yet"))</f>
        <v/>
      </c>
      <c r="AD611" s="26">
        <f>IF($E611="","",IFERROR(ROUND(MAX(0,SUMIFS($AF611:$IN611,$AF$4:$IN$4,"SEW_PLAN",$AF$3:$IN$3,"&lt;="&amp;TODAY())-SUMIFS($AF611:$IN611,$AF$4:$IN$4,"SEW_ACT",$AF$3:$IN$3,"&lt;="&amp;TODAY())+N(Q611))/(SUMIFS($AF611:$IN611,$AF$4:$IN$4,"SEW_PLAN")/COUNTIFS($AF$4:$IN$4,"SEW_PLAN",$AF611:$IN611,"&gt;0")),1),0))</f>
        <v/>
      </c>
      <c r="AE611" s="26">
        <f>IF($E611="","",IF(AND(Z611&gt;0,OR(AND(M611&lt;&gt;"",TODAY()&gt;M611),AND(V611&lt;&gt;"",V611-TODAY()&lt;=7))),"Yes","No"))</f>
        <v/>
      </c>
      <c r="AH611">
        <f>IF(OR(AF$3="",AF$3&gt;TODAY()),"",IF(AND(AF611="",AG611=""),"",N(AG611)-N(AF611)))</f>
        <v/>
      </c>
      <c r="AK611">
        <f>IF(OR(AF$3="",AF$3&gt;TODAY()),"",IF(AND(AI611="",AJ611=""),"",N(AJ611)-N(AI611)))</f>
        <v/>
      </c>
      <c r="AO611">
        <f>IF(OR(AM$3="",AM$3&gt;TODAY()),"",IF(AND(AM611="",AN611=""),"",N(AN611)-N(AM611)))</f>
        <v/>
      </c>
      <c r="AR611">
        <f>IF(OR(AM$3="",AM$3&gt;TODAY()),"",IF(AND(AP611="",AQ611=""),"",N(AQ611)-N(AP611)))</f>
        <v/>
      </c>
      <c r="AV611">
        <f>IF(OR(AT$3="",AT$3&gt;TODAY()),"",IF(AND(AT611="",AU611=""),"",N(AU611)-N(AT611)))</f>
        <v/>
      </c>
      <c r="AY611">
        <f>IF(OR(AT$3="",AT$3&gt;TODAY()),"",IF(AND(AW611="",AX611=""),"",N(AX611)-N(AW611)))</f>
        <v/>
      </c>
      <c r="BC611">
        <f>IF(OR(BA$3="",BA$3&gt;TODAY()),"",IF(AND(BA611="",BB611=""),"",N(BB611)-N(BA611)))</f>
        <v/>
      </c>
      <c r="BF611">
        <f>IF(OR(BA$3="",BA$3&gt;TODAY()),"",IF(AND(BD611="",BE611=""),"",N(BE611)-N(BD611)))</f>
        <v/>
      </c>
      <c r="BJ611">
        <f>IF(OR(BH$3="",BH$3&gt;TODAY()),"",IF(AND(BH611="",BI611=""),"",N(BI611)-N(BH611)))</f>
        <v/>
      </c>
      <c r="BM611">
        <f>IF(OR(BH$3="",BH$3&gt;TODAY()),"",IF(AND(BK611="",BL611=""),"",N(BL611)-N(BK611)))</f>
        <v/>
      </c>
      <c r="BQ611">
        <f>IF(OR(BO$3="",BO$3&gt;TODAY()),"",IF(AND(BO611="",BP611=""),"",N(BP611)-N(BO611)))</f>
        <v/>
      </c>
      <c r="BT611">
        <f>IF(OR(BO$3="",BO$3&gt;TODAY()),"",IF(AND(BR611="",BS611=""),"",N(BS611)-N(BR611)))</f>
        <v/>
      </c>
      <c r="BX611">
        <f>IF(OR(BV$3="",BV$3&gt;TODAY()),"",IF(AND(BV611="",BW611=""),"",N(BW611)-N(BV611)))</f>
        <v/>
      </c>
      <c r="CA611">
        <f>IF(OR(BV$3="",BV$3&gt;TODAY()),"",IF(AND(BY611="",BZ611=""),"",N(BZ611)-N(BY611)))</f>
        <v/>
      </c>
      <c r="CE611">
        <f>IF(OR(CC$3="",CC$3&gt;TODAY()),"",IF(AND(CC611="",CD611=""),"",N(CD611)-N(CC611)))</f>
        <v/>
      </c>
      <c r="CH611">
        <f>IF(OR(CC$3="",CC$3&gt;TODAY()),"",IF(AND(CF611="",CG611=""),"",N(CG611)-N(CF611)))</f>
        <v/>
      </c>
      <c r="CL611">
        <f>IF(OR(CJ$3="",CJ$3&gt;TODAY()),"",IF(AND(CJ611="",CK611=""),"",N(CK611)-N(CJ611)))</f>
        <v/>
      </c>
      <c r="CO611">
        <f>IF(OR(CJ$3="",CJ$3&gt;TODAY()),"",IF(AND(CM611="",CN611=""),"",N(CN611)-N(CM611)))</f>
        <v/>
      </c>
      <c r="CS611">
        <f>IF(OR(CQ$3="",CQ$3&gt;TODAY()),"",IF(AND(CQ611="",CR611=""),"",N(CR611)-N(CQ611)))</f>
        <v/>
      </c>
      <c r="CV611">
        <f>IF(OR(CQ$3="",CQ$3&gt;TODAY()),"",IF(AND(CT611="",CU611=""),"",N(CU611)-N(CT611)))</f>
        <v/>
      </c>
      <c r="CZ611">
        <f>IF(OR(CX$3="",CX$3&gt;TODAY()),"",IF(AND(CX611="",CY611=""),"",N(CY611)-N(CX611)))</f>
        <v/>
      </c>
      <c r="DC611">
        <f>IF(OR(CX$3="",CX$3&gt;TODAY()),"",IF(AND(DA611="",DB611=""),"",N(DB611)-N(DA611)))</f>
        <v/>
      </c>
      <c r="DG611">
        <f>IF(OR(DE$3="",DE$3&gt;TODAY()),"",IF(AND(DE611="",DF611=""),"",N(DF611)-N(DE611)))</f>
        <v/>
      </c>
      <c r="DJ611">
        <f>IF(OR(DE$3="",DE$3&gt;TODAY()),"",IF(AND(DH611="",DI611=""),"",N(DI611)-N(DH611)))</f>
        <v/>
      </c>
      <c r="DN611">
        <f>IF(OR(DL$3="",DL$3&gt;TODAY()),"",IF(AND(DL611="",DM611=""),"",N(DM611)-N(DL611)))</f>
        <v/>
      </c>
      <c r="DQ611">
        <f>IF(OR(DL$3="",DL$3&gt;TODAY()),"",IF(AND(DO611="",DP611=""),"",N(DP611)-N(DO611)))</f>
        <v/>
      </c>
      <c r="DU611">
        <f>IF(OR(DS$3="",DS$3&gt;TODAY()),"",IF(AND(DS611="",DT611=""),"",N(DT611)-N(DS611)))</f>
        <v/>
      </c>
      <c r="DX611">
        <f>IF(OR(DS$3="",DS$3&gt;TODAY()),"",IF(AND(DV611="",DW611=""),"",N(DW611)-N(DV611)))</f>
        <v/>
      </c>
      <c r="EB611">
        <f>IF(OR(DZ$3="",DZ$3&gt;TODAY()),"",IF(AND(DZ611="",EA611=""),"",N(EA611)-N(DZ611)))</f>
        <v/>
      </c>
      <c r="EE611">
        <f>IF(OR(DZ$3="",DZ$3&gt;TODAY()),"",IF(AND(EC611="",ED611=""),"",N(ED611)-N(EC611)))</f>
        <v/>
      </c>
      <c r="EI611">
        <f>IF(OR(EG$3="",EG$3&gt;TODAY()),"",IF(AND(EG611="",EH611=""),"",N(EH611)-N(EG611)))</f>
        <v/>
      </c>
      <c r="EL611">
        <f>IF(OR(EG$3="",EG$3&gt;TODAY()),"",IF(AND(EJ611="",EK611=""),"",N(EK611)-N(EJ611)))</f>
        <v/>
      </c>
      <c r="EP611">
        <f>IF(OR(EN$3="",EN$3&gt;TODAY()),"",IF(AND(EN611="",EO611=""),"",N(EO611)-N(EN611)))</f>
        <v/>
      </c>
      <c r="ES611">
        <f>IF(OR(EN$3="",EN$3&gt;TODAY()),"",IF(AND(EQ611="",ER611=""),"",N(ER611)-N(EQ611)))</f>
        <v/>
      </c>
      <c r="EW611">
        <f>IF(OR(EU$3="",EU$3&gt;TODAY()),"",IF(AND(EU611="",EV611=""),"",N(EV611)-N(EU611)))</f>
        <v/>
      </c>
      <c r="EZ611">
        <f>IF(OR(EU$3="",EU$3&gt;TODAY()),"",IF(AND(EX611="",EY611=""),"",N(EY611)-N(EX611)))</f>
        <v/>
      </c>
      <c r="FD611">
        <f>IF(OR(FB$3="",FB$3&gt;TODAY()),"",IF(AND(FB611="",FC611=""),"",N(FC611)-N(FB611)))</f>
        <v/>
      </c>
      <c r="FG611">
        <f>IF(OR(FB$3="",FB$3&gt;TODAY()),"",IF(AND(FE611="",FF611=""),"",N(FF611)-N(FE611)))</f>
        <v/>
      </c>
      <c r="FK611">
        <f>IF(OR(FI$3="",FI$3&gt;TODAY()),"",IF(AND(FI611="",FJ611=""),"",N(FJ611)-N(FI611)))</f>
        <v/>
      </c>
      <c r="FN611">
        <f>IF(OR(FI$3="",FI$3&gt;TODAY()),"",IF(AND(FL611="",FM611=""),"",N(FM611)-N(FL611)))</f>
        <v/>
      </c>
      <c r="FR611">
        <f>IF(OR(FP$3="",FP$3&gt;TODAY()),"",IF(AND(FP611="",FQ611=""),"",N(FQ611)-N(FP611)))</f>
        <v/>
      </c>
      <c r="FU611">
        <f>IF(OR(FP$3="",FP$3&gt;TODAY()),"",IF(AND(FS611="",FT611=""),"",N(FT611)-N(FS611)))</f>
        <v/>
      </c>
      <c r="FY611">
        <f>IF(OR(FW$3="",FW$3&gt;TODAY()),"",IF(AND(FW611="",FX611=""),"",N(FX611)-N(FW611)))</f>
        <v/>
      </c>
      <c r="GB611">
        <f>IF(OR(FW$3="",FW$3&gt;TODAY()),"",IF(AND(FZ611="",GA611=""),"",N(GA611)-N(FZ611)))</f>
        <v/>
      </c>
      <c r="GF611">
        <f>IF(OR(GD$3="",GD$3&gt;TODAY()),"",IF(AND(GD611="",GE611=""),"",N(GE611)-N(GD611)))</f>
        <v/>
      </c>
      <c r="GI611">
        <f>IF(OR(GD$3="",GD$3&gt;TODAY()),"",IF(AND(GG611="",GH611=""),"",N(GH611)-N(GG611)))</f>
        <v/>
      </c>
      <c r="GM611">
        <f>IF(OR(GK$3="",GK$3&gt;TODAY()),"",IF(AND(GK611="",GL611=""),"",N(GL611)-N(GK611)))</f>
        <v/>
      </c>
      <c r="GP611">
        <f>IF(OR(GK$3="",GK$3&gt;TODAY()),"",IF(AND(GN611="",GO611=""),"",N(GO611)-N(GN611)))</f>
        <v/>
      </c>
      <c r="GT611">
        <f>IF(OR(GR$3="",GR$3&gt;TODAY()),"",IF(AND(GR611="",GS611=""),"",N(GS611)-N(GR611)))</f>
        <v/>
      </c>
      <c r="GW611">
        <f>IF(OR(GR$3="",GR$3&gt;TODAY()),"",IF(AND(GU611="",GV611=""),"",N(GV611)-N(GU611)))</f>
        <v/>
      </c>
      <c r="HA611">
        <f>IF(OR(GY$3="",GY$3&gt;TODAY()),"",IF(AND(GY611="",GZ611=""),"",N(GZ611)-N(GY611)))</f>
        <v/>
      </c>
      <c r="HD611">
        <f>IF(OR(GY$3="",GY$3&gt;TODAY()),"",IF(AND(HB611="",HC611=""),"",N(HC611)-N(HB611)))</f>
        <v/>
      </c>
      <c r="HH611">
        <f>IF(OR(HF$3="",HF$3&gt;TODAY()),"",IF(AND(HF611="",HG611=""),"",N(HG611)-N(HF611)))</f>
        <v/>
      </c>
      <c r="HK611">
        <f>IF(OR(HF$3="",HF$3&gt;TODAY()),"",IF(AND(HI611="",HJ611=""),"",N(HJ611)-N(HI611)))</f>
        <v/>
      </c>
      <c r="HO611">
        <f>IF(OR(HM$3="",HM$3&gt;TODAY()),"",IF(AND(HM611="",HN611=""),"",N(HN611)-N(HM611)))</f>
        <v/>
      </c>
      <c r="HR611">
        <f>IF(OR(HM$3="",HM$3&gt;TODAY()),"",IF(AND(HP611="",HQ611=""),"",N(HQ611)-N(HP611)))</f>
        <v/>
      </c>
      <c r="HV611">
        <f>IF(OR(HT$3="",HT$3&gt;TODAY()),"",IF(AND(HT611="",HU611=""),"",N(HU611)-N(HT611)))</f>
        <v/>
      </c>
      <c r="HY611">
        <f>IF(OR(HT$3="",HT$3&gt;TODAY()),"",IF(AND(HW611="",HX611=""),"",N(HX611)-N(HW611)))</f>
        <v/>
      </c>
      <c r="IC611">
        <f>IF(OR(IA$3="",IA$3&gt;TODAY()),"",IF(AND(IA611="",IB611=""),"",N(IB611)-N(IA611)))</f>
        <v/>
      </c>
      <c r="IF611">
        <f>IF(OR(IA$3="",IA$3&gt;TODAY()),"",IF(AND(ID611="",IE611=""),"",N(IE611)-N(ID611)))</f>
        <v/>
      </c>
      <c r="IJ611">
        <f>IF(OR(IH$3="",IH$3&gt;TODAY()),"",IF(AND(IH611="",II611=""),"",N(II611)-N(IH611)))</f>
        <v/>
      </c>
      <c r="IM611">
        <f>IF(OR(IH$3="",IH$3&gt;TODAY()),"",IF(AND(IK611="",IL611=""),"",N(IL611)-N(IK611)))</f>
        <v/>
      </c>
    </row>
    <row r="612">
      <c r="A612" s="21" t="n"/>
      <c r="B612" s="21" t="n"/>
      <c r="C612" s="21" t="n"/>
      <c r="D612" s="21" t="n"/>
      <c r="E612" s="21" t="n"/>
      <c r="F612" s="21" t="n"/>
      <c r="G612" s="21" t="n"/>
      <c r="H612" s="21" t="n"/>
      <c r="I612" s="22" t="n"/>
      <c r="J612" s="22" t="n"/>
      <c r="K612" s="23" t="n"/>
      <c r="L612" s="22" t="n"/>
      <c r="M612" s="22" t="n"/>
      <c r="N612" s="21" t="n"/>
      <c r="O612" s="23" t="n"/>
      <c r="P612" s="23" t="n"/>
      <c r="Q612" s="23" t="n"/>
      <c r="R612" s="23" t="n"/>
      <c r="S612" s="22" t="n"/>
      <c r="T612" s="23" t="n"/>
      <c r="U612" s="23" t="n"/>
      <c r="V612" s="24">
        <f>IF(J612&lt;&gt;"",J612,IF(I612&lt;&gt;"",I612,""))</f>
        <v/>
      </c>
      <c r="W612" s="25">
        <f>IF($E612="","",N(O612)+SUMIFS($AF612:$IN612,$AF$4:$IN$4,"SEW_ACT"))</f>
        <v/>
      </c>
      <c r="X612" s="25">
        <f>IF($E612="","",N(P612)+SUMIFS($AF612:$IN612,$AF$4:$IN$4,"WASH_ACT"))</f>
        <v/>
      </c>
      <c r="Y612" s="25">
        <f>IF($E612="","",W612-X612-N(T612)-N(U612))</f>
        <v/>
      </c>
      <c r="Z612" s="25">
        <f>IF($E612="","",IF(N(K612)-X612&lt;=0.02*N(K612),0,N(K612)-X612))</f>
        <v/>
      </c>
      <c r="AA612" s="24">
        <f>IF($E612="","",IF(S612&lt;&gt;"",S612,IF(N(O612)&gt;0,IF(L612&lt;&gt;"",L612,99999),IFERROR(1/(1/_xlfn.MINIFS($AF$3:$IN$3,$AF$4:$IN$4,"SEW_ACT",$AF612:$IN612,"&gt;0")),99999))))</f>
        <v/>
      </c>
      <c r="AB612" s="26">
        <f>IF(OR($E612="",Z612=0,V612=""),"",1+COUNTIFS(Z$8:Z$707,"&gt;0",V$8:V$707,"&lt;"&amp;V612)+COUNTIFS(Z$8:Z$707,"&gt;0",V$8:V$707,V612,AA$8:AA$707,"&lt;"&amp;AA612)+COUNTIFS(Z$8:Z$707,"&gt;0",V$8:V$707,V612,AA$8:AA$707,AA612,E$8:E$707,"&lt;"&amp;$E612))</f>
        <v/>
      </c>
      <c r="AC612" s="24">
        <f>IF(OR($E612="",Z612=0),"",IFERROR(TODAY()+ROUNDUP(Z612/(SUMIFS($AF612:$IN612,$AF$4:$IN$4,"WASH_ACT")/COUNTIFS($AF$4:$IN$4,"WASH_ACT",$AF612:$IN612,"&gt;0")),0),"no output yet"))</f>
        <v/>
      </c>
      <c r="AD612" s="26">
        <f>IF($E612="","",IFERROR(ROUND(MAX(0,SUMIFS($AF612:$IN612,$AF$4:$IN$4,"SEW_PLAN",$AF$3:$IN$3,"&lt;="&amp;TODAY())-SUMIFS($AF612:$IN612,$AF$4:$IN$4,"SEW_ACT",$AF$3:$IN$3,"&lt;="&amp;TODAY())+N(Q612))/(SUMIFS($AF612:$IN612,$AF$4:$IN$4,"SEW_PLAN")/COUNTIFS($AF$4:$IN$4,"SEW_PLAN",$AF612:$IN612,"&gt;0")),1),0))</f>
        <v/>
      </c>
      <c r="AE612" s="26">
        <f>IF($E612="","",IF(AND(Z612&gt;0,OR(AND(M612&lt;&gt;"",TODAY()&gt;M612),AND(V612&lt;&gt;"",V612-TODAY()&lt;=7))),"Yes","No"))</f>
        <v/>
      </c>
      <c r="AH612">
        <f>IF(OR(AF$3="",AF$3&gt;TODAY()),"",IF(AND(AF612="",AG612=""),"",N(AG612)-N(AF612)))</f>
        <v/>
      </c>
      <c r="AK612">
        <f>IF(OR(AF$3="",AF$3&gt;TODAY()),"",IF(AND(AI612="",AJ612=""),"",N(AJ612)-N(AI612)))</f>
        <v/>
      </c>
      <c r="AO612">
        <f>IF(OR(AM$3="",AM$3&gt;TODAY()),"",IF(AND(AM612="",AN612=""),"",N(AN612)-N(AM612)))</f>
        <v/>
      </c>
      <c r="AR612">
        <f>IF(OR(AM$3="",AM$3&gt;TODAY()),"",IF(AND(AP612="",AQ612=""),"",N(AQ612)-N(AP612)))</f>
        <v/>
      </c>
      <c r="AV612">
        <f>IF(OR(AT$3="",AT$3&gt;TODAY()),"",IF(AND(AT612="",AU612=""),"",N(AU612)-N(AT612)))</f>
        <v/>
      </c>
      <c r="AY612">
        <f>IF(OR(AT$3="",AT$3&gt;TODAY()),"",IF(AND(AW612="",AX612=""),"",N(AX612)-N(AW612)))</f>
        <v/>
      </c>
      <c r="BC612">
        <f>IF(OR(BA$3="",BA$3&gt;TODAY()),"",IF(AND(BA612="",BB612=""),"",N(BB612)-N(BA612)))</f>
        <v/>
      </c>
      <c r="BF612">
        <f>IF(OR(BA$3="",BA$3&gt;TODAY()),"",IF(AND(BD612="",BE612=""),"",N(BE612)-N(BD612)))</f>
        <v/>
      </c>
      <c r="BJ612">
        <f>IF(OR(BH$3="",BH$3&gt;TODAY()),"",IF(AND(BH612="",BI612=""),"",N(BI612)-N(BH612)))</f>
        <v/>
      </c>
      <c r="BM612">
        <f>IF(OR(BH$3="",BH$3&gt;TODAY()),"",IF(AND(BK612="",BL612=""),"",N(BL612)-N(BK612)))</f>
        <v/>
      </c>
      <c r="BQ612">
        <f>IF(OR(BO$3="",BO$3&gt;TODAY()),"",IF(AND(BO612="",BP612=""),"",N(BP612)-N(BO612)))</f>
        <v/>
      </c>
      <c r="BT612">
        <f>IF(OR(BO$3="",BO$3&gt;TODAY()),"",IF(AND(BR612="",BS612=""),"",N(BS612)-N(BR612)))</f>
        <v/>
      </c>
      <c r="BX612">
        <f>IF(OR(BV$3="",BV$3&gt;TODAY()),"",IF(AND(BV612="",BW612=""),"",N(BW612)-N(BV612)))</f>
        <v/>
      </c>
      <c r="CA612">
        <f>IF(OR(BV$3="",BV$3&gt;TODAY()),"",IF(AND(BY612="",BZ612=""),"",N(BZ612)-N(BY612)))</f>
        <v/>
      </c>
      <c r="CE612">
        <f>IF(OR(CC$3="",CC$3&gt;TODAY()),"",IF(AND(CC612="",CD612=""),"",N(CD612)-N(CC612)))</f>
        <v/>
      </c>
      <c r="CH612">
        <f>IF(OR(CC$3="",CC$3&gt;TODAY()),"",IF(AND(CF612="",CG612=""),"",N(CG612)-N(CF612)))</f>
        <v/>
      </c>
      <c r="CL612">
        <f>IF(OR(CJ$3="",CJ$3&gt;TODAY()),"",IF(AND(CJ612="",CK612=""),"",N(CK612)-N(CJ612)))</f>
        <v/>
      </c>
      <c r="CO612">
        <f>IF(OR(CJ$3="",CJ$3&gt;TODAY()),"",IF(AND(CM612="",CN612=""),"",N(CN612)-N(CM612)))</f>
        <v/>
      </c>
      <c r="CS612">
        <f>IF(OR(CQ$3="",CQ$3&gt;TODAY()),"",IF(AND(CQ612="",CR612=""),"",N(CR612)-N(CQ612)))</f>
        <v/>
      </c>
      <c r="CV612">
        <f>IF(OR(CQ$3="",CQ$3&gt;TODAY()),"",IF(AND(CT612="",CU612=""),"",N(CU612)-N(CT612)))</f>
        <v/>
      </c>
      <c r="CZ612">
        <f>IF(OR(CX$3="",CX$3&gt;TODAY()),"",IF(AND(CX612="",CY612=""),"",N(CY612)-N(CX612)))</f>
        <v/>
      </c>
      <c r="DC612">
        <f>IF(OR(CX$3="",CX$3&gt;TODAY()),"",IF(AND(DA612="",DB612=""),"",N(DB612)-N(DA612)))</f>
        <v/>
      </c>
      <c r="DG612">
        <f>IF(OR(DE$3="",DE$3&gt;TODAY()),"",IF(AND(DE612="",DF612=""),"",N(DF612)-N(DE612)))</f>
        <v/>
      </c>
      <c r="DJ612">
        <f>IF(OR(DE$3="",DE$3&gt;TODAY()),"",IF(AND(DH612="",DI612=""),"",N(DI612)-N(DH612)))</f>
        <v/>
      </c>
      <c r="DN612">
        <f>IF(OR(DL$3="",DL$3&gt;TODAY()),"",IF(AND(DL612="",DM612=""),"",N(DM612)-N(DL612)))</f>
        <v/>
      </c>
      <c r="DQ612">
        <f>IF(OR(DL$3="",DL$3&gt;TODAY()),"",IF(AND(DO612="",DP612=""),"",N(DP612)-N(DO612)))</f>
        <v/>
      </c>
      <c r="DU612">
        <f>IF(OR(DS$3="",DS$3&gt;TODAY()),"",IF(AND(DS612="",DT612=""),"",N(DT612)-N(DS612)))</f>
        <v/>
      </c>
      <c r="DX612">
        <f>IF(OR(DS$3="",DS$3&gt;TODAY()),"",IF(AND(DV612="",DW612=""),"",N(DW612)-N(DV612)))</f>
        <v/>
      </c>
      <c r="EB612">
        <f>IF(OR(DZ$3="",DZ$3&gt;TODAY()),"",IF(AND(DZ612="",EA612=""),"",N(EA612)-N(DZ612)))</f>
        <v/>
      </c>
      <c r="EE612">
        <f>IF(OR(DZ$3="",DZ$3&gt;TODAY()),"",IF(AND(EC612="",ED612=""),"",N(ED612)-N(EC612)))</f>
        <v/>
      </c>
      <c r="EI612">
        <f>IF(OR(EG$3="",EG$3&gt;TODAY()),"",IF(AND(EG612="",EH612=""),"",N(EH612)-N(EG612)))</f>
        <v/>
      </c>
      <c r="EL612">
        <f>IF(OR(EG$3="",EG$3&gt;TODAY()),"",IF(AND(EJ612="",EK612=""),"",N(EK612)-N(EJ612)))</f>
        <v/>
      </c>
      <c r="EP612">
        <f>IF(OR(EN$3="",EN$3&gt;TODAY()),"",IF(AND(EN612="",EO612=""),"",N(EO612)-N(EN612)))</f>
        <v/>
      </c>
      <c r="ES612">
        <f>IF(OR(EN$3="",EN$3&gt;TODAY()),"",IF(AND(EQ612="",ER612=""),"",N(ER612)-N(EQ612)))</f>
        <v/>
      </c>
      <c r="EW612">
        <f>IF(OR(EU$3="",EU$3&gt;TODAY()),"",IF(AND(EU612="",EV612=""),"",N(EV612)-N(EU612)))</f>
        <v/>
      </c>
      <c r="EZ612">
        <f>IF(OR(EU$3="",EU$3&gt;TODAY()),"",IF(AND(EX612="",EY612=""),"",N(EY612)-N(EX612)))</f>
        <v/>
      </c>
      <c r="FD612">
        <f>IF(OR(FB$3="",FB$3&gt;TODAY()),"",IF(AND(FB612="",FC612=""),"",N(FC612)-N(FB612)))</f>
        <v/>
      </c>
      <c r="FG612">
        <f>IF(OR(FB$3="",FB$3&gt;TODAY()),"",IF(AND(FE612="",FF612=""),"",N(FF612)-N(FE612)))</f>
        <v/>
      </c>
      <c r="FK612">
        <f>IF(OR(FI$3="",FI$3&gt;TODAY()),"",IF(AND(FI612="",FJ612=""),"",N(FJ612)-N(FI612)))</f>
        <v/>
      </c>
      <c r="FN612">
        <f>IF(OR(FI$3="",FI$3&gt;TODAY()),"",IF(AND(FL612="",FM612=""),"",N(FM612)-N(FL612)))</f>
        <v/>
      </c>
      <c r="FR612">
        <f>IF(OR(FP$3="",FP$3&gt;TODAY()),"",IF(AND(FP612="",FQ612=""),"",N(FQ612)-N(FP612)))</f>
        <v/>
      </c>
      <c r="FU612">
        <f>IF(OR(FP$3="",FP$3&gt;TODAY()),"",IF(AND(FS612="",FT612=""),"",N(FT612)-N(FS612)))</f>
        <v/>
      </c>
      <c r="FY612">
        <f>IF(OR(FW$3="",FW$3&gt;TODAY()),"",IF(AND(FW612="",FX612=""),"",N(FX612)-N(FW612)))</f>
        <v/>
      </c>
      <c r="GB612">
        <f>IF(OR(FW$3="",FW$3&gt;TODAY()),"",IF(AND(FZ612="",GA612=""),"",N(GA612)-N(FZ612)))</f>
        <v/>
      </c>
      <c r="GF612">
        <f>IF(OR(GD$3="",GD$3&gt;TODAY()),"",IF(AND(GD612="",GE612=""),"",N(GE612)-N(GD612)))</f>
        <v/>
      </c>
      <c r="GI612">
        <f>IF(OR(GD$3="",GD$3&gt;TODAY()),"",IF(AND(GG612="",GH612=""),"",N(GH612)-N(GG612)))</f>
        <v/>
      </c>
      <c r="GM612">
        <f>IF(OR(GK$3="",GK$3&gt;TODAY()),"",IF(AND(GK612="",GL612=""),"",N(GL612)-N(GK612)))</f>
        <v/>
      </c>
      <c r="GP612">
        <f>IF(OR(GK$3="",GK$3&gt;TODAY()),"",IF(AND(GN612="",GO612=""),"",N(GO612)-N(GN612)))</f>
        <v/>
      </c>
      <c r="GT612">
        <f>IF(OR(GR$3="",GR$3&gt;TODAY()),"",IF(AND(GR612="",GS612=""),"",N(GS612)-N(GR612)))</f>
        <v/>
      </c>
      <c r="GW612">
        <f>IF(OR(GR$3="",GR$3&gt;TODAY()),"",IF(AND(GU612="",GV612=""),"",N(GV612)-N(GU612)))</f>
        <v/>
      </c>
      <c r="HA612">
        <f>IF(OR(GY$3="",GY$3&gt;TODAY()),"",IF(AND(GY612="",GZ612=""),"",N(GZ612)-N(GY612)))</f>
        <v/>
      </c>
      <c r="HD612">
        <f>IF(OR(GY$3="",GY$3&gt;TODAY()),"",IF(AND(HB612="",HC612=""),"",N(HC612)-N(HB612)))</f>
        <v/>
      </c>
      <c r="HH612">
        <f>IF(OR(HF$3="",HF$3&gt;TODAY()),"",IF(AND(HF612="",HG612=""),"",N(HG612)-N(HF612)))</f>
        <v/>
      </c>
      <c r="HK612">
        <f>IF(OR(HF$3="",HF$3&gt;TODAY()),"",IF(AND(HI612="",HJ612=""),"",N(HJ612)-N(HI612)))</f>
        <v/>
      </c>
      <c r="HO612">
        <f>IF(OR(HM$3="",HM$3&gt;TODAY()),"",IF(AND(HM612="",HN612=""),"",N(HN612)-N(HM612)))</f>
        <v/>
      </c>
      <c r="HR612">
        <f>IF(OR(HM$3="",HM$3&gt;TODAY()),"",IF(AND(HP612="",HQ612=""),"",N(HQ612)-N(HP612)))</f>
        <v/>
      </c>
      <c r="HV612">
        <f>IF(OR(HT$3="",HT$3&gt;TODAY()),"",IF(AND(HT612="",HU612=""),"",N(HU612)-N(HT612)))</f>
        <v/>
      </c>
      <c r="HY612">
        <f>IF(OR(HT$3="",HT$3&gt;TODAY()),"",IF(AND(HW612="",HX612=""),"",N(HX612)-N(HW612)))</f>
        <v/>
      </c>
      <c r="IC612">
        <f>IF(OR(IA$3="",IA$3&gt;TODAY()),"",IF(AND(IA612="",IB612=""),"",N(IB612)-N(IA612)))</f>
        <v/>
      </c>
      <c r="IF612">
        <f>IF(OR(IA$3="",IA$3&gt;TODAY()),"",IF(AND(ID612="",IE612=""),"",N(IE612)-N(ID612)))</f>
        <v/>
      </c>
      <c r="IJ612">
        <f>IF(OR(IH$3="",IH$3&gt;TODAY()),"",IF(AND(IH612="",II612=""),"",N(II612)-N(IH612)))</f>
        <v/>
      </c>
      <c r="IM612">
        <f>IF(OR(IH$3="",IH$3&gt;TODAY()),"",IF(AND(IK612="",IL612=""),"",N(IL612)-N(IK612)))</f>
        <v/>
      </c>
    </row>
    <row r="613">
      <c r="A613" s="21" t="n"/>
      <c r="B613" s="21" t="n"/>
      <c r="C613" s="21" t="n"/>
      <c r="D613" s="21" t="n"/>
      <c r="E613" s="21" t="n"/>
      <c r="F613" s="21" t="n"/>
      <c r="G613" s="21" t="n"/>
      <c r="H613" s="21" t="n"/>
      <c r="I613" s="22" t="n"/>
      <c r="J613" s="22" t="n"/>
      <c r="K613" s="23" t="n"/>
      <c r="L613" s="22" t="n"/>
      <c r="M613" s="22" t="n"/>
      <c r="N613" s="21" t="n"/>
      <c r="O613" s="23" t="n"/>
      <c r="P613" s="23" t="n"/>
      <c r="Q613" s="23" t="n"/>
      <c r="R613" s="23" t="n"/>
      <c r="S613" s="22" t="n"/>
      <c r="T613" s="23" t="n"/>
      <c r="U613" s="23" t="n"/>
      <c r="V613" s="24">
        <f>IF(J613&lt;&gt;"",J613,IF(I613&lt;&gt;"",I613,""))</f>
        <v/>
      </c>
      <c r="W613" s="25">
        <f>IF($E613="","",N(O613)+SUMIFS($AF613:$IN613,$AF$4:$IN$4,"SEW_ACT"))</f>
        <v/>
      </c>
      <c r="X613" s="25">
        <f>IF($E613="","",N(P613)+SUMIFS($AF613:$IN613,$AF$4:$IN$4,"WASH_ACT"))</f>
        <v/>
      </c>
      <c r="Y613" s="25">
        <f>IF($E613="","",W613-X613-N(T613)-N(U613))</f>
        <v/>
      </c>
      <c r="Z613" s="25">
        <f>IF($E613="","",IF(N(K613)-X613&lt;=0.02*N(K613),0,N(K613)-X613))</f>
        <v/>
      </c>
      <c r="AA613" s="24">
        <f>IF($E613="","",IF(S613&lt;&gt;"",S613,IF(N(O613)&gt;0,IF(L613&lt;&gt;"",L613,99999),IFERROR(1/(1/_xlfn.MINIFS($AF$3:$IN$3,$AF$4:$IN$4,"SEW_ACT",$AF613:$IN613,"&gt;0")),99999))))</f>
        <v/>
      </c>
      <c r="AB613" s="26">
        <f>IF(OR($E613="",Z613=0,V613=""),"",1+COUNTIFS(Z$8:Z$707,"&gt;0",V$8:V$707,"&lt;"&amp;V613)+COUNTIFS(Z$8:Z$707,"&gt;0",V$8:V$707,V613,AA$8:AA$707,"&lt;"&amp;AA613)+COUNTIFS(Z$8:Z$707,"&gt;0",V$8:V$707,V613,AA$8:AA$707,AA613,E$8:E$707,"&lt;"&amp;$E613))</f>
        <v/>
      </c>
      <c r="AC613" s="24">
        <f>IF(OR($E613="",Z613=0),"",IFERROR(TODAY()+ROUNDUP(Z613/(SUMIFS($AF613:$IN613,$AF$4:$IN$4,"WASH_ACT")/COUNTIFS($AF$4:$IN$4,"WASH_ACT",$AF613:$IN613,"&gt;0")),0),"no output yet"))</f>
        <v/>
      </c>
      <c r="AD613" s="26">
        <f>IF($E613="","",IFERROR(ROUND(MAX(0,SUMIFS($AF613:$IN613,$AF$4:$IN$4,"SEW_PLAN",$AF$3:$IN$3,"&lt;="&amp;TODAY())-SUMIFS($AF613:$IN613,$AF$4:$IN$4,"SEW_ACT",$AF$3:$IN$3,"&lt;="&amp;TODAY())+N(Q613))/(SUMIFS($AF613:$IN613,$AF$4:$IN$4,"SEW_PLAN")/COUNTIFS($AF$4:$IN$4,"SEW_PLAN",$AF613:$IN613,"&gt;0")),1),0))</f>
        <v/>
      </c>
      <c r="AE613" s="26">
        <f>IF($E613="","",IF(AND(Z613&gt;0,OR(AND(M613&lt;&gt;"",TODAY()&gt;M613),AND(V613&lt;&gt;"",V613-TODAY()&lt;=7))),"Yes","No"))</f>
        <v/>
      </c>
      <c r="AH613">
        <f>IF(OR(AF$3="",AF$3&gt;TODAY()),"",IF(AND(AF613="",AG613=""),"",N(AG613)-N(AF613)))</f>
        <v/>
      </c>
      <c r="AK613">
        <f>IF(OR(AF$3="",AF$3&gt;TODAY()),"",IF(AND(AI613="",AJ613=""),"",N(AJ613)-N(AI613)))</f>
        <v/>
      </c>
      <c r="AO613">
        <f>IF(OR(AM$3="",AM$3&gt;TODAY()),"",IF(AND(AM613="",AN613=""),"",N(AN613)-N(AM613)))</f>
        <v/>
      </c>
      <c r="AR613">
        <f>IF(OR(AM$3="",AM$3&gt;TODAY()),"",IF(AND(AP613="",AQ613=""),"",N(AQ613)-N(AP613)))</f>
        <v/>
      </c>
      <c r="AV613">
        <f>IF(OR(AT$3="",AT$3&gt;TODAY()),"",IF(AND(AT613="",AU613=""),"",N(AU613)-N(AT613)))</f>
        <v/>
      </c>
      <c r="AY613">
        <f>IF(OR(AT$3="",AT$3&gt;TODAY()),"",IF(AND(AW613="",AX613=""),"",N(AX613)-N(AW613)))</f>
        <v/>
      </c>
      <c r="BC613">
        <f>IF(OR(BA$3="",BA$3&gt;TODAY()),"",IF(AND(BA613="",BB613=""),"",N(BB613)-N(BA613)))</f>
        <v/>
      </c>
      <c r="BF613">
        <f>IF(OR(BA$3="",BA$3&gt;TODAY()),"",IF(AND(BD613="",BE613=""),"",N(BE613)-N(BD613)))</f>
        <v/>
      </c>
      <c r="BJ613">
        <f>IF(OR(BH$3="",BH$3&gt;TODAY()),"",IF(AND(BH613="",BI613=""),"",N(BI613)-N(BH613)))</f>
        <v/>
      </c>
      <c r="BM613">
        <f>IF(OR(BH$3="",BH$3&gt;TODAY()),"",IF(AND(BK613="",BL613=""),"",N(BL613)-N(BK613)))</f>
        <v/>
      </c>
      <c r="BQ613">
        <f>IF(OR(BO$3="",BO$3&gt;TODAY()),"",IF(AND(BO613="",BP613=""),"",N(BP613)-N(BO613)))</f>
        <v/>
      </c>
      <c r="BT613">
        <f>IF(OR(BO$3="",BO$3&gt;TODAY()),"",IF(AND(BR613="",BS613=""),"",N(BS613)-N(BR613)))</f>
        <v/>
      </c>
      <c r="BX613">
        <f>IF(OR(BV$3="",BV$3&gt;TODAY()),"",IF(AND(BV613="",BW613=""),"",N(BW613)-N(BV613)))</f>
        <v/>
      </c>
      <c r="CA613">
        <f>IF(OR(BV$3="",BV$3&gt;TODAY()),"",IF(AND(BY613="",BZ613=""),"",N(BZ613)-N(BY613)))</f>
        <v/>
      </c>
      <c r="CE613">
        <f>IF(OR(CC$3="",CC$3&gt;TODAY()),"",IF(AND(CC613="",CD613=""),"",N(CD613)-N(CC613)))</f>
        <v/>
      </c>
      <c r="CH613">
        <f>IF(OR(CC$3="",CC$3&gt;TODAY()),"",IF(AND(CF613="",CG613=""),"",N(CG613)-N(CF613)))</f>
        <v/>
      </c>
      <c r="CL613">
        <f>IF(OR(CJ$3="",CJ$3&gt;TODAY()),"",IF(AND(CJ613="",CK613=""),"",N(CK613)-N(CJ613)))</f>
        <v/>
      </c>
      <c r="CO613">
        <f>IF(OR(CJ$3="",CJ$3&gt;TODAY()),"",IF(AND(CM613="",CN613=""),"",N(CN613)-N(CM613)))</f>
        <v/>
      </c>
      <c r="CS613">
        <f>IF(OR(CQ$3="",CQ$3&gt;TODAY()),"",IF(AND(CQ613="",CR613=""),"",N(CR613)-N(CQ613)))</f>
        <v/>
      </c>
      <c r="CV613">
        <f>IF(OR(CQ$3="",CQ$3&gt;TODAY()),"",IF(AND(CT613="",CU613=""),"",N(CU613)-N(CT613)))</f>
        <v/>
      </c>
      <c r="CZ613">
        <f>IF(OR(CX$3="",CX$3&gt;TODAY()),"",IF(AND(CX613="",CY613=""),"",N(CY613)-N(CX613)))</f>
        <v/>
      </c>
      <c r="DC613">
        <f>IF(OR(CX$3="",CX$3&gt;TODAY()),"",IF(AND(DA613="",DB613=""),"",N(DB613)-N(DA613)))</f>
        <v/>
      </c>
      <c r="DG613">
        <f>IF(OR(DE$3="",DE$3&gt;TODAY()),"",IF(AND(DE613="",DF613=""),"",N(DF613)-N(DE613)))</f>
        <v/>
      </c>
      <c r="DJ613">
        <f>IF(OR(DE$3="",DE$3&gt;TODAY()),"",IF(AND(DH613="",DI613=""),"",N(DI613)-N(DH613)))</f>
        <v/>
      </c>
      <c r="DN613">
        <f>IF(OR(DL$3="",DL$3&gt;TODAY()),"",IF(AND(DL613="",DM613=""),"",N(DM613)-N(DL613)))</f>
        <v/>
      </c>
      <c r="DQ613">
        <f>IF(OR(DL$3="",DL$3&gt;TODAY()),"",IF(AND(DO613="",DP613=""),"",N(DP613)-N(DO613)))</f>
        <v/>
      </c>
      <c r="DU613">
        <f>IF(OR(DS$3="",DS$3&gt;TODAY()),"",IF(AND(DS613="",DT613=""),"",N(DT613)-N(DS613)))</f>
        <v/>
      </c>
      <c r="DX613">
        <f>IF(OR(DS$3="",DS$3&gt;TODAY()),"",IF(AND(DV613="",DW613=""),"",N(DW613)-N(DV613)))</f>
        <v/>
      </c>
      <c r="EB613">
        <f>IF(OR(DZ$3="",DZ$3&gt;TODAY()),"",IF(AND(DZ613="",EA613=""),"",N(EA613)-N(DZ613)))</f>
        <v/>
      </c>
      <c r="EE613">
        <f>IF(OR(DZ$3="",DZ$3&gt;TODAY()),"",IF(AND(EC613="",ED613=""),"",N(ED613)-N(EC613)))</f>
        <v/>
      </c>
      <c r="EI613">
        <f>IF(OR(EG$3="",EG$3&gt;TODAY()),"",IF(AND(EG613="",EH613=""),"",N(EH613)-N(EG613)))</f>
        <v/>
      </c>
      <c r="EL613">
        <f>IF(OR(EG$3="",EG$3&gt;TODAY()),"",IF(AND(EJ613="",EK613=""),"",N(EK613)-N(EJ613)))</f>
        <v/>
      </c>
      <c r="EP613">
        <f>IF(OR(EN$3="",EN$3&gt;TODAY()),"",IF(AND(EN613="",EO613=""),"",N(EO613)-N(EN613)))</f>
        <v/>
      </c>
      <c r="ES613">
        <f>IF(OR(EN$3="",EN$3&gt;TODAY()),"",IF(AND(EQ613="",ER613=""),"",N(ER613)-N(EQ613)))</f>
        <v/>
      </c>
      <c r="EW613">
        <f>IF(OR(EU$3="",EU$3&gt;TODAY()),"",IF(AND(EU613="",EV613=""),"",N(EV613)-N(EU613)))</f>
        <v/>
      </c>
      <c r="EZ613">
        <f>IF(OR(EU$3="",EU$3&gt;TODAY()),"",IF(AND(EX613="",EY613=""),"",N(EY613)-N(EX613)))</f>
        <v/>
      </c>
      <c r="FD613">
        <f>IF(OR(FB$3="",FB$3&gt;TODAY()),"",IF(AND(FB613="",FC613=""),"",N(FC613)-N(FB613)))</f>
        <v/>
      </c>
      <c r="FG613">
        <f>IF(OR(FB$3="",FB$3&gt;TODAY()),"",IF(AND(FE613="",FF613=""),"",N(FF613)-N(FE613)))</f>
        <v/>
      </c>
      <c r="FK613">
        <f>IF(OR(FI$3="",FI$3&gt;TODAY()),"",IF(AND(FI613="",FJ613=""),"",N(FJ613)-N(FI613)))</f>
        <v/>
      </c>
      <c r="FN613">
        <f>IF(OR(FI$3="",FI$3&gt;TODAY()),"",IF(AND(FL613="",FM613=""),"",N(FM613)-N(FL613)))</f>
        <v/>
      </c>
      <c r="FR613">
        <f>IF(OR(FP$3="",FP$3&gt;TODAY()),"",IF(AND(FP613="",FQ613=""),"",N(FQ613)-N(FP613)))</f>
        <v/>
      </c>
      <c r="FU613">
        <f>IF(OR(FP$3="",FP$3&gt;TODAY()),"",IF(AND(FS613="",FT613=""),"",N(FT613)-N(FS613)))</f>
        <v/>
      </c>
      <c r="FY613">
        <f>IF(OR(FW$3="",FW$3&gt;TODAY()),"",IF(AND(FW613="",FX613=""),"",N(FX613)-N(FW613)))</f>
        <v/>
      </c>
      <c r="GB613">
        <f>IF(OR(FW$3="",FW$3&gt;TODAY()),"",IF(AND(FZ613="",GA613=""),"",N(GA613)-N(FZ613)))</f>
        <v/>
      </c>
      <c r="GF613">
        <f>IF(OR(GD$3="",GD$3&gt;TODAY()),"",IF(AND(GD613="",GE613=""),"",N(GE613)-N(GD613)))</f>
        <v/>
      </c>
      <c r="GI613">
        <f>IF(OR(GD$3="",GD$3&gt;TODAY()),"",IF(AND(GG613="",GH613=""),"",N(GH613)-N(GG613)))</f>
        <v/>
      </c>
      <c r="GM613">
        <f>IF(OR(GK$3="",GK$3&gt;TODAY()),"",IF(AND(GK613="",GL613=""),"",N(GL613)-N(GK613)))</f>
        <v/>
      </c>
      <c r="GP613">
        <f>IF(OR(GK$3="",GK$3&gt;TODAY()),"",IF(AND(GN613="",GO613=""),"",N(GO613)-N(GN613)))</f>
        <v/>
      </c>
      <c r="GT613">
        <f>IF(OR(GR$3="",GR$3&gt;TODAY()),"",IF(AND(GR613="",GS613=""),"",N(GS613)-N(GR613)))</f>
        <v/>
      </c>
      <c r="GW613">
        <f>IF(OR(GR$3="",GR$3&gt;TODAY()),"",IF(AND(GU613="",GV613=""),"",N(GV613)-N(GU613)))</f>
        <v/>
      </c>
      <c r="HA613">
        <f>IF(OR(GY$3="",GY$3&gt;TODAY()),"",IF(AND(GY613="",GZ613=""),"",N(GZ613)-N(GY613)))</f>
        <v/>
      </c>
      <c r="HD613">
        <f>IF(OR(GY$3="",GY$3&gt;TODAY()),"",IF(AND(HB613="",HC613=""),"",N(HC613)-N(HB613)))</f>
        <v/>
      </c>
      <c r="HH613">
        <f>IF(OR(HF$3="",HF$3&gt;TODAY()),"",IF(AND(HF613="",HG613=""),"",N(HG613)-N(HF613)))</f>
        <v/>
      </c>
      <c r="HK613">
        <f>IF(OR(HF$3="",HF$3&gt;TODAY()),"",IF(AND(HI613="",HJ613=""),"",N(HJ613)-N(HI613)))</f>
        <v/>
      </c>
      <c r="HO613">
        <f>IF(OR(HM$3="",HM$3&gt;TODAY()),"",IF(AND(HM613="",HN613=""),"",N(HN613)-N(HM613)))</f>
        <v/>
      </c>
      <c r="HR613">
        <f>IF(OR(HM$3="",HM$3&gt;TODAY()),"",IF(AND(HP613="",HQ613=""),"",N(HQ613)-N(HP613)))</f>
        <v/>
      </c>
      <c r="HV613">
        <f>IF(OR(HT$3="",HT$3&gt;TODAY()),"",IF(AND(HT613="",HU613=""),"",N(HU613)-N(HT613)))</f>
        <v/>
      </c>
      <c r="HY613">
        <f>IF(OR(HT$3="",HT$3&gt;TODAY()),"",IF(AND(HW613="",HX613=""),"",N(HX613)-N(HW613)))</f>
        <v/>
      </c>
      <c r="IC613">
        <f>IF(OR(IA$3="",IA$3&gt;TODAY()),"",IF(AND(IA613="",IB613=""),"",N(IB613)-N(IA613)))</f>
        <v/>
      </c>
      <c r="IF613">
        <f>IF(OR(IA$3="",IA$3&gt;TODAY()),"",IF(AND(ID613="",IE613=""),"",N(IE613)-N(ID613)))</f>
        <v/>
      </c>
      <c r="IJ613">
        <f>IF(OR(IH$3="",IH$3&gt;TODAY()),"",IF(AND(IH613="",II613=""),"",N(II613)-N(IH613)))</f>
        <v/>
      </c>
      <c r="IM613">
        <f>IF(OR(IH$3="",IH$3&gt;TODAY()),"",IF(AND(IK613="",IL613=""),"",N(IL613)-N(IK613)))</f>
        <v/>
      </c>
    </row>
    <row r="614">
      <c r="A614" s="21" t="n"/>
      <c r="B614" s="21" t="n"/>
      <c r="C614" s="21" t="n"/>
      <c r="D614" s="21" t="n"/>
      <c r="E614" s="21" t="n"/>
      <c r="F614" s="21" t="n"/>
      <c r="G614" s="21" t="n"/>
      <c r="H614" s="21" t="n"/>
      <c r="I614" s="22" t="n"/>
      <c r="J614" s="22" t="n"/>
      <c r="K614" s="23" t="n"/>
      <c r="L614" s="22" t="n"/>
      <c r="M614" s="22" t="n"/>
      <c r="N614" s="21" t="n"/>
      <c r="O614" s="23" t="n"/>
      <c r="P614" s="23" t="n"/>
      <c r="Q614" s="23" t="n"/>
      <c r="R614" s="23" t="n"/>
      <c r="S614" s="22" t="n"/>
      <c r="T614" s="23" t="n"/>
      <c r="U614" s="23" t="n"/>
      <c r="V614" s="24">
        <f>IF(J614&lt;&gt;"",J614,IF(I614&lt;&gt;"",I614,""))</f>
        <v/>
      </c>
      <c r="W614" s="25">
        <f>IF($E614="","",N(O614)+SUMIFS($AF614:$IN614,$AF$4:$IN$4,"SEW_ACT"))</f>
        <v/>
      </c>
      <c r="X614" s="25">
        <f>IF($E614="","",N(P614)+SUMIFS($AF614:$IN614,$AF$4:$IN$4,"WASH_ACT"))</f>
        <v/>
      </c>
      <c r="Y614" s="25">
        <f>IF($E614="","",W614-X614-N(T614)-N(U614))</f>
        <v/>
      </c>
      <c r="Z614" s="25">
        <f>IF($E614="","",IF(N(K614)-X614&lt;=0.02*N(K614),0,N(K614)-X614))</f>
        <v/>
      </c>
      <c r="AA614" s="24">
        <f>IF($E614="","",IF(S614&lt;&gt;"",S614,IF(N(O614)&gt;0,IF(L614&lt;&gt;"",L614,99999),IFERROR(1/(1/_xlfn.MINIFS($AF$3:$IN$3,$AF$4:$IN$4,"SEW_ACT",$AF614:$IN614,"&gt;0")),99999))))</f>
        <v/>
      </c>
      <c r="AB614" s="26">
        <f>IF(OR($E614="",Z614=0,V614=""),"",1+COUNTIFS(Z$8:Z$707,"&gt;0",V$8:V$707,"&lt;"&amp;V614)+COUNTIFS(Z$8:Z$707,"&gt;0",V$8:V$707,V614,AA$8:AA$707,"&lt;"&amp;AA614)+COUNTIFS(Z$8:Z$707,"&gt;0",V$8:V$707,V614,AA$8:AA$707,AA614,E$8:E$707,"&lt;"&amp;$E614))</f>
        <v/>
      </c>
      <c r="AC614" s="24">
        <f>IF(OR($E614="",Z614=0),"",IFERROR(TODAY()+ROUNDUP(Z614/(SUMIFS($AF614:$IN614,$AF$4:$IN$4,"WASH_ACT")/COUNTIFS($AF$4:$IN$4,"WASH_ACT",$AF614:$IN614,"&gt;0")),0),"no output yet"))</f>
        <v/>
      </c>
      <c r="AD614" s="26">
        <f>IF($E614="","",IFERROR(ROUND(MAX(0,SUMIFS($AF614:$IN614,$AF$4:$IN$4,"SEW_PLAN",$AF$3:$IN$3,"&lt;="&amp;TODAY())-SUMIFS($AF614:$IN614,$AF$4:$IN$4,"SEW_ACT",$AF$3:$IN$3,"&lt;="&amp;TODAY())+N(Q614))/(SUMIFS($AF614:$IN614,$AF$4:$IN$4,"SEW_PLAN")/COUNTIFS($AF$4:$IN$4,"SEW_PLAN",$AF614:$IN614,"&gt;0")),1),0))</f>
        <v/>
      </c>
      <c r="AE614" s="26">
        <f>IF($E614="","",IF(AND(Z614&gt;0,OR(AND(M614&lt;&gt;"",TODAY()&gt;M614),AND(V614&lt;&gt;"",V614-TODAY()&lt;=7))),"Yes","No"))</f>
        <v/>
      </c>
      <c r="AH614">
        <f>IF(OR(AF$3="",AF$3&gt;TODAY()),"",IF(AND(AF614="",AG614=""),"",N(AG614)-N(AF614)))</f>
        <v/>
      </c>
      <c r="AK614">
        <f>IF(OR(AF$3="",AF$3&gt;TODAY()),"",IF(AND(AI614="",AJ614=""),"",N(AJ614)-N(AI614)))</f>
        <v/>
      </c>
      <c r="AO614">
        <f>IF(OR(AM$3="",AM$3&gt;TODAY()),"",IF(AND(AM614="",AN614=""),"",N(AN614)-N(AM614)))</f>
        <v/>
      </c>
      <c r="AR614">
        <f>IF(OR(AM$3="",AM$3&gt;TODAY()),"",IF(AND(AP614="",AQ614=""),"",N(AQ614)-N(AP614)))</f>
        <v/>
      </c>
      <c r="AV614">
        <f>IF(OR(AT$3="",AT$3&gt;TODAY()),"",IF(AND(AT614="",AU614=""),"",N(AU614)-N(AT614)))</f>
        <v/>
      </c>
      <c r="AY614">
        <f>IF(OR(AT$3="",AT$3&gt;TODAY()),"",IF(AND(AW614="",AX614=""),"",N(AX614)-N(AW614)))</f>
        <v/>
      </c>
      <c r="BC614">
        <f>IF(OR(BA$3="",BA$3&gt;TODAY()),"",IF(AND(BA614="",BB614=""),"",N(BB614)-N(BA614)))</f>
        <v/>
      </c>
      <c r="BF614">
        <f>IF(OR(BA$3="",BA$3&gt;TODAY()),"",IF(AND(BD614="",BE614=""),"",N(BE614)-N(BD614)))</f>
        <v/>
      </c>
      <c r="BJ614">
        <f>IF(OR(BH$3="",BH$3&gt;TODAY()),"",IF(AND(BH614="",BI614=""),"",N(BI614)-N(BH614)))</f>
        <v/>
      </c>
      <c r="BM614">
        <f>IF(OR(BH$3="",BH$3&gt;TODAY()),"",IF(AND(BK614="",BL614=""),"",N(BL614)-N(BK614)))</f>
        <v/>
      </c>
      <c r="BQ614">
        <f>IF(OR(BO$3="",BO$3&gt;TODAY()),"",IF(AND(BO614="",BP614=""),"",N(BP614)-N(BO614)))</f>
        <v/>
      </c>
      <c r="BT614">
        <f>IF(OR(BO$3="",BO$3&gt;TODAY()),"",IF(AND(BR614="",BS614=""),"",N(BS614)-N(BR614)))</f>
        <v/>
      </c>
      <c r="BX614">
        <f>IF(OR(BV$3="",BV$3&gt;TODAY()),"",IF(AND(BV614="",BW614=""),"",N(BW614)-N(BV614)))</f>
        <v/>
      </c>
      <c r="CA614">
        <f>IF(OR(BV$3="",BV$3&gt;TODAY()),"",IF(AND(BY614="",BZ614=""),"",N(BZ614)-N(BY614)))</f>
        <v/>
      </c>
      <c r="CE614">
        <f>IF(OR(CC$3="",CC$3&gt;TODAY()),"",IF(AND(CC614="",CD614=""),"",N(CD614)-N(CC614)))</f>
        <v/>
      </c>
      <c r="CH614">
        <f>IF(OR(CC$3="",CC$3&gt;TODAY()),"",IF(AND(CF614="",CG614=""),"",N(CG614)-N(CF614)))</f>
        <v/>
      </c>
      <c r="CL614">
        <f>IF(OR(CJ$3="",CJ$3&gt;TODAY()),"",IF(AND(CJ614="",CK614=""),"",N(CK614)-N(CJ614)))</f>
        <v/>
      </c>
      <c r="CO614">
        <f>IF(OR(CJ$3="",CJ$3&gt;TODAY()),"",IF(AND(CM614="",CN614=""),"",N(CN614)-N(CM614)))</f>
        <v/>
      </c>
      <c r="CS614">
        <f>IF(OR(CQ$3="",CQ$3&gt;TODAY()),"",IF(AND(CQ614="",CR614=""),"",N(CR614)-N(CQ614)))</f>
        <v/>
      </c>
      <c r="CV614">
        <f>IF(OR(CQ$3="",CQ$3&gt;TODAY()),"",IF(AND(CT614="",CU614=""),"",N(CU614)-N(CT614)))</f>
        <v/>
      </c>
      <c r="CZ614">
        <f>IF(OR(CX$3="",CX$3&gt;TODAY()),"",IF(AND(CX614="",CY614=""),"",N(CY614)-N(CX614)))</f>
        <v/>
      </c>
      <c r="DC614">
        <f>IF(OR(CX$3="",CX$3&gt;TODAY()),"",IF(AND(DA614="",DB614=""),"",N(DB614)-N(DA614)))</f>
        <v/>
      </c>
      <c r="DG614">
        <f>IF(OR(DE$3="",DE$3&gt;TODAY()),"",IF(AND(DE614="",DF614=""),"",N(DF614)-N(DE614)))</f>
        <v/>
      </c>
      <c r="DJ614">
        <f>IF(OR(DE$3="",DE$3&gt;TODAY()),"",IF(AND(DH614="",DI614=""),"",N(DI614)-N(DH614)))</f>
        <v/>
      </c>
      <c r="DN614">
        <f>IF(OR(DL$3="",DL$3&gt;TODAY()),"",IF(AND(DL614="",DM614=""),"",N(DM614)-N(DL614)))</f>
        <v/>
      </c>
      <c r="DQ614">
        <f>IF(OR(DL$3="",DL$3&gt;TODAY()),"",IF(AND(DO614="",DP614=""),"",N(DP614)-N(DO614)))</f>
        <v/>
      </c>
      <c r="DU614">
        <f>IF(OR(DS$3="",DS$3&gt;TODAY()),"",IF(AND(DS614="",DT614=""),"",N(DT614)-N(DS614)))</f>
        <v/>
      </c>
      <c r="DX614">
        <f>IF(OR(DS$3="",DS$3&gt;TODAY()),"",IF(AND(DV614="",DW614=""),"",N(DW614)-N(DV614)))</f>
        <v/>
      </c>
      <c r="EB614">
        <f>IF(OR(DZ$3="",DZ$3&gt;TODAY()),"",IF(AND(DZ614="",EA614=""),"",N(EA614)-N(DZ614)))</f>
        <v/>
      </c>
      <c r="EE614">
        <f>IF(OR(DZ$3="",DZ$3&gt;TODAY()),"",IF(AND(EC614="",ED614=""),"",N(ED614)-N(EC614)))</f>
        <v/>
      </c>
      <c r="EI614">
        <f>IF(OR(EG$3="",EG$3&gt;TODAY()),"",IF(AND(EG614="",EH614=""),"",N(EH614)-N(EG614)))</f>
        <v/>
      </c>
      <c r="EL614">
        <f>IF(OR(EG$3="",EG$3&gt;TODAY()),"",IF(AND(EJ614="",EK614=""),"",N(EK614)-N(EJ614)))</f>
        <v/>
      </c>
      <c r="EP614">
        <f>IF(OR(EN$3="",EN$3&gt;TODAY()),"",IF(AND(EN614="",EO614=""),"",N(EO614)-N(EN614)))</f>
        <v/>
      </c>
      <c r="ES614">
        <f>IF(OR(EN$3="",EN$3&gt;TODAY()),"",IF(AND(EQ614="",ER614=""),"",N(ER614)-N(EQ614)))</f>
        <v/>
      </c>
      <c r="EW614">
        <f>IF(OR(EU$3="",EU$3&gt;TODAY()),"",IF(AND(EU614="",EV614=""),"",N(EV614)-N(EU614)))</f>
        <v/>
      </c>
      <c r="EZ614">
        <f>IF(OR(EU$3="",EU$3&gt;TODAY()),"",IF(AND(EX614="",EY614=""),"",N(EY614)-N(EX614)))</f>
        <v/>
      </c>
      <c r="FD614">
        <f>IF(OR(FB$3="",FB$3&gt;TODAY()),"",IF(AND(FB614="",FC614=""),"",N(FC614)-N(FB614)))</f>
        <v/>
      </c>
      <c r="FG614">
        <f>IF(OR(FB$3="",FB$3&gt;TODAY()),"",IF(AND(FE614="",FF614=""),"",N(FF614)-N(FE614)))</f>
        <v/>
      </c>
      <c r="FK614">
        <f>IF(OR(FI$3="",FI$3&gt;TODAY()),"",IF(AND(FI614="",FJ614=""),"",N(FJ614)-N(FI614)))</f>
        <v/>
      </c>
      <c r="FN614">
        <f>IF(OR(FI$3="",FI$3&gt;TODAY()),"",IF(AND(FL614="",FM614=""),"",N(FM614)-N(FL614)))</f>
        <v/>
      </c>
      <c r="FR614">
        <f>IF(OR(FP$3="",FP$3&gt;TODAY()),"",IF(AND(FP614="",FQ614=""),"",N(FQ614)-N(FP614)))</f>
        <v/>
      </c>
      <c r="FU614">
        <f>IF(OR(FP$3="",FP$3&gt;TODAY()),"",IF(AND(FS614="",FT614=""),"",N(FT614)-N(FS614)))</f>
        <v/>
      </c>
      <c r="FY614">
        <f>IF(OR(FW$3="",FW$3&gt;TODAY()),"",IF(AND(FW614="",FX614=""),"",N(FX614)-N(FW614)))</f>
        <v/>
      </c>
      <c r="GB614">
        <f>IF(OR(FW$3="",FW$3&gt;TODAY()),"",IF(AND(FZ614="",GA614=""),"",N(GA614)-N(FZ614)))</f>
        <v/>
      </c>
      <c r="GF614">
        <f>IF(OR(GD$3="",GD$3&gt;TODAY()),"",IF(AND(GD614="",GE614=""),"",N(GE614)-N(GD614)))</f>
        <v/>
      </c>
      <c r="GI614">
        <f>IF(OR(GD$3="",GD$3&gt;TODAY()),"",IF(AND(GG614="",GH614=""),"",N(GH614)-N(GG614)))</f>
        <v/>
      </c>
      <c r="GM614">
        <f>IF(OR(GK$3="",GK$3&gt;TODAY()),"",IF(AND(GK614="",GL614=""),"",N(GL614)-N(GK614)))</f>
        <v/>
      </c>
      <c r="GP614">
        <f>IF(OR(GK$3="",GK$3&gt;TODAY()),"",IF(AND(GN614="",GO614=""),"",N(GO614)-N(GN614)))</f>
        <v/>
      </c>
      <c r="GT614">
        <f>IF(OR(GR$3="",GR$3&gt;TODAY()),"",IF(AND(GR614="",GS614=""),"",N(GS614)-N(GR614)))</f>
        <v/>
      </c>
      <c r="GW614">
        <f>IF(OR(GR$3="",GR$3&gt;TODAY()),"",IF(AND(GU614="",GV614=""),"",N(GV614)-N(GU614)))</f>
        <v/>
      </c>
      <c r="HA614">
        <f>IF(OR(GY$3="",GY$3&gt;TODAY()),"",IF(AND(GY614="",GZ614=""),"",N(GZ614)-N(GY614)))</f>
        <v/>
      </c>
      <c r="HD614">
        <f>IF(OR(GY$3="",GY$3&gt;TODAY()),"",IF(AND(HB614="",HC614=""),"",N(HC614)-N(HB614)))</f>
        <v/>
      </c>
      <c r="HH614">
        <f>IF(OR(HF$3="",HF$3&gt;TODAY()),"",IF(AND(HF614="",HG614=""),"",N(HG614)-N(HF614)))</f>
        <v/>
      </c>
      <c r="HK614">
        <f>IF(OR(HF$3="",HF$3&gt;TODAY()),"",IF(AND(HI614="",HJ614=""),"",N(HJ614)-N(HI614)))</f>
        <v/>
      </c>
      <c r="HO614">
        <f>IF(OR(HM$3="",HM$3&gt;TODAY()),"",IF(AND(HM614="",HN614=""),"",N(HN614)-N(HM614)))</f>
        <v/>
      </c>
      <c r="HR614">
        <f>IF(OR(HM$3="",HM$3&gt;TODAY()),"",IF(AND(HP614="",HQ614=""),"",N(HQ614)-N(HP614)))</f>
        <v/>
      </c>
      <c r="HV614">
        <f>IF(OR(HT$3="",HT$3&gt;TODAY()),"",IF(AND(HT614="",HU614=""),"",N(HU614)-N(HT614)))</f>
        <v/>
      </c>
      <c r="HY614">
        <f>IF(OR(HT$3="",HT$3&gt;TODAY()),"",IF(AND(HW614="",HX614=""),"",N(HX614)-N(HW614)))</f>
        <v/>
      </c>
      <c r="IC614">
        <f>IF(OR(IA$3="",IA$3&gt;TODAY()),"",IF(AND(IA614="",IB614=""),"",N(IB614)-N(IA614)))</f>
        <v/>
      </c>
      <c r="IF614">
        <f>IF(OR(IA$3="",IA$3&gt;TODAY()),"",IF(AND(ID614="",IE614=""),"",N(IE614)-N(ID614)))</f>
        <v/>
      </c>
      <c r="IJ614">
        <f>IF(OR(IH$3="",IH$3&gt;TODAY()),"",IF(AND(IH614="",II614=""),"",N(II614)-N(IH614)))</f>
        <v/>
      </c>
      <c r="IM614">
        <f>IF(OR(IH$3="",IH$3&gt;TODAY()),"",IF(AND(IK614="",IL614=""),"",N(IL614)-N(IK614)))</f>
        <v/>
      </c>
    </row>
    <row r="615">
      <c r="A615" s="21" t="n"/>
      <c r="B615" s="21" t="n"/>
      <c r="C615" s="21" t="n"/>
      <c r="D615" s="21" t="n"/>
      <c r="E615" s="21" t="n"/>
      <c r="F615" s="21" t="n"/>
      <c r="G615" s="21" t="n"/>
      <c r="H615" s="21" t="n"/>
      <c r="I615" s="22" t="n"/>
      <c r="J615" s="22" t="n"/>
      <c r="K615" s="23" t="n"/>
      <c r="L615" s="22" t="n"/>
      <c r="M615" s="22" t="n"/>
      <c r="N615" s="21" t="n"/>
      <c r="O615" s="23" t="n"/>
      <c r="P615" s="23" t="n"/>
      <c r="Q615" s="23" t="n"/>
      <c r="R615" s="23" t="n"/>
      <c r="S615" s="22" t="n"/>
      <c r="T615" s="23" t="n"/>
      <c r="U615" s="23" t="n"/>
      <c r="V615" s="24">
        <f>IF(J615&lt;&gt;"",J615,IF(I615&lt;&gt;"",I615,""))</f>
        <v/>
      </c>
      <c r="W615" s="25">
        <f>IF($E615="","",N(O615)+SUMIFS($AF615:$IN615,$AF$4:$IN$4,"SEW_ACT"))</f>
        <v/>
      </c>
      <c r="X615" s="25">
        <f>IF($E615="","",N(P615)+SUMIFS($AF615:$IN615,$AF$4:$IN$4,"WASH_ACT"))</f>
        <v/>
      </c>
      <c r="Y615" s="25">
        <f>IF($E615="","",W615-X615-N(T615)-N(U615))</f>
        <v/>
      </c>
      <c r="Z615" s="25">
        <f>IF($E615="","",IF(N(K615)-X615&lt;=0.02*N(K615),0,N(K615)-X615))</f>
        <v/>
      </c>
      <c r="AA615" s="24">
        <f>IF($E615="","",IF(S615&lt;&gt;"",S615,IF(N(O615)&gt;0,IF(L615&lt;&gt;"",L615,99999),IFERROR(1/(1/_xlfn.MINIFS($AF$3:$IN$3,$AF$4:$IN$4,"SEW_ACT",$AF615:$IN615,"&gt;0")),99999))))</f>
        <v/>
      </c>
      <c r="AB615" s="26">
        <f>IF(OR($E615="",Z615=0,V615=""),"",1+COUNTIFS(Z$8:Z$707,"&gt;0",V$8:V$707,"&lt;"&amp;V615)+COUNTIFS(Z$8:Z$707,"&gt;0",V$8:V$707,V615,AA$8:AA$707,"&lt;"&amp;AA615)+COUNTIFS(Z$8:Z$707,"&gt;0",V$8:V$707,V615,AA$8:AA$707,AA615,E$8:E$707,"&lt;"&amp;$E615))</f>
        <v/>
      </c>
      <c r="AC615" s="24">
        <f>IF(OR($E615="",Z615=0),"",IFERROR(TODAY()+ROUNDUP(Z615/(SUMIFS($AF615:$IN615,$AF$4:$IN$4,"WASH_ACT")/COUNTIFS($AF$4:$IN$4,"WASH_ACT",$AF615:$IN615,"&gt;0")),0),"no output yet"))</f>
        <v/>
      </c>
      <c r="AD615" s="26">
        <f>IF($E615="","",IFERROR(ROUND(MAX(0,SUMIFS($AF615:$IN615,$AF$4:$IN$4,"SEW_PLAN",$AF$3:$IN$3,"&lt;="&amp;TODAY())-SUMIFS($AF615:$IN615,$AF$4:$IN$4,"SEW_ACT",$AF$3:$IN$3,"&lt;="&amp;TODAY())+N(Q615))/(SUMIFS($AF615:$IN615,$AF$4:$IN$4,"SEW_PLAN")/COUNTIFS($AF$4:$IN$4,"SEW_PLAN",$AF615:$IN615,"&gt;0")),1),0))</f>
        <v/>
      </c>
      <c r="AE615" s="26">
        <f>IF($E615="","",IF(AND(Z615&gt;0,OR(AND(M615&lt;&gt;"",TODAY()&gt;M615),AND(V615&lt;&gt;"",V615-TODAY()&lt;=7))),"Yes","No"))</f>
        <v/>
      </c>
      <c r="AH615">
        <f>IF(OR(AF$3="",AF$3&gt;TODAY()),"",IF(AND(AF615="",AG615=""),"",N(AG615)-N(AF615)))</f>
        <v/>
      </c>
      <c r="AK615">
        <f>IF(OR(AF$3="",AF$3&gt;TODAY()),"",IF(AND(AI615="",AJ615=""),"",N(AJ615)-N(AI615)))</f>
        <v/>
      </c>
      <c r="AO615">
        <f>IF(OR(AM$3="",AM$3&gt;TODAY()),"",IF(AND(AM615="",AN615=""),"",N(AN615)-N(AM615)))</f>
        <v/>
      </c>
      <c r="AR615">
        <f>IF(OR(AM$3="",AM$3&gt;TODAY()),"",IF(AND(AP615="",AQ615=""),"",N(AQ615)-N(AP615)))</f>
        <v/>
      </c>
      <c r="AV615">
        <f>IF(OR(AT$3="",AT$3&gt;TODAY()),"",IF(AND(AT615="",AU615=""),"",N(AU615)-N(AT615)))</f>
        <v/>
      </c>
      <c r="AY615">
        <f>IF(OR(AT$3="",AT$3&gt;TODAY()),"",IF(AND(AW615="",AX615=""),"",N(AX615)-N(AW615)))</f>
        <v/>
      </c>
      <c r="BC615">
        <f>IF(OR(BA$3="",BA$3&gt;TODAY()),"",IF(AND(BA615="",BB615=""),"",N(BB615)-N(BA615)))</f>
        <v/>
      </c>
      <c r="BF615">
        <f>IF(OR(BA$3="",BA$3&gt;TODAY()),"",IF(AND(BD615="",BE615=""),"",N(BE615)-N(BD615)))</f>
        <v/>
      </c>
      <c r="BJ615">
        <f>IF(OR(BH$3="",BH$3&gt;TODAY()),"",IF(AND(BH615="",BI615=""),"",N(BI615)-N(BH615)))</f>
        <v/>
      </c>
      <c r="BM615">
        <f>IF(OR(BH$3="",BH$3&gt;TODAY()),"",IF(AND(BK615="",BL615=""),"",N(BL615)-N(BK615)))</f>
        <v/>
      </c>
      <c r="BQ615">
        <f>IF(OR(BO$3="",BO$3&gt;TODAY()),"",IF(AND(BO615="",BP615=""),"",N(BP615)-N(BO615)))</f>
        <v/>
      </c>
      <c r="BT615">
        <f>IF(OR(BO$3="",BO$3&gt;TODAY()),"",IF(AND(BR615="",BS615=""),"",N(BS615)-N(BR615)))</f>
        <v/>
      </c>
      <c r="BX615">
        <f>IF(OR(BV$3="",BV$3&gt;TODAY()),"",IF(AND(BV615="",BW615=""),"",N(BW615)-N(BV615)))</f>
        <v/>
      </c>
      <c r="CA615">
        <f>IF(OR(BV$3="",BV$3&gt;TODAY()),"",IF(AND(BY615="",BZ615=""),"",N(BZ615)-N(BY615)))</f>
        <v/>
      </c>
      <c r="CE615">
        <f>IF(OR(CC$3="",CC$3&gt;TODAY()),"",IF(AND(CC615="",CD615=""),"",N(CD615)-N(CC615)))</f>
        <v/>
      </c>
      <c r="CH615">
        <f>IF(OR(CC$3="",CC$3&gt;TODAY()),"",IF(AND(CF615="",CG615=""),"",N(CG615)-N(CF615)))</f>
        <v/>
      </c>
      <c r="CL615">
        <f>IF(OR(CJ$3="",CJ$3&gt;TODAY()),"",IF(AND(CJ615="",CK615=""),"",N(CK615)-N(CJ615)))</f>
        <v/>
      </c>
      <c r="CO615">
        <f>IF(OR(CJ$3="",CJ$3&gt;TODAY()),"",IF(AND(CM615="",CN615=""),"",N(CN615)-N(CM615)))</f>
        <v/>
      </c>
      <c r="CS615">
        <f>IF(OR(CQ$3="",CQ$3&gt;TODAY()),"",IF(AND(CQ615="",CR615=""),"",N(CR615)-N(CQ615)))</f>
        <v/>
      </c>
      <c r="CV615">
        <f>IF(OR(CQ$3="",CQ$3&gt;TODAY()),"",IF(AND(CT615="",CU615=""),"",N(CU615)-N(CT615)))</f>
        <v/>
      </c>
      <c r="CZ615">
        <f>IF(OR(CX$3="",CX$3&gt;TODAY()),"",IF(AND(CX615="",CY615=""),"",N(CY615)-N(CX615)))</f>
        <v/>
      </c>
      <c r="DC615">
        <f>IF(OR(CX$3="",CX$3&gt;TODAY()),"",IF(AND(DA615="",DB615=""),"",N(DB615)-N(DA615)))</f>
        <v/>
      </c>
      <c r="DG615">
        <f>IF(OR(DE$3="",DE$3&gt;TODAY()),"",IF(AND(DE615="",DF615=""),"",N(DF615)-N(DE615)))</f>
        <v/>
      </c>
      <c r="DJ615">
        <f>IF(OR(DE$3="",DE$3&gt;TODAY()),"",IF(AND(DH615="",DI615=""),"",N(DI615)-N(DH615)))</f>
        <v/>
      </c>
      <c r="DN615">
        <f>IF(OR(DL$3="",DL$3&gt;TODAY()),"",IF(AND(DL615="",DM615=""),"",N(DM615)-N(DL615)))</f>
        <v/>
      </c>
      <c r="DQ615">
        <f>IF(OR(DL$3="",DL$3&gt;TODAY()),"",IF(AND(DO615="",DP615=""),"",N(DP615)-N(DO615)))</f>
        <v/>
      </c>
      <c r="DU615">
        <f>IF(OR(DS$3="",DS$3&gt;TODAY()),"",IF(AND(DS615="",DT615=""),"",N(DT615)-N(DS615)))</f>
        <v/>
      </c>
      <c r="DX615">
        <f>IF(OR(DS$3="",DS$3&gt;TODAY()),"",IF(AND(DV615="",DW615=""),"",N(DW615)-N(DV615)))</f>
        <v/>
      </c>
      <c r="EB615">
        <f>IF(OR(DZ$3="",DZ$3&gt;TODAY()),"",IF(AND(DZ615="",EA615=""),"",N(EA615)-N(DZ615)))</f>
        <v/>
      </c>
      <c r="EE615">
        <f>IF(OR(DZ$3="",DZ$3&gt;TODAY()),"",IF(AND(EC615="",ED615=""),"",N(ED615)-N(EC615)))</f>
        <v/>
      </c>
      <c r="EI615">
        <f>IF(OR(EG$3="",EG$3&gt;TODAY()),"",IF(AND(EG615="",EH615=""),"",N(EH615)-N(EG615)))</f>
        <v/>
      </c>
      <c r="EL615">
        <f>IF(OR(EG$3="",EG$3&gt;TODAY()),"",IF(AND(EJ615="",EK615=""),"",N(EK615)-N(EJ615)))</f>
        <v/>
      </c>
      <c r="EP615">
        <f>IF(OR(EN$3="",EN$3&gt;TODAY()),"",IF(AND(EN615="",EO615=""),"",N(EO615)-N(EN615)))</f>
        <v/>
      </c>
      <c r="ES615">
        <f>IF(OR(EN$3="",EN$3&gt;TODAY()),"",IF(AND(EQ615="",ER615=""),"",N(ER615)-N(EQ615)))</f>
        <v/>
      </c>
      <c r="EW615">
        <f>IF(OR(EU$3="",EU$3&gt;TODAY()),"",IF(AND(EU615="",EV615=""),"",N(EV615)-N(EU615)))</f>
        <v/>
      </c>
      <c r="EZ615">
        <f>IF(OR(EU$3="",EU$3&gt;TODAY()),"",IF(AND(EX615="",EY615=""),"",N(EY615)-N(EX615)))</f>
        <v/>
      </c>
      <c r="FD615">
        <f>IF(OR(FB$3="",FB$3&gt;TODAY()),"",IF(AND(FB615="",FC615=""),"",N(FC615)-N(FB615)))</f>
        <v/>
      </c>
      <c r="FG615">
        <f>IF(OR(FB$3="",FB$3&gt;TODAY()),"",IF(AND(FE615="",FF615=""),"",N(FF615)-N(FE615)))</f>
        <v/>
      </c>
      <c r="FK615">
        <f>IF(OR(FI$3="",FI$3&gt;TODAY()),"",IF(AND(FI615="",FJ615=""),"",N(FJ615)-N(FI615)))</f>
        <v/>
      </c>
      <c r="FN615">
        <f>IF(OR(FI$3="",FI$3&gt;TODAY()),"",IF(AND(FL615="",FM615=""),"",N(FM615)-N(FL615)))</f>
        <v/>
      </c>
      <c r="FR615">
        <f>IF(OR(FP$3="",FP$3&gt;TODAY()),"",IF(AND(FP615="",FQ615=""),"",N(FQ615)-N(FP615)))</f>
        <v/>
      </c>
      <c r="FU615">
        <f>IF(OR(FP$3="",FP$3&gt;TODAY()),"",IF(AND(FS615="",FT615=""),"",N(FT615)-N(FS615)))</f>
        <v/>
      </c>
      <c r="FY615">
        <f>IF(OR(FW$3="",FW$3&gt;TODAY()),"",IF(AND(FW615="",FX615=""),"",N(FX615)-N(FW615)))</f>
        <v/>
      </c>
      <c r="GB615">
        <f>IF(OR(FW$3="",FW$3&gt;TODAY()),"",IF(AND(FZ615="",GA615=""),"",N(GA615)-N(FZ615)))</f>
        <v/>
      </c>
      <c r="GF615">
        <f>IF(OR(GD$3="",GD$3&gt;TODAY()),"",IF(AND(GD615="",GE615=""),"",N(GE615)-N(GD615)))</f>
        <v/>
      </c>
      <c r="GI615">
        <f>IF(OR(GD$3="",GD$3&gt;TODAY()),"",IF(AND(GG615="",GH615=""),"",N(GH615)-N(GG615)))</f>
        <v/>
      </c>
      <c r="GM615">
        <f>IF(OR(GK$3="",GK$3&gt;TODAY()),"",IF(AND(GK615="",GL615=""),"",N(GL615)-N(GK615)))</f>
        <v/>
      </c>
      <c r="GP615">
        <f>IF(OR(GK$3="",GK$3&gt;TODAY()),"",IF(AND(GN615="",GO615=""),"",N(GO615)-N(GN615)))</f>
        <v/>
      </c>
      <c r="GT615">
        <f>IF(OR(GR$3="",GR$3&gt;TODAY()),"",IF(AND(GR615="",GS615=""),"",N(GS615)-N(GR615)))</f>
        <v/>
      </c>
      <c r="GW615">
        <f>IF(OR(GR$3="",GR$3&gt;TODAY()),"",IF(AND(GU615="",GV615=""),"",N(GV615)-N(GU615)))</f>
        <v/>
      </c>
      <c r="HA615">
        <f>IF(OR(GY$3="",GY$3&gt;TODAY()),"",IF(AND(GY615="",GZ615=""),"",N(GZ615)-N(GY615)))</f>
        <v/>
      </c>
      <c r="HD615">
        <f>IF(OR(GY$3="",GY$3&gt;TODAY()),"",IF(AND(HB615="",HC615=""),"",N(HC615)-N(HB615)))</f>
        <v/>
      </c>
      <c r="HH615">
        <f>IF(OR(HF$3="",HF$3&gt;TODAY()),"",IF(AND(HF615="",HG615=""),"",N(HG615)-N(HF615)))</f>
        <v/>
      </c>
      <c r="HK615">
        <f>IF(OR(HF$3="",HF$3&gt;TODAY()),"",IF(AND(HI615="",HJ615=""),"",N(HJ615)-N(HI615)))</f>
        <v/>
      </c>
      <c r="HO615">
        <f>IF(OR(HM$3="",HM$3&gt;TODAY()),"",IF(AND(HM615="",HN615=""),"",N(HN615)-N(HM615)))</f>
        <v/>
      </c>
      <c r="HR615">
        <f>IF(OR(HM$3="",HM$3&gt;TODAY()),"",IF(AND(HP615="",HQ615=""),"",N(HQ615)-N(HP615)))</f>
        <v/>
      </c>
      <c r="HV615">
        <f>IF(OR(HT$3="",HT$3&gt;TODAY()),"",IF(AND(HT615="",HU615=""),"",N(HU615)-N(HT615)))</f>
        <v/>
      </c>
      <c r="HY615">
        <f>IF(OR(HT$3="",HT$3&gt;TODAY()),"",IF(AND(HW615="",HX615=""),"",N(HX615)-N(HW615)))</f>
        <v/>
      </c>
      <c r="IC615">
        <f>IF(OR(IA$3="",IA$3&gt;TODAY()),"",IF(AND(IA615="",IB615=""),"",N(IB615)-N(IA615)))</f>
        <v/>
      </c>
      <c r="IF615">
        <f>IF(OR(IA$3="",IA$3&gt;TODAY()),"",IF(AND(ID615="",IE615=""),"",N(IE615)-N(ID615)))</f>
        <v/>
      </c>
      <c r="IJ615">
        <f>IF(OR(IH$3="",IH$3&gt;TODAY()),"",IF(AND(IH615="",II615=""),"",N(II615)-N(IH615)))</f>
        <v/>
      </c>
      <c r="IM615">
        <f>IF(OR(IH$3="",IH$3&gt;TODAY()),"",IF(AND(IK615="",IL615=""),"",N(IL615)-N(IK615)))</f>
        <v/>
      </c>
    </row>
    <row r="616">
      <c r="A616" s="21" t="n"/>
      <c r="B616" s="21" t="n"/>
      <c r="C616" s="21" t="n"/>
      <c r="D616" s="21" t="n"/>
      <c r="E616" s="21" t="n"/>
      <c r="F616" s="21" t="n"/>
      <c r="G616" s="21" t="n"/>
      <c r="H616" s="21" t="n"/>
      <c r="I616" s="22" t="n"/>
      <c r="J616" s="22" t="n"/>
      <c r="K616" s="23" t="n"/>
      <c r="L616" s="22" t="n"/>
      <c r="M616" s="22" t="n"/>
      <c r="N616" s="21" t="n"/>
      <c r="O616" s="23" t="n"/>
      <c r="P616" s="23" t="n"/>
      <c r="Q616" s="23" t="n"/>
      <c r="R616" s="23" t="n"/>
      <c r="S616" s="22" t="n"/>
      <c r="T616" s="23" t="n"/>
      <c r="U616" s="23" t="n"/>
      <c r="V616" s="24">
        <f>IF(J616&lt;&gt;"",J616,IF(I616&lt;&gt;"",I616,""))</f>
        <v/>
      </c>
      <c r="W616" s="25">
        <f>IF($E616="","",N(O616)+SUMIFS($AF616:$IN616,$AF$4:$IN$4,"SEW_ACT"))</f>
        <v/>
      </c>
      <c r="X616" s="25">
        <f>IF($E616="","",N(P616)+SUMIFS($AF616:$IN616,$AF$4:$IN$4,"WASH_ACT"))</f>
        <v/>
      </c>
      <c r="Y616" s="25">
        <f>IF($E616="","",W616-X616-N(T616)-N(U616))</f>
        <v/>
      </c>
      <c r="Z616" s="25">
        <f>IF($E616="","",IF(N(K616)-X616&lt;=0.02*N(K616),0,N(K616)-X616))</f>
        <v/>
      </c>
      <c r="AA616" s="24">
        <f>IF($E616="","",IF(S616&lt;&gt;"",S616,IF(N(O616)&gt;0,IF(L616&lt;&gt;"",L616,99999),IFERROR(1/(1/_xlfn.MINIFS($AF$3:$IN$3,$AF$4:$IN$4,"SEW_ACT",$AF616:$IN616,"&gt;0")),99999))))</f>
        <v/>
      </c>
      <c r="AB616" s="26">
        <f>IF(OR($E616="",Z616=0,V616=""),"",1+COUNTIFS(Z$8:Z$707,"&gt;0",V$8:V$707,"&lt;"&amp;V616)+COUNTIFS(Z$8:Z$707,"&gt;0",V$8:V$707,V616,AA$8:AA$707,"&lt;"&amp;AA616)+COUNTIFS(Z$8:Z$707,"&gt;0",V$8:V$707,V616,AA$8:AA$707,AA616,E$8:E$707,"&lt;"&amp;$E616))</f>
        <v/>
      </c>
      <c r="AC616" s="24">
        <f>IF(OR($E616="",Z616=0),"",IFERROR(TODAY()+ROUNDUP(Z616/(SUMIFS($AF616:$IN616,$AF$4:$IN$4,"WASH_ACT")/COUNTIFS($AF$4:$IN$4,"WASH_ACT",$AF616:$IN616,"&gt;0")),0),"no output yet"))</f>
        <v/>
      </c>
      <c r="AD616" s="26">
        <f>IF($E616="","",IFERROR(ROUND(MAX(0,SUMIFS($AF616:$IN616,$AF$4:$IN$4,"SEW_PLAN",$AF$3:$IN$3,"&lt;="&amp;TODAY())-SUMIFS($AF616:$IN616,$AF$4:$IN$4,"SEW_ACT",$AF$3:$IN$3,"&lt;="&amp;TODAY())+N(Q616))/(SUMIFS($AF616:$IN616,$AF$4:$IN$4,"SEW_PLAN")/COUNTIFS($AF$4:$IN$4,"SEW_PLAN",$AF616:$IN616,"&gt;0")),1),0))</f>
        <v/>
      </c>
      <c r="AE616" s="26">
        <f>IF($E616="","",IF(AND(Z616&gt;0,OR(AND(M616&lt;&gt;"",TODAY()&gt;M616),AND(V616&lt;&gt;"",V616-TODAY()&lt;=7))),"Yes","No"))</f>
        <v/>
      </c>
      <c r="AH616">
        <f>IF(OR(AF$3="",AF$3&gt;TODAY()),"",IF(AND(AF616="",AG616=""),"",N(AG616)-N(AF616)))</f>
        <v/>
      </c>
      <c r="AK616">
        <f>IF(OR(AF$3="",AF$3&gt;TODAY()),"",IF(AND(AI616="",AJ616=""),"",N(AJ616)-N(AI616)))</f>
        <v/>
      </c>
      <c r="AO616">
        <f>IF(OR(AM$3="",AM$3&gt;TODAY()),"",IF(AND(AM616="",AN616=""),"",N(AN616)-N(AM616)))</f>
        <v/>
      </c>
      <c r="AR616">
        <f>IF(OR(AM$3="",AM$3&gt;TODAY()),"",IF(AND(AP616="",AQ616=""),"",N(AQ616)-N(AP616)))</f>
        <v/>
      </c>
      <c r="AV616">
        <f>IF(OR(AT$3="",AT$3&gt;TODAY()),"",IF(AND(AT616="",AU616=""),"",N(AU616)-N(AT616)))</f>
        <v/>
      </c>
      <c r="AY616">
        <f>IF(OR(AT$3="",AT$3&gt;TODAY()),"",IF(AND(AW616="",AX616=""),"",N(AX616)-N(AW616)))</f>
        <v/>
      </c>
      <c r="BC616">
        <f>IF(OR(BA$3="",BA$3&gt;TODAY()),"",IF(AND(BA616="",BB616=""),"",N(BB616)-N(BA616)))</f>
        <v/>
      </c>
      <c r="BF616">
        <f>IF(OR(BA$3="",BA$3&gt;TODAY()),"",IF(AND(BD616="",BE616=""),"",N(BE616)-N(BD616)))</f>
        <v/>
      </c>
      <c r="BJ616">
        <f>IF(OR(BH$3="",BH$3&gt;TODAY()),"",IF(AND(BH616="",BI616=""),"",N(BI616)-N(BH616)))</f>
        <v/>
      </c>
      <c r="BM616">
        <f>IF(OR(BH$3="",BH$3&gt;TODAY()),"",IF(AND(BK616="",BL616=""),"",N(BL616)-N(BK616)))</f>
        <v/>
      </c>
      <c r="BQ616">
        <f>IF(OR(BO$3="",BO$3&gt;TODAY()),"",IF(AND(BO616="",BP616=""),"",N(BP616)-N(BO616)))</f>
        <v/>
      </c>
      <c r="BT616">
        <f>IF(OR(BO$3="",BO$3&gt;TODAY()),"",IF(AND(BR616="",BS616=""),"",N(BS616)-N(BR616)))</f>
        <v/>
      </c>
      <c r="BX616">
        <f>IF(OR(BV$3="",BV$3&gt;TODAY()),"",IF(AND(BV616="",BW616=""),"",N(BW616)-N(BV616)))</f>
        <v/>
      </c>
      <c r="CA616">
        <f>IF(OR(BV$3="",BV$3&gt;TODAY()),"",IF(AND(BY616="",BZ616=""),"",N(BZ616)-N(BY616)))</f>
        <v/>
      </c>
      <c r="CE616">
        <f>IF(OR(CC$3="",CC$3&gt;TODAY()),"",IF(AND(CC616="",CD616=""),"",N(CD616)-N(CC616)))</f>
        <v/>
      </c>
      <c r="CH616">
        <f>IF(OR(CC$3="",CC$3&gt;TODAY()),"",IF(AND(CF616="",CG616=""),"",N(CG616)-N(CF616)))</f>
        <v/>
      </c>
      <c r="CL616">
        <f>IF(OR(CJ$3="",CJ$3&gt;TODAY()),"",IF(AND(CJ616="",CK616=""),"",N(CK616)-N(CJ616)))</f>
        <v/>
      </c>
      <c r="CO616">
        <f>IF(OR(CJ$3="",CJ$3&gt;TODAY()),"",IF(AND(CM616="",CN616=""),"",N(CN616)-N(CM616)))</f>
        <v/>
      </c>
      <c r="CS616">
        <f>IF(OR(CQ$3="",CQ$3&gt;TODAY()),"",IF(AND(CQ616="",CR616=""),"",N(CR616)-N(CQ616)))</f>
        <v/>
      </c>
      <c r="CV616">
        <f>IF(OR(CQ$3="",CQ$3&gt;TODAY()),"",IF(AND(CT616="",CU616=""),"",N(CU616)-N(CT616)))</f>
        <v/>
      </c>
      <c r="CZ616">
        <f>IF(OR(CX$3="",CX$3&gt;TODAY()),"",IF(AND(CX616="",CY616=""),"",N(CY616)-N(CX616)))</f>
        <v/>
      </c>
      <c r="DC616">
        <f>IF(OR(CX$3="",CX$3&gt;TODAY()),"",IF(AND(DA616="",DB616=""),"",N(DB616)-N(DA616)))</f>
        <v/>
      </c>
      <c r="DG616">
        <f>IF(OR(DE$3="",DE$3&gt;TODAY()),"",IF(AND(DE616="",DF616=""),"",N(DF616)-N(DE616)))</f>
        <v/>
      </c>
      <c r="DJ616">
        <f>IF(OR(DE$3="",DE$3&gt;TODAY()),"",IF(AND(DH616="",DI616=""),"",N(DI616)-N(DH616)))</f>
        <v/>
      </c>
      <c r="DN616">
        <f>IF(OR(DL$3="",DL$3&gt;TODAY()),"",IF(AND(DL616="",DM616=""),"",N(DM616)-N(DL616)))</f>
        <v/>
      </c>
      <c r="DQ616">
        <f>IF(OR(DL$3="",DL$3&gt;TODAY()),"",IF(AND(DO616="",DP616=""),"",N(DP616)-N(DO616)))</f>
        <v/>
      </c>
      <c r="DU616">
        <f>IF(OR(DS$3="",DS$3&gt;TODAY()),"",IF(AND(DS616="",DT616=""),"",N(DT616)-N(DS616)))</f>
        <v/>
      </c>
      <c r="DX616">
        <f>IF(OR(DS$3="",DS$3&gt;TODAY()),"",IF(AND(DV616="",DW616=""),"",N(DW616)-N(DV616)))</f>
        <v/>
      </c>
      <c r="EB616">
        <f>IF(OR(DZ$3="",DZ$3&gt;TODAY()),"",IF(AND(DZ616="",EA616=""),"",N(EA616)-N(DZ616)))</f>
        <v/>
      </c>
      <c r="EE616">
        <f>IF(OR(DZ$3="",DZ$3&gt;TODAY()),"",IF(AND(EC616="",ED616=""),"",N(ED616)-N(EC616)))</f>
        <v/>
      </c>
      <c r="EI616">
        <f>IF(OR(EG$3="",EG$3&gt;TODAY()),"",IF(AND(EG616="",EH616=""),"",N(EH616)-N(EG616)))</f>
        <v/>
      </c>
      <c r="EL616">
        <f>IF(OR(EG$3="",EG$3&gt;TODAY()),"",IF(AND(EJ616="",EK616=""),"",N(EK616)-N(EJ616)))</f>
        <v/>
      </c>
      <c r="EP616">
        <f>IF(OR(EN$3="",EN$3&gt;TODAY()),"",IF(AND(EN616="",EO616=""),"",N(EO616)-N(EN616)))</f>
        <v/>
      </c>
      <c r="ES616">
        <f>IF(OR(EN$3="",EN$3&gt;TODAY()),"",IF(AND(EQ616="",ER616=""),"",N(ER616)-N(EQ616)))</f>
        <v/>
      </c>
      <c r="EW616">
        <f>IF(OR(EU$3="",EU$3&gt;TODAY()),"",IF(AND(EU616="",EV616=""),"",N(EV616)-N(EU616)))</f>
        <v/>
      </c>
      <c r="EZ616">
        <f>IF(OR(EU$3="",EU$3&gt;TODAY()),"",IF(AND(EX616="",EY616=""),"",N(EY616)-N(EX616)))</f>
        <v/>
      </c>
      <c r="FD616">
        <f>IF(OR(FB$3="",FB$3&gt;TODAY()),"",IF(AND(FB616="",FC616=""),"",N(FC616)-N(FB616)))</f>
        <v/>
      </c>
      <c r="FG616">
        <f>IF(OR(FB$3="",FB$3&gt;TODAY()),"",IF(AND(FE616="",FF616=""),"",N(FF616)-N(FE616)))</f>
        <v/>
      </c>
      <c r="FK616">
        <f>IF(OR(FI$3="",FI$3&gt;TODAY()),"",IF(AND(FI616="",FJ616=""),"",N(FJ616)-N(FI616)))</f>
        <v/>
      </c>
      <c r="FN616">
        <f>IF(OR(FI$3="",FI$3&gt;TODAY()),"",IF(AND(FL616="",FM616=""),"",N(FM616)-N(FL616)))</f>
        <v/>
      </c>
      <c r="FR616">
        <f>IF(OR(FP$3="",FP$3&gt;TODAY()),"",IF(AND(FP616="",FQ616=""),"",N(FQ616)-N(FP616)))</f>
        <v/>
      </c>
      <c r="FU616">
        <f>IF(OR(FP$3="",FP$3&gt;TODAY()),"",IF(AND(FS616="",FT616=""),"",N(FT616)-N(FS616)))</f>
        <v/>
      </c>
      <c r="FY616">
        <f>IF(OR(FW$3="",FW$3&gt;TODAY()),"",IF(AND(FW616="",FX616=""),"",N(FX616)-N(FW616)))</f>
        <v/>
      </c>
      <c r="GB616">
        <f>IF(OR(FW$3="",FW$3&gt;TODAY()),"",IF(AND(FZ616="",GA616=""),"",N(GA616)-N(FZ616)))</f>
        <v/>
      </c>
      <c r="GF616">
        <f>IF(OR(GD$3="",GD$3&gt;TODAY()),"",IF(AND(GD616="",GE616=""),"",N(GE616)-N(GD616)))</f>
        <v/>
      </c>
      <c r="GI616">
        <f>IF(OR(GD$3="",GD$3&gt;TODAY()),"",IF(AND(GG616="",GH616=""),"",N(GH616)-N(GG616)))</f>
        <v/>
      </c>
      <c r="GM616">
        <f>IF(OR(GK$3="",GK$3&gt;TODAY()),"",IF(AND(GK616="",GL616=""),"",N(GL616)-N(GK616)))</f>
        <v/>
      </c>
      <c r="GP616">
        <f>IF(OR(GK$3="",GK$3&gt;TODAY()),"",IF(AND(GN616="",GO616=""),"",N(GO616)-N(GN616)))</f>
        <v/>
      </c>
      <c r="GT616">
        <f>IF(OR(GR$3="",GR$3&gt;TODAY()),"",IF(AND(GR616="",GS616=""),"",N(GS616)-N(GR616)))</f>
        <v/>
      </c>
      <c r="GW616">
        <f>IF(OR(GR$3="",GR$3&gt;TODAY()),"",IF(AND(GU616="",GV616=""),"",N(GV616)-N(GU616)))</f>
        <v/>
      </c>
      <c r="HA616">
        <f>IF(OR(GY$3="",GY$3&gt;TODAY()),"",IF(AND(GY616="",GZ616=""),"",N(GZ616)-N(GY616)))</f>
        <v/>
      </c>
      <c r="HD616">
        <f>IF(OR(GY$3="",GY$3&gt;TODAY()),"",IF(AND(HB616="",HC616=""),"",N(HC616)-N(HB616)))</f>
        <v/>
      </c>
      <c r="HH616">
        <f>IF(OR(HF$3="",HF$3&gt;TODAY()),"",IF(AND(HF616="",HG616=""),"",N(HG616)-N(HF616)))</f>
        <v/>
      </c>
      <c r="HK616">
        <f>IF(OR(HF$3="",HF$3&gt;TODAY()),"",IF(AND(HI616="",HJ616=""),"",N(HJ616)-N(HI616)))</f>
        <v/>
      </c>
      <c r="HO616">
        <f>IF(OR(HM$3="",HM$3&gt;TODAY()),"",IF(AND(HM616="",HN616=""),"",N(HN616)-N(HM616)))</f>
        <v/>
      </c>
      <c r="HR616">
        <f>IF(OR(HM$3="",HM$3&gt;TODAY()),"",IF(AND(HP616="",HQ616=""),"",N(HQ616)-N(HP616)))</f>
        <v/>
      </c>
      <c r="HV616">
        <f>IF(OR(HT$3="",HT$3&gt;TODAY()),"",IF(AND(HT616="",HU616=""),"",N(HU616)-N(HT616)))</f>
        <v/>
      </c>
      <c r="HY616">
        <f>IF(OR(HT$3="",HT$3&gt;TODAY()),"",IF(AND(HW616="",HX616=""),"",N(HX616)-N(HW616)))</f>
        <v/>
      </c>
      <c r="IC616">
        <f>IF(OR(IA$3="",IA$3&gt;TODAY()),"",IF(AND(IA616="",IB616=""),"",N(IB616)-N(IA616)))</f>
        <v/>
      </c>
      <c r="IF616">
        <f>IF(OR(IA$3="",IA$3&gt;TODAY()),"",IF(AND(ID616="",IE616=""),"",N(IE616)-N(ID616)))</f>
        <v/>
      </c>
      <c r="IJ616">
        <f>IF(OR(IH$3="",IH$3&gt;TODAY()),"",IF(AND(IH616="",II616=""),"",N(II616)-N(IH616)))</f>
        <v/>
      </c>
      <c r="IM616">
        <f>IF(OR(IH$3="",IH$3&gt;TODAY()),"",IF(AND(IK616="",IL616=""),"",N(IL616)-N(IK616)))</f>
        <v/>
      </c>
    </row>
    <row r="617">
      <c r="A617" s="21" t="n"/>
      <c r="B617" s="21" t="n"/>
      <c r="C617" s="21" t="n"/>
      <c r="D617" s="21" t="n"/>
      <c r="E617" s="21" t="n"/>
      <c r="F617" s="21" t="n"/>
      <c r="G617" s="21" t="n"/>
      <c r="H617" s="21" t="n"/>
      <c r="I617" s="22" t="n"/>
      <c r="J617" s="22" t="n"/>
      <c r="K617" s="23" t="n"/>
      <c r="L617" s="22" t="n"/>
      <c r="M617" s="22" t="n"/>
      <c r="N617" s="21" t="n"/>
      <c r="O617" s="23" t="n"/>
      <c r="P617" s="23" t="n"/>
      <c r="Q617" s="23" t="n"/>
      <c r="R617" s="23" t="n"/>
      <c r="S617" s="22" t="n"/>
      <c r="T617" s="23" t="n"/>
      <c r="U617" s="23" t="n"/>
      <c r="V617" s="24">
        <f>IF(J617&lt;&gt;"",J617,IF(I617&lt;&gt;"",I617,""))</f>
        <v/>
      </c>
      <c r="W617" s="25">
        <f>IF($E617="","",N(O617)+SUMIFS($AF617:$IN617,$AF$4:$IN$4,"SEW_ACT"))</f>
        <v/>
      </c>
      <c r="X617" s="25">
        <f>IF($E617="","",N(P617)+SUMIFS($AF617:$IN617,$AF$4:$IN$4,"WASH_ACT"))</f>
        <v/>
      </c>
      <c r="Y617" s="25">
        <f>IF($E617="","",W617-X617-N(T617)-N(U617))</f>
        <v/>
      </c>
      <c r="Z617" s="25">
        <f>IF($E617="","",IF(N(K617)-X617&lt;=0.02*N(K617),0,N(K617)-X617))</f>
        <v/>
      </c>
      <c r="AA617" s="24">
        <f>IF($E617="","",IF(S617&lt;&gt;"",S617,IF(N(O617)&gt;0,IF(L617&lt;&gt;"",L617,99999),IFERROR(1/(1/_xlfn.MINIFS($AF$3:$IN$3,$AF$4:$IN$4,"SEW_ACT",$AF617:$IN617,"&gt;0")),99999))))</f>
        <v/>
      </c>
      <c r="AB617" s="26">
        <f>IF(OR($E617="",Z617=0,V617=""),"",1+COUNTIFS(Z$8:Z$707,"&gt;0",V$8:V$707,"&lt;"&amp;V617)+COUNTIFS(Z$8:Z$707,"&gt;0",V$8:V$707,V617,AA$8:AA$707,"&lt;"&amp;AA617)+COUNTIFS(Z$8:Z$707,"&gt;0",V$8:V$707,V617,AA$8:AA$707,AA617,E$8:E$707,"&lt;"&amp;$E617))</f>
        <v/>
      </c>
      <c r="AC617" s="24">
        <f>IF(OR($E617="",Z617=0),"",IFERROR(TODAY()+ROUNDUP(Z617/(SUMIFS($AF617:$IN617,$AF$4:$IN$4,"WASH_ACT")/COUNTIFS($AF$4:$IN$4,"WASH_ACT",$AF617:$IN617,"&gt;0")),0),"no output yet"))</f>
        <v/>
      </c>
      <c r="AD617" s="26">
        <f>IF($E617="","",IFERROR(ROUND(MAX(0,SUMIFS($AF617:$IN617,$AF$4:$IN$4,"SEW_PLAN",$AF$3:$IN$3,"&lt;="&amp;TODAY())-SUMIFS($AF617:$IN617,$AF$4:$IN$4,"SEW_ACT",$AF$3:$IN$3,"&lt;="&amp;TODAY())+N(Q617))/(SUMIFS($AF617:$IN617,$AF$4:$IN$4,"SEW_PLAN")/COUNTIFS($AF$4:$IN$4,"SEW_PLAN",$AF617:$IN617,"&gt;0")),1),0))</f>
        <v/>
      </c>
      <c r="AE617" s="26">
        <f>IF($E617="","",IF(AND(Z617&gt;0,OR(AND(M617&lt;&gt;"",TODAY()&gt;M617),AND(V617&lt;&gt;"",V617-TODAY()&lt;=7))),"Yes","No"))</f>
        <v/>
      </c>
      <c r="AH617">
        <f>IF(OR(AF$3="",AF$3&gt;TODAY()),"",IF(AND(AF617="",AG617=""),"",N(AG617)-N(AF617)))</f>
        <v/>
      </c>
      <c r="AK617">
        <f>IF(OR(AF$3="",AF$3&gt;TODAY()),"",IF(AND(AI617="",AJ617=""),"",N(AJ617)-N(AI617)))</f>
        <v/>
      </c>
      <c r="AO617">
        <f>IF(OR(AM$3="",AM$3&gt;TODAY()),"",IF(AND(AM617="",AN617=""),"",N(AN617)-N(AM617)))</f>
        <v/>
      </c>
      <c r="AR617">
        <f>IF(OR(AM$3="",AM$3&gt;TODAY()),"",IF(AND(AP617="",AQ617=""),"",N(AQ617)-N(AP617)))</f>
        <v/>
      </c>
      <c r="AV617">
        <f>IF(OR(AT$3="",AT$3&gt;TODAY()),"",IF(AND(AT617="",AU617=""),"",N(AU617)-N(AT617)))</f>
        <v/>
      </c>
      <c r="AY617">
        <f>IF(OR(AT$3="",AT$3&gt;TODAY()),"",IF(AND(AW617="",AX617=""),"",N(AX617)-N(AW617)))</f>
        <v/>
      </c>
      <c r="BC617">
        <f>IF(OR(BA$3="",BA$3&gt;TODAY()),"",IF(AND(BA617="",BB617=""),"",N(BB617)-N(BA617)))</f>
        <v/>
      </c>
      <c r="BF617">
        <f>IF(OR(BA$3="",BA$3&gt;TODAY()),"",IF(AND(BD617="",BE617=""),"",N(BE617)-N(BD617)))</f>
        <v/>
      </c>
      <c r="BJ617">
        <f>IF(OR(BH$3="",BH$3&gt;TODAY()),"",IF(AND(BH617="",BI617=""),"",N(BI617)-N(BH617)))</f>
        <v/>
      </c>
      <c r="BM617">
        <f>IF(OR(BH$3="",BH$3&gt;TODAY()),"",IF(AND(BK617="",BL617=""),"",N(BL617)-N(BK617)))</f>
        <v/>
      </c>
      <c r="BQ617">
        <f>IF(OR(BO$3="",BO$3&gt;TODAY()),"",IF(AND(BO617="",BP617=""),"",N(BP617)-N(BO617)))</f>
        <v/>
      </c>
      <c r="BT617">
        <f>IF(OR(BO$3="",BO$3&gt;TODAY()),"",IF(AND(BR617="",BS617=""),"",N(BS617)-N(BR617)))</f>
        <v/>
      </c>
      <c r="BX617">
        <f>IF(OR(BV$3="",BV$3&gt;TODAY()),"",IF(AND(BV617="",BW617=""),"",N(BW617)-N(BV617)))</f>
        <v/>
      </c>
      <c r="CA617">
        <f>IF(OR(BV$3="",BV$3&gt;TODAY()),"",IF(AND(BY617="",BZ617=""),"",N(BZ617)-N(BY617)))</f>
        <v/>
      </c>
      <c r="CE617">
        <f>IF(OR(CC$3="",CC$3&gt;TODAY()),"",IF(AND(CC617="",CD617=""),"",N(CD617)-N(CC617)))</f>
        <v/>
      </c>
      <c r="CH617">
        <f>IF(OR(CC$3="",CC$3&gt;TODAY()),"",IF(AND(CF617="",CG617=""),"",N(CG617)-N(CF617)))</f>
        <v/>
      </c>
      <c r="CL617">
        <f>IF(OR(CJ$3="",CJ$3&gt;TODAY()),"",IF(AND(CJ617="",CK617=""),"",N(CK617)-N(CJ617)))</f>
        <v/>
      </c>
      <c r="CO617">
        <f>IF(OR(CJ$3="",CJ$3&gt;TODAY()),"",IF(AND(CM617="",CN617=""),"",N(CN617)-N(CM617)))</f>
        <v/>
      </c>
      <c r="CS617">
        <f>IF(OR(CQ$3="",CQ$3&gt;TODAY()),"",IF(AND(CQ617="",CR617=""),"",N(CR617)-N(CQ617)))</f>
        <v/>
      </c>
      <c r="CV617">
        <f>IF(OR(CQ$3="",CQ$3&gt;TODAY()),"",IF(AND(CT617="",CU617=""),"",N(CU617)-N(CT617)))</f>
        <v/>
      </c>
      <c r="CZ617">
        <f>IF(OR(CX$3="",CX$3&gt;TODAY()),"",IF(AND(CX617="",CY617=""),"",N(CY617)-N(CX617)))</f>
        <v/>
      </c>
      <c r="DC617">
        <f>IF(OR(CX$3="",CX$3&gt;TODAY()),"",IF(AND(DA617="",DB617=""),"",N(DB617)-N(DA617)))</f>
        <v/>
      </c>
      <c r="DG617">
        <f>IF(OR(DE$3="",DE$3&gt;TODAY()),"",IF(AND(DE617="",DF617=""),"",N(DF617)-N(DE617)))</f>
        <v/>
      </c>
      <c r="DJ617">
        <f>IF(OR(DE$3="",DE$3&gt;TODAY()),"",IF(AND(DH617="",DI617=""),"",N(DI617)-N(DH617)))</f>
        <v/>
      </c>
      <c r="DN617">
        <f>IF(OR(DL$3="",DL$3&gt;TODAY()),"",IF(AND(DL617="",DM617=""),"",N(DM617)-N(DL617)))</f>
        <v/>
      </c>
      <c r="DQ617">
        <f>IF(OR(DL$3="",DL$3&gt;TODAY()),"",IF(AND(DO617="",DP617=""),"",N(DP617)-N(DO617)))</f>
        <v/>
      </c>
      <c r="DU617">
        <f>IF(OR(DS$3="",DS$3&gt;TODAY()),"",IF(AND(DS617="",DT617=""),"",N(DT617)-N(DS617)))</f>
        <v/>
      </c>
      <c r="DX617">
        <f>IF(OR(DS$3="",DS$3&gt;TODAY()),"",IF(AND(DV617="",DW617=""),"",N(DW617)-N(DV617)))</f>
        <v/>
      </c>
      <c r="EB617">
        <f>IF(OR(DZ$3="",DZ$3&gt;TODAY()),"",IF(AND(DZ617="",EA617=""),"",N(EA617)-N(DZ617)))</f>
        <v/>
      </c>
      <c r="EE617">
        <f>IF(OR(DZ$3="",DZ$3&gt;TODAY()),"",IF(AND(EC617="",ED617=""),"",N(ED617)-N(EC617)))</f>
        <v/>
      </c>
      <c r="EI617">
        <f>IF(OR(EG$3="",EG$3&gt;TODAY()),"",IF(AND(EG617="",EH617=""),"",N(EH617)-N(EG617)))</f>
        <v/>
      </c>
      <c r="EL617">
        <f>IF(OR(EG$3="",EG$3&gt;TODAY()),"",IF(AND(EJ617="",EK617=""),"",N(EK617)-N(EJ617)))</f>
        <v/>
      </c>
      <c r="EP617">
        <f>IF(OR(EN$3="",EN$3&gt;TODAY()),"",IF(AND(EN617="",EO617=""),"",N(EO617)-N(EN617)))</f>
        <v/>
      </c>
      <c r="ES617">
        <f>IF(OR(EN$3="",EN$3&gt;TODAY()),"",IF(AND(EQ617="",ER617=""),"",N(ER617)-N(EQ617)))</f>
        <v/>
      </c>
      <c r="EW617">
        <f>IF(OR(EU$3="",EU$3&gt;TODAY()),"",IF(AND(EU617="",EV617=""),"",N(EV617)-N(EU617)))</f>
        <v/>
      </c>
      <c r="EZ617">
        <f>IF(OR(EU$3="",EU$3&gt;TODAY()),"",IF(AND(EX617="",EY617=""),"",N(EY617)-N(EX617)))</f>
        <v/>
      </c>
      <c r="FD617">
        <f>IF(OR(FB$3="",FB$3&gt;TODAY()),"",IF(AND(FB617="",FC617=""),"",N(FC617)-N(FB617)))</f>
        <v/>
      </c>
      <c r="FG617">
        <f>IF(OR(FB$3="",FB$3&gt;TODAY()),"",IF(AND(FE617="",FF617=""),"",N(FF617)-N(FE617)))</f>
        <v/>
      </c>
      <c r="FK617">
        <f>IF(OR(FI$3="",FI$3&gt;TODAY()),"",IF(AND(FI617="",FJ617=""),"",N(FJ617)-N(FI617)))</f>
        <v/>
      </c>
      <c r="FN617">
        <f>IF(OR(FI$3="",FI$3&gt;TODAY()),"",IF(AND(FL617="",FM617=""),"",N(FM617)-N(FL617)))</f>
        <v/>
      </c>
      <c r="FR617">
        <f>IF(OR(FP$3="",FP$3&gt;TODAY()),"",IF(AND(FP617="",FQ617=""),"",N(FQ617)-N(FP617)))</f>
        <v/>
      </c>
      <c r="FU617">
        <f>IF(OR(FP$3="",FP$3&gt;TODAY()),"",IF(AND(FS617="",FT617=""),"",N(FT617)-N(FS617)))</f>
        <v/>
      </c>
      <c r="FY617">
        <f>IF(OR(FW$3="",FW$3&gt;TODAY()),"",IF(AND(FW617="",FX617=""),"",N(FX617)-N(FW617)))</f>
        <v/>
      </c>
      <c r="GB617">
        <f>IF(OR(FW$3="",FW$3&gt;TODAY()),"",IF(AND(FZ617="",GA617=""),"",N(GA617)-N(FZ617)))</f>
        <v/>
      </c>
      <c r="GF617">
        <f>IF(OR(GD$3="",GD$3&gt;TODAY()),"",IF(AND(GD617="",GE617=""),"",N(GE617)-N(GD617)))</f>
        <v/>
      </c>
      <c r="GI617">
        <f>IF(OR(GD$3="",GD$3&gt;TODAY()),"",IF(AND(GG617="",GH617=""),"",N(GH617)-N(GG617)))</f>
        <v/>
      </c>
      <c r="GM617">
        <f>IF(OR(GK$3="",GK$3&gt;TODAY()),"",IF(AND(GK617="",GL617=""),"",N(GL617)-N(GK617)))</f>
        <v/>
      </c>
      <c r="GP617">
        <f>IF(OR(GK$3="",GK$3&gt;TODAY()),"",IF(AND(GN617="",GO617=""),"",N(GO617)-N(GN617)))</f>
        <v/>
      </c>
      <c r="GT617">
        <f>IF(OR(GR$3="",GR$3&gt;TODAY()),"",IF(AND(GR617="",GS617=""),"",N(GS617)-N(GR617)))</f>
        <v/>
      </c>
      <c r="GW617">
        <f>IF(OR(GR$3="",GR$3&gt;TODAY()),"",IF(AND(GU617="",GV617=""),"",N(GV617)-N(GU617)))</f>
        <v/>
      </c>
      <c r="HA617">
        <f>IF(OR(GY$3="",GY$3&gt;TODAY()),"",IF(AND(GY617="",GZ617=""),"",N(GZ617)-N(GY617)))</f>
        <v/>
      </c>
      <c r="HD617">
        <f>IF(OR(GY$3="",GY$3&gt;TODAY()),"",IF(AND(HB617="",HC617=""),"",N(HC617)-N(HB617)))</f>
        <v/>
      </c>
      <c r="HH617">
        <f>IF(OR(HF$3="",HF$3&gt;TODAY()),"",IF(AND(HF617="",HG617=""),"",N(HG617)-N(HF617)))</f>
        <v/>
      </c>
      <c r="HK617">
        <f>IF(OR(HF$3="",HF$3&gt;TODAY()),"",IF(AND(HI617="",HJ617=""),"",N(HJ617)-N(HI617)))</f>
        <v/>
      </c>
      <c r="HO617">
        <f>IF(OR(HM$3="",HM$3&gt;TODAY()),"",IF(AND(HM617="",HN617=""),"",N(HN617)-N(HM617)))</f>
        <v/>
      </c>
      <c r="HR617">
        <f>IF(OR(HM$3="",HM$3&gt;TODAY()),"",IF(AND(HP617="",HQ617=""),"",N(HQ617)-N(HP617)))</f>
        <v/>
      </c>
      <c r="HV617">
        <f>IF(OR(HT$3="",HT$3&gt;TODAY()),"",IF(AND(HT617="",HU617=""),"",N(HU617)-N(HT617)))</f>
        <v/>
      </c>
      <c r="HY617">
        <f>IF(OR(HT$3="",HT$3&gt;TODAY()),"",IF(AND(HW617="",HX617=""),"",N(HX617)-N(HW617)))</f>
        <v/>
      </c>
      <c r="IC617">
        <f>IF(OR(IA$3="",IA$3&gt;TODAY()),"",IF(AND(IA617="",IB617=""),"",N(IB617)-N(IA617)))</f>
        <v/>
      </c>
      <c r="IF617">
        <f>IF(OR(IA$3="",IA$3&gt;TODAY()),"",IF(AND(ID617="",IE617=""),"",N(IE617)-N(ID617)))</f>
        <v/>
      </c>
      <c r="IJ617">
        <f>IF(OR(IH$3="",IH$3&gt;TODAY()),"",IF(AND(IH617="",II617=""),"",N(II617)-N(IH617)))</f>
        <v/>
      </c>
      <c r="IM617">
        <f>IF(OR(IH$3="",IH$3&gt;TODAY()),"",IF(AND(IK617="",IL617=""),"",N(IL617)-N(IK617)))</f>
        <v/>
      </c>
    </row>
    <row r="618">
      <c r="A618" s="21" t="n"/>
      <c r="B618" s="21" t="n"/>
      <c r="C618" s="21" t="n"/>
      <c r="D618" s="21" t="n"/>
      <c r="E618" s="21" t="n"/>
      <c r="F618" s="21" t="n"/>
      <c r="G618" s="21" t="n"/>
      <c r="H618" s="21" t="n"/>
      <c r="I618" s="22" t="n"/>
      <c r="J618" s="22" t="n"/>
      <c r="K618" s="23" t="n"/>
      <c r="L618" s="22" t="n"/>
      <c r="M618" s="22" t="n"/>
      <c r="N618" s="21" t="n"/>
      <c r="O618" s="23" t="n"/>
      <c r="P618" s="23" t="n"/>
      <c r="Q618" s="23" t="n"/>
      <c r="R618" s="23" t="n"/>
      <c r="S618" s="22" t="n"/>
      <c r="T618" s="23" t="n"/>
      <c r="U618" s="23" t="n"/>
      <c r="V618" s="24">
        <f>IF(J618&lt;&gt;"",J618,IF(I618&lt;&gt;"",I618,""))</f>
        <v/>
      </c>
      <c r="W618" s="25">
        <f>IF($E618="","",N(O618)+SUMIFS($AF618:$IN618,$AF$4:$IN$4,"SEW_ACT"))</f>
        <v/>
      </c>
      <c r="X618" s="25">
        <f>IF($E618="","",N(P618)+SUMIFS($AF618:$IN618,$AF$4:$IN$4,"WASH_ACT"))</f>
        <v/>
      </c>
      <c r="Y618" s="25">
        <f>IF($E618="","",W618-X618-N(T618)-N(U618))</f>
        <v/>
      </c>
      <c r="Z618" s="25">
        <f>IF($E618="","",IF(N(K618)-X618&lt;=0.02*N(K618),0,N(K618)-X618))</f>
        <v/>
      </c>
      <c r="AA618" s="24">
        <f>IF($E618="","",IF(S618&lt;&gt;"",S618,IF(N(O618)&gt;0,IF(L618&lt;&gt;"",L618,99999),IFERROR(1/(1/_xlfn.MINIFS($AF$3:$IN$3,$AF$4:$IN$4,"SEW_ACT",$AF618:$IN618,"&gt;0")),99999))))</f>
        <v/>
      </c>
      <c r="AB618" s="26">
        <f>IF(OR($E618="",Z618=0,V618=""),"",1+COUNTIFS(Z$8:Z$707,"&gt;0",V$8:V$707,"&lt;"&amp;V618)+COUNTIFS(Z$8:Z$707,"&gt;0",V$8:V$707,V618,AA$8:AA$707,"&lt;"&amp;AA618)+COUNTIFS(Z$8:Z$707,"&gt;0",V$8:V$707,V618,AA$8:AA$707,AA618,E$8:E$707,"&lt;"&amp;$E618))</f>
        <v/>
      </c>
      <c r="AC618" s="24">
        <f>IF(OR($E618="",Z618=0),"",IFERROR(TODAY()+ROUNDUP(Z618/(SUMIFS($AF618:$IN618,$AF$4:$IN$4,"WASH_ACT")/COUNTIFS($AF$4:$IN$4,"WASH_ACT",$AF618:$IN618,"&gt;0")),0),"no output yet"))</f>
        <v/>
      </c>
      <c r="AD618" s="26">
        <f>IF($E618="","",IFERROR(ROUND(MAX(0,SUMIFS($AF618:$IN618,$AF$4:$IN$4,"SEW_PLAN",$AF$3:$IN$3,"&lt;="&amp;TODAY())-SUMIFS($AF618:$IN618,$AF$4:$IN$4,"SEW_ACT",$AF$3:$IN$3,"&lt;="&amp;TODAY())+N(Q618))/(SUMIFS($AF618:$IN618,$AF$4:$IN$4,"SEW_PLAN")/COUNTIFS($AF$4:$IN$4,"SEW_PLAN",$AF618:$IN618,"&gt;0")),1),0))</f>
        <v/>
      </c>
      <c r="AE618" s="26">
        <f>IF($E618="","",IF(AND(Z618&gt;0,OR(AND(M618&lt;&gt;"",TODAY()&gt;M618),AND(V618&lt;&gt;"",V618-TODAY()&lt;=7))),"Yes","No"))</f>
        <v/>
      </c>
      <c r="AH618">
        <f>IF(OR(AF$3="",AF$3&gt;TODAY()),"",IF(AND(AF618="",AG618=""),"",N(AG618)-N(AF618)))</f>
        <v/>
      </c>
      <c r="AK618">
        <f>IF(OR(AF$3="",AF$3&gt;TODAY()),"",IF(AND(AI618="",AJ618=""),"",N(AJ618)-N(AI618)))</f>
        <v/>
      </c>
      <c r="AO618">
        <f>IF(OR(AM$3="",AM$3&gt;TODAY()),"",IF(AND(AM618="",AN618=""),"",N(AN618)-N(AM618)))</f>
        <v/>
      </c>
      <c r="AR618">
        <f>IF(OR(AM$3="",AM$3&gt;TODAY()),"",IF(AND(AP618="",AQ618=""),"",N(AQ618)-N(AP618)))</f>
        <v/>
      </c>
      <c r="AV618">
        <f>IF(OR(AT$3="",AT$3&gt;TODAY()),"",IF(AND(AT618="",AU618=""),"",N(AU618)-N(AT618)))</f>
        <v/>
      </c>
      <c r="AY618">
        <f>IF(OR(AT$3="",AT$3&gt;TODAY()),"",IF(AND(AW618="",AX618=""),"",N(AX618)-N(AW618)))</f>
        <v/>
      </c>
      <c r="BC618">
        <f>IF(OR(BA$3="",BA$3&gt;TODAY()),"",IF(AND(BA618="",BB618=""),"",N(BB618)-N(BA618)))</f>
        <v/>
      </c>
      <c r="BF618">
        <f>IF(OR(BA$3="",BA$3&gt;TODAY()),"",IF(AND(BD618="",BE618=""),"",N(BE618)-N(BD618)))</f>
        <v/>
      </c>
      <c r="BJ618">
        <f>IF(OR(BH$3="",BH$3&gt;TODAY()),"",IF(AND(BH618="",BI618=""),"",N(BI618)-N(BH618)))</f>
        <v/>
      </c>
      <c r="BM618">
        <f>IF(OR(BH$3="",BH$3&gt;TODAY()),"",IF(AND(BK618="",BL618=""),"",N(BL618)-N(BK618)))</f>
        <v/>
      </c>
      <c r="BQ618">
        <f>IF(OR(BO$3="",BO$3&gt;TODAY()),"",IF(AND(BO618="",BP618=""),"",N(BP618)-N(BO618)))</f>
        <v/>
      </c>
      <c r="BT618">
        <f>IF(OR(BO$3="",BO$3&gt;TODAY()),"",IF(AND(BR618="",BS618=""),"",N(BS618)-N(BR618)))</f>
        <v/>
      </c>
      <c r="BX618">
        <f>IF(OR(BV$3="",BV$3&gt;TODAY()),"",IF(AND(BV618="",BW618=""),"",N(BW618)-N(BV618)))</f>
        <v/>
      </c>
      <c r="CA618">
        <f>IF(OR(BV$3="",BV$3&gt;TODAY()),"",IF(AND(BY618="",BZ618=""),"",N(BZ618)-N(BY618)))</f>
        <v/>
      </c>
      <c r="CE618">
        <f>IF(OR(CC$3="",CC$3&gt;TODAY()),"",IF(AND(CC618="",CD618=""),"",N(CD618)-N(CC618)))</f>
        <v/>
      </c>
      <c r="CH618">
        <f>IF(OR(CC$3="",CC$3&gt;TODAY()),"",IF(AND(CF618="",CG618=""),"",N(CG618)-N(CF618)))</f>
        <v/>
      </c>
      <c r="CL618">
        <f>IF(OR(CJ$3="",CJ$3&gt;TODAY()),"",IF(AND(CJ618="",CK618=""),"",N(CK618)-N(CJ618)))</f>
        <v/>
      </c>
      <c r="CO618">
        <f>IF(OR(CJ$3="",CJ$3&gt;TODAY()),"",IF(AND(CM618="",CN618=""),"",N(CN618)-N(CM618)))</f>
        <v/>
      </c>
      <c r="CS618">
        <f>IF(OR(CQ$3="",CQ$3&gt;TODAY()),"",IF(AND(CQ618="",CR618=""),"",N(CR618)-N(CQ618)))</f>
        <v/>
      </c>
      <c r="CV618">
        <f>IF(OR(CQ$3="",CQ$3&gt;TODAY()),"",IF(AND(CT618="",CU618=""),"",N(CU618)-N(CT618)))</f>
        <v/>
      </c>
      <c r="CZ618">
        <f>IF(OR(CX$3="",CX$3&gt;TODAY()),"",IF(AND(CX618="",CY618=""),"",N(CY618)-N(CX618)))</f>
        <v/>
      </c>
      <c r="DC618">
        <f>IF(OR(CX$3="",CX$3&gt;TODAY()),"",IF(AND(DA618="",DB618=""),"",N(DB618)-N(DA618)))</f>
        <v/>
      </c>
      <c r="DG618">
        <f>IF(OR(DE$3="",DE$3&gt;TODAY()),"",IF(AND(DE618="",DF618=""),"",N(DF618)-N(DE618)))</f>
        <v/>
      </c>
      <c r="DJ618">
        <f>IF(OR(DE$3="",DE$3&gt;TODAY()),"",IF(AND(DH618="",DI618=""),"",N(DI618)-N(DH618)))</f>
        <v/>
      </c>
      <c r="DN618">
        <f>IF(OR(DL$3="",DL$3&gt;TODAY()),"",IF(AND(DL618="",DM618=""),"",N(DM618)-N(DL618)))</f>
        <v/>
      </c>
      <c r="DQ618">
        <f>IF(OR(DL$3="",DL$3&gt;TODAY()),"",IF(AND(DO618="",DP618=""),"",N(DP618)-N(DO618)))</f>
        <v/>
      </c>
      <c r="DU618">
        <f>IF(OR(DS$3="",DS$3&gt;TODAY()),"",IF(AND(DS618="",DT618=""),"",N(DT618)-N(DS618)))</f>
        <v/>
      </c>
      <c r="DX618">
        <f>IF(OR(DS$3="",DS$3&gt;TODAY()),"",IF(AND(DV618="",DW618=""),"",N(DW618)-N(DV618)))</f>
        <v/>
      </c>
      <c r="EB618">
        <f>IF(OR(DZ$3="",DZ$3&gt;TODAY()),"",IF(AND(DZ618="",EA618=""),"",N(EA618)-N(DZ618)))</f>
        <v/>
      </c>
      <c r="EE618">
        <f>IF(OR(DZ$3="",DZ$3&gt;TODAY()),"",IF(AND(EC618="",ED618=""),"",N(ED618)-N(EC618)))</f>
        <v/>
      </c>
      <c r="EI618">
        <f>IF(OR(EG$3="",EG$3&gt;TODAY()),"",IF(AND(EG618="",EH618=""),"",N(EH618)-N(EG618)))</f>
        <v/>
      </c>
      <c r="EL618">
        <f>IF(OR(EG$3="",EG$3&gt;TODAY()),"",IF(AND(EJ618="",EK618=""),"",N(EK618)-N(EJ618)))</f>
        <v/>
      </c>
      <c r="EP618">
        <f>IF(OR(EN$3="",EN$3&gt;TODAY()),"",IF(AND(EN618="",EO618=""),"",N(EO618)-N(EN618)))</f>
        <v/>
      </c>
      <c r="ES618">
        <f>IF(OR(EN$3="",EN$3&gt;TODAY()),"",IF(AND(EQ618="",ER618=""),"",N(ER618)-N(EQ618)))</f>
        <v/>
      </c>
      <c r="EW618">
        <f>IF(OR(EU$3="",EU$3&gt;TODAY()),"",IF(AND(EU618="",EV618=""),"",N(EV618)-N(EU618)))</f>
        <v/>
      </c>
      <c r="EZ618">
        <f>IF(OR(EU$3="",EU$3&gt;TODAY()),"",IF(AND(EX618="",EY618=""),"",N(EY618)-N(EX618)))</f>
        <v/>
      </c>
      <c r="FD618">
        <f>IF(OR(FB$3="",FB$3&gt;TODAY()),"",IF(AND(FB618="",FC618=""),"",N(FC618)-N(FB618)))</f>
        <v/>
      </c>
      <c r="FG618">
        <f>IF(OR(FB$3="",FB$3&gt;TODAY()),"",IF(AND(FE618="",FF618=""),"",N(FF618)-N(FE618)))</f>
        <v/>
      </c>
      <c r="FK618">
        <f>IF(OR(FI$3="",FI$3&gt;TODAY()),"",IF(AND(FI618="",FJ618=""),"",N(FJ618)-N(FI618)))</f>
        <v/>
      </c>
      <c r="FN618">
        <f>IF(OR(FI$3="",FI$3&gt;TODAY()),"",IF(AND(FL618="",FM618=""),"",N(FM618)-N(FL618)))</f>
        <v/>
      </c>
      <c r="FR618">
        <f>IF(OR(FP$3="",FP$3&gt;TODAY()),"",IF(AND(FP618="",FQ618=""),"",N(FQ618)-N(FP618)))</f>
        <v/>
      </c>
      <c r="FU618">
        <f>IF(OR(FP$3="",FP$3&gt;TODAY()),"",IF(AND(FS618="",FT618=""),"",N(FT618)-N(FS618)))</f>
        <v/>
      </c>
      <c r="FY618">
        <f>IF(OR(FW$3="",FW$3&gt;TODAY()),"",IF(AND(FW618="",FX618=""),"",N(FX618)-N(FW618)))</f>
        <v/>
      </c>
      <c r="GB618">
        <f>IF(OR(FW$3="",FW$3&gt;TODAY()),"",IF(AND(FZ618="",GA618=""),"",N(GA618)-N(FZ618)))</f>
        <v/>
      </c>
      <c r="GF618">
        <f>IF(OR(GD$3="",GD$3&gt;TODAY()),"",IF(AND(GD618="",GE618=""),"",N(GE618)-N(GD618)))</f>
        <v/>
      </c>
      <c r="GI618">
        <f>IF(OR(GD$3="",GD$3&gt;TODAY()),"",IF(AND(GG618="",GH618=""),"",N(GH618)-N(GG618)))</f>
        <v/>
      </c>
      <c r="GM618">
        <f>IF(OR(GK$3="",GK$3&gt;TODAY()),"",IF(AND(GK618="",GL618=""),"",N(GL618)-N(GK618)))</f>
        <v/>
      </c>
      <c r="GP618">
        <f>IF(OR(GK$3="",GK$3&gt;TODAY()),"",IF(AND(GN618="",GO618=""),"",N(GO618)-N(GN618)))</f>
        <v/>
      </c>
      <c r="GT618">
        <f>IF(OR(GR$3="",GR$3&gt;TODAY()),"",IF(AND(GR618="",GS618=""),"",N(GS618)-N(GR618)))</f>
        <v/>
      </c>
      <c r="GW618">
        <f>IF(OR(GR$3="",GR$3&gt;TODAY()),"",IF(AND(GU618="",GV618=""),"",N(GV618)-N(GU618)))</f>
        <v/>
      </c>
      <c r="HA618">
        <f>IF(OR(GY$3="",GY$3&gt;TODAY()),"",IF(AND(GY618="",GZ618=""),"",N(GZ618)-N(GY618)))</f>
        <v/>
      </c>
      <c r="HD618">
        <f>IF(OR(GY$3="",GY$3&gt;TODAY()),"",IF(AND(HB618="",HC618=""),"",N(HC618)-N(HB618)))</f>
        <v/>
      </c>
      <c r="HH618">
        <f>IF(OR(HF$3="",HF$3&gt;TODAY()),"",IF(AND(HF618="",HG618=""),"",N(HG618)-N(HF618)))</f>
        <v/>
      </c>
      <c r="HK618">
        <f>IF(OR(HF$3="",HF$3&gt;TODAY()),"",IF(AND(HI618="",HJ618=""),"",N(HJ618)-N(HI618)))</f>
        <v/>
      </c>
      <c r="HO618">
        <f>IF(OR(HM$3="",HM$3&gt;TODAY()),"",IF(AND(HM618="",HN618=""),"",N(HN618)-N(HM618)))</f>
        <v/>
      </c>
      <c r="HR618">
        <f>IF(OR(HM$3="",HM$3&gt;TODAY()),"",IF(AND(HP618="",HQ618=""),"",N(HQ618)-N(HP618)))</f>
        <v/>
      </c>
      <c r="HV618">
        <f>IF(OR(HT$3="",HT$3&gt;TODAY()),"",IF(AND(HT618="",HU618=""),"",N(HU618)-N(HT618)))</f>
        <v/>
      </c>
      <c r="HY618">
        <f>IF(OR(HT$3="",HT$3&gt;TODAY()),"",IF(AND(HW618="",HX618=""),"",N(HX618)-N(HW618)))</f>
        <v/>
      </c>
      <c r="IC618">
        <f>IF(OR(IA$3="",IA$3&gt;TODAY()),"",IF(AND(IA618="",IB618=""),"",N(IB618)-N(IA618)))</f>
        <v/>
      </c>
      <c r="IF618">
        <f>IF(OR(IA$3="",IA$3&gt;TODAY()),"",IF(AND(ID618="",IE618=""),"",N(IE618)-N(ID618)))</f>
        <v/>
      </c>
      <c r="IJ618">
        <f>IF(OR(IH$3="",IH$3&gt;TODAY()),"",IF(AND(IH618="",II618=""),"",N(II618)-N(IH618)))</f>
        <v/>
      </c>
      <c r="IM618">
        <f>IF(OR(IH$3="",IH$3&gt;TODAY()),"",IF(AND(IK618="",IL618=""),"",N(IL618)-N(IK618)))</f>
        <v/>
      </c>
    </row>
    <row r="619">
      <c r="A619" s="21" t="n"/>
      <c r="B619" s="21" t="n"/>
      <c r="C619" s="21" t="n"/>
      <c r="D619" s="21" t="n"/>
      <c r="E619" s="21" t="n"/>
      <c r="F619" s="21" t="n"/>
      <c r="G619" s="21" t="n"/>
      <c r="H619" s="21" t="n"/>
      <c r="I619" s="22" t="n"/>
      <c r="J619" s="22" t="n"/>
      <c r="K619" s="23" t="n"/>
      <c r="L619" s="22" t="n"/>
      <c r="M619" s="22" t="n"/>
      <c r="N619" s="21" t="n"/>
      <c r="O619" s="23" t="n"/>
      <c r="P619" s="23" t="n"/>
      <c r="Q619" s="23" t="n"/>
      <c r="R619" s="23" t="n"/>
      <c r="S619" s="22" t="n"/>
      <c r="T619" s="23" t="n"/>
      <c r="U619" s="23" t="n"/>
      <c r="V619" s="24">
        <f>IF(J619&lt;&gt;"",J619,IF(I619&lt;&gt;"",I619,""))</f>
        <v/>
      </c>
      <c r="W619" s="25">
        <f>IF($E619="","",N(O619)+SUMIFS($AF619:$IN619,$AF$4:$IN$4,"SEW_ACT"))</f>
        <v/>
      </c>
      <c r="X619" s="25">
        <f>IF($E619="","",N(P619)+SUMIFS($AF619:$IN619,$AF$4:$IN$4,"WASH_ACT"))</f>
        <v/>
      </c>
      <c r="Y619" s="25">
        <f>IF($E619="","",W619-X619-N(T619)-N(U619))</f>
        <v/>
      </c>
      <c r="Z619" s="25">
        <f>IF($E619="","",IF(N(K619)-X619&lt;=0.02*N(K619),0,N(K619)-X619))</f>
        <v/>
      </c>
      <c r="AA619" s="24">
        <f>IF($E619="","",IF(S619&lt;&gt;"",S619,IF(N(O619)&gt;0,IF(L619&lt;&gt;"",L619,99999),IFERROR(1/(1/_xlfn.MINIFS($AF$3:$IN$3,$AF$4:$IN$4,"SEW_ACT",$AF619:$IN619,"&gt;0")),99999))))</f>
        <v/>
      </c>
      <c r="AB619" s="26">
        <f>IF(OR($E619="",Z619=0,V619=""),"",1+COUNTIFS(Z$8:Z$707,"&gt;0",V$8:V$707,"&lt;"&amp;V619)+COUNTIFS(Z$8:Z$707,"&gt;0",V$8:V$707,V619,AA$8:AA$707,"&lt;"&amp;AA619)+COUNTIFS(Z$8:Z$707,"&gt;0",V$8:V$707,V619,AA$8:AA$707,AA619,E$8:E$707,"&lt;"&amp;$E619))</f>
        <v/>
      </c>
      <c r="AC619" s="24">
        <f>IF(OR($E619="",Z619=0),"",IFERROR(TODAY()+ROUNDUP(Z619/(SUMIFS($AF619:$IN619,$AF$4:$IN$4,"WASH_ACT")/COUNTIFS($AF$4:$IN$4,"WASH_ACT",$AF619:$IN619,"&gt;0")),0),"no output yet"))</f>
        <v/>
      </c>
      <c r="AD619" s="26">
        <f>IF($E619="","",IFERROR(ROUND(MAX(0,SUMIFS($AF619:$IN619,$AF$4:$IN$4,"SEW_PLAN",$AF$3:$IN$3,"&lt;="&amp;TODAY())-SUMIFS($AF619:$IN619,$AF$4:$IN$4,"SEW_ACT",$AF$3:$IN$3,"&lt;="&amp;TODAY())+N(Q619))/(SUMIFS($AF619:$IN619,$AF$4:$IN$4,"SEW_PLAN")/COUNTIFS($AF$4:$IN$4,"SEW_PLAN",$AF619:$IN619,"&gt;0")),1),0))</f>
        <v/>
      </c>
      <c r="AE619" s="26">
        <f>IF($E619="","",IF(AND(Z619&gt;0,OR(AND(M619&lt;&gt;"",TODAY()&gt;M619),AND(V619&lt;&gt;"",V619-TODAY()&lt;=7))),"Yes","No"))</f>
        <v/>
      </c>
      <c r="AH619">
        <f>IF(OR(AF$3="",AF$3&gt;TODAY()),"",IF(AND(AF619="",AG619=""),"",N(AG619)-N(AF619)))</f>
        <v/>
      </c>
      <c r="AK619">
        <f>IF(OR(AF$3="",AF$3&gt;TODAY()),"",IF(AND(AI619="",AJ619=""),"",N(AJ619)-N(AI619)))</f>
        <v/>
      </c>
      <c r="AO619">
        <f>IF(OR(AM$3="",AM$3&gt;TODAY()),"",IF(AND(AM619="",AN619=""),"",N(AN619)-N(AM619)))</f>
        <v/>
      </c>
      <c r="AR619">
        <f>IF(OR(AM$3="",AM$3&gt;TODAY()),"",IF(AND(AP619="",AQ619=""),"",N(AQ619)-N(AP619)))</f>
        <v/>
      </c>
      <c r="AV619">
        <f>IF(OR(AT$3="",AT$3&gt;TODAY()),"",IF(AND(AT619="",AU619=""),"",N(AU619)-N(AT619)))</f>
        <v/>
      </c>
      <c r="AY619">
        <f>IF(OR(AT$3="",AT$3&gt;TODAY()),"",IF(AND(AW619="",AX619=""),"",N(AX619)-N(AW619)))</f>
        <v/>
      </c>
      <c r="BC619">
        <f>IF(OR(BA$3="",BA$3&gt;TODAY()),"",IF(AND(BA619="",BB619=""),"",N(BB619)-N(BA619)))</f>
        <v/>
      </c>
      <c r="BF619">
        <f>IF(OR(BA$3="",BA$3&gt;TODAY()),"",IF(AND(BD619="",BE619=""),"",N(BE619)-N(BD619)))</f>
        <v/>
      </c>
      <c r="BJ619">
        <f>IF(OR(BH$3="",BH$3&gt;TODAY()),"",IF(AND(BH619="",BI619=""),"",N(BI619)-N(BH619)))</f>
        <v/>
      </c>
      <c r="BM619">
        <f>IF(OR(BH$3="",BH$3&gt;TODAY()),"",IF(AND(BK619="",BL619=""),"",N(BL619)-N(BK619)))</f>
        <v/>
      </c>
      <c r="BQ619">
        <f>IF(OR(BO$3="",BO$3&gt;TODAY()),"",IF(AND(BO619="",BP619=""),"",N(BP619)-N(BO619)))</f>
        <v/>
      </c>
      <c r="BT619">
        <f>IF(OR(BO$3="",BO$3&gt;TODAY()),"",IF(AND(BR619="",BS619=""),"",N(BS619)-N(BR619)))</f>
        <v/>
      </c>
      <c r="BX619">
        <f>IF(OR(BV$3="",BV$3&gt;TODAY()),"",IF(AND(BV619="",BW619=""),"",N(BW619)-N(BV619)))</f>
        <v/>
      </c>
      <c r="CA619">
        <f>IF(OR(BV$3="",BV$3&gt;TODAY()),"",IF(AND(BY619="",BZ619=""),"",N(BZ619)-N(BY619)))</f>
        <v/>
      </c>
      <c r="CE619">
        <f>IF(OR(CC$3="",CC$3&gt;TODAY()),"",IF(AND(CC619="",CD619=""),"",N(CD619)-N(CC619)))</f>
        <v/>
      </c>
      <c r="CH619">
        <f>IF(OR(CC$3="",CC$3&gt;TODAY()),"",IF(AND(CF619="",CG619=""),"",N(CG619)-N(CF619)))</f>
        <v/>
      </c>
      <c r="CL619">
        <f>IF(OR(CJ$3="",CJ$3&gt;TODAY()),"",IF(AND(CJ619="",CK619=""),"",N(CK619)-N(CJ619)))</f>
        <v/>
      </c>
      <c r="CO619">
        <f>IF(OR(CJ$3="",CJ$3&gt;TODAY()),"",IF(AND(CM619="",CN619=""),"",N(CN619)-N(CM619)))</f>
        <v/>
      </c>
      <c r="CS619">
        <f>IF(OR(CQ$3="",CQ$3&gt;TODAY()),"",IF(AND(CQ619="",CR619=""),"",N(CR619)-N(CQ619)))</f>
        <v/>
      </c>
      <c r="CV619">
        <f>IF(OR(CQ$3="",CQ$3&gt;TODAY()),"",IF(AND(CT619="",CU619=""),"",N(CU619)-N(CT619)))</f>
        <v/>
      </c>
      <c r="CZ619">
        <f>IF(OR(CX$3="",CX$3&gt;TODAY()),"",IF(AND(CX619="",CY619=""),"",N(CY619)-N(CX619)))</f>
        <v/>
      </c>
      <c r="DC619">
        <f>IF(OR(CX$3="",CX$3&gt;TODAY()),"",IF(AND(DA619="",DB619=""),"",N(DB619)-N(DA619)))</f>
        <v/>
      </c>
      <c r="DG619">
        <f>IF(OR(DE$3="",DE$3&gt;TODAY()),"",IF(AND(DE619="",DF619=""),"",N(DF619)-N(DE619)))</f>
        <v/>
      </c>
      <c r="DJ619">
        <f>IF(OR(DE$3="",DE$3&gt;TODAY()),"",IF(AND(DH619="",DI619=""),"",N(DI619)-N(DH619)))</f>
        <v/>
      </c>
      <c r="DN619">
        <f>IF(OR(DL$3="",DL$3&gt;TODAY()),"",IF(AND(DL619="",DM619=""),"",N(DM619)-N(DL619)))</f>
        <v/>
      </c>
      <c r="DQ619">
        <f>IF(OR(DL$3="",DL$3&gt;TODAY()),"",IF(AND(DO619="",DP619=""),"",N(DP619)-N(DO619)))</f>
        <v/>
      </c>
      <c r="DU619">
        <f>IF(OR(DS$3="",DS$3&gt;TODAY()),"",IF(AND(DS619="",DT619=""),"",N(DT619)-N(DS619)))</f>
        <v/>
      </c>
      <c r="DX619">
        <f>IF(OR(DS$3="",DS$3&gt;TODAY()),"",IF(AND(DV619="",DW619=""),"",N(DW619)-N(DV619)))</f>
        <v/>
      </c>
      <c r="EB619">
        <f>IF(OR(DZ$3="",DZ$3&gt;TODAY()),"",IF(AND(DZ619="",EA619=""),"",N(EA619)-N(DZ619)))</f>
        <v/>
      </c>
      <c r="EE619">
        <f>IF(OR(DZ$3="",DZ$3&gt;TODAY()),"",IF(AND(EC619="",ED619=""),"",N(ED619)-N(EC619)))</f>
        <v/>
      </c>
      <c r="EI619">
        <f>IF(OR(EG$3="",EG$3&gt;TODAY()),"",IF(AND(EG619="",EH619=""),"",N(EH619)-N(EG619)))</f>
        <v/>
      </c>
      <c r="EL619">
        <f>IF(OR(EG$3="",EG$3&gt;TODAY()),"",IF(AND(EJ619="",EK619=""),"",N(EK619)-N(EJ619)))</f>
        <v/>
      </c>
      <c r="EP619">
        <f>IF(OR(EN$3="",EN$3&gt;TODAY()),"",IF(AND(EN619="",EO619=""),"",N(EO619)-N(EN619)))</f>
        <v/>
      </c>
      <c r="ES619">
        <f>IF(OR(EN$3="",EN$3&gt;TODAY()),"",IF(AND(EQ619="",ER619=""),"",N(ER619)-N(EQ619)))</f>
        <v/>
      </c>
      <c r="EW619">
        <f>IF(OR(EU$3="",EU$3&gt;TODAY()),"",IF(AND(EU619="",EV619=""),"",N(EV619)-N(EU619)))</f>
        <v/>
      </c>
      <c r="EZ619">
        <f>IF(OR(EU$3="",EU$3&gt;TODAY()),"",IF(AND(EX619="",EY619=""),"",N(EY619)-N(EX619)))</f>
        <v/>
      </c>
      <c r="FD619">
        <f>IF(OR(FB$3="",FB$3&gt;TODAY()),"",IF(AND(FB619="",FC619=""),"",N(FC619)-N(FB619)))</f>
        <v/>
      </c>
      <c r="FG619">
        <f>IF(OR(FB$3="",FB$3&gt;TODAY()),"",IF(AND(FE619="",FF619=""),"",N(FF619)-N(FE619)))</f>
        <v/>
      </c>
      <c r="FK619">
        <f>IF(OR(FI$3="",FI$3&gt;TODAY()),"",IF(AND(FI619="",FJ619=""),"",N(FJ619)-N(FI619)))</f>
        <v/>
      </c>
      <c r="FN619">
        <f>IF(OR(FI$3="",FI$3&gt;TODAY()),"",IF(AND(FL619="",FM619=""),"",N(FM619)-N(FL619)))</f>
        <v/>
      </c>
      <c r="FR619">
        <f>IF(OR(FP$3="",FP$3&gt;TODAY()),"",IF(AND(FP619="",FQ619=""),"",N(FQ619)-N(FP619)))</f>
        <v/>
      </c>
      <c r="FU619">
        <f>IF(OR(FP$3="",FP$3&gt;TODAY()),"",IF(AND(FS619="",FT619=""),"",N(FT619)-N(FS619)))</f>
        <v/>
      </c>
      <c r="FY619">
        <f>IF(OR(FW$3="",FW$3&gt;TODAY()),"",IF(AND(FW619="",FX619=""),"",N(FX619)-N(FW619)))</f>
        <v/>
      </c>
      <c r="GB619">
        <f>IF(OR(FW$3="",FW$3&gt;TODAY()),"",IF(AND(FZ619="",GA619=""),"",N(GA619)-N(FZ619)))</f>
        <v/>
      </c>
      <c r="GF619">
        <f>IF(OR(GD$3="",GD$3&gt;TODAY()),"",IF(AND(GD619="",GE619=""),"",N(GE619)-N(GD619)))</f>
        <v/>
      </c>
      <c r="GI619">
        <f>IF(OR(GD$3="",GD$3&gt;TODAY()),"",IF(AND(GG619="",GH619=""),"",N(GH619)-N(GG619)))</f>
        <v/>
      </c>
      <c r="GM619">
        <f>IF(OR(GK$3="",GK$3&gt;TODAY()),"",IF(AND(GK619="",GL619=""),"",N(GL619)-N(GK619)))</f>
        <v/>
      </c>
      <c r="GP619">
        <f>IF(OR(GK$3="",GK$3&gt;TODAY()),"",IF(AND(GN619="",GO619=""),"",N(GO619)-N(GN619)))</f>
        <v/>
      </c>
      <c r="GT619">
        <f>IF(OR(GR$3="",GR$3&gt;TODAY()),"",IF(AND(GR619="",GS619=""),"",N(GS619)-N(GR619)))</f>
        <v/>
      </c>
      <c r="GW619">
        <f>IF(OR(GR$3="",GR$3&gt;TODAY()),"",IF(AND(GU619="",GV619=""),"",N(GV619)-N(GU619)))</f>
        <v/>
      </c>
      <c r="HA619">
        <f>IF(OR(GY$3="",GY$3&gt;TODAY()),"",IF(AND(GY619="",GZ619=""),"",N(GZ619)-N(GY619)))</f>
        <v/>
      </c>
      <c r="HD619">
        <f>IF(OR(GY$3="",GY$3&gt;TODAY()),"",IF(AND(HB619="",HC619=""),"",N(HC619)-N(HB619)))</f>
        <v/>
      </c>
      <c r="HH619">
        <f>IF(OR(HF$3="",HF$3&gt;TODAY()),"",IF(AND(HF619="",HG619=""),"",N(HG619)-N(HF619)))</f>
        <v/>
      </c>
      <c r="HK619">
        <f>IF(OR(HF$3="",HF$3&gt;TODAY()),"",IF(AND(HI619="",HJ619=""),"",N(HJ619)-N(HI619)))</f>
        <v/>
      </c>
      <c r="HO619">
        <f>IF(OR(HM$3="",HM$3&gt;TODAY()),"",IF(AND(HM619="",HN619=""),"",N(HN619)-N(HM619)))</f>
        <v/>
      </c>
      <c r="HR619">
        <f>IF(OR(HM$3="",HM$3&gt;TODAY()),"",IF(AND(HP619="",HQ619=""),"",N(HQ619)-N(HP619)))</f>
        <v/>
      </c>
      <c r="HV619">
        <f>IF(OR(HT$3="",HT$3&gt;TODAY()),"",IF(AND(HT619="",HU619=""),"",N(HU619)-N(HT619)))</f>
        <v/>
      </c>
      <c r="HY619">
        <f>IF(OR(HT$3="",HT$3&gt;TODAY()),"",IF(AND(HW619="",HX619=""),"",N(HX619)-N(HW619)))</f>
        <v/>
      </c>
      <c r="IC619">
        <f>IF(OR(IA$3="",IA$3&gt;TODAY()),"",IF(AND(IA619="",IB619=""),"",N(IB619)-N(IA619)))</f>
        <v/>
      </c>
      <c r="IF619">
        <f>IF(OR(IA$3="",IA$3&gt;TODAY()),"",IF(AND(ID619="",IE619=""),"",N(IE619)-N(ID619)))</f>
        <v/>
      </c>
      <c r="IJ619">
        <f>IF(OR(IH$3="",IH$3&gt;TODAY()),"",IF(AND(IH619="",II619=""),"",N(II619)-N(IH619)))</f>
        <v/>
      </c>
      <c r="IM619">
        <f>IF(OR(IH$3="",IH$3&gt;TODAY()),"",IF(AND(IK619="",IL619=""),"",N(IL619)-N(IK619)))</f>
        <v/>
      </c>
    </row>
    <row r="620">
      <c r="A620" s="21" t="n"/>
      <c r="B620" s="21" t="n"/>
      <c r="C620" s="21" t="n"/>
      <c r="D620" s="21" t="n"/>
      <c r="E620" s="21" t="n"/>
      <c r="F620" s="21" t="n"/>
      <c r="G620" s="21" t="n"/>
      <c r="H620" s="21" t="n"/>
      <c r="I620" s="22" t="n"/>
      <c r="J620" s="22" t="n"/>
      <c r="K620" s="23" t="n"/>
      <c r="L620" s="22" t="n"/>
      <c r="M620" s="22" t="n"/>
      <c r="N620" s="21" t="n"/>
      <c r="O620" s="23" t="n"/>
      <c r="P620" s="23" t="n"/>
      <c r="Q620" s="23" t="n"/>
      <c r="R620" s="23" t="n"/>
      <c r="S620" s="22" t="n"/>
      <c r="T620" s="23" t="n"/>
      <c r="U620" s="23" t="n"/>
      <c r="V620" s="24">
        <f>IF(J620&lt;&gt;"",J620,IF(I620&lt;&gt;"",I620,""))</f>
        <v/>
      </c>
      <c r="W620" s="25">
        <f>IF($E620="","",N(O620)+SUMIFS($AF620:$IN620,$AF$4:$IN$4,"SEW_ACT"))</f>
        <v/>
      </c>
      <c r="X620" s="25">
        <f>IF($E620="","",N(P620)+SUMIFS($AF620:$IN620,$AF$4:$IN$4,"WASH_ACT"))</f>
        <v/>
      </c>
      <c r="Y620" s="25">
        <f>IF($E620="","",W620-X620-N(T620)-N(U620))</f>
        <v/>
      </c>
      <c r="Z620" s="25">
        <f>IF($E620="","",IF(N(K620)-X620&lt;=0.02*N(K620),0,N(K620)-X620))</f>
        <v/>
      </c>
      <c r="AA620" s="24">
        <f>IF($E620="","",IF(S620&lt;&gt;"",S620,IF(N(O620)&gt;0,IF(L620&lt;&gt;"",L620,99999),IFERROR(1/(1/_xlfn.MINIFS($AF$3:$IN$3,$AF$4:$IN$4,"SEW_ACT",$AF620:$IN620,"&gt;0")),99999))))</f>
        <v/>
      </c>
      <c r="AB620" s="26">
        <f>IF(OR($E620="",Z620=0,V620=""),"",1+COUNTIFS(Z$8:Z$707,"&gt;0",V$8:V$707,"&lt;"&amp;V620)+COUNTIFS(Z$8:Z$707,"&gt;0",V$8:V$707,V620,AA$8:AA$707,"&lt;"&amp;AA620)+COUNTIFS(Z$8:Z$707,"&gt;0",V$8:V$707,V620,AA$8:AA$707,AA620,E$8:E$707,"&lt;"&amp;$E620))</f>
        <v/>
      </c>
      <c r="AC620" s="24">
        <f>IF(OR($E620="",Z620=0),"",IFERROR(TODAY()+ROUNDUP(Z620/(SUMIFS($AF620:$IN620,$AF$4:$IN$4,"WASH_ACT")/COUNTIFS($AF$4:$IN$4,"WASH_ACT",$AF620:$IN620,"&gt;0")),0),"no output yet"))</f>
        <v/>
      </c>
      <c r="AD620" s="26">
        <f>IF($E620="","",IFERROR(ROUND(MAX(0,SUMIFS($AF620:$IN620,$AF$4:$IN$4,"SEW_PLAN",$AF$3:$IN$3,"&lt;="&amp;TODAY())-SUMIFS($AF620:$IN620,$AF$4:$IN$4,"SEW_ACT",$AF$3:$IN$3,"&lt;="&amp;TODAY())+N(Q620))/(SUMIFS($AF620:$IN620,$AF$4:$IN$4,"SEW_PLAN")/COUNTIFS($AF$4:$IN$4,"SEW_PLAN",$AF620:$IN620,"&gt;0")),1),0))</f>
        <v/>
      </c>
      <c r="AE620" s="26">
        <f>IF($E620="","",IF(AND(Z620&gt;0,OR(AND(M620&lt;&gt;"",TODAY()&gt;M620),AND(V620&lt;&gt;"",V620-TODAY()&lt;=7))),"Yes","No"))</f>
        <v/>
      </c>
      <c r="AH620">
        <f>IF(OR(AF$3="",AF$3&gt;TODAY()),"",IF(AND(AF620="",AG620=""),"",N(AG620)-N(AF620)))</f>
        <v/>
      </c>
      <c r="AK620">
        <f>IF(OR(AF$3="",AF$3&gt;TODAY()),"",IF(AND(AI620="",AJ620=""),"",N(AJ620)-N(AI620)))</f>
        <v/>
      </c>
      <c r="AO620">
        <f>IF(OR(AM$3="",AM$3&gt;TODAY()),"",IF(AND(AM620="",AN620=""),"",N(AN620)-N(AM620)))</f>
        <v/>
      </c>
      <c r="AR620">
        <f>IF(OR(AM$3="",AM$3&gt;TODAY()),"",IF(AND(AP620="",AQ620=""),"",N(AQ620)-N(AP620)))</f>
        <v/>
      </c>
      <c r="AV620">
        <f>IF(OR(AT$3="",AT$3&gt;TODAY()),"",IF(AND(AT620="",AU620=""),"",N(AU620)-N(AT620)))</f>
        <v/>
      </c>
      <c r="AY620">
        <f>IF(OR(AT$3="",AT$3&gt;TODAY()),"",IF(AND(AW620="",AX620=""),"",N(AX620)-N(AW620)))</f>
        <v/>
      </c>
      <c r="BC620">
        <f>IF(OR(BA$3="",BA$3&gt;TODAY()),"",IF(AND(BA620="",BB620=""),"",N(BB620)-N(BA620)))</f>
        <v/>
      </c>
      <c r="BF620">
        <f>IF(OR(BA$3="",BA$3&gt;TODAY()),"",IF(AND(BD620="",BE620=""),"",N(BE620)-N(BD620)))</f>
        <v/>
      </c>
      <c r="BJ620">
        <f>IF(OR(BH$3="",BH$3&gt;TODAY()),"",IF(AND(BH620="",BI620=""),"",N(BI620)-N(BH620)))</f>
        <v/>
      </c>
      <c r="BM620">
        <f>IF(OR(BH$3="",BH$3&gt;TODAY()),"",IF(AND(BK620="",BL620=""),"",N(BL620)-N(BK620)))</f>
        <v/>
      </c>
      <c r="BQ620">
        <f>IF(OR(BO$3="",BO$3&gt;TODAY()),"",IF(AND(BO620="",BP620=""),"",N(BP620)-N(BO620)))</f>
        <v/>
      </c>
      <c r="BT620">
        <f>IF(OR(BO$3="",BO$3&gt;TODAY()),"",IF(AND(BR620="",BS620=""),"",N(BS620)-N(BR620)))</f>
        <v/>
      </c>
      <c r="BX620">
        <f>IF(OR(BV$3="",BV$3&gt;TODAY()),"",IF(AND(BV620="",BW620=""),"",N(BW620)-N(BV620)))</f>
        <v/>
      </c>
      <c r="CA620">
        <f>IF(OR(BV$3="",BV$3&gt;TODAY()),"",IF(AND(BY620="",BZ620=""),"",N(BZ620)-N(BY620)))</f>
        <v/>
      </c>
      <c r="CE620">
        <f>IF(OR(CC$3="",CC$3&gt;TODAY()),"",IF(AND(CC620="",CD620=""),"",N(CD620)-N(CC620)))</f>
        <v/>
      </c>
      <c r="CH620">
        <f>IF(OR(CC$3="",CC$3&gt;TODAY()),"",IF(AND(CF620="",CG620=""),"",N(CG620)-N(CF620)))</f>
        <v/>
      </c>
      <c r="CL620">
        <f>IF(OR(CJ$3="",CJ$3&gt;TODAY()),"",IF(AND(CJ620="",CK620=""),"",N(CK620)-N(CJ620)))</f>
        <v/>
      </c>
      <c r="CO620">
        <f>IF(OR(CJ$3="",CJ$3&gt;TODAY()),"",IF(AND(CM620="",CN620=""),"",N(CN620)-N(CM620)))</f>
        <v/>
      </c>
      <c r="CS620">
        <f>IF(OR(CQ$3="",CQ$3&gt;TODAY()),"",IF(AND(CQ620="",CR620=""),"",N(CR620)-N(CQ620)))</f>
        <v/>
      </c>
      <c r="CV620">
        <f>IF(OR(CQ$3="",CQ$3&gt;TODAY()),"",IF(AND(CT620="",CU620=""),"",N(CU620)-N(CT620)))</f>
        <v/>
      </c>
      <c r="CZ620">
        <f>IF(OR(CX$3="",CX$3&gt;TODAY()),"",IF(AND(CX620="",CY620=""),"",N(CY620)-N(CX620)))</f>
        <v/>
      </c>
      <c r="DC620">
        <f>IF(OR(CX$3="",CX$3&gt;TODAY()),"",IF(AND(DA620="",DB620=""),"",N(DB620)-N(DA620)))</f>
        <v/>
      </c>
      <c r="DG620">
        <f>IF(OR(DE$3="",DE$3&gt;TODAY()),"",IF(AND(DE620="",DF620=""),"",N(DF620)-N(DE620)))</f>
        <v/>
      </c>
      <c r="DJ620">
        <f>IF(OR(DE$3="",DE$3&gt;TODAY()),"",IF(AND(DH620="",DI620=""),"",N(DI620)-N(DH620)))</f>
        <v/>
      </c>
      <c r="DN620">
        <f>IF(OR(DL$3="",DL$3&gt;TODAY()),"",IF(AND(DL620="",DM620=""),"",N(DM620)-N(DL620)))</f>
        <v/>
      </c>
      <c r="DQ620">
        <f>IF(OR(DL$3="",DL$3&gt;TODAY()),"",IF(AND(DO620="",DP620=""),"",N(DP620)-N(DO620)))</f>
        <v/>
      </c>
      <c r="DU620">
        <f>IF(OR(DS$3="",DS$3&gt;TODAY()),"",IF(AND(DS620="",DT620=""),"",N(DT620)-N(DS620)))</f>
        <v/>
      </c>
      <c r="DX620">
        <f>IF(OR(DS$3="",DS$3&gt;TODAY()),"",IF(AND(DV620="",DW620=""),"",N(DW620)-N(DV620)))</f>
        <v/>
      </c>
      <c r="EB620">
        <f>IF(OR(DZ$3="",DZ$3&gt;TODAY()),"",IF(AND(DZ620="",EA620=""),"",N(EA620)-N(DZ620)))</f>
        <v/>
      </c>
      <c r="EE620">
        <f>IF(OR(DZ$3="",DZ$3&gt;TODAY()),"",IF(AND(EC620="",ED620=""),"",N(ED620)-N(EC620)))</f>
        <v/>
      </c>
      <c r="EI620">
        <f>IF(OR(EG$3="",EG$3&gt;TODAY()),"",IF(AND(EG620="",EH620=""),"",N(EH620)-N(EG620)))</f>
        <v/>
      </c>
      <c r="EL620">
        <f>IF(OR(EG$3="",EG$3&gt;TODAY()),"",IF(AND(EJ620="",EK620=""),"",N(EK620)-N(EJ620)))</f>
        <v/>
      </c>
      <c r="EP620">
        <f>IF(OR(EN$3="",EN$3&gt;TODAY()),"",IF(AND(EN620="",EO620=""),"",N(EO620)-N(EN620)))</f>
        <v/>
      </c>
      <c r="ES620">
        <f>IF(OR(EN$3="",EN$3&gt;TODAY()),"",IF(AND(EQ620="",ER620=""),"",N(ER620)-N(EQ620)))</f>
        <v/>
      </c>
      <c r="EW620">
        <f>IF(OR(EU$3="",EU$3&gt;TODAY()),"",IF(AND(EU620="",EV620=""),"",N(EV620)-N(EU620)))</f>
        <v/>
      </c>
      <c r="EZ620">
        <f>IF(OR(EU$3="",EU$3&gt;TODAY()),"",IF(AND(EX620="",EY620=""),"",N(EY620)-N(EX620)))</f>
        <v/>
      </c>
      <c r="FD620">
        <f>IF(OR(FB$3="",FB$3&gt;TODAY()),"",IF(AND(FB620="",FC620=""),"",N(FC620)-N(FB620)))</f>
        <v/>
      </c>
      <c r="FG620">
        <f>IF(OR(FB$3="",FB$3&gt;TODAY()),"",IF(AND(FE620="",FF620=""),"",N(FF620)-N(FE620)))</f>
        <v/>
      </c>
      <c r="FK620">
        <f>IF(OR(FI$3="",FI$3&gt;TODAY()),"",IF(AND(FI620="",FJ620=""),"",N(FJ620)-N(FI620)))</f>
        <v/>
      </c>
      <c r="FN620">
        <f>IF(OR(FI$3="",FI$3&gt;TODAY()),"",IF(AND(FL620="",FM620=""),"",N(FM620)-N(FL620)))</f>
        <v/>
      </c>
      <c r="FR620">
        <f>IF(OR(FP$3="",FP$3&gt;TODAY()),"",IF(AND(FP620="",FQ620=""),"",N(FQ620)-N(FP620)))</f>
        <v/>
      </c>
      <c r="FU620">
        <f>IF(OR(FP$3="",FP$3&gt;TODAY()),"",IF(AND(FS620="",FT620=""),"",N(FT620)-N(FS620)))</f>
        <v/>
      </c>
      <c r="FY620">
        <f>IF(OR(FW$3="",FW$3&gt;TODAY()),"",IF(AND(FW620="",FX620=""),"",N(FX620)-N(FW620)))</f>
        <v/>
      </c>
      <c r="GB620">
        <f>IF(OR(FW$3="",FW$3&gt;TODAY()),"",IF(AND(FZ620="",GA620=""),"",N(GA620)-N(FZ620)))</f>
        <v/>
      </c>
      <c r="GF620">
        <f>IF(OR(GD$3="",GD$3&gt;TODAY()),"",IF(AND(GD620="",GE620=""),"",N(GE620)-N(GD620)))</f>
        <v/>
      </c>
      <c r="GI620">
        <f>IF(OR(GD$3="",GD$3&gt;TODAY()),"",IF(AND(GG620="",GH620=""),"",N(GH620)-N(GG620)))</f>
        <v/>
      </c>
      <c r="GM620">
        <f>IF(OR(GK$3="",GK$3&gt;TODAY()),"",IF(AND(GK620="",GL620=""),"",N(GL620)-N(GK620)))</f>
        <v/>
      </c>
      <c r="GP620">
        <f>IF(OR(GK$3="",GK$3&gt;TODAY()),"",IF(AND(GN620="",GO620=""),"",N(GO620)-N(GN620)))</f>
        <v/>
      </c>
      <c r="GT620">
        <f>IF(OR(GR$3="",GR$3&gt;TODAY()),"",IF(AND(GR620="",GS620=""),"",N(GS620)-N(GR620)))</f>
        <v/>
      </c>
      <c r="GW620">
        <f>IF(OR(GR$3="",GR$3&gt;TODAY()),"",IF(AND(GU620="",GV620=""),"",N(GV620)-N(GU620)))</f>
        <v/>
      </c>
      <c r="HA620">
        <f>IF(OR(GY$3="",GY$3&gt;TODAY()),"",IF(AND(GY620="",GZ620=""),"",N(GZ620)-N(GY620)))</f>
        <v/>
      </c>
      <c r="HD620">
        <f>IF(OR(GY$3="",GY$3&gt;TODAY()),"",IF(AND(HB620="",HC620=""),"",N(HC620)-N(HB620)))</f>
        <v/>
      </c>
      <c r="HH620">
        <f>IF(OR(HF$3="",HF$3&gt;TODAY()),"",IF(AND(HF620="",HG620=""),"",N(HG620)-N(HF620)))</f>
        <v/>
      </c>
      <c r="HK620">
        <f>IF(OR(HF$3="",HF$3&gt;TODAY()),"",IF(AND(HI620="",HJ620=""),"",N(HJ620)-N(HI620)))</f>
        <v/>
      </c>
      <c r="HO620">
        <f>IF(OR(HM$3="",HM$3&gt;TODAY()),"",IF(AND(HM620="",HN620=""),"",N(HN620)-N(HM620)))</f>
        <v/>
      </c>
      <c r="HR620">
        <f>IF(OR(HM$3="",HM$3&gt;TODAY()),"",IF(AND(HP620="",HQ620=""),"",N(HQ620)-N(HP620)))</f>
        <v/>
      </c>
      <c r="HV620">
        <f>IF(OR(HT$3="",HT$3&gt;TODAY()),"",IF(AND(HT620="",HU620=""),"",N(HU620)-N(HT620)))</f>
        <v/>
      </c>
      <c r="HY620">
        <f>IF(OR(HT$3="",HT$3&gt;TODAY()),"",IF(AND(HW620="",HX620=""),"",N(HX620)-N(HW620)))</f>
        <v/>
      </c>
      <c r="IC620">
        <f>IF(OR(IA$3="",IA$3&gt;TODAY()),"",IF(AND(IA620="",IB620=""),"",N(IB620)-N(IA620)))</f>
        <v/>
      </c>
      <c r="IF620">
        <f>IF(OR(IA$3="",IA$3&gt;TODAY()),"",IF(AND(ID620="",IE620=""),"",N(IE620)-N(ID620)))</f>
        <v/>
      </c>
      <c r="IJ620">
        <f>IF(OR(IH$3="",IH$3&gt;TODAY()),"",IF(AND(IH620="",II620=""),"",N(II620)-N(IH620)))</f>
        <v/>
      </c>
      <c r="IM620">
        <f>IF(OR(IH$3="",IH$3&gt;TODAY()),"",IF(AND(IK620="",IL620=""),"",N(IL620)-N(IK620)))</f>
        <v/>
      </c>
    </row>
    <row r="621">
      <c r="A621" s="21" t="n"/>
      <c r="B621" s="21" t="n"/>
      <c r="C621" s="21" t="n"/>
      <c r="D621" s="21" t="n"/>
      <c r="E621" s="21" t="n"/>
      <c r="F621" s="21" t="n"/>
      <c r="G621" s="21" t="n"/>
      <c r="H621" s="21" t="n"/>
      <c r="I621" s="22" t="n"/>
      <c r="J621" s="22" t="n"/>
      <c r="K621" s="23" t="n"/>
      <c r="L621" s="22" t="n"/>
      <c r="M621" s="22" t="n"/>
      <c r="N621" s="21" t="n"/>
      <c r="O621" s="23" t="n"/>
      <c r="P621" s="23" t="n"/>
      <c r="Q621" s="23" t="n"/>
      <c r="R621" s="23" t="n"/>
      <c r="S621" s="22" t="n"/>
      <c r="T621" s="23" t="n"/>
      <c r="U621" s="23" t="n"/>
      <c r="V621" s="24">
        <f>IF(J621&lt;&gt;"",J621,IF(I621&lt;&gt;"",I621,""))</f>
        <v/>
      </c>
      <c r="W621" s="25">
        <f>IF($E621="","",N(O621)+SUMIFS($AF621:$IN621,$AF$4:$IN$4,"SEW_ACT"))</f>
        <v/>
      </c>
      <c r="X621" s="25">
        <f>IF($E621="","",N(P621)+SUMIFS($AF621:$IN621,$AF$4:$IN$4,"WASH_ACT"))</f>
        <v/>
      </c>
      <c r="Y621" s="25">
        <f>IF($E621="","",W621-X621-N(T621)-N(U621))</f>
        <v/>
      </c>
      <c r="Z621" s="25">
        <f>IF($E621="","",IF(N(K621)-X621&lt;=0.02*N(K621),0,N(K621)-X621))</f>
        <v/>
      </c>
      <c r="AA621" s="24">
        <f>IF($E621="","",IF(S621&lt;&gt;"",S621,IF(N(O621)&gt;0,IF(L621&lt;&gt;"",L621,99999),IFERROR(1/(1/_xlfn.MINIFS($AF$3:$IN$3,$AF$4:$IN$4,"SEW_ACT",$AF621:$IN621,"&gt;0")),99999))))</f>
        <v/>
      </c>
      <c r="AB621" s="26">
        <f>IF(OR($E621="",Z621=0,V621=""),"",1+COUNTIFS(Z$8:Z$707,"&gt;0",V$8:V$707,"&lt;"&amp;V621)+COUNTIFS(Z$8:Z$707,"&gt;0",V$8:V$707,V621,AA$8:AA$707,"&lt;"&amp;AA621)+COUNTIFS(Z$8:Z$707,"&gt;0",V$8:V$707,V621,AA$8:AA$707,AA621,E$8:E$707,"&lt;"&amp;$E621))</f>
        <v/>
      </c>
      <c r="AC621" s="24">
        <f>IF(OR($E621="",Z621=0),"",IFERROR(TODAY()+ROUNDUP(Z621/(SUMIFS($AF621:$IN621,$AF$4:$IN$4,"WASH_ACT")/COUNTIFS($AF$4:$IN$4,"WASH_ACT",$AF621:$IN621,"&gt;0")),0),"no output yet"))</f>
        <v/>
      </c>
      <c r="AD621" s="26">
        <f>IF($E621="","",IFERROR(ROUND(MAX(0,SUMIFS($AF621:$IN621,$AF$4:$IN$4,"SEW_PLAN",$AF$3:$IN$3,"&lt;="&amp;TODAY())-SUMIFS($AF621:$IN621,$AF$4:$IN$4,"SEW_ACT",$AF$3:$IN$3,"&lt;="&amp;TODAY())+N(Q621))/(SUMIFS($AF621:$IN621,$AF$4:$IN$4,"SEW_PLAN")/COUNTIFS($AF$4:$IN$4,"SEW_PLAN",$AF621:$IN621,"&gt;0")),1),0))</f>
        <v/>
      </c>
      <c r="AE621" s="26">
        <f>IF($E621="","",IF(AND(Z621&gt;0,OR(AND(M621&lt;&gt;"",TODAY()&gt;M621),AND(V621&lt;&gt;"",V621-TODAY()&lt;=7))),"Yes","No"))</f>
        <v/>
      </c>
      <c r="AH621">
        <f>IF(OR(AF$3="",AF$3&gt;TODAY()),"",IF(AND(AF621="",AG621=""),"",N(AG621)-N(AF621)))</f>
        <v/>
      </c>
      <c r="AK621">
        <f>IF(OR(AF$3="",AF$3&gt;TODAY()),"",IF(AND(AI621="",AJ621=""),"",N(AJ621)-N(AI621)))</f>
        <v/>
      </c>
      <c r="AO621">
        <f>IF(OR(AM$3="",AM$3&gt;TODAY()),"",IF(AND(AM621="",AN621=""),"",N(AN621)-N(AM621)))</f>
        <v/>
      </c>
      <c r="AR621">
        <f>IF(OR(AM$3="",AM$3&gt;TODAY()),"",IF(AND(AP621="",AQ621=""),"",N(AQ621)-N(AP621)))</f>
        <v/>
      </c>
      <c r="AV621">
        <f>IF(OR(AT$3="",AT$3&gt;TODAY()),"",IF(AND(AT621="",AU621=""),"",N(AU621)-N(AT621)))</f>
        <v/>
      </c>
      <c r="AY621">
        <f>IF(OR(AT$3="",AT$3&gt;TODAY()),"",IF(AND(AW621="",AX621=""),"",N(AX621)-N(AW621)))</f>
        <v/>
      </c>
      <c r="BC621">
        <f>IF(OR(BA$3="",BA$3&gt;TODAY()),"",IF(AND(BA621="",BB621=""),"",N(BB621)-N(BA621)))</f>
        <v/>
      </c>
      <c r="BF621">
        <f>IF(OR(BA$3="",BA$3&gt;TODAY()),"",IF(AND(BD621="",BE621=""),"",N(BE621)-N(BD621)))</f>
        <v/>
      </c>
      <c r="BJ621">
        <f>IF(OR(BH$3="",BH$3&gt;TODAY()),"",IF(AND(BH621="",BI621=""),"",N(BI621)-N(BH621)))</f>
        <v/>
      </c>
      <c r="BM621">
        <f>IF(OR(BH$3="",BH$3&gt;TODAY()),"",IF(AND(BK621="",BL621=""),"",N(BL621)-N(BK621)))</f>
        <v/>
      </c>
      <c r="BQ621">
        <f>IF(OR(BO$3="",BO$3&gt;TODAY()),"",IF(AND(BO621="",BP621=""),"",N(BP621)-N(BO621)))</f>
        <v/>
      </c>
      <c r="BT621">
        <f>IF(OR(BO$3="",BO$3&gt;TODAY()),"",IF(AND(BR621="",BS621=""),"",N(BS621)-N(BR621)))</f>
        <v/>
      </c>
      <c r="BX621">
        <f>IF(OR(BV$3="",BV$3&gt;TODAY()),"",IF(AND(BV621="",BW621=""),"",N(BW621)-N(BV621)))</f>
        <v/>
      </c>
      <c r="CA621">
        <f>IF(OR(BV$3="",BV$3&gt;TODAY()),"",IF(AND(BY621="",BZ621=""),"",N(BZ621)-N(BY621)))</f>
        <v/>
      </c>
      <c r="CE621">
        <f>IF(OR(CC$3="",CC$3&gt;TODAY()),"",IF(AND(CC621="",CD621=""),"",N(CD621)-N(CC621)))</f>
        <v/>
      </c>
      <c r="CH621">
        <f>IF(OR(CC$3="",CC$3&gt;TODAY()),"",IF(AND(CF621="",CG621=""),"",N(CG621)-N(CF621)))</f>
        <v/>
      </c>
      <c r="CL621">
        <f>IF(OR(CJ$3="",CJ$3&gt;TODAY()),"",IF(AND(CJ621="",CK621=""),"",N(CK621)-N(CJ621)))</f>
        <v/>
      </c>
      <c r="CO621">
        <f>IF(OR(CJ$3="",CJ$3&gt;TODAY()),"",IF(AND(CM621="",CN621=""),"",N(CN621)-N(CM621)))</f>
        <v/>
      </c>
      <c r="CS621">
        <f>IF(OR(CQ$3="",CQ$3&gt;TODAY()),"",IF(AND(CQ621="",CR621=""),"",N(CR621)-N(CQ621)))</f>
        <v/>
      </c>
      <c r="CV621">
        <f>IF(OR(CQ$3="",CQ$3&gt;TODAY()),"",IF(AND(CT621="",CU621=""),"",N(CU621)-N(CT621)))</f>
        <v/>
      </c>
      <c r="CZ621">
        <f>IF(OR(CX$3="",CX$3&gt;TODAY()),"",IF(AND(CX621="",CY621=""),"",N(CY621)-N(CX621)))</f>
        <v/>
      </c>
      <c r="DC621">
        <f>IF(OR(CX$3="",CX$3&gt;TODAY()),"",IF(AND(DA621="",DB621=""),"",N(DB621)-N(DA621)))</f>
        <v/>
      </c>
      <c r="DG621">
        <f>IF(OR(DE$3="",DE$3&gt;TODAY()),"",IF(AND(DE621="",DF621=""),"",N(DF621)-N(DE621)))</f>
        <v/>
      </c>
      <c r="DJ621">
        <f>IF(OR(DE$3="",DE$3&gt;TODAY()),"",IF(AND(DH621="",DI621=""),"",N(DI621)-N(DH621)))</f>
        <v/>
      </c>
      <c r="DN621">
        <f>IF(OR(DL$3="",DL$3&gt;TODAY()),"",IF(AND(DL621="",DM621=""),"",N(DM621)-N(DL621)))</f>
        <v/>
      </c>
      <c r="DQ621">
        <f>IF(OR(DL$3="",DL$3&gt;TODAY()),"",IF(AND(DO621="",DP621=""),"",N(DP621)-N(DO621)))</f>
        <v/>
      </c>
      <c r="DU621">
        <f>IF(OR(DS$3="",DS$3&gt;TODAY()),"",IF(AND(DS621="",DT621=""),"",N(DT621)-N(DS621)))</f>
        <v/>
      </c>
      <c r="DX621">
        <f>IF(OR(DS$3="",DS$3&gt;TODAY()),"",IF(AND(DV621="",DW621=""),"",N(DW621)-N(DV621)))</f>
        <v/>
      </c>
      <c r="EB621">
        <f>IF(OR(DZ$3="",DZ$3&gt;TODAY()),"",IF(AND(DZ621="",EA621=""),"",N(EA621)-N(DZ621)))</f>
        <v/>
      </c>
      <c r="EE621">
        <f>IF(OR(DZ$3="",DZ$3&gt;TODAY()),"",IF(AND(EC621="",ED621=""),"",N(ED621)-N(EC621)))</f>
        <v/>
      </c>
      <c r="EI621">
        <f>IF(OR(EG$3="",EG$3&gt;TODAY()),"",IF(AND(EG621="",EH621=""),"",N(EH621)-N(EG621)))</f>
        <v/>
      </c>
      <c r="EL621">
        <f>IF(OR(EG$3="",EG$3&gt;TODAY()),"",IF(AND(EJ621="",EK621=""),"",N(EK621)-N(EJ621)))</f>
        <v/>
      </c>
      <c r="EP621">
        <f>IF(OR(EN$3="",EN$3&gt;TODAY()),"",IF(AND(EN621="",EO621=""),"",N(EO621)-N(EN621)))</f>
        <v/>
      </c>
      <c r="ES621">
        <f>IF(OR(EN$3="",EN$3&gt;TODAY()),"",IF(AND(EQ621="",ER621=""),"",N(ER621)-N(EQ621)))</f>
        <v/>
      </c>
      <c r="EW621">
        <f>IF(OR(EU$3="",EU$3&gt;TODAY()),"",IF(AND(EU621="",EV621=""),"",N(EV621)-N(EU621)))</f>
        <v/>
      </c>
      <c r="EZ621">
        <f>IF(OR(EU$3="",EU$3&gt;TODAY()),"",IF(AND(EX621="",EY621=""),"",N(EY621)-N(EX621)))</f>
        <v/>
      </c>
      <c r="FD621">
        <f>IF(OR(FB$3="",FB$3&gt;TODAY()),"",IF(AND(FB621="",FC621=""),"",N(FC621)-N(FB621)))</f>
        <v/>
      </c>
      <c r="FG621">
        <f>IF(OR(FB$3="",FB$3&gt;TODAY()),"",IF(AND(FE621="",FF621=""),"",N(FF621)-N(FE621)))</f>
        <v/>
      </c>
      <c r="FK621">
        <f>IF(OR(FI$3="",FI$3&gt;TODAY()),"",IF(AND(FI621="",FJ621=""),"",N(FJ621)-N(FI621)))</f>
        <v/>
      </c>
      <c r="FN621">
        <f>IF(OR(FI$3="",FI$3&gt;TODAY()),"",IF(AND(FL621="",FM621=""),"",N(FM621)-N(FL621)))</f>
        <v/>
      </c>
      <c r="FR621">
        <f>IF(OR(FP$3="",FP$3&gt;TODAY()),"",IF(AND(FP621="",FQ621=""),"",N(FQ621)-N(FP621)))</f>
        <v/>
      </c>
      <c r="FU621">
        <f>IF(OR(FP$3="",FP$3&gt;TODAY()),"",IF(AND(FS621="",FT621=""),"",N(FT621)-N(FS621)))</f>
        <v/>
      </c>
      <c r="FY621">
        <f>IF(OR(FW$3="",FW$3&gt;TODAY()),"",IF(AND(FW621="",FX621=""),"",N(FX621)-N(FW621)))</f>
        <v/>
      </c>
      <c r="GB621">
        <f>IF(OR(FW$3="",FW$3&gt;TODAY()),"",IF(AND(FZ621="",GA621=""),"",N(GA621)-N(FZ621)))</f>
        <v/>
      </c>
      <c r="GF621">
        <f>IF(OR(GD$3="",GD$3&gt;TODAY()),"",IF(AND(GD621="",GE621=""),"",N(GE621)-N(GD621)))</f>
        <v/>
      </c>
      <c r="GI621">
        <f>IF(OR(GD$3="",GD$3&gt;TODAY()),"",IF(AND(GG621="",GH621=""),"",N(GH621)-N(GG621)))</f>
        <v/>
      </c>
      <c r="GM621">
        <f>IF(OR(GK$3="",GK$3&gt;TODAY()),"",IF(AND(GK621="",GL621=""),"",N(GL621)-N(GK621)))</f>
        <v/>
      </c>
      <c r="GP621">
        <f>IF(OR(GK$3="",GK$3&gt;TODAY()),"",IF(AND(GN621="",GO621=""),"",N(GO621)-N(GN621)))</f>
        <v/>
      </c>
      <c r="GT621">
        <f>IF(OR(GR$3="",GR$3&gt;TODAY()),"",IF(AND(GR621="",GS621=""),"",N(GS621)-N(GR621)))</f>
        <v/>
      </c>
      <c r="GW621">
        <f>IF(OR(GR$3="",GR$3&gt;TODAY()),"",IF(AND(GU621="",GV621=""),"",N(GV621)-N(GU621)))</f>
        <v/>
      </c>
      <c r="HA621">
        <f>IF(OR(GY$3="",GY$3&gt;TODAY()),"",IF(AND(GY621="",GZ621=""),"",N(GZ621)-N(GY621)))</f>
        <v/>
      </c>
      <c r="HD621">
        <f>IF(OR(GY$3="",GY$3&gt;TODAY()),"",IF(AND(HB621="",HC621=""),"",N(HC621)-N(HB621)))</f>
        <v/>
      </c>
      <c r="HH621">
        <f>IF(OR(HF$3="",HF$3&gt;TODAY()),"",IF(AND(HF621="",HG621=""),"",N(HG621)-N(HF621)))</f>
        <v/>
      </c>
      <c r="HK621">
        <f>IF(OR(HF$3="",HF$3&gt;TODAY()),"",IF(AND(HI621="",HJ621=""),"",N(HJ621)-N(HI621)))</f>
        <v/>
      </c>
      <c r="HO621">
        <f>IF(OR(HM$3="",HM$3&gt;TODAY()),"",IF(AND(HM621="",HN621=""),"",N(HN621)-N(HM621)))</f>
        <v/>
      </c>
      <c r="HR621">
        <f>IF(OR(HM$3="",HM$3&gt;TODAY()),"",IF(AND(HP621="",HQ621=""),"",N(HQ621)-N(HP621)))</f>
        <v/>
      </c>
      <c r="HV621">
        <f>IF(OR(HT$3="",HT$3&gt;TODAY()),"",IF(AND(HT621="",HU621=""),"",N(HU621)-N(HT621)))</f>
        <v/>
      </c>
      <c r="HY621">
        <f>IF(OR(HT$3="",HT$3&gt;TODAY()),"",IF(AND(HW621="",HX621=""),"",N(HX621)-N(HW621)))</f>
        <v/>
      </c>
      <c r="IC621">
        <f>IF(OR(IA$3="",IA$3&gt;TODAY()),"",IF(AND(IA621="",IB621=""),"",N(IB621)-N(IA621)))</f>
        <v/>
      </c>
      <c r="IF621">
        <f>IF(OR(IA$3="",IA$3&gt;TODAY()),"",IF(AND(ID621="",IE621=""),"",N(IE621)-N(ID621)))</f>
        <v/>
      </c>
      <c r="IJ621">
        <f>IF(OR(IH$3="",IH$3&gt;TODAY()),"",IF(AND(IH621="",II621=""),"",N(II621)-N(IH621)))</f>
        <v/>
      </c>
      <c r="IM621">
        <f>IF(OR(IH$3="",IH$3&gt;TODAY()),"",IF(AND(IK621="",IL621=""),"",N(IL621)-N(IK621)))</f>
        <v/>
      </c>
    </row>
    <row r="622">
      <c r="A622" s="21" t="n"/>
      <c r="B622" s="21" t="n"/>
      <c r="C622" s="21" t="n"/>
      <c r="D622" s="21" t="n"/>
      <c r="E622" s="21" t="n"/>
      <c r="F622" s="21" t="n"/>
      <c r="G622" s="21" t="n"/>
      <c r="H622" s="21" t="n"/>
      <c r="I622" s="22" t="n"/>
      <c r="J622" s="22" t="n"/>
      <c r="K622" s="23" t="n"/>
      <c r="L622" s="22" t="n"/>
      <c r="M622" s="22" t="n"/>
      <c r="N622" s="21" t="n"/>
      <c r="O622" s="23" t="n"/>
      <c r="P622" s="23" t="n"/>
      <c r="Q622" s="23" t="n"/>
      <c r="R622" s="23" t="n"/>
      <c r="S622" s="22" t="n"/>
      <c r="T622" s="23" t="n"/>
      <c r="U622" s="23" t="n"/>
      <c r="V622" s="24">
        <f>IF(J622&lt;&gt;"",J622,IF(I622&lt;&gt;"",I622,""))</f>
        <v/>
      </c>
      <c r="W622" s="25">
        <f>IF($E622="","",N(O622)+SUMIFS($AF622:$IN622,$AF$4:$IN$4,"SEW_ACT"))</f>
        <v/>
      </c>
      <c r="X622" s="25">
        <f>IF($E622="","",N(P622)+SUMIFS($AF622:$IN622,$AF$4:$IN$4,"WASH_ACT"))</f>
        <v/>
      </c>
      <c r="Y622" s="25">
        <f>IF($E622="","",W622-X622-N(T622)-N(U622))</f>
        <v/>
      </c>
      <c r="Z622" s="25">
        <f>IF($E622="","",IF(N(K622)-X622&lt;=0.02*N(K622),0,N(K622)-X622))</f>
        <v/>
      </c>
      <c r="AA622" s="24">
        <f>IF($E622="","",IF(S622&lt;&gt;"",S622,IF(N(O622)&gt;0,IF(L622&lt;&gt;"",L622,99999),IFERROR(1/(1/_xlfn.MINIFS($AF$3:$IN$3,$AF$4:$IN$4,"SEW_ACT",$AF622:$IN622,"&gt;0")),99999))))</f>
        <v/>
      </c>
      <c r="AB622" s="26">
        <f>IF(OR($E622="",Z622=0,V622=""),"",1+COUNTIFS(Z$8:Z$707,"&gt;0",V$8:V$707,"&lt;"&amp;V622)+COUNTIFS(Z$8:Z$707,"&gt;0",V$8:V$707,V622,AA$8:AA$707,"&lt;"&amp;AA622)+COUNTIFS(Z$8:Z$707,"&gt;0",V$8:V$707,V622,AA$8:AA$707,AA622,E$8:E$707,"&lt;"&amp;$E622))</f>
        <v/>
      </c>
      <c r="AC622" s="24">
        <f>IF(OR($E622="",Z622=0),"",IFERROR(TODAY()+ROUNDUP(Z622/(SUMIFS($AF622:$IN622,$AF$4:$IN$4,"WASH_ACT")/COUNTIFS($AF$4:$IN$4,"WASH_ACT",$AF622:$IN622,"&gt;0")),0),"no output yet"))</f>
        <v/>
      </c>
      <c r="AD622" s="26">
        <f>IF($E622="","",IFERROR(ROUND(MAX(0,SUMIFS($AF622:$IN622,$AF$4:$IN$4,"SEW_PLAN",$AF$3:$IN$3,"&lt;="&amp;TODAY())-SUMIFS($AF622:$IN622,$AF$4:$IN$4,"SEW_ACT",$AF$3:$IN$3,"&lt;="&amp;TODAY())+N(Q622))/(SUMIFS($AF622:$IN622,$AF$4:$IN$4,"SEW_PLAN")/COUNTIFS($AF$4:$IN$4,"SEW_PLAN",$AF622:$IN622,"&gt;0")),1),0))</f>
        <v/>
      </c>
      <c r="AE622" s="26">
        <f>IF($E622="","",IF(AND(Z622&gt;0,OR(AND(M622&lt;&gt;"",TODAY()&gt;M622),AND(V622&lt;&gt;"",V622-TODAY()&lt;=7))),"Yes","No"))</f>
        <v/>
      </c>
      <c r="AH622">
        <f>IF(OR(AF$3="",AF$3&gt;TODAY()),"",IF(AND(AF622="",AG622=""),"",N(AG622)-N(AF622)))</f>
        <v/>
      </c>
      <c r="AK622">
        <f>IF(OR(AF$3="",AF$3&gt;TODAY()),"",IF(AND(AI622="",AJ622=""),"",N(AJ622)-N(AI622)))</f>
        <v/>
      </c>
      <c r="AO622">
        <f>IF(OR(AM$3="",AM$3&gt;TODAY()),"",IF(AND(AM622="",AN622=""),"",N(AN622)-N(AM622)))</f>
        <v/>
      </c>
      <c r="AR622">
        <f>IF(OR(AM$3="",AM$3&gt;TODAY()),"",IF(AND(AP622="",AQ622=""),"",N(AQ622)-N(AP622)))</f>
        <v/>
      </c>
      <c r="AV622">
        <f>IF(OR(AT$3="",AT$3&gt;TODAY()),"",IF(AND(AT622="",AU622=""),"",N(AU622)-N(AT622)))</f>
        <v/>
      </c>
      <c r="AY622">
        <f>IF(OR(AT$3="",AT$3&gt;TODAY()),"",IF(AND(AW622="",AX622=""),"",N(AX622)-N(AW622)))</f>
        <v/>
      </c>
      <c r="BC622">
        <f>IF(OR(BA$3="",BA$3&gt;TODAY()),"",IF(AND(BA622="",BB622=""),"",N(BB622)-N(BA622)))</f>
        <v/>
      </c>
      <c r="BF622">
        <f>IF(OR(BA$3="",BA$3&gt;TODAY()),"",IF(AND(BD622="",BE622=""),"",N(BE622)-N(BD622)))</f>
        <v/>
      </c>
      <c r="BJ622">
        <f>IF(OR(BH$3="",BH$3&gt;TODAY()),"",IF(AND(BH622="",BI622=""),"",N(BI622)-N(BH622)))</f>
        <v/>
      </c>
      <c r="BM622">
        <f>IF(OR(BH$3="",BH$3&gt;TODAY()),"",IF(AND(BK622="",BL622=""),"",N(BL622)-N(BK622)))</f>
        <v/>
      </c>
      <c r="BQ622">
        <f>IF(OR(BO$3="",BO$3&gt;TODAY()),"",IF(AND(BO622="",BP622=""),"",N(BP622)-N(BO622)))</f>
        <v/>
      </c>
      <c r="BT622">
        <f>IF(OR(BO$3="",BO$3&gt;TODAY()),"",IF(AND(BR622="",BS622=""),"",N(BS622)-N(BR622)))</f>
        <v/>
      </c>
      <c r="BX622">
        <f>IF(OR(BV$3="",BV$3&gt;TODAY()),"",IF(AND(BV622="",BW622=""),"",N(BW622)-N(BV622)))</f>
        <v/>
      </c>
      <c r="CA622">
        <f>IF(OR(BV$3="",BV$3&gt;TODAY()),"",IF(AND(BY622="",BZ622=""),"",N(BZ622)-N(BY622)))</f>
        <v/>
      </c>
      <c r="CE622">
        <f>IF(OR(CC$3="",CC$3&gt;TODAY()),"",IF(AND(CC622="",CD622=""),"",N(CD622)-N(CC622)))</f>
        <v/>
      </c>
      <c r="CH622">
        <f>IF(OR(CC$3="",CC$3&gt;TODAY()),"",IF(AND(CF622="",CG622=""),"",N(CG622)-N(CF622)))</f>
        <v/>
      </c>
      <c r="CL622">
        <f>IF(OR(CJ$3="",CJ$3&gt;TODAY()),"",IF(AND(CJ622="",CK622=""),"",N(CK622)-N(CJ622)))</f>
        <v/>
      </c>
      <c r="CO622">
        <f>IF(OR(CJ$3="",CJ$3&gt;TODAY()),"",IF(AND(CM622="",CN622=""),"",N(CN622)-N(CM622)))</f>
        <v/>
      </c>
      <c r="CS622">
        <f>IF(OR(CQ$3="",CQ$3&gt;TODAY()),"",IF(AND(CQ622="",CR622=""),"",N(CR622)-N(CQ622)))</f>
        <v/>
      </c>
      <c r="CV622">
        <f>IF(OR(CQ$3="",CQ$3&gt;TODAY()),"",IF(AND(CT622="",CU622=""),"",N(CU622)-N(CT622)))</f>
        <v/>
      </c>
      <c r="CZ622">
        <f>IF(OR(CX$3="",CX$3&gt;TODAY()),"",IF(AND(CX622="",CY622=""),"",N(CY622)-N(CX622)))</f>
        <v/>
      </c>
      <c r="DC622">
        <f>IF(OR(CX$3="",CX$3&gt;TODAY()),"",IF(AND(DA622="",DB622=""),"",N(DB622)-N(DA622)))</f>
        <v/>
      </c>
      <c r="DG622">
        <f>IF(OR(DE$3="",DE$3&gt;TODAY()),"",IF(AND(DE622="",DF622=""),"",N(DF622)-N(DE622)))</f>
        <v/>
      </c>
      <c r="DJ622">
        <f>IF(OR(DE$3="",DE$3&gt;TODAY()),"",IF(AND(DH622="",DI622=""),"",N(DI622)-N(DH622)))</f>
        <v/>
      </c>
      <c r="DN622">
        <f>IF(OR(DL$3="",DL$3&gt;TODAY()),"",IF(AND(DL622="",DM622=""),"",N(DM622)-N(DL622)))</f>
        <v/>
      </c>
      <c r="DQ622">
        <f>IF(OR(DL$3="",DL$3&gt;TODAY()),"",IF(AND(DO622="",DP622=""),"",N(DP622)-N(DO622)))</f>
        <v/>
      </c>
      <c r="DU622">
        <f>IF(OR(DS$3="",DS$3&gt;TODAY()),"",IF(AND(DS622="",DT622=""),"",N(DT622)-N(DS622)))</f>
        <v/>
      </c>
      <c r="DX622">
        <f>IF(OR(DS$3="",DS$3&gt;TODAY()),"",IF(AND(DV622="",DW622=""),"",N(DW622)-N(DV622)))</f>
        <v/>
      </c>
      <c r="EB622">
        <f>IF(OR(DZ$3="",DZ$3&gt;TODAY()),"",IF(AND(DZ622="",EA622=""),"",N(EA622)-N(DZ622)))</f>
        <v/>
      </c>
      <c r="EE622">
        <f>IF(OR(DZ$3="",DZ$3&gt;TODAY()),"",IF(AND(EC622="",ED622=""),"",N(ED622)-N(EC622)))</f>
        <v/>
      </c>
      <c r="EI622">
        <f>IF(OR(EG$3="",EG$3&gt;TODAY()),"",IF(AND(EG622="",EH622=""),"",N(EH622)-N(EG622)))</f>
        <v/>
      </c>
      <c r="EL622">
        <f>IF(OR(EG$3="",EG$3&gt;TODAY()),"",IF(AND(EJ622="",EK622=""),"",N(EK622)-N(EJ622)))</f>
        <v/>
      </c>
      <c r="EP622">
        <f>IF(OR(EN$3="",EN$3&gt;TODAY()),"",IF(AND(EN622="",EO622=""),"",N(EO622)-N(EN622)))</f>
        <v/>
      </c>
      <c r="ES622">
        <f>IF(OR(EN$3="",EN$3&gt;TODAY()),"",IF(AND(EQ622="",ER622=""),"",N(ER622)-N(EQ622)))</f>
        <v/>
      </c>
      <c r="EW622">
        <f>IF(OR(EU$3="",EU$3&gt;TODAY()),"",IF(AND(EU622="",EV622=""),"",N(EV622)-N(EU622)))</f>
        <v/>
      </c>
      <c r="EZ622">
        <f>IF(OR(EU$3="",EU$3&gt;TODAY()),"",IF(AND(EX622="",EY622=""),"",N(EY622)-N(EX622)))</f>
        <v/>
      </c>
      <c r="FD622">
        <f>IF(OR(FB$3="",FB$3&gt;TODAY()),"",IF(AND(FB622="",FC622=""),"",N(FC622)-N(FB622)))</f>
        <v/>
      </c>
      <c r="FG622">
        <f>IF(OR(FB$3="",FB$3&gt;TODAY()),"",IF(AND(FE622="",FF622=""),"",N(FF622)-N(FE622)))</f>
        <v/>
      </c>
      <c r="FK622">
        <f>IF(OR(FI$3="",FI$3&gt;TODAY()),"",IF(AND(FI622="",FJ622=""),"",N(FJ622)-N(FI622)))</f>
        <v/>
      </c>
      <c r="FN622">
        <f>IF(OR(FI$3="",FI$3&gt;TODAY()),"",IF(AND(FL622="",FM622=""),"",N(FM622)-N(FL622)))</f>
        <v/>
      </c>
      <c r="FR622">
        <f>IF(OR(FP$3="",FP$3&gt;TODAY()),"",IF(AND(FP622="",FQ622=""),"",N(FQ622)-N(FP622)))</f>
        <v/>
      </c>
      <c r="FU622">
        <f>IF(OR(FP$3="",FP$3&gt;TODAY()),"",IF(AND(FS622="",FT622=""),"",N(FT622)-N(FS622)))</f>
        <v/>
      </c>
      <c r="FY622">
        <f>IF(OR(FW$3="",FW$3&gt;TODAY()),"",IF(AND(FW622="",FX622=""),"",N(FX622)-N(FW622)))</f>
        <v/>
      </c>
      <c r="GB622">
        <f>IF(OR(FW$3="",FW$3&gt;TODAY()),"",IF(AND(FZ622="",GA622=""),"",N(GA622)-N(FZ622)))</f>
        <v/>
      </c>
      <c r="GF622">
        <f>IF(OR(GD$3="",GD$3&gt;TODAY()),"",IF(AND(GD622="",GE622=""),"",N(GE622)-N(GD622)))</f>
        <v/>
      </c>
      <c r="GI622">
        <f>IF(OR(GD$3="",GD$3&gt;TODAY()),"",IF(AND(GG622="",GH622=""),"",N(GH622)-N(GG622)))</f>
        <v/>
      </c>
      <c r="GM622">
        <f>IF(OR(GK$3="",GK$3&gt;TODAY()),"",IF(AND(GK622="",GL622=""),"",N(GL622)-N(GK622)))</f>
        <v/>
      </c>
      <c r="GP622">
        <f>IF(OR(GK$3="",GK$3&gt;TODAY()),"",IF(AND(GN622="",GO622=""),"",N(GO622)-N(GN622)))</f>
        <v/>
      </c>
      <c r="GT622">
        <f>IF(OR(GR$3="",GR$3&gt;TODAY()),"",IF(AND(GR622="",GS622=""),"",N(GS622)-N(GR622)))</f>
        <v/>
      </c>
      <c r="GW622">
        <f>IF(OR(GR$3="",GR$3&gt;TODAY()),"",IF(AND(GU622="",GV622=""),"",N(GV622)-N(GU622)))</f>
        <v/>
      </c>
      <c r="HA622">
        <f>IF(OR(GY$3="",GY$3&gt;TODAY()),"",IF(AND(GY622="",GZ622=""),"",N(GZ622)-N(GY622)))</f>
        <v/>
      </c>
      <c r="HD622">
        <f>IF(OR(GY$3="",GY$3&gt;TODAY()),"",IF(AND(HB622="",HC622=""),"",N(HC622)-N(HB622)))</f>
        <v/>
      </c>
      <c r="HH622">
        <f>IF(OR(HF$3="",HF$3&gt;TODAY()),"",IF(AND(HF622="",HG622=""),"",N(HG622)-N(HF622)))</f>
        <v/>
      </c>
      <c r="HK622">
        <f>IF(OR(HF$3="",HF$3&gt;TODAY()),"",IF(AND(HI622="",HJ622=""),"",N(HJ622)-N(HI622)))</f>
        <v/>
      </c>
      <c r="HO622">
        <f>IF(OR(HM$3="",HM$3&gt;TODAY()),"",IF(AND(HM622="",HN622=""),"",N(HN622)-N(HM622)))</f>
        <v/>
      </c>
      <c r="HR622">
        <f>IF(OR(HM$3="",HM$3&gt;TODAY()),"",IF(AND(HP622="",HQ622=""),"",N(HQ622)-N(HP622)))</f>
        <v/>
      </c>
      <c r="HV622">
        <f>IF(OR(HT$3="",HT$3&gt;TODAY()),"",IF(AND(HT622="",HU622=""),"",N(HU622)-N(HT622)))</f>
        <v/>
      </c>
      <c r="HY622">
        <f>IF(OR(HT$3="",HT$3&gt;TODAY()),"",IF(AND(HW622="",HX622=""),"",N(HX622)-N(HW622)))</f>
        <v/>
      </c>
      <c r="IC622">
        <f>IF(OR(IA$3="",IA$3&gt;TODAY()),"",IF(AND(IA622="",IB622=""),"",N(IB622)-N(IA622)))</f>
        <v/>
      </c>
      <c r="IF622">
        <f>IF(OR(IA$3="",IA$3&gt;TODAY()),"",IF(AND(ID622="",IE622=""),"",N(IE622)-N(ID622)))</f>
        <v/>
      </c>
      <c r="IJ622">
        <f>IF(OR(IH$3="",IH$3&gt;TODAY()),"",IF(AND(IH622="",II622=""),"",N(II622)-N(IH622)))</f>
        <v/>
      </c>
      <c r="IM622">
        <f>IF(OR(IH$3="",IH$3&gt;TODAY()),"",IF(AND(IK622="",IL622=""),"",N(IL622)-N(IK622)))</f>
        <v/>
      </c>
    </row>
    <row r="623">
      <c r="A623" s="21" t="n"/>
      <c r="B623" s="21" t="n"/>
      <c r="C623" s="21" t="n"/>
      <c r="D623" s="21" t="n"/>
      <c r="E623" s="21" t="n"/>
      <c r="F623" s="21" t="n"/>
      <c r="G623" s="21" t="n"/>
      <c r="H623" s="21" t="n"/>
      <c r="I623" s="22" t="n"/>
      <c r="J623" s="22" t="n"/>
      <c r="K623" s="23" t="n"/>
      <c r="L623" s="22" t="n"/>
      <c r="M623" s="22" t="n"/>
      <c r="N623" s="21" t="n"/>
      <c r="O623" s="23" t="n"/>
      <c r="P623" s="23" t="n"/>
      <c r="Q623" s="23" t="n"/>
      <c r="R623" s="23" t="n"/>
      <c r="S623" s="22" t="n"/>
      <c r="T623" s="23" t="n"/>
      <c r="U623" s="23" t="n"/>
      <c r="V623" s="24">
        <f>IF(J623&lt;&gt;"",J623,IF(I623&lt;&gt;"",I623,""))</f>
        <v/>
      </c>
      <c r="W623" s="25">
        <f>IF($E623="","",N(O623)+SUMIFS($AF623:$IN623,$AF$4:$IN$4,"SEW_ACT"))</f>
        <v/>
      </c>
      <c r="X623" s="25">
        <f>IF($E623="","",N(P623)+SUMIFS($AF623:$IN623,$AF$4:$IN$4,"WASH_ACT"))</f>
        <v/>
      </c>
      <c r="Y623" s="25">
        <f>IF($E623="","",W623-X623-N(T623)-N(U623))</f>
        <v/>
      </c>
      <c r="Z623" s="25">
        <f>IF($E623="","",IF(N(K623)-X623&lt;=0.02*N(K623),0,N(K623)-X623))</f>
        <v/>
      </c>
      <c r="AA623" s="24">
        <f>IF($E623="","",IF(S623&lt;&gt;"",S623,IF(N(O623)&gt;0,IF(L623&lt;&gt;"",L623,99999),IFERROR(1/(1/_xlfn.MINIFS($AF$3:$IN$3,$AF$4:$IN$4,"SEW_ACT",$AF623:$IN623,"&gt;0")),99999))))</f>
        <v/>
      </c>
      <c r="AB623" s="26">
        <f>IF(OR($E623="",Z623=0,V623=""),"",1+COUNTIFS(Z$8:Z$707,"&gt;0",V$8:V$707,"&lt;"&amp;V623)+COUNTIFS(Z$8:Z$707,"&gt;0",V$8:V$707,V623,AA$8:AA$707,"&lt;"&amp;AA623)+COUNTIFS(Z$8:Z$707,"&gt;0",V$8:V$707,V623,AA$8:AA$707,AA623,E$8:E$707,"&lt;"&amp;$E623))</f>
        <v/>
      </c>
      <c r="AC623" s="24">
        <f>IF(OR($E623="",Z623=0),"",IFERROR(TODAY()+ROUNDUP(Z623/(SUMIFS($AF623:$IN623,$AF$4:$IN$4,"WASH_ACT")/COUNTIFS($AF$4:$IN$4,"WASH_ACT",$AF623:$IN623,"&gt;0")),0),"no output yet"))</f>
        <v/>
      </c>
      <c r="AD623" s="26">
        <f>IF($E623="","",IFERROR(ROUND(MAX(0,SUMIFS($AF623:$IN623,$AF$4:$IN$4,"SEW_PLAN",$AF$3:$IN$3,"&lt;="&amp;TODAY())-SUMIFS($AF623:$IN623,$AF$4:$IN$4,"SEW_ACT",$AF$3:$IN$3,"&lt;="&amp;TODAY())+N(Q623))/(SUMIFS($AF623:$IN623,$AF$4:$IN$4,"SEW_PLAN")/COUNTIFS($AF$4:$IN$4,"SEW_PLAN",$AF623:$IN623,"&gt;0")),1),0))</f>
        <v/>
      </c>
      <c r="AE623" s="26">
        <f>IF($E623="","",IF(AND(Z623&gt;0,OR(AND(M623&lt;&gt;"",TODAY()&gt;M623),AND(V623&lt;&gt;"",V623-TODAY()&lt;=7))),"Yes","No"))</f>
        <v/>
      </c>
      <c r="AH623">
        <f>IF(OR(AF$3="",AF$3&gt;TODAY()),"",IF(AND(AF623="",AG623=""),"",N(AG623)-N(AF623)))</f>
        <v/>
      </c>
      <c r="AK623">
        <f>IF(OR(AF$3="",AF$3&gt;TODAY()),"",IF(AND(AI623="",AJ623=""),"",N(AJ623)-N(AI623)))</f>
        <v/>
      </c>
      <c r="AO623">
        <f>IF(OR(AM$3="",AM$3&gt;TODAY()),"",IF(AND(AM623="",AN623=""),"",N(AN623)-N(AM623)))</f>
        <v/>
      </c>
      <c r="AR623">
        <f>IF(OR(AM$3="",AM$3&gt;TODAY()),"",IF(AND(AP623="",AQ623=""),"",N(AQ623)-N(AP623)))</f>
        <v/>
      </c>
      <c r="AV623">
        <f>IF(OR(AT$3="",AT$3&gt;TODAY()),"",IF(AND(AT623="",AU623=""),"",N(AU623)-N(AT623)))</f>
        <v/>
      </c>
      <c r="AY623">
        <f>IF(OR(AT$3="",AT$3&gt;TODAY()),"",IF(AND(AW623="",AX623=""),"",N(AX623)-N(AW623)))</f>
        <v/>
      </c>
      <c r="BC623">
        <f>IF(OR(BA$3="",BA$3&gt;TODAY()),"",IF(AND(BA623="",BB623=""),"",N(BB623)-N(BA623)))</f>
        <v/>
      </c>
      <c r="BF623">
        <f>IF(OR(BA$3="",BA$3&gt;TODAY()),"",IF(AND(BD623="",BE623=""),"",N(BE623)-N(BD623)))</f>
        <v/>
      </c>
      <c r="BJ623">
        <f>IF(OR(BH$3="",BH$3&gt;TODAY()),"",IF(AND(BH623="",BI623=""),"",N(BI623)-N(BH623)))</f>
        <v/>
      </c>
      <c r="BM623">
        <f>IF(OR(BH$3="",BH$3&gt;TODAY()),"",IF(AND(BK623="",BL623=""),"",N(BL623)-N(BK623)))</f>
        <v/>
      </c>
      <c r="BQ623">
        <f>IF(OR(BO$3="",BO$3&gt;TODAY()),"",IF(AND(BO623="",BP623=""),"",N(BP623)-N(BO623)))</f>
        <v/>
      </c>
      <c r="BT623">
        <f>IF(OR(BO$3="",BO$3&gt;TODAY()),"",IF(AND(BR623="",BS623=""),"",N(BS623)-N(BR623)))</f>
        <v/>
      </c>
      <c r="BX623">
        <f>IF(OR(BV$3="",BV$3&gt;TODAY()),"",IF(AND(BV623="",BW623=""),"",N(BW623)-N(BV623)))</f>
        <v/>
      </c>
      <c r="CA623">
        <f>IF(OR(BV$3="",BV$3&gt;TODAY()),"",IF(AND(BY623="",BZ623=""),"",N(BZ623)-N(BY623)))</f>
        <v/>
      </c>
      <c r="CE623">
        <f>IF(OR(CC$3="",CC$3&gt;TODAY()),"",IF(AND(CC623="",CD623=""),"",N(CD623)-N(CC623)))</f>
        <v/>
      </c>
      <c r="CH623">
        <f>IF(OR(CC$3="",CC$3&gt;TODAY()),"",IF(AND(CF623="",CG623=""),"",N(CG623)-N(CF623)))</f>
        <v/>
      </c>
      <c r="CL623">
        <f>IF(OR(CJ$3="",CJ$3&gt;TODAY()),"",IF(AND(CJ623="",CK623=""),"",N(CK623)-N(CJ623)))</f>
        <v/>
      </c>
      <c r="CO623">
        <f>IF(OR(CJ$3="",CJ$3&gt;TODAY()),"",IF(AND(CM623="",CN623=""),"",N(CN623)-N(CM623)))</f>
        <v/>
      </c>
      <c r="CS623">
        <f>IF(OR(CQ$3="",CQ$3&gt;TODAY()),"",IF(AND(CQ623="",CR623=""),"",N(CR623)-N(CQ623)))</f>
        <v/>
      </c>
      <c r="CV623">
        <f>IF(OR(CQ$3="",CQ$3&gt;TODAY()),"",IF(AND(CT623="",CU623=""),"",N(CU623)-N(CT623)))</f>
        <v/>
      </c>
      <c r="CZ623">
        <f>IF(OR(CX$3="",CX$3&gt;TODAY()),"",IF(AND(CX623="",CY623=""),"",N(CY623)-N(CX623)))</f>
        <v/>
      </c>
      <c r="DC623">
        <f>IF(OR(CX$3="",CX$3&gt;TODAY()),"",IF(AND(DA623="",DB623=""),"",N(DB623)-N(DA623)))</f>
        <v/>
      </c>
      <c r="DG623">
        <f>IF(OR(DE$3="",DE$3&gt;TODAY()),"",IF(AND(DE623="",DF623=""),"",N(DF623)-N(DE623)))</f>
        <v/>
      </c>
      <c r="DJ623">
        <f>IF(OR(DE$3="",DE$3&gt;TODAY()),"",IF(AND(DH623="",DI623=""),"",N(DI623)-N(DH623)))</f>
        <v/>
      </c>
      <c r="DN623">
        <f>IF(OR(DL$3="",DL$3&gt;TODAY()),"",IF(AND(DL623="",DM623=""),"",N(DM623)-N(DL623)))</f>
        <v/>
      </c>
      <c r="DQ623">
        <f>IF(OR(DL$3="",DL$3&gt;TODAY()),"",IF(AND(DO623="",DP623=""),"",N(DP623)-N(DO623)))</f>
        <v/>
      </c>
      <c r="DU623">
        <f>IF(OR(DS$3="",DS$3&gt;TODAY()),"",IF(AND(DS623="",DT623=""),"",N(DT623)-N(DS623)))</f>
        <v/>
      </c>
      <c r="DX623">
        <f>IF(OR(DS$3="",DS$3&gt;TODAY()),"",IF(AND(DV623="",DW623=""),"",N(DW623)-N(DV623)))</f>
        <v/>
      </c>
      <c r="EB623">
        <f>IF(OR(DZ$3="",DZ$3&gt;TODAY()),"",IF(AND(DZ623="",EA623=""),"",N(EA623)-N(DZ623)))</f>
        <v/>
      </c>
      <c r="EE623">
        <f>IF(OR(DZ$3="",DZ$3&gt;TODAY()),"",IF(AND(EC623="",ED623=""),"",N(ED623)-N(EC623)))</f>
        <v/>
      </c>
      <c r="EI623">
        <f>IF(OR(EG$3="",EG$3&gt;TODAY()),"",IF(AND(EG623="",EH623=""),"",N(EH623)-N(EG623)))</f>
        <v/>
      </c>
      <c r="EL623">
        <f>IF(OR(EG$3="",EG$3&gt;TODAY()),"",IF(AND(EJ623="",EK623=""),"",N(EK623)-N(EJ623)))</f>
        <v/>
      </c>
      <c r="EP623">
        <f>IF(OR(EN$3="",EN$3&gt;TODAY()),"",IF(AND(EN623="",EO623=""),"",N(EO623)-N(EN623)))</f>
        <v/>
      </c>
      <c r="ES623">
        <f>IF(OR(EN$3="",EN$3&gt;TODAY()),"",IF(AND(EQ623="",ER623=""),"",N(ER623)-N(EQ623)))</f>
        <v/>
      </c>
      <c r="EW623">
        <f>IF(OR(EU$3="",EU$3&gt;TODAY()),"",IF(AND(EU623="",EV623=""),"",N(EV623)-N(EU623)))</f>
        <v/>
      </c>
      <c r="EZ623">
        <f>IF(OR(EU$3="",EU$3&gt;TODAY()),"",IF(AND(EX623="",EY623=""),"",N(EY623)-N(EX623)))</f>
        <v/>
      </c>
      <c r="FD623">
        <f>IF(OR(FB$3="",FB$3&gt;TODAY()),"",IF(AND(FB623="",FC623=""),"",N(FC623)-N(FB623)))</f>
        <v/>
      </c>
      <c r="FG623">
        <f>IF(OR(FB$3="",FB$3&gt;TODAY()),"",IF(AND(FE623="",FF623=""),"",N(FF623)-N(FE623)))</f>
        <v/>
      </c>
      <c r="FK623">
        <f>IF(OR(FI$3="",FI$3&gt;TODAY()),"",IF(AND(FI623="",FJ623=""),"",N(FJ623)-N(FI623)))</f>
        <v/>
      </c>
      <c r="FN623">
        <f>IF(OR(FI$3="",FI$3&gt;TODAY()),"",IF(AND(FL623="",FM623=""),"",N(FM623)-N(FL623)))</f>
        <v/>
      </c>
      <c r="FR623">
        <f>IF(OR(FP$3="",FP$3&gt;TODAY()),"",IF(AND(FP623="",FQ623=""),"",N(FQ623)-N(FP623)))</f>
        <v/>
      </c>
      <c r="FU623">
        <f>IF(OR(FP$3="",FP$3&gt;TODAY()),"",IF(AND(FS623="",FT623=""),"",N(FT623)-N(FS623)))</f>
        <v/>
      </c>
      <c r="FY623">
        <f>IF(OR(FW$3="",FW$3&gt;TODAY()),"",IF(AND(FW623="",FX623=""),"",N(FX623)-N(FW623)))</f>
        <v/>
      </c>
      <c r="GB623">
        <f>IF(OR(FW$3="",FW$3&gt;TODAY()),"",IF(AND(FZ623="",GA623=""),"",N(GA623)-N(FZ623)))</f>
        <v/>
      </c>
      <c r="GF623">
        <f>IF(OR(GD$3="",GD$3&gt;TODAY()),"",IF(AND(GD623="",GE623=""),"",N(GE623)-N(GD623)))</f>
        <v/>
      </c>
      <c r="GI623">
        <f>IF(OR(GD$3="",GD$3&gt;TODAY()),"",IF(AND(GG623="",GH623=""),"",N(GH623)-N(GG623)))</f>
        <v/>
      </c>
      <c r="GM623">
        <f>IF(OR(GK$3="",GK$3&gt;TODAY()),"",IF(AND(GK623="",GL623=""),"",N(GL623)-N(GK623)))</f>
        <v/>
      </c>
      <c r="GP623">
        <f>IF(OR(GK$3="",GK$3&gt;TODAY()),"",IF(AND(GN623="",GO623=""),"",N(GO623)-N(GN623)))</f>
        <v/>
      </c>
      <c r="GT623">
        <f>IF(OR(GR$3="",GR$3&gt;TODAY()),"",IF(AND(GR623="",GS623=""),"",N(GS623)-N(GR623)))</f>
        <v/>
      </c>
      <c r="GW623">
        <f>IF(OR(GR$3="",GR$3&gt;TODAY()),"",IF(AND(GU623="",GV623=""),"",N(GV623)-N(GU623)))</f>
        <v/>
      </c>
      <c r="HA623">
        <f>IF(OR(GY$3="",GY$3&gt;TODAY()),"",IF(AND(GY623="",GZ623=""),"",N(GZ623)-N(GY623)))</f>
        <v/>
      </c>
      <c r="HD623">
        <f>IF(OR(GY$3="",GY$3&gt;TODAY()),"",IF(AND(HB623="",HC623=""),"",N(HC623)-N(HB623)))</f>
        <v/>
      </c>
      <c r="HH623">
        <f>IF(OR(HF$3="",HF$3&gt;TODAY()),"",IF(AND(HF623="",HG623=""),"",N(HG623)-N(HF623)))</f>
        <v/>
      </c>
      <c r="HK623">
        <f>IF(OR(HF$3="",HF$3&gt;TODAY()),"",IF(AND(HI623="",HJ623=""),"",N(HJ623)-N(HI623)))</f>
        <v/>
      </c>
      <c r="HO623">
        <f>IF(OR(HM$3="",HM$3&gt;TODAY()),"",IF(AND(HM623="",HN623=""),"",N(HN623)-N(HM623)))</f>
        <v/>
      </c>
      <c r="HR623">
        <f>IF(OR(HM$3="",HM$3&gt;TODAY()),"",IF(AND(HP623="",HQ623=""),"",N(HQ623)-N(HP623)))</f>
        <v/>
      </c>
      <c r="HV623">
        <f>IF(OR(HT$3="",HT$3&gt;TODAY()),"",IF(AND(HT623="",HU623=""),"",N(HU623)-N(HT623)))</f>
        <v/>
      </c>
      <c r="HY623">
        <f>IF(OR(HT$3="",HT$3&gt;TODAY()),"",IF(AND(HW623="",HX623=""),"",N(HX623)-N(HW623)))</f>
        <v/>
      </c>
      <c r="IC623">
        <f>IF(OR(IA$3="",IA$3&gt;TODAY()),"",IF(AND(IA623="",IB623=""),"",N(IB623)-N(IA623)))</f>
        <v/>
      </c>
      <c r="IF623">
        <f>IF(OR(IA$3="",IA$3&gt;TODAY()),"",IF(AND(ID623="",IE623=""),"",N(IE623)-N(ID623)))</f>
        <v/>
      </c>
      <c r="IJ623">
        <f>IF(OR(IH$3="",IH$3&gt;TODAY()),"",IF(AND(IH623="",II623=""),"",N(II623)-N(IH623)))</f>
        <v/>
      </c>
      <c r="IM623">
        <f>IF(OR(IH$3="",IH$3&gt;TODAY()),"",IF(AND(IK623="",IL623=""),"",N(IL623)-N(IK623)))</f>
        <v/>
      </c>
    </row>
    <row r="624">
      <c r="A624" s="21" t="n"/>
      <c r="B624" s="21" t="n"/>
      <c r="C624" s="21" t="n"/>
      <c r="D624" s="21" t="n"/>
      <c r="E624" s="21" t="n"/>
      <c r="F624" s="21" t="n"/>
      <c r="G624" s="21" t="n"/>
      <c r="H624" s="21" t="n"/>
      <c r="I624" s="22" t="n"/>
      <c r="J624" s="22" t="n"/>
      <c r="K624" s="23" t="n"/>
      <c r="L624" s="22" t="n"/>
      <c r="M624" s="22" t="n"/>
      <c r="N624" s="21" t="n"/>
      <c r="O624" s="23" t="n"/>
      <c r="P624" s="23" t="n"/>
      <c r="Q624" s="23" t="n"/>
      <c r="R624" s="23" t="n"/>
      <c r="S624" s="22" t="n"/>
      <c r="T624" s="23" t="n"/>
      <c r="U624" s="23" t="n"/>
      <c r="V624" s="24">
        <f>IF(J624&lt;&gt;"",J624,IF(I624&lt;&gt;"",I624,""))</f>
        <v/>
      </c>
      <c r="W624" s="25">
        <f>IF($E624="","",N(O624)+SUMIFS($AF624:$IN624,$AF$4:$IN$4,"SEW_ACT"))</f>
        <v/>
      </c>
      <c r="X624" s="25">
        <f>IF($E624="","",N(P624)+SUMIFS($AF624:$IN624,$AF$4:$IN$4,"WASH_ACT"))</f>
        <v/>
      </c>
      <c r="Y624" s="25">
        <f>IF($E624="","",W624-X624-N(T624)-N(U624))</f>
        <v/>
      </c>
      <c r="Z624" s="25">
        <f>IF($E624="","",IF(N(K624)-X624&lt;=0.02*N(K624),0,N(K624)-X624))</f>
        <v/>
      </c>
      <c r="AA624" s="24">
        <f>IF($E624="","",IF(S624&lt;&gt;"",S624,IF(N(O624)&gt;0,IF(L624&lt;&gt;"",L624,99999),IFERROR(1/(1/_xlfn.MINIFS($AF$3:$IN$3,$AF$4:$IN$4,"SEW_ACT",$AF624:$IN624,"&gt;0")),99999))))</f>
        <v/>
      </c>
      <c r="AB624" s="26">
        <f>IF(OR($E624="",Z624=0,V624=""),"",1+COUNTIFS(Z$8:Z$707,"&gt;0",V$8:V$707,"&lt;"&amp;V624)+COUNTIFS(Z$8:Z$707,"&gt;0",V$8:V$707,V624,AA$8:AA$707,"&lt;"&amp;AA624)+COUNTIFS(Z$8:Z$707,"&gt;0",V$8:V$707,V624,AA$8:AA$707,AA624,E$8:E$707,"&lt;"&amp;$E624))</f>
        <v/>
      </c>
      <c r="AC624" s="24">
        <f>IF(OR($E624="",Z624=0),"",IFERROR(TODAY()+ROUNDUP(Z624/(SUMIFS($AF624:$IN624,$AF$4:$IN$4,"WASH_ACT")/COUNTIFS($AF$4:$IN$4,"WASH_ACT",$AF624:$IN624,"&gt;0")),0),"no output yet"))</f>
        <v/>
      </c>
      <c r="AD624" s="26">
        <f>IF($E624="","",IFERROR(ROUND(MAX(0,SUMIFS($AF624:$IN624,$AF$4:$IN$4,"SEW_PLAN",$AF$3:$IN$3,"&lt;="&amp;TODAY())-SUMIFS($AF624:$IN624,$AF$4:$IN$4,"SEW_ACT",$AF$3:$IN$3,"&lt;="&amp;TODAY())+N(Q624))/(SUMIFS($AF624:$IN624,$AF$4:$IN$4,"SEW_PLAN")/COUNTIFS($AF$4:$IN$4,"SEW_PLAN",$AF624:$IN624,"&gt;0")),1),0))</f>
        <v/>
      </c>
      <c r="AE624" s="26">
        <f>IF($E624="","",IF(AND(Z624&gt;0,OR(AND(M624&lt;&gt;"",TODAY()&gt;M624),AND(V624&lt;&gt;"",V624-TODAY()&lt;=7))),"Yes","No"))</f>
        <v/>
      </c>
      <c r="AH624">
        <f>IF(OR(AF$3="",AF$3&gt;TODAY()),"",IF(AND(AF624="",AG624=""),"",N(AG624)-N(AF624)))</f>
        <v/>
      </c>
      <c r="AK624">
        <f>IF(OR(AF$3="",AF$3&gt;TODAY()),"",IF(AND(AI624="",AJ624=""),"",N(AJ624)-N(AI624)))</f>
        <v/>
      </c>
      <c r="AO624">
        <f>IF(OR(AM$3="",AM$3&gt;TODAY()),"",IF(AND(AM624="",AN624=""),"",N(AN624)-N(AM624)))</f>
        <v/>
      </c>
      <c r="AR624">
        <f>IF(OR(AM$3="",AM$3&gt;TODAY()),"",IF(AND(AP624="",AQ624=""),"",N(AQ624)-N(AP624)))</f>
        <v/>
      </c>
      <c r="AV624">
        <f>IF(OR(AT$3="",AT$3&gt;TODAY()),"",IF(AND(AT624="",AU624=""),"",N(AU624)-N(AT624)))</f>
        <v/>
      </c>
      <c r="AY624">
        <f>IF(OR(AT$3="",AT$3&gt;TODAY()),"",IF(AND(AW624="",AX624=""),"",N(AX624)-N(AW624)))</f>
        <v/>
      </c>
      <c r="BC624">
        <f>IF(OR(BA$3="",BA$3&gt;TODAY()),"",IF(AND(BA624="",BB624=""),"",N(BB624)-N(BA624)))</f>
        <v/>
      </c>
      <c r="BF624">
        <f>IF(OR(BA$3="",BA$3&gt;TODAY()),"",IF(AND(BD624="",BE624=""),"",N(BE624)-N(BD624)))</f>
        <v/>
      </c>
      <c r="BJ624">
        <f>IF(OR(BH$3="",BH$3&gt;TODAY()),"",IF(AND(BH624="",BI624=""),"",N(BI624)-N(BH624)))</f>
        <v/>
      </c>
      <c r="BM624">
        <f>IF(OR(BH$3="",BH$3&gt;TODAY()),"",IF(AND(BK624="",BL624=""),"",N(BL624)-N(BK624)))</f>
        <v/>
      </c>
      <c r="BQ624">
        <f>IF(OR(BO$3="",BO$3&gt;TODAY()),"",IF(AND(BO624="",BP624=""),"",N(BP624)-N(BO624)))</f>
        <v/>
      </c>
      <c r="BT624">
        <f>IF(OR(BO$3="",BO$3&gt;TODAY()),"",IF(AND(BR624="",BS624=""),"",N(BS624)-N(BR624)))</f>
        <v/>
      </c>
      <c r="BX624">
        <f>IF(OR(BV$3="",BV$3&gt;TODAY()),"",IF(AND(BV624="",BW624=""),"",N(BW624)-N(BV624)))</f>
        <v/>
      </c>
      <c r="CA624">
        <f>IF(OR(BV$3="",BV$3&gt;TODAY()),"",IF(AND(BY624="",BZ624=""),"",N(BZ624)-N(BY624)))</f>
        <v/>
      </c>
      <c r="CE624">
        <f>IF(OR(CC$3="",CC$3&gt;TODAY()),"",IF(AND(CC624="",CD624=""),"",N(CD624)-N(CC624)))</f>
        <v/>
      </c>
      <c r="CH624">
        <f>IF(OR(CC$3="",CC$3&gt;TODAY()),"",IF(AND(CF624="",CG624=""),"",N(CG624)-N(CF624)))</f>
        <v/>
      </c>
      <c r="CL624">
        <f>IF(OR(CJ$3="",CJ$3&gt;TODAY()),"",IF(AND(CJ624="",CK624=""),"",N(CK624)-N(CJ624)))</f>
        <v/>
      </c>
      <c r="CO624">
        <f>IF(OR(CJ$3="",CJ$3&gt;TODAY()),"",IF(AND(CM624="",CN624=""),"",N(CN624)-N(CM624)))</f>
        <v/>
      </c>
      <c r="CS624">
        <f>IF(OR(CQ$3="",CQ$3&gt;TODAY()),"",IF(AND(CQ624="",CR624=""),"",N(CR624)-N(CQ624)))</f>
        <v/>
      </c>
      <c r="CV624">
        <f>IF(OR(CQ$3="",CQ$3&gt;TODAY()),"",IF(AND(CT624="",CU624=""),"",N(CU624)-N(CT624)))</f>
        <v/>
      </c>
      <c r="CZ624">
        <f>IF(OR(CX$3="",CX$3&gt;TODAY()),"",IF(AND(CX624="",CY624=""),"",N(CY624)-N(CX624)))</f>
        <v/>
      </c>
      <c r="DC624">
        <f>IF(OR(CX$3="",CX$3&gt;TODAY()),"",IF(AND(DA624="",DB624=""),"",N(DB624)-N(DA624)))</f>
        <v/>
      </c>
      <c r="DG624">
        <f>IF(OR(DE$3="",DE$3&gt;TODAY()),"",IF(AND(DE624="",DF624=""),"",N(DF624)-N(DE624)))</f>
        <v/>
      </c>
      <c r="DJ624">
        <f>IF(OR(DE$3="",DE$3&gt;TODAY()),"",IF(AND(DH624="",DI624=""),"",N(DI624)-N(DH624)))</f>
        <v/>
      </c>
      <c r="DN624">
        <f>IF(OR(DL$3="",DL$3&gt;TODAY()),"",IF(AND(DL624="",DM624=""),"",N(DM624)-N(DL624)))</f>
        <v/>
      </c>
      <c r="DQ624">
        <f>IF(OR(DL$3="",DL$3&gt;TODAY()),"",IF(AND(DO624="",DP624=""),"",N(DP624)-N(DO624)))</f>
        <v/>
      </c>
      <c r="DU624">
        <f>IF(OR(DS$3="",DS$3&gt;TODAY()),"",IF(AND(DS624="",DT624=""),"",N(DT624)-N(DS624)))</f>
        <v/>
      </c>
      <c r="DX624">
        <f>IF(OR(DS$3="",DS$3&gt;TODAY()),"",IF(AND(DV624="",DW624=""),"",N(DW624)-N(DV624)))</f>
        <v/>
      </c>
      <c r="EB624">
        <f>IF(OR(DZ$3="",DZ$3&gt;TODAY()),"",IF(AND(DZ624="",EA624=""),"",N(EA624)-N(DZ624)))</f>
        <v/>
      </c>
      <c r="EE624">
        <f>IF(OR(DZ$3="",DZ$3&gt;TODAY()),"",IF(AND(EC624="",ED624=""),"",N(ED624)-N(EC624)))</f>
        <v/>
      </c>
      <c r="EI624">
        <f>IF(OR(EG$3="",EG$3&gt;TODAY()),"",IF(AND(EG624="",EH624=""),"",N(EH624)-N(EG624)))</f>
        <v/>
      </c>
      <c r="EL624">
        <f>IF(OR(EG$3="",EG$3&gt;TODAY()),"",IF(AND(EJ624="",EK624=""),"",N(EK624)-N(EJ624)))</f>
        <v/>
      </c>
      <c r="EP624">
        <f>IF(OR(EN$3="",EN$3&gt;TODAY()),"",IF(AND(EN624="",EO624=""),"",N(EO624)-N(EN624)))</f>
        <v/>
      </c>
      <c r="ES624">
        <f>IF(OR(EN$3="",EN$3&gt;TODAY()),"",IF(AND(EQ624="",ER624=""),"",N(ER624)-N(EQ624)))</f>
        <v/>
      </c>
      <c r="EW624">
        <f>IF(OR(EU$3="",EU$3&gt;TODAY()),"",IF(AND(EU624="",EV624=""),"",N(EV624)-N(EU624)))</f>
        <v/>
      </c>
      <c r="EZ624">
        <f>IF(OR(EU$3="",EU$3&gt;TODAY()),"",IF(AND(EX624="",EY624=""),"",N(EY624)-N(EX624)))</f>
        <v/>
      </c>
      <c r="FD624">
        <f>IF(OR(FB$3="",FB$3&gt;TODAY()),"",IF(AND(FB624="",FC624=""),"",N(FC624)-N(FB624)))</f>
        <v/>
      </c>
      <c r="FG624">
        <f>IF(OR(FB$3="",FB$3&gt;TODAY()),"",IF(AND(FE624="",FF624=""),"",N(FF624)-N(FE624)))</f>
        <v/>
      </c>
      <c r="FK624">
        <f>IF(OR(FI$3="",FI$3&gt;TODAY()),"",IF(AND(FI624="",FJ624=""),"",N(FJ624)-N(FI624)))</f>
        <v/>
      </c>
      <c r="FN624">
        <f>IF(OR(FI$3="",FI$3&gt;TODAY()),"",IF(AND(FL624="",FM624=""),"",N(FM624)-N(FL624)))</f>
        <v/>
      </c>
      <c r="FR624">
        <f>IF(OR(FP$3="",FP$3&gt;TODAY()),"",IF(AND(FP624="",FQ624=""),"",N(FQ624)-N(FP624)))</f>
        <v/>
      </c>
      <c r="FU624">
        <f>IF(OR(FP$3="",FP$3&gt;TODAY()),"",IF(AND(FS624="",FT624=""),"",N(FT624)-N(FS624)))</f>
        <v/>
      </c>
      <c r="FY624">
        <f>IF(OR(FW$3="",FW$3&gt;TODAY()),"",IF(AND(FW624="",FX624=""),"",N(FX624)-N(FW624)))</f>
        <v/>
      </c>
      <c r="GB624">
        <f>IF(OR(FW$3="",FW$3&gt;TODAY()),"",IF(AND(FZ624="",GA624=""),"",N(GA624)-N(FZ624)))</f>
        <v/>
      </c>
      <c r="GF624">
        <f>IF(OR(GD$3="",GD$3&gt;TODAY()),"",IF(AND(GD624="",GE624=""),"",N(GE624)-N(GD624)))</f>
        <v/>
      </c>
      <c r="GI624">
        <f>IF(OR(GD$3="",GD$3&gt;TODAY()),"",IF(AND(GG624="",GH624=""),"",N(GH624)-N(GG624)))</f>
        <v/>
      </c>
      <c r="GM624">
        <f>IF(OR(GK$3="",GK$3&gt;TODAY()),"",IF(AND(GK624="",GL624=""),"",N(GL624)-N(GK624)))</f>
        <v/>
      </c>
      <c r="GP624">
        <f>IF(OR(GK$3="",GK$3&gt;TODAY()),"",IF(AND(GN624="",GO624=""),"",N(GO624)-N(GN624)))</f>
        <v/>
      </c>
      <c r="GT624">
        <f>IF(OR(GR$3="",GR$3&gt;TODAY()),"",IF(AND(GR624="",GS624=""),"",N(GS624)-N(GR624)))</f>
        <v/>
      </c>
      <c r="GW624">
        <f>IF(OR(GR$3="",GR$3&gt;TODAY()),"",IF(AND(GU624="",GV624=""),"",N(GV624)-N(GU624)))</f>
        <v/>
      </c>
      <c r="HA624">
        <f>IF(OR(GY$3="",GY$3&gt;TODAY()),"",IF(AND(GY624="",GZ624=""),"",N(GZ624)-N(GY624)))</f>
        <v/>
      </c>
      <c r="HD624">
        <f>IF(OR(GY$3="",GY$3&gt;TODAY()),"",IF(AND(HB624="",HC624=""),"",N(HC624)-N(HB624)))</f>
        <v/>
      </c>
      <c r="HH624">
        <f>IF(OR(HF$3="",HF$3&gt;TODAY()),"",IF(AND(HF624="",HG624=""),"",N(HG624)-N(HF624)))</f>
        <v/>
      </c>
      <c r="HK624">
        <f>IF(OR(HF$3="",HF$3&gt;TODAY()),"",IF(AND(HI624="",HJ624=""),"",N(HJ624)-N(HI624)))</f>
        <v/>
      </c>
      <c r="HO624">
        <f>IF(OR(HM$3="",HM$3&gt;TODAY()),"",IF(AND(HM624="",HN624=""),"",N(HN624)-N(HM624)))</f>
        <v/>
      </c>
      <c r="HR624">
        <f>IF(OR(HM$3="",HM$3&gt;TODAY()),"",IF(AND(HP624="",HQ624=""),"",N(HQ624)-N(HP624)))</f>
        <v/>
      </c>
      <c r="HV624">
        <f>IF(OR(HT$3="",HT$3&gt;TODAY()),"",IF(AND(HT624="",HU624=""),"",N(HU624)-N(HT624)))</f>
        <v/>
      </c>
      <c r="HY624">
        <f>IF(OR(HT$3="",HT$3&gt;TODAY()),"",IF(AND(HW624="",HX624=""),"",N(HX624)-N(HW624)))</f>
        <v/>
      </c>
      <c r="IC624">
        <f>IF(OR(IA$3="",IA$3&gt;TODAY()),"",IF(AND(IA624="",IB624=""),"",N(IB624)-N(IA624)))</f>
        <v/>
      </c>
      <c r="IF624">
        <f>IF(OR(IA$3="",IA$3&gt;TODAY()),"",IF(AND(ID624="",IE624=""),"",N(IE624)-N(ID624)))</f>
        <v/>
      </c>
      <c r="IJ624">
        <f>IF(OR(IH$3="",IH$3&gt;TODAY()),"",IF(AND(IH624="",II624=""),"",N(II624)-N(IH624)))</f>
        <v/>
      </c>
      <c r="IM624">
        <f>IF(OR(IH$3="",IH$3&gt;TODAY()),"",IF(AND(IK624="",IL624=""),"",N(IL624)-N(IK624)))</f>
        <v/>
      </c>
    </row>
    <row r="625">
      <c r="A625" s="21" t="n"/>
      <c r="B625" s="21" t="n"/>
      <c r="C625" s="21" t="n"/>
      <c r="D625" s="21" t="n"/>
      <c r="E625" s="21" t="n"/>
      <c r="F625" s="21" t="n"/>
      <c r="G625" s="21" t="n"/>
      <c r="H625" s="21" t="n"/>
      <c r="I625" s="22" t="n"/>
      <c r="J625" s="22" t="n"/>
      <c r="K625" s="23" t="n"/>
      <c r="L625" s="22" t="n"/>
      <c r="M625" s="22" t="n"/>
      <c r="N625" s="21" t="n"/>
      <c r="O625" s="23" t="n"/>
      <c r="P625" s="23" t="n"/>
      <c r="Q625" s="23" t="n"/>
      <c r="R625" s="23" t="n"/>
      <c r="S625" s="22" t="n"/>
      <c r="T625" s="23" t="n"/>
      <c r="U625" s="23" t="n"/>
      <c r="V625" s="24">
        <f>IF(J625&lt;&gt;"",J625,IF(I625&lt;&gt;"",I625,""))</f>
        <v/>
      </c>
      <c r="W625" s="25">
        <f>IF($E625="","",N(O625)+SUMIFS($AF625:$IN625,$AF$4:$IN$4,"SEW_ACT"))</f>
        <v/>
      </c>
      <c r="X625" s="25">
        <f>IF($E625="","",N(P625)+SUMIFS($AF625:$IN625,$AF$4:$IN$4,"WASH_ACT"))</f>
        <v/>
      </c>
      <c r="Y625" s="25">
        <f>IF($E625="","",W625-X625-N(T625)-N(U625))</f>
        <v/>
      </c>
      <c r="Z625" s="25">
        <f>IF($E625="","",IF(N(K625)-X625&lt;=0.02*N(K625),0,N(K625)-X625))</f>
        <v/>
      </c>
      <c r="AA625" s="24">
        <f>IF($E625="","",IF(S625&lt;&gt;"",S625,IF(N(O625)&gt;0,IF(L625&lt;&gt;"",L625,99999),IFERROR(1/(1/_xlfn.MINIFS($AF$3:$IN$3,$AF$4:$IN$4,"SEW_ACT",$AF625:$IN625,"&gt;0")),99999))))</f>
        <v/>
      </c>
      <c r="AB625" s="26">
        <f>IF(OR($E625="",Z625=0,V625=""),"",1+COUNTIFS(Z$8:Z$707,"&gt;0",V$8:V$707,"&lt;"&amp;V625)+COUNTIFS(Z$8:Z$707,"&gt;0",V$8:V$707,V625,AA$8:AA$707,"&lt;"&amp;AA625)+COUNTIFS(Z$8:Z$707,"&gt;0",V$8:V$707,V625,AA$8:AA$707,AA625,E$8:E$707,"&lt;"&amp;$E625))</f>
        <v/>
      </c>
      <c r="AC625" s="24">
        <f>IF(OR($E625="",Z625=0),"",IFERROR(TODAY()+ROUNDUP(Z625/(SUMIFS($AF625:$IN625,$AF$4:$IN$4,"WASH_ACT")/COUNTIFS($AF$4:$IN$4,"WASH_ACT",$AF625:$IN625,"&gt;0")),0),"no output yet"))</f>
        <v/>
      </c>
      <c r="AD625" s="26">
        <f>IF($E625="","",IFERROR(ROUND(MAX(0,SUMIFS($AF625:$IN625,$AF$4:$IN$4,"SEW_PLAN",$AF$3:$IN$3,"&lt;="&amp;TODAY())-SUMIFS($AF625:$IN625,$AF$4:$IN$4,"SEW_ACT",$AF$3:$IN$3,"&lt;="&amp;TODAY())+N(Q625))/(SUMIFS($AF625:$IN625,$AF$4:$IN$4,"SEW_PLAN")/COUNTIFS($AF$4:$IN$4,"SEW_PLAN",$AF625:$IN625,"&gt;0")),1),0))</f>
        <v/>
      </c>
      <c r="AE625" s="26">
        <f>IF($E625="","",IF(AND(Z625&gt;0,OR(AND(M625&lt;&gt;"",TODAY()&gt;M625),AND(V625&lt;&gt;"",V625-TODAY()&lt;=7))),"Yes","No"))</f>
        <v/>
      </c>
      <c r="AH625">
        <f>IF(OR(AF$3="",AF$3&gt;TODAY()),"",IF(AND(AF625="",AG625=""),"",N(AG625)-N(AF625)))</f>
        <v/>
      </c>
      <c r="AK625">
        <f>IF(OR(AF$3="",AF$3&gt;TODAY()),"",IF(AND(AI625="",AJ625=""),"",N(AJ625)-N(AI625)))</f>
        <v/>
      </c>
      <c r="AO625">
        <f>IF(OR(AM$3="",AM$3&gt;TODAY()),"",IF(AND(AM625="",AN625=""),"",N(AN625)-N(AM625)))</f>
        <v/>
      </c>
      <c r="AR625">
        <f>IF(OR(AM$3="",AM$3&gt;TODAY()),"",IF(AND(AP625="",AQ625=""),"",N(AQ625)-N(AP625)))</f>
        <v/>
      </c>
      <c r="AV625">
        <f>IF(OR(AT$3="",AT$3&gt;TODAY()),"",IF(AND(AT625="",AU625=""),"",N(AU625)-N(AT625)))</f>
        <v/>
      </c>
      <c r="AY625">
        <f>IF(OR(AT$3="",AT$3&gt;TODAY()),"",IF(AND(AW625="",AX625=""),"",N(AX625)-N(AW625)))</f>
        <v/>
      </c>
      <c r="BC625">
        <f>IF(OR(BA$3="",BA$3&gt;TODAY()),"",IF(AND(BA625="",BB625=""),"",N(BB625)-N(BA625)))</f>
        <v/>
      </c>
      <c r="BF625">
        <f>IF(OR(BA$3="",BA$3&gt;TODAY()),"",IF(AND(BD625="",BE625=""),"",N(BE625)-N(BD625)))</f>
        <v/>
      </c>
      <c r="BJ625">
        <f>IF(OR(BH$3="",BH$3&gt;TODAY()),"",IF(AND(BH625="",BI625=""),"",N(BI625)-N(BH625)))</f>
        <v/>
      </c>
      <c r="BM625">
        <f>IF(OR(BH$3="",BH$3&gt;TODAY()),"",IF(AND(BK625="",BL625=""),"",N(BL625)-N(BK625)))</f>
        <v/>
      </c>
      <c r="BQ625">
        <f>IF(OR(BO$3="",BO$3&gt;TODAY()),"",IF(AND(BO625="",BP625=""),"",N(BP625)-N(BO625)))</f>
        <v/>
      </c>
      <c r="BT625">
        <f>IF(OR(BO$3="",BO$3&gt;TODAY()),"",IF(AND(BR625="",BS625=""),"",N(BS625)-N(BR625)))</f>
        <v/>
      </c>
      <c r="BX625">
        <f>IF(OR(BV$3="",BV$3&gt;TODAY()),"",IF(AND(BV625="",BW625=""),"",N(BW625)-N(BV625)))</f>
        <v/>
      </c>
      <c r="CA625">
        <f>IF(OR(BV$3="",BV$3&gt;TODAY()),"",IF(AND(BY625="",BZ625=""),"",N(BZ625)-N(BY625)))</f>
        <v/>
      </c>
      <c r="CE625">
        <f>IF(OR(CC$3="",CC$3&gt;TODAY()),"",IF(AND(CC625="",CD625=""),"",N(CD625)-N(CC625)))</f>
        <v/>
      </c>
      <c r="CH625">
        <f>IF(OR(CC$3="",CC$3&gt;TODAY()),"",IF(AND(CF625="",CG625=""),"",N(CG625)-N(CF625)))</f>
        <v/>
      </c>
      <c r="CL625">
        <f>IF(OR(CJ$3="",CJ$3&gt;TODAY()),"",IF(AND(CJ625="",CK625=""),"",N(CK625)-N(CJ625)))</f>
        <v/>
      </c>
      <c r="CO625">
        <f>IF(OR(CJ$3="",CJ$3&gt;TODAY()),"",IF(AND(CM625="",CN625=""),"",N(CN625)-N(CM625)))</f>
        <v/>
      </c>
      <c r="CS625">
        <f>IF(OR(CQ$3="",CQ$3&gt;TODAY()),"",IF(AND(CQ625="",CR625=""),"",N(CR625)-N(CQ625)))</f>
        <v/>
      </c>
      <c r="CV625">
        <f>IF(OR(CQ$3="",CQ$3&gt;TODAY()),"",IF(AND(CT625="",CU625=""),"",N(CU625)-N(CT625)))</f>
        <v/>
      </c>
      <c r="CZ625">
        <f>IF(OR(CX$3="",CX$3&gt;TODAY()),"",IF(AND(CX625="",CY625=""),"",N(CY625)-N(CX625)))</f>
        <v/>
      </c>
      <c r="DC625">
        <f>IF(OR(CX$3="",CX$3&gt;TODAY()),"",IF(AND(DA625="",DB625=""),"",N(DB625)-N(DA625)))</f>
        <v/>
      </c>
      <c r="DG625">
        <f>IF(OR(DE$3="",DE$3&gt;TODAY()),"",IF(AND(DE625="",DF625=""),"",N(DF625)-N(DE625)))</f>
        <v/>
      </c>
      <c r="DJ625">
        <f>IF(OR(DE$3="",DE$3&gt;TODAY()),"",IF(AND(DH625="",DI625=""),"",N(DI625)-N(DH625)))</f>
        <v/>
      </c>
      <c r="DN625">
        <f>IF(OR(DL$3="",DL$3&gt;TODAY()),"",IF(AND(DL625="",DM625=""),"",N(DM625)-N(DL625)))</f>
        <v/>
      </c>
      <c r="DQ625">
        <f>IF(OR(DL$3="",DL$3&gt;TODAY()),"",IF(AND(DO625="",DP625=""),"",N(DP625)-N(DO625)))</f>
        <v/>
      </c>
      <c r="DU625">
        <f>IF(OR(DS$3="",DS$3&gt;TODAY()),"",IF(AND(DS625="",DT625=""),"",N(DT625)-N(DS625)))</f>
        <v/>
      </c>
      <c r="DX625">
        <f>IF(OR(DS$3="",DS$3&gt;TODAY()),"",IF(AND(DV625="",DW625=""),"",N(DW625)-N(DV625)))</f>
        <v/>
      </c>
      <c r="EB625">
        <f>IF(OR(DZ$3="",DZ$3&gt;TODAY()),"",IF(AND(DZ625="",EA625=""),"",N(EA625)-N(DZ625)))</f>
        <v/>
      </c>
      <c r="EE625">
        <f>IF(OR(DZ$3="",DZ$3&gt;TODAY()),"",IF(AND(EC625="",ED625=""),"",N(ED625)-N(EC625)))</f>
        <v/>
      </c>
      <c r="EI625">
        <f>IF(OR(EG$3="",EG$3&gt;TODAY()),"",IF(AND(EG625="",EH625=""),"",N(EH625)-N(EG625)))</f>
        <v/>
      </c>
      <c r="EL625">
        <f>IF(OR(EG$3="",EG$3&gt;TODAY()),"",IF(AND(EJ625="",EK625=""),"",N(EK625)-N(EJ625)))</f>
        <v/>
      </c>
      <c r="EP625">
        <f>IF(OR(EN$3="",EN$3&gt;TODAY()),"",IF(AND(EN625="",EO625=""),"",N(EO625)-N(EN625)))</f>
        <v/>
      </c>
      <c r="ES625">
        <f>IF(OR(EN$3="",EN$3&gt;TODAY()),"",IF(AND(EQ625="",ER625=""),"",N(ER625)-N(EQ625)))</f>
        <v/>
      </c>
      <c r="EW625">
        <f>IF(OR(EU$3="",EU$3&gt;TODAY()),"",IF(AND(EU625="",EV625=""),"",N(EV625)-N(EU625)))</f>
        <v/>
      </c>
      <c r="EZ625">
        <f>IF(OR(EU$3="",EU$3&gt;TODAY()),"",IF(AND(EX625="",EY625=""),"",N(EY625)-N(EX625)))</f>
        <v/>
      </c>
      <c r="FD625">
        <f>IF(OR(FB$3="",FB$3&gt;TODAY()),"",IF(AND(FB625="",FC625=""),"",N(FC625)-N(FB625)))</f>
        <v/>
      </c>
      <c r="FG625">
        <f>IF(OR(FB$3="",FB$3&gt;TODAY()),"",IF(AND(FE625="",FF625=""),"",N(FF625)-N(FE625)))</f>
        <v/>
      </c>
      <c r="FK625">
        <f>IF(OR(FI$3="",FI$3&gt;TODAY()),"",IF(AND(FI625="",FJ625=""),"",N(FJ625)-N(FI625)))</f>
        <v/>
      </c>
      <c r="FN625">
        <f>IF(OR(FI$3="",FI$3&gt;TODAY()),"",IF(AND(FL625="",FM625=""),"",N(FM625)-N(FL625)))</f>
        <v/>
      </c>
      <c r="FR625">
        <f>IF(OR(FP$3="",FP$3&gt;TODAY()),"",IF(AND(FP625="",FQ625=""),"",N(FQ625)-N(FP625)))</f>
        <v/>
      </c>
      <c r="FU625">
        <f>IF(OR(FP$3="",FP$3&gt;TODAY()),"",IF(AND(FS625="",FT625=""),"",N(FT625)-N(FS625)))</f>
        <v/>
      </c>
      <c r="FY625">
        <f>IF(OR(FW$3="",FW$3&gt;TODAY()),"",IF(AND(FW625="",FX625=""),"",N(FX625)-N(FW625)))</f>
        <v/>
      </c>
      <c r="GB625">
        <f>IF(OR(FW$3="",FW$3&gt;TODAY()),"",IF(AND(FZ625="",GA625=""),"",N(GA625)-N(FZ625)))</f>
        <v/>
      </c>
      <c r="GF625">
        <f>IF(OR(GD$3="",GD$3&gt;TODAY()),"",IF(AND(GD625="",GE625=""),"",N(GE625)-N(GD625)))</f>
        <v/>
      </c>
      <c r="GI625">
        <f>IF(OR(GD$3="",GD$3&gt;TODAY()),"",IF(AND(GG625="",GH625=""),"",N(GH625)-N(GG625)))</f>
        <v/>
      </c>
      <c r="GM625">
        <f>IF(OR(GK$3="",GK$3&gt;TODAY()),"",IF(AND(GK625="",GL625=""),"",N(GL625)-N(GK625)))</f>
        <v/>
      </c>
      <c r="GP625">
        <f>IF(OR(GK$3="",GK$3&gt;TODAY()),"",IF(AND(GN625="",GO625=""),"",N(GO625)-N(GN625)))</f>
        <v/>
      </c>
      <c r="GT625">
        <f>IF(OR(GR$3="",GR$3&gt;TODAY()),"",IF(AND(GR625="",GS625=""),"",N(GS625)-N(GR625)))</f>
        <v/>
      </c>
      <c r="GW625">
        <f>IF(OR(GR$3="",GR$3&gt;TODAY()),"",IF(AND(GU625="",GV625=""),"",N(GV625)-N(GU625)))</f>
        <v/>
      </c>
      <c r="HA625">
        <f>IF(OR(GY$3="",GY$3&gt;TODAY()),"",IF(AND(GY625="",GZ625=""),"",N(GZ625)-N(GY625)))</f>
        <v/>
      </c>
      <c r="HD625">
        <f>IF(OR(GY$3="",GY$3&gt;TODAY()),"",IF(AND(HB625="",HC625=""),"",N(HC625)-N(HB625)))</f>
        <v/>
      </c>
      <c r="HH625">
        <f>IF(OR(HF$3="",HF$3&gt;TODAY()),"",IF(AND(HF625="",HG625=""),"",N(HG625)-N(HF625)))</f>
        <v/>
      </c>
      <c r="HK625">
        <f>IF(OR(HF$3="",HF$3&gt;TODAY()),"",IF(AND(HI625="",HJ625=""),"",N(HJ625)-N(HI625)))</f>
        <v/>
      </c>
      <c r="HO625">
        <f>IF(OR(HM$3="",HM$3&gt;TODAY()),"",IF(AND(HM625="",HN625=""),"",N(HN625)-N(HM625)))</f>
        <v/>
      </c>
      <c r="HR625">
        <f>IF(OR(HM$3="",HM$3&gt;TODAY()),"",IF(AND(HP625="",HQ625=""),"",N(HQ625)-N(HP625)))</f>
        <v/>
      </c>
      <c r="HV625">
        <f>IF(OR(HT$3="",HT$3&gt;TODAY()),"",IF(AND(HT625="",HU625=""),"",N(HU625)-N(HT625)))</f>
        <v/>
      </c>
      <c r="HY625">
        <f>IF(OR(HT$3="",HT$3&gt;TODAY()),"",IF(AND(HW625="",HX625=""),"",N(HX625)-N(HW625)))</f>
        <v/>
      </c>
      <c r="IC625">
        <f>IF(OR(IA$3="",IA$3&gt;TODAY()),"",IF(AND(IA625="",IB625=""),"",N(IB625)-N(IA625)))</f>
        <v/>
      </c>
      <c r="IF625">
        <f>IF(OR(IA$3="",IA$3&gt;TODAY()),"",IF(AND(ID625="",IE625=""),"",N(IE625)-N(ID625)))</f>
        <v/>
      </c>
      <c r="IJ625">
        <f>IF(OR(IH$3="",IH$3&gt;TODAY()),"",IF(AND(IH625="",II625=""),"",N(II625)-N(IH625)))</f>
        <v/>
      </c>
      <c r="IM625">
        <f>IF(OR(IH$3="",IH$3&gt;TODAY()),"",IF(AND(IK625="",IL625=""),"",N(IL625)-N(IK625)))</f>
        <v/>
      </c>
    </row>
    <row r="626">
      <c r="A626" s="21" t="n"/>
      <c r="B626" s="21" t="n"/>
      <c r="C626" s="21" t="n"/>
      <c r="D626" s="21" t="n"/>
      <c r="E626" s="21" t="n"/>
      <c r="F626" s="21" t="n"/>
      <c r="G626" s="21" t="n"/>
      <c r="H626" s="21" t="n"/>
      <c r="I626" s="22" t="n"/>
      <c r="J626" s="22" t="n"/>
      <c r="K626" s="23" t="n"/>
      <c r="L626" s="22" t="n"/>
      <c r="M626" s="22" t="n"/>
      <c r="N626" s="21" t="n"/>
      <c r="O626" s="23" t="n"/>
      <c r="P626" s="23" t="n"/>
      <c r="Q626" s="23" t="n"/>
      <c r="R626" s="23" t="n"/>
      <c r="S626" s="22" t="n"/>
      <c r="T626" s="23" t="n"/>
      <c r="U626" s="23" t="n"/>
      <c r="V626" s="24">
        <f>IF(J626&lt;&gt;"",J626,IF(I626&lt;&gt;"",I626,""))</f>
        <v/>
      </c>
      <c r="W626" s="25">
        <f>IF($E626="","",N(O626)+SUMIFS($AF626:$IN626,$AF$4:$IN$4,"SEW_ACT"))</f>
        <v/>
      </c>
      <c r="X626" s="25">
        <f>IF($E626="","",N(P626)+SUMIFS($AF626:$IN626,$AF$4:$IN$4,"WASH_ACT"))</f>
        <v/>
      </c>
      <c r="Y626" s="25">
        <f>IF($E626="","",W626-X626-N(T626)-N(U626))</f>
        <v/>
      </c>
      <c r="Z626" s="25">
        <f>IF($E626="","",IF(N(K626)-X626&lt;=0.02*N(K626),0,N(K626)-X626))</f>
        <v/>
      </c>
      <c r="AA626" s="24">
        <f>IF($E626="","",IF(S626&lt;&gt;"",S626,IF(N(O626)&gt;0,IF(L626&lt;&gt;"",L626,99999),IFERROR(1/(1/_xlfn.MINIFS($AF$3:$IN$3,$AF$4:$IN$4,"SEW_ACT",$AF626:$IN626,"&gt;0")),99999))))</f>
        <v/>
      </c>
      <c r="AB626" s="26">
        <f>IF(OR($E626="",Z626=0,V626=""),"",1+COUNTIFS(Z$8:Z$707,"&gt;0",V$8:V$707,"&lt;"&amp;V626)+COUNTIFS(Z$8:Z$707,"&gt;0",V$8:V$707,V626,AA$8:AA$707,"&lt;"&amp;AA626)+COUNTIFS(Z$8:Z$707,"&gt;0",V$8:V$707,V626,AA$8:AA$707,AA626,E$8:E$707,"&lt;"&amp;$E626))</f>
        <v/>
      </c>
      <c r="AC626" s="24">
        <f>IF(OR($E626="",Z626=0),"",IFERROR(TODAY()+ROUNDUP(Z626/(SUMIFS($AF626:$IN626,$AF$4:$IN$4,"WASH_ACT")/COUNTIFS($AF$4:$IN$4,"WASH_ACT",$AF626:$IN626,"&gt;0")),0),"no output yet"))</f>
        <v/>
      </c>
      <c r="AD626" s="26">
        <f>IF($E626="","",IFERROR(ROUND(MAX(0,SUMIFS($AF626:$IN626,$AF$4:$IN$4,"SEW_PLAN",$AF$3:$IN$3,"&lt;="&amp;TODAY())-SUMIFS($AF626:$IN626,$AF$4:$IN$4,"SEW_ACT",$AF$3:$IN$3,"&lt;="&amp;TODAY())+N(Q626))/(SUMIFS($AF626:$IN626,$AF$4:$IN$4,"SEW_PLAN")/COUNTIFS($AF$4:$IN$4,"SEW_PLAN",$AF626:$IN626,"&gt;0")),1),0))</f>
        <v/>
      </c>
      <c r="AE626" s="26">
        <f>IF($E626="","",IF(AND(Z626&gt;0,OR(AND(M626&lt;&gt;"",TODAY()&gt;M626),AND(V626&lt;&gt;"",V626-TODAY()&lt;=7))),"Yes","No"))</f>
        <v/>
      </c>
      <c r="AH626">
        <f>IF(OR(AF$3="",AF$3&gt;TODAY()),"",IF(AND(AF626="",AG626=""),"",N(AG626)-N(AF626)))</f>
        <v/>
      </c>
      <c r="AK626">
        <f>IF(OR(AF$3="",AF$3&gt;TODAY()),"",IF(AND(AI626="",AJ626=""),"",N(AJ626)-N(AI626)))</f>
        <v/>
      </c>
      <c r="AO626">
        <f>IF(OR(AM$3="",AM$3&gt;TODAY()),"",IF(AND(AM626="",AN626=""),"",N(AN626)-N(AM626)))</f>
        <v/>
      </c>
      <c r="AR626">
        <f>IF(OR(AM$3="",AM$3&gt;TODAY()),"",IF(AND(AP626="",AQ626=""),"",N(AQ626)-N(AP626)))</f>
        <v/>
      </c>
      <c r="AV626">
        <f>IF(OR(AT$3="",AT$3&gt;TODAY()),"",IF(AND(AT626="",AU626=""),"",N(AU626)-N(AT626)))</f>
        <v/>
      </c>
      <c r="AY626">
        <f>IF(OR(AT$3="",AT$3&gt;TODAY()),"",IF(AND(AW626="",AX626=""),"",N(AX626)-N(AW626)))</f>
        <v/>
      </c>
      <c r="BC626">
        <f>IF(OR(BA$3="",BA$3&gt;TODAY()),"",IF(AND(BA626="",BB626=""),"",N(BB626)-N(BA626)))</f>
        <v/>
      </c>
      <c r="BF626">
        <f>IF(OR(BA$3="",BA$3&gt;TODAY()),"",IF(AND(BD626="",BE626=""),"",N(BE626)-N(BD626)))</f>
        <v/>
      </c>
      <c r="BJ626">
        <f>IF(OR(BH$3="",BH$3&gt;TODAY()),"",IF(AND(BH626="",BI626=""),"",N(BI626)-N(BH626)))</f>
        <v/>
      </c>
      <c r="BM626">
        <f>IF(OR(BH$3="",BH$3&gt;TODAY()),"",IF(AND(BK626="",BL626=""),"",N(BL626)-N(BK626)))</f>
        <v/>
      </c>
      <c r="BQ626">
        <f>IF(OR(BO$3="",BO$3&gt;TODAY()),"",IF(AND(BO626="",BP626=""),"",N(BP626)-N(BO626)))</f>
        <v/>
      </c>
      <c r="BT626">
        <f>IF(OR(BO$3="",BO$3&gt;TODAY()),"",IF(AND(BR626="",BS626=""),"",N(BS626)-N(BR626)))</f>
        <v/>
      </c>
      <c r="BX626">
        <f>IF(OR(BV$3="",BV$3&gt;TODAY()),"",IF(AND(BV626="",BW626=""),"",N(BW626)-N(BV626)))</f>
        <v/>
      </c>
      <c r="CA626">
        <f>IF(OR(BV$3="",BV$3&gt;TODAY()),"",IF(AND(BY626="",BZ626=""),"",N(BZ626)-N(BY626)))</f>
        <v/>
      </c>
      <c r="CE626">
        <f>IF(OR(CC$3="",CC$3&gt;TODAY()),"",IF(AND(CC626="",CD626=""),"",N(CD626)-N(CC626)))</f>
        <v/>
      </c>
      <c r="CH626">
        <f>IF(OR(CC$3="",CC$3&gt;TODAY()),"",IF(AND(CF626="",CG626=""),"",N(CG626)-N(CF626)))</f>
        <v/>
      </c>
      <c r="CL626">
        <f>IF(OR(CJ$3="",CJ$3&gt;TODAY()),"",IF(AND(CJ626="",CK626=""),"",N(CK626)-N(CJ626)))</f>
        <v/>
      </c>
      <c r="CO626">
        <f>IF(OR(CJ$3="",CJ$3&gt;TODAY()),"",IF(AND(CM626="",CN626=""),"",N(CN626)-N(CM626)))</f>
        <v/>
      </c>
      <c r="CS626">
        <f>IF(OR(CQ$3="",CQ$3&gt;TODAY()),"",IF(AND(CQ626="",CR626=""),"",N(CR626)-N(CQ626)))</f>
        <v/>
      </c>
      <c r="CV626">
        <f>IF(OR(CQ$3="",CQ$3&gt;TODAY()),"",IF(AND(CT626="",CU626=""),"",N(CU626)-N(CT626)))</f>
        <v/>
      </c>
      <c r="CZ626">
        <f>IF(OR(CX$3="",CX$3&gt;TODAY()),"",IF(AND(CX626="",CY626=""),"",N(CY626)-N(CX626)))</f>
        <v/>
      </c>
      <c r="DC626">
        <f>IF(OR(CX$3="",CX$3&gt;TODAY()),"",IF(AND(DA626="",DB626=""),"",N(DB626)-N(DA626)))</f>
        <v/>
      </c>
      <c r="DG626">
        <f>IF(OR(DE$3="",DE$3&gt;TODAY()),"",IF(AND(DE626="",DF626=""),"",N(DF626)-N(DE626)))</f>
        <v/>
      </c>
      <c r="DJ626">
        <f>IF(OR(DE$3="",DE$3&gt;TODAY()),"",IF(AND(DH626="",DI626=""),"",N(DI626)-N(DH626)))</f>
        <v/>
      </c>
      <c r="DN626">
        <f>IF(OR(DL$3="",DL$3&gt;TODAY()),"",IF(AND(DL626="",DM626=""),"",N(DM626)-N(DL626)))</f>
        <v/>
      </c>
      <c r="DQ626">
        <f>IF(OR(DL$3="",DL$3&gt;TODAY()),"",IF(AND(DO626="",DP626=""),"",N(DP626)-N(DO626)))</f>
        <v/>
      </c>
      <c r="DU626">
        <f>IF(OR(DS$3="",DS$3&gt;TODAY()),"",IF(AND(DS626="",DT626=""),"",N(DT626)-N(DS626)))</f>
        <v/>
      </c>
      <c r="DX626">
        <f>IF(OR(DS$3="",DS$3&gt;TODAY()),"",IF(AND(DV626="",DW626=""),"",N(DW626)-N(DV626)))</f>
        <v/>
      </c>
      <c r="EB626">
        <f>IF(OR(DZ$3="",DZ$3&gt;TODAY()),"",IF(AND(DZ626="",EA626=""),"",N(EA626)-N(DZ626)))</f>
        <v/>
      </c>
      <c r="EE626">
        <f>IF(OR(DZ$3="",DZ$3&gt;TODAY()),"",IF(AND(EC626="",ED626=""),"",N(ED626)-N(EC626)))</f>
        <v/>
      </c>
      <c r="EI626">
        <f>IF(OR(EG$3="",EG$3&gt;TODAY()),"",IF(AND(EG626="",EH626=""),"",N(EH626)-N(EG626)))</f>
        <v/>
      </c>
      <c r="EL626">
        <f>IF(OR(EG$3="",EG$3&gt;TODAY()),"",IF(AND(EJ626="",EK626=""),"",N(EK626)-N(EJ626)))</f>
        <v/>
      </c>
      <c r="EP626">
        <f>IF(OR(EN$3="",EN$3&gt;TODAY()),"",IF(AND(EN626="",EO626=""),"",N(EO626)-N(EN626)))</f>
        <v/>
      </c>
      <c r="ES626">
        <f>IF(OR(EN$3="",EN$3&gt;TODAY()),"",IF(AND(EQ626="",ER626=""),"",N(ER626)-N(EQ626)))</f>
        <v/>
      </c>
      <c r="EW626">
        <f>IF(OR(EU$3="",EU$3&gt;TODAY()),"",IF(AND(EU626="",EV626=""),"",N(EV626)-N(EU626)))</f>
        <v/>
      </c>
      <c r="EZ626">
        <f>IF(OR(EU$3="",EU$3&gt;TODAY()),"",IF(AND(EX626="",EY626=""),"",N(EY626)-N(EX626)))</f>
        <v/>
      </c>
      <c r="FD626">
        <f>IF(OR(FB$3="",FB$3&gt;TODAY()),"",IF(AND(FB626="",FC626=""),"",N(FC626)-N(FB626)))</f>
        <v/>
      </c>
      <c r="FG626">
        <f>IF(OR(FB$3="",FB$3&gt;TODAY()),"",IF(AND(FE626="",FF626=""),"",N(FF626)-N(FE626)))</f>
        <v/>
      </c>
      <c r="FK626">
        <f>IF(OR(FI$3="",FI$3&gt;TODAY()),"",IF(AND(FI626="",FJ626=""),"",N(FJ626)-N(FI626)))</f>
        <v/>
      </c>
      <c r="FN626">
        <f>IF(OR(FI$3="",FI$3&gt;TODAY()),"",IF(AND(FL626="",FM626=""),"",N(FM626)-N(FL626)))</f>
        <v/>
      </c>
      <c r="FR626">
        <f>IF(OR(FP$3="",FP$3&gt;TODAY()),"",IF(AND(FP626="",FQ626=""),"",N(FQ626)-N(FP626)))</f>
        <v/>
      </c>
      <c r="FU626">
        <f>IF(OR(FP$3="",FP$3&gt;TODAY()),"",IF(AND(FS626="",FT626=""),"",N(FT626)-N(FS626)))</f>
        <v/>
      </c>
      <c r="FY626">
        <f>IF(OR(FW$3="",FW$3&gt;TODAY()),"",IF(AND(FW626="",FX626=""),"",N(FX626)-N(FW626)))</f>
        <v/>
      </c>
      <c r="GB626">
        <f>IF(OR(FW$3="",FW$3&gt;TODAY()),"",IF(AND(FZ626="",GA626=""),"",N(GA626)-N(FZ626)))</f>
        <v/>
      </c>
      <c r="GF626">
        <f>IF(OR(GD$3="",GD$3&gt;TODAY()),"",IF(AND(GD626="",GE626=""),"",N(GE626)-N(GD626)))</f>
        <v/>
      </c>
      <c r="GI626">
        <f>IF(OR(GD$3="",GD$3&gt;TODAY()),"",IF(AND(GG626="",GH626=""),"",N(GH626)-N(GG626)))</f>
        <v/>
      </c>
      <c r="GM626">
        <f>IF(OR(GK$3="",GK$3&gt;TODAY()),"",IF(AND(GK626="",GL626=""),"",N(GL626)-N(GK626)))</f>
        <v/>
      </c>
      <c r="GP626">
        <f>IF(OR(GK$3="",GK$3&gt;TODAY()),"",IF(AND(GN626="",GO626=""),"",N(GO626)-N(GN626)))</f>
        <v/>
      </c>
      <c r="GT626">
        <f>IF(OR(GR$3="",GR$3&gt;TODAY()),"",IF(AND(GR626="",GS626=""),"",N(GS626)-N(GR626)))</f>
        <v/>
      </c>
      <c r="GW626">
        <f>IF(OR(GR$3="",GR$3&gt;TODAY()),"",IF(AND(GU626="",GV626=""),"",N(GV626)-N(GU626)))</f>
        <v/>
      </c>
      <c r="HA626">
        <f>IF(OR(GY$3="",GY$3&gt;TODAY()),"",IF(AND(GY626="",GZ626=""),"",N(GZ626)-N(GY626)))</f>
        <v/>
      </c>
      <c r="HD626">
        <f>IF(OR(GY$3="",GY$3&gt;TODAY()),"",IF(AND(HB626="",HC626=""),"",N(HC626)-N(HB626)))</f>
        <v/>
      </c>
      <c r="HH626">
        <f>IF(OR(HF$3="",HF$3&gt;TODAY()),"",IF(AND(HF626="",HG626=""),"",N(HG626)-N(HF626)))</f>
        <v/>
      </c>
      <c r="HK626">
        <f>IF(OR(HF$3="",HF$3&gt;TODAY()),"",IF(AND(HI626="",HJ626=""),"",N(HJ626)-N(HI626)))</f>
        <v/>
      </c>
      <c r="HO626">
        <f>IF(OR(HM$3="",HM$3&gt;TODAY()),"",IF(AND(HM626="",HN626=""),"",N(HN626)-N(HM626)))</f>
        <v/>
      </c>
      <c r="HR626">
        <f>IF(OR(HM$3="",HM$3&gt;TODAY()),"",IF(AND(HP626="",HQ626=""),"",N(HQ626)-N(HP626)))</f>
        <v/>
      </c>
      <c r="HV626">
        <f>IF(OR(HT$3="",HT$3&gt;TODAY()),"",IF(AND(HT626="",HU626=""),"",N(HU626)-N(HT626)))</f>
        <v/>
      </c>
      <c r="HY626">
        <f>IF(OR(HT$3="",HT$3&gt;TODAY()),"",IF(AND(HW626="",HX626=""),"",N(HX626)-N(HW626)))</f>
        <v/>
      </c>
      <c r="IC626">
        <f>IF(OR(IA$3="",IA$3&gt;TODAY()),"",IF(AND(IA626="",IB626=""),"",N(IB626)-N(IA626)))</f>
        <v/>
      </c>
      <c r="IF626">
        <f>IF(OR(IA$3="",IA$3&gt;TODAY()),"",IF(AND(ID626="",IE626=""),"",N(IE626)-N(ID626)))</f>
        <v/>
      </c>
      <c r="IJ626">
        <f>IF(OR(IH$3="",IH$3&gt;TODAY()),"",IF(AND(IH626="",II626=""),"",N(II626)-N(IH626)))</f>
        <v/>
      </c>
      <c r="IM626">
        <f>IF(OR(IH$3="",IH$3&gt;TODAY()),"",IF(AND(IK626="",IL626=""),"",N(IL626)-N(IK626)))</f>
        <v/>
      </c>
    </row>
    <row r="627">
      <c r="A627" s="21" t="n"/>
      <c r="B627" s="21" t="n"/>
      <c r="C627" s="21" t="n"/>
      <c r="D627" s="21" t="n"/>
      <c r="E627" s="21" t="n"/>
      <c r="F627" s="21" t="n"/>
      <c r="G627" s="21" t="n"/>
      <c r="H627" s="21" t="n"/>
      <c r="I627" s="22" t="n"/>
      <c r="J627" s="22" t="n"/>
      <c r="K627" s="23" t="n"/>
      <c r="L627" s="22" t="n"/>
      <c r="M627" s="22" t="n"/>
      <c r="N627" s="21" t="n"/>
      <c r="O627" s="23" t="n"/>
      <c r="P627" s="23" t="n"/>
      <c r="Q627" s="23" t="n"/>
      <c r="R627" s="23" t="n"/>
      <c r="S627" s="22" t="n"/>
      <c r="T627" s="23" t="n"/>
      <c r="U627" s="23" t="n"/>
      <c r="V627" s="24">
        <f>IF(J627&lt;&gt;"",J627,IF(I627&lt;&gt;"",I627,""))</f>
        <v/>
      </c>
      <c r="W627" s="25">
        <f>IF($E627="","",N(O627)+SUMIFS($AF627:$IN627,$AF$4:$IN$4,"SEW_ACT"))</f>
        <v/>
      </c>
      <c r="X627" s="25">
        <f>IF($E627="","",N(P627)+SUMIFS($AF627:$IN627,$AF$4:$IN$4,"WASH_ACT"))</f>
        <v/>
      </c>
      <c r="Y627" s="25">
        <f>IF($E627="","",W627-X627-N(T627)-N(U627))</f>
        <v/>
      </c>
      <c r="Z627" s="25">
        <f>IF($E627="","",IF(N(K627)-X627&lt;=0.02*N(K627),0,N(K627)-X627))</f>
        <v/>
      </c>
      <c r="AA627" s="24">
        <f>IF($E627="","",IF(S627&lt;&gt;"",S627,IF(N(O627)&gt;0,IF(L627&lt;&gt;"",L627,99999),IFERROR(1/(1/_xlfn.MINIFS($AF$3:$IN$3,$AF$4:$IN$4,"SEW_ACT",$AF627:$IN627,"&gt;0")),99999))))</f>
        <v/>
      </c>
      <c r="AB627" s="26">
        <f>IF(OR($E627="",Z627=0,V627=""),"",1+COUNTIFS(Z$8:Z$707,"&gt;0",V$8:V$707,"&lt;"&amp;V627)+COUNTIFS(Z$8:Z$707,"&gt;0",V$8:V$707,V627,AA$8:AA$707,"&lt;"&amp;AA627)+COUNTIFS(Z$8:Z$707,"&gt;0",V$8:V$707,V627,AA$8:AA$707,AA627,E$8:E$707,"&lt;"&amp;$E627))</f>
        <v/>
      </c>
      <c r="AC627" s="24">
        <f>IF(OR($E627="",Z627=0),"",IFERROR(TODAY()+ROUNDUP(Z627/(SUMIFS($AF627:$IN627,$AF$4:$IN$4,"WASH_ACT")/COUNTIFS($AF$4:$IN$4,"WASH_ACT",$AF627:$IN627,"&gt;0")),0),"no output yet"))</f>
        <v/>
      </c>
      <c r="AD627" s="26">
        <f>IF($E627="","",IFERROR(ROUND(MAX(0,SUMIFS($AF627:$IN627,$AF$4:$IN$4,"SEW_PLAN",$AF$3:$IN$3,"&lt;="&amp;TODAY())-SUMIFS($AF627:$IN627,$AF$4:$IN$4,"SEW_ACT",$AF$3:$IN$3,"&lt;="&amp;TODAY())+N(Q627))/(SUMIFS($AF627:$IN627,$AF$4:$IN$4,"SEW_PLAN")/COUNTIFS($AF$4:$IN$4,"SEW_PLAN",$AF627:$IN627,"&gt;0")),1),0))</f>
        <v/>
      </c>
      <c r="AE627" s="26">
        <f>IF($E627="","",IF(AND(Z627&gt;0,OR(AND(M627&lt;&gt;"",TODAY()&gt;M627),AND(V627&lt;&gt;"",V627-TODAY()&lt;=7))),"Yes","No"))</f>
        <v/>
      </c>
      <c r="AH627">
        <f>IF(OR(AF$3="",AF$3&gt;TODAY()),"",IF(AND(AF627="",AG627=""),"",N(AG627)-N(AF627)))</f>
        <v/>
      </c>
      <c r="AK627">
        <f>IF(OR(AF$3="",AF$3&gt;TODAY()),"",IF(AND(AI627="",AJ627=""),"",N(AJ627)-N(AI627)))</f>
        <v/>
      </c>
      <c r="AO627">
        <f>IF(OR(AM$3="",AM$3&gt;TODAY()),"",IF(AND(AM627="",AN627=""),"",N(AN627)-N(AM627)))</f>
        <v/>
      </c>
      <c r="AR627">
        <f>IF(OR(AM$3="",AM$3&gt;TODAY()),"",IF(AND(AP627="",AQ627=""),"",N(AQ627)-N(AP627)))</f>
        <v/>
      </c>
      <c r="AV627">
        <f>IF(OR(AT$3="",AT$3&gt;TODAY()),"",IF(AND(AT627="",AU627=""),"",N(AU627)-N(AT627)))</f>
        <v/>
      </c>
      <c r="AY627">
        <f>IF(OR(AT$3="",AT$3&gt;TODAY()),"",IF(AND(AW627="",AX627=""),"",N(AX627)-N(AW627)))</f>
        <v/>
      </c>
      <c r="BC627">
        <f>IF(OR(BA$3="",BA$3&gt;TODAY()),"",IF(AND(BA627="",BB627=""),"",N(BB627)-N(BA627)))</f>
        <v/>
      </c>
      <c r="BF627">
        <f>IF(OR(BA$3="",BA$3&gt;TODAY()),"",IF(AND(BD627="",BE627=""),"",N(BE627)-N(BD627)))</f>
        <v/>
      </c>
      <c r="BJ627">
        <f>IF(OR(BH$3="",BH$3&gt;TODAY()),"",IF(AND(BH627="",BI627=""),"",N(BI627)-N(BH627)))</f>
        <v/>
      </c>
      <c r="BM627">
        <f>IF(OR(BH$3="",BH$3&gt;TODAY()),"",IF(AND(BK627="",BL627=""),"",N(BL627)-N(BK627)))</f>
        <v/>
      </c>
      <c r="BQ627">
        <f>IF(OR(BO$3="",BO$3&gt;TODAY()),"",IF(AND(BO627="",BP627=""),"",N(BP627)-N(BO627)))</f>
        <v/>
      </c>
      <c r="BT627">
        <f>IF(OR(BO$3="",BO$3&gt;TODAY()),"",IF(AND(BR627="",BS627=""),"",N(BS627)-N(BR627)))</f>
        <v/>
      </c>
      <c r="BX627">
        <f>IF(OR(BV$3="",BV$3&gt;TODAY()),"",IF(AND(BV627="",BW627=""),"",N(BW627)-N(BV627)))</f>
        <v/>
      </c>
      <c r="CA627">
        <f>IF(OR(BV$3="",BV$3&gt;TODAY()),"",IF(AND(BY627="",BZ627=""),"",N(BZ627)-N(BY627)))</f>
        <v/>
      </c>
      <c r="CE627">
        <f>IF(OR(CC$3="",CC$3&gt;TODAY()),"",IF(AND(CC627="",CD627=""),"",N(CD627)-N(CC627)))</f>
        <v/>
      </c>
      <c r="CH627">
        <f>IF(OR(CC$3="",CC$3&gt;TODAY()),"",IF(AND(CF627="",CG627=""),"",N(CG627)-N(CF627)))</f>
        <v/>
      </c>
      <c r="CL627">
        <f>IF(OR(CJ$3="",CJ$3&gt;TODAY()),"",IF(AND(CJ627="",CK627=""),"",N(CK627)-N(CJ627)))</f>
        <v/>
      </c>
      <c r="CO627">
        <f>IF(OR(CJ$3="",CJ$3&gt;TODAY()),"",IF(AND(CM627="",CN627=""),"",N(CN627)-N(CM627)))</f>
        <v/>
      </c>
      <c r="CS627">
        <f>IF(OR(CQ$3="",CQ$3&gt;TODAY()),"",IF(AND(CQ627="",CR627=""),"",N(CR627)-N(CQ627)))</f>
        <v/>
      </c>
      <c r="CV627">
        <f>IF(OR(CQ$3="",CQ$3&gt;TODAY()),"",IF(AND(CT627="",CU627=""),"",N(CU627)-N(CT627)))</f>
        <v/>
      </c>
      <c r="CZ627">
        <f>IF(OR(CX$3="",CX$3&gt;TODAY()),"",IF(AND(CX627="",CY627=""),"",N(CY627)-N(CX627)))</f>
        <v/>
      </c>
      <c r="DC627">
        <f>IF(OR(CX$3="",CX$3&gt;TODAY()),"",IF(AND(DA627="",DB627=""),"",N(DB627)-N(DA627)))</f>
        <v/>
      </c>
      <c r="DG627">
        <f>IF(OR(DE$3="",DE$3&gt;TODAY()),"",IF(AND(DE627="",DF627=""),"",N(DF627)-N(DE627)))</f>
        <v/>
      </c>
      <c r="DJ627">
        <f>IF(OR(DE$3="",DE$3&gt;TODAY()),"",IF(AND(DH627="",DI627=""),"",N(DI627)-N(DH627)))</f>
        <v/>
      </c>
      <c r="DN627">
        <f>IF(OR(DL$3="",DL$3&gt;TODAY()),"",IF(AND(DL627="",DM627=""),"",N(DM627)-N(DL627)))</f>
        <v/>
      </c>
      <c r="DQ627">
        <f>IF(OR(DL$3="",DL$3&gt;TODAY()),"",IF(AND(DO627="",DP627=""),"",N(DP627)-N(DO627)))</f>
        <v/>
      </c>
      <c r="DU627">
        <f>IF(OR(DS$3="",DS$3&gt;TODAY()),"",IF(AND(DS627="",DT627=""),"",N(DT627)-N(DS627)))</f>
        <v/>
      </c>
      <c r="DX627">
        <f>IF(OR(DS$3="",DS$3&gt;TODAY()),"",IF(AND(DV627="",DW627=""),"",N(DW627)-N(DV627)))</f>
        <v/>
      </c>
      <c r="EB627">
        <f>IF(OR(DZ$3="",DZ$3&gt;TODAY()),"",IF(AND(DZ627="",EA627=""),"",N(EA627)-N(DZ627)))</f>
        <v/>
      </c>
      <c r="EE627">
        <f>IF(OR(DZ$3="",DZ$3&gt;TODAY()),"",IF(AND(EC627="",ED627=""),"",N(ED627)-N(EC627)))</f>
        <v/>
      </c>
      <c r="EI627">
        <f>IF(OR(EG$3="",EG$3&gt;TODAY()),"",IF(AND(EG627="",EH627=""),"",N(EH627)-N(EG627)))</f>
        <v/>
      </c>
      <c r="EL627">
        <f>IF(OR(EG$3="",EG$3&gt;TODAY()),"",IF(AND(EJ627="",EK627=""),"",N(EK627)-N(EJ627)))</f>
        <v/>
      </c>
      <c r="EP627">
        <f>IF(OR(EN$3="",EN$3&gt;TODAY()),"",IF(AND(EN627="",EO627=""),"",N(EO627)-N(EN627)))</f>
        <v/>
      </c>
      <c r="ES627">
        <f>IF(OR(EN$3="",EN$3&gt;TODAY()),"",IF(AND(EQ627="",ER627=""),"",N(ER627)-N(EQ627)))</f>
        <v/>
      </c>
      <c r="EW627">
        <f>IF(OR(EU$3="",EU$3&gt;TODAY()),"",IF(AND(EU627="",EV627=""),"",N(EV627)-N(EU627)))</f>
        <v/>
      </c>
      <c r="EZ627">
        <f>IF(OR(EU$3="",EU$3&gt;TODAY()),"",IF(AND(EX627="",EY627=""),"",N(EY627)-N(EX627)))</f>
        <v/>
      </c>
      <c r="FD627">
        <f>IF(OR(FB$3="",FB$3&gt;TODAY()),"",IF(AND(FB627="",FC627=""),"",N(FC627)-N(FB627)))</f>
        <v/>
      </c>
      <c r="FG627">
        <f>IF(OR(FB$3="",FB$3&gt;TODAY()),"",IF(AND(FE627="",FF627=""),"",N(FF627)-N(FE627)))</f>
        <v/>
      </c>
      <c r="FK627">
        <f>IF(OR(FI$3="",FI$3&gt;TODAY()),"",IF(AND(FI627="",FJ627=""),"",N(FJ627)-N(FI627)))</f>
        <v/>
      </c>
      <c r="FN627">
        <f>IF(OR(FI$3="",FI$3&gt;TODAY()),"",IF(AND(FL627="",FM627=""),"",N(FM627)-N(FL627)))</f>
        <v/>
      </c>
      <c r="FR627">
        <f>IF(OR(FP$3="",FP$3&gt;TODAY()),"",IF(AND(FP627="",FQ627=""),"",N(FQ627)-N(FP627)))</f>
        <v/>
      </c>
      <c r="FU627">
        <f>IF(OR(FP$3="",FP$3&gt;TODAY()),"",IF(AND(FS627="",FT627=""),"",N(FT627)-N(FS627)))</f>
        <v/>
      </c>
      <c r="FY627">
        <f>IF(OR(FW$3="",FW$3&gt;TODAY()),"",IF(AND(FW627="",FX627=""),"",N(FX627)-N(FW627)))</f>
        <v/>
      </c>
      <c r="GB627">
        <f>IF(OR(FW$3="",FW$3&gt;TODAY()),"",IF(AND(FZ627="",GA627=""),"",N(GA627)-N(FZ627)))</f>
        <v/>
      </c>
      <c r="GF627">
        <f>IF(OR(GD$3="",GD$3&gt;TODAY()),"",IF(AND(GD627="",GE627=""),"",N(GE627)-N(GD627)))</f>
        <v/>
      </c>
      <c r="GI627">
        <f>IF(OR(GD$3="",GD$3&gt;TODAY()),"",IF(AND(GG627="",GH627=""),"",N(GH627)-N(GG627)))</f>
        <v/>
      </c>
      <c r="GM627">
        <f>IF(OR(GK$3="",GK$3&gt;TODAY()),"",IF(AND(GK627="",GL627=""),"",N(GL627)-N(GK627)))</f>
        <v/>
      </c>
      <c r="GP627">
        <f>IF(OR(GK$3="",GK$3&gt;TODAY()),"",IF(AND(GN627="",GO627=""),"",N(GO627)-N(GN627)))</f>
        <v/>
      </c>
      <c r="GT627">
        <f>IF(OR(GR$3="",GR$3&gt;TODAY()),"",IF(AND(GR627="",GS627=""),"",N(GS627)-N(GR627)))</f>
        <v/>
      </c>
      <c r="GW627">
        <f>IF(OR(GR$3="",GR$3&gt;TODAY()),"",IF(AND(GU627="",GV627=""),"",N(GV627)-N(GU627)))</f>
        <v/>
      </c>
      <c r="HA627">
        <f>IF(OR(GY$3="",GY$3&gt;TODAY()),"",IF(AND(GY627="",GZ627=""),"",N(GZ627)-N(GY627)))</f>
        <v/>
      </c>
      <c r="HD627">
        <f>IF(OR(GY$3="",GY$3&gt;TODAY()),"",IF(AND(HB627="",HC627=""),"",N(HC627)-N(HB627)))</f>
        <v/>
      </c>
      <c r="HH627">
        <f>IF(OR(HF$3="",HF$3&gt;TODAY()),"",IF(AND(HF627="",HG627=""),"",N(HG627)-N(HF627)))</f>
        <v/>
      </c>
      <c r="HK627">
        <f>IF(OR(HF$3="",HF$3&gt;TODAY()),"",IF(AND(HI627="",HJ627=""),"",N(HJ627)-N(HI627)))</f>
        <v/>
      </c>
      <c r="HO627">
        <f>IF(OR(HM$3="",HM$3&gt;TODAY()),"",IF(AND(HM627="",HN627=""),"",N(HN627)-N(HM627)))</f>
        <v/>
      </c>
      <c r="HR627">
        <f>IF(OR(HM$3="",HM$3&gt;TODAY()),"",IF(AND(HP627="",HQ627=""),"",N(HQ627)-N(HP627)))</f>
        <v/>
      </c>
      <c r="HV627">
        <f>IF(OR(HT$3="",HT$3&gt;TODAY()),"",IF(AND(HT627="",HU627=""),"",N(HU627)-N(HT627)))</f>
        <v/>
      </c>
      <c r="HY627">
        <f>IF(OR(HT$3="",HT$3&gt;TODAY()),"",IF(AND(HW627="",HX627=""),"",N(HX627)-N(HW627)))</f>
        <v/>
      </c>
      <c r="IC627">
        <f>IF(OR(IA$3="",IA$3&gt;TODAY()),"",IF(AND(IA627="",IB627=""),"",N(IB627)-N(IA627)))</f>
        <v/>
      </c>
      <c r="IF627">
        <f>IF(OR(IA$3="",IA$3&gt;TODAY()),"",IF(AND(ID627="",IE627=""),"",N(IE627)-N(ID627)))</f>
        <v/>
      </c>
      <c r="IJ627">
        <f>IF(OR(IH$3="",IH$3&gt;TODAY()),"",IF(AND(IH627="",II627=""),"",N(II627)-N(IH627)))</f>
        <v/>
      </c>
      <c r="IM627">
        <f>IF(OR(IH$3="",IH$3&gt;TODAY()),"",IF(AND(IK627="",IL627=""),"",N(IL627)-N(IK627)))</f>
        <v/>
      </c>
    </row>
    <row r="628">
      <c r="A628" s="21" t="n"/>
      <c r="B628" s="21" t="n"/>
      <c r="C628" s="21" t="n"/>
      <c r="D628" s="21" t="n"/>
      <c r="E628" s="21" t="n"/>
      <c r="F628" s="21" t="n"/>
      <c r="G628" s="21" t="n"/>
      <c r="H628" s="21" t="n"/>
      <c r="I628" s="22" t="n"/>
      <c r="J628" s="22" t="n"/>
      <c r="K628" s="23" t="n"/>
      <c r="L628" s="22" t="n"/>
      <c r="M628" s="22" t="n"/>
      <c r="N628" s="21" t="n"/>
      <c r="O628" s="23" t="n"/>
      <c r="P628" s="23" t="n"/>
      <c r="Q628" s="23" t="n"/>
      <c r="R628" s="23" t="n"/>
      <c r="S628" s="22" t="n"/>
      <c r="T628" s="23" t="n"/>
      <c r="U628" s="23" t="n"/>
      <c r="V628" s="24">
        <f>IF(J628&lt;&gt;"",J628,IF(I628&lt;&gt;"",I628,""))</f>
        <v/>
      </c>
      <c r="W628" s="25">
        <f>IF($E628="","",N(O628)+SUMIFS($AF628:$IN628,$AF$4:$IN$4,"SEW_ACT"))</f>
        <v/>
      </c>
      <c r="X628" s="25">
        <f>IF($E628="","",N(P628)+SUMIFS($AF628:$IN628,$AF$4:$IN$4,"WASH_ACT"))</f>
        <v/>
      </c>
      <c r="Y628" s="25">
        <f>IF($E628="","",W628-X628-N(T628)-N(U628))</f>
        <v/>
      </c>
      <c r="Z628" s="25">
        <f>IF($E628="","",IF(N(K628)-X628&lt;=0.02*N(K628),0,N(K628)-X628))</f>
        <v/>
      </c>
      <c r="AA628" s="24">
        <f>IF($E628="","",IF(S628&lt;&gt;"",S628,IF(N(O628)&gt;0,IF(L628&lt;&gt;"",L628,99999),IFERROR(1/(1/_xlfn.MINIFS($AF$3:$IN$3,$AF$4:$IN$4,"SEW_ACT",$AF628:$IN628,"&gt;0")),99999))))</f>
        <v/>
      </c>
      <c r="AB628" s="26">
        <f>IF(OR($E628="",Z628=0,V628=""),"",1+COUNTIFS(Z$8:Z$707,"&gt;0",V$8:V$707,"&lt;"&amp;V628)+COUNTIFS(Z$8:Z$707,"&gt;0",V$8:V$707,V628,AA$8:AA$707,"&lt;"&amp;AA628)+COUNTIFS(Z$8:Z$707,"&gt;0",V$8:V$707,V628,AA$8:AA$707,AA628,E$8:E$707,"&lt;"&amp;$E628))</f>
        <v/>
      </c>
      <c r="AC628" s="24">
        <f>IF(OR($E628="",Z628=0),"",IFERROR(TODAY()+ROUNDUP(Z628/(SUMIFS($AF628:$IN628,$AF$4:$IN$4,"WASH_ACT")/COUNTIFS($AF$4:$IN$4,"WASH_ACT",$AF628:$IN628,"&gt;0")),0),"no output yet"))</f>
        <v/>
      </c>
      <c r="AD628" s="26">
        <f>IF($E628="","",IFERROR(ROUND(MAX(0,SUMIFS($AF628:$IN628,$AF$4:$IN$4,"SEW_PLAN",$AF$3:$IN$3,"&lt;="&amp;TODAY())-SUMIFS($AF628:$IN628,$AF$4:$IN$4,"SEW_ACT",$AF$3:$IN$3,"&lt;="&amp;TODAY())+N(Q628))/(SUMIFS($AF628:$IN628,$AF$4:$IN$4,"SEW_PLAN")/COUNTIFS($AF$4:$IN$4,"SEW_PLAN",$AF628:$IN628,"&gt;0")),1),0))</f>
        <v/>
      </c>
      <c r="AE628" s="26">
        <f>IF($E628="","",IF(AND(Z628&gt;0,OR(AND(M628&lt;&gt;"",TODAY()&gt;M628),AND(V628&lt;&gt;"",V628-TODAY()&lt;=7))),"Yes","No"))</f>
        <v/>
      </c>
      <c r="AH628">
        <f>IF(OR(AF$3="",AF$3&gt;TODAY()),"",IF(AND(AF628="",AG628=""),"",N(AG628)-N(AF628)))</f>
        <v/>
      </c>
      <c r="AK628">
        <f>IF(OR(AF$3="",AF$3&gt;TODAY()),"",IF(AND(AI628="",AJ628=""),"",N(AJ628)-N(AI628)))</f>
        <v/>
      </c>
      <c r="AO628">
        <f>IF(OR(AM$3="",AM$3&gt;TODAY()),"",IF(AND(AM628="",AN628=""),"",N(AN628)-N(AM628)))</f>
        <v/>
      </c>
      <c r="AR628">
        <f>IF(OR(AM$3="",AM$3&gt;TODAY()),"",IF(AND(AP628="",AQ628=""),"",N(AQ628)-N(AP628)))</f>
        <v/>
      </c>
      <c r="AV628">
        <f>IF(OR(AT$3="",AT$3&gt;TODAY()),"",IF(AND(AT628="",AU628=""),"",N(AU628)-N(AT628)))</f>
        <v/>
      </c>
      <c r="AY628">
        <f>IF(OR(AT$3="",AT$3&gt;TODAY()),"",IF(AND(AW628="",AX628=""),"",N(AX628)-N(AW628)))</f>
        <v/>
      </c>
      <c r="BC628">
        <f>IF(OR(BA$3="",BA$3&gt;TODAY()),"",IF(AND(BA628="",BB628=""),"",N(BB628)-N(BA628)))</f>
        <v/>
      </c>
      <c r="BF628">
        <f>IF(OR(BA$3="",BA$3&gt;TODAY()),"",IF(AND(BD628="",BE628=""),"",N(BE628)-N(BD628)))</f>
        <v/>
      </c>
      <c r="BJ628">
        <f>IF(OR(BH$3="",BH$3&gt;TODAY()),"",IF(AND(BH628="",BI628=""),"",N(BI628)-N(BH628)))</f>
        <v/>
      </c>
      <c r="BM628">
        <f>IF(OR(BH$3="",BH$3&gt;TODAY()),"",IF(AND(BK628="",BL628=""),"",N(BL628)-N(BK628)))</f>
        <v/>
      </c>
      <c r="BQ628">
        <f>IF(OR(BO$3="",BO$3&gt;TODAY()),"",IF(AND(BO628="",BP628=""),"",N(BP628)-N(BO628)))</f>
        <v/>
      </c>
      <c r="BT628">
        <f>IF(OR(BO$3="",BO$3&gt;TODAY()),"",IF(AND(BR628="",BS628=""),"",N(BS628)-N(BR628)))</f>
        <v/>
      </c>
      <c r="BX628">
        <f>IF(OR(BV$3="",BV$3&gt;TODAY()),"",IF(AND(BV628="",BW628=""),"",N(BW628)-N(BV628)))</f>
        <v/>
      </c>
      <c r="CA628">
        <f>IF(OR(BV$3="",BV$3&gt;TODAY()),"",IF(AND(BY628="",BZ628=""),"",N(BZ628)-N(BY628)))</f>
        <v/>
      </c>
      <c r="CE628">
        <f>IF(OR(CC$3="",CC$3&gt;TODAY()),"",IF(AND(CC628="",CD628=""),"",N(CD628)-N(CC628)))</f>
        <v/>
      </c>
      <c r="CH628">
        <f>IF(OR(CC$3="",CC$3&gt;TODAY()),"",IF(AND(CF628="",CG628=""),"",N(CG628)-N(CF628)))</f>
        <v/>
      </c>
      <c r="CL628">
        <f>IF(OR(CJ$3="",CJ$3&gt;TODAY()),"",IF(AND(CJ628="",CK628=""),"",N(CK628)-N(CJ628)))</f>
        <v/>
      </c>
      <c r="CO628">
        <f>IF(OR(CJ$3="",CJ$3&gt;TODAY()),"",IF(AND(CM628="",CN628=""),"",N(CN628)-N(CM628)))</f>
        <v/>
      </c>
      <c r="CS628">
        <f>IF(OR(CQ$3="",CQ$3&gt;TODAY()),"",IF(AND(CQ628="",CR628=""),"",N(CR628)-N(CQ628)))</f>
        <v/>
      </c>
      <c r="CV628">
        <f>IF(OR(CQ$3="",CQ$3&gt;TODAY()),"",IF(AND(CT628="",CU628=""),"",N(CU628)-N(CT628)))</f>
        <v/>
      </c>
      <c r="CZ628">
        <f>IF(OR(CX$3="",CX$3&gt;TODAY()),"",IF(AND(CX628="",CY628=""),"",N(CY628)-N(CX628)))</f>
        <v/>
      </c>
      <c r="DC628">
        <f>IF(OR(CX$3="",CX$3&gt;TODAY()),"",IF(AND(DA628="",DB628=""),"",N(DB628)-N(DA628)))</f>
        <v/>
      </c>
      <c r="DG628">
        <f>IF(OR(DE$3="",DE$3&gt;TODAY()),"",IF(AND(DE628="",DF628=""),"",N(DF628)-N(DE628)))</f>
        <v/>
      </c>
      <c r="DJ628">
        <f>IF(OR(DE$3="",DE$3&gt;TODAY()),"",IF(AND(DH628="",DI628=""),"",N(DI628)-N(DH628)))</f>
        <v/>
      </c>
      <c r="DN628">
        <f>IF(OR(DL$3="",DL$3&gt;TODAY()),"",IF(AND(DL628="",DM628=""),"",N(DM628)-N(DL628)))</f>
        <v/>
      </c>
      <c r="DQ628">
        <f>IF(OR(DL$3="",DL$3&gt;TODAY()),"",IF(AND(DO628="",DP628=""),"",N(DP628)-N(DO628)))</f>
        <v/>
      </c>
      <c r="DU628">
        <f>IF(OR(DS$3="",DS$3&gt;TODAY()),"",IF(AND(DS628="",DT628=""),"",N(DT628)-N(DS628)))</f>
        <v/>
      </c>
      <c r="DX628">
        <f>IF(OR(DS$3="",DS$3&gt;TODAY()),"",IF(AND(DV628="",DW628=""),"",N(DW628)-N(DV628)))</f>
        <v/>
      </c>
      <c r="EB628">
        <f>IF(OR(DZ$3="",DZ$3&gt;TODAY()),"",IF(AND(DZ628="",EA628=""),"",N(EA628)-N(DZ628)))</f>
        <v/>
      </c>
      <c r="EE628">
        <f>IF(OR(DZ$3="",DZ$3&gt;TODAY()),"",IF(AND(EC628="",ED628=""),"",N(ED628)-N(EC628)))</f>
        <v/>
      </c>
      <c r="EI628">
        <f>IF(OR(EG$3="",EG$3&gt;TODAY()),"",IF(AND(EG628="",EH628=""),"",N(EH628)-N(EG628)))</f>
        <v/>
      </c>
      <c r="EL628">
        <f>IF(OR(EG$3="",EG$3&gt;TODAY()),"",IF(AND(EJ628="",EK628=""),"",N(EK628)-N(EJ628)))</f>
        <v/>
      </c>
      <c r="EP628">
        <f>IF(OR(EN$3="",EN$3&gt;TODAY()),"",IF(AND(EN628="",EO628=""),"",N(EO628)-N(EN628)))</f>
        <v/>
      </c>
      <c r="ES628">
        <f>IF(OR(EN$3="",EN$3&gt;TODAY()),"",IF(AND(EQ628="",ER628=""),"",N(ER628)-N(EQ628)))</f>
        <v/>
      </c>
      <c r="EW628">
        <f>IF(OR(EU$3="",EU$3&gt;TODAY()),"",IF(AND(EU628="",EV628=""),"",N(EV628)-N(EU628)))</f>
        <v/>
      </c>
      <c r="EZ628">
        <f>IF(OR(EU$3="",EU$3&gt;TODAY()),"",IF(AND(EX628="",EY628=""),"",N(EY628)-N(EX628)))</f>
        <v/>
      </c>
      <c r="FD628">
        <f>IF(OR(FB$3="",FB$3&gt;TODAY()),"",IF(AND(FB628="",FC628=""),"",N(FC628)-N(FB628)))</f>
        <v/>
      </c>
      <c r="FG628">
        <f>IF(OR(FB$3="",FB$3&gt;TODAY()),"",IF(AND(FE628="",FF628=""),"",N(FF628)-N(FE628)))</f>
        <v/>
      </c>
      <c r="FK628">
        <f>IF(OR(FI$3="",FI$3&gt;TODAY()),"",IF(AND(FI628="",FJ628=""),"",N(FJ628)-N(FI628)))</f>
        <v/>
      </c>
      <c r="FN628">
        <f>IF(OR(FI$3="",FI$3&gt;TODAY()),"",IF(AND(FL628="",FM628=""),"",N(FM628)-N(FL628)))</f>
        <v/>
      </c>
      <c r="FR628">
        <f>IF(OR(FP$3="",FP$3&gt;TODAY()),"",IF(AND(FP628="",FQ628=""),"",N(FQ628)-N(FP628)))</f>
        <v/>
      </c>
      <c r="FU628">
        <f>IF(OR(FP$3="",FP$3&gt;TODAY()),"",IF(AND(FS628="",FT628=""),"",N(FT628)-N(FS628)))</f>
        <v/>
      </c>
      <c r="FY628">
        <f>IF(OR(FW$3="",FW$3&gt;TODAY()),"",IF(AND(FW628="",FX628=""),"",N(FX628)-N(FW628)))</f>
        <v/>
      </c>
      <c r="GB628">
        <f>IF(OR(FW$3="",FW$3&gt;TODAY()),"",IF(AND(FZ628="",GA628=""),"",N(GA628)-N(FZ628)))</f>
        <v/>
      </c>
      <c r="GF628">
        <f>IF(OR(GD$3="",GD$3&gt;TODAY()),"",IF(AND(GD628="",GE628=""),"",N(GE628)-N(GD628)))</f>
        <v/>
      </c>
      <c r="GI628">
        <f>IF(OR(GD$3="",GD$3&gt;TODAY()),"",IF(AND(GG628="",GH628=""),"",N(GH628)-N(GG628)))</f>
        <v/>
      </c>
      <c r="GM628">
        <f>IF(OR(GK$3="",GK$3&gt;TODAY()),"",IF(AND(GK628="",GL628=""),"",N(GL628)-N(GK628)))</f>
        <v/>
      </c>
      <c r="GP628">
        <f>IF(OR(GK$3="",GK$3&gt;TODAY()),"",IF(AND(GN628="",GO628=""),"",N(GO628)-N(GN628)))</f>
        <v/>
      </c>
      <c r="GT628">
        <f>IF(OR(GR$3="",GR$3&gt;TODAY()),"",IF(AND(GR628="",GS628=""),"",N(GS628)-N(GR628)))</f>
        <v/>
      </c>
      <c r="GW628">
        <f>IF(OR(GR$3="",GR$3&gt;TODAY()),"",IF(AND(GU628="",GV628=""),"",N(GV628)-N(GU628)))</f>
        <v/>
      </c>
      <c r="HA628">
        <f>IF(OR(GY$3="",GY$3&gt;TODAY()),"",IF(AND(GY628="",GZ628=""),"",N(GZ628)-N(GY628)))</f>
        <v/>
      </c>
      <c r="HD628">
        <f>IF(OR(GY$3="",GY$3&gt;TODAY()),"",IF(AND(HB628="",HC628=""),"",N(HC628)-N(HB628)))</f>
        <v/>
      </c>
      <c r="HH628">
        <f>IF(OR(HF$3="",HF$3&gt;TODAY()),"",IF(AND(HF628="",HG628=""),"",N(HG628)-N(HF628)))</f>
        <v/>
      </c>
      <c r="HK628">
        <f>IF(OR(HF$3="",HF$3&gt;TODAY()),"",IF(AND(HI628="",HJ628=""),"",N(HJ628)-N(HI628)))</f>
        <v/>
      </c>
      <c r="HO628">
        <f>IF(OR(HM$3="",HM$3&gt;TODAY()),"",IF(AND(HM628="",HN628=""),"",N(HN628)-N(HM628)))</f>
        <v/>
      </c>
      <c r="HR628">
        <f>IF(OR(HM$3="",HM$3&gt;TODAY()),"",IF(AND(HP628="",HQ628=""),"",N(HQ628)-N(HP628)))</f>
        <v/>
      </c>
      <c r="HV628">
        <f>IF(OR(HT$3="",HT$3&gt;TODAY()),"",IF(AND(HT628="",HU628=""),"",N(HU628)-N(HT628)))</f>
        <v/>
      </c>
      <c r="HY628">
        <f>IF(OR(HT$3="",HT$3&gt;TODAY()),"",IF(AND(HW628="",HX628=""),"",N(HX628)-N(HW628)))</f>
        <v/>
      </c>
      <c r="IC628">
        <f>IF(OR(IA$3="",IA$3&gt;TODAY()),"",IF(AND(IA628="",IB628=""),"",N(IB628)-N(IA628)))</f>
        <v/>
      </c>
      <c r="IF628">
        <f>IF(OR(IA$3="",IA$3&gt;TODAY()),"",IF(AND(ID628="",IE628=""),"",N(IE628)-N(ID628)))</f>
        <v/>
      </c>
      <c r="IJ628">
        <f>IF(OR(IH$3="",IH$3&gt;TODAY()),"",IF(AND(IH628="",II628=""),"",N(II628)-N(IH628)))</f>
        <v/>
      </c>
      <c r="IM628">
        <f>IF(OR(IH$3="",IH$3&gt;TODAY()),"",IF(AND(IK628="",IL628=""),"",N(IL628)-N(IK628)))</f>
        <v/>
      </c>
    </row>
    <row r="629">
      <c r="A629" s="21" t="n"/>
      <c r="B629" s="21" t="n"/>
      <c r="C629" s="21" t="n"/>
      <c r="D629" s="21" t="n"/>
      <c r="E629" s="21" t="n"/>
      <c r="F629" s="21" t="n"/>
      <c r="G629" s="21" t="n"/>
      <c r="H629" s="21" t="n"/>
      <c r="I629" s="22" t="n"/>
      <c r="J629" s="22" t="n"/>
      <c r="K629" s="23" t="n"/>
      <c r="L629" s="22" t="n"/>
      <c r="M629" s="22" t="n"/>
      <c r="N629" s="21" t="n"/>
      <c r="O629" s="23" t="n"/>
      <c r="P629" s="23" t="n"/>
      <c r="Q629" s="23" t="n"/>
      <c r="R629" s="23" t="n"/>
      <c r="S629" s="22" t="n"/>
      <c r="T629" s="23" t="n"/>
      <c r="U629" s="23" t="n"/>
      <c r="V629" s="24">
        <f>IF(J629&lt;&gt;"",J629,IF(I629&lt;&gt;"",I629,""))</f>
        <v/>
      </c>
      <c r="W629" s="25">
        <f>IF($E629="","",N(O629)+SUMIFS($AF629:$IN629,$AF$4:$IN$4,"SEW_ACT"))</f>
        <v/>
      </c>
      <c r="X629" s="25">
        <f>IF($E629="","",N(P629)+SUMIFS($AF629:$IN629,$AF$4:$IN$4,"WASH_ACT"))</f>
        <v/>
      </c>
      <c r="Y629" s="25">
        <f>IF($E629="","",W629-X629-N(T629)-N(U629))</f>
        <v/>
      </c>
      <c r="Z629" s="25">
        <f>IF($E629="","",IF(N(K629)-X629&lt;=0.02*N(K629),0,N(K629)-X629))</f>
        <v/>
      </c>
      <c r="AA629" s="24">
        <f>IF($E629="","",IF(S629&lt;&gt;"",S629,IF(N(O629)&gt;0,IF(L629&lt;&gt;"",L629,99999),IFERROR(1/(1/_xlfn.MINIFS($AF$3:$IN$3,$AF$4:$IN$4,"SEW_ACT",$AF629:$IN629,"&gt;0")),99999))))</f>
        <v/>
      </c>
      <c r="AB629" s="26">
        <f>IF(OR($E629="",Z629=0,V629=""),"",1+COUNTIFS(Z$8:Z$707,"&gt;0",V$8:V$707,"&lt;"&amp;V629)+COUNTIFS(Z$8:Z$707,"&gt;0",V$8:V$707,V629,AA$8:AA$707,"&lt;"&amp;AA629)+COUNTIFS(Z$8:Z$707,"&gt;0",V$8:V$707,V629,AA$8:AA$707,AA629,E$8:E$707,"&lt;"&amp;$E629))</f>
        <v/>
      </c>
      <c r="AC629" s="24">
        <f>IF(OR($E629="",Z629=0),"",IFERROR(TODAY()+ROUNDUP(Z629/(SUMIFS($AF629:$IN629,$AF$4:$IN$4,"WASH_ACT")/COUNTIFS($AF$4:$IN$4,"WASH_ACT",$AF629:$IN629,"&gt;0")),0),"no output yet"))</f>
        <v/>
      </c>
      <c r="AD629" s="26">
        <f>IF($E629="","",IFERROR(ROUND(MAX(0,SUMIFS($AF629:$IN629,$AF$4:$IN$4,"SEW_PLAN",$AF$3:$IN$3,"&lt;="&amp;TODAY())-SUMIFS($AF629:$IN629,$AF$4:$IN$4,"SEW_ACT",$AF$3:$IN$3,"&lt;="&amp;TODAY())+N(Q629))/(SUMIFS($AF629:$IN629,$AF$4:$IN$4,"SEW_PLAN")/COUNTIFS($AF$4:$IN$4,"SEW_PLAN",$AF629:$IN629,"&gt;0")),1),0))</f>
        <v/>
      </c>
      <c r="AE629" s="26">
        <f>IF($E629="","",IF(AND(Z629&gt;0,OR(AND(M629&lt;&gt;"",TODAY()&gt;M629),AND(V629&lt;&gt;"",V629-TODAY()&lt;=7))),"Yes","No"))</f>
        <v/>
      </c>
      <c r="AH629">
        <f>IF(OR(AF$3="",AF$3&gt;TODAY()),"",IF(AND(AF629="",AG629=""),"",N(AG629)-N(AF629)))</f>
        <v/>
      </c>
      <c r="AK629">
        <f>IF(OR(AF$3="",AF$3&gt;TODAY()),"",IF(AND(AI629="",AJ629=""),"",N(AJ629)-N(AI629)))</f>
        <v/>
      </c>
      <c r="AO629">
        <f>IF(OR(AM$3="",AM$3&gt;TODAY()),"",IF(AND(AM629="",AN629=""),"",N(AN629)-N(AM629)))</f>
        <v/>
      </c>
      <c r="AR629">
        <f>IF(OR(AM$3="",AM$3&gt;TODAY()),"",IF(AND(AP629="",AQ629=""),"",N(AQ629)-N(AP629)))</f>
        <v/>
      </c>
      <c r="AV629">
        <f>IF(OR(AT$3="",AT$3&gt;TODAY()),"",IF(AND(AT629="",AU629=""),"",N(AU629)-N(AT629)))</f>
        <v/>
      </c>
      <c r="AY629">
        <f>IF(OR(AT$3="",AT$3&gt;TODAY()),"",IF(AND(AW629="",AX629=""),"",N(AX629)-N(AW629)))</f>
        <v/>
      </c>
      <c r="BC629">
        <f>IF(OR(BA$3="",BA$3&gt;TODAY()),"",IF(AND(BA629="",BB629=""),"",N(BB629)-N(BA629)))</f>
        <v/>
      </c>
      <c r="BF629">
        <f>IF(OR(BA$3="",BA$3&gt;TODAY()),"",IF(AND(BD629="",BE629=""),"",N(BE629)-N(BD629)))</f>
        <v/>
      </c>
      <c r="BJ629">
        <f>IF(OR(BH$3="",BH$3&gt;TODAY()),"",IF(AND(BH629="",BI629=""),"",N(BI629)-N(BH629)))</f>
        <v/>
      </c>
      <c r="BM629">
        <f>IF(OR(BH$3="",BH$3&gt;TODAY()),"",IF(AND(BK629="",BL629=""),"",N(BL629)-N(BK629)))</f>
        <v/>
      </c>
      <c r="BQ629">
        <f>IF(OR(BO$3="",BO$3&gt;TODAY()),"",IF(AND(BO629="",BP629=""),"",N(BP629)-N(BO629)))</f>
        <v/>
      </c>
      <c r="BT629">
        <f>IF(OR(BO$3="",BO$3&gt;TODAY()),"",IF(AND(BR629="",BS629=""),"",N(BS629)-N(BR629)))</f>
        <v/>
      </c>
      <c r="BX629">
        <f>IF(OR(BV$3="",BV$3&gt;TODAY()),"",IF(AND(BV629="",BW629=""),"",N(BW629)-N(BV629)))</f>
        <v/>
      </c>
      <c r="CA629">
        <f>IF(OR(BV$3="",BV$3&gt;TODAY()),"",IF(AND(BY629="",BZ629=""),"",N(BZ629)-N(BY629)))</f>
        <v/>
      </c>
      <c r="CE629">
        <f>IF(OR(CC$3="",CC$3&gt;TODAY()),"",IF(AND(CC629="",CD629=""),"",N(CD629)-N(CC629)))</f>
        <v/>
      </c>
      <c r="CH629">
        <f>IF(OR(CC$3="",CC$3&gt;TODAY()),"",IF(AND(CF629="",CG629=""),"",N(CG629)-N(CF629)))</f>
        <v/>
      </c>
      <c r="CL629">
        <f>IF(OR(CJ$3="",CJ$3&gt;TODAY()),"",IF(AND(CJ629="",CK629=""),"",N(CK629)-N(CJ629)))</f>
        <v/>
      </c>
      <c r="CO629">
        <f>IF(OR(CJ$3="",CJ$3&gt;TODAY()),"",IF(AND(CM629="",CN629=""),"",N(CN629)-N(CM629)))</f>
        <v/>
      </c>
      <c r="CS629">
        <f>IF(OR(CQ$3="",CQ$3&gt;TODAY()),"",IF(AND(CQ629="",CR629=""),"",N(CR629)-N(CQ629)))</f>
        <v/>
      </c>
      <c r="CV629">
        <f>IF(OR(CQ$3="",CQ$3&gt;TODAY()),"",IF(AND(CT629="",CU629=""),"",N(CU629)-N(CT629)))</f>
        <v/>
      </c>
      <c r="CZ629">
        <f>IF(OR(CX$3="",CX$3&gt;TODAY()),"",IF(AND(CX629="",CY629=""),"",N(CY629)-N(CX629)))</f>
        <v/>
      </c>
      <c r="DC629">
        <f>IF(OR(CX$3="",CX$3&gt;TODAY()),"",IF(AND(DA629="",DB629=""),"",N(DB629)-N(DA629)))</f>
        <v/>
      </c>
      <c r="DG629">
        <f>IF(OR(DE$3="",DE$3&gt;TODAY()),"",IF(AND(DE629="",DF629=""),"",N(DF629)-N(DE629)))</f>
        <v/>
      </c>
      <c r="DJ629">
        <f>IF(OR(DE$3="",DE$3&gt;TODAY()),"",IF(AND(DH629="",DI629=""),"",N(DI629)-N(DH629)))</f>
        <v/>
      </c>
      <c r="DN629">
        <f>IF(OR(DL$3="",DL$3&gt;TODAY()),"",IF(AND(DL629="",DM629=""),"",N(DM629)-N(DL629)))</f>
        <v/>
      </c>
      <c r="DQ629">
        <f>IF(OR(DL$3="",DL$3&gt;TODAY()),"",IF(AND(DO629="",DP629=""),"",N(DP629)-N(DO629)))</f>
        <v/>
      </c>
      <c r="DU629">
        <f>IF(OR(DS$3="",DS$3&gt;TODAY()),"",IF(AND(DS629="",DT629=""),"",N(DT629)-N(DS629)))</f>
        <v/>
      </c>
      <c r="DX629">
        <f>IF(OR(DS$3="",DS$3&gt;TODAY()),"",IF(AND(DV629="",DW629=""),"",N(DW629)-N(DV629)))</f>
        <v/>
      </c>
      <c r="EB629">
        <f>IF(OR(DZ$3="",DZ$3&gt;TODAY()),"",IF(AND(DZ629="",EA629=""),"",N(EA629)-N(DZ629)))</f>
        <v/>
      </c>
      <c r="EE629">
        <f>IF(OR(DZ$3="",DZ$3&gt;TODAY()),"",IF(AND(EC629="",ED629=""),"",N(ED629)-N(EC629)))</f>
        <v/>
      </c>
      <c r="EI629">
        <f>IF(OR(EG$3="",EG$3&gt;TODAY()),"",IF(AND(EG629="",EH629=""),"",N(EH629)-N(EG629)))</f>
        <v/>
      </c>
      <c r="EL629">
        <f>IF(OR(EG$3="",EG$3&gt;TODAY()),"",IF(AND(EJ629="",EK629=""),"",N(EK629)-N(EJ629)))</f>
        <v/>
      </c>
      <c r="EP629">
        <f>IF(OR(EN$3="",EN$3&gt;TODAY()),"",IF(AND(EN629="",EO629=""),"",N(EO629)-N(EN629)))</f>
        <v/>
      </c>
      <c r="ES629">
        <f>IF(OR(EN$3="",EN$3&gt;TODAY()),"",IF(AND(EQ629="",ER629=""),"",N(ER629)-N(EQ629)))</f>
        <v/>
      </c>
      <c r="EW629">
        <f>IF(OR(EU$3="",EU$3&gt;TODAY()),"",IF(AND(EU629="",EV629=""),"",N(EV629)-N(EU629)))</f>
        <v/>
      </c>
      <c r="EZ629">
        <f>IF(OR(EU$3="",EU$3&gt;TODAY()),"",IF(AND(EX629="",EY629=""),"",N(EY629)-N(EX629)))</f>
        <v/>
      </c>
      <c r="FD629">
        <f>IF(OR(FB$3="",FB$3&gt;TODAY()),"",IF(AND(FB629="",FC629=""),"",N(FC629)-N(FB629)))</f>
        <v/>
      </c>
      <c r="FG629">
        <f>IF(OR(FB$3="",FB$3&gt;TODAY()),"",IF(AND(FE629="",FF629=""),"",N(FF629)-N(FE629)))</f>
        <v/>
      </c>
      <c r="FK629">
        <f>IF(OR(FI$3="",FI$3&gt;TODAY()),"",IF(AND(FI629="",FJ629=""),"",N(FJ629)-N(FI629)))</f>
        <v/>
      </c>
      <c r="FN629">
        <f>IF(OR(FI$3="",FI$3&gt;TODAY()),"",IF(AND(FL629="",FM629=""),"",N(FM629)-N(FL629)))</f>
        <v/>
      </c>
      <c r="FR629">
        <f>IF(OR(FP$3="",FP$3&gt;TODAY()),"",IF(AND(FP629="",FQ629=""),"",N(FQ629)-N(FP629)))</f>
        <v/>
      </c>
      <c r="FU629">
        <f>IF(OR(FP$3="",FP$3&gt;TODAY()),"",IF(AND(FS629="",FT629=""),"",N(FT629)-N(FS629)))</f>
        <v/>
      </c>
      <c r="FY629">
        <f>IF(OR(FW$3="",FW$3&gt;TODAY()),"",IF(AND(FW629="",FX629=""),"",N(FX629)-N(FW629)))</f>
        <v/>
      </c>
      <c r="GB629">
        <f>IF(OR(FW$3="",FW$3&gt;TODAY()),"",IF(AND(FZ629="",GA629=""),"",N(GA629)-N(FZ629)))</f>
        <v/>
      </c>
      <c r="GF629">
        <f>IF(OR(GD$3="",GD$3&gt;TODAY()),"",IF(AND(GD629="",GE629=""),"",N(GE629)-N(GD629)))</f>
        <v/>
      </c>
      <c r="GI629">
        <f>IF(OR(GD$3="",GD$3&gt;TODAY()),"",IF(AND(GG629="",GH629=""),"",N(GH629)-N(GG629)))</f>
        <v/>
      </c>
      <c r="GM629">
        <f>IF(OR(GK$3="",GK$3&gt;TODAY()),"",IF(AND(GK629="",GL629=""),"",N(GL629)-N(GK629)))</f>
        <v/>
      </c>
      <c r="GP629">
        <f>IF(OR(GK$3="",GK$3&gt;TODAY()),"",IF(AND(GN629="",GO629=""),"",N(GO629)-N(GN629)))</f>
        <v/>
      </c>
      <c r="GT629">
        <f>IF(OR(GR$3="",GR$3&gt;TODAY()),"",IF(AND(GR629="",GS629=""),"",N(GS629)-N(GR629)))</f>
        <v/>
      </c>
      <c r="GW629">
        <f>IF(OR(GR$3="",GR$3&gt;TODAY()),"",IF(AND(GU629="",GV629=""),"",N(GV629)-N(GU629)))</f>
        <v/>
      </c>
      <c r="HA629">
        <f>IF(OR(GY$3="",GY$3&gt;TODAY()),"",IF(AND(GY629="",GZ629=""),"",N(GZ629)-N(GY629)))</f>
        <v/>
      </c>
      <c r="HD629">
        <f>IF(OR(GY$3="",GY$3&gt;TODAY()),"",IF(AND(HB629="",HC629=""),"",N(HC629)-N(HB629)))</f>
        <v/>
      </c>
      <c r="HH629">
        <f>IF(OR(HF$3="",HF$3&gt;TODAY()),"",IF(AND(HF629="",HG629=""),"",N(HG629)-N(HF629)))</f>
        <v/>
      </c>
      <c r="HK629">
        <f>IF(OR(HF$3="",HF$3&gt;TODAY()),"",IF(AND(HI629="",HJ629=""),"",N(HJ629)-N(HI629)))</f>
        <v/>
      </c>
      <c r="HO629">
        <f>IF(OR(HM$3="",HM$3&gt;TODAY()),"",IF(AND(HM629="",HN629=""),"",N(HN629)-N(HM629)))</f>
        <v/>
      </c>
      <c r="HR629">
        <f>IF(OR(HM$3="",HM$3&gt;TODAY()),"",IF(AND(HP629="",HQ629=""),"",N(HQ629)-N(HP629)))</f>
        <v/>
      </c>
      <c r="HV629">
        <f>IF(OR(HT$3="",HT$3&gt;TODAY()),"",IF(AND(HT629="",HU629=""),"",N(HU629)-N(HT629)))</f>
        <v/>
      </c>
      <c r="HY629">
        <f>IF(OR(HT$3="",HT$3&gt;TODAY()),"",IF(AND(HW629="",HX629=""),"",N(HX629)-N(HW629)))</f>
        <v/>
      </c>
      <c r="IC629">
        <f>IF(OR(IA$3="",IA$3&gt;TODAY()),"",IF(AND(IA629="",IB629=""),"",N(IB629)-N(IA629)))</f>
        <v/>
      </c>
      <c r="IF629">
        <f>IF(OR(IA$3="",IA$3&gt;TODAY()),"",IF(AND(ID629="",IE629=""),"",N(IE629)-N(ID629)))</f>
        <v/>
      </c>
      <c r="IJ629">
        <f>IF(OR(IH$3="",IH$3&gt;TODAY()),"",IF(AND(IH629="",II629=""),"",N(II629)-N(IH629)))</f>
        <v/>
      </c>
      <c r="IM629">
        <f>IF(OR(IH$3="",IH$3&gt;TODAY()),"",IF(AND(IK629="",IL629=""),"",N(IL629)-N(IK629)))</f>
        <v/>
      </c>
    </row>
    <row r="630">
      <c r="A630" s="21" t="n"/>
      <c r="B630" s="21" t="n"/>
      <c r="C630" s="21" t="n"/>
      <c r="D630" s="21" t="n"/>
      <c r="E630" s="21" t="n"/>
      <c r="F630" s="21" t="n"/>
      <c r="G630" s="21" t="n"/>
      <c r="H630" s="21" t="n"/>
      <c r="I630" s="22" t="n"/>
      <c r="J630" s="22" t="n"/>
      <c r="K630" s="23" t="n"/>
      <c r="L630" s="22" t="n"/>
      <c r="M630" s="22" t="n"/>
      <c r="N630" s="21" t="n"/>
      <c r="O630" s="23" t="n"/>
      <c r="P630" s="23" t="n"/>
      <c r="Q630" s="23" t="n"/>
      <c r="R630" s="23" t="n"/>
      <c r="S630" s="22" t="n"/>
      <c r="T630" s="23" t="n"/>
      <c r="U630" s="23" t="n"/>
      <c r="V630" s="24">
        <f>IF(J630&lt;&gt;"",J630,IF(I630&lt;&gt;"",I630,""))</f>
        <v/>
      </c>
      <c r="W630" s="25">
        <f>IF($E630="","",N(O630)+SUMIFS($AF630:$IN630,$AF$4:$IN$4,"SEW_ACT"))</f>
        <v/>
      </c>
      <c r="X630" s="25">
        <f>IF($E630="","",N(P630)+SUMIFS($AF630:$IN630,$AF$4:$IN$4,"WASH_ACT"))</f>
        <v/>
      </c>
      <c r="Y630" s="25">
        <f>IF($E630="","",W630-X630-N(T630)-N(U630))</f>
        <v/>
      </c>
      <c r="Z630" s="25">
        <f>IF($E630="","",IF(N(K630)-X630&lt;=0.02*N(K630),0,N(K630)-X630))</f>
        <v/>
      </c>
      <c r="AA630" s="24">
        <f>IF($E630="","",IF(S630&lt;&gt;"",S630,IF(N(O630)&gt;0,IF(L630&lt;&gt;"",L630,99999),IFERROR(1/(1/_xlfn.MINIFS($AF$3:$IN$3,$AF$4:$IN$4,"SEW_ACT",$AF630:$IN630,"&gt;0")),99999))))</f>
        <v/>
      </c>
      <c r="AB630" s="26">
        <f>IF(OR($E630="",Z630=0,V630=""),"",1+COUNTIFS(Z$8:Z$707,"&gt;0",V$8:V$707,"&lt;"&amp;V630)+COUNTIFS(Z$8:Z$707,"&gt;0",V$8:V$707,V630,AA$8:AA$707,"&lt;"&amp;AA630)+COUNTIFS(Z$8:Z$707,"&gt;0",V$8:V$707,V630,AA$8:AA$707,AA630,E$8:E$707,"&lt;"&amp;$E630))</f>
        <v/>
      </c>
      <c r="AC630" s="24">
        <f>IF(OR($E630="",Z630=0),"",IFERROR(TODAY()+ROUNDUP(Z630/(SUMIFS($AF630:$IN630,$AF$4:$IN$4,"WASH_ACT")/COUNTIFS($AF$4:$IN$4,"WASH_ACT",$AF630:$IN630,"&gt;0")),0),"no output yet"))</f>
        <v/>
      </c>
      <c r="AD630" s="26">
        <f>IF($E630="","",IFERROR(ROUND(MAX(0,SUMIFS($AF630:$IN630,$AF$4:$IN$4,"SEW_PLAN",$AF$3:$IN$3,"&lt;="&amp;TODAY())-SUMIFS($AF630:$IN630,$AF$4:$IN$4,"SEW_ACT",$AF$3:$IN$3,"&lt;="&amp;TODAY())+N(Q630))/(SUMIFS($AF630:$IN630,$AF$4:$IN$4,"SEW_PLAN")/COUNTIFS($AF$4:$IN$4,"SEW_PLAN",$AF630:$IN630,"&gt;0")),1),0))</f>
        <v/>
      </c>
      <c r="AE630" s="26">
        <f>IF($E630="","",IF(AND(Z630&gt;0,OR(AND(M630&lt;&gt;"",TODAY()&gt;M630),AND(V630&lt;&gt;"",V630-TODAY()&lt;=7))),"Yes","No"))</f>
        <v/>
      </c>
      <c r="AH630">
        <f>IF(OR(AF$3="",AF$3&gt;TODAY()),"",IF(AND(AF630="",AG630=""),"",N(AG630)-N(AF630)))</f>
        <v/>
      </c>
      <c r="AK630">
        <f>IF(OR(AF$3="",AF$3&gt;TODAY()),"",IF(AND(AI630="",AJ630=""),"",N(AJ630)-N(AI630)))</f>
        <v/>
      </c>
      <c r="AO630">
        <f>IF(OR(AM$3="",AM$3&gt;TODAY()),"",IF(AND(AM630="",AN630=""),"",N(AN630)-N(AM630)))</f>
        <v/>
      </c>
      <c r="AR630">
        <f>IF(OR(AM$3="",AM$3&gt;TODAY()),"",IF(AND(AP630="",AQ630=""),"",N(AQ630)-N(AP630)))</f>
        <v/>
      </c>
      <c r="AV630">
        <f>IF(OR(AT$3="",AT$3&gt;TODAY()),"",IF(AND(AT630="",AU630=""),"",N(AU630)-N(AT630)))</f>
        <v/>
      </c>
      <c r="AY630">
        <f>IF(OR(AT$3="",AT$3&gt;TODAY()),"",IF(AND(AW630="",AX630=""),"",N(AX630)-N(AW630)))</f>
        <v/>
      </c>
      <c r="BC630">
        <f>IF(OR(BA$3="",BA$3&gt;TODAY()),"",IF(AND(BA630="",BB630=""),"",N(BB630)-N(BA630)))</f>
        <v/>
      </c>
      <c r="BF630">
        <f>IF(OR(BA$3="",BA$3&gt;TODAY()),"",IF(AND(BD630="",BE630=""),"",N(BE630)-N(BD630)))</f>
        <v/>
      </c>
      <c r="BJ630">
        <f>IF(OR(BH$3="",BH$3&gt;TODAY()),"",IF(AND(BH630="",BI630=""),"",N(BI630)-N(BH630)))</f>
        <v/>
      </c>
      <c r="BM630">
        <f>IF(OR(BH$3="",BH$3&gt;TODAY()),"",IF(AND(BK630="",BL630=""),"",N(BL630)-N(BK630)))</f>
        <v/>
      </c>
      <c r="BQ630">
        <f>IF(OR(BO$3="",BO$3&gt;TODAY()),"",IF(AND(BO630="",BP630=""),"",N(BP630)-N(BO630)))</f>
        <v/>
      </c>
      <c r="BT630">
        <f>IF(OR(BO$3="",BO$3&gt;TODAY()),"",IF(AND(BR630="",BS630=""),"",N(BS630)-N(BR630)))</f>
        <v/>
      </c>
      <c r="BX630">
        <f>IF(OR(BV$3="",BV$3&gt;TODAY()),"",IF(AND(BV630="",BW630=""),"",N(BW630)-N(BV630)))</f>
        <v/>
      </c>
      <c r="CA630">
        <f>IF(OR(BV$3="",BV$3&gt;TODAY()),"",IF(AND(BY630="",BZ630=""),"",N(BZ630)-N(BY630)))</f>
        <v/>
      </c>
      <c r="CE630">
        <f>IF(OR(CC$3="",CC$3&gt;TODAY()),"",IF(AND(CC630="",CD630=""),"",N(CD630)-N(CC630)))</f>
        <v/>
      </c>
      <c r="CH630">
        <f>IF(OR(CC$3="",CC$3&gt;TODAY()),"",IF(AND(CF630="",CG630=""),"",N(CG630)-N(CF630)))</f>
        <v/>
      </c>
      <c r="CL630">
        <f>IF(OR(CJ$3="",CJ$3&gt;TODAY()),"",IF(AND(CJ630="",CK630=""),"",N(CK630)-N(CJ630)))</f>
        <v/>
      </c>
      <c r="CO630">
        <f>IF(OR(CJ$3="",CJ$3&gt;TODAY()),"",IF(AND(CM630="",CN630=""),"",N(CN630)-N(CM630)))</f>
        <v/>
      </c>
      <c r="CS630">
        <f>IF(OR(CQ$3="",CQ$3&gt;TODAY()),"",IF(AND(CQ630="",CR630=""),"",N(CR630)-N(CQ630)))</f>
        <v/>
      </c>
      <c r="CV630">
        <f>IF(OR(CQ$3="",CQ$3&gt;TODAY()),"",IF(AND(CT630="",CU630=""),"",N(CU630)-N(CT630)))</f>
        <v/>
      </c>
      <c r="CZ630">
        <f>IF(OR(CX$3="",CX$3&gt;TODAY()),"",IF(AND(CX630="",CY630=""),"",N(CY630)-N(CX630)))</f>
        <v/>
      </c>
      <c r="DC630">
        <f>IF(OR(CX$3="",CX$3&gt;TODAY()),"",IF(AND(DA630="",DB630=""),"",N(DB630)-N(DA630)))</f>
        <v/>
      </c>
      <c r="DG630">
        <f>IF(OR(DE$3="",DE$3&gt;TODAY()),"",IF(AND(DE630="",DF630=""),"",N(DF630)-N(DE630)))</f>
        <v/>
      </c>
      <c r="DJ630">
        <f>IF(OR(DE$3="",DE$3&gt;TODAY()),"",IF(AND(DH630="",DI630=""),"",N(DI630)-N(DH630)))</f>
        <v/>
      </c>
      <c r="DN630">
        <f>IF(OR(DL$3="",DL$3&gt;TODAY()),"",IF(AND(DL630="",DM630=""),"",N(DM630)-N(DL630)))</f>
        <v/>
      </c>
      <c r="DQ630">
        <f>IF(OR(DL$3="",DL$3&gt;TODAY()),"",IF(AND(DO630="",DP630=""),"",N(DP630)-N(DO630)))</f>
        <v/>
      </c>
      <c r="DU630">
        <f>IF(OR(DS$3="",DS$3&gt;TODAY()),"",IF(AND(DS630="",DT630=""),"",N(DT630)-N(DS630)))</f>
        <v/>
      </c>
      <c r="DX630">
        <f>IF(OR(DS$3="",DS$3&gt;TODAY()),"",IF(AND(DV630="",DW630=""),"",N(DW630)-N(DV630)))</f>
        <v/>
      </c>
      <c r="EB630">
        <f>IF(OR(DZ$3="",DZ$3&gt;TODAY()),"",IF(AND(DZ630="",EA630=""),"",N(EA630)-N(DZ630)))</f>
        <v/>
      </c>
      <c r="EE630">
        <f>IF(OR(DZ$3="",DZ$3&gt;TODAY()),"",IF(AND(EC630="",ED630=""),"",N(ED630)-N(EC630)))</f>
        <v/>
      </c>
      <c r="EI630">
        <f>IF(OR(EG$3="",EG$3&gt;TODAY()),"",IF(AND(EG630="",EH630=""),"",N(EH630)-N(EG630)))</f>
        <v/>
      </c>
      <c r="EL630">
        <f>IF(OR(EG$3="",EG$3&gt;TODAY()),"",IF(AND(EJ630="",EK630=""),"",N(EK630)-N(EJ630)))</f>
        <v/>
      </c>
      <c r="EP630">
        <f>IF(OR(EN$3="",EN$3&gt;TODAY()),"",IF(AND(EN630="",EO630=""),"",N(EO630)-N(EN630)))</f>
        <v/>
      </c>
      <c r="ES630">
        <f>IF(OR(EN$3="",EN$3&gt;TODAY()),"",IF(AND(EQ630="",ER630=""),"",N(ER630)-N(EQ630)))</f>
        <v/>
      </c>
      <c r="EW630">
        <f>IF(OR(EU$3="",EU$3&gt;TODAY()),"",IF(AND(EU630="",EV630=""),"",N(EV630)-N(EU630)))</f>
        <v/>
      </c>
      <c r="EZ630">
        <f>IF(OR(EU$3="",EU$3&gt;TODAY()),"",IF(AND(EX630="",EY630=""),"",N(EY630)-N(EX630)))</f>
        <v/>
      </c>
      <c r="FD630">
        <f>IF(OR(FB$3="",FB$3&gt;TODAY()),"",IF(AND(FB630="",FC630=""),"",N(FC630)-N(FB630)))</f>
        <v/>
      </c>
      <c r="FG630">
        <f>IF(OR(FB$3="",FB$3&gt;TODAY()),"",IF(AND(FE630="",FF630=""),"",N(FF630)-N(FE630)))</f>
        <v/>
      </c>
      <c r="FK630">
        <f>IF(OR(FI$3="",FI$3&gt;TODAY()),"",IF(AND(FI630="",FJ630=""),"",N(FJ630)-N(FI630)))</f>
        <v/>
      </c>
      <c r="FN630">
        <f>IF(OR(FI$3="",FI$3&gt;TODAY()),"",IF(AND(FL630="",FM630=""),"",N(FM630)-N(FL630)))</f>
        <v/>
      </c>
      <c r="FR630">
        <f>IF(OR(FP$3="",FP$3&gt;TODAY()),"",IF(AND(FP630="",FQ630=""),"",N(FQ630)-N(FP630)))</f>
        <v/>
      </c>
      <c r="FU630">
        <f>IF(OR(FP$3="",FP$3&gt;TODAY()),"",IF(AND(FS630="",FT630=""),"",N(FT630)-N(FS630)))</f>
        <v/>
      </c>
      <c r="FY630">
        <f>IF(OR(FW$3="",FW$3&gt;TODAY()),"",IF(AND(FW630="",FX630=""),"",N(FX630)-N(FW630)))</f>
        <v/>
      </c>
      <c r="GB630">
        <f>IF(OR(FW$3="",FW$3&gt;TODAY()),"",IF(AND(FZ630="",GA630=""),"",N(GA630)-N(FZ630)))</f>
        <v/>
      </c>
      <c r="GF630">
        <f>IF(OR(GD$3="",GD$3&gt;TODAY()),"",IF(AND(GD630="",GE630=""),"",N(GE630)-N(GD630)))</f>
        <v/>
      </c>
      <c r="GI630">
        <f>IF(OR(GD$3="",GD$3&gt;TODAY()),"",IF(AND(GG630="",GH630=""),"",N(GH630)-N(GG630)))</f>
        <v/>
      </c>
      <c r="GM630">
        <f>IF(OR(GK$3="",GK$3&gt;TODAY()),"",IF(AND(GK630="",GL630=""),"",N(GL630)-N(GK630)))</f>
        <v/>
      </c>
      <c r="GP630">
        <f>IF(OR(GK$3="",GK$3&gt;TODAY()),"",IF(AND(GN630="",GO630=""),"",N(GO630)-N(GN630)))</f>
        <v/>
      </c>
      <c r="GT630">
        <f>IF(OR(GR$3="",GR$3&gt;TODAY()),"",IF(AND(GR630="",GS630=""),"",N(GS630)-N(GR630)))</f>
        <v/>
      </c>
      <c r="GW630">
        <f>IF(OR(GR$3="",GR$3&gt;TODAY()),"",IF(AND(GU630="",GV630=""),"",N(GV630)-N(GU630)))</f>
        <v/>
      </c>
      <c r="HA630">
        <f>IF(OR(GY$3="",GY$3&gt;TODAY()),"",IF(AND(GY630="",GZ630=""),"",N(GZ630)-N(GY630)))</f>
        <v/>
      </c>
      <c r="HD630">
        <f>IF(OR(GY$3="",GY$3&gt;TODAY()),"",IF(AND(HB630="",HC630=""),"",N(HC630)-N(HB630)))</f>
        <v/>
      </c>
      <c r="HH630">
        <f>IF(OR(HF$3="",HF$3&gt;TODAY()),"",IF(AND(HF630="",HG630=""),"",N(HG630)-N(HF630)))</f>
        <v/>
      </c>
      <c r="HK630">
        <f>IF(OR(HF$3="",HF$3&gt;TODAY()),"",IF(AND(HI630="",HJ630=""),"",N(HJ630)-N(HI630)))</f>
        <v/>
      </c>
      <c r="HO630">
        <f>IF(OR(HM$3="",HM$3&gt;TODAY()),"",IF(AND(HM630="",HN630=""),"",N(HN630)-N(HM630)))</f>
        <v/>
      </c>
      <c r="HR630">
        <f>IF(OR(HM$3="",HM$3&gt;TODAY()),"",IF(AND(HP630="",HQ630=""),"",N(HQ630)-N(HP630)))</f>
        <v/>
      </c>
      <c r="HV630">
        <f>IF(OR(HT$3="",HT$3&gt;TODAY()),"",IF(AND(HT630="",HU630=""),"",N(HU630)-N(HT630)))</f>
        <v/>
      </c>
      <c r="HY630">
        <f>IF(OR(HT$3="",HT$3&gt;TODAY()),"",IF(AND(HW630="",HX630=""),"",N(HX630)-N(HW630)))</f>
        <v/>
      </c>
      <c r="IC630">
        <f>IF(OR(IA$3="",IA$3&gt;TODAY()),"",IF(AND(IA630="",IB630=""),"",N(IB630)-N(IA630)))</f>
        <v/>
      </c>
      <c r="IF630">
        <f>IF(OR(IA$3="",IA$3&gt;TODAY()),"",IF(AND(ID630="",IE630=""),"",N(IE630)-N(ID630)))</f>
        <v/>
      </c>
      <c r="IJ630">
        <f>IF(OR(IH$3="",IH$3&gt;TODAY()),"",IF(AND(IH630="",II630=""),"",N(II630)-N(IH630)))</f>
        <v/>
      </c>
      <c r="IM630">
        <f>IF(OR(IH$3="",IH$3&gt;TODAY()),"",IF(AND(IK630="",IL630=""),"",N(IL630)-N(IK630)))</f>
        <v/>
      </c>
    </row>
    <row r="631">
      <c r="A631" s="21" t="n"/>
      <c r="B631" s="21" t="n"/>
      <c r="C631" s="21" t="n"/>
      <c r="D631" s="21" t="n"/>
      <c r="E631" s="21" t="n"/>
      <c r="F631" s="21" t="n"/>
      <c r="G631" s="21" t="n"/>
      <c r="H631" s="21" t="n"/>
      <c r="I631" s="22" t="n"/>
      <c r="J631" s="22" t="n"/>
      <c r="K631" s="23" t="n"/>
      <c r="L631" s="22" t="n"/>
      <c r="M631" s="22" t="n"/>
      <c r="N631" s="21" t="n"/>
      <c r="O631" s="23" t="n"/>
      <c r="P631" s="23" t="n"/>
      <c r="Q631" s="23" t="n"/>
      <c r="R631" s="23" t="n"/>
      <c r="S631" s="22" t="n"/>
      <c r="T631" s="23" t="n"/>
      <c r="U631" s="23" t="n"/>
      <c r="V631" s="24">
        <f>IF(J631&lt;&gt;"",J631,IF(I631&lt;&gt;"",I631,""))</f>
        <v/>
      </c>
      <c r="W631" s="25">
        <f>IF($E631="","",N(O631)+SUMIFS($AF631:$IN631,$AF$4:$IN$4,"SEW_ACT"))</f>
        <v/>
      </c>
      <c r="X631" s="25">
        <f>IF($E631="","",N(P631)+SUMIFS($AF631:$IN631,$AF$4:$IN$4,"WASH_ACT"))</f>
        <v/>
      </c>
      <c r="Y631" s="25">
        <f>IF($E631="","",W631-X631-N(T631)-N(U631))</f>
        <v/>
      </c>
      <c r="Z631" s="25">
        <f>IF($E631="","",IF(N(K631)-X631&lt;=0.02*N(K631),0,N(K631)-X631))</f>
        <v/>
      </c>
      <c r="AA631" s="24">
        <f>IF($E631="","",IF(S631&lt;&gt;"",S631,IF(N(O631)&gt;0,IF(L631&lt;&gt;"",L631,99999),IFERROR(1/(1/_xlfn.MINIFS($AF$3:$IN$3,$AF$4:$IN$4,"SEW_ACT",$AF631:$IN631,"&gt;0")),99999))))</f>
        <v/>
      </c>
      <c r="AB631" s="26">
        <f>IF(OR($E631="",Z631=0,V631=""),"",1+COUNTIFS(Z$8:Z$707,"&gt;0",V$8:V$707,"&lt;"&amp;V631)+COUNTIFS(Z$8:Z$707,"&gt;0",V$8:V$707,V631,AA$8:AA$707,"&lt;"&amp;AA631)+COUNTIFS(Z$8:Z$707,"&gt;0",V$8:V$707,V631,AA$8:AA$707,AA631,E$8:E$707,"&lt;"&amp;$E631))</f>
        <v/>
      </c>
      <c r="AC631" s="24">
        <f>IF(OR($E631="",Z631=0),"",IFERROR(TODAY()+ROUNDUP(Z631/(SUMIFS($AF631:$IN631,$AF$4:$IN$4,"WASH_ACT")/COUNTIFS($AF$4:$IN$4,"WASH_ACT",$AF631:$IN631,"&gt;0")),0),"no output yet"))</f>
        <v/>
      </c>
      <c r="AD631" s="26">
        <f>IF($E631="","",IFERROR(ROUND(MAX(0,SUMIFS($AF631:$IN631,$AF$4:$IN$4,"SEW_PLAN",$AF$3:$IN$3,"&lt;="&amp;TODAY())-SUMIFS($AF631:$IN631,$AF$4:$IN$4,"SEW_ACT",$AF$3:$IN$3,"&lt;="&amp;TODAY())+N(Q631))/(SUMIFS($AF631:$IN631,$AF$4:$IN$4,"SEW_PLAN")/COUNTIFS($AF$4:$IN$4,"SEW_PLAN",$AF631:$IN631,"&gt;0")),1),0))</f>
        <v/>
      </c>
      <c r="AE631" s="26">
        <f>IF($E631="","",IF(AND(Z631&gt;0,OR(AND(M631&lt;&gt;"",TODAY()&gt;M631),AND(V631&lt;&gt;"",V631-TODAY()&lt;=7))),"Yes","No"))</f>
        <v/>
      </c>
      <c r="AH631">
        <f>IF(OR(AF$3="",AF$3&gt;TODAY()),"",IF(AND(AF631="",AG631=""),"",N(AG631)-N(AF631)))</f>
        <v/>
      </c>
      <c r="AK631">
        <f>IF(OR(AF$3="",AF$3&gt;TODAY()),"",IF(AND(AI631="",AJ631=""),"",N(AJ631)-N(AI631)))</f>
        <v/>
      </c>
      <c r="AO631">
        <f>IF(OR(AM$3="",AM$3&gt;TODAY()),"",IF(AND(AM631="",AN631=""),"",N(AN631)-N(AM631)))</f>
        <v/>
      </c>
      <c r="AR631">
        <f>IF(OR(AM$3="",AM$3&gt;TODAY()),"",IF(AND(AP631="",AQ631=""),"",N(AQ631)-N(AP631)))</f>
        <v/>
      </c>
      <c r="AV631">
        <f>IF(OR(AT$3="",AT$3&gt;TODAY()),"",IF(AND(AT631="",AU631=""),"",N(AU631)-N(AT631)))</f>
        <v/>
      </c>
      <c r="AY631">
        <f>IF(OR(AT$3="",AT$3&gt;TODAY()),"",IF(AND(AW631="",AX631=""),"",N(AX631)-N(AW631)))</f>
        <v/>
      </c>
      <c r="BC631">
        <f>IF(OR(BA$3="",BA$3&gt;TODAY()),"",IF(AND(BA631="",BB631=""),"",N(BB631)-N(BA631)))</f>
        <v/>
      </c>
      <c r="BF631">
        <f>IF(OR(BA$3="",BA$3&gt;TODAY()),"",IF(AND(BD631="",BE631=""),"",N(BE631)-N(BD631)))</f>
        <v/>
      </c>
      <c r="BJ631">
        <f>IF(OR(BH$3="",BH$3&gt;TODAY()),"",IF(AND(BH631="",BI631=""),"",N(BI631)-N(BH631)))</f>
        <v/>
      </c>
      <c r="BM631">
        <f>IF(OR(BH$3="",BH$3&gt;TODAY()),"",IF(AND(BK631="",BL631=""),"",N(BL631)-N(BK631)))</f>
        <v/>
      </c>
      <c r="BQ631">
        <f>IF(OR(BO$3="",BO$3&gt;TODAY()),"",IF(AND(BO631="",BP631=""),"",N(BP631)-N(BO631)))</f>
        <v/>
      </c>
      <c r="BT631">
        <f>IF(OR(BO$3="",BO$3&gt;TODAY()),"",IF(AND(BR631="",BS631=""),"",N(BS631)-N(BR631)))</f>
        <v/>
      </c>
      <c r="BX631">
        <f>IF(OR(BV$3="",BV$3&gt;TODAY()),"",IF(AND(BV631="",BW631=""),"",N(BW631)-N(BV631)))</f>
        <v/>
      </c>
      <c r="CA631">
        <f>IF(OR(BV$3="",BV$3&gt;TODAY()),"",IF(AND(BY631="",BZ631=""),"",N(BZ631)-N(BY631)))</f>
        <v/>
      </c>
      <c r="CE631">
        <f>IF(OR(CC$3="",CC$3&gt;TODAY()),"",IF(AND(CC631="",CD631=""),"",N(CD631)-N(CC631)))</f>
        <v/>
      </c>
      <c r="CH631">
        <f>IF(OR(CC$3="",CC$3&gt;TODAY()),"",IF(AND(CF631="",CG631=""),"",N(CG631)-N(CF631)))</f>
        <v/>
      </c>
      <c r="CL631">
        <f>IF(OR(CJ$3="",CJ$3&gt;TODAY()),"",IF(AND(CJ631="",CK631=""),"",N(CK631)-N(CJ631)))</f>
        <v/>
      </c>
      <c r="CO631">
        <f>IF(OR(CJ$3="",CJ$3&gt;TODAY()),"",IF(AND(CM631="",CN631=""),"",N(CN631)-N(CM631)))</f>
        <v/>
      </c>
      <c r="CS631">
        <f>IF(OR(CQ$3="",CQ$3&gt;TODAY()),"",IF(AND(CQ631="",CR631=""),"",N(CR631)-N(CQ631)))</f>
        <v/>
      </c>
      <c r="CV631">
        <f>IF(OR(CQ$3="",CQ$3&gt;TODAY()),"",IF(AND(CT631="",CU631=""),"",N(CU631)-N(CT631)))</f>
        <v/>
      </c>
      <c r="CZ631">
        <f>IF(OR(CX$3="",CX$3&gt;TODAY()),"",IF(AND(CX631="",CY631=""),"",N(CY631)-N(CX631)))</f>
        <v/>
      </c>
      <c r="DC631">
        <f>IF(OR(CX$3="",CX$3&gt;TODAY()),"",IF(AND(DA631="",DB631=""),"",N(DB631)-N(DA631)))</f>
        <v/>
      </c>
      <c r="DG631">
        <f>IF(OR(DE$3="",DE$3&gt;TODAY()),"",IF(AND(DE631="",DF631=""),"",N(DF631)-N(DE631)))</f>
        <v/>
      </c>
      <c r="DJ631">
        <f>IF(OR(DE$3="",DE$3&gt;TODAY()),"",IF(AND(DH631="",DI631=""),"",N(DI631)-N(DH631)))</f>
        <v/>
      </c>
      <c r="DN631">
        <f>IF(OR(DL$3="",DL$3&gt;TODAY()),"",IF(AND(DL631="",DM631=""),"",N(DM631)-N(DL631)))</f>
        <v/>
      </c>
      <c r="DQ631">
        <f>IF(OR(DL$3="",DL$3&gt;TODAY()),"",IF(AND(DO631="",DP631=""),"",N(DP631)-N(DO631)))</f>
        <v/>
      </c>
      <c r="DU631">
        <f>IF(OR(DS$3="",DS$3&gt;TODAY()),"",IF(AND(DS631="",DT631=""),"",N(DT631)-N(DS631)))</f>
        <v/>
      </c>
      <c r="DX631">
        <f>IF(OR(DS$3="",DS$3&gt;TODAY()),"",IF(AND(DV631="",DW631=""),"",N(DW631)-N(DV631)))</f>
        <v/>
      </c>
      <c r="EB631">
        <f>IF(OR(DZ$3="",DZ$3&gt;TODAY()),"",IF(AND(DZ631="",EA631=""),"",N(EA631)-N(DZ631)))</f>
        <v/>
      </c>
      <c r="EE631">
        <f>IF(OR(DZ$3="",DZ$3&gt;TODAY()),"",IF(AND(EC631="",ED631=""),"",N(ED631)-N(EC631)))</f>
        <v/>
      </c>
      <c r="EI631">
        <f>IF(OR(EG$3="",EG$3&gt;TODAY()),"",IF(AND(EG631="",EH631=""),"",N(EH631)-N(EG631)))</f>
        <v/>
      </c>
      <c r="EL631">
        <f>IF(OR(EG$3="",EG$3&gt;TODAY()),"",IF(AND(EJ631="",EK631=""),"",N(EK631)-N(EJ631)))</f>
        <v/>
      </c>
      <c r="EP631">
        <f>IF(OR(EN$3="",EN$3&gt;TODAY()),"",IF(AND(EN631="",EO631=""),"",N(EO631)-N(EN631)))</f>
        <v/>
      </c>
      <c r="ES631">
        <f>IF(OR(EN$3="",EN$3&gt;TODAY()),"",IF(AND(EQ631="",ER631=""),"",N(ER631)-N(EQ631)))</f>
        <v/>
      </c>
      <c r="EW631">
        <f>IF(OR(EU$3="",EU$3&gt;TODAY()),"",IF(AND(EU631="",EV631=""),"",N(EV631)-N(EU631)))</f>
        <v/>
      </c>
      <c r="EZ631">
        <f>IF(OR(EU$3="",EU$3&gt;TODAY()),"",IF(AND(EX631="",EY631=""),"",N(EY631)-N(EX631)))</f>
        <v/>
      </c>
      <c r="FD631">
        <f>IF(OR(FB$3="",FB$3&gt;TODAY()),"",IF(AND(FB631="",FC631=""),"",N(FC631)-N(FB631)))</f>
        <v/>
      </c>
      <c r="FG631">
        <f>IF(OR(FB$3="",FB$3&gt;TODAY()),"",IF(AND(FE631="",FF631=""),"",N(FF631)-N(FE631)))</f>
        <v/>
      </c>
      <c r="FK631">
        <f>IF(OR(FI$3="",FI$3&gt;TODAY()),"",IF(AND(FI631="",FJ631=""),"",N(FJ631)-N(FI631)))</f>
        <v/>
      </c>
      <c r="FN631">
        <f>IF(OR(FI$3="",FI$3&gt;TODAY()),"",IF(AND(FL631="",FM631=""),"",N(FM631)-N(FL631)))</f>
        <v/>
      </c>
      <c r="FR631">
        <f>IF(OR(FP$3="",FP$3&gt;TODAY()),"",IF(AND(FP631="",FQ631=""),"",N(FQ631)-N(FP631)))</f>
        <v/>
      </c>
      <c r="FU631">
        <f>IF(OR(FP$3="",FP$3&gt;TODAY()),"",IF(AND(FS631="",FT631=""),"",N(FT631)-N(FS631)))</f>
        <v/>
      </c>
      <c r="FY631">
        <f>IF(OR(FW$3="",FW$3&gt;TODAY()),"",IF(AND(FW631="",FX631=""),"",N(FX631)-N(FW631)))</f>
        <v/>
      </c>
      <c r="GB631">
        <f>IF(OR(FW$3="",FW$3&gt;TODAY()),"",IF(AND(FZ631="",GA631=""),"",N(GA631)-N(FZ631)))</f>
        <v/>
      </c>
      <c r="GF631">
        <f>IF(OR(GD$3="",GD$3&gt;TODAY()),"",IF(AND(GD631="",GE631=""),"",N(GE631)-N(GD631)))</f>
        <v/>
      </c>
      <c r="GI631">
        <f>IF(OR(GD$3="",GD$3&gt;TODAY()),"",IF(AND(GG631="",GH631=""),"",N(GH631)-N(GG631)))</f>
        <v/>
      </c>
      <c r="GM631">
        <f>IF(OR(GK$3="",GK$3&gt;TODAY()),"",IF(AND(GK631="",GL631=""),"",N(GL631)-N(GK631)))</f>
        <v/>
      </c>
      <c r="GP631">
        <f>IF(OR(GK$3="",GK$3&gt;TODAY()),"",IF(AND(GN631="",GO631=""),"",N(GO631)-N(GN631)))</f>
        <v/>
      </c>
      <c r="GT631">
        <f>IF(OR(GR$3="",GR$3&gt;TODAY()),"",IF(AND(GR631="",GS631=""),"",N(GS631)-N(GR631)))</f>
        <v/>
      </c>
      <c r="GW631">
        <f>IF(OR(GR$3="",GR$3&gt;TODAY()),"",IF(AND(GU631="",GV631=""),"",N(GV631)-N(GU631)))</f>
        <v/>
      </c>
      <c r="HA631">
        <f>IF(OR(GY$3="",GY$3&gt;TODAY()),"",IF(AND(GY631="",GZ631=""),"",N(GZ631)-N(GY631)))</f>
        <v/>
      </c>
      <c r="HD631">
        <f>IF(OR(GY$3="",GY$3&gt;TODAY()),"",IF(AND(HB631="",HC631=""),"",N(HC631)-N(HB631)))</f>
        <v/>
      </c>
      <c r="HH631">
        <f>IF(OR(HF$3="",HF$3&gt;TODAY()),"",IF(AND(HF631="",HG631=""),"",N(HG631)-N(HF631)))</f>
        <v/>
      </c>
      <c r="HK631">
        <f>IF(OR(HF$3="",HF$3&gt;TODAY()),"",IF(AND(HI631="",HJ631=""),"",N(HJ631)-N(HI631)))</f>
        <v/>
      </c>
      <c r="HO631">
        <f>IF(OR(HM$3="",HM$3&gt;TODAY()),"",IF(AND(HM631="",HN631=""),"",N(HN631)-N(HM631)))</f>
        <v/>
      </c>
      <c r="HR631">
        <f>IF(OR(HM$3="",HM$3&gt;TODAY()),"",IF(AND(HP631="",HQ631=""),"",N(HQ631)-N(HP631)))</f>
        <v/>
      </c>
      <c r="HV631">
        <f>IF(OR(HT$3="",HT$3&gt;TODAY()),"",IF(AND(HT631="",HU631=""),"",N(HU631)-N(HT631)))</f>
        <v/>
      </c>
      <c r="HY631">
        <f>IF(OR(HT$3="",HT$3&gt;TODAY()),"",IF(AND(HW631="",HX631=""),"",N(HX631)-N(HW631)))</f>
        <v/>
      </c>
      <c r="IC631">
        <f>IF(OR(IA$3="",IA$3&gt;TODAY()),"",IF(AND(IA631="",IB631=""),"",N(IB631)-N(IA631)))</f>
        <v/>
      </c>
      <c r="IF631">
        <f>IF(OR(IA$3="",IA$3&gt;TODAY()),"",IF(AND(ID631="",IE631=""),"",N(IE631)-N(ID631)))</f>
        <v/>
      </c>
      <c r="IJ631">
        <f>IF(OR(IH$3="",IH$3&gt;TODAY()),"",IF(AND(IH631="",II631=""),"",N(II631)-N(IH631)))</f>
        <v/>
      </c>
      <c r="IM631">
        <f>IF(OR(IH$3="",IH$3&gt;TODAY()),"",IF(AND(IK631="",IL631=""),"",N(IL631)-N(IK631)))</f>
        <v/>
      </c>
    </row>
    <row r="632">
      <c r="A632" s="21" t="n"/>
      <c r="B632" s="21" t="n"/>
      <c r="C632" s="21" t="n"/>
      <c r="D632" s="21" t="n"/>
      <c r="E632" s="21" t="n"/>
      <c r="F632" s="21" t="n"/>
      <c r="G632" s="21" t="n"/>
      <c r="H632" s="21" t="n"/>
      <c r="I632" s="22" t="n"/>
      <c r="J632" s="22" t="n"/>
      <c r="K632" s="23" t="n"/>
      <c r="L632" s="22" t="n"/>
      <c r="M632" s="22" t="n"/>
      <c r="N632" s="21" t="n"/>
      <c r="O632" s="23" t="n"/>
      <c r="P632" s="23" t="n"/>
      <c r="Q632" s="23" t="n"/>
      <c r="R632" s="23" t="n"/>
      <c r="S632" s="22" t="n"/>
      <c r="T632" s="23" t="n"/>
      <c r="U632" s="23" t="n"/>
      <c r="V632" s="24">
        <f>IF(J632&lt;&gt;"",J632,IF(I632&lt;&gt;"",I632,""))</f>
        <v/>
      </c>
      <c r="W632" s="25">
        <f>IF($E632="","",N(O632)+SUMIFS($AF632:$IN632,$AF$4:$IN$4,"SEW_ACT"))</f>
        <v/>
      </c>
      <c r="X632" s="25">
        <f>IF($E632="","",N(P632)+SUMIFS($AF632:$IN632,$AF$4:$IN$4,"WASH_ACT"))</f>
        <v/>
      </c>
      <c r="Y632" s="25">
        <f>IF($E632="","",W632-X632-N(T632)-N(U632))</f>
        <v/>
      </c>
      <c r="Z632" s="25">
        <f>IF($E632="","",IF(N(K632)-X632&lt;=0.02*N(K632),0,N(K632)-X632))</f>
        <v/>
      </c>
      <c r="AA632" s="24">
        <f>IF($E632="","",IF(S632&lt;&gt;"",S632,IF(N(O632)&gt;0,IF(L632&lt;&gt;"",L632,99999),IFERROR(1/(1/_xlfn.MINIFS($AF$3:$IN$3,$AF$4:$IN$4,"SEW_ACT",$AF632:$IN632,"&gt;0")),99999))))</f>
        <v/>
      </c>
      <c r="AB632" s="26">
        <f>IF(OR($E632="",Z632=0,V632=""),"",1+COUNTIFS(Z$8:Z$707,"&gt;0",V$8:V$707,"&lt;"&amp;V632)+COUNTIFS(Z$8:Z$707,"&gt;0",V$8:V$707,V632,AA$8:AA$707,"&lt;"&amp;AA632)+COUNTIFS(Z$8:Z$707,"&gt;0",V$8:V$707,V632,AA$8:AA$707,AA632,E$8:E$707,"&lt;"&amp;$E632))</f>
        <v/>
      </c>
      <c r="AC632" s="24">
        <f>IF(OR($E632="",Z632=0),"",IFERROR(TODAY()+ROUNDUP(Z632/(SUMIFS($AF632:$IN632,$AF$4:$IN$4,"WASH_ACT")/COUNTIFS($AF$4:$IN$4,"WASH_ACT",$AF632:$IN632,"&gt;0")),0),"no output yet"))</f>
        <v/>
      </c>
      <c r="AD632" s="26">
        <f>IF($E632="","",IFERROR(ROUND(MAX(0,SUMIFS($AF632:$IN632,$AF$4:$IN$4,"SEW_PLAN",$AF$3:$IN$3,"&lt;="&amp;TODAY())-SUMIFS($AF632:$IN632,$AF$4:$IN$4,"SEW_ACT",$AF$3:$IN$3,"&lt;="&amp;TODAY())+N(Q632))/(SUMIFS($AF632:$IN632,$AF$4:$IN$4,"SEW_PLAN")/COUNTIFS($AF$4:$IN$4,"SEW_PLAN",$AF632:$IN632,"&gt;0")),1),0))</f>
        <v/>
      </c>
      <c r="AE632" s="26">
        <f>IF($E632="","",IF(AND(Z632&gt;0,OR(AND(M632&lt;&gt;"",TODAY()&gt;M632),AND(V632&lt;&gt;"",V632-TODAY()&lt;=7))),"Yes","No"))</f>
        <v/>
      </c>
      <c r="AH632">
        <f>IF(OR(AF$3="",AF$3&gt;TODAY()),"",IF(AND(AF632="",AG632=""),"",N(AG632)-N(AF632)))</f>
        <v/>
      </c>
      <c r="AK632">
        <f>IF(OR(AF$3="",AF$3&gt;TODAY()),"",IF(AND(AI632="",AJ632=""),"",N(AJ632)-N(AI632)))</f>
        <v/>
      </c>
      <c r="AO632">
        <f>IF(OR(AM$3="",AM$3&gt;TODAY()),"",IF(AND(AM632="",AN632=""),"",N(AN632)-N(AM632)))</f>
        <v/>
      </c>
      <c r="AR632">
        <f>IF(OR(AM$3="",AM$3&gt;TODAY()),"",IF(AND(AP632="",AQ632=""),"",N(AQ632)-N(AP632)))</f>
        <v/>
      </c>
      <c r="AV632">
        <f>IF(OR(AT$3="",AT$3&gt;TODAY()),"",IF(AND(AT632="",AU632=""),"",N(AU632)-N(AT632)))</f>
        <v/>
      </c>
      <c r="AY632">
        <f>IF(OR(AT$3="",AT$3&gt;TODAY()),"",IF(AND(AW632="",AX632=""),"",N(AX632)-N(AW632)))</f>
        <v/>
      </c>
      <c r="BC632">
        <f>IF(OR(BA$3="",BA$3&gt;TODAY()),"",IF(AND(BA632="",BB632=""),"",N(BB632)-N(BA632)))</f>
        <v/>
      </c>
      <c r="BF632">
        <f>IF(OR(BA$3="",BA$3&gt;TODAY()),"",IF(AND(BD632="",BE632=""),"",N(BE632)-N(BD632)))</f>
        <v/>
      </c>
      <c r="BJ632">
        <f>IF(OR(BH$3="",BH$3&gt;TODAY()),"",IF(AND(BH632="",BI632=""),"",N(BI632)-N(BH632)))</f>
        <v/>
      </c>
      <c r="BM632">
        <f>IF(OR(BH$3="",BH$3&gt;TODAY()),"",IF(AND(BK632="",BL632=""),"",N(BL632)-N(BK632)))</f>
        <v/>
      </c>
      <c r="BQ632">
        <f>IF(OR(BO$3="",BO$3&gt;TODAY()),"",IF(AND(BO632="",BP632=""),"",N(BP632)-N(BO632)))</f>
        <v/>
      </c>
      <c r="BT632">
        <f>IF(OR(BO$3="",BO$3&gt;TODAY()),"",IF(AND(BR632="",BS632=""),"",N(BS632)-N(BR632)))</f>
        <v/>
      </c>
      <c r="BX632">
        <f>IF(OR(BV$3="",BV$3&gt;TODAY()),"",IF(AND(BV632="",BW632=""),"",N(BW632)-N(BV632)))</f>
        <v/>
      </c>
      <c r="CA632">
        <f>IF(OR(BV$3="",BV$3&gt;TODAY()),"",IF(AND(BY632="",BZ632=""),"",N(BZ632)-N(BY632)))</f>
        <v/>
      </c>
      <c r="CE632">
        <f>IF(OR(CC$3="",CC$3&gt;TODAY()),"",IF(AND(CC632="",CD632=""),"",N(CD632)-N(CC632)))</f>
        <v/>
      </c>
      <c r="CH632">
        <f>IF(OR(CC$3="",CC$3&gt;TODAY()),"",IF(AND(CF632="",CG632=""),"",N(CG632)-N(CF632)))</f>
        <v/>
      </c>
      <c r="CL632">
        <f>IF(OR(CJ$3="",CJ$3&gt;TODAY()),"",IF(AND(CJ632="",CK632=""),"",N(CK632)-N(CJ632)))</f>
        <v/>
      </c>
      <c r="CO632">
        <f>IF(OR(CJ$3="",CJ$3&gt;TODAY()),"",IF(AND(CM632="",CN632=""),"",N(CN632)-N(CM632)))</f>
        <v/>
      </c>
      <c r="CS632">
        <f>IF(OR(CQ$3="",CQ$3&gt;TODAY()),"",IF(AND(CQ632="",CR632=""),"",N(CR632)-N(CQ632)))</f>
        <v/>
      </c>
      <c r="CV632">
        <f>IF(OR(CQ$3="",CQ$3&gt;TODAY()),"",IF(AND(CT632="",CU632=""),"",N(CU632)-N(CT632)))</f>
        <v/>
      </c>
      <c r="CZ632">
        <f>IF(OR(CX$3="",CX$3&gt;TODAY()),"",IF(AND(CX632="",CY632=""),"",N(CY632)-N(CX632)))</f>
        <v/>
      </c>
      <c r="DC632">
        <f>IF(OR(CX$3="",CX$3&gt;TODAY()),"",IF(AND(DA632="",DB632=""),"",N(DB632)-N(DA632)))</f>
        <v/>
      </c>
      <c r="DG632">
        <f>IF(OR(DE$3="",DE$3&gt;TODAY()),"",IF(AND(DE632="",DF632=""),"",N(DF632)-N(DE632)))</f>
        <v/>
      </c>
      <c r="DJ632">
        <f>IF(OR(DE$3="",DE$3&gt;TODAY()),"",IF(AND(DH632="",DI632=""),"",N(DI632)-N(DH632)))</f>
        <v/>
      </c>
      <c r="DN632">
        <f>IF(OR(DL$3="",DL$3&gt;TODAY()),"",IF(AND(DL632="",DM632=""),"",N(DM632)-N(DL632)))</f>
        <v/>
      </c>
      <c r="DQ632">
        <f>IF(OR(DL$3="",DL$3&gt;TODAY()),"",IF(AND(DO632="",DP632=""),"",N(DP632)-N(DO632)))</f>
        <v/>
      </c>
      <c r="DU632">
        <f>IF(OR(DS$3="",DS$3&gt;TODAY()),"",IF(AND(DS632="",DT632=""),"",N(DT632)-N(DS632)))</f>
        <v/>
      </c>
      <c r="DX632">
        <f>IF(OR(DS$3="",DS$3&gt;TODAY()),"",IF(AND(DV632="",DW632=""),"",N(DW632)-N(DV632)))</f>
        <v/>
      </c>
      <c r="EB632">
        <f>IF(OR(DZ$3="",DZ$3&gt;TODAY()),"",IF(AND(DZ632="",EA632=""),"",N(EA632)-N(DZ632)))</f>
        <v/>
      </c>
      <c r="EE632">
        <f>IF(OR(DZ$3="",DZ$3&gt;TODAY()),"",IF(AND(EC632="",ED632=""),"",N(ED632)-N(EC632)))</f>
        <v/>
      </c>
      <c r="EI632">
        <f>IF(OR(EG$3="",EG$3&gt;TODAY()),"",IF(AND(EG632="",EH632=""),"",N(EH632)-N(EG632)))</f>
        <v/>
      </c>
      <c r="EL632">
        <f>IF(OR(EG$3="",EG$3&gt;TODAY()),"",IF(AND(EJ632="",EK632=""),"",N(EK632)-N(EJ632)))</f>
        <v/>
      </c>
      <c r="EP632">
        <f>IF(OR(EN$3="",EN$3&gt;TODAY()),"",IF(AND(EN632="",EO632=""),"",N(EO632)-N(EN632)))</f>
        <v/>
      </c>
      <c r="ES632">
        <f>IF(OR(EN$3="",EN$3&gt;TODAY()),"",IF(AND(EQ632="",ER632=""),"",N(ER632)-N(EQ632)))</f>
        <v/>
      </c>
      <c r="EW632">
        <f>IF(OR(EU$3="",EU$3&gt;TODAY()),"",IF(AND(EU632="",EV632=""),"",N(EV632)-N(EU632)))</f>
        <v/>
      </c>
      <c r="EZ632">
        <f>IF(OR(EU$3="",EU$3&gt;TODAY()),"",IF(AND(EX632="",EY632=""),"",N(EY632)-N(EX632)))</f>
        <v/>
      </c>
      <c r="FD632">
        <f>IF(OR(FB$3="",FB$3&gt;TODAY()),"",IF(AND(FB632="",FC632=""),"",N(FC632)-N(FB632)))</f>
        <v/>
      </c>
      <c r="FG632">
        <f>IF(OR(FB$3="",FB$3&gt;TODAY()),"",IF(AND(FE632="",FF632=""),"",N(FF632)-N(FE632)))</f>
        <v/>
      </c>
      <c r="FK632">
        <f>IF(OR(FI$3="",FI$3&gt;TODAY()),"",IF(AND(FI632="",FJ632=""),"",N(FJ632)-N(FI632)))</f>
        <v/>
      </c>
      <c r="FN632">
        <f>IF(OR(FI$3="",FI$3&gt;TODAY()),"",IF(AND(FL632="",FM632=""),"",N(FM632)-N(FL632)))</f>
        <v/>
      </c>
      <c r="FR632">
        <f>IF(OR(FP$3="",FP$3&gt;TODAY()),"",IF(AND(FP632="",FQ632=""),"",N(FQ632)-N(FP632)))</f>
        <v/>
      </c>
      <c r="FU632">
        <f>IF(OR(FP$3="",FP$3&gt;TODAY()),"",IF(AND(FS632="",FT632=""),"",N(FT632)-N(FS632)))</f>
        <v/>
      </c>
      <c r="FY632">
        <f>IF(OR(FW$3="",FW$3&gt;TODAY()),"",IF(AND(FW632="",FX632=""),"",N(FX632)-N(FW632)))</f>
        <v/>
      </c>
      <c r="GB632">
        <f>IF(OR(FW$3="",FW$3&gt;TODAY()),"",IF(AND(FZ632="",GA632=""),"",N(GA632)-N(FZ632)))</f>
        <v/>
      </c>
      <c r="GF632">
        <f>IF(OR(GD$3="",GD$3&gt;TODAY()),"",IF(AND(GD632="",GE632=""),"",N(GE632)-N(GD632)))</f>
        <v/>
      </c>
      <c r="GI632">
        <f>IF(OR(GD$3="",GD$3&gt;TODAY()),"",IF(AND(GG632="",GH632=""),"",N(GH632)-N(GG632)))</f>
        <v/>
      </c>
      <c r="GM632">
        <f>IF(OR(GK$3="",GK$3&gt;TODAY()),"",IF(AND(GK632="",GL632=""),"",N(GL632)-N(GK632)))</f>
        <v/>
      </c>
      <c r="GP632">
        <f>IF(OR(GK$3="",GK$3&gt;TODAY()),"",IF(AND(GN632="",GO632=""),"",N(GO632)-N(GN632)))</f>
        <v/>
      </c>
      <c r="GT632">
        <f>IF(OR(GR$3="",GR$3&gt;TODAY()),"",IF(AND(GR632="",GS632=""),"",N(GS632)-N(GR632)))</f>
        <v/>
      </c>
      <c r="GW632">
        <f>IF(OR(GR$3="",GR$3&gt;TODAY()),"",IF(AND(GU632="",GV632=""),"",N(GV632)-N(GU632)))</f>
        <v/>
      </c>
      <c r="HA632">
        <f>IF(OR(GY$3="",GY$3&gt;TODAY()),"",IF(AND(GY632="",GZ632=""),"",N(GZ632)-N(GY632)))</f>
        <v/>
      </c>
      <c r="HD632">
        <f>IF(OR(GY$3="",GY$3&gt;TODAY()),"",IF(AND(HB632="",HC632=""),"",N(HC632)-N(HB632)))</f>
        <v/>
      </c>
      <c r="HH632">
        <f>IF(OR(HF$3="",HF$3&gt;TODAY()),"",IF(AND(HF632="",HG632=""),"",N(HG632)-N(HF632)))</f>
        <v/>
      </c>
      <c r="HK632">
        <f>IF(OR(HF$3="",HF$3&gt;TODAY()),"",IF(AND(HI632="",HJ632=""),"",N(HJ632)-N(HI632)))</f>
        <v/>
      </c>
      <c r="HO632">
        <f>IF(OR(HM$3="",HM$3&gt;TODAY()),"",IF(AND(HM632="",HN632=""),"",N(HN632)-N(HM632)))</f>
        <v/>
      </c>
      <c r="HR632">
        <f>IF(OR(HM$3="",HM$3&gt;TODAY()),"",IF(AND(HP632="",HQ632=""),"",N(HQ632)-N(HP632)))</f>
        <v/>
      </c>
      <c r="HV632">
        <f>IF(OR(HT$3="",HT$3&gt;TODAY()),"",IF(AND(HT632="",HU632=""),"",N(HU632)-N(HT632)))</f>
        <v/>
      </c>
      <c r="HY632">
        <f>IF(OR(HT$3="",HT$3&gt;TODAY()),"",IF(AND(HW632="",HX632=""),"",N(HX632)-N(HW632)))</f>
        <v/>
      </c>
      <c r="IC632">
        <f>IF(OR(IA$3="",IA$3&gt;TODAY()),"",IF(AND(IA632="",IB632=""),"",N(IB632)-N(IA632)))</f>
        <v/>
      </c>
      <c r="IF632">
        <f>IF(OR(IA$3="",IA$3&gt;TODAY()),"",IF(AND(ID632="",IE632=""),"",N(IE632)-N(ID632)))</f>
        <v/>
      </c>
      <c r="IJ632">
        <f>IF(OR(IH$3="",IH$3&gt;TODAY()),"",IF(AND(IH632="",II632=""),"",N(II632)-N(IH632)))</f>
        <v/>
      </c>
      <c r="IM632">
        <f>IF(OR(IH$3="",IH$3&gt;TODAY()),"",IF(AND(IK632="",IL632=""),"",N(IL632)-N(IK632)))</f>
        <v/>
      </c>
    </row>
    <row r="633">
      <c r="A633" s="21" t="n"/>
      <c r="B633" s="21" t="n"/>
      <c r="C633" s="21" t="n"/>
      <c r="D633" s="21" t="n"/>
      <c r="E633" s="21" t="n"/>
      <c r="F633" s="21" t="n"/>
      <c r="G633" s="21" t="n"/>
      <c r="H633" s="21" t="n"/>
      <c r="I633" s="22" t="n"/>
      <c r="J633" s="22" t="n"/>
      <c r="K633" s="23" t="n"/>
      <c r="L633" s="22" t="n"/>
      <c r="M633" s="22" t="n"/>
      <c r="N633" s="21" t="n"/>
      <c r="O633" s="23" t="n"/>
      <c r="P633" s="23" t="n"/>
      <c r="Q633" s="23" t="n"/>
      <c r="R633" s="23" t="n"/>
      <c r="S633" s="22" t="n"/>
      <c r="T633" s="23" t="n"/>
      <c r="U633" s="23" t="n"/>
      <c r="V633" s="24">
        <f>IF(J633&lt;&gt;"",J633,IF(I633&lt;&gt;"",I633,""))</f>
        <v/>
      </c>
      <c r="W633" s="25">
        <f>IF($E633="","",N(O633)+SUMIFS($AF633:$IN633,$AF$4:$IN$4,"SEW_ACT"))</f>
        <v/>
      </c>
      <c r="X633" s="25">
        <f>IF($E633="","",N(P633)+SUMIFS($AF633:$IN633,$AF$4:$IN$4,"WASH_ACT"))</f>
        <v/>
      </c>
      <c r="Y633" s="25">
        <f>IF($E633="","",W633-X633-N(T633)-N(U633))</f>
        <v/>
      </c>
      <c r="Z633" s="25">
        <f>IF($E633="","",IF(N(K633)-X633&lt;=0.02*N(K633),0,N(K633)-X633))</f>
        <v/>
      </c>
      <c r="AA633" s="24">
        <f>IF($E633="","",IF(S633&lt;&gt;"",S633,IF(N(O633)&gt;0,IF(L633&lt;&gt;"",L633,99999),IFERROR(1/(1/_xlfn.MINIFS($AF$3:$IN$3,$AF$4:$IN$4,"SEW_ACT",$AF633:$IN633,"&gt;0")),99999))))</f>
        <v/>
      </c>
      <c r="AB633" s="26">
        <f>IF(OR($E633="",Z633=0,V633=""),"",1+COUNTIFS(Z$8:Z$707,"&gt;0",V$8:V$707,"&lt;"&amp;V633)+COUNTIFS(Z$8:Z$707,"&gt;0",V$8:V$707,V633,AA$8:AA$707,"&lt;"&amp;AA633)+COUNTIFS(Z$8:Z$707,"&gt;0",V$8:V$707,V633,AA$8:AA$707,AA633,E$8:E$707,"&lt;"&amp;$E633))</f>
        <v/>
      </c>
      <c r="AC633" s="24">
        <f>IF(OR($E633="",Z633=0),"",IFERROR(TODAY()+ROUNDUP(Z633/(SUMIFS($AF633:$IN633,$AF$4:$IN$4,"WASH_ACT")/COUNTIFS($AF$4:$IN$4,"WASH_ACT",$AF633:$IN633,"&gt;0")),0),"no output yet"))</f>
        <v/>
      </c>
      <c r="AD633" s="26">
        <f>IF($E633="","",IFERROR(ROUND(MAX(0,SUMIFS($AF633:$IN633,$AF$4:$IN$4,"SEW_PLAN",$AF$3:$IN$3,"&lt;="&amp;TODAY())-SUMIFS($AF633:$IN633,$AF$4:$IN$4,"SEW_ACT",$AF$3:$IN$3,"&lt;="&amp;TODAY())+N(Q633))/(SUMIFS($AF633:$IN633,$AF$4:$IN$4,"SEW_PLAN")/COUNTIFS($AF$4:$IN$4,"SEW_PLAN",$AF633:$IN633,"&gt;0")),1),0))</f>
        <v/>
      </c>
      <c r="AE633" s="26">
        <f>IF($E633="","",IF(AND(Z633&gt;0,OR(AND(M633&lt;&gt;"",TODAY()&gt;M633),AND(V633&lt;&gt;"",V633-TODAY()&lt;=7))),"Yes","No"))</f>
        <v/>
      </c>
      <c r="AH633">
        <f>IF(OR(AF$3="",AF$3&gt;TODAY()),"",IF(AND(AF633="",AG633=""),"",N(AG633)-N(AF633)))</f>
        <v/>
      </c>
      <c r="AK633">
        <f>IF(OR(AF$3="",AF$3&gt;TODAY()),"",IF(AND(AI633="",AJ633=""),"",N(AJ633)-N(AI633)))</f>
        <v/>
      </c>
      <c r="AO633">
        <f>IF(OR(AM$3="",AM$3&gt;TODAY()),"",IF(AND(AM633="",AN633=""),"",N(AN633)-N(AM633)))</f>
        <v/>
      </c>
      <c r="AR633">
        <f>IF(OR(AM$3="",AM$3&gt;TODAY()),"",IF(AND(AP633="",AQ633=""),"",N(AQ633)-N(AP633)))</f>
        <v/>
      </c>
      <c r="AV633">
        <f>IF(OR(AT$3="",AT$3&gt;TODAY()),"",IF(AND(AT633="",AU633=""),"",N(AU633)-N(AT633)))</f>
        <v/>
      </c>
      <c r="AY633">
        <f>IF(OR(AT$3="",AT$3&gt;TODAY()),"",IF(AND(AW633="",AX633=""),"",N(AX633)-N(AW633)))</f>
        <v/>
      </c>
      <c r="BC633">
        <f>IF(OR(BA$3="",BA$3&gt;TODAY()),"",IF(AND(BA633="",BB633=""),"",N(BB633)-N(BA633)))</f>
        <v/>
      </c>
      <c r="BF633">
        <f>IF(OR(BA$3="",BA$3&gt;TODAY()),"",IF(AND(BD633="",BE633=""),"",N(BE633)-N(BD633)))</f>
        <v/>
      </c>
      <c r="BJ633">
        <f>IF(OR(BH$3="",BH$3&gt;TODAY()),"",IF(AND(BH633="",BI633=""),"",N(BI633)-N(BH633)))</f>
        <v/>
      </c>
      <c r="BM633">
        <f>IF(OR(BH$3="",BH$3&gt;TODAY()),"",IF(AND(BK633="",BL633=""),"",N(BL633)-N(BK633)))</f>
        <v/>
      </c>
      <c r="BQ633">
        <f>IF(OR(BO$3="",BO$3&gt;TODAY()),"",IF(AND(BO633="",BP633=""),"",N(BP633)-N(BO633)))</f>
        <v/>
      </c>
      <c r="BT633">
        <f>IF(OR(BO$3="",BO$3&gt;TODAY()),"",IF(AND(BR633="",BS633=""),"",N(BS633)-N(BR633)))</f>
        <v/>
      </c>
      <c r="BX633">
        <f>IF(OR(BV$3="",BV$3&gt;TODAY()),"",IF(AND(BV633="",BW633=""),"",N(BW633)-N(BV633)))</f>
        <v/>
      </c>
      <c r="CA633">
        <f>IF(OR(BV$3="",BV$3&gt;TODAY()),"",IF(AND(BY633="",BZ633=""),"",N(BZ633)-N(BY633)))</f>
        <v/>
      </c>
      <c r="CE633">
        <f>IF(OR(CC$3="",CC$3&gt;TODAY()),"",IF(AND(CC633="",CD633=""),"",N(CD633)-N(CC633)))</f>
        <v/>
      </c>
      <c r="CH633">
        <f>IF(OR(CC$3="",CC$3&gt;TODAY()),"",IF(AND(CF633="",CG633=""),"",N(CG633)-N(CF633)))</f>
        <v/>
      </c>
      <c r="CL633">
        <f>IF(OR(CJ$3="",CJ$3&gt;TODAY()),"",IF(AND(CJ633="",CK633=""),"",N(CK633)-N(CJ633)))</f>
        <v/>
      </c>
      <c r="CO633">
        <f>IF(OR(CJ$3="",CJ$3&gt;TODAY()),"",IF(AND(CM633="",CN633=""),"",N(CN633)-N(CM633)))</f>
        <v/>
      </c>
      <c r="CS633">
        <f>IF(OR(CQ$3="",CQ$3&gt;TODAY()),"",IF(AND(CQ633="",CR633=""),"",N(CR633)-N(CQ633)))</f>
        <v/>
      </c>
      <c r="CV633">
        <f>IF(OR(CQ$3="",CQ$3&gt;TODAY()),"",IF(AND(CT633="",CU633=""),"",N(CU633)-N(CT633)))</f>
        <v/>
      </c>
      <c r="CZ633">
        <f>IF(OR(CX$3="",CX$3&gt;TODAY()),"",IF(AND(CX633="",CY633=""),"",N(CY633)-N(CX633)))</f>
        <v/>
      </c>
      <c r="DC633">
        <f>IF(OR(CX$3="",CX$3&gt;TODAY()),"",IF(AND(DA633="",DB633=""),"",N(DB633)-N(DA633)))</f>
        <v/>
      </c>
      <c r="DG633">
        <f>IF(OR(DE$3="",DE$3&gt;TODAY()),"",IF(AND(DE633="",DF633=""),"",N(DF633)-N(DE633)))</f>
        <v/>
      </c>
      <c r="DJ633">
        <f>IF(OR(DE$3="",DE$3&gt;TODAY()),"",IF(AND(DH633="",DI633=""),"",N(DI633)-N(DH633)))</f>
        <v/>
      </c>
      <c r="DN633">
        <f>IF(OR(DL$3="",DL$3&gt;TODAY()),"",IF(AND(DL633="",DM633=""),"",N(DM633)-N(DL633)))</f>
        <v/>
      </c>
      <c r="DQ633">
        <f>IF(OR(DL$3="",DL$3&gt;TODAY()),"",IF(AND(DO633="",DP633=""),"",N(DP633)-N(DO633)))</f>
        <v/>
      </c>
      <c r="DU633">
        <f>IF(OR(DS$3="",DS$3&gt;TODAY()),"",IF(AND(DS633="",DT633=""),"",N(DT633)-N(DS633)))</f>
        <v/>
      </c>
      <c r="DX633">
        <f>IF(OR(DS$3="",DS$3&gt;TODAY()),"",IF(AND(DV633="",DW633=""),"",N(DW633)-N(DV633)))</f>
        <v/>
      </c>
      <c r="EB633">
        <f>IF(OR(DZ$3="",DZ$3&gt;TODAY()),"",IF(AND(DZ633="",EA633=""),"",N(EA633)-N(DZ633)))</f>
        <v/>
      </c>
      <c r="EE633">
        <f>IF(OR(DZ$3="",DZ$3&gt;TODAY()),"",IF(AND(EC633="",ED633=""),"",N(ED633)-N(EC633)))</f>
        <v/>
      </c>
      <c r="EI633">
        <f>IF(OR(EG$3="",EG$3&gt;TODAY()),"",IF(AND(EG633="",EH633=""),"",N(EH633)-N(EG633)))</f>
        <v/>
      </c>
      <c r="EL633">
        <f>IF(OR(EG$3="",EG$3&gt;TODAY()),"",IF(AND(EJ633="",EK633=""),"",N(EK633)-N(EJ633)))</f>
        <v/>
      </c>
      <c r="EP633">
        <f>IF(OR(EN$3="",EN$3&gt;TODAY()),"",IF(AND(EN633="",EO633=""),"",N(EO633)-N(EN633)))</f>
        <v/>
      </c>
      <c r="ES633">
        <f>IF(OR(EN$3="",EN$3&gt;TODAY()),"",IF(AND(EQ633="",ER633=""),"",N(ER633)-N(EQ633)))</f>
        <v/>
      </c>
      <c r="EW633">
        <f>IF(OR(EU$3="",EU$3&gt;TODAY()),"",IF(AND(EU633="",EV633=""),"",N(EV633)-N(EU633)))</f>
        <v/>
      </c>
      <c r="EZ633">
        <f>IF(OR(EU$3="",EU$3&gt;TODAY()),"",IF(AND(EX633="",EY633=""),"",N(EY633)-N(EX633)))</f>
        <v/>
      </c>
      <c r="FD633">
        <f>IF(OR(FB$3="",FB$3&gt;TODAY()),"",IF(AND(FB633="",FC633=""),"",N(FC633)-N(FB633)))</f>
        <v/>
      </c>
      <c r="FG633">
        <f>IF(OR(FB$3="",FB$3&gt;TODAY()),"",IF(AND(FE633="",FF633=""),"",N(FF633)-N(FE633)))</f>
        <v/>
      </c>
      <c r="FK633">
        <f>IF(OR(FI$3="",FI$3&gt;TODAY()),"",IF(AND(FI633="",FJ633=""),"",N(FJ633)-N(FI633)))</f>
        <v/>
      </c>
      <c r="FN633">
        <f>IF(OR(FI$3="",FI$3&gt;TODAY()),"",IF(AND(FL633="",FM633=""),"",N(FM633)-N(FL633)))</f>
        <v/>
      </c>
      <c r="FR633">
        <f>IF(OR(FP$3="",FP$3&gt;TODAY()),"",IF(AND(FP633="",FQ633=""),"",N(FQ633)-N(FP633)))</f>
        <v/>
      </c>
      <c r="FU633">
        <f>IF(OR(FP$3="",FP$3&gt;TODAY()),"",IF(AND(FS633="",FT633=""),"",N(FT633)-N(FS633)))</f>
        <v/>
      </c>
      <c r="FY633">
        <f>IF(OR(FW$3="",FW$3&gt;TODAY()),"",IF(AND(FW633="",FX633=""),"",N(FX633)-N(FW633)))</f>
        <v/>
      </c>
      <c r="GB633">
        <f>IF(OR(FW$3="",FW$3&gt;TODAY()),"",IF(AND(FZ633="",GA633=""),"",N(GA633)-N(FZ633)))</f>
        <v/>
      </c>
      <c r="GF633">
        <f>IF(OR(GD$3="",GD$3&gt;TODAY()),"",IF(AND(GD633="",GE633=""),"",N(GE633)-N(GD633)))</f>
        <v/>
      </c>
      <c r="GI633">
        <f>IF(OR(GD$3="",GD$3&gt;TODAY()),"",IF(AND(GG633="",GH633=""),"",N(GH633)-N(GG633)))</f>
        <v/>
      </c>
      <c r="GM633">
        <f>IF(OR(GK$3="",GK$3&gt;TODAY()),"",IF(AND(GK633="",GL633=""),"",N(GL633)-N(GK633)))</f>
        <v/>
      </c>
      <c r="GP633">
        <f>IF(OR(GK$3="",GK$3&gt;TODAY()),"",IF(AND(GN633="",GO633=""),"",N(GO633)-N(GN633)))</f>
        <v/>
      </c>
      <c r="GT633">
        <f>IF(OR(GR$3="",GR$3&gt;TODAY()),"",IF(AND(GR633="",GS633=""),"",N(GS633)-N(GR633)))</f>
        <v/>
      </c>
      <c r="GW633">
        <f>IF(OR(GR$3="",GR$3&gt;TODAY()),"",IF(AND(GU633="",GV633=""),"",N(GV633)-N(GU633)))</f>
        <v/>
      </c>
      <c r="HA633">
        <f>IF(OR(GY$3="",GY$3&gt;TODAY()),"",IF(AND(GY633="",GZ633=""),"",N(GZ633)-N(GY633)))</f>
        <v/>
      </c>
      <c r="HD633">
        <f>IF(OR(GY$3="",GY$3&gt;TODAY()),"",IF(AND(HB633="",HC633=""),"",N(HC633)-N(HB633)))</f>
        <v/>
      </c>
      <c r="HH633">
        <f>IF(OR(HF$3="",HF$3&gt;TODAY()),"",IF(AND(HF633="",HG633=""),"",N(HG633)-N(HF633)))</f>
        <v/>
      </c>
      <c r="HK633">
        <f>IF(OR(HF$3="",HF$3&gt;TODAY()),"",IF(AND(HI633="",HJ633=""),"",N(HJ633)-N(HI633)))</f>
        <v/>
      </c>
      <c r="HO633">
        <f>IF(OR(HM$3="",HM$3&gt;TODAY()),"",IF(AND(HM633="",HN633=""),"",N(HN633)-N(HM633)))</f>
        <v/>
      </c>
      <c r="HR633">
        <f>IF(OR(HM$3="",HM$3&gt;TODAY()),"",IF(AND(HP633="",HQ633=""),"",N(HQ633)-N(HP633)))</f>
        <v/>
      </c>
      <c r="HV633">
        <f>IF(OR(HT$3="",HT$3&gt;TODAY()),"",IF(AND(HT633="",HU633=""),"",N(HU633)-N(HT633)))</f>
        <v/>
      </c>
      <c r="HY633">
        <f>IF(OR(HT$3="",HT$3&gt;TODAY()),"",IF(AND(HW633="",HX633=""),"",N(HX633)-N(HW633)))</f>
        <v/>
      </c>
      <c r="IC633">
        <f>IF(OR(IA$3="",IA$3&gt;TODAY()),"",IF(AND(IA633="",IB633=""),"",N(IB633)-N(IA633)))</f>
        <v/>
      </c>
      <c r="IF633">
        <f>IF(OR(IA$3="",IA$3&gt;TODAY()),"",IF(AND(ID633="",IE633=""),"",N(IE633)-N(ID633)))</f>
        <v/>
      </c>
      <c r="IJ633">
        <f>IF(OR(IH$3="",IH$3&gt;TODAY()),"",IF(AND(IH633="",II633=""),"",N(II633)-N(IH633)))</f>
        <v/>
      </c>
      <c r="IM633">
        <f>IF(OR(IH$3="",IH$3&gt;TODAY()),"",IF(AND(IK633="",IL633=""),"",N(IL633)-N(IK633)))</f>
        <v/>
      </c>
    </row>
    <row r="634">
      <c r="A634" s="21" t="n"/>
      <c r="B634" s="21" t="n"/>
      <c r="C634" s="21" t="n"/>
      <c r="D634" s="21" t="n"/>
      <c r="E634" s="21" t="n"/>
      <c r="F634" s="21" t="n"/>
      <c r="G634" s="21" t="n"/>
      <c r="H634" s="21" t="n"/>
      <c r="I634" s="22" t="n"/>
      <c r="J634" s="22" t="n"/>
      <c r="K634" s="23" t="n"/>
      <c r="L634" s="22" t="n"/>
      <c r="M634" s="22" t="n"/>
      <c r="N634" s="21" t="n"/>
      <c r="O634" s="23" t="n"/>
      <c r="P634" s="23" t="n"/>
      <c r="Q634" s="23" t="n"/>
      <c r="R634" s="23" t="n"/>
      <c r="S634" s="22" t="n"/>
      <c r="T634" s="23" t="n"/>
      <c r="U634" s="23" t="n"/>
      <c r="V634" s="24">
        <f>IF(J634&lt;&gt;"",J634,IF(I634&lt;&gt;"",I634,""))</f>
        <v/>
      </c>
      <c r="W634" s="25">
        <f>IF($E634="","",N(O634)+SUMIFS($AF634:$IN634,$AF$4:$IN$4,"SEW_ACT"))</f>
        <v/>
      </c>
      <c r="X634" s="25">
        <f>IF($E634="","",N(P634)+SUMIFS($AF634:$IN634,$AF$4:$IN$4,"WASH_ACT"))</f>
        <v/>
      </c>
      <c r="Y634" s="25">
        <f>IF($E634="","",W634-X634-N(T634)-N(U634))</f>
        <v/>
      </c>
      <c r="Z634" s="25">
        <f>IF($E634="","",IF(N(K634)-X634&lt;=0.02*N(K634),0,N(K634)-X634))</f>
        <v/>
      </c>
      <c r="AA634" s="24">
        <f>IF($E634="","",IF(S634&lt;&gt;"",S634,IF(N(O634)&gt;0,IF(L634&lt;&gt;"",L634,99999),IFERROR(1/(1/_xlfn.MINIFS($AF$3:$IN$3,$AF$4:$IN$4,"SEW_ACT",$AF634:$IN634,"&gt;0")),99999))))</f>
        <v/>
      </c>
      <c r="AB634" s="26">
        <f>IF(OR($E634="",Z634=0,V634=""),"",1+COUNTIFS(Z$8:Z$707,"&gt;0",V$8:V$707,"&lt;"&amp;V634)+COUNTIFS(Z$8:Z$707,"&gt;0",V$8:V$707,V634,AA$8:AA$707,"&lt;"&amp;AA634)+COUNTIFS(Z$8:Z$707,"&gt;0",V$8:V$707,V634,AA$8:AA$707,AA634,E$8:E$707,"&lt;"&amp;$E634))</f>
        <v/>
      </c>
      <c r="AC634" s="24">
        <f>IF(OR($E634="",Z634=0),"",IFERROR(TODAY()+ROUNDUP(Z634/(SUMIFS($AF634:$IN634,$AF$4:$IN$4,"WASH_ACT")/COUNTIFS($AF$4:$IN$4,"WASH_ACT",$AF634:$IN634,"&gt;0")),0),"no output yet"))</f>
        <v/>
      </c>
      <c r="AD634" s="26">
        <f>IF($E634="","",IFERROR(ROUND(MAX(0,SUMIFS($AF634:$IN634,$AF$4:$IN$4,"SEW_PLAN",$AF$3:$IN$3,"&lt;="&amp;TODAY())-SUMIFS($AF634:$IN634,$AF$4:$IN$4,"SEW_ACT",$AF$3:$IN$3,"&lt;="&amp;TODAY())+N(Q634))/(SUMIFS($AF634:$IN634,$AF$4:$IN$4,"SEW_PLAN")/COUNTIFS($AF$4:$IN$4,"SEW_PLAN",$AF634:$IN634,"&gt;0")),1),0))</f>
        <v/>
      </c>
      <c r="AE634" s="26">
        <f>IF($E634="","",IF(AND(Z634&gt;0,OR(AND(M634&lt;&gt;"",TODAY()&gt;M634),AND(V634&lt;&gt;"",V634-TODAY()&lt;=7))),"Yes","No"))</f>
        <v/>
      </c>
      <c r="AH634">
        <f>IF(OR(AF$3="",AF$3&gt;TODAY()),"",IF(AND(AF634="",AG634=""),"",N(AG634)-N(AF634)))</f>
        <v/>
      </c>
      <c r="AK634">
        <f>IF(OR(AF$3="",AF$3&gt;TODAY()),"",IF(AND(AI634="",AJ634=""),"",N(AJ634)-N(AI634)))</f>
        <v/>
      </c>
      <c r="AO634">
        <f>IF(OR(AM$3="",AM$3&gt;TODAY()),"",IF(AND(AM634="",AN634=""),"",N(AN634)-N(AM634)))</f>
        <v/>
      </c>
      <c r="AR634">
        <f>IF(OR(AM$3="",AM$3&gt;TODAY()),"",IF(AND(AP634="",AQ634=""),"",N(AQ634)-N(AP634)))</f>
        <v/>
      </c>
      <c r="AV634">
        <f>IF(OR(AT$3="",AT$3&gt;TODAY()),"",IF(AND(AT634="",AU634=""),"",N(AU634)-N(AT634)))</f>
        <v/>
      </c>
      <c r="AY634">
        <f>IF(OR(AT$3="",AT$3&gt;TODAY()),"",IF(AND(AW634="",AX634=""),"",N(AX634)-N(AW634)))</f>
        <v/>
      </c>
      <c r="BC634">
        <f>IF(OR(BA$3="",BA$3&gt;TODAY()),"",IF(AND(BA634="",BB634=""),"",N(BB634)-N(BA634)))</f>
        <v/>
      </c>
      <c r="BF634">
        <f>IF(OR(BA$3="",BA$3&gt;TODAY()),"",IF(AND(BD634="",BE634=""),"",N(BE634)-N(BD634)))</f>
        <v/>
      </c>
      <c r="BJ634">
        <f>IF(OR(BH$3="",BH$3&gt;TODAY()),"",IF(AND(BH634="",BI634=""),"",N(BI634)-N(BH634)))</f>
        <v/>
      </c>
      <c r="BM634">
        <f>IF(OR(BH$3="",BH$3&gt;TODAY()),"",IF(AND(BK634="",BL634=""),"",N(BL634)-N(BK634)))</f>
        <v/>
      </c>
      <c r="BQ634">
        <f>IF(OR(BO$3="",BO$3&gt;TODAY()),"",IF(AND(BO634="",BP634=""),"",N(BP634)-N(BO634)))</f>
        <v/>
      </c>
      <c r="BT634">
        <f>IF(OR(BO$3="",BO$3&gt;TODAY()),"",IF(AND(BR634="",BS634=""),"",N(BS634)-N(BR634)))</f>
        <v/>
      </c>
      <c r="BX634">
        <f>IF(OR(BV$3="",BV$3&gt;TODAY()),"",IF(AND(BV634="",BW634=""),"",N(BW634)-N(BV634)))</f>
        <v/>
      </c>
      <c r="CA634">
        <f>IF(OR(BV$3="",BV$3&gt;TODAY()),"",IF(AND(BY634="",BZ634=""),"",N(BZ634)-N(BY634)))</f>
        <v/>
      </c>
      <c r="CE634">
        <f>IF(OR(CC$3="",CC$3&gt;TODAY()),"",IF(AND(CC634="",CD634=""),"",N(CD634)-N(CC634)))</f>
        <v/>
      </c>
      <c r="CH634">
        <f>IF(OR(CC$3="",CC$3&gt;TODAY()),"",IF(AND(CF634="",CG634=""),"",N(CG634)-N(CF634)))</f>
        <v/>
      </c>
      <c r="CL634">
        <f>IF(OR(CJ$3="",CJ$3&gt;TODAY()),"",IF(AND(CJ634="",CK634=""),"",N(CK634)-N(CJ634)))</f>
        <v/>
      </c>
      <c r="CO634">
        <f>IF(OR(CJ$3="",CJ$3&gt;TODAY()),"",IF(AND(CM634="",CN634=""),"",N(CN634)-N(CM634)))</f>
        <v/>
      </c>
      <c r="CS634">
        <f>IF(OR(CQ$3="",CQ$3&gt;TODAY()),"",IF(AND(CQ634="",CR634=""),"",N(CR634)-N(CQ634)))</f>
        <v/>
      </c>
      <c r="CV634">
        <f>IF(OR(CQ$3="",CQ$3&gt;TODAY()),"",IF(AND(CT634="",CU634=""),"",N(CU634)-N(CT634)))</f>
        <v/>
      </c>
      <c r="CZ634">
        <f>IF(OR(CX$3="",CX$3&gt;TODAY()),"",IF(AND(CX634="",CY634=""),"",N(CY634)-N(CX634)))</f>
        <v/>
      </c>
      <c r="DC634">
        <f>IF(OR(CX$3="",CX$3&gt;TODAY()),"",IF(AND(DA634="",DB634=""),"",N(DB634)-N(DA634)))</f>
        <v/>
      </c>
      <c r="DG634">
        <f>IF(OR(DE$3="",DE$3&gt;TODAY()),"",IF(AND(DE634="",DF634=""),"",N(DF634)-N(DE634)))</f>
        <v/>
      </c>
      <c r="DJ634">
        <f>IF(OR(DE$3="",DE$3&gt;TODAY()),"",IF(AND(DH634="",DI634=""),"",N(DI634)-N(DH634)))</f>
        <v/>
      </c>
      <c r="DN634">
        <f>IF(OR(DL$3="",DL$3&gt;TODAY()),"",IF(AND(DL634="",DM634=""),"",N(DM634)-N(DL634)))</f>
        <v/>
      </c>
      <c r="DQ634">
        <f>IF(OR(DL$3="",DL$3&gt;TODAY()),"",IF(AND(DO634="",DP634=""),"",N(DP634)-N(DO634)))</f>
        <v/>
      </c>
      <c r="DU634">
        <f>IF(OR(DS$3="",DS$3&gt;TODAY()),"",IF(AND(DS634="",DT634=""),"",N(DT634)-N(DS634)))</f>
        <v/>
      </c>
      <c r="DX634">
        <f>IF(OR(DS$3="",DS$3&gt;TODAY()),"",IF(AND(DV634="",DW634=""),"",N(DW634)-N(DV634)))</f>
        <v/>
      </c>
      <c r="EB634">
        <f>IF(OR(DZ$3="",DZ$3&gt;TODAY()),"",IF(AND(DZ634="",EA634=""),"",N(EA634)-N(DZ634)))</f>
        <v/>
      </c>
      <c r="EE634">
        <f>IF(OR(DZ$3="",DZ$3&gt;TODAY()),"",IF(AND(EC634="",ED634=""),"",N(ED634)-N(EC634)))</f>
        <v/>
      </c>
      <c r="EI634">
        <f>IF(OR(EG$3="",EG$3&gt;TODAY()),"",IF(AND(EG634="",EH634=""),"",N(EH634)-N(EG634)))</f>
        <v/>
      </c>
      <c r="EL634">
        <f>IF(OR(EG$3="",EG$3&gt;TODAY()),"",IF(AND(EJ634="",EK634=""),"",N(EK634)-N(EJ634)))</f>
        <v/>
      </c>
      <c r="EP634">
        <f>IF(OR(EN$3="",EN$3&gt;TODAY()),"",IF(AND(EN634="",EO634=""),"",N(EO634)-N(EN634)))</f>
        <v/>
      </c>
      <c r="ES634">
        <f>IF(OR(EN$3="",EN$3&gt;TODAY()),"",IF(AND(EQ634="",ER634=""),"",N(ER634)-N(EQ634)))</f>
        <v/>
      </c>
      <c r="EW634">
        <f>IF(OR(EU$3="",EU$3&gt;TODAY()),"",IF(AND(EU634="",EV634=""),"",N(EV634)-N(EU634)))</f>
        <v/>
      </c>
      <c r="EZ634">
        <f>IF(OR(EU$3="",EU$3&gt;TODAY()),"",IF(AND(EX634="",EY634=""),"",N(EY634)-N(EX634)))</f>
        <v/>
      </c>
      <c r="FD634">
        <f>IF(OR(FB$3="",FB$3&gt;TODAY()),"",IF(AND(FB634="",FC634=""),"",N(FC634)-N(FB634)))</f>
        <v/>
      </c>
      <c r="FG634">
        <f>IF(OR(FB$3="",FB$3&gt;TODAY()),"",IF(AND(FE634="",FF634=""),"",N(FF634)-N(FE634)))</f>
        <v/>
      </c>
      <c r="FK634">
        <f>IF(OR(FI$3="",FI$3&gt;TODAY()),"",IF(AND(FI634="",FJ634=""),"",N(FJ634)-N(FI634)))</f>
        <v/>
      </c>
      <c r="FN634">
        <f>IF(OR(FI$3="",FI$3&gt;TODAY()),"",IF(AND(FL634="",FM634=""),"",N(FM634)-N(FL634)))</f>
        <v/>
      </c>
      <c r="FR634">
        <f>IF(OR(FP$3="",FP$3&gt;TODAY()),"",IF(AND(FP634="",FQ634=""),"",N(FQ634)-N(FP634)))</f>
        <v/>
      </c>
      <c r="FU634">
        <f>IF(OR(FP$3="",FP$3&gt;TODAY()),"",IF(AND(FS634="",FT634=""),"",N(FT634)-N(FS634)))</f>
        <v/>
      </c>
      <c r="FY634">
        <f>IF(OR(FW$3="",FW$3&gt;TODAY()),"",IF(AND(FW634="",FX634=""),"",N(FX634)-N(FW634)))</f>
        <v/>
      </c>
      <c r="GB634">
        <f>IF(OR(FW$3="",FW$3&gt;TODAY()),"",IF(AND(FZ634="",GA634=""),"",N(GA634)-N(FZ634)))</f>
        <v/>
      </c>
      <c r="GF634">
        <f>IF(OR(GD$3="",GD$3&gt;TODAY()),"",IF(AND(GD634="",GE634=""),"",N(GE634)-N(GD634)))</f>
        <v/>
      </c>
      <c r="GI634">
        <f>IF(OR(GD$3="",GD$3&gt;TODAY()),"",IF(AND(GG634="",GH634=""),"",N(GH634)-N(GG634)))</f>
        <v/>
      </c>
      <c r="GM634">
        <f>IF(OR(GK$3="",GK$3&gt;TODAY()),"",IF(AND(GK634="",GL634=""),"",N(GL634)-N(GK634)))</f>
        <v/>
      </c>
      <c r="GP634">
        <f>IF(OR(GK$3="",GK$3&gt;TODAY()),"",IF(AND(GN634="",GO634=""),"",N(GO634)-N(GN634)))</f>
        <v/>
      </c>
      <c r="GT634">
        <f>IF(OR(GR$3="",GR$3&gt;TODAY()),"",IF(AND(GR634="",GS634=""),"",N(GS634)-N(GR634)))</f>
        <v/>
      </c>
      <c r="GW634">
        <f>IF(OR(GR$3="",GR$3&gt;TODAY()),"",IF(AND(GU634="",GV634=""),"",N(GV634)-N(GU634)))</f>
        <v/>
      </c>
      <c r="HA634">
        <f>IF(OR(GY$3="",GY$3&gt;TODAY()),"",IF(AND(GY634="",GZ634=""),"",N(GZ634)-N(GY634)))</f>
        <v/>
      </c>
      <c r="HD634">
        <f>IF(OR(GY$3="",GY$3&gt;TODAY()),"",IF(AND(HB634="",HC634=""),"",N(HC634)-N(HB634)))</f>
        <v/>
      </c>
      <c r="HH634">
        <f>IF(OR(HF$3="",HF$3&gt;TODAY()),"",IF(AND(HF634="",HG634=""),"",N(HG634)-N(HF634)))</f>
        <v/>
      </c>
      <c r="HK634">
        <f>IF(OR(HF$3="",HF$3&gt;TODAY()),"",IF(AND(HI634="",HJ634=""),"",N(HJ634)-N(HI634)))</f>
        <v/>
      </c>
      <c r="HO634">
        <f>IF(OR(HM$3="",HM$3&gt;TODAY()),"",IF(AND(HM634="",HN634=""),"",N(HN634)-N(HM634)))</f>
        <v/>
      </c>
      <c r="HR634">
        <f>IF(OR(HM$3="",HM$3&gt;TODAY()),"",IF(AND(HP634="",HQ634=""),"",N(HQ634)-N(HP634)))</f>
        <v/>
      </c>
      <c r="HV634">
        <f>IF(OR(HT$3="",HT$3&gt;TODAY()),"",IF(AND(HT634="",HU634=""),"",N(HU634)-N(HT634)))</f>
        <v/>
      </c>
      <c r="HY634">
        <f>IF(OR(HT$3="",HT$3&gt;TODAY()),"",IF(AND(HW634="",HX634=""),"",N(HX634)-N(HW634)))</f>
        <v/>
      </c>
      <c r="IC634">
        <f>IF(OR(IA$3="",IA$3&gt;TODAY()),"",IF(AND(IA634="",IB634=""),"",N(IB634)-N(IA634)))</f>
        <v/>
      </c>
      <c r="IF634">
        <f>IF(OR(IA$3="",IA$3&gt;TODAY()),"",IF(AND(ID634="",IE634=""),"",N(IE634)-N(ID634)))</f>
        <v/>
      </c>
      <c r="IJ634">
        <f>IF(OR(IH$3="",IH$3&gt;TODAY()),"",IF(AND(IH634="",II634=""),"",N(II634)-N(IH634)))</f>
        <v/>
      </c>
      <c r="IM634">
        <f>IF(OR(IH$3="",IH$3&gt;TODAY()),"",IF(AND(IK634="",IL634=""),"",N(IL634)-N(IK634)))</f>
        <v/>
      </c>
    </row>
    <row r="635">
      <c r="A635" s="21" t="n"/>
      <c r="B635" s="21" t="n"/>
      <c r="C635" s="21" t="n"/>
      <c r="D635" s="21" t="n"/>
      <c r="E635" s="21" t="n"/>
      <c r="F635" s="21" t="n"/>
      <c r="G635" s="21" t="n"/>
      <c r="H635" s="21" t="n"/>
      <c r="I635" s="22" t="n"/>
      <c r="J635" s="22" t="n"/>
      <c r="K635" s="23" t="n"/>
      <c r="L635" s="22" t="n"/>
      <c r="M635" s="22" t="n"/>
      <c r="N635" s="21" t="n"/>
      <c r="O635" s="23" t="n"/>
      <c r="P635" s="23" t="n"/>
      <c r="Q635" s="23" t="n"/>
      <c r="R635" s="23" t="n"/>
      <c r="S635" s="22" t="n"/>
      <c r="T635" s="23" t="n"/>
      <c r="U635" s="23" t="n"/>
      <c r="V635" s="24">
        <f>IF(J635&lt;&gt;"",J635,IF(I635&lt;&gt;"",I635,""))</f>
        <v/>
      </c>
      <c r="W635" s="25">
        <f>IF($E635="","",N(O635)+SUMIFS($AF635:$IN635,$AF$4:$IN$4,"SEW_ACT"))</f>
        <v/>
      </c>
      <c r="X635" s="25">
        <f>IF($E635="","",N(P635)+SUMIFS($AF635:$IN635,$AF$4:$IN$4,"WASH_ACT"))</f>
        <v/>
      </c>
      <c r="Y635" s="25">
        <f>IF($E635="","",W635-X635-N(T635)-N(U635))</f>
        <v/>
      </c>
      <c r="Z635" s="25">
        <f>IF($E635="","",IF(N(K635)-X635&lt;=0.02*N(K635),0,N(K635)-X635))</f>
        <v/>
      </c>
      <c r="AA635" s="24">
        <f>IF($E635="","",IF(S635&lt;&gt;"",S635,IF(N(O635)&gt;0,IF(L635&lt;&gt;"",L635,99999),IFERROR(1/(1/_xlfn.MINIFS($AF$3:$IN$3,$AF$4:$IN$4,"SEW_ACT",$AF635:$IN635,"&gt;0")),99999))))</f>
        <v/>
      </c>
      <c r="AB635" s="26">
        <f>IF(OR($E635="",Z635=0,V635=""),"",1+COUNTIFS(Z$8:Z$707,"&gt;0",V$8:V$707,"&lt;"&amp;V635)+COUNTIFS(Z$8:Z$707,"&gt;0",V$8:V$707,V635,AA$8:AA$707,"&lt;"&amp;AA635)+COUNTIFS(Z$8:Z$707,"&gt;0",V$8:V$707,V635,AA$8:AA$707,AA635,E$8:E$707,"&lt;"&amp;$E635))</f>
        <v/>
      </c>
      <c r="AC635" s="24">
        <f>IF(OR($E635="",Z635=0),"",IFERROR(TODAY()+ROUNDUP(Z635/(SUMIFS($AF635:$IN635,$AF$4:$IN$4,"WASH_ACT")/COUNTIFS($AF$4:$IN$4,"WASH_ACT",$AF635:$IN635,"&gt;0")),0),"no output yet"))</f>
        <v/>
      </c>
      <c r="AD635" s="26">
        <f>IF($E635="","",IFERROR(ROUND(MAX(0,SUMIFS($AF635:$IN635,$AF$4:$IN$4,"SEW_PLAN",$AF$3:$IN$3,"&lt;="&amp;TODAY())-SUMIFS($AF635:$IN635,$AF$4:$IN$4,"SEW_ACT",$AF$3:$IN$3,"&lt;="&amp;TODAY())+N(Q635))/(SUMIFS($AF635:$IN635,$AF$4:$IN$4,"SEW_PLAN")/COUNTIFS($AF$4:$IN$4,"SEW_PLAN",$AF635:$IN635,"&gt;0")),1),0))</f>
        <v/>
      </c>
      <c r="AE635" s="26">
        <f>IF($E635="","",IF(AND(Z635&gt;0,OR(AND(M635&lt;&gt;"",TODAY()&gt;M635),AND(V635&lt;&gt;"",V635-TODAY()&lt;=7))),"Yes","No"))</f>
        <v/>
      </c>
      <c r="AH635">
        <f>IF(OR(AF$3="",AF$3&gt;TODAY()),"",IF(AND(AF635="",AG635=""),"",N(AG635)-N(AF635)))</f>
        <v/>
      </c>
      <c r="AK635">
        <f>IF(OR(AF$3="",AF$3&gt;TODAY()),"",IF(AND(AI635="",AJ635=""),"",N(AJ635)-N(AI635)))</f>
        <v/>
      </c>
      <c r="AO635">
        <f>IF(OR(AM$3="",AM$3&gt;TODAY()),"",IF(AND(AM635="",AN635=""),"",N(AN635)-N(AM635)))</f>
        <v/>
      </c>
      <c r="AR635">
        <f>IF(OR(AM$3="",AM$3&gt;TODAY()),"",IF(AND(AP635="",AQ635=""),"",N(AQ635)-N(AP635)))</f>
        <v/>
      </c>
      <c r="AV635">
        <f>IF(OR(AT$3="",AT$3&gt;TODAY()),"",IF(AND(AT635="",AU635=""),"",N(AU635)-N(AT635)))</f>
        <v/>
      </c>
      <c r="AY635">
        <f>IF(OR(AT$3="",AT$3&gt;TODAY()),"",IF(AND(AW635="",AX635=""),"",N(AX635)-N(AW635)))</f>
        <v/>
      </c>
      <c r="BC635">
        <f>IF(OR(BA$3="",BA$3&gt;TODAY()),"",IF(AND(BA635="",BB635=""),"",N(BB635)-N(BA635)))</f>
        <v/>
      </c>
      <c r="BF635">
        <f>IF(OR(BA$3="",BA$3&gt;TODAY()),"",IF(AND(BD635="",BE635=""),"",N(BE635)-N(BD635)))</f>
        <v/>
      </c>
      <c r="BJ635">
        <f>IF(OR(BH$3="",BH$3&gt;TODAY()),"",IF(AND(BH635="",BI635=""),"",N(BI635)-N(BH635)))</f>
        <v/>
      </c>
      <c r="BM635">
        <f>IF(OR(BH$3="",BH$3&gt;TODAY()),"",IF(AND(BK635="",BL635=""),"",N(BL635)-N(BK635)))</f>
        <v/>
      </c>
      <c r="BQ635">
        <f>IF(OR(BO$3="",BO$3&gt;TODAY()),"",IF(AND(BO635="",BP635=""),"",N(BP635)-N(BO635)))</f>
        <v/>
      </c>
      <c r="BT635">
        <f>IF(OR(BO$3="",BO$3&gt;TODAY()),"",IF(AND(BR635="",BS635=""),"",N(BS635)-N(BR635)))</f>
        <v/>
      </c>
      <c r="BX635">
        <f>IF(OR(BV$3="",BV$3&gt;TODAY()),"",IF(AND(BV635="",BW635=""),"",N(BW635)-N(BV635)))</f>
        <v/>
      </c>
      <c r="CA635">
        <f>IF(OR(BV$3="",BV$3&gt;TODAY()),"",IF(AND(BY635="",BZ635=""),"",N(BZ635)-N(BY635)))</f>
        <v/>
      </c>
      <c r="CE635">
        <f>IF(OR(CC$3="",CC$3&gt;TODAY()),"",IF(AND(CC635="",CD635=""),"",N(CD635)-N(CC635)))</f>
        <v/>
      </c>
      <c r="CH635">
        <f>IF(OR(CC$3="",CC$3&gt;TODAY()),"",IF(AND(CF635="",CG635=""),"",N(CG635)-N(CF635)))</f>
        <v/>
      </c>
      <c r="CL635">
        <f>IF(OR(CJ$3="",CJ$3&gt;TODAY()),"",IF(AND(CJ635="",CK635=""),"",N(CK635)-N(CJ635)))</f>
        <v/>
      </c>
      <c r="CO635">
        <f>IF(OR(CJ$3="",CJ$3&gt;TODAY()),"",IF(AND(CM635="",CN635=""),"",N(CN635)-N(CM635)))</f>
        <v/>
      </c>
      <c r="CS635">
        <f>IF(OR(CQ$3="",CQ$3&gt;TODAY()),"",IF(AND(CQ635="",CR635=""),"",N(CR635)-N(CQ635)))</f>
        <v/>
      </c>
      <c r="CV635">
        <f>IF(OR(CQ$3="",CQ$3&gt;TODAY()),"",IF(AND(CT635="",CU635=""),"",N(CU635)-N(CT635)))</f>
        <v/>
      </c>
      <c r="CZ635">
        <f>IF(OR(CX$3="",CX$3&gt;TODAY()),"",IF(AND(CX635="",CY635=""),"",N(CY635)-N(CX635)))</f>
        <v/>
      </c>
      <c r="DC635">
        <f>IF(OR(CX$3="",CX$3&gt;TODAY()),"",IF(AND(DA635="",DB635=""),"",N(DB635)-N(DA635)))</f>
        <v/>
      </c>
      <c r="DG635">
        <f>IF(OR(DE$3="",DE$3&gt;TODAY()),"",IF(AND(DE635="",DF635=""),"",N(DF635)-N(DE635)))</f>
        <v/>
      </c>
      <c r="DJ635">
        <f>IF(OR(DE$3="",DE$3&gt;TODAY()),"",IF(AND(DH635="",DI635=""),"",N(DI635)-N(DH635)))</f>
        <v/>
      </c>
      <c r="DN635">
        <f>IF(OR(DL$3="",DL$3&gt;TODAY()),"",IF(AND(DL635="",DM635=""),"",N(DM635)-N(DL635)))</f>
        <v/>
      </c>
      <c r="DQ635">
        <f>IF(OR(DL$3="",DL$3&gt;TODAY()),"",IF(AND(DO635="",DP635=""),"",N(DP635)-N(DO635)))</f>
        <v/>
      </c>
      <c r="DU635">
        <f>IF(OR(DS$3="",DS$3&gt;TODAY()),"",IF(AND(DS635="",DT635=""),"",N(DT635)-N(DS635)))</f>
        <v/>
      </c>
      <c r="DX635">
        <f>IF(OR(DS$3="",DS$3&gt;TODAY()),"",IF(AND(DV635="",DW635=""),"",N(DW635)-N(DV635)))</f>
        <v/>
      </c>
      <c r="EB635">
        <f>IF(OR(DZ$3="",DZ$3&gt;TODAY()),"",IF(AND(DZ635="",EA635=""),"",N(EA635)-N(DZ635)))</f>
        <v/>
      </c>
      <c r="EE635">
        <f>IF(OR(DZ$3="",DZ$3&gt;TODAY()),"",IF(AND(EC635="",ED635=""),"",N(ED635)-N(EC635)))</f>
        <v/>
      </c>
      <c r="EI635">
        <f>IF(OR(EG$3="",EG$3&gt;TODAY()),"",IF(AND(EG635="",EH635=""),"",N(EH635)-N(EG635)))</f>
        <v/>
      </c>
      <c r="EL635">
        <f>IF(OR(EG$3="",EG$3&gt;TODAY()),"",IF(AND(EJ635="",EK635=""),"",N(EK635)-N(EJ635)))</f>
        <v/>
      </c>
      <c r="EP635">
        <f>IF(OR(EN$3="",EN$3&gt;TODAY()),"",IF(AND(EN635="",EO635=""),"",N(EO635)-N(EN635)))</f>
        <v/>
      </c>
      <c r="ES635">
        <f>IF(OR(EN$3="",EN$3&gt;TODAY()),"",IF(AND(EQ635="",ER635=""),"",N(ER635)-N(EQ635)))</f>
        <v/>
      </c>
      <c r="EW635">
        <f>IF(OR(EU$3="",EU$3&gt;TODAY()),"",IF(AND(EU635="",EV635=""),"",N(EV635)-N(EU635)))</f>
        <v/>
      </c>
      <c r="EZ635">
        <f>IF(OR(EU$3="",EU$3&gt;TODAY()),"",IF(AND(EX635="",EY635=""),"",N(EY635)-N(EX635)))</f>
        <v/>
      </c>
      <c r="FD635">
        <f>IF(OR(FB$3="",FB$3&gt;TODAY()),"",IF(AND(FB635="",FC635=""),"",N(FC635)-N(FB635)))</f>
        <v/>
      </c>
      <c r="FG635">
        <f>IF(OR(FB$3="",FB$3&gt;TODAY()),"",IF(AND(FE635="",FF635=""),"",N(FF635)-N(FE635)))</f>
        <v/>
      </c>
      <c r="FK635">
        <f>IF(OR(FI$3="",FI$3&gt;TODAY()),"",IF(AND(FI635="",FJ635=""),"",N(FJ635)-N(FI635)))</f>
        <v/>
      </c>
      <c r="FN635">
        <f>IF(OR(FI$3="",FI$3&gt;TODAY()),"",IF(AND(FL635="",FM635=""),"",N(FM635)-N(FL635)))</f>
        <v/>
      </c>
      <c r="FR635">
        <f>IF(OR(FP$3="",FP$3&gt;TODAY()),"",IF(AND(FP635="",FQ635=""),"",N(FQ635)-N(FP635)))</f>
        <v/>
      </c>
      <c r="FU635">
        <f>IF(OR(FP$3="",FP$3&gt;TODAY()),"",IF(AND(FS635="",FT635=""),"",N(FT635)-N(FS635)))</f>
        <v/>
      </c>
      <c r="FY635">
        <f>IF(OR(FW$3="",FW$3&gt;TODAY()),"",IF(AND(FW635="",FX635=""),"",N(FX635)-N(FW635)))</f>
        <v/>
      </c>
      <c r="GB635">
        <f>IF(OR(FW$3="",FW$3&gt;TODAY()),"",IF(AND(FZ635="",GA635=""),"",N(GA635)-N(FZ635)))</f>
        <v/>
      </c>
      <c r="GF635">
        <f>IF(OR(GD$3="",GD$3&gt;TODAY()),"",IF(AND(GD635="",GE635=""),"",N(GE635)-N(GD635)))</f>
        <v/>
      </c>
      <c r="GI635">
        <f>IF(OR(GD$3="",GD$3&gt;TODAY()),"",IF(AND(GG635="",GH635=""),"",N(GH635)-N(GG635)))</f>
        <v/>
      </c>
      <c r="GM635">
        <f>IF(OR(GK$3="",GK$3&gt;TODAY()),"",IF(AND(GK635="",GL635=""),"",N(GL635)-N(GK635)))</f>
        <v/>
      </c>
      <c r="GP635">
        <f>IF(OR(GK$3="",GK$3&gt;TODAY()),"",IF(AND(GN635="",GO635=""),"",N(GO635)-N(GN635)))</f>
        <v/>
      </c>
      <c r="GT635">
        <f>IF(OR(GR$3="",GR$3&gt;TODAY()),"",IF(AND(GR635="",GS635=""),"",N(GS635)-N(GR635)))</f>
        <v/>
      </c>
      <c r="GW635">
        <f>IF(OR(GR$3="",GR$3&gt;TODAY()),"",IF(AND(GU635="",GV635=""),"",N(GV635)-N(GU635)))</f>
        <v/>
      </c>
      <c r="HA635">
        <f>IF(OR(GY$3="",GY$3&gt;TODAY()),"",IF(AND(GY635="",GZ635=""),"",N(GZ635)-N(GY635)))</f>
        <v/>
      </c>
      <c r="HD635">
        <f>IF(OR(GY$3="",GY$3&gt;TODAY()),"",IF(AND(HB635="",HC635=""),"",N(HC635)-N(HB635)))</f>
        <v/>
      </c>
      <c r="HH635">
        <f>IF(OR(HF$3="",HF$3&gt;TODAY()),"",IF(AND(HF635="",HG635=""),"",N(HG635)-N(HF635)))</f>
        <v/>
      </c>
      <c r="HK635">
        <f>IF(OR(HF$3="",HF$3&gt;TODAY()),"",IF(AND(HI635="",HJ635=""),"",N(HJ635)-N(HI635)))</f>
        <v/>
      </c>
      <c r="HO635">
        <f>IF(OR(HM$3="",HM$3&gt;TODAY()),"",IF(AND(HM635="",HN635=""),"",N(HN635)-N(HM635)))</f>
        <v/>
      </c>
      <c r="HR635">
        <f>IF(OR(HM$3="",HM$3&gt;TODAY()),"",IF(AND(HP635="",HQ635=""),"",N(HQ635)-N(HP635)))</f>
        <v/>
      </c>
      <c r="HV635">
        <f>IF(OR(HT$3="",HT$3&gt;TODAY()),"",IF(AND(HT635="",HU635=""),"",N(HU635)-N(HT635)))</f>
        <v/>
      </c>
      <c r="HY635">
        <f>IF(OR(HT$3="",HT$3&gt;TODAY()),"",IF(AND(HW635="",HX635=""),"",N(HX635)-N(HW635)))</f>
        <v/>
      </c>
      <c r="IC635">
        <f>IF(OR(IA$3="",IA$3&gt;TODAY()),"",IF(AND(IA635="",IB635=""),"",N(IB635)-N(IA635)))</f>
        <v/>
      </c>
      <c r="IF635">
        <f>IF(OR(IA$3="",IA$3&gt;TODAY()),"",IF(AND(ID635="",IE635=""),"",N(IE635)-N(ID635)))</f>
        <v/>
      </c>
      <c r="IJ635">
        <f>IF(OR(IH$3="",IH$3&gt;TODAY()),"",IF(AND(IH635="",II635=""),"",N(II635)-N(IH635)))</f>
        <v/>
      </c>
      <c r="IM635">
        <f>IF(OR(IH$3="",IH$3&gt;TODAY()),"",IF(AND(IK635="",IL635=""),"",N(IL635)-N(IK635)))</f>
        <v/>
      </c>
    </row>
    <row r="636">
      <c r="A636" s="21" t="n"/>
      <c r="B636" s="21" t="n"/>
      <c r="C636" s="21" t="n"/>
      <c r="D636" s="21" t="n"/>
      <c r="E636" s="21" t="n"/>
      <c r="F636" s="21" t="n"/>
      <c r="G636" s="21" t="n"/>
      <c r="H636" s="21" t="n"/>
      <c r="I636" s="22" t="n"/>
      <c r="J636" s="22" t="n"/>
      <c r="K636" s="23" t="n"/>
      <c r="L636" s="22" t="n"/>
      <c r="M636" s="22" t="n"/>
      <c r="N636" s="21" t="n"/>
      <c r="O636" s="23" t="n"/>
      <c r="P636" s="23" t="n"/>
      <c r="Q636" s="23" t="n"/>
      <c r="R636" s="23" t="n"/>
      <c r="S636" s="22" t="n"/>
      <c r="T636" s="23" t="n"/>
      <c r="U636" s="23" t="n"/>
      <c r="V636" s="24">
        <f>IF(J636&lt;&gt;"",J636,IF(I636&lt;&gt;"",I636,""))</f>
        <v/>
      </c>
      <c r="W636" s="25">
        <f>IF($E636="","",N(O636)+SUMIFS($AF636:$IN636,$AF$4:$IN$4,"SEW_ACT"))</f>
        <v/>
      </c>
      <c r="X636" s="25">
        <f>IF($E636="","",N(P636)+SUMIFS($AF636:$IN636,$AF$4:$IN$4,"WASH_ACT"))</f>
        <v/>
      </c>
      <c r="Y636" s="25">
        <f>IF($E636="","",W636-X636-N(T636)-N(U636))</f>
        <v/>
      </c>
      <c r="Z636" s="25">
        <f>IF($E636="","",IF(N(K636)-X636&lt;=0.02*N(K636),0,N(K636)-X636))</f>
        <v/>
      </c>
      <c r="AA636" s="24">
        <f>IF($E636="","",IF(S636&lt;&gt;"",S636,IF(N(O636)&gt;0,IF(L636&lt;&gt;"",L636,99999),IFERROR(1/(1/_xlfn.MINIFS($AF$3:$IN$3,$AF$4:$IN$4,"SEW_ACT",$AF636:$IN636,"&gt;0")),99999))))</f>
        <v/>
      </c>
      <c r="AB636" s="26">
        <f>IF(OR($E636="",Z636=0,V636=""),"",1+COUNTIFS(Z$8:Z$707,"&gt;0",V$8:V$707,"&lt;"&amp;V636)+COUNTIFS(Z$8:Z$707,"&gt;0",V$8:V$707,V636,AA$8:AA$707,"&lt;"&amp;AA636)+COUNTIFS(Z$8:Z$707,"&gt;0",V$8:V$707,V636,AA$8:AA$707,AA636,E$8:E$707,"&lt;"&amp;$E636))</f>
        <v/>
      </c>
      <c r="AC636" s="24">
        <f>IF(OR($E636="",Z636=0),"",IFERROR(TODAY()+ROUNDUP(Z636/(SUMIFS($AF636:$IN636,$AF$4:$IN$4,"WASH_ACT")/COUNTIFS($AF$4:$IN$4,"WASH_ACT",$AF636:$IN636,"&gt;0")),0),"no output yet"))</f>
        <v/>
      </c>
      <c r="AD636" s="26">
        <f>IF($E636="","",IFERROR(ROUND(MAX(0,SUMIFS($AF636:$IN636,$AF$4:$IN$4,"SEW_PLAN",$AF$3:$IN$3,"&lt;="&amp;TODAY())-SUMIFS($AF636:$IN636,$AF$4:$IN$4,"SEW_ACT",$AF$3:$IN$3,"&lt;="&amp;TODAY())+N(Q636))/(SUMIFS($AF636:$IN636,$AF$4:$IN$4,"SEW_PLAN")/COUNTIFS($AF$4:$IN$4,"SEW_PLAN",$AF636:$IN636,"&gt;0")),1),0))</f>
        <v/>
      </c>
      <c r="AE636" s="26">
        <f>IF($E636="","",IF(AND(Z636&gt;0,OR(AND(M636&lt;&gt;"",TODAY()&gt;M636),AND(V636&lt;&gt;"",V636-TODAY()&lt;=7))),"Yes","No"))</f>
        <v/>
      </c>
      <c r="AH636">
        <f>IF(OR(AF$3="",AF$3&gt;TODAY()),"",IF(AND(AF636="",AG636=""),"",N(AG636)-N(AF636)))</f>
        <v/>
      </c>
      <c r="AK636">
        <f>IF(OR(AF$3="",AF$3&gt;TODAY()),"",IF(AND(AI636="",AJ636=""),"",N(AJ636)-N(AI636)))</f>
        <v/>
      </c>
      <c r="AO636">
        <f>IF(OR(AM$3="",AM$3&gt;TODAY()),"",IF(AND(AM636="",AN636=""),"",N(AN636)-N(AM636)))</f>
        <v/>
      </c>
      <c r="AR636">
        <f>IF(OR(AM$3="",AM$3&gt;TODAY()),"",IF(AND(AP636="",AQ636=""),"",N(AQ636)-N(AP636)))</f>
        <v/>
      </c>
      <c r="AV636">
        <f>IF(OR(AT$3="",AT$3&gt;TODAY()),"",IF(AND(AT636="",AU636=""),"",N(AU636)-N(AT636)))</f>
        <v/>
      </c>
      <c r="AY636">
        <f>IF(OR(AT$3="",AT$3&gt;TODAY()),"",IF(AND(AW636="",AX636=""),"",N(AX636)-N(AW636)))</f>
        <v/>
      </c>
      <c r="BC636">
        <f>IF(OR(BA$3="",BA$3&gt;TODAY()),"",IF(AND(BA636="",BB636=""),"",N(BB636)-N(BA636)))</f>
        <v/>
      </c>
      <c r="BF636">
        <f>IF(OR(BA$3="",BA$3&gt;TODAY()),"",IF(AND(BD636="",BE636=""),"",N(BE636)-N(BD636)))</f>
        <v/>
      </c>
      <c r="BJ636">
        <f>IF(OR(BH$3="",BH$3&gt;TODAY()),"",IF(AND(BH636="",BI636=""),"",N(BI636)-N(BH636)))</f>
        <v/>
      </c>
      <c r="BM636">
        <f>IF(OR(BH$3="",BH$3&gt;TODAY()),"",IF(AND(BK636="",BL636=""),"",N(BL636)-N(BK636)))</f>
        <v/>
      </c>
      <c r="BQ636">
        <f>IF(OR(BO$3="",BO$3&gt;TODAY()),"",IF(AND(BO636="",BP636=""),"",N(BP636)-N(BO636)))</f>
        <v/>
      </c>
      <c r="BT636">
        <f>IF(OR(BO$3="",BO$3&gt;TODAY()),"",IF(AND(BR636="",BS636=""),"",N(BS636)-N(BR636)))</f>
        <v/>
      </c>
      <c r="BX636">
        <f>IF(OR(BV$3="",BV$3&gt;TODAY()),"",IF(AND(BV636="",BW636=""),"",N(BW636)-N(BV636)))</f>
        <v/>
      </c>
      <c r="CA636">
        <f>IF(OR(BV$3="",BV$3&gt;TODAY()),"",IF(AND(BY636="",BZ636=""),"",N(BZ636)-N(BY636)))</f>
        <v/>
      </c>
      <c r="CE636">
        <f>IF(OR(CC$3="",CC$3&gt;TODAY()),"",IF(AND(CC636="",CD636=""),"",N(CD636)-N(CC636)))</f>
        <v/>
      </c>
      <c r="CH636">
        <f>IF(OR(CC$3="",CC$3&gt;TODAY()),"",IF(AND(CF636="",CG636=""),"",N(CG636)-N(CF636)))</f>
        <v/>
      </c>
      <c r="CL636">
        <f>IF(OR(CJ$3="",CJ$3&gt;TODAY()),"",IF(AND(CJ636="",CK636=""),"",N(CK636)-N(CJ636)))</f>
        <v/>
      </c>
      <c r="CO636">
        <f>IF(OR(CJ$3="",CJ$3&gt;TODAY()),"",IF(AND(CM636="",CN636=""),"",N(CN636)-N(CM636)))</f>
        <v/>
      </c>
      <c r="CS636">
        <f>IF(OR(CQ$3="",CQ$3&gt;TODAY()),"",IF(AND(CQ636="",CR636=""),"",N(CR636)-N(CQ636)))</f>
        <v/>
      </c>
      <c r="CV636">
        <f>IF(OR(CQ$3="",CQ$3&gt;TODAY()),"",IF(AND(CT636="",CU636=""),"",N(CU636)-N(CT636)))</f>
        <v/>
      </c>
      <c r="CZ636">
        <f>IF(OR(CX$3="",CX$3&gt;TODAY()),"",IF(AND(CX636="",CY636=""),"",N(CY636)-N(CX636)))</f>
        <v/>
      </c>
      <c r="DC636">
        <f>IF(OR(CX$3="",CX$3&gt;TODAY()),"",IF(AND(DA636="",DB636=""),"",N(DB636)-N(DA636)))</f>
        <v/>
      </c>
      <c r="DG636">
        <f>IF(OR(DE$3="",DE$3&gt;TODAY()),"",IF(AND(DE636="",DF636=""),"",N(DF636)-N(DE636)))</f>
        <v/>
      </c>
      <c r="DJ636">
        <f>IF(OR(DE$3="",DE$3&gt;TODAY()),"",IF(AND(DH636="",DI636=""),"",N(DI636)-N(DH636)))</f>
        <v/>
      </c>
      <c r="DN636">
        <f>IF(OR(DL$3="",DL$3&gt;TODAY()),"",IF(AND(DL636="",DM636=""),"",N(DM636)-N(DL636)))</f>
        <v/>
      </c>
      <c r="DQ636">
        <f>IF(OR(DL$3="",DL$3&gt;TODAY()),"",IF(AND(DO636="",DP636=""),"",N(DP636)-N(DO636)))</f>
        <v/>
      </c>
      <c r="DU636">
        <f>IF(OR(DS$3="",DS$3&gt;TODAY()),"",IF(AND(DS636="",DT636=""),"",N(DT636)-N(DS636)))</f>
        <v/>
      </c>
      <c r="DX636">
        <f>IF(OR(DS$3="",DS$3&gt;TODAY()),"",IF(AND(DV636="",DW636=""),"",N(DW636)-N(DV636)))</f>
        <v/>
      </c>
      <c r="EB636">
        <f>IF(OR(DZ$3="",DZ$3&gt;TODAY()),"",IF(AND(DZ636="",EA636=""),"",N(EA636)-N(DZ636)))</f>
        <v/>
      </c>
      <c r="EE636">
        <f>IF(OR(DZ$3="",DZ$3&gt;TODAY()),"",IF(AND(EC636="",ED636=""),"",N(ED636)-N(EC636)))</f>
        <v/>
      </c>
      <c r="EI636">
        <f>IF(OR(EG$3="",EG$3&gt;TODAY()),"",IF(AND(EG636="",EH636=""),"",N(EH636)-N(EG636)))</f>
        <v/>
      </c>
      <c r="EL636">
        <f>IF(OR(EG$3="",EG$3&gt;TODAY()),"",IF(AND(EJ636="",EK636=""),"",N(EK636)-N(EJ636)))</f>
        <v/>
      </c>
      <c r="EP636">
        <f>IF(OR(EN$3="",EN$3&gt;TODAY()),"",IF(AND(EN636="",EO636=""),"",N(EO636)-N(EN636)))</f>
        <v/>
      </c>
      <c r="ES636">
        <f>IF(OR(EN$3="",EN$3&gt;TODAY()),"",IF(AND(EQ636="",ER636=""),"",N(ER636)-N(EQ636)))</f>
        <v/>
      </c>
      <c r="EW636">
        <f>IF(OR(EU$3="",EU$3&gt;TODAY()),"",IF(AND(EU636="",EV636=""),"",N(EV636)-N(EU636)))</f>
        <v/>
      </c>
      <c r="EZ636">
        <f>IF(OR(EU$3="",EU$3&gt;TODAY()),"",IF(AND(EX636="",EY636=""),"",N(EY636)-N(EX636)))</f>
        <v/>
      </c>
      <c r="FD636">
        <f>IF(OR(FB$3="",FB$3&gt;TODAY()),"",IF(AND(FB636="",FC636=""),"",N(FC636)-N(FB636)))</f>
        <v/>
      </c>
      <c r="FG636">
        <f>IF(OR(FB$3="",FB$3&gt;TODAY()),"",IF(AND(FE636="",FF636=""),"",N(FF636)-N(FE636)))</f>
        <v/>
      </c>
      <c r="FK636">
        <f>IF(OR(FI$3="",FI$3&gt;TODAY()),"",IF(AND(FI636="",FJ636=""),"",N(FJ636)-N(FI636)))</f>
        <v/>
      </c>
      <c r="FN636">
        <f>IF(OR(FI$3="",FI$3&gt;TODAY()),"",IF(AND(FL636="",FM636=""),"",N(FM636)-N(FL636)))</f>
        <v/>
      </c>
      <c r="FR636">
        <f>IF(OR(FP$3="",FP$3&gt;TODAY()),"",IF(AND(FP636="",FQ636=""),"",N(FQ636)-N(FP636)))</f>
        <v/>
      </c>
      <c r="FU636">
        <f>IF(OR(FP$3="",FP$3&gt;TODAY()),"",IF(AND(FS636="",FT636=""),"",N(FT636)-N(FS636)))</f>
        <v/>
      </c>
      <c r="FY636">
        <f>IF(OR(FW$3="",FW$3&gt;TODAY()),"",IF(AND(FW636="",FX636=""),"",N(FX636)-N(FW636)))</f>
        <v/>
      </c>
      <c r="GB636">
        <f>IF(OR(FW$3="",FW$3&gt;TODAY()),"",IF(AND(FZ636="",GA636=""),"",N(GA636)-N(FZ636)))</f>
        <v/>
      </c>
      <c r="GF636">
        <f>IF(OR(GD$3="",GD$3&gt;TODAY()),"",IF(AND(GD636="",GE636=""),"",N(GE636)-N(GD636)))</f>
        <v/>
      </c>
      <c r="GI636">
        <f>IF(OR(GD$3="",GD$3&gt;TODAY()),"",IF(AND(GG636="",GH636=""),"",N(GH636)-N(GG636)))</f>
        <v/>
      </c>
      <c r="GM636">
        <f>IF(OR(GK$3="",GK$3&gt;TODAY()),"",IF(AND(GK636="",GL636=""),"",N(GL636)-N(GK636)))</f>
        <v/>
      </c>
      <c r="GP636">
        <f>IF(OR(GK$3="",GK$3&gt;TODAY()),"",IF(AND(GN636="",GO636=""),"",N(GO636)-N(GN636)))</f>
        <v/>
      </c>
      <c r="GT636">
        <f>IF(OR(GR$3="",GR$3&gt;TODAY()),"",IF(AND(GR636="",GS636=""),"",N(GS636)-N(GR636)))</f>
        <v/>
      </c>
      <c r="GW636">
        <f>IF(OR(GR$3="",GR$3&gt;TODAY()),"",IF(AND(GU636="",GV636=""),"",N(GV636)-N(GU636)))</f>
        <v/>
      </c>
      <c r="HA636">
        <f>IF(OR(GY$3="",GY$3&gt;TODAY()),"",IF(AND(GY636="",GZ636=""),"",N(GZ636)-N(GY636)))</f>
        <v/>
      </c>
      <c r="HD636">
        <f>IF(OR(GY$3="",GY$3&gt;TODAY()),"",IF(AND(HB636="",HC636=""),"",N(HC636)-N(HB636)))</f>
        <v/>
      </c>
      <c r="HH636">
        <f>IF(OR(HF$3="",HF$3&gt;TODAY()),"",IF(AND(HF636="",HG636=""),"",N(HG636)-N(HF636)))</f>
        <v/>
      </c>
      <c r="HK636">
        <f>IF(OR(HF$3="",HF$3&gt;TODAY()),"",IF(AND(HI636="",HJ636=""),"",N(HJ636)-N(HI636)))</f>
        <v/>
      </c>
      <c r="HO636">
        <f>IF(OR(HM$3="",HM$3&gt;TODAY()),"",IF(AND(HM636="",HN636=""),"",N(HN636)-N(HM636)))</f>
        <v/>
      </c>
      <c r="HR636">
        <f>IF(OR(HM$3="",HM$3&gt;TODAY()),"",IF(AND(HP636="",HQ636=""),"",N(HQ636)-N(HP636)))</f>
        <v/>
      </c>
      <c r="HV636">
        <f>IF(OR(HT$3="",HT$3&gt;TODAY()),"",IF(AND(HT636="",HU636=""),"",N(HU636)-N(HT636)))</f>
        <v/>
      </c>
      <c r="HY636">
        <f>IF(OR(HT$3="",HT$3&gt;TODAY()),"",IF(AND(HW636="",HX636=""),"",N(HX636)-N(HW636)))</f>
        <v/>
      </c>
      <c r="IC636">
        <f>IF(OR(IA$3="",IA$3&gt;TODAY()),"",IF(AND(IA636="",IB636=""),"",N(IB636)-N(IA636)))</f>
        <v/>
      </c>
      <c r="IF636">
        <f>IF(OR(IA$3="",IA$3&gt;TODAY()),"",IF(AND(ID636="",IE636=""),"",N(IE636)-N(ID636)))</f>
        <v/>
      </c>
      <c r="IJ636">
        <f>IF(OR(IH$3="",IH$3&gt;TODAY()),"",IF(AND(IH636="",II636=""),"",N(II636)-N(IH636)))</f>
        <v/>
      </c>
      <c r="IM636">
        <f>IF(OR(IH$3="",IH$3&gt;TODAY()),"",IF(AND(IK636="",IL636=""),"",N(IL636)-N(IK636)))</f>
        <v/>
      </c>
    </row>
    <row r="637">
      <c r="A637" s="21" t="n"/>
      <c r="B637" s="21" t="n"/>
      <c r="C637" s="21" t="n"/>
      <c r="D637" s="21" t="n"/>
      <c r="E637" s="21" t="n"/>
      <c r="F637" s="21" t="n"/>
      <c r="G637" s="21" t="n"/>
      <c r="H637" s="21" t="n"/>
      <c r="I637" s="22" t="n"/>
      <c r="J637" s="22" t="n"/>
      <c r="K637" s="23" t="n"/>
      <c r="L637" s="22" t="n"/>
      <c r="M637" s="22" t="n"/>
      <c r="N637" s="21" t="n"/>
      <c r="O637" s="23" t="n"/>
      <c r="P637" s="23" t="n"/>
      <c r="Q637" s="23" t="n"/>
      <c r="R637" s="23" t="n"/>
      <c r="S637" s="22" t="n"/>
      <c r="T637" s="23" t="n"/>
      <c r="U637" s="23" t="n"/>
      <c r="V637" s="24">
        <f>IF(J637&lt;&gt;"",J637,IF(I637&lt;&gt;"",I637,""))</f>
        <v/>
      </c>
      <c r="W637" s="25">
        <f>IF($E637="","",N(O637)+SUMIFS($AF637:$IN637,$AF$4:$IN$4,"SEW_ACT"))</f>
        <v/>
      </c>
      <c r="X637" s="25">
        <f>IF($E637="","",N(P637)+SUMIFS($AF637:$IN637,$AF$4:$IN$4,"WASH_ACT"))</f>
        <v/>
      </c>
      <c r="Y637" s="25">
        <f>IF($E637="","",W637-X637-N(T637)-N(U637))</f>
        <v/>
      </c>
      <c r="Z637" s="25">
        <f>IF($E637="","",IF(N(K637)-X637&lt;=0.02*N(K637),0,N(K637)-X637))</f>
        <v/>
      </c>
      <c r="AA637" s="24">
        <f>IF($E637="","",IF(S637&lt;&gt;"",S637,IF(N(O637)&gt;0,IF(L637&lt;&gt;"",L637,99999),IFERROR(1/(1/_xlfn.MINIFS($AF$3:$IN$3,$AF$4:$IN$4,"SEW_ACT",$AF637:$IN637,"&gt;0")),99999))))</f>
        <v/>
      </c>
      <c r="AB637" s="26">
        <f>IF(OR($E637="",Z637=0,V637=""),"",1+COUNTIFS(Z$8:Z$707,"&gt;0",V$8:V$707,"&lt;"&amp;V637)+COUNTIFS(Z$8:Z$707,"&gt;0",V$8:V$707,V637,AA$8:AA$707,"&lt;"&amp;AA637)+COUNTIFS(Z$8:Z$707,"&gt;0",V$8:V$707,V637,AA$8:AA$707,AA637,E$8:E$707,"&lt;"&amp;$E637))</f>
        <v/>
      </c>
      <c r="AC637" s="24">
        <f>IF(OR($E637="",Z637=0),"",IFERROR(TODAY()+ROUNDUP(Z637/(SUMIFS($AF637:$IN637,$AF$4:$IN$4,"WASH_ACT")/COUNTIFS($AF$4:$IN$4,"WASH_ACT",$AF637:$IN637,"&gt;0")),0),"no output yet"))</f>
        <v/>
      </c>
      <c r="AD637" s="26">
        <f>IF($E637="","",IFERROR(ROUND(MAX(0,SUMIFS($AF637:$IN637,$AF$4:$IN$4,"SEW_PLAN",$AF$3:$IN$3,"&lt;="&amp;TODAY())-SUMIFS($AF637:$IN637,$AF$4:$IN$4,"SEW_ACT",$AF$3:$IN$3,"&lt;="&amp;TODAY())+N(Q637))/(SUMIFS($AF637:$IN637,$AF$4:$IN$4,"SEW_PLAN")/COUNTIFS($AF$4:$IN$4,"SEW_PLAN",$AF637:$IN637,"&gt;0")),1),0))</f>
        <v/>
      </c>
      <c r="AE637" s="26">
        <f>IF($E637="","",IF(AND(Z637&gt;0,OR(AND(M637&lt;&gt;"",TODAY()&gt;M637),AND(V637&lt;&gt;"",V637-TODAY()&lt;=7))),"Yes","No"))</f>
        <v/>
      </c>
      <c r="AH637">
        <f>IF(OR(AF$3="",AF$3&gt;TODAY()),"",IF(AND(AF637="",AG637=""),"",N(AG637)-N(AF637)))</f>
        <v/>
      </c>
      <c r="AK637">
        <f>IF(OR(AF$3="",AF$3&gt;TODAY()),"",IF(AND(AI637="",AJ637=""),"",N(AJ637)-N(AI637)))</f>
        <v/>
      </c>
      <c r="AO637">
        <f>IF(OR(AM$3="",AM$3&gt;TODAY()),"",IF(AND(AM637="",AN637=""),"",N(AN637)-N(AM637)))</f>
        <v/>
      </c>
      <c r="AR637">
        <f>IF(OR(AM$3="",AM$3&gt;TODAY()),"",IF(AND(AP637="",AQ637=""),"",N(AQ637)-N(AP637)))</f>
        <v/>
      </c>
      <c r="AV637">
        <f>IF(OR(AT$3="",AT$3&gt;TODAY()),"",IF(AND(AT637="",AU637=""),"",N(AU637)-N(AT637)))</f>
        <v/>
      </c>
      <c r="AY637">
        <f>IF(OR(AT$3="",AT$3&gt;TODAY()),"",IF(AND(AW637="",AX637=""),"",N(AX637)-N(AW637)))</f>
        <v/>
      </c>
      <c r="BC637">
        <f>IF(OR(BA$3="",BA$3&gt;TODAY()),"",IF(AND(BA637="",BB637=""),"",N(BB637)-N(BA637)))</f>
        <v/>
      </c>
      <c r="BF637">
        <f>IF(OR(BA$3="",BA$3&gt;TODAY()),"",IF(AND(BD637="",BE637=""),"",N(BE637)-N(BD637)))</f>
        <v/>
      </c>
      <c r="BJ637">
        <f>IF(OR(BH$3="",BH$3&gt;TODAY()),"",IF(AND(BH637="",BI637=""),"",N(BI637)-N(BH637)))</f>
        <v/>
      </c>
      <c r="BM637">
        <f>IF(OR(BH$3="",BH$3&gt;TODAY()),"",IF(AND(BK637="",BL637=""),"",N(BL637)-N(BK637)))</f>
        <v/>
      </c>
      <c r="BQ637">
        <f>IF(OR(BO$3="",BO$3&gt;TODAY()),"",IF(AND(BO637="",BP637=""),"",N(BP637)-N(BO637)))</f>
        <v/>
      </c>
      <c r="BT637">
        <f>IF(OR(BO$3="",BO$3&gt;TODAY()),"",IF(AND(BR637="",BS637=""),"",N(BS637)-N(BR637)))</f>
        <v/>
      </c>
      <c r="BX637">
        <f>IF(OR(BV$3="",BV$3&gt;TODAY()),"",IF(AND(BV637="",BW637=""),"",N(BW637)-N(BV637)))</f>
        <v/>
      </c>
      <c r="CA637">
        <f>IF(OR(BV$3="",BV$3&gt;TODAY()),"",IF(AND(BY637="",BZ637=""),"",N(BZ637)-N(BY637)))</f>
        <v/>
      </c>
      <c r="CE637">
        <f>IF(OR(CC$3="",CC$3&gt;TODAY()),"",IF(AND(CC637="",CD637=""),"",N(CD637)-N(CC637)))</f>
        <v/>
      </c>
      <c r="CH637">
        <f>IF(OR(CC$3="",CC$3&gt;TODAY()),"",IF(AND(CF637="",CG637=""),"",N(CG637)-N(CF637)))</f>
        <v/>
      </c>
      <c r="CL637">
        <f>IF(OR(CJ$3="",CJ$3&gt;TODAY()),"",IF(AND(CJ637="",CK637=""),"",N(CK637)-N(CJ637)))</f>
        <v/>
      </c>
      <c r="CO637">
        <f>IF(OR(CJ$3="",CJ$3&gt;TODAY()),"",IF(AND(CM637="",CN637=""),"",N(CN637)-N(CM637)))</f>
        <v/>
      </c>
      <c r="CS637">
        <f>IF(OR(CQ$3="",CQ$3&gt;TODAY()),"",IF(AND(CQ637="",CR637=""),"",N(CR637)-N(CQ637)))</f>
        <v/>
      </c>
      <c r="CV637">
        <f>IF(OR(CQ$3="",CQ$3&gt;TODAY()),"",IF(AND(CT637="",CU637=""),"",N(CU637)-N(CT637)))</f>
        <v/>
      </c>
      <c r="CZ637">
        <f>IF(OR(CX$3="",CX$3&gt;TODAY()),"",IF(AND(CX637="",CY637=""),"",N(CY637)-N(CX637)))</f>
        <v/>
      </c>
      <c r="DC637">
        <f>IF(OR(CX$3="",CX$3&gt;TODAY()),"",IF(AND(DA637="",DB637=""),"",N(DB637)-N(DA637)))</f>
        <v/>
      </c>
      <c r="DG637">
        <f>IF(OR(DE$3="",DE$3&gt;TODAY()),"",IF(AND(DE637="",DF637=""),"",N(DF637)-N(DE637)))</f>
        <v/>
      </c>
      <c r="DJ637">
        <f>IF(OR(DE$3="",DE$3&gt;TODAY()),"",IF(AND(DH637="",DI637=""),"",N(DI637)-N(DH637)))</f>
        <v/>
      </c>
      <c r="DN637">
        <f>IF(OR(DL$3="",DL$3&gt;TODAY()),"",IF(AND(DL637="",DM637=""),"",N(DM637)-N(DL637)))</f>
        <v/>
      </c>
      <c r="DQ637">
        <f>IF(OR(DL$3="",DL$3&gt;TODAY()),"",IF(AND(DO637="",DP637=""),"",N(DP637)-N(DO637)))</f>
        <v/>
      </c>
      <c r="DU637">
        <f>IF(OR(DS$3="",DS$3&gt;TODAY()),"",IF(AND(DS637="",DT637=""),"",N(DT637)-N(DS637)))</f>
        <v/>
      </c>
      <c r="DX637">
        <f>IF(OR(DS$3="",DS$3&gt;TODAY()),"",IF(AND(DV637="",DW637=""),"",N(DW637)-N(DV637)))</f>
        <v/>
      </c>
      <c r="EB637">
        <f>IF(OR(DZ$3="",DZ$3&gt;TODAY()),"",IF(AND(DZ637="",EA637=""),"",N(EA637)-N(DZ637)))</f>
        <v/>
      </c>
      <c r="EE637">
        <f>IF(OR(DZ$3="",DZ$3&gt;TODAY()),"",IF(AND(EC637="",ED637=""),"",N(ED637)-N(EC637)))</f>
        <v/>
      </c>
      <c r="EI637">
        <f>IF(OR(EG$3="",EG$3&gt;TODAY()),"",IF(AND(EG637="",EH637=""),"",N(EH637)-N(EG637)))</f>
        <v/>
      </c>
      <c r="EL637">
        <f>IF(OR(EG$3="",EG$3&gt;TODAY()),"",IF(AND(EJ637="",EK637=""),"",N(EK637)-N(EJ637)))</f>
        <v/>
      </c>
      <c r="EP637">
        <f>IF(OR(EN$3="",EN$3&gt;TODAY()),"",IF(AND(EN637="",EO637=""),"",N(EO637)-N(EN637)))</f>
        <v/>
      </c>
      <c r="ES637">
        <f>IF(OR(EN$3="",EN$3&gt;TODAY()),"",IF(AND(EQ637="",ER637=""),"",N(ER637)-N(EQ637)))</f>
        <v/>
      </c>
      <c r="EW637">
        <f>IF(OR(EU$3="",EU$3&gt;TODAY()),"",IF(AND(EU637="",EV637=""),"",N(EV637)-N(EU637)))</f>
        <v/>
      </c>
      <c r="EZ637">
        <f>IF(OR(EU$3="",EU$3&gt;TODAY()),"",IF(AND(EX637="",EY637=""),"",N(EY637)-N(EX637)))</f>
        <v/>
      </c>
      <c r="FD637">
        <f>IF(OR(FB$3="",FB$3&gt;TODAY()),"",IF(AND(FB637="",FC637=""),"",N(FC637)-N(FB637)))</f>
        <v/>
      </c>
      <c r="FG637">
        <f>IF(OR(FB$3="",FB$3&gt;TODAY()),"",IF(AND(FE637="",FF637=""),"",N(FF637)-N(FE637)))</f>
        <v/>
      </c>
      <c r="FK637">
        <f>IF(OR(FI$3="",FI$3&gt;TODAY()),"",IF(AND(FI637="",FJ637=""),"",N(FJ637)-N(FI637)))</f>
        <v/>
      </c>
      <c r="FN637">
        <f>IF(OR(FI$3="",FI$3&gt;TODAY()),"",IF(AND(FL637="",FM637=""),"",N(FM637)-N(FL637)))</f>
        <v/>
      </c>
      <c r="FR637">
        <f>IF(OR(FP$3="",FP$3&gt;TODAY()),"",IF(AND(FP637="",FQ637=""),"",N(FQ637)-N(FP637)))</f>
        <v/>
      </c>
      <c r="FU637">
        <f>IF(OR(FP$3="",FP$3&gt;TODAY()),"",IF(AND(FS637="",FT637=""),"",N(FT637)-N(FS637)))</f>
        <v/>
      </c>
      <c r="FY637">
        <f>IF(OR(FW$3="",FW$3&gt;TODAY()),"",IF(AND(FW637="",FX637=""),"",N(FX637)-N(FW637)))</f>
        <v/>
      </c>
      <c r="GB637">
        <f>IF(OR(FW$3="",FW$3&gt;TODAY()),"",IF(AND(FZ637="",GA637=""),"",N(GA637)-N(FZ637)))</f>
        <v/>
      </c>
      <c r="GF637">
        <f>IF(OR(GD$3="",GD$3&gt;TODAY()),"",IF(AND(GD637="",GE637=""),"",N(GE637)-N(GD637)))</f>
        <v/>
      </c>
      <c r="GI637">
        <f>IF(OR(GD$3="",GD$3&gt;TODAY()),"",IF(AND(GG637="",GH637=""),"",N(GH637)-N(GG637)))</f>
        <v/>
      </c>
      <c r="GM637">
        <f>IF(OR(GK$3="",GK$3&gt;TODAY()),"",IF(AND(GK637="",GL637=""),"",N(GL637)-N(GK637)))</f>
        <v/>
      </c>
      <c r="GP637">
        <f>IF(OR(GK$3="",GK$3&gt;TODAY()),"",IF(AND(GN637="",GO637=""),"",N(GO637)-N(GN637)))</f>
        <v/>
      </c>
      <c r="GT637">
        <f>IF(OR(GR$3="",GR$3&gt;TODAY()),"",IF(AND(GR637="",GS637=""),"",N(GS637)-N(GR637)))</f>
        <v/>
      </c>
      <c r="GW637">
        <f>IF(OR(GR$3="",GR$3&gt;TODAY()),"",IF(AND(GU637="",GV637=""),"",N(GV637)-N(GU637)))</f>
        <v/>
      </c>
      <c r="HA637">
        <f>IF(OR(GY$3="",GY$3&gt;TODAY()),"",IF(AND(GY637="",GZ637=""),"",N(GZ637)-N(GY637)))</f>
        <v/>
      </c>
      <c r="HD637">
        <f>IF(OR(GY$3="",GY$3&gt;TODAY()),"",IF(AND(HB637="",HC637=""),"",N(HC637)-N(HB637)))</f>
        <v/>
      </c>
      <c r="HH637">
        <f>IF(OR(HF$3="",HF$3&gt;TODAY()),"",IF(AND(HF637="",HG637=""),"",N(HG637)-N(HF637)))</f>
        <v/>
      </c>
      <c r="HK637">
        <f>IF(OR(HF$3="",HF$3&gt;TODAY()),"",IF(AND(HI637="",HJ637=""),"",N(HJ637)-N(HI637)))</f>
        <v/>
      </c>
      <c r="HO637">
        <f>IF(OR(HM$3="",HM$3&gt;TODAY()),"",IF(AND(HM637="",HN637=""),"",N(HN637)-N(HM637)))</f>
        <v/>
      </c>
      <c r="HR637">
        <f>IF(OR(HM$3="",HM$3&gt;TODAY()),"",IF(AND(HP637="",HQ637=""),"",N(HQ637)-N(HP637)))</f>
        <v/>
      </c>
      <c r="HV637">
        <f>IF(OR(HT$3="",HT$3&gt;TODAY()),"",IF(AND(HT637="",HU637=""),"",N(HU637)-N(HT637)))</f>
        <v/>
      </c>
      <c r="HY637">
        <f>IF(OR(HT$3="",HT$3&gt;TODAY()),"",IF(AND(HW637="",HX637=""),"",N(HX637)-N(HW637)))</f>
        <v/>
      </c>
      <c r="IC637">
        <f>IF(OR(IA$3="",IA$3&gt;TODAY()),"",IF(AND(IA637="",IB637=""),"",N(IB637)-N(IA637)))</f>
        <v/>
      </c>
      <c r="IF637">
        <f>IF(OR(IA$3="",IA$3&gt;TODAY()),"",IF(AND(ID637="",IE637=""),"",N(IE637)-N(ID637)))</f>
        <v/>
      </c>
      <c r="IJ637">
        <f>IF(OR(IH$3="",IH$3&gt;TODAY()),"",IF(AND(IH637="",II637=""),"",N(II637)-N(IH637)))</f>
        <v/>
      </c>
      <c r="IM637">
        <f>IF(OR(IH$3="",IH$3&gt;TODAY()),"",IF(AND(IK637="",IL637=""),"",N(IL637)-N(IK637)))</f>
        <v/>
      </c>
    </row>
    <row r="638">
      <c r="A638" s="21" t="n"/>
      <c r="B638" s="21" t="n"/>
      <c r="C638" s="21" t="n"/>
      <c r="D638" s="21" t="n"/>
      <c r="E638" s="21" t="n"/>
      <c r="F638" s="21" t="n"/>
      <c r="G638" s="21" t="n"/>
      <c r="H638" s="21" t="n"/>
      <c r="I638" s="22" t="n"/>
      <c r="J638" s="22" t="n"/>
      <c r="K638" s="23" t="n"/>
      <c r="L638" s="22" t="n"/>
      <c r="M638" s="22" t="n"/>
      <c r="N638" s="21" t="n"/>
      <c r="O638" s="23" t="n"/>
      <c r="P638" s="23" t="n"/>
      <c r="Q638" s="23" t="n"/>
      <c r="R638" s="23" t="n"/>
      <c r="S638" s="22" t="n"/>
      <c r="T638" s="23" t="n"/>
      <c r="U638" s="23" t="n"/>
      <c r="V638" s="24">
        <f>IF(J638&lt;&gt;"",J638,IF(I638&lt;&gt;"",I638,""))</f>
        <v/>
      </c>
      <c r="W638" s="25">
        <f>IF($E638="","",N(O638)+SUMIFS($AF638:$IN638,$AF$4:$IN$4,"SEW_ACT"))</f>
        <v/>
      </c>
      <c r="X638" s="25">
        <f>IF($E638="","",N(P638)+SUMIFS($AF638:$IN638,$AF$4:$IN$4,"WASH_ACT"))</f>
        <v/>
      </c>
      <c r="Y638" s="25">
        <f>IF($E638="","",W638-X638-N(T638)-N(U638))</f>
        <v/>
      </c>
      <c r="Z638" s="25">
        <f>IF($E638="","",IF(N(K638)-X638&lt;=0.02*N(K638),0,N(K638)-X638))</f>
        <v/>
      </c>
      <c r="AA638" s="24">
        <f>IF($E638="","",IF(S638&lt;&gt;"",S638,IF(N(O638)&gt;0,IF(L638&lt;&gt;"",L638,99999),IFERROR(1/(1/_xlfn.MINIFS($AF$3:$IN$3,$AF$4:$IN$4,"SEW_ACT",$AF638:$IN638,"&gt;0")),99999))))</f>
        <v/>
      </c>
      <c r="AB638" s="26">
        <f>IF(OR($E638="",Z638=0,V638=""),"",1+COUNTIFS(Z$8:Z$707,"&gt;0",V$8:V$707,"&lt;"&amp;V638)+COUNTIFS(Z$8:Z$707,"&gt;0",V$8:V$707,V638,AA$8:AA$707,"&lt;"&amp;AA638)+COUNTIFS(Z$8:Z$707,"&gt;0",V$8:V$707,V638,AA$8:AA$707,AA638,E$8:E$707,"&lt;"&amp;$E638))</f>
        <v/>
      </c>
      <c r="AC638" s="24">
        <f>IF(OR($E638="",Z638=0),"",IFERROR(TODAY()+ROUNDUP(Z638/(SUMIFS($AF638:$IN638,$AF$4:$IN$4,"WASH_ACT")/COUNTIFS($AF$4:$IN$4,"WASH_ACT",$AF638:$IN638,"&gt;0")),0),"no output yet"))</f>
        <v/>
      </c>
      <c r="AD638" s="26">
        <f>IF($E638="","",IFERROR(ROUND(MAX(0,SUMIFS($AF638:$IN638,$AF$4:$IN$4,"SEW_PLAN",$AF$3:$IN$3,"&lt;="&amp;TODAY())-SUMIFS($AF638:$IN638,$AF$4:$IN$4,"SEW_ACT",$AF$3:$IN$3,"&lt;="&amp;TODAY())+N(Q638))/(SUMIFS($AF638:$IN638,$AF$4:$IN$4,"SEW_PLAN")/COUNTIFS($AF$4:$IN$4,"SEW_PLAN",$AF638:$IN638,"&gt;0")),1),0))</f>
        <v/>
      </c>
      <c r="AE638" s="26">
        <f>IF($E638="","",IF(AND(Z638&gt;0,OR(AND(M638&lt;&gt;"",TODAY()&gt;M638),AND(V638&lt;&gt;"",V638-TODAY()&lt;=7))),"Yes","No"))</f>
        <v/>
      </c>
      <c r="AH638">
        <f>IF(OR(AF$3="",AF$3&gt;TODAY()),"",IF(AND(AF638="",AG638=""),"",N(AG638)-N(AF638)))</f>
        <v/>
      </c>
      <c r="AK638">
        <f>IF(OR(AF$3="",AF$3&gt;TODAY()),"",IF(AND(AI638="",AJ638=""),"",N(AJ638)-N(AI638)))</f>
        <v/>
      </c>
      <c r="AO638">
        <f>IF(OR(AM$3="",AM$3&gt;TODAY()),"",IF(AND(AM638="",AN638=""),"",N(AN638)-N(AM638)))</f>
        <v/>
      </c>
      <c r="AR638">
        <f>IF(OR(AM$3="",AM$3&gt;TODAY()),"",IF(AND(AP638="",AQ638=""),"",N(AQ638)-N(AP638)))</f>
        <v/>
      </c>
      <c r="AV638">
        <f>IF(OR(AT$3="",AT$3&gt;TODAY()),"",IF(AND(AT638="",AU638=""),"",N(AU638)-N(AT638)))</f>
        <v/>
      </c>
      <c r="AY638">
        <f>IF(OR(AT$3="",AT$3&gt;TODAY()),"",IF(AND(AW638="",AX638=""),"",N(AX638)-N(AW638)))</f>
        <v/>
      </c>
      <c r="BC638">
        <f>IF(OR(BA$3="",BA$3&gt;TODAY()),"",IF(AND(BA638="",BB638=""),"",N(BB638)-N(BA638)))</f>
        <v/>
      </c>
      <c r="BF638">
        <f>IF(OR(BA$3="",BA$3&gt;TODAY()),"",IF(AND(BD638="",BE638=""),"",N(BE638)-N(BD638)))</f>
        <v/>
      </c>
      <c r="BJ638">
        <f>IF(OR(BH$3="",BH$3&gt;TODAY()),"",IF(AND(BH638="",BI638=""),"",N(BI638)-N(BH638)))</f>
        <v/>
      </c>
      <c r="BM638">
        <f>IF(OR(BH$3="",BH$3&gt;TODAY()),"",IF(AND(BK638="",BL638=""),"",N(BL638)-N(BK638)))</f>
        <v/>
      </c>
      <c r="BQ638">
        <f>IF(OR(BO$3="",BO$3&gt;TODAY()),"",IF(AND(BO638="",BP638=""),"",N(BP638)-N(BO638)))</f>
        <v/>
      </c>
      <c r="BT638">
        <f>IF(OR(BO$3="",BO$3&gt;TODAY()),"",IF(AND(BR638="",BS638=""),"",N(BS638)-N(BR638)))</f>
        <v/>
      </c>
      <c r="BX638">
        <f>IF(OR(BV$3="",BV$3&gt;TODAY()),"",IF(AND(BV638="",BW638=""),"",N(BW638)-N(BV638)))</f>
        <v/>
      </c>
      <c r="CA638">
        <f>IF(OR(BV$3="",BV$3&gt;TODAY()),"",IF(AND(BY638="",BZ638=""),"",N(BZ638)-N(BY638)))</f>
        <v/>
      </c>
      <c r="CE638">
        <f>IF(OR(CC$3="",CC$3&gt;TODAY()),"",IF(AND(CC638="",CD638=""),"",N(CD638)-N(CC638)))</f>
        <v/>
      </c>
      <c r="CH638">
        <f>IF(OR(CC$3="",CC$3&gt;TODAY()),"",IF(AND(CF638="",CG638=""),"",N(CG638)-N(CF638)))</f>
        <v/>
      </c>
      <c r="CL638">
        <f>IF(OR(CJ$3="",CJ$3&gt;TODAY()),"",IF(AND(CJ638="",CK638=""),"",N(CK638)-N(CJ638)))</f>
        <v/>
      </c>
      <c r="CO638">
        <f>IF(OR(CJ$3="",CJ$3&gt;TODAY()),"",IF(AND(CM638="",CN638=""),"",N(CN638)-N(CM638)))</f>
        <v/>
      </c>
      <c r="CS638">
        <f>IF(OR(CQ$3="",CQ$3&gt;TODAY()),"",IF(AND(CQ638="",CR638=""),"",N(CR638)-N(CQ638)))</f>
        <v/>
      </c>
      <c r="CV638">
        <f>IF(OR(CQ$3="",CQ$3&gt;TODAY()),"",IF(AND(CT638="",CU638=""),"",N(CU638)-N(CT638)))</f>
        <v/>
      </c>
      <c r="CZ638">
        <f>IF(OR(CX$3="",CX$3&gt;TODAY()),"",IF(AND(CX638="",CY638=""),"",N(CY638)-N(CX638)))</f>
        <v/>
      </c>
      <c r="DC638">
        <f>IF(OR(CX$3="",CX$3&gt;TODAY()),"",IF(AND(DA638="",DB638=""),"",N(DB638)-N(DA638)))</f>
        <v/>
      </c>
      <c r="DG638">
        <f>IF(OR(DE$3="",DE$3&gt;TODAY()),"",IF(AND(DE638="",DF638=""),"",N(DF638)-N(DE638)))</f>
        <v/>
      </c>
      <c r="DJ638">
        <f>IF(OR(DE$3="",DE$3&gt;TODAY()),"",IF(AND(DH638="",DI638=""),"",N(DI638)-N(DH638)))</f>
        <v/>
      </c>
      <c r="DN638">
        <f>IF(OR(DL$3="",DL$3&gt;TODAY()),"",IF(AND(DL638="",DM638=""),"",N(DM638)-N(DL638)))</f>
        <v/>
      </c>
      <c r="DQ638">
        <f>IF(OR(DL$3="",DL$3&gt;TODAY()),"",IF(AND(DO638="",DP638=""),"",N(DP638)-N(DO638)))</f>
        <v/>
      </c>
      <c r="DU638">
        <f>IF(OR(DS$3="",DS$3&gt;TODAY()),"",IF(AND(DS638="",DT638=""),"",N(DT638)-N(DS638)))</f>
        <v/>
      </c>
      <c r="DX638">
        <f>IF(OR(DS$3="",DS$3&gt;TODAY()),"",IF(AND(DV638="",DW638=""),"",N(DW638)-N(DV638)))</f>
        <v/>
      </c>
      <c r="EB638">
        <f>IF(OR(DZ$3="",DZ$3&gt;TODAY()),"",IF(AND(DZ638="",EA638=""),"",N(EA638)-N(DZ638)))</f>
        <v/>
      </c>
      <c r="EE638">
        <f>IF(OR(DZ$3="",DZ$3&gt;TODAY()),"",IF(AND(EC638="",ED638=""),"",N(ED638)-N(EC638)))</f>
        <v/>
      </c>
      <c r="EI638">
        <f>IF(OR(EG$3="",EG$3&gt;TODAY()),"",IF(AND(EG638="",EH638=""),"",N(EH638)-N(EG638)))</f>
        <v/>
      </c>
      <c r="EL638">
        <f>IF(OR(EG$3="",EG$3&gt;TODAY()),"",IF(AND(EJ638="",EK638=""),"",N(EK638)-N(EJ638)))</f>
        <v/>
      </c>
      <c r="EP638">
        <f>IF(OR(EN$3="",EN$3&gt;TODAY()),"",IF(AND(EN638="",EO638=""),"",N(EO638)-N(EN638)))</f>
        <v/>
      </c>
      <c r="ES638">
        <f>IF(OR(EN$3="",EN$3&gt;TODAY()),"",IF(AND(EQ638="",ER638=""),"",N(ER638)-N(EQ638)))</f>
        <v/>
      </c>
      <c r="EW638">
        <f>IF(OR(EU$3="",EU$3&gt;TODAY()),"",IF(AND(EU638="",EV638=""),"",N(EV638)-N(EU638)))</f>
        <v/>
      </c>
      <c r="EZ638">
        <f>IF(OR(EU$3="",EU$3&gt;TODAY()),"",IF(AND(EX638="",EY638=""),"",N(EY638)-N(EX638)))</f>
        <v/>
      </c>
      <c r="FD638">
        <f>IF(OR(FB$3="",FB$3&gt;TODAY()),"",IF(AND(FB638="",FC638=""),"",N(FC638)-N(FB638)))</f>
        <v/>
      </c>
      <c r="FG638">
        <f>IF(OR(FB$3="",FB$3&gt;TODAY()),"",IF(AND(FE638="",FF638=""),"",N(FF638)-N(FE638)))</f>
        <v/>
      </c>
      <c r="FK638">
        <f>IF(OR(FI$3="",FI$3&gt;TODAY()),"",IF(AND(FI638="",FJ638=""),"",N(FJ638)-N(FI638)))</f>
        <v/>
      </c>
      <c r="FN638">
        <f>IF(OR(FI$3="",FI$3&gt;TODAY()),"",IF(AND(FL638="",FM638=""),"",N(FM638)-N(FL638)))</f>
        <v/>
      </c>
      <c r="FR638">
        <f>IF(OR(FP$3="",FP$3&gt;TODAY()),"",IF(AND(FP638="",FQ638=""),"",N(FQ638)-N(FP638)))</f>
        <v/>
      </c>
      <c r="FU638">
        <f>IF(OR(FP$3="",FP$3&gt;TODAY()),"",IF(AND(FS638="",FT638=""),"",N(FT638)-N(FS638)))</f>
        <v/>
      </c>
      <c r="FY638">
        <f>IF(OR(FW$3="",FW$3&gt;TODAY()),"",IF(AND(FW638="",FX638=""),"",N(FX638)-N(FW638)))</f>
        <v/>
      </c>
      <c r="GB638">
        <f>IF(OR(FW$3="",FW$3&gt;TODAY()),"",IF(AND(FZ638="",GA638=""),"",N(GA638)-N(FZ638)))</f>
        <v/>
      </c>
      <c r="GF638">
        <f>IF(OR(GD$3="",GD$3&gt;TODAY()),"",IF(AND(GD638="",GE638=""),"",N(GE638)-N(GD638)))</f>
        <v/>
      </c>
      <c r="GI638">
        <f>IF(OR(GD$3="",GD$3&gt;TODAY()),"",IF(AND(GG638="",GH638=""),"",N(GH638)-N(GG638)))</f>
        <v/>
      </c>
      <c r="GM638">
        <f>IF(OR(GK$3="",GK$3&gt;TODAY()),"",IF(AND(GK638="",GL638=""),"",N(GL638)-N(GK638)))</f>
        <v/>
      </c>
      <c r="GP638">
        <f>IF(OR(GK$3="",GK$3&gt;TODAY()),"",IF(AND(GN638="",GO638=""),"",N(GO638)-N(GN638)))</f>
        <v/>
      </c>
      <c r="GT638">
        <f>IF(OR(GR$3="",GR$3&gt;TODAY()),"",IF(AND(GR638="",GS638=""),"",N(GS638)-N(GR638)))</f>
        <v/>
      </c>
      <c r="GW638">
        <f>IF(OR(GR$3="",GR$3&gt;TODAY()),"",IF(AND(GU638="",GV638=""),"",N(GV638)-N(GU638)))</f>
        <v/>
      </c>
      <c r="HA638">
        <f>IF(OR(GY$3="",GY$3&gt;TODAY()),"",IF(AND(GY638="",GZ638=""),"",N(GZ638)-N(GY638)))</f>
        <v/>
      </c>
      <c r="HD638">
        <f>IF(OR(GY$3="",GY$3&gt;TODAY()),"",IF(AND(HB638="",HC638=""),"",N(HC638)-N(HB638)))</f>
        <v/>
      </c>
      <c r="HH638">
        <f>IF(OR(HF$3="",HF$3&gt;TODAY()),"",IF(AND(HF638="",HG638=""),"",N(HG638)-N(HF638)))</f>
        <v/>
      </c>
      <c r="HK638">
        <f>IF(OR(HF$3="",HF$3&gt;TODAY()),"",IF(AND(HI638="",HJ638=""),"",N(HJ638)-N(HI638)))</f>
        <v/>
      </c>
      <c r="HO638">
        <f>IF(OR(HM$3="",HM$3&gt;TODAY()),"",IF(AND(HM638="",HN638=""),"",N(HN638)-N(HM638)))</f>
        <v/>
      </c>
      <c r="HR638">
        <f>IF(OR(HM$3="",HM$3&gt;TODAY()),"",IF(AND(HP638="",HQ638=""),"",N(HQ638)-N(HP638)))</f>
        <v/>
      </c>
      <c r="HV638">
        <f>IF(OR(HT$3="",HT$3&gt;TODAY()),"",IF(AND(HT638="",HU638=""),"",N(HU638)-N(HT638)))</f>
        <v/>
      </c>
      <c r="HY638">
        <f>IF(OR(HT$3="",HT$3&gt;TODAY()),"",IF(AND(HW638="",HX638=""),"",N(HX638)-N(HW638)))</f>
        <v/>
      </c>
      <c r="IC638">
        <f>IF(OR(IA$3="",IA$3&gt;TODAY()),"",IF(AND(IA638="",IB638=""),"",N(IB638)-N(IA638)))</f>
        <v/>
      </c>
      <c r="IF638">
        <f>IF(OR(IA$3="",IA$3&gt;TODAY()),"",IF(AND(ID638="",IE638=""),"",N(IE638)-N(ID638)))</f>
        <v/>
      </c>
      <c r="IJ638">
        <f>IF(OR(IH$3="",IH$3&gt;TODAY()),"",IF(AND(IH638="",II638=""),"",N(II638)-N(IH638)))</f>
        <v/>
      </c>
      <c r="IM638">
        <f>IF(OR(IH$3="",IH$3&gt;TODAY()),"",IF(AND(IK638="",IL638=""),"",N(IL638)-N(IK638)))</f>
        <v/>
      </c>
    </row>
    <row r="639">
      <c r="A639" s="21" t="n"/>
      <c r="B639" s="21" t="n"/>
      <c r="C639" s="21" t="n"/>
      <c r="D639" s="21" t="n"/>
      <c r="E639" s="21" t="n"/>
      <c r="F639" s="21" t="n"/>
      <c r="G639" s="21" t="n"/>
      <c r="H639" s="21" t="n"/>
      <c r="I639" s="22" t="n"/>
      <c r="J639" s="22" t="n"/>
      <c r="K639" s="23" t="n"/>
      <c r="L639" s="22" t="n"/>
      <c r="M639" s="22" t="n"/>
      <c r="N639" s="21" t="n"/>
      <c r="O639" s="23" t="n"/>
      <c r="P639" s="23" t="n"/>
      <c r="Q639" s="23" t="n"/>
      <c r="R639" s="23" t="n"/>
      <c r="S639" s="22" t="n"/>
      <c r="T639" s="23" t="n"/>
      <c r="U639" s="23" t="n"/>
      <c r="V639" s="24">
        <f>IF(J639&lt;&gt;"",J639,IF(I639&lt;&gt;"",I639,""))</f>
        <v/>
      </c>
      <c r="W639" s="25">
        <f>IF($E639="","",N(O639)+SUMIFS($AF639:$IN639,$AF$4:$IN$4,"SEW_ACT"))</f>
        <v/>
      </c>
      <c r="X639" s="25">
        <f>IF($E639="","",N(P639)+SUMIFS($AF639:$IN639,$AF$4:$IN$4,"WASH_ACT"))</f>
        <v/>
      </c>
      <c r="Y639" s="25">
        <f>IF($E639="","",W639-X639-N(T639)-N(U639))</f>
        <v/>
      </c>
      <c r="Z639" s="25">
        <f>IF($E639="","",IF(N(K639)-X639&lt;=0.02*N(K639),0,N(K639)-X639))</f>
        <v/>
      </c>
      <c r="AA639" s="24">
        <f>IF($E639="","",IF(S639&lt;&gt;"",S639,IF(N(O639)&gt;0,IF(L639&lt;&gt;"",L639,99999),IFERROR(1/(1/_xlfn.MINIFS($AF$3:$IN$3,$AF$4:$IN$4,"SEW_ACT",$AF639:$IN639,"&gt;0")),99999))))</f>
        <v/>
      </c>
      <c r="AB639" s="26">
        <f>IF(OR($E639="",Z639=0,V639=""),"",1+COUNTIFS(Z$8:Z$707,"&gt;0",V$8:V$707,"&lt;"&amp;V639)+COUNTIFS(Z$8:Z$707,"&gt;0",V$8:V$707,V639,AA$8:AA$707,"&lt;"&amp;AA639)+COUNTIFS(Z$8:Z$707,"&gt;0",V$8:V$707,V639,AA$8:AA$707,AA639,E$8:E$707,"&lt;"&amp;$E639))</f>
        <v/>
      </c>
      <c r="AC639" s="24">
        <f>IF(OR($E639="",Z639=0),"",IFERROR(TODAY()+ROUNDUP(Z639/(SUMIFS($AF639:$IN639,$AF$4:$IN$4,"WASH_ACT")/COUNTIFS($AF$4:$IN$4,"WASH_ACT",$AF639:$IN639,"&gt;0")),0),"no output yet"))</f>
        <v/>
      </c>
      <c r="AD639" s="26">
        <f>IF($E639="","",IFERROR(ROUND(MAX(0,SUMIFS($AF639:$IN639,$AF$4:$IN$4,"SEW_PLAN",$AF$3:$IN$3,"&lt;="&amp;TODAY())-SUMIFS($AF639:$IN639,$AF$4:$IN$4,"SEW_ACT",$AF$3:$IN$3,"&lt;="&amp;TODAY())+N(Q639))/(SUMIFS($AF639:$IN639,$AF$4:$IN$4,"SEW_PLAN")/COUNTIFS($AF$4:$IN$4,"SEW_PLAN",$AF639:$IN639,"&gt;0")),1),0))</f>
        <v/>
      </c>
      <c r="AE639" s="26">
        <f>IF($E639="","",IF(AND(Z639&gt;0,OR(AND(M639&lt;&gt;"",TODAY()&gt;M639),AND(V639&lt;&gt;"",V639-TODAY()&lt;=7))),"Yes","No"))</f>
        <v/>
      </c>
      <c r="AH639">
        <f>IF(OR(AF$3="",AF$3&gt;TODAY()),"",IF(AND(AF639="",AG639=""),"",N(AG639)-N(AF639)))</f>
        <v/>
      </c>
      <c r="AK639">
        <f>IF(OR(AF$3="",AF$3&gt;TODAY()),"",IF(AND(AI639="",AJ639=""),"",N(AJ639)-N(AI639)))</f>
        <v/>
      </c>
      <c r="AO639">
        <f>IF(OR(AM$3="",AM$3&gt;TODAY()),"",IF(AND(AM639="",AN639=""),"",N(AN639)-N(AM639)))</f>
        <v/>
      </c>
      <c r="AR639">
        <f>IF(OR(AM$3="",AM$3&gt;TODAY()),"",IF(AND(AP639="",AQ639=""),"",N(AQ639)-N(AP639)))</f>
        <v/>
      </c>
      <c r="AV639">
        <f>IF(OR(AT$3="",AT$3&gt;TODAY()),"",IF(AND(AT639="",AU639=""),"",N(AU639)-N(AT639)))</f>
        <v/>
      </c>
      <c r="AY639">
        <f>IF(OR(AT$3="",AT$3&gt;TODAY()),"",IF(AND(AW639="",AX639=""),"",N(AX639)-N(AW639)))</f>
        <v/>
      </c>
      <c r="BC639">
        <f>IF(OR(BA$3="",BA$3&gt;TODAY()),"",IF(AND(BA639="",BB639=""),"",N(BB639)-N(BA639)))</f>
        <v/>
      </c>
      <c r="BF639">
        <f>IF(OR(BA$3="",BA$3&gt;TODAY()),"",IF(AND(BD639="",BE639=""),"",N(BE639)-N(BD639)))</f>
        <v/>
      </c>
      <c r="BJ639">
        <f>IF(OR(BH$3="",BH$3&gt;TODAY()),"",IF(AND(BH639="",BI639=""),"",N(BI639)-N(BH639)))</f>
        <v/>
      </c>
      <c r="BM639">
        <f>IF(OR(BH$3="",BH$3&gt;TODAY()),"",IF(AND(BK639="",BL639=""),"",N(BL639)-N(BK639)))</f>
        <v/>
      </c>
      <c r="BQ639">
        <f>IF(OR(BO$3="",BO$3&gt;TODAY()),"",IF(AND(BO639="",BP639=""),"",N(BP639)-N(BO639)))</f>
        <v/>
      </c>
      <c r="BT639">
        <f>IF(OR(BO$3="",BO$3&gt;TODAY()),"",IF(AND(BR639="",BS639=""),"",N(BS639)-N(BR639)))</f>
        <v/>
      </c>
      <c r="BX639">
        <f>IF(OR(BV$3="",BV$3&gt;TODAY()),"",IF(AND(BV639="",BW639=""),"",N(BW639)-N(BV639)))</f>
        <v/>
      </c>
      <c r="CA639">
        <f>IF(OR(BV$3="",BV$3&gt;TODAY()),"",IF(AND(BY639="",BZ639=""),"",N(BZ639)-N(BY639)))</f>
        <v/>
      </c>
      <c r="CE639">
        <f>IF(OR(CC$3="",CC$3&gt;TODAY()),"",IF(AND(CC639="",CD639=""),"",N(CD639)-N(CC639)))</f>
        <v/>
      </c>
      <c r="CH639">
        <f>IF(OR(CC$3="",CC$3&gt;TODAY()),"",IF(AND(CF639="",CG639=""),"",N(CG639)-N(CF639)))</f>
        <v/>
      </c>
      <c r="CL639">
        <f>IF(OR(CJ$3="",CJ$3&gt;TODAY()),"",IF(AND(CJ639="",CK639=""),"",N(CK639)-N(CJ639)))</f>
        <v/>
      </c>
      <c r="CO639">
        <f>IF(OR(CJ$3="",CJ$3&gt;TODAY()),"",IF(AND(CM639="",CN639=""),"",N(CN639)-N(CM639)))</f>
        <v/>
      </c>
      <c r="CS639">
        <f>IF(OR(CQ$3="",CQ$3&gt;TODAY()),"",IF(AND(CQ639="",CR639=""),"",N(CR639)-N(CQ639)))</f>
        <v/>
      </c>
      <c r="CV639">
        <f>IF(OR(CQ$3="",CQ$3&gt;TODAY()),"",IF(AND(CT639="",CU639=""),"",N(CU639)-N(CT639)))</f>
        <v/>
      </c>
      <c r="CZ639">
        <f>IF(OR(CX$3="",CX$3&gt;TODAY()),"",IF(AND(CX639="",CY639=""),"",N(CY639)-N(CX639)))</f>
        <v/>
      </c>
      <c r="DC639">
        <f>IF(OR(CX$3="",CX$3&gt;TODAY()),"",IF(AND(DA639="",DB639=""),"",N(DB639)-N(DA639)))</f>
        <v/>
      </c>
      <c r="DG639">
        <f>IF(OR(DE$3="",DE$3&gt;TODAY()),"",IF(AND(DE639="",DF639=""),"",N(DF639)-N(DE639)))</f>
        <v/>
      </c>
      <c r="DJ639">
        <f>IF(OR(DE$3="",DE$3&gt;TODAY()),"",IF(AND(DH639="",DI639=""),"",N(DI639)-N(DH639)))</f>
        <v/>
      </c>
      <c r="DN639">
        <f>IF(OR(DL$3="",DL$3&gt;TODAY()),"",IF(AND(DL639="",DM639=""),"",N(DM639)-N(DL639)))</f>
        <v/>
      </c>
      <c r="DQ639">
        <f>IF(OR(DL$3="",DL$3&gt;TODAY()),"",IF(AND(DO639="",DP639=""),"",N(DP639)-N(DO639)))</f>
        <v/>
      </c>
      <c r="DU639">
        <f>IF(OR(DS$3="",DS$3&gt;TODAY()),"",IF(AND(DS639="",DT639=""),"",N(DT639)-N(DS639)))</f>
        <v/>
      </c>
      <c r="DX639">
        <f>IF(OR(DS$3="",DS$3&gt;TODAY()),"",IF(AND(DV639="",DW639=""),"",N(DW639)-N(DV639)))</f>
        <v/>
      </c>
      <c r="EB639">
        <f>IF(OR(DZ$3="",DZ$3&gt;TODAY()),"",IF(AND(DZ639="",EA639=""),"",N(EA639)-N(DZ639)))</f>
        <v/>
      </c>
      <c r="EE639">
        <f>IF(OR(DZ$3="",DZ$3&gt;TODAY()),"",IF(AND(EC639="",ED639=""),"",N(ED639)-N(EC639)))</f>
        <v/>
      </c>
      <c r="EI639">
        <f>IF(OR(EG$3="",EG$3&gt;TODAY()),"",IF(AND(EG639="",EH639=""),"",N(EH639)-N(EG639)))</f>
        <v/>
      </c>
      <c r="EL639">
        <f>IF(OR(EG$3="",EG$3&gt;TODAY()),"",IF(AND(EJ639="",EK639=""),"",N(EK639)-N(EJ639)))</f>
        <v/>
      </c>
      <c r="EP639">
        <f>IF(OR(EN$3="",EN$3&gt;TODAY()),"",IF(AND(EN639="",EO639=""),"",N(EO639)-N(EN639)))</f>
        <v/>
      </c>
      <c r="ES639">
        <f>IF(OR(EN$3="",EN$3&gt;TODAY()),"",IF(AND(EQ639="",ER639=""),"",N(ER639)-N(EQ639)))</f>
        <v/>
      </c>
      <c r="EW639">
        <f>IF(OR(EU$3="",EU$3&gt;TODAY()),"",IF(AND(EU639="",EV639=""),"",N(EV639)-N(EU639)))</f>
        <v/>
      </c>
      <c r="EZ639">
        <f>IF(OR(EU$3="",EU$3&gt;TODAY()),"",IF(AND(EX639="",EY639=""),"",N(EY639)-N(EX639)))</f>
        <v/>
      </c>
      <c r="FD639">
        <f>IF(OR(FB$3="",FB$3&gt;TODAY()),"",IF(AND(FB639="",FC639=""),"",N(FC639)-N(FB639)))</f>
        <v/>
      </c>
      <c r="FG639">
        <f>IF(OR(FB$3="",FB$3&gt;TODAY()),"",IF(AND(FE639="",FF639=""),"",N(FF639)-N(FE639)))</f>
        <v/>
      </c>
      <c r="FK639">
        <f>IF(OR(FI$3="",FI$3&gt;TODAY()),"",IF(AND(FI639="",FJ639=""),"",N(FJ639)-N(FI639)))</f>
        <v/>
      </c>
      <c r="FN639">
        <f>IF(OR(FI$3="",FI$3&gt;TODAY()),"",IF(AND(FL639="",FM639=""),"",N(FM639)-N(FL639)))</f>
        <v/>
      </c>
      <c r="FR639">
        <f>IF(OR(FP$3="",FP$3&gt;TODAY()),"",IF(AND(FP639="",FQ639=""),"",N(FQ639)-N(FP639)))</f>
        <v/>
      </c>
      <c r="FU639">
        <f>IF(OR(FP$3="",FP$3&gt;TODAY()),"",IF(AND(FS639="",FT639=""),"",N(FT639)-N(FS639)))</f>
        <v/>
      </c>
      <c r="FY639">
        <f>IF(OR(FW$3="",FW$3&gt;TODAY()),"",IF(AND(FW639="",FX639=""),"",N(FX639)-N(FW639)))</f>
        <v/>
      </c>
      <c r="GB639">
        <f>IF(OR(FW$3="",FW$3&gt;TODAY()),"",IF(AND(FZ639="",GA639=""),"",N(GA639)-N(FZ639)))</f>
        <v/>
      </c>
      <c r="GF639">
        <f>IF(OR(GD$3="",GD$3&gt;TODAY()),"",IF(AND(GD639="",GE639=""),"",N(GE639)-N(GD639)))</f>
        <v/>
      </c>
      <c r="GI639">
        <f>IF(OR(GD$3="",GD$3&gt;TODAY()),"",IF(AND(GG639="",GH639=""),"",N(GH639)-N(GG639)))</f>
        <v/>
      </c>
      <c r="GM639">
        <f>IF(OR(GK$3="",GK$3&gt;TODAY()),"",IF(AND(GK639="",GL639=""),"",N(GL639)-N(GK639)))</f>
        <v/>
      </c>
      <c r="GP639">
        <f>IF(OR(GK$3="",GK$3&gt;TODAY()),"",IF(AND(GN639="",GO639=""),"",N(GO639)-N(GN639)))</f>
        <v/>
      </c>
      <c r="GT639">
        <f>IF(OR(GR$3="",GR$3&gt;TODAY()),"",IF(AND(GR639="",GS639=""),"",N(GS639)-N(GR639)))</f>
        <v/>
      </c>
      <c r="GW639">
        <f>IF(OR(GR$3="",GR$3&gt;TODAY()),"",IF(AND(GU639="",GV639=""),"",N(GV639)-N(GU639)))</f>
        <v/>
      </c>
      <c r="HA639">
        <f>IF(OR(GY$3="",GY$3&gt;TODAY()),"",IF(AND(GY639="",GZ639=""),"",N(GZ639)-N(GY639)))</f>
        <v/>
      </c>
      <c r="HD639">
        <f>IF(OR(GY$3="",GY$3&gt;TODAY()),"",IF(AND(HB639="",HC639=""),"",N(HC639)-N(HB639)))</f>
        <v/>
      </c>
      <c r="HH639">
        <f>IF(OR(HF$3="",HF$3&gt;TODAY()),"",IF(AND(HF639="",HG639=""),"",N(HG639)-N(HF639)))</f>
        <v/>
      </c>
      <c r="HK639">
        <f>IF(OR(HF$3="",HF$3&gt;TODAY()),"",IF(AND(HI639="",HJ639=""),"",N(HJ639)-N(HI639)))</f>
        <v/>
      </c>
      <c r="HO639">
        <f>IF(OR(HM$3="",HM$3&gt;TODAY()),"",IF(AND(HM639="",HN639=""),"",N(HN639)-N(HM639)))</f>
        <v/>
      </c>
      <c r="HR639">
        <f>IF(OR(HM$3="",HM$3&gt;TODAY()),"",IF(AND(HP639="",HQ639=""),"",N(HQ639)-N(HP639)))</f>
        <v/>
      </c>
      <c r="HV639">
        <f>IF(OR(HT$3="",HT$3&gt;TODAY()),"",IF(AND(HT639="",HU639=""),"",N(HU639)-N(HT639)))</f>
        <v/>
      </c>
      <c r="HY639">
        <f>IF(OR(HT$3="",HT$3&gt;TODAY()),"",IF(AND(HW639="",HX639=""),"",N(HX639)-N(HW639)))</f>
        <v/>
      </c>
      <c r="IC639">
        <f>IF(OR(IA$3="",IA$3&gt;TODAY()),"",IF(AND(IA639="",IB639=""),"",N(IB639)-N(IA639)))</f>
        <v/>
      </c>
      <c r="IF639">
        <f>IF(OR(IA$3="",IA$3&gt;TODAY()),"",IF(AND(ID639="",IE639=""),"",N(IE639)-N(ID639)))</f>
        <v/>
      </c>
      <c r="IJ639">
        <f>IF(OR(IH$3="",IH$3&gt;TODAY()),"",IF(AND(IH639="",II639=""),"",N(II639)-N(IH639)))</f>
        <v/>
      </c>
      <c r="IM639">
        <f>IF(OR(IH$3="",IH$3&gt;TODAY()),"",IF(AND(IK639="",IL639=""),"",N(IL639)-N(IK639)))</f>
        <v/>
      </c>
    </row>
    <row r="640">
      <c r="A640" s="21" t="n"/>
      <c r="B640" s="21" t="n"/>
      <c r="C640" s="21" t="n"/>
      <c r="D640" s="21" t="n"/>
      <c r="E640" s="21" t="n"/>
      <c r="F640" s="21" t="n"/>
      <c r="G640" s="21" t="n"/>
      <c r="H640" s="21" t="n"/>
      <c r="I640" s="22" t="n"/>
      <c r="J640" s="22" t="n"/>
      <c r="K640" s="23" t="n"/>
      <c r="L640" s="22" t="n"/>
      <c r="M640" s="22" t="n"/>
      <c r="N640" s="21" t="n"/>
      <c r="O640" s="23" t="n"/>
      <c r="P640" s="23" t="n"/>
      <c r="Q640" s="23" t="n"/>
      <c r="R640" s="23" t="n"/>
      <c r="S640" s="22" t="n"/>
      <c r="T640" s="23" t="n"/>
      <c r="U640" s="23" t="n"/>
      <c r="V640" s="24">
        <f>IF(J640&lt;&gt;"",J640,IF(I640&lt;&gt;"",I640,""))</f>
        <v/>
      </c>
      <c r="W640" s="25">
        <f>IF($E640="","",N(O640)+SUMIFS($AF640:$IN640,$AF$4:$IN$4,"SEW_ACT"))</f>
        <v/>
      </c>
      <c r="X640" s="25">
        <f>IF($E640="","",N(P640)+SUMIFS($AF640:$IN640,$AF$4:$IN$4,"WASH_ACT"))</f>
        <v/>
      </c>
      <c r="Y640" s="25">
        <f>IF($E640="","",W640-X640-N(T640)-N(U640))</f>
        <v/>
      </c>
      <c r="Z640" s="25">
        <f>IF($E640="","",IF(N(K640)-X640&lt;=0.02*N(K640),0,N(K640)-X640))</f>
        <v/>
      </c>
      <c r="AA640" s="24">
        <f>IF($E640="","",IF(S640&lt;&gt;"",S640,IF(N(O640)&gt;0,IF(L640&lt;&gt;"",L640,99999),IFERROR(1/(1/_xlfn.MINIFS($AF$3:$IN$3,$AF$4:$IN$4,"SEW_ACT",$AF640:$IN640,"&gt;0")),99999))))</f>
        <v/>
      </c>
      <c r="AB640" s="26">
        <f>IF(OR($E640="",Z640=0,V640=""),"",1+COUNTIFS(Z$8:Z$707,"&gt;0",V$8:V$707,"&lt;"&amp;V640)+COUNTIFS(Z$8:Z$707,"&gt;0",V$8:V$707,V640,AA$8:AA$707,"&lt;"&amp;AA640)+COUNTIFS(Z$8:Z$707,"&gt;0",V$8:V$707,V640,AA$8:AA$707,AA640,E$8:E$707,"&lt;"&amp;$E640))</f>
        <v/>
      </c>
      <c r="AC640" s="24">
        <f>IF(OR($E640="",Z640=0),"",IFERROR(TODAY()+ROUNDUP(Z640/(SUMIFS($AF640:$IN640,$AF$4:$IN$4,"WASH_ACT")/COUNTIFS($AF$4:$IN$4,"WASH_ACT",$AF640:$IN640,"&gt;0")),0),"no output yet"))</f>
        <v/>
      </c>
      <c r="AD640" s="26">
        <f>IF($E640="","",IFERROR(ROUND(MAX(0,SUMIFS($AF640:$IN640,$AF$4:$IN$4,"SEW_PLAN",$AF$3:$IN$3,"&lt;="&amp;TODAY())-SUMIFS($AF640:$IN640,$AF$4:$IN$4,"SEW_ACT",$AF$3:$IN$3,"&lt;="&amp;TODAY())+N(Q640))/(SUMIFS($AF640:$IN640,$AF$4:$IN$4,"SEW_PLAN")/COUNTIFS($AF$4:$IN$4,"SEW_PLAN",$AF640:$IN640,"&gt;0")),1),0))</f>
        <v/>
      </c>
      <c r="AE640" s="26">
        <f>IF($E640="","",IF(AND(Z640&gt;0,OR(AND(M640&lt;&gt;"",TODAY()&gt;M640),AND(V640&lt;&gt;"",V640-TODAY()&lt;=7))),"Yes","No"))</f>
        <v/>
      </c>
      <c r="AH640">
        <f>IF(OR(AF$3="",AF$3&gt;TODAY()),"",IF(AND(AF640="",AG640=""),"",N(AG640)-N(AF640)))</f>
        <v/>
      </c>
      <c r="AK640">
        <f>IF(OR(AF$3="",AF$3&gt;TODAY()),"",IF(AND(AI640="",AJ640=""),"",N(AJ640)-N(AI640)))</f>
        <v/>
      </c>
      <c r="AO640">
        <f>IF(OR(AM$3="",AM$3&gt;TODAY()),"",IF(AND(AM640="",AN640=""),"",N(AN640)-N(AM640)))</f>
        <v/>
      </c>
      <c r="AR640">
        <f>IF(OR(AM$3="",AM$3&gt;TODAY()),"",IF(AND(AP640="",AQ640=""),"",N(AQ640)-N(AP640)))</f>
        <v/>
      </c>
      <c r="AV640">
        <f>IF(OR(AT$3="",AT$3&gt;TODAY()),"",IF(AND(AT640="",AU640=""),"",N(AU640)-N(AT640)))</f>
        <v/>
      </c>
      <c r="AY640">
        <f>IF(OR(AT$3="",AT$3&gt;TODAY()),"",IF(AND(AW640="",AX640=""),"",N(AX640)-N(AW640)))</f>
        <v/>
      </c>
      <c r="BC640">
        <f>IF(OR(BA$3="",BA$3&gt;TODAY()),"",IF(AND(BA640="",BB640=""),"",N(BB640)-N(BA640)))</f>
        <v/>
      </c>
      <c r="BF640">
        <f>IF(OR(BA$3="",BA$3&gt;TODAY()),"",IF(AND(BD640="",BE640=""),"",N(BE640)-N(BD640)))</f>
        <v/>
      </c>
      <c r="BJ640">
        <f>IF(OR(BH$3="",BH$3&gt;TODAY()),"",IF(AND(BH640="",BI640=""),"",N(BI640)-N(BH640)))</f>
        <v/>
      </c>
      <c r="BM640">
        <f>IF(OR(BH$3="",BH$3&gt;TODAY()),"",IF(AND(BK640="",BL640=""),"",N(BL640)-N(BK640)))</f>
        <v/>
      </c>
      <c r="BQ640">
        <f>IF(OR(BO$3="",BO$3&gt;TODAY()),"",IF(AND(BO640="",BP640=""),"",N(BP640)-N(BO640)))</f>
        <v/>
      </c>
      <c r="BT640">
        <f>IF(OR(BO$3="",BO$3&gt;TODAY()),"",IF(AND(BR640="",BS640=""),"",N(BS640)-N(BR640)))</f>
        <v/>
      </c>
      <c r="BX640">
        <f>IF(OR(BV$3="",BV$3&gt;TODAY()),"",IF(AND(BV640="",BW640=""),"",N(BW640)-N(BV640)))</f>
        <v/>
      </c>
      <c r="CA640">
        <f>IF(OR(BV$3="",BV$3&gt;TODAY()),"",IF(AND(BY640="",BZ640=""),"",N(BZ640)-N(BY640)))</f>
        <v/>
      </c>
      <c r="CE640">
        <f>IF(OR(CC$3="",CC$3&gt;TODAY()),"",IF(AND(CC640="",CD640=""),"",N(CD640)-N(CC640)))</f>
        <v/>
      </c>
      <c r="CH640">
        <f>IF(OR(CC$3="",CC$3&gt;TODAY()),"",IF(AND(CF640="",CG640=""),"",N(CG640)-N(CF640)))</f>
        <v/>
      </c>
      <c r="CL640">
        <f>IF(OR(CJ$3="",CJ$3&gt;TODAY()),"",IF(AND(CJ640="",CK640=""),"",N(CK640)-N(CJ640)))</f>
        <v/>
      </c>
      <c r="CO640">
        <f>IF(OR(CJ$3="",CJ$3&gt;TODAY()),"",IF(AND(CM640="",CN640=""),"",N(CN640)-N(CM640)))</f>
        <v/>
      </c>
      <c r="CS640">
        <f>IF(OR(CQ$3="",CQ$3&gt;TODAY()),"",IF(AND(CQ640="",CR640=""),"",N(CR640)-N(CQ640)))</f>
        <v/>
      </c>
      <c r="CV640">
        <f>IF(OR(CQ$3="",CQ$3&gt;TODAY()),"",IF(AND(CT640="",CU640=""),"",N(CU640)-N(CT640)))</f>
        <v/>
      </c>
      <c r="CZ640">
        <f>IF(OR(CX$3="",CX$3&gt;TODAY()),"",IF(AND(CX640="",CY640=""),"",N(CY640)-N(CX640)))</f>
        <v/>
      </c>
      <c r="DC640">
        <f>IF(OR(CX$3="",CX$3&gt;TODAY()),"",IF(AND(DA640="",DB640=""),"",N(DB640)-N(DA640)))</f>
        <v/>
      </c>
      <c r="DG640">
        <f>IF(OR(DE$3="",DE$3&gt;TODAY()),"",IF(AND(DE640="",DF640=""),"",N(DF640)-N(DE640)))</f>
        <v/>
      </c>
      <c r="DJ640">
        <f>IF(OR(DE$3="",DE$3&gt;TODAY()),"",IF(AND(DH640="",DI640=""),"",N(DI640)-N(DH640)))</f>
        <v/>
      </c>
      <c r="DN640">
        <f>IF(OR(DL$3="",DL$3&gt;TODAY()),"",IF(AND(DL640="",DM640=""),"",N(DM640)-N(DL640)))</f>
        <v/>
      </c>
      <c r="DQ640">
        <f>IF(OR(DL$3="",DL$3&gt;TODAY()),"",IF(AND(DO640="",DP640=""),"",N(DP640)-N(DO640)))</f>
        <v/>
      </c>
      <c r="DU640">
        <f>IF(OR(DS$3="",DS$3&gt;TODAY()),"",IF(AND(DS640="",DT640=""),"",N(DT640)-N(DS640)))</f>
        <v/>
      </c>
      <c r="DX640">
        <f>IF(OR(DS$3="",DS$3&gt;TODAY()),"",IF(AND(DV640="",DW640=""),"",N(DW640)-N(DV640)))</f>
        <v/>
      </c>
      <c r="EB640">
        <f>IF(OR(DZ$3="",DZ$3&gt;TODAY()),"",IF(AND(DZ640="",EA640=""),"",N(EA640)-N(DZ640)))</f>
        <v/>
      </c>
      <c r="EE640">
        <f>IF(OR(DZ$3="",DZ$3&gt;TODAY()),"",IF(AND(EC640="",ED640=""),"",N(ED640)-N(EC640)))</f>
        <v/>
      </c>
      <c r="EI640">
        <f>IF(OR(EG$3="",EG$3&gt;TODAY()),"",IF(AND(EG640="",EH640=""),"",N(EH640)-N(EG640)))</f>
        <v/>
      </c>
      <c r="EL640">
        <f>IF(OR(EG$3="",EG$3&gt;TODAY()),"",IF(AND(EJ640="",EK640=""),"",N(EK640)-N(EJ640)))</f>
        <v/>
      </c>
      <c r="EP640">
        <f>IF(OR(EN$3="",EN$3&gt;TODAY()),"",IF(AND(EN640="",EO640=""),"",N(EO640)-N(EN640)))</f>
        <v/>
      </c>
      <c r="ES640">
        <f>IF(OR(EN$3="",EN$3&gt;TODAY()),"",IF(AND(EQ640="",ER640=""),"",N(ER640)-N(EQ640)))</f>
        <v/>
      </c>
      <c r="EW640">
        <f>IF(OR(EU$3="",EU$3&gt;TODAY()),"",IF(AND(EU640="",EV640=""),"",N(EV640)-N(EU640)))</f>
        <v/>
      </c>
      <c r="EZ640">
        <f>IF(OR(EU$3="",EU$3&gt;TODAY()),"",IF(AND(EX640="",EY640=""),"",N(EY640)-N(EX640)))</f>
        <v/>
      </c>
      <c r="FD640">
        <f>IF(OR(FB$3="",FB$3&gt;TODAY()),"",IF(AND(FB640="",FC640=""),"",N(FC640)-N(FB640)))</f>
        <v/>
      </c>
      <c r="FG640">
        <f>IF(OR(FB$3="",FB$3&gt;TODAY()),"",IF(AND(FE640="",FF640=""),"",N(FF640)-N(FE640)))</f>
        <v/>
      </c>
      <c r="FK640">
        <f>IF(OR(FI$3="",FI$3&gt;TODAY()),"",IF(AND(FI640="",FJ640=""),"",N(FJ640)-N(FI640)))</f>
        <v/>
      </c>
      <c r="FN640">
        <f>IF(OR(FI$3="",FI$3&gt;TODAY()),"",IF(AND(FL640="",FM640=""),"",N(FM640)-N(FL640)))</f>
        <v/>
      </c>
      <c r="FR640">
        <f>IF(OR(FP$3="",FP$3&gt;TODAY()),"",IF(AND(FP640="",FQ640=""),"",N(FQ640)-N(FP640)))</f>
        <v/>
      </c>
      <c r="FU640">
        <f>IF(OR(FP$3="",FP$3&gt;TODAY()),"",IF(AND(FS640="",FT640=""),"",N(FT640)-N(FS640)))</f>
        <v/>
      </c>
      <c r="FY640">
        <f>IF(OR(FW$3="",FW$3&gt;TODAY()),"",IF(AND(FW640="",FX640=""),"",N(FX640)-N(FW640)))</f>
        <v/>
      </c>
      <c r="GB640">
        <f>IF(OR(FW$3="",FW$3&gt;TODAY()),"",IF(AND(FZ640="",GA640=""),"",N(GA640)-N(FZ640)))</f>
        <v/>
      </c>
      <c r="GF640">
        <f>IF(OR(GD$3="",GD$3&gt;TODAY()),"",IF(AND(GD640="",GE640=""),"",N(GE640)-N(GD640)))</f>
        <v/>
      </c>
      <c r="GI640">
        <f>IF(OR(GD$3="",GD$3&gt;TODAY()),"",IF(AND(GG640="",GH640=""),"",N(GH640)-N(GG640)))</f>
        <v/>
      </c>
      <c r="GM640">
        <f>IF(OR(GK$3="",GK$3&gt;TODAY()),"",IF(AND(GK640="",GL640=""),"",N(GL640)-N(GK640)))</f>
        <v/>
      </c>
      <c r="GP640">
        <f>IF(OR(GK$3="",GK$3&gt;TODAY()),"",IF(AND(GN640="",GO640=""),"",N(GO640)-N(GN640)))</f>
        <v/>
      </c>
      <c r="GT640">
        <f>IF(OR(GR$3="",GR$3&gt;TODAY()),"",IF(AND(GR640="",GS640=""),"",N(GS640)-N(GR640)))</f>
        <v/>
      </c>
      <c r="GW640">
        <f>IF(OR(GR$3="",GR$3&gt;TODAY()),"",IF(AND(GU640="",GV640=""),"",N(GV640)-N(GU640)))</f>
        <v/>
      </c>
      <c r="HA640">
        <f>IF(OR(GY$3="",GY$3&gt;TODAY()),"",IF(AND(GY640="",GZ640=""),"",N(GZ640)-N(GY640)))</f>
        <v/>
      </c>
      <c r="HD640">
        <f>IF(OR(GY$3="",GY$3&gt;TODAY()),"",IF(AND(HB640="",HC640=""),"",N(HC640)-N(HB640)))</f>
        <v/>
      </c>
      <c r="HH640">
        <f>IF(OR(HF$3="",HF$3&gt;TODAY()),"",IF(AND(HF640="",HG640=""),"",N(HG640)-N(HF640)))</f>
        <v/>
      </c>
      <c r="HK640">
        <f>IF(OR(HF$3="",HF$3&gt;TODAY()),"",IF(AND(HI640="",HJ640=""),"",N(HJ640)-N(HI640)))</f>
        <v/>
      </c>
      <c r="HO640">
        <f>IF(OR(HM$3="",HM$3&gt;TODAY()),"",IF(AND(HM640="",HN640=""),"",N(HN640)-N(HM640)))</f>
        <v/>
      </c>
      <c r="HR640">
        <f>IF(OR(HM$3="",HM$3&gt;TODAY()),"",IF(AND(HP640="",HQ640=""),"",N(HQ640)-N(HP640)))</f>
        <v/>
      </c>
      <c r="HV640">
        <f>IF(OR(HT$3="",HT$3&gt;TODAY()),"",IF(AND(HT640="",HU640=""),"",N(HU640)-N(HT640)))</f>
        <v/>
      </c>
      <c r="HY640">
        <f>IF(OR(HT$3="",HT$3&gt;TODAY()),"",IF(AND(HW640="",HX640=""),"",N(HX640)-N(HW640)))</f>
        <v/>
      </c>
      <c r="IC640">
        <f>IF(OR(IA$3="",IA$3&gt;TODAY()),"",IF(AND(IA640="",IB640=""),"",N(IB640)-N(IA640)))</f>
        <v/>
      </c>
      <c r="IF640">
        <f>IF(OR(IA$3="",IA$3&gt;TODAY()),"",IF(AND(ID640="",IE640=""),"",N(IE640)-N(ID640)))</f>
        <v/>
      </c>
      <c r="IJ640">
        <f>IF(OR(IH$3="",IH$3&gt;TODAY()),"",IF(AND(IH640="",II640=""),"",N(II640)-N(IH640)))</f>
        <v/>
      </c>
      <c r="IM640">
        <f>IF(OR(IH$3="",IH$3&gt;TODAY()),"",IF(AND(IK640="",IL640=""),"",N(IL640)-N(IK640)))</f>
        <v/>
      </c>
    </row>
    <row r="641">
      <c r="A641" s="21" t="n"/>
      <c r="B641" s="21" t="n"/>
      <c r="C641" s="21" t="n"/>
      <c r="D641" s="21" t="n"/>
      <c r="E641" s="21" t="n"/>
      <c r="F641" s="21" t="n"/>
      <c r="G641" s="21" t="n"/>
      <c r="H641" s="21" t="n"/>
      <c r="I641" s="22" t="n"/>
      <c r="J641" s="22" t="n"/>
      <c r="K641" s="23" t="n"/>
      <c r="L641" s="22" t="n"/>
      <c r="M641" s="22" t="n"/>
      <c r="N641" s="21" t="n"/>
      <c r="O641" s="23" t="n"/>
      <c r="P641" s="23" t="n"/>
      <c r="Q641" s="23" t="n"/>
      <c r="R641" s="23" t="n"/>
      <c r="S641" s="22" t="n"/>
      <c r="T641" s="23" t="n"/>
      <c r="U641" s="23" t="n"/>
      <c r="V641" s="24">
        <f>IF(J641&lt;&gt;"",J641,IF(I641&lt;&gt;"",I641,""))</f>
        <v/>
      </c>
      <c r="W641" s="25">
        <f>IF($E641="","",N(O641)+SUMIFS($AF641:$IN641,$AF$4:$IN$4,"SEW_ACT"))</f>
        <v/>
      </c>
      <c r="X641" s="25">
        <f>IF($E641="","",N(P641)+SUMIFS($AF641:$IN641,$AF$4:$IN$4,"WASH_ACT"))</f>
        <v/>
      </c>
      <c r="Y641" s="25">
        <f>IF($E641="","",W641-X641-N(T641)-N(U641))</f>
        <v/>
      </c>
      <c r="Z641" s="25">
        <f>IF($E641="","",IF(N(K641)-X641&lt;=0.02*N(K641),0,N(K641)-X641))</f>
        <v/>
      </c>
      <c r="AA641" s="24">
        <f>IF($E641="","",IF(S641&lt;&gt;"",S641,IF(N(O641)&gt;0,IF(L641&lt;&gt;"",L641,99999),IFERROR(1/(1/_xlfn.MINIFS($AF$3:$IN$3,$AF$4:$IN$4,"SEW_ACT",$AF641:$IN641,"&gt;0")),99999))))</f>
        <v/>
      </c>
      <c r="AB641" s="26">
        <f>IF(OR($E641="",Z641=0,V641=""),"",1+COUNTIFS(Z$8:Z$707,"&gt;0",V$8:V$707,"&lt;"&amp;V641)+COUNTIFS(Z$8:Z$707,"&gt;0",V$8:V$707,V641,AA$8:AA$707,"&lt;"&amp;AA641)+COUNTIFS(Z$8:Z$707,"&gt;0",V$8:V$707,V641,AA$8:AA$707,AA641,E$8:E$707,"&lt;"&amp;$E641))</f>
        <v/>
      </c>
      <c r="AC641" s="24">
        <f>IF(OR($E641="",Z641=0),"",IFERROR(TODAY()+ROUNDUP(Z641/(SUMIFS($AF641:$IN641,$AF$4:$IN$4,"WASH_ACT")/COUNTIFS($AF$4:$IN$4,"WASH_ACT",$AF641:$IN641,"&gt;0")),0),"no output yet"))</f>
        <v/>
      </c>
      <c r="AD641" s="26">
        <f>IF($E641="","",IFERROR(ROUND(MAX(0,SUMIFS($AF641:$IN641,$AF$4:$IN$4,"SEW_PLAN",$AF$3:$IN$3,"&lt;="&amp;TODAY())-SUMIFS($AF641:$IN641,$AF$4:$IN$4,"SEW_ACT",$AF$3:$IN$3,"&lt;="&amp;TODAY())+N(Q641))/(SUMIFS($AF641:$IN641,$AF$4:$IN$4,"SEW_PLAN")/COUNTIFS($AF$4:$IN$4,"SEW_PLAN",$AF641:$IN641,"&gt;0")),1),0))</f>
        <v/>
      </c>
      <c r="AE641" s="26">
        <f>IF($E641="","",IF(AND(Z641&gt;0,OR(AND(M641&lt;&gt;"",TODAY()&gt;M641),AND(V641&lt;&gt;"",V641-TODAY()&lt;=7))),"Yes","No"))</f>
        <v/>
      </c>
      <c r="AH641">
        <f>IF(OR(AF$3="",AF$3&gt;TODAY()),"",IF(AND(AF641="",AG641=""),"",N(AG641)-N(AF641)))</f>
        <v/>
      </c>
      <c r="AK641">
        <f>IF(OR(AF$3="",AF$3&gt;TODAY()),"",IF(AND(AI641="",AJ641=""),"",N(AJ641)-N(AI641)))</f>
        <v/>
      </c>
      <c r="AO641">
        <f>IF(OR(AM$3="",AM$3&gt;TODAY()),"",IF(AND(AM641="",AN641=""),"",N(AN641)-N(AM641)))</f>
        <v/>
      </c>
      <c r="AR641">
        <f>IF(OR(AM$3="",AM$3&gt;TODAY()),"",IF(AND(AP641="",AQ641=""),"",N(AQ641)-N(AP641)))</f>
        <v/>
      </c>
      <c r="AV641">
        <f>IF(OR(AT$3="",AT$3&gt;TODAY()),"",IF(AND(AT641="",AU641=""),"",N(AU641)-N(AT641)))</f>
        <v/>
      </c>
      <c r="AY641">
        <f>IF(OR(AT$3="",AT$3&gt;TODAY()),"",IF(AND(AW641="",AX641=""),"",N(AX641)-N(AW641)))</f>
        <v/>
      </c>
      <c r="BC641">
        <f>IF(OR(BA$3="",BA$3&gt;TODAY()),"",IF(AND(BA641="",BB641=""),"",N(BB641)-N(BA641)))</f>
        <v/>
      </c>
      <c r="BF641">
        <f>IF(OR(BA$3="",BA$3&gt;TODAY()),"",IF(AND(BD641="",BE641=""),"",N(BE641)-N(BD641)))</f>
        <v/>
      </c>
      <c r="BJ641">
        <f>IF(OR(BH$3="",BH$3&gt;TODAY()),"",IF(AND(BH641="",BI641=""),"",N(BI641)-N(BH641)))</f>
        <v/>
      </c>
      <c r="BM641">
        <f>IF(OR(BH$3="",BH$3&gt;TODAY()),"",IF(AND(BK641="",BL641=""),"",N(BL641)-N(BK641)))</f>
        <v/>
      </c>
      <c r="BQ641">
        <f>IF(OR(BO$3="",BO$3&gt;TODAY()),"",IF(AND(BO641="",BP641=""),"",N(BP641)-N(BO641)))</f>
        <v/>
      </c>
      <c r="BT641">
        <f>IF(OR(BO$3="",BO$3&gt;TODAY()),"",IF(AND(BR641="",BS641=""),"",N(BS641)-N(BR641)))</f>
        <v/>
      </c>
      <c r="BX641">
        <f>IF(OR(BV$3="",BV$3&gt;TODAY()),"",IF(AND(BV641="",BW641=""),"",N(BW641)-N(BV641)))</f>
        <v/>
      </c>
      <c r="CA641">
        <f>IF(OR(BV$3="",BV$3&gt;TODAY()),"",IF(AND(BY641="",BZ641=""),"",N(BZ641)-N(BY641)))</f>
        <v/>
      </c>
      <c r="CE641">
        <f>IF(OR(CC$3="",CC$3&gt;TODAY()),"",IF(AND(CC641="",CD641=""),"",N(CD641)-N(CC641)))</f>
        <v/>
      </c>
      <c r="CH641">
        <f>IF(OR(CC$3="",CC$3&gt;TODAY()),"",IF(AND(CF641="",CG641=""),"",N(CG641)-N(CF641)))</f>
        <v/>
      </c>
      <c r="CL641">
        <f>IF(OR(CJ$3="",CJ$3&gt;TODAY()),"",IF(AND(CJ641="",CK641=""),"",N(CK641)-N(CJ641)))</f>
        <v/>
      </c>
      <c r="CO641">
        <f>IF(OR(CJ$3="",CJ$3&gt;TODAY()),"",IF(AND(CM641="",CN641=""),"",N(CN641)-N(CM641)))</f>
        <v/>
      </c>
      <c r="CS641">
        <f>IF(OR(CQ$3="",CQ$3&gt;TODAY()),"",IF(AND(CQ641="",CR641=""),"",N(CR641)-N(CQ641)))</f>
        <v/>
      </c>
      <c r="CV641">
        <f>IF(OR(CQ$3="",CQ$3&gt;TODAY()),"",IF(AND(CT641="",CU641=""),"",N(CU641)-N(CT641)))</f>
        <v/>
      </c>
      <c r="CZ641">
        <f>IF(OR(CX$3="",CX$3&gt;TODAY()),"",IF(AND(CX641="",CY641=""),"",N(CY641)-N(CX641)))</f>
        <v/>
      </c>
      <c r="DC641">
        <f>IF(OR(CX$3="",CX$3&gt;TODAY()),"",IF(AND(DA641="",DB641=""),"",N(DB641)-N(DA641)))</f>
        <v/>
      </c>
      <c r="DG641">
        <f>IF(OR(DE$3="",DE$3&gt;TODAY()),"",IF(AND(DE641="",DF641=""),"",N(DF641)-N(DE641)))</f>
        <v/>
      </c>
      <c r="DJ641">
        <f>IF(OR(DE$3="",DE$3&gt;TODAY()),"",IF(AND(DH641="",DI641=""),"",N(DI641)-N(DH641)))</f>
        <v/>
      </c>
      <c r="DN641">
        <f>IF(OR(DL$3="",DL$3&gt;TODAY()),"",IF(AND(DL641="",DM641=""),"",N(DM641)-N(DL641)))</f>
        <v/>
      </c>
      <c r="DQ641">
        <f>IF(OR(DL$3="",DL$3&gt;TODAY()),"",IF(AND(DO641="",DP641=""),"",N(DP641)-N(DO641)))</f>
        <v/>
      </c>
      <c r="DU641">
        <f>IF(OR(DS$3="",DS$3&gt;TODAY()),"",IF(AND(DS641="",DT641=""),"",N(DT641)-N(DS641)))</f>
        <v/>
      </c>
      <c r="DX641">
        <f>IF(OR(DS$3="",DS$3&gt;TODAY()),"",IF(AND(DV641="",DW641=""),"",N(DW641)-N(DV641)))</f>
        <v/>
      </c>
      <c r="EB641">
        <f>IF(OR(DZ$3="",DZ$3&gt;TODAY()),"",IF(AND(DZ641="",EA641=""),"",N(EA641)-N(DZ641)))</f>
        <v/>
      </c>
      <c r="EE641">
        <f>IF(OR(DZ$3="",DZ$3&gt;TODAY()),"",IF(AND(EC641="",ED641=""),"",N(ED641)-N(EC641)))</f>
        <v/>
      </c>
      <c r="EI641">
        <f>IF(OR(EG$3="",EG$3&gt;TODAY()),"",IF(AND(EG641="",EH641=""),"",N(EH641)-N(EG641)))</f>
        <v/>
      </c>
      <c r="EL641">
        <f>IF(OR(EG$3="",EG$3&gt;TODAY()),"",IF(AND(EJ641="",EK641=""),"",N(EK641)-N(EJ641)))</f>
        <v/>
      </c>
      <c r="EP641">
        <f>IF(OR(EN$3="",EN$3&gt;TODAY()),"",IF(AND(EN641="",EO641=""),"",N(EO641)-N(EN641)))</f>
        <v/>
      </c>
      <c r="ES641">
        <f>IF(OR(EN$3="",EN$3&gt;TODAY()),"",IF(AND(EQ641="",ER641=""),"",N(ER641)-N(EQ641)))</f>
        <v/>
      </c>
      <c r="EW641">
        <f>IF(OR(EU$3="",EU$3&gt;TODAY()),"",IF(AND(EU641="",EV641=""),"",N(EV641)-N(EU641)))</f>
        <v/>
      </c>
      <c r="EZ641">
        <f>IF(OR(EU$3="",EU$3&gt;TODAY()),"",IF(AND(EX641="",EY641=""),"",N(EY641)-N(EX641)))</f>
        <v/>
      </c>
      <c r="FD641">
        <f>IF(OR(FB$3="",FB$3&gt;TODAY()),"",IF(AND(FB641="",FC641=""),"",N(FC641)-N(FB641)))</f>
        <v/>
      </c>
      <c r="FG641">
        <f>IF(OR(FB$3="",FB$3&gt;TODAY()),"",IF(AND(FE641="",FF641=""),"",N(FF641)-N(FE641)))</f>
        <v/>
      </c>
      <c r="FK641">
        <f>IF(OR(FI$3="",FI$3&gt;TODAY()),"",IF(AND(FI641="",FJ641=""),"",N(FJ641)-N(FI641)))</f>
        <v/>
      </c>
      <c r="FN641">
        <f>IF(OR(FI$3="",FI$3&gt;TODAY()),"",IF(AND(FL641="",FM641=""),"",N(FM641)-N(FL641)))</f>
        <v/>
      </c>
      <c r="FR641">
        <f>IF(OR(FP$3="",FP$3&gt;TODAY()),"",IF(AND(FP641="",FQ641=""),"",N(FQ641)-N(FP641)))</f>
        <v/>
      </c>
      <c r="FU641">
        <f>IF(OR(FP$3="",FP$3&gt;TODAY()),"",IF(AND(FS641="",FT641=""),"",N(FT641)-N(FS641)))</f>
        <v/>
      </c>
      <c r="FY641">
        <f>IF(OR(FW$3="",FW$3&gt;TODAY()),"",IF(AND(FW641="",FX641=""),"",N(FX641)-N(FW641)))</f>
        <v/>
      </c>
      <c r="GB641">
        <f>IF(OR(FW$3="",FW$3&gt;TODAY()),"",IF(AND(FZ641="",GA641=""),"",N(GA641)-N(FZ641)))</f>
        <v/>
      </c>
      <c r="GF641">
        <f>IF(OR(GD$3="",GD$3&gt;TODAY()),"",IF(AND(GD641="",GE641=""),"",N(GE641)-N(GD641)))</f>
        <v/>
      </c>
      <c r="GI641">
        <f>IF(OR(GD$3="",GD$3&gt;TODAY()),"",IF(AND(GG641="",GH641=""),"",N(GH641)-N(GG641)))</f>
        <v/>
      </c>
      <c r="GM641">
        <f>IF(OR(GK$3="",GK$3&gt;TODAY()),"",IF(AND(GK641="",GL641=""),"",N(GL641)-N(GK641)))</f>
        <v/>
      </c>
      <c r="GP641">
        <f>IF(OR(GK$3="",GK$3&gt;TODAY()),"",IF(AND(GN641="",GO641=""),"",N(GO641)-N(GN641)))</f>
        <v/>
      </c>
      <c r="GT641">
        <f>IF(OR(GR$3="",GR$3&gt;TODAY()),"",IF(AND(GR641="",GS641=""),"",N(GS641)-N(GR641)))</f>
        <v/>
      </c>
      <c r="GW641">
        <f>IF(OR(GR$3="",GR$3&gt;TODAY()),"",IF(AND(GU641="",GV641=""),"",N(GV641)-N(GU641)))</f>
        <v/>
      </c>
      <c r="HA641">
        <f>IF(OR(GY$3="",GY$3&gt;TODAY()),"",IF(AND(GY641="",GZ641=""),"",N(GZ641)-N(GY641)))</f>
        <v/>
      </c>
      <c r="HD641">
        <f>IF(OR(GY$3="",GY$3&gt;TODAY()),"",IF(AND(HB641="",HC641=""),"",N(HC641)-N(HB641)))</f>
        <v/>
      </c>
      <c r="HH641">
        <f>IF(OR(HF$3="",HF$3&gt;TODAY()),"",IF(AND(HF641="",HG641=""),"",N(HG641)-N(HF641)))</f>
        <v/>
      </c>
      <c r="HK641">
        <f>IF(OR(HF$3="",HF$3&gt;TODAY()),"",IF(AND(HI641="",HJ641=""),"",N(HJ641)-N(HI641)))</f>
        <v/>
      </c>
      <c r="HO641">
        <f>IF(OR(HM$3="",HM$3&gt;TODAY()),"",IF(AND(HM641="",HN641=""),"",N(HN641)-N(HM641)))</f>
        <v/>
      </c>
      <c r="HR641">
        <f>IF(OR(HM$3="",HM$3&gt;TODAY()),"",IF(AND(HP641="",HQ641=""),"",N(HQ641)-N(HP641)))</f>
        <v/>
      </c>
      <c r="HV641">
        <f>IF(OR(HT$3="",HT$3&gt;TODAY()),"",IF(AND(HT641="",HU641=""),"",N(HU641)-N(HT641)))</f>
        <v/>
      </c>
      <c r="HY641">
        <f>IF(OR(HT$3="",HT$3&gt;TODAY()),"",IF(AND(HW641="",HX641=""),"",N(HX641)-N(HW641)))</f>
        <v/>
      </c>
      <c r="IC641">
        <f>IF(OR(IA$3="",IA$3&gt;TODAY()),"",IF(AND(IA641="",IB641=""),"",N(IB641)-N(IA641)))</f>
        <v/>
      </c>
      <c r="IF641">
        <f>IF(OR(IA$3="",IA$3&gt;TODAY()),"",IF(AND(ID641="",IE641=""),"",N(IE641)-N(ID641)))</f>
        <v/>
      </c>
      <c r="IJ641">
        <f>IF(OR(IH$3="",IH$3&gt;TODAY()),"",IF(AND(IH641="",II641=""),"",N(II641)-N(IH641)))</f>
        <v/>
      </c>
      <c r="IM641">
        <f>IF(OR(IH$3="",IH$3&gt;TODAY()),"",IF(AND(IK641="",IL641=""),"",N(IL641)-N(IK641)))</f>
        <v/>
      </c>
    </row>
    <row r="642">
      <c r="A642" s="21" t="n"/>
      <c r="B642" s="21" t="n"/>
      <c r="C642" s="21" t="n"/>
      <c r="D642" s="21" t="n"/>
      <c r="E642" s="21" t="n"/>
      <c r="F642" s="21" t="n"/>
      <c r="G642" s="21" t="n"/>
      <c r="H642" s="21" t="n"/>
      <c r="I642" s="22" t="n"/>
      <c r="J642" s="22" t="n"/>
      <c r="K642" s="23" t="n"/>
      <c r="L642" s="22" t="n"/>
      <c r="M642" s="22" t="n"/>
      <c r="N642" s="21" t="n"/>
      <c r="O642" s="23" t="n"/>
      <c r="P642" s="23" t="n"/>
      <c r="Q642" s="23" t="n"/>
      <c r="R642" s="23" t="n"/>
      <c r="S642" s="22" t="n"/>
      <c r="T642" s="23" t="n"/>
      <c r="U642" s="23" t="n"/>
      <c r="V642" s="24">
        <f>IF(J642&lt;&gt;"",J642,IF(I642&lt;&gt;"",I642,""))</f>
        <v/>
      </c>
      <c r="W642" s="25">
        <f>IF($E642="","",N(O642)+SUMIFS($AF642:$IN642,$AF$4:$IN$4,"SEW_ACT"))</f>
        <v/>
      </c>
      <c r="X642" s="25">
        <f>IF($E642="","",N(P642)+SUMIFS($AF642:$IN642,$AF$4:$IN$4,"WASH_ACT"))</f>
        <v/>
      </c>
      <c r="Y642" s="25">
        <f>IF($E642="","",W642-X642-N(T642)-N(U642))</f>
        <v/>
      </c>
      <c r="Z642" s="25">
        <f>IF($E642="","",IF(N(K642)-X642&lt;=0.02*N(K642),0,N(K642)-X642))</f>
        <v/>
      </c>
      <c r="AA642" s="24">
        <f>IF($E642="","",IF(S642&lt;&gt;"",S642,IF(N(O642)&gt;0,IF(L642&lt;&gt;"",L642,99999),IFERROR(1/(1/_xlfn.MINIFS($AF$3:$IN$3,$AF$4:$IN$4,"SEW_ACT",$AF642:$IN642,"&gt;0")),99999))))</f>
        <v/>
      </c>
      <c r="AB642" s="26">
        <f>IF(OR($E642="",Z642=0,V642=""),"",1+COUNTIFS(Z$8:Z$707,"&gt;0",V$8:V$707,"&lt;"&amp;V642)+COUNTIFS(Z$8:Z$707,"&gt;0",V$8:V$707,V642,AA$8:AA$707,"&lt;"&amp;AA642)+COUNTIFS(Z$8:Z$707,"&gt;0",V$8:V$707,V642,AA$8:AA$707,AA642,E$8:E$707,"&lt;"&amp;$E642))</f>
        <v/>
      </c>
      <c r="AC642" s="24">
        <f>IF(OR($E642="",Z642=0),"",IFERROR(TODAY()+ROUNDUP(Z642/(SUMIFS($AF642:$IN642,$AF$4:$IN$4,"WASH_ACT")/COUNTIFS($AF$4:$IN$4,"WASH_ACT",$AF642:$IN642,"&gt;0")),0),"no output yet"))</f>
        <v/>
      </c>
      <c r="AD642" s="26">
        <f>IF($E642="","",IFERROR(ROUND(MAX(0,SUMIFS($AF642:$IN642,$AF$4:$IN$4,"SEW_PLAN",$AF$3:$IN$3,"&lt;="&amp;TODAY())-SUMIFS($AF642:$IN642,$AF$4:$IN$4,"SEW_ACT",$AF$3:$IN$3,"&lt;="&amp;TODAY())+N(Q642))/(SUMIFS($AF642:$IN642,$AF$4:$IN$4,"SEW_PLAN")/COUNTIFS($AF$4:$IN$4,"SEW_PLAN",$AF642:$IN642,"&gt;0")),1),0))</f>
        <v/>
      </c>
      <c r="AE642" s="26">
        <f>IF($E642="","",IF(AND(Z642&gt;0,OR(AND(M642&lt;&gt;"",TODAY()&gt;M642),AND(V642&lt;&gt;"",V642-TODAY()&lt;=7))),"Yes","No"))</f>
        <v/>
      </c>
      <c r="AH642">
        <f>IF(OR(AF$3="",AF$3&gt;TODAY()),"",IF(AND(AF642="",AG642=""),"",N(AG642)-N(AF642)))</f>
        <v/>
      </c>
      <c r="AK642">
        <f>IF(OR(AF$3="",AF$3&gt;TODAY()),"",IF(AND(AI642="",AJ642=""),"",N(AJ642)-N(AI642)))</f>
        <v/>
      </c>
      <c r="AO642">
        <f>IF(OR(AM$3="",AM$3&gt;TODAY()),"",IF(AND(AM642="",AN642=""),"",N(AN642)-N(AM642)))</f>
        <v/>
      </c>
      <c r="AR642">
        <f>IF(OR(AM$3="",AM$3&gt;TODAY()),"",IF(AND(AP642="",AQ642=""),"",N(AQ642)-N(AP642)))</f>
        <v/>
      </c>
      <c r="AV642">
        <f>IF(OR(AT$3="",AT$3&gt;TODAY()),"",IF(AND(AT642="",AU642=""),"",N(AU642)-N(AT642)))</f>
        <v/>
      </c>
      <c r="AY642">
        <f>IF(OR(AT$3="",AT$3&gt;TODAY()),"",IF(AND(AW642="",AX642=""),"",N(AX642)-N(AW642)))</f>
        <v/>
      </c>
      <c r="BC642">
        <f>IF(OR(BA$3="",BA$3&gt;TODAY()),"",IF(AND(BA642="",BB642=""),"",N(BB642)-N(BA642)))</f>
        <v/>
      </c>
      <c r="BF642">
        <f>IF(OR(BA$3="",BA$3&gt;TODAY()),"",IF(AND(BD642="",BE642=""),"",N(BE642)-N(BD642)))</f>
        <v/>
      </c>
      <c r="BJ642">
        <f>IF(OR(BH$3="",BH$3&gt;TODAY()),"",IF(AND(BH642="",BI642=""),"",N(BI642)-N(BH642)))</f>
        <v/>
      </c>
      <c r="BM642">
        <f>IF(OR(BH$3="",BH$3&gt;TODAY()),"",IF(AND(BK642="",BL642=""),"",N(BL642)-N(BK642)))</f>
        <v/>
      </c>
      <c r="BQ642">
        <f>IF(OR(BO$3="",BO$3&gt;TODAY()),"",IF(AND(BO642="",BP642=""),"",N(BP642)-N(BO642)))</f>
        <v/>
      </c>
      <c r="BT642">
        <f>IF(OR(BO$3="",BO$3&gt;TODAY()),"",IF(AND(BR642="",BS642=""),"",N(BS642)-N(BR642)))</f>
        <v/>
      </c>
      <c r="BX642">
        <f>IF(OR(BV$3="",BV$3&gt;TODAY()),"",IF(AND(BV642="",BW642=""),"",N(BW642)-N(BV642)))</f>
        <v/>
      </c>
      <c r="CA642">
        <f>IF(OR(BV$3="",BV$3&gt;TODAY()),"",IF(AND(BY642="",BZ642=""),"",N(BZ642)-N(BY642)))</f>
        <v/>
      </c>
      <c r="CE642">
        <f>IF(OR(CC$3="",CC$3&gt;TODAY()),"",IF(AND(CC642="",CD642=""),"",N(CD642)-N(CC642)))</f>
        <v/>
      </c>
      <c r="CH642">
        <f>IF(OR(CC$3="",CC$3&gt;TODAY()),"",IF(AND(CF642="",CG642=""),"",N(CG642)-N(CF642)))</f>
        <v/>
      </c>
      <c r="CL642">
        <f>IF(OR(CJ$3="",CJ$3&gt;TODAY()),"",IF(AND(CJ642="",CK642=""),"",N(CK642)-N(CJ642)))</f>
        <v/>
      </c>
      <c r="CO642">
        <f>IF(OR(CJ$3="",CJ$3&gt;TODAY()),"",IF(AND(CM642="",CN642=""),"",N(CN642)-N(CM642)))</f>
        <v/>
      </c>
      <c r="CS642">
        <f>IF(OR(CQ$3="",CQ$3&gt;TODAY()),"",IF(AND(CQ642="",CR642=""),"",N(CR642)-N(CQ642)))</f>
        <v/>
      </c>
      <c r="CV642">
        <f>IF(OR(CQ$3="",CQ$3&gt;TODAY()),"",IF(AND(CT642="",CU642=""),"",N(CU642)-N(CT642)))</f>
        <v/>
      </c>
      <c r="CZ642">
        <f>IF(OR(CX$3="",CX$3&gt;TODAY()),"",IF(AND(CX642="",CY642=""),"",N(CY642)-N(CX642)))</f>
        <v/>
      </c>
      <c r="DC642">
        <f>IF(OR(CX$3="",CX$3&gt;TODAY()),"",IF(AND(DA642="",DB642=""),"",N(DB642)-N(DA642)))</f>
        <v/>
      </c>
      <c r="DG642">
        <f>IF(OR(DE$3="",DE$3&gt;TODAY()),"",IF(AND(DE642="",DF642=""),"",N(DF642)-N(DE642)))</f>
        <v/>
      </c>
      <c r="DJ642">
        <f>IF(OR(DE$3="",DE$3&gt;TODAY()),"",IF(AND(DH642="",DI642=""),"",N(DI642)-N(DH642)))</f>
        <v/>
      </c>
      <c r="DN642">
        <f>IF(OR(DL$3="",DL$3&gt;TODAY()),"",IF(AND(DL642="",DM642=""),"",N(DM642)-N(DL642)))</f>
        <v/>
      </c>
      <c r="DQ642">
        <f>IF(OR(DL$3="",DL$3&gt;TODAY()),"",IF(AND(DO642="",DP642=""),"",N(DP642)-N(DO642)))</f>
        <v/>
      </c>
      <c r="DU642">
        <f>IF(OR(DS$3="",DS$3&gt;TODAY()),"",IF(AND(DS642="",DT642=""),"",N(DT642)-N(DS642)))</f>
        <v/>
      </c>
      <c r="DX642">
        <f>IF(OR(DS$3="",DS$3&gt;TODAY()),"",IF(AND(DV642="",DW642=""),"",N(DW642)-N(DV642)))</f>
        <v/>
      </c>
      <c r="EB642">
        <f>IF(OR(DZ$3="",DZ$3&gt;TODAY()),"",IF(AND(DZ642="",EA642=""),"",N(EA642)-N(DZ642)))</f>
        <v/>
      </c>
      <c r="EE642">
        <f>IF(OR(DZ$3="",DZ$3&gt;TODAY()),"",IF(AND(EC642="",ED642=""),"",N(ED642)-N(EC642)))</f>
        <v/>
      </c>
      <c r="EI642">
        <f>IF(OR(EG$3="",EG$3&gt;TODAY()),"",IF(AND(EG642="",EH642=""),"",N(EH642)-N(EG642)))</f>
        <v/>
      </c>
      <c r="EL642">
        <f>IF(OR(EG$3="",EG$3&gt;TODAY()),"",IF(AND(EJ642="",EK642=""),"",N(EK642)-N(EJ642)))</f>
        <v/>
      </c>
      <c r="EP642">
        <f>IF(OR(EN$3="",EN$3&gt;TODAY()),"",IF(AND(EN642="",EO642=""),"",N(EO642)-N(EN642)))</f>
        <v/>
      </c>
      <c r="ES642">
        <f>IF(OR(EN$3="",EN$3&gt;TODAY()),"",IF(AND(EQ642="",ER642=""),"",N(ER642)-N(EQ642)))</f>
        <v/>
      </c>
      <c r="EW642">
        <f>IF(OR(EU$3="",EU$3&gt;TODAY()),"",IF(AND(EU642="",EV642=""),"",N(EV642)-N(EU642)))</f>
        <v/>
      </c>
      <c r="EZ642">
        <f>IF(OR(EU$3="",EU$3&gt;TODAY()),"",IF(AND(EX642="",EY642=""),"",N(EY642)-N(EX642)))</f>
        <v/>
      </c>
      <c r="FD642">
        <f>IF(OR(FB$3="",FB$3&gt;TODAY()),"",IF(AND(FB642="",FC642=""),"",N(FC642)-N(FB642)))</f>
        <v/>
      </c>
      <c r="FG642">
        <f>IF(OR(FB$3="",FB$3&gt;TODAY()),"",IF(AND(FE642="",FF642=""),"",N(FF642)-N(FE642)))</f>
        <v/>
      </c>
      <c r="FK642">
        <f>IF(OR(FI$3="",FI$3&gt;TODAY()),"",IF(AND(FI642="",FJ642=""),"",N(FJ642)-N(FI642)))</f>
        <v/>
      </c>
      <c r="FN642">
        <f>IF(OR(FI$3="",FI$3&gt;TODAY()),"",IF(AND(FL642="",FM642=""),"",N(FM642)-N(FL642)))</f>
        <v/>
      </c>
      <c r="FR642">
        <f>IF(OR(FP$3="",FP$3&gt;TODAY()),"",IF(AND(FP642="",FQ642=""),"",N(FQ642)-N(FP642)))</f>
        <v/>
      </c>
      <c r="FU642">
        <f>IF(OR(FP$3="",FP$3&gt;TODAY()),"",IF(AND(FS642="",FT642=""),"",N(FT642)-N(FS642)))</f>
        <v/>
      </c>
      <c r="FY642">
        <f>IF(OR(FW$3="",FW$3&gt;TODAY()),"",IF(AND(FW642="",FX642=""),"",N(FX642)-N(FW642)))</f>
        <v/>
      </c>
      <c r="GB642">
        <f>IF(OR(FW$3="",FW$3&gt;TODAY()),"",IF(AND(FZ642="",GA642=""),"",N(GA642)-N(FZ642)))</f>
        <v/>
      </c>
      <c r="GF642">
        <f>IF(OR(GD$3="",GD$3&gt;TODAY()),"",IF(AND(GD642="",GE642=""),"",N(GE642)-N(GD642)))</f>
        <v/>
      </c>
      <c r="GI642">
        <f>IF(OR(GD$3="",GD$3&gt;TODAY()),"",IF(AND(GG642="",GH642=""),"",N(GH642)-N(GG642)))</f>
        <v/>
      </c>
      <c r="GM642">
        <f>IF(OR(GK$3="",GK$3&gt;TODAY()),"",IF(AND(GK642="",GL642=""),"",N(GL642)-N(GK642)))</f>
        <v/>
      </c>
      <c r="GP642">
        <f>IF(OR(GK$3="",GK$3&gt;TODAY()),"",IF(AND(GN642="",GO642=""),"",N(GO642)-N(GN642)))</f>
        <v/>
      </c>
      <c r="GT642">
        <f>IF(OR(GR$3="",GR$3&gt;TODAY()),"",IF(AND(GR642="",GS642=""),"",N(GS642)-N(GR642)))</f>
        <v/>
      </c>
      <c r="GW642">
        <f>IF(OR(GR$3="",GR$3&gt;TODAY()),"",IF(AND(GU642="",GV642=""),"",N(GV642)-N(GU642)))</f>
        <v/>
      </c>
      <c r="HA642">
        <f>IF(OR(GY$3="",GY$3&gt;TODAY()),"",IF(AND(GY642="",GZ642=""),"",N(GZ642)-N(GY642)))</f>
        <v/>
      </c>
      <c r="HD642">
        <f>IF(OR(GY$3="",GY$3&gt;TODAY()),"",IF(AND(HB642="",HC642=""),"",N(HC642)-N(HB642)))</f>
        <v/>
      </c>
      <c r="HH642">
        <f>IF(OR(HF$3="",HF$3&gt;TODAY()),"",IF(AND(HF642="",HG642=""),"",N(HG642)-N(HF642)))</f>
        <v/>
      </c>
      <c r="HK642">
        <f>IF(OR(HF$3="",HF$3&gt;TODAY()),"",IF(AND(HI642="",HJ642=""),"",N(HJ642)-N(HI642)))</f>
        <v/>
      </c>
      <c r="HO642">
        <f>IF(OR(HM$3="",HM$3&gt;TODAY()),"",IF(AND(HM642="",HN642=""),"",N(HN642)-N(HM642)))</f>
        <v/>
      </c>
      <c r="HR642">
        <f>IF(OR(HM$3="",HM$3&gt;TODAY()),"",IF(AND(HP642="",HQ642=""),"",N(HQ642)-N(HP642)))</f>
        <v/>
      </c>
      <c r="HV642">
        <f>IF(OR(HT$3="",HT$3&gt;TODAY()),"",IF(AND(HT642="",HU642=""),"",N(HU642)-N(HT642)))</f>
        <v/>
      </c>
      <c r="HY642">
        <f>IF(OR(HT$3="",HT$3&gt;TODAY()),"",IF(AND(HW642="",HX642=""),"",N(HX642)-N(HW642)))</f>
        <v/>
      </c>
      <c r="IC642">
        <f>IF(OR(IA$3="",IA$3&gt;TODAY()),"",IF(AND(IA642="",IB642=""),"",N(IB642)-N(IA642)))</f>
        <v/>
      </c>
      <c r="IF642">
        <f>IF(OR(IA$3="",IA$3&gt;TODAY()),"",IF(AND(ID642="",IE642=""),"",N(IE642)-N(ID642)))</f>
        <v/>
      </c>
      <c r="IJ642">
        <f>IF(OR(IH$3="",IH$3&gt;TODAY()),"",IF(AND(IH642="",II642=""),"",N(II642)-N(IH642)))</f>
        <v/>
      </c>
      <c r="IM642">
        <f>IF(OR(IH$3="",IH$3&gt;TODAY()),"",IF(AND(IK642="",IL642=""),"",N(IL642)-N(IK642)))</f>
        <v/>
      </c>
    </row>
    <row r="643">
      <c r="A643" s="21" t="n"/>
      <c r="B643" s="21" t="n"/>
      <c r="C643" s="21" t="n"/>
      <c r="D643" s="21" t="n"/>
      <c r="E643" s="21" t="n"/>
      <c r="F643" s="21" t="n"/>
      <c r="G643" s="21" t="n"/>
      <c r="H643" s="21" t="n"/>
      <c r="I643" s="22" t="n"/>
      <c r="J643" s="22" t="n"/>
      <c r="K643" s="23" t="n"/>
      <c r="L643" s="22" t="n"/>
      <c r="M643" s="22" t="n"/>
      <c r="N643" s="21" t="n"/>
      <c r="O643" s="23" t="n"/>
      <c r="P643" s="23" t="n"/>
      <c r="Q643" s="23" t="n"/>
      <c r="R643" s="23" t="n"/>
      <c r="S643" s="22" t="n"/>
      <c r="T643" s="23" t="n"/>
      <c r="U643" s="23" t="n"/>
      <c r="V643" s="24">
        <f>IF(J643&lt;&gt;"",J643,IF(I643&lt;&gt;"",I643,""))</f>
        <v/>
      </c>
      <c r="W643" s="25">
        <f>IF($E643="","",N(O643)+SUMIFS($AF643:$IN643,$AF$4:$IN$4,"SEW_ACT"))</f>
        <v/>
      </c>
      <c r="X643" s="25">
        <f>IF($E643="","",N(P643)+SUMIFS($AF643:$IN643,$AF$4:$IN$4,"WASH_ACT"))</f>
        <v/>
      </c>
      <c r="Y643" s="25">
        <f>IF($E643="","",W643-X643-N(T643)-N(U643))</f>
        <v/>
      </c>
      <c r="Z643" s="25">
        <f>IF($E643="","",IF(N(K643)-X643&lt;=0.02*N(K643),0,N(K643)-X643))</f>
        <v/>
      </c>
      <c r="AA643" s="24">
        <f>IF($E643="","",IF(S643&lt;&gt;"",S643,IF(N(O643)&gt;0,IF(L643&lt;&gt;"",L643,99999),IFERROR(1/(1/_xlfn.MINIFS($AF$3:$IN$3,$AF$4:$IN$4,"SEW_ACT",$AF643:$IN643,"&gt;0")),99999))))</f>
        <v/>
      </c>
      <c r="AB643" s="26">
        <f>IF(OR($E643="",Z643=0,V643=""),"",1+COUNTIFS(Z$8:Z$707,"&gt;0",V$8:V$707,"&lt;"&amp;V643)+COUNTIFS(Z$8:Z$707,"&gt;0",V$8:V$707,V643,AA$8:AA$707,"&lt;"&amp;AA643)+COUNTIFS(Z$8:Z$707,"&gt;0",V$8:V$707,V643,AA$8:AA$707,AA643,E$8:E$707,"&lt;"&amp;$E643))</f>
        <v/>
      </c>
      <c r="AC643" s="24">
        <f>IF(OR($E643="",Z643=0),"",IFERROR(TODAY()+ROUNDUP(Z643/(SUMIFS($AF643:$IN643,$AF$4:$IN$4,"WASH_ACT")/COUNTIFS($AF$4:$IN$4,"WASH_ACT",$AF643:$IN643,"&gt;0")),0),"no output yet"))</f>
        <v/>
      </c>
      <c r="AD643" s="26">
        <f>IF($E643="","",IFERROR(ROUND(MAX(0,SUMIFS($AF643:$IN643,$AF$4:$IN$4,"SEW_PLAN",$AF$3:$IN$3,"&lt;="&amp;TODAY())-SUMIFS($AF643:$IN643,$AF$4:$IN$4,"SEW_ACT",$AF$3:$IN$3,"&lt;="&amp;TODAY())+N(Q643))/(SUMIFS($AF643:$IN643,$AF$4:$IN$4,"SEW_PLAN")/COUNTIFS($AF$4:$IN$4,"SEW_PLAN",$AF643:$IN643,"&gt;0")),1),0))</f>
        <v/>
      </c>
      <c r="AE643" s="26">
        <f>IF($E643="","",IF(AND(Z643&gt;0,OR(AND(M643&lt;&gt;"",TODAY()&gt;M643),AND(V643&lt;&gt;"",V643-TODAY()&lt;=7))),"Yes","No"))</f>
        <v/>
      </c>
      <c r="AH643">
        <f>IF(OR(AF$3="",AF$3&gt;TODAY()),"",IF(AND(AF643="",AG643=""),"",N(AG643)-N(AF643)))</f>
        <v/>
      </c>
      <c r="AK643">
        <f>IF(OR(AF$3="",AF$3&gt;TODAY()),"",IF(AND(AI643="",AJ643=""),"",N(AJ643)-N(AI643)))</f>
        <v/>
      </c>
      <c r="AO643">
        <f>IF(OR(AM$3="",AM$3&gt;TODAY()),"",IF(AND(AM643="",AN643=""),"",N(AN643)-N(AM643)))</f>
        <v/>
      </c>
      <c r="AR643">
        <f>IF(OR(AM$3="",AM$3&gt;TODAY()),"",IF(AND(AP643="",AQ643=""),"",N(AQ643)-N(AP643)))</f>
        <v/>
      </c>
      <c r="AV643">
        <f>IF(OR(AT$3="",AT$3&gt;TODAY()),"",IF(AND(AT643="",AU643=""),"",N(AU643)-N(AT643)))</f>
        <v/>
      </c>
      <c r="AY643">
        <f>IF(OR(AT$3="",AT$3&gt;TODAY()),"",IF(AND(AW643="",AX643=""),"",N(AX643)-N(AW643)))</f>
        <v/>
      </c>
      <c r="BC643">
        <f>IF(OR(BA$3="",BA$3&gt;TODAY()),"",IF(AND(BA643="",BB643=""),"",N(BB643)-N(BA643)))</f>
        <v/>
      </c>
      <c r="BF643">
        <f>IF(OR(BA$3="",BA$3&gt;TODAY()),"",IF(AND(BD643="",BE643=""),"",N(BE643)-N(BD643)))</f>
        <v/>
      </c>
      <c r="BJ643">
        <f>IF(OR(BH$3="",BH$3&gt;TODAY()),"",IF(AND(BH643="",BI643=""),"",N(BI643)-N(BH643)))</f>
        <v/>
      </c>
      <c r="BM643">
        <f>IF(OR(BH$3="",BH$3&gt;TODAY()),"",IF(AND(BK643="",BL643=""),"",N(BL643)-N(BK643)))</f>
        <v/>
      </c>
      <c r="BQ643">
        <f>IF(OR(BO$3="",BO$3&gt;TODAY()),"",IF(AND(BO643="",BP643=""),"",N(BP643)-N(BO643)))</f>
        <v/>
      </c>
      <c r="BT643">
        <f>IF(OR(BO$3="",BO$3&gt;TODAY()),"",IF(AND(BR643="",BS643=""),"",N(BS643)-N(BR643)))</f>
        <v/>
      </c>
      <c r="BX643">
        <f>IF(OR(BV$3="",BV$3&gt;TODAY()),"",IF(AND(BV643="",BW643=""),"",N(BW643)-N(BV643)))</f>
        <v/>
      </c>
      <c r="CA643">
        <f>IF(OR(BV$3="",BV$3&gt;TODAY()),"",IF(AND(BY643="",BZ643=""),"",N(BZ643)-N(BY643)))</f>
        <v/>
      </c>
      <c r="CE643">
        <f>IF(OR(CC$3="",CC$3&gt;TODAY()),"",IF(AND(CC643="",CD643=""),"",N(CD643)-N(CC643)))</f>
        <v/>
      </c>
      <c r="CH643">
        <f>IF(OR(CC$3="",CC$3&gt;TODAY()),"",IF(AND(CF643="",CG643=""),"",N(CG643)-N(CF643)))</f>
        <v/>
      </c>
      <c r="CL643">
        <f>IF(OR(CJ$3="",CJ$3&gt;TODAY()),"",IF(AND(CJ643="",CK643=""),"",N(CK643)-N(CJ643)))</f>
        <v/>
      </c>
      <c r="CO643">
        <f>IF(OR(CJ$3="",CJ$3&gt;TODAY()),"",IF(AND(CM643="",CN643=""),"",N(CN643)-N(CM643)))</f>
        <v/>
      </c>
      <c r="CS643">
        <f>IF(OR(CQ$3="",CQ$3&gt;TODAY()),"",IF(AND(CQ643="",CR643=""),"",N(CR643)-N(CQ643)))</f>
        <v/>
      </c>
      <c r="CV643">
        <f>IF(OR(CQ$3="",CQ$3&gt;TODAY()),"",IF(AND(CT643="",CU643=""),"",N(CU643)-N(CT643)))</f>
        <v/>
      </c>
      <c r="CZ643">
        <f>IF(OR(CX$3="",CX$3&gt;TODAY()),"",IF(AND(CX643="",CY643=""),"",N(CY643)-N(CX643)))</f>
        <v/>
      </c>
      <c r="DC643">
        <f>IF(OR(CX$3="",CX$3&gt;TODAY()),"",IF(AND(DA643="",DB643=""),"",N(DB643)-N(DA643)))</f>
        <v/>
      </c>
      <c r="DG643">
        <f>IF(OR(DE$3="",DE$3&gt;TODAY()),"",IF(AND(DE643="",DF643=""),"",N(DF643)-N(DE643)))</f>
        <v/>
      </c>
      <c r="DJ643">
        <f>IF(OR(DE$3="",DE$3&gt;TODAY()),"",IF(AND(DH643="",DI643=""),"",N(DI643)-N(DH643)))</f>
        <v/>
      </c>
      <c r="DN643">
        <f>IF(OR(DL$3="",DL$3&gt;TODAY()),"",IF(AND(DL643="",DM643=""),"",N(DM643)-N(DL643)))</f>
        <v/>
      </c>
      <c r="DQ643">
        <f>IF(OR(DL$3="",DL$3&gt;TODAY()),"",IF(AND(DO643="",DP643=""),"",N(DP643)-N(DO643)))</f>
        <v/>
      </c>
      <c r="DU643">
        <f>IF(OR(DS$3="",DS$3&gt;TODAY()),"",IF(AND(DS643="",DT643=""),"",N(DT643)-N(DS643)))</f>
        <v/>
      </c>
      <c r="DX643">
        <f>IF(OR(DS$3="",DS$3&gt;TODAY()),"",IF(AND(DV643="",DW643=""),"",N(DW643)-N(DV643)))</f>
        <v/>
      </c>
      <c r="EB643">
        <f>IF(OR(DZ$3="",DZ$3&gt;TODAY()),"",IF(AND(DZ643="",EA643=""),"",N(EA643)-N(DZ643)))</f>
        <v/>
      </c>
      <c r="EE643">
        <f>IF(OR(DZ$3="",DZ$3&gt;TODAY()),"",IF(AND(EC643="",ED643=""),"",N(ED643)-N(EC643)))</f>
        <v/>
      </c>
      <c r="EI643">
        <f>IF(OR(EG$3="",EG$3&gt;TODAY()),"",IF(AND(EG643="",EH643=""),"",N(EH643)-N(EG643)))</f>
        <v/>
      </c>
      <c r="EL643">
        <f>IF(OR(EG$3="",EG$3&gt;TODAY()),"",IF(AND(EJ643="",EK643=""),"",N(EK643)-N(EJ643)))</f>
        <v/>
      </c>
      <c r="EP643">
        <f>IF(OR(EN$3="",EN$3&gt;TODAY()),"",IF(AND(EN643="",EO643=""),"",N(EO643)-N(EN643)))</f>
        <v/>
      </c>
      <c r="ES643">
        <f>IF(OR(EN$3="",EN$3&gt;TODAY()),"",IF(AND(EQ643="",ER643=""),"",N(ER643)-N(EQ643)))</f>
        <v/>
      </c>
      <c r="EW643">
        <f>IF(OR(EU$3="",EU$3&gt;TODAY()),"",IF(AND(EU643="",EV643=""),"",N(EV643)-N(EU643)))</f>
        <v/>
      </c>
      <c r="EZ643">
        <f>IF(OR(EU$3="",EU$3&gt;TODAY()),"",IF(AND(EX643="",EY643=""),"",N(EY643)-N(EX643)))</f>
        <v/>
      </c>
      <c r="FD643">
        <f>IF(OR(FB$3="",FB$3&gt;TODAY()),"",IF(AND(FB643="",FC643=""),"",N(FC643)-N(FB643)))</f>
        <v/>
      </c>
      <c r="FG643">
        <f>IF(OR(FB$3="",FB$3&gt;TODAY()),"",IF(AND(FE643="",FF643=""),"",N(FF643)-N(FE643)))</f>
        <v/>
      </c>
      <c r="FK643">
        <f>IF(OR(FI$3="",FI$3&gt;TODAY()),"",IF(AND(FI643="",FJ643=""),"",N(FJ643)-N(FI643)))</f>
        <v/>
      </c>
      <c r="FN643">
        <f>IF(OR(FI$3="",FI$3&gt;TODAY()),"",IF(AND(FL643="",FM643=""),"",N(FM643)-N(FL643)))</f>
        <v/>
      </c>
      <c r="FR643">
        <f>IF(OR(FP$3="",FP$3&gt;TODAY()),"",IF(AND(FP643="",FQ643=""),"",N(FQ643)-N(FP643)))</f>
        <v/>
      </c>
      <c r="FU643">
        <f>IF(OR(FP$3="",FP$3&gt;TODAY()),"",IF(AND(FS643="",FT643=""),"",N(FT643)-N(FS643)))</f>
        <v/>
      </c>
      <c r="FY643">
        <f>IF(OR(FW$3="",FW$3&gt;TODAY()),"",IF(AND(FW643="",FX643=""),"",N(FX643)-N(FW643)))</f>
        <v/>
      </c>
      <c r="GB643">
        <f>IF(OR(FW$3="",FW$3&gt;TODAY()),"",IF(AND(FZ643="",GA643=""),"",N(GA643)-N(FZ643)))</f>
        <v/>
      </c>
      <c r="GF643">
        <f>IF(OR(GD$3="",GD$3&gt;TODAY()),"",IF(AND(GD643="",GE643=""),"",N(GE643)-N(GD643)))</f>
        <v/>
      </c>
      <c r="GI643">
        <f>IF(OR(GD$3="",GD$3&gt;TODAY()),"",IF(AND(GG643="",GH643=""),"",N(GH643)-N(GG643)))</f>
        <v/>
      </c>
      <c r="GM643">
        <f>IF(OR(GK$3="",GK$3&gt;TODAY()),"",IF(AND(GK643="",GL643=""),"",N(GL643)-N(GK643)))</f>
        <v/>
      </c>
      <c r="GP643">
        <f>IF(OR(GK$3="",GK$3&gt;TODAY()),"",IF(AND(GN643="",GO643=""),"",N(GO643)-N(GN643)))</f>
        <v/>
      </c>
      <c r="GT643">
        <f>IF(OR(GR$3="",GR$3&gt;TODAY()),"",IF(AND(GR643="",GS643=""),"",N(GS643)-N(GR643)))</f>
        <v/>
      </c>
      <c r="GW643">
        <f>IF(OR(GR$3="",GR$3&gt;TODAY()),"",IF(AND(GU643="",GV643=""),"",N(GV643)-N(GU643)))</f>
        <v/>
      </c>
      <c r="HA643">
        <f>IF(OR(GY$3="",GY$3&gt;TODAY()),"",IF(AND(GY643="",GZ643=""),"",N(GZ643)-N(GY643)))</f>
        <v/>
      </c>
      <c r="HD643">
        <f>IF(OR(GY$3="",GY$3&gt;TODAY()),"",IF(AND(HB643="",HC643=""),"",N(HC643)-N(HB643)))</f>
        <v/>
      </c>
      <c r="HH643">
        <f>IF(OR(HF$3="",HF$3&gt;TODAY()),"",IF(AND(HF643="",HG643=""),"",N(HG643)-N(HF643)))</f>
        <v/>
      </c>
      <c r="HK643">
        <f>IF(OR(HF$3="",HF$3&gt;TODAY()),"",IF(AND(HI643="",HJ643=""),"",N(HJ643)-N(HI643)))</f>
        <v/>
      </c>
      <c r="HO643">
        <f>IF(OR(HM$3="",HM$3&gt;TODAY()),"",IF(AND(HM643="",HN643=""),"",N(HN643)-N(HM643)))</f>
        <v/>
      </c>
      <c r="HR643">
        <f>IF(OR(HM$3="",HM$3&gt;TODAY()),"",IF(AND(HP643="",HQ643=""),"",N(HQ643)-N(HP643)))</f>
        <v/>
      </c>
      <c r="HV643">
        <f>IF(OR(HT$3="",HT$3&gt;TODAY()),"",IF(AND(HT643="",HU643=""),"",N(HU643)-N(HT643)))</f>
        <v/>
      </c>
      <c r="HY643">
        <f>IF(OR(HT$3="",HT$3&gt;TODAY()),"",IF(AND(HW643="",HX643=""),"",N(HX643)-N(HW643)))</f>
        <v/>
      </c>
      <c r="IC643">
        <f>IF(OR(IA$3="",IA$3&gt;TODAY()),"",IF(AND(IA643="",IB643=""),"",N(IB643)-N(IA643)))</f>
        <v/>
      </c>
      <c r="IF643">
        <f>IF(OR(IA$3="",IA$3&gt;TODAY()),"",IF(AND(ID643="",IE643=""),"",N(IE643)-N(ID643)))</f>
        <v/>
      </c>
      <c r="IJ643">
        <f>IF(OR(IH$3="",IH$3&gt;TODAY()),"",IF(AND(IH643="",II643=""),"",N(II643)-N(IH643)))</f>
        <v/>
      </c>
      <c r="IM643">
        <f>IF(OR(IH$3="",IH$3&gt;TODAY()),"",IF(AND(IK643="",IL643=""),"",N(IL643)-N(IK643)))</f>
        <v/>
      </c>
    </row>
    <row r="644">
      <c r="A644" s="21" t="n"/>
      <c r="B644" s="21" t="n"/>
      <c r="C644" s="21" t="n"/>
      <c r="D644" s="21" t="n"/>
      <c r="E644" s="21" t="n"/>
      <c r="F644" s="21" t="n"/>
      <c r="G644" s="21" t="n"/>
      <c r="H644" s="21" t="n"/>
      <c r="I644" s="22" t="n"/>
      <c r="J644" s="22" t="n"/>
      <c r="K644" s="23" t="n"/>
      <c r="L644" s="22" t="n"/>
      <c r="M644" s="22" t="n"/>
      <c r="N644" s="21" t="n"/>
      <c r="O644" s="23" t="n"/>
      <c r="P644" s="23" t="n"/>
      <c r="Q644" s="23" t="n"/>
      <c r="R644" s="23" t="n"/>
      <c r="S644" s="22" t="n"/>
      <c r="T644" s="23" t="n"/>
      <c r="U644" s="23" t="n"/>
      <c r="V644" s="24">
        <f>IF(J644&lt;&gt;"",J644,IF(I644&lt;&gt;"",I644,""))</f>
        <v/>
      </c>
      <c r="W644" s="25">
        <f>IF($E644="","",N(O644)+SUMIFS($AF644:$IN644,$AF$4:$IN$4,"SEW_ACT"))</f>
        <v/>
      </c>
      <c r="X644" s="25">
        <f>IF($E644="","",N(P644)+SUMIFS($AF644:$IN644,$AF$4:$IN$4,"WASH_ACT"))</f>
        <v/>
      </c>
      <c r="Y644" s="25">
        <f>IF($E644="","",W644-X644-N(T644)-N(U644))</f>
        <v/>
      </c>
      <c r="Z644" s="25">
        <f>IF($E644="","",IF(N(K644)-X644&lt;=0.02*N(K644),0,N(K644)-X644))</f>
        <v/>
      </c>
      <c r="AA644" s="24">
        <f>IF($E644="","",IF(S644&lt;&gt;"",S644,IF(N(O644)&gt;0,IF(L644&lt;&gt;"",L644,99999),IFERROR(1/(1/_xlfn.MINIFS($AF$3:$IN$3,$AF$4:$IN$4,"SEW_ACT",$AF644:$IN644,"&gt;0")),99999))))</f>
        <v/>
      </c>
      <c r="AB644" s="26">
        <f>IF(OR($E644="",Z644=0,V644=""),"",1+COUNTIFS(Z$8:Z$707,"&gt;0",V$8:V$707,"&lt;"&amp;V644)+COUNTIFS(Z$8:Z$707,"&gt;0",V$8:V$707,V644,AA$8:AA$707,"&lt;"&amp;AA644)+COUNTIFS(Z$8:Z$707,"&gt;0",V$8:V$707,V644,AA$8:AA$707,AA644,E$8:E$707,"&lt;"&amp;$E644))</f>
        <v/>
      </c>
      <c r="AC644" s="24">
        <f>IF(OR($E644="",Z644=0),"",IFERROR(TODAY()+ROUNDUP(Z644/(SUMIFS($AF644:$IN644,$AF$4:$IN$4,"WASH_ACT")/COUNTIFS($AF$4:$IN$4,"WASH_ACT",$AF644:$IN644,"&gt;0")),0),"no output yet"))</f>
        <v/>
      </c>
      <c r="AD644" s="26">
        <f>IF($E644="","",IFERROR(ROUND(MAX(0,SUMIFS($AF644:$IN644,$AF$4:$IN$4,"SEW_PLAN",$AF$3:$IN$3,"&lt;="&amp;TODAY())-SUMIFS($AF644:$IN644,$AF$4:$IN$4,"SEW_ACT",$AF$3:$IN$3,"&lt;="&amp;TODAY())+N(Q644))/(SUMIFS($AF644:$IN644,$AF$4:$IN$4,"SEW_PLAN")/COUNTIFS($AF$4:$IN$4,"SEW_PLAN",$AF644:$IN644,"&gt;0")),1),0))</f>
        <v/>
      </c>
      <c r="AE644" s="26">
        <f>IF($E644="","",IF(AND(Z644&gt;0,OR(AND(M644&lt;&gt;"",TODAY()&gt;M644),AND(V644&lt;&gt;"",V644-TODAY()&lt;=7))),"Yes","No"))</f>
        <v/>
      </c>
      <c r="AH644">
        <f>IF(OR(AF$3="",AF$3&gt;TODAY()),"",IF(AND(AF644="",AG644=""),"",N(AG644)-N(AF644)))</f>
        <v/>
      </c>
      <c r="AK644">
        <f>IF(OR(AF$3="",AF$3&gt;TODAY()),"",IF(AND(AI644="",AJ644=""),"",N(AJ644)-N(AI644)))</f>
        <v/>
      </c>
      <c r="AO644">
        <f>IF(OR(AM$3="",AM$3&gt;TODAY()),"",IF(AND(AM644="",AN644=""),"",N(AN644)-N(AM644)))</f>
        <v/>
      </c>
      <c r="AR644">
        <f>IF(OR(AM$3="",AM$3&gt;TODAY()),"",IF(AND(AP644="",AQ644=""),"",N(AQ644)-N(AP644)))</f>
        <v/>
      </c>
      <c r="AV644">
        <f>IF(OR(AT$3="",AT$3&gt;TODAY()),"",IF(AND(AT644="",AU644=""),"",N(AU644)-N(AT644)))</f>
        <v/>
      </c>
      <c r="AY644">
        <f>IF(OR(AT$3="",AT$3&gt;TODAY()),"",IF(AND(AW644="",AX644=""),"",N(AX644)-N(AW644)))</f>
        <v/>
      </c>
      <c r="BC644">
        <f>IF(OR(BA$3="",BA$3&gt;TODAY()),"",IF(AND(BA644="",BB644=""),"",N(BB644)-N(BA644)))</f>
        <v/>
      </c>
      <c r="BF644">
        <f>IF(OR(BA$3="",BA$3&gt;TODAY()),"",IF(AND(BD644="",BE644=""),"",N(BE644)-N(BD644)))</f>
        <v/>
      </c>
      <c r="BJ644">
        <f>IF(OR(BH$3="",BH$3&gt;TODAY()),"",IF(AND(BH644="",BI644=""),"",N(BI644)-N(BH644)))</f>
        <v/>
      </c>
      <c r="BM644">
        <f>IF(OR(BH$3="",BH$3&gt;TODAY()),"",IF(AND(BK644="",BL644=""),"",N(BL644)-N(BK644)))</f>
        <v/>
      </c>
      <c r="BQ644">
        <f>IF(OR(BO$3="",BO$3&gt;TODAY()),"",IF(AND(BO644="",BP644=""),"",N(BP644)-N(BO644)))</f>
        <v/>
      </c>
      <c r="BT644">
        <f>IF(OR(BO$3="",BO$3&gt;TODAY()),"",IF(AND(BR644="",BS644=""),"",N(BS644)-N(BR644)))</f>
        <v/>
      </c>
      <c r="BX644">
        <f>IF(OR(BV$3="",BV$3&gt;TODAY()),"",IF(AND(BV644="",BW644=""),"",N(BW644)-N(BV644)))</f>
        <v/>
      </c>
      <c r="CA644">
        <f>IF(OR(BV$3="",BV$3&gt;TODAY()),"",IF(AND(BY644="",BZ644=""),"",N(BZ644)-N(BY644)))</f>
        <v/>
      </c>
      <c r="CE644">
        <f>IF(OR(CC$3="",CC$3&gt;TODAY()),"",IF(AND(CC644="",CD644=""),"",N(CD644)-N(CC644)))</f>
        <v/>
      </c>
      <c r="CH644">
        <f>IF(OR(CC$3="",CC$3&gt;TODAY()),"",IF(AND(CF644="",CG644=""),"",N(CG644)-N(CF644)))</f>
        <v/>
      </c>
      <c r="CL644">
        <f>IF(OR(CJ$3="",CJ$3&gt;TODAY()),"",IF(AND(CJ644="",CK644=""),"",N(CK644)-N(CJ644)))</f>
        <v/>
      </c>
      <c r="CO644">
        <f>IF(OR(CJ$3="",CJ$3&gt;TODAY()),"",IF(AND(CM644="",CN644=""),"",N(CN644)-N(CM644)))</f>
        <v/>
      </c>
      <c r="CS644">
        <f>IF(OR(CQ$3="",CQ$3&gt;TODAY()),"",IF(AND(CQ644="",CR644=""),"",N(CR644)-N(CQ644)))</f>
        <v/>
      </c>
      <c r="CV644">
        <f>IF(OR(CQ$3="",CQ$3&gt;TODAY()),"",IF(AND(CT644="",CU644=""),"",N(CU644)-N(CT644)))</f>
        <v/>
      </c>
      <c r="CZ644">
        <f>IF(OR(CX$3="",CX$3&gt;TODAY()),"",IF(AND(CX644="",CY644=""),"",N(CY644)-N(CX644)))</f>
        <v/>
      </c>
      <c r="DC644">
        <f>IF(OR(CX$3="",CX$3&gt;TODAY()),"",IF(AND(DA644="",DB644=""),"",N(DB644)-N(DA644)))</f>
        <v/>
      </c>
      <c r="DG644">
        <f>IF(OR(DE$3="",DE$3&gt;TODAY()),"",IF(AND(DE644="",DF644=""),"",N(DF644)-N(DE644)))</f>
        <v/>
      </c>
      <c r="DJ644">
        <f>IF(OR(DE$3="",DE$3&gt;TODAY()),"",IF(AND(DH644="",DI644=""),"",N(DI644)-N(DH644)))</f>
        <v/>
      </c>
      <c r="DN644">
        <f>IF(OR(DL$3="",DL$3&gt;TODAY()),"",IF(AND(DL644="",DM644=""),"",N(DM644)-N(DL644)))</f>
        <v/>
      </c>
      <c r="DQ644">
        <f>IF(OR(DL$3="",DL$3&gt;TODAY()),"",IF(AND(DO644="",DP644=""),"",N(DP644)-N(DO644)))</f>
        <v/>
      </c>
      <c r="DU644">
        <f>IF(OR(DS$3="",DS$3&gt;TODAY()),"",IF(AND(DS644="",DT644=""),"",N(DT644)-N(DS644)))</f>
        <v/>
      </c>
      <c r="DX644">
        <f>IF(OR(DS$3="",DS$3&gt;TODAY()),"",IF(AND(DV644="",DW644=""),"",N(DW644)-N(DV644)))</f>
        <v/>
      </c>
      <c r="EB644">
        <f>IF(OR(DZ$3="",DZ$3&gt;TODAY()),"",IF(AND(DZ644="",EA644=""),"",N(EA644)-N(DZ644)))</f>
        <v/>
      </c>
      <c r="EE644">
        <f>IF(OR(DZ$3="",DZ$3&gt;TODAY()),"",IF(AND(EC644="",ED644=""),"",N(ED644)-N(EC644)))</f>
        <v/>
      </c>
      <c r="EI644">
        <f>IF(OR(EG$3="",EG$3&gt;TODAY()),"",IF(AND(EG644="",EH644=""),"",N(EH644)-N(EG644)))</f>
        <v/>
      </c>
      <c r="EL644">
        <f>IF(OR(EG$3="",EG$3&gt;TODAY()),"",IF(AND(EJ644="",EK644=""),"",N(EK644)-N(EJ644)))</f>
        <v/>
      </c>
      <c r="EP644">
        <f>IF(OR(EN$3="",EN$3&gt;TODAY()),"",IF(AND(EN644="",EO644=""),"",N(EO644)-N(EN644)))</f>
        <v/>
      </c>
      <c r="ES644">
        <f>IF(OR(EN$3="",EN$3&gt;TODAY()),"",IF(AND(EQ644="",ER644=""),"",N(ER644)-N(EQ644)))</f>
        <v/>
      </c>
      <c r="EW644">
        <f>IF(OR(EU$3="",EU$3&gt;TODAY()),"",IF(AND(EU644="",EV644=""),"",N(EV644)-N(EU644)))</f>
        <v/>
      </c>
      <c r="EZ644">
        <f>IF(OR(EU$3="",EU$3&gt;TODAY()),"",IF(AND(EX644="",EY644=""),"",N(EY644)-N(EX644)))</f>
        <v/>
      </c>
      <c r="FD644">
        <f>IF(OR(FB$3="",FB$3&gt;TODAY()),"",IF(AND(FB644="",FC644=""),"",N(FC644)-N(FB644)))</f>
        <v/>
      </c>
      <c r="FG644">
        <f>IF(OR(FB$3="",FB$3&gt;TODAY()),"",IF(AND(FE644="",FF644=""),"",N(FF644)-N(FE644)))</f>
        <v/>
      </c>
      <c r="FK644">
        <f>IF(OR(FI$3="",FI$3&gt;TODAY()),"",IF(AND(FI644="",FJ644=""),"",N(FJ644)-N(FI644)))</f>
        <v/>
      </c>
      <c r="FN644">
        <f>IF(OR(FI$3="",FI$3&gt;TODAY()),"",IF(AND(FL644="",FM644=""),"",N(FM644)-N(FL644)))</f>
        <v/>
      </c>
      <c r="FR644">
        <f>IF(OR(FP$3="",FP$3&gt;TODAY()),"",IF(AND(FP644="",FQ644=""),"",N(FQ644)-N(FP644)))</f>
        <v/>
      </c>
      <c r="FU644">
        <f>IF(OR(FP$3="",FP$3&gt;TODAY()),"",IF(AND(FS644="",FT644=""),"",N(FT644)-N(FS644)))</f>
        <v/>
      </c>
      <c r="FY644">
        <f>IF(OR(FW$3="",FW$3&gt;TODAY()),"",IF(AND(FW644="",FX644=""),"",N(FX644)-N(FW644)))</f>
        <v/>
      </c>
      <c r="GB644">
        <f>IF(OR(FW$3="",FW$3&gt;TODAY()),"",IF(AND(FZ644="",GA644=""),"",N(GA644)-N(FZ644)))</f>
        <v/>
      </c>
      <c r="GF644">
        <f>IF(OR(GD$3="",GD$3&gt;TODAY()),"",IF(AND(GD644="",GE644=""),"",N(GE644)-N(GD644)))</f>
        <v/>
      </c>
      <c r="GI644">
        <f>IF(OR(GD$3="",GD$3&gt;TODAY()),"",IF(AND(GG644="",GH644=""),"",N(GH644)-N(GG644)))</f>
        <v/>
      </c>
      <c r="GM644">
        <f>IF(OR(GK$3="",GK$3&gt;TODAY()),"",IF(AND(GK644="",GL644=""),"",N(GL644)-N(GK644)))</f>
        <v/>
      </c>
      <c r="GP644">
        <f>IF(OR(GK$3="",GK$3&gt;TODAY()),"",IF(AND(GN644="",GO644=""),"",N(GO644)-N(GN644)))</f>
        <v/>
      </c>
      <c r="GT644">
        <f>IF(OR(GR$3="",GR$3&gt;TODAY()),"",IF(AND(GR644="",GS644=""),"",N(GS644)-N(GR644)))</f>
        <v/>
      </c>
      <c r="GW644">
        <f>IF(OR(GR$3="",GR$3&gt;TODAY()),"",IF(AND(GU644="",GV644=""),"",N(GV644)-N(GU644)))</f>
        <v/>
      </c>
      <c r="HA644">
        <f>IF(OR(GY$3="",GY$3&gt;TODAY()),"",IF(AND(GY644="",GZ644=""),"",N(GZ644)-N(GY644)))</f>
        <v/>
      </c>
      <c r="HD644">
        <f>IF(OR(GY$3="",GY$3&gt;TODAY()),"",IF(AND(HB644="",HC644=""),"",N(HC644)-N(HB644)))</f>
        <v/>
      </c>
      <c r="HH644">
        <f>IF(OR(HF$3="",HF$3&gt;TODAY()),"",IF(AND(HF644="",HG644=""),"",N(HG644)-N(HF644)))</f>
        <v/>
      </c>
      <c r="HK644">
        <f>IF(OR(HF$3="",HF$3&gt;TODAY()),"",IF(AND(HI644="",HJ644=""),"",N(HJ644)-N(HI644)))</f>
        <v/>
      </c>
      <c r="HO644">
        <f>IF(OR(HM$3="",HM$3&gt;TODAY()),"",IF(AND(HM644="",HN644=""),"",N(HN644)-N(HM644)))</f>
        <v/>
      </c>
      <c r="HR644">
        <f>IF(OR(HM$3="",HM$3&gt;TODAY()),"",IF(AND(HP644="",HQ644=""),"",N(HQ644)-N(HP644)))</f>
        <v/>
      </c>
      <c r="HV644">
        <f>IF(OR(HT$3="",HT$3&gt;TODAY()),"",IF(AND(HT644="",HU644=""),"",N(HU644)-N(HT644)))</f>
        <v/>
      </c>
      <c r="HY644">
        <f>IF(OR(HT$3="",HT$3&gt;TODAY()),"",IF(AND(HW644="",HX644=""),"",N(HX644)-N(HW644)))</f>
        <v/>
      </c>
      <c r="IC644">
        <f>IF(OR(IA$3="",IA$3&gt;TODAY()),"",IF(AND(IA644="",IB644=""),"",N(IB644)-N(IA644)))</f>
        <v/>
      </c>
      <c r="IF644">
        <f>IF(OR(IA$3="",IA$3&gt;TODAY()),"",IF(AND(ID644="",IE644=""),"",N(IE644)-N(ID644)))</f>
        <v/>
      </c>
      <c r="IJ644">
        <f>IF(OR(IH$3="",IH$3&gt;TODAY()),"",IF(AND(IH644="",II644=""),"",N(II644)-N(IH644)))</f>
        <v/>
      </c>
      <c r="IM644">
        <f>IF(OR(IH$3="",IH$3&gt;TODAY()),"",IF(AND(IK644="",IL644=""),"",N(IL644)-N(IK644)))</f>
        <v/>
      </c>
    </row>
    <row r="645">
      <c r="A645" s="21" t="n"/>
      <c r="B645" s="21" t="n"/>
      <c r="C645" s="21" t="n"/>
      <c r="D645" s="21" t="n"/>
      <c r="E645" s="21" t="n"/>
      <c r="F645" s="21" t="n"/>
      <c r="G645" s="21" t="n"/>
      <c r="H645" s="21" t="n"/>
      <c r="I645" s="22" t="n"/>
      <c r="J645" s="22" t="n"/>
      <c r="K645" s="23" t="n"/>
      <c r="L645" s="22" t="n"/>
      <c r="M645" s="22" t="n"/>
      <c r="N645" s="21" t="n"/>
      <c r="O645" s="23" t="n"/>
      <c r="P645" s="23" t="n"/>
      <c r="Q645" s="23" t="n"/>
      <c r="R645" s="23" t="n"/>
      <c r="S645" s="22" t="n"/>
      <c r="T645" s="23" t="n"/>
      <c r="U645" s="23" t="n"/>
      <c r="V645" s="24">
        <f>IF(J645&lt;&gt;"",J645,IF(I645&lt;&gt;"",I645,""))</f>
        <v/>
      </c>
      <c r="W645" s="25">
        <f>IF($E645="","",N(O645)+SUMIFS($AF645:$IN645,$AF$4:$IN$4,"SEW_ACT"))</f>
        <v/>
      </c>
      <c r="X645" s="25">
        <f>IF($E645="","",N(P645)+SUMIFS($AF645:$IN645,$AF$4:$IN$4,"WASH_ACT"))</f>
        <v/>
      </c>
      <c r="Y645" s="25">
        <f>IF($E645="","",W645-X645-N(T645)-N(U645))</f>
        <v/>
      </c>
      <c r="Z645" s="25">
        <f>IF($E645="","",IF(N(K645)-X645&lt;=0.02*N(K645),0,N(K645)-X645))</f>
        <v/>
      </c>
      <c r="AA645" s="24">
        <f>IF($E645="","",IF(S645&lt;&gt;"",S645,IF(N(O645)&gt;0,IF(L645&lt;&gt;"",L645,99999),IFERROR(1/(1/_xlfn.MINIFS($AF$3:$IN$3,$AF$4:$IN$4,"SEW_ACT",$AF645:$IN645,"&gt;0")),99999))))</f>
        <v/>
      </c>
      <c r="AB645" s="26">
        <f>IF(OR($E645="",Z645=0,V645=""),"",1+COUNTIFS(Z$8:Z$707,"&gt;0",V$8:V$707,"&lt;"&amp;V645)+COUNTIFS(Z$8:Z$707,"&gt;0",V$8:V$707,V645,AA$8:AA$707,"&lt;"&amp;AA645)+COUNTIFS(Z$8:Z$707,"&gt;0",V$8:V$707,V645,AA$8:AA$707,AA645,E$8:E$707,"&lt;"&amp;$E645))</f>
        <v/>
      </c>
      <c r="AC645" s="24">
        <f>IF(OR($E645="",Z645=0),"",IFERROR(TODAY()+ROUNDUP(Z645/(SUMIFS($AF645:$IN645,$AF$4:$IN$4,"WASH_ACT")/COUNTIFS($AF$4:$IN$4,"WASH_ACT",$AF645:$IN645,"&gt;0")),0),"no output yet"))</f>
        <v/>
      </c>
      <c r="AD645" s="26">
        <f>IF($E645="","",IFERROR(ROUND(MAX(0,SUMIFS($AF645:$IN645,$AF$4:$IN$4,"SEW_PLAN",$AF$3:$IN$3,"&lt;="&amp;TODAY())-SUMIFS($AF645:$IN645,$AF$4:$IN$4,"SEW_ACT",$AF$3:$IN$3,"&lt;="&amp;TODAY())+N(Q645))/(SUMIFS($AF645:$IN645,$AF$4:$IN$4,"SEW_PLAN")/COUNTIFS($AF$4:$IN$4,"SEW_PLAN",$AF645:$IN645,"&gt;0")),1),0))</f>
        <v/>
      </c>
      <c r="AE645" s="26">
        <f>IF($E645="","",IF(AND(Z645&gt;0,OR(AND(M645&lt;&gt;"",TODAY()&gt;M645),AND(V645&lt;&gt;"",V645-TODAY()&lt;=7))),"Yes","No"))</f>
        <v/>
      </c>
      <c r="AH645">
        <f>IF(OR(AF$3="",AF$3&gt;TODAY()),"",IF(AND(AF645="",AG645=""),"",N(AG645)-N(AF645)))</f>
        <v/>
      </c>
      <c r="AK645">
        <f>IF(OR(AF$3="",AF$3&gt;TODAY()),"",IF(AND(AI645="",AJ645=""),"",N(AJ645)-N(AI645)))</f>
        <v/>
      </c>
      <c r="AO645">
        <f>IF(OR(AM$3="",AM$3&gt;TODAY()),"",IF(AND(AM645="",AN645=""),"",N(AN645)-N(AM645)))</f>
        <v/>
      </c>
      <c r="AR645">
        <f>IF(OR(AM$3="",AM$3&gt;TODAY()),"",IF(AND(AP645="",AQ645=""),"",N(AQ645)-N(AP645)))</f>
        <v/>
      </c>
      <c r="AV645">
        <f>IF(OR(AT$3="",AT$3&gt;TODAY()),"",IF(AND(AT645="",AU645=""),"",N(AU645)-N(AT645)))</f>
        <v/>
      </c>
      <c r="AY645">
        <f>IF(OR(AT$3="",AT$3&gt;TODAY()),"",IF(AND(AW645="",AX645=""),"",N(AX645)-N(AW645)))</f>
        <v/>
      </c>
      <c r="BC645">
        <f>IF(OR(BA$3="",BA$3&gt;TODAY()),"",IF(AND(BA645="",BB645=""),"",N(BB645)-N(BA645)))</f>
        <v/>
      </c>
      <c r="BF645">
        <f>IF(OR(BA$3="",BA$3&gt;TODAY()),"",IF(AND(BD645="",BE645=""),"",N(BE645)-N(BD645)))</f>
        <v/>
      </c>
      <c r="BJ645">
        <f>IF(OR(BH$3="",BH$3&gt;TODAY()),"",IF(AND(BH645="",BI645=""),"",N(BI645)-N(BH645)))</f>
        <v/>
      </c>
      <c r="BM645">
        <f>IF(OR(BH$3="",BH$3&gt;TODAY()),"",IF(AND(BK645="",BL645=""),"",N(BL645)-N(BK645)))</f>
        <v/>
      </c>
      <c r="BQ645">
        <f>IF(OR(BO$3="",BO$3&gt;TODAY()),"",IF(AND(BO645="",BP645=""),"",N(BP645)-N(BO645)))</f>
        <v/>
      </c>
      <c r="BT645">
        <f>IF(OR(BO$3="",BO$3&gt;TODAY()),"",IF(AND(BR645="",BS645=""),"",N(BS645)-N(BR645)))</f>
        <v/>
      </c>
      <c r="BX645">
        <f>IF(OR(BV$3="",BV$3&gt;TODAY()),"",IF(AND(BV645="",BW645=""),"",N(BW645)-N(BV645)))</f>
        <v/>
      </c>
      <c r="CA645">
        <f>IF(OR(BV$3="",BV$3&gt;TODAY()),"",IF(AND(BY645="",BZ645=""),"",N(BZ645)-N(BY645)))</f>
        <v/>
      </c>
      <c r="CE645">
        <f>IF(OR(CC$3="",CC$3&gt;TODAY()),"",IF(AND(CC645="",CD645=""),"",N(CD645)-N(CC645)))</f>
        <v/>
      </c>
      <c r="CH645">
        <f>IF(OR(CC$3="",CC$3&gt;TODAY()),"",IF(AND(CF645="",CG645=""),"",N(CG645)-N(CF645)))</f>
        <v/>
      </c>
      <c r="CL645">
        <f>IF(OR(CJ$3="",CJ$3&gt;TODAY()),"",IF(AND(CJ645="",CK645=""),"",N(CK645)-N(CJ645)))</f>
        <v/>
      </c>
      <c r="CO645">
        <f>IF(OR(CJ$3="",CJ$3&gt;TODAY()),"",IF(AND(CM645="",CN645=""),"",N(CN645)-N(CM645)))</f>
        <v/>
      </c>
      <c r="CS645">
        <f>IF(OR(CQ$3="",CQ$3&gt;TODAY()),"",IF(AND(CQ645="",CR645=""),"",N(CR645)-N(CQ645)))</f>
        <v/>
      </c>
      <c r="CV645">
        <f>IF(OR(CQ$3="",CQ$3&gt;TODAY()),"",IF(AND(CT645="",CU645=""),"",N(CU645)-N(CT645)))</f>
        <v/>
      </c>
      <c r="CZ645">
        <f>IF(OR(CX$3="",CX$3&gt;TODAY()),"",IF(AND(CX645="",CY645=""),"",N(CY645)-N(CX645)))</f>
        <v/>
      </c>
      <c r="DC645">
        <f>IF(OR(CX$3="",CX$3&gt;TODAY()),"",IF(AND(DA645="",DB645=""),"",N(DB645)-N(DA645)))</f>
        <v/>
      </c>
      <c r="DG645">
        <f>IF(OR(DE$3="",DE$3&gt;TODAY()),"",IF(AND(DE645="",DF645=""),"",N(DF645)-N(DE645)))</f>
        <v/>
      </c>
      <c r="DJ645">
        <f>IF(OR(DE$3="",DE$3&gt;TODAY()),"",IF(AND(DH645="",DI645=""),"",N(DI645)-N(DH645)))</f>
        <v/>
      </c>
      <c r="DN645">
        <f>IF(OR(DL$3="",DL$3&gt;TODAY()),"",IF(AND(DL645="",DM645=""),"",N(DM645)-N(DL645)))</f>
        <v/>
      </c>
      <c r="DQ645">
        <f>IF(OR(DL$3="",DL$3&gt;TODAY()),"",IF(AND(DO645="",DP645=""),"",N(DP645)-N(DO645)))</f>
        <v/>
      </c>
      <c r="DU645">
        <f>IF(OR(DS$3="",DS$3&gt;TODAY()),"",IF(AND(DS645="",DT645=""),"",N(DT645)-N(DS645)))</f>
        <v/>
      </c>
      <c r="DX645">
        <f>IF(OR(DS$3="",DS$3&gt;TODAY()),"",IF(AND(DV645="",DW645=""),"",N(DW645)-N(DV645)))</f>
        <v/>
      </c>
      <c r="EB645">
        <f>IF(OR(DZ$3="",DZ$3&gt;TODAY()),"",IF(AND(DZ645="",EA645=""),"",N(EA645)-N(DZ645)))</f>
        <v/>
      </c>
      <c r="EE645">
        <f>IF(OR(DZ$3="",DZ$3&gt;TODAY()),"",IF(AND(EC645="",ED645=""),"",N(ED645)-N(EC645)))</f>
        <v/>
      </c>
      <c r="EI645">
        <f>IF(OR(EG$3="",EG$3&gt;TODAY()),"",IF(AND(EG645="",EH645=""),"",N(EH645)-N(EG645)))</f>
        <v/>
      </c>
      <c r="EL645">
        <f>IF(OR(EG$3="",EG$3&gt;TODAY()),"",IF(AND(EJ645="",EK645=""),"",N(EK645)-N(EJ645)))</f>
        <v/>
      </c>
      <c r="EP645">
        <f>IF(OR(EN$3="",EN$3&gt;TODAY()),"",IF(AND(EN645="",EO645=""),"",N(EO645)-N(EN645)))</f>
        <v/>
      </c>
      <c r="ES645">
        <f>IF(OR(EN$3="",EN$3&gt;TODAY()),"",IF(AND(EQ645="",ER645=""),"",N(ER645)-N(EQ645)))</f>
        <v/>
      </c>
      <c r="EW645">
        <f>IF(OR(EU$3="",EU$3&gt;TODAY()),"",IF(AND(EU645="",EV645=""),"",N(EV645)-N(EU645)))</f>
        <v/>
      </c>
      <c r="EZ645">
        <f>IF(OR(EU$3="",EU$3&gt;TODAY()),"",IF(AND(EX645="",EY645=""),"",N(EY645)-N(EX645)))</f>
        <v/>
      </c>
      <c r="FD645">
        <f>IF(OR(FB$3="",FB$3&gt;TODAY()),"",IF(AND(FB645="",FC645=""),"",N(FC645)-N(FB645)))</f>
        <v/>
      </c>
      <c r="FG645">
        <f>IF(OR(FB$3="",FB$3&gt;TODAY()),"",IF(AND(FE645="",FF645=""),"",N(FF645)-N(FE645)))</f>
        <v/>
      </c>
      <c r="FK645">
        <f>IF(OR(FI$3="",FI$3&gt;TODAY()),"",IF(AND(FI645="",FJ645=""),"",N(FJ645)-N(FI645)))</f>
        <v/>
      </c>
      <c r="FN645">
        <f>IF(OR(FI$3="",FI$3&gt;TODAY()),"",IF(AND(FL645="",FM645=""),"",N(FM645)-N(FL645)))</f>
        <v/>
      </c>
      <c r="FR645">
        <f>IF(OR(FP$3="",FP$3&gt;TODAY()),"",IF(AND(FP645="",FQ645=""),"",N(FQ645)-N(FP645)))</f>
        <v/>
      </c>
      <c r="FU645">
        <f>IF(OR(FP$3="",FP$3&gt;TODAY()),"",IF(AND(FS645="",FT645=""),"",N(FT645)-N(FS645)))</f>
        <v/>
      </c>
      <c r="FY645">
        <f>IF(OR(FW$3="",FW$3&gt;TODAY()),"",IF(AND(FW645="",FX645=""),"",N(FX645)-N(FW645)))</f>
        <v/>
      </c>
      <c r="GB645">
        <f>IF(OR(FW$3="",FW$3&gt;TODAY()),"",IF(AND(FZ645="",GA645=""),"",N(GA645)-N(FZ645)))</f>
        <v/>
      </c>
      <c r="GF645">
        <f>IF(OR(GD$3="",GD$3&gt;TODAY()),"",IF(AND(GD645="",GE645=""),"",N(GE645)-N(GD645)))</f>
        <v/>
      </c>
      <c r="GI645">
        <f>IF(OR(GD$3="",GD$3&gt;TODAY()),"",IF(AND(GG645="",GH645=""),"",N(GH645)-N(GG645)))</f>
        <v/>
      </c>
      <c r="GM645">
        <f>IF(OR(GK$3="",GK$3&gt;TODAY()),"",IF(AND(GK645="",GL645=""),"",N(GL645)-N(GK645)))</f>
        <v/>
      </c>
      <c r="GP645">
        <f>IF(OR(GK$3="",GK$3&gt;TODAY()),"",IF(AND(GN645="",GO645=""),"",N(GO645)-N(GN645)))</f>
        <v/>
      </c>
      <c r="GT645">
        <f>IF(OR(GR$3="",GR$3&gt;TODAY()),"",IF(AND(GR645="",GS645=""),"",N(GS645)-N(GR645)))</f>
        <v/>
      </c>
      <c r="GW645">
        <f>IF(OR(GR$3="",GR$3&gt;TODAY()),"",IF(AND(GU645="",GV645=""),"",N(GV645)-N(GU645)))</f>
        <v/>
      </c>
      <c r="HA645">
        <f>IF(OR(GY$3="",GY$3&gt;TODAY()),"",IF(AND(GY645="",GZ645=""),"",N(GZ645)-N(GY645)))</f>
        <v/>
      </c>
      <c r="HD645">
        <f>IF(OR(GY$3="",GY$3&gt;TODAY()),"",IF(AND(HB645="",HC645=""),"",N(HC645)-N(HB645)))</f>
        <v/>
      </c>
      <c r="HH645">
        <f>IF(OR(HF$3="",HF$3&gt;TODAY()),"",IF(AND(HF645="",HG645=""),"",N(HG645)-N(HF645)))</f>
        <v/>
      </c>
      <c r="HK645">
        <f>IF(OR(HF$3="",HF$3&gt;TODAY()),"",IF(AND(HI645="",HJ645=""),"",N(HJ645)-N(HI645)))</f>
        <v/>
      </c>
      <c r="HO645">
        <f>IF(OR(HM$3="",HM$3&gt;TODAY()),"",IF(AND(HM645="",HN645=""),"",N(HN645)-N(HM645)))</f>
        <v/>
      </c>
      <c r="HR645">
        <f>IF(OR(HM$3="",HM$3&gt;TODAY()),"",IF(AND(HP645="",HQ645=""),"",N(HQ645)-N(HP645)))</f>
        <v/>
      </c>
      <c r="HV645">
        <f>IF(OR(HT$3="",HT$3&gt;TODAY()),"",IF(AND(HT645="",HU645=""),"",N(HU645)-N(HT645)))</f>
        <v/>
      </c>
      <c r="HY645">
        <f>IF(OR(HT$3="",HT$3&gt;TODAY()),"",IF(AND(HW645="",HX645=""),"",N(HX645)-N(HW645)))</f>
        <v/>
      </c>
      <c r="IC645">
        <f>IF(OR(IA$3="",IA$3&gt;TODAY()),"",IF(AND(IA645="",IB645=""),"",N(IB645)-N(IA645)))</f>
        <v/>
      </c>
      <c r="IF645">
        <f>IF(OR(IA$3="",IA$3&gt;TODAY()),"",IF(AND(ID645="",IE645=""),"",N(IE645)-N(ID645)))</f>
        <v/>
      </c>
      <c r="IJ645">
        <f>IF(OR(IH$3="",IH$3&gt;TODAY()),"",IF(AND(IH645="",II645=""),"",N(II645)-N(IH645)))</f>
        <v/>
      </c>
      <c r="IM645">
        <f>IF(OR(IH$3="",IH$3&gt;TODAY()),"",IF(AND(IK645="",IL645=""),"",N(IL645)-N(IK645)))</f>
        <v/>
      </c>
    </row>
    <row r="646">
      <c r="A646" s="21" t="n"/>
      <c r="B646" s="21" t="n"/>
      <c r="C646" s="21" t="n"/>
      <c r="D646" s="21" t="n"/>
      <c r="E646" s="21" t="n"/>
      <c r="F646" s="21" t="n"/>
      <c r="G646" s="21" t="n"/>
      <c r="H646" s="21" t="n"/>
      <c r="I646" s="22" t="n"/>
      <c r="J646" s="22" t="n"/>
      <c r="K646" s="23" t="n"/>
      <c r="L646" s="22" t="n"/>
      <c r="M646" s="22" t="n"/>
      <c r="N646" s="21" t="n"/>
      <c r="O646" s="23" t="n"/>
      <c r="P646" s="23" t="n"/>
      <c r="Q646" s="23" t="n"/>
      <c r="R646" s="23" t="n"/>
      <c r="S646" s="22" t="n"/>
      <c r="T646" s="23" t="n"/>
      <c r="U646" s="23" t="n"/>
      <c r="V646" s="24">
        <f>IF(J646&lt;&gt;"",J646,IF(I646&lt;&gt;"",I646,""))</f>
        <v/>
      </c>
      <c r="W646" s="25">
        <f>IF($E646="","",N(O646)+SUMIFS($AF646:$IN646,$AF$4:$IN$4,"SEW_ACT"))</f>
        <v/>
      </c>
      <c r="X646" s="25">
        <f>IF($E646="","",N(P646)+SUMIFS($AF646:$IN646,$AF$4:$IN$4,"WASH_ACT"))</f>
        <v/>
      </c>
      <c r="Y646" s="25">
        <f>IF($E646="","",W646-X646-N(T646)-N(U646))</f>
        <v/>
      </c>
      <c r="Z646" s="25">
        <f>IF($E646="","",IF(N(K646)-X646&lt;=0.02*N(K646),0,N(K646)-X646))</f>
        <v/>
      </c>
      <c r="AA646" s="24">
        <f>IF($E646="","",IF(S646&lt;&gt;"",S646,IF(N(O646)&gt;0,IF(L646&lt;&gt;"",L646,99999),IFERROR(1/(1/_xlfn.MINIFS($AF$3:$IN$3,$AF$4:$IN$4,"SEW_ACT",$AF646:$IN646,"&gt;0")),99999))))</f>
        <v/>
      </c>
      <c r="AB646" s="26">
        <f>IF(OR($E646="",Z646=0,V646=""),"",1+COUNTIFS(Z$8:Z$707,"&gt;0",V$8:V$707,"&lt;"&amp;V646)+COUNTIFS(Z$8:Z$707,"&gt;0",V$8:V$707,V646,AA$8:AA$707,"&lt;"&amp;AA646)+COUNTIFS(Z$8:Z$707,"&gt;0",V$8:V$707,V646,AA$8:AA$707,AA646,E$8:E$707,"&lt;"&amp;$E646))</f>
        <v/>
      </c>
      <c r="AC646" s="24">
        <f>IF(OR($E646="",Z646=0),"",IFERROR(TODAY()+ROUNDUP(Z646/(SUMIFS($AF646:$IN646,$AF$4:$IN$4,"WASH_ACT")/COUNTIFS($AF$4:$IN$4,"WASH_ACT",$AF646:$IN646,"&gt;0")),0),"no output yet"))</f>
        <v/>
      </c>
      <c r="AD646" s="26">
        <f>IF($E646="","",IFERROR(ROUND(MAX(0,SUMIFS($AF646:$IN646,$AF$4:$IN$4,"SEW_PLAN",$AF$3:$IN$3,"&lt;="&amp;TODAY())-SUMIFS($AF646:$IN646,$AF$4:$IN$4,"SEW_ACT",$AF$3:$IN$3,"&lt;="&amp;TODAY())+N(Q646))/(SUMIFS($AF646:$IN646,$AF$4:$IN$4,"SEW_PLAN")/COUNTIFS($AF$4:$IN$4,"SEW_PLAN",$AF646:$IN646,"&gt;0")),1),0))</f>
        <v/>
      </c>
      <c r="AE646" s="26">
        <f>IF($E646="","",IF(AND(Z646&gt;0,OR(AND(M646&lt;&gt;"",TODAY()&gt;M646),AND(V646&lt;&gt;"",V646-TODAY()&lt;=7))),"Yes","No"))</f>
        <v/>
      </c>
      <c r="AH646">
        <f>IF(OR(AF$3="",AF$3&gt;TODAY()),"",IF(AND(AF646="",AG646=""),"",N(AG646)-N(AF646)))</f>
        <v/>
      </c>
      <c r="AK646">
        <f>IF(OR(AF$3="",AF$3&gt;TODAY()),"",IF(AND(AI646="",AJ646=""),"",N(AJ646)-N(AI646)))</f>
        <v/>
      </c>
      <c r="AO646">
        <f>IF(OR(AM$3="",AM$3&gt;TODAY()),"",IF(AND(AM646="",AN646=""),"",N(AN646)-N(AM646)))</f>
        <v/>
      </c>
      <c r="AR646">
        <f>IF(OR(AM$3="",AM$3&gt;TODAY()),"",IF(AND(AP646="",AQ646=""),"",N(AQ646)-N(AP646)))</f>
        <v/>
      </c>
      <c r="AV646">
        <f>IF(OR(AT$3="",AT$3&gt;TODAY()),"",IF(AND(AT646="",AU646=""),"",N(AU646)-N(AT646)))</f>
        <v/>
      </c>
      <c r="AY646">
        <f>IF(OR(AT$3="",AT$3&gt;TODAY()),"",IF(AND(AW646="",AX646=""),"",N(AX646)-N(AW646)))</f>
        <v/>
      </c>
      <c r="BC646">
        <f>IF(OR(BA$3="",BA$3&gt;TODAY()),"",IF(AND(BA646="",BB646=""),"",N(BB646)-N(BA646)))</f>
        <v/>
      </c>
      <c r="BF646">
        <f>IF(OR(BA$3="",BA$3&gt;TODAY()),"",IF(AND(BD646="",BE646=""),"",N(BE646)-N(BD646)))</f>
        <v/>
      </c>
      <c r="BJ646">
        <f>IF(OR(BH$3="",BH$3&gt;TODAY()),"",IF(AND(BH646="",BI646=""),"",N(BI646)-N(BH646)))</f>
        <v/>
      </c>
      <c r="BM646">
        <f>IF(OR(BH$3="",BH$3&gt;TODAY()),"",IF(AND(BK646="",BL646=""),"",N(BL646)-N(BK646)))</f>
        <v/>
      </c>
      <c r="BQ646">
        <f>IF(OR(BO$3="",BO$3&gt;TODAY()),"",IF(AND(BO646="",BP646=""),"",N(BP646)-N(BO646)))</f>
        <v/>
      </c>
      <c r="BT646">
        <f>IF(OR(BO$3="",BO$3&gt;TODAY()),"",IF(AND(BR646="",BS646=""),"",N(BS646)-N(BR646)))</f>
        <v/>
      </c>
      <c r="BX646">
        <f>IF(OR(BV$3="",BV$3&gt;TODAY()),"",IF(AND(BV646="",BW646=""),"",N(BW646)-N(BV646)))</f>
        <v/>
      </c>
      <c r="CA646">
        <f>IF(OR(BV$3="",BV$3&gt;TODAY()),"",IF(AND(BY646="",BZ646=""),"",N(BZ646)-N(BY646)))</f>
        <v/>
      </c>
      <c r="CE646">
        <f>IF(OR(CC$3="",CC$3&gt;TODAY()),"",IF(AND(CC646="",CD646=""),"",N(CD646)-N(CC646)))</f>
        <v/>
      </c>
      <c r="CH646">
        <f>IF(OR(CC$3="",CC$3&gt;TODAY()),"",IF(AND(CF646="",CG646=""),"",N(CG646)-N(CF646)))</f>
        <v/>
      </c>
      <c r="CL646">
        <f>IF(OR(CJ$3="",CJ$3&gt;TODAY()),"",IF(AND(CJ646="",CK646=""),"",N(CK646)-N(CJ646)))</f>
        <v/>
      </c>
      <c r="CO646">
        <f>IF(OR(CJ$3="",CJ$3&gt;TODAY()),"",IF(AND(CM646="",CN646=""),"",N(CN646)-N(CM646)))</f>
        <v/>
      </c>
      <c r="CS646">
        <f>IF(OR(CQ$3="",CQ$3&gt;TODAY()),"",IF(AND(CQ646="",CR646=""),"",N(CR646)-N(CQ646)))</f>
        <v/>
      </c>
      <c r="CV646">
        <f>IF(OR(CQ$3="",CQ$3&gt;TODAY()),"",IF(AND(CT646="",CU646=""),"",N(CU646)-N(CT646)))</f>
        <v/>
      </c>
      <c r="CZ646">
        <f>IF(OR(CX$3="",CX$3&gt;TODAY()),"",IF(AND(CX646="",CY646=""),"",N(CY646)-N(CX646)))</f>
        <v/>
      </c>
      <c r="DC646">
        <f>IF(OR(CX$3="",CX$3&gt;TODAY()),"",IF(AND(DA646="",DB646=""),"",N(DB646)-N(DA646)))</f>
        <v/>
      </c>
      <c r="DG646">
        <f>IF(OR(DE$3="",DE$3&gt;TODAY()),"",IF(AND(DE646="",DF646=""),"",N(DF646)-N(DE646)))</f>
        <v/>
      </c>
      <c r="DJ646">
        <f>IF(OR(DE$3="",DE$3&gt;TODAY()),"",IF(AND(DH646="",DI646=""),"",N(DI646)-N(DH646)))</f>
        <v/>
      </c>
      <c r="DN646">
        <f>IF(OR(DL$3="",DL$3&gt;TODAY()),"",IF(AND(DL646="",DM646=""),"",N(DM646)-N(DL646)))</f>
        <v/>
      </c>
      <c r="DQ646">
        <f>IF(OR(DL$3="",DL$3&gt;TODAY()),"",IF(AND(DO646="",DP646=""),"",N(DP646)-N(DO646)))</f>
        <v/>
      </c>
      <c r="DU646">
        <f>IF(OR(DS$3="",DS$3&gt;TODAY()),"",IF(AND(DS646="",DT646=""),"",N(DT646)-N(DS646)))</f>
        <v/>
      </c>
      <c r="DX646">
        <f>IF(OR(DS$3="",DS$3&gt;TODAY()),"",IF(AND(DV646="",DW646=""),"",N(DW646)-N(DV646)))</f>
        <v/>
      </c>
      <c r="EB646">
        <f>IF(OR(DZ$3="",DZ$3&gt;TODAY()),"",IF(AND(DZ646="",EA646=""),"",N(EA646)-N(DZ646)))</f>
        <v/>
      </c>
      <c r="EE646">
        <f>IF(OR(DZ$3="",DZ$3&gt;TODAY()),"",IF(AND(EC646="",ED646=""),"",N(ED646)-N(EC646)))</f>
        <v/>
      </c>
      <c r="EI646">
        <f>IF(OR(EG$3="",EG$3&gt;TODAY()),"",IF(AND(EG646="",EH646=""),"",N(EH646)-N(EG646)))</f>
        <v/>
      </c>
      <c r="EL646">
        <f>IF(OR(EG$3="",EG$3&gt;TODAY()),"",IF(AND(EJ646="",EK646=""),"",N(EK646)-N(EJ646)))</f>
        <v/>
      </c>
      <c r="EP646">
        <f>IF(OR(EN$3="",EN$3&gt;TODAY()),"",IF(AND(EN646="",EO646=""),"",N(EO646)-N(EN646)))</f>
        <v/>
      </c>
      <c r="ES646">
        <f>IF(OR(EN$3="",EN$3&gt;TODAY()),"",IF(AND(EQ646="",ER646=""),"",N(ER646)-N(EQ646)))</f>
        <v/>
      </c>
      <c r="EW646">
        <f>IF(OR(EU$3="",EU$3&gt;TODAY()),"",IF(AND(EU646="",EV646=""),"",N(EV646)-N(EU646)))</f>
        <v/>
      </c>
      <c r="EZ646">
        <f>IF(OR(EU$3="",EU$3&gt;TODAY()),"",IF(AND(EX646="",EY646=""),"",N(EY646)-N(EX646)))</f>
        <v/>
      </c>
      <c r="FD646">
        <f>IF(OR(FB$3="",FB$3&gt;TODAY()),"",IF(AND(FB646="",FC646=""),"",N(FC646)-N(FB646)))</f>
        <v/>
      </c>
      <c r="FG646">
        <f>IF(OR(FB$3="",FB$3&gt;TODAY()),"",IF(AND(FE646="",FF646=""),"",N(FF646)-N(FE646)))</f>
        <v/>
      </c>
      <c r="FK646">
        <f>IF(OR(FI$3="",FI$3&gt;TODAY()),"",IF(AND(FI646="",FJ646=""),"",N(FJ646)-N(FI646)))</f>
        <v/>
      </c>
      <c r="FN646">
        <f>IF(OR(FI$3="",FI$3&gt;TODAY()),"",IF(AND(FL646="",FM646=""),"",N(FM646)-N(FL646)))</f>
        <v/>
      </c>
      <c r="FR646">
        <f>IF(OR(FP$3="",FP$3&gt;TODAY()),"",IF(AND(FP646="",FQ646=""),"",N(FQ646)-N(FP646)))</f>
        <v/>
      </c>
      <c r="FU646">
        <f>IF(OR(FP$3="",FP$3&gt;TODAY()),"",IF(AND(FS646="",FT646=""),"",N(FT646)-N(FS646)))</f>
        <v/>
      </c>
      <c r="FY646">
        <f>IF(OR(FW$3="",FW$3&gt;TODAY()),"",IF(AND(FW646="",FX646=""),"",N(FX646)-N(FW646)))</f>
        <v/>
      </c>
      <c r="GB646">
        <f>IF(OR(FW$3="",FW$3&gt;TODAY()),"",IF(AND(FZ646="",GA646=""),"",N(GA646)-N(FZ646)))</f>
        <v/>
      </c>
      <c r="GF646">
        <f>IF(OR(GD$3="",GD$3&gt;TODAY()),"",IF(AND(GD646="",GE646=""),"",N(GE646)-N(GD646)))</f>
        <v/>
      </c>
      <c r="GI646">
        <f>IF(OR(GD$3="",GD$3&gt;TODAY()),"",IF(AND(GG646="",GH646=""),"",N(GH646)-N(GG646)))</f>
        <v/>
      </c>
      <c r="GM646">
        <f>IF(OR(GK$3="",GK$3&gt;TODAY()),"",IF(AND(GK646="",GL646=""),"",N(GL646)-N(GK646)))</f>
        <v/>
      </c>
      <c r="GP646">
        <f>IF(OR(GK$3="",GK$3&gt;TODAY()),"",IF(AND(GN646="",GO646=""),"",N(GO646)-N(GN646)))</f>
        <v/>
      </c>
      <c r="GT646">
        <f>IF(OR(GR$3="",GR$3&gt;TODAY()),"",IF(AND(GR646="",GS646=""),"",N(GS646)-N(GR646)))</f>
        <v/>
      </c>
      <c r="GW646">
        <f>IF(OR(GR$3="",GR$3&gt;TODAY()),"",IF(AND(GU646="",GV646=""),"",N(GV646)-N(GU646)))</f>
        <v/>
      </c>
      <c r="HA646">
        <f>IF(OR(GY$3="",GY$3&gt;TODAY()),"",IF(AND(GY646="",GZ646=""),"",N(GZ646)-N(GY646)))</f>
        <v/>
      </c>
      <c r="HD646">
        <f>IF(OR(GY$3="",GY$3&gt;TODAY()),"",IF(AND(HB646="",HC646=""),"",N(HC646)-N(HB646)))</f>
        <v/>
      </c>
      <c r="HH646">
        <f>IF(OR(HF$3="",HF$3&gt;TODAY()),"",IF(AND(HF646="",HG646=""),"",N(HG646)-N(HF646)))</f>
        <v/>
      </c>
      <c r="HK646">
        <f>IF(OR(HF$3="",HF$3&gt;TODAY()),"",IF(AND(HI646="",HJ646=""),"",N(HJ646)-N(HI646)))</f>
        <v/>
      </c>
      <c r="HO646">
        <f>IF(OR(HM$3="",HM$3&gt;TODAY()),"",IF(AND(HM646="",HN646=""),"",N(HN646)-N(HM646)))</f>
        <v/>
      </c>
      <c r="HR646">
        <f>IF(OR(HM$3="",HM$3&gt;TODAY()),"",IF(AND(HP646="",HQ646=""),"",N(HQ646)-N(HP646)))</f>
        <v/>
      </c>
      <c r="HV646">
        <f>IF(OR(HT$3="",HT$3&gt;TODAY()),"",IF(AND(HT646="",HU646=""),"",N(HU646)-N(HT646)))</f>
        <v/>
      </c>
      <c r="HY646">
        <f>IF(OR(HT$3="",HT$3&gt;TODAY()),"",IF(AND(HW646="",HX646=""),"",N(HX646)-N(HW646)))</f>
        <v/>
      </c>
      <c r="IC646">
        <f>IF(OR(IA$3="",IA$3&gt;TODAY()),"",IF(AND(IA646="",IB646=""),"",N(IB646)-N(IA646)))</f>
        <v/>
      </c>
      <c r="IF646">
        <f>IF(OR(IA$3="",IA$3&gt;TODAY()),"",IF(AND(ID646="",IE646=""),"",N(IE646)-N(ID646)))</f>
        <v/>
      </c>
      <c r="IJ646">
        <f>IF(OR(IH$3="",IH$3&gt;TODAY()),"",IF(AND(IH646="",II646=""),"",N(II646)-N(IH646)))</f>
        <v/>
      </c>
      <c r="IM646">
        <f>IF(OR(IH$3="",IH$3&gt;TODAY()),"",IF(AND(IK646="",IL646=""),"",N(IL646)-N(IK646)))</f>
        <v/>
      </c>
    </row>
    <row r="647">
      <c r="A647" s="21" t="n"/>
      <c r="B647" s="21" t="n"/>
      <c r="C647" s="21" t="n"/>
      <c r="D647" s="21" t="n"/>
      <c r="E647" s="21" t="n"/>
      <c r="F647" s="21" t="n"/>
      <c r="G647" s="21" t="n"/>
      <c r="H647" s="21" t="n"/>
      <c r="I647" s="22" t="n"/>
      <c r="J647" s="22" t="n"/>
      <c r="K647" s="23" t="n"/>
      <c r="L647" s="22" t="n"/>
      <c r="M647" s="22" t="n"/>
      <c r="N647" s="21" t="n"/>
      <c r="O647" s="23" t="n"/>
      <c r="P647" s="23" t="n"/>
      <c r="Q647" s="23" t="n"/>
      <c r="R647" s="23" t="n"/>
      <c r="S647" s="22" t="n"/>
      <c r="T647" s="23" t="n"/>
      <c r="U647" s="23" t="n"/>
      <c r="V647" s="24">
        <f>IF(J647&lt;&gt;"",J647,IF(I647&lt;&gt;"",I647,""))</f>
        <v/>
      </c>
      <c r="W647" s="25">
        <f>IF($E647="","",N(O647)+SUMIFS($AF647:$IN647,$AF$4:$IN$4,"SEW_ACT"))</f>
        <v/>
      </c>
      <c r="X647" s="25">
        <f>IF($E647="","",N(P647)+SUMIFS($AF647:$IN647,$AF$4:$IN$4,"WASH_ACT"))</f>
        <v/>
      </c>
      <c r="Y647" s="25">
        <f>IF($E647="","",W647-X647-N(T647)-N(U647))</f>
        <v/>
      </c>
      <c r="Z647" s="25">
        <f>IF($E647="","",IF(N(K647)-X647&lt;=0.02*N(K647),0,N(K647)-X647))</f>
        <v/>
      </c>
      <c r="AA647" s="24">
        <f>IF($E647="","",IF(S647&lt;&gt;"",S647,IF(N(O647)&gt;0,IF(L647&lt;&gt;"",L647,99999),IFERROR(1/(1/_xlfn.MINIFS($AF$3:$IN$3,$AF$4:$IN$4,"SEW_ACT",$AF647:$IN647,"&gt;0")),99999))))</f>
        <v/>
      </c>
      <c r="AB647" s="26">
        <f>IF(OR($E647="",Z647=0,V647=""),"",1+COUNTIFS(Z$8:Z$707,"&gt;0",V$8:V$707,"&lt;"&amp;V647)+COUNTIFS(Z$8:Z$707,"&gt;0",V$8:V$707,V647,AA$8:AA$707,"&lt;"&amp;AA647)+COUNTIFS(Z$8:Z$707,"&gt;0",V$8:V$707,V647,AA$8:AA$707,AA647,E$8:E$707,"&lt;"&amp;$E647))</f>
        <v/>
      </c>
      <c r="AC647" s="24">
        <f>IF(OR($E647="",Z647=0),"",IFERROR(TODAY()+ROUNDUP(Z647/(SUMIFS($AF647:$IN647,$AF$4:$IN$4,"WASH_ACT")/COUNTIFS($AF$4:$IN$4,"WASH_ACT",$AF647:$IN647,"&gt;0")),0),"no output yet"))</f>
        <v/>
      </c>
      <c r="AD647" s="26">
        <f>IF($E647="","",IFERROR(ROUND(MAX(0,SUMIFS($AF647:$IN647,$AF$4:$IN$4,"SEW_PLAN",$AF$3:$IN$3,"&lt;="&amp;TODAY())-SUMIFS($AF647:$IN647,$AF$4:$IN$4,"SEW_ACT",$AF$3:$IN$3,"&lt;="&amp;TODAY())+N(Q647))/(SUMIFS($AF647:$IN647,$AF$4:$IN$4,"SEW_PLAN")/COUNTIFS($AF$4:$IN$4,"SEW_PLAN",$AF647:$IN647,"&gt;0")),1),0))</f>
        <v/>
      </c>
      <c r="AE647" s="26">
        <f>IF($E647="","",IF(AND(Z647&gt;0,OR(AND(M647&lt;&gt;"",TODAY()&gt;M647),AND(V647&lt;&gt;"",V647-TODAY()&lt;=7))),"Yes","No"))</f>
        <v/>
      </c>
      <c r="AH647">
        <f>IF(OR(AF$3="",AF$3&gt;TODAY()),"",IF(AND(AF647="",AG647=""),"",N(AG647)-N(AF647)))</f>
        <v/>
      </c>
      <c r="AK647">
        <f>IF(OR(AF$3="",AF$3&gt;TODAY()),"",IF(AND(AI647="",AJ647=""),"",N(AJ647)-N(AI647)))</f>
        <v/>
      </c>
      <c r="AO647">
        <f>IF(OR(AM$3="",AM$3&gt;TODAY()),"",IF(AND(AM647="",AN647=""),"",N(AN647)-N(AM647)))</f>
        <v/>
      </c>
      <c r="AR647">
        <f>IF(OR(AM$3="",AM$3&gt;TODAY()),"",IF(AND(AP647="",AQ647=""),"",N(AQ647)-N(AP647)))</f>
        <v/>
      </c>
      <c r="AV647">
        <f>IF(OR(AT$3="",AT$3&gt;TODAY()),"",IF(AND(AT647="",AU647=""),"",N(AU647)-N(AT647)))</f>
        <v/>
      </c>
      <c r="AY647">
        <f>IF(OR(AT$3="",AT$3&gt;TODAY()),"",IF(AND(AW647="",AX647=""),"",N(AX647)-N(AW647)))</f>
        <v/>
      </c>
      <c r="BC647">
        <f>IF(OR(BA$3="",BA$3&gt;TODAY()),"",IF(AND(BA647="",BB647=""),"",N(BB647)-N(BA647)))</f>
        <v/>
      </c>
      <c r="BF647">
        <f>IF(OR(BA$3="",BA$3&gt;TODAY()),"",IF(AND(BD647="",BE647=""),"",N(BE647)-N(BD647)))</f>
        <v/>
      </c>
      <c r="BJ647">
        <f>IF(OR(BH$3="",BH$3&gt;TODAY()),"",IF(AND(BH647="",BI647=""),"",N(BI647)-N(BH647)))</f>
        <v/>
      </c>
      <c r="BM647">
        <f>IF(OR(BH$3="",BH$3&gt;TODAY()),"",IF(AND(BK647="",BL647=""),"",N(BL647)-N(BK647)))</f>
        <v/>
      </c>
      <c r="BQ647">
        <f>IF(OR(BO$3="",BO$3&gt;TODAY()),"",IF(AND(BO647="",BP647=""),"",N(BP647)-N(BO647)))</f>
        <v/>
      </c>
      <c r="BT647">
        <f>IF(OR(BO$3="",BO$3&gt;TODAY()),"",IF(AND(BR647="",BS647=""),"",N(BS647)-N(BR647)))</f>
        <v/>
      </c>
      <c r="BX647">
        <f>IF(OR(BV$3="",BV$3&gt;TODAY()),"",IF(AND(BV647="",BW647=""),"",N(BW647)-N(BV647)))</f>
        <v/>
      </c>
      <c r="CA647">
        <f>IF(OR(BV$3="",BV$3&gt;TODAY()),"",IF(AND(BY647="",BZ647=""),"",N(BZ647)-N(BY647)))</f>
        <v/>
      </c>
      <c r="CE647">
        <f>IF(OR(CC$3="",CC$3&gt;TODAY()),"",IF(AND(CC647="",CD647=""),"",N(CD647)-N(CC647)))</f>
        <v/>
      </c>
      <c r="CH647">
        <f>IF(OR(CC$3="",CC$3&gt;TODAY()),"",IF(AND(CF647="",CG647=""),"",N(CG647)-N(CF647)))</f>
        <v/>
      </c>
      <c r="CL647">
        <f>IF(OR(CJ$3="",CJ$3&gt;TODAY()),"",IF(AND(CJ647="",CK647=""),"",N(CK647)-N(CJ647)))</f>
        <v/>
      </c>
      <c r="CO647">
        <f>IF(OR(CJ$3="",CJ$3&gt;TODAY()),"",IF(AND(CM647="",CN647=""),"",N(CN647)-N(CM647)))</f>
        <v/>
      </c>
      <c r="CS647">
        <f>IF(OR(CQ$3="",CQ$3&gt;TODAY()),"",IF(AND(CQ647="",CR647=""),"",N(CR647)-N(CQ647)))</f>
        <v/>
      </c>
      <c r="CV647">
        <f>IF(OR(CQ$3="",CQ$3&gt;TODAY()),"",IF(AND(CT647="",CU647=""),"",N(CU647)-N(CT647)))</f>
        <v/>
      </c>
      <c r="CZ647">
        <f>IF(OR(CX$3="",CX$3&gt;TODAY()),"",IF(AND(CX647="",CY647=""),"",N(CY647)-N(CX647)))</f>
        <v/>
      </c>
      <c r="DC647">
        <f>IF(OR(CX$3="",CX$3&gt;TODAY()),"",IF(AND(DA647="",DB647=""),"",N(DB647)-N(DA647)))</f>
        <v/>
      </c>
      <c r="DG647">
        <f>IF(OR(DE$3="",DE$3&gt;TODAY()),"",IF(AND(DE647="",DF647=""),"",N(DF647)-N(DE647)))</f>
        <v/>
      </c>
      <c r="DJ647">
        <f>IF(OR(DE$3="",DE$3&gt;TODAY()),"",IF(AND(DH647="",DI647=""),"",N(DI647)-N(DH647)))</f>
        <v/>
      </c>
      <c r="DN647">
        <f>IF(OR(DL$3="",DL$3&gt;TODAY()),"",IF(AND(DL647="",DM647=""),"",N(DM647)-N(DL647)))</f>
        <v/>
      </c>
      <c r="DQ647">
        <f>IF(OR(DL$3="",DL$3&gt;TODAY()),"",IF(AND(DO647="",DP647=""),"",N(DP647)-N(DO647)))</f>
        <v/>
      </c>
      <c r="DU647">
        <f>IF(OR(DS$3="",DS$3&gt;TODAY()),"",IF(AND(DS647="",DT647=""),"",N(DT647)-N(DS647)))</f>
        <v/>
      </c>
      <c r="DX647">
        <f>IF(OR(DS$3="",DS$3&gt;TODAY()),"",IF(AND(DV647="",DW647=""),"",N(DW647)-N(DV647)))</f>
        <v/>
      </c>
      <c r="EB647">
        <f>IF(OR(DZ$3="",DZ$3&gt;TODAY()),"",IF(AND(DZ647="",EA647=""),"",N(EA647)-N(DZ647)))</f>
        <v/>
      </c>
      <c r="EE647">
        <f>IF(OR(DZ$3="",DZ$3&gt;TODAY()),"",IF(AND(EC647="",ED647=""),"",N(ED647)-N(EC647)))</f>
        <v/>
      </c>
      <c r="EI647">
        <f>IF(OR(EG$3="",EG$3&gt;TODAY()),"",IF(AND(EG647="",EH647=""),"",N(EH647)-N(EG647)))</f>
        <v/>
      </c>
      <c r="EL647">
        <f>IF(OR(EG$3="",EG$3&gt;TODAY()),"",IF(AND(EJ647="",EK647=""),"",N(EK647)-N(EJ647)))</f>
        <v/>
      </c>
      <c r="EP647">
        <f>IF(OR(EN$3="",EN$3&gt;TODAY()),"",IF(AND(EN647="",EO647=""),"",N(EO647)-N(EN647)))</f>
        <v/>
      </c>
      <c r="ES647">
        <f>IF(OR(EN$3="",EN$3&gt;TODAY()),"",IF(AND(EQ647="",ER647=""),"",N(ER647)-N(EQ647)))</f>
        <v/>
      </c>
      <c r="EW647">
        <f>IF(OR(EU$3="",EU$3&gt;TODAY()),"",IF(AND(EU647="",EV647=""),"",N(EV647)-N(EU647)))</f>
        <v/>
      </c>
      <c r="EZ647">
        <f>IF(OR(EU$3="",EU$3&gt;TODAY()),"",IF(AND(EX647="",EY647=""),"",N(EY647)-N(EX647)))</f>
        <v/>
      </c>
      <c r="FD647">
        <f>IF(OR(FB$3="",FB$3&gt;TODAY()),"",IF(AND(FB647="",FC647=""),"",N(FC647)-N(FB647)))</f>
        <v/>
      </c>
      <c r="FG647">
        <f>IF(OR(FB$3="",FB$3&gt;TODAY()),"",IF(AND(FE647="",FF647=""),"",N(FF647)-N(FE647)))</f>
        <v/>
      </c>
      <c r="FK647">
        <f>IF(OR(FI$3="",FI$3&gt;TODAY()),"",IF(AND(FI647="",FJ647=""),"",N(FJ647)-N(FI647)))</f>
        <v/>
      </c>
      <c r="FN647">
        <f>IF(OR(FI$3="",FI$3&gt;TODAY()),"",IF(AND(FL647="",FM647=""),"",N(FM647)-N(FL647)))</f>
        <v/>
      </c>
      <c r="FR647">
        <f>IF(OR(FP$3="",FP$3&gt;TODAY()),"",IF(AND(FP647="",FQ647=""),"",N(FQ647)-N(FP647)))</f>
        <v/>
      </c>
      <c r="FU647">
        <f>IF(OR(FP$3="",FP$3&gt;TODAY()),"",IF(AND(FS647="",FT647=""),"",N(FT647)-N(FS647)))</f>
        <v/>
      </c>
      <c r="FY647">
        <f>IF(OR(FW$3="",FW$3&gt;TODAY()),"",IF(AND(FW647="",FX647=""),"",N(FX647)-N(FW647)))</f>
        <v/>
      </c>
      <c r="GB647">
        <f>IF(OR(FW$3="",FW$3&gt;TODAY()),"",IF(AND(FZ647="",GA647=""),"",N(GA647)-N(FZ647)))</f>
        <v/>
      </c>
      <c r="GF647">
        <f>IF(OR(GD$3="",GD$3&gt;TODAY()),"",IF(AND(GD647="",GE647=""),"",N(GE647)-N(GD647)))</f>
        <v/>
      </c>
      <c r="GI647">
        <f>IF(OR(GD$3="",GD$3&gt;TODAY()),"",IF(AND(GG647="",GH647=""),"",N(GH647)-N(GG647)))</f>
        <v/>
      </c>
      <c r="GM647">
        <f>IF(OR(GK$3="",GK$3&gt;TODAY()),"",IF(AND(GK647="",GL647=""),"",N(GL647)-N(GK647)))</f>
        <v/>
      </c>
      <c r="GP647">
        <f>IF(OR(GK$3="",GK$3&gt;TODAY()),"",IF(AND(GN647="",GO647=""),"",N(GO647)-N(GN647)))</f>
        <v/>
      </c>
      <c r="GT647">
        <f>IF(OR(GR$3="",GR$3&gt;TODAY()),"",IF(AND(GR647="",GS647=""),"",N(GS647)-N(GR647)))</f>
        <v/>
      </c>
      <c r="GW647">
        <f>IF(OR(GR$3="",GR$3&gt;TODAY()),"",IF(AND(GU647="",GV647=""),"",N(GV647)-N(GU647)))</f>
        <v/>
      </c>
      <c r="HA647">
        <f>IF(OR(GY$3="",GY$3&gt;TODAY()),"",IF(AND(GY647="",GZ647=""),"",N(GZ647)-N(GY647)))</f>
        <v/>
      </c>
      <c r="HD647">
        <f>IF(OR(GY$3="",GY$3&gt;TODAY()),"",IF(AND(HB647="",HC647=""),"",N(HC647)-N(HB647)))</f>
        <v/>
      </c>
      <c r="HH647">
        <f>IF(OR(HF$3="",HF$3&gt;TODAY()),"",IF(AND(HF647="",HG647=""),"",N(HG647)-N(HF647)))</f>
        <v/>
      </c>
      <c r="HK647">
        <f>IF(OR(HF$3="",HF$3&gt;TODAY()),"",IF(AND(HI647="",HJ647=""),"",N(HJ647)-N(HI647)))</f>
        <v/>
      </c>
      <c r="HO647">
        <f>IF(OR(HM$3="",HM$3&gt;TODAY()),"",IF(AND(HM647="",HN647=""),"",N(HN647)-N(HM647)))</f>
        <v/>
      </c>
      <c r="HR647">
        <f>IF(OR(HM$3="",HM$3&gt;TODAY()),"",IF(AND(HP647="",HQ647=""),"",N(HQ647)-N(HP647)))</f>
        <v/>
      </c>
      <c r="HV647">
        <f>IF(OR(HT$3="",HT$3&gt;TODAY()),"",IF(AND(HT647="",HU647=""),"",N(HU647)-N(HT647)))</f>
        <v/>
      </c>
      <c r="HY647">
        <f>IF(OR(HT$3="",HT$3&gt;TODAY()),"",IF(AND(HW647="",HX647=""),"",N(HX647)-N(HW647)))</f>
        <v/>
      </c>
      <c r="IC647">
        <f>IF(OR(IA$3="",IA$3&gt;TODAY()),"",IF(AND(IA647="",IB647=""),"",N(IB647)-N(IA647)))</f>
        <v/>
      </c>
      <c r="IF647">
        <f>IF(OR(IA$3="",IA$3&gt;TODAY()),"",IF(AND(ID647="",IE647=""),"",N(IE647)-N(ID647)))</f>
        <v/>
      </c>
      <c r="IJ647">
        <f>IF(OR(IH$3="",IH$3&gt;TODAY()),"",IF(AND(IH647="",II647=""),"",N(II647)-N(IH647)))</f>
        <v/>
      </c>
      <c r="IM647">
        <f>IF(OR(IH$3="",IH$3&gt;TODAY()),"",IF(AND(IK647="",IL647=""),"",N(IL647)-N(IK647)))</f>
        <v/>
      </c>
    </row>
    <row r="648">
      <c r="A648" s="21" t="n"/>
      <c r="B648" s="21" t="n"/>
      <c r="C648" s="21" t="n"/>
      <c r="D648" s="21" t="n"/>
      <c r="E648" s="21" t="n"/>
      <c r="F648" s="21" t="n"/>
      <c r="G648" s="21" t="n"/>
      <c r="H648" s="21" t="n"/>
      <c r="I648" s="22" t="n"/>
      <c r="J648" s="22" t="n"/>
      <c r="K648" s="23" t="n"/>
      <c r="L648" s="22" t="n"/>
      <c r="M648" s="22" t="n"/>
      <c r="N648" s="21" t="n"/>
      <c r="O648" s="23" t="n"/>
      <c r="P648" s="23" t="n"/>
      <c r="Q648" s="23" t="n"/>
      <c r="R648" s="23" t="n"/>
      <c r="S648" s="22" t="n"/>
      <c r="T648" s="23" t="n"/>
      <c r="U648" s="23" t="n"/>
      <c r="V648" s="24">
        <f>IF(J648&lt;&gt;"",J648,IF(I648&lt;&gt;"",I648,""))</f>
        <v/>
      </c>
      <c r="W648" s="25">
        <f>IF($E648="","",N(O648)+SUMIFS($AF648:$IN648,$AF$4:$IN$4,"SEW_ACT"))</f>
        <v/>
      </c>
      <c r="X648" s="25">
        <f>IF($E648="","",N(P648)+SUMIFS($AF648:$IN648,$AF$4:$IN$4,"WASH_ACT"))</f>
        <v/>
      </c>
      <c r="Y648" s="25">
        <f>IF($E648="","",W648-X648-N(T648)-N(U648))</f>
        <v/>
      </c>
      <c r="Z648" s="25">
        <f>IF($E648="","",IF(N(K648)-X648&lt;=0.02*N(K648),0,N(K648)-X648))</f>
        <v/>
      </c>
      <c r="AA648" s="24">
        <f>IF($E648="","",IF(S648&lt;&gt;"",S648,IF(N(O648)&gt;0,IF(L648&lt;&gt;"",L648,99999),IFERROR(1/(1/_xlfn.MINIFS($AF$3:$IN$3,$AF$4:$IN$4,"SEW_ACT",$AF648:$IN648,"&gt;0")),99999))))</f>
        <v/>
      </c>
      <c r="AB648" s="26">
        <f>IF(OR($E648="",Z648=0,V648=""),"",1+COUNTIFS(Z$8:Z$707,"&gt;0",V$8:V$707,"&lt;"&amp;V648)+COUNTIFS(Z$8:Z$707,"&gt;0",V$8:V$707,V648,AA$8:AA$707,"&lt;"&amp;AA648)+COUNTIFS(Z$8:Z$707,"&gt;0",V$8:V$707,V648,AA$8:AA$707,AA648,E$8:E$707,"&lt;"&amp;$E648))</f>
        <v/>
      </c>
      <c r="AC648" s="24">
        <f>IF(OR($E648="",Z648=0),"",IFERROR(TODAY()+ROUNDUP(Z648/(SUMIFS($AF648:$IN648,$AF$4:$IN$4,"WASH_ACT")/COUNTIFS($AF$4:$IN$4,"WASH_ACT",$AF648:$IN648,"&gt;0")),0),"no output yet"))</f>
        <v/>
      </c>
      <c r="AD648" s="26">
        <f>IF($E648="","",IFERROR(ROUND(MAX(0,SUMIFS($AF648:$IN648,$AF$4:$IN$4,"SEW_PLAN",$AF$3:$IN$3,"&lt;="&amp;TODAY())-SUMIFS($AF648:$IN648,$AF$4:$IN$4,"SEW_ACT",$AF$3:$IN$3,"&lt;="&amp;TODAY())+N(Q648))/(SUMIFS($AF648:$IN648,$AF$4:$IN$4,"SEW_PLAN")/COUNTIFS($AF$4:$IN$4,"SEW_PLAN",$AF648:$IN648,"&gt;0")),1),0))</f>
        <v/>
      </c>
      <c r="AE648" s="26">
        <f>IF($E648="","",IF(AND(Z648&gt;0,OR(AND(M648&lt;&gt;"",TODAY()&gt;M648),AND(V648&lt;&gt;"",V648-TODAY()&lt;=7))),"Yes","No"))</f>
        <v/>
      </c>
      <c r="AH648">
        <f>IF(OR(AF$3="",AF$3&gt;TODAY()),"",IF(AND(AF648="",AG648=""),"",N(AG648)-N(AF648)))</f>
        <v/>
      </c>
      <c r="AK648">
        <f>IF(OR(AF$3="",AF$3&gt;TODAY()),"",IF(AND(AI648="",AJ648=""),"",N(AJ648)-N(AI648)))</f>
        <v/>
      </c>
      <c r="AO648">
        <f>IF(OR(AM$3="",AM$3&gt;TODAY()),"",IF(AND(AM648="",AN648=""),"",N(AN648)-N(AM648)))</f>
        <v/>
      </c>
      <c r="AR648">
        <f>IF(OR(AM$3="",AM$3&gt;TODAY()),"",IF(AND(AP648="",AQ648=""),"",N(AQ648)-N(AP648)))</f>
        <v/>
      </c>
      <c r="AV648">
        <f>IF(OR(AT$3="",AT$3&gt;TODAY()),"",IF(AND(AT648="",AU648=""),"",N(AU648)-N(AT648)))</f>
        <v/>
      </c>
      <c r="AY648">
        <f>IF(OR(AT$3="",AT$3&gt;TODAY()),"",IF(AND(AW648="",AX648=""),"",N(AX648)-N(AW648)))</f>
        <v/>
      </c>
      <c r="BC648">
        <f>IF(OR(BA$3="",BA$3&gt;TODAY()),"",IF(AND(BA648="",BB648=""),"",N(BB648)-N(BA648)))</f>
        <v/>
      </c>
      <c r="BF648">
        <f>IF(OR(BA$3="",BA$3&gt;TODAY()),"",IF(AND(BD648="",BE648=""),"",N(BE648)-N(BD648)))</f>
        <v/>
      </c>
      <c r="BJ648">
        <f>IF(OR(BH$3="",BH$3&gt;TODAY()),"",IF(AND(BH648="",BI648=""),"",N(BI648)-N(BH648)))</f>
        <v/>
      </c>
      <c r="BM648">
        <f>IF(OR(BH$3="",BH$3&gt;TODAY()),"",IF(AND(BK648="",BL648=""),"",N(BL648)-N(BK648)))</f>
        <v/>
      </c>
      <c r="BQ648">
        <f>IF(OR(BO$3="",BO$3&gt;TODAY()),"",IF(AND(BO648="",BP648=""),"",N(BP648)-N(BO648)))</f>
        <v/>
      </c>
      <c r="BT648">
        <f>IF(OR(BO$3="",BO$3&gt;TODAY()),"",IF(AND(BR648="",BS648=""),"",N(BS648)-N(BR648)))</f>
        <v/>
      </c>
      <c r="BX648">
        <f>IF(OR(BV$3="",BV$3&gt;TODAY()),"",IF(AND(BV648="",BW648=""),"",N(BW648)-N(BV648)))</f>
        <v/>
      </c>
      <c r="CA648">
        <f>IF(OR(BV$3="",BV$3&gt;TODAY()),"",IF(AND(BY648="",BZ648=""),"",N(BZ648)-N(BY648)))</f>
        <v/>
      </c>
      <c r="CE648">
        <f>IF(OR(CC$3="",CC$3&gt;TODAY()),"",IF(AND(CC648="",CD648=""),"",N(CD648)-N(CC648)))</f>
        <v/>
      </c>
      <c r="CH648">
        <f>IF(OR(CC$3="",CC$3&gt;TODAY()),"",IF(AND(CF648="",CG648=""),"",N(CG648)-N(CF648)))</f>
        <v/>
      </c>
      <c r="CL648">
        <f>IF(OR(CJ$3="",CJ$3&gt;TODAY()),"",IF(AND(CJ648="",CK648=""),"",N(CK648)-N(CJ648)))</f>
        <v/>
      </c>
      <c r="CO648">
        <f>IF(OR(CJ$3="",CJ$3&gt;TODAY()),"",IF(AND(CM648="",CN648=""),"",N(CN648)-N(CM648)))</f>
        <v/>
      </c>
      <c r="CS648">
        <f>IF(OR(CQ$3="",CQ$3&gt;TODAY()),"",IF(AND(CQ648="",CR648=""),"",N(CR648)-N(CQ648)))</f>
        <v/>
      </c>
      <c r="CV648">
        <f>IF(OR(CQ$3="",CQ$3&gt;TODAY()),"",IF(AND(CT648="",CU648=""),"",N(CU648)-N(CT648)))</f>
        <v/>
      </c>
      <c r="CZ648">
        <f>IF(OR(CX$3="",CX$3&gt;TODAY()),"",IF(AND(CX648="",CY648=""),"",N(CY648)-N(CX648)))</f>
        <v/>
      </c>
      <c r="DC648">
        <f>IF(OR(CX$3="",CX$3&gt;TODAY()),"",IF(AND(DA648="",DB648=""),"",N(DB648)-N(DA648)))</f>
        <v/>
      </c>
      <c r="DG648">
        <f>IF(OR(DE$3="",DE$3&gt;TODAY()),"",IF(AND(DE648="",DF648=""),"",N(DF648)-N(DE648)))</f>
        <v/>
      </c>
      <c r="DJ648">
        <f>IF(OR(DE$3="",DE$3&gt;TODAY()),"",IF(AND(DH648="",DI648=""),"",N(DI648)-N(DH648)))</f>
        <v/>
      </c>
      <c r="DN648">
        <f>IF(OR(DL$3="",DL$3&gt;TODAY()),"",IF(AND(DL648="",DM648=""),"",N(DM648)-N(DL648)))</f>
        <v/>
      </c>
      <c r="DQ648">
        <f>IF(OR(DL$3="",DL$3&gt;TODAY()),"",IF(AND(DO648="",DP648=""),"",N(DP648)-N(DO648)))</f>
        <v/>
      </c>
      <c r="DU648">
        <f>IF(OR(DS$3="",DS$3&gt;TODAY()),"",IF(AND(DS648="",DT648=""),"",N(DT648)-N(DS648)))</f>
        <v/>
      </c>
      <c r="DX648">
        <f>IF(OR(DS$3="",DS$3&gt;TODAY()),"",IF(AND(DV648="",DW648=""),"",N(DW648)-N(DV648)))</f>
        <v/>
      </c>
      <c r="EB648">
        <f>IF(OR(DZ$3="",DZ$3&gt;TODAY()),"",IF(AND(DZ648="",EA648=""),"",N(EA648)-N(DZ648)))</f>
        <v/>
      </c>
      <c r="EE648">
        <f>IF(OR(DZ$3="",DZ$3&gt;TODAY()),"",IF(AND(EC648="",ED648=""),"",N(ED648)-N(EC648)))</f>
        <v/>
      </c>
      <c r="EI648">
        <f>IF(OR(EG$3="",EG$3&gt;TODAY()),"",IF(AND(EG648="",EH648=""),"",N(EH648)-N(EG648)))</f>
        <v/>
      </c>
      <c r="EL648">
        <f>IF(OR(EG$3="",EG$3&gt;TODAY()),"",IF(AND(EJ648="",EK648=""),"",N(EK648)-N(EJ648)))</f>
        <v/>
      </c>
      <c r="EP648">
        <f>IF(OR(EN$3="",EN$3&gt;TODAY()),"",IF(AND(EN648="",EO648=""),"",N(EO648)-N(EN648)))</f>
        <v/>
      </c>
      <c r="ES648">
        <f>IF(OR(EN$3="",EN$3&gt;TODAY()),"",IF(AND(EQ648="",ER648=""),"",N(ER648)-N(EQ648)))</f>
        <v/>
      </c>
      <c r="EW648">
        <f>IF(OR(EU$3="",EU$3&gt;TODAY()),"",IF(AND(EU648="",EV648=""),"",N(EV648)-N(EU648)))</f>
        <v/>
      </c>
      <c r="EZ648">
        <f>IF(OR(EU$3="",EU$3&gt;TODAY()),"",IF(AND(EX648="",EY648=""),"",N(EY648)-N(EX648)))</f>
        <v/>
      </c>
      <c r="FD648">
        <f>IF(OR(FB$3="",FB$3&gt;TODAY()),"",IF(AND(FB648="",FC648=""),"",N(FC648)-N(FB648)))</f>
        <v/>
      </c>
      <c r="FG648">
        <f>IF(OR(FB$3="",FB$3&gt;TODAY()),"",IF(AND(FE648="",FF648=""),"",N(FF648)-N(FE648)))</f>
        <v/>
      </c>
      <c r="FK648">
        <f>IF(OR(FI$3="",FI$3&gt;TODAY()),"",IF(AND(FI648="",FJ648=""),"",N(FJ648)-N(FI648)))</f>
        <v/>
      </c>
      <c r="FN648">
        <f>IF(OR(FI$3="",FI$3&gt;TODAY()),"",IF(AND(FL648="",FM648=""),"",N(FM648)-N(FL648)))</f>
        <v/>
      </c>
      <c r="FR648">
        <f>IF(OR(FP$3="",FP$3&gt;TODAY()),"",IF(AND(FP648="",FQ648=""),"",N(FQ648)-N(FP648)))</f>
        <v/>
      </c>
      <c r="FU648">
        <f>IF(OR(FP$3="",FP$3&gt;TODAY()),"",IF(AND(FS648="",FT648=""),"",N(FT648)-N(FS648)))</f>
        <v/>
      </c>
      <c r="FY648">
        <f>IF(OR(FW$3="",FW$3&gt;TODAY()),"",IF(AND(FW648="",FX648=""),"",N(FX648)-N(FW648)))</f>
        <v/>
      </c>
      <c r="GB648">
        <f>IF(OR(FW$3="",FW$3&gt;TODAY()),"",IF(AND(FZ648="",GA648=""),"",N(GA648)-N(FZ648)))</f>
        <v/>
      </c>
      <c r="GF648">
        <f>IF(OR(GD$3="",GD$3&gt;TODAY()),"",IF(AND(GD648="",GE648=""),"",N(GE648)-N(GD648)))</f>
        <v/>
      </c>
      <c r="GI648">
        <f>IF(OR(GD$3="",GD$3&gt;TODAY()),"",IF(AND(GG648="",GH648=""),"",N(GH648)-N(GG648)))</f>
        <v/>
      </c>
      <c r="GM648">
        <f>IF(OR(GK$3="",GK$3&gt;TODAY()),"",IF(AND(GK648="",GL648=""),"",N(GL648)-N(GK648)))</f>
        <v/>
      </c>
      <c r="GP648">
        <f>IF(OR(GK$3="",GK$3&gt;TODAY()),"",IF(AND(GN648="",GO648=""),"",N(GO648)-N(GN648)))</f>
        <v/>
      </c>
      <c r="GT648">
        <f>IF(OR(GR$3="",GR$3&gt;TODAY()),"",IF(AND(GR648="",GS648=""),"",N(GS648)-N(GR648)))</f>
        <v/>
      </c>
      <c r="GW648">
        <f>IF(OR(GR$3="",GR$3&gt;TODAY()),"",IF(AND(GU648="",GV648=""),"",N(GV648)-N(GU648)))</f>
        <v/>
      </c>
      <c r="HA648">
        <f>IF(OR(GY$3="",GY$3&gt;TODAY()),"",IF(AND(GY648="",GZ648=""),"",N(GZ648)-N(GY648)))</f>
        <v/>
      </c>
      <c r="HD648">
        <f>IF(OR(GY$3="",GY$3&gt;TODAY()),"",IF(AND(HB648="",HC648=""),"",N(HC648)-N(HB648)))</f>
        <v/>
      </c>
      <c r="HH648">
        <f>IF(OR(HF$3="",HF$3&gt;TODAY()),"",IF(AND(HF648="",HG648=""),"",N(HG648)-N(HF648)))</f>
        <v/>
      </c>
      <c r="HK648">
        <f>IF(OR(HF$3="",HF$3&gt;TODAY()),"",IF(AND(HI648="",HJ648=""),"",N(HJ648)-N(HI648)))</f>
        <v/>
      </c>
      <c r="HO648">
        <f>IF(OR(HM$3="",HM$3&gt;TODAY()),"",IF(AND(HM648="",HN648=""),"",N(HN648)-N(HM648)))</f>
        <v/>
      </c>
      <c r="HR648">
        <f>IF(OR(HM$3="",HM$3&gt;TODAY()),"",IF(AND(HP648="",HQ648=""),"",N(HQ648)-N(HP648)))</f>
        <v/>
      </c>
      <c r="HV648">
        <f>IF(OR(HT$3="",HT$3&gt;TODAY()),"",IF(AND(HT648="",HU648=""),"",N(HU648)-N(HT648)))</f>
        <v/>
      </c>
      <c r="HY648">
        <f>IF(OR(HT$3="",HT$3&gt;TODAY()),"",IF(AND(HW648="",HX648=""),"",N(HX648)-N(HW648)))</f>
        <v/>
      </c>
      <c r="IC648">
        <f>IF(OR(IA$3="",IA$3&gt;TODAY()),"",IF(AND(IA648="",IB648=""),"",N(IB648)-N(IA648)))</f>
        <v/>
      </c>
      <c r="IF648">
        <f>IF(OR(IA$3="",IA$3&gt;TODAY()),"",IF(AND(ID648="",IE648=""),"",N(IE648)-N(ID648)))</f>
        <v/>
      </c>
      <c r="IJ648">
        <f>IF(OR(IH$3="",IH$3&gt;TODAY()),"",IF(AND(IH648="",II648=""),"",N(II648)-N(IH648)))</f>
        <v/>
      </c>
      <c r="IM648">
        <f>IF(OR(IH$3="",IH$3&gt;TODAY()),"",IF(AND(IK648="",IL648=""),"",N(IL648)-N(IK648)))</f>
        <v/>
      </c>
    </row>
    <row r="649">
      <c r="A649" s="21" t="n"/>
      <c r="B649" s="21" t="n"/>
      <c r="C649" s="21" t="n"/>
      <c r="D649" s="21" t="n"/>
      <c r="E649" s="21" t="n"/>
      <c r="F649" s="21" t="n"/>
      <c r="G649" s="21" t="n"/>
      <c r="H649" s="21" t="n"/>
      <c r="I649" s="22" t="n"/>
      <c r="J649" s="22" t="n"/>
      <c r="K649" s="23" t="n"/>
      <c r="L649" s="22" t="n"/>
      <c r="M649" s="22" t="n"/>
      <c r="N649" s="21" t="n"/>
      <c r="O649" s="23" t="n"/>
      <c r="P649" s="23" t="n"/>
      <c r="Q649" s="23" t="n"/>
      <c r="R649" s="23" t="n"/>
      <c r="S649" s="22" t="n"/>
      <c r="T649" s="23" t="n"/>
      <c r="U649" s="23" t="n"/>
      <c r="V649" s="24">
        <f>IF(J649&lt;&gt;"",J649,IF(I649&lt;&gt;"",I649,""))</f>
        <v/>
      </c>
      <c r="W649" s="25">
        <f>IF($E649="","",N(O649)+SUMIFS($AF649:$IN649,$AF$4:$IN$4,"SEW_ACT"))</f>
        <v/>
      </c>
      <c r="X649" s="25">
        <f>IF($E649="","",N(P649)+SUMIFS($AF649:$IN649,$AF$4:$IN$4,"WASH_ACT"))</f>
        <v/>
      </c>
      <c r="Y649" s="25">
        <f>IF($E649="","",W649-X649-N(T649)-N(U649))</f>
        <v/>
      </c>
      <c r="Z649" s="25">
        <f>IF($E649="","",IF(N(K649)-X649&lt;=0.02*N(K649),0,N(K649)-X649))</f>
        <v/>
      </c>
      <c r="AA649" s="24">
        <f>IF($E649="","",IF(S649&lt;&gt;"",S649,IF(N(O649)&gt;0,IF(L649&lt;&gt;"",L649,99999),IFERROR(1/(1/_xlfn.MINIFS($AF$3:$IN$3,$AF$4:$IN$4,"SEW_ACT",$AF649:$IN649,"&gt;0")),99999))))</f>
        <v/>
      </c>
      <c r="AB649" s="26">
        <f>IF(OR($E649="",Z649=0,V649=""),"",1+COUNTIFS(Z$8:Z$707,"&gt;0",V$8:V$707,"&lt;"&amp;V649)+COUNTIFS(Z$8:Z$707,"&gt;0",V$8:V$707,V649,AA$8:AA$707,"&lt;"&amp;AA649)+COUNTIFS(Z$8:Z$707,"&gt;0",V$8:V$707,V649,AA$8:AA$707,AA649,E$8:E$707,"&lt;"&amp;$E649))</f>
        <v/>
      </c>
      <c r="AC649" s="24">
        <f>IF(OR($E649="",Z649=0),"",IFERROR(TODAY()+ROUNDUP(Z649/(SUMIFS($AF649:$IN649,$AF$4:$IN$4,"WASH_ACT")/COUNTIFS($AF$4:$IN$4,"WASH_ACT",$AF649:$IN649,"&gt;0")),0),"no output yet"))</f>
        <v/>
      </c>
      <c r="AD649" s="26">
        <f>IF($E649="","",IFERROR(ROUND(MAX(0,SUMIFS($AF649:$IN649,$AF$4:$IN$4,"SEW_PLAN",$AF$3:$IN$3,"&lt;="&amp;TODAY())-SUMIFS($AF649:$IN649,$AF$4:$IN$4,"SEW_ACT",$AF$3:$IN$3,"&lt;="&amp;TODAY())+N(Q649))/(SUMIFS($AF649:$IN649,$AF$4:$IN$4,"SEW_PLAN")/COUNTIFS($AF$4:$IN$4,"SEW_PLAN",$AF649:$IN649,"&gt;0")),1),0))</f>
        <v/>
      </c>
      <c r="AE649" s="26">
        <f>IF($E649="","",IF(AND(Z649&gt;0,OR(AND(M649&lt;&gt;"",TODAY()&gt;M649),AND(V649&lt;&gt;"",V649-TODAY()&lt;=7))),"Yes","No"))</f>
        <v/>
      </c>
      <c r="AH649">
        <f>IF(OR(AF$3="",AF$3&gt;TODAY()),"",IF(AND(AF649="",AG649=""),"",N(AG649)-N(AF649)))</f>
        <v/>
      </c>
      <c r="AK649">
        <f>IF(OR(AF$3="",AF$3&gt;TODAY()),"",IF(AND(AI649="",AJ649=""),"",N(AJ649)-N(AI649)))</f>
        <v/>
      </c>
      <c r="AO649">
        <f>IF(OR(AM$3="",AM$3&gt;TODAY()),"",IF(AND(AM649="",AN649=""),"",N(AN649)-N(AM649)))</f>
        <v/>
      </c>
      <c r="AR649">
        <f>IF(OR(AM$3="",AM$3&gt;TODAY()),"",IF(AND(AP649="",AQ649=""),"",N(AQ649)-N(AP649)))</f>
        <v/>
      </c>
      <c r="AV649">
        <f>IF(OR(AT$3="",AT$3&gt;TODAY()),"",IF(AND(AT649="",AU649=""),"",N(AU649)-N(AT649)))</f>
        <v/>
      </c>
      <c r="AY649">
        <f>IF(OR(AT$3="",AT$3&gt;TODAY()),"",IF(AND(AW649="",AX649=""),"",N(AX649)-N(AW649)))</f>
        <v/>
      </c>
      <c r="BC649">
        <f>IF(OR(BA$3="",BA$3&gt;TODAY()),"",IF(AND(BA649="",BB649=""),"",N(BB649)-N(BA649)))</f>
        <v/>
      </c>
      <c r="BF649">
        <f>IF(OR(BA$3="",BA$3&gt;TODAY()),"",IF(AND(BD649="",BE649=""),"",N(BE649)-N(BD649)))</f>
        <v/>
      </c>
      <c r="BJ649">
        <f>IF(OR(BH$3="",BH$3&gt;TODAY()),"",IF(AND(BH649="",BI649=""),"",N(BI649)-N(BH649)))</f>
        <v/>
      </c>
      <c r="BM649">
        <f>IF(OR(BH$3="",BH$3&gt;TODAY()),"",IF(AND(BK649="",BL649=""),"",N(BL649)-N(BK649)))</f>
        <v/>
      </c>
      <c r="BQ649">
        <f>IF(OR(BO$3="",BO$3&gt;TODAY()),"",IF(AND(BO649="",BP649=""),"",N(BP649)-N(BO649)))</f>
        <v/>
      </c>
      <c r="BT649">
        <f>IF(OR(BO$3="",BO$3&gt;TODAY()),"",IF(AND(BR649="",BS649=""),"",N(BS649)-N(BR649)))</f>
        <v/>
      </c>
      <c r="BX649">
        <f>IF(OR(BV$3="",BV$3&gt;TODAY()),"",IF(AND(BV649="",BW649=""),"",N(BW649)-N(BV649)))</f>
        <v/>
      </c>
      <c r="CA649">
        <f>IF(OR(BV$3="",BV$3&gt;TODAY()),"",IF(AND(BY649="",BZ649=""),"",N(BZ649)-N(BY649)))</f>
        <v/>
      </c>
      <c r="CE649">
        <f>IF(OR(CC$3="",CC$3&gt;TODAY()),"",IF(AND(CC649="",CD649=""),"",N(CD649)-N(CC649)))</f>
        <v/>
      </c>
      <c r="CH649">
        <f>IF(OR(CC$3="",CC$3&gt;TODAY()),"",IF(AND(CF649="",CG649=""),"",N(CG649)-N(CF649)))</f>
        <v/>
      </c>
      <c r="CL649">
        <f>IF(OR(CJ$3="",CJ$3&gt;TODAY()),"",IF(AND(CJ649="",CK649=""),"",N(CK649)-N(CJ649)))</f>
        <v/>
      </c>
      <c r="CO649">
        <f>IF(OR(CJ$3="",CJ$3&gt;TODAY()),"",IF(AND(CM649="",CN649=""),"",N(CN649)-N(CM649)))</f>
        <v/>
      </c>
      <c r="CS649">
        <f>IF(OR(CQ$3="",CQ$3&gt;TODAY()),"",IF(AND(CQ649="",CR649=""),"",N(CR649)-N(CQ649)))</f>
        <v/>
      </c>
      <c r="CV649">
        <f>IF(OR(CQ$3="",CQ$3&gt;TODAY()),"",IF(AND(CT649="",CU649=""),"",N(CU649)-N(CT649)))</f>
        <v/>
      </c>
      <c r="CZ649">
        <f>IF(OR(CX$3="",CX$3&gt;TODAY()),"",IF(AND(CX649="",CY649=""),"",N(CY649)-N(CX649)))</f>
        <v/>
      </c>
      <c r="DC649">
        <f>IF(OR(CX$3="",CX$3&gt;TODAY()),"",IF(AND(DA649="",DB649=""),"",N(DB649)-N(DA649)))</f>
        <v/>
      </c>
      <c r="DG649">
        <f>IF(OR(DE$3="",DE$3&gt;TODAY()),"",IF(AND(DE649="",DF649=""),"",N(DF649)-N(DE649)))</f>
        <v/>
      </c>
      <c r="DJ649">
        <f>IF(OR(DE$3="",DE$3&gt;TODAY()),"",IF(AND(DH649="",DI649=""),"",N(DI649)-N(DH649)))</f>
        <v/>
      </c>
      <c r="DN649">
        <f>IF(OR(DL$3="",DL$3&gt;TODAY()),"",IF(AND(DL649="",DM649=""),"",N(DM649)-N(DL649)))</f>
        <v/>
      </c>
      <c r="DQ649">
        <f>IF(OR(DL$3="",DL$3&gt;TODAY()),"",IF(AND(DO649="",DP649=""),"",N(DP649)-N(DO649)))</f>
        <v/>
      </c>
      <c r="DU649">
        <f>IF(OR(DS$3="",DS$3&gt;TODAY()),"",IF(AND(DS649="",DT649=""),"",N(DT649)-N(DS649)))</f>
        <v/>
      </c>
      <c r="DX649">
        <f>IF(OR(DS$3="",DS$3&gt;TODAY()),"",IF(AND(DV649="",DW649=""),"",N(DW649)-N(DV649)))</f>
        <v/>
      </c>
      <c r="EB649">
        <f>IF(OR(DZ$3="",DZ$3&gt;TODAY()),"",IF(AND(DZ649="",EA649=""),"",N(EA649)-N(DZ649)))</f>
        <v/>
      </c>
      <c r="EE649">
        <f>IF(OR(DZ$3="",DZ$3&gt;TODAY()),"",IF(AND(EC649="",ED649=""),"",N(ED649)-N(EC649)))</f>
        <v/>
      </c>
      <c r="EI649">
        <f>IF(OR(EG$3="",EG$3&gt;TODAY()),"",IF(AND(EG649="",EH649=""),"",N(EH649)-N(EG649)))</f>
        <v/>
      </c>
      <c r="EL649">
        <f>IF(OR(EG$3="",EG$3&gt;TODAY()),"",IF(AND(EJ649="",EK649=""),"",N(EK649)-N(EJ649)))</f>
        <v/>
      </c>
      <c r="EP649">
        <f>IF(OR(EN$3="",EN$3&gt;TODAY()),"",IF(AND(EN649="",EO649=""),"",N(EO649)-N(EN649)))</f>
        <v/>
      </c>
      <c r="ES649">
        <f>IF(OR(EN$3="",EN$3&gt;TODAY()),"",IF(AND(EQ649="",ER649=""),"",N(ER649)-N(EQ649)))</f>
        <v/>
      </c>
      <c r="EW649">
        <f>IF(OR(EU$3="",EU$3&gt;TODAY()),"",IF(AND(EU649="",EV649=""),"",N(EV649)-N(EU649)))</f>
        <v/>
      </c>
      <c r="EZ649">
        <f>IF(OR(EU$3="",EU$3&gt;TODAY()),"",IF(AND(EX649="",EY649=""),"",N(EY649)-N(EX649)))</f>
        <v/>
      </c>
      <c r="FD649">
        <f>IF(OR(FB$3="",FB$3&gt;TODAY()),"",IF(AND(FB649="",FC649=""),"",N(FC649)-N(FB649)))</f>
        <v/>
      </c>
      <c r="FG649">
        <f>IF(OR(FB$3="",FB$3&gt;TODAY()),"",IF(AND(FE649="",FF649=""),"",N(FF649)-N(FE649)))</f>
        <v/>
      </c>
      <c r="FK649">
        <f>IF(OR(FI$3="",FI$3&gt;TODAY()),"",IF(AND(FI649="",FJ649=""),"",N(FJ649)-N(FI649)))</f>
        <v/>
      </c>
      <c r="FN649">
        <f>IF(OR(FI$3="",FI$3&gt;TODAY()),"",IF(AND(FL649="",FM649=""),"",N(FM649)-N(FL649)))</f>
        <v/>
      </c>
      <c r="FR649">
        <f>IF(OR(FP$3="",FP$3&gt;TODAY()),"",IF(AND(FP649="",FQ649=""),"",N(FQ649)-N(FP649)))</f>
        <v/>
      </c>
      <c r="FU649">
        <f>IF(OR(FP$3="",FP$3&gt;TODAY()),"",IF(AND(FS649="",FT649=""),"",N(FT649)-N(FS649)))</f>
        <v/>
      </c>
      <c r="FY649">
        <f>IF(OR(FW$3="",FW$3&gt;TODAY()),"",IF(AND(FW649="",FX649=""),"",N(FX649)-N(FW649)))</f>
        <v/>
      </c>
      <c r="GB649">
        <f>IF(OR(FW$3="",FW$3&gt;TODAY()),"",IF(AND(FZ649="",GA649=""),"",N(GA649)-N(FZ649)))</f>
        <v/>
      </c>
      <c r="GF649">
        <f>IF(OR(GD$3="",GD$3&gt;TODAY()),"",IF(AND(GD649="",GE649=""),"",N(GE649)-N(GD649)))</f>
        <v/>
      </c>
      <c r="GI649">
        <f>IF(OR(GD$3="",GD$3&gt;TODAY()),"",IF(AND(GG649="",GH649=""),"",N(GH649)-N(GG649)))</f>
        <v/>
      </c>
      <c r="GM649">
        <f>IF(OR(GK$3="",GK$3&gt;TODAY()),"",IF(AND(GK649="",GL649=""),"",N(GL649)-N(GK649)))</f>
        <v/>
      </c>
      <c r="GP649">
        <f>IF(OR(GK$3="",GK$3&gt;TODAY()),"",IF(AND(GN649="",GO649=""),"",N(GO649)-N(GN649)))</f>
        <v/>
      </c>
      <c r="GT649">
        <f>IF(OR(GR$3="",GR$3&gt;TODAY()),"",IF(AND(GR649="",GS649=""),"",N(GS649)-N(GR649)))</f>
        <v/>
      </c>
      <c r="GW649">
        <f>IF(OR(GR$3="",GR$3&gt;TODAY()),"",IF(AND(GU649="",GV649=""),"",N(GV649)-N(GU649)))</f>
        <v/>
      </c>
      <c r="HA649">
        <f>IF(OR(GY$3="",GY$3&gt;TODAY()),"",IF(AND(GY649="",GZ649=""),"",N(GZ649)-N(GY649)))</f>
        <v/>
      </c>
      <c r="HD649">
        <f>IF(OR(GY$3="",GY$3&gt;TODAY()),"",IF(AND(HB649="",HC649=""),"",N(HC649)-N(HB649)))</f>
        <v/>
      </c>
      <c r="HH649">
        <f>IF(OR(HF$3="",HF$3&gt;TODAY()),"",IF(AND(HF649="",HG649=""),"",N(HG649)-N(HF649)))</f>
        <v/>
      </c>
      <c r="HK649">
        <f>IF(OR(HF$3="",HF$3&gt;TODAY()),"",IF(AND(HI649="",HJ649=""),"",N(HJ649)-N(HI649)))</f>
        <v/>
      </c>
      <c r="HO649">
        <f>IF(OR(HM$3="",HM$3&gt;TODAY()),"",IF(AND(HM649="",HN649=""),"",N(HN649)-N(HM649)))</f>
        <v/>
      </c>
      <c r="HR649">
        <f>IF(OR(HM$3="",HM$3&gt;TODAY()),"",IF(AND(HP649="",HQ649=""),"",N(HQ649)-N(HP649)))</f>
        <v/>
      </c>
      <c r="HV649">
        <f>IF(OR(HT$3="",HT$3&gt;TODAY()),"",IF(AND(HT649="",HU649=""),"",N(HU649)-N(HT649)))</f>
        <v/>
      </c>
      <c r="HY649">
        <f>IF(OR(HT$3="",HT$3&gt;TODAY()),"",IF(AND(HW649="",HX649=""),"",N(HX649)-N(HW649)))</f>
        <v/>
      </c>
      <c r="IC649">
        <f>IF(OR(IA$3="",IA$3&gt;TODAY()),"",IF(AND(IA649="",IB649=""),"",N(IB649)-N(IA649)))</f>
        <v/>
      </c>
      <c r="IF649">
        <f>IF(OR(IA$3="",IA$3&gt;TODAY()),"",IF(AND(ID649="",IE649=""),"",N(IE649)-N(ID649)))</f>
        <v/>
      </c>
      <c r="IJ649">
        <f>IF(OR(IH$3="",IH$3&gt;TODAY()),"",IF(AND(IH649="",II649=""),"",N(II649)-N(IH649)))</f>
        <v/>
      </c>
      <c r="IM649">
        <f>IF(OR(IH$3="",IH$3&gt;TODAY()),"",IF(AND(IK649="",IL649=""),"",N(IL649)-N(IK649)))</f>
        <v/>
      </c>
    </row>
    <row r="650">
      <c r="A650" s="21" t="n"/>
      <c r="B650" s="21" t="n"/>
      <c r="C650" s="21" t="n"/>
      <c r="D650" s="21" t="n"/>
      <c r="E650" s="21" t="n"/>
      <c r="F650" s="21" t="n"/>
      <c r="G650" s="21" t="n"/>
      <c r="H650" s="21" t="n"/>
      <c r="I650" s="22" t="n"/>
      <c r="J650" s="22" t="n"/>
      <c r="K650" s="23" t="n"/>
      <c r="L650" s="22" t="n"/>
      <c r="M650" s="22" t="n"/>
      <c r="N650" s="21" t="n"/>
      <c r="O650" s="23" t="n"/>
      <c r="P650" s="23" t="n"/>
      <c r="Q650" s="23" t="n"/>
      <c r="R650" s="23" t="n"/>
      <c r="S650" s="22" t="n"/>
      <c r="T650" s="23" t="n"/>
      <c r="U650" s="23" t="n"/>
      <c r="V650" s="24">
        <f>IF(J650&lt;&gt;"",J650,IF(I650&lt;&gt;"",I650,""))</f>
        <v/>
      </c>
      <c r="W650" s="25">
        <f>IF($E650="","",N(O650)+SUMIFS($AF650:$IN650,$AF$4:$IN$4,"SEW_ACT"))</f>
        <v/>
      </c>
      <c r="X650" s="25">
        <f>IF($E650="","",N(P650)+SUMIFS($AF650:$IN650,$AF$4:$IN$4,"WASH_ACT"))</f>
        <v/>
      </c>
      <c r="Y650" s="25">
        <f>IF($E650="","",W650-X650-N(T650)-N(U650))</f>
        <v/>
      </c>
      <c r="Z650" s="25">
        <f>IF($E650="","",IF(N(K650)-X650&lt;=0.02*N(K650),0,N(K650)-X650))</f>
        <v/>
      </c>
      <c r="AA650" s="24">
        <f>IF($E650="","",IF(S650&lt;&gt;"",S650,IF(N(O650)&gt;0,IF(L650&lt;&gt;"",L650,99999),IFERROR(1/(1/_xlfn.MINIFS($AF$3:$IN$3,$AF$4:$IN$4,"SEW_ACT",$AF650:$IN650,"&gt;0")),99999))))</f>
        <v/>
      </c>
      <c r="AB650" s="26">
        <f>IF(OR($E650="",Z650=0,V650=""),"",1+COUNTIFS(Z$8:Z$707,"&gt;0",V$8:V$707,"&lt;"&amp;V650)+COUNTIFS(Z$8:Z$707,"&gt;0",V$8:V$707,V650,AA$8:AA$707,"&lt;"&amp;AA650)+COUNTIFS(Z$8:Z$707,"&gt;0",V$8:V$707,V650,AA$8:AA$707,AA650,E$8:E$707,"&lt;"&amp;$E650))</f>
        <v/>
      </c>
      <c r="AC650" s="24">
        <f>IF(OR($E650="",Z650=0),"",IFERROR(TODAY()+ROUNDUP(Z650/(SUMIFS($AF650:$IN650,$AF$4:$IN$4,"WASH_ACT")/COUNTIFS($AF$4:$IN$4,"WASH_ACT",$AF650:$IN650,"&gt;0")),0),"no output yet"))</f>
        <v/>
      </c>
      <c r="AD650" s="26">
        <f>IF($E650="","",IFERROR(ROUND(MAX(0,SUMIFS($AF650:$IN650,$AF$4:$IN$4,"SEW_PLAN",$AF$3:$IN$3,"&lt;="&amp;TODAY())-SUMIFS($AF650:$IN650,$AF$4:$IN$4,"SEW_ACT",$AF$3:$IN$3,"&lt;="&amp;TODAY())+N(Q650))/(SUMIFS($AF650:$IN650,$AF$4:$IN$4,"SEW_PLAN")/COUNTIFS($AF$4:$IN$4,"SEW_PLAN",$AF650:$IN650,"&gt;0")),1),0))</f>
        <v/>
      </c>
      <c r="AE650" s="26">
        <f>IF($E650="","",IF(AND(Z650&gt;0,OR(AND(M650&lt;&gt;"",TODAY()&gt;M650),AND(V650&lt;&gt;"",V650-TODAY()&lt;=7))),"Yes","No"))</f>
        <v/>
      </c>
      <c r="AH650">
        <f>IF(OR(AF$3="",AF$3&gt;TODAY()),"",IF(AND(AF650="",AG650=""),"",N(AG650)-N(AF650)))</f>
        <v/>
      </c>
      <c r="AK650">
        <f>IF(OR(AF$3="",AF$3&gt;TODAY()),"",IF(AND(AI650="",AJ650=""),"",N(AJ650)-N(AI650)))</f>
        <v/>
      </c>
      <c r="AO650">
        <f>IF(OR(AM$3="",AM$3&gt;TODAY()),"",IF(AND(AM650="",AN650=""),"",N(AN650)-N(AM650)))</f>
        <v/>
      </c>
      <c r="AR650">
        <f>IF(OR(AM$3="",AM$3&gt;TODAY()),"",IF(AND(AP650="",AQ650=""),"",N(AQ650)-N(AP650)))</f>
        <v/>
      </c>
      <c r="AV650">
        <f>IF(OR(AT$3="",AT$3&gt;TODAY()),"",IF(AND(AT650="",AU650=""),"",N(AU650)-N(AT650)))</f>
        <v/>
      </c>
      <c r="AY650">
        <f>IF(OR(AT$3="",AT$3&gt;TODAY()),"",IF(AND(AW650="",AX650=""),"",N(AX650)-N(AW650)))</f>
        <v/>
      </c>
      <c r="BC650">
        <f>IF(OR(BA$3="",BA$3&gt;TODAY()),"",IF(AND(BA650="",BB650=""),"",N(BB650)-N(BA650)))</f>
        <v/>
      </c>
      <c r="BF650">
        <f>IF(OR(BA$3="",BA$3&gt;TODAY()),"",IF(AND(BD650="",BE650=""),"",N(BE650)-N(BD650)))</f>
        <v/>
      </c>
      <c r="BJ650">
        <f>IF(OR(BH$3="",BH$3&gt;TODAY()),"",IF(AND(BH650="",BI650=""),"",N(BI650)-N(BH650)))</f>
        <v/>
      </c>
      <c r="BM650">
        <f>IF(OR(BH$3="",BH$3&gt;TODAY()),"",IF(AND(BK650="",BL650=""),"",N(BL650)-N(BK650)))</f>
        <v/>
      </c>
      <c r="BQ650">
        <f>IF(OR(BO$3="",BO$3&gt;TODAY()),"",IF(AND(BO650="",BP650=""),"",N(BP650)-N(BO650)))</f>
        <v/>
      </c>
      <c r="BT650">
        <f>IF(OR(BO$3="",BO$3&gt;TODAY()),"",IF(AND(BR650="",BS650=""),"",N(BS650)-N(BR650)))</f>
        <v/>
      </c>
      <c r="BX650">
        <f>IF(OR(BV$3="",BV$3&gt;TODAY()),"",IF(AND(BV650="",BW650=""),"",N(BW650)-N(BV650)))</f>
        <v/>
      </c>
      <c r="CA650">
        <f>IF(OR(BV$3="",BV$3&gt;TODAY()),"",IF(AND(BY650="",BZ650=""),"",N(BZ650)-N(BY650)))</f>
        <v/>
      </c>
      <c r="CE650">
        <f>IF(OR(CC$3="",CC$3&gt;TODAY()),"",IF(AND(CC650="",CD650=""),"",N(CD650)-N(CC650)))</f>
        <v/>
      </c>
      <c r="CH650">
        <f>IF(OR(CC$3="",CC$3&gt;TODAY()),"",IF(AND(CF650="",CG650=""),"",N(CG650)-N(CF650)))</f>
        <v/>
      </c>
      <c r="CL650">
        <f>IF(OR(CJ$3="",CJ$3&gt;TODAY()),"",IF(AND(CJ650="",CK650=""),"",N(CK650)-N(CJ650)))</f>
        <v/>
      </c>
      <c r="CO650">
        <f>IF(OR(CJ$3="",CJ$3&gt;TODAY()),"",IF(AND(CM650="",CN650=""),"",N(CN650)-N(CM650)))</f>
        <v/>
      </c>
      <c r="CS650">
        <f>IF(OR(CQ$3="",CQ$3&gt;TODAY()),"",IF(AND(CQ650="",CR650=""),"",N(CR650)-N(CQ650)))</f>
        <v/>
      </c>
      <c r="CV650">
        <f>IF(OR(CQ$3="",CQ$3&gt;TODAY()),"",IF(AND(CT650="",CU650=""),"",N(CU650)-N(CT650)))</f>
        <v/>
      </c>
      <c r="CZ650">
        <f>IF(OR(CX$3="",CX$3&gt;TODAY()),"",IF(AND(CX650="",CY650=""),"",N(CY650)-N(CX650)))</f>
        <v/>
      </c>
      <c r="DC650">
        <f>IF(OR(CX$3="",CX$3&gt;TODAY()),"",IF(AND(DA650="",DB650=""),"",N(DB650)-N(DA650)))</f>
        <v/>
      </c>
      <c r="DG650">
        <f>IF(OR(DE$3="",DE$3&gt;TODAY()),"",IF(AND(DE650="",DF650=""),"",N(DF650)-N(DE650)))</f>
        <v/>
      </c>
      <c r="DJ650">
        <f>IF(OR(DE$3="",DE$3&gt;TODAY()),"",IF(AND(DH650="",DI650=""),"",N(DI650)-N(DH650)))</f>
        <v/>
      </c>
      <c r="DN650">
        <f>IF(OR(DL$3="",DL$3&gt;TODAY()),"",IF(AND(DL650="",DM650=""),"",N(DM650)-N(DL650)))</f>
        <v/>
      </c>
      <c r="DQ650">
        <f>IF(OR(DL$3="",DL$3&gt;TODAY()),"",IF(AND(DO650="",DP650=""),"",N(DP650)-N(DO650)))</f>
        <v/>
      </c>
      <c r="DU650">
        <f>IF(OR(DS$3="",DS$3&gt;TODAY()),"",IF(AND(DS650="",DT650=""),"",N(DT650)-N(DS650)))</f>
        <v/>
      </c>
      <c r="DX650">
        <f>IF(OR(DS$3="",DS$3&gt;TODAY()),"",IF(AND(DV650="",DW650=""),"",N(DW650)-N(DV650)))</f>
        <v/>
      </c>
      <c r="EB650">
        <f>IF(OR(DZ$3="",DZ$3&gt;TODAY()),"",IF(AND(DZ650="",EA650=""),"",N(EA650)-N(DZ650)))</f>
        <v/>
      </c>
      <c r="EE650">
        <f>IF(OR(DZ$3="",DZ$3&gt;TODAY()),"",IF(AND(EC650="",ED650=""),"",N(ED650)-N(EC650)))</f>
        <v/>
      </c>
      <c r="EI650">
        <f>IF(OR(EG$3="",EG$3&gt;TODAY()),"",IF(AND(EG650="",EH650=""),"",N(EH650)-N(EG650)))</f>
        <v/>
      </c>
      <c r="EL650">
        <f>IF(OR(EG$3="",EG$3&gt;TODAY()),"",IF(AND(EJ650="",EK650=""),"",N(EK650)-N(EJ650)))</f>
        <v/>
      </c>
      <c r="EP650">
        <f>IF(OR(EN$3="",EN$3&gt;TODAY()),"",IF(AND(EN650="",EO650=""),"",N(EO650)-N(EN650)))</f>
        <v/>
      </c>
      <c r="ES650">
        <f>IF(OR(EN$3="",EN$3&gt;TODAY()),"",IF(AND(EQ650="",ER650=""),"",N(ER650)-N(EQ650)))</f>
        <v/>
      </c>
      <c r="EW650">
        <f>IF(OR(EU$3="",EU$3&gt;TODAY()),"",IF(AND(EU650="",EV650=""),"",N(EV650)-N(EU650)))</f>
        <v/>
      </c>
      <c r="EZ650">
        <f>IF(OR(EU$3="",EU$3&gt;TODAY()),"",IF(AND(EX650="",EY650=""),"",N(EY650)-N(EX650)))</f>
        <v/>
      </c>
      <c r="FD650">
        <f>IF(OR(FB$3="",FB$3&gt;TODAY()),"",IF(AND(FB650="",FC650=""),"",N(FC650)-N(FB650)))</f>
        <v/>
      </c>
      <c r="FG650">
        <f>IF(OR(FB$3="",FB$3&gt;TODAY()),"",IF(AND(FE650="",FF650=""),"",N(FF650)-N(FE650)))</f>
        <v/>
      </c>
      <c r="FK650">
        <f>IF(OR(FI$3="",FI$3&gt;TODAY()),"",IF(AND(FI650="",FJ650=""),"",N(FJ650)-N(FI650)))</f>
        <v/>
      </c>
      <c r="FN650">
        <f>IF(OR(FI$3="",FI$3&gt;TODAY()),"",IF(AND(FL650="",FM650=""),"",N(FM650)-N(FL650)))</f>
        <v/>
      </c>
      <c r="FR650">
        <f>IF(OR(FP$3="",FP$3&gt;TODAY()),"",IF(AND(FP650="",FQ650=""),"",N(FQ650)-N(FP650)))</f>
        <v/>
      </c>
      <c r="FU650">
        <f>IF(OR(FP$3="",FP$3&gt;TODAY()),"",IF(AND(FS650="",FT650=""),"",N(FT650)-N(FS650)))</f>
        <v/>
      </c>
      <c r="FY650">
        <f>IF(OR(FW$3="",FW$3&gt;TODAY()),"",IF(AND(FW650="",FX650=""),"",N(FX650)-N(FW650)))</f>
        <v/>
      </c>
      <c r="GB650">
        <f>IF(OR(FW$3="",FW$3&gt;TODAY()),"",IF(AND(FZ650="",GA650=""),"",N(GA650)-N(FZ650)))</f>
        <v/>
      </c>
      <c r="GF650">
        <f>IF(OR(GD$3="",GD$3&gt;TODAY()),"",IF(AND(GD650="",GE650=""),"",N(GE650)-N(GD650)))</f>
        <v/>
      </c>
      <c r="GI650">
        <f>IF(OR(GD$3="",GD$3&gt;TODAY()),"",IF(AND(GG650="",GH650=""),"",N(GH650)-N(GG650)))</f>
        <v/>
      </c>
      <c r="GM650">
        <f>IF(OR(GK$3="",GK$3&gt;TODAY()),"",IF(AND(GK650="",GL650=""),"",N(GL650)-N(GK650)))</f>
        <v/>
      </c>
      <c r="GP650">
        <f>IF(OR(GK$3="",GK$3&gt;TODAY()),"",IF(AND(GN650="",GO650=""),"",N(GO650)-N(GN650)))</f>
        <v/>
      </c>
      <c r="GT650">
        <f>IF(OR(GR$3="",GR$3&gt;TODAY()),"",IF(AND(GR650="",GS650=""),"",N(GS650)-N(GR650)))</f>
        <v/>
      </c>
      <c r="GW650">
        <f>IF(OR(GR$3="",GR$3&gt;TODAY()),"",IF(AND(GU650="",GV650=""),"",N(GV650)-N(GU650)))</f>
        <v/>
      </c>
      <c r="HA650">
        <f>IF(OR(GY$3="",GY$3&gt;TODAY()),"",IF(AND(GY650="",GZ650=""),"",N(GZ650)-N(GY650)))</f>
        <v/>
      </c>
      <c r="HD650">
        <f>IF(OR(GY$3="",GY$3&gt;TODAY()),"",IF(AND(HB650="",HC650=""),"",N(HC650)-N(HB650)))</f>
        <v/>
      </c>
      <c r="HH650">
        <f>IF(OR(HF$3="",HF$3&gt;TODAY()),"",IF(AND(HF650="",HG650=""),"",N(HG650)-N(HF650)))</f>
        <v/>
      </c>
      <c r="HK650">
        <f>IF(OR(HF$3="",HF$3&gt;TODAY()),"",IF(AND(HI650="",HJ650=""),"",N(HJ650)-N(HI650)))</f>
        <v/>
      </c>
      <c r="HO650">
        <f>IF(OR(HM$3="",HM$3&gt;TODAY()),"",IF(AND(HM650="",HN650=""),"",N(HN650)-N(HM650)))</f>
        <v/>
      </c>
      <c r="HR650">
        <f>IF(OR(HM$3="",HM$3&gt;TODAY()),"",IF(AND(HP650="",HQ650=""),"",N(HQ650)-N(HP650)))</f>
        <v/>
      </c>
      <c r="HV650">
        <f>IF(OR(HT$3="",HT$3&gt;TODAY()),"",IF(AND(HT650="",HU650=""),"",N(HU650)-N(HT650)))</f>
        <v/>
      </c>
      <c r="HY650">
        <f>IF(OR(HT$3="",HT$3&gt;TODAY()),"",IF(AND(HW650="",HX650=""),"",N(HX650)-N(HW650)))</f>
        <v/>
      </c>
      <c r="IC650">
        <f>IF(OR(IA$3="",IA$3&gt;TODAY()),"",IF(AND(IA650="",IB650=""),"",N(IB650)-N(IA650)))</f>
        <v/>
      </c>
      <c r="IF650">
        <f>IF(OR(IA$3="",IA$3&gt;TODAY()),"",IF(AND(ID650="",IE650=""),"",N(IE650)-N(ID650)))</f>
        <v/>
      </c>
      <c r="IJ650">
        <f>IF(OR(IH$3="",IH$3&gt;TODAY()),"",IF(AND(IH650="",II650=""),"",N(II650)-N(IH650)))</f>
        <v/>
      </c>
      <c r="IM650">
        <f>IF(OR(IH$3="",IH$3&gt;TODAY()),"",IF(AND(IK650="",IL650=""),"",N(IL650)-N(IK650)))</f>
        <v/>
      </c>
    </row>
    <row r="651">
      <c r="A651" s="21" t="n"/>
      <c r="B651" s="21" t="n"/>
      <c r="C651" s="21" t="n"/>
      <c r="D651" s="21" t="n"/>
      <c r="E651" s="21" t="n"/>
      <c r="F651" s="21" t="n"/>
      <c r="G651" s="21" t="n"/>
      <c r="H651" s="21" t="n"/>
      <c r="I651" s="22" t="n"/>
      <c r="J651" s="22" t="n"/>
      <c r="K651" s="23" t="n"/>
      <c r="L651" s="22" t="n"/>
      <c r="M651" s="22" t="n"/>
      <c r="N651" s="21" t="n"/>
      <c r="O651" s="23" t="n"/>
      <c r="P651" s="23" t="n"/>
      <c r="Q651" s="23" t="n"/>
      <c r="R651" s="23" t="n"/>
      <c r="S651" s="22" t="n"/>
      <c r="T651" s="23" t="n"/>
      <c r="U651" s="23" t="n"/>
      <c r="V651" s="24">
        <f>IF(J651&lt;&gt;"",J651,IF(I651&lt;&gt;"",I651,""))</f>
        <v/>
      </c>
      <c r="W651" s="25">
        <f>IF($E651="","",N(O651)+SUMIFS($AF651:$IN651,$AF$4:$IN$4,"SEW_ACT"))</f>
        <v/>
      </c>
      <c r="X651" s="25">
        <f>IF($E651="","",N(P651)+SUMIFS($AF651:$IN651,$AF$4:$IN$4,"WASH_ACT"))</f>
        <v/>
      </c>
      <c r="Y651" s="25">
        <f>IF($E651="","",W651-X651-N(T651)-N(U651))</f>
        <v/>
      </c>
      <c r="Z651" s="25">
        <f>IF($E651="","",IF(N(K651)-X651&lt;=0.02*N(K651),0,N(K651)-X651))</f>
        <v/>
      </c>
      <c r="AA651" s="24">
        <f>IF($E651="","",IF(S651&lt;&gt;"",S651,IF(N(O651)&gt;0,IF(L651&lt;&gt;"",L651,99999),IFERROR(1/(1/_xlfn.MINIFS($AF$3:$IN$3,$AF$4:$IN$4,"SEW_ACT",$AF651:$IN651,"&gt;0")),99999))))</f>
        <v/>
      </c>
      <c r="AB651" s="26">
        <f>IF(OR($E651="",Z651=0,V651=""),"",1+COUNTIFS(Z$8:Z$707,"&gt;0",V$8:V$707,"&lt;"&amp;V651)+COUNTIFS(Z$8:Z$707,"&gt;0",V$8:V$707,V651,AA$8:AA$707,"&lt;"&amp;AA651)+COUNTIFS(Z$8:Z$707,"&gt;0",V$8:V$707,V651,AA$8:AA$707,AA651,E$8:E$707,"&lt;"&amp;$E651))</f>
        <v/>
      </c>
      <c r="AC651" s="24">
        <f>IF(OR($E651="",Z651=0),"",IFERROR(TODAY()+ROUNDUP(Z651/(SUMIFS($AF651:$IN651,$AF$4:$IN$4,"WASH_ACT")/COUNTIFS($AF$4:$IN$4,"WASH_ACT",$AF651:$IN651,"&gt;0")),0),"no output yet"))</f>
        <v/>
      </c>
      <c r="AD651" s="26">
        <f>IF($E651="","",IFERROR(ROUND(MAX(0,SUMIFS($AF651:$IN651,$AF$4:$IN$4,"SEW_PLAN",$AF$3:$IN$3,"&lt;="&amp;TODAY())-SUMIFS($AF651:$IN651,$AF$4:$IN$4,"SEW_ACT",$AF$3:$IN$3,"&lt;="&amp;TODAY())+N(Q651))/(SUMIFS($AF651:$IN651,$AF$4:$IN$4,"SEW_PLAN")/COUNTIFS($AF$4:$IN$4,"SEW_PLAN",$AF651:$IN651,"&gt;0")),1),0))</f>
        <v/>
      </c>
      <c r="AE651" s="26">
        <f>IF($E651="","",IF(AND(Z651&gt;0,OR(AND(M651&lt;&gt;"",TODAY()&gt;M651),AND(V651&lt;&gt;"",V651-TODAY()&lt;=7))),"Yes","No"))</f>
        <v/>
      </c>
      <c r="AH651">
        <f>IF(OR(AF$3="",AF$3&gt;TODAY()),"",IF(AND(AF651="",AG651=""),"",N(AG651)-N(AF651)))</f>
        <v/>
      </c>
      <c r="AK651">
        <f>IF(OR(AF$3="",AF$3&gt;TODAY()),"",IF(AND(AI651="",AJ651=""),"",N(AJ651)-N(AI651)))</f>
        <v/>
      </c>
      <c r="AO651">
        <f>IF(OR(AM$3="",AM$3&gt;TODAY()),"",IF(AND(AM651="",AN651=""),"",N(AN651)-N(AM651)))</f>
        <v/>
      </c>
      <c r="AR651">
        <f>IF(OR(AM$3="",AM$3&gt;TODAY()),"",IF(AND(AP651="",AQ651=""),"",N(AQ651)-N(AP651)))</f>
        <v/>
      </c>
      <c r="AV651">
        <f>IF(OR(AT$3="",AT$3&gt;TODAY()),"",IF(AND(AT651="",AU651=""),"",N(AU651)-N(AT651)))</f>
        <v/>
      </c>
      <c r="AY651">
        <f>IF(OR(AT$3="",AT$3&gt;TODAY()),"",IF(AND(AW651="",AX651=""),"",N(AX651)-N(AW651)))</f>
        <v/>
      </c>
      <c r="BC651">
        <f>IF(OR(BA$3="",BA$3&gt;TODAY()),"",IF(AND(BA651="",BB651=""),"",N(BB651)-N(BA651)))</f>
        <v/>
      </c>
      <c r="BF651">
        <f>IF(OR(BA$3="",BA$3&gt;TODAY()),"",IF(AND(BD651="",BE651=""),"",N(BE651)-N(BD651)))</f>
        <v/>
      </c>
      <c r="BJ651">
        <f>IF(OR(BH$3="",BH$3&gt;TODAY()),"",IF(AND(BH651="",BI651=""),"",N(BI651)-N(BH651)))</f>
        <v/>
      </c>
      <c r="BM651">
        <f>IF(OR(BH$3="",BH$3&gt;TODAY()),"",IF(AND(BK651="",BL651=""),"",N(BL651)-N(BK651)))</f>
        <v/>
      </c>
      <c r="BQ651">
        <f>IF(OR(BO$3="",BO$3&gt;TODAY()),"",IF(AND(BO651="",BP651=""),"",N(BP651)-N(BO651)))</f>
        <v/>
      </c>
      <c r="BT651">
        <f>IF(OR(BO$3="",BO$3&gt;TODAY()),"",IF(AND(BR651="",BS651=""),"",N(BS651)-N(BR651)))</f>
        <v/>
      </c>
      <c r="BX651">
        <f>IF(OR(BV$3="",BV$3&gt;TODAY()),"",IF(AND(BV651="",BW651=""),"",N(BW651)-N(BV651)))</f>
        <v/>
      </c>
      <c r="CA651">
        <f>IF(OR(BV$3="",BV$3&gt;TODAY()),"",IF(AND(BY651="",BZ651=""),"",N(BZ651)-N(BY651)))</f>
        <v/>
      </c>
      <c r="CE651">
        <f>IF(OR(CC$3="",CC$3&gt;TODAY()),"",IF(AND(CC651="",CD651=""),"",N(CD651)-N(CC651)))</f>
        <v/>
      </c>
      <c r="CH651">
        <f>IF(OR(CC$3="",CC$3&gt;TODAY()),"",IF(AND(CF651="",CG651=""),"",N(CG651)-N(CF651)))</f>
        <v/>
      </c>
      <c r="CL651">
        <f>IF(OR(CJ$3="",CJ$3&gt;TODAY()),"",IF(AND(CJ651="",CK651=""),"",N(CK651)-N(CJ651)))</f>
        <v/>
      </c>
      <c r="CO651">
        <f>IF(OR(CJ$3="",CJ$3&gt;TODAY()),"",IF(AND(CM651="",CN651=""),"",N(CN651)-N(CM651)))</f>
        <v/>
      </c>
      <c r="CS651">
        <f>IF(OR(CQ$3="",CQ$3&gt;TODAY()),"",IF(AND(CQ651="",CR651=""),"",N(CR651)-N(CQ651)))</f>
        <v/>
      </c>
      <c r="CV651">
        <f>IF(OR(CQ$3="",CQ$3&gt;TODAY()),"",IF(AND(CT651="",CU651=""),"",N(CU651)-N(CT651)))</f>
        <v/>
      </c>
      <c r="CZ651">
        <f>IF(OR(CX$3="",CX$3&gt;TODAY()),"",IF(AND(CX651="",CY651=""),"",N(CY651)-N(CX651)))</f>
        <v/>
      </c>
      <c r="DC651">
        <f>IF(OR(CX$3="",CX$3&gt;TODAY()),"",IF(AND(DA651="",DB651=""),"",N(DB651)-N(DA651)))</f>
        <v/>
      </c>
      <c r="DG651">
        <f>IF(OR(DE$3="",DE$3&gt;TODAY()),"",IF(AND(DE651="",DF651=""),"",N(DF651)-N(DE651)))</f>
        <v/>
      </c>
      <c r="DJ651">
        <f>IF(OR(DE$3="",DE$3&gt;TODAY()),"",IF(AND(DH651="",DI651=""),"",N(DI651)-N(DH651)))</f>
        <v/>
      </c>
      <c r="DN651">
        <f>IF(OR(DL$3="",DL$3&gt;TODAY()),"",IF(AND(DL651="",DM651=""),"",N(DM651)-N(DL651)))</f>
        <v/>
      </c>
      <c r="DQ651">
        <f>IF(OR(DL$3="",DL$3&gt;TODAY()),"",IF(AND(DO651="",DP651=""),"",N(DP651)-N(DO651)))</f>
        <v/>
      </c>
      <c r="DU651">
        <f>IF(OR(DS$3="",DS$3&gt;TODAY()),"",IF(AND(DS651="",DT651=""),"",N(DT651)-N(DS651)))</f>
        <v/>
      </c>
      <c r="DX651">
        <f>IF(OR(DS$3="",DS$3&gt;TODAY()),"",IF(AND(DV651="",DW651=""),"",N(DW651)-N(DV651)))</f>
        <v/>
      </c>
      <c r="EB651">
        <f>IF(OR(DZ$3="",DZ$3&gt;TODAY()),"",IF(AND(DZ651="",EA651=""),"",N(EA651)-N(DZ651)))</f>
        <v/>
      </c>
      <c r="EE651">
        <f>IF(OR(DZ$3="",DZ$3&gt;TODAY()),"",IF(AND(EC651="",ED651=""),"",N(ED651)-N(EC651)))</f>
        <v/>
      </c>
      <c r="EI651">
        <f>IF(OR(EG$3="",EG$3&gt;TODAY()),"",IF(AND(EG651="",EH651=""),"",N(EH651)-N(EG651)))</f>
        <v/>
      </c>
      <c r="EL651">
        <f>IF(OR(EG$3="",EG$3&gt;TODAY()),"",IF(AND(EJ651="",EK651=""),"",N(EK651)-N(EJ651)))</f>
        <v/>
      </c>
      <c r="EP651">
        <f>IF(OR(EN$3="",EN$3&gt;TODAY()),"",IF(AND(EN651="",EO651=""),"",N(EO651)-N(EN651)))</f>
        <v/>
      </c>
      <c r="ES651">
        <f>IF(OR(EN$3="",EN$3&gt;TODAY()),"",IF(AND(EQ651="",ER651=""),"",N(ER651)-N(EQ651)))</f>
        <v/>
      </c>
      <c r="EW651">
        <f>IF(OR(EU$3="",EU$3&gt;TODAY()),"",IF(AND(EU651="",EV651=""),"",N(EV651)-N(EU651)))</f>
        <v/>
      </c>
      <c r="EZ651">
        <f>IF(OR(EU$3="",EU$3&gt;TODAY()),"",IF(AND(EX651="",EY651=""),"",N(EY651)-N(EX651)))</f>
        <v/>
      </c>
      <c r="FD651">
        <f>IF(OR(FB$3="",FB$3&gt;TODAY()),"",IF(AND(FB651="",FC651=""),"",N(FC651)-N(FB651)))</f>
        <v/>
      </c>
      <c r="FG651">
        <f>IF(OR(FB$3="",FB$3&gt;TODAY()),"",IF(AND(FE651="",FF651=""),"",N(FF651)-N(FE651)))</f>
        <v/>
      </c>
      <c r="FK651">
        <f>IF(OR(FI$3="",FI$3&gt;TODAY()),"",IF(AND(FI651="",FJ651=""),"",N(FJ651)-N(FI651)))</f>
        <v/>
      </c>
      <c r="FN651">
        <f>IF(OR(FI$3="",FI$3&gt;TODAY()),"",IF(AND(FL651="",FM651=""),"",N(FM651)-N(FL651)))</f>
        <v/>
      </c>
      <c r="FR651">
        <f>IF(OR(FP$3="",FP$3&gt;TODAY()),"",IF(AND(FP651="",FQ651=""),"",N(FQ651)-N(FP651)))</f>
        <v/>
      </c>
      <c r="FU651">
        <f>IF(OR(FP$3="",FP$3&gt;TODAY()),"",IF(AND(FS651="",FT651=""),"",N(FT651)-N(FS651)))</f>
        <v/>
      </c>
      <c r="FY651">
        <f>IF(OR(FW$3="",FW$3&gt;TODAY()),"",IF(AND(FW651="",FX651=""),"",N(FX651)-N(FW651)))</f>
        <v/>
      </c>
      <c r="GB651">
        <f>IF(OR(FW$3="",FW$3&gt;TODAY()),"",IF(AND(FZ651="",GA651=""),"",N(GA651)-N(FZ651)))</f>
        <v/>
      </c>
      <c r="GF651">
        <f>IF(OR(GD$3="",GD$3&gt;TODAY()),"",IF(AND(GD651="",GE651=""),"",N(GE651)-N(GD651)))</f>
        <v/>
      </c>
      <c r="GI651">
        <f>IF(OR(GD$3="",GD$3&gt;TODAY()),"",IF(AND(GG651="",GH651=""),"",N(GH651)-N(GG651)))</f>
        <v/>
      </c>
      <c r="GM651">
        <f>IF(OR(GK$3="",GK$3&gt;TODAY()),"",IF(AND(GK651="",GL651=""),"",N(GL651)-N(GK651)))</f>
        <v/>
      </c>
      <c r="GP651">
        <f>IF(OR(GK$3="",GK$3&gt;TODAY()),"",IF(AND(GN651="",GO651=""),"",N(GO651)-N(GN651)))</f>
        <v/>
      </c>
      <c r="GT651">
        <f>IF(OR(GR$3="",GR$3&gt;TODAY()),"",IF(AND(GR651="",GS651=""),"",N(GS651)-N(GR651)))</f>
        <v/>
      </c>
      <c r="GW651">
        <f>IF(OR(GR$3="",GR$3&gt;TODAY()),"",IF(AND(GU651="",GV651=""),"",N(GV651)-N(GU651)))</f>
        <v/>
      </c>
      <c r="HA651">
        <f>IF(OR(GY$3="",GY$3&gt;TODAY()),"",IF(AND(GY651="",GZ651=""),"",N(GZ651)-N(GY651)))</f>
        <v/>
      </c>
      <c r="HD651">
        <f>IF(OR(GY$3="",GY$3&gt;TODAY()),"",IF(AND(HB651="",HC651=""),"",N(HC651)-N(HB651)))</f>
        <v/>
      </c>
      <c r="HH651">
        <f>IF(OR(HF$3="",HF$3&gt;TODAY()),"",IF(AND(HF651="",HG651=""),"",N(HG651)-N(HF651)))</f>
        <v/>
      </c>
      <c r="HK651">
        <f>IF(OR(HF$3="",HF$3&gt;TODAY()),"",IF(AND(HI651="",HJ651=""),"",N(HJ651)-N(HI651)))</f>
        <v/>
      </c>
      <c r="HO651">
        <f>IF(OR(HM$3="",HM$3&gt;TODAY()),"",IF(AND(HM651="",HN651=""),"",N(HN651)-N(HM651)))</f>
        <v/>
      </c>
      <c r="HR651">
        <f>IF(OR(HM$3="",HM$3&gt;TODAY()),"",IF(AND(HP651="",HQ651=""),"",N(HQ651)-N(HP651)))</f>
        <v/>
      </c>
      <c r="HV651">
        <f>IF(OR(HT$3="",HT$3&gt;TODAY()),"",IF(AND(HT651="",HU651=""),"",N(HU651)-N(HT651)))</f>
        <v/>
      </c>
      <c r="HY651">
        <f>IF(OR(HT$3="",HT$3&gt;TODAY()),"",IF(AND(HW651="",HX651=""),"",N(HX651)-N(HW651)))</f>
        <v/>
      </c>
      <c r="IC651">
        <f>IF(OR(IA$3="",IA$3&gt;TODAY()),"",IF(AND(IA651="",IB651=""),"",N(IB651)-N(IA651)))</f>
        <v/>
      </c>
      <c r="IF651">
        <f>IF(OR(IA$3="",IA$3&gt;TODAY()),"",IF(AND(ID651="",IE651=""),"",N(IE651)-N(ID651)))</f>
        <v/>
      </c>
      <c r="IJ651">
        <f>IF(OR(IH$3="",IH$3&gt;TODAY()),"",IF(AND(IH651="",II651=""),"",N(II651)-N(IH651)))</f>
        <v/>
      </c>
      <c r="IM651">
        <f>IF(OR(IH$3="",IH$3&gt;TODAY()),"",IF(AND(IK651="",IL651=""),"",N(IL651)-N(IK651)))</f>
        <v/>
      </c>
    </row>
    <row r="652">
      <c r="A652" s="21" t="n"/>
      <c r="B652" s="21" t="n"/>
      <c r="C652" s="21" t="n"/>
      <c r="D652" s="21" t="n"/>
      <c r="E652" s="21" t="n"/>
      <c r="F652" s="21" t="n"/>
      <c r="G652" s="21" t="n"/>
      <c r="H652" s="21" t="n"/>
      <c r="I652" s="22" t="n"/>
      <c r="J652" s="22" t="n"/>
      <c r="K652" s="23" t="n"/>
      <c r="L652" s="22" t="n"/>
      <c r="M652" s="22" t="n"/>
      <c r="N652" s="21" t="n"/>
      <c r="O652" s="23" t="n"/>
      <c r="P652" s="23" t="n"/>
      <c r="Q652" s="23" t="n"/>
      <c r="R652" s="23" t="n"/>
      <c r="S652" s="22" t="n"/>
      <c r="T652" s="23" t="n"/>
      <c r="U652" s="23" t="n"/>
      <c r="V652" s="24">
        <f>IF(J652&lt;&gt;"",J652,IF(I652&lt;&gt;"",I652,""))</f>
        <v/>
      </c>
      <c r="W652" s="25">
        <f>IF($E652="","",N(O652)+SUMIFS($AF652:$IN652,$AF$4:$IN$4,"SEW_ACT"))</f>
        <v/>
      </c>
      <c r="X652" s="25">
        <f>IF($E652="","",N(P652)+SUMIFS($AF652:$IN652,$AF$4:$IN$4,"WASH_ACT"))</f>
        <v/>
      </c>
      <c r="Y652" s="25">
        <f>IF($E652="","",W652-X652-N(T652)-N(U652))</f>
        <v/>
      </c>
      <c r="Z652" s="25">
        <f>IF($E652="","",IF(N(K652)-X652&lt;=0.02*N(K652),0,N(K652)-X652))</f>
        <v/>
      </c>
      <c r="AA652" s="24">
        <f>IF($E652="","",IF(S652&lt;&gt;"",S652,IF(N(O652)&gt;0,IF(L652&lt;&gt;"",L652,99999),IFERROR(1/(1/_xlfn.MINIFS($AF$3:$IN$3,$AF$4:$IN$4,"SEW_ACT",$AF652:$IN652,"&gt;0")),99999))))</f>
        <v/>
      </c>
      <c r="AB652" s="26">
        <f>IF(OR($E652="",Z652=0,V652=""),"",1+COUNTIFS(Z$8:Z$707,"&gt;0",V$8:V$707,"&lt;"&amp;V652)+COUNTIFS(Z$8:Z$707,"&gt;0",V$8:V$707,V652,AA$8:AA$707,"&lt;"&amp;AA652)+COUNTIFS(Z$8:Z$707,"&gt;0",V$8:V$707,V652,AA$8:AA$707,AA652,E$8:E$707,"&lt;"&amp;$E652))</f>
        <v/>
      </c>
      <c r="AC652" s="24">
        <f>IF(OR($E652="",Z652=0),"",IFERROR(TODAY()+ROUNDUP(Z652/(SUMIFS($AF652:$IN652,$AF$4:$IN$4,"WASH_ACT")/COUNTIFS($AF$4:$IN$4,"WASH_ACT",$AF652:$IN652,"&gt;0")),0),"no output yet"))</f>
        <v/>
      </c>
      <c r="AD652" s="26">
        <f>IF($E652="","",IFERROR(ROUND(MAX(0,SUMIFS($AF652:$IN652,$AF$4:$IN$4,"SEW_PLAN",$AF$3:$IN$3,"&lt;="&amp;TODAY())-SUMIFS($AF652:$IN652,$AF$4:$IN$4,"SEW_ACT",$AF$3:$IN$3,"&lt;="&amp;TODAY())+N(Q652))/(SUMIFS($AF652:$IN652,$AF$4:$IN$4,"SEW_PLAN")/COUNTIFS($AF$4:$IN$4,"SEW_PLAN",$AF652:$IN652,"&gt;0")),1),0))</f>
        <v/>
      </c>
      <c r="AE652" s="26">
        <f>IF($E652="","",IF(AND(Z652&gt;0,OR(AND(M652&lt;&gt;"",TODAY()&gt;M652),AND(V652&lt;&gt;"",V652-TODAY()&lt;=7))),"Yes","No"))</f>
        <v/>
      </c>
      <c r="AH652">
        <f>IF(OR(AF$3="",AF$3&gt;TODAY()),"",IF(AND(AF652="",AG652=""),"",N(AG652)-N(AF652)))</f>
        <v/>
      </c>
      <c r="AK652">
        <f>IF(OR(AF$3="",AF$3&gt;TODAY()),"",IF(AND(AI652="",AJ652=""),"",N(AJ652)-N(AI652)))</f>
        <v/>
      </c>
      <c r="AO652">
        <f>IF(OR(AM$3="",AM$3&gt;TODAY()),"",IF(AND(AM652="",AN652=""),"",N(AN652)-N(AM652)))</f>
        <v/>
      </c>
      <c r="AR652">
        <f>IF(OR(AM$3="",AM$3&gt;TODAY()),"",IF(AND(AP652="",AQ652=""),"",N(AQ652)-N(AP652)))</f>
        <v/>
      </c>
      <c r="AV652">
        <f>IF(OR(AT$3="",AT$3&gt;TODAY()),"",IF(AND(AT652="",AU652=""),"",N(AU652)-N(AT652)))</f>
        <v/>
      </c>
      <c r="AY652">
        <f>IF(OR(AT$3="",AT$3&gt;TODAY()),"",IF(AND(AW652="",AX652=""),"",N(AX652)-N(AW652)))</f>
        <v/>
      </c>
      <c r="BC652">
        <f>IF(OR(BA$3="",BA$3&gt;TODAY()),"",IF(AND(BA652="",BB652=""),"",N(BB652)-N(BA652)))</f>
        <v/>
      </c>
      <c r="BF652">
        <f>IF(OR(BA$3="",BA$3&gt;TODAY()),"",IF(AND(BD652="",BE652=""),"",N(BE652)-N(BD652)))</f>
        <v/>
      </c>
      <c r="BJ652">
        <f>IF(OR(BH$3="",BH$3&gt;TODAY()),"",IF(AND(BH652="",BI652=""),"",N(BI652)-N(BH652)))</f>
        <v/>
      </c>
      <c r="BM652">
        <f>IF(OR(BH$3="",BH$3&gt;TODAY()),"",IF(AND(BK652="",BL652=""),"",N(BL652)-N(BK652)))</f>
        <v/>
      </c>
      <c r="BQ652">
        <f>IF(OR(BO$3="",BO$3&gt;TODAY()),"",IF(AND(BO652="",BP652=""),"",N(BP652)-N(BO652)))</f>
        <v/>
      </c>
      <c r="BT652">
        <f>IF(OR(BO$3="",BO$3&gt;TODAY()),"",IF(AND(BR652="",BS652=""),"",N(BS652)-N(BR652)))</f>
        <v/>
      </c>
      <c r="BX652">
        <f>IF(OR(BV$3="",BV$3&gt;TODAY()),"",IF(AND(BV652="",BW652=""),"",N(BW652)-N(BV652)))</f>
        <v/>
      </c>
      <c r="CA652">
        <f>IF(OR(BV$3="",BV$3&gt;TODAY()),"",IF(AND(BY652="",BZ652=""),"",N(BZ652)-N(BY652)))</f>
        <v/>
      </c>
      <c r="CE652">
        <f>IF(OR(CC$3="",CC$3&gt;TODAY()),"",IF(AND(CC652="",CD652=""),"",N(CD652)-N(CC652)))</f>
        <v/>
      </c>
      <c r="CH652">
        <f>IF(OR(CC$3="",CC$3&gt;TODAY()),"",IF(AND(CF652="",CG652=""),"",N(CG652)-N(CF652)))</f>
        <v/>
      </c>
      <c r="CL652">
        <f>IF(OR(CJ$3="",CJ$3&gt;TODAY()),"",IF(AND(CJ652="",CK652=""),"",N(CK652)-N(CJ652)))</f>
        <v/>
      </c>
      <c r="CO652">
        <f>IF(OR(CJ$3="",CJ$3&gt;TODAY()),"",IF(AND(CM652="",CN652=""),"",N(CN652)-N(CM652)))</f>
        <v/>
      </c>
      <c r="CS652">
        <f>IF(OR(CQ$3="",CQ$3&gt;TODAY()),"",IF(AND(CQ652="",CR652=""),"",N(CR652)-N(CQ652)))</f>
        <v/>
      </c>
      <c r="CV652">
        <f>IF(OR(CQ$3="",CQ$3&gt;TODAY()),"",IF(AND(CT652="",CU652=""),"",N(CU652)-N(CT652)))</f>
        <v/>
      </c>
      <c r="CZ652">
        <f>IF(OR(CX$3="",CX$3&gt;TODAY()),"",IF(AND(CX652="",CY652=""),"",N(CY652)-N(CX652)))</f>
        <v/>
      </c>
      <c r="DC652">
        <f>IF(OR(CX$3="",CX$3&gt;TODAY()),"",IF(AND(DA652="",DB652=""),"",N(DB652)-N(DA652)))</f>
        <v/>
      </c>
      <c r="DG652">
        <f>IF(OR(DE$3="",DE$3&gt;TODAY()),"",IF(AND(DE652="",DF652=""),"",N(DF652)-N(DE652)))</f>
        <v/>
      </c>
      <c r="DJ652">
        <f>IF(OR(DE$3="",DE$3&gt;TODAY()),"",IF(AND(DH652="",DI652=""),"",N(DI652)-N(DH652)))</f>
        <v/>
      </c>
      <c r="DN652">
        <f>IF(OR(DL$3="",DL$3&gt;TODAY()),"",IF(AND(DL652="",DM652=""),"",N(DM652)-N(DL652)))</f>
        <v/>
      </c>
      <c r="DQ652">
        <f>IF(OR(DL$3="",DL$3&gt;TODAY()),"",IF(AND(DO652="",DP652=""),"",N(DP652)-N(DO652)))</f>
        <v/>
      </c>
      <c r="DU652">
        <f>IF(OR(DS$3="",DS$3&gt;TODAY()),"",IF(AND(DS652="",DT652=""),"",N(DT652)-N(DS652)))</f>
        <v/>
      </c>
      <c r="DX652">
        <f>IF(OR(DS$3="",DS$3&gt;TODAY()),"",IF(AND(DV652="",DW652=""),"",N(DW652)-N(DV652)))</f>
        <v/>
      </c>
      <c r="EB652">
        <f>IF(OR(DZ$3="",DZ$3&gt;TODAY()),"",IF(AND(DZ652="",EA652=""),"",N(EA652)-N(DZ652)))</f>
        <v/>
      </c>
      <c r="EE652">
        <f>IF(OR(DZ$3="",DZ$3&gt;TODAY()),"",IF(AND(EC652="",ED652=""),"",N(ED652)-N(EC652)))</f>
        <v/>
      </c>
      <c r="EI652">
        <f>IF(OR(EG$3="",EG$3&gt;TODAY()),"",IF(AND(EG652="",EH652=""),"",N(EH652)-N(EG652)))</f>
        <v/>
      </c>
      <c r="EL652">
        <f>IF(OR(EG$3="",EG$3&gt;TODAY()),"",IF(AND(EJ652="",EK652=""),"",N(EK652)-N(EJ652)))</f>
        <v/>
      </c>
      <c r="EP652">
        <f>IF(OR(EN$3="",EN$3&gt;TODAY()),"",IF(AND(EN652="",EO652=""),"",N(EO652)-N(EN652)))</f>
        <v/>
      </c>
      <c r="ES652">
        <f>IF(OR(EN$3="",EN$3&gt;TODAY()),"",IF(AND(EQ652="",ER652=""),"",N(ER652)-N(EQ652)))</f>
        <v/>
      </c>
      <c r="EW652">
        <f>IF(OR(EU$3="",EU$3&gt;TODAY()),"",IF(AND(EU652="",EV652=""),"",N(EV652)-N(EU652)))</f>
        <v/>
      </c>
      <c r="EZ652">
        <f>IF(OR(EU$3="",EU$3&gt;TODAY()),"",IF(AND(EX652="",EY652=""),"",N(EY652)-N(EX652)))</f>
        <v/>
      </c>
      <c r="FD652">
        <f>IF(OR(FB$3="",FB$3&gt;TODAY()),"",IF(AND(FB652="",FC652=""),"",N(FC652)-N(FB652)))</f>
        <v/>
      </c>
      <c r="FG652">
        <f>IF(OR(FB$3="",FB$3&gt;TODAY()),"",IF(AND(FE652="",FF652=""),"",N(FF652)-N(FE652)))</f>
        <v/>
      </c>
      <c r="FK652">
        <f>IF(OR(FI$3="",FI$3&gt;TODAY()),"",IF(AND(FI652="",FJ652=""),"",N(FJ652)-N(FI652)))</f>
        <v/>
      </c>
      <c r="FN652">
        <f>IF(OR(FI$3="",FI$3&gt;TODAY()),"",IF(AND(FL652="",FM652=""),"",N(FM652)-N(FL652)))</f>
        <v/>
      </c>
      <c r="FR652">
        <f>IF(OR(FP$3="",FP$3&gt;TODAY()),"",IF(AND(FP652="",FQ652=""),"",N(FQ652)-N(FP652)))</f>
        <v/>
      </c>
      <c r="FU652">
        <f>IF(OR(FP$3="",FP$3&gt;TODAY()),"",IF(AND(FS652="",FT652=""),"",N(FT652)-N(FS652)))</f>
        <v/>
      </c>
      <c r="FY652">
        <f>IF(OR(FW$3="",FW$3&gt;TODAY()),"",IF(AND(FW652="",FX652=""),"",N(FX652)-N(FW652)))</f>
        <v/>
      </c>
      <c r="GB652">
        <f>IF(OR(FW$3="",FW$3&gt;TODAY()),"",IF(AND(FZ652="",GA652=""),"",N(GA652)-N(FZ652)))</f>
        <v/>
      </c>
      <c r="GF652">
        <f>IF(OR(GD$3="",GD$3&gt;TODAY()),"",IF(AND(GD652="",GE652=""),"",N(GE652)-N(GD652)))</f>
        <v/>
      </c>
      <c r="GI652">
        <f>IF(OR(GD$3="",GD$3&gt;TODAY()),"",IF(AND(GG652="",GH652=""),"",N(GH652)-N(GG652)))</f>
        <v/>
      </c>
      <c r="GM652">
        <f>IF(OR(GK$3="",GK$3&gt;TODAY()),"",IF(AND(GK652="",GL652=""),"",N(GL652)-N(GK652)))</f>
        <v/>
      </c>
      <c r="GP652">
        <f>IF(OR(GK$3="",GK$3&gt;TODAY()),"",IF(AND(GN652="",GO652=""),"",N(GO652)-N(GN652)))</f>
        <v/>
      </c>
      <c r="GT652">
        <f>IF(OR(GR$3="",GR$3&gt;TODAY()),"",IF(AND(GR652="",GS652=""),"",N(GS652)-N(GR652)))</f>
        <v/>
      </c>
      <c r="GW652">
        <f>IF(OR(GR$3="",GR$3&gt;TODAY()),"",IF(AND(GU652="",GV652=""),"",N(GV652)-N(GU652)))</f>
        <v/>
      </c>
      <c r="HA652">
        <f>IF(OR(GY$3="",GY$3&gt;TODAY()),"",IF(AND(GY652="",GZ652=""),"",N(GZ652)-N(GY652)))</f>
        <v/>
      </c>
      <c r="HD652">
        <f>IF(OR(GY$3="",GY$3&gt;TODAY()),"",IF(AND(HB652="",HC652=""),"",N(HC652)-N(HB652)))</f>
        <v/>
      </c>
      <c r="HH652">
        <f>IF(OR(HF$3="",HF$3&gt;TODAY()),"",IF(AND(HF652="",HG652=""),"",N(HG652)-N(HF652)))</f>
        <v/>
      </c>
      <c r="HK652">
        <f>IF(OR(HF$3="",HF$3&gt;TODAY()),"",IF(AND(HI652="",HJ652=""),"",N(HJ652)-N(HI652)))</f>
        <v/>
      </c>
      <c r="HO652">
        <f>IF(OR(HM$3="",HM$3&gt;TODAY()),"",IF(AND(HM652="",HN652=""),"",N(HN652)-N(HM652)))</f>
        <v/>
      </c>
      <c r="HR652">
        <f>IF(OR(HM$3="",HM$3&gt;TODAY()),"",IF(AND(HP652="",HQ652=""),"",N(HQ652)-N(HP652)))</f>
        <v/>
      </c>
      <c r="HV652">
        <f>IF(OR(HT$3="",HT$3&gt;TODAY()),"",IF(AND(HT652="",HU652=""),"",N(HU652)-N(HT652)))</f>
        <v/>
      </c>
      <c r="HY652">
        <f>IF(OR(HT$3="",HT$3&gt;TODAY()),"",IF(AND(HW652="",HX652=""),"",N(HX652)-N(HW652)))</f>
        <v/>
      </c>
      <c r="IC652">
        <f>IF(OR(IA$3="",IA$3&gt;TODAY()),"",IF(AND(IA652="",IB652=""),"",N(IB652)-N(IA652)))</f>
        <v/>
      </c>
      <c r="IF652">
        <f>IF(OR(IA$3="",IA$3&gt;TODAY()),"",IF(AND(ID652="",IE652=""),"",N(IE652)-N(ID652)))</f>
        <v/>
      </c>
      <c r="IJ652">
        <f>IF(OR(IH$3="",IH$3&gt;TODAY()),"",IF(AND(IH652="",II652=""),"",N(II652)-N(IH652)))</f>
        <v/>
      </c>
      <c r="IM652">
        <f>IF(OR(IH$3="",IH$3&gt;TODAY()),"",IF(AND(IK652="",IL652=""),"",N(IL652)-N(IK652)))</f>
        <v/>
      </c>
    </row>
    <row r="653">
      <c r="A653" s="21" t="n"/>
      <c r="B653" s="21" t="n"/>
      <c r="C653" s="21" t="n"/>
      <c r="D653" s="21" t="n"/>
      <c r="E653" s="21" t="n"/>
      <c r="F653" s="21" t="n"/>
      <c r="G653" s="21" t="n"/>
      <c r="H653" s="21" t="n"/>
      <c r="I653" s="22" t="n"/>
      <c r="J653" s="22" t="n"/>
      <c r="K653" s="23" t="n"/>
      <c r="L653" s="22" t="n"/>
      <c r="M653" s="22" t="n"/>
      <c r="N653" s="21" t="n"/>
      <c r="O653" s="23" t="n"/>
      <c r="P653" s="23" t="n"/>
      <c r="Q653" s="23" t="n"/>
      <c r="R653" s="23" t="n"/>
      <c r="S653" s="22" t="n"/>
      <c r="T653" s="23" t="n"/>
      <c r="U653" s="23" t="n"/>
      <c r="V653" s="24">
        <f>IF(J653&lt;&gt;"",J653,IF(I653&lt;&gt;"",I653,""))</f>
        <v/>
      </c>
      <c r="W653" s="25">
        <f>IF($E653="","",N(O653)+SUMIFS($AF653:$IN653,$AF$4:$IN$4,"SEW_ACT"))</f>
        <v/>
      </c>
      <c r="X653" s="25">
        <f>IF($E653="","",N(P653)+SUMIFS($AF653:$IN653,$AF$4:$IN$4,"WASH_ACT"))</f>
        <v/>
      </c>
      <c r="Y653" s="25">
        <f>IF($E653="","",W653-X653-N(T653)-N(U653))</f>
        <v/>
      </c>
      <c r="Z653" s="25">
        <f>IF($E653="","",IF(N(K653)-X653&lt;=0.02*N(K653),0,N(K653)-X653))</f>
        <v/>
      </c>
      <c r="AA653" s="24">
        <f>IF($E653="","",IF(S653&lt;&gt;"",S653,IF(N(O653)&gt;0,IF(L653&lt;&gt;"",L653,99999),IFERROR(1/(1/_xlfn.MINIFS($AF$3:$IN$3,$AF$4:$IN$4,"SEW_ACT",$AF653:$IN653,"&gt;0")),99999))))</f>
        <v/>
      </c>
      <c r="AB653" s="26">
        <f>IF(OR($E653="",Z653=0,V653=""),"",1+COUNTIFS(Z$8:Z$707,"&gt;0",V$8:V$707,"&lt;"&amp;V653)+COUNTIFS(Z$8:Z$707,"&gt;0",V$8:V$707,V653,AA$8:AA$707,"&lt;"&amp;AA653)+COUNTIFS(Z$8:Z$707,"&gt;0",V$8:V$707,V653,AA$8:AA$707,AA653,E$8:E$707,"&lt;"&amp;$E653))</f>
        <v/>
      </c>
      <c r="AC653" s="24">
        <f>IF(OR($E653="",Z653=0),"",IFERROR(TODAY()+ROUNDUP(Z653/(SUMIFS($AF653:$IN653,$AF$4:$IN$4,"WASH_ACT")/COUNTIFS($AF$4:$IN$4,"WASH_ACT",$AF653:$IN653,"&gt;0")),0),"no output yet"))</f>
        <v/>
      </c>
      <c r="AD653" s="26">
        <f>IF($E653="","",IFERROR(ROUND(MAX(0,SUMIFS($AF653:$IN653,$AF$4:$IN$4,"SEW_PLAN",$AF$3:$IN$3,"&lt;="&amp;TODAY())-SUMIFS($AF653:$IN653,$AF$4:$IN$4,"SEW_ACT",$AF$3:$IN$3,"&lt;="&amp;TODAY())+N(Q653))/(SUMIFS($AF653:$IN653,$AF$4:$IN$4,"SEW_PLAN")/COUNTIFS($AF$4:$IN$4,"SEW_PLAN",$AF653:$IN653,"&gt;0")),1),0))</f>
        <v/>
      </c>
      <c r="AE653" s="26">
        <f>IF($E653="","",IF(AND(Z653&gt;0,OR(AND(M653&lt;&gt;"",TODAY()&gt;M653),AND(V653&lt;&gt;"",V653-TODAY()&lt;=7))),"Yes","No"))</f>
        <v/>
      </c>
      <c r="AH653">
        <f>IF(OR(AF$3="",AF$3&gt;TODAY()),"",IF(AND(AF653="",AG653=""),"",N(AG653)-N(AF653)))</f>
        <v/>
      </c>
      <c r="AK653">
        <f>IF(OR(AF$3="",AF$3&gt;TODAY()),"",IF(AND(AI653="",AJ653=""),"",N(AJ653)-N(AI653)))</f>
        <v/>
      </c>
      <c r="AO653">
        <f>IF(OR(AM$3="",AM$3&gt;TODAY()),"",IF(AND(AM653="",AN653=""),"",N(AN653)-N(AM653)))</f>
        <v/>
      </c>
      <c r="AR653">
        <f>IF(OR(AM$3="",AM$3&gt;TODAY()),"",IF(AND(AP653="",AQ653=""),"",N(AQ653)-N(AP653)))</f>
        <v/>
      </c>
      <c r="AV653">
        <f>IF(OR(AT$3="",AT$3&gt;TODAY()),"",IF(AND(AT653="",AU653=""),"",N(AU653)-N(AT653)))</f>
        <v/>
      </c>
      <c r="AY653">
        <f>IF(OR(AT$3="",AT$3&gt;TODAY()),"",IF(AND(AW653="",AX653=""),"",N(AX653)-N(AW653)))</f>
        <v/>
      </c>
      <c r="BC653">
        <f>IF(OR(BA$3="",BA$3&gt;TODAY()),"",IF(AND(BA653="",BB653=""),"",N(BB653)-N(BA653)))</f>
        <v/>
      </c>
      <c r="BF653">
        <f>IF(OR(BA$3="",BA$3&gt;TODAY()),"",IF(AND(BD653="",BE653=""),"",N(BE653)-N(BD653)))</f>
        <v/>
      </c>
      <c r="BJ653">
        <f>IF(OR(BH$3="",BH$3&gt;TODAY()),"",IF(AND(BH653="",BI653=""),"",N(BI653)-N(BH653)))</f>
        <v/>
      </c>
      <c r="BM653">
        <f>IF(OR(BH$3="",BH$3&gt;TODAY()),"",IF(AND(BK653="",BL653=""),"",N(BL653)-N(BK653)))</f>
        <v/>
      </c>
      <c r="BQ653">
        <f>IF(OR(BO$3="",BO$3&gt;TODAY()),"",IF(AND(BO653="",BP653=""),"",N(BP653)-N(BO653)))</f>
        <v/>
      </c>
      <c r="BT653">
        <f>IF(OR(BO$3="",BO$3&gt;TODAY()),"",IF(AND(BR653="",BS653=""),"",N(BS653)-N(BR653)))</f>
        <v/>
      </c>
      <c r="BX653">
        <f>IF(OR(BV$3="",BV$3&gt;TODAY()),"",IF(AND(BV653="",BW653=""),"",N(BW653)-N(BV653)))</f>
        <v/>
      </c>
      <c r="CA653">
        <f>IF(OR(BV$3="",BV$3&gt;TODAY()),"",IF(AND(BY653="",BZ653=""),"",N(BZ653)-N(BY653)))</f>
        <v/>
      </c>
      <c r="CE653">
        <f>IF(OR(CC$3="",CC$3&gt;TODAY()),"",IF(AND(CC653="",CD653=""),"",N(CD653)-N(CC653)))</f>
        <v/>
      </c>
      <c r="CH653">
        <f>IF(OR(CC$3="",CC$3&gt;TODAY()),"",IF(AND(CF653="",CG653=""),"",N(CG653)-N(CF653)))</f>
        <v/>
      </c>
      <c r="CL653">
        <f>IF(OR(CJ$3="",CJ$3&gt;TODAY()),"",IF(AND(CJ653="",CK653=""),"",N(CK653)-N(CJ653)))</f>
        <v/>
      </c>
      <c r="CO653">
        <f>IF(OR(CJ$3="",CJ$3&gt;TODAY()),"",IF(AND(CM653="",CN653=""),"",N(CN653)-N(CM653)))</f>
        <v/>
      </c>
      <c r="CS653">
        <f>IF(OR(CQ$3="",CQ$3&gt;TODAY()),"",IF(AND(CQ653="",CR653=""),"",N(CR653)-N(CQ653)))</f>
        <v/>
      </c>
      <c r="CV653">
        <f>IF(OR(CQ$3="",CQ$3&gt;TODAY()),"",IF(AND(CT653="",CU653=""),"",N(CU653)-N(CT653)))</f>
        <v/>
      </c>
      <c r="CZ653">
        <f>IF(OR(CX$3="",CX$3&gt;TODAY()),"",IF(AND(CX653="",CY653=""),"",N(CY653)-N(CX653)))</f>
        <v/>
      </c>
      <c r="DC653">
        <f>IF(OR(CX$3="",CX$3&gt;TODAY()),"",IF(AND(DA653="",DB653=""),"",N(DB653)-N(DA653)))</f>
        <v/>
      </c>
      <c r="DG653">
        <f>IF(OR(DE$3="",DE$3&gt;TODAY()),"",IF(AND(DE653="",DF653=""),"",N(DF653)-N(DE653)))</f>
        <v/>
      </c>
      <c r="DJ653">
        <f>IF(OR(DE$3="",DE$3&gt;TODAY()),"",IF(AND(DH653="",DI653=""),"",N(DI653)-N(DH653)))</f>
        <v/>
      </c>
      <c r="DN653">
        <f>IF(OR(DL$3="",DL$3&gt;TODAY()),"",IF(AND(DL653="",DM653=""),"",N(DM653)-N(DL653)))</f>
        <v/>
      </c>
      <c r="DQ653">
        <f>IF(OR(DL$3="",DL$3&gt;TODAY()),"",IF(AND(DO653="",DP653=""),"",N(DP653)-N(DO653)))</f>
        <v/>
      </c>
      <c r="DU653">
        <f>IF(OR(DS$3="",DS$3&gt;TODAY()),"",IF(AND(DS653="",DT653=""),"",N(DT653)-N(DS653)))</f>
        <v/>
      </c>
      <c r="DX653">
        <f>IF(OR(DS$3="",DS$3&gt;TODAY()),"",IF(AND(DV653="",DW653=""),"",N(DW653)-N(DV653)))</f>
        <v/>
      </c>
      <c r="EB653">
        <f>IF(OR(DZ$3="",DZ$3&gt;TODAY()),"",IF(AND(DZ653="",EA653=""),"",N(EA653)-N(DZ653)))</f>
        <v/>
      </c>
      <c r="EE653">
        <f>IF(OR(DZ$3="",DZ$3&gt;TODAY()),"",IF(AND(EC653="",ED653=""),"",N(ED653)-N(EC653)))</f>
        <v/>
      </c>
      <c r="EI653">
        <f>IF(OR(EG$3="",EG$3&gt;TODAY()),"",IF(AND(EG653="",EH653=""),"",N(EH653)-N(EG653)))</f>
        <v/>
      </c>
      <c r="EL653">
        <f>IF(OR(EG$3="",EG$3&gt;TODAY()),"",IF(AND(EJ653="",EK653=""),"",N(EK653)-N(EJ653)))</f>
        <v/>
      </c>
      <c r="EP653">
        <f>IF(OR(EN$3="",EN$3&gt;TODAY()),"",IF(AND(EN653="",EO653=""),"",N(EO653)-N(EN653)))</f>
        <v/>
      </c>
      <c r="ES653">
        <f>IF(OR(EN$3="",EN$3&gt;TODAY()),"",IF(AND(EQ653="",ER653=""),"",N(ER653)-N(EQ653)))</f>
        <v/>
      </c>
      <c r="EW653">
        <f>IF(OR(EU$3="",EU$3&gt;TODAY()),"",IF(AND(EU653="",EV653=""),"",N(EV653)-N(EU653)))</f>
        <v/>
      </c>
      <c r="EZ653">
        <f>IF(OR(EU$3="",EU$3&gt;TODAY()),"",IF(AND(EX653="",EY653=""),"",N(EY653)-N(EX653)))</f>
        <v/>
      </c>
      <c r="FD653">
        <f>IF(OR(FB$3="",FB$3&gt;TODAY()),"",IF(AND(FB653="",FC653=""),"",N(FC653)-N(FB653)))</f>
        <v/>
      </c>
      <c r="FG653">
        <f>IF(OR(FB$3="",FB$3&gt;TODAY()),"",IF(AND(FE653="",FF653=""),"",N(FF653)-N(FE653)))</f>
        <v/>
      </c>
      <c r="FK653">
        <f>IF(OR(FI$3="",FI$3&gt;TODAY()),"",IF(AND(FI653="",FJ653=""),"",N(FJ653)-N(FI653)))</f>
        <v/>
      </c>
      <c r="FN653">
        <f>IF(OR(FI$3="",FI$3&gt;TODAY()),"",IF(AND(FL653="",FM653=""),"",N(FM653)-N(FL653)))</f>
        <v/>
      </c>
      <c r="FR653">
        <f>IF(OR(FP$3="",FP$3&gt;TODAY()),"",IF(AND(FP653="",FQ653=""),"",N(FQ653)-N(FP653)))</f>
        <v/>
      </c>
      <c r="FU653">
        <f>IF(OR(FP$3="",FP$3&gt;TODAY()),"",IF(AND(FS653="",FT653=""),"",N(FT653)-N(FS653)))</f>
        <v/>
      </c>
      <c r="FY653">
        <f>IF(OR(FW$3="",FW$3&gt;TODAY()),"",IF(AND(FW653="",FX653=""),"",N(FX653)-N(FW653)))</f>
        <v/>
      </c>
      <c r="GB653">
        <f>IF(OR(FW$3="",FW$3&gt;TODAY()),"",IF(AND(FZ653="",GA653=""),"",N(GA653)-N(FZ653)))</f>
        <v/>
      </c>
      <c r="GF653">
        <f>IF(OR(GD$3="",GD$3&gt;TODAY()),"",IF(AND(GD653="",GE653=""),"",N(GE653)-N(GD653)))</f>
        <v/>
      </c>
      <c r="GI653">
        <f>IF(OR(GD$3="",GD$3&gt;TODAY()),"",IF(AND(GG653="",GH653=""),"",N(GH653)-N(GG653)))</f>
        <v/>
      </c>
      <c r="GM653">
        <f>IF(OR(GK$3="",GK$3&gt;TODAY()),"",IF(AND(GK653="",GL653=""),"",N(GL653)-N(GK653)))</f>
        <v/>
      </c>
      <c r="GP653">
        <f>IF(OR(GK$3="",GK$3&gt;TODAY()),"",IF(AND(GN653="",GO653=""),"",N(GO653)-N(GN653)))</f>
        <v/>
      </c>
      <c r="GT653">
        <f>IF(OR(GR$3="",GR$3&gt;TODAY()),"",IF(AND(GR653="",GS653=""),"",N(GS653)-N(GR653)))</f>
        <v/>
      </c>
      <c r="GW653">
        <f>IF(OR(GR$3="",GR$3&gt;TODAY()),"",IF(AND(GU653="",GV653=""),"",N(GV653)-N(GU653)))</f>
        <v/>
      </c>
      <c r="HA653">
        <f>IF(OR(GY$3="",GY$3&gt;TODAY()),"",IF(AND(GY653="",GZ653=""),"",N(GZ653)-N(GY653)))</f>
        <v/>
      </c>
      <c r="HD653">
        <f>IF(OR(GY$3="",GY$3&gt;TODAY()),"",IF(AND(HB653="",HC653=""),"",N(HC653)-N(HB653)))</f>
        <v/>
      </c>
      <c r="HH653">
        <f>IF(OR(HF$3="",HF$3&gt;TODAY()),"",IF(AND(HF653="",HG653=""),"",N(HG653)-N(HF653)))</f>
        <v/>
      </c>
      <c r="HK653">
        <f>IF(OR(HF$3="",HF$3&gt;TODAY()),"",IF(AND(HI653="",HJ653=""),"",N(HJ653)-N(HI653)))</f>
        <v/>
      </c>
      <c r="HO653">
        <f>IF(OR(HM$3="",HM$3&gt;TODAY()),"",IF(AND(HM653="",HN653=""),"",N(HN653)-N(HM653)))</f>
        <v/>
      </c>
      <c r="HR653">
        <f>IF(OR(HM$3="",HM$3&gt;TODAY()),"",IF(AND(HP653="",HQ653=""),"",N(HQ653)-N(HP653)))</f>
        <v/>
      </c>
      <c r="HV653">
        <f>IF(OR(HT$3="",HT$3&gt;TODAY()),"",IF(AND(HT653="",HU653=""),"",N(HU653)-N(HT653)))</f>
        <v/>
      </c>
      <c r="HY653">
        <f>IF(OR(HT$3="",HT$3&gt;TODAY()),"",IF(AND(HW653="",HX653=""),"",N(HX653)-N(HW653)))</f>
        <v/>
      </c>
      <c r="IC653">
        <f>IF(OR(IA$3="",IA$3&gt;TODAY()),"",IF(AND(IA653="",IB653=""),"",N(IB653)-N(IA653)))</f>
        <v/>
      </c>
      <c r="IF653">
        <f>IF(OR(IA$3="",IA$3&gt;TODAY()),"",IF(AND(ID653="",IE653=""),"",N(IE653)-N(ID653)))</f>
        <v/>
      </c>
      <c r="IJ653">
        <f>IF(OR(IH$3="",IH$3&gt;TODAY()),"",IF(AND(IH653="",II653=""),"",N(II653)-N(IH653)))</f>
        <v/>
      </c>
      <c r="IM653">
        <f>IF(OR(IH$3="",IH$3&gt;TODAY()),"",IF(AND(IK653="",IL653=""),"",N(IL653)-N(IK653)))</f>
        <v/>
      </c>
    </row>
    <row r="654">
      <c r="A654" s="21" t="n"/>
      <c r="B654" s="21" t="n"/>
      <c r="C654" s="21" t="n"/>
      <c r="D654" s="21" t="n"/>
      <c r="E654" s="21" t="n"/>
      <c r="F654" s="21" t="n"/>
      <c r="G654" s="21" t="n"/>
      <c r="H654" s="21" t="n"/>
      <c r="I654" s="22" t="n"/>
      <c r="J654" s="22" t="n"/>
      <c r="K654" s="23" t="n"/>
      <c r="L654" s="22" t="n"/>
      <c r="M654" s="22" t="n"/>
      <c r="N654" s="21" t="n"/>
      <c r="O654" s="23" t="n"/>
      <c r="P654" s="23" t="n"/>
      <c r="Q654" s="23" t="n"/>
      <c r="R654" s="23" t="n"/>
      <c r="S654" s="22" t="n"/>
      <c r="T654" s="23" t="n"/>
      <c r="U654" s="23" t="n"/>
      <c r="V654" s="24">
        <f>IF(J654&lt;&gt;"",J654,IF(I654&lt;&gt;"",I654,""))</f>
        <v/>
      </c>
      <c r="W654" s="25">
        <f>IF($E654="","",N(O654)+SUMIFS($AF654:$IN654,$AF$4:$IN$4,"SEW_ACT"))</f>
        <v/>
      </c>
      <c r="X654" s="25">
        <f>IF($E654="","",N(P654)+SUMIFS($AF654:$IN654,$AF$4:$IN$4,"WASH_ACT"))</f>
        <v/>
      </c>
      <c r="Y654" s="25">
        <f>IF($E654="","",W654-X654-N(T654)-N(U654))</f>
        <v/>
      </c>
      <c r="Z654" s="25">
        <f>IF($E654="","",IF(N(K654)-X654&lt;=0.02*N(K654),0,N(K654)-X654))</f>
        <v/>
      </c>
      <c r="AA654" s="24">
        <f>IF($E654="","",IF(S654&lt;&gt;"",S654,IF(N(O654)&gt;0,IF(L654&lt;&gt;"",L654,99999),IFERROR(1/(1/_xlfn.MINIFS($AF$3:$IN$3,$AF$4:$IN$4,"SEW_ACT",$AF654:$IN654,"&gt;0")),99999))))</f>
        <v/>
      </c>
      <c r="AB654" s="26">
        <f>IF(OR($E654="",Z654=0,V654=""),"",1+COUNTIFS(Z$8:Z$707,"&gt;0",V$8:V$707,"&lt;"&amp;V654)+COUNTIFS(Z$8:Z$707,"&gt;0",V$8:V$707,V654,AA$8:AA$707,"&lt;"&amp;AA654)+COUNTIFS(Z$8:Z$707,"&gt;0",V$8:V$707,V654,AA$8:AA$707,AA654,E$8:E$707,"&lt;"&amp;$E654))</f>
        <v/>
      </c>
      <c r="AC654" s="24">
        <f>IF(OR($E654="",Z654=0),"",IFERROR(TODAY()+ROUNDUP(Z654/(SUMIFS($AF654:$IN654,$AF$4:$IN$4,"WASH_ACT")/COUNTIFS($AF$4:$IN$4,"WASH_ACT",$AF654:$IN654,"&gt;0")),0),"no output yet"))</f>
        <v/>
      </c>
      <c r="AD654" s="26">
        <f>IF($E654="","",IFERROR(ROUND(MAX(0,SUMIFS($AF654:$IN654,$AF$4:$IN$4,"SEW_PLAN",$AF$3:$IN$3,"&lt;="&amp;TODAY())-SUMIFS($AF654:$IN654,$AF$4:$IN$4,"SEW_ACT",$AF$3:$IN$3,"&lt;="&amp;TODAY())+N(Q654))/(SUMIFS($AF654:$IN654,$AF$4:$IN$4,"SEW_PLAN")/COUNTIFS($AF$4:$IN$4,"SEW_PLAN",$AF654:$IN654,"&gt;0")),1),0))</f>
        <v/>
      </c>
      <c r="AE654" s="26">
        <f>IF($E654="","",IF(AND(Z654&gt;0,OR(AND(M654&lt;&gt;"",TODAY()&gt;M654),AND(V654&lt;&gt;"",V654-TODAY()&lt;=7))),"Yes","No"))</f>
        <v/>
      </c>
      <c r="AH654">
        <f>IF(OR(AF$3="",AF$3&gt;TODAY()),"",IF(AND(AF654="",AG654=""),"",N(AG654)-N(AF654)))</f>
        <v/>
      </c>
      <c r="AK654">
        <f>IF(OR(AF$3="",AF$3&gt;TODAY()),"",IF(AND(AI654="",AJ654=""),"",N(AJ654)-N(AI654)))</f>
        <v/>
      </c>
      <c r="AO654">
        <f>IF(OR(AM$3="",AM$3&gt;TODAY()),"",IF(AND(AM654="",AN654=""),"",N(AN654)-N(AM654)))</f>
        <v/>
      </c>
      <c r="AR654">
        <f>IF(OR(AM$3="",AM$3&gt;TODAY()),"",IF(AND(AP654="",AQ654=""),"",N(AQ654)-N(AP654)))</f>
        <v/>
      </c>
      <c r="AV654">
        <f>IF(OR(AT$3="",AT$3&gt;TODAY()),"",IF(AND(AT654="",AU654=""),"",N(AU654)-N(AT654)))</f>
        <v/>
      </c>
      <c r="AY654">
        <f>IF(OR(AT$3="",AT$3&gt;TODAY()),"",IF(AND(AW654="",AX654=""),"",N(AX654)-N(AW654)))</f>
        <v/>
      </c>
      <c r="BC654">
        <f>IF(OR(BA$3="",BA$3&gt;TODAY()),"",IF(AND(BA654="",BB654=""),"",N(BB654)-N(BA654)))</f>
        <v/>
      </c>
      <c r="BF654">
        <f>IF(OR(BA$3="",BA$3&gt;TODAY()),"",IF(AND(BD654="",BE654=""),"",N(BE654)-N(BD654)))</f>
        <v/>
      </c>
      <c r="BJ654">
        <f>IF(OR(BH$3="",BH$3&gt;TODAY()),"",IF(AND(BH654="",BI654=""),"",N(BI654)-N(BH654)))</f>
        <v/>
      </c>
      <c r="BM654">
        <f>IF(OR(BH$3="",BH$3&gt;TODAY()),"",IF(AND(BK654="",BL654=""),"",N(BL654)-N(BK654)))</f>
        <v/>
      </c>
      <c r="BQ654">
        <f>IF(OR(BO$3="",BO$3&gt;TODAY()),"",IF(AND(BO654="",BP654=""),"",N(BP654)-N(BO654)))</f>
        <v/>
      </c>
      <c r="BT654">
        <f>IF(OR(BO$3="",BO$3&gt;TODAY()),"",IF(AND(BR654="",BS654=""),"",N(BS654)-N(BR654)))</f>
        <v/>
      </c>
      <c r="BX654">
        <f>IF(OR(BV$3="",BV$3&gt;TODAY()),"",IF(AND(BV654="",BW654=""),"",N(BW654)-N(BV654)))</f>
        <v/>
      </c>
      <c r="CA654">
        <f>IF(OR(BV$3="",BV$3&gt;TODAY()),"",IF(AND(BY654="",BZ654=""),"",N(BZ654)-N(BY654)))</f>
        <v/>
      </c>
      <c r="CE654">
        <f>IF(OR(CC$3="",CC$3&gt;TODAY()),"",IF(AND(CC654="",CD654=""),"",N(CD654)-N(CC654)))</f>
        <v/>
      </c>
      <c r="CH654">
        <f>IF(OR(CC$3="",CC$3&gt;TODAY()),"",IF(AND(CF654="",CG654=""),"",N(CG654)-N(CF654)))</f>
        <v/>
      </c>
      <c r="CL654">
        <f>IF(OR(CJ$3="",CJ$3&gt;TODAY()),"",IF(AND(CJ654="",CK654=""),"",N(CK654)-N(CJ654)))</f>
        <v/>
      </c>
      <c r="CO654">
        <f>IF(OR(CJ$3="",CJ$3&gt;TODAY()),"",IF(AND(CM654="",CN654=""),"",N(CN654)-N(CM654)))</f>
        <v/>
      </c>
      <c r="CS654">
        <f>IF(OR(CQ$3="",CQ$3&gt;TODAY()),"",IF(AND(CQ654="",CR654=""),"",N(CR654)-N(CQ654)))</f>
        <v/>
      </c>
      <c r="CV654">
        <f>IF(OR(CQ$3="",CQ$3&gt;TODAY()),"",IF(AND(CT654="",CU654=""),"",N(CU654)-N(CT654)))</f>
        <v/>
      </c>
      <c r="CZ654">
        <f>IF(OR(CX$3="",CX$3&gt;TODAY()),"",IF(AND(CX654="",CY654=""),"",N(CY654)-N(CX654)))</f>
        <v/>
      </c>
      <c r="DC654">
        <f>IF(OR(CX$3="",CX$3&gt;TODAY()),"",IF(AND(DA654="",DB654=""),"",N(DB654)-N(DA654)))</f>
        <v/>
      </c>
      <c r="DG654">
        <f>IF(OR(DE$3="",DE$3&gt;TODAY()),"",IF(AND(DE654="",DF654=""),"",N(DF654)-N(DE654)))</f>
        <v/>
      </c>
      <c r="DJ654">
        <f>IF(OR(DE$3="",DE$3&gt;TODAY()),"",IF(AND(DH654="",DI654=""),"",N(DI654)-N(DH654)))</f>
        <v/>
      </c>
      <c r="DN654">
        <f>IF(OR(DL$3="",DL$3&gt;TODAY()),"",IF(AND(DL654="",DM654=""),"",N(DM654)-N(DL654)))</f>
        <v/>
      </c>
      <c r="DQ654">
        <f>IF(OR(DL$3="",DL$3&gt;TODAY()),"",IF(AND(DO654="",DP654=""),"",N(DP654)-N(DO654)))</f>
        <v/>
      </c>
      <c r="DU654">
        <f>IF(OR(DS$3="",DS$3&gt;TODAY()),"",IF(AND(DS654="",DT654=""),"",N(DT654)-N(DS654)))</f>
        <v/>
      </c>
      <c r="DX654">
        <f>IF(OR(DS$3="",DS$3&gt;TODAY()),"",IF(AND(DV654="",DW654=""),"",N(DW654)-N(DV654)))</f>
        <v/>
      </c>
      <c r="EB654">
        <f>IF(OR(DZ$3="",DZ$3&gt;TODAY()),"",IF(AND(DZ654="",EA654=""),"",N(EA654)-N(DZ654)))</f>
        <v/>
      </c>
      <c r="EE654">
        <f>IF(OR(DZ$3="",DZ$3&gt;TODAY()),"",IF(AND(EC654="",ED654=""),"",N(ED654)-N(EC654)))</f>
        <v/>
      </c>
      <c r="EI654">
        <f>IF(OR(EG$3="",EG$3&gt;TODAY()),"",IF(AND(EG654="",EH654=""),"",N(EH654)-N(EG654)))</f>
        <v/>
      </c>
      <c r="EL654">
        <f>IF(OR(EG$3="",EG$3&gt;TODAY()),"",IF(AND(EJ654="",EK654=""),"",N(EK654)-N(EJ654)))</f>
        <v/>
      </c>
      <c r="EP654">
        <f>IF(OR(EN$3="",EN$3&gt;TODAY()),"",IF(AND(EN654="",EO654=""),"",N(EO654)-N(EN654)))</f>
        <v/>
      </c>
      <c r="ES654">
        <f>IF(OR(EN$3="",EN$3&gt;TODAY()),"",IF(AND(EQ654="",ER654=""),"",N(ER654)-N(EQ654)))</f>
        <v/>
      </c>
      <c r="EW654">
        <f>IF(OR(EU$3="",EU$3&gt;TODAY()),"",IF(AND(EU654="",EV654=""),"",N(EV654)-N(EU654)))</f>
        <v/>
      </c>
      <c r="EZ654">
        <f>IF(OR(EU$3="",EU$3&gt;TODAY()),"",IF(AND(EX654="",EY654=""),"",N(EY654)-N(EX654)))</f>
        <v/>
      </c>
      <c r="FD654">
        <f>IF(OR(FB$3="",FB$3&gt;TODAY()),"",IF(AND(FB654="",FC654=""),"",N(FC654)-N(FB654)))</f>
        <v/>
      </c>
      <c r="FG654">
        <f>IF(OR(FB$3="",FB$3&gt;TODAY()),"",IF(AND(FE654="",FF654=""),"",N(FF654)-N(FE654)))</f>
        <v/>
      </c>
      <c r="FK654">
        <f>IF(OR(FI$3="",FI$3&gt;TODAY()),"",IF(AND(FI654="",FJ654=""),"",N(FJ654)-N(FI654)))</f>
        <v/>
      </c>
      <c r="FN654">
        <f>IF(OR(FI$3="",FI$3&gt;TODAY()),"",IF(AND(FL654="",FM654=""),"",N(FM654)-N(FL654)))</f>
        <v/>
      </c>
      <c r="FR654">
        <f>IF(OR(FP$3="",FP$3&gt;TODAY()),"",IF(AND(FP654="",FQ654=""),"",N(FQ654)-N(FP654)))</f>
        <v/>
      </c>
      <c r="FU654">
        <f>IF(OR(FP$3="",FP$3&gt;TODAY()),"",IF(AND(FS654="",FT654=""),"",N(FT654)-N(FS654)))</f>
        <v/>
      </c>
      <c r="FY654">
        <f>IF(OR(FW$3="",FW$3&gt;TODAY()),"",IF(AND(FW654="",FX654=""),"",N(FX654)-N(FW654)))</f>
        <v/>
      </c>
      <c r="GB654">
        <f>IF(OR(FW$3="",FW$3&gt;TODAY()),"",IF(AND(FZ654="",GA654=""),"",N(GA654)-N(FZ654)))</f>
        <v/>
      </c>
      <c r="GF654">
        <f>IF(OR(GD$3="",GD$3&gt;TODAY()),"",IF(AND(GD654="",GE654=""),"",N(GE654)-N(GD654)))</f>
        <v/>
      </c>
      <c r="GI654">
        <f>IF(OR(GD$3="",GD$3&gt;TODAY()),"",IF(AND(GG654="",GH654=""),"",N(GH654)-N(GG654)))</f>
        <v/>
      </c>
      <c r="GM654">
        <f>IF(OR(GK$3="",GK$3&gt;TODAY()),"",IF(AND(GK654="",GL654=""),"",N(GL654)-N(GK654)))</f>
        <v/>
      </c>
      <c r="GP654">
        <f>IF(OR(GK$3="",GK$3&gt;TODAY()),"",IF(AND(GN654="",GO654=""),"",N(GO654)-N(GN654)))</f>
        <v/>
      </c>
      <c r="GT654">
        <f>IF(OR(GR$3="",GR$3&gt;TODAY()),"",IF(AND(GR654="",GS654=""),"",N(GS654)-N(GR654)))</f>
        <v/>
      </c>
      <c r="GW654">
        <f>IF(OR(GR$3="",GR$3&gt;TODAY()),"",IF(AND(GU654="",GV654=""),"",N(GV654)-N(GU654)))</f>
        <v/>
      </c>
      <c r="HA654">
        <f>IF(OR(GY$3="",GY$3&gt;TODAY()),"",IF(AND(GY654="",GZ654=""),"",N(GZ654)-N(GY654)))</f>
        <v/>
      </c>
      <c r="HD654">
        <f>IF(OR(GY$3="",GY$3&gt;TODAY()),"",IF(AND(HB654="",HC654=""),"",N(HC654)-N(HB654)))</f>
        <v/>
      </c>
      <c r="HH654">
        <f>IF(OR(HF$3="",HF$3&gt;TODAY()),"",IF(AND(HF654="",HG654=""),"",N(HG654)-N(HF654)))</f>
        <v/>
      </c>
      <c r="HK654">
        <f>IF(OR(HF$3="",HF$3&gt;TODAY()),"",IF(AND(HI654="",HJ654=""),"",N(HJ654)-N(HI654)))</f>
        <v/>
      </c>
      <c r="HO654">
        <f>IF(OR(HM$3="",HM$3&gt;TODAY()),"",IF(AND(HM654="",HN654=""),"",N(HN654)-N(HM654)))</f>
        <v/>
      </c>
      <c r="HR654">
        <f>IF(OR(HM$3="",HM$3&gt;TODAY()),"",IF(AND(HP654="",HQ654=""),"",N(HQ654)-N(HP654)))</f>
        <v/>
      </c>
      <c r="HV654">
        <f>IF(OR(HT$3="",HT$3&gt;TODAY()),"",IF(AND(HT654="",HU654=""),"",N(HU654)-N(HT654)))</f>
        <v/>
      </c>
      <c r="HY654">
        <f>IF(OR(HT$3="",HT$3&gt;TODAY()),"",IF(AND(HW654="",HX654=""),"",N(HX654)-N(HW654)))</f>
        <v/>
      </c>
      <c r="IC654">
        <f>IF(OR(IA$3="",IA$3&gt;TODAY()),"",IF(AND(IA654="",IB654=""),"",N(IB654)-N(IA654)))</f>
        <v/>
      </c>
      <c r="IF654">
        <f>IF(OR(IA$3="",IA$3&gt;TODAY()),"",IF(AND(ID654="",IE654=""),"",N(IE654)-N(ID654)))</f>
        <v/>
      </c>
      <c r="IJ654">
        <f>IF(OR(IH$3="",IH$3&gt;TODAY()),"",IF(AND(IH654="",II654=""),"",N(II654)-N(IH654)))</f>
        <v/>
      </c>
      <c r="IM654">
        <f>IF(OR(IH$3="",IH$3&gt;TODAY()),"",IF(AND(IK654="",IL654=""),"",N(IL654)-N(IK654)))</f>
        <v/>
      </c>
    </row>
    <row r="655">
      <c r="A655" s="21" t="n"/>
      <c r="B655" s="21" t="n"/>
      <c r="C655" s="21" t="n"/>
      <c r="D655" s="21" t="n"/>
      <c r="E655" s="21" t="n"/>
      <c r="F655" s="21" t="n"/>
      <c r="G655" s="21" t="n"/>
      <c r="H655" s="21" t="n"/>
      <c r="I655" s="22" t="n"/>
      <c r="J655" s="22" t="n"/>
      <c r="K655" s="23" t="n"/>
      <c r="L655" s="22" t="n"/>
      <c r="M655" s="22" t="n"/>
      <c r="N655" s="21" t="n"/>
      <c r="O655" s="23" t="n"/>
      <c r="P655" s="23" t="n"/>
      <c r="Q655" s="23" t="n"/>
      <c r="R655" s="23" t="n"/>
      <c r="S655" s="22" t="n"/>
      <c r="T655" s="23" t="n"/>
      <c r="U655" s="23" t="n"/>
      <c r="V655" s="24">
        <f>IF(J655&lt;&gt;"",J655,IF(I655&lt;&gt;"",I655,""))</f>
        <v/>
      </c>
      <c r="W655" s="25">
        <f>IF($E655="","",N(O655)+SUMIFS($AF655:$IN655,$AF$4:$IN$4,"SEW_ACT"))</f>
        <v/>
      </c>
      <c r="X655" s="25">
        <f>IF($E655="","",N(P655)+SUMIFS($AF655:$IN655,$AF$4:$IN$4,"WASH_ACT"))</f>
        <v/>
      </c>
      <c r="Y655" s="25">
        <f>IF($E655="","",W655-X655-N(T655)-N(U655))</f>
        <v/>
      </c>
      <c r="Z655" s="25">
        <f>IF($E655="","",IF(N(K655)-X655&lt;=0.02*N(K655),0,N(K655)-X655))</f>
        <v/>
      </c>
      <c r="AA655" s="24">
        <f>IF($E655="","",IF(S655&lt;&gt;"",S655,IF(N(O655)&gt;0,IF(L655&lt;&gt;"",L655,99999),IFERROR(1/(1/_xlfn.MINIFS($AF$3:$IN$3,$AF$4:$IN$4,"SEW_ACT",$AF655:$IN655,"&gt;0")),99999))))</f>
        <v/>
      </c>
      <c r="AB655" s="26">
        <f>IF(OR($E655="",Z655=0,V655=""),"",1+COUNTIFS(Z$8:Z$707,"&gt;0",V$8:V$707,"&lt;"&amp;V655)+COUNTIFS(Z$8:Z$707,"&gt;0",V$8:V$707,V655,AA$8:AA$707,"&lt;"&amp;AA655)+COUNTIFS(Z$8:Z$707,"&gt;0",V$8:V$707,V655,AA$8:AA$707,AA655,E$8:E$707,"&lt;"&amp;$E655))</f>
        <v/>
      </c>
      <c r="AC655" s="24">
        <f>IF(OR($E655="",Z655=0),"",IFERROR(TODAY()+ROUNDUP(Z655/(SUMIFS($AF655:$IN655,$AF$4:$IN$4,"WASH_ACT")/COUNTIFS($AF$4:$IN$4,"WASH_ACT",$AF655:$IN655,"&gt;0")),0),"no output yet"))</f>
        <v/>
      </c>
      <c r="AD655" s="26">
        <f>IF($E655="","",IFERROR(ROUND(MAX(0,SUMIFS($AF655:$IN655,$AF$4:$IN$4,"SEW_PLAN",$AF$3:$IN$3,"&lt;="&amp;TODAY())-SUMIFS($AF655:$IN655,$AF$4:$IN$4,"SEW_ACT",$AF$3:$IN$3,"&lt;="&amp;TODAY())+N(Q655))/(SUMIFS($AF655:$IN655,$AF$4:$IN$4,"SEW_PLAN")/COUNTIFS($AF$4:$IN$4,"SEW_PLAN",$AF655:$IN655,"&gt;0")),1),0))</f>
        <v/>
      </c>
      <c r="AE655" s="26">
        <f>IF($E655="","",IF(AND(Z655&gt;0,OR(AND(M655&lt;&gt;"",TODAY()&gt;M655),AND(V655&lt;&gt;"",V655-TODAY()&lt;=7))),"Yes","No"))</f>
        <v/>
      </c>
      <c r="AH655">
        <f>IF(OR(AF$3="",AF$3&gt;TODAY()),"",IF(AND(AF655="",AG655=""),"",N(AG655)-N(AF655)))</f>
        <v/>
      </c>
      <c r="AK655">
        <f>IF(OR(AF$3="",AF$3&gt;TODAY()),"",IF(AND(AI655="",AJ655=""),"",N(AJ655)-N(AI655)))</f>
        <v/>
      </c>
      <c r="AO655">
        <f>IF(OR(AM$3="",AM$3&gt;TODAY()),"",IF(AND(AM655="",AN655=""),"",N(AN655)-N(AM655)))</f>
        <v/>
      </c>
      <c r="AR655">
        <f>IF(OR(AM$3="",AM$3&gt;TODAY()),"",IF(AND(AP655="",AQ655=""),"",N(AQ655)-N(AP655)))</f>
        <v/>
      </c>
      <c r="AV655">
        <f>IF(OR(AT$3="",AT$3&gt;TODAY()),"",IF(AND(AT655="",AU655=""),"",N(AU655)-N(AT655)))</f>
        <v/>
      </c>
      <c r="AY655">
        <f>IF(OR(AT$3="",AT$3&gt;TODAY()),"",IF(AND(AW655="",AX655=""),"",N(AX655)-N(AW655)))</f>
        <v/>
      </c>
      <c r="BC655">
        <f>IF(OR(BA$3="",BA$3&gt;TODAY()),"",IF(AND(BA655="",BB655=""),"",N(BB655)-N(BA655)))</f>
        <v/>
      </c>
      <c r="BF655">
        <f>IF(OR(BA$3="",BA$3&gt;TODAY()),"",IF(AND(BD655="",BE655=""),"",N(BE655)-N(BD655)))</f>
        <v/>
      </c>
      <c r="BJ655">
        <f>IF(OR(BH$3="",BH$3&gt;TODAY()),"",IF(AND(BH655="",BI655=""),"",N(BI655)-N(BH655)))</f>
        <v/>
      </c>
      <c r="BM655">
        <f>IF(OR(BH$3="",BH$3&gt;TODAY()),"",IF(AND(BK655="",BL655=""),"",N(BL655)-N(BK655)))</f>
        <v/>
      </c>
      <c r="BQ655">
        <f>IF(OR(BO$3="",BO$3&gt;TODAY()),"",IF(AND(BO655="",BP655=""),"",N(BP655)-N(BO655)))</f>
        <v/>
      </c>
      <c r="BT655">
        <f>IF(OR(BO$3="",BO$3&gt;TODAY()),"",IF(AND(BR655="",BS655=""),"",N(BS655)-N(BR655)))</f>
        <v/>
      </c>
      <c r="BX655">
        <f>IF(OR(BV$3="",BV$3&gt;TODAY()),"",IF(AND(BV655="",BW655=""),"",N(BW655)-N(BV655)))</f>
        <v/>
      </c>
      <c r="CA655">
        <f>IF(OR(BV$3="",BV$3&gt;TODAY()),"",IF(AND(BY655="",BZ655=""),"",N(BZ655)-N(BY655)))</f>
        <v/>
      </c>
      <c r="CE655">
        <f>IF(OR(CC$3="",CC$3&gt;TODAY()),"",IF(AND(CC655="",CD655=""),"",N(CD655)-N(CC655)))</f>
        <v/>
      </c>
      <c r="CH655">
        <f>IF(OR(CC$3="",CC$3&gt;TODAY()),"",IF(AND(CF655="",CG655=""),"",N(CG655)-N(CF655)))</f>
        <v/>
      </c>
      <c r="CL655">
        <f>IF(OR(CJ$3="",CJ$3&gt;TODAY()),"",IF(AND(CJ655="",CK655=""),"",N(CK655)-N(CJ655)))</f>
        <v/>
      </c>
      <c r="CO655">
        <f>IF(OR(CJ$3="",CJ$3&gt;TODAY()),"",IF(AND(CM655="",CN655=""),"",N(CN655)-N(CM655)))</f>
        <v/>
      </c>
      <c r="CS655">
        <f>IF(OR(CQ$3="",CQ$3&gt;TODAY()),"",IF(AND(CQ655="",CR655=""),"",N(CR655)-N(CQ655)))</f>
        <v/>
      </c>
      <c r="CV655">
        <f>IF(OR(CQ$3="",CQ$3&gt;TODAY()),"",IF(AND(CT655="",CU655=""),"",N(CU655)-N(CT655)))</f>
        <v/>
      </c>
      <c r="CZ655">
        <f>IF(OR(CX$3="",CX$3&gt;TODAY()),"",IF(AND(CX655="",CY655=""),"",N(CY655)-N(CX655)))</f>
        <v/>
      </c>
      <c r="DC655">
        <f>IF(OR(CX$3="",CX$3&gt;TODAY()),"",IF(AND(DA655="",DB655=""),"",N(DB655)-N(DA655)))</f>
        <v/>
      </c>
      <c r="DG655">
        <f>IF(OR(DE$3="",DE$3&gt;TODAY()),"",IF(AND(DE655="",DF655=""),"",N(DF655)-N(DE655)))</f>
        <v/>
      </c>
      <c r="DJ655">
        <f>IF(OR(DE$3="",DE$3&gt;TODAY()),"",IF(AND(DH655="",DI655=""),"",N(DI655)-N(DH655)))</f>
        <v/>
      </c>
      <c r="DN655">
        <f>IF(OR(DL$3="",DL$3&gt;TODAY()),"",IF(AND(DL655="",DM655=""),"",N(DM655)-N(DL655)))</f>
        <v/>
      </c>
      <c r="DQ655">
        <f>IF(OR(DL$3="",DL$3&gt;TODAY()),"",IF(AND(DO655="",DP655=""),"",N(DP655)-N(DO655)))</f>
        <v/>
      </c>
      <c r="DU655">
        <f>IF(OR(DS$3="",DS$3&gt;TODAY()),"",IF(AND(DS655="",DT655=""),"",N(DT655)-N(DS655)))</f>
        <v/>
      </c>
      <c r="DX655">
        <f>IF(OR(DS$3="",DS$3&gt;TODAY()),"",IF(AND(DV655="",DW655=""),"",N(DW655)-N(DV655)))</f>
        <v/>
      </c>
      <c r="EB655">
        <f>IF(OR(DZ$3="",DZ$3&gt;TODAY()),"",IF(AND(DZ655="",EA655=""),"",N(EA655)-N(DZ655)))</f>
        <v/>
      </c>
      <c r="EE655">
        <f>IF(OR(DZ$3="",DZ$3&gt;TODAY()),"",IF(AND(EC655="",ED655=""),"",N(ED655)-N(EC655)))</f>
        <v/>
      </c>
      <c r="EI655">
        <f>IF(OR(EG$3="",EG$3&gt;TODAY()),"",IF(AND(EG655="",EH655=""),"",N(EH655)-N(EG655)))</f>
        <v/>
      </c>
      <c r="EL655">
        <f>IF(OR(EG$3="",EG$3&gt;TODAY()),"",IF(AND(EJ655="",EK655=""),"",N(EK655)-N(EJ655)))</f>
        <v/>
      </c>
      <c r="EP655">
        <f>IF(OR(EN$3="",EN$3&gt;TODAY()),"",IF(AND(EN655="",EO655=""),"",N(EO655)-N(EN655)))</f>
        <v/>
      </c>
      <c r="ES655">
        <f>IF(OR(EN$3="",EN$3&gt;TODAY()),"",IF(AND(EQ655="",ER655=""),"",N(ER655)-N(EQ655)))</f>
        <v/>
      </c>
      <c r="EW655">
        <f>IF(OR(EU$3="",EU$3&gt;TODAY()),"",IF(AND(EU655="",EV655=""),"",N(EV655)-N(EU655)))</f>
        <v/>
      </c>
      <c r="EZ655">
        <f>IF(OR(EU$3="",EU$3&gt;TODAY()),"",IF(AND(EX655="",EY655=""),"",N(EY655)-N(EX655)))</f>
        <v/>
      </c>
      <c r="FD655">
        <f>IF(OR(FB$3="",FB$3&gt;TODAY()),"",IF(AND(FB655="",FC655=""),"",N(FC655)-N(FB655)))</f>
        <v/>
      </c>
      <c r="FG655">
        <f>IF(OR(FB$3="",FB$3&gt;TODAY()),"",IF(AND(FE655="",FF655=""),"",N(FF655)-N(FE655)))</f>
        <v/>
      </c>
      <c r="FK655">
        <f>IF(OR(FI$3="",FI$3&gt;TODAY()),"",IF(AND(FI655="",FJ655=""),"",N(FJ655)-N(FI655)))</f>
        <v/>
      </c>
      <c r="FN655">
        <f>IF(OR(FI$3="",FI$3&gt;TODAY()),"",IF(AND(FL655="",FM655=""),"",N(FM655)-N(FL655)))</f>
        <v/>
      </c>
      <c r="FR655">
        <f>IF(OR(FP$3="",FP$3&gt;TODAY()),"",IF(AND(FP655="",FQ655=""),"",N(FQ655)-N(FP655)))</f>
        <v/>
      </c>
      <c r="FU655">
        <f>IF(OR(FP$3="",FP$3&gt;TODAY()),"",IF(AND(FS655="",FT655=""),"",N(FT655)-N(FS655)))</f>
        <v/>
      </c>
      <c r="FY655">
        <f>IF(OR(FW$3="",FW$3&gt;TODAY()),"",IF(AND(FW655="",FX655=""),"",N(FX655)-N(FW655)))</f>
        <v/>
      </c>
      <c r="GB655">
        <f>IF(OR(FW$3="",FW$3&gt;TODAY()),"",IF(AND(FZ655="",GA655=""),"",N(GA655)-N(FZ655)))</f>
        <v/>
      </c>
      <c r="GF655">
        <f>IF(OR(GD$3="",GD$3&gt;TODAY()),"",IF(AND(GD655="",GE655=""),"",N(GE655)-N(GD655)))</f>
        <v/>
      </c>
      <c r="GI655">
        <f>IF(OR(GD$3="",GD$3&gt;TODAY()),"",IF(AND(GG655="",GH655=""),"",N(GH655)-N(GG655)))</f>
        <v/>
      </c>
      <c r="GM655">
        <f>IF(OR(GK$3="",GK$3&gt;TODAY()),"",IF(AND(GK655="",GL655=""),"",N(GL655)-N(GK655)))</f>
        <v/>
      </c>
      <c r="GP655">
        <f>IF(OR(GK$3="",GK$3&gt;TODAY()),"",IF(AND(GN655="",GO655=""),"",N(GO655)-N(GN655)))</f>
        <v/>
      </c>
      <c r="GT655">
        <f>IF(OR(GR$3="",GR$3&gt;TODAY()),"",IF(AND(GR655="",GS655=""),"",N(GS655)-N(GR655)))</f>
        <v/>
      </c>
      <c r="GW655">
        <f>IF(OR(GR$3="",GR$3&gt;TODAY()),"",IF(AND(GU655="",GV655=""),"",N(GV655)-N(GU655)))</f>
        <v/>
      </c>
      <c r="HA655">
        <f>IF(OR(GY$3="",GY$3&gt;TODAY()),"",IF(AND(GY655="",GZ655=""),"",N(GZ655)-N(GY655)))</f>
        <v/>
      </c>
      <c r="HD655">
        <f>IF(OR(GY$3="",GY$3&gt;TODAY()),"",IF(AND(HB655="",HC655=""),"",N(HC655)-N(HB655)))</f>
        <v/>
      </c>
      <c r="HH655">
        <f>IF(OR(HF$3="",HF$3&gt;TODAY()),"",IF(AND(HF655="",HG655=""),"",N(HG655)-N(HF655)))</f>
        <v/>
      </c>
      <c r="HK655">
        <f>IF(OR(HF$3="",HF$3&gt;TODAY()),"",IF(AND(HI655="",HJ655=""),"",N(HJ655)-N(HI655)))</f>
        <v/>
      </c>
      <c r="HO655">
        <f>IF(OR(HM$3="",HM$3&gt;TODAY()),"",IF(AND(HM655="",HN655=""),"",N(HN655)-N(HM655)))</f>
        <v/>
      </c>
      <c r="HR655">
        <f>IF(OR(HM$3="",HM$3&gt;TODAY()),"",IF(AND(HP655="",HQ655=""),"",N(HQ655)-N(HP655)))</f>
        <v/>
      </c>
      <c r="HV655">
        <f>IF(OR(HT$3="",HT$3&gt;TODAY()),"",IF(AND(HT655="",HU655=""),"",N(HU655)-N(HT655)))</f>
        <v/>
      </c>
      <c r="HY655">
        <f>IF(OR(HT$3="",HT$3&gt;TODAY()),"",IF(AND(HW655="",HX655=""),"",N(HX655)-N(HW655)))</f>
        <v/>
      </c>
      <c r="IC655">
        <f>IF(OR(IA$3="",IA$3&gt;TODAY()),"",IF(AND(IA655="",IB655=""),"",N(IB655)-N(IA655)))</f>
        <v/>
      </c>
      <c r="IF655">
        <f>IF(OR(IA$3="",IA$3&gt;TODAY()),"",IF(AND(ID655="",IE655=""),"",N(IE655)-N(ID655)))</f>
        <v/>
      </c>
      <c r="IJ655">
        <f>IF(OR(IH$3="",IH$3&gt;TODAY()),"",IF(AND(IH655="",II655=""),"",N(II655)-N(IH655)))</f>
        <v/>
      </c>
      <c r="IM655">
        <f>IF(OR(IH$3="",IH$3&gt;TODAY()),"",IF(AND(IK655="",IL655=""),"",N(IL655)-N(IK655)))</f>
        <v/>
      </c>
    </row>
    <row r="656">
      <c r="A656" s="21" t="n"/>
      <c r="B656" s="21" t="n"/>
      <c r="C656" s="21" t="n"/>
      <c r="D656" s="21" t="n"/>
      <c r="E656" s="21" t="n"/>
      <c r="F656" s="21" t="n"/>
      <c r="G656" s="21" t="n"/>
      <c r="H656" s="21" t="n"/>
      <c r="I656" s="22" t="n"/>
      <c r="J656" s="22" t="n"/>
      <c r="K656" s="23" t="n"/>
      <c r="L656" s="22" t="n"/>
      <c r="M656" s="22" t="n"/>
      <c r="N656" s="21" t="n"/>
      <c r="O656" s="23" t="n"/>
      <c r="P656" s="23" t="n"/>
      <c r="Q656" s="23" t="n"/>
      <c r="R656" s="23" t="n"/>
      <c r="S656" s="22" t="n"/>
      <c r="T656" s="23" t="n"/>
      <c r="U656" s="23" t="n"/>
      <c r="V656" s="24">
        <f>IF(J656&lt;&gt;"",J656,IF(I656&lt;&gt;"",I656,""))</f>
        <v/>
      </c>
      <c r="W656" s="25">
        <f>IF($E656="","",N(O656)+SUMIFS($AF656:$IN656,$AF$4:$IN$4,"SEW_ACT"))</f>
        <v/>
      </c>
      <c r="X656" s="25">
        <f>IF($E656="","",N(P656)+SUMIFS($AF656:$IN656,$AF$4:$IN$4,"WASH_ACT"))</f>
        <v/>
      </c>
      <c r="Y656" s="25">
        <f>IF($E656="","",W656-X656-N(T656)-N(U656))</f>
        <v/>
      </c>
      <c r="Z656" s="25">
        <f>IF($E656="","",IF(N(K656)-X656&lt;=0.02*N(K656),0,N(K656)-X656))</f>
        <v/>
      </c>
      <c r="AA656" s="24">
        <f>IF($E656="","",IF(S656&lt;&gt;"",S656,IF(N(O656)&gt;0,IF(L656&lt;&gt;"",L656,99999),IFERROR(1/(1/_xlfn.MINIFS($AF$3:$IN$3,$AF$4:$IN$4,"SEW_ACT",$AF656:$IN656,"&gt;0")),99999))))</f>
        <v/>
      </c>
      <c r="AB656" s="26">
        <f>IF(OR($E656="",Z656=0,V656=""),"",1+COUNTIFS(Z$8:Z$707,"&gt;0",V$8:V$707,"&lt;"&amp;V656)+COUNTIFS(Z$8:Z$707,"&gt;0",V$8:V$707,V656,AA$8:AA$707,"&lt;"&amp;AA656)+COUNTIFS(Z$8:Z$707,"&gt;0",V$8:V$707,V656,AA$8:AA$707,AA656,E$8:E$707,"&lt;"&amp;$E656))</f>
        <v/>
      </c>
      <c r="AC656" s="24">
        <f>IF(OR($E656="",Z656=0),"",IFERROR(TODAY()+ROUNDUP(Z656/(SUMIFS($AF656:$IN656,$AF$4:$IN$4,"WASH_ACT")/COUNTIFS($AF$4:$IN$4,"WASH_ACT",$AF656:$IN656,"&gt;0")),0),"no output yet"))</f>
        <v/>
      </c>
      <c r="AD656" s="26">
        <f>IF($E656="","",IFERROR(ROUND(MAX(0,SUMIFS($AF656:$IN656,$AF$4:$IN$4,"SEW_PLAN",$AF$3:$IN$3,"&lt;="&amp;TODAY())-SUMIFS($AF656:$IN656,$AF$4:$IN$4,"SEW_ACT",$AF$3:$IN$3,"&lt;="&amp;TODAY())+N(Q656))/(SUMIFS($AF656:$IN656,$AF$4:$IN$4,"SEW_PLAN")/COUNTIFS($AF$4:$IN$4,"SEW_PLAN",$AF656:$IN656,"&gt;0")),1),0))</f>
        <v/>
      </c>
      <c r="AE656" s="26">
        <f>IF($E656="","",IF(AND(Z656&gt;0,OR(AND(M656&lt;&gt;"",TODAY()&gt;M656),AND(V656&lt;&gt;"",V656-TODAY()&lt;=7))),"Yes","No"))</f>
        <v/>
      </c>
      <c r="AH656">
        <f>IF(OR(AF$3="",AF$3&gt;TODAY()),"",IF(AND(AF656="",AG656=""),"",N(AG656)-N(AF656)))</f>
        <v/>
      </c>
      <c r="AK656">
        <f>IF(OR(AF$3="",AF$3&gt;TODAY()),"",IF(AND(AI656="",AJ656=""),"",N(AJ656)-N(AI656)))</f>
        <v/>
      </c>
      <c r="AO656">
        <f>IF(OR(AM$3="",AM$3&gt;TODAY()),"",IF(AND(AM656="",AN656=""),"",N(AN656)-N(AM656)))</f>
        <v/>
      </c>
      <c r="AR656">
        <f>IF(OR(AM$3="",AM$3&gt;TODAY()),"",IF(AND(AP656="",AQ656=""),"",N(AQ656)-N(AP656)))</f>
        <v/>
      </c>
      <c r="AV656">
        <f>IF(OR(AT$3="",AT$3&gt;TODAY()),"",IF(AND(AT656="",AU656=""),"",N(AU656)-N(AT656)))</f>
        <v/>
      </c>
      <c r="AY656">
        <f>IF(OR(AT$3="",AT$3&gt;TODAY()),"",IF(AND(AW656="",AX656=""),"",N(AX656)-N(AW656)))</f>
        <v/>
      </c>
      <c r="BC656">
        <f>IF(OR(BA$3="",BA$3&gt;TODAY()),"",IF(AND(BA656="",BB656=""),"",N(BB656)-N(BA656)))</f>
        <v/>
      </c>
      <c r="BF656">
        <f>IF(OR(BA$3="",BA$3&gt;TODAY()),"",IF(AND(BD656="",BE656=""),"",N(BE656)-N(BD656)))</f>
        <v/>
      </c>
      <c r="BJ656">
        <f>IF(OR(BH$3="",BH$3&gt;TODAY()),"",IF(AND(BH656="",BI656=""),"",N(BI656)-N(BH656)))</f>
        <v/>
      </c>
      <c r="BM656">
        <f>IF(OR(BH$3="",BH$3&gt;TODAY()),"",IF(AND(BK656="",BL656=""),"",N(BL656)-N(BK656)))</f>
        <v/>
      </c>
      <c r="BQ656">
        <f>IF(OR(BO$3="",BO$3&gt;TODAY()),"",IF(AND(BO656="",BP656=""),"",N(BP656)-N(BO656)))</f>
        <v/>
      </c>
      <c r="BT656">
        <f>IF(OR(BO$3="",BO$3&gt;TODAY()),"",IF(AND(BR656="",BS656=""),"",N(BS656)-N(BR656)))</f>
        <v/>
      </c>
      <c r="BX656">
        <f>IF(OR(BV$3="",BV$3&gt;TODAY()),"",IF(AND(BV656="",BW656=""),"",N(BW656)-N(BV656)))</f>
        <v/>
      </c>
      <c r="CA656">
        <f>IF(OR(BV$3="",BV$3&gt;TODAY()),"",IF(AND(BY656="",BZ656=""),"",N(BZ656)-N(BY656)))</f>
        <v/>
      </c>
      <c r="CE656">
        <f>IF(OR(CC$3="",CC$3&gt;TODAY()),"",IF(AND(CC656="",CD656=""),"",N(CD656)-N(CC656)))</f>
        <v/>
      </c>
      <c r="CH656">
        <f>IF(OR(CC$3="",CC$3&gt;TODAY()),"",IF(AND(CF656="",CG656=""),"",N(CG656)-N(CF656)))</f>
        <v/>
      </c>
      <c r="CL656">
        <f>IF(OR(CJ$3="",CJ$3&gt;TODAY()),"",IF(AND(CJ656="",CK656=""),"",N(CK656)-N(CJ656)))</f>
        <v/>
      </c>
      <c r="CO656">
        <f>IF(OR(CJ$3="",CJ$3&gt;TODAY()),"",IF(AND(CM656="",CN656=""),"",N(CN656)-N(CM656)))</f>
        <v/>
      </c>
      <c r="CS656">
        <f>IF(OR(CQ$3="",CQ$3&gt;TODAY()),"",IF(AND(CQ656="",CR656=""),"",N(CR656)-N(CQ656)))</f>
        <v/>
      </c>
      <c r="CV656">
        <f>IF(OR(CQ$3="",CQ$3&gt;TODAY()),"",IF(AND(CT656="",CU656=""),"",N(CU656)-N(CT656)))</f>
        <v/>
      </c>
      <c r="CZ656">
        <f>IF(OR(CX$3="",CX$3&gt;TODAY()),"",IF(AND(CX656="",CY656=""),"",N(CY656)-N(CX656)))</f>
        <v/>
      </c>
      <c r="DC656">
        <f>IF(OR(CX$3="",CX$3&gt;TODAY()),"",IF(AND(DA656="",DB656=""),"",N(DB656)-N(DA656)))</f>
        <v/>
      </c>
      <c r="DG656">
        <f>IF(OR(DE$3="",DE$3&gt;TODAY()),"",IF(AND(DE656="",DF656=""),"",N(DF656)-N(DE656)))</f>
        <v/>
      </c>
      <c r="DJ656">
        <f>IF(OR(DE$3="",DE$3&gt;TODAY()),"",IF(AND(DH656="",DI656=""),"",N(DI656)-N(DH656)))</f>
        <v/>
      </c>
      <c r="DN656">
        <f>IF(OR(DL$3="",DL$3&gt;TODAY()),"",IF(AND(DL656="",DM656=""),"",N(DM656)-N(DL656)))</f>
        <v/>
      </c>
      <c r="DQ656">
        <f>IF(OR(DL$3="",DL$3&gt;TODAY()),"",IF(AND(DO656="",DP656=""),"",N(DP656)-N(DO656)))</f>
        <v/>
      </c>
      <c r="DU656">
        <f>IF(OR(DS$3="",DS$3&gt;TODAY()),"",IF(AND(DS656="",DT656=""),"",N(DT656)-N(DS656)))</f>
        <v/>
      </c>
      <c r="DX656">
        <f>IF(OR(DS$3="",DS$3&gt;TODAY()),"",IF(AND(DV656="",DW656=""),"",N(DW656)-N(DV656)))</f>
        <v/>
      </c>
      <c r="EB656">
        <f>IF(OR(DZ$3="",DZ$3&gt;TODAY()),"",IF(AND(DZ656="",EA656=""),"",N(EA656)-N(DZ656)))</f>
        <v/>
      </c>
      <c r="EE656">
        <f>IF(OR(DZ$3="",DZ$3&gt;TODAY()),"",IF(AND(EC656="",ED656=""),"",N(ED656)-N(EC656)))</f>
        <v/>
      </c>
      <c r="EI656">
        <f>IF(OR(EG$3="",EG$3&gt;TODAY()),"",IF(AND(EG656="",EH656=""),"",N(EH656)-N(EG656)))</f>
        <v/>
      </c>
      <c r="EL656">
        <f>IF(OR(EG$3="",EG$3&gt;TODAY()),"",IF(AND(EJ656="",EK656=""),"",N(EK656)-N(EJ656)))</f>
        <v/>
      </c>
      <c r="EP656">
        <f>IF(OR(EN$3="",EN$3&gt;TODAY()),"",IF(AND(EN656="",EO656=""),"",N(EO656)-N(EN656)))</f>
        <v/>
      </c>
      <c r="ES656">
        <f>IF(OR(EN$3="",EN$3&gt;TODAY()),"",IF(AND(EQ656="",ER656=""),"",N(ER656)-N(EQ656)))</f>
        <v/>
      </c>
      <c r="EW656">
        <f>IF(OR(EU$3="",EU$3&gt;TODAY()),"",IF(AND(EU656="",EV656=""),"",N(EV656)-N(EU656)))</f>
        <v/>
      </c>
      <c r="EZ656">
        <f>IF(OR(EU$3="",EU$3&gt;TODAY()),"",IF(AND(EX656="",EY656=""),"",N(EY656)-N(EX656)))</f>
        <v/>
      </c>
      <c r="FD656">
        <f>IF(OR(FB$3="",FB$3&gt;TODAY()),"",IF(AND(FB656="",FC656=""),"",N(FC656)-N(FB656)))</f>
        <v/>
      </c>
      <c r="FG656">
        <f>IF(OR(FB$3="",FB$3&gt;TODAY()),"",IF(AND(FE656="",FF656=""),"",N(FF656)-N(FE656)))</f>
        <v/>
      </c>
      <c r="FK656">
        <f>IF(OR(FI$3="",FI$3&gt;TODAY()),"",IF(AND(FI656="",FJ656=""),"",N(FJ656)-N(FI656)))</f>
        <v/>
      </c>
      <c r="FN656">
        <f>IF(OR(FI$3="",FI$3&gt;TODAY()),"",IF(AND(FL656="",FM656=""),"",N(FM656)-N(FL656)))</f>
        <v/>
      </c>
      <c r="FR656">
        <f>IF(OR(FP$3="",FP$3&gt;TODAY()),"",IF(AND(FP656="",FQ656=""),"",N(FQ656)-N(FP656)))</f>
        <v/>
      </c>
      <c r="FU656">
        <f>IF(OR(FP$3="",FP$3&gt;TODAY()),"",IF(AND(FS656="",FT656=""),"",N(FT656)-N(FS656)))</f>
        <v/>
      </c>
      <c r="FY656">
        <f>IF(OR(FW$3="",FW$3&gt;TODAY()),"",IF(AND(FW656="",FX656=""),"",N(FX656)-N(FW656)))</f>
        <v/>
      </c>
      <c r="GB656">
        <f>IF(OR(FW$3="",FW$3&gt;TODAY()),"",IF(AND(FZ656="",GA656=""),"",N(GA656)-N(FZ656)))</f>
        <v/>
      </c>
      <c r="GF656">
        <f>IF(OR(GD$3="",GD$3&gt;TODAY()),"",IF(AND(GD656="",GE656=""),"",N(GE656)-N(GD656)))</f>
        <v/>
      </c>
      <c r="GI656">
        <f>IF(OR(GD$3="",GD$3&gt;TODAY()),"",IF(AND(GG656="",GH656=""),"",N(GH656)-N(GG656)))</f>
        <v/>
      </c>
      <c r="GM656">
        <f>IF(OR(GK$3="",GK$3&gt;TODAY()),"",IF(AND(GK656="",GL656=""),"",N(GL656)-N(GK656)))</f>
        <v/>
      </c>
      <c r="GP656">
        <f>IF(OR(GK$3="",GK$3&gt;TODAY()),"",IF(AND(GN656="",GO656=""),"",N(GO656)-N(GN656)))</f>
        <v/>
      </c>
      <c r="GT656">
        <f>IF(OR(GR$3="",GR$3&gt;TODAY()),"",IF(AND(GR656="",GS656=""),"",N(GS656)-N(GR656)))</f>
        <v/>
      </c>
      <c r="GW656">
        <f>IF(OR(GR$3="",GR$3&gt;TODAY()),"",IF(AND(GU656="",GV656=""),"",N(GV656)-N(GU656)))</f>
        <v/>
      </c>
      <c r="HA656">
        <f>IF(OR(GY$3="",GY$3&gt;TODAY()),"",IF(AND(GY656="",GZ656=""),"",N(GZ656)-N(GY656)))</f>
        <v/>
      </c>
      <c r="HD656">
        <f>IF(OR(GY$3="",GY$3&gt;TODAY()),"",IF(AND(HB656="",HC656=""),"",N(HC656)-N(HB656)))</f>
        <v/>
      </c>
      <c r="HH656">
        <f>IF(OR(HF$3="",HF$3&gt;TODAY()),"",IF(AND(HF656="",HG656=""),"",N(HG656)-N(HF656)))</f>
        <v/>
      </c>
      <c r="HK656">
        <f>IF(OR(HF$3="",HF$3&gt;TODAY()),"",IF(AND(HI656="",HJ656=""),"",N(HJ656)-N(HI656)))</f>
        <v/>
      </c>
      <c r="HO656">
        <f>IF(OR(HM$3="",HM$3&gt;TODAY()),"",IF(AND(HM656="",HN656=""),"",N(HN656)-N(HM656)))</f>
        <v/>
      </c>
      <c r="HR656">
        <f>IF(OR(HM$3="",HM$3&gt;TODAY()),"",IF(AND(HP656="",HQ656=""),"",N(HQ656)-N(HP656)))</f>
        <v/>
      </c>
      <c r="HV656">
        <f>IF(OR(HT$3="",HT$3&gt;TODAY()),"",IF(AND(HT656="",HU656=""),"",N(HU656)-N(HT656)))</f>
        <v/>
      </c>
      <c r="HY656">
        <f>IF(OR(HT$3="",HT$3&gt;TODAY()),"",IF(AND(HW656="",HX656=""),"",N(HX656)-N(HW656)))</f>
        <v/>
      </c>
      <c r="IC656">
        <f>IF(OR(IA$3="",IA$3&gt;TODAY()),"",IF(AND(IA656="",IB656=""),"",N(IB656)-N(IA656)))</f>
        <v/>
      </c>
      <c r="IF656">
        <f>IF(OR(IA$3="",IA$3&gt;TODAY()),"",IF(AND(ID656="",IE656=""),"",N(IE656)-N(ID656)))</f>
        <v/>
      </c>
      <c r="IJ656">
        <f>IF(OR(IH$3="",IH$3&gt;TODAY()),"",IF(AND(IH656="",II656=""),"",N(II656)-N(IH656)))</f>
        <v/>
      </c>
      <c r="IM656">
        <f>IF(OR(IH$3="",IH$3&gt;TODAY()),"",IF(AND(IK656="",IL656=""),"",N(IL656)-N(IK656)))</f>
        <v/>
      </c>
    </row>
    <row r="657">
      <c r="A657" s="21" t="n"/>
      <c r="B657" s="21" t="n"/>
      <c r="C657" s="21" t="n"/>
      <c r="D657" s="21" t="n"/>
      <c r="E657" s="21" t="n"/>
      <c r="F657" s="21" t="n"/>
      <c r="G657" s="21" t="n"/>
      <c r="H657" s="21" t="n"/>
      <c r="I657" s="22" t="n"/>
      <c r="J657" s="22" t="n"/>
      <c r="K657" s="23" t="n"/>
      <c r="L657" s="22" t="n"/>
      <c r="M657" s="22" t="n"/>
      <c r="N657" s="21" t="n"/>
      <c r="O657" s="23" t="n"/>
      <c r="P657" s="23" t="n"/>
      <c r="Q657" s="23" t="n"/>
      <c r="R657" s="23" t="n"/>
      <c r="S657" s="22" t="n"/>
      <c r="T657" s="23" t="n"/>
      <c r="U657" s="23" t="n"/>
      <c r="V657" s="24">
        <f>IF(J657&lt;&gt;"",J657,IF(I657&lt;&gt;"",I657,""))</f>
        <v/>
      </c>
      <c r="W657" s="25">
        <f>IF($E657="","",N(O657)+SUMIFS($AF657:$IN657,$AF$4:$IN$4,"SEW_ACT"))</f>
        <v/>
      </c>
      <c r="X657" s="25">
        <f>IF($E657="","",N(P657)+SUMIFS($AF657:$IN657,$AF$4:$IN$4,"WASH_ACT"))</f>
        <v/>
      </c>
      <c r="Y657" s="25">
        <f>IF($E657="","",W657-X657-N(T657)-N(U657))</f>
        <v/>
      </c>
      <c r="Z657" s="25">
        <f>IF($E657="","",IF(N(K657)-X657&lt;=0.02*N(K657),0,N(K657)-X657))</f>
        <v/>
      </c>
      <c r="AA657" s="24">
        <f>IF($E657="","",IF(S657&lt;&gt;"",S657,IF(N(O657)&gt;0,IF(L657&lt;&gt;"",L657,99999),IFERROR(1/(1/_xlfn.MINIFS($AF$3:$IN$3,$AF$4:$IN$4,"SEW_ACT",$AF657:$IN657,"&gt;0")),99999))))</f>
        <v/>
      </c>
      <c r="AB657" s="26">
        <f>IF(OR($E657="",Z657=0,V657=""),"",1+COUNTIFS(Z$8:Z$707,"&gt;0",V$8:V$707,"&lt;"&amp;V657)+COUNTIFS(Z$8:Z$707,"&gt;0",V$8:V$707,V657,AA$8:AA$707,"&lt;"&amp;AA657)+COUNTIFS(Z$8:Z$707,"&gt;0",V$8:V$707,V657,AA$8:AA$707,AA657,E$8:E$707,"&lt;"&amp;$E657))</f>
        <v/>
      </c>
      <c r="AC657" s="24">
        <f>IF(OR($E657="",Z657=0),"",IFERROR(TODAY()+ROUNDUP(Z657/(SUMIFS($AF657:$IN657,$AF$4:$IN$4,"WASH_ACT")/COUNTIFS($AF$4:$IN$4,"WASH_ACT",$AF657:$IN657,"&gt;0")),0),"no output yet"))</f>
        <v/>
      </c>
      <c r="AD657" s="26">
        <f>IF($E657="","",IFERROR(ROUND(MAX(0,SUMIFS($AF657:$IN657,$AF$4:$IN$4,"SEW_PLAN",$AF$3:$IN$3,"&lt;="&amp;TODAY())-SUMIFS($AF657:$IN657,$AF$4:$IN$4,"SEW_ACT",$AF$3:$IN$3,"&lt;="&amp;TODAY())+N(Q657))/(SUMIFS($AF657:$IN657,$AF$4:$IN$4,"SEW_PLAN")/COUNTIFS($AF$4:$IN$4,"SEW_PLAN",$AF657:$IN657,"&gt;0")),1),0))</f>
        <v/>
      </c>
      <c r="AE657" s="26">
        <f>IF($E657="","",IF(AND(Z657&gt;0,OR(AND(M657&lt;&gt;"",TODAY()&gt;M657),AND(V657&lt;&gt;"",V657-TODAY()&lt;=7))),"Yes","No"))</f>
        <v/>
      </c>
      <c r="AH657">
        <f>IF(OR(AF$3="",AF$3&gt;TODAY()),"",IF(AND(AF657="",AG657=""),"",N(AG657)-N(AF657)))</f>
        <v/>
      </c>
      <c r="AK657">
        <f>IF(OR(AF$3="",AF$3&gt;TODAY()),"",IF(AND(AI657="",AJ657=""),"",N(AJ657)-N(AI657)))</f>
        <v/>
      </c>
      <c r="AO657">
        <f>IF(OR(AM$3="",AM$3&gt;TODAY()),"",IF(AND(AM657="",AN657=""),"",N(AN657)-N(AM657)))</f>
        <v/>
      </c>
      <c r="AR657">
        <f>IF(OR(AM$3="",AM$3&gt;TODAY()),"",IF(AND(AP657="",AQ657=""),"",N(AQ657)-N(AP657)))</f>
        <v/>
      </c>
      <c r="AV657">
        <f>IF(OR(AT$3="",AT$3&gt;TODAY()),"",IF(AND(AT657="",AU657=""),"",N(AU657)-N(AT657)))</f>
        <v/>
      </c>
      <c r="AY657">
        <f>IF(OR(AT$3="",AT$3&gt;TODAY()),"",IF(AND(AW657="",AX657=""),"",N(AX657)-N(AW657)))</f>
        <v/>
      </c>
      <c r="BC657">
        <f>IF(OR(BA$3="",BA$3&gt;TODAY()),"",IF(AND(BA657="",BB657=""),"",N(BB657)-N(BA657)))</f>
        <v/>
      </c>
      <c r="BF657">
        <f>IF(OR(BA$3="",BA$3&gt;TODAY()),"",IF(AND(BD657="",BE657=""),"",N(BE657)-N(BD657)))</f>
        <v/>
      </c>
      <c r="BJ657">
        <f>IF(OR(BH$3="",BH$3&gt;TODAY()),"",IF(AND(BH657="",BI657=""),"",N(BI657)-N(BH657)))</f>
        <v/>
      </c>
      <c r="BM657">
        <f>IF(OR(BH$3="",BH$3&gt;TODAY()),"",IF(AND(BK657="",BL657=""),"",N(BL657)-N(BK657)))</f>
        <v/>
      </c>
      <c r="BQ657">
        <f>IF(OR(BO$3="",BO$3&gt;TODAY()),"",IF(AND(BO657="",BP657=""),"",N(BP657)-N(BO657)))</f>
        <v/>
      </c>
      <c r="BT657">
        <f>IF(OR(BO$3="",BO$3&gt;TODAY()),"",IF(AND(BR657="",BS657=""),"",N(BS657)-N(BR657)))</f>
        <v/>
      </c>
      <c r="BX657">
        <f>IF(OR(BV$3="",BV$3&gt;TODAY()),"",IF(AND(BV657="",BW657=""),"",N(BW657)-N(BV657)))</f>
        <v/>
      </c>
      <c r="CA657">
        <f>IF(OR(BV$3="",BV$3&gt;TODAY()),"",IF(AND(BY657="",BZ657=""),"",N(BZ657)-N(BY657)))</f>
        <v/>
      </c>
      <c r="CE657">
        <f>IF(OR(CC$3="",CC$3&gt;TODAY()),"",IF(AND(CC657="",CD657=""),"",N(CD657)-N(CC657)))</f>
        <v/>
      </c>
      <c r="CH657">
        <f>IF(OR(CC$3="",CC$3&gt;TODAY()),"",IF(AND(CF657="",CG657=""),"",N(CG657)-N(CF657)))</f>
        <v/>
      </c>
      <c r="CL657">
        <f>IF(OR(CJ$3="",CJ$3&gt;TODAY()),"",IF(AND(CJ657="",CK657=""),"",N(CK657)-N(CJ657)))</f>
        <v/>
      </c>
      <c r="CO657">
        <f>IF(OR(CJ$3="",CJ$3&gt;TODAY()),"",IF(AND(CM657="",CN657=""),"",N(CN657)-N(CM657)))</f>
        <v/>
      </c>
      <c r="CS657">
        <f>IF(OR(CQ$3="",CQ$3&gt;TODAY()),"",IF(AND(CQ657="",CR657=""),"",N(CR657)-N(CQ657)))</f>
        <v/>
      </c>
      <c r="CV657">
        <f>IF(OR(CQ$3="",CQ$3&gt;TODAY()),"",IF(AND(CT657="",CU657=""),"",N(CU657)-N(CT657)))</f>
        <v/>
      </c>
      <c r="CZ657">
        <f>IF(OR(CX$3="",CX$3&gt;TODAY()),"",IF(AND(CX657="",CY657=""),"",N(CY657)-N(CX657)))</f>
        <v/>
      </c>
      <c r="DC657">
        <f>IF(OR(CX$3="",CX$3&gt;TODAY()),"",IF(AND(DA657="",DB657=""),"",N(DB657)-N(DA657)))</f>
        <v/>
      </c>
      <c r="DG657">
        <f>IF(OR(DE$3="",DE$3&gt;TODAY()),"",IF(AND(DE657="",DF657=""),"",N(DF657)-N(DE657)))</f>
        <v/>
      </c>
      <c r="DJ657">
        <f>IF(OR(DE$3="",DE$3&gt;TODAY()),"",IF(AND(DH657="",DI657=""),"",N(DI657)-N(DH657)))</f>
        <v/>
      </c>
      <c r="DN657">
        <f>IF(OR(DL$3="",DL$3&gt;TODAY()),"",IF(AND(DL657="",DM657=""),"",N(DM657)-N(DL657)))</f>
        <v/>
      </c>
      <c r="DQ657">
        <f>IF(OR(DL$3="",DL$3&gt;TODAY()),"",IF(AND(DO657="",DP657=""),"",N(DP657)-N(DO657)))</f>
        <v/>
      </c>
      <c r="DU657">
        <f>IF(OR(DS$3="",DS$3&gt;TODAY()),"",IF(AND(DS657="",DT657=""),"",N(DT657)-N(DS657)))</f>
        <v/>
      </c>
      <c r="DX657">
        <f>IF(OR(DS$3="",DS$3&gt;TODAY()),"",IF(AND(DV657="",DW657=""),"",N(DW657)-N(DV657)))</f>
        <v/>
      </c>
      <c r="EB657">
        <f>IF(OR(DZ$3="",DZ$3&gt;TODAY()),"",IF(AND(DZ657="",EA657=""),"",N(EA657)-N(DZ657)))</f>
        <v/>
      </c>
      <c r="EE657">
        <f>IF(OR(DZ$3="",DZ$3&gt;TODAY()),"",IF(AND(EC657="",ED657=""),"",N(ED657)-N(EC657)))</f>
        <v/>
      </c>
      <c r="EI657">
        <f>IF(OR(EG$3="",EG$3&gt;TODAY()),"",IF(AND(EG657="",EH657=""),"",N(EH657)-N(EG657)))</f>
        <v/>
      </c>
      <c r="EL657">
        <f>IF(OR(EG$3="",EG$3&gt;TODAY()),"",IF(AND(EJ657="",EK657=""),"",N(EK657)-N(EJ657)))</f>
        <v/>
      </c>
      <c r="EP657">
        <f>IF(OR(EN$3="",EN$3&gt;TODAY()),"",IF(AND(EN657="",EO657=""),"",N(EO657)-N(EN657)))</f>
        <v/>
      </c>
      <c r="ES657">
        <f>IF(OR(EN$3="",EN$3&gt;TODAY()),"",IF(AND(EQ657="",ER657=""),"",N(ER657)-N(EQ657)))</f>
        <v/>
      </c>
      <c r="EW657">
        <f>IF(OR(EU$3="",EU$3&gt;TODAY()),"",IF(AND(EU657="",EV657=""),"",N(EV657)-N(EU657)))</f>
        <v/>
      </c>
      <c r="EZ657">
        <f>IF(OR(EU$3="",EU$3&gt;TODAY()),"",IF(AND(EX657="",EY657=""),"",N(EY657)-N(EX657)))</f>
        <v/>
      </c>
      <c r="FD657">
        <f>IF(OR(FB$3="",FB$3&gt;TODAY()),"",IF(AND(FB657="",FC657=""),"",N(FC657)-N(FB657)))</f>
        <v/>
      </c>
      <c r="FG657">
        <f>IF(OR(FB$3="",FB$3&gt;TODAY()),"",IF(AND(FE657="",FF657=""),"",N(FF657)-N(FE657)))</f>
        <v/>
      </c>
      <c r="FK657">
        <f>IF(OR(FI$3="",FI$3&gt;TODAY()),"",IF(AND(FI657="",FJ657=""),"",N(FJ657)-N(FI657)))</f>
        <v/>
      </c>
      <c r="FN657">
        <f>IF(OR(FI$3="",FI$3&gt;TODAY()),"",IF(AND(FL657="",FM657=""),"",N(FM657)-N(FL657)))</f>
        <v/>
      </c>
      <c r="FR657">
        <f>IF(OR(FP$3="",FP$3&gt;TODAY()),"",IF(AND(FP657="",FQ657=""),"",N(FQ657)-N(FP657)))</f>
        <v/>
      </c>
      <c r="FU657">
        <f>IF(OR(FP$3="",FP$3&gt;TODAY()),"",IF(AND(FS657="",FT657=""),"",N(FT657)-N(FS657)))</f>
        <v/>
      </c>
      <c r="FY657">
        <f>IF(OR(FW$3="",FW$3&gt;TODAY()),"",IF(AND(FW657="",FX657=""),"",N(FX657)-N(FW657)))</f>
        <v/>
      </c>
      <c r="GB657">
        <f>IF(OR(FW$3="",FW$3&gt;TODAY()),"",IF(AND(FZ657="",GA657=""),"",N(GA657)-N(FZ657)))</f>
        <v/>
      </c>
      <c r="GF657">
        <f>IF(OR(GD$3="",GD$3&gt;TODAY()),"",IF(AND(GD657="",GE657=""),"",N(GE657)-N(GD657)))</f>
        <v/>
      </c>
      <c r="GI657">
        <f>IF(OR(GD$3="",GD$3&gt;TODAY()),"",IF(AND(GG657="",GH657=""),"",N(GH657)-N(GG657)))</f>
        <v/>
      </c>
      <c r="GM657">
        <f>IF(OR(GK$3="",GK$3&gt;TODAY()),"",IF(AND(GK657="",GL657=""),"",N(GL657)-N(GK657)))</f>
        <v/>
      </c>
      <c r="GP657">
        <f>IF(OR(GK$3="",GK$3&gt;TODAY()),"",IF(AND(GN657="",GO657=""),"",N(GO657)-N(GN657)))</f>
        <v/>
      </c>
      <c r="GT657">
        <f>IF(OR(GR$3="",GR$3&gt;TODAY()),"",IF(AND(GR657="",GS657=""),"",N(GS657)-N(GR657)))</f>
        <v/>
      </c>
      <c r="GW657">
        <f>IF(OR(GR$3="",GR$3&gt;TODAY()),"",IF(AND(GU657="",GV657=""),"",N(GV657)-N(GU657)))</f>
        <v/>
      </c>
      <c r="HA657">
        <f>IF(OR(GY$3="",GY$3&gt;TODAY()),"",IF(AND(GY657="",GZ657=""),"",N(GZ657)-N(GY657)))</f>
        <v/>
      </c>
      <c r="HD657">
        <f>IF(OR(GY$3="",GY$3&gt;TODAY()),"",IF(AND(HB657="",HC657=""),"",N(HC657)-N(HB657)))</f>
        <v/>
      </c>
      <c r="HH657">
        <f>IF(OR(HF$3="",HF$3&gt;TODAY()),"",IF(AND(HF657="",HG657=""),"",N(HG657)-N(HF657)))</f>
        <v/>
      </c>
      <c r="HK657">
        <f>IF(OR(HF$3="",HF$3&gt;TODAY()),"",IF(AND(HI657="",HJ657=""),"",N(HJ657)-N(HI657)))</f>
        <v/>
      </c>
      <c r="HO657">
        <f>IF(OR(HM$3="",HM$3&gt;TODAY()),"",IF(AND(HM657="",HN657=""),"",N(HN657)-N(HM657)))</f>
        <v/>
      </c>
      <c r="HR657">
        <f>IF(OR(HM$3="",HM$3&gt;TODAY()),"",IF(AND(HP657="",HQ657=""),"",N(HQ657)-N(HP657)))</f>
        <v/>
      </c>
      <c r="HV657">
        <f>IF(OR(HT$3="",HT$3&gt;TODAY()),"",IF(AND(HT657="",HU657=""),"",N(HU657)-N(HT657)))</f>
        <v/>
      </c>
      <c r="HY657">
        <f>IF(OR(HT$3="",HT$3&gt;TODAY()),"",IF(AND(HW657="",HX657=""),"",N(HX657)-N(HW657)))</f>
        <v/>
      </c>
      <c r="IC657">
        <f>IF(OR(IA$3="",IA$3&gt;TODAY()),"",IF(AND(IA657="",IB657=""),"",N(IB657)-N(IA657)))</f>
        <v/>
      </c>
      <c r="IF657">
        <f>IF(OR(IA$3="",IA$3&gt;TODAY()),"",IF(AND(ID657="",IE657=""),"",N(IE657)-N(ID657)))</f>
        <v/>
      </c>
      <c r="IJ657">
        <f>IF(OR(IH$3="",IH$3&gt;TODAY()),"",IF(AND(IH657="",II657=""),"",N(II657)-N(IH657)))</f>
        <v/>
      </c>
      <c r="IM657">
        <f>IF(OR(IH$3="",IH$3&gt;TODAY()),"",IF(AND(IK657="",IL657=""),"",N(IL657)-N(IK657)))</f>
        <v/>
      </c>
    </row>
    <row r="658">
      <c r="A658" s="21" t="n"/>
      <c r="B658" s="21" t="n"/>
      <c r="C658" s="21" t="n"/>
      <c r="D658" s="21" t="n"/>
      <c r="E658" s="21" t="n"/>
      <c r="F658" s="21" t="n"/>
      <c r="G658" s="21" t="n"/>
      <c r="H658" s="21" t="n"/>
      <c r="I658" s="22" t="n"/>
      <c r="J658" s="22" t="n"/>
      <c r="K658" s="23" t="n"/>
      <c r="L658" s="22" t="n"/>
      <c r="M658" s="22" t="n"/>
      <c r="N658" s="21" t="n"/>
      <c r="O658" s="23" t="n"/>
      <c r="P658" s="23" t="n"/>
      <c r="Q658" s="23" t="n"/>
      <c r="R658" s="23" t="n"/>
      <c r="S658" s="22" t="n"/>
      <c r="T658" s="23" t="n"/>
      <c r="U658" s="23" t="n"/>
      <c r="V658" s="24">
        <f>IF(J658&lt;&gt;"",J658,IF(I658&lt;&gt;"",I658,""))</f>
        <v/>
      </c>
      <c r="W658" s="25">
        <f>IF($E658="","",N(O658)+SUMIFS($AF658:$IN658,$AF$4:$IN$4,"SEW_ACT"))</f>
        <v/>
      </c>
      <c r="X658" s="25">
        <f>IF($E658="","",N(P658)+SUMIFS($AF658:$IN658,$AF$4:$IN$4,"WASH_ACT"))</f>
        <v/>
      </c>
      <c r="Y658" s="25">
        <f>IF($E658="","",W658-X658-N(T658)-N(U658))</f>
        <v/>
      </c>
      <c r="Z658" s="25">
        <f>IF($E658="","",IF(N(K658)-X658&lt;=0.02*N(K658),0,N(K658)-X658))</f>
        <v/>
      </c>
      <c r="AA658" s="24">
        <f>IF($E658="","",IF(S658&lt;&gt;"",S658,IF(N(O658)&gt;0,IF(L658&lt;&gt;"",L658,99999),IFERROR(1/(1/_xlfn.MINIFS($AF$3:$IN$3,$AF$4:$IN$4,"SEW_ACT",$AF658:$IN658,"&gt;0")),99999))))</f>
        <v/>
      </c>
      <c r="AB658" s="26">
        <f>IF(OR($E658="",Z658=0,V658=""),"",1+COUNTIFS(Z$8:Z$707,"&gt;0",V$8:V$707,"&lt;"&amp;V658)+COUNTIFS(Z$8:Z$707,"&gt;0",V$8:V$707,V658,AA$8:AA$707,"&lt;"&amp;AA658)+COUNTIFS(Z$8:Z$707,"&gt;0",V$8:V$707,V658,AA$8:AA$707,AA658,E$8:E$707,"&lt;"&amp;$E658))</f>
        <v/>
      </c>
      <c r="AC658" s="24">
        <f>IF(OR($E658="",Z658=0),"",IFERROR(TODAY()+ROUNDUP(Z658/(SUMIFS($AF658:$IN658,$AF$4:$IN$4,"WASH_ACT")/COUNTIFS($AF$4:$IN$4,"WASH_ACT",$AF658:$IN658,"&gt;0")),0),"no output yet"))</f>
        <v/>
      </c>
      <c r="AD658" s="26">
        <f>IF($E658="","",IFERROR(ROUND(MAX(0,SUMIFS($AF658:$IN658,$AF$4:$IN$4,"SEW_PLAN",$AF$3:$IN$3,"&lt;="&amp;TODAY())-SUMIFS($AF658:$IN658,$AF$4:$IN$4,"SEW_ACT",$AF$3:$IN$3,"&lt;="&amp;TODAY())+N(Q658))/(SUMIFS($AF658:$IN658,$AF$4:$IN$4,"SEW_PLAN")/COUNTIFS($AF$4:$IN$4,"SEW_PLAN",$AF658:$IN658,"&gt;0")),1),0))</f>
        <v/>
      </c>
      <c r="AE658" s="26">
        <f>IF($E658="","",IF(AND(Z658&gt;0,OR(AND(M658&lt;&gt;"",TODAY()&gt;M658),AND(V658&lt;&gt;"",V658-TODAY()&lt;=7))),"Yes","No"))</f>
        <v/>
      </c>
      <c r="AH658">
        <f>IF(OR(AF$3="",AF$3&gt;TODAY()),"",IF(AND(AF658="",AG658=""),"",N(AG658)-N(AF658)))</f>
        <v/>
      </c>
      <c r="AK658">
        <f>IF(OR(AF$3="",AF$3&gt;TODAY()),"",IF(AND(AI658="",AJ658=""),"",N(AJ658)-N(AI658)))</f>
        <v/>
      </c>
      <c r="AO658">
        <f>IF(OR(AM$3="",AM$3&gt;TODAY()),"",IF(AND(AM658="",AN658=""),"",N(AN658)-N(AM658)))</f>
        <v/>
      </c>
      <c r="AR658">
        <f>IF(OR(AM$3="",AM$3&gt;TODAY()),"",IF(AND(AP658="",AQ658=""),"",N(AQ658)-N(AP658)))</f>
        <v/>
      </c>
      <c r="AV658">
        <f>IF(OR(AT$3="",AT$3&gt;TODAY()),"",IF(AND(AT658="",AU658=""),"",N(AU658)-N(AT658)))</f>
        <v/>
      </c>
      <c r="AY658">
        <f>IF(OR(AT$3="",AT$3&gt;TODAY()),"",IF(AND(AW658="",AX658=""),"",N(AX658)-N(AW658)))</f>
        <v/>
      </c>
      <c r="BC658">
        <f>IF(OR(BA$3="",BA$3&gt;TODAY()),"",IF(AND(BA658="",BB658=""),"",N(BB658)-N(BA658)))</f>
        <v/>
      </c>
      <c r="BF658">
        <f>IF(OR(BA$3="",BA$3&gt;TODAY()),"",IF(AND(BD658="",BE658=""),"",N(BE658)-N(BD658)))</f>
        <v/>
      </c>
      <c r="BJ658">
        <f>IF(OR(BH$3="",BH$3&gt;TODAY()),"",IF(AND(BH658="",BI658=""),"",N(BI658)-N(BH658)))</f>
        <v/>
      </c>
      <c r="BM658">
        <f>IF(OR(BH$3="",BH$3&gt;TODAY()),"",IF(AND(BK658="",BL658=""),"",N(BL658)-N(BK658)))</f>
        <v/>
      </c>
      <c r="BQ658">
        <f>IF(OR(BO$3="",BO$3&gt;TODAY()),"",IF(AND(BO658="",BP658=""),"",N(BP658)-N(BO658)))</f>
        <v/>
      </c>
      <c r="BT658">
        <f>IF(OR(BO$3="",BO$3&gt;TODAY()),"",IF(AND(BR658="",BS658=""),"",N(BS658)-N(BR658)))</f>
        <v/>
      </c>
      <c r="BX658">
        <f>IF(OR(BV$3="",BV$3&gt;TODAY()),"",IF(AND(BV658="",BW658=""),"",N(BW658)-N(BV658)))</f>
        <v/>
      </c>
      <c r="CA658">
        <f>IF(OR(BV$3="",BV$3&gt;TODAY()),"",IF(AND(BY658="",BZ658=""),"",N(BZ658)-N(BY658)))</f>
        <v/>
      </c>
      <c r="CE658">
        <f>IF(OR(CC$3="",CC$3&gt;TODAY()),"",IF(AND(CC658="",CD658=""),"",N(CD658)-N(CC658)))</f>
        <v/>
      </c>
      <c r="CH658">
        <f>IF(OR(CC$3="",CC$3&gt;TODAY()),"",IF(AND(CF658="",CG658=""),"",N(CG658)-N(CF658)))</f>
        <v/>
      </c>
      <c r="CL658">
        <f>IF(OR(CJ$3="",CJ$3&gt;TODAY()),"",IF(AND(CJ658="",CK658=""),"",N(CK658)-N(CJ658)))</f>
        <v/>
      </c>
      <c r="CO658">
        <f>IF(OR(CJ$3="",CJ$3&gt;TODAY()),"",IF(AND(CM658="",CN658=""),"",N(CN658)-N(CM658)))</f>
        <v/>
      </c>
      <c r="CS658">
        <f>IF(OR(CQ$3="",CQ$3&gt;TODAY()),"",IF(AND(CQ658="",CR658=""),"",N(CR658)-N(CQ658)))</f>
        <v/>
      </c>
      <c r="CV658">
        <f>IF(OR(CQ$3="",CQ$3&gt;TODAY()),"",IF(AND(CT658="",CU658=""),"",N(CU658)-N(CT658)))</f>
        <v/>
      </c>
      <c r="CZ658">
        <f>IF(OR(CX$3="",CX$3&gt;TODAY()),"",IF(AND(CX658="",CY658=""),"",N(CY658)-N(CX658)))</f>
        <v/>
      </c>
      <c r="DC658">
        <f>IF(OR(CX$3="",CX$3&gt;TODAY()),"",IF(AND(DA658="",DB658=""),"",N(DB658)-N(DA658)))</f>
        <v/>
      </c>
      <c r="DG658">
        <f>IF(OR(DE$3="",DE$3&gt;TODAY()),"",IF(AND(DE658="",DF658=""),"",N(DF658)-N(DE658)))</f>
        <v/>
      </c>
      <c r="DJ658">
        <f>IF(OR(DE$3="",DE$3&gt;TODAY()),"",IF(AND(DH658="",DI658=""),"",N(DI658)-N(DH658)))</f>
        <v/>
      </c>
      <c r="DN658">
        <f>IF(OR(DL$3="",DL$3&gt;TODAY()),"",IF(AND(DL658="",DM658=""),"",N(DM658)-N(DL658)))</f>
        <v/>
      </c>
      <c r="DQ658">
        <f>IF(OR(DL$3="",DL$3&gt;TODAY()),"",IF(AND(DO658="",DP658=""),"",N(DP658)-N(DO658)))</f>
        <v/>
      </c>
      <c r="DU658">
        <f>IF(OR(DS$3="",DS$3&gt;TODAY()),"",IF(AND(DS658="",DT658=""),"",N(DT658)-N(DS658)))</f>
        <v/>
      </c>
      <c r="DX658">
        <f>IF(OR(DS$3="",DS$3&gt;TODAY()),"",IF(AND(DV658="",DW658=""),"",N(DW658)-N(DV658)))</f>
        <v/>
      </c>
      <c r="EB658">
        <f>IF(OR(DZ$3="",DZ$3&gt;TODAY()),"",IF(AND(DZ658="",EA658=""),"",N(EA658)-N(DZ658)))</f>
        <v/>
      </c>
      <c r="EE658">
        <f>IF(OR(DZ$3="",DZ$3&gt;TODAY()),"",IF(AND(EC658="",ED658=""),"",N(ED658)-N(EC658)))</f>
        <v/>
      </c>
      <c r="EI658">
        <f>IF(OR(EG$3="",EG$3&gt;TODAY()),"",IF(AND(EG658="",EH658=""),"",N(EH658)-N(EG658)))</f>
        <v/>
      </c>
      <c r="EL658">
        <f>IF(OR(EG$3="",EG$3&gt;TODAY()),"",IF(AND(EJ658="",EK658=""),"",N(EK658)-N(EJ658)))</f>
        <v/>
      </c>
      <c r="EP658">
        <f>IF(OR(EN$3="",EN$3&gt;TODAY()),"",IF(AND(EN658="",EO658=""),"",N(EO658)-N(EN658)))</f>
        <v/>
      </c>
      <c r="ES658">
        <f>IF(OR(EN$3="",EN$3&gt;TODAY()),"",IF(AND(EQ658="",ER658=""),"",N(ER658)-N(EQ658)))</f>
        <v/>
      </c>
      <c r="EW658">
        <f>IF(OR(EU$3="",EU$3&gt;TODAY()),"",IF(AND(EU658="",EV658=""),"",N(EV658)-N(EU658)))</f>
        <v/>
      </c>
      <c r="EZ658">
        <f>IF(OR(EU$3="",EU$3&gt;TODAY()),"",IF(AND(EX658="",EY658=""),"",N(EY658)-N(EX658)))</f>
        <v/>
      </c>
      <c r="FD658">
        <f>IF(OR(FB$3="",FB$3&gt;TODAY()),"",IF(AND(FB658="",FC658=""),"",N(FC658)-N(FB658)))</f>
        <v/>
      </c>
      <c r="FG658">
        <f>IF(OR(FB$3="",FB$3&gt;TODAY()),"",IF(AND(FE658="",FF658=""),"",N(FF658)-N(FE658)))</f>
        <v/>
      </c>
      <c r="FK658">
        <f>IF(OR(FI$3="",FI$3&gt;TODAY()),"",IF(AND(FI658="",FJ658=""),"",N(FJ658)-N(FI658)))</f>
        <v/>
      </c>
      <c r="FN658">
        <f>IF(OR(FI$3="",FI$3&gt;TODAY()),"",IF(AND(FL658="",FM658=""),"",N(FM658)-N(FL658)))</f>
        <v/>
      </c>
      <c r="FR658">
        <f>IF(OR(FP$3="",FP$3&gt;TODAY()),"",IF(AND(FP658="",FQ658=""),"",N(FQ658)-N(FP658)))</f>
        <v/>
      </c>
      <c r="FU658">
        <f>IF(OR(FP$3="",FP$3&gt;TODAY()),"",IF(AND(FS658="",FT658=""),"",N(FT658)-N(FS658)))</f>
        <v/>
      </c>
      <c r="FY658">
        <f>IF(OR(FW$3="",FW$3&gt;TODAY()),"",IF(AND(FW658="",FX658=""),"",N(FX658)-N(FW658)))</f>
        <v/>
      </c>
      <c r="GB658">
        <f>IF(OR(FW$3="",FW$3&gt;TODAY()),"",IF(AND(FZ658="",GA658=""),"",N(GA658)-N(FZ658)))</f>
        <v/>
      </c>
      <c r="GF658">
        <f>IF(OR(GD$3="",GD$3&gt;TODAY()),"",IF(AND(GD658="",GE658=""),"",N(GE658)-N(GD658)))</f>
        <v/>
      </c>
      <c r="GI658">
        <f>IF(OR(GD$3="",GD$3&gt;TODAY()),"",IF(AND(GG658="",GH658=""),"",N(GH658)-N(GG658)))</f>
        <v/>
      </c>
      <c r="GM658">
        <f>IF(OR(GK$3="",GK$3&gt;TODAY()),"",IF(AND(GK658="",GL658=""),"",N(GL658)-N(GK658)))</f>
        <v/>
      </c>
      <c r="GP658">
        <f>IF(OR(GK$3="",GK$3&gt;TODAY()),"",IF(AND(GN658="",GO658=""),"",N(GO658)-N(GN658)))</f>
        <v/>
      </c>
      <c r="GT658">
        <f>IF(OR(GR$3="",GR$3&gt;TODAY()),"",IF(AND(GR658="",GS658=""),"",N(GS658)-N(GR658)))</f>
        <v/>
      </c>
      <c r="GW658">
        <f>IF(OR(GR$3="",GR$3&gt;TODAY()),"",IF(AND(GU658="",GV658=""),"",N(GV658)-N(GU658)))</f>
        <v/>
      </c>
      <c r="HA658">
        <f>IF(OR(GY$3="",GY$3&gt;TODAY()),"",IF(AND(GY658="",GZ658=""),"",N(GZ658)-N(GY658)))</f>
        <v/>
      </c>
      <c r="HD658">
        <f>IF(OR(GY$3="",GY$3&gt;TODAY()),"",IF(AND(HB658="",HC658=""),"",N(HC658)-N(HB658)))</f>
        <v/>
      </c>
      <c r="HH658">
        <f>IF(OR(HF$3="",HF$3&gt;TODAY()),"",IF(AND(HF658="",HG658=""),"",N(HG658)-N(HF658)))</f>
        <v/>
      </c>
      <c r="HK658">
        <f>IF(OR(HF$3="",HF$3&gt;TODAY()),"",IF(AND(HI658="",HJ658=""),"",N(HJ658)-N(HI658)))</f>
        <v/>
      </c>
      <c r="HO658">
        <f>IF(OR(HM$3="",HM$3&gt;TODAY()),"",IF(AND(HM658="",HN658=""),"",N(HN658)-N(HM658)))</f>
        <v/>
      </c>
      <c r="HR658">
        <f>IF(OR(HM$3="",HM$3&gt;TODAY()),"",IF(AND(HP658="",HQ658=""),"",N(HQ658)-N(HP658)))</f>
        <v/>
      </c>
      <c r="HV658">
        <f>IF(OR(HT$3="",HT$3&gt;TODAY()),"",IF(AND(HT658="",HU658=""),"",N(HU658)-N(HT658)))</f>
        <v/>
      </c>
      <c r="HY658">
        <f>IF(OR(HT$3="",HT$3&gt;TODAY()),"",IF(AND(HW658="",HX658=""),"",N(HX658)-N(HW658)))</f>
        <v/>
      </c>
      <c r="IC658">
        <f>IF(OR(IA$3="",IA$3&gt;TODAY()),"",IF(AND(IA658="",IB658=""),"",N(IB658)-N(IA658)))</f>
        <v/>
      </c>
      <c r="IF658">
        <f>IF(OR(IA$3="",IA$3&gt;TODAY()),"",IF(AND(ID658="",IE658=""),"",N(IE658)-N(ID658)))</f>
        <v/>
      </c>
      <c r="IJ658">
        <f>IF(OR(IH$3="",IH$3&gt;TODAY()),"",IF(AND(IH658="",II658=""),"",N(II658)-N(IH658)))</f>
        <v/>
      </c>
      <c r="IM658">
        <f>IF(OR(IH$3="",IH$3&gt;TODAY()),"",IF(AND(IK658="",IL658=""),"",N(IL658)-N(IK658)))</f>
        <v/>
      </c>
    </row>
    <row r="659">
      <c r="A659" s="21" t="n"/>
      <c r="B659" s="21" t="n"/>
      <c r="C659" s="21" t="n"/>
      <c r="D659" s="21" t="n"/>
      <c r="E659" s="21" t="n"/>
      <c r="F659" s="21" t="n"/>
      <c r="G659" s="21" t="n"/>
      <c r="H659" s="21" t="n"/>
      <c r="I659" s="22" t="n"/>
      <c r="J659" s="22" t="n"/>
      <c r="K659" s="23" t="n"/>
      <c r="L659" s="22" t="n"/>
      <c r="M659" s="22" t="n"/>
      <c r="N659" s="21" t="n"/>
      <c r="O659" s="23" t="n"/>
      <c r="P659" s="23" t="n"/>
      <c r="Q659" s="23" t="n"/>
      <c r="R659" s="23" t="n"/>
      <c r="S659" s="22" t="n"/>
      <c r="T659" s="23" t="n"/>
      <c r="U659" s="23" t="n"/>
      <c r="V659" s="24">
        <f>IF(J659&lt;&gt;"",J659,IF(I659&lt;&gt;"",I659,""))</f>
        <v/>
      </c>
      <c r="W659" s="25">
        <f>IF($E659="","",N(O659)+SUMIFS($AF659:$IN659,$AF$4:$IN$4,"SEW_ACT"))</f>
        <v/>
      </c>
      <c r="X659" s="25">
        <f>IF($E659="","",N(P659)+SUMIFS($AF659:$IN659,$AF$4:$IN$4,"WASH_ACT"))</f>
        <v/>
      </c>
      <c r="Y659" s="25">
        <f>IF($E659="","",W659-X659-N(T659)-N(U659))</f>
        <v/>
      </c>
      <c r="Z659" s="25">
        <f>IF($E659="","",IF(N(K659)-X659&lt;=0.02*N(K659),0,N(K659)-X659))</f>
        <v/>
      </c>
      <c r="AA659" s="24">
        <f>IF($E659="","",IF(S659&lt;&gt;"",S659,IF(N(O659)&gt;0,IF(L659&lt;&gt;"",L659,99999),IFERROR(1/(1/_xlfn.MINIFS($AF$3:$IN$3,$AF$4:$IN$4,"SEW_ACT",$AF659:$IN659,"&gt;0")),99999))))</f>
        <v/>
      </c>
      <c r="AB659" s="26">
        <f>IF(OR($E659="",Z659=0,V659=""),"",1+COUNTIFS(Z$8:Z$707,"&gt;0",V$8:V$707,"&lt;"&amp;V659)+COUNTIFS(Z$8:Z$707,"&gt;0",V$8:V$707,V659,AA$8:AA$707,"&lt;"&amp;AA659)+COUNTIFS(Z$8:Z$707,"&gt;0",V$8:V$707,V659,AA$8:AA$707,AA659,E$8:E$707,"&lt;"&amp;$E659))</f>
        <v/>
      </c>
      <c r="AC659" s="24">
        <f>IF(OR($E659="",Z659=0),"",IFERROR(TODAY()+ROUNDUP(Z659/(SUMIFS($AF659:$IN659,$AF$4:$IN$4,"WASH_ACT")/COUNTIFS($AF$4:$IN$4,"WASH_ACT",$AF659:$IN659,"&gt;0")),0),"no output yet"))</f>
        <v/>
      </c>
      <c r="AD659" s="26">
        <f>IF($E659="","",IFERROR(ROUND(MAX(0,SUMIFS($AF659:$IN659,$AF$4:$IN$4,"SEW_PLAN",$AF$3:$IN$3,"&lt;="&amp;TODAY())-SUMIFS($AF659:$IN659,$AF$4:$IN$4,"SEW_ACT",$AF$3:$IN$3,"&lt;="&amp;TODAY())+N(Q659))/(SUMIFS($AF659:$IN659,$AF$4:$IN$4,"SEW_PLAN")/COUNTIFS($AF$4:$IN$4,"SEW_PLAN",$AF659:$IN659,"&gt;0")),1),0))</f>
        <v/>
      </c>
      <c r="AE659" s="26">
        <f>IF($E659="","",IF(AND(Z659&gt;0,OR(AND(M659&lt;&gt;"",TODAY()&gt;M659),AND(V659&lt;&gt;"",V659-TODAY()&lt;=7))),"Yes","No"))</f>
        <v/>
      </c>
      <c r="AH659">
        <f>IF(OR(AF$3="",AF$3&gt;TODAY()),"",IF(AND(AF659="",AG659=""),"",N(AG659)-N(AF659)))</f>
        <v/>
      </c>
      <c r="AK659">
        <f>IF(OR(AF$3="",AF$3&gt;TODAY()),"",IF(AND(AI659="",AJ659=""),"",N(AJ659)-N(AI659)))</f>
        <v/>
      </c>
      <c r="AO659">
        <f>IF(OR(AM$3="",AM$3&gt;TODAY()),"",IF(AND(AM659="",AN659=""),"",N(AN659)-N(AM659)))</f>
        <v/>
      </c>
      <c r="AR659">
        <f>IF(OR(AM$3="",AM$3&gt;TODAY()),"",IF(AND(AP659="",AQ659=""),"",N(AQ659)-N(AP659)))</f>
        <v/>
      </c>
      <c r="AV659">
        <f>IF(OR(AT$3="",AT$3&gt;TODAY()),"",IF(AND(AT659="",AU659=""),"",N(AU659)-N(AT659)))</f>
        <v/>
      </c>
      <c r="AY659">
        <f>IF(OR(AT$3="",AT$3&gt;TODAY()),"",IF(AND(AW659="",AX659=""),"",N(AX659)-N(AW659)))</f>
        <v/>
      </c>
      <c r="BC659">
        <f>IF(OR(BA$3="",BA$3&gt;TODAY()),"",IF(AND(BA659="",BB659=""),"",N(BB659)-N(BA659)))</f>
        <v/>
      </c>
      <c r="BF659">
        <f>IF(OR(BA$3="",BA$3&gt;TODAY()),"",IF(AND(BD659="",BE659=""),"",N(BE659)-N(BD659)))</f>
        <v/>
      </c>
      <c r="BJ659">
        <f>IF(OR(BH$3="",BH$3&gt;TODAY()),"",IF(AND(BH659="",BI659=""),"",N(BI659)-N(BH659)))</f>
        <v/>
      </c>
      <c r="BM659">
        <f>IF(OR(BH$3="",BH$3&gt;TODAY()),"",IF(AND(BK659="",BL659=""),"",N(BL659)-N(BK659)))</f>
        <v/>
      </c>
      <c r="BQ659">
        <f>IF(OR(BO$3="",BO$3&gt;TODAY()),"",IF(AND(BO659="",BP659=""),"",N(BP659)-N(BO659)))</f>
        <v/>
      </c>
      <c r="BT659">
        <f>IF(OR(BO$3="",BO$3&gt;TODAY()),"",IF(AND(BR659="",BS659=""),"",N(BS659)-N(BR659)))</f>
        <v/>
      </c>
      <c r="BX659">
        <f>IF(OR(BV$3="",BV$3&gt;TODAY()),"",IF(AND(BV659="",BW659=""),"",N(BW659)-N(BV659)))</f>
        <v/>
      </c>
      <c r="CA659">
        <f>IF(OR(BV$3="",BV$3&gt;TODAY()),"",IF(AND(BY659="",BZ659=""),"",N(BZ659)-N(BY659)))</f>
        <v/>
      </c>
      <c r="CE659">
        <f>IF(OR(CC$3="",CC$3&gt;TODAY()),"",IF(AND(CC659="",CD659=""),"",N(CD659)-N(CC659)))</f>
        <v/>
      </c>
      <c r="CH659">
        <f>IF(OR(CC$3="",CC$3&gt;TODAY()),"",IF(AND(CF659="",CG659=""),"",N(CG659)-N(CF659)))</f>
        <v/>
      </c>
      <c r="CL659">
        <f>IF(OR(CJ$3="",CJ$3&gt;TODAY()),"",IF(AND(CJ659="",CK659=""),"",N(CK659)-N(CJ659)))</f>
        <v/>
      </c>
      <c r="CO659">
        <f>IF(OR(CJ$3="",CJ$3&gt;TODAY()),"",IF(AND(CM659="",CN659=""),"",N(CN659)-N(CM659)))</f>
        <v/>
      </c>
      <c r="CS659">
        <f>IF(OR(CQ$3="",CQ$3&gt;TODAY()),"",IF(AND(CQ659="",CR659=""),"",N(CR659)-N(CQ659)))</f>
        <v/>
      </c>
      <c r="CV659">
        <f>IF(OR(CQ$3="",CQ$3&gt;TODAY()),"",IF(AND(CT659="",CU659=""),"",N(CU659)-N(CT659)))</f>
        <v/>
      </c>
      <c r="CZ659">
        <f>IF(OR(CX$3="",CX$3&gt;TODAY()),"",IF(AND(CX659="",CY659=""),"",N(CY659)-N(CX659)))</f>
        <v/>
      </c>
      <c r="DC659">
        <f>IF(OR(CX$3="",CX$3&gt;TODAY()),"",IF(AND(DA659="",DB659=""),"",N(DB659)-N(DA659)))</f>
        <v/>
      </c>
      <c r="DG659">
        <f>IF(OR(DE$3="",DE$3&gt;TODAY()),"",IF(AND(DE659="",DF659=""),"",N(DF659)-N(DE659)))</f>
        <v/>
      </c>
      <c r="DJ659">
        <f>IF(OR(DE$3="",DE$3&gt;TODAY()),"",IF(AND(DH659="",DI659=""),"",N(DI659)-N(DH659)))</f>
        <v/>
      </c>
      <c r="DN659">
        <f>IF(OR(DL$3="",DL$3&gt;TODAY()),"",IF(AND(DL659="",DM659=""),"",N(DM659)-N(DL659)))</f>
        <v/>
      </c>
      <c r="DQ659">
        <f>IF(OR(DL$3="",DL$3&gt;TODAY()),"",IF(AND(DO659="",DP659=""),"",N(DP659)-N(DO659)))</f>
        <v/>
      </c>
      <c r="DU659">
        <f>IF(OR(DS$3="",DS$3&gt;TODAY()),"",IF(AND(DS659="",DT659=""),"",N(DT659)-N(DS659)))</f>
        <v/>
      </c>
      <c r="DX659">
        <f>IF(OR(DS$3="",DS$3&gt;TODAY()),"",IF(AND(DV659="",DW659=""),"",N(DW659)-N(DV659)))</f>
        <v/>
      </c>
      <c r="EB659">
        <f>IF(OR(DZ$3="",DZ$3&gt;TODAY()),"",IF(AND(DZ659="",EA659=""),"",N(EA659)-N(DZ659)))</f>
        <v/>
      </c>
      <c r="EE659">
        <f>IF(OR(DZ$3="",DZ$3&gt;TODAY()),"",IF(AND(EC659="",ED659=""),"",N(ED659)-N(EC659)))</f>
        <v/>
      </c>
      <c r="EI659">
        <f>IF(OR(EG$3="",EG$3&gt;TODAY()),"",IF(AND(EG659="",EH659=""),"",N(EH659)-N(EG659)))</f>
        <v/>
      </c>
      <c r="EL659">
        <f>IF(OR(EG$3="",EG$3&gt;TODAY()),"",IF(AND(EJ659="",EK659=""),"",N(EK659)-N(EJ659)))</f>
        <v/>
      </c>
      <c r="EP659">
        <f>IF(OR(EN$3="",EN$3&gt;TODAY()),"",IF(AND(EN659="",EO659=""),"",N(EO659)-N(EN659)))</f>
        <v/>
      </c>
      <c r="ES659">
        <f>IF(OR(EN$3="",EN$3&gt;TODAY()),"",IF(AND(EQ659="",ER659=""),"",N(ER659)-N(EQ659)))</f>
        <v/>
      </c>
      <c r="EW659">
        <f>IF(OR(EU$3="",EU$3&gt;TODAY()),"",IF(AND(EU659="",EV659=""),"",N(EV659)-N(EU659)))</f>
        <v/>
      </c>
      <c r="EZ659">
        <f>IF(OR(EU$3="",EU$3&gt;TODAY()),"",IF(AND(EX659="",EY659=""),"",N(EY659)-N(EX659)))</f>
        <v/>
      </c>
      <c r="FD659">
        <f>IF(OR(FB$3="",FB$3&gt;TODAY()),"",IF(AND(FB659="",FC659=""),"",N(FC659)-N(FB659)))</f>
        <v/>
      </c>
      <c r="FG659">
        <f>IF(OR(FB$3="",FB$3&gt;TODAY()),"",IF(AND(FE659="",FF659=""),"",N(FF659)-N(FE659)))</f>
        <v/>
      </c>
      <c r="FK659">
        <f>IF(OR(FI$3="",FI$3&gt;TODAY()),"",IF(AND(FI659="",FJ659=""),"",N(FJ659)-N(FI659)))</f>
        <v/>
      </c>
      <c r="FN659">
        <f>IF(OR(FI$3="",FI$3&gt;TODAY()),"",IF(AND(FL659="",FM659=""),"",N(FM659)-N(FL659)))</f>
        <v/>
      </c>
      <c r="FR659">
        <f>IF(OR(FP$3="",FP$3&gt;TODAY()),"",IF(AND(FP659="",FQ659=""),"",N(FQ659)-N(FP659)))</f>
        <v/>
      </c>
      <c r="FU659">
        <f>IF(OR(FP$3="",FP$3&gt;TODAY()),"",IF(AND(FS659="",FT659=""),"",N(FT659)-N(FS659)))</f>
        <v/>
      </c>
      <c r="FY659">
        <f>IF(OR(FW$3="",FW$3&gt;TODAY()),"",IF(AND(FW659="",FX659=""),"",N(FX659)-N(FW659)))</f>
        <v/>
      </c>
      <c r="GB659">
        <f>IF(OR(FW$3="",FW$3&gt;TODAY()),"",IF(AND(FZ659="",GA659=""),"",N(GA659)-N(FZ659)))</f>
        <v/>
      </c>
      <c r="GF659">
        <f>IF(OR(GD$3="",GD$3&gt;TODAY()),"",IF(AND(GD659="",GE659=""),"",N(GE659)-N(GD659)))</f>
        <v/>
      </c>
      <c r="GI659">
        <f>IF(OR(GD$3="",GD$3&gt;TODAY()),"",IF(AND(GG659="",GH659=""),"",N(GH659)-N(GG659)))</f>
        <v/>
      </c>
      <c r="GM659">
        <f>IF(OR(GK$3="",GK$3&gt;TODAY()),"",IF(AND(GK659="",GL659=""),"",N(GL659)-N(GK659)))</f>
        <v/>
      </c>
      <c r="GP659">
        <f>IF(OR(GK$3="",GK$3&gt;TODAY()),"",IF(AND(GN659="",GO659=""),"",N(GO659)-N(GN659)))</f>
        <v/>
      </c>
      <c r="GT659">
        <f>IF(OR(GR$3="",GR$3&gt;TODAY()),"",IF(AND(GR659="",GS659=""),"",N(GS659)-N(GR659)))</f>
        <v/>
      </c>
      <c r="GW659">
        <f>IF(OR(GR$3="",GR$3&gt;TODAY()),"",IF(AND(GU659="",GV659=""),"",N(GV659)-N(GU659)))</f>
        <v/>
      </c>
      <c r="HA659">
        <f>IF(OR(GY$3="",GY$3&gt;TODAY()),"",IF(AND(GY659="",GZ659=""),"",N(GZ659)-N(GY659)))</f>
        <v/>
      </c>
      <c r="HD659">
        <f>IF(OR(GY$3="",GY$3&gt;TODAY()),"",IF(AND(HB659="",HC659=""),"",N(HC659)-N(HB659)))</f>
        <v/>
      </c>
      <c r="HH659">
        <f>IF(OR(HF$3="",HF$3&gt;TODAY()),"",IF(AND(HF659="",HG659=""),"",N(HG659)-N(HF659)))</f>
        <v/>
      </c>
      <c r="HK659">
        <f>IF(OR(HF$3="",HF$3&gt;TODAY()),"",IF(AND(HI659="",HJ659=""),"",N(HJ659)-N(HI659)))</f>
        <v/>
      </c>
      <c r="HO659">
        <f>IF(OR(HM$3="",HM$3&gt;TODAY()),"",IF(AND(HM659="",HN659=""),"",N(HN659)-N(HM659)))</f>
        <v/>
      </c>
      <c r="HR659">
        <f>IF(OR(HM$3="",HM$3&gt;TODAY()),"",IF(AND(HP659="",HQ659=""),"",N(HQ659)-N(HP659)))</f>
        <v/>
      </c>
      <c r="HV659">
        <f>IF(OR(HT$3="",HT$3&gt;TODAY()),"",IF(AND(HT659="",HU659=""),"",N(HU659)-N(HT659)))</f>
        <v/>
      </c>
      <c r="HY659">
        <f>IF(OR(HT$3="",HT$3&gt;TODAY()),"",IF(AND(HW659="",HX659=""),"",N(HX659)-N(HW659)))</f>
        <v/>
      </c>
      <c r="IC659">
        <f>IF(OR(IA$3="",IA$3&gt;TODAY()),"",IF(AND(IA659="",IB659=""),"",N(IB659)-N(IA659)))</f>
        <v/>
      </c>
      <c r="IF659">
        <f>IF(OR(IA$3="",IA$3&gt;TODAY()),"",IF(AND(ID659="",IE659=""),"",N(IE659)-N(ID659)))</f>
        <v/>
      </c>
      <c r="IJ659">
        <f>IF(OR(IH$3="",IH$3&gt;TODAY()),"",IF(AND(IH659="",II659=""),"",N(II659)-N(IH659)))</f>
        <v/>
      </c>
      <c r="IM659">
        <f>IF(OR(IH$3="",IH$3&gt;TODAY()),"",IF(AND(IK659="",IL659=""),"",N(IL659)-N(IK659)))</f>
        <v/>
      </c>
    </row>
    <row r="660">
      <c r="A660" s="21" t="n"/>
      <c r="B660" s="21" t="n"/>
      <c r="C660" s="21" t="n"/>
      <c r="D660" s="21" t="n"/>
      <c r="E660" s="21" t="n"/>
      <c r="F660" s="21" t="n"/>
      <c r="G660" s="21" t="n"/>
      <c r="H660" s="21" t="n"/>
      <c r="I660" s="22" t="n"/>
      <c r="J660" s="22" t="n"/>
      <c r="K660" s="23" t="n"/>
      <c r="L660" s="22" t="n"/>
      <c r="M660" s="22" t="n"/>
      <c r="N660" s="21" t="n"/>
      <c r="O660" s="23" t="n"/>
      <c r="P660" s="23" t="n"/>
      <c r="Q660" s="23" t="n"/>
      <c r="R660" s="23" t="n"/>
      <c r="S660" s="22" t="n"/>
      <c r="T660" s="23" t="n"/>
      <c r="U660" s="23" t="n"/>
      <c r="V660" s="24">
        <f>IF(J660&lt;&gt;"",J660,IF(I660&lt;&gt;"",I660,""))</f>
        <v/>
      </c>
      <c r="W660" s="25">
        <f>IF($E660="","",N(O660)+SUMIFS($AF660:$IN660,$AF$4:$IN$4,"SEW_ACT"))</f>
        <v/>
      </c>
      <c r="X660" s="25">
        <f>IF($E660="","",N(P660)+SUMIFS($AF660:$IN660,$AF$4:$IN$4,"WASH_ACT"))</f>
        <v/>
      </c>
      <c r="Y660" s="25">
        <f>IF($E660="","",W660-X660-N(T660)-N(U660))</f>
        <v/>
      </c>
      <c r="Z660" s="25">
        <f>IF($E660="","",IF(N(K660)-X660&lt;=0.02*N(K660),0,N(K660)-X660))</f>
        <v/>
      </c>
      <c r="AA660" s="24">
        <f>IF($E660="","",IF(S660&lt;&gt;"",S660,IF(N(O660)&gt;0,IF(L660&lt;&gt;"",L660,99999),IFERROR(1/(1/_xlfn.MINIFS($AF$3:$IN$3,$AF$4:$IN$4,"SEW_ACT",$AF660:$IN660,"&gt;0")),99999))))</f>
        <v/>
      </c>
      <c r="AB660" s="26">
        <f>IF(OR($E660="",Z660=0,V660=""),"",1+COUNTIFS(Z$8:Z$707,"&gt;0",V$8:V$707,"&lt;"&amp;V660)+COUNTIFS(Z$8:Z$707,"&gt;0",V$8:V$707,V660,AA$8:AA$707,"&lt;"&amp;AA660)+COUNTIFS(Z$8:Z$707,"&gt;0",V$8:V$707,V660,AA$8:AA$707,AA660,E$8:E$707,"&lt;"&amp;$E660))</f>
        <v/>
      </c>
      <c r="AC660" s="24">
        <f>IF(OR($E660="",Z660=0),"",IFERROR(TODAY()+ROUNDUP(Z660/(SUMIFS($AF660:$IN660,$AF$4:$IN$4,"WASH_ACT")/COUNTIFS($AF$4:$IN$4,"WASH_ACT",$AF660:$IN660,"&gt;0")),0),"no output yet"))</f>
        <v/>
      </c>
      <c r="AD660" s="26">
        <f>IF($E660="","",IFERROR(ROUND(MAX(0,SUMIFS($AF660:$IN660,$AF$4:$IN$4,"SEW_PLAN",$AF$3:$IN$3,"&lt;="&amp;TODAY())-SUMIFS($AF660:$IN660,$AF$4:$IN$4,"SEW_ACT",$AF$3:$IN$3,"&lt;="&amp;TODAY())+N(Q660))/(SUMIFS($AF660:$IN660,$AF$4:$IN$4,"SEW_PLAN")/COUNTIFS($AF$4:$IN$4,"SEW_PLAN",$AF660:$IN660,"&gt;0")),1),0))</f>
        <v/>
      </c>
      <c r="AE660" s="26">
        <f>IF($E660="","",IF(AND(Z660&gt;0,OR(AND(M660&lt;&gt;"",TODAY()&gt;M660),AND(V660&lt;&gt;"",V660-TODAY()&lt;=7))),"Yes","No"))</f>
        <v/>
      </c>
      <c r="AH660">
        <f>IF(OR(AF$3="",AF$3&gt;TODAY()),"",IF(AND(AF660="",AG660=""),"",N(AG660)-N(AF660)))</f>
        <v/>
      </c>
      <c r="AK660">
        <f>IF(OR(AF$3="",AF$3&gt;TODAY()),"",IF(AND(AI660="",AJ660=""),"",N(AJ660)-N(AI660)))</f>
        <v/>
      </c>
      <c r="AO660">
        <f>IF(OR(AM$3="",AM$3&gt;TODAY()),"",IF(AND(AM660="",AN660=""),"",N(AN660)-N(AM660)))</f>
        <v/>
      </c>
      <c r="AR660">
        <f>IF(OR(AM$3="",AM$3&gt;TODAY()),"",IF(AND(AP660="",AQ660=""),"",N(AQ660)-N(AP660)))</f>
        <v/>
      </c>
      <c r="AV660">
        <f>IF(OR(AT$3="",AT$3&gt;TODAY()),"",IF(AND(AT660="",AU660=""),"",N(AU660)-N(AT660)))</f>
        <v/>
      </c>
      <c r="AY660">
        <f>IF(OR(AT$3="",AT$3&gt;TODAY()),"",IF(AND(AW660="",AX660=""),"",N(AX660)-N(AW660)))</f>
        <v/>
      </c>
      <c r="BC660">
        <f>IF(OR(BA$3="",BA$3&gt;TODAY()),"",IF(AND(BA660="",BB660=""),"",N(BB660)-N(BA660)))</f>
        <v/>
      </c>
      <c r="BF660">
        <f>IF(OR(BA$3="",BA$3&gt;TODAY()),"",IF(AND(BD660="",BE660=""),"",N(BE660)-N(BD660)))</f>
        <v/>
      </c>
      <c r="BJ660">
        <f>IF(OR(BH$3="",BH$3&gt;TODAY()),"",IF(AND(BH660="",BI660=""),"",N(BI660)-N(BH660)))</f>
        <v/>
      </c>
      <c r="BM660">
        <f>IF(OR(BH$3="",BH$3&gt;TODAY()),"",IF(AND(BK660="",BL660=""),"",N(BL660)-N(BK660)))</f>
        <v/>
      </c>
      <c r="BQ660">
        <f>IF(OR(BO$3="",BO$3&gt;TODAY()),"",IF(AND(BO660="",BP660=""),"",N(BP660)-N(BO660)))</f>
        <v/>
      </c>
      <c r="BT660">
        <f>IF(OR(BO$3="",BO$3&gt;TODAY()),"",IF(AND(BR660="",BS660=""),"",N(BS660)-N(BR660)))</f>
        <v/>
      </c>
      <c r="BX660">
        <f>IF(OR(BV$3="",BV$3&gt;TODAY()),"",IF(AND(BV660="",BW660=""),"",N(BW660)-N(BV660)))</f>
        <v/>
      </c>
      <c r="CA660">
        <f>IF(OR(BV$3="",BV$3&gt;TODAY()),"",IF(AND(BY660="",BZ660=""),"",N(BZ660)-N(BY660)))</f>
        <v/>
      </c>
      <c r="CE660">
        <f>IF(OR(CC$3="",CC$3&gt;TODAY()),"",IF(AND(CC660="",CD660=""),"",N(CD660)-N(CC660)))</f>
        <v/>
      </c>
      <c r="CH660">
        <f>IF(OR(CC$3="",CC$3&gt;TODAY()),"",IF(AND(CF660="",CG660=""),"",N(CG660)-N(CF660)))</f>
        <v/>
      </c>
      <c r="CL660">
        <f>IF(OR(CJ$3="",CJ$3&gt;TODAY()),"",IF(AND(CJ660="",CK660=""),"",N(CK660)-N(CJ660)))</f>
        <v/>
      </c>
      <c r="CO660">
        <f>IF(OR(CJ$3="",CJ$3&gt;TODAY()),"",IF(AND(CM660="",CN660=""),"",N(CN660)-N(CM660)))</f>
        <v/>
      </c>
      <c r="CS660">
        <f>IF(OR(CQ$3="",CQ$3&gt;TODAY()),"",IF(AND(CQ660="",CR660=""),"",N(CR660)-N(CQ660)))</f>
        <v/>
      </c>
      <c r="CV660">
        <f>IF(OR(CQ$3="",CQ$3&gt;TODAY()),"",IF(AND(CT660="",CU660=""),"",N(CU660)-N(CT660)))</f>
        <v/>
      </c>
      <c r="CZ660">
        <f>IF(OR(CX$3="",CX$3&gt;TODAY()),"",IF(AND(CX660="",CY660=""),"",N(CY660)-N(CX660)))</f>
        <v/>
      </c>
      <c r="DC660">
        <f>IF(OR(CX$3="",CX$3&gt;TODAY()),"",IF(AND(DA660="",DB660=""),"",N(DB660)-N(DA660)))</f>
        <v/>
      </c>
      <c r="DG660">
        <f>IF(OR(DE$3="",DE$3&gt;TODAY()),"",IF(AND(DE660="",DF660=""),"",N(DF660)-N(DE660)))</f>
        <v/>
      </c>
      <c r="DJ660">
        <f>IF(OR(DE$3="",DE$3&gt;TODAY()),"",IF(AND(DH660="",DI660=""),"",N(DI660)-N(DH660)))</f>
        <v/>
      </c>
      <c r="DN660">
        <f>IF(OR(DL$3="",DL$3&gt;TODAY()),"",IF(AND(DL660="",DM660=""),"",N(DM660)-N(DL660)))</f>
        <v/>
      </c>
      <c r="DQ660">
        <f>IF(OR(DL$3="",DL$3&gt;TODAY()),"",IF(AND(DO660="",DP660=""),"",N(DP660)-N(DO660)))</f>
        <v/>
      </c>
      <c r="DU660">
        <f>IF(OR(DS$3="",DS$3&gt;TODAY()),"",IF(AND(DS660="",DT660=""),"",N(DT660)-N(DS660)))</f>
        <v/>
      </c>
      <c r="DX660">
        <f>IF(OR(DS$3="",DS$3&gt;TODAY()),"",IF(AND(DV660="",DW660=""),"",N(DW660)-N(DV660)))</f>
        <v/>
      </c>
      <c r="EB660">
        <f>IF(OR(DZ$3="",DZ$3&gt;TODAY()),"",IF(AND(DZ660="",EA660=""),"",N(EA660)-N(DZ660)))</f>
        <v/>
      </c>
      <c r="EE660">
        <f>IF(OR(DZ$3="",DZ$3&gt;TODAY()),"",IF(AND(EC660="",ED660=""),"",N(ED660)-N(EC660)))</f>
        <v/>
      </c>
      <c r="EI660">
        <f>IF(OR(EG$3="",EG$3&gt;TODAY()),"",IF(AND(EG660="",EH660=""),"",N(EH660)-N(EG660)))</f>
        <v/>
      </c>
      <c r="EL660">
        <f>IF(OR(EG$3="",EG$3&gt;TODAY()),"",IF(AND(EJ660="",EK660=""),"",N(EK660)-N(EJ660)))</f>
        <v/>
      </c>
      <c r="EP660">
        <f>IF(OR(EN$3="",EN$3&gt;TODAY()),"",IF(AND(EN660="",EO660=""),"",N(EO660)-N(EN660)))</f>
        <v/>
      </c>
      <c r="ES660">
        <f>IF(OR(EN$3="",EN$3&gt;TODAY()),"",IF(AND(EQ660="",ER660=""),"",N(ER660)-N(EQ660)))</f>
        <v/>
      </c>
      <c r="EW660">
        <f>IF(OR(EU$3="",EU$3&gt;TODAY()),"",IF(AND(EU660="",EV660=""),"",N(EV660)-N(EU660)))</f>
        <v/>
      </c>
      <c r="EZ660">
        <f>IF(OR(EU$3="",EU$3&gt;TODAY()),"",IF(AND(EX660="",EY660=""),"",N(EY660)-N(EX660)))</f>
        <v/>
      </c>
      <c r="FD660">
        <f>IF(OR(FB$3="",FB$3&gt;TODAY()),"",IF(AND(FB660="",FC660=""),"",N(FC660)-N(FB660)))</f>
        <v/>
      </c>
      <c r="FG660">
        <f>IF(OR(FB$3="",FB$3&gt;TODAY()),"",IF(AND(FE660="",FF660=""),"",N(FF660)-N(FE660)))</f>
        <v/>
      </c>
      <c r="FK660">
        <f>IF(OR(FI$3="",FI$3&gt;TODAY()),"",IF(AND(FI660="",FJ660=""),"",N(FJ660)-N(FI660)))</f>
        <v/>
      </c>
      <c r="FN660">
        <f>IF(OR(FI$3="",FI$3&gt;TODAY()),"",IF(AND(FL660="",FM660=""),"",N(FM660)-N(FL660)))</f>
        <v/>
      </c>
      <c r="FR660">
        <f>IF(OR(FP$3="",FP$3&gt;TODAY()),"",IF(AND(FP660="",FQ660=""),"",N(FQ660)-N(FP660)))</f>
        <v/>
      </c>
      <c r="FU660">
        <f>IF(OR(FP$3="",FP$3&gt;TODAY()),"",IF(AND(FS660="",FT660=""),"",N(FT660)-N(FS660)))</f>
        <v/>
      </c>
      <c r="FY660">
        <f>IF(OR(FW$3="",FW$3&gt;TODAY()),"",IF(AND(FW660="",FX660=""),"",N(FX660)-N(FW660)))</f>
        <v/>
      </c>
      <c r="GB660">
        <f>IF(OR(FW$3="",FW$3&gt;TODAY()),"",IF(AND(FZ660="",GA660=""),"",N(GA660)-N(FZ660)))</f>
        <v/>
      </c>
      <c r="GF660">
        <f>IF(OR(GD$3="",GD$3&gt;TODAY()),"",IF(AND(GD660="",GE660=""),"",N(GE660)-N(GD660)))</f>
        <v/>
      </c>
      <c r="GI660">
        <f>IF(OR(GD$3="",GD$3&gt;TODAY()),"",IF(AND(GG660="",GH660=""),"",N(GH660)-N(GG660)))</f>
        <v/>
      </c>
      <c r="GM660">
        <f>IF(OR(GK$3="",GK$3&gt;TODAY()),"",IF(AND(GK660="",GL660=""),"",N(GL660)-N(GK660)))</f>
        <v/>
      </c>
      <c r="GP660">
        <f>IF(OR(GK$3="",GK$3&gt;TODAY()),"",IF(AND(GN660="",GO660=""),"",N(GO660)-N(GN660)))</f>
        <v/>
      </c>
      <c r="GT660">
        <f>IF(OR(GR$3="",GR$3&gt;TODAY()),"",IF(AND(GR660="",GS660=""),"",N(GS660)-N(GR660)))</f>
        <v/>
      </c>
      <c r="GW660">
        <f>IF(OR(GR$3="",GR$3&gt;TODAY()),"",IF(AND(GU660="",GV660=""),"",N(GV660)-N(GU660)))</f>
        <v/>
      </c>
      <c r="HA660">
        <f>IF(OR(GY$3="",GY$3&gt;TODAY()),"",IF(AND(GY660="",GZ660=""),"",N(GZ660)-N(GY660)))</f>
        <v/>
      </c>
      <c r="HD660">
        <f>IF(OR(GY$3="",GY$3&gt;TODAY()),"",IF(AND(HB660="",HC660=""),"",N(HC660)-N(HB660)))</f>
        <v/>
      </c>
      <c r="HH660">
        <f>IF(OR(HF$3="",HF$3&gt;TODAY()),"",IF(AND(HF660="",HG660=""),"",N(HG660)-N(HF660)))</f>
        <v/>
      </c>
      <c r="HK660">
        <f>IF(OR(HF$3="",HF$3&gt;TODAY()),"",IF(AND(HI660="",HJ660=""),"",N(HJ660)-N(HI660)))</f>
        <v/>
      </c>
      <c r="HO660">
        <f>IF(OR(HM$3="",HM$3&gt;TODAY()),"",IF(AND(HM660="",HN660=""),"",N(HN660)-N(HM660)))</f>
        <v/>
      </c>
      <c r="HR660">
        <f>IF(OR(HM$3="",HM$3&gt;TODAY()),"",IF(AND(HP660="",HQ660=""),"",N(HQ660)-N(HP660)))</f>
        <v/>
      </c>
      <c r="HV660">
        <f>IF(OR(HT$3="",HT$3&gt;TODAY()),"",IF(AND(HT660="",HU660=""),"",N(HU660)-N(HT660)))</f>
        <v/>
      </c>
      <c r="HY660">
        <f>IF(OR(HT$3="",HT$3&gt;TODAY()),"",IF(AND(HW660="",HX660=""),"",N(HX660)-N(HW660)))</f>
        <v/>
      </c>
      <c r="IC660">
        <f>IF(OR(IA$3="",IA$3&gt;TODAY()),"",IF(AND(IA660="",IB660=""),"",N(IB660)-N(IA660)))</f>
        <v/>
      </c>
      <c r="IF660">
        <f>IF(OR(IA$3="",IA$3&gt;TODAY()),"",IF(AND(ID660="",IE660=""),"",N(IE660)-N(ID660)))</f>
        <v/>
      </c>
      <c r="IJ660">
        <f>IF(OR(IH$3="",IH$3&gt;TODAY()),"",IF(AND(IH660="",II660=""),"",N(II660)-N(IH660)))</f>
        <v/>
      </c>
      <c r="IM660">
        <f>IF(OR(IH$3="",IH$3&gt;TODAY()),"",IF(AND(IK660="",IL660=""),"",N(IL660)-N(IK660)))</f>
        <v/>
      </c>
    </row>
    <row r="661">
      <c r="A661" s="21" t="n"/>
      <c r="B661" s="21" t="n"/>
      <c r="C661" s="21" t="n"/>
      <c r="D661" s="21" t="n"/>
      <c r="E661" s="21" t="n"/>
      <c r="F661" s="21" t="n"/>
      <c r="G661" s="21" t="n"/>
      <c r="H661" s="21" t="n"/>
      <c r="I661" s="22" t="n"/>
      <c r="J661" s="22" t="n"/>
      <c r="K661" s="23" t="n"/>
      <c r="L661" s="22" t="n"/>
      <c r="M661" s="22" t="n"/>
      <c r="N661" s="21" t="n"/>
      <c r="O661" s="23" t="n"/>
      <c r="P661" s="23" t="n"/>
      <c r="Q661" s="23" t="n"/>
      <c r="R661" s="23" t="n"/>
      <c r="S661" s="22" t="n"/>
      <c r="T661" s="23" t="n"/>
      <c r="U661" s="23" t="n"/>
      <c r="V661" s="24">
        <f>IF(J661&lt;&gt;"",J661,IF(I661&lt;&gt;"",I661,""))</f>
        <v/>
      </c>
      <c r="W661" s="25">
        <f>IF($E661="","",N(O661)+SUMIFS($AF661:$IN661,$AF$4:$IN$4,"SEW_ACT"))</f>
        <v/>
      </c>
      <c r="X661" s="25">
        <f>IF($E661="","",N(P661)+SUMIFS($AF661:$IN661,$AF$4:$IN$4,"WASH_ACT"))</f>
        <v/>
      </c>
      <c r="Y661" s="25">
        <f>IF($E661="","",W661-X661-N(T661)-N(U661))</f>
        <v/>
      </c>
      <c r="Z661" s="25">
        <f>IF($E661="","",IF(N(K661)-X661&lt;=0.02*N(K661),0,N(K661)-X661))</f>
        <v/>
      </c>
      <c r="AA661" s="24">
        <f>IF($E661="","",IF(S661&lt;&gt;"",S661,IF(N(O661)&gt;0,IF(L661&lt;&gt;"",L661,99999),IFERROR(1/(1/_xlfn.MINIFS($AF$3:$IN$3,$AF$4:$IN$4,"SEW_ACT",$AF661:$IN661,"&gt;0")),99999))))</f>
        <v/>
      </c>
      <c r="AB661" s="26">
        <f>IF(OR($E661="",Z661=0,V661=""),"",1+COUNTIFS(Z$8:Z$707,"&gt;0",V$8:V$707,"&lt;"&amp;V661)+COUNTIFS(Z$8:Z$707,"&gt;0",V$8:V$707,V661,AA$8:AA$707,"&lt;"&amp;AA661)+COUNTIFS(Z$8:Z$707,"&gt;0",V$8:V$707,V661,AA$8:AA$707,AA661,E$8:E$707,"&lt;"&amp;$E661))</f>
        <v/>
      </c>
      <c r="AC661" s="24">
        <f>IF(OR($E661="",Z661=0),"",IFERROR(TODAY()+ROUNDUP(Z661/(SUMIFS($AF661:$IN661,$AF$4:$IN$4,"WASH_ACT")/COUNTIFS($AF$4:$IN$4,"WASH_ACT",$AF661:$IN661,"&gt;0")),0),"no output yet"))</f>
        <v/>
      </c>
      <c r="AD661" s="26">
        <f>IF($E661="","",IFERROR(ROUND(MAX(0,SUMIFS($AF661:$IN661,$AF$4:$IN$4,"SEW_PLAN",$AF$3:$IN$3,"&lt;="&amp;TODAY())-SUMIFS($AF661:$IN661,$AF$4:$IN$4,"SEW_ACT",$AF$3:$IN$3,"&lt;="&amp;TODAY())+N(Q661))/(SUMIFS($AF661:$IN661,$AF$4:$IN$4,"SEW_PLAN")/COUNTIFS($AF$4:$IN$4,"SEW_PLAN",$AF661:$IN661,"&gt;0")),1),0))</f>
        <v/>
      </c>
      <c r="AE661" s="26">
        <f>IF($E661="","",IF(AND(Z661&gt;0,OR(AND(M661&lt;&gt;"",TODAY()&gt;M661),AND(V661&lt;&gt;"",V661-TODAY()&lt;=7))),"Yes","No"))</f>
        <v/>
      </c>
      <c r="AH661">
        <f>IF(OR(AF$3="",AF$3&gt;TODAY()),"",IF(AND(AF661="",AG661=""),"",N(AG661)-N(AF661)))</f>
        <v/>
      </c>
      <c r="AK661">
        <f>IF(OR(AF$3="",AF$3&gt;TODAY()),"",IF(AND(AI661="",AJ661=""),"",N(AJ661)-N(AI661)))</f>
        <v/>
      </c>
      <c r="AO661">
        <f>IF(OR(AM$3="",AM$3&gt;TODAY()),"",IF(AND(AM661="",AN661=""),"",N(AN661)-N(AM661)))</f>
        <v/>
      </c>
      <c r="AR661">
        <f>IF(OR(AM$3="",AM$3&gt;TODAY()),"",IF(AND(AP661="",AQ661=""),"",N(AQ661)-N(AP661)))</f>
        <v/>
      </c>
      <c r="AV661">
        <f>IF(OR(AT$3="",AT$3&gt;TODAY()),"",IF(AND(AT661="",AU661=""),"",N(AU661)-N(AT661)))</f>
        <v/>
      </c>
      <c r="AY661">
        <f>IF(OR(AT$3="",AT$3&gt;TODAY()),"",IF(AND(AW661="",AX661=""),"",N(AX661)-N(AW661)))</f>
        <v/>
      </c>
      <c r="BC661">
        <f>IF(OR(BA$3="",BA$3&gt;TODAY()),"",IF(AND(BA661="",BB661=""),"",N(BB661)-N(BA661)))</f>
        <v/>
      </c>
      <c r="BF661">
        <f>IF(OR(BA$3="",BA$3&gt;TODAY()),"",IF(AND(BD661="",BE661=""),"",N(BE661)-N(BD661)))</f>
        <v/>
      </c>
      <c r="BJ661">
        <f>IF(OR(BH$3="",BH$3&gt;TODAY()),"",IF(AND(BH661="",BI661=""),"",N(BI661)-N(BH661)))</f>
        <v/>
      </c>
      <c r="BM661">
        <f>IF(OR(BH$3="",BH$3&gt;TODAY()),"",IF(AND(BK661="",BL661=""),"",N(BL661)-N(BK661)))</f>
        <v/>
      </c>
      <c r="BQ661">
        <f>IF(OR(BO$3="",BO$3&gt;TODAY()),"",IF(AND(BO661="",BP661=""),"",N(BP661)-N(BO661)))</f>
        <v/>
      </c>
      <c r="BT661">
        <f>IF(OR(BO$3="",BO$3&gt;TODAY()),"",IF(AND(BR661="",BS661=""),"",N(BS661)-N(BR661)))</f>
        <v/>
      </c>
      <c r="BX661">
        <f>IF(OR(BV$3="",BV$3&gt;TODAY()),"",IF(AND(BV661="",BW661=""),"",N(BW661)-N(BV661)))</f>
        <v/>
      </c>
      <c r="CA661">
        <f>IF(OR(BV$3="",BV$3&gt;TODAY()),"",IF(AND(BY661="",BZ661=""),"",N(BZ661)-N(BY661)))</f>
        <v/>
      </c>
      <c r="CE661">
        <f>IF(OR(CC$3="",CC$3&gt;TODAY()),"",IF(AND(CC661="",CD661=""),"",N(CD661)-N(CC661)))</f>
        <v/>
      </c>
      <c r="CH661">
        <f>IF(OR(CC$3="",CC$3&gt;TODAY()),"",IF(AND(CF661="",CG661=""),"",N(CG661)-N(CF661)))</f>
        <v/>
      </c>
      <c r="CL661">
        <f>IF(OR(CJ$3="",CJ$3&gt;TODAY()),"",IF(AND(CJ661="",CK661=""),"",N(CK661)-N(CJ661)))</f>
        <v/>
      </c>
      <c r="CO661">
        <f>IF(OR(CJ$3="",CJ$3&gt;TODAY()),"",IF(AND(CM661="",CN661=""),"",N(CN661)-N(CM661)))</f>
        <v/>
      </c>
      <c r="CS661">
        <f>IF(OR(CQ$3="",CQ$3&gt;TODAY()),"",IF(AND(CQ661="",CR661=""),"",N(CR661)-N(CQ661)))</f>
        <v/>
      </c>
      <c r="CV661">
        <f>IF(OR(CQ$3="",CQ$3&gt;TODAY()),"",IF(AND(CT661="",CU661=""),"",N(CU661)-N(CT661)))</f>
        <v/>
      </c>
      <c r="CZ661">
        <f>IF(OR(CX$3="",CX$3&gt;TODAY()),"",IF(AND(CX661="",CY661=""),"",N(CY661)-N(CX661)))</f>
        <v/>
      </c>
      <c r="DC661">
        <f>IF(OR(CX$3="",CX$3&gt;TODAY()),"",IF(AND(DA661="",DB661=""),"",N(DB661)-N(DA661)))</f>
        <v/>
      </c>
      <c r="DG661">
        <f>IF(OR(DE$3="",DE$3&gt;TODAY()),"",IF(AND(DE661="",DF661=""),"",N(DF661)-N(DE661)))</f>
        <v/>
      </c>
      <c r="DJ661">
        <f>IF(OR(DE$3="",DE$3&gt;TODAY()),"",IF(AND(DH661="",DI661=""),"",N(DI661)-N(DH661)))</f>
        <v/>
      </c>
      <c r="DN661">
        <f>IF(OR(DL$3="",DL$3&gt;TODAY()),"",IF(AND(DL661="",DM661=""),"",N(DM661)-N(DL661)))</f>
        <v/>
      </c>
      <c r="DQ661">
        <f>IF(OR(DL$3="",DL$3&gt;TODAY()),"",IF(AND(DO661="",DP661=""),"",N(DP661)-N(DO661)))</f>
        <v/>
      </c>
      <c r="DU661">
        <f>IF(OR(DS$3="",DS$3&gt;TODAY()),"",IF(AND(DS661="",DT661=""),"",N(DT661)-N(DS661)))</f>
        <v/>
      </c>
      <c r="DX661">
        <f>IF(OR(DS$3="",DS$3&gt;TODAY()),"",IF(AND(DV661="",DW661=""),"",N(DW661)-N(DV661)))</f>
        <v/>
      </c>
      <c r="EB661">
        <f>IF(OR(DZ$3="",DZ$3&gt;TODAY()),"",IF(AND(DZ661="",EA661=""),"",N(EA661)-N(DZ661)))</f>
        <v/>
      </c>
      <c r="EE661">
        <f>IF(OR(DZ$3="",DZ$3&gt;TODAY()),"",IF(AND(EC661="",ED661=""),"",N(ED661)-N(EC661)))</f>
        <v/>
      </c>
      <c r="EI661">
        <f>IF(OR(EG$3="",EG$3&gt;TODAY()),"",IF(AND(EG661="",EH661=""),"",N(EH661)-N(EG661)))</f>
        <v/>
      </c>
      <c r="EL661">
        <f>IF(OR(EG$3="",EG$3&gt;TODAY()),"",IF(AND(EJ661="",EK661=""),"",N(EK661)-N(EJ661)))</f>
        <v/>
      </c>
      <c r="EP661">
        <f>IF(OR(EN$3="",EN$3&gt;TODAY()),"",IF(AND(EN661="",EO661=""),"",N(EO661)-N(EN661)))</f>
        <v/>
      </c>
      <c r="ES661">
        <f>IF(OR(EN$3="",EN$3&gt;TODAY()),"",IF(AND(EQ661="",ER661=""),"",N(ER661)-N(EQ661)))</f>
        <v/>
      </c>
      <c r="EW661">
        <f>IF(OR(EU$3="",EU$3&gt;TODAY()),"",IF(AND(EU661="",EV661=""),"",N(EV661)-N(EU661)))</f>
        <v/>
      </c>
      <c r="EZ661">
        <f>IF(OR(EU$3="",EU$3&gt;TODAY()),"",IF(AND(EX661="",EY661=""),"",N(EY661)-N(EX661)))</f>
        <v/>
      </c>
      <c r="FD661">
        <f>IF(OR(FB$3="",FB$3&gt;TODAY()),"",IF(AND(FB661="",FC661=""),"",N(FC661)-N(FB661)))</f>
        <v/>
      </c>
      <c r="FG661">
        <f>IF(OR(FB$3="",FB$3&gt;TODAY()),"",IF(AND(FE661="",FF661=""),"",N(FF661)-N(FE661)))</f>
        <v/>
      </c>
      <c r="FK661">
        <f>IF(OR(FI$3="",FI$3&gt;TODAY()),"",IF(AND(FI661="",FJ661=""),"",N(FJ661)-N(FI661)))</f>
        <v/>
      </c>
      <c r="FN661">
        <f>IF(OR(FI$3="",FI$3&gt;TODAY()),"",IF(AND(FL661="",FM661=""),"",N(FM661)-N(FL661)))</f>
        <v/>
      </c>
      <c r="FR661">
        <f>IF(OR(FP$3="",FP$3&gt;TODAY()),"",IF(AND(FP661="",FQ661=""),"",N(FQ661)-N(FP661)))</f>
        <v/>
      </c>
      <c r="FU661">
        <f>IF(OR(FP$3="",FP$3&gt;TODAY()),"",IF(AND(FS661="",FT661=""),"",N(FT661)-N(FS661)))</f>
        <v/>
      </c>
      <c r="FY661">
        <f>IF(OR(FW$3="",FW$3&gt;TODAY()),"",IF(AND(FW661="",FX661=""),"",N(FX661)-N(FW661)))</f>
        <v/>
      </c>
      <c r="GB661">
        <f>IF(OR(FW$3="",FW$3&gt;TODAY()),"",IF(AND(FZ661="",GA661=""),"",N(GA661)-N(FZ661)))</f>
        <v/>
      </c>
      <c r="GF661">
        <f>IF(OR(GD$3="",GD$3&gt;TODAY()),"",IF(AND(GD661="",GE661=""),"",N(GE661)-N(GD661)))</f>
        <v/>
      </c>
      <c r="GI661">
        <f>IF(OR(GD$3="",GD$3&gt;TODAY()),"",IF(AND(GG661="",GH661=""),"",N(GH661)-N(GG661)))</f>
        <v/>
      </c>
      <c r="GM661">
        <f>IF(OR(GK$3="",GK$3&gt;TODAY()),"",IF(AND(GK661="",GL661=""),"",N(GL661)-N(GK661)))</f>
        <v/>
      </c>
      <c r="GP661">
        <f>IF(OR(GK$3="",GK$3&gt;TODAY()),"",IF(AND(GN661="",GO661=""),"",N(GO661)-N(GN661)))</f>
        <v/>
      </c>
      <c r="GT661">
        <f>IF(OR(GR$3="",GR$3&gt;TODAY()),"",IF(AND(GR661="",GS661=""),"",N(GS661)-N(GR661)))</f>
        <v/>
      </c>
      <c r="GW661">
        <f>IF(OR(GR$3="",GR$3&gt;TODAY()),"",IF(AND(GU661="",GV661=""),"",N(GV661)-N(GU661)))</f>
        <v/>
      </c>
      <c r="HA661">
        <f>IF(OR(GY$3="",GY$3&gt;TODAY()),"",IF(AND(GY661="",GZ661=""),"",N(GZ661)-N(GY661)))</f>
        <v/>
      </c>
      <c r="HD661">
        <f>IF(OR(GY$3="",GY$3&gt;TODAY()),"",IF(AND(HB661="",HC661=""),"",N(HC661)-N(HB661)))</f>
        <v/>
      </c>
      <c r="HH661">
        <f>IF(OR(HF$3="",HF$3&gt;TODAY()),"",IF(AND(HF661="",HG661=""),"",N(HG661)-N(HF661)))</f>
        <v/>
      </c>
      <c r="HK661">
        <f>IF(OR(HF$3="",HF$3&gt;TODAY()),"",IF(AND(HI661="",HJ661=""),"",N(HJ661)-N(HI661)))</f>
        <v/>
      </c>
      <c r="HO661">
        <f>IF(OR(HM$3="",HM$3&gt;TODAY()),"",IF(AND(HM661="",HN661=""),"",N(HN661)-N(HM661)))</f>
        <v/>
      </c>
      <c r="HR661">
        <f>IF(OR(HM$3="",HM$3&gt;TODAY()),"",IF(AND(HP661="",HQ661=""),"",N(HQ661)-N(HP661)))</f>
        <v/>
      </c>
      <c r="HV661">
        <f>IF(OR(HT$3="",HT$3&gt;TODAY()),"",IF(AND(HT661="",HU661=""),"",N(HU661)-N(HT661)))</f>
        <v/>
      </c>
      <c r="HY661">
        <f>IF(OR(HT$3="",HT$3&gt;TODAY()),"",IF(AND(HW661="",HX661=""),"",N(HX661)-N(HW661)))</f>
        <v/>
      </c>
      <c r="IC661">
        <f>IF(OR(IA$3="",IA$3&gt;TODAY()),"",IF(AND(IA661="",IB661=""),"",N(IB661)-N(IA661)))</f>
        <v/>
      </c>
      <c r="IF661">
        <f>IF(OR(IA$3="",IA$3&gt;TODAY()),"",IF(AND(ID661="",IE661=""),"",N(IE661)-N(ID661)))</f>
        <v/>
      </c>
      <c r="IJ661">
        <f>IF(OR(IH$3="",IH$3&gt;TODAY()),"",IF(AND(IH661="",II661=""),"",N(II661)-N(IH661)))</f>
        <v/>
      </c>
      <c r="IM661">
        <f>IF(OR(IH$3="",IH$3&gt;TODAY()),"",IF(AND(IK661="",IL661=""),"",N(IL661)-N(IK661)))</f>
        <v/>
      </c>
    </row>
    <row r="662">
      <c r="A662" s="21" t="n"/>
      <c r="B662" s="21" t="n"/>
      <c r="C662" s="21" t="n"/>
      <c r="D662" s="21" t="n"/>
      <c r="E662" s="21" t="n"/>
      <c r="F662" s="21" t="n"/>
      <c r="G662" s="21" t="n"/>
      <c r="H662" s="21" t="n"/>
      <c r="I662" s="22" t="n"/>
      <c r="J662" s="22" t="n"/>
      <c r="K662" s="23" t="n"/>
      <c r="L662" s="22" t="n"/>
      <c r="M662" s="22" t="n"/>
      <c r="N662" s="21" t="n"/>
      <c r="O662" s="23" t="n"/>
      <c r="P662" s="23" t="n"/>
      <c r="Q662" s="23" t="n"/>
      <c r="R662" s="23" t="n"/>
      <c r="S662" s="22" t="n"/>
      <c r="T662" s="23" t="n"/>
      <c r="U662" s="23" t="n"/>
      <c r="V662" s="24">
        <f>IF(J662&lt;&gt;"",J662,IF(I662&lt;&gt;"",I662,""))</f>
        <v/>
      </c>
      <c r="W662" s="25">
        <f>IF($E662="","",N(O662)+SUMIFS($AF662:$IN662,$AF$4:$IN$4,"SEW_ACT"))</f>
        <v/>
      </c>
      <c r="X662" s="25">
        <f>IF($E662="","",N(P662)+SUMIFS($AF662:$IN662,$AF$4:$IN$4,"WASH_ACT"))</f>
        <v/>
      </c>
      <c r="Y662" s="25">
        <f>IF($E662="","",W662-X662-N(T662)-N(U662))</f>
        <v/>
      </c>
      <c r="Z662" s="25">
        <f>IF($E662="","",IF(N(K662)-X662&lt;=0.02*N(K662),0,N(K662)-X662))</f>
        <v/>
      </c>
      <c r="AA662" s="24">
        <f>IF($E662="","",IF(S662&lt;&gt;"",S662,IF(N(O662)&gt;0,IF(L662&lt;&gt;"",L662,99999),IFERROR(1/(1/_xlfn.MINIFS($AF$3:$IN$3,$AF$4:$IN$4,"SEW_ACT",$AF662:$IN662,"&gt;0")),99999))))</f>
        <v/>
      </c>
      <c r="AB662" s="26">
        <f>IF(OR($E662="",Z662=0,V662=""),"",1+COUNTIFS(Z$8:Z$707,"&gt;0",V$8:V$707,"&lt;"&amp;V662)+COUNTIFS(Z$8:Z$707,"&gt;0",V$8:V$707,V662,AA$8:AA$707,"&lt;"&amp;AA662)+COUNTIFS(Z$8:Z$707,"&gt;0",V$8:V$707,V662,AA$8:AA$707,AA662,E$8:E$707,"&lt;"&amp;$E662))</f>
        <v/>
      </c>
      <c r="AC662" s="24">
        <f>IF(OR($E662="",Z662=0),"",IFERROR(TODAY()+ROUNDUP(Z662/(SUMIFS($AF662:$IN662,$AF$4:$IN$4,"WASH_ACT")/COUNTIFS($AF$4:$IN$4,"WASH_ACT",$AF662:$IN662,"&gt;0")),0),"no output yet"))</f>
        <v/>
      </c>
      <c r="AD662" s="26">
        <f>IF($E662="","",IFERROR(ROUND(MAX(0,SUMIFS($AF662:$IN662,$AF$4:$IN$4,"SEW_PLAN",$AF$3:$IN$3,"&lt;="&amp;TODAY())-SUMIFS($AF662:$IN662,$AF$4:$IN$4,"SEW_ACT",$AF$3:$IN$3,"&lt;="&amp;TODAY())+N(Q662))/(SUMIFS($AF662:$IN662,$AF$4:$IN$4,"SEW_PLAN")/COUNTIFS($AF$4:$IN$4,"SEW_PLAN",$AF662:$IN662,"&gt;0")),1),0))</f>
        <v/>
      </c>
      <c r="AE662" s="26">
        <f>IF($E662="","",IF(AND(Z662&gt;0,OR(AND(M662&lt;&gt;"",TODAY()&gt;M662),AND(V662&lt;&gt;"",V662-TODAY()&lt;=7))),"Yes","No"))</f>
        <v/>
      </c>
      <c r="AH662">
        <f>IF(OR(AF$3="",AF$3&gt;TODAY()),"",IF(AND(AF662="",AG662=""),"",N(AG662)-N(AF662)))</f>
        <v/>
      </c>
      <c r="AK662">
        <f>IF(OR(AF$3="",AF$3&gt;TODAY()),"",IF(AND(AI662="",AJ662=""),"",N(AJ662)-N(AI662)))</f>
        <v/>
      </c>
      <c r="AO662">
        <f>IF(OR(AM$3="",AM$3&gt;TODAY()),"",IF(AND(AM662="",AN662=""),"",N(AN662)-N(AM662)))</f>
        <v/>
      </c>
      <c r="AR662">
        <f>IF(OR(AM$3="",AM$3&gt;TODAY()),"",IF(AND(AP662="",AQ662=""),"",N(AQ662)-N(AP662)))</f>
        <v/>
      </c>
      <c r="AV662">
        <f>IF(OR(AT$3="",AT$3&gt;TODAY()),"",IF(AND(AT662="",AU662=""),"",N(AU662)-N(AT662)))</f>
        <v/>
      </c>
      <c r="AY662">
        <f>IF(OR(AT$3="",AT$3&gt;TODAY()),"",IF(AND(AW662="",AX662=""),"",N(AX662)-N(AW662)))</f>
        <v/>
      </c>
      <c r="BC662">
        <f>IF(OR(BA$3="",BA$3&gt;TODAY()),"",IF(AND(BA662="",BB662=""),"",N(BB662)-N(BA662)))</f>
        <v/>
      </c>
      <c r="BF662">
        <f>IF(OR(BA$3="",BA$3&gt;TODAY()),"",IF(AND(BD662="",BE662=""),"",N(BE662)-N(BD662)))</f>
        <v/>
      </c>
      <c r="BJ662">
        <f>IF(OR(BH$3="",BH$3&gt;TODAY()),"",IF(AND(BH662="",BI662=""),"",N(BI662)-N(BH662)))</f>
        <v/>
      </c>
      <c r="BM662">
        <f>IF(OR(BH$3="",BH$3&gt;TODAY()),"",IF(AND(BK662="",BL662=""),"",N(BL662)-N(BK662)))</f>
        <v/>
      </c>
      <c r="BQ662">
        <f>IF(OR(BO$3="",BO$3&gt;TODAY()),"",IF(AND(BO662="",BP662=""),"",N(BP662)-N(BO662)))</f>
        <v/>
      </c>
      <c r="BT662">
        <f>IF(OR(BO$3="",BO$3&gt;TODAY()),"",IF(AND(BR662="",BS662=""),"",N(BS662)-N(BR662)))</f>
        <v/>
      </c>
      <c r="BX662">
        <f>IF(OR(BV$3="",BV$3&gt;TODAY()),"",IF(AND(BV662="",BW662=""),"",N(BW662)-N(BV662)))</f>
        <v/>
      </c>
      <c r="CA662">
        <f>IF(OR(BV$3="",BV$3&gt;TODAY()),"",IF(AND(BY662="",BZ662=""),"",N(BZ662)-N(BY662)))</f>
        <v/>
      </c>
      <c r="CE662">
        <f>IF(OR(CC$3="",CC$3&gt;TODAY()),"",IF(AND(CC662="",CD662=""),"",N(CD662)-N(CC662)))</f>
        <v/>
      </c>
      <c r="CH662">
        <f>IF(OR(CC$3="",CC$3&gt;TODAY()),"",IF(AND(CF662="",CG662=""),"",N(CG662)-N(CF662)))</f>
        <v/>
      </c>
      <c r="CL662">
        <f>IF(OR(CJ$3="",CJ$3&gt;TODAY()),"",IF(AND(CJ662="",CK662=""),"",N(CK662)-N(CJ662)))</f>
        <v/>
      </c>
      <c r="CO662">
        <f>IF(OR(CJ$3="",CJ$3&gt;TODAY()),"",IF(AND(CM662="",CN662=""),"",N(CN662)-N(CM662)))</f>
        <v/>
      </c>
      <c r="CS662">
        <f>IF(OR(CQ$3="",CQ$3&gt;TODAY()),"",IF(AND(CQ662="",CR662=""),"",N(CR662)-N(CQ662)))</f>
        <v/>
      </c>
      <c r="CV662">
        <f>IF(OR(CQ$3="",CQ$3&gt;TODAY()),"",IF(AND(CT662="",CU662=""),"",N(CU662)-N(CT662)))</f>
        <v/>
      </c>
      <c r="CZ662">
        <f>IF(OR(CX$3="",CX$3&gt;TODAY()),"",IF(AND(CX662="",CY662=""),"",N(CY662)-N(CX662)))</f>
        <v/>
      </c>
      <c r="DC662">
        <f>IF(OR(CX$3="",CX$3&gt;TODAY()),"",IF(AND(DA662="",DB662=""),"",N(DB662)-N(DA662)))</f>
        <v/>
      </c>
      <c r="DG662">
        <f>IF(OR(DE$3="",DE$3&gt;TODAY()),"",IF(AND(DE662="",DF662=""),"",N(DF662)-N(DE662)))</f>
        <v/>
      </c>
      <c r="DJ662">
        <f>IF(OR(DE$3="",DE$3&gt;TODAY()),"",IF(AND(DH662="",DI662=""),"",N(DI662)-N(DH662)))</f>
        <v/>
      </c>
      <c r="DN662">
        <f>IF(OR(DL$3="",DL$3&gt;TODAY()),"",IF(AND(DL662="",DM662=""),"",N(DM662)-N(DL662)))</f>
        <v/>
      </c>
      <c r="DQ662">
        <f>IF(OR(DL$3="",DL$3&gt;TODAY()),"",IF(AND(DO662="",DP662=""),"",N(DP662)-N(DO662)))</f>
        <v/>
      </c>
      <c r="DU662">
        <f>IF(OR(DS$3="",DS$3&gt;TODAY()),"",IF(AND(DS662="",DT662=""),"",N(DT662)-N(DS662)))</f>
        <v/>
      </c>
      <c r="DX662">
        <f>IF(OR(DS$3="",DS$3&gt;TODAY()),"",IF(AND(DV662="",DW662=""),"",N(DW662)-N(DV662)))</f>
        <v/>
      </c>
      <c r="EB662">
        <f>IF(OR(DZ$3="",DZ$3&gt;TODAY()),"",IF(AND(DZ662="",EA662=""),"",N(EA662)-N(DZ662)))</f>
        <v/>
      </c>
      <c r="EE662">
        <f>IF(OR(DZ$3="",DZ$3&gt;TODAY()),"",IF(AND(EC662="",ED662=""),"",N(ED662)-N(EC662)))</f>
        <v/>
      </c>
      <c r="EI662">
        <f>IF(OR(EG$3="",EG$3&gt;TODAY()),"",IF(AND(EG662="",EH662=""),"",N(EH662)-N(EG662)))</f>
        <v/>
      </c>
      <c r="EL662">
        <f>IF(OR(EG$3="",EG$3&gt;TODAY()),"",IF(AND(EJ662="",EK662=""),"",N(EK662)-N(EJ662)))</f>
        <v/>
      </c>
      <c r="EP662">
        <f>IF(OR(EN$3="",EN$3&gt;TODAY()),"",IF(AND(EN662="",EO662=""),"",N(EO662)-N(EN662)))</f>
        <v/>
      </c>
      <c r="ES662">
        <f>IF(OR(EN$3="",EN$3&gt;TODAY()),"",IF(AND(EQ662="",ER662=""),"",N(ER662)-N(EQ662)))</f>
        <v/>
      </c>
      <c r="EW662">
        <f>IF(OR(EU$3="",EU$3&gt;TODAY()),"",IF(AND(EU662="",EV662=""),"",N(EV662)-N(EU662)))</f>
        <v/>
      </c>
      <c r="EZ662">
        <f>IF(OR(EU$3="",EU$3&gt;TODAY()),"",IF(AND(EX662="",EY662=""),"",N(EY662)-N(EX662)))</f>
        <v/>
      </c>
      <c r="FD662">
        <f>IF(OR(FB$3="",FB$3&gt;TODAY()),"",IF(AND(FB662="",FC662=""),"",N(FC662)-N(FB662)))</f>
        <v/>
      </c>
      <c r="FG662">
        <f>IF(OR(FB$3="",FB$3&gt;TODAY()),"",IF(AND(FE662="",FF662=""),"",N(FF662)-N(FE662)))</f>
        <v/>
      </c>
      <c r="FK662">
        <f>IF(OR(FI$3="",FI$3&gt;TODAY()),"",IF(AND(FI662="",FJ662=""),"",N(FJ662)-N(FI662)))</f>
        <v/>
      </c>
      <c r="FN662">
        <f>IF(OR(FI$3="",FI$3&gt;TODAY()),"",IF(AND(FL662="",FM662=""),"",N(FM662)-N(FL662)))</f>
        <v/>
      </c>
      <c r="FR662">
        <f>IF(OR(FP$3="",FP$3&gt;TODAY()),"",IF(AND(FP662="",FQ662=""),"",N(FQ662)-N(FP662)))</f>
        <v/>
      </c>
      <c r="FU662">
        <f>IF(OR(FP$3="",FP$3&gt;TODAY()),"",IF(AND(FS662="",FT662=""),"",N(FT662)-N(FS662)))</f>
        <v/>
      </c>
      <c r="FY662">
        <f>IF(OR(FW$3="",FW$3&gt;TODAY()),"",IF(AND(FW662="",FX662=""),"",N(FX662)-N(FW662)))</f>
        <v/>
      </c>
      <c r="GB662">
        <f>IF(OR(FW$3="",FW$3&gt;TODAY()),"",IF(AND(FZ662="",GA662=""),"",N(GA662)-N(FZ662)))</f>
        <v/>
      </c>
      <c r="GF662">
        <f>IF(OR(GD$3="",GD$3&gt;TODAY()),"",IF(AND(GD662="",GE662=""),"",N(GE662)-N(GD662)))</f>
        <v/>
      </c>
      <c r="GI662">
        <f>IF(OR(GD$3="",GD$3&gt;TODAY()),"",IF(AND(GG662="",GH662=""),"",N(GH662)-N(GG662)))</f>
        <v/>
      </c>
      <c r="GM662">
        <f>IF(OR(GK$3="",GK$3&gt;TODAY()),"",IF(AND(GK662="",GL662=""),"",N(GL662)-N(GK662)))</f>
        <v/>
      </c>
      <c r="GP662">
        <f>IF(OR(GK$3="",GK$3&gt;TODAY()),"",IF(AND(GN662="",GO662=""),"",N(GO662)-N(GN662)))</f>
        <v/>
      </c>
      <c r="GT662">
        <f>IF(OR(GR$3="",GR$3&gt;TODAY()),"",IF(AND(GR662="",GS662=""),"",N(GS662)-N(GR662)))</f>
        <v/>
      </c>
      <c r="GW662">
        <f>IF(OR(GR$3="",GR$3&gt;TODAY()),"",IF(AND(GU662="",GV662=""),"",N(GV662)-N(GU662)))</f>
        <v/>
      </c>
      <c r="HA662">
        <f>IF(OR(GY$3="",GY$3&gt;TODAY()),"",IF(AND(GY662="",GZ662=""),"",N(GZ662)-N(GY662)))</f>
        <v/>
      </c>
      <c r="HD662">
        <f>IF(OR(GY$3="",GY$3&gt;TODAY()),"",IF(AND(HB662="",HC662=""),"",N(HC662)-N(HB662)))</f>
        <v/>
      </c>
      <c r="HH662">
        <f>IF(OR(HF$3="",HF$3&gt;TODAY()),"",IF(AND(HF662="",HG662=""),"",N(HG662)-N(HF662)))</f>
        <v/>
      </c>
      <c r="HK662">
        <f>IF(OR(HF$3="",HF$3&gt;TODAY()),"",IF(AND(HI662="",HJ662=""),"",N(HJ662)-N(HI662)))</f>
        <v/>
      </c>
      <c r="HO662">
        <f>IF(OR(HM$3="",HM$3&gt;TODAY()),"",IF(AND(HM662="",HN662=""),"",N(HN662)-N(HM662)))</f>
        <v/>
      </c>
      <c r="HR662">
        <f>IF(OR(HM$3="",HM$3&gt;TODAY()),"",IF(AND(HP662="",HQ662=""),"",N(HQ662)-N(HP662)))</f>
        <v/>
      </c>
      <c r="HV662">
        <f>IF(OR(HT$3="",HT$3&gt;TODAY()),"",IF(AND(HT662="",HU662=""),"",N(HU662)-N(HT662)))</f>
        <v/>
      </c>
      <c r="HY662">
        <f>IF(OR(HT$3="",HT$3&gt;TODAY()),"",IF(AND(HW662="",HX662=""),"",N(HX662)-N(HW662)))</f>
        <v/>
      </c>
      <c r="IC662">
        <f>IF(OR(IA$3="",IA$3&gt;TODAY()),"",IF(AND(IA662="",IB662=""),"",N(IB662)-N(IA662)))</f>
        <v/>
      </c>
      <c r="IF662">
        <f>IF(OR(IA$3="",IA$3&gt;TODAY()),"",IF(AND(ID662="",IE662=""),"",N(IE662)-N(ID662)))</f>
        <v/>
      </c>
      <c r="IJ662">
        <f>IF(OR(IH$3="",IH$3&gt;TODAY()),"",IF(AND(IH662="",II662=""),"",N(II662)-N(IH662)))</f>
        <v/>
      </c>
      <c r="IM662">
        <f>IF(OR(IH$3="",IH$3&gt;TODAY()),"",IF(AND(IK662="",IL662=""),"",N(IL662)-N(IK662)))</f>
        <v/>
      </c>
    </row>
    <row r="663">
      <c r="A663" s="21" t="n"/>
      <c r="B663" s="21" t="n"/>
      <c r="C663" s="21" t="n"/>
      <c r="D663" s="21" t="n"/>
      <c r="E663" s="21" t="n"/>
      <c r="F663" s="21" t="n"/>
      <c r="G663" s="21" t="n"/>
      <c r="H663" s="21" t="n"/>
      <c r="I663" s="22" t="n"/>
      <c r="J663" s="22" t="n"/>
      <c r="K663" s="23" t="n"/>
      <c r="L663" s="22" t="n"/>
      <c r="M663" s="22" t="n"/>
      <c r="N663" s="21" t="n"/>
      <c r="O663" s="23" t="n"/>
      <c r="P663" s="23" t="n"/>
      <c r="Q663" s="23" t="n"/>
      <c r="R663" s="23" t="n"/>
      <c r="S663" s="22" t="n"/>
      <c r="T663" s="23" t="n"/>
      <c r="U663" s="23" t="n"/>
      <c r="V663" s="24">
        <f>IF(J663&lt;&gt;"",J663,IF(I663&lt;&gt;"",I663,""))</f>
        <v/>
      </c>
      <c r="W663" s="25">
        <f>IF($E663="","",N(O663)+SUMIFS($AF663:$IN663,$AF$4:$IN$4,"SEW_ACT"))</f>
        <v/>
      </c>
      <c r="X663" s="25">
        <f>IF($E663="","",N(P663)+SUMIFS($AF663:$IN663,$AF$4:$IN$4,"WASH_ACT"))</f>
        <v/>
      </c>
      <c r="Y663" s="25">
        <f>IF($E663="","",W663-X663-N(T663)-N(U663))</f>
        <v/>
      </c>
      <c r="Z663" s="25">
        <f>IF($E663="","",IF(N(K663)-X663&lt;=0.02*N(K663),0,N(K663)-X663))</f>
        <v/>
      </c>
      <c r="AA663" s="24">
        <f>IF($E663="","",IF(S663&lt;&gt;"",S663,IF(N(O663)&gt;0,IF(L663&lt;&gt;"",L663,99999),IFERROR(1/(1/_xlfn.MINIFS($AF$3:$IN$3,$AF$4:$IN$4,"SEW_ACT",$AF663:$IN663,"&gt;0")),99999))))</f>
        <v/>
      </c>
      <c r="AB663" s="26">
        <f>IF(OR($E663="",Z663=0,V663=""),"",1+COUNTIFS(Z$8:Z$707,"&gt;0",V$8:V$707,"&lt;"&amp;V663)+COUNTIFS(Z$8:Z$707,"&gt;0",V$8:V$707,V663,AA$8:AA$707,"&lt;"&amp;AA663)+COUNTIFS(Z$8:Z$707,"&gt;0",V$8:V$707,V663,AA$8:AA$707,AA663,E$8:E$707,"&lt;"&amp;$E663))</f>
        <v/>
      </c>
      <c r="AC663" s="24">
        <f>IF(OR($E663="",Z663=0),"",IFERROR(TODAY()+ROUNDUP(Z663/(SUMIFS($AF663:$IN663,$AF$4:$IN$4,"WASH_ACT")/COUNTIFS($AF$4:$IN$4,"WASH_ACT",$AF663:$IN663,"&gt;0")),0),"no output yet"))</f>
        <v/>
      </c>
      <c r="AD663" s="26">
        <f>IF($E663="","",IFERROR(ROUND(MAX(0,SUMIFS($AF663:$IN663,$AF$4:$IN$4,"SEW_PLAN",$AF$3:$IN$3,"&lt;="&amp;TODAY())-SUMIFS($AF663:$IN663,$AF$4:$IN$4,"SEW_ACT",$AF$3:$IN$3,"&lt;="&amp;TODAY())+N(Q663))/(SUMIFS($AF663:$IN663,$AF$4:$IN$4,"SEW_PLAN")/COUNTIFS($AF$4:$IN$4,"SEW_PLAN",$AF663:$IN663,"&gt;0")),1),0))</f>
        <v/>
      </c>
      <c r="AE663" s="26">
        <f>IF($E663="","",IF(AND(Z663&gt;0,OR(AND(M663&lt;&gt;"",TODAY()&gt;M663),AND(V663&lt;&gt;"",V663-TODAY()&lt;=7))),"Yes","No"))</f>
        <v/>
      </c>
      <c r="AH663">
        <f>IF(OR(AF$3="",AF$3&gt;TODAY()),"",IF(AND(AF663="",AG663=""),"",N(AG663)-N(AF663)))</f>
        <v/>
      </c>
      <c r="AK663">
        <f>IF(OR(AF$3="",AF$3&gt;TODAY()),"",IF(AND(AI663="",AJ663=""),"",N(AJ663)-N(AI663)))</f>
        <v/>
      </c>
      <c r="AO663">
        <f>IF(OR(AM$3="",AM$3&gt;TODAY()),"",IF(AND(AM663="",AN663=""),"",N(AN663)-N(AM663)))</f>
        <v/>
      </c>
      <c r="AR663">
        <f>IF(OR(AM$3="",AM$3&gt;TODAY()),"",IF(AND(AP663="",AQ663=""),"",N(AQ663)-N(AP663)))</f>
        <v/>
      </c>
      <c r="AV663">
        <f>IF(OR(AT$3="",AT$3&gt;TODAY()),"",IF(AND(AT663="",AU663=""),"",N(AU663)-N(AT663)))</f>
        <v/>
      </c>
      <c r="AY663">
        <f>IF(OR(AT$3="",AT$3&gt;TODAY()),"",IF(AND(AW663="",AX663=""),"",N(AX663)-N(AW663)))</f>
        <v/>
      </c>
      <c r="BC663">
        <f>IF(OR(BA$3="",BA$3&gt;TODAY()),"",IF(AND(BA663="",BB663=""),"",N(BB663)-N(BA663)))</f>
        <v/>
      </c>
      <c r="BF663">
        <f>IF(OR(BA$3="",BA$3&gt;TODAY()),"",IF(AND(BD663="",BE663=""),"",N(BE663)-N(BD663)))</f>
        <v/>
      </c>
      <c r="BJ663">
        <f>IF(OR(BH$3="",BH$3&gt;TODAY()),"",IF(AND(BH663="",BI663=""),"",N(BI663)-N(BH663)))</f>
        <v/>
      </c>
      <c r="BM663">
        <f>IF(OR(BH$3="",BH$3&gt;TODAY()),"",IF(AND(BK663="",BL663=""),"",N(BL663)-N(BK663)))</f>
        <v/>
      </c>
      <c r="BQ663">
        <f>IF(OR(BO$3="",BO$3&gt;TODAY()),"",IF(AND(BO663="",BP663=""),"",N(BP663)-N(BO663)))</f>
        <v/>
      </c>
      <c r="BT663">
        <f>IF(OR(BO$3="",BO$3&gt;TODAY()),"",IF(AND(BR663="",BS663=""),"",N(BS663)-N(BR663)))</f>
        <v/>
      </c>
      <c r="BX663">
        <f>IF(OR(BV$3="",BV$3&gt;TODAY()),"",IF(AND(BV663="",BW663=""),"",N(BW663)-N(BV663)))</f>
        <v/>
      </c>
      <c r="CA663">
        <f>IF(OR(BV$3="",BV$3&gt;TODAY()),"",IF(AND(BY663="",BZ663=""),"",N(BZ663)-N(BY663)))</f>
        <v/>
      </c>
      <c r="CE663">
        <f>IF(OR(CC$3="",CC$3&gt;TODAY()),"",IF(AND(CC663="",CD663=""),"",N(CD663)-N(CC663)))</f>
        <v/>
      </c>
      <c r="CH663">
        <f>IF(OR(CC$3="",CC$3&gt;TODAY()),"",IF(AND(CF663="",CG663=""),"",N(CG663)-N(CF663)))</f>
        <v/>
      </c>
      <c r="CL663">
        <f>IF(OR(CJ$3="",CJ$3&gt;TODAY()),"",IF(AND(CJ663="",CK663=""),"",N(CK663)-N(CJ663)))</f>
        <v/>
      </c>
      <c r="CO663">
        <f>IF(OR(CJ$3="",CJ$3&gt;TODAY()),"",IF(AND(CM663="",CN663=""),"",N(CN663)-N(CM663)))</f>
        <v/>
      </c>
      <c r="CS663">
        <f>IF(OR(CQ$3="",CQ$3&gt;TODAY()),"",IF(AND(CQ663="",CR663=""),"",N(CR663)-N(CQ663)))</f>
        <v/>
      </c>
      <c r="CV663">
        <f>IF(OR(CQ$3="",CQ$3&gt;TODAY()),"",IF(AND(CT663="",CU663=""),"",N(CU663)-N(CT663)))</f>
        <v/>
      </c>
      <c r="CZ663">
        <f>IF(OR(CX$3="",CX$3&gt;TODAY()),"",IF(AND(CX663="",CY663=""),"",N(CY663)-N(CX663)))</f>
        <v/>
      </c>
      <c r="DC663">
        <f>IF(OR(CX$3="",CX$3&gt;TODAY()),"",IF(AND(DA663="",DB663=""),"",N(DB663)-N(DA663)))</f>
        <v/>
      </c>
      <c r="DG663">
        <f>IF(OR(DE$3="",DE$3&gt;TODAY()),"",IF(AND(DE663="",DF663=""),"",N(DF663)-N(DE663)))</f>
        <v/>
      </c>
      <c r="DJ663">
        <f>IF(OR(DE$3="",DE$3&gt;TODAY()),"",IF(AND(DH663="",DI663=""),"",N(DI663)-N(DH663)))</f>
        <v/>
      </c>
      <c r="DN663">
        <f>IF(OR(DL$3="",DL$3&gt;TODAY()),"",IF(AND(DL663="",DM663=""),"",N(DM663)-N(DL663)))</f>
        <v/>
      </c>
      <c r="DQ663">
        <f>IF(OR(DL$3="",DL$3&gt;TODAY()),"",IF(AND(DO663="",DP663=""),"",N(DP663)-N(DO663)))</f>
        <v/>
      </c>
      <c r="DU663">
        <f>IF(OR(DS$3="",DS$3&gt;TODAY()),"",IF(AND(DS663="",DT663=""),"",N(DT663)-N(DS663)))</f>
        <v/>
      </c>
      <c r="DX663">
        <f>IF(OR(DS$3="",DS$3&gt;TODAY()),"",IF(AND(DV663="",DW663=""),"",N(DW663)-N(DV663)))</f>
        <v/>
      </c>
      <c r="EB663">
        <f>IF(OR(DZ$3="",DZ$3&gt;TODAY()),"",IF(AND(DZ663="",EA663=""),"",N(EA663)-N(DZ663)))</f>
        <v/>
      </c>
      <c r="EE663">
        <f>IF(OR(DZ$3="",DZ$3&gt;TODAY()),"",IF(AND(EC663="",ED663=""),"",N(ED663)-N(EC663)))</f>
        <v/>
      </c>
      <c r="EI663">
        <f>IF(OR(EG$3="",EG$3&gt;TODAY()),"",IF(AND(EG663="",EH663=""),"",N(EH663)-N(EG663)))</f>
        <v/>
      </c>
      <c r="EL663">
        <f>IF(OR(EG$3="",EG$3&gt;TODAY()),"",IF(AND(EJ663="",EK663=""),"",N(EK663)-N(EJ663)))</f>
        <v/>
      </c>
      <c r="EP663">
        <f>IF(OR(EN$3="",EN$3&gt;TODAY()),"",IF(AND(EN663="",EO663=""),"",N(EO663)-N(EN663)))</f>
        <v/>
      </c>
      <c r="ES663">
        <f>IF(OR(EN$3="",EN$3&gt;TODAY()),"",IF(AND(EQ663="",ER663=""),"",N(ER663)-N(EQ663)))</f>
        <v/>
      </c>
      <c r="EW663">
        <f>IF(OR(EU$3="",EU$3&gt;TODAY()),"",IF(AND(EU663="",EV663=""),"",N(EV663)-N(EU663)))</f>
        <v/>
      </c>
      <c r="EZ663">
        <f>IF(OR(EU$3="",EU$3&gt;TODAY()),"",IF(AND(EX663="",EY663=""),"",N(EY663)-N(EX663)))</f>
        <v/>
      </c>
      <c r="FD663">
        <f>IF(OR(FB$3="",FB$3&gt;TODAY()),"",IF(AND(FB663="",FC663=""),"",N(FC663)-N(FB663)))</f>
        <v/>
      </c>
      <c r="FG663">
        <f>IF(OR(FB$3="",FB$3&gt;TODAY()),"",IF(AND(FE663="",FF663=""),"",N(FF663)-N(FE663)))</f>
        <v/>
      </c>
      <c r="FK663">
        <f>IF(OR(FI$3="",FI$3&gt;TODAY()),"",IF(AND(FI663="",FJ663=""),"",N(FJ663)-N(FI663)))</f>
        <v/>
      </c>
      <c r="FN663">
        <f>IF(OR(FI$3="",FI$3&gt;TODAY()),"",IF(AND(FL663="",FM663=""),"",N(FM663)-N(FL663)))</f>
        <v/>
      </c>
      <c r="FR663">
        <f>IF(OR(FP$3="",FP$3&gt;TODAY()),"",IF(AND(FP663="",FQ663=""),"",N(FQ663)-N(FP663)))</f>
        <v/>
      </c>
      <c r="FU663">
        <f>IF(OR(FP$3="",FP$3&gt;TODAY()),"",IF(AND(FS663="",FT663=""),"",N(FT663)-N(FS663)))</f>
        <v/>
      </c>
      <c r="FY663">
        <f>IF(OR(FW$3="",FW$3&gt;TODAY()),"",IF(AND(FW663="",FX663=""),"",N(FX663)-N(FW663)))</f>
        <v/>
      </c>
      <c r="GB663">
        <f>IF(OR(FW$3="",FW$3&gt;TODAY()),"",IF(AND(FZ663="",GA663=""),"",N(GA663)-N(FZ663)))</f>
        <v/>
      </c>
      <c r="GF663">
        <f>IF(OR(GD$3="",GD$3&gt;TODAY()),"",IF(AND(GD663="",GE663=""),"",N(GE663)-N(GD663)))</f>
        <v/>
      </c>
      <c r="GI663">
        <f>IF(OR(GD$3="",GD$3&gt;TODAY()),"",IF(AND(GG663="",GH663=""),"",N(GH663)-N(GG663)))</f>
        <v/>
      </c>
      <c r="GM663">
        <f>IF(OR(GK$3="",GK$3&gt;TODAY()),"",IF(AND(GK663="",GL663=""),"",N(GL663)-N(GK663)))</f>
        <v/>
      </c>
      <c r="GP663">
        <f>IF(OR(GK$3="",GK$3&gt;TODAY()),"",IF(AND(GN663="",GO663=""),"",N(GO663)-N(GN663)))</f>
        <v/>
      </c>
      <c r="GT663">
        <f>IF(OR(GR$3="",GR$3&gt;TODAY()),"",IF(AND(GR663="",GS663=""),"",N(GS663)-N(GR663)))</f>
        <v/>
      </c>
      <c r="GW663">
        <f>IF(OR(GR$3="",GR$3&gt;TODAY()),"",IF(AND(GU663="",GV663=""),"",N(GV663)-N(GU663)))</f>
        <v/>
      </c>
      <c r="HA663">
        <f>IF(OR(GY$3="",GY$3&gt;TODAY()),"",IF(AND(GY663="",GZ663=""),"",N(GZ663)-N(GY663)))</f>
        <v/>
      </c>
      <c r="HD663">
        <f>IF(OR(GY$3="",GY$3&gt;TODAY()),"",IF(AND(HB663="",HC663=""),"",N(HC663)-N(HB663)))</f>
        <v/>
      </c>
      <c r="HH663">
        <f>IF(OR(HF$3="",HF$3&gt;TODAY()),"",IF(AND(HF663="",HG663=""),"",N(HG663)-N(HF663)))</f>
        <v/>
      </c>
      <c r="HK663">
        <f>IF(OR(HF$3="",HF$3&gt;TODAY()),"",IF(AND(HI663="",HJ663=""),"",N(HJ663)-N(HI663)))</f>
        <v/>
      </c>
      <c r="HO663">
        <f>IF(OR(HM$3="",HM$3&gt;TODAY()),"",IF(AND(HM663="",HN663=""),"",N(HN663)-N(HM663)))</f>
        <v/>
      </c>
      <c r="HR663">
        <f>IF(OR(HM$3="",HM$3&gt;TODAY()),"",IF(AND(HP663="",HQ663=""),"",N(HQ663)-N(HP663)))</f>
        <v/>
      </c>
      <c r="HV663">
        <f>IF(OR(HT$3="",HT$3&gt;TODAY()),"",IF(AND(HT663="",HU663=""),"",N(HU663)-N(HT663)))</f>
        <v/>
      </c>
      <c r="HY663">
        <f>IF(OR(HT$3="",HT$3&gt;TODAY()),"",IF(AND(HW663="",HX663=""),"",N(HX663)-N(HW663)))</f>
        <v/>
      </c>
      <c r="IC663">
        <f>IF(OR(IA$3="",IA$3&gt;TODAY()),"",IF(AND(IA663="",IB663=""),"",N(IB663)-N(IA663)))</f>
        <v/>
      </c>
      <c r="IF663">
        <f>IF(OR(IA$3="",IA$3&gt;TODAY()),"",IF(AND(ID663="",IE663=""),"",N(IE663)-N(ID663)))</f>
        <v/>
      </c>
      <c r="IJ663">
        <f>IF(OR(IH$3="",IH$3&gt;TODAY()),"",IF(AND(IH663="",II663=""),"",N(II663)-N(IH663)))</f>
        <v/>
      </c>
      <c r="IM663">
        <f>IF(OR(IH$3="",IH$3&gt;TODAY()),"",IF(AND(IK663="",IL663=""),"",N(IL663)-N(IK663)))</f>
        <v/>
      </c>
    </row>
    <row r="664">
      <c r="A664" s="21" t="n"/>
      <c r="B664" s="21" t="n"/>
      <c r="C664" s="21" t="n"/>
      <c r="D664" s="21" t="n"/>
      <c r="E664" s="21" t="n"/>
      <c r="F664" s="21" t="n"/>
      <c r="G664" s="21" t="n"/>
      <c r="H664" s="21" t="n"/>
      <c r="I664" s="22" t="n"/>
      <c r="J664" s="22" t="n"/>
      <c r="K664" s="23" t="n"/>
      <c r="L664" s="22" t="n"/>
      <c r="M664" s="22" t="n"/>
      <c r="N664" s="21" t="n"/>
      <c r="O664" s="23" t="n"/>
      <c r="P664" s="23" t="n"/>
      <c r="Q664" s="23" t="n"/>
      <c r="R664" s="23" t="n"/>
      <c r="S664" s="22" t="n"/>
      <c r="T664" s="23" t="n"/>
      <c r="U664" s="23" t="n"/>
      <c r="V664" s="24">
        <f>IF(J664&lt;&gt;"",J664,IF(I664&lt;&gt;"",I664,""))</f>
        <v/>
      </c>
      <c r="W664" s="25">
        <f>IF($E664="","",N(O664)+SUMIFS($AF664:$IN664,$AF$4:$IN$4,"SEW_ACT"))</f>
        <v/>
      </c>
      <c r="X664" s="25">
        <f>IF($E664="","",N(P664)+SUMIFS($AF664:$IN664,$AF$4:$IN$4,"WASH_ACT"))</f>
        <v/>
      </c>
      <c r="Y664" s="25">
        <f>IF($E664="","",W664-X664-N(T664)-N(U664))</f>
        <v/>
      </c>
      <c r="Z664" s="25">
        <f>IF($E664="","",IF(N(K664)-X664&lt;=0.02*N(K664),0,N(K664)-X664))</f>
        <v/>
      </c>
      <c r="AA664" s="24">
        <f>IF($E664="","",IF(S664&lt;&gt;"",S664,IF(N(O664)&gt;0,IF(L664&lt;&gt;"",L664,99999),IFERROR(1/(1/_xlfn.MINIFS($AF$3:$IN$3,$AF$4:$IN$4,"SEW_ACT",$AF664:$IN664,"&gt;0")),99999))))</f>
        <v/>
      </c>
      <c r="AB664" s="26">
        <f>IF(OR($E664="",Z664=0,V664=""),"",1+COUNTIFS(Z$8:Z$707,"&gt;0",V$8:V$707,"&lt;"&amp;V664)+COUNTIFS(Z$8:Z$707,"&gt;0",V$8:V$707,V664,AA$8:AA$707,"&lt;"&amp;AA664)+COUNTIFS(Z$8:Z$707,"&gt;0",V$8:V$707,V664,AA$8:AA$707,AA664,E$8:E$707,"&lt;"&amp;$E664))</f>
        <v/>
      </c>
      <c r="AC664" s="24">
        <f>IF(OR($E664="",Z664=0),"",IFERROR(TODAY()+ROUNDUP(Z664/(SUMIFS($AF664:$IN664,$AF$4:$IN$4,"WASH_ACT")/COUNTIFS($AF$4:$IN$4,"WASH_ACT",$AF664:$IN664,"&gt;0")),0),"no output yet"))</f>
        <v/>
      </c>
      <c r="AD664" s="26">
        <f>IF($E664="","",IFERROR(ROUND(MAX(0,SUMIFS($AF664:$IN664,$AF$4:$IN$4,"SEW_PLAN",$AF$3:$IN$3,"&lt;="&amp;TODAY())-SUMIFS($AF664:$IN664,$AF$4:$IN$4,"SEW_ACT",$AF$3:$IN$3,"&lt;="&amp;TODAY())+N(Q664))/(SUMIFS($AF664:$IN664,$AF$4:$IN$4,"SEW_PLAN")/COUNTIFS($AF$4:$IN$4,"SEW_PLAN",$AF664:$IN664,"&gt;0")),1),0))</f>
        <v/>
      </c>
      <c r="AE664" s="26">
        <f>IF($E664="","",IF(AND(Z664&gt;0,OR(AND(M664&lt;&gt;"",TODAY()&gt;M664),AND(V664&lt;&gt;"",V664-TODAY()&lt;=7))),"Yes","No"))</f>
        <v/>
      </c>
      <c r="AH664">
        <f>IF(OR(AF$3="",AF$3&gt;TODAY()),"",IF(AND(AF664="",AG664=""),"",N(AG664)-N(AF664)))</f>
        <v/>
      </c>
      <c r="AK664">
        <f>IF(OR(AF$3="",AF$3&gt;TODAY()),"",IF(AND(AI664="",AJ664=""),"",N(AJ664)-N(AI664)))</f>
        <v/>
      </c>
      <c r="AO664">
        <f>IF(OR(AM$3="",AM$3&gt;TODAY()),"",IF(AND(AM664="",AN664=""),"",N(AN664)-N(AM664)))</f>
        <v/>
      </c>
      <c r="AR664">
        <f>IF(OR(AM$3="",AM$3&gt;TODAY()),"",IF(AND(AP664="",AQ664=""),"",N(AQ664)-N(AP664)))</f>
        <v/>
      </c>
      <c r="AV664">
        <f>IF(OR(AT$3="",AT$3&gt;TODAY()),"",IF(AND(AT664="",AU664=""),"",N(AU664)-N(AT664)))</f>
        <v/>
      </c>
      <c r="AY664">
        <f>IF(OR(AT$3="",AT$3&gt;TODAY()),"",IF(AND(AW664="",AX664=""),"",N(AX664)-N(AW664)))</f>
        <v/>
      </c>
      <c r="BC664">
        <f>IF(OR(BA$3="",BA$3&gt;TODAY()),"",IF(AND(BA664="",BB664=""),"",N(BB664)-N(BA664)))</f>
        <v/>
      </c>
      <c r="BF664">
        <f>IF(OR(BA$3="",BA$3&gt;TODAY()),"",IF(AND(BD664="",BE664=""),"",N(BE664)-N(BD664)))</f>
        <v/>
      </c>
      <c r="BJ664">
        <f>IF(OR(BH$3="",BH$3&gt;TODAY()),"",IF(AND(BH664="",BI664=""),"",N(BI664)-N(BH664)))</f>
        <v/>
      </c>
      <c r="BM664">
        <f>IF(OR(BH$3="",BH$3&gt;TODAY()),"",IF(AND(BK664="",BL664=""),"",N(BL664)-N(BK664)))</f>
        <v/>
      </c>
      <c r="BQ664">
        <f>IF(OR(BO$3="",BO$3&gt;TODAY()),"",IF(AND(BO664="",BP664=""),"",N(BP664)-N(BO664)))</f>
        <v/>
      </c>
      <c r="BT664">
        <f>IF(OR(BO$3="",BO$3&gt;TODAY()),"",IF(AND(BR664="",BS664=""),"",N(BS664)-N(BR664)))</f>
        <v/>
      </c>
      <c r="BX664">
        <f>IF(OR(BV$3="",BV$3&gt;TODAY()),"",IF(AND(BV664="",BW664=""),"",N(BW664)-N(BV664)))</f>
        <v/>
      </c>
      <c r="CA664">
        <f>IF(OR(BV$3="",BV$3&gt;TODAY()),"",IF(AND(BY664="",BZ664=""),"",N(BZ664)-N(BY664)))</f>
        <v/>
      </c>
      <c r="CE664">
        <f>IF(OR(CC$3="",CC$3&gt;TODAY()),"",IF(AND(CC664="",CD664=""),"",N(CD664)-N(CC664)))</f>
        <v/>
      </c>
      <c r="CH664">
        <f>IF(OR(CC$3="",CC$3&gt;TODAY()),"",IF(AND(CF664="",CG664=""),"",N(CG664)-N(CF664)))</f>
        <v/>
      </c>
      <c r="CL664">
        <f>IF(OR(CJ$3="",CJ$3&gt;TODAY()),"",IF(AND(CJ664="",CK664=""),"",N(CK664)-N(CJ664)))</f>
        <v/>
      </c>
      <c r="CO664">
        <f>IF(OR(CJ$3="",CJ$3&gt;TODAY()),"",IF(AND(CM664="",CN664=""),"",N(CN664)-N(CM664)))</f>
        <v/>
      </c>
      <c r="CS664">
        <f>IF(OR(CQ$3="",CQ$3&gt;TODAY()),"",IF(AND(CQ664="",CR664=""),"",N(CR664)-N(CQ664)))</f>
        <v/>
      </c>
      <c r="CV664">
        <f>IF(OR(CQ$3="",CQ$3&gt;TODAY()),"",IF(AND(CT664="",CU664=""),"",N(CU664)-N(CT664)))</f>
        <v/>
      </c>
      <c r="CZ664">
        <f>IF(OR(CX$3="",CX$3&gt;TODAY()),"",IF(AND(CX664="",CY664=""),"",N(CY664)-N(CX664)))</f>
        <v/>
      </c>
      <c r="DC664">
        <f>IF(OR(CX$3="",CX$3&gt;TODAY()),"",IF(AND(DA664="",DB664=""),"",N(DB664)-N(DA664)))</f>
        <v/>
      </c>
      <c r="DG664">
        <f>IF(OR(DE$3="",DE$3&gt;TODAY()),"",IF(AND(DE664="",DF664=""),"",N(DF664)-N(DE664)))</f>
        <v/>
      </c>
      <c r="DJ664">
        <f>IF(OR(DE$3="",DE$3&gt;TODAY()),"",IF(AND(DH664="",DI664=""),"",N(DI664)-N(DH664)))</f>
        <v/>
      </c>
      <c r="DN664">
        <f>IF(OR(DL$3="",DL$3&gt;TODAY()),"",IF(AND(DL664="",DM664=""),"",N(DM664)-N(DL664)))</f>
        <v/>
      </c>
      <c r="DQ664">
        <f>IF(OR(DL$3="",DL$3&gt;TODAY()),"",IF(AND(DO664="",DP664=""),"",N(DP664)-N(DO664)))</f>
        <v/>
      </c>
      <c r="DU664">
        <f>IF(OR(DS$3="",DS$3&gt;TODAY()),"",IF(AND(DS664="",DT664=""),"",N(DT664)-N(DS664)))</f>
        <v/>
      </c>
      <c r="DX664">
        <f>IF(OR(DS$3="",DS$3&gt;TODAY()),"",IF(AND(DV664="",DW664=""),"",N(DW664)-N(DV664)))</f>
        <v/>
      </c>
      <c r="EB664">
        <f>IF(OR(DZ$3="",DZ$3&gt;TODAY()),"",IF(AND(DZ664="",EA664=""),"",N(EA664)-N(DZ664)))</f>
        <v/>
      </c>
      <c r="EE664">
        <f>IF(OR(DZ$3="",DZ$3&gt;TODAY()),"",IF(AND(EC664="",ED664=""),"",N(ED664)-N(EC664)))</f>
        <v/>
      </c>
      <c r="EI664">
        <f>IF(OR(EG$3="",EG$3&gt;TODAY()),"",IF(AND(EG664="",EH664=""),"",N(EH664)-N(EG664)))</f>
        <v/>
      </c>
      <c r="EL664">
        <f>IF(OR(EG$3="",EG$3&gt;TODAY()),"",IF(AND(EJ664="",EK664=""),"",N(EK664)-N(EJ664)))</f>
        <v/>
      </c>
      <c r="EP664">
        <f>IF(OR(EN$3="",EN$3&gt;TODAY()),"",IF(AND(EN664="",EO664=""),"",N(EO664)-N(EN664)))</f>
        <v/>
      </c>
      <c r="ES664">
        <f>IF(OR(EN$3="",EN$3&gt;TODAY()),"",IF(AND(EQ664="",ER664=""),"",N(ER664)-N(EQ664)))</f>
        <v/>
      </c>
      <c r="EW664">
        <f>IF(OR(EU$3="",EU$3&gt;TODAY()),"",IF(AND(EU664="",EV664=""),"",N(EV664)-N(EU664)))</f>
        <v/>
      </c>
      <c r="EZ664">
        <f>IF(OR(EU$3="",EU$3&gt;TODAY()),"",IF(AND(EX664="",EY664=""),"",N(EY664)-N(EX664)))</f>
        <v/>
      </c>
      <c r="FD664">
        <f>IF(OR(FB$3="",FB$3&gt;TODAY()),"",IF(AND(FB664="",FC664=""),"",N(FC664)-N(FB664)))</f>
        <v/>
      </c>
      <c r="FG664">
        <f>IF(OR(FB$3="",FB$3&gt;TODAY()),"",IF(AND(FE664="",FF664=""),"",N(FF664)-N(FE664)))</f>
        <v/>
      </c>
      <c r="FK664">
        <f>IF(OR(FI$3="",FI$3&gt;TODAY()),"",IF(AND(FI664="",FJ664=""),"",N(FJ664)-N(FI664)))</f>
        <v/>
      </c>
      <c r="FN664">
        <f>IF(OR(FI$3="",FI$3&gt;TODAY()),"",IF(AND(FL664="",FM664=""),"",N(FM664)-N(FL664)))</f>
        <v/>
      </c>
      <c r="FR664">
        <f>IF(OR(FP$3="",FP$3&gt;TODAY()),"",IF(AND(FP664="",FQ664=""),"",N(FQ664)-N(FP664)))</f>
        <v/>
      </c>
      <c r="FU664">
        <f>IF(OR(FP$3="",FP$3&gt;TODAY()),"",IF(AND(FS664="",FT664=""),"",N(FT664)-N(FS664)))</f>
        <v/>
      </c>
      <c r="FY664">
        <f>IF(OR(FW$3="",FW$3&gt;TODAY()),"",IF(AND(FW664="",FX664=""),"",N(FX664)-N(FW664)))</f>
        <v/>
      </c>
      <c r="GB664">
        <f>IF(OR(FW$3="",FW$3&gt;TODAY()),"",IF(AND(FZ664="",GA664=""),"",N(GA664)-N(FZ664)))</f>
        <v/>
      </c>
      <c r="GF664">
        <f>IF(OR(GD$3="",GD$3&gt;TODAY()),"",IF(AND(GD664="",GE664=""),"",N(GE664)-N(GD664)))</f>
        <v/>
      </c>
      <c r="GI664">
        <f>IF(OR(GD$3="",GD$3&gt;TODAY()),"",IF(AND(GG664="",GH664=""),"",N(GH664)-N(GG664)))</f>
        <v/>
      </c>
      <c r="GM664">
        <f>IF(OR(GK$3="",GK$3&gt;TODAY()),"",IF(AND(GK664="",GL664=""),"",N(GL664)-N(GK664)))</f>
        <v/>
      </c>
      <c r="GP664">
        <f>IF(OR(GK$3="",GK$3&gt;TODAY()),"",IF(AND(GN664="",GO664=""),"",N(GO664)-N(GN664)))</f>
        <v/>
      </c>
      <c r="GT664">
        <f>IF(OR(GR$3="",GR$3&gt;TODAY()),"",IF(AND(GR664="",GS664=""),"",N(GS664)-N(GR664)))</f>
        <v/>
      </c>
      <c r="GW664">
        <f>IF(OR(GR$3="",GR$3&gt;TODAY()),"",IF(AND(GU664="",GV664=""),"",N(GV664)-N(GU664)))</f>
        <v/>
      </c>
      <c r="HA664">
        <f>IF(OR(GY$3="",GY$3&gt;TODAY()),"",IF(AND(GY664="",GZ664=""),"",N(GZ664)-N(GY664)))</f>
        <v/>
      </c>
      <c r="HD664">
        <f>IF(OR(GY$3="",GY$3&gt;TODAY()),"",IF(AND(HB664="",HC664=""),"",N(HC664)-N(HB664)))</f>
        <v/>
      </c>
      <c r="HH664">
        <f>IF(OR(HF$3="",HF$3&gt;TODAY()),"",IF(AND(HF664="",HG664=""),"",N(HG664)-N(HF664)))</f>
        <v/>
      </c>
      <c r="HK664">
        <f>IF(OR(HF$3="",HF$3&gt;TODAY()),"",IF(AND(HI664="",HJ664=""),"",N(HJ664)-N(HI664)))</f>
        <v/>
      </c>
      <c r="HO664">
        <f>IF(OR(HM$3="",HM$3&gt;TODAY()),"",IF(AND(HM664="",HN664=""),"",N(HN664)-N(HM664)))</f>
        <v/>
      </c>
      <c r="HR664">
        <f>IF(OR(HM$3="",HM$3&gt;TODAY()),"",IF(AND(HP664="",HQ664=""),"",N(HQ664)-N(HP664)))</f>
        <v/>
      </c>
      <c r="HV664">
        <f>IF(OR(HT$3="",HT$3&gt;TODAY()),"",IF(AND(HT664="",HU664=""),"",N(HU664)-N(HT664)))</f>
        <v/>
      </c>
      <c r="HY664">
        <f>IF(OR(HT$3="",HT$3&gt;TODAY()),"",IF(AND(HW664="",HX664=""),"",N(HX664)-N(HW664)))</f>
        <v/>
      </c>
      <c r="IC664">
        <f>IF(OR(IA$3="",IA$3&gt;TODAY()),"",IF(AND(IA664="",IB664=""),"",N(IB664)-N(IA664)))</f>
        <v/>
      </c>
      <c r="IF664">
        <f>IF(OR(IA$3="",IA$3&gt;TODAY()),"",IF(AND(ID664="",IE664=""),"",N(IE664)-N(ID664)))</f>
        <v/>
      </c>
      <c r="IJ664">
        <f>IF(OR(IH$3="",IH$3&gt;TODAY()),"",IF(AND(IH664="",II664=""),"",N(II664)-N(IH664)))</f>
        <v/>
      </c>
      <c r="IM664">
        <f>IF(OR(IH$3="",IH$3&gt;TODAY()),"",IF(AND(IK664="",IL664=""),"",N(IL664)-N(IK664)))</f>
        <v/>
      </c>
    </row>
    <row r="665">
      <c r="A665" s="21" t="n"/>
      <c r="B665" s="21" t="n"/>
      <c r="C665" s="21" t="n"/>
      <c r="D665" s="21" t="n"/>
      <c r="E665" s="21" t="n"/>
      <c r="F665" s="21" t="n"/>
      <c r="G665" s="21" t="n"/>
      <c r="H665" s="21" t="n"/>
      <c r="I665" s="22" t="n"/>
      <c r="J665" s="22" t="n"/>
      <c r="K665" s="23" t="n"/>
      <c r="L665" s="22" t="n"/>
      <c r="M665" s="22" t="n"/>
      <c r="N665" s="21" t="n"/>
      <c r="O665" s="23" t="n"/>
      <c r="P665" s="23" t="n"/>
      <c r="Q665" s="23" t="n"/>
      <c r="R665" s="23" t="n"/>
      <c r="S665" s="22" t="n"/>
      <c r="T665" s="23" t="n"/>
      <c r="U665" s="23" t="n"/>
      <c r="V665" s="24">
        <f>IF(J665&lt;&gt;"",J665,IF(I665&lt;&gt;"",I665,""))</f>
        <v/>
      </c>
      <c r="W665" s="25">
        <f>IF($E665="","",N(O665)+SUMIFS($AF665:$IN665,$AF$4:$IN$4,"SEW_ACT"))</f>
        <v/>
      </c>
      <c r="X665" s="25">
        <f>IF($E665="","",N(P665)+SUMIFS($AF665:$IN665,$AF$4:$IN$4,"WASH_ACT"))</f>
        <v/>
      </c>
      <c r="Y665" s="25">
        <f>IF($E665="","",W665-X665-N(T665)-N(U665))</f>
        <v/>
      </c>
      <c r="Z665" s="25">
        <f>IF($E665="","",IF(N(K665)-X665&lt;=0.02*N(K665),0,N(K665)-X665))</f>
        <v/>
      </c>
      <c r="AA665" s="24">
        <f>IF($E665="","",IF(S665&lt;&gt;"",S665,IF(N(O665)&gt;0,IF(L665&lt;&gt;"",L665,99999),IFERROR(1/(1/_xlfn.MINIFS($AF$3:$IN$3,$AF$4:$IN$4,"SEW_ACT",$AF665:$IN665,"&gt;0")),99999))))</f>
        <v/>
      </c>
      <c r="AB665" s="26">
        <f>IF(OR($E665="",Z665=0,V665=""),"",1+COUNTIFS(Z$8:Z$707,"&gt;0",V$8:V$707,"&lt;"&amp;V665)+COUNTIFS(Z$8:Z$707,"&gt;0",V$8:V$707,V665,AA$8:AA$707,"&lt;"&amp;AA665)+COUNTIFS(Z$8:Z$707,"&gt;0",V$8:V$707,V665,AA$8:AA$707,AA665,E$8:E$707,"&lt;"&amp;$E665))</f>
        <v/>
      </c>
      <c r="AC665" s="24">
        <f>IF(OR($E665="",Z665=0),"",IFERROR(TODAY()+ROUNDUP(Z665/(SUMIFS($AF665:$IN665,$AF$4:$IN$4,"WASH_ACT")/COUNTIFS($AF$4:$IN$4,"WASH_ACT",$AF665:$IN665,"&gt;0")),0),"no output yet"))</f>
        <v/>
      </c>
      <c r="AD665" s="26">
        <f>IF($E665="","",IFERROR(ROUND(MAX(0,SUMIFS($AF665:$IN665,$AF$4:$IN$4,"SEW_PLAN",$AF$3:$IN$3,"&lt;="&amp;TODAY())-SUMIFS($AF665:$IN665,$AF$4:$IN$4,"SEW_ACT",$AF$3:$IN$3,"&lt;="&amp;TODAY())+N(Q665))/(SUMIFS($AF665:$IN665,$AF$4:$IN$4,"SEW_PLAN")/COUNTIFS($AF$4:$IN$4,"SEW_PLAN",$AF665:$IN665,"&gt;0")),1),0))</f>
        <v/>
      </c>
      <c r="AE665" s="26">
        <f>IF($E665="","",IF(AND(Z665&gt;0,OR(AND(M665&lt;&gt;"",TODAY()&gt;M665),AND(V665&lt;&gt;"",V665-TODAY()&lt;=7))),"Yes","No"))</f>
        <v/>
      </c>
      <c r="AH665">
        <f>IF(OR(AF$3="",AF$3&gt;TODAY()),"",IF(AND(AF665="",AG665=""),"",N(AG665)-N(AF665)))</f>
        <v/>
      </c>
      <c r="AK665">
        <f>IF(OR(AF$3="",AF$3&gt;TODAY()),"",IF(AND(AI665="",AJ665=""),"",N(AJ665)-N(AI665)))</f>
        <v/>
      </c>
      <c r="AO665">
        <f>IF(OR(AM$3="",AM$3&gt;TODAY()),"",IF(AND(AM665="",AN665=""),"",N(AN665)-N(AM665)))</f>
        <v/>
      </c>
      <c r="AR665">
        <f>IF(OR(AM$3="",AM$3&gt;TODAY()),"",IF(AND(AP665="",AQ665=""),"",N(AQ665)-N(AP665)))</f>
        <v/>
      </c>
      <c r="AV665">
        <f>IF(OR(AT$3="",AT$3&gt;TODAY()),"",IF(AND(AT665="",AU665=""),"",N(AU665)-N(AT665)))</f>
        <v/>
      </c>
      <c r="AY665">
        <f>IF(OR(AT$3="",AT$3&gt;TODAY()),"",IF(AND(AW665="",AX665=""),"",N(AX665)-N(AW665)))</f>
        <v/>
      </c>
      <c r="BC665">
        <f>IF(OR(BA$3="",BA$3&gt;TODAY()),"",IF(AND(BA665="",BB665=""),"",N(BB665)-N(BA665)))</f>
        <v/>
      </c>
      <c r="BF665">
        <f>IF(OR(BA$3="",BA$3&gt;TODAY()),"",IF(AND(BD665="",BE665=""),"",N(BE665)-N(BD665)))</f>
        <v/>
      </c>
      <c r="BJ665">
        <f>IF(OR(BH$3="",BH$3&gt;TODAY()),"",IF(AND(BH665="",BI665=""),"",N(BI665)-N(BH665)))</f>
        <v/>
      </c>
      <c r="BM665">
        <f>IF(OR(BH$3="",BH$3&gt;TODAY()),"",IF(AND(BK665="",BL665=""),"",N(BL665)-N(BK665)))</f>
        <v/>
      </c>
      <c r="BQ665">
        <f>IF(OR(BO$3="",BO$3&gt;TODAY()),"",IF(AND(BO665="",BP665=""),"",N(BP665)-N(BO665)))</f>
        <v/>
      </c>
      <c r="BT665">
        <f>IF(OR(BO$3="",BO$3&gt;TODAY()),"",IF(AND(BR665="",BS665=""),"",N(BS665)-N(BR665)))</f>
        <v/>
      </c>
      <c r="BX665">
        <f>IF(OR(BV$3="",BV$3&gt;TODAY()),"",IF(AND(BV665="",BW665=""),"",N(BW665)-N(BV665)))</f>
        <v/>
      </c>
      <c r="CA665">
        <f>IF(OR(BV$3="",BV$3&gt;TODAY()),"",IF(AND(BY665="",BZ665=""),"",N(BZ665)-N(BY665)))</f>
        <v/>
      </c>
      <c r="CE665">
        <f>IF(OR(CC$3="",CC$3&gt;TODAY()),"",IF(AND(CC665="",CD665=""),"",N(CD665)-N(CC665)))</f>
        <v/>
      </c>
      <c r="CH665">
        <f>IF(OR(CC$3="",CC$3&gt;TODAY()),"",IF(AND(CF665="",CG665=""),"",N(CG665)-N(CF665)))</f>
        <v/>
      </c>
      <c r="CL665">
        <f>IF(OR(CJ$3="",CJ$3&gt;TODAY()),"",IF(AND(CJ665="",CK665=""),"",N(CK665)-N(CJ665)))</f>
        <v/>
      </c>
      <c r="CO665">
        <f>IF(OR(CJ$3="",CJ$3&gt;TODAY()),"",IF(AND(CM665="",CN665=""),"",N(CN665)-N(CM665)))</f>
        <v/>
      </c>
      <c r="CS665">
        <f>IF(OR(CQ$3="",CQ$3&gt;TODAY()),"",IF(AND(CQ665="",CR665=""),"",N(CR665)-N(CQ665)))</f>
        <v/>
      </c>
      <c r="CV665">
        <f>IF(OR(CQ$3="",CQ$3&gt;TODAY()),"",IF(AND(CT665="",CU665=""),"",N(CU665)-N(CT665)))</f>
        <v/>
      </c>
      <c r="CZ665">
        <f>IF(OR(CX$3="",CX$3&gt;TODAY()),"",IF(AND(CX665="",CY665=""),"",N(CY665)-N(CX665)))</f>
        <v/>
      </c>
      <c r="DC665">
        <f>IF(OR(CX$3="",CX$3&gt;TODAY()),"",IF(AND(DA665="",DB665=""),"",N(DB665)-N(DA665)))</f>
        <v/>
      </c>
      <c r="DG665">
        <f>IF(OR(DE$3="",DE$3&gt;TODAY()),"",IF(AND(DE665="",DF665=""),"",N(DF665)-N(DE665)))</f>
        <v/>
      </c>
      <c r="DJ665">
        <f>IF(OR(DE$3="",DE$3&gt;TODAY()),"",IF(AND(DH665="",DI665=""),"",N(DI665)-N(DH665)))</f>
        <v/>
      </c>
      <c r="DN665">
        <f>IF(OR(DL$3="",DL$3&gt;TODAY()),"",IF(AND(DL665="",DM665=""),"",N(DM665)-N(DL665)))</f>
        <v/>
      </c>
      <c r="DQ665">
        <f>IF(OR(DL$3="",DL$3&gt;TODAY()),"",IF(AND(DO665="",DP665=""),"",N(DP665)-N(DO665)))</f>
        <v/>
      </c>
      <c r="DU665">
        <f>IF(OR(DS$3="",DS$3&gt;TODAY()),"",IF(AND(DS665="",DT665=""),"",N(DT665)-N(DS665)))</f>
        <v/>
      </c>
      <c r="DX665">
        <f>IF(OR(DS$3="",DS$3&gt;TODAY()),"",IF(AND(DV665="",DW665=""),"",N(DW665)-N(DV665)))</f>
        <v/>
      </c>
      <c r="EB665">
        <f>IF(OR(DZ$3="",DZ$3&gt;TODAY()),"",IF(AND(DZ665="",EA665=""),"",N(EA665)-N(DZ665)))</f>
        <v/>
      </c>
      <c r="EE665">
        <f>IF(OR(DZ$3="",DZ$3&gt;TODAY()),"",IF(AND(EC665="",ED665=""),"",N(ED665)-N(EC665)))</f>
        <v/>
      </c>
      <c r="EI665">
        <f>IF(OR(EG$3="",EG$3&gt;TODAY()),"",IF(AND(EG665="",EH665=""),"",N(EH665)-N(EG665)))</f>
        <v/>
      </c>
      <c r="EL665">
        <f>IF(OR(EG$3="",EG$3&gt;TODAY()),"",IF(AND(EJ665="",EK665=""),"",N(EK665)-N(EJ665)))</f>
        <v/>
      </c>
      <c r="EP665">
        <f>IF(OR(EN$3="",EN$3&gt;TODAY()),"",IF(AND(EN665="",EO665=""),"",N(EO665)-N(EN665)))</f>
        <v/>
      </c>
      <c r="ES665">
        <f>IF(OR(EN$3="",EN$3&gt;TODAY()),"",IF(AND(EQ665="",ER665=""),"",N(ER665)-N(EQ665)))</f>
        <v/>
      </c>
      <c r="EW665">
        <f>IF(OR(EU$3="",EU$3&gt;TODAY()),"",IF(AND(EU665="",EV665=""),"",N(EV665)-N(EU665)))</f>
        <v/>
      </c>
      <c r="EZ665">
        <f>IF(OR(EU$3="",EU$3&gt;TODAY()),"",IF(AND(EX665="",EY665=""),"",N(EY665)-N(EX665)))</f>
        <v/>
      </c>
      <c r="FD665">
        <f>IF(OR(FB$3="",FB$3&gt;TODAY()),"",IF(AND(FB665="",FC665=""),"",N(FC665)-N(FB665)))</f>
        <v/>
      </c>
      <c r="FG665">
        <f>IF(OR(FB$3="",FB$3&gt;TODAY()),"",IF(AND(FE665="",FF665=""),"",N(FF665)-N(FE665)))</f>
        <v/>
      </c>
      <c r="FK665">
        <f>IF(OR(FI$3="",FI$3&gt;TODAY()),"",IF(AND(FI665="",FJ665=""),"",N(FJ665)-N(FI665)))</f>
        <v/>
      </c>
      <c r="FN665">
        <f>IF(OR(FI$3="",FI$3&gt;TODAY()),"",IF(AND(FL665="",FM665=""),"",N(FM665)-N(FL665)))</f>
        <v/>
      </c>
      <c r="FR665">
        <f>IF(OR(FP$3="",FP$3&gt;TODAY()),"",IF(AND(FP665="",FQ665=""),"",N(FQ665)-N(FP665)))</f>
        <v/>
      </c>
      <c r="FU665">
        <f>IF(OR(FP$3="",FP$3&gt;TODAY()),"",IF(AND(FS665="",FT665=""),"",N(FT665)-N(FS665)))</f>
        <v/>
      </c>
      <c r="FY665">
        <f>IF(OR(FW$3="",FW$3&gt;TODAY()),"",IF(AND(FW665="",FX665=""),"",N(FX665)-N(FW665)))</f>
        <v/>
      </c>
      <c r="GB665">
        <f>IF(OR(FW$3="",FW$3&gt;TODAY()),"",IF(AND(FZ665="",GA665=""),"",N(GA665)-N(FZ665)))</f>
        <v/>
      </c>
      <c r="GF665">
        <f>IF(OR(GD$3="",GD$3&gt;TODAY()),"",IF(AND(GD665="",GE665=""),"",N(GE665)-N(GD665)))</f>
        <v/>
      </c>
      <c r="GI665">
        <f>IF(OR(GD$3="",GD$3&gt;TODAY()),"",IF(AND(GG665="",GH665=""),"",N(GH665)-N(GG665)))</f>
        <v/>
      </c>
      <c r="GM665">
        <f>IF(OR(GK$3="",GK$3&gt;TODAY()),"",IF(AND(GK665="",GL665=""),"",N(GL665)-N(GK665)))</f>
        <v/>
      </c>
      <c r="GP665">
        <f>IF(OR(GK$3="",GK$3&gt;TODAY()),"",IF(AND(GN665="",GO665=""),"",N(GO665)-N(GN665)))</f>
        <v/>
      </c>
      <c r="GT665">
        <f>IF(OR(GR$3="",GR$3&gt;TODAY()),"",IF(AND(GR665="",GS665=""),"",N(GS665)-N(GR665)))</f>
        <v/>
      </c>
      <c r="GW665">
        <f>IF(OR(GR$3="",GR$3&gt;TODAY()),"",IF(AND(GU665="",GV665=""),"",N(GV665)-N(GU665)))</f>
        <v/>
      </c>
      <c r="HA665">
        <f>IF(OR(GY$3="",GY$3&gt;TODAY()),"",IF(AND(GY665="",GZ665=""),"",N(GZ665)-N(GY665)))</f>
        <v/>
      </c>
      <c r="HD665">
        <f>IF(OR(GY$3="",GY$3&gt;TODAY()),"",IF(AND(HB665="",HC665=""),"",N(HC665)-N(HB665)))</f>
        <v/>
      </c>
      <c r="HH665">
        <f>IF(OR(HF$3="",HF$3&gt;TODAY()),"",IF(AND(HF665="",HG665=""),"",N(HG665)-N(HF665)))</f>
        <v/>
      </c>
      <c r="HK665">
        <f>IF(OR(HF$3="",HF$3&gt;TODAY()),"",IF(AND(HI665="",HJ665=""),"",N(HJ665)-N(HI665)))</f>
        <v/>
      </c>
      <c r="HO665">
        <f>IF(OR(HM$3="",HM$3&gt;TODAY()),"",IF(AND(HM665="",HN665=""),"",N(HN665)-N(HM665)))</f>
        <v/>
      </c>
      <c r="HR665">
        <f>IF(OR(HM$3="",HM$3&gt;TODAY()),"",IF(AND(HP665="",HQ665=""),"",N(HQ665)-N(HP665)))</f>
        <v/>
      </c>
      <c r="HV665">
        <f>IF(OR(HT$3="",HT$3&gt;TODAY()),"",IF(AND(HT665="",HU665=""),"",N(HU665)-N(HT665)))</f>
        <v/>
      </c>
      <c r="HY665">
        <f>IF(OR(HT$3="",HT$3&gt;TODAY()),"",IF(AND(HW665="",HX665=""),"",N(HX665)-N(HW665)))</f>
        <v/>
      </c>
      <c r="IC665">
        <f>IF(OR(IA$3="",IA$3&gt;TODAY()),"",IF(AND(IA665="",IB665=""),"",N(IB665)-N(IA665)))</f>
        <v/>
      </c>
      <c r="IF665">
        <f>IF(OR(IA$3="",IA$3&gt;TODAY()),"",IF(AND(ID665="",IE665=""),"",N(IE665)-N(ID665)))</f>
        <v/>
      </c>
      <c r="IJ665">
        <f>IF(OR(IH$3="",IH$3&gt;TODAY()),"",IF(AND(IH665="",II665=""),"",N(II665)-N(IH665)))</f>
        <v/>
      </c>
      <c r="IM665">
        <f>IF(OR(IH$3="",IH$3&gt;TODAY()),"",IF(AND(IK665="",IL665=""),"",N(IL665)-N(IK665)))</f>
        <v/>
      </c>
    </row>
    <row r="666">
      <c r="A666" s="21" t="n"/>
      <c r="B666" s="21" t="n"/>
      <c r="C666" s="21" t="n"/>
      <c r="D666" s="21" t="n"/>
      <c r="E666" s="21" t="n"/>
      <c r="F666" s="21" t="n"/>
      <c r="G666" s="21" t="n"/>
      <c r="H666" s="21" t="n"/>
      <c r="I666" s="22" t="n"/>
      <c r="J666" s="22" t="n"/>
      <c r="K666" s="23" t="n"/>
      <c r="L666" s="22" t="n"/>
      <c r="M666" s="22" t="n"/>
      <c r="N666" s="21" t="n"/>
      <c r="O666" s="23" t="n"/>
      <c r="P666" s="23" t="n"/>
      <c r="Q666" s="23" t="n"/>
      <c r="R666" s="23" t="n"/>
      <c r="S666" s="22" t="n"/>
      <c r="T666" s="23" t="n"/>
      <c r="U666" s="23" t="n"/>
      <c r="V666" s="24">
        <f>IF(J666&lt;&gt;"",J666,IF(I666&lt;&gt;"",I666,""))</f>
        <v/>
      </c>
      <c r="W666" s="25">
        <f>IF($E666="","",N(O666)+SUMIFS($AF666:$IN666,$AF$4:$IN$4,"SEW_ACT"))</f>
        <v/>
      </c>
      <c r="X666" s="25">
        <f>IF($E666="","",N(P666)+SUMIFS($AF666:$IN666,$AF$4:$IN$4,"WASH_ACT"))</f>
        <v/>
      </c>
      <c r="Y666" s="25">
        <f>IF($E666="","",W666-X666-N(T666)-N(U666))</f>
        <v/>
      </c>
      <c r="Z666" s="25">
        <f>IF($E666="","",IF(N(K666)-X666&lt;=0.02*N(K666),0,N(K666)-X666))</f>
        <v/>
      </c>
      <c r="AA666" s="24">
        <f>IF($E666="","",IF(S666&lt;&gt;"",S666,IF(N(O666)&gt;0,IF(L666&lt;&gt;"",L666,99999),IFERROR(1/(1/_xlfn.MINIFS($AF$3:$IN$3,$AF$4:$IN$4,"SEW_ACT",$AF666:$IN666,"&gt;0")),99999))))</f>
        <v/>
      </c>
      <c r="AB666" s="26">
        <f>IF(OR($E666="",Z666=0,V666=""),"",1+COUNTIFS(Z$8:Z$707,"&gt;0",V$8:V$707,"&lt;"&amp;V666)+COUNTIFS(Z$8:Z$707,"&gt;0",V$8:V$707,V666,AA$8:AA$707,"&lt;"&amp;AA666)+COUNTIFS(Z$8:Z$707,"&gt;0",V$8:V$707,V666,AA$8:AA$707,AA666,E$8:E$707,"&lt;"&amp;$E666))</f>
        <v/>
      </c>
      <c r="AC666" s="24">
        <f>IF(OR($E666="",Z666=0),"",IFERROR(TODAY()+ROUNDUP(Z666/(SUMIFS($AF666:$IN666,$AF$4:$IN$4,"WASH_ACT")/COUNTIFS($AF$4:$IN$4,"WASH_ACT",$AF666:$IN666,"&gt;0")),0),"no output yet"))</f>
        <v/>
      </c>
      <c r="AD666" s="26">
        <f>IF($E666="","",IFERROR(ROUND(MAX(0,SUMIFS($AF666:$IN666,$AF$4:$IN$4,"SEW_PLAN",$AF$3:$IN$3,"&lt;="&amp;TODAY())-SUMIFS($AF666:$IN666,$AF$4:$IN$4,"SEW_ACT",$AF$3:$IN$3,"&lt;="&amp;TODAY())+N(Q666))/(SUMIFS($AF666:$IN666,$AF$4:$IN$4,"SEW_PLAN")/COUNTIFS($AF$4:$IN$4,"SEW_PLAN",$AF666:$IN666,"&gt;0")),1),0))</f>
        <v/>
      </c>
      <c r="AE666" s="26">
        <f>IF($E666="","",IF(AND(Z666&gt;0,OR(AND(M666&lt;&gt;"",TODAY()&gt;M666),AND(V666&lt;&gt;"",V666-TODAY()&lt;=7))),"Yes","No"))</f>
        <v/>
      </c>
      <c r="AH666">
        <f>IF(OR(AF$3="",AF$3&gt;TODAY()),"",IF(AND(AF666="",AG666=""),"",N(AG666)-N(AF666)))</f>
        <v/>
      </c>
      <c r="AK666">
        <f>IF(OR(AF$3="",AF$3&gt;TODAY()),"",IF(AND(AI666="",AJ666=""),"",N(AJ666)-N(AI666)))</f>
        <v/>
      </c>
      <c r="AO666">
        <f>IF(OR(AM$3="",AM$3&gt;TODAY()),"",IF(AND(AM666="",AN666=""),"",N(AN666)-N(AM666)))</f>
        <v/>
      </c>
      <c r="AR666">
        <f>IF(OR(AM$3="",AM$3&gt;TODAY()),"",IF(AND(AP666="",AQ666=""),"",N(AQ666)-N(AP666)))</f>
        <v/>
      </c>
      <c r="AV666">
        <f>IF(OR(AT$3="",AT$3&gt;TODAY()),"",IF(AND(AT666="",AU666=""),"",N(AU666)-N(AT666)))</f>
        <v/>
      </c>
      <c r="AY666">
        <f>IF(OR(AT$3="",AT$3&gt;TODAY()),"",IF(AND(AW666="",AX666=""),"",N(AX666)-N(AW666)))</f>
        <v/>
      </c>
      <c r="BC666">
        <f>IF(OR(BA$3="",BA$3&gt;TODAY()),"",IF(AND(BA666="",BB666=""),"",N(BB666)-N(BA666)))</f>
        <v/>
      </c>
      <c r="BF666">
        <f>IF(OR(BA$3="",BA$3&gt;TODAY()),"",IF(AND(BD666="",BE666=""),"",N(BE666)-N(BD666)))</f>
        <v/>
      </c>
      <c r="BJ666">
        <f>IF(OR(BH$3="",BH$3&gt;TODAY()),"",IF(AND(BH666="",BI666=""),"",N(BI666)-N(BH666)))</f>
        <v/>
      </c>
      <c r="BM666">
        <f>IF(OR(BH$3="",BH$3&gt;TODAY()),"",IF(AND(BK666="",BL666=""),"",N(BL666)-N(BK666)))</f>
        <v/>
      </c>
      <c r="BQ666">
        <f>IF(OR(BO$3="",BO$3&gt;TODAY()),"",IF(AND(BO666="",BP666=""),"",N(BP666)-N(BO666)))</f>
        <v/>
      </c>
      <c r="BT666">
        <f>IF(OR(BO$3="",BO$3&gt;TODAY()),"",IF(AND(BR666="",BS666=""),"",N(BS666)-N(BR666)))</f>
        <v/>
      </c>
      <c r="BX666">
        <f>IF(OR(BV$3="",BV$3&gt;TODAY()),"",IF(AND(BV666="",BW666=""),"",N(BW666)-N(BV666)))</f>
        <v/>
      </c>
      <c r="CA666">
        <f>IF(OR(BV$3="",BV$3&gt;TODAY()),"",IF(AND(BY666="",BZ666=""),"",N(BZ666)-N(BY666)))</f>
        <v/>
      </c>
      <c r="CE666">
        <f>IF(OR(CC$3="",CC$3&gt;TODAY()),"",IF(AND(CC666="",CD666=""),"",N(CD666)-N(CC666)))</f>
        <v/>
      </c>
      <c r="CH666">
        <f>IF(OR(CC$3="",CC$3&gt;TODAY()),"",IF(AND(CF666="",CG666=""),"",N(CG666)-N(CF666)))</f>
        <v/>
      </c>
      <c r="CL666">
        <f>IF(OR(CJ$3="",CJ$3&gt;TODAY()),"",IF(AND(CJ666="",CK666=""),"",N(CK666)-N(CJ666)))</f>
        <v/>
      </c>
      <c r="CO666">
        <f>IF(OR(CJ$3="",CJ$3&gt;TODAY()),"",IF(AND(CM666="",CN666=""),"",N(CN666)-N(CM666)))</f>
        <v/>
      </c>
      <c r="CS666">
        <f>IF(OR(CQ$3="",CQ$3&gt;TODAY()),"",IF(AND(CQ666="",CR666=""),"",N(CR666)-N(CQ666)))</f>
        <v/>
      </c>
      <c r="CV666">
        <f>IF(OR(CQ$3="",CQ$3&gt;TODAY()),"",IF(AND(CT666="",CU666=""),"",N(CU666)-N(CT666)))</f>
        <v/>
      </c>
      <c r="CZ666">
        <f>IF(OR(CX$3="",CX$3&gt;TODAY()),"",IF(AND(CX666="",CY666=""),"",N(CY666)-N(CX666)))</f>
        <v/>
      </c>
      <c r="DC666">
        <f>IF(OR(CX$3="",CX$3&gt;TODAY()),"",IF(AND(DA666="",DB666=""),"",N(DB666)-N(DA666)))</f>
        <v/>
      </c>
      <c r="DG666">
        <f>IF(OR(DE$3="",DE$3&gt;TODAY()),"",IF(AND(DE666="",DF666=""),"",N(DF666)-N(DE666)))</f>
        <v/>
      </c>
      <c r="DJ666">
        <f>IF(OR(DE$3="",DE$3&gt;TODAY()),"",IF(AND(DH666="",DI666=""),"",N(DI666)-N(DH666)))</f>
        <v/>
      </c>
      <c r="DN666">
        <f>IF(OR(DL$3="",DL$3&gt;TODAY()),"",IF(AND(DL666="",DM666=""),"",N(DM666)-N(DL666)))</f>
        <v/>
      </c>
      <c r="DQ666">
        <f>IF(OR(DL$3="",DL$3&gt;TODAY()),"",IF(AND(DO666="",DP666=""),"",N(DP666)-N(DO666)))</f>
        <v/>
      </c>
      <c r="DU666">
        <f>IF(OR(DS$3="",DS$3&gt;TODAY()),"",IF(AND(DS666="",DT666=""),"",N(DT666)-N(DS666)))</f>
        <v/>
      </c>
      <c r="DX666">
        <f>IF(OR(DS$3="",DS$3&gt;TODAY()),"",IF(AND(DV666="",DW666=""),"",N(DW666)-N(DV666)))</f>
        <v/>
      </c>
      <c r="EB666">
        <f>IF(OR(DZ$3="",DZ$3&gt;TODAY()),"",IF(AND(DZ666="",EA666=""),"",N(EA666)-N(DZ666)))</f>
        <v/>
      </c>
      <c r="EE666">
        <f>IF(OR(DZ$3="",DZ$3&gt;TODAY()),"",IF(AND(EC666="",ED666=""),"",N(ED666)-N(EC666)))</f>
        <v/>
      </c>
      <c r="EI666">
        <f>IF(OR(EG$3="",EG$3&gt;TODAY()),"",IF(AND(EG666="",EH666=""),"",N(EH666)-N(EG666)))</f>
        <v/>
      </c>
      <c r="EL666">
        <f>IF(OR(EG$3="",EG$3&gt;TODAY()),"",IF(AND(EJ666="",EK666=""),"",N(EK666)-N(EJ666)))</f>
        <v/>
      </c>
      <c r="EP666">
        <f>IF(OR(EN$3="",EN$3&gt;TODAY()),"",IF(AND(EN666="",EO666=""),"",N(EO666)-N(EN666)))</f>
        <v/>
      </c>
      <c r="ES666">
        <f>IF(OR(EN$3="",EN$3&gt;TODAY()),"",IF(AND(EQ666="",ER666=""),"",N(ER666)-N(EQ666)))</f>
        <v/>
      </c>
      <c r="EW666">
        <f>IF(OR(EU$3="",EU$3&gt;TODAY()),"",IF(AND(EU666="",EV666=""),"",N(EV666)-N(EU666)))</f>
        <v/>
      </c>
      <c r="EZ666">
        <f>IF(OR(EU$3="",EU$3&gt;TODAY()),"",IF(AND(EX666="",EY666=""),"",N(EY666)-N(EX666)))</f>
        <v/>
      </c>
      <c r="FD666">
        <f>IF(OR(FB$3="",FB$3&gt;TODAY()),"",IF(AND(FB666="",FC666=""),"",N(FC666)-N(FB666)))</f>
        <v/>
      </c>
      <c r="FG666">
        <f>IF(OR(FB$3="",FB$3&gt;TODAY()),"",IF(AND(FE666="",FF666=""),"",N(FF666)-N(FE666)))</f>
        <v/>
      </c>
      <c r="FK666">
        <f>IF(OR(FI$3="",FI$3&gt;TODAY()),"",IF(AND(FI666="",FJ666=""),"",N(FJ666)-N(FI666)))</f>
        <v/>
      </c>
      <c r="FN666">
        <f>IF(OR(FI$3="",FI$3&gt;TODAY()),"",IF(AND(FL666="",FM666=""),"",N(FM666)-N(FL666)))</f>
        <v/>
      </c>
      <c r="FR666">
        <f>IF(OR(FP$3="",FP$3&gt;TODAY()),"",IF(AND(FP666="",FQ666=""),"",N(FQ666)-N(FP666)))</f>
        <v/>
      </c>
      <c r="FU666">
        <f>IF(OR(FP$3="",FP$3&gt;TODAY()),"",IF(AND(FS666="",FT666=""),"",N(FT666)-N(FS666)))</f>
        <v/>
      </c>
      <c r="FY666">
        <f>IF(OR(FW$3="",FW$3&gt;TODAY()),"",IF(AND(FW666="",FX666=""),"",N(FX666)-N(FW666)))</f>
        <v/>
      </c>
      <c r="GB666">
        <f>IF(OR(FW$3="",FW$3&gt;TODAY()),"",IF(AND(FZ666="",GA666=""),"",N(GA666)-N(FZ666)))</f>
        <v/>
      </c>
      <c r="GF666">
        <f>IF(OR(GD$3="",GD$3&gt;TODAY()),"",IF(AND(GD666="",GE666=""),"",N(GE666)-N(GD666)))</f>
        <v/>
      </c>
      <c r="GI666">
        <f>IF(OR(GD$3="",GD$3&gt;TODAY()),"",IF(AND(GG666="",GH666=""),"",N(GH666)-N(GG666)))</f>
        <v/>
      </c>
      <c r="GM666">
        <f>IF(OR(GK$3="",GK$3&gt;TODAY()),"",IF(AND(GK666="",GL666=""),"",N(GL666)-N(GK666)))</f>
        <v/>
      </c>
      <c r="GP666">
        <f>IF(OR(GK$3="",GK$3&gt;TODAY()),"",IF(AND(GN666="",GO666=""),"",N(GO666)-N(GN666)))</f>
        <v/>
      </c>
      <c r="GT666">
        <f>IF(OR(GR$3="",GR$3&gt;TODAY()),"",IF(AND(GR666="",GS666=""),"",N(GS666)-N(GR666)))</f>
        <v/>
      </c>
      <c r="GW666">
        <f>IF(OR(GR$3="",GR$3&gt;TODAY()),"",IF(AND(GU666="",GV666=""),"",N(GV666)-N(GU666)))</f>
        <v/>
      </c>
      <c r="HA666">
        <f>IF(OR(GY$3="",GY$3&gt;TODAY()),"",IF(AND(GY666="",GZ666=""),"",N(GZ666)-N(GY666)))</f>
        <v/>
      </c>
      <c r="HD666">
        <f>IF(OR(GY$3="",GY$3&gt;TODAY()),"",IF(AND(HB666="",HC666=""),"",N(HC666)-N(HB666)))</f>
        <v/>
      </c>
      <c r="HH666">
        <f>IF(OR(HF$3="",HF$3&gt;TODAY()),"",IF(AND(HF666="",HG666=""),"",N(HG666)-N(HF666)))</f>
        <v/>
      </c>
      <c r="HK666">
        <f>IF(OR(HF$3="",HF$3&gt;TODAY()),"",IF(AND(HI666="",HJ666=""),"",N(HJ666)-N(HI666)))</f>
        <v/>
      </c>
      <c r="HO666">
        <f>IF(OR(HM$3="",HM$3&gt;TODAY()),"",IF(AND(HM666="",HN666=""),"",N(HN666)-N(HM666)))</f>
        <v/>
      </c>
      <c r="HR666">
        <f>IF(OR(HM$3="",HM$3&gt;TODAY()),"",IF(AND(HP666="",HQ666=""),"",N(HQ666)-N(HP666)))</f>
        <v/>
      </c>
      <c r="HV666">
        <f>IF(OR(HT$3="",HT$3&gt;TODAY()),"",IF(AND(HT666="",HU666=""),"",N(HU666)-N(HT666)))</f>
        <v/>
      </c>
      <c r="HY666">
        <f>IF(OR(HT$3="",HT$3&gt;TODAY()),"",IF(AND(HW666="",HX666=""),"",N(HX666)-N(HW666)))</f>
        <v/>
      </c>
      <c r="IC666">
        <f>IF(OR(IA$3="",IA$3&gt;TODAY()),"",IF(AND(IA666="",IB666=""),"",N(IB666)-N(IA666)))</f>
        <v/>
      </c>
      <c r="IF666">
        <f>IF(OR(IA$3="",IA$3&gt;TODAY()),"",IF(AND(ID666="",IE666=""),"",N(IE666)-N(ID666)))</f>
        <v/>
      </c>
      <c r="IJ666">
        <f>IF(OR(IH$3="",IH$3&gt;TODAY()),"",IF(AND(IH666="",II666=""),"",N(II666)-N(IH666)))</f>
        <v/>
      </c>
      <c r="IM666">
        <f>IF(OR(IH$3="",IH$3&gt;TODAY()),"",IF(AND(IK666="",IL666=""),"",N(IL666)-N(IK666)))</f>
        <v/>
      </c>
    </row>
    <row r="667">
      <c r="A667" s="21" t="n"/>
      <c r="B667" s="21" t="n"/>
      <c r="C667" s="21" t="n"/>
      <c r="D667" s="21" t="n"/>
      <c r="E667" s="21" t="n"/>
      <c r="F667" s="21" t="n"/>
      <c r="G667" s="21" t="n"/>
      <c r="H667" s="21" t="n"/>
      <c r="I667" s="22" t="n"/>
      <c r="J667" s="22" t="n"/>
      <c r="K667" s="23" t="n"/>
      <c r="L667" s="22" t="n"/>
      <c r="M667" s="22" t="n"/>
      <c r="N667" s="21" t="n"/>
      <c r="O667" s="23" t="n"/>
      <c r="P667" s="23" t="n"/>
      <c r="Q667" s="23" t="n"/>
      <c r="R667" s="23" t="n"/>
      <c r="S667" s="22" t="n"/>
      <c r="T667" s="23" t="n"/>
      <c r="U667" s="23" t="n"/>
      <c r="V667" s="24">
        <f>IF(J667&lt;&gt;"",J667,IF(I667&lt;&gt;"",I667,""))</f>
        <v/>
      </c>
      <c r="W667" s="25">
        <f>IF($E667="","",N(O667)+SUMIFS($AF667:$IN667,$AF$4:$IN$4,"SEW_ACT"))</f>
        <v/>
      </c>
      <c r="X667" s="25">
        <f>IF($E667="","",N(P667)+SUMIFS($AF667:$IN667,$AF$4:$IN$4,"WASH_ACT"))</f>
        <v/>
      </c>
      <c r="Y667" s="25">
        <f>IF($E667="","",W667-X667-N(T667)-N(U667))</f>
        <v/>
      </c>
      <c r="Z667" s="25">
        <f>IF($E667="","",IF(N(K667)-X667&lt;=0.02*N(K667),0,N(K667)-X667))</f>
        <v/>
      </c>
      <c r="AA667" s="24">
        <f>IF($E667="","",IF(S667&lt;&gt;"",S667,IF(N(O667)&gt;0,IF(L667&lt;&gt;"",L667,99999),IFERROR(1/(1/_xlfn.MINIFS($AF$3:$IN$3,$AF$4:$IN$4,"SEW_ACT",$AF667:$IN667,"&gt;0")),99999))))</f>
        <v/>
      </c>
      <c r="AB667" s="26">
        <f>IF(OR($E667="",Z667=0,V667=""),"",1+COUNTIFS(Z$8:Z$707,"&gt;0",V$8:V$707,"&lt;"&amp;V667)+COUNTIFS(Z$8:Z$707,"&gt;0",V$8:V$707,V667,AA$8:AA$707,"&lt;"&amp;AA667)+COUNTIFS(Z$8:Z$707,"&gt;0",V$8:V$707,V667,AA$8:AA$707,AA667,E$8:E$707,"&lt;"&amp;$E667))</f>
        <v/>
      </c>
      <c r="AC667" s="24">
        <f>IF(OR($E667="",Z667=0),"",IFERROR(TODAY()+ROUNDUP(Z667/(SUMIFS($AF667:$IN667,$AF$4:$IN$4,"WASH_ACT")/COUNTIFS($AF$4:$IN$4,"WASH_ACT",$AF667:$IN667,"&gt;0")),0),"no output yet"))</f>
        <v/>
      </c>
      <c r="AD667" s="26">
        <f>IF($E667="","",IFERROR(ROUND(MAX(0,SUMIFS($AF667:$IN667,$AF$4:$IN$4,"SEW_PLAN",$AF$3:$IN$3,"&lt;="&amp;TODAY())-SUMIFS($AF667:$IN667,$AF$4:$IN$4,"SEW_ACT",$AF$3:$IN$3,"&lt;="&amp;TODAY())+N(Q667))/(SUMIFS($AF667:$IN667,$AF$4:$IN$4,"SEW_PLAN")/COUNTIFS($AF$4:$IN$4,"SEW_PLAN",$AF667:$IN667,"&gt;0")),1),0))</f>
        <v/>
      </c>
      <c r="AE667" s="26">
        <f>IF($E667="","",IF(AND(Z667&gt;0,OR(AND(M667&lt;&gt;"",TODAY()&gt;M667),AND(V667&lt;&gt;"",V667-TODAY()&lt;=7))),"Yes","No"))</f>
        <v/>
      </c>
      <c r="AH667">
        <f>IF(OR(AF$3="",AF$3&gt;TODAY()),"",IF(AND(AF667="",AG667=""),"",N(AG667)-N(AF667)))</f>
        <v/>
      </c>
      <c r="AK667">
        <f>IF(OR(AF$3="",AF$3&gt;TODAY()),"",IF(AND(AI667="",AJ667=""),"",N(AJ667)-N(AI667)))</f>
        <v/>
      </c>
      <c r="AO667">
        <f>IF(OR(AM$3="",AM$3&gt;TODAY()),"",IF(AND(AM667="",AN667=""),"",N(AN667)-N(AM667)))</f>
        <v/>
      </c>
      <c r="AR667">
        <f>IF(OR(AM$3="",AM$3&gt;TODAY()),"",IF(AND(AP667="",AQ667=""),"",N(AQ667)-N(AP667)))</f>
        <v/>
      </c>
      <c r="AV667">
        <f>IF(OR(AT$3="",AT$3&gt;TODAY()),"",IF(AND(AT667="",AU667=""),"",N(AU667)-N(AT667)))</f>
        <v/>
      </c>
      <c r="AY667">
        <f>IF(OR(AT$3="",AT$3&gt;TODAY()),"",IF(AND(AW667="",AX667=""),"",N(AX667)-N(AW667)))</f>
        <v/>
      </c>
      <c r="BC667">
        <f>IF(OR(BA$3="",BA$3&gt;TODAY()),"",IF(AND(BA667="",BB667=""),"",N(BB667)-N(BA667)))</f>
        <v/>
      </c>
      <c r="BF667">
        <f>IF(OR(BA$3="",BA$3&gt;TODAY()),"",IF(AND(BD667="",BE667=""),"",N(BE667)-N(BD667)))</f>
        <v/>
      </c>
      <c r="BJ667">
        <f>IF(OR(BH$3="",BH$3&gt;TODAY()),"",IF(AND(BH667="",BI667=""),"",N(BI667)-N(BH667)))</f>
        <v/>
      </c>
      <c r="BM667">
        <f>IF(OR(BH$3="",BH$3&gt;TODAY()),"",IF(AND(BK667="",BL667=""),"",N(BL667)-N(BK667)))</f>
        <v/>
      </c>
      <c r="BQ667">
        <f>IF(OR(BO$3="",BO$3&gt;TODAY()),"",IF(AND(BO667="",BP667=""),"",N(BP667)-N(BO667)))</f>
        <v/>
      </c>
      <c r="BT667">
        <f>IF(OR(BO$3="",BO$3&gt;TODAY()),"",IF(AND(BR667="",BS667=""),"",N(BS667)-N(BR667)))</f>
        <v/>
      </c>
      <c r="BX667">
        <f>IF(OR(BV$3="",BV$3&gt;TODAY()),"",IF(AND(BV667="",BW667=""),"",N(BW667)-N(BV667)))</f>
        <v/>
      </c>
      <c r="CA667">
        <f>IF(OR(BV$3="",BV$3&gt;TODAY()),"",IF(AND(BY667="",BZ667=""),"",N(BZ667)-N(BY667)))</f>
        <v/>
      </c>
      <c r="CE667">
        <f>IF(OR(CC$3="",CC$3&gt;TODAY()),"",IF(AND(CC667="",CD667=""),"",N(CD667)-N(CC667)))</f>
        <v/>
      </c>
      <c r="CH667">
        <f>IF(OR(CC$3="",CC$3&gt;TODAY()),"",IF(AND(CF667="",CG667=""),"",N(CG667)-N(CF667)))</f>
        <v/>
      </c>
      <c r="CL667">
        <f>IF(OR(CJ$3="",CJ$3&gt;TODAY()),"",IF(AND(CJ667="",CK667=""),"",N(CK667)-N(CJ667)))</f>
        <v/>
      </c>
      <c r="CO667">
        <f>IF(OR(CJ$3="",CJ$3&gt;TODAY()),"",IF(AND(CM667="",CN667=""),"",N(CN667)-N(CM667)))</f>
        <v/>
      </c>
      <c r="CS667">
        <f>IF(OR(CQ$3="",CQ$3&gt;TODAY()),"",IF(AND(CQ667="",CR667=""),"",N(CR667)-N(CQ667)))</f>
        <v/>
      </c>
      <c r="CV667">
        <f>IF(OR(CQ$3="",CQ$3&gt;TODAY()),"",IF(AND(CT667="",CU667=""),"",N(CU667)-N(CT667)))</f>
        <v/>
      </c>
      <c r="CZ667">
        <f>IF(OR(CX$3="",CX$3&gt;TODAY()),"",IF(AND(CX667="",CY667=""),"",N(CY667)-N(CX667)))</f>
        <v/>
      </c>
      <c r="DC667">
        <f>IF(OR(CX$3="",CX$3&gt;TODAY()),"",IF(AND(DA667="",DB667=""),"",N(DB667)-N(DA667)))</f>
        <v/>
      </c>
      <c r="DG667">
        <f>IF(OR(DE$3="",DE$3&gt;TODAY()),"",IF(AND(DE667="",DF667=""),"",N(DF667)-N(DE667)))</f>
        <v/>
      </c>
      <c r="DJ667">
        <f>IF(OR(DE$3="",DE$3&gt;TODAY()),"",IF(AND(DH667="",DI667=""),"",N(DI667)-N(DH667)))</f>
        <v/>
      </c>
      <c r="DN667">
        <f>IF(OR(DL$3="",DL$3&gt;TODAY()),"",IF(AND(DL667="",DM667=""),"",N(DM667)-N(DL667)))</f>
        <v/>
      </c>
      <c r="DQ667">
        <f>IF(OR(DL$3="",DL$3&gt;TODAY()),"",IF(AND(DO667="",DP667=""),"",N(DP667)-N(DO667)))</f>
        <v/>
      </c>
      <c r="DU667">
        <f>IF(OR(DS$3="",DS$3&gt;TODAY()),"",IF(AND(DS667="",DT667=""),"",N(DT667)-N(DS667)))</f>
        <v/>
      </c>
      <c r="DX667">
        <f>IF(OR(DS$3="",DS$3&gt;TODAY()),"",IF(AND(DV667="",DW667=""),"",N(DW667)-N(DV667)))</f>
        <v/>
      </c>
      <c r="EB667">
        <f>IF(OR(DZ$3="",DZ$3&gt;TODAY()),"",IF(AND(DZ667="",EA667=""),"",N(EA667)-N(DZ667)))</f>
        <v/>
      </c>
      <c r="EE667">
        <f>IF(OR(DZ$3="",DZ$3&gt;TODAY()),"",IF(AND(EC667="",ED667=""),"",N(ED667)-N(EC667)))</f>
        <v/>
      </c>
      <c r="EI667">
        <f>IF(OR(EG$3="",EG$3&gt;TODAY()),"",IF(AND(EG667="",EH667=""),"",N(EH667)-N(EG667)))</f>
        <v/>
      </c>
      <c r="EL667">
        <f>IF(OR(EG$3="",EG$3&gt;TODAY()),"",IF(AND(EJ667="",EK667=""),"",N(EK667)-N(EJ667)))</f>
        <v/>
      </c>
      <c r="EP667">
        <f>IF(OR(EN$3="",EN$3&gt;TODAY()),"",IF(AND(EN667="",EO667=""),"",N(EO667)-N(EN667)))</f>
        <v/>
      </c>
      <c r="ES667">
        <f>IF(OR(EN$3="",EN$3&gt;TODAY()),"",IF(AND(EQ667="",ER667=""),"",N(ER667)-N(EQ667)))</f>
        <v/>
      </c>
      <c r="EW667">
        <f>IF(OR(EU$3="",EU$3&gt;TODAY()),"",IF(AND(EU667="",EV667=""),"",N(EV667)-N(EU667)))</f>
        <v/>
      </c>
      <c r="EZ667">
        <f>IF(OR(EU$3="",EU$3&gt;TODAY()),"",IF(AND(EX667="",EY667=""),"",N(EY667)-N(EX667)))</f>
        <v/>
      </c>
      <c r="FD667">
        <f>IF(OR(FB$3="",FB$3&gt;TODAY()),"",IF(AND(FB667="",FC667=""),"",N(FC667)-N(FB667)))</f>
        <v/>
      </c>
      <c r="FG667">
        <f>IF(OR(FB$3="",FB$3&gt;TODAY()),"",IF(AND(FE667="",FF667=""),"",N(FF667)-N(FE667)))</f>
        <v/>
      </c>
      <c r="FK667">
        <f>IF(OR(FI$3="",FI$3&gt;TODAY()),"",IF(AND(FI667="",FJ667=""),"",N(FJ667)-N(FI667)))</f>
        <v/>
      </c>
      <c r="FN667">
        <f>IF(OR(FI$3="",FI$3&gt;TODAY()),"",IF(AND(FL667="",FM667=""),"",N(FM667)-N(FL667)))</f>
        <v/>
      </c>
      <c r="FR667">
        <f>IF(OR(FP$3="",FP$3&gt;TODAY()),"",IF(AND(FP667="",FQ667=""),"",N(FQ667)-N(FP667)))</f>
        <v/>
      </c>
      <c r="FU667">
        <f>IF(OR(FP$3="",FP$3&gt;TODAY()),"",IF(AND(FS667="",FT667=""),"",N(FT667)-N(FS667)))</f>
        <v/>
      </c>
      <c r="FY667">
        <f>IF(OR(FW$3="",FW$3&gt;TODAY()),"",IF(AND(FW667="",FX667=""),"",N(FX667)-N(FW667)))</f>
        <v/>
      </c>
      <c r="GB667">
        <f>IF(OR(FW$3="",FW$3&gt;TODAY()),"",IF(AND(FZ667="",GA667=""),"",N(GA667)-N(FZ667)))</f>
        <v/>
      </c>
      <c r="GF667">
        <f>IF(OR(GD$3="",GD$3&gt;TODAY()),"",IF(AND(GD667="",GE667=""),"",N(GE667)-N(GD667)))</f>
        <v/>
      </c>
      <c r="GI667">
        <f>IF(OR(GD$3="",GD$3&gt;TODAY()),"",IF(AND(GG667="",GH667=""),"",N(GH667)-N(GG667)))</f>
        <v/>
      </c>
      <c r="GM667">
        <f>IF(OR(GK$3="",GK$3&gt;TODAY()),"",IF(AND(GK667="",GL667=""),"",N(GL667)-N(GK667)))</f>
        <v/>
      </c>
      <c r="GP667">
        <f>IF(OR(GK$3="",GK$3&gt;TODAY()),"",IF(AND(GN667="",GO667=""),"",N(GO667)-N(GN667)))</f>
        <v/>
      </c>
      <c r="GT667">
        <f>IF(OR(GR$3="",GR$3&gt;TODAY()),"",IF(AND(GR667="",GS667=""),"",N(GS667)-N(GR667)))</f>
        <v/>
      </c>
      <c r="GW667">
        <f>IF(OR(GR$3="",GR$3&gt;TODAY()),"",IF(AND(GU667="",GV667=""),"",N(GV667)-N(GU667)))</f>
        <v/>
      </c>
      <c r="HA667">
        <f>IF(OR(GY$3="",GY$3&gt;TODAY()),"",IF(AND(GY667="",GZ667=""),"",N(GZ667)-N(GY667)))</f>
        <v/>
      </c>
      <c r="HD667">
        <f>IF(OR(GY$3="",GY$3&gt;TODAY()),"",IF(AND(HB667="",HC667=""),"",N(HC667)-N(HB667)))</f>
        <v/>
      </c>
      <c r="HH667">
        <f>IF(OR(HF$3="",HF$3&gt;TODAY()),"",IF(AND(HF667="",HG667=""),"",N(HG667)-N(HF667)))</f>
        <v/>
      </c>
      <c r="HK667">
        <f>IF(OR(HF$3="",HF$3&gt;TODAY()),"",IF(AND(HI667="",HJ667=""),"",N(HJ667)-N(HI667)))</f>
        <v/>
      </c>
      <c r="HO667">
        <f>IF(OR(HM$3="",HM$3&gt;TODAY()),"",IF(AND(HM667="",HN667=""),"",N(HN667)-N(HM667)))</f>
        <v/>
      </c>
      <c r="HR667">
        <f>IF(OR(HM$3="",HM$3&gt;TODAY()),"",IF(AND(HP667="",HQ667=""),"",N(HQ667)-N(HP667)))</f>
        <v/>
      </c>
      <c r="HV667">
        <f>IF(OR(HT$3="",HT$3&gt;TODAY()),"",IF(AND(HT667="",HU667=""),"",N(HU667)-N(HT667)))</f>
        <v/>
      </c>
      <c r="HY667">
        <f>IF(OR(HT$3="",HT$3&gt;TODAY()),"",IF(AND(HW667="",HX667=""),"",N(HX667)-N(HW667)))</f>
        <v/>
      </c>
      <c r="IC667">
        <f>IF(OR(IA$3="",IA$3&gt;TODAY()),"",IF(AND(IA667="",IB667=""),"",N(IB667)-N(IA667)))</f>
        <v/>
      </c>
      <c r="IF667">
        <f>IF(OR(IA$3="",IA$3&gt;TODAY()),"",IF(AND(ID667="",IE667=""),"",N(IE667)-N(ID667)))</f>
        <v/>
      </c>
      <c r="IJ667">
        <f>IF(OR(IH$3="",IH$3&gt;TODAY()),"",IF(AND(IH667="",II667=""),"",N(II667)-N(IH667)))</f>
        <v/>
      </c>
      <c r="IM667">
        <f>IF(OR(IH$3="",IH$3&gt;TODAY()),"",IF(AND(IK667="",IL667=""),"",N(IL667)-N(IK667)))</f>
        <v/>
      </c>
    </row>
    <row r="668">
      <c r="A668" s="21" t="n"/>
      <c r="B668" s="21" t="n"/>
      <c r="C668" s="21" t="n"/>
      <c r="D668" s="21" t="n"/>
      <c r="E668" s="21" t="n"/>
      <c r="F668" s="21" t="n"/>
      <c r="G668" s="21" t="n"/>
      <c r="H668" s="21" t="n"/>
      <c r="I668" s="22" t="n"/>
      <c r="J668" s="22" t="n"/>
      <c r="K668" s="23" t="n"/>
      <c r="L668" s="22" t="n"/>
      <c r="M668" s="22" t="n"/>
      <c r="N668" s="21" t="n"/>
      <c r="O668" s="23" t="n"/>
      <c r="P668" s="23" t="n"/>
      <c r="Q668" s="23" t="n"/>
      <c r="R668" s="23" t="n"/>
      <c r="S668" s="22" t="n"/>
      <c r="T668" s="23" t="n"/>
      <c r="U668" s="23" t="n"/>
      <c r="V668" s="24">
        <f>IF(J668&lt;&gt;"",J668,IF(I668&lt;&gt;"",I668,""))</f>
        <v/>
      </c>
      <c r="W668" s="25">
        <f>IF($E668="","",N(O668)+SUMIFS($AF668:$IN668,$AF$4:$IN$4,"SEW_ACT"))</f>
        <v/>
      </c>
      <c r="X668" s="25">
        <f>IF($E668="","",N(P668)+SUMIFS($AF668:$IN668,$AF$4:$IN$4,"WASH_ACT"))</f>
        <v/>
      </c>
      <c r="Y668" s="25">
        <f>IF($E668="","",W668-X668-N(T668)-N(U668))</f>
        <v/>
      </c>
      <c r="Z668" s="25">
        <f>IF($E668="","",IF(N(K668)-X668&lt;=0.02*N(K668),0,N(K668)-X668))</f>
        <v/>
      </c>
      <c r="AA668" s="24">
        <f>IF($E668="","",IF(S668&lt;&gt;"",S668,IF(N(O668)&gt;0,IF(L668&lt;&gt;"",L668,99999),IFERROR(1/(1/_xlfn.MINIFS($AF$3:$IN$3,$AF$4:$IN$4,"SEW_ACT",$AF668:$IN668,"&gt;0")),99999))))</f>
        <v/>
      </c>
      <c r="AB668" s="26">
        <f>IF(OR($E668="",Z668=0,V668=""),"",1+COUNTIFS(Z$8:Z$707,"&gt;0",V$8:V$707,"&lt;"&amp;V668)+COUNTIFS(Z$8:Z$707,"&gt;0",V$8:V$707,V668,AA$8:AA$707,"&lt;"&amp;AA668)+COUNTIFS(Z$8:Z$707,"&gt;0",V$8:V$707,V668,AA$8:AA$707,AA668,E$8:E$707,"&lt;"&amp;$E668))</f>
        <v/>
      </c>
      <c r="AC668" s="24">
        <f>IF(OR($E668="",Z668=0),"",IFERROR(TODAY()+ROUNDUP(Z668/(SUMIFS($AF668:$IN668,$AF$4:$IN$4,"WASH_ACT")/COUNTIFS($AF$4:$IN$4,"WASH_ACT",$AF668:$IN668,"&gt;0")),0),"no output yet"))</f>
        <v/>
      </c>
      <c r="AD668" s="26">
        <f>IF($E668="","",IFERROR(ROUND(MAX(0,SUMIFS($AF668:$IN668,$AF$4:$IN$4,"SEW_PLAN",$AF$3:$IN$3,"&lt;="&amp;TODAY())-SUMIFS($AF668:$IN668,$AF$4:$IN$4,"SEW_ACT",$AF$3:$IN$3,"&lt;="&amp;TODAY())+N(Q668))/(SUMIFS($AF668:$IN668,$AF$4:$IN$4,"SEW_PLAN")/COUNTIFS($AF$4:$IN$4,"SEW_PLAN",$AF668:$IN668,"&gt;0")),1),0))</f>
        <v/>
      </c>
      <c r="AE668" s="26">
        <f>IF($E668="","",IF(AND(Z668&gt;0,OR(AND(M668&lt;&gt;"",TODAY()&gt;M668),AND(V668&lt;&gt;"",V668-TODAY()&lt;=7))),"Yes","No"))</f>
        <v/>
      </c>
      <c r="AH668">
        <f>IF(OR(AF$3="",AF$3&gt;TODAY()),"",IF(AND(AF668="",AG668=""),"",N(AG668)-N(AF668)))</f>
        <v/>
      </c>
      <c r="AK668">
        <f>IF(OR(AF$3="",AF$3&gt;TODAY()),"",IF(AND(AI668="",AJ668=""),"",N(AJ668)-N(AI668)))</f>
        <v/>
      </c>
      <c r="AO668">
        <f>IF(OR(AM$3="",AM$3&gt;TODAY()),"",IF(AND(AM668="",AN668=""),"",N(AN668)-N(AM668)))</f>
        <v/>
      </c>
      <c r="AR668">
        <f>IF(OR(AM$3="",AM$3&gt;TODAY()),"",IF(AND(AP668="",AQ668=""),"",N(AQ668)-N(AP668)))</f>
        <v/>
      </c>
      <c r="AV668">
        <f>IF(OR(AT$3="",AT$3&gt;TODAY()),"",IF(AND(AT668="",AU668=""),"",N(AU668)-N(AT668)))</f>
        <v/>
      </c>
      <c r="AY668">
        <f>IF(OR(AT$3="",AT$3&gt;TODAY()),"",IF(AND(AW668="",AX668=""),"",N(AX668)-N(AW668)))</f>
        <v/>
      </c>
      <c r="BC668">
        <f>IF(OR(BA$3="",BA$3&gt;TODAY()),"",IF(AND(BA668="",BB668=""),"",N(BB668)-N(BA668)))</f>
        <v/>
      </c>
      <c r="BF668">
        <f>IF(OR(BA$3="",BA$3&gt;TODAY()),"",IF(AND(BD668="",BE668=""),"",N(BE668)-N(BD668)))</f>
        <v/>
      </c>
      <c r="BJ668">
        <f>IF(OR(BH$3="",BH$3&gt;TODAY()),"",IF(AND(BH668="",BI668=""),"",N(BI668)-N(BH668)))</f>
        <v/>
      </c>
      <c r="BM668">
        <f>IF(OR(BH$3="",BH$3&gt;TODAY()),"",IF(AND(BK668="",BL668=""),"",N(BL668)-N(BK668)))</f>
        <v/>
      </c>
      <c r="BQ668">
        <f>IF(OR(BO$3="",BO$3&gt;TODAY()),"",IF(AND(BO668="",BP668=""),"",N(BP668)-N(BO668)))</f>
        <v/>
      </c>
      <c r="BT668">
        <f>IF(OR(BO$3="",BO$3&gt;TODAY()),"",IF(AND(BR668="",BS668=""),"",N(BS668)-N(BR668)))</f>
        <v/>
      </c>
      <c r="BX668">
        <f>IF(OR(BV$3="",BV$3&gt;TODAY()),"",IF(AND(BV668="",BW668=""),"",N(BW668)-N(BV668)))</f>
        <v/>
      </c>
      <c r="CA668">
        <f>IF(OR(BV$3="",BV$3&gt;TODAY()),"",IF(AND(BY668="",BZ668=""),"",N(BZ668)-N(BY668)))</f>
        <v/>
      </c>
      <c r="CE668">
        <f>IF(OR(CC$3="",CC$3&gt;TODAY()),"",IF(AND(CC668="",CD668=""),"",N(CD668)-N(CC668)))</f>
        <v/>
      </c>
      <c r="CH668">
        <f>IF(OR(CC$3="",CC$3&gt;TODAY()),"",IF(AND(CF668="",CG668=""),"",N(CG668)-N(CF668)))</f>
        <v/>
      </c>
      <c r="CL668">
        <f>IF(OR(CJ$3="",CJ$3&gt;TODAY()),"",IF(AND(CJ668="",CK668=""),"",N(CK668)-N(CJ668)))</f>
        <v/>
      </c>
      <c r="CO668">
        <f>IF(OR(CJ$3="",CJ$3&gt;TODAY()),"",IF(AND(CM668="",CN668=""),"",N(CN668)-N(CM668)))</f>
        <v/>
      </c>
      <c r="CS668">
        <f>IF(OR(CQ$3="",CQ$3&gt;TODAY()),"",IF(AND(CQ668="",CR668=""),"",N(CR668)-N(CQ668)))</f>
        <v/>
      </c>
      <c r="CV668">
        <f>IF(OR(CQ$3="",CQ$3&gt;TODAY()),"",IF(AND(CT668="",CU668=""),"",N(CU668)-N(CT668)))</f>
        <v/>
      </c>
      <c r="CZ668">
        <f>IF(OR(CX$3="",CX$3&gt;TODAY()),"",IF(AND(CX668="",CY668=""),"",N(CY668)-N(CX668)))</f>
        <v/>
      </c>
      <c r="DC668">
        <f>IF(OR(CX$3="",CX$3&gt;TODAY()),"",IF(AND(DA668="",DB668=""),"",N(DB668)-N(DA668)))</f>
        <v/>
      </c>
      <c r="DG668">
        <f>IF(OR(DE$3="",DE$3&gt;TODAY()),"",IF(AND(DE668="",DF668=""),"",N(DF668)-N(DE668)))</f>
        <v/>
      </c>
      <c r="DJ668">
        <f>IF(OR(DE$3="",DE$3&gt;TODAY()),"",IF(AND(DH668="",DI668=""),"",N(DI668)-N(DH668)))</f>
        <v/>
      </c>
      <c r="DN668">
        <f>IF(OR(DL$3="",DL$3&gt;TODAY()),"",IF(AND(DL668="",DM668=""),"",N(DM668)-N(DL668)))</f>
        <v/>
      </c>
      <c r="DQ668">
        <f>IF(OR(DL$3="",DL$3&gt;TODAY()),"",IF(AND(DO668="",DP668=""),"",N(DP668)-N(DO668)))</f>
        <v/>
      </c>
      <c r="DU668">
        <f>IF(OR(DS$3="",DS$3&gt;TODAY()),"",IF(AND(DS668="",DT668=""),"",N(DT668)-N(DS668)))</f>
        <v/>
      </c>
      <c r="DX668">
        <f>IF(OR(DS$3="",DS$3&gt;TODAY()),"",IF(AND(DV668="",DW668=""),"",N(DW668)-N(DV668)))</f>
        <v/>
      </c>
      <c r="EB668">
        <f>IF(OR(DZ$3="",DZ$3&gt;TODAY()),"",IF(AND(DZ668="",EA668=""),"",N(EA668)-N(DZ668)))</f>
        <v/>
      </c>
      <c r="EE668">
        <f>IF(OR(DZ$3="",DZ$3&gt;TODAY()),"",IF(AND(EC668="",ED668=""),"",N(ED668)-N(EC668)))</f>
        <v/>
      </c>
      <c r="EI668">
        <f>IF(OR(EG$3="",EG$3&gt;TODAY()),"",IF(AND(EG668="",EH668=""),"",N(EH668)-N(EG668)))</f>
        <v/>
      </c>
      <c r="EL668">
        <f>IF(OR(EG$3="",EG$3&gt;TODAY()),"",IF(AND(EJ668="",EK668=""),"",N(EK668)-N(EJ668)))</f>
        <v/>
      </c>
      <c r="EP668">
        <f>IF(OR(EN$3="",EN$3&gt;TODAY()),"",IF(AND(EN668="",EO668=""),"",N(EO668)-N(EN668)))</f>
        <v/>
      </c>
      <c r="ES668">
        <f>IF(OR(EN$3="",EN$3&gt;TODAY()),"",IF(AND(EQ668="",ER668=""),"",N(ER668)-N(EQ668)))</f>
        <v/>
      </c>
      <c r="EW668">
        <f>IF(OR(EU$3="",EU$3&gt;TODAY()),"",IF(AND(EU668="",EV668=""),"",N(EV668)-N(EU668)))</f>
        <v/>
      </c>
      <c r="EZ668">
        <f>IF(OR(EU$3="",EU$3&gt;TODAY()),"",IF(AND(EX668="",EY668=""),"",N(EY668)-N(EX668)))</f>
        <v/>
      </c>
      <c r="FD668">
        <f>IF(OR(FB$3="",FB$3&gt;TODAY()),"",IF(AND(FB668="",FC668=""),"",N(FC668)-N(FB668)))</f>
        <v/>
      </c>
      <c r="FG668">
        <f>IF(OR(FB$3="",FB$3&gt;TODAY()),"",IF(AND(FE668="",FF668=""),"",N(FF668)-N(FE668)))</f>
        <v/>
      </c>
      <c r="FK668">
        <f>IF(OR(FI$3="",FI$3&gt;TODAY()),"",IF(AND(FI668="",FJ668=""),"",N(FJ668)-N(FI668)))</f>
        <v/>
      </c>
      <c r="FN668">
        <f>IF(OR(FI$3="",FI$3&gt;TODAY()),"",IF(AND(FL668="",FM668=""),"",N(FM668)-N(FL668)))</f>
        <v/>
      </c>
      <c r="FR668">
        <f>IF(OR(FP$3="",FP$3&gt;TODAY()),"",IF(AND(FP668="",FQ668=""),"",N(FQ668)-N(FP668)))</f>
        <v/>
      </c>
      <c r="FU668">
        <f>IF(OR(FP$3="",FP$3&gt;TODAY()),"",IF(AND(FS668="",FT668=""),"",N(FT668)-N(FS668)))</f>
        <v/>
      </c>
      <c r="FY668">
        <f>IF(OR(FW$3="",FW$3&gt;TODAY()),"",IF(AND(FW668="",FX668=""),"",N(FX668)-N(FW668)))</f>
        <v/>
      </c>
      <c r="GB668">
        <f>IF(OR(FW$3="",FW$3&gt;TODAY()),"",IF(AND(FZ668="",GA668=""),"",N(GA668)-N(FZ668)))</f>
        <v/>
      </c>
      <c r="GF668">
        <f>IF(OR(GD$3="",GD$3&gt;TODAY()),"",IF(AND(GD668="",GE668=""),"",N(GE668)-N(GD668)))</f>
        <v/>
      </c>
      <c r="GI668">
        <f>IF(OR(GD$3="",GD$3&gt;TODAY()),"",IF(AND(GG668="",GH668=""),"",N(GH668)-N(GG668)))</f>
        <v/>
      </c>
      <c r="GM668">
        <f>IF(OR(GK$3="",GK$3&gt;TODAY()),"",IF(AND(GK668="",GL668=""),"",N(GL668)-N(GK668)))</f>
        <v/>
      </c>
      <c r="GP668">
        <f>IF(OR(GK$3="",GK$3&gt;TODAY()),"",IF(AND(GN668="",GO668=""),"",N(GO668)-N(GN668)))</f>
        <v/>
      </c>
      <c r="GT668">
        <f>IF(OR(GR$3="",GR$3&gt;TODAY()),"",IF(AND(GR668="",GS668=""),"",N(GS668)-N(GR668)))</f>
        <v/>
      </c>
      <c r="GW668">
        <f>IF(OR(GR$3="",GR$3&gt;TODAY()),"",IF(AND(GU668="",GV668=""),"",N(GV668)-N(GU668)))</f>
        <v/>
      </c>
      <c r="HA668">
        <f>IF(OR(GY$3="",GY$3&gt;TODAY()),"",IF(AND(GY668="",GZ668=""),"",N(GZ668)-N(GY668)))</f>
        <v/>
      </c>
      <c r="HD668">
        <f>IF(OR(GY$3="",GY$3&gt;TODAY()),"",IF(AND(HB668="",HC668=""),"",N(HC668)-N(HB668)))</f>
        <v/>
      </c>
      <c r="HH668">
        <f>IF(OR(HF$3="",HF$3&gt;TODAY()),"",IF(AND(HF668="",HG668=""),"",N(HG668)-N(HF668)))</f>
        <v/>
      </c>
      <c r="HK668">
        <f>IF(OR(HF$3="",HF$3&gt;TODAY()),"",IF(AND(HI668="",HJ668=""),"",N(HJ668)-N(HI668)))</f>
        <v/>
      </c>
      <c r="HO668">
        <f>IF(OR(HM$3="",HM$3&gt;TODAY()),"",IF(AND(HM668="",HN668=""),"",N(HN668)-N(HM668)))</f>
        <v/>
      </c>
      <c r="HR668">
        <f>IF(OR(HM$3="",HM$3&gt;TODAY()),"",IF(AND(HP668="",HQ668=""),"",N(HQ668)-N(HP668)))</f>
        <v/>
      </c>
      <c r="HV668">
        <f>IF(OR(HT$3="",HT$3&gt;TODAY()),"",IF(AND(HT668="",HU668=""),"",N(HU668)-N(HT668)))</f>
        <v/>
      </c>
      <c r="HY668">
        <f>IF(OR(HT$3="",HT$3&gt;TODAY()),"",IF(AND(HW668="",HX668=""),"",N(HX668)-N(HW668)))</f>
        <v/>
      </c>
      <c r="IC668">
        <f>IF(OR(IA$3="",IA$3&gt;TODAY()),"",IF(AND(IA668="",IB668=""),"",N(IB668)-N(IA668)))</f>
        <v/>
      </c>
      <c r="IF668">
        <f>IF(OR(IA$3="",IA$3&gt;TODAY()),"",IF(AND(ID668="",IE668=""),"",N(IE668)-N(ID668)))</f>
        <v/>
      </c>
      <c r="IJ668">
        <f>IF(OR(IH$3="",IH$3&gt;TODAY()),"",IF(AND(IH668="",II668=""),"",N(II668)-N(IH668)))</f>
        <v/>
      </c>
      <c r="IM668">
        <f>IF(OR(IH$3="",IH$3&gt;TODAY()),"",IF(AND(IK668="",IL668=""),"",N(IL668)-N(IK668)))</f>
        <v/>
      </c>
    </row>
    <row r="669">
      <c r="A669" s="21" t="n"/>
      <c r="B669" s="21" t="n"/>
      <c r="C669" s="21" t="n"/>
      <c r="D669" s="21" t="n"/>
      <c r="E669" s="21" t="n"/>
      <c r="F669" s="21" t="n"/>
      <c r="G669" s="21" t="n"/>
      <c r="H669" s="21" t="n"/>
      <c r="I669" s="22" t="n"/>
      <c r="J669" s="22" t="n"/>
      <c r="K669" s="23" t="n"/>
      <c r="L669" s="22" t="n"/>
      <c r="M669" s="22" t="n"/>
      <c r="N669" s="21" t="n"/>
      <c r="O669" s="23" t="n"/>
      <c r="P669" s="23" t="n"/>
      <c r="Q669" s="23" t="n"/>
      <c r="R669" s="23" t="n"/>
      <c r="S669" s="22" t="n"/>
      <c r="T669" s="23" t="n"/>
      <c r="U669" s="23" t="n"/>
      <c r="V669" s="24">
        <f>IF(J669&lt;&gt;"",J669,IF(I669&lt;&gt;"",I669,""))</f>
        <v/>
      </c>
      <c r="W669" s="25">
        <f>IF($E669="","",N(O669)+SUMIFS($AF669:$IN669,$AF$4:$IN$4,"SEW_ACT"))</f>
        <v/>
      </c>
      <c r="X669" s="25">
        <f>IF($E669="","",N(P669)+SUMIFS($AF669:$IN669,$AF$4:$IN$4,"WASH_ACT"))</f>
        <v/>
      </c>
      <c r="Y669" s="25">
        <f>IF($E669="","",W669-X669-N(T669)-N(U669))</f>
        <v/>
      </c>
      <c r="Z669" s="25">
        <f>IF($E669="","",IF(N(K669)-X669&lt;=0.02*N(K669),0,N(K669)-X669))</f>
        <v/>
      </c>
      <c r="AA669" s="24">
        <f>IF($E669="","",IF(S669&lt;&gt;"",S669,IF(N(O669)&gt;0,IF(L669&lt;&gt;"",L669,99999),IFERROR(1/(1/_xlfn.MINIFS($AF$3:$IN$3,$AF$4:$IN$4,"SEW_ACT",$AF669:$IN669,"&gt;0")),99999))))</f>
        <v/>
      </c>
      <c r="AB669" s="26">
        <f>IF(OR($E669="",Z669=0,V669=""),"",1+COUNTIFS(Z$8:Z$707,"&gt;0",V$8:V$707,"&lt;"&amp;V669)+COUNTIFS(Z$8:Z$707,"&gt;0",V$8:V$707,V669,AA$8:AA$707,"&lt;"&amp;AA669)+COUNTIFS(Z$8:Z$707,"&gt;0",V$8:V$707,V669,AA$8:AA$707,AA669,E$8:E$707,"&lt;"&amp;$E669))</f>
        <v/>
      </c>
      <c r="AC669" s="24">
        <f>IF(OR($E669="",Z669=0),"",IFERROR(TODAY()+ROUNDUP(Z669/(SUMIFS($AF669:$IN669,$AF$4:$IN$4,"WASH_ACT")/COUNTIFS($AF$4:$IN$4,"WASH_ACT",$AF669:$IN669,"&gt;0")),0),"no output yet"))</f>
        <v/>
      </c>
      <c r="AD669" s="26">
        <f>IF($E669="","",IFERROR(ROUND(MAX(0,SUMIFS($AF669:$IN669,$AF$4:$IN$4,"SEW_PLAN",$AF$3:$IN$3,"&lt;="&amp;TODAY())-SUMIFS($AF669:$IN669,$AF$4:$IN$4,"SEW_ACT",$AF$3:$IN$3,"&lt;="&amp;TODAY())+N(Q669))/(SUMIFS($AF669:$IN669,$AF$4:$IN$4,"SEW_PLAN")/COUNTIFS($AF$4:$IN$4,"SEW_PLAN",$AF669:$IN669,"&gt;0")),1),0))</f>
        <v/>
      </c>
      <c r="AE669" s="26">
        <f>IF($E669="","",IF(AND(Z669&gt;0,OR(AND(M669&lt;&gt;"",TODAY()&gt;M669),AND(V669&lt;&gt;"",V669-TODAY()&lt;=7))),"Yes","No"))</f>
        <v/>
      </c>
      <c r="AH669">
        <f>IF(OR(AF$3="",AF$3&gt;TODAY()),"",IF(AND(AF669="",AG669=""),"",N(AG669)-N(AF669)))</f>
        <v/>
      </c>
      <c r="AK669">
        <f>IF(OR(AF$3="",AF$3&gt;TODAY()),"",IF(AND(AI669="",AJ669=""),"",N(AJ669)-N(AI669)))</f>
        <v/>
      </c>
      <c r="AO669">
        <f>IF(OR(AM$3="",AM$3&gt;TODAY()),"",IF(AND(AM669="",AN669=""),"",N(AN669)-N(AM669)))</f>
        <v/>
      </c>
      <c r="AR669">
        <f>IF(OR(AM$3="",AM$3&gt;TODAY()),"",IF(AND(AP669="",AQ669=""),"",N(AQ669)-N(AP669)))</f>
        <v/>
      </c>
      <c r="AV669">
        <f>IF(OR(AT$3="",AT$3&gt;TODAY()),"",IF(AND(AT669="",AU669=""),"",N(AU669)-N(AT669)))</f>
        <v/>
      </c>
      <c r="AY669">
        <f>IF(OR(AT$3="",AT$3&gt;TODAY()),"",IF(AND(AW669="",AX669=""),"",N(AX669)-N(AW669)))</f>
        <v/>
      </c>
      <c r="BC669">
        <f>IF(OR(BA$3="",BA$3&gt;TODAY()),"",IF(AND(BA669="",BB669=""),"",N(BB669)-N(BA669)))</f>
        <v/>
      </c>
      <c r="BF669">
        <f>IF(OR(BA$3="",BA$3&gt;TODAY()),"",IF(AND(BD669="",BE669=""),"",N(BE669)-N(BD669)))</f>
        <v/>
      </c>
      <c r="BJ669">
        <f>IF(OR(BH$3="",BH$3&gt;TODAY()),"",IF(AND(BH669="",BI669=""),"",N(BI669)-N(BH669)))</f>
        <v/>
      </c>
      <c r="BM669">
        <f>IF(OR(BH$3="",BH$3&gt;TODAY()),"",IF(AND(BK669="",BL669=""),"",N(BL669)-N(BK669)))</f>
        <v/>
      </c>
      <c r="BQ669">
        <f>IF(OR(BO$3="",BO$3&gt;TODAY()),"",IF(AND(BO669="",BP669=""),"",N(BP669)-N(BO669)))</f>
        <v/>
      </c>
      <c r="BT669">
        <f>IF(OR(BO$3="",BO$3&gt;TODAY()),"",IF(AND(BR669="",BS669=""),"",N(BS669)-N(BR669)))</f>
        <v/>
      </c>
      <c r="BX669">
        <f>IF(OR(BV$3="",BV$3&gt;TODAY()),"",IF(AND(BV669="",BW669=""),"",N(BW669)-N(BV669)))</f>
        <v/>
      </c>
      <c r="CA669">
        <f>IF(OR(BV$3="",BV$3&gt;TODAY()),"",IF(AND(BY669="",BZ669=""),"",N(BZ669)-N(BY669)))</f>
        <v/>
      </c>
      <c r="CE669">
        <f>IF(OR(CC$3="",CC$3&gt;TODAY()),"",IF(AND(CC669="",CD669=""),"",N(CD669)-N(CC669)))</f>
        <v/>
      </c>
      <c r="CH669">
        <f>IF(OR(CC$3="",CC$3&gt;TODAY()),"",IF(AND(CF669="",CG669=""),"",N(CG669)-N(CF669)))</f>
        <v/>
      </c>
      <c r="CL669">
        <f>IF(OR(CJ$3="",CJ$3&gt;TODAY()),"",IF(AND(CJ669="",CK669=""),"",N(CK669)-N(CJ669)))</f>
        <v/>
      </c>
      <c r="CO669">
        <f>IF(OR(CJ$3="",CJ$3&gt;TODAY()),"",IF(AND(CM669="",CN669=""),"",N(CN669)-N(CM669)))</f>
        <v/>
      </c>
      <c r="CS669">
        <f>IF(OR(CQ$3="",CQ$3&gt;TODAY()),"",IF(AND(CQ669="",CR669=""),"",N(CR669)-N(CQ669)))</f>
        <v/>
      </c>
      <c r="CV669">
        <f>IF(OR(CQ$3="",CQ$3&gt;TODAY()),"",IF(AND(CT669="",CU669=""),"",N(CU669)-N(CT669)))</f>
        <v/>
      </c>
      <c r="CZ669">
        <f>IF(OR(CX$3="",CX$3&gt;TODAY()),"",IF(AND(CX669="",CY669=""),"",N(CY669)-N(CX669)))</f>
        <v/>
      </c>
      <c r="DC669">
        <f>IF(OR(CX$3="",CX$3&gt;TODAY()),"",IF(AND(DA669="",DB669=""),"",N(DB669)-N(DA669)))</f>
        <v/>
      </c>
      <c r="DG669">
        <f>IF(OR(DE$3="",DE$3&gt;TODAY()),"",IF(AND(DE669="",DF669=""),"",N(DF669)-N(DE669)))</f>
        <v/>
      </c>
      <c r="DJ669">
        <f>IF(OR(DE$3="",DE$3&gt;TODAY()),"",IF(AND(DH669="",DI669=""),"",N(DI669)-N(DH669)))</f>
        <v/>
      </c>
      <c r="DN669">
        <f>IF(OR(DL$3="",DL$3&gt;TODAY()),"",IF(AND(DL669="",DM669=""),"",N(DM669)-N(DL669)))</f>
        <v/>
      </c>
      <c r="DQ669">
        <f>IF(OR(DL$3="",DL$3&gt;TODAY()),"",IF(AND(DO669="",DP669=""),"",N(DP669)-N(DO669)))</f>
        <v/>
      </c>
      <c r="DU669">
        <f>IF(OR(DS$3="",DS$3&gt;TODAY()),"",IF(AND(DS669="",DT669=""),"",N(DT669)-N(DS669)))</f>
        <v/>
      </c>
      <c r="DX669">
        <f>IF(OR(DS$3="",DS$3&gt;TODAY()),"",IF(AND(DV669="",DW669=""),"",N(DW669)-N(DV669)))</f>
        <v/>
      </c>
      <c r="EB669">
        <f>IF(OR(DZ$3="",DZ$3&gt;TODAY()),"",IF(AND(DZ669="",EA669=""),"",N(EA669)-N(DZ669)))</f>
        <v/>
      </c>
      <c r="EE669">
        <f>IF(OR(DZ$3="",DZ$3&gt;TODAY()),"",IF(AND(EC669="",ED669=""),"",N(ED669)-N(EC669)))</f>
        <v/>
      </c>
      <c r="EI669">
        <f>IF(OR(EG$3="",EG$3&gt;TODAY()),"",IF(AND(EG669="",EH669=""),"",N(EH669)-N(EG669)))</f>
        <v/>
      </c>
      <c r="EL669">
        <f>IF(OR(EG$3="",EG$3&gt;TODAY()),"",IF(AND(EJ669="",EK669=""),"",N(EK669)-N(EJ669)))</f>
        <v/>
      </c>
      <c r="EP669">
        <f>IF(OR(EN$3="",EN$3&gt;TODAY()),"",IF(AND(EN669="",EO669=""),"",N(EO669)-N(EN669)))</f>
        <v/>
      </c>
      <c r="ES669">
        <f>IF(OR(EN$3="",EN$3&gt;TODAY()),"",IF(AND(EQ669="",ER669=""),"",N(ER669)-N(EQ669)))</f>
        <v/>
      </c>
      <c r="EW669">
        <f>IF(OR(EU$3="",EU$3&gt;TODAY()),"",IF(AND(EU669="",EV669=""),"",N(EV669)-N(EU669)))</f>
        <v/>
      </c>
      <c r="EZ669">
        <f>IF(OR(EU$3="",EU$3&gt;TODAY()),"",IF(AND(EX669="",EY669=""),"",N(EY669)-N(EX669)))</f>
        <v/>
      </c>
      <c r="FD669">
        <f>IF(OR(FB$3="",FB$3&gt;TODAY()),"",IF(AND(FB669="",FC669=""),"",N(FC669)-N(FB669)))</f>
        <v/>
      </c>
      <c r="FG669">
        <f>IF(OR(FB$3="",FB$3&gt;TODAY()),"",IF(AND(FE669="",FF669=""),"",N(FF669)-N(FE669)))</f>
        <v/>
      </c>
      <c r="FK669">
        <f>IF(OR(FI$3="",FI$3&gt;TODAY()),"",IF(AND(FI669="",FJ669=""),"",N(FJ669)-N(FI669)))</f>
        <v/>
      </c>
      <c r="FN669">
        <f>IF(OR(FI$3="",FI$3&gt;TODAY()),"",IF(AND(FL669="",FM669=""),"",N(FM669)-N(FL669)))</f>
        <v/>
      </c>
      <c r="FR669">
        <f>IF(OR(FP$3="",FP$3&gt;TODAY()),"",IF(AND(FP669="",FQ669=""),"",N(FQ669)-N(FP669)))</f>
        <v/>
      </c>
      <c r="FU669">
        <f>IF(OR(FP$3="",FP$3&gt;TODAY()),"",IF(AND(FS669="",FT669=""),"",N(FT669)-N(FS669)))</f>
        <v/>
      </c>
      <c r="FY669">
        <f>IF(OR(FW$3="",FW$3&gt;TODAY()),"",IF(AND(FW669="",FX669=""),"",N(FX669)-N(FW669)))</f>
        <v/>
      </c>
      <c r="GB669">
        <f>IF(OR(FW$3="",FW$3&gt;TODAY()),"",IF(AND(FZ669="",GA669=""),"",N(GA669)-N(FZ669)))</f>
        <v/>
      </c>
      <c r="GF669">
        <f>IF(OR(GD$3="",GD$3&gt;TODAY()),"",IF(AND(GD669="",GE669=""),"",N(GE669)-N(GD669)))</f>
        <v/>
      </c>
      <c r="GI669">
        <f>IF(OR(GD$3="",GD$3&gt;TODAY()),"",IF(AND(GG669="",GH669=""),"",N(GH669)-N(GG669)))</f>
        <v/>
      </c>
      <c r="GM669">
        <f>IF(OR(GK$3="",GK$3&gt;TODAY()),"",IF(AND(GK669="",GL669=""),"",N(GL669)-N(GK669)))</f>
        <v/>
      </c>
      <c r="GP669">
        <f>IF(OR(GK$3="",GK$3&gt;TODAY()),"",IF(AND(GN669="",GO669=""),"",N(GO669)-N(GN669)))</f>
        <v/>
      </c>
      <c r="GT669">
        <f>IF(OR(GR$3="",GR$3&gt;TODAY()),"",IF(AND(GR669="",GS669=""),"",N(GS669)-N(GR669)))</f>
        <v/>
      </c>
      <c r="GW669">
        <f>IF(OR(GR$3="",GR$3&gt;TODAY()),"",IF(AND(GU669="",GV669=""),"",N(GV669)-N(GU669)))</f>
        <v/>
      </c>
      <c r="HA669">
        <f>IF(OR(GY$3="",GY$3&gt;TODAY()),"",IF(AND(GY669="",GZ669=""),"",N(GZ669)-N(GY669)))</f>
        <v/>
      </c>
      <c r="HD669">
        <f>IF(OR(GY$3="",GY$3&gt;TODAY()),"",IF(AND(HB669="",HC669=""),"",N(HC669)-N(HB669)))</f>
        <v/>
      </c>
      <c r="HH669">
        <f>IF(OR(HF$3="",HF$3&gt;TODAY()),"",IF(AND(HF669="",HG669=""),"",N(HG669)-N(HF669)))</f>
        <v/>
      </c>
      <c r="HK669">
        <f>IF(OR(HF$3="",HF$3&gt;TODAY()),"",IF(AND(HI669="",HJ669=""),"",N(HJ669)-N(HI669)))</f>
        <v/>
      </c>
      <c r="HO669">
        <f>IF(OR(HM$3="",HM$3&gt;TODAY()),"",IF(AND(HM669="",HN669=""),"",N(HN669)-N(HM669)))</f>
        <v/>
      </c>
      <c r="HR669">
        <f>IF(OR(HM$3="",HM$3&gt;TODAY()),"",IF(AND(HP669="",HQ669=""),"",N(HQ669)-N(HP669)))</f>
        <v/>
      </c>
      <c r="HV669">
        <f>IF(OR(HT$3="",HT$3&gt;TODAY()),"",IF(AND(HT669="",HU669=""),"",N(HU669)-N(HT669)))</f>
        <v/>
      </c>
      <c r="HY669">
        <f>IF(OR(HT$3="",HT$3&gt;TODAY()),"",IF(AND(HW669="",HX669=""),"",N(HX669)-N(HW669)))</f>
        <v/>
      </c>
      <c r="IC669">
        <f>IF(OR(IA$3="",IA$3&gt;TODAY()),"",IF(AND(IA669="",IB669=""),"",N(IB669)-N(IA669)))</f>
        <v/>
      </c>
      <c r="IF669">
        <f>IF(OR(IA$3="",IA$3&gt;TODAY()),"",IF(AND(ID669="",IE669=""),"",N(IE669)-N(ID669)))</f>
        <v/>
      </c>
      <c r="IJ669">
        <f>IF(OR(IH$3="",IH$3&gt;TODAY()),"",IF(AND(IH669="",II669=""),"",N(II669)-N(IH669)))</f>
        <v/>
      </c>
      <c r="IM669">
        <f>IF(OR(IH$3="",IH$3&gt;TODAY()),"",IF(AND(IK669="",IL669=""),"",N(IL669)-N(IK669)))</f>
        <v/>
      </c>
    </row>
    <row r="670">
      <c r="A670" s="21" t="n"/>
      <c r="B670" s="21" t="n"/>
      <c r="C670" s="21" t="n"/>
      <c r="D670" s="21" t="n"/>
      <c r="E670" s="21" t="n"/>
      <c r="F670" s="21" t="n"/>
      <c r="G670" s="21" t="n"/>
      <c r="H670" s="21" t="n"/>
      <c r="I670" s="22" t="n"/>
      <c r="J670" s="22" t="n"/>
      <c r="K670" s="23" t="n"/>
      <c r="L670" s="22" t="n"/>
      <c r="M670" s="22" t="n"/>
      <c r="N670" s="21" t="n"/>
      <c r="O670" s="23" t="n"/>
      <c r="P670" s="23" t="n"/>
      <c r="Q670" s="23" t="n"/>
      <c r="R670" s="23" t="n"/>
      <c r="S670" s="22" t="n"/>
      <c r="T670" s="23" t="n"/>
      <c r="U670" s="23" t="n"/>
      <c r="V670" s="24">
        <f>IF(J670&lt;&gt;"",J670,IF(I670&lt;&gt;"",I670,""))</f>
        <v/>
      </c>
      <c r="W670" s="25">
        <f>IF($E670="","",N(O670)+SUMIFS($AF670:$IN670,$AF$4:$IN$4,"SEW_ACT"))</f>
        <v/>
      </c>
      <c r="X670" s="25">
        <f>IF($E670="","",N(P670)+SUMIFS($AF670:$IN670,$AF$4:$IN$4,"WASH_ACT"))</f>
        <v/>
      </c>
      <c r="Y670" s="25">
        <f>IF($E670="","",W670-X670-N(T670)-N(U670))</f>
        <v/>
      </c>
      <c r="Z670" s="25">
        <f>IF($E670="","",IF(N(K670)-X670&lt;=0.02*N(K670),0,N(K670)-X670))</f>
        <v/>
      </c>
      <c r="AA670" s="24">
        <f>IF($E670="","",IF(S670&lt;&gt;"",S670,IF(N(O670)&gt;0,IF(L670&lt;&gt;"",L670,99999),IFERROR(1/(1/_xlfn.MINIFS($AF$3:$IN$3,$AF$4:$IN$4,"SEW_ACT",$AF670:$IN670,"&gt;0")),99999))))</f>
        <v/>
      </c>
      <c r="AB670" s="26">
        <f>IF(OR($E670="",Z670=0,V670=""),"",1+COUNTIFS(Z$8:Z$707,"&gt;0",V$8:V$707,"&lt;"&amp;V670)+COUNTIFS(Z$8:Z$707,"&gt;0",V$8:V$707,V670,AA$8:AA$707,"&lt;"&amp;AA670)+COUNTIFS(Z$8:Z$707,"&gt;0",V$8:V$707,V670,AA$8:AA$707,AA670,E$8:E$707,"&lt;"&amp;$E670))</f>
        <v/>
      </c>
      <c r="AC670" s="24">
        <f>IF(OR($E670="",Z670=0),"",IFERROR(TODAY()+ROUNDUP(Z670/(SUMIFS($AF670:$IN670,$AF$4:$IN$4,"WASH_ACT")/COUNTIFS($AF$4:$IN$4,"WASH_ACT",$AF670:$IN670,"&gt;0")),0),"no output yet"))</f>
        <v/>
      </c>
      <c r="AD670" s="26">
        <f>IF($E670="","",IFERROR(ROUND(MAX(0,SUMIFS($AF670:$IN670,$AF$4:$IN$4,"SEW_PLAN",$AF$3:$IN$3,"&lt;="&amp;TODAY())-SUMIFS($AF670:$IN670,$AF$4:$IN$4,"SEW_ACT",$AF$3:$IN$3,"&lt;="&amp;TODAY())+N(Q670))/(SUMIFS($AF670:$IN670,$AF$4:$IN$4,"SEW_PLAN")/COUNTIFS($AF$4:$IN$4,"SEW_PLAN",$AF670:$IN670,"&gt;0")),1),0))</f>
        <v/>
      </c>
      <c r="AE670" s="26">
        <f>IF($E670="","",IF(AND(Z670&gt;0,OR(AND(M670&lt;&gt;"",TODAY()&gt;M670),AND(V670&lt;&gt;"",V670-TODAY()&lt;=7))),"Yes","No"))</f>
        <v/>
      </c>
      <c r="AH670">
        <f>IF(OR(AF$3="",AF$3&gt;TODAY()),"",IF(AND(AF670="",AG670=""),"",N(AG670)-N(AF670)))</f>
        <v/>
      </c>
      <c r="AK670">
        <f>IF(OR(AF$3="",AF$3&gt;TODAY()),"",IF(AND(AI670="",AJ670=""),"",N(AJ670)-N(AI670)))</f>
        <v/>
      </c>
      <c r="AO670">
        <f>IF(OR(AM$3="",AM$3&gt;TODAY()),"",IF(AND(AM670="",AN670=""),"",N(AN670)-N(AM670)))</f>
        <v/>
      </c>
      <c r="AR670">
        <f>IF(OR(AM$3="",AM$3&gt;TODAY()),"",IF(AND(AP670="",AQ670=""),"",N(AQ670)-N(AP670)))</f>
        <v/>
      </c>
      <c r="AV670">
        <f>IF(OR(AT$3="",AT$3&gt;TODAY()),"",IF(AND(AT670="",AU670=""),"",N(AU670)-N(AT670)))</f>
        <v/>
      </c>
      <c r="AY670">
        <f>IF(OR(AT$3="",AT$3&gt;TODAY()),"",IF(AND(AW670="",AX670=""),"",N(AX670)-N(AW670)))</f>
        <v/>
      </c>
      <c r="BC670">
        <f>IF(OR(BA$3="",BA$3&gt;TODAY()),"",IF(AND(BA670="",BB670=""),"",N(BB670)-N(BA670)))</f>
        <v/>
      </c>
      <c r="BF670">
        <f>IF(OR(BA$3="",BA$3&gt;TODAY()),"",IF(AND(BD670="",BE670=""),"",N(BE670)-N(BD670)))</f>
        <v/>
      </c>
      <c r="BJ670">
        <f>IF(OR(BH$3="",BH$3&gt;TODAY()),"",IF(AND(BH670="",BI670=""),"",N(BI670)-N(BH670)))</f>
        <v/>
      </c>
      <c r="BM670">
        <f>IF(OR(BH$3="",BH$3&gt;TODAY()),"",IF(AND(BK670="",BL670=""),"",N(BL670)-N(BK670)))</f>
        <v/>
      </c>
      <c r="BQ670">
        <f>IF(OR(BO$3="",BO$3&gt;TODAY()),"",IF(AND(BO670="",BP670=""),"",N(BP670)-N(BO670)))</f>
        <v/>
      </c>
      <c r="BT670">
        <f>IF(OR(BO$3="",BO$3&gt;TODAY()),"",IF(AND(BR670="",BS670=""),"",N(BS670)-N(BR670)))</f>
        <v/>
      </c>
      <c r="BX670">
        <f>IF(OR(BV$3="",BV$3&gt;TODAY()),"",IF(AND(BV670="",BW670=""),"",N(BW670)-N(BV670)))</f>
        <v/>
      </c>
      <c r="CA670">
        <f>IF(OR(BV$3="",BV$3&gt;TODAY()),"",IF(AND(BY670="",BZ670=""),"",N(BZ670)-N(BY670)))</f>
        <v/>
      </c>
      <c r="CE670">
        <f>IF(OR(CC$3="",CC$3&gt;TODAY()),"",IF(AND(CC670="",CD670=""),"",N(CD670)-N(CC670)))</f>
        <v/>
      </c>
      <c r="CH670">
        <f>IF(OR(CC$3="",CC$3&gt;TODAY()),"",IF(AND(CF670="",CG670=""),"",N(CG670)-N(CF670)))</f>
        <v/>
      </c>
      <c r="CL670">
        <f>IF(OR(CJ$3="",CJ$3&gt;TODAY()),"",IF(AND(CJ670="",CK670=""),"",N(CK670)-N(CJ670)))</f>
        <v/>
      </c>
      <c r="CO670">
        <f>IF(OR(CJ$3="",CJ$3&gt;TODAY()),"",IF(AND(CM670="",CN670=""),"",N(CN670)-N(CM670)))</f>
        <v/>
      </c>
      <c r="CS670">
        <f>IF(OR(CQ$3="",CQ$3&gt;TODAY()),"",IF(AND(CQ670="",CR670=""),"",N(CR670)-N(CQ670)))</f>
        <v/>
      </c>
      <c r="CV670">
        <f>IF(OR(CQ$3="",CQ$3&gt;TODAY()),"",IF(AND(CT670="",CU670=""),"",N(CU670)-N(CT670)))</f>
        <v/>
      </c>
      <c r="CZ670">
        <f>IF(OR(CX$3="",CX$3&gt;TODAY()),"",IF(AND(CX670="",CY670=""),"",N(CY670)-N(CX670)))</f>
        <v/>
      </c>
      <c r="DC670">
        <f>IF(OR(CX$3="",CX$3&gt;TODAY()),"",IF(AND(DA670="",DB670=""),"",N(DB670)-N(DA670)))</f>
        <v/>
      </c>
      <c r="DG670">
        <f>IF(OR(DE$3="",DE$3&gt;TODAY()),"",IF(AND(DE670="",DF670=""),"",N(DF670)-N(DE670)))</f>
        <v/>
      </c>
      <c r="DJ670">
        <f>IF(OR(DE$3="",DE$3&gt;TODAY()),"",IF(AND(DH670="",DI670=""),"",N(DI670)-N(DH670)))</f>
        <v/>
      </c>
      <c r="DN670">
        <f>IF(OR(DL$3="",DL$3&gt;TODAY()),"",IF(AND(DL670="",DM670=""),"",N(DM670)-N(DL670)))</f>
        <v/>
      </c>
      <c r="DQ670">
        <f>IF(OR(DL$3="",DL$3&gt;TODAY()),"",IF(AND(DO670="",DP670=""),"",N(DP670)-N(DO670)))</f>
        <v/>
      </c>
      <c r="DU670">
        <f>IF(OR(DS$3="",DS$3&gt;TODAY()),"",IF(AND(DS670="",DT670=""),"",N(DT670)-N(DS670)))</f>
        <v/>
      </c>
      <c r="DX670">
        <f>IF(OR(DS$3="",DS$3&gt;TODAY()),"",IF(AND(DV670="",DW670=""),"",N(DW670)-N(DV670)))</f>
        <v/>
      </c>
      <c r="EB670">
        <f>IF(OR(DZ$3="",DZ$3&gt;TODAY()),"",IF(AND(DZ670="",EA670=""),"",N(EA670)-N(DZ670)))</f>
        <v/>
      </c>
      <c r="EE670">
        <f>IF(OR(DZ$3="",DZ$3&gt;TODAY()),"",IF(AND(EC670="",ED670=""),"",N(ED670)-N(EC670)))</f>
        <v/>
      </c>
      <c r="EI670">
        <f>IF(OR(EG$3="",EG$3&gt;TODAY()),"",IF(AND(EG670="",EH670=""),"",N(EH670)-N(EG670)))</f>
        <v/>
      </c>
      <c r="EL670">
        <f>IF(OR(EG$3="",EG$3&gt;TODAY()),"",IF(AND(EJ670="",EK670=""),"",N(EK670)-N(EJ670)))</f>
        <v/>
      </c>
      <c r="EP670">
        <f>IF(OR(EN$3="",EN$3&gt;TODAY()),"",IF(AND(EN670="",EO670=""),"",N(EO670)-N(EN670)))</f>
        <v/>
      </c>
      <c r="ES670">
        <f>IF(OR(EN$3="",EN$3&gt;TODAY()),"",IF(AND(EQ670="",ER670=""),"",N(ER670)-N(EQ670)))</f>
        <v/>
      </c>
      <c r="EW670">
        <f>IF(OR(EU$3="",EU$3&gt;TODAY()),"",IF(AND(EU670="",EV670=""),"",N(EV670)-N(EU670)))</f>
        <v/>
      </c>
      <c r="EZ670">
        <f>IF(OR(EU$3="",EU$3&gt;TODAY()),"",IF(AND(EX670="",EY670=""),"",N(EY670)-N(EX670)))</f>
        <v/>
      </c>
      <c r="FD670">
        <f>IF(OR(FB$3="",FB$3&gt;TODAY()),"",IF(AND(FB670="",FC670=""),"",N(FC670)-N(FB670)))</f>
        <v/>
      </c>
      <c r="FG670">
        <f>IF(OR(FB$3="",FB$3&gt;TODAY()),"",IF(AND(FE670="",FF670=""),"",N(FF670)-N(FE670)))</f>
        <v/>
      </c>
      <c r="FK670">
        <f>IF(OR(FI$3="",FI$3&gt;TODAY()),"",IF(AND(FI670="",FJ670=""),"",N(FJ670)-N(FI670)))</f>
        <v/>
      </c>
      <c r="FN670">
        <f>IF(OR(FI$3="",FI$3&gt;TODAY()),"",IF(AND(FL670="",FM670=""),"",N(FM670)-N(FL670)))</f>
        <v/>
      </c>
      <c r="FR670">
        <f>IF(OR(FP$3="",FP$3&gt;TODAY()),"",IF(AND(FP670="",FQ670=""),"",N(FQ670)-N(FP670)))</f>
        <v/>
      </c>
      <c r="FU670">
        <f>IF(OR(FP$3="",FP$3&gt;TODAY()),"",IF(AND(FS670="",FT670=""),"",N(FT670)-N(FS670)))</f>
        <v/>
      </c>
      <c r="FY670">
        <f>IF(OR(FW$3="",FW$3&gt;TODAY()),"",IF(AND(FW670="",FX670=""),"",N(FX670)-N(FW670)))</f>
        <v/>
      </c>
      <c r="GB670">
        <f>IF(OR(FW$3="",FW$3&gt;TODAY()),"",IF(AND(FZ670="",GA670=""),"",N(GA670)-N(FZ670)))</f>
        <v/>
      </c>
      <c r="GF670">
        <f>IF(OR(GD$3="",GD$3&gt;TODAY()),"",IF(AND(GD670="",GE670=""),"",N(GE670)-N(GD670)))</f>
        <v/>
      </c>
      <c r="GI670">
        <f>IF(OR(GD$3="",GD$3&gt;TODAY()),"",IF(AND(GG670="",GH670=""),"",N(GH670)-N(GG670)))</f>
        <v/>
      </c>
      <c r="GM670">
        <f>IF(OR(GK$3="",GK$3&gt;TODAY()),"",IF(AND(GK670="",GL670=""),"",N(GL670)-N(GK670)))</f>
        <v/>
      </c>
      <c r="GP670">
        <f>IF(OR(GK$3="",GK$3&gt;TODAY()),"",IF(AND(GN670="",GO670=""),"",N(GO670)-N(GN670)))</f>
        <v/>
      </c>
      <c r="GT670">
        <f>IF(OR(GR$3="",GR$3&gt;TODAY()),"",IF(AND(GR670="",GS670=""),"",N(GS670)-N(GR670)))</f>
        <v/>
      </c>
      <c r="GW670">
        <f>IF(OR(GR$3="",GR$3&gt;TODAY()),"",IF(AND(GU670="",GV670=""),"",N(GV670)-N(GU670)))</f>
        <v/>
      </c>
      <c r="HA670">
        <f>IF(OR(GY$3="",GY$3&gt;TODAY()),"",IF(AND(GY670="",GZ670=""),"",N(GZ670)-N(GY670)))</f>
        <v/>
      </c>
      <c r="HD670">
        <f>IF(OR(GY$3="",GY$3&gt;TODAY()),"",IF(AND(HB670="",HC670=""),"",N(HC670)-N(HB670)))</f>
        <v/>
      </c>
      <c r="HH670">
        <f>IF(OR(HF$3="",HF$3&gt;TODAY()),"",IF(AND(HF670="",HG670=""),"",N(HG670)-N(HF670)))</f>
        <v/>
      </c>
      <c r="HK670">
        <f>IF(OR(HF$3="",HF$3&gt;TODAY()),"",IF(AND(HI670="",HJ670=""),"",N(HJ670)-N(HI670)))</f>
        <v/>
      </c>
      <c r="HO670">
        <f>IF(OR(HM$3="",HM$3&gt;TODAY()),"",IF(AND(HM670="",HN670=""),"",N(HN670)-N(HM670)))</f>
        <v/>
      </c>
      <c r="HR670">
        <f>IF(OR(HM$3="",HM$3&gt;TODAY()),"",IF(AND(HP670="",HQ670=""),"",N(HQ670)-N(HP670)))</f>
        <v/>
      </c>
      <c r="HV670">
        <f>IF(OR(HT$3="",HT$3&gt;TODAY()),"",IF(AND(HT670="",HU670=""),"",N(HU670)-N(HT670)))</f>
        <v/>
      </c>
      <c r="HY670">
        <f>IF(OR(HT$3="",HT$3&gt;TODAY()),"",IF(AND(HW670="",HX670=""),"",N(HX670)-N(HW670)))</f>
        <v/>
      </c>
      <c r="IC670">
        <f>IF(OR(IA$3="",IA$3&gt;TODAY()),"",IF(AND(IA670="",IB670=""),"",N(IB670)-N(IA670)))</f>
        <v/>
      </c>
      <c r="IF670">
        <f>IF(OR(IA$3="",IA$3&gt;TODAY()),"",IF(AND(ID670="",IE670=""),"",N(IE670)-N(ID670)))</f>
        <v/>
      </c>
      <c r="IJ670">
        <f>IF(OR(IH$3="",IH$3&gt;TODAY()),"",IF(AND(IH670="",II670=""),"",N(II670)-N(IH670)))</f>
        <v/>
      </c>
      <c r="IM670">
        <f>IF(OR(IH$3="",IH$3&gt;TODAY()),"",IF(AND(IK670="",IL670=""),"",N(IL670)-N(IK670)))</f>
        <v/>
      </c>
    </row>
    <row r="671">
      <c r="A671" s="21" t="n"/>
      <c r="B671" s="21" t="n"/>
      <c r="C671" s="21" t="n"/>
      <c r="D671" s="21" t="n"/>
      <c r="E671" s="21" t="n"/>
      <c r="F671" s="21" t="n"/>
      <c r="G671" s="21" t="n"/>
      <c r="H671" s="21" t="n"/>
      <c r="I671" s="22" t="n"/>
      <c r="J671" s="22" t="n"/>
      <c r="K671" s="23" t="n"/>
      <c r="L671" s="22" t="n"/>
      <c r="M671" s="22" t="n"/>
      <c r="N671" s="21" t="n"/>
      <c r="O671" s="23" t="n"/>
      <c r="P671" s="23" t="n"/>
      <c r="Q671" s="23" t="n"/>
      <c r="R671" s="23" t="n"/>
      <c r="S671" s="22" t="n"/>
      <c r="T671" s="23" t="n"/>
      <c r="U671" s="23" t="n"/>
      <c r="V671" s="24">
        <f>IF(J671&lt;&gt;"",J671,IF(I671&lt;&gt;"",I671,""))</f>
        <v/>
      </c>
      <c r="W671" s="25">
        <f>IF($E671="","",N(O671)+SUMIFS($AF671:$IN671,$AF$4:$IN$4,"SEW_ACT"))</f>
        <v/>
      </c>
      <c r="X671" s="25">
        <f>IF($E671="","",N(P671)+SUMIFS($AF671:$IN671,$AF$4:$IN$4,"WASH_ACT"))</f>
        <v/>
      </c>
      <c r="Y671" s="25">
        <f>IF($E671="","",W671-X671-N(T671)-N(U671))</f>
        <v/>
      </c>
      <c r="Z671" s="25">
        <f>IF($E671="","",IF(N(K671)-X671&lt;=0.02*N(K671),0,N(K671)-X671))</f>
        <v/>
      </c>
      <c r="AA671" s="24">
        <f>IF($E671="","",IF(S671&lt;&gt;"",S671,IF(N(O671)&gt;0,IF(L671&lt;&gt;"",L671,99999),IFERROR(1/(1/_xlfn.MINIFS($AF$3:$IN$3,$AF$4:$IN$4,"SEW_ACT",$AF671:$IN671,"&gt;0")),99999))))</f>
        <v/>
      </c>
      <c r="AB671" s="26">
        <f>IF(OR($E671="",Z671=0,V671=""),"",1+COUNTIFS(Z$8:Z$707,"&gt;0",V$8:V$707,"&lt;"&amp;V671)+COUNTIFS(Z$8:Z$707,"&gt;0",V$8:V$707,V671,AA$8:AA$707,"&lt;"&amp;AA671)+COUNTIFS(Z$8:Z$707,"&gt;0",V$8:V$707,V671,AA$8:AA$707,AA671,E$8:E$707,"&lt;"&amp;$E671))</f>
        <v/>
      </c>
      <c r="AC671" s="24">
        <f>IF(OR($E671="",Z671=0),"",IFERROR(TODAY()+ROUNDUP(Z671/(SUMIFS($AF671:$IN671,$AF$4:$IN$4,"WASH_ACT")/COUNTIFS($AF$4:$IN$4,"WASH_ACT",$AF671:$IN671,"&gt;0")),0),"no output yet"))</f>
        <v/>
      </c>
      <c r="AD671" s="26">
        <f>IF($E671="","",IFERROR(ROUND(MAX(0,SUMIFS($AF671:$IN671,$AF$4:$IN$4,"SEW_PLAN",$AF$3:$IN$3,"&lt;="&amp;TODAY())-SUMIFS($AF671:$IN671,$AF$4:$IN$4,"SEW_ACT",$AF$3:$IN$3,"&lt;="&amp;TODAY())+N(Q671))/(SUMIFS($AF671:$IN671,$AF$4:$IN$4,"SEW_PLAN")/COUNTIFS($AF$4:$IN$4,"SEW_PLAN",$AF671:$IN671,"&gt;0")),1),0))</f>
        <v/>
      </c>
      <c r="AE671" s="26">
        <f>IF($E671="","",IF(AND(Z671&gt;0,OR(AND(M671&lt;&gt;"",TODAY()&gt;M671),AND(V671&lt;&gt;"",V671-TODAY()&lt;=7))),"Yes","No"))</f>
        <v/>
      </c>
      <c r="AH671">
        <f>IF(OR(AF$3="",AF$3&gt;TODAY()),"",IF(AND(AF671="",AG671=""),"",N(AG671)-N(AF671)))</f>
        <v/>
      </c>
      <c r="AK671">
        <f>IF(OR(AF$3="",AF$3&gt;TODAY()),"",IF(AND(AI671="",AJ671=""),"",N(AJ671)-N(AI671)))</f>
        <v/>
      </c>
      <c r="AO671">
        <f>IF(OR(AM$3="",AM$3&gt;TODAY()),"",IF(AND(AM671="",AN671=""),"",N(AN671)-N(AM671)))</f>
        <v/>
      </c>
      <c r="AR671">
        <f>IF(OR(AM$3="",AM$3&gt;TODAY()),"",IF(AND(AP671="",AQ671=""),"",N(AQ671)-N(AP671)))</f>
        <v/>
      </c>
      <c r="AV671">
        <f>IF(OR(AT$3="",AT$3&gt;TODAY()),"",IF(AND(AT671="",AU671=""),"",N(AU671)-N(AT671)))</f>
        <v/>
      </c>
      <c r="AY671">
        <f>IF(OR(AT$3="",AT$3&gt;TODAY()),"",IF(AND(AW671="",AX671=""),"",N(AX671)-N(AW671)))</f>
        <v/>
      </c>
      <c r="BC671">
        <f>IF(OR(BA$3="",BA$3&gt;TODAY()),"",IF(AND(BA671="",BB671=""),"",N(BB671)-N(BA671)))</f>
        <v/>
      </c>
      <c r="BF671">
        <f>IF(OR(BA$3="",BA$3&gt;TODAY()),"",IF(AND(BD671="",BE671=""),"",N(BE671)-N(BD671)))</f>
        <v/>
      </c>
      <c r="BJ671">
        <f>IF(OR(BH$3="",BH$3&gt;TODAY()),"",IF(AND(BH671="",BI671=""),"",N(BI671)-N(BH671)))</f>
        <v/>
      </c>
      <c r="BM671">
        <f>IF(OR(BH$3="",BH$3&gt;TODAY()),"",IF(AND(BK671="",BL671=""),"",N(BL671)-N(BK671)))</f>
        <v/>
      </c>
      <c r="BQ671">
        <f>IF(OR(BO$3="",BO$3&gt;TODAY()),"",IF(AND(BO671="",BP671=""),"",N(BP671)-N(BO671)))</f>
        <v/>
      </c>
      <c r="BT671">
        <f>IF(OR(BO$3="",BO$3&gt;TODAY()),"",IF(AND(BR671="",BS671=""),"",N(BS671)-N(BR671)))</f>
        <v/>
      </c>
      <c r="BX671">
        <f>IF(OR(BV$3="",BV$3&gt;TODAY()),"",IF(AND(BV671="",BW671=""),"",N(BW671)-N(BV671)))</f>
        <v/>
      </c>
      <c r="CA671">
        <f>IF(OR(BV$3="",BV$3&gt;TODAY()),"",IF(AND(BY671="",BZ671=""),"",N(BZ671)-N(BY671)))</f>
        <v/>
      </c>
      <c r="CE671">
        <f>IF(OR(CC$3="",CC$3&gt;TODAY()),"",IF(AND(CC671="",CD671=""),"",N(CD671)-N(CC671)))</f>
        <v/>
      </c>
      <c r="CH671">
        <f>IF(OR(CC$3="",CC$3&gt;TODAY()),"",IF(AND(CF671="",CG671=""),"",N(CG671)-N(CF671)))</f>
        <v/>
      </c>
      <c r="CL671">
        <f>IF(OR(CJ$3="",CJ$3&gt;TODAY()),"",IF(AND(CJ671="",CK671=""),"",N(CK671)-N(CJ671)))</f>
        <v/>
      </c>
      <c r="CO671">
        <f>IF(OR(CJ$3="",CJ$3&gt;TODAY()),"",IF(AND(CM671="",CN671=""),"",N(CN671)-N(CM671)))</f>
        <v/>
      </c>
      <c r="CS671">
        <f>IF(OR(CQ$3="",CQ$3&gt;TODAY()),"",IF(AND(CQ671="",CR671=""),"",N(CR671)-N(CQ671)))</f>
        <v/>
      </c>
      <c r="CV671">
        <f>IF(OR(CQ$3="",CQ$3&gt;TODAY()),"",IF(AND(CT671="",CU671=""),"",N(CU671)-N(CT671)))</f>
        <v/>
      </c>
      <c r="CZ671">
        <f>IF(OR(CX$3="",CX$3&gt;TODAY()),"",IF(AND(CX671="",CY671=""),"",N(CY671)-N(CX671)))</f>
        <v/>
      </c>
      <c r="DC671">
        <f>IF(OR(CX$3="",CX$3&gt;TODAY()),"",IF(AND(DA671="",DB671=""),"",N(DB671)-N(DA671)))</f>
        <v/>
      </c>
      <c r="DG671">
        <f>IF(OR(DE$3="",DE$3&gt;TODAY()),"",IF(AND(DE671="",DF671=""),"",N(DF671)-N(DE671)))</f>
        <v/>
      </c>
      <c r="DJ671">
        <f>IF(OR(DE$3="",DE$3&gt;TODAY()),"",IF(AND(DH671="",DI671=""),"",N(DI671)-N(DH671)))</f>
        <v/>
      </c>
      <c r="DN671">
        <f>IF(OR(DL$3="",DL$3&gt;TODAY()),"",IF(AND(DL671="",DM671=""),"",N(DM671)-N(DL671)))</f>
        <v/>
      </c>
      <c r="DQ671">
        <f>IF(OR(DL$3="",DL$3&gt;TODAY()),"",IF(AND(DO671="",DP671=""),"",N(DP671)-N(DO671)))</f>
        <v/>
      </c>
      <c r="DU671">
        <f>IF(OR(DS$3="",DS$3&gt;TODAY()),"",IF(AND(DS671="",DT671=""),"",N(DT671)-N(DS671)))</f>
        <v/>
      </c>
      <c r="DX671">
        <f>IF(OR(DS$3="",DS$3&gt;TODAY()),"",IF(AND(DV671="",DW671=""),"",N(DW671)-N(DV671)))</f>
        <v/>
      </c>
      <c r="EB671">
        <f>IF(OR(DZ$3="",DZ$3&gt;TODAY()),"",IF(AND(DZ671="",EA671=""),"",N(EA671)-N(DZ671)))</f>
        <v/>
      </c>
      <c r="EE671">
        <f>IF(OR(DZ$3="",DZ$3&gt;TODAY()),"",IF(AND(EC671="",ED671=""),"",N(ED671)-N(EC671)))</f>
        <v/>
      </c>
      <c r="EI671">
        <f>IF(OR(EG$3="",EG$3&gt;TODAY()),"",IF(AND(EG671="",EH671=""),"",N(EH671)-N(EG671)))</f>
        <v/>
      </c>
      <c r="EL671">
        <f>IF(OR(EG$3="",EG$3&gt;TODAY()),"",IF(AND(EJ671="",EK671=""),"",N(EK671)-N(EJ671)))</f>
        <v/>
      </c>
      <c r="EP671">
        <f>IF(OR(EN$3="",EN$3&gt;TODAY()),"",IF(AND(EN671="",EO671=""),"",N(EO671)-N(EN671)))</f>
        <v/>
      </c>
      <c r="ES671">
        <f>IF(OR(EN$3="",EN$3&gt;TODAY()),"",IF(AND(EQ671="",ER671=""),"",N(ER671)-N(EQ671)))</f>
        <v/>
      </c>
      <c r="EW671">
        <f>IF(OR(EU$3="",EU$3&gt;TODAY()),"",IF(AND(EU671="",EV671=""),"",N(EV671)-N(EU671)))</f>
        <v/>
      </c>
      <c r="EZ671">
        <f>IF(OR(EU$3="",EU$3&gt;TODAY()),"",IF(AND(EX671="",EY671=""),"",N(EY671)-N(EX671)))</f>
        <v/>
      </c>
      <c r="FD671">
        <f>IF(OR(FB$3="",FB$3&gt;TODAY()),"",IF(AND(FB671="",FC671=""),"",N(FC671)-N(FB671)))</f>
        <v/>
      </c>
      <c r="FG671">
        <f>IF(OR(FB$3="",FB$3&gt;TODAY()),"",IF(AND(FE671="",FF671=""),"",N(FF671)-N(FE671)))</f>
        <v/>
      </c>
      <c r="FK671">
        <f>IF(OR(FI$3="",FI$3&gt;TODAY()),"",IF(AND(FI671="",FJ671=""),"",N(FJ671)-N(FI671)))</f>
        <v/>
      </c>
      <c r="FN671">
        <f>IF(OR(FI$3="",FI$3&gt;TODAY()),"",IF(AND(FL671="",FM671=""),"",N(FM671)-N(FL671)))</f>
        <v/>
      </c>
      <c r="FR671">
        <f>IF(OR(FP$3="",FP$3&gt;TODAY()),"",IF(AND(FP671="",FQ671=""),"",N(FQ671)-N(FP671)))</f>
        <v/>
      </c>
      <c r="FU671">
        <f>IF(OR(FP$3="",FP$3&gt;TODAY()),"",IF(AND(FS671="",FT671=""),"",N(FT671)-N(FS671)))</f>
        <v/>
      </c>
      <c r="FY671">
        <f>IF(OR(FW$3="",FW$3&gt;TODAY()),"",IF(AND(FW671="",FX671=""),"",N(FX671)-N(FW671)))</f>
        <v/>
      </c>
      <c r="GB671">
        <f>IF(OR(FW$3="",FW$3&gt;TODAY()),"",IF(AND(FZ671="",GA671=""),"",N(GA671)-N(FZ671)))</f>
        <v/>
      </c>
      <c r="GF671">
        <f>IF(OR(GD$3="",GD$3&gt;TODAY()),"",IF(AND(GD671="",GE671=""),"",N(GE671)-N(GD671)))</f>
        <v/>
      </c>
      <c r="GI671">
        <f>IF(OR(GD$3="",GD$3&gt;TODAY()),"",IF(AND(GG671="",GH671=""),"",N(GH671)-N(GG671)))</f>
        <v/>
      </c>
      <c r="GM671">
        <f>IF(OR(GK$3="",GK$3&gt;TODAY()),"",IF(AND(GK671="",GL671=""),"",N(GL671)-N(GK671)))</f>
        <v/>
      </c>
      <c r="GP671">
        <f>IF(OR(GK$3="",GK$3&gt;TODAY()),"",IF(AND(GN671="",GO671=""),"",N(GO671)-N(GN671)))</f>
        <v/>
      </c>
      <c r="GT671">
        <f>IF(OR(GR$3="",GR$3&gt;TODAY()),"",IF(AND(GR671="",GS671=""),"",N(GS671)-N(GR671)))</f>
        <v/>
      </c>
      <c r="GW671">
        <f>IF(OR(GR$3="",GR$3&gt;TODAY()),"",IF(AND(GU671="",GV671=""),"",N(GV671)-N(GU671)))</f>
        <v/>
      </c>
      <c r="HA671">
        <f>IF(OR(GY$3="",GY$3&gt;TODAY()),"",IF(AND(GY671="",GZ671=""),"",N(GZ671)-N(GY671)))</f>
        <v/>
      </c>
      <c r="HD671">
        <f>IF(OR(GY$3="",GY$3&gt;TODAY()),"",IF(AND(HB671="",HC671=""),"",N(HC671)-N(HB671)))</f>
        <v/>
      </c>
      <c r="HH671">
        <f>IF(OR(HF$3="",HF$3&gt;TODAY()),"",IF(AND(HF671="",HG671=""),"",N(HG671)-N(HF671)))</f>
        <v/>
      </c>
      <c r="HK671">
        <f>IF(OR(HF$3="",HF$3&gt;TODAY()),"",IF(AND(HI671="",HJ671=""),"",N(HJ671)-N(HI671)))</f>
        <v/>
      </c>
      <c r="HO671">
        <f>IF(OR(HM$3="",HM$3&gt;TODAY()),"",IF(AND(HM671="",HN671=""),"",N(HN671)-N(HM671)))</f>
        <v/>
      </c>
      <c r="HR671">
        <f>IF(OR(HM$3="",HM$3&gt;TODAY()),"",IF(AND(HP671="",HQ671=""),"",N(HQ671)-N(HP671)))</f>
        <v/>
      </c>
      <c r="HV671">
        <f>IF(OR(HT$3="",HT$3&gt;TODAY()),"",IF(AND(HT671="",HU671=""),"",N(HU671)-N(HT671)))</f>
        <v/>
      </c>
      <c r="HY671">
        <f>IF(OR(HT$3="",HT$3&gt;TODAY()),"",IF(AND(HW671="",HX671=""),"",N(HX671)-N(HW671)))</f>
        <v/>
      </c>
      <c r="IC671">
        <f>IF(OR(IA$3="",IA$3&gt;TODAY()),"",IF(AND(IA671="",IB671=""),"",N(IB671)-N(IA671)))</f>
        <v/>
      </c>
      <c r="IF671">
        <f>IF(OR(IA$3="",IA$3&gt;TODAY()),"",IF(AND(ID671="",IE671=""),"",N(IE671)-N(ID671)))</f>
        <v/>
      </c>
      <c r="IJ671">
        <f>IF(OR(IH$3="",IH$3&gt;TODAY()),"",IF(AND(IH671="",II671=""),"",N(II671)-N(IH671)))</f>
        <v/>
      </c>
      <c r="IM671">
        <f>IF(OR(IH$3="",IH$3&gt;TODAY()),"",IF(AND(IK671="",IL671=""),"",N(IL671)-N(IK671)))</f>
        <v/>
      </c>
    </row>
    <row r="672">
      <c r="A672" s="21" t="n"/>
      <c r="B672" s="21" t="n"/>
      <c r="C672" s="21" t="n"/>
      <c r="D672" s="21" t="n"/>
      <c r="E672" s="21" t="n"/>
      <c r="F672" s="21" t="n"/>
      <c r="G672" s="21" t="n"/>
      <c r="H672" s="21" t="n"/>
      <c r="I672" s="22" t="n"/>
      <c r="J672" s="22" t="n"/>
      <c r="K672" s="23" t="n"/>
      <c r="L672" s="22" t="n"/>
      <c r="M672" s="22" t="n"/>
      <c r="N672" s="21" t="n"/>
      <c r="O672" s="23" t="n"/>
      <c r="P672" s="23" t="n"/>
      <c r="Q672" s="23" t="n"/>
      <c r="R672" s="23" t="n"/>
      <c r="S672" s="22" t="n"/>
      <c r="T672" s="23" t="n"/>
      <c r="U672" s="23" t="n"/>
      <c r="V672" s="24">
        <f>IF(J672&lt;&gt;"",J672,IF(I672&lt;&gt;"",I672,""))</f>
        <v/>
      </c>
      <c r="W672" s="25">
        <f>IF($E672="","",N(O672)+SUMIFS($AF672:$IN672,$AF$4:$IN$4,"SEW_ACT"))</f>
        <v/>
      </c>
      <c r="X672" s="25">
        <f>IF($E672="","",N(P672)+SUMIFS($AF672:$IN672,$AF$4:$IN$4,"WASH_ACT"))</f>
        <v/>
      </c>
      <c r="Y672" s="25">
        <f>IF($E672="","",W672-X672-N(T672)-N(U672))</f>
        <v/>
      </c>
      <c r="Z672" s="25">
        <f>IF($E672="","",IF(N(K672)-X672&lt;=0.02*N(K672),0,N(K672)-X672))</f>
        <v/>
      </c>
      <c r="AA672" s="24">
        <f>IF($E672="","",IF(S672&lt;&gt;"",S672,IF(N(O672)&gt;0,IF(L672&lt;&gt;"",L672,99999),IFERROR(1/(1/_xlfn.MINIFS($AF$3:$IN$3,$AF$4:$IN$4,"SEW_ACT",$AF672:$IN672,"&gt;0")),99999))))</f>
        <v/>
      </c>
      <c r="AB672" s="26">
        <f>IF(OR($E672="",Z672=0,V672=""),"",1+COUNTIFS(Z$8:Z$707,"&gt;0",V$8:V$707,"&lt;"&amp;V672)+COUNTIFS(Z$8:Z$707,"&gt;0",V$8:V$707,V672,AA$8:AA$707,"&lt;"&amp;AA672)+COUNTIFS(Z$8:Z$707,"&gt;0",V$8:V$707,V672,AA$8:AA$707,AA672,E$8:E$707,"&lt;"&amp;$E672))</f>
        <v/>
      </c>
      <c r="AC672" s="24">
        <f>IF(OR($E672="",Z672=0),"",IFERROR(TODAY()+ROUNDUP(Z672/(SUMIFS($AF672:$IN672,$AF$4:$IN$4,"WASH_ACT")/COUNTIFS($AF$4:$IN$4,"WASH_ACT",$AF672:$IN672,"&gt;0")),0),"no output yet"))</f>
        <v/>
      </c>
      <c r="AD672" s="26">
        <f>IF($E672="","",IFERROR(ROUND(MAX(0,SUMIFS($AF672:$IN672,$AF$4:$IN$4,"SEW_PLAN",$AF$3:$IN$3,"&lt;="&amp;TODAY())-SUMIFS($AF672:$IN672,$AF$4:$IN$4,"SEW_ACT",$AF$3:$IN$3,"&lt;="&amp;TODAY())+N(Q672))/(SUMIFS($AF672:$IN672,$AF$4:$IN$4,"SEW_PLAN")/COUNTIFS($AF$4:$IN$4,"SEW_PLAN",$AF672:$IN672,"&gt;0")),1),0))</f>
        <v/>
      </c>
      <c r="AE672" s="26">
        <f>IF($E672="","",IF(AND(Z672&gt;0,OR(AND(M672&lt;&gt;"",TODAY()&gt;M672),AND(V672&lt;&gt;"",V672-TODAY()&lt;=7))),"Yes","No"))</f>
        <v/>
      </c>
      <c r="AH672">
        <f>IF(OR(AF$3="",AF$3&gt;TODAY()),"",IF(AND(AF672="",AG672=""),"",N(AG672)-N(AF672)))</f>
        <v/>
      </c>
      <c r="AK672">
        <f>IF(OR(AF$3="",AF$3&gt;TODAY()),"",IF(AND(AI672="",AJ672=""),"",N(AJ672)-N(AI672)))</f>
        <v/>
      </c>
      <c r="AO672">
        <f>IF(OR(AM$3="",AM$3&gt;TODAY()),"",IF(AND(AM672="",AN672=""),"",N(AN672)-N(AM672)))</f>
        <v/>
      </c>
      <c r="AR672">
        <f>IF(OR(AM$3="",AM$3&gt;TODAY()),"",IF(AND(AP672="",AQ672=""),"",N(AQ672)-N(AP672)))</f>
        <v/>
      </c>
      <c r="AV672">
        <f>IF(OR(AT$3="",AT$3&gt;TODAY()),"",IF(AND(AT672="",AU672=""),"",N(AU672)-N(AT672)))</f>
        <v/>
      </c>
      <c r="AY672">
        <f>IF(OR(AT$3="",AT$3&gt;TODAY()),"",IF(AND(AW672="",AX672=""),"",N(AX672)-N(AW672)))</f>
        <v/>
      </c>
      <c r="BC672">
        <f>IF(OR(BA$3="",BA$3&gt;TODAY()),"",IF(AND(BA672="",BB672=""),"",N(BB672)-N(BA672)))</f>
        <v/>
      </c>
      <c r="BF672">
        <f>IF(OR(BA$3="",BA$3&gt;TODAY()),"",IF(AND(BD672="",BE672=""),"",N(BE672)-N(BD672)))</f>
        <v/>
      </c>
      <c r="BJ672">
        <f>IF(OR(BH$3="",BH$3&gt;TODAY()),"",IF(AND(BH672="",BI672=""),"",N(BI672)-N(BH672)))</f>
        <v/>
      </c>
      <c r="BM672">
        <f>IF(OR(BH$3="",BH$3&gt;TODAY()),"",IF(AND(BK672="",BL672=""),"",N(BL672)-N(BK672)))</f>
        <v/>
      </c>
      <c r="BQ672">
        <f>IF(OR(BO$3="",BO$3&gt;TODAY()),"",IF(AND(BO672="",BP672=""),"",N(BP672)-N(BO672)))</f>
        <v/>
      </c>
      <c r="BT672">
        <f>IF(OR(BO$3="",BO$3&gt;TODAY()),"",IF(AND(BR672="",BS672=""),"",N(BS672)-N(BR672)))</f>
        <v/>
      </c>
      <c r="BX672">
        <f>IF(OR(BV$3="",BV$3&gt;TODAY()),"",IF(AND(BV672="",BW672=""),"",N(BW672)-N(BV672)))</f>
        <v/>
      </c>
      <c r="CA672">
        <f>IF(OR(BV$3="",BV$3&gt;TODAY()),"",IF(AND(BY672="",BZ672=""),"",N(BZ672)-N(BY672)))</f>
        <v/>
      </c>
      <c r="CE672">
        <f>IF(OR(CC$3="",CC$3&gt;TODAY()),"",IF(AND(CC672="",CD672=""),"",N(CD672)-N(CC672)))</f>
        <v/>
      </c>
      <c r="CH672">
        <f>IF(OR(CC$3="",CC$3&gt;TODAY()),"",IF(AND(CF672="",CG672=""),"",N(CG672)-N(CF672)))</f>
        <v/>
      </c>
      <c r="CL672">
        <f>IF(OR(CJ$3="",CJ$3&gt;TODAY()),"",IF(AND(CJ672="",CK672=""),"",N(CK672)-N(CJ672)))</f>
        <v/>
      </c>
      <c r="CO672">
        <f>IF(OR(CJ$3="",CJ$3&gt;TODAY()),"",IF(AND(CM672="",CN672=""),"",N(CN672)-N(CM672)))</f>
        <v/>
      </c>
      <c r="CS672">
        <f>IF(OR(CQ$3="",CQ$3&gt;TODAY()),"",IF(AND(CQ672="",CR672=""),"",N(CR672)-N(CQ672)))</f>
        <v/>
      </c>
      <c r="CV672">
        <f>IF(OR(CQ$3="",CQ$3&gt;TODAY()),"",IF(AND(CT672="",CU672=""),"",N(CU672)-N(CT672)))</f>
        <v/>
      </c>
      <c r="CZ672">
        <f>IF(OR(CX$3="",CX$3&gt;TODAY()),"",IF(AND(CX672="",CY672=""),"",N(CY672)-N(CX672)))</f>
        <v/>
      </c>
      <c r="DC672">
        <f>IF(OR(CX$3="",CX$3&gt;TODAY()),"",IF(AND(DA672="",DB672=""),"",N(DB672)-N(DA672)))</f>
        <v/>
      </c>
      <c r="DG672">
        <f>IF(OR(DE$3="",DE$3&gt;TODAY()),"",IF(AND(DE672="",DF672=""),"",N(DF672)-N(DE672)))</f>
        <v/>
      </c>
      <c r="DJ672">
        <f>IF(OR(DE$3="",DE$3&gt;TODAY()),"",IF(AND(DH672="",DI672=""),"",N(DI672)-N(DH672)))</f>
        <v/>
      </c>
      <c r="DN672">
        <f>IF(OR(DL$3="",DL$3&gt;TODAY()),"",IF(AND(DL672="",DM672=""),"",N(DM672)-N(DL672)))</f>
        <v/>
      </c>
      <c r="DQ672">
        <f>IF(OR(DL$3="",DL$3&gt;TODAY()),"",IF(AND(DO672="",DP672=""),"",N(DP672)-N(DO672)))</f>
        <v/>
      </c>
      <c r="DU672">
        <f>IF(OR(DS$3="",DS$3&gt;TODAY()),"",IF(AND(DS672="",DT672=""),"",N(DT672)-N(DS672)))</f>
        <v/>
      </c>
      <c r="DX672">
        <f>IF(OR(DS$3="",DS$3&gt;TODAY()),"",IF(AND(DV672="",DW672=""),"",N(DW672)-N(DV672)))</f>
        <v/>
      </c>
      <c r="EB672">
        <f>IF(OR(DZ$3="",DZ$3&gt;TODAY()),"",IF(AND(DZ672="",EA672=""),"",N(EA672)-N(DZ672)))</f>
        <v/>
      </c>
      <c r="EE672">
        <f>IF(OR(DZ$3="",DZ$3&gt;TODAY()),"",IF(AND(EC672="",ED672=""),"",N(ED672)-N(EC672)))</f>
        <v/>
      </c>
      <c r="EI672">
        <f>IF(OR(EG$3="",EG$3&gt;TODAY()),"",IF(AND(EG672="",EH672=""),"",N(EH672)-N(EG672)))</f>
        <v/>
      </c>
      <c r="EL672">
        <f>IF(OR(EG$3="",EG$3&gt;TODAY()),"",IF(AND(EJ672="",EK672=""),"",N(EK672)-N(EJ672)))</f>
        <v/>
      </c>
      <c r="EP672">
        <f>IF(OR(EN$3="",EN$3&gt;TODAY()),"",IF(AND(EN672="",EO672=""),"",N(EO672)-N(EN672)))</f>
        <v/>
      </c>
      <c r="ES672">
        <f>IF(OR(EN$3="",EN$3&gt;TODAY()),"",IF(AND(EQ672="",ER672=""),"",N(ER672)-N(EQ672)))</f>
        <v/>
      </c>
      <c r="EW672">
        <f>IF(OR(EU$3="",EU$3&gt;TODAY()),"",IF(AND(EU672="",EV672=""),"",N(EV672)-N(EU672)))</f>
        <v/>
      </c>
      <c r="EZ672">
        <f>IF(OR(EU$3="",EU$3&gt;TODAY()),"",IF(AND(EX672="",EY672=""),"",N(EY672)-N(EX672)))</f>
        <v/>
      </c>
      <c r="FD672">
        <f>IF(OR(FB$3="",FB$3&gt;TODAY()),"",IF(AND(FB672="",FC672=""),"",N(FC672)-N(FB672)))</f>
        <v/>
      </c>
      <c r="FG672">
        <f>IF(OR(FB$3="",FB$3&gt;TODAY()),"",IF(AND(FE672="",FF672=""),"",N(FF672)-N(FE672)))</f>
        <v/>
      </c>
      <c r="FK672">
        <f>IF(OR(FI$3="",FI$3&gt;TODAY()),"",IF(AND(FI672="",FJ672=""),"",N(FJ672)-N(FI672)))</f>
        <v/>
      </c>
      <c r="FN672">
        <f>IF(OR(FI$3="",FI$3&gt;TODAY()),"",IF(AND(FL672="",FM672=""),"",N(FM672)-N(FL672)))</f>
        <v/>
      </c>
      <c r="FR672">
        <f>IF(OR(FP$3="",FP$3&gt;TODAY()),"",IF(AND(FP672="",FQ672=""),"",N(FQ672)-N(FP672)))</f>
        <v/>
      </c>
      <c r="FU672">
        <f>IF(OR(FP$3="",FP$3&gt;TODAY()),"",IF(AND(FS672="",FT672=""),"",N(FT672)-N(FS672)))</f>
        <v/>
      </c>
      <c r="FY672">
        <f>IF(OR(FW$3="",FW$3&gt;TODAY()),"",IF(AND(FW672="",FX672=""),"",N(FX672)-N(FW672)))</f>
        <v/>
      </c>
      <c r="GB672">
        <f>IF(OR(FW$3="",FW$3&gt;TODAY()),"",IF(AND(FZ672="",GA672=""),"",N(GA672)-N(FZ672)))</f>
        <v/>
      </c>
      <c r="GF672">
        <f>IF(OR(GD$3="",GD$3&gt;TODAY()),"",IF(AND(GD672="",GE672=""),"",N(GE672)-N(GD672)))</f>
        <v/>
      </c>
      <c r="GI672">
        <f>IF(OR(GD$3="",GD$3&gt;TODAY()),"",IF(AND(GG672="",GH672=""),"",N(GH672)-N(GG672)))</f>
        <v/>
      </c>
      <c r="GM672">
        <f>IF(OR(GK$3="",GK$3&gt;TODAY()),"",IF(AND(GK672="",GL672=""),"",N(GL672)-N(GK672)))</f>
        <v/>
      </c>
      <c r="GP672">
        <f>IF(OR(GK$3="",GK$3&gt;TODAY()),"",IF(AND(GN672="",GO672=""),"",N(GO672)-N(GN672)))</f>
        <v/>
      </c>
      <c r="GT672">
        <f>IF(OR(GR$3="",GR$3&gt;TODAY()),"",IF(AND(GR672="",GS672=""),"",N(GS672)-N(GR672)))</f>
        <v/>
      </c>
      <c r="GW672">
        <f>IF(OR(GR$3="",GR$3&gt;TODAY()),"",IF(AND(GU672="",GV672=""),"",N(GV672)-N(GU672)))</f>
        <v/>
      </c>
      <c r="HA672">
        <f>IF(OR(GY$3="",GY$3&gt;TODAY()),"",IF(AND(GY672="",GZ672=""),"",N(GZ672)-N(GY672)))</f>
        <v/>
      </c>
      <c r="HD672">
        <f>IF(OR(GY$3="",GY$3&gt;TODAY()),"",IF(AND(HB672="",HC672=""),"",N(HC672)-N(HB672)))</f>
        <v/>
      </c>
      <c r="HH672">
        <f>IF(OR(HF$3="",HF$3&gt;TODAY()),"",IF(AND(HF672="",HG672=""),"",N(HG672)-N(HF672)))</f>
        <v/>
      </c>
      <c r="HK672">
        <f>IF(OR(HF$3="",HF$3&gt;TODAY()),"",IF(AND(HI672="",HJ672=""),"",N(HJ672)-N(HI672)))</f>
        <v/>
      </c>
      <c r="HO672">
        <f>IF(OR(HM$3="",HM$3&gt;TODAY()),"",IF(AND(HM672="",HN672=""),"",N(HN672)-N(HM672)))</f>
        <v/>
      </c>
      <c r="HR672">
        <f>IF(OR(HM$3="",HM$3&gt;TODAY()),"",IF(AND(HP672="",HQ672=""),"",N(HQ672)-N(HP672)))</f>
        <v/>
      </c>
      <c r="HV672">
        <f>IF(OR(HT$3="",HT$3&gt;TODAY()),"",IF(AND(HT672="",HU672=""),"",N(HU672)-N(HT672)))</f>
        <v/>
      </c>
      <c r="HY672">
        <f>IF(OR(HT$3="",HT$3&gt;TODAY()),"",IF(AND(HW672="",HX672=""),"",N(HX672)-N(HW672)))</f>
        <v/>
      </c>
      <c r="IC672">
        <f>IF(OR(IA$3="",IA$3&gt;TODAY()),"",IF(AND(IA672="",IB672=""),"",N(IB672)-N(IA672)))</f>
        <v/>
      </c>
      <c r="IF672">
        <f>IF(OR(IA$3="",IA$3&gt;TODAY()),"",IF(AND(ID672="",IE672=""),"",N(IE672)-N(ID672)))</f>
        <v/>
      </c>
      <c r="IJ672">
        <f>IF(OR(IH$3="",IH$3&gt;TODAY()),"",IF(AND(IH672="",II672=""),"",N(II672)-N(IH672)))</f>
        <v/>
      </c>
      <c r="IM672">
        <f>IF(OR(IH$3="",IH$3&gt;TODAY()),"",IF(AND(IK672="",IL672=""),"",N(IL672)-N(IK672)))</f>
        <v/>
      </c>
    </row>
    <row r="673">
      <c r="A673" s="21" t="n"/>
      <c r="B673" s="21" t="n"/>
      <c r="C673" s="21" t="n"/>
      <c r="D673" s="21" t="n"/>
      <c r="E673" s="21" t="n"/>
      <c r="F673" s="21" t="n"/>
      <c r="G673" s="21" t="n"/>
      <c r="H673" s="21" t="n"/>
      <c r="I673" s="22" t="n"/>
      <c r="J673" s="22" t="n"/>
      <c r="K673" s="23" t="n"/>
      <c r="L673" s="22" t="n"/>
      <c r="M673" s="22" t="n"/>
      <c r="N673" s="21" t="n"/>
      <c r="O673" s="23" t="n"/>
      <c r="P673" s="23" t="n"/>
      <c r="Q673" s="23" t="n"/>
      <c r="R673" s="23" t="n"/>
      <c r="S673" s="22" t="n"/>
      <c r="T673" s="23" t="n"/>
      <c r="U673" s="23" t="n"/>
      <c r="V673" s="24">
        <f>IF(J673&lt;&gt;"",J673,IF(I673&lt;&gt;"",I673,""))</f>
        <v/>
      </c>
      <c r="W673" s="25">
        <f>IF($E673="","",N(O673)+SUMIFS($AF673:$IN673,$AF$4:$IN$4,"SEW_ACT"))</f>
        <v/>
      </c>
      <c r="X673" s="25">
        <f>IF($E673="","",N(P673)+SUMIFS($AF673:$IN673,$AF$4:$IN$4,"WASH_ACT"))</f>
        <v/>
      </c>
      <c r="Y673" s="25">
        <f>IF($E673="","",W673-X673-N(T673)-N(U673))</f>
        <v/>
      </c>
      <c r="Z673" s="25">
        <f>IF($E673="","",IF(N(K673)-X673&lt;=0.02*N(K673),0,N(K673)-X673))</f>
        <v/>
      </c>
      <c r="AA673" s="24">
        <f>IF($E673="","",IF(S673&lt;&gt;"",S673,IF(N(O673)&gt;0,IF(L673&lt;&gt;"",L673,99999),IFERROR(1/(1/_xlfn.MINIFS($AF$3:$IN$3,$AF$4:$IN$4,"SEW_ACT",$AF673:$IN673,"&gt;0")),99999))))</f>
        <v/>
      </c>
      <c r="AB673" s="26">
        <f>IF(OR($E673="",Z673=0,V673=""),"",1+COUNTIFS(Z$8:Z$707,"&gt;0",V$8:V$707,"&lt;"&amp;V673)+COUNTIFS(Z$8:Z$707,"&gt;0",V$8:V$707,V673,AA$8:AA$707,"&lt;"&amp;AA673)+COUNTIFS(Z$8:Z$707,"&gt;0",V$8:V$707,V673,AA$8:AA$707,AA673,E$8:E$707,"&lt;"&amp;$E673))</f>
        <v/>
      </c>
      <c r="AC673" s="24">
        <f>IF(OR($E673="",Z673=0),"",IFERROR(TODAY()+ROUNDUP(Z673/(SUMIFS($AF673:$IN673,$AF$4:$IN$4,"WASH_ACT")/COUNTIFS($AF$4:$IN$4,"WASH_ACT",$AF673:$IN673,"&gt;0")),0),"no output yet"))</f>
        <v/>
      </c>
      <c r="AD673" s="26">
        <f>IF($E673="","",IFERROR(ROUND(MAX(0,SUMIFS($AF673:$IN673,$AF$4:$IN$4,"SEW_PLAN",$AF$3:$IN$3,"&lt;="&amp;TODAY())-SUMIFS($AF673:$IN673,$AF$4:$IN$4,"SEW_ACT",$AF$3:$IN$3,"&lt;="&amp;TODAY())+N(Q673))/(SUMIFS($AF673:$IN673,$AF$4:$IN$4,"SEW_PLAN")/COUNTIFS($AF$4:$IN$4,"SEW_PLAN",$AF673:$IN673,"&gt;0")),1),0))</f>
        <v/>
      </c>
      <c r="AE673" s="26">
        <f>IF($E673="","",IF(AND(Z673&gt;0,OR(AND(M673&lt;&gt;"",TODAY()&gt;M673),AND(V673&lt;&gt;"",V673-TODAY()&lt;=7))),"Yes","No"))</f>
        <v/>
      </c>
      <c r="AH673">
        <f>IF(OR(AF$3="",AF$3&gt;TODAY()),"",IF(AND(AF673="",AG673=""),"",N(AG673)-N(AF673)))</f>
        <v/>
      </c>
      <c r="AK673">
        <f>IF(OR(AF$3="",AF$3&gt;TODAY()),"",IF(AND(AI673="",AJ673=""),"",N(AJ673)-N(AI673)))</f>
        <v/>
      </c>
      <c r="AO673">
        <f>IF(OR(AM$3="",AM$3&gt;TODAY()),"",IF(AND(AM673="",AN673=""),"",N(AN673)-N(AM673)))</f>
        <v/>
      </c>
      <c r="AR673">
        <f>IF(OR(AM$3="",AM$3&gt;TODAY()),"",IF(AND(AP673="",AQ673=""),"",N(AQ673)-N(AP673)))</f>
        <v/>
      </c>
      <c r="AV673">
        <f>IF(OR(AT$3="",AT$3&gt;TODAY()),"",IF(AND(AT673="",AU673=""),"",N(AU673)-N(AT673)))</f>
        <v/>
      </c>
      <c r="AY673">
        <f>IF(OR(AT$3="",AT$3&gt;TODAY()),"",IF(AND(AW673="",AX673=""),"",N(AX673)-N(AW673)))</f>
        <v/>
      </c>
      <c r="BC673">
        <f>IF(OR(BA$3="",BA$3&gt;TODAY()),"",IF(AND(BA673="",BB673=""),"",N(BB673)-N(BA673)))</f>
        <v/>
      </c>
      <c r="BF673">
        <f>IF(OR(BA$3="",BA$3&gt;TODAY()),"",IF(AND(BD673="",BE673=""),"",N(BE673)-N(BD673)))</f>
        <v/>
      </c>
      <c r="BJ673">
        <f>IF(OR(BH$3="",BH$3&gt;TODAY()),"",IF(AND(BH673="",BI673=""),"",N(BI673)-N(BH673)))</f>
        <v/>
      </c>
      <c r="BM673">
        <f>IF(OR(BH$3="",BH$3&gt;TODAY()),"",IF(AND(BK673="",BL673=""),"",N(BL673)-N(BK673)))</f>
        <v/>
      </c>
      <c r="BQ673">
        <f>IF(OR(BO$3="",BO$3&gt;TODAY()),"",IF(AND(BO673="",BP673=""),"",N(BP673)-N(BO673)))</f>
        <v/>
      </c>
      <c r="BT673">
        <f>IF(OR(BO$3="",BO$3&gt;TODAY()),"",IF(AND(BR673="",BS673=""),"",N(BS673)-N(BR673)))</f>
        <v/>
      </c>
      <c r="BX673">
        <f>IF(OR(BV$3="",BV$3&gt;TODAY()),"",IF(AND(BV673="",BW673=""),"",N(BW673)-N(BV673)))</f>
        <v/>
      </c>
      <c r="CA673">
        <f>IF(OR(BV$3="",BV$3&gt;TODAY()),"",IF(AND(BY673="",BZ673=""),"",N(BZ673)-N(BY673)))</f>
        <v/>
      </c>
      <c r="CE673">
        <f>IF(OR(CC$3="",CC$3&gt;TODAY()),"",IF(AND(CC673="",CD673=""),"",N(CD673)-N(CC673)))</f>
        <v/>
      </c>
      <c r="CH673">
        <f>IF(OR(CC$3="",CC$3&gt;TODAY()),"",IF(AND(CF673="",CG673=""),"",N(CG673)-N(CF673)))</f>
        <v/>
      </c>
      <c r="CL673">
        <f>IF(OR(CJ$3="",CJ$3&gt;TODAY()),"",IF(AND(CJ673="",CK673=""),"",N(CK673)-N(CJ673)))</f>
        <v/>
      </c>
      <c r="CO673">
        <f>IF(OR(CJ$3="",CJ$3&gt;TODAY()),"",IF(AND(CM673="",CN673=""),"",N(CN673)-N(CM673)))</f>
        <v/>
      </c>
      <c r="CS673">
        <f>IF(OR(CQ$3="",CQ$3&gt;TODAY()),"",IF(AND(CQ673="",CR673=""),"",N(CR673)-N(CQ673)))</f>
        <v/>
      </c>
      <c r="CV673">
        <f>IF(OR(CQ$3="",CQ$3&gt;TODAY()),"",IF(AND(CT673="",CU673=""),"",N(CU673)-N(CT673)))</f>
        <v/>
      </c>
      <c r="CZ673">
        <f>IF(OR(CX$3="",CX$3&gt;TODAY()),"",IF(AND(CX673="",CY673=""),"",N(CY673)-N(CX673)))</f>
        <v/>
      </c>
      <c r="DC673">
        <f>IF(OR(CX$3="",CX$3&gt;TODAY()),"",IF(AND(DA673="",DB673=""),"",N(DB673)-N(DA673)))</f>
        <v/>
      </c>
      <c r="DG673">
        <f>IF(OR(DE$3="",DE$3&gt;TODAY()),"",IF(AND(DE673="",DF673=""),"",N(DF673)-N(DE673)))</f>
        <v/>
      </c>
      <c r="DJ673">
        <f>IF(OR(DE$3="",DE$3&gt;TODAY()),"",IF(AND(DH673="",DI673=""),"",N(DI673)-N(DH673)))</f>
        <v/>
      </c>
      <c r="DN673">
        <f>IF(OR(DL$3="",DL$3&gt;TODAY()),"",IF(AND(DL673="",DM673=""),"",N(DM673)-N(DL673)))</f>
        <v/>
      </c>
      <c r="DQ673">
        <f>IF(OR(DL$3="",DL$3&gt;TODAY()),"",IF(AND(DO673="",DP673=""),"",N(DP673)-N(DO673)))</f>
        <v/>
      </c>
      <c r="DU673">
        <f>IF(OR(DS$3="",DS$3&gt;TODAY()),"",IF(AND(DS673="",DT673=""),"",N(DT673)-N(DS673)))</f>
        <v/>
      </c>
      <c r="DX673">
        <f>IF(OR(DS$3="",DS$3&gt;TODAY()),"",IF(AND(DV673="",DW673=""),"",N(DW673)-N(DV673)))</f>
        <v/>
      </c>
      <c r="EB673">
        <f>IF(OR(DZ$3="",DZ$3&gt;TODAY()),"",IF(AND(DZ673="",EA673=""),"",N(EA673)-N(DZ673)))</f>
        <v/>
      </c>
      <c r="EE673">
        <f>IF(OR(DZ$3="",DZ$3&gt;TODAY()),"",IF(AND(EC673="",ED673=""),"",N(ED673)-N(EC673)))</f>
        <v/>
      </c>
      <c r="EI673">
        <f>IF(OR(EG$3="",EG$3&gt;TODAY()),"",IF(AND(EG673="",EH673=""),"",N(EH673)-N(EG673)))</f>
        <v/>
      </c>
      <c r="EL673">
        <f>IF(OR(EG$3="",EG$3&gt;TODAY()),"",IF(AND(EJ673="",EK673=""),"",N(EK673)-N(EJ673)))</f>
        <v/>
      </c>
      <c r="EP673">
        <f>IF(OR(EN$3="",EN$3&gt;TODAY()),"",IF(AND(EN673="",EO673=""),"",N(EO673)-N(EN673)))</f>
        <v/>
      </c>
      <c r="ES673">
        <f>IF(OR(EN$3="",EN$3&gt;TODAY()),"",IF(AND(EQ673="",ER673=""),"",N(ER673)-N(EQ673)))</f>
        <v/>
      </c>
      <c r="EW673">
        <f>IF(OR(EU$3="",EU$3&gt;TODAY()),"",IF(AND(EU673="",EV673=""),"",N(EV673)-N(EU673)))</f>
        <v/>
      </c>
      <c r="EZ673">
        <f>IF(OR(EU$3="",EU$3&gt;TODAY()),"",IF(AND(EX673="",EY673=""),"",N(EY673)-N(EX673)))</f>
        <v/>
      </c>
      <c r="FD673">
        <f>IF(OR(FB$3="",FB$3&gt;TODAY()),"",IF(AND(FB673="",FC673=""),"",N(FC673)-N(FB673)))</f>
        <v/>
      </c>
      <c r="FG673">
        <f>IF(OR(FB$3="",FB$3&gt;TODAY()),"",IF(AND(FE673="",FF673=""),"",N(FF673)-N(FE673)))</f>
        <v/>
      </c>
      <c r="FK673">
        <f>IF(OR(FI$3="",FI$3&gt;TODAY()),"",IF(AND(FI673="",FJ673=""),"",N(FJ673)-N(FI673)))</f>
        <v/>
      </c>
      <c r="FN673">
        <f>IF(OR(FI$3="",FI$3&gt;TODAY()),"",IF(AND(FL673="",FM673=""),"",N(FM673)-N(FL673)))</f>
        <v/>
      </c>
      <c r="FR673">
        <f>IF(OR(FP$3="",FP$3&gt;TODAY()),"",IF(AND(FP673="",FQ673=""),"",N(FQ673)-N(FP673)))</f>
        <v/>
      </c>
      <c r="FU673">
        <f>IF(OR(FP$3="",FP$3&gt;TODAY()),"",IF(AND(FS673="",FT673=""),"",N(FT673)-N(FS673)))</f>
        <v/>
      </c>
      <c r="FY673">
        <f>IF(OR(FW$3="",FW$3&gt;TODAY()),"",IF(AND(FW673="",FX673=""),"",N(FX673)-N(FW673)))</f>
        <v/>
      </c>
      <c r="GB673">
        <f>IF(OR(FW$3="",FW$3&gt;TODAY()),"",IF(AND(FZ673="",GA673=""),"",N(GA673)-N(FZ673)))</f>
        <v/>
      </c>
      <c r="GF673">
        <f>IF(OR(GD$3="",GD$3&gt;TODAY()),"",IF(AND(GD673="",GE673=""),"",N(GE673)-N(GD673)))</f>
        <v/>
      </c>
      <c r="GI673">
        <f>IF(OR(GD$3="",GD$3&gt;TODAY()),"",IF(AND(GG673="",GH673=""),"",N(GH673)-N(GG673)))</f>
        <v/>
      </c>
      <c r="GM673">
        <f>IF(OR(GK$3="",GK$3&gt;TODAY()),"",IF(AND(GK673="",GL673=""),"",N(GL673)-N(GK673)))</f>
        <v/>
      </c>
      <c r="GP673">
        <f>IF(OR(GK$3="",GK$3&gt;TODAY()),"",IF(AND(GN673="",GO673=""),"",N(GO673)-N(GN673)))</f>
        <v/>
      </c>
      <c r="GT673">
        <f>IF(OR(GR$3="",GR$3&gt;TODAY()),"",IF(AND(GR673="",GS673=""),"",N(GS673)-N(GR673)))</f>
        <v/>
      </c>
      <c r="GW673">
        <f>IF(OR(GR$3="",GR$3&gt;TODAY()),"",IF(AND(GU673="",GV673=""),"",N(GV673)-N(GU673)))</f>
        <v/>
      </c>
      <c r="HA673">
        <f>IF(OR(GY$3="",GY$3&gt;TODAY()),"",IF(AND(GY673="",GZ673=""),"",N(GZ673)-N(GY673)))</f>
        <v/>
      </c>
      <c r="HD673">
        <f>IF(OR(GY$3="",GY$3&gt;TODAY()),"",IF(AND(HB673="",HC673=""),"",N(HC673)-N(HB673)))</f>
        <v/>
      </c>
      <c r="HH673">
        <f>IF(OR(HF$3="",HF$3&gt;TODAY()),"",IF(AND(HF673="",HG673=""),"",N(HG673)-N(HF673)))</f>
        <v/>
      </c>
      <c r="HK673">
        <f>IF(OR(HF$3="",HF$3&gt;TODAY()),"",IF(AND(HI673="",HJ673=""),"",N(HJ673)-N(HI673)))</f>
        <v/>
      </c>
      <c r="HO673">
        <f>IF(OR(HM$3="",HM$3&gt;TODAY()),"",IF(AND(HM673="",HN673=""),"",N(HN673)-N(HM673)))</f>
        <v/>
      </c>
      <c r="HR673">
        <f>IF(OR(HM$3="",HM$3&gt;TODAY()),"",IF(AND(HP673="",HQ673=""),"",N(HQ673)-N(HP673)))</f>
        <v/>
      </c>
      <c r="HV673">
        <f>IF(OR(HT$3="",HT$3&gt;TODAY()),"",IF(AND(HT673="",HU673=""),"",N(HU673)-N(HT673)))</f>
        <v/>
      </c>
      <c r="HY673">
        <f>IF(OR(HT$3="",HT$3&gt;TODAY()),"",IF(AND(HW673="",HX673=""),"",N(HX673)-N(HW673)))</f>
        <v/>
      </c>
      <c r="IC673">
        <f>IF(OR(IA$3="",IA$3&gt;TODAY()),"",IF(AND(IA673="",IB673=""),"",N(IB673)-N(IA673)))</f>
        <v/>
      </c>
      <c r="IF673">
        <f>IF(OR(IA$3="",IA$3&gt;TODAY()),"",IF(AND(ID673="",IE673=""),"",N(IE673)-N(ID673)))</f>
        <v/>
      </c>
      <c r="IJ673">
        <f>IF(OR(IH$3="",IH$3&gt;TODAY()),"",IF(AND(IH673="",II673=""),"",N(II673)-N(IH673)))</f>
        <v/>
      </c>
      <c r="IM673">
        <f>IF(OR(IH$3="",IH$3&gt;TODAY()),"",IF(AND(IK673="",IL673=""),"",N(IL673)-N(IK673)))</f>
        <v/>
      </c>
    </row>
    <row r="674">
      <c r="A674" s="21" t="n"/>
      <c r="B674" s="21" t="n"/>
      <c r="C674" s="21" t="n"/>
      <c r="D674" s="21" t="n"/>
      <c r="E674" s="21" t="n"/>
      <c r="F674" s="21" t="n"/>
      <c r="G674" s="21" t="n"/>
      <c r="H674" s="21" t="n"/>
      <c r="I674" s="22" t="n"/>
      <c r="J674" s="22" t="n"/>
      <c r="K674" s="23" t="n"/>
      <c r="L674" s="22" t="n"/>
      <c r="M674" s="22" t="n"/>
      <c r="N674" s="21" t="n"/>
      <c r="O674" s="23" t="n"/>
      <c r="P674" s="23" t="n"/>
      <c r="Q674" s="23" t="n"/>
      <c r="R674" s="23" t="n"/>
      <c r="S674" s="22" t="n"/>
      <c r="T674" s="23" t="n"/>
      <c r="U674" s="23" t="n"/>
      <c r="V674" s="24">
        <f>IF(J674&lt;&gt;"",J674,IF(I674&lt;&gt;"",I674,""))</f>
        <v/>
      </c>
      <c r="W674" s="25">
        <f>IF($E674="","",N(O674)+SUMIFS($AF674:$IN674,$AF$4:$IN$4,"SEW_ACT"))</f>
        <v/>
      </c>
      <c r="X674" s="25">
        <f>IF($E674="","",N(P674)+SUMIFS($AF674:$IN674,$AF$4:$IN$4,"WASH_ACT"))</f>
        <v/>
      </c>
      <c r="Y674" s="25">
        <f>IF($E674="","",W674-X674-N(T674)-N(U674))</f>
        <v/>
      </c>
      <c r="Z674" s="25">
        <f>IF($E674="","",IF(N(K674)-X674&lt;=0.02*N(K674),0,N(K674)-X674))</f>
        <v/>
      </c>
      <c r="AA674" s="24">
        <f>IF($E674="","",IF(S674&lt;&gt;"",S674,IF(N(O674)&gt;0,IF(L674&lt;&gt;"",L674,99999),IFERROR(1/(1/_xlfn.MINIFS($AF$3:$IN$3,$AF$4:$IN$4,"SEW_ACT",$AF674:$IN674,"&gt;0")),99999))))</f>
        <v/>
      </c>
      <c r="AB674" s="26">
        <f>IF(OR($E674="",Z674=0,V674=""),"",1+COUNTIFS(Z$8:Z$707,"&gt;0",V$8:V$707,"&lt;"&amp;V674)+COUNTIFS(Z$8:Z$707,"&gt;0",V$8:V$707,V674,AA$8:AA$707,"&lt;"&amp;AA674)+COUNTIFS(Z$8:Z$707,"&gt;0",V$8:V$707,V674,AA$8:AA$707,AA674,E$8:E$707,"&lt;"&amp;$E674))</f>
        <v/>
      </c>
      <c r="AC674" s="24">
        <f>IF(OR($E674="",Z674=0),"",IFERROR(TODAY()+ROUNDUP(Z674/(SUMIFS($AF674:$IN674,$AF$4:$IN$4,"WASH_ACT")/COUNTIFS($AF$4:$IN$4,"WASH_ACT",$AF674:$IN674,"&gt;0")),0),"no output yet"))</f>
        <v/>
      </c>
      <c r="AD674" s="26">
        <f>IF($E674="","",IFERROR(ROUND(MAX(0,SUMIFS($AF674:$IN674,$AF$4:$IN$4,"SEW_PLAN",$AF$3:$IN$3,"&lt;="&amp;TODAY())-SUMIFS($AF674:$IN674,$AF$4:$IN$4,"SEW_ACT",$AF$3:$IN$3,"&lt;="&amp;TODAY())+N(Q674))/(SUMIFS($AF674:$IN674,$AF$4:$IN$4,"SEW_PLAN")/COUNTIFS($AF$4:$IN$4,"SEW_PLAN",$AF674:$IN674,"&gt;0")),1),0))</f>
        <v/>
      </c>
      <c r="AE674" s="26">
        <f>IF($E674="","",IF(AND(Z674&gt;0,OR(AND(M674&lt;&gt;"",TODAY()&gt;M674),AND(V674&lt;&gt;"",V674-TODAY()&lt;=7))),"Yes","No"))</f>
        <v/>
      </c>
      <c r="AH674">
        <f>IF(OR(AF$3="",AF$3&gt;TODAY()),"",IF(AND(AF674="",AG674=""),"",N(AG674)-N(AF674)))</f>
        <v/>
      </c>
      <c r="AK674">
        <f>IF(OR(AF$3="",AF$3&gt;TODAY()),"",IF(AND(AI674="",AJ674=""),"",N(AJ674)-N(AI674)))</f>
        <v/>
      </c>
      <c r="AO674">
        <f>IF(OR(AM$3="",AM$3&gt;TODAY()),"",IF(AND(AM674="",AN674=""),"",N(AN674)-N(AM674)))</f>
        <v/>
      </c>
      <c r="AR674">
        <f>IF(OR(AM$3="",AM$3&gt;TODAY()),"",IF(AND(AP674="",AQ674=""),"",N(AQ674)-N(AP674)))</f>
        <v/>
      </c>
      <c r="AV674">
        <f>IF(OR(AT$3="",AT$3&gt;TODAY()),"",IF(AND(AT674="",AU674=""),"",N(AU674)-N(AT674)))</f>
        <v/>
      </c>
      <c r="AY674">
        <f>IF(OR(AT$3="",AT$3&gt;TODAY()),"",IF(AND(AW674="",AX674=""),"",N(AX674)-N(AW674)))</f>
        <v/>
      </c>
      <c r="BC674">
        <f>IF(OR(BA$3="",BA$3&gt;TODAY()),"",IF(AND(BA674="",BB674=""),"",N(BB674)-N(BA674)))</f>
        <v/>
      </c>
      <c r="BF674">
        <f>IF(OR(BA$3="",BA$3&gt;TODAY()),"",IF(AND(BD674="",BE674=""),"",N(BE674)-N(BD674)))</f>
        <v/>
      </c>
      <c r="BJ674">
        <f>IF(OR(BH$3="",BH$3&gt;TODAY()),"",IF(AND(BH674="",BI674=""),"",N(BI674)-N(BH674)))</f>
        <v/>
      </c>
      <c r="BM674">
        <f>IF(OR(BH$3="",BH$3&gt;TODAY()),"",IF(AND(BK674="",BL674=""),"",N(BL674)-N(BK674)))</f>
        <v/>
      </c>
      <c r="BQ674">
        <f>IF(OR(BO$3="",BO$3&gt;TODAY()),"",IF(AND(BO674="",BP674=""),"",N(BP674)-N(BO674)))</f>
        <v/>
      </c>
      <c r="BT674">
        <f>IF(OR(BO$3="",BO$3&gt;TODAY()),"",IF(AND(BR674="",BS674=""),"",N(BS674)-N(BR674)))</f>
        <v/>
      </c>
      <c r="BX674">
        <f>IF(OR(BV$3="",BV$3&gt;TODAY()),"",IF(AND(BV674="",BW674=""),"",N(BW674)-N(BV674)))</f>
        <v/>
      </c>
      <c r="CA674">
        <f>IF(OR(BV$3="",BV$3&gt;TODAY()),"",IF(AND(BY674="",BZ674=""),"",N(BZ674)-N(BY674)))</f>
        <v/>
      </c>
      <c r="CE674">
        <f>IF(OR(CC$3="",CC$3&gt;TODAY()),"",IF(AND(CC674="",CD674=""),"",N(CD674)-N(CC674)))</f>
        <v/>
      </c>
      <c r="CH674">
        <f>IF(OR(CC$3="",CC$3&gt;TODAY()),"",IF(AND(CF674="",CG674=""),"",N(CG674)-N(CF674)))</f>
        <v/>
      </c>
      <c r="CL674">
        <f>IF(OR(CJ$3="",CJ$3&gt;TODAY()),"",IF(AND(CJ674="",CK674=""),"",N(CK674)-N(CJ674)))</f>
        <v/>
      </c>
      <c r="CO674">
        <f>IF(OR(CJ$3="",CJ$3&gt;TODAY()),"",IF(AND(CM674="",CN674=""),"",N(CN674)-N(CM674)))</f>
        <v/>
      </c>
      <c r="CS674">
        <f>IF(OR(CQ$3="",CQ$3&gt;TODAY()),"",IF(AND(CQ674="",CR674=""),"",N(CR674)-N(CQ674)))</f>
        <v/>
      </c>
      <c r="CV674">
        <f>IF(OR(CQ$3="",CQ$3&gt;TODAY()),"",IF(AND(CT674="",CU674=""),"",N(CU674)-N(CT674)))</f>
        <v/>
      </c>
      <c r="CZ674">
        <f>IF(OR(CX$3="",CX$3&gt;TODAY()),"",IF(AND(CX674="",CY674=""),"",N(CY674)-N(CX674)))</f>
        <v/>
      </c>
      <c r="DC674">
        <f>IF(OR(CX$3="",CX$3&gt;TODAY()),"",IF(AND(DA674="",DB674=""),"",N(DB674)-N(DA674)))</f>
        <v/>
      </c>
      <c r="DG674">
        <f>IF(OR(DE$3="",DE$3&gt;TODAY()),"",IF(AND(DE674="",DF674=""),"",N(DF674)-N(DE674)))</f>
        <v/>
      </c>
      <c r="DJ674">
        <f>IF(OR(DE$3="",DE$3&gt;TODAY()),"",IF(AND(DH674="",DI674=""),"",N(DI674)-N(DH674)))</f>
        <v/>
      </c>
      <c r="DN674">
        <f>IF(OR(DL$3="",DL$3&gt;TODAY()),"",IF(AND(DL674="",DM674=""),"",N(DM674)-N(DL674)))</f>
        <v/>
      </c>
      <c r="DQ674">
        <f>IF(OR(DL$3="",DL$3&gt;TODAY()),"",IF(AND(DO674="",DP674=""),"",N(DP674)-N(DO674)))</f>
        <v/>
      </c>
      <c r="DU674">
        <f>IF(OR(DS$3="",DS$3&gt;TODAY()),"",IF(AND(DS674="",DT674=""),"",N(DT674)-N(DS674)))</f>
        <v/>
      </c>
      <c r="DX674">
        <f>IF(OR(DS$3="",DS$3&gt;TODAY()),"",IF(AND(DV674="",DW674=""),"",N(DW674)-N(DV674)))</f>
        <v/>
      </c>
      <c r="EB674">
        <f>IF(OR(DZ$3="",DZ$3&gt;TODAY()),"",IF(AND(DZ674="",EA674=""),"",N(EA674)-N(DZ674)))</f>
        <v/>
      </c>
      <c r="EE674">
        <f>IF(OR(DZ$3="",DZ$3&gt;TODAY()),"",IF(AND(EC674="",ED674=""),"",N(ED674)-N(EC674)))</f>
        <v/>
      </c>
      <c r="EI674">
        <f>IF(OR(EG$3="",EG$3&gt;TODAY()),"",IF(AND(EG674="",EH674=""),"",N(EH674)-N(EG674)))</f>
        <v/>
      </c>
      <c r="EL674">
        <f>IF(OR(EG$3="",EG$3&gt;TODAY()),"",IF(AND(EJ674="",EK674=""),"",N(EK674)-N(EJ674)))</f>
        <v/>
      </c>
      <c r="EP674">
        <f>IF(OR(EN$3="",EN$3&gt;TODAY()),"",IF(AND(EN674="",EO674=""),"",N(EO674)-N(EN674)))</f>
        <v/>
      </c>
      <c r="ES674">
        <f>IF(OR(EN$3="",EN$3&gt;TODAY()),"",IF(AND(EQ674="",ER674=""),"",N(ER674)-N(EQ674)))</f>
        <v/>
      </c>
      <c r="EW674">
        <f>IF(OR(EU$3="",EU$3&gt;TODAY()),"",IF(AND(EU674="",EV674=""),"",N(EV674)-N(EU674)))</f>
        <v/>
      </c>
      <c r="EZ674">
        <f>IF(OR(EU$3="",EU$3&gt;TODAY()),"",IF(AND(EX674="",EY674=""),"",N(EY674)-N(EX674)))</f>
        <v/>
      </c>
      <c r="FD674">
        <f>IF(OR(FB$3="",FB$3&gt;TODAY()),"",IF(AND(FB674="",FC674=""),"",N(FC674)-N(FB674)))</f>
        <v/>
      </c>
      <c r="FG674">
        <f>IF(OR(FB$3="",FB$3&gt;TODAY()),"",IF(AND(FE674="",FF674=""),"",N(FF674)-N(FE674)))</f>
        <v/>
      </c>
      <c r="FK674">
        <f>IF(OR(FI$3="",FI$3&gt;TODAY()),"",IF(AND(FI674="",FJ674=""),"",N(FJ674)-N(FI674)))</f>
        <v/>
      </c>
      <c r="FN674">
        <f>IF(OR(FI$3="",FI$3&gt;TODAY()),"",IF(AND(FL674="",FM674=""),"",N(FM674)-N(FL674)))</f>
        <v/>
      </c>
      <c r="FR674">
        <f>IF(OR(FP$3="",FP$3&gt;TODAY()),"",IF(AND(FP674="",FQ674=""),"",N(FQ674)-N(FP674)))</f>
        <v/>
      </c>
      <c r="FU674">
        <f>IF(OR(FP$3="",FP$3&gt;TODAY()),"",IF(AND(FS674="",FT674=""),"",N(FT674)-N(FS674)))</f>
        <v/>
      </c>
      <c r="FY674">
        <f>IF(OR(FW$3="",FW$3&gt;TODAY()),"",IF(AND(FW674="",FX674=""),"",N(FX674)-N(FW674)))</f>
        <v/>
      </c>
      <c r="GB674">
        <f>IF(OR(FW$3="",FW$3&gt;TODAY()),"",IF(AND(FZ674="",GA674=""),"",N(GA674)-N(FZ674)))</f>
        <v/>
      </c>
      <c r="GF674">
        <f>IF(OR(GD$3="",GD$3&gt;TODAY()),"",IF(AND(GD674="",GE674=""),"",N(GE674)-N(GD674)))</f>
        <v/>
      </c>
      <c r="GI674">
        <f>IF(OR(GD$3="",GD$3&gt;TODAY()),"",IF(AND(GG674="",GH674=""),"",N(GH674)-N(GG674)))</f>
        <v/>
      </c>
      <c r="GM674">
        <f>IF(OR(GK$3="",GK$3&gt;TODAY()),"",IF(AND(GK674="",GL674=""),"",N(GL674)-N(GK674)))</f>
        <v/>
      </c>
      <c r="GP674">
        <f>IF(OR(GK$3="",GK$3&gt;TODAY()),"",IF(AND(GN674="",GO674=""),"",N(GO674)-N(GN674)))</f>
        <v/>
      </c>
      <c r="GT674">
        <f>IF(OR(GR$3="",GR$3&gt;TODAY()),"",IF(AND(GR674="",GS674=""),"",N(GS674)-N(GR674)))</f>
        <v/>
      </c>
      <c r="GW674">
        <f>IF(OR(GR$3="",GR$3&gt;TODAY()),"",IF(AND(GU674="",GV674=""),"",N(GV674)-N(GU674)))</f>
        <v/>
      </c>
      <c r="HA674">
        <f>IF(OR(GY$3="",GY$3&gt;TODAY()),"",IF(AND(GY674="",GZ674=""),"",N(GZ674)-N(GY674)))</f>
        <v/>
      </c>
      <c r="HD674">
        <f>IF(OR(GY$3="",GY$3&gt;TODAY()),"",IF(AND(HB674="",HC674=""),"",N(HC674)-N(HB674)))</f>
        <v/>
      </c>
      <c r="HH674">
        <f>IF(OR(HF$3="",HF$3&gt;TODAY()),"",IF(AND(HF674="",HG674=""),"",N(HG674)-N(HF674)))</f>
        <v/>
      </c>
      <c r="HK674">
        <f>IF(OR(HF$3="",HF$3&gt;TODAY()),"",IF(AND(HI674="",HJ674=""),"",N(HJ674)-N(HI674)))</f>
        <v/>
      </c>
      <c r="HO674">
        <f>IF(OR(HM$3="",HM$3&gt;TODAY()),"",IF(AND(HM674="",HN674=""),"",N(HN674)-N(HM674)))</f>
        <v/>
      </c>
      <c r="HR674">
        <f>IF(OR(HM$3="",HM$3&gt;TODAY()),"",IF(AND(HP674="",HQ674=""),"",N(HQ674)-N(HP674)))</f>
        <v/>
      </c>
      <c r="HV674">
        <f>IF(OR(HT$3="",HT$3&gt;TODAY()),"",IF(AND(HT674="",HU674=""),"",N(HU674)-N(HT674)))</f>
        <v/>
      </c>
      <c r="HY674">
        <f>IF(OR(HT$3="",HT$3&gt;TODAY()),"",IF(AND(HW674="",HX674=""),"",N(HX674)-N(HW674)))</f>
        <v/>
      </c>
      <c r="IC674">
        <f>IF(OR(IA$3="",IA$3&gt;TODAY()),"",IF(AND(IA674="",IB674=""),"",N(IB674)-N(IA674)))</f>
        <v/>
      </c>
      <c r="IF674">
        <f>IF(OR(IA$3="",IA$3&gt;TODAY()),"",IF(AND(ID674="",IE674=""),"",N(IE674)-N(ID674)))</f>
        <v/>
      </c>
      <c r="IJ674">
        <f>IF(OR(IH$3="",IH$3&gt;TODAY()),"",IF(AND(IH674="",II674=""),"",N(II674)-N(IH674)))</f>
        <v/>
      </c>
      <c r="IM674">
        <f>IF(OR(IH$3="",IH$3&gt;TODAY()),"",IF(AND(IK674="",IL674=""),"",N(IL674)-N(IK674)))</f>
        <v/>
      </c>
    </row>
    <row r="675">
      <c r="A675" s="21" t="n"/>
      <c r="B675" s="21" t="n"/>
      <c r="C675" s="21" t="n"/>
      <c r="D675" s="21" t="n"/>
      <c r="E675" s="21" t="n"/>
      <c r="F675" s="21" t="n"/>
      <c r="G675" s="21" t="n"/>
      <c r="H675" s="21" t="n"/>
      <c r="I675" s="22" t="n"/>
      <c r="J675" s="22" t="n"/>
      <c r="K675" s="23" t="n"/>
      <c r="L675" s="22" t="n"/>
      <c r="M675" s="22" t="n"/>
      <c r="N675" s="21" t="n"/>
      <c r="O675" s="23" t="n"/>
      <c r="P675" s="23" t="n"/>
      <c r="Q675" s="23" t="n"/>
      <c r="R675" s="23" t="n"/>
      <c r="S675" s="22" t="n"/>
      <c r="T675" s="23" t="n"/>
      <c r="U675" s="23" t="n"/>
      <c r="V675" s="24">
        <f>IF(J675&lt;&gt;"",J675,IF(I675&lt;&gt;"",I675,""))</f>
        <v/>
      </c>
      <c r="W675" s="25">
        <f>IF($E675="","",N(O675)+SUMIFS($AF675:$IN675,$AF$4:$IN$4,"SEW_ACT"))</f>
        <v/>
      </c>
      <c r="X675" s="25">
        <f>IF($E675="","",N(P675)+SUMIFS($AF675:$IN675,$AF$4:$IN$4,"WASH_ACT"))</f>
        <v/>
      </c>
      <c r="Y675" s="25">
        <f>IF($E675="","",W675-X675-N(T675)-N(U675))</f>
        <v/>
      </c>
      <c r="Z675" s="25">
        <f>IF($E675="","",IF(N(K675)-X675&lt;=0.02*N(K675),0,N(K675)-X675))</f>
        <v/>
      </c>
      <c r="AA675" s="24">
        <f>IF($E675="","",IF(S675&lt;&gt;"",S675,IF(N(O675)&gt;0,IF(L675&lt;&gt;"",L675,99999),IFERROR(1/(1/_xlfn.MINIFS($AF$3:$IN$3,$AF$4:$IN$4,"SEW_ACT",$AF675:$IN675,"&gt;0")),99999))))</f>
        <v/>
      </c>
      <c r="AB675" s="26">
        <f>IF(OR($E675="",Z675=0,V675=""),"",1+COUNTIFS(Z$8:Z$707,"&gt;0",V$8:V$707,"&lt;"&amp;V675)+COUNTIFS(Z$8:Z$707,"&gt;0",V$8:V$707,V675,AA$8:AA$707,"&lt;"&amp;AA675)+COUNTIFS(Z$8:Z$707,"&gt;0",V$8:V$707,V675,AA$8:AA$707,AA675,E$8:E$707,"&lt;"&amp;$E675))</f>
        <v/>
      </c>
      <c r="AC675" s="24">
        <f>IF(OR($E675="",Z675=0),"",IFERROR(TODAY()+ROUNDUP(Z675/(SUMIFS($AF675:$IN675,$AF$4:$IN$4,"WASH_ACT")/COUNTIFS($AF$4:$IN$4,"WASH_ACT",$AF675:$IN675,"&gt;0")),0),"no output yet"))</f>
        <v/>
      </c>
      <c r="AD675" s="26">
        <f>IF($E675="","",IFERROR(ROUND(MAX(0,SUMIFS($AF675:$IN675,$AF$4:$IN$4,"SEW_PLAN",$AF$3:$IN$3,"&lt;="&amp;TODAY())-SUMIFS($AF675:$IN675,$AF$4:$IN$4,"SEW_ACT",$AF$3:$IN$3,"&lt;="&amp;TODAY())+N(Q675))/(SUMIFS($AF675:$IN675,$AF$4:$IN$4,"SEW_PLAN")/COUNTIFS($AF$4:$IN$4,"SEW_PLAN",$AF675:$IN675,"&gt;0")),1),0))</f>
        <v/>
      </c>
      <c r="AE675" s="26">
        <f>IF($E675="","",IF(AND(Z675&gt;0,OR(AND(M675&lt;&gt;"",TODAY()&gt;M675),AND(V675&lt;&gt;"",V675-TODAY()&lt;=7))),"Yes","No"))</f>
        <v/>
      </c>
      <c r="AH675">
        <f>IF(OR(AF$3="",AF$3&gt;TODAY()),"",IF(AND(AF675="",AG675=""),"",N(AG675)-N(AF675)))</f>
        <v/>
      </c>
      <c r="AK675">
        <f>IF(OR(AF$3="",AF$3&gt;TODAY()),"",IF(AND(AI675="",AJ675=""),"",N(AJ675)-N(AI675)))</f>
        <v/>
      </c>
      <c r="AO675">
        <f>IF(OR(AM$3="",AM$3&gt;TODAY()),"",IF(AND(AM675="",AN675=""),"",N(AN675)-N(AM675)))</f>
        <v/>
      </c>
      <c r="AR675">
        <f>IF(OR(AM$3="",AM$3&gt;TODAY()),"",IF(AND(AP675="",AQ675=""),"",N(AQ675)-N(AP675)))</f>
        <v/>
      </c>
      <c r="AV675">
        <f>IF(OR(AT$3="",AT$3&gt;TODAY()),"",IF(AND(AT675="",AU675=""),"",N(AU675)-N(AT675)))</f>
        <v/>
      </c>
      <c r="AY675">
        <f>IF(OR(AT$3="",AT$3&gt;TODAY()),"",IF(AND(AW675="",AX675=""),"",N(AX675)-N(AW675)))</f>
        <v/>
      </c>
      <c r="BC675">
        <f>IF(OR(BA$3="",BA$3&gt;TODAY()),"",IF(AND(BA675="",BB675=""),"",N(BB675)-N(BA675)))</f>
        <v/>
      </c>
      <c r="BF675">
        <f>IF(OR(BA$3="",BA$3&gt;TODAY()),"",IF(AND(BD675="",BE675=""),"",N(BE675)-N(BD675)))</f>
        <v/>
      </c>
      <c r="BJ675">
        <f>IF(OR(BH$3="",BH$3&gt;TODAY()),"",IF(AND(BH675="",BI675=""),"",N(BI675)-N(BH675)))</f>
        <v/>
      </c>
      <c r="BM675">
        <f>IF(OR(BH$3="",BH$3&gt;TODAY()),"",IF(AND(BK675="",BL675=""),"",N(BL675)-N(BK675)))</f>
        <v/>
      </c>
      <c r="BQ675">
        <f>IF(OR(BO$3="",BO$3&gt;TODAY()),"",IF(AND(BO675="",BP675=""),"",N(BP675)-N(BO675)))</f>
        <v/>
      </c>
      <c r="BT675">
        <f>IF(OR(BO$3="",BO$3&gt;TODAY()),"",IF(AND(BR675="",BS675=""),"",N(BS675)-N(BR675)))</f>
        <v/>
      </c>
      <c r="BX675">
        <f>IF(OR(BV$3="",BV$3&gt;TODAY()),"",IF(AND(BV675="",BW675=""),"",N(BW675)-N(BV675)))</f>
        <v/>
      </c>
      <c r="CA675">
        <f>IF(OR(BV$3="",BV$3&gt;TODAY()),"",IF(AND(BY675="",BZ675=""),"",N(BZ675)-N(BY675)))</f>
        <v/>
      </c>
      <c r="CE675">
        <f>IF(OR(CC$3="",CC$3&gt;TODAY()),"",IF(AND(CC675="",CD675=""),"",N(CD675)-N(CC675)))</f>
        <v/>
      </c>
      <c r="CH675">
        <f>IF(OR(CC$3="",CC$3&gt;TODAY()),"",IF(AND(CF675="",CG675=""),"",N(CG675)-N(CF675)))</f>
        <v/>
      </c>
      <c r="CL675">
        <f>IF(OR(CJ$3="",CJ$3&gt;TODAY()),"",IF(AND(CJ675="",CK675=""),"",N(CK675)-N(CJ675)))</f>
        <v/>
      </c>
      <c r="CO675">
        <f>IF(OR(CJ$3="",CJ$3&gt;TODAY()),"",IF(AND(CM675="",CN675=""),"",N(CN675)-N(CM675)))</f>
        <v/>
      </c>
      <c r="CS675">
        <f>IF(OR(CQ$3="",CQ$3&gt;TODAY()),"",IF(AND(CQ675="",CR675=""),"",N(CR675)-N(CQ675)))</f>
        <v/>
      </c>
      <c r="CV675">
        <f>IF(OR(CQ$3="",CQ$3&gt;TODAY()),"",IF(AND(CT675="",CU675=""),"",N(CU675)-N(CT675)))</f>
        <v/>
      </c>
      <c r="CZ675">
        <f>IF(OR(CX$3="",CX$3&gt;TODAY()),"",IF(AND(CX675="",CY675=""),"",N(CY675)-N(CX675)))</f>
        <v/>
      </c>
      <c r="DC675">
        <f>IF(OR(CX$3="",CX$3&gt;TODAY()),"",IF(AND(DA675="",DB675=""),"",N(DB675)-N(DA675)))</f>
        <v/>
      </c>
      <c r="DG675">
        <f>IF(OR(DE$3="",DE$3&gt;TODAY()),"",IF(AND(DE675="",DF675=""),"",N(DF675)-N(DE675)))</f>
        <v/>
      </c>
      <c r="DJ675">
        <f>IF(OR(DE$3="",DE$3&gt;TODAY()),"",IF(AND(DH675="",DI675=""),"",N(DI675)-N(DH675)))</f>
        <v/>
      </c>
      <c r="DN675">
        <f>IF(OR(DL$3="",DL$3&gt;TODAY()),"",IF(AND(DL675="",DM675=""),"",N(DM675)-N(DL675)))</f>
        <v/>
      </c>
      <c r="DQ675">
        <f>IF(OR(DL$3="",DL$3&gt;TODAY()),"",IF(AND(DO675="",DP675=""),"",N(DP675)-N(DO675)))</f>
        <v/>
      </c>
      <c r="DU675">
        <f>IF(OR(DS$3="",DS$3&gt;TODAY()),"",IF(AND(DS675="",DT675=""),"",N(DT675)-N(DS675)))</f>
        <v/>
      </c>
      <c r="DX675">
        <f>IF(OR(DS$3="",DS$3&gt;TODAY()),"",IF(AND(DV675="",DW675=""),"",N(DW675)-N(DV675)))</f>
        <v/>
      </c>
      <c r="EB675">
        <f>IF(OR(DZ$3="",DZ$3&gt;TODAY()),"",IF(AND(DZ675="",EA675=""),"",N(EA675)-N(DZ675)))</f>
        <v/>
      </c>
      <c r="EE675">
        <f>IF(OR(DZ$3="",DZ$3&gt;TODAY()),"",IF(AND(EC675="",ED675=""),"",N(ED675)-N(EC675)))</f>
        <v/>
      </c>
      <c r="EI675">
        <f>IF(OR(EG$3="",EG$3&gt;TODAY()),"",IF(AND(EG675="",EH675=""),"",N(EH675)-N(EG675)))</f>
        <v/>
      </c>
      <c r="EL675">
        <f>IF(OR(EG$3="",EG$3&gt;TODAY()),"",IF(AND(EJ675="",EK675=""),"",N(EK675)-N(EJ675)))</f>
        <v/>
      </c>
      <c r="EP675">
        <f>IF(OR(EN$3="",EN$3&gt;TODAY()),"",IF(AND(EN675="",EO675=""),"",N(EO675)-N(EN675)))</f>
        <v/>
      </c>
      <c r="ES675">
        <f>IF(OR(EN$3="",EN$3&gt;TODAY()),"",IF(AND(EQ675="",ER675=""),"",N(ER675)-N(EQ675)))</f>
        <v/>
      </c>
      <c r="EW675">
        <f>IF(OR(EU$3="",EU$3&gt;TODAY()),"",IF(AND(EU675="",EV675=""),"",N(EV675)-N(EU675)))</f>
        <v/>
      </c>
      <c r="EZ675">
        <f>IF(OR(EU$3="",EU$3&gt;TODAY()),"",IF(AND(EX675="",EY675=""),"",N(EY675)-N(EX675)))</f>
        <v/>
      </c>
      <c r="FD675">
        <f>IF(OR(FB$3="",FB$3&gt;TODAY()),"",IF(AND(FB675="",FC675=""),"",N(FC675)-N(FB675)))</f>
        <v/>
      </c>
      <c r="FG675">
        <f>IF(OR(FB$3="",FB$3&gt;TODAY()),"",IF(AND(FE675="",FF675=""),"",N(FF675)-N(FE675)))</f>
        <v/>
      </c>
      <c r="FK675">
        <f>IF(OR(FI$3="",FI$3&gt;TODAY()),"",IF(AND(FI675="",FJ675=""),"",N(FJ675)-N(FI675)))</f>
        <v/>
      </c>
      <c r="FN675">
        <f>IF(OR(FI$3="",FI$3&gt;TODAY()),"",IF(AND(FL675="",FM675=""),"",N(FM675)-N(FL675)))</f>
        <v/>
      </c>
      <c r="FR675">
        <f>IF(OR(FP$3="",FP$3&gt;TODAY()),"",IF(AND(FP675="",FQ675=""),"",N(FQ675)-N(FP675)))</f>
        <v/>
      </c>
      <c r="FU675">
        <f>IF(OR(FP$3="",FP$3&gt;TODAY()),"",IF(AND(FS675="",FT675=""),"",N(FT675)-N(FS675)))</f>
        <v/>
      </c>
      <c r="FY675">
        <f>IF(OR(FW$3="",FW$3&gt;TODAY()),"",IF(AND(FW675="",FX675=""),"",N(FX675)-N(FW675)))</f>
        <v/>
      </c>
      <c r="GB675">
        <f>IF(OR(FW$3="",FW$3&gt;TODAY()),"",IF(AND(FZ675="",GA675=""),"",N(GA675)-N(FZ675)))</f>
        <v/>
      </c>
      <c r="GF675">
        <f>IF(OR(GD$3="",GD$3&gt;TODAY()),"",IF(AND(GD675="",GE675=""),"",N(GE675)-N(GD675)))</f>
        <v/>
      </c>
      <c r="GI675">
        <f>IF(OR(GD$3="",GD$3&gt;TODAY()),"",IF(AND(GG675="",GH675=""),"",N(GH675)-N(GG675)))</f>
        <v/>
      </c>
      <c r="GM675">
        <f>IF(OR(GK$3="",GK$3&gt;TODAY()),"",IF(AND(GK675="",GL675=""),"",N(GL675)-N(GK675)))</f>
        <v/>
      </c>
      <c r="GP675">
        <f>IF(OR(GK$3="",GK$3&gt;TODAY()),"",IF(AND(GN675="",GO675=""),"",N(GO675)-N(GN675)))</f>
        <v/>
      </c>
      <c r="GT675">
        <f>IF(OR(GR$3="",GR$3&gt;TODAY()),"",IF(AND(GR675="",GS675=""),"",N(GS675)-N(GR675)))</f>
        <v/>
      </c>
      <c r="GW675">
        <f>IF(OR(GR$3="",GR$3&gt;TODAY()),"",IF(AND(GU675="",GV675=""),"",N(GV675)-N(GU675)))</f>
        <v/>
      </c>
      <c r="HA675">
        <f>IF(OR(GY$3="",GY$3&gt;TODAY()),"",IF(AND(GY675="",GZ675=""),"",N(GZ675)-N(GY675)))</f>
        <v/>
      </c>
      <c r="HD675">
        <f>IF(OR(GY$3="",GY$3&gt;TODAY()),"",IF(AND(HB675="",HC675=""),"",N(HC675)-N(HB675)))</f>
        <v/>
      </c>
      <c r="HH675">
        <f>IF(OR(HF$3="",HF$3&gt;TODAY()),"",IF(AND(HF675="",HG675=""),"",N(HG675)-N(HF675)))</f>
        <v/>
      </c>
      <c r="HK675">
        <f>IF(OR(HF$3="",HF$3&gt;TODAY()),"",IF(AND(HI675="",HJ675=""),"",N(HJ675)-N(HI675)))</f>
        <v/>
      </c>
      <c r="HO675">
        <f>IF(OR(HM$3="",HM$3&gt;TODAY()),"",IF(AND(HM675="",HN675=""),"",N(HN675)-N(HM675)))</f>
        <v/>
      </c>
      <c r="HR675">
        <f>IF(OR(HM$3="",HM$3&gt;TODAY()),"",IF(AND(HP675="",HQ675=""),"",N(HQ675)-N(HP675)))</f>
        <v/>
      </c>
      <c r="HV675">
        <f>IF(OR(HT$3="",HT$3&gt;TODAY()),"",IF(AND(HT675="",HU675=""),"",N(HU675)-N(HT675)))</f>
        <v/>
      </c>
      <c r="HY675">
        <f>IF(OR(HT$3="",HT$3&gt;TODAY()),"",IF(AND(HW675="",HX675=""),"",N(HX675)-N(HW675)))</f>
        <v/>
      </c>
      <c r="IC675">
        <f>IF(OR(IA$3="",IA$3&gt;TODAY()),"",IF(AND(IA675="",IB675=""),"",N(IB675)-N(IA675)))</f>
        <v/>
      </c>
      <c r="IF675">
        <f>IF(OR(IA$3="",IA$3&gt;TODAY()),"",IF(AND(ID675="",IE675=""),"",N(IE675)-N(ID675)))</f>
        <v/>
      </c>
      <c r="IJ675">
        <f>IF(OR(IH$3="",IH$3&gt;TODAY()),"",IF(AND(IH675="",II675=""),"",N(II675)-N(IH675)))</f>
        <v/>
      </c>
      <c r="IM675">
        <f>IF(OR(IH$3="",IH$3&gt;TODAY()),"",IF(AND(IK675="",IL675=""),"",N(IL675)-N(IK675)))</f>
        <v/>
      </c>
    </row>
    <row r="676">
      <c r="A676" s="21" t="n"/>
      <c r="B676" s="21" t="n"/>
      <c r="C676" s="21" t="n"/>
      <c r="D676" s="21" t="n"/>
      <c r="E676" s="21" t="n"/>
      <c r="F676" s="21" t="n"/>
      <c r="G676" s="21" t="n"/>
      <c r="H676" s="21" t="n"/>
      <c r="I676" s="22" t="n"/>
      <c r="J676" s="22" t="n"/>
      <c r="K676" s="23" t="n"/>
      <c r="L676" s="22" t="n"/>
      <c r="M676" s="22" t="n"/>
      <c r="N676" s="21" t="n"/>
      <c r="O676" s="23" t="n"/>
      <c r="P676" s="23" t="n"/>
      <c r="Q676" s="23" t="n"/>
      <c r="R676" s="23" t="n"/>
      <c r="S676" s="22" t="n"/>
      <c r="T676" s="23" t="n"/>
      <c r="U676" s="23" t="n"/>
      <c r="V676" s="24">
        <f>IF(J676&lt;&gt;"",J676,IF(I676&lt;&gt;"",I676,""))</f>
        <v/>
      </c>
      <c r="W676" s="25">
        <f>IF($E676="","",N(O676)+SUMIFS($AF676:$IN676,$AF$4:$IN$4,"SEW_ACT"))</f>
        <v/>
      </c>
      <c r="X676" s="25">
        <f>IF($E676="","",N(P676)+SUMIFS($AF676:$IN676,$AF$4:$IN$4,"WASH_ACT"))</f>
        <v/>
      </c>
      <c r="Y676" s="25">
        <f>IF($E676="","",W676-X676-N(T676)-N(U676))</f>
        <v/>
      </c>
      <c r="Z676" s="25">
        <f>IF($E676="","",IF(N(K676)-X676&lt;=0.02*N(K676),0,N(K676)-X676))</f>
        <v/>
      </c>
      <c r="AA676" s="24">
        <f>IF($E676="","",IF(S676&lt;&gt;"",S676,IF(N(O676)&gt;0,IF(L676&lt;&gt;"",L676,99999),IFERROR(1/(1/_xlfn.MINIFS($AF$3:$IN$3,$AF$4:$IN$4,"SEW_ACT",$AF676:$IN676,"&gt;0")),99999))))</f>
        <v/>
      </c>
      <c r="AB676" s="26">
        <f>IF(OR($E676="",Z676=0,V676=""),"",1+COUNTIFS(Z$8:Z$707,"&gt;0",V$8:V$707,"&lt;"&amp;V676)+COUNTIFS(Z$8:Z$707,"&gt;0",V$8:V$707,V676,AA$8:AA$707,"&lt;"&amp;AA676)+COUNTIFS(Z$8:Z$707,"&gt;0",V$8:V$707,V676,AA$8:AA$707,AA676,E$8:E$707,"&lt;"&amp;$E676))</f>
        <v/>
      </c>
      <c r="AC676" s="24">
        <f>IF(OR($E676="",Z676=0),"",IFERROR(TODAY()+ROUNDUP(Z676/(SUMIFS($AF676:$IN676,$AF$4:$IN$4,"WASH_ACT")/COUNTIFS($AF$4:$IN$4,"WASH_ACT",$AF676:$IN676,"&gt;0")),0),"no output yet"))</f>
        <v/>
      </c>
      <c r="AD676" s="26">
        <f>IF($E676="","",IFERROR(ROUND(MAX(0,SUMIFS($AF676:$IN676,$AF$4:$IN$4,"SEW_PLAN",$AF$3:$IN$3,"&lt;="&amp;TODAY())-SUMIFS($AF676:$IN676,$AF$4:$IN$4,"SEW_ACT",$AF$3:$IN$3,"&lt;="&amp;TODAY())+N(Q676))/(SUMIFS($AF676:$IN676,$AF$4:$IN$4,"SEW_PLAN")/COUNTIFS($AF$4:$IN$4,"SEW_PLAN",$AF676:$IN676,"&gt;0")),1),0))</f>
        <v/>
      </c>
      <c r="AE676" s="26">
        <f>IF($E676="","",IF(AND(Z676&gt;0,OR(AND(M676&lt;&gt;"",TODAY()&gt;M676),AND(V676&lt;&gt;"",V676-TODAY()&lt;=7))),"Yes","No"))</f>
        <v/>
      </c>
      <c r="AH676">
        <f>IF(OR(AF$3="",AF$3&gt;TODAY()),"",IF(AND(AF676="",AG676=""),"",N(AG676)-N(AF676)))</f>
        <v/>
      </c>
      <c r="AK676">
        <f>IF(OR(AF$3="",AF$3&gt;TODAY()),"",IF(AND(AI676="",AJ676=""),"",N(AJ676)-N(AI676)))</f>
        <v/>
      </c>
      <c r="AO676">
        <f>IF(OR(AM$3="",AM$3&gt;TODAY()),"",IF(AND(AM676="",AN676=""),"",N(AN676)-N(AM676)))</f>
        <v/>
      </c>
      <c r="AR676">
        <f>IF(OR(AM$3="",AM$3&gt;TODAY()),"",IF(AND(AP676="",AQ676=""),"",N(AQ676)-N(AP676)))</f>
        <v/>
      </c>
      <c r="AV676">
        <f>IF(OR(AT$3="",AT$3&gt;TODAY()),"",IF(AND(AT676="",AU676=""),"",N(AU676)-N(AT676)))</f>
        <v/>
      </c>
      <c r="AY676">
        <f>IF(OR(AT$3="",AT$3&gt;TODAY()),"",IF(AND(AW676="",AX676=""),"",N(AX676)-N(AW676)))</f>
        <v/>
      </c>
      <c r="BC676">
        <f>IF(OR(BA$3="",BA$3&gt;TODAY()),"",IF(AND(BA676="",BB676=""),"",N(BB676)-N(BA676)))</f>
        <v/>
      </c>
      <c r="BF676">
        <f>IF(OR(BA$3="",BA$3&gt;TODAY()),"",IF(AND(BD676="",BE676=""),"",N(BE676)-N(BD676)))</f>
        <v/>
      </c>
      <c r="BJ676">
        <f>IF(OR(BH$3="",BH$3&gt;TODAY()),"",IF(AND(BH676="",BI676=""),"",N(BI676)-N(BH676)))</f>
        <v/>
      </c>
      <c r="BM676">
        <f>IF(OR(BH$3="",BH$3&gt;TODAY()),"",IF(AND(BK676="",BL676=""),"",N(BL676)-N(BK676)))</f>
        <v/>
      </c>
      <c r="BQ676">
        <f>IF(OR(BO$3="",BO$3&gt;TODAY()),"",IF(AND(BO676="",BP676=""),"",N(BP676)-N(BO676)))</f>
        <v/>
      </c>
      <c r="BT676">
        <f>IF(OR(BO$3="",BO$3&gt;TODAY()),"",IF(AND(BR676="",BS676=""),"",N(BS676)-N(BR676)))</f>
        <v/>
      </c>
      <c r="BX676">
        <f>IF(OR(BV$3="",BV$3&gt;TODAY()),"",IF(AND(BV676="",BW676=""),"",N(BW676)-N(BV676)))</f>
        <v/>
      </c>
      <c r="CA676">
        <f>IF(OR(BV$3="",BV$3&gt;TODAY()),"",IF(AND(BY676="",BZ676=""),"",N(BZ676)-N(BY676)))</f>
        <v/>
      </c>
      <c r="CE676">
        <f>IF(OR(CC$3="",CC$3&gt;TODAY()),"",IF(AND(CC676="",CD676=""),"",N(CD676)-N(CC676)))</f>
        <v/>
      </c>
      <c r="CH676">
        <f>IF(OR(CC$3="",CC$3&gt;TODAY()),"",IF(AND(CF676="",CG676=""),"",N(CG676)-N(CF676)))</f>
        <v/>
      </c>
      <c r="CL676">
        <f>IF(OR(CJ$3="",CJ$3&gt;TODAY()),"",IF(AND(CJ676="",CK676=""),"",N(CK676)-N(CJ676)))</f>
        <v/>
      </c>
      <c r="CO676">
        <f>IF(OR(CJ$3="",CJ$3&gt;TODAY()),"",IF(AND(CM676="",CN676=""),"",N(CN676)-N(CM676)))</f>
        <v/>
      </c>
      <c r="CS676">
        <f>IF(OR(CQ$3="",CQ$3&gt;TODAY()),"",IF(AND(CQ676="",CR676=""),"",N(CR676)-N(CQ676)))</f>
        <v/>
      </c>
      <c r="CV676">
        <f>IF(OR(CQ$3="",CQ$3&gt;TODAY()),"",IF(AND(CT676="",CU676=""),"",N(CU676)-N(CT676)))</f>
        <v/>
      </c>
      <c r="CZ676">
        <f>IF(OR(CX$3="",CX$3&gt;TODAY()),"",IF(AND(CX676="",CY676=""),"",N(CY676)-N(CX676)))</f>
        <v/>
      </c>
      <c r="DC676">
        <f>IF(OR(CX$3="",CX$3&gt;TODAY()),"",IF(AND(DA676="",DB676=""),"",N(DB676)-N(DA676)))</f>
        <v/>
      </c>
      <c r="DG676">
        <f>IF(OR(DE$3="",DE$3&gt;TODAY()),"",IF(AND(DE676="",DF676=""),"",N(DF676)-N(DE676)))</f>
        <v/>
      </c>
      <c r="DJ676">
        <f>IF(OR(DE$3="",DE$3&gt;TODAY()),"",IF(AND(DH676="",DI676=""),"",N(DI676)-N(DH676)))</f>
        <v/>
      </c>
      <c r="DN676">
        <f>IF(OR(DL$3="",DL$3&gt;TODAY()),"",IF(AND(DL676="",DM676=""),"",N(DM676)-N(DL676)))</f>
        <v/>
      </c>
      <c r="DQ676">
        <f>IF(OR(DL$3="",DL$3&gt;TODAY()),"",IF(AND(DO676="",DP676=""),"",N(DP676)-N(DO676)))</f>
        <v/>
      </c>
      <c r="DU676">
        <f>IF(OR(DS$3="",DS$3&gt;TODAY()),"",IF(AND(DS676="",DT676=""),"",N(DT676)-N(DS676)))</f>
        <v/>
      </c>
      <c r="DX676">
        <f>IF(OR(DS$3="",DS$3&gt;TODAY()),"",IF(AND(DV676="",DW676=""),"",N(DW676)-N(DV676)))</f>
        <v/>
      </c>
      <c r="EB676">
        <f>IF(OR(DZ$3="",DZ$3&gt;TODAY()),"",IF(AND(DZ676="",EA676=""),"",N(EA676)-N(DZ676)))</f>
        <v/>
      </c>
      <c r="EE676">
        <f>IF(OR(DZ$3="",DZ$3&gt;TODAY()),"",IF(AND(EC676="",ED676=""),"",N(ED676)-N(EC676)))</f>
        <v/>
      </c>
      <c r="EI676">
        <f>IF(OR(EG$3="",EG$3&gt;TODAY()),"",IF(AND(EG676="",EH676=""),"",N(EH676)-N(EG676)))</f>
        <v/>
      </c>
      <c r="EL676">
        <f>IF(OR(EG$3="",EG$3&gt;TODAY()),"",IF(AND(EJ676="",EK676=""),"",N(EK676)-N(EJ676)))</f>
        <v/>
      </c>
      <c r="EP676">
        <f>IF(OR(EN$3="",EN$3&gt;TODAY()),"",IF(AND(EN676="",EO676=""),"",N(EO676)-N(EN676)))</f>
        <v/>
      </c>
      <c r="ES676">
        <f>IF(OR(EN$3="",EN$3&gt;TODAY()),"",IF(AND(EQ676="",ER676=""),"",N(ER676)-N(EQ676)))</f>
        <v/>
      </c>
      <c r="EW676">
        <f>IF(OR(EU$3="",EU$3&gt;TODAY()),"",IF(AND(EU676="",EV676=""),"",N(EV676)-N(EU676)))</f>
        <v/>
      </c>
      <c r="EZ676">
        <f>IF(OR(EU$3="",EU$3&gt;TODAY()),"",IF(AND(EX676="",EY676=""),"",N(EY676)-N(EX676)))</f>
        <v/>
      </c>
      <c r="FD676">
        <f>IF(OR(FB$3="",FB$3&gt;TODAY()),"",IF(AND(FB676="",FC676=""),"",N(FC676)-N(FB676)))</f>
        <v/>
      </c>
      <c r="FG676">
        <f>IF(OR(FB$3="",FB$3&gt;TODAY()),"",IF(AND(FE676="",FF676=""),"",N(FF676)-N(FE676)))</f>
        <v/>
      </c>
      <c r="FK676">
        <f>IF(OR(FI$3="",FI$3&gt;TODAY()),"",IF(AND(FI676="",FJ676=""),"",N(FJ676)-N(FI676)))</f>
        <v/>
      </c>
      <c r="FN676">
        <f>IF(OR(FI$3="",FI$3&gt;TODAY()),"",IF(AND(FL676="",FM676=""),"",N(FM676)-N(FL676)))</f>
        <v/>
      </c>
      <c r="FR676">
        <f>IF(OR(FP$3="",FP$3&gt;TODAY()),"",IF(AND(FP676="",FQ676=""),"",N(FQ676)-N(FP676)))</f>
        <v/>
      </c>
      <c r="FU676">
        <f>IF(OR(FP$3="",FP$3&gt;TODAY()),"",IF(AND(FS676="",FT676=""),"",N(FT676)-N(FS676)))</f>
        <v/>
      </c>
      <c r="FY676">
        <f>IF(OR(FW$3="",FW$3&gt;TODAY()),"",IF(AND(FW676="",FX676=""),"",N(FX676)-N(FW676)))</f>
        <v/>
      </c>
      <c r="GB676">
        <f>IF(OR(FW$3="",FW$3&gt;TODAY()),"",IF(AND(FZ676="",GA676=""),"",N(GA676)-N(FZ676)))</f>
        <v/>
      </c>
      <c r="GF676">
        <f>IF(OR(GD$3="",GD$3&gt;TODAY()),"",IF(AND(GD676="",GE676=""),"",N(GE676)-N(GD676)))</f>
        <v/>
      </c>
      <c r="GI676">
        <f>IF(OR(GD$3="",GD$3&gt;TODAY()),"",IF(AND(GG676="",GH676=""),"",N(GH676)-N(GG676)))</f>
        <v/>
      </c>
      <c r="GM676">
        <f>IF(OR(GK$3="",GK$3&gt;TODAY()),"",IF(AND(GK676="",GL676=""),"",N(GL676)-N(GK676)))</f>
        <v/>
      </c>
      <c r="GP676">
        <f>IF(OR(GK$3="",GK$3&gt;TODAY()),"",IF(AND(GN676="",GO676=""),"",N(GO676)-N(GN676)))</f>
        <v/>
      </c>
      <c r="GT676">
        <f>IF(OR(GR$3="",GR$3&gt;TODAY()),"",IF(AND(GR676="",GS676=""),"",N(GS676)-N(GR676)))</f>
        <v/>
      </c>
      <c r="GW676">
        <f>IF(OR(GR$3="",GR$3&gt;TODAY()),"",IF(AND(GU676="",GV676=""),"",N(GV676)-N(GU676)))</f>
        <v/>
      </c>
      <c r="HA676">
        <f>IF(OR(GY$3="",GY$3&gt;TODAY()),"",IF(AND(GY676="",GZ676=""),"",N(GZ676)-N(GY676)))</f>
        <v/>
      </c>
      <c r="HD676">
        <f>IF(OR(GY$3="",GY$3&gt;TODAY()),"",IF(AND(HB676="",HC676=""),"",N(HC676)-N(HB676)))</f>
        <v/>
      </c>
      <c r="HH676">
        <f>IF(OR(HF$3="",HF$3&gt;TODAY()),"",IF(AND(HF676="",HG676=""),"",N(HG676)-N(HF676)))</f>
        <v/>
      </c>
      <c r="HK676">
        <f>IF(OR(HF$3="",HF$3&gt;TODAY()),"",IF(AND(HI676="",HJ676=""),"",N(HJ676)-N(HI676)))</f>
        <v/>
      </c>
      <c r="HO676">
        <f>IF(OR(HM$3="",HM$3&gt;TODAY()),"",IF(AND(HM676="",HN676=""),"",N(HN676)-N(HM676)))</f>
        <v/>
      </c>
      <c r="HR676">
        <f>IF(OR(HM$3="",HM$3&gt;TODAY()),"",IF(AND(HP676="",HQ676=""),"",N(HQ676)-N(HP676)))</f>
        <v/>
      </c>
      <c r="HV676">
        <f>IF(OR(HT$3="",HT$3&gt;TODAY()),"",IF(AND(HT676="",HU676=""),"",N(HU676)-N(HT676)))</f>
        <v/>
      </c>
      <c r="HY676">
        <f>IF(OR(HT$3="",HT$3&gt;TODAY()),"",IF(AND(HW676="",HX676=""),"",N(HX676)-N(HW676)))</f>
        <v/>
      </c>
      <c r="IC676">
        <f>IF(OR(IA$3="",IA$3&gt;TODAY()),"",IF(AND(IA676="",IB676=""),"",N(IB676)-N(IA676)))</f>
        <v/>
      </c>
      <c r="IF676">
        <f>IF(OR(IA$3="",IA$3&gt;TODAY()),"",IF(AND(ID676="",IE676=""),"",N(IE676)-N(ID676)))</f>
        <v/>
      </c>
      <c r="IJ676">
        <f>IF(OR(IH$3="",IH$3&gt;TODAY()),"",IF(AND(IH676="",II676=""),"",N(II676)-N(IH676)))</f>
        <v/>
      </c>
      <c r="IM676">
        <f>IF(OR(IH$3="",IH$3&gt;TODAY()),"",IF(AND(IK676="",IL676=""),"",N(IL676)-N(IK676)))</f>
        <v/>
      </c>
    </row>
    <row r="677">
      <c r="A677" s="21" t="n"/>
      <c r="B677" s="21" t="n"/>
      <c r="C677" s="21" t="n"/>
      <c r="D677" s="21" t="n"/>
      <c r="E677" s="21" t="n"/>
      <c r="F677" s="21" t="n"/>
      <c r="G677" s="21" t="n"/>
      <c r="H677" s="21" t="n"/>
      <c r="I677" s="22" t="n"/>
      <c r="J677" s="22" t="n"/>
      <c r="K677" s="23" t="n"/>
      <c r="L677" s="22" t="n"/>
      <c r="M677" s="22" t="n"/>
      <c r="N677" s="21" t="n"/>
      <c r="O677" s="23" t="n"/>
      <c r="P677" s="23" t="n"/>
      <c r="Q677" s="23" t="n"/>
      <c r="R677" s="23" t="n"/>
      <c r="S677" s="22" t="n"/>
      <c r="T677" s="23" t="n"/>
      <c r="U677" s="23" t="n"/>
      <c r="V677" s="24">
        <f>IF(J677&lt;&gt;"",J677,IF(I677&lt;&gt;"",I677,""))</f>
        <v/>
      </c>
      <c r="W677" s="25">
        <f>IF($E677="","",N(O677)+SUMIFS($AF677:$IN677,$AF$4:$IN$4,"SEW_ACT"))</f>
        <v/>
      </c>
      <c r="X677" s="25">
        <f>IF($E677="","",N(P677)+SUMIFS($AF677:$IN677,$AF$4:$IN$4,"WASH_ACT"))</f>
        <v/>
      </c>
      <c r="Y677" s="25">
        <f>IF($E677="","",W677-X677-N(T677)-N(U677))</f>
        <v/>
      </c>
      <c r="Z677" s="25">
        <f>IF($E677="","",IF(N(K677)-X677&lt;=0.02*N(K677),0,N(K677)-X677))</f>
        <v/>
      </c>
      <c r="AA677" s="24">
        <f>IF($E677="","",IF(S677&lt;&gt;"",S677,IF(N(O677)&gt;0,IF(L677&lt;&gt;"",L677,99999),IFERROR(1/(1/_xlfn.MINIFS($AF$3:$IN$3,$AF$4:$IN$4,"SEW_ACT",$AF677:$IN677,"&gt;0")),99999))))</f>
        <v/>
      </c>
      <c r="AB677" s="26">
        <f>IF(OR($E677="",Z677=0,V677=""),"",1+COUNTIFS(Z$8:Z$707,"&gt;0",V$8:V$707,"&lt;"&amp;V677)+COUNTIFS(Z$8:Z$707,"&gt;0",V$8:V$707,V677,AA$8:AA$707,"&lt;"&amp;AA677)+COUNTIFS(Z$8:Z$707,"&gt;0",V$8:V$707,V677,AA$8:AA$707,AA677,E$8:E$707,"&lt;"&amp;$E677))</f>
        <v/>
      </c>
      <c r="AC677" s="24">
        <f>IF(OR($E677="",Z677=0),"",IFERROR(TODAY()+ROUNDUP(Z677/(SUMIFS($AF677:$IN677,$AF$4:$IN$4,"WASH_ACT")/COUNTIFS($AF$4:$IN$4,"WASH_ACT",$AF677:$IN677,"&gt;0")),0),"no output yet"))</f>
        <v/>
      </c>
      <c r="AD677" s="26">
        <f>IF($E677="","",IFERROR(ROUND(MAX(0,SUMIFS($AF677:$IN677,$AF$4:$IN$4,"SEW_PLAN",$AF$3:$IN$3,"&lt;="&amp;TODAY())-SUMIFS($AF677:$IN677,$AF$4:$IN$4,"SEW_ACT",$AF$3:$IN$3,"&lt;="&amp;TODAY())+N(Q677))/(SUMIFS($AF677:$IN677,$AF$4:$IN$4,"SEW_PLAN")/COUNTIFS($AF$4:$IN$4,"SEW_PLAN",$AF677:$IN677,"&gt;0")),1),0))</f>
        <v/>
      </c>
      <c r="AE677" s="26">
        <f>IF($E677="","",IF(AND(Z677&gt;0,OR(AND(M677&lt;&gt;"",TODAY()&gt;M677),AND(V677&lt;&gt;"",V677-TODAY()&lt;=7))),"Yes","No"))</f>
        <v/>
      </c>
      <c r="AH677">
        <f>IF(OR(AF$3="",AF$3&gt;TODAY()),"",IF(AND(AF677="",AG677=""),"",N(AG677)-N(AF677)))</f>
        <v/>
      </c>
      <c r="AK677">
        <f>IF(OR(AF$3="",AF$3&gt;TODAY()),"",IF(AND(AI677="",AJ677=""),"",N(AJ677)-N(AI677)))</f>
        <v/>
      </c>
      <c r="AO677">
        <f>IF(OR(AM$3="",AM$3&gt;TODAY()),"",IF(AND(AM677="",AN677=""),"",N(AN677)-N(AM677)))</f>
        <v/>
      </c>
      <c r="AR677">
        <f>IF(OR(AM$3="",AM$3&gt;TODAY()),"",IF(AND(AP677="",AQ677=""),"",N(AQ677)-N(AP677)))</f>
        <v/>
      </c>
      <c r="AV677">
        <f>IF(OR(AT$3="",AT$3&gt;TODAY()),"",IF(AND(AT677="",AU677=""),"",N(AU677)-N(AT677)))</f>
        <v/>
      </c>
      <c r="AY677">
        <f>IF(OR(AT$3="",AT$3&gt;TODAY()),"",IF(AND(AW677="",AX677=""),"",N(AX677)-N(AW677)))</f>
        <v/>
      </c>
      <c r="BC677">
        <f>IF(OR(BA$3="",BA$3&gt;TODAY()),"",IF(AND(BA677="",BB677=""),"",N(BB677)-N(BA677)))</f>
        <v/>
      </c>
      <c r="BF677">
        <f>IF(OR(BA$3="",BA$3&gt;TODAY()),"",IF(AND(BD677="",BE677=""),"",N(BE677)-N(BD677)))</f>
        <v/>
      </c>
      <c r="BJ677">
        <f>IF(OR(BH$3="",BH$3&gt;TODAY()),"",IF(AND(BH677="",BI677=""),"",N(BI677)-N(BH677)))</f>
        <v/>
      </c>
      <c r="BM677">
        <f>IF(OR(BH$3="",BH$3&gt;TODAY()),"",IF(AND(BK677="",BL677=""),"",N(BL677)-N(BK677)))</f>
        <v/>
      </c>
      <c r="BQ677">
        <f>IF(OR(BO$3="",BO$3&gt;TODAY()),"",IF(AND(BO677="",BP677=""),"",N(BP677)-N(BO677)))</f>
        <v/>
      </c>
      <c r="BT677">
        <f>IF(OR(BO$3="",BO$3&gt;TODAY()),"",IF(AND(BR677="",BS677=""),"",N(BS677)-N(BR677)))</f>
        <v/>
      </c>
      <c r="BX677">
        <f>IF(OR(BV$3="",BV$3&gt;TODAY()),"",IF(AND(BV677="",BW677=""),"",N(BW677)-N(BV677)))</f>
        <v/>
      </c>
      <c r="CA677">
        <f>IF(OR(BV$3="",BV$3&gt;TODAY()),"",IF(AND(BY677="",BZ677=""),"",N(BZ677)-N(BY677)))</f>
        <v/>
      </c>
      <c r="CE677">
        <f>IF(OR(CC$3="",CC$3&gt;TODAY()),"",IF(AND(CC677="",CD677=""),"",N(CD677)-N(CC677)))</f>
        <v/>
      </c>
      <c r="CH677">
        <f>IF(OR(CC$3="",CC$3&gt;TODAY()),"",IF(AND(CF677="",CG677=""),"",N(CG677)-N(CF677)))</f>
        <v/>
      </c>
      <c r="CL677">
        <f>IF(OR(CJ$3="",CJ$3&gt;TODAY()),"",IF(AND(CJ677="",CK677=""),"",N(CK677)-N(CJ677)))</f>
        <v/>
      </c>
      <c r="CO677">
        <f>IF(OR(CJ$3="",CJ$3&gt;TODAY()),"",IF(AND(CM677="",CN677=""),"",N(CN677)-N(CM677)))</f>
        <v/>
      </c>
      <c r="CS677">
        <f>IF(OR(CQ$3="",CQ$3&gt;TODAY()),"",IF(AND(CQ677="",CR677=""),"",N(CR677)-N(CQ677)))</f>
        <v/>
      </c>
      <c r="CV677">
        <f>IF(OR(CQ$3="",CQ$3&gt;TODAY()),"",IF(AND(CT677="",CU677=""),"",N(CU677)-N(CT677)))</f>
        <v/>
      </c>
      <c r="CZ677">
        <f>IF(OR(CX$3="",CX$3&gt;TODAY()),"",IF(AND(CX677="",CY677=""),"",N(CY677)-N(CX677)))</f>
        <v/>
      </c>
      <c r="DC677">
        <f>IF(OR(CX$3="",CX$3&gt;TODAY()),"",IF(AND(DA677="",DB677=""),"",N(DB677)-N(DA677)))</f>
        <v/>
      </c>
      <c r="DG677">
        <f>IF(OR(DE$3="",DE$3&gt;TODAY()),"",IF(AND(DE677="",DF677=""),"",N(DF677)-N(DE677)))</f>
        <v/>
      </c>
      <c r="DJ677">
        <f>IF(OR(DE$3="",DE$3&gt;TODAY()),"",IF(AND(DH677="",DI677=""),"",N(DI677)-N(DH677)))</f>
        <v/>
      </c>
      <c r="DN677">
        <f>IF(OR(DL$3="",DL$3&gt;TODAY()),"",IF(AND(DL677="",DM677=""),"",N(DM677)-N(DL677)))</f>
        <v/>
      </c>
      <c r="DQ677">
        <f>IF(OR(DL$3="",DL$3&gt;TODAY()),"",IF(AND(DO677="",DP677=""),"",N(DP677)-N(DO677)))</f>
        <v/>
      </c>
      <c r="DU677">
        <f>IF(OR(DS$3="",DS$3&gt;TODAY()),"",IF(AND(DS677="",DT677=""),"",N(DT677)-N(DS677)))</f>
        <v/>
      </c>
      <c r="DX677">
        <f>IF(OR(DS$3="",DS$3&gt;TODAY()),"",IF(AND(DV677="",DW677=""),"",N(DW677)-N(DV677)))</f>
        <v/>
      </c>
      <c r="EB677">
        <f>IF(OR(DZ$3="",DZ$3&gt;TODAY()),"",IF(AND(DZ677="",EA677=""),"",N(EA677)-N(DZ677)))</f>
        <v/>
      </c>
      <c r="EE677">
        <f>IF(OR(DZ$3="",DZ$3&gt;TODAY()),"",IF(AND(EC677="",ED677=""),"",N(ED677)-N(EC677)))</f>
        <v/>
      </c>
      <c r="EI677">
        <f>IF(OR(EG$3="",EG$3&gt;TODAY()),"",IF(AND(EG677="",EH677=""),"",N(EH677)-N(EG677)))</f>
        <v/>
      </c>
      <c r="EL677">
        <f>IF(OR(EG$3="",EG$3&gt;TODAY()),"",IF(AND(EJ677="",EK677=""),"",N(EK677)-N(EJ677)))</f>
        <v/>
      </c>
      <c r="EP677">
        <f>IF(OR(EN$3="",EN$3&gt;TODAY()),"",IF(AND(EN677="",EO677=""),"",N(EO677)-N(EN677)))</f>
        <v/>
      </c>
      <c r="ES677">
        <f>IF(OR(EN$3="",EN$3&gt;TODAY()),"",IF(AND(EQ677="",ER677=""),"",N(ER677)-N(EQ677)))</f>
        <v/>
      </c>
      <c r="EW677">
        <f>IF(OR(EU$3="",EU$3&gt;TODAY()),"",IF(AND(EU677="",EV677=""),"",N(EV677)-N(EU677)))</f>
        <v/>
      </c>
      <c r="EZ677">
        <f>IF(OR(EU$3="",EU$3&gt;TODAY()),"",IF(AND(EX677="",EY677=""),"",N(EY677)-N(EX677)))</f>
        <v/>
      </c>
      <c r="FD677">
        <f>IF(OR(FB$3="",FB$3&gt;TODAY()),"",IF(AND(FB677="",FC677=""),"",N(FC677)-N(FB677)))</f>
        <v/>
      </c>
      <c r="FG677">
        <f>IF(OR(FB$3="",FB$3&gt;TODAY()),"",IF(AND(FE677="",FF677=""),"",N(FF677)-N(FE677)))</f>
        <v/>
      </c>
      <c r="FK677">
        <f>IF(OR(FI$3="",FI$3&gt;TODAY()),"",IF(AND(FI677="",FJ677=""),"",N(FJ677)-N(FI677)))</f>
        <v/>
      </c>
      <c r="FN677">
        <f>IF(OR(FI$3="",FI$3&gt;TODAY()),"",IF(AND(FL677="",FM677=""),"",N(FM677)-N(FL677)))</f>
        <v/>
      </c>
      <c r="FR677">
        <f>IF(OR(FP$3="",FP$3&gt;TODAY()),"",IF(AND(FP677="",FQ677=""),"",N(FQ677)-N(FP677)))</f>
        <v/>
      </c>
      <c r="FU677">
        <f>IF(OR(FP$3="",FP$3&gt;TODAY()),"",IF(AND(FS677="",FT677=""),"",N(FT677)-N(FS677)))</f>
        <v/>
      </c>
      <c r="FY677">
        <f>IF(OR(FW$3="",FW$3&gt;TODAY()),"",IF(AND(FW677="",FX677=""),"",N(FX677)-N(FW677)))</f>
        <v/>
      </c>
      <c r="GB677">
        <f>IF(OR(FW$3="",FW$3&gt;TODAY()),"",IF(AND(FZ677="",GA677=""),"",N(GA677)-N(FZ677)))</f>
        <v/>
      </c>
      <c r="GF677">
        <f>IF(OR(GD$3="",GD$3&gt;TODAY()),"",IF(AND(GD677="",GE677=""),"",N(GE677)-N(GD677)))</f>
        <v/>
      </c>
      <c r="GI677">
        <f>IF(OR(GD$3="",GD$3&gt;TODAY()),"",IF(AND(GG677="",GH677=""),"",N(GH677)-N(GG677)))</f>
        <v/>
      </c>
      <c r="GM677">
        <f>IF(OR(GK$3="",GK$3&gt;TODAY()),"",IF(AND(GK677="",GL677=""),"",N(GL677)-N(GK677)))</f>
        <v/>
      </c>
      <c r="GP677">
        <f>IF(OR(GK$3="",GK$3&gt;TODAY()),"",IF(AND(GN677="",GO677=""),"",N(GO677)-N(GN677)))</f>
        <v/>
      </c>
      <c r="GT677">
        <f>IF(OR(GR$3="",GR$3&gt;TODAY()),"",IF(AND(GR677="",GS677=""),"",N(GS677)-N(GR677)))</f>
        <v/>
      </c>
      <c r="GW677">
        <f>IF(OR(GR$3="",GR$3&gt;TODAY()),"",IF(AND(GU677="",GV677=""),"",N(GV677)-N(GU677)))</f>
        <v/>
      </c>
      <c r="HA677">
        <f>IF(OR(GY$3="",GY$3&gt;TODAY()),"",IF(AND(GY677="",GZ677=""),"",N(GZ677)-N(GY677)))</f>
        <v/>
      </c>
      <c r="HD677">
        <f>IF(OR(GY$3="",GY$3&gt;TODAY()),"",IF(AND(HB677="",HC677=""),"",N(HC677)-N(HB677)))</f>
        <v/>
      </c>
      <c r="HH677">
        <f>IF(OR(HF$3="",HF$3&gt;TODAY()),"",IF(AND(HF677="",HG677=""),"",N(HG677)-N(HF677)))</f>
        <v/>
      </c>
      <c r="HK677">
        <f>IF(OR(HF$3="",HF$3&gt;TODAY()),"",IF(AND(HI677="",HJ677=""),"",N(HJ677)-N(HI677)))</f>
        <v/>
      </c>
      <c r="HO677">
        <f>IF(OR(HM$3="",HM$3&gt;TODAY()),"",IF(AND(HM677="",HN677=""),"",N(HN677)-N(HM677)))</f>
        <v/>
      </c>
      <c r="HR677">
        <f>IF(OR(HM$3="",HM$3&gt;TODAY()),"",IF(AND(HP677="",HQ677=""),"",N(HQ677)-N(HP677)))</f>
        <v/>
      </c>
      <c r="HV677">
        <f>IF(OR(HT$3="",HT$3&gt;TODAY()),"",IF(AND(HT677="",HU677=""),"",N(HU677)-N(HT677)))</f>
        <v/>
      </c>
      <c r="HY677">
        <f>IF(OR(HT$3="",HT$3&gt;TODAY()),"",IF(AND(HW677="",HX677=""),"",N(HX677)-N(HW677)))</f>
        <v/>
      </c>
      <c r="IC677">
        <f>IF(OR(IA$3="",IA$3&gt;TODAY()),"",IF(AND(IA677="",IB677=""),"",N(IB677)-N(IA677)))</f>
        <v/>
      </c>
      <c r="IF677">
        <f>IF(OR(IA$3="",IA$3&gt;TODAY()),"",IF(AND(ID677="",IE677=""),"",N(IE677)-N(ID677)))</f>
        <v/>
      </c>
      <c r="IJ677">
        <f>IF(OR(IH$3="",IH$3&gt;TODAY()),"",IF(AND(IH677="",II677=""),"",N(II677)-N(IH677)))</f>
        <v/>
      </c>
      <c r="IM677">
        <f>IF(OR(IH$3="",IH$3&gt;TODAY()),"",IF(AND(IK677="",IL677=""),"",N(IL677)-N(IK677)))</f>
        <v/>
      </c>
    </row>
    <row r="678">
      <c r="A678" s="21" t="n"/>
      <c r="B678" s="21" t="n"/>
      <c r="C678" s="21" t="n"/>
      <c r="D678" s="21" t="n"/>
      <c r="E678" s="21" t="n"/>
      <c r="F678" s="21" t="n"/>
      <c r="G678" s="21" t="n"/>
      <c r="H678" s="21" t="n"/>
      <c r="I678" s="22" t="n"/>
      <c r="J678" s="22" t="n"/>
      <c r="K678" s="23" t="n"/>
      <c r="L678" s="22" t="n"/>
      <c r="M678" s="22" t="n"/>
      <c r="N678" s="21" t="n"/>
      <c r="O678" s="23" t="n"/>
      <c r="P678" s="23" t="n"/>
      <c r="Q678" s="23" t="n"/>
      <c r="R678" s="23" t="n"/>
      <c r="S678" s="22" t="n"/>
      <c r="T678" s="23" t="n"/>
      <c r="U678" s="23" t="n"/>
      <c r="V678" s="24">
        <f>IF(J678&lt;&gt;"",J678,IF(I678&lt;&gt;"",I678,""))</f>
        <v/>
      </c>
      <c r="W678" s="25">
        <f>IF($E678="","",N(O678)+SUMIFS($AF678:$IN678,$AF$4:$IN$4,"SEW_ACT"))</f>
        <v/>
      </c>
      <c r="X678" s="25">
        <f>IF($E678="","",N(P678)+SUMIFS($AF678:$IN678,$AF$4:$IN$4,"WASH_ACT"))</f>
        <v/>
      </c>
      <c r="Y678" s="25">
        <f>IF($E678="","",W678-X678-N(T678)-N(U678))</f>
        <v/>
      </c>
      <c r="Z678" s="25">
        <f>IF($E678="","",IF(N(K678)-X678&lt;=0.02*N(K678),0,N(K678)-X678))</f>
        <v/>
      </c>
      <c r="AA678" s="24">
        <f>IF($E678="","",IF(S678&lt;&gt;"",S678,IF(N(O678)&gt;0,IF(L678&lt;&gt;"",L678,99999),IFERROR(1/(1/_xlfn.MINIFS($AF$3:$IN$3,$AF$4:$IN$4,"SEW_ACT",$AF678:$IN678,"&gt;0")),99999))))</f>
        <v/>
      </c>
      <c r="AB678" s="26">
        <f>IF(OR($E678="",Z678=0,V678=""),"",1+COUNTIFS(Z$8:Z$707,"&gt;0",V$8:V$707,"&lt;"&amp;V678)+COUNTIFS(Z$8:Z$707,"&gt;0",V$8:V$707,V678,AA$8:AA$707,"&lt;"&amp;AA678)+COUNTIFS(Z$8:Z$707,"&gt;0",V$8:V$707,V678,AA$8:AA$707,AA678,E$8:E$707,"&lt;"&amp;$E678))</f>
        <v/>
      </c>
      <c r="AC678" s="24">
        <f>IF(OR($E678="",Z678=0),"",IFERROR(TODAY()+ROUNDUP(Z678/(SUMIFS($AF678:$IN678,$AF$4:$IN$4,"WASH_ACT")/COUNTIFS($AF$4:$IN$4,"WASH_ACT",$AF678:$IN678,"&gt;0")),0),"no output yet"))</f>
        <v/>
      </c>
      <c r="AD678" s="26">
        <f>IF($E678="","",IFERROR(ROUND(MAX(0,SUMIFS($AF678:$IN678,$AF$4:$IN$4,"SEW_PLAN",$AF$3:$IN$3,"&lt;="&amp;TODAY())-SUMIFS($AF678:$IN678,$AF$4:$IN$4,"SEW_ACT",$AF$3:$IN$3,"&lt;="&amp;TODAY())+N(Q678))/(SUMIFS($AF678:$IN678,$AF$4:$IN$4,"SEW_PLAN")/COUNTIFS($AF$4:$IN$4,"SEW_PLAN",$AF678:$IN678,"&gt;0")),1),0))</f>
        <v/>
      </c>
      <c r="AE678" s="26">
        <f>IF($E678="","",IF(AND(Z678&gt;0,OR(AND(M678&lt;&gt;"",TODAY()&gt;M678),AND(V678&lt;&gt;"",V678-TODAY()&lt;=7))),"Yes","No"))</f>
        <v/>
      </c>
      <c r="AH678">
        <f>IF(OR(AF$3="",AF$3&gt;TODAY()),"",IF(AND(AF678="",AG678=""),"",N(AG678)-N(AF678)))</f>
        <v/>
      </c>
      <c r="AK678">
        <f>IF(OR(AF$3="",AF$3&gt;TODAY()),"",IF(AND(AI678="",AJ678=""),"",N(AJ678)-N(AI678)))</f>
        <v/>
      </c>
      <c r="AO678">
        <f>IF(OR(AM$3="",AM$3&gt;TODAY()),"",IF(AND(AM678="",AN678=""),"",N(AN678)-N(AM678)))</f>
        <v/>
      </c>
      <c r="AR678">
        <f>IF(OR(AM$3="",AM$3&gt;TODAY()),"",IF(AND(AP678="",AQ678=""),"",N(AQ678)-N(AP678)))</f>
        <v/>
      </c>
      <c r="AV678">
        <f>IF(OR(AT$3="",AT$3&gt;TODAY()),"",IF(AND(AT678="",AU678=""),"",N(AU678)-N(AT678)))</f>
        <v/>
      </c>
      <c r="AY678">
        <f>IF(OR(AT$3="",AT$3&gt;TODAY()),"",IF(AND(AW678="",AX678=""),"",N(AX678)-N(AW678)))</f>
        <v/>
      </c>
      <c r="BC678">
        <f>IF(OR(BA$3="",BA$3&gt;TODAY()),"",IF(AND(BA678="",BB678=""),"",N(BB678)-N(BA678)))</f>
        <v/>
      </c>
      <c r="BF678">
        <f>IF(OR(BA$3="",BA$3&gt;TODAY()),"",IF(AND(BD678="",BE678=""),"",N(BE678)-N(BD678)))</f>
        <v/>
      </c>
      <c r="BJ678">
        <f>IF(OR(BH$3="",BH$3&gt;TODAY()),"",IF(AND(BH678="",BI678=""),"",N(BI678)-N(BH678)))</f>
        <v/>
      </c>
      <c r="BM678">
        <f>IF(OR(BH$3="",BH$3&gt;TODAY()),"",IF(AND(BK678="",BL678=""),"",N(BL678)-N(BK678)))</f>
        <v/>
      </c>
      <c r="BQ678">
        <f>IF(OR(BO$3="",BO$3&gt;TODAY()),"",IF(AND(BO678="",BP678=""),"",N(BP678)-N(BO678)))</f>
        <v/>
      </c>
      <c r="BT678">
        <f>IF(OR(BO$3="",BO$3&gt;TODAY()),"",IF(AND(BR678="",BS678=""),"",N(BS678)-N(BR678)))</f>
        <v/>
      </c>
      <c r="BX678">
        <f>IF(OR(BV$3="",BV$3&gt;TODAY()),"",IF(AND(BV678="",BW678=""),"",N(BW678)-N(BV678)))</f>
        <v/>
      </c>
      <c r="CA678">
        <f>IF(OR(BV$3="",BV$3&gt;TODAY()),"",IF(AND(BY678="",BZ678=""),"",N(BZ678)-N(BY678)))</f>
        <v/>
      </c>
      <c r="CE678">
        <f>IF(OR(CC$3="",CC$3&gt;TODAY()),"",IF(AND(CC678="",CD678=""),"",N(CD678)-N(CC678)))</f>
        <v/>
      </c>
      <c r="CH678">
        <f>IF(OR(CC$3="",CC$3&gt;TODAY()),"",IF(AND(CF678="",CG678=""),"",N(CG678)-N(CF678)))</f>
        <v/>
      </c>
      <c r="CL678">
        <f>IF(OR(CJ$3="",CJ$3&gt;TODAY()),"",IF(AND(CJ678="",CK678=""),"",N(CK678)-N(CJ678)))</f>
        <v/>
      </c>
      <c r="CO678">
        <f>IF(OR(CJ$3="",CJ$3&gt;TODAY()),"",IF(AND(CM678="",CN678=""),"",N(CN678)-N(CM678)))</f>
        <v/>
      </c>
      <c r="CS678">
        <f>IF(OR(CQ$3="",CQ$3&gt;TODAY()),"",IF(AND(CQ678="",CR678=""),"",N(CR678)-N(CQ678)))</f>
        <v/>
      </c>
      <c r="CV678">
        <f>IF(OR(CQ$3="",CQ$3&gt;TODAY()),"",IF(AND(CT678="",CU678=""),"",N(CU678)-N(CT678)))</f>
        <v/>
      </c>
      <c r="CZ678">
        <f>IF(OR(CX$3="",CX$3&gt;TODAY()),"",IF(AND(CX678="",CY678=""),"",N(CY678)-N(CX678)))</f>
        <v/>
      </c>
      <c r="DC678">
        <f>IF(OR(CX$3="",CX$3&gt;TODAY()),"",IF(AND(DA678="",DB678=""),"",N(DB678)-N(DA678)))</f>
        <v/>
      </c>
      <c r="DG678">
        <f>IF(OR(DE$3="",DE$3&gt;TODAY()),"",IF(AND(DE678="",DF678=""),"",N(DF678)-N(DE678)))</f>
        <v/>
      </c>
      <c r="DJ678">
        <f>IF(OR(DE$3="",DE$3&gt;TODAY()),"",IF(AND(DH678="",DI678=""),"",N(DI678)-N(DH678)))</f>
        <v/>
      </c>
      <c r="DN678">
        <f>IF(OR(DL$3="",DL$3&gt;TODAY()),"",IF(AND(DL678="",DM678=""),"",N(DM678)-N(DL678)))</f>
        <v/>
      </c>
      <c r="DQ678">
        <f>IF(OR(DL$3="",DL$3&gt;TODAY()),"",IF(AND(DO678="",DP678=""),"",N(DP678)-N(DO678)))</f>
        <v/>
      </c>
      <c r="DU678">
        <f>IF(OR(DS$3="",DS$3&gt;TODAY()),"",IF(AND(DS678="",DT678=""),"",N(DT678)-N(DS678)))</f>
        <v/>
      </c>
      <c r="DX678">
        <f>IF(OR(DS$3="",DS$3&gt;TODAY()),"",IF(AND(DV678="",DW678=""),"",N(DW678)-N(DV678)))</f>
        <v/>
      </c>
      <c r="EB678">
        <f>IF(OR(DZ$3="",DZ$3&gt;TODAY()),"",IF(AND(DZ678="",EA678=""),"",N(EA678)-N(DZ678)))</f>
        <v/>
      </c>
      <c r="EE678">
        <f>IF(OR(DZ$3="",DZ$3&gt;TODAY()),"",IF(AND(EC678="",ED678=""),"",N(ED678)-N(EC678)))</f>
        <v/>
      </c>
      <c r="EI678">
        <f>IF(OR(EG$3="",EG$3&gt;TODAY()),"",IF(AND(EG678="",EH678=""),"",N(EH678)-N(EG678)))</f>
        <v/>
      </c>
      <c r="EL678">
        <f>IF(OR(EG$3="",EG$3&gt;TODAY()),"",IF(AND(EJ678="",EK678=""),"",N(EK678)-N(EJ678)))</f>
        <v/>
      </c>
      <c r="EP678">
        <f>IF(OR(EN$3="",EN$3&gt;TODAY()),"",IF(AND(EN678="",EO678=""),"",N(EO678)-N(EN678)))</f>
        <v/>
      </c>
      <c r="ES678">
        <f>IF(OR(EN$3="",EN$3&gt;TODAY()),"",IF(AND(EQ678="",ER678=""),"",N(ER678)-N(EQ678)))</f>
        <v/>
      </c>
      <c r="EW678">
        <f>IF(OR(EU$3="",EU$3&gt;TODAY()),"",IF(AND(EU678="",EV678=""),"",N(EV678)-N(EU678)))</f>
        <v/>
      </c>
      <c r="EZ678">
        <f>IF(OR(EU$3="",EU$3&gt;TODAY()),"",IF(AND(EX678="",EY678=""),"",N(EY678)-N(EX678)))</f>
        <v/>
      </c>
      <c r="FD678">
        <f>IF(OR(FB$3="",FB$3&gt;TODAY()),"",IF(AND(FB678="",FC678=""),"",N(FC678)-N(FB678)))</f>
        <v/>
      </c>
      <c r="FG678">
        <f>IF(OR(FB$3="",FB$3&gt;TODAY()),"",IF(AND(FE678="",FF678=""),"",N(FF678)-N(FE678)))</f>
        <v/>
      </c>
      <c r="FK678">
        <f>IF(OR(FI$3="",FI$3&gt;TODAY()),"",IF(AND(FI678="",FJ678=""),"",N(FJ678)-N(FI678)))</f>
        <v/>
      </c>
      <c r="FN678">
        <f>IF(OR(FI$3="",FI$3&gt;TODAY()),"",IF(AND(FL678="",FM678=""),"",N(FM678)-N(FL678)))</f>
        <v/>
      </c>
      <c r="FR678">
        <f>IF(OR(FP$3="",FP$3&gt;TODAY()),"",IF(AND(FP678="",FQ678=""),"",N(FQ678)-N(FP678)))</f>
        <v/>
      </c>
      <c r="FU678">
        <f>IF(OR(FP$3="",FP$3&gt;TODAY()),"",IF(AND(FS678="",FT678=""),"",N(FT678)-N(FS678)))</f>
        <v/>
      </c>
      <c r="FY678">
        <f>IF(OR(FW$3="",FW$3&gt;TODAY()),"",IF(AND(FW678="",FX678=""),"",N(FX678)-N(FW678)))</f>
        <v/>
      </c>
      <c r="GB678">
        <f>IF(OR(FW$3="",FW$3&gt;TODAY()),"",IF(AND(FZ678="",GA678=""),"",N(GA678)-N(FZ678)))</f>
        <v/>
      </c>
      <c r="GF678">
        <f>IF(OR(GD$3="",GD$3&gt;TODAY()),"",IF(AND(GD678="",GE678=""),"",N(GE678)-N(GD678)))</f>
        <v/>
      </c>
      <c r="GI678">
        <f>IF(OR(GD$3="",GD$3&gt;TODAY()),"",IF(AND(GG678="",GH678=""),"",N(GH678)-N(GG678)))</f>
        <v/>
      </c>
      <c r="GM678">
        <f>IF(OR(GK$3="",GK$3&gt;TODAY()),"",IF(AND(GK678="",GL678=""),"",N(GL678)-N(GK678)))</f>
        <v/>
      </c>
      <c r="GP678">
        <f>IF(OR(GK$3="",GK$3&gt;TODAY()),"",IF(AND(GN678="",GO678=""),"",N(GO678)-N(GN678)))</f>
        <v/>
      </c>
      <c r="GT678">
        <f>IF(OR(GR$3="",GR$3&gt;TODAY()),"",IF(AND(GR678="",GS678=""),"",N(GS678)-N(GR678)))</f>
        <v/>
      </c>
      <c r="GW678">
        <f>IF(OR(GR$3="",GR$3&gt;TODAY()),"",IF(AND(GU678="",GV678=""),"",N(GV678)-N(GU678)))</f>
        <v/>
      </c>
      <c r="HA678">
        <f>IF(OR(GY$3="",GY$3&gt;TODAY()),"",IF(AND(GY678="",GZ678=""),"",N(GZ678)-N(GY678)))</f>
        <v/>
      </c>
      <c r="HD678">
        <f>IF(OR(GY$3="",GY$3&gt;TODAY()),"",IF(AND(HB678="",HC678=""),"",N(HC678)-N(HB678)))</f>
        <v/>
      </c>
      <c r="HH678">
        <f>IF(OR(HF$3="",HF$3&gt;TODAY()),"",IF(AND(HF678="",HG678=""),"",N(HG678)-N(HF678)))</f>
        <v/>
      </c>
      <c r="HK678">
        <f>IF(OR(HF$3="",HF$3&gt;TODAY()),"",IF(AND(HI678="",HJ678=""),"",N(HJ678)-N(HI678)))</f>
        <v/>
      </c>
      <c r="HO678">
        <f>IF(OR(HM$3="",HM$3&gt;TODAY()),"",IF(AND(HM678="",HN678=""),"",N(HN678)-N(HM678)))</f>
        <v/>
      </c>
      <c r="HR678">
        <f>IF(OR(HM$3="",HM$3&gt;TODAY()),"",IF(AND(HP678="",HQ678=""),"",N(HQ678)-N(HP678)))</f>
        <v/>
      </c>
      <c r="HV678">
        <f>IF(OR(HT$3="",HT$3&gt;TODAY()),"",IF(AND(HT678="",HU678=""),"",N(HU678)-N(HT678)))</f>
        <v/>
      </c>
      <c r="HY678">
        <f>IF(OR(HT$3="",HT$3&gt;TODAY()),"",IF(AND(HW678="",HX678=""),"",N(HX678)-N(HW678)))</f>
        <v/>
      </c>
      <c r="IC678">
        <f>IF(OR(IA$3="",IA$3&gt;TODAY()),"",IF(AND(IA678="",IB678=""),"",N(IB678)-N(IA678)))</f>
        <v/>
      </c>
      <c r="IF678">
        <f>IF(OR(IA$3="",IA$3&gt;TODAY()),"",IF(AND(ID678="",IE678=""),"",N(IE678)-N(ID678)))</f>
        <v/>
      </c>
      <c r="IJ678">
        <f>IF(OR(IH$3="",IH$3&gt;TODAY()),"",IF(AND(IH678="",II678=""),"",N(II678)-N(IH678)))</f>
        <v/>
      </c>
      <c r="IM678">
        <f>IF(OR(IH$3="",IH$3&gt;TODAY()),"",IF(AND(IK678="",IL678=""),"",N(IL678)-N(IK678)))</f>
        <v/>
      </c>
    </row>
    <row r="679">
      <c r="A679" s="21" t="n"/>
      <c r="B679" s="21" t="n"/>
      <c r="C679" s="21" t="n"/>
      <c r="D679" s="21" t="n"/>
      <c r="E679" s="21" t="n"/>
      <c r="F679" s="21" t="n"/>
      <c r="G679" s="21" t="n"/>
      <c r="H679" s="21" t="n"/>
      <c r="I679" s="22" t="n"/>
      <c r="J679" s="22" t="n"/>
      <c r="K679" s="23" t="n"/>
      <c r="L679" s="22" t="n"/>
      <c r="M679" s="22" t="n"/>
      <c r="N679" s="21" t="n"/>
      <c r="O679" s="23" t="n"/>
      <c r="P679" s="23" t="n"/>
      <c r="Q679" s="23" t="n"/>
      <c r="R679" s="23" t="n"/>
      <c r="S679" s="22" t="n"/>
      <c r="T679" s="23" t="n"/>
      <c r="U679" s="23" t="n"/>
      <c r="V679" s="24">
        <f>IF(J679&lt;&gt;"",J679,IF(I679&lt;&gt;"",I679,""))</f>
        <v/>
      </c>
      <c r="W679" s="25">
        <f>IF($E679="","",N(O679)+SUMIFS($AF679:$IN679,$AF$4:$IN$4,"SEW_ACT"))</f>
        <v/>
      </c>
      <c r="X679" s="25">
        <f>IF($E679="","",N(P679)+SUMIFS($AF679:$IN679,$AF$4:$IN$4,"WASH_ACT"))</f>
        <v/>
      </c>
      <c r="Y679" s="25">
        <f>IF($E679="","",W679-X679-N(T679)-N(U679))</f>
        <v/>
      </c>
      <c r="Z679" s="25">
        <f>IF($E679="","",IF(N(K679)-X679&lt;=0.02*N(K679),0,N(K679)-X679))</f>
        <v/>
      </c>
      <c r="AA679" s="24">
        <f>IF($E679="","",IF(S679&lt;&gt;"",S679,IF(N(O679)&gt;0,IF(L679&lt;&gt;"",L679,99999),IFERROR(1/(1/_xlfn.MINIFS($AF$3:$IN$3,$AF$4:$IN$4,"SEW_ACT",$AF679:$IN679,"&gt;0")),99999))))</f>
        <v/>
      </c>
      <c r="AB679" s="26">
        <f>IF(OR($E679="",Z679=0,V679=""),"",1+COUNTIFS(Z$8:Z$707,"&gt;0",V$8:V$707,"&lt;"&amp;V679)+COUNTIFS(Z$8:Z$707,"&gt;0",V$8:V$707,V679,AA$8:AA$707,"&lt;"&amp;AA679)+COUNTIFS(Z$8:Z$707,"&gt;0",V$8:V$707,V679,AA$8:AA$707,AA679,E$8:E$707,"&lt;"&amp;$E679))</f>
        <v/>
      </c>
      <c r="AC679" s="24">
        <f>IF(OR($E679="",Z679=0),"",IFERROR(TODAY()+ROUNDUP(Z679/(SUMIFS($AF679:$IN679,$AF$4:$IN$4,"WASH_ACT")/COUNTIFS($AF$4:$IN$4,"WASH_ACT",$AF679:$IN679,"&gt;0")),0),"no output yet"))</f>
        <v/>
      </c>
      <c r="AD679" s="26">
        <f>IF($E679="","",IFERROR(ROUND(MAX(0,SUMIFS($AF679:$IN679,$AF$4:$IN$4,"SEW_PLAN",$AF$3:$IN$3,"&lt;="&amp;TODAY())-SUMIFS($AF679:$IN679,$AF$4:$IN$4,"SEW_ACT",$AF$3:$IN$3,"&lt;="&amp;TODAY())+N(Q679))/(SUMIFS($AF679:$IN679,$AF$4:$IN$4,"SEW_PLAN")/COUNTIFS($AF$4:$IN$4,"SEW_PLAN",$AF679:$IN679,"&gt;0")),1),0))</f>
        <v/>
      </c>
      <c r="AE679" s="26">
        <f>IF($E679="","",IF(AND(Z679&gt;0,OR(AND(M679&lt;&gt;"",TODAY()&gt;M679),AND(V679&lt;&gt;"",V679-TODAY()&lt;=7))),"Yes","No"))</f>
        <v/>
      </c>
      <c r="AH679">
        <f>IF(OR(AF$3="",AF$3&gt;TODAY()),"",IF(AND(AF679="",AG679=""),"",N(AG679)-N(AF679)))</f>
        <v/>
      </c>
      <c r="AK679">
        <f>IF(OR(AF$3="",AF$3&gt;TODAY()),"",IF(AND(AI679="",AJ679=""),"",N(AJ679)-N(AI679)))</f>
        <v/>
      </c>
      <c r="AO679">
        <f>IF(OR(AM$3="",AM$3&gt;TODAY()),"",IF(AND(AM679="",AN679=""),"",N(AN679)-N(AM679)))</f>
        <v/>
      </c>
      <c r="AR679">
        <f>IF(OR(AM$3="",AM$3&gt;TODAY()),"",IF(AND(AP679="",AQ679=""),"",N(AQ679)-N(AP679)))</f>
        <v/>
      </c>
      <c r="AV679">
        <f>IF(OR(AT$3="",AT$3&gt;TODAY()),"",IF(AND(AT679="",AU679=""),"",N(AU679)-N(AT679)))</f>
        <v/>
      </c>
      <c r="AY679">
        <f>IF(OR(AT$3="",AT$3&gt;TODAY()),"",IF(AND(AW679="",AX679=""),"",N(AX679)-N(AW679)))</f>
        <v/>
      </c>
      <c r="BC679">
        <f>IF(OR(BA$3="",BA$3&gt;TODAY()),"",IF(AND(BA679="",BB679=""),"",N(BB679)-N(BA679)))</f>
        <v/>
      </c>
      <c r="BF679">
        <f>IF(OR(BA$3="",BA$3&gt;TODAY()),"",IF(AND(BD679="",BE679=""),"",N(BE679)-N(BD679)))</f>
        <v/>
      </c>
      <c r="BJ679">
        <f>IF(OR(BH$3="",BH$3&gt;TODAY()),"",IF(AND(BH679="",BI679=""),"",N(BI679)-N(BH679)))</f>
        <v/>
      </c>
      <c r="BM679">
        <f>IF(OR(BH$3="",BH$3&gt;TODAY()),"",IF(AND(BK679="",BL679=""),"",N(BL679)-N(BK679)))</f>
        <v/>
      </c>
      <c r="BQ679">
        <f>IF(OR(BO$3="",BO$3&gt;TODAY()),"",IF(AND(BO679="",BP679=""),"",N(BP679)-N(BO679)))</f>
        <v/>
      </c>
      <c r="BT679">
        <f>IF(OR(BO$3="",BO$3&gt;TODAY()),"",IF(AND(BR679="",BS679=""),"",N(BS679)-N(BR679)))</f>
        <v/>
      </c>
      <c r="BX679">
        <f>IF(OR(BV$3="",BV$3&gt;TODAY()),"",IF(AND(BV679="",BW679=""),"",N(BW679)-N(BV679)))</f>
        <v/>
      </c>
      <c r="CA679">
        <f>IF(OR(BV$3="",BV$3&gt;TODAY()),"",IF(AND(BY679="",BZ679=""),"",N(BZ679)-N(BY679)))</f>
        <v/>
      </c>
      <c r="CE679">
        <f>IF(OR(CC$3="",CC$3&gt;TODAY()),"",IF(AND(CC679="",CD679=""),"",N(CD679)-N(CC679)))</f>
        <v/>
      </c>
      <c r="CH679">
        <f>IF(OR(CC$3="",CC$3&gt;TODAY()),"",IF(AND(CF679="",CG679=""),"",N(CG679)-N(CF679)))</f>
        <v/>
      </c>
      <c r="CL679">
        <f>IF(OR(CJ$3="",CJ$3&gt;TODAY()),"",IF(AND(CJ679="",CK679=""),"",N(CK679)-N(CJ679)))</f>
        <v/>
      </c>
      <c r="CO679">
        <f>IF(OR(CJ$3="",CJ$3&gt;TODAY()),"",IF(AND(CM679="",CN679=""),"",N(CN679)-N(CM679)))</f>
        <v/>
      </c>
      <c r="CS679">
        <f>IF(OR(CQ$3="",CQ$3&gt;TODAY()),"",IF(AND(CQ679="",CR679=""),"",N(CR679)-N(CQ679)))</f>
        <v/>
      </c>
      <c r="CV679">
        <f>IF(OR(CQ$3="",CQ$3&gt;TODAY()),"",IF(AND(CT679="",CU679=""),"",N(CU679)-N(CT679)))</f>
        <v/>
      </c>
      <c r="CZ679">
        <f>IF(OR(CX$3="",CX$3&gt;TODAY()),"",IF(AND(CX679="",CY679=""),"",N(CY679)-N(CX679)))</f>
        <v/>
      </c>
      <c r="DC679">
        <f>IF(OR(CX$3="",CX$3&gt;TODAY()),"",IF(AND(DA679="",DB679=""),"",N(DB679)-N(DA679)))</f>
        <v/>
      </c>
      <c r="DG679">
        <f>IF(OR(DE$3="",DE$3&gt;TODAY()),"",IF(AND(DE679="",DF679=""),"",N(DF679)-N(DE679)))</f>
        <v/>
      </c>
      <c r="DJ679">
        <f>IF(OR(DE$3="",DE$3&gt;TODAY()),"",IF(AND(DH679="",DI679=""),"",N(DI679)-N(DH679)))</f>
        <v/>
      </c>
      <c r="DN679">
        <f>IF(OR(DL$3="",DL$3&gt;TODAY()),"",IF(AND(DL679="",DM679=""),"",N(DM679)-N(DL679)))</f>
        <v/>
      </c>
      <c r="DQ679">
        <f>IF(OR(DL$3="",DL$3&gt;TODAY()),"",IF(AND(DO679="",DP679=""),"",N(DP679)-N(DO679)))</f>
        <v/>
      </c>
      <c r="DU679">
        <f>IF(OR(DS$3="",DS$3&gt;TODAY()),"",IF(AND(DS679="",DT679=""),"",N(DT679)-N(DS679)))</f>
        <v/>
      </c>
      <c r="DX679">
        <f>IF(OR(DS$3="",DS$3&gt;TODAY()),"",IF(AND(DV679="",DW679=""),"",N(DW679)-N(DV679)))</f>
        <v/>
      </c>
      <c r="EB679">
        <f>IF(OR(DZ$3="",DZ$3&gt;TODAY()),"",IF(AND(DZ679="",EA679=""),"",N(EA679)-N(DZ679)))</f>
        <v/>
      </c>
      <c r="EE679">
        <f>IF(OR(DZ$3="",DZ$3&gt;TODAY()),"",IF(AND(EC679="",ED679=""),"",N(ED679)-N(EC679)))</f>
        <v/>
      </c>
      <c r="EI679">
        <f>IF(OR(EG$3="",EG$3&gt;TODAY()),"",IF(AND(EG679="",EH679=""),"",N(EH679)-N(EG679)))</f>
        <v/>
      </c>
      <c r="EL679">
        <f>IF(OR(EG$3="",EG$3&gt;TODAY()),"",IF(AND(EJ679="",EK679=""),"",N(EK679)-N(EJ679)))</f>
        <v/>
      </c>
      <c r="EP679">
        <f>IF(OR(EN$3="",EN$3&gt;TODAY()),"",IF(AND(EN679="",EO679=""),"",N(EO679)-N(EN679)))</f>
        <v/>
      </c>
      <c r="ES679">
        <f>IF(OR(EN$3="",EN$3&gt;TODAY()),"",IF(AND(EQ679="",ER679=""),"",N(ER679)-N(EQ679)))</f>
        <v/>
      </c>
      <c r="EW679">
        <f>IF(OR(EU$3="",EU$3&gt;TODAY()),"",IF(AND(EU679="",EV679=""),"",N(EV679)-N(EU679)))</f>
        <v/>
      </c>
      <c r="EZ679">
        <f>IF(OR(EU$3="",EU$3&gt;TODAY()),"",IF(AND(EX679="",EY679=""),"",N(EY679)-N(EX679)))</f>
        <v/>
      </c>
      <c r="FD679">
        <f>IF(OR(FB$3="",FB$3&gt;TODAY()),"",IF(AND(FB679="",FC679=""),"",N(FC679)-N(FB679)))</f>
        <v/>
      </c>
      <c r="FG679">
        <f>IF(OR(FB$3="",FB$3&gt;TODAY()),"",IF(AND(FE679="",FF679=""),"",N(FF679)-N(FE679)))</f>
        <v/>
      </c>
      <c r="FK679">
        <f>IF(OR(FI$3="",FI$3&gt;TODAY()),"",IF(AND(FI679="",FJ679=""),"",N(FJ679)-N(FI679)))</f>
        <v/>
      </c>
      <c r="FN679">
        <f>IF(OR(FI$3="",FI$3&gt;TODAY()),"",IF(AND(FL679="",FM679=""),"",N(FM679)-N(FL679)))</f>
        <v/>
      </c>
      <c r="FR679">
        <f>IF(OR(FP$3="",FP$3&gt;TODAY()),"",IF(AND(FP679="",FQ679=""),"",N(FQ679)-N(FP679)))</f>
        <v/>
      </c>
      <c r="FU679">
        <f>IF(OR(FP$3="",FP$3&gt;TODAY()),"",IF(AND(FS679="",FT679=""),"",N(FT679)-N(FS679)))</f>
        <v/>
      </c>
      <c r="FY679">
        <f>IF(OR(FW$3="",FW$3&gt;TODAY()),"",IF(AND(FW679="",FX679=""),"",N(FX679)-N(FW679)))</f>
        <v/>
      </c>
      <c r="GB679">
        <f>IF(OR(FW$3="",FW$3&gt;TODAY()),"",IF(AND(FZ679="",GA679=""),"",N(GA679)-N(FZ679)))</f>
        <v/>
      </c>
      <c r="GF679">
        <f>IF(OR(GD$3="",GD$3&gt;TODAY()),"",IF(AND(GD679="",GE679=""),"",N(GE679)-N(GD679)))</f>
        <v/>
      </c>
      <c r="GI679">
        <f>IF(OR(GD$3="",GD$3&gt;TODAY()),"",IF(AND(GG679="",GH679=""),"",N(GH679)-N(GG679)))</f>
        <v/>
      </c>
      <c r="GM679">
        <f>IF(OR(GK$3="",GK$3&gt;TODAY()),"",IF(AND(GK679="",GL679=""),"",N(GL679)-N(GK679)))</f>
        <v/>
      </c>
      <c r="GP679">
        <f>IF(OR(GK$3="",GK$3&gt;TODAY()),"",IF(AND(GN679="",GO679=""),"",N(GO679)-N(GN679)))</f>
        <v/>
      </c>
      <c r="GT679">
        <f>IF(OR(GR$3="",GR$3&gt;TODAY()),"",IF(AND(GR679="",GS679=""),"",N(GS679)-N(GR679)))</f>
        <v/>
      </c>
      <c r="GW679">
        <f>IF(OR(GR$3="",GR$3&gt;TODAY()),"",IF(AND(GU679="",GV679=""),"",N(GV679)-N(GU679)))</f>
        <v/>
      </c>
      <c r="HA679">
        <f>IF(OR(GY$3="",GY$3&gt;TODAY()),"",IF(AND(GY679="",GZ679=""),"",N(GZ679)-N(GY679)))</f>
        <v/>
      </c>
      <c r="HD679">
        <f>IF(OR(GY$3="",GY$3&gt;TODAY()),"",IF(AND(HB679="",HC679=""),"",N(HC679)-N(HB679)))</f>
        <v/>
      </c>
      <c r="HH679">
        <f>IF(OR(HF$3="",HF$3&gt;TODAY()),"",IF(AND(HF679="",HG679=""),"",N(HG679)-N(HF679)))</f>
        <v/>
      </c>
      <c r="HK679">
        <f>IF(OR(HF$3="",HF$3&gt;TODAY()),"",IF(AND(HI679="",HJ679=""),"",N(HJ679)-N(HI679)))</f>
        <v/>
      </c>
      <c r="HO679">
        <f>IF(OR(HM$3="",HM$3&gt;TODAY()),"",IF(AND(HM679="",HN679=""),"",N(HN679)-N(HM679)))</f>
        <v/>
      </c>
      <c r="HR679">
        <f>IF(OR(HM$3="",HM$3&gt;TODAY()),"",IF(AND(HP679="",HQ679=""),"",N(HQ679)-N(HP679)))</f>
        <v/>
      </c>
      <c r="HV679">
        <f>IF(OR(HT$3="",HT$3&gt;TODAY()),"",IF(AND(HT679="",HU679=""),"",N(HU679)-N(HT679)))</f>
        <v/>
      </c>
      <c r="HY679">
        <f>IF(OR(HT$3="",HT$3&gt;TODAY()),"",IF(AND(HW679="",HX679=""),"",N(HX679)-N(HW679)))</f>
        <v/>
      </c>
      <c r="IC679">
        <f>IF(OR(IA$3="",IA$3&gt;TODAY()),"",IF(AND(IA679="",IB679=""),"",N(IB679)-N(IA679)))</f>
        <v/>
      </c>
      <c r="IF679">
        <f>IF(OR(IA$3="",IA$3&gt;TODAY()),"",IF(AND(ID679="",IE679=""),"",N(IE679)-N(ID679)))</f>
        <v/>
      </c>
      <c r="IJ679">
        <f>IF(OR(IH$3="",IH$3&gt;TODAY()),"",IF(AND(IH679="",II679=""),"",N(II679)-N(IH679)))</f>
        <v/>
      </c>
      <c r="IM679">
        <f>IF(OR(IH$3="",IH$3&gt;TODAY()),"",IF(AND(IK679="",IL679=""),"",N(IL679)-N(IK679)))</f>
        <v/>
      </c>
    </row>
    <row r="680">
      <c r="A680" s="21" t="n"/>
      <c r="B680" s="21" t="n"/>
      <c r="C680" s="21" t="n"/>
      <c r="D680" s="21" t="n"/>
      <c r="E680" s="21" t="n"/>
      <c r="F680" s="21" t="n"/>
      <c r="G680" s="21" t="n"/>
      <c r="H680" s="21" t="n"/>
      <c r="I680" s="22" t="n"/>
      <c r="J680" s="22" t="n"/>
      <c r="K680" s="23" t="n"/>
      <c r="L680" s="22" t="n"/>
      <c r="M680" s="22" t="n"/>
      <c r="N680" s="21" t="n"/>
      <c r="O680" s="23" t="n"/>
      <c r="P680" s="23" t="n"/>
      <c r="Q680" s="23" t="n"/>
      <c r="R680" s="23" t="n"/>
      <c r="S680" s="22" t="n"/>
      <c r="T680" s="23" t="n"/>
      <c r="U680" s="23" t="n"/>
      <c r="V680" s="24">
        <f>IF(J680&lt;&gt;"",J680,IF(I680&lt;&gt;"",I680,""))</f>
        <v/>
      </c>
      <c r="W680" s="25">
        <f>IF($E680="","",N(O680)+SUMIFS($AF680:$IN680,$AF$4:$IN$4,"SEW_ACT"))</f>
        <v/>
      </c>
      <c r="X680" s="25">
        <f>IF($E680="","",N(P680)+SUMIFS($AF680:$IN680,$AF$4:$IN$4,"WASH_ACT"))</f>
        <v/>
      </c>
      <c r="Y680" s="25">
        <f>IF($E680="","",W680-X680-N(T680)-N(U680))</f>
        <v/>
      </c>
      <c r="Z680" s="25">
        <f>IF($E680="","",IF(N(K680)-X680&lt;=0.02*N(K680),0,N(K680)-X680))</f>
        <v/>
      </c>
      <c r="AA680" s="24">
        <f>IF($E680="","",IF(S680&lt;&gt;"",S680,IF(N(O680)&gt;0,IF(L680&lt;&gt;"",L680,99999),IFERROR(1/(1/_xlfn.MINIFS($AF$3:$IN$3,$AF$4:$IN$4,"SEW_ACT",$AF680:$IN680,"&gt;0")),99999))))</f>
        <v/>
      </c>
      <c r="AB680" s="26">
        <f>IF(OR($E680="",Z680=0,V680=""),"",1+COUNTIFS(Z$8:Z$707,"&gt;0",V$8:V$707,"&lt;"&amp;V680)+COUNTIFS(Z$8:Z$707,"&gt;0",V$8:V$707,V680,AA$8:AA$707,"&lt;"&amp;AA680)+COUNTIFS(Z$8:Z$707,"&gt;0",V$8:V$707,V680,AA$8:AA$707,AA680,E$8:E$707,"&lt;"&amp;$E680))</f>
        <v/>
      </c>
      <c r="AC680" s="24">
        <f>IF(OR($E680="",Z680=0),"",IFERROR(TODAY()+ROUNDUP(Z680/(SUMIFS($AF680:$IN680,$AF$4:$IN$4,"WASH_ACT")/COUNTIFS($AF$4:$IN$4,"WASH_ACT",$AF680:$IN680,"&gt;0")),0),"no output yet"))</f>
        <v/>
      </c>
      <c r="AD680" s="26">
        <f>IF($E680="","",IFERROR(ROUND(MAX(0,SUMIFS($AF680:$IN680,$AF$4:$IN$4,"SEW_PLAN",$AF$3:$IN$3,"&lt;="&amp;TODAY())-SUMIFS($AF680:$IN680,$AF$4:$IN$4,"SEW_ACT",$AF$3:$IN$3,"&lt;="&amp;TODAY())+N(Q680))/(SUMIFS($AF680:$IN680,$AF$4:$IN$4,"SEW_PLAN")/COUNTIFS($AF$4:$IN$4,"SEW_PLAN",$AF680:$IN680,"&gt;0")),1),0))</f>
        <v/>
      </c>
      <c r="AE680" s="26">
        <f>IF($E680="","",IF(AND(Z680&gt;0,OR(AND(M680&lt;&gt;"",TODAY()&gt;M680),AND(V680&lt;&gt;"",V680-TODAY()&lt;=7))),"Yes","No"))</f>
        <v/>
      </c>
      <c r="AH680">
        <f>IF(OR(AF$3="",AF$3&gt;TODAY()),"",IF(AND(AF680="",AG680=""),"",N(AG680)-N(AF680)))</f>
        <v/>
      </c>
      <c r="AK680">
        <f>IF(OR(AF$3="",AF$3&gt;TODAY()),"",IF(AND(AI680="",AJ680=""),"",N(AJ680)-N(AI680)))</f>
        <v/>
      </c>
      <c r="AO680">
        <f>IF(OR(AM$3="",AM$3&gt;TODAY()),"",IF(AND(AM680="",AN680=""),"",N(AN680)-N(AM680)))</f>
        <v/>
      </c>
      <c r="AR680">
        <f>IF(OR(AM$3="",AM$3&gt;TODAY()),"",IF(AND(AP680="",AQ680=""),"",N(AQ680)-N(AP680)))</f>
        <v/>
      </c>
      <c r="AV680">
        <f>IF(OR(AT$3="",AT$3&gt;TODAY()),"",IF(AND(AT680="",AU680=""),"",N(AU680)-N(AT680)))</f>
        <v/>
      </c>
      <c r="AY680">
        <f>IF(OR(AT$3="",AT$3&gt;TODAY()),"",IF(AND(AW680="",AX680=""),"",N(AX680)-N(AW680)))</f>
        <v/>
      </c>
      <c r="BC680">
        <f>IF(OR(BA$3="",BA$3&gt;TODAY()),"",IF(AND(BA680="",BB680=""),"",N(BB680)-N(BA680)))</f>
        <v/>
      </c>
      <c r="BF680">
        <f>IF(OR(BA$3="",BA$3&gt;TODAY()),"",IF(AND(BD680="",BE680=""),"",N(BE680)-N(BD680)))</f>
        <v/>
      </c>
      <c r="BJ680">
        <f>IF(OR(BH$3="",BH$3&gt;TODAY()),"",IF(AND(BH680="",BI680=""),"",N(BI680)-N(BH680)))</f>
        <v/>
      </c>
      <c r="BM680">
        <f>IF(OR(BH$3="",BH$3&gt;TODAY()),"",IF(AND(BK680="",BL680=""),"",N(BL680)-N(BK680)))</f>
        <v/>
      </c>
      <c r="BQ680">
        <f>IF(OR(BO$3="",BO$3&gt;TODAY()),"",IF(AND(BO680="",BP680=""),"",N(BP680)-N(BO680)))</f>
        <v/>
      </c>
      <c r="BT680">
        <f>IF(OR(BO$3="",BO$3&gt;TODAY()),"",IF(AND(BR680="",BS680=""),"",N(BS680)-N(BR680)))</f>
        <v/>
      </c>
      <c r="BX680">
        <f>IF(OR(BV$3="",BV$3&gt;TODAY()),"",IF(AND(BV680="",BW680=""),"",N(BW680)-N(BV680)))</f>
        <v/>
      </c>
      <c r="CA680">
        <f>IF(OR(BV$3="",BV$3&gt;TODAY()),"",IF(AND(BY680="",BZ680=""),"",N(BZ680)-N(BY680)))</f>
        <v/>
      </c>
      <c r="CE680">
        <f>IF(OR(CC$3="",CC$3&gt;TODAY()),"",IF(AND(CC680="",CD680=""),"",N(CD680)-N(CC680)))</f>
        <v/>
      </c>
      <c r="CH680">
        <f>IF(OR(CC$3="",CC$3&gt;TODAY()),"",IF(AND(CF680="",CG680=""),"",N(CG680)-N(CF680)))</f>
        <v/>
      </c>
      <c r="CL680">
        <f>IF(OR(CJ$3="",CJ$3&gt;TODAY()),"",IF(AND(CJ680="",CK680=""),"",N(CK680)-N(CJ680)))</f>
        <v/>
      </c>
      <c r="CO680">
        <f>IF(OR(CJ$3="",CJ$3&gt;TODAY()),"",IF(AND(CM680="",CN680=""),"",N(CN680)-N(CM680)))</f>
        <v/>
      </c>
      <c r="CS680">
        <f>IF(OR(CQ$3="",CQ$3&gt;TODAY()),"",IF(AND(CQ680="",CR680=""),"",N(CR680)-N(CQ680)))</f>
        <v/>
      </c>
      <c r="CV680">
        <f>IF(OR(CQ$3="",CQ$3&gt;TODAY()),"",IF(AND(CT680="",CU680=""),"",N(CU680)-N(CT680)))</f>
        <v/>
      </c>
      <c r="CZ680">
        <f>IF(OR(CX$3="",CX$3&gt;TODAY()),"",IF(AND(CX680="",CY680=""),"",N(CY680)-N(CX680)))</f>
        <v/>
      </c>
      <c r="DC680">
        <f>IF(OR(CX$3="",CX$3&gt;TODAY()),"",IF(AND(DA680="",DB680=""),"",N(DB680)-N(DA680)))</f>
        <v/>
      </c>
      <c r="DG680">
        <f>IF(OR(DE$3="",DE$3&gt;TODAY()),"",IF(AND(DE680="",DF680=""),"",N(DF680)-N(DE680)))</f>
        <v/>
      </c>
      <c r="DJ680">
        <f>IF(OR(DE$3="",DE$3&gt;TODAY()),"",IF(AND(DH680="",DI680=""),"",N(DI680)-N(DH680)))</f>
        <v/>
      </c>
      <c r="DN680">
        <f>IF(OR(DL$3="",DL$3&gt;TODAY()),"",IF(AND(DL680="",DM680=""),"",N(DM680)-N(DL680)))</f>
        <v/>
      </c>
      <c r="DQ680">
        <f>IF(OR(DL$3="",DL$3&gt;TODAY()),"",IF(AND(DO680="",DP680=""),"",N(DP680)-N(DO680)))</f>
        <v/>
      </c>
      <c r="DU680">
        <f>IF(OR(DS$3="",DS$3&gt;TODAY()),"",IF(AND(DS680="",DT680=""),"",N(DT680)-N(DS680)))</f>
        <v/>
      </c>
      <c r="DX680">
        <f>IF(OR(DS$3="",DS$3&gt;TODAY()),"",IF(AND(DV680="",DW680=""),"",N(DW680)-N(DV680)))</f>
        <v/>
      </c>
      <c r="EB680">
        <f>IF(OR(DZ$3="",DZ$3&gt;TODAY()),"",IF(AND(DZ680="",EA680=""),"",N(EA680)-N(DZ680)))</f>
        <v/>
      </c>
      <c r="EE680">
        <f>IF(OR(DZ$3="",DZ$3&gt;TODAY()),"",IF(AND(EC680="",ED680=""),"",N(ED680)-N(EC680)))</f>
        <v/>
      </c>
      <c r="EI680">
        <f>IF(OR(EG$3="",EG$3&gt;TODAY()),"",IF(AND(EG680="",EH680=""),"",N(EH680)-N(EG680)))</f>
        <v/>
      </c>
      <c r="EL680">
        <f>IF(OR(EG$3="",EG$3&gt;TODAY()),"",IF(AND(EJ680="",EK680=""),"",N(EK680)-N(EJ680)))</f>
        <v/>
      </c>
      <c r="EP680">
        <f>IF(OR(EN$3="",EN$3&gt;TODAY()),"",IF(AND(EN680="",EO680=""),"",N(EO680)-N(EN680)))</f>
        <v/>
      </c>
      <c r="ES680">
        <f>IF(OR(EN$3="",EN$3&gt;TODAY()),"",IF(AND(EQ680="",ER680=""),"",N(ER680)-N(EQ680)))</f>
        <v/>
      </c>
      <c r="EW680">
        <f>IF(OR(EU$3="",EU$3&gt;TODAY()),"",IF(AND(EU680="",EV680=""),"",N(EV680)-N(EU680)))</f>
        <v/>
      </c>
      <c r="EZ680">
        <f>IF(OR(EU$3="",EU$3&gt;TODAY()),"",IF(AND(EX680="",EY680=""),"",N(EY680)-N(EX680)))</f>
        <v/>
      </c>
      <c r="FD680">
        <f>IF(OR(FB$3="",FB$3&gt;TODAY()),"",IF(AND(FB680="",FC680=""),"",N(FC680)-N(FB680)))</f>
        <v/>
      </c>
      <c r="FG680">
        <f>IF(OR(FB$3="",FB$3&gt;TODAY()),"",IF(AND(FE680="",FF680=""),"",N(FF680)-N(FE680)))</f>
        <v/>
      </c>
      <c r="FK680">
        <f>IF(OR(FI$3="",FI$3&gt;TODAY()),"",IF(AND(FI680="",FJ680=""),"",N(FJ680)-N(FI680)))</f>
        <v/>
      </c>
      <c r="FN680">
        <f>IF(OR(FI$3="",FI$3&gt;TODAY()),"",IF(AND(FL680="",FM680=""),"",N(FM680)-N(FL680)))</f>
        <v/>
      </c>
      <c r="FR680">
        <f>IF(OR(FP$3="",FP$3&gt;TODAY()),"",IF(AND(FP680="",FQ680=""),"",N(FQ680)-N(FP680)))</f>
        <v/>
      </c>
      <c r="FU680">
        <f>IF(OR(FP$3="",FP$3&gt;TODAY()),"",IF(AND(FS680="",FT680=""),"",N(FT680)-N(FS680)))</f>
        <v/>
      </c>
      <c r="FY680">
        <f>IF(OR(FW$3="",FW$3&gt;TODAY()),"",IF(AND(FW680="",FX680=""),"",N(FX680)-N(FW680)))</f>
        <v/>
      </c>
      <c r="GB680">
        <f>IF(OR(FW$3="",FW$3&gt;TODAY()),"",IF(AND(FZ680="",GA680=""),"",N(GA680)-N(FZ680)))</f>
        <v/>
      </c>
      <c r="GF680">
        <f>IF(OR(GD$3="",GD$3&gt;TODAY()),"",IF(AND(GD680="",GE680=""),"",N(GE680)-N(GD680)))</f>
        <v/>
      </c>
      <c r="GI680">
        <f>IF(OR(GD$3="",GD$3&gt;TODAY()),"",IF(AND(GG680="",GH680=""),"",N(GH680)-N(GG680)))</f>
        <v/>
      </c>
      <c r="GM680">
        <f>IF(OR(GK$3="",GK$3&gt;TODAY()),"",IF(AND(GK680="",GL680=""),"",N(GL680)-N(GK680)))</f>
        <v/>
      </c>
      <c r="GP680">
        <f>IF(OR(GK$3="",GK$3&gt;TODAY()),"",IF(AND(GN680="",GO680=""),"",N(GO680)-N(GN680)))</f>
        <v/>
      </c>
      <c r="GT680">
        <f>IF(OR(GR$3="",GR$3&gt;TODAY()),"",IF(AND(GR680="",GS680=""),"",N(GS680)-N(GR680)))</f>
        <v/>
      </c>
      <c r="GW680">
        <f>IF(OR(GR$3="",GR$3&gt;TODAY()),"",IF(AND(GU680="",GV680=""),"",N(GV680)-N(GU680)))</f>
        <v/>
      </c>
      <c r="HA680">
        <f>IF(OR(GY$3="",GY$3&gt;TODAY()),"",IF(AND(GY680="",GZ680=""),"",N(GZ680)-N(GY680)))</f>
        <v/>
      </c>
      <c r="HD680">
        <f>IF(OR(GY$3="",GY$3&gt;TODAY()),"",IF(AND(HB680="",HC680=""),"",N(HC680)-N(HB680)))</f>
        <v/>
      </c>
      <c r="HH680">
        <f>IF(OR(HF$3="",HF$3&gt;TODAY()),"",IF(AND(HF680="",HG680=""),"",N(HG680)-N(HF680)))</f>
        <v/>
      </c>
      <c r="HK680">
        <f>IF(OR(HF$3="",HF$3&gt;TODAY()),"",IF(AND(HI680="",HJ680=""),"",N(HJ680)-N(HI680)))</f>
        <v/>
      </c>
      <c r="HO680">
        <f>IF(OR(HM$3="",HM$3&gt;TODAY()),"",IF(AND(HM680="",HN680=""),"",N(HN680)-N(HM680)))</f>
        <v/>
      </c>
      <c r="HR680">
        <f>IF(OR(HM$3="",HM$3&gt;TODAY()),"",IF(AND(HP680="",HQ680=""),"",N(HQ680)-N(HP680)))</f>
        <v/>
      </c>
      <c r="HV680">
        <f>IF(OR(HT$3="",HT$3&gt;TODAY()),"",IF(AND(HT680="",HU680=""),"",N(HU680)-N(HT680)))</f>
        <v/>
      </c>
      <c r="HY680">
        <f>IF(OR(HT$3="",HT$3&gt;TODAY()),"",IF(AND(HW680="",HX680=""),"",N(HX680)-N(HW680)))</f>
        <v/>
      </c>
      <c r="IC680">
        <f>IF(OR(IA$3="",IA$3&gt;TODAY()),"",IF(AND(IA680="",IB680=""),"",N(IB680)-N(IA680)))</f>
        <v/>
      </c>
      <c r="IF680">
        <f>IF(OR(IA$3="",IA$3&gt;TODAY()),"",IF(AND(ID680="",IE680=""),"",N(IE680)-N(ID680)))</f>
        <v/>
      </c>
      <c r="IJ680">
        <f>IF(OR(IH$3="",IH$3&gt;TODAY()),"",IF(AND(IH680="",II680=""),"",N(II680)-N(IH680)))</f>
        <v/>
      </c>
      <c r="IM680">
        <f>IF(OR(IH$3="",IH$3&gt;TODAY()),"",IF(AND(IK680="",IL680=""),"",N(IL680)-N(IK680)))</f>
        <v/>
      </c>
    </row>
    <row r="681">
      <c r="A681" s="21" t="n"/>
      <c r="B681" s="21" t="n"/>
      <c r="C681" s="21" t="n"/>
      <c r="D681" s="21" t="n"/>
      <c r="E681" s="21" t="n"/>
      <c r="F681" s="21" t="n"/>
      <c r="G681" s="21" t="n"/>
      <c r="H681" s="21" t="n"/>
      <c r="I681" s="22" t="n"/>
      <c r="J681" s="22" t="n"/>
      <c r="K681" s="23" t="n"/>
      <c r="L681" s="22" t="n"/>
      <c r="M681" s="22" t="n"/>
      <c r="N681" s="21" t="n"/>
      <c r="O681" s="23" t="n"/>
      <c r="P681" s="23" t="n"/>
      <c r="Q681" s="23" t="n"/>
      <c r="R681" s="23" t="n"/>
      <c r="S681" s="22" t="n"/>
      <c r="T681" s="23" t="n"/>
      <c r="U681" s="23" t="n"/>
      <c r="V681" s="24">
        <f>IF(J681&lt;&gt;"",J681,IF(I681&lt;&gt;"",I681,""))</f>
        <v/>
      </c>
      <c r="W681" s="25">
        <f>IF($E681="","",N(O681)+SUMIFS($AF681:$IN681,$AF$4:$IN$4,"SEW_ACT"))</f>
        <v/>
      </c>
      <c r="X681" s="25">
        <f>IF($E681="","",N(P681)+SUMIFS($AF681:$IN681,$AF$4:$IN$4,"WASH_ACT"))</f>
        <v/>
      </c>
      <c r="Y681" s="25">
        <f>IF($E681="","",W681-X681-N(T681)-N(U681))</f>
        <v/>
      </c>
      <c r="Z681" s="25">
        <f>IF($E681="","",IF(N(K681)-X681&lt;=0.02*N(K681),0,N(K681)-X681))</f>
        <v/>
      </c>
      <c r="AA681" s="24">
        <f>IF($E681="","",IF(S681&lt;&gt;"",S681,IF(N(O681)&gt;0,IF(L681&lt;&gt;"",L681,99999),IFERROR(1/(1/_xlfn.MINIFS($AF$3:$IN$3,$AF$4:$IN$4,"SEW_ACT",$AF681:$IN681,"&gt;0")),99999))))</f>
        <v/>
      </c>
      <c r="AB681" s="26">
        <f>IF(OR($E681="",Z681=0,V681=""),"",1+COUNTIFS(Z$8:Z$707,"&gt;0",V$8:V$707,"&lt;"&amp;V681)+COUNTIFS(Z$8:Z$707,"&gt;0",V$8:V$707,V681,AA$8:AA$707,"&lt;"&amp;AA681)+COUNTIFS(Z$8:Z$707,"&gt;0",V$8:V$707,V681,AA$8:AA$707,AA681,E$8:E$707,"&lt;"&amp;$E681))</f>
        <v/>
      </c>
      <c r="AC681" s="24">
        <f>IF(OR($E681="",Z681=0),"",IFERROR(TODAY()+ROUNDUP(Z681/(SUMIFS($AF681:$IN681,$AF$4:$IN$4,"WASH_ACT")/COUNTIFS($AF$4:$IN$4,"WASH_ACT",$AF681:$IN681,"&gt;0")),0),"no output yet"))</f>
        <v/>
      </c>
      <c r="AD681" s="26">
        <f>IF($E681="","",IFERROR(ROUND(MAX(0,SUMIFS($AF681:$IN681,$AF$4:$IN$4,"SEW_PLAN",$AF$3:$IN$3,"&lt;="&amp;TODAY())-SUMIFS($AF681:$IN681,$AF$4:$IN$4,"SEW_ACT",$AF$3:$IN$3,"&lt;="&amp;TODAY())+N(Q681))/(SUMIFS($AF681:$IN681,$AF$4:$IN$4,"SEW_PLAN")/COUNTIFS($AF$4:$IN$4,"SEW_PLAN",$AF681:$IN681,"&gt;0")),1),0))</f>
        <v/>
      </c>
      <c r="AE681" s="26">
        <f>IF($E681="","",IF(AND(Z681&gt;0,OR(AND(M681&lt;&gt;"",TODAY()&gt;M681),AND(V681&lt;&gt;"",V681-TODAY()&lt;=7))),"Yes","No"))</f>
        <v/>
      </c>
      <c r="AH681">
        <f>IF(OR(AF$3="",AF$3&gt;TODAY()),"",IF(AND(AF681="",AG681=""),"",N(AG681)-N(AF681)))</f>
        <v/>
      </c>
      <c r="AK681">
        <f>IF(OR(AF$3="",AF$3&gt;TODAY()),"",IF(AND(AI681="",AJ681=""),"",N(AJ681)-N(AI681)))</f>
        <v/>
      </c>
      <c r="AO681">
        <f>IF(OR(AM$3="",AM$3&gt;TODAY()),"",IF(AND(AM681="",AN681=""),"",N(AN681)-N(AM681)))</f>
        <v/>
      </c>
      <c r="AR681">
        <f>IF(OR(AM$3="",AM$3&gt;TODAY()),"",IF(AND(AP681="",AQ681=""),"",N(AQ681)-N(AP681)))</f>
        <v/>
      </c>
      <c r="AV681">
        <f>IF(OR(AT$3="",AT$3&gt;TODAY()),"",IF(AND(AT681="",AU681=""),"",N(AU681)-N(AT681)))</f>
        <v/>
      </c>
      <c r="AY681">
        <f>IF(OR(AT$3="",AT$3&gt;TODAY()),"",IF(AND(AW681="",AX681=""),"",N(AX681)-N(AW681)))</f>
        <v/>
      </c>
      <c r="BC681">
        <f>IF(OR(BA$3="",BA$3&gt;TODAY()),"",IF(AND(BA681="",BB681=""),"",N(BB681)-N(BA681)))</f>
        <v/>
      </c>
      <c r="BF681">
        <f>IF(OR(BA$3="",BA$3&gt;TODAY()),"",IF(AND(BD681="",BE681=""),"",N(BE681)-N(BD681)))</f>
        <v/>
      </c>
      <c r="BJ681">
        <f>IF(OR(BH$3="",BH$3&gt;TODAY()),"",IF(AND(BH681="",BI681=""),"",N(BI681)-N(BH681)))</f>
        <v/>
      </c>
      <c r="BM681">
        <f>IF(OR(BH$3="",BH$3&gt;TODAY()),"",IF(AND(BK681="",BL681=""),"",N(BL681)-N(BK681)))</f>
        <v/>
      </c>
      <c r="BQ681">
        <f>IF(OR(BO$3="",BO$3&gt;TODAY()),"",IF(AND(BO681="",BP681=""),"",N(BP681)-N(BO681)))</f>
        <v/>
      </c>
      <c r="BT681">
        <f>IF(OR(BO$3="",BO$3&gt;TODAY()),"",IF(AND(BR681="",BS681=""),"",N(BS681)-N(BR681)))</f>
        <v/>
      </c>
      <c r="BX681">
        <f>IF(OR(BV$3="",BV$3&gt;TODAY()),"",IF(AND(BV681="",BW681=""),"",N(BW681)-N(BV681)))</f>
        <v/>
      </c>
      <c r="CA681">
        <f>IF(OR(BV$3="",BV$3&gt;TODAY()),"",IF(AND(BY681="",BZ681=""),"",N(BZ681)-N(BY681)))</f>
        <v/>
      </c>
      <c r="CE681">
        <f>IF(OR(CC$3="",CC$3&gt;TODAY()),"",IF(AND(CC681="",CD681=""),"",N(CD681)-N(CC681)))</f>
        <v/>
      </c>
      <c r="CH681">
        <f>IF(OR(CC$3="",CC$3&gt;TODAY()),"",IF(AND(CF681="",CG681=""),"",N(CG681)-N(CF681)))</f>
        <v/>
      </c>
      <c r="CL681">
        <f>IF(OR(CJ$3="",CJ$3&gt;TODAY()),"",IF(AND(CJ681="",CK681=""),"",N(CK681)-N(CJ681)))</f>
        <v/>
      </c>
      <c r="CO681">
        <f>IF(OR(CJ$3="",CJ$3&gt;TODAY()),"",IF(AND(CM681="",CN681=""),"",N(CN681)-N(CM681)))</f>
        <v/>
      </c>
      <c r="CS681">
        <f>IF(OR(CQ$3="",CQ$3&gt;TODAY()),"",IF(AND(CQ681="",CR681=""),"",N(CR681)-N(CQ681)))</f>
        <v/>
      </c>
      <c r="CV681">
        <f>IF(OR(CQ$3="",CQ$3&gt;TODAY()),"",IF(AND(CT681="",CU681=""),"",N(CU681)-N(CT681)))</f>
        <v/>
      </c>
      <c r="CZ681">
        <f>IF(OR(CX$3="",CX$3&gt;TODAY()),"",IF(AND(CX681="",CY681=""),"",N(CY681)-N(CX681)))</f>
        <v/>
      </c>
      <c r="DC681">
        <f>IF(OR(CX$3="",CX$3&gt;TODAY()),"",IF(AND(DA681="",DB681=""),"",N(DB681)-N(DA681)))</f>
        <v/>
      </c>
      <c r="DG681">
        <f>IF(OR(DE$3="",DE$3&gt;TODAY()),"",IF(AND(DE681="",DF681=""),"",N(DF681)-N(DE681)))</f>
        <v/>
      </c>
      <c r="DJ681">
        <f>IF(OR(DE$3="",DE$3&gt;TODAY()),"",IF(AND(DH681="",DI681=""),"",N(DI681)-N(DH681)))</f>
        <v/>
      </c>
      <c r="DN681">
        <f>IF(OR(DL$3="",DL$3&gt;TODAY()),"",IF(AND(DL681="",DM681=""),"",N(DM681)-N(DL681)))</f>
        <v/>
      </c>
      <c r="DQ681">
        <f>IF(OR(DL$3="",DL$3&gt;TODAY()),"",IF(AND(DO681="",DP681=""),"",N(DP681)-N(DO681)))</f>
        <v/>
      </c>
      <c r="DU681">
        <f>IF(OR(DS$3="",DS$3&gt;TODAY()),"",IF(AND(DS681="",DT681=""),"",N(DT681)-N(DS681)))</f>
        <v/>
      </c>
      <c r="DX681">
        <f>IF(OR(DS$3="",DS$3&gt;TODAY()),"",IF(AND(DV681="",DW681=""),"",N(DW681)-N(DV681)))</f>
        <v/>
      </c>
      <c r="EB681">
        <f>IF(OR(DZ$3="",DZ$3&gt;TODAY()),"",IF(AND(DZ681="",EA681=""),"",N(EA681)-N(DZ681)))</f>
        <v/>
      </c>
      <c r="EE681">
        <f>IF(OR(DZ$3="",DZ$3&gt;TODAY()),"",IF(AND(EC681="",ED681=""),"",N(ED681)-N(EC681)))</f>
        <v/>
      </c>
      <c r="EI681">
        <f>IF(OR(EG$3="",EG$3&gt;TODAY()),"",IF(AND(EG681="",EH681=""),"",N(EH681)-N(EG681)))</f>
        <v/>
      </c>
      <c r="EL681">
        <f>IF(OR(EG$3="",EG$3&gt;TODAY()),"",IF(AND(EJ681="",EK681=""),"",N(EK681)-N(EJ681)))</f>
        <v/>
      </c>
      <c r="EP681">
        <f>IF(OR(EN$3="",EN$3&gt;TODAY()),"",IF(AND(EN681="",EO681=""),"",N(EO681)-N(EN681)))</f>
        <v/>
      </c>
      <c r="ES681">
        <f>IF(OR(EN$3="",EN$3&gt;TODAY()),"",IF(AND(EQ681="",ER681=""),"",N(ER681)-N(EQ681)))</f>
        <v/>
      </c>
      <c r="EW681">
        <f>IF(OR(EU$3="",EU$3&gt;TODAY()),"",IF(AND(EU681="",EV681=""),"",N(EV681)-N(EU681)))</f>
        <v/>
      </c>
      <c r="EZ681">
        <f>IF(OR(EU$3="",EU$3&gt;TODAY()),"",IF(AND(EX681="",EY681=""),"",N(EY681)-N(EX681)))</f>
        <v/>
      </c>
      <c r="FD681">
        <f>IF(OR(FB$3="",FB$3&gt;TODAY()),"",IF(AND(FB681="",FC681=""),"",N(FC681)-N(FB681)))</f>
        <v/>
      </c>
      <c r="FG681">
        <f>IF(OR(FB$3="",FB$3&gt;TODAY()),"",IF(AND(FE681="",FF681=""),"",N(FF681)-N(FE681)))</f>
        <v/>
      </c>
      <c r="FK681">
        <f>IF(OR(FI$3="",FI$3&gt;TODAY()),"",IF(AND(FI681="",FJ681=""),"",N(FJ681)-N(FI681)))</f>
        <v/>
      </c>
      <c r="FN681">
        <f>IF(OR(FI$3="",FI$3&gt;TODAY()),"",IF(AND(FL681="",FM681=""),"",N(FM681)-N(FL681)))</f>
        <v/>
      </c>
      <c r="FR681">
        <f>IF(OR(FP$3="",FP$3&gt;TODAY()),"",IF(AND(FP681="",FQ681=""),"",N(FQ681)-N(FP681)))</f>
        <v/>
      </c>
      <c r="FU681">
        <f>IF(OR(FP$3="",FP$3&gt;TODAY()),"",IF(AND(FS681="",FT681=""),"",N(FT681)-N(FS681)))</f>
        <v/>
      </c>
      <c r="FY681">
        <f>IF(OR(FW$3="",FW$3&gt;TODAY()),"",IF(AND(FW681="",FX681=""),"",N(FX681)-N(FW681)))</f>
        <v/>
      </c>
      <c r="GB681">
        <f>IF(OR(FW$3="",FW$3&gt;TODAY()),"",IF(AND(FZ681="",GA681=""),"",N(GA681)-N(FZ681)))</f>
        <v/>
      </c>
      <c r="GF681">
        <f>IF(OR(GD$3="",GD$3&gt;TODAY()),"",IF(AND(GD681="",GE681=""),"",N(GE681)-N(GD681)))</f>
        <v/>
      </c>
      <c r="GI681">
        <f>IF(OR(GD$3="",GD$3&gt;TODAY()),"",IF(AND(GG681="",GH681=""),"",N(GH681)-N(GG681)))</f>
        <v/>
      </c>
      <c r="GM681">
        <f>IF(OR(GK$3="",GK$3&gt;TODAY()),"",IF(AND(GK681="",GL681=""),"",N(GL681)-N(GK681)))</f>
        <v/>
      </c>
      <c r="GP681">
        <f>IF(OR(GK$3="",GK$3&gt;TODAY()),"",IF(AND(GN681="",GO681=""),"",N(GO681)-N(GN681)))</f>
        <v/>
      </c>
      <c r="GT681">
        <f>IF(OR(GR$3="",GR$3&gt;TODAY()),"",IF(AND(GR681="",GS681=""),"",N(GS681)-N(GR681)))</f>
        <v/>
      </c>
      <c r="GW681">
        <f>IF(OR(GR$3="",GR$3&gt;TODAY()),"",IF(AND(GU681="",GV681=""),"",N(GV681)-N(GU681)))</f>
        <v/>
      </c>
      <c r="HA681">
        <f>IF(OR(GY$3="",GY$3&gt;TODAY()),"",IF(AND(GY681="",GZ681=""),"",N(GZ681)-N(GY681)))</f>
        <v/>
      </c>
      <c r="HD681">
        <f>IF(OR(GY$3="",GY$3&gt;TODAY()),"",IF(AND(HB681="",HC681=""),"",N(HC681)-N(HB681)))</f>
        <v/>
      </c>
      <c r="HH681">
        <f>IF(OR(HF$3="",HF$3&gt;TODAY()),"",IF(AND(HF681="",HG681=""),"",N(HG681)-N(HF681)))</f>
        <v/>
      </c>
      <c r="HK681">
        <f>IF(OR(HF$3="",HF$3&gt;TODAY()),"",IF(AND(HI681="",HJ681=""),"",N(HJ681)-N(HI681)))</f>
        <v/>
      </c>
      <c r="HO681">
        <f>IF(OR(HM$3="",HM$3&gt;TODAY()),"",IF(AND(HM681="",HN681=""),"",N(HN681)-N(HM681)))</f>
        <v/>
      </c>
      <c r="HR681">
        <f>IF(OR(HM$3="",HM$3&gt;TODAY()),"",IF(AND(HP681="",HQ681=""),"",N(HQ681)-N(HP681)))</f>
        <v/>
      </c>
      <c r="HV681">
        <f>IF(OR(HT$3="",HT$3&gt;TODAY()),"",IF(AND(HT681="",HU681=""),"",N(HU681)-N(HT681)))</f>
        <v/>
      </c>
      <c r="HY681">
        <f>IF(OR(HT$3="",HT$3&gt;TODAY()),"",IF(AND(HW681="",HX681=""),"",N(HX681)-N(HW681)))</f>
        <v/>
      </c>
      <c r="IC681">
        <f>IF(OR(IA$3="",IA$3&gt;TODAY()),"",IF(AND(IA681="",IB681=""),"",N(IB681)-N(IA681)))</f>
        <v/>
      </c>
      <c r="IF681">
        <f>IF(OR(IA$3="",IA$3&gt;TODAY()),"",IF(AND(ID681="",IE681=""),"",N(IE681)-N(ID681)))</f>
        <v/>
      </c>
      <c r="IJ681">
        <f>IF(OR(IH$3="",IH$3&gt;TODAY()),"",IF(AND(IH681="",II681=""),"",N(II681)-N(IH681)))</f>
        <v/>
      </c>
      <c r="IM681">
        <f>IF(OR(IH$3="",IH$3&gt;TODAY()),"",IF(AND(IK681="",IL681=""),"",N(IL681)-N(IK681)))</f>
        <v/>
      </c>
    </row>
    <row r="682">
      <c r="A682" s="21" t="n"/>
      <c r="B682" s="21" t="n"/>
      <c r="C682" s="21" t="n"/>
      <c r="D682" s="21" t="n"/>
      <c r="E682" s="21" t="n"/>
      <c r="F682" s="21" t="n"/>
      <c r="G682" s="21" t="n"/>
      <c r="H682" s="21" t="n"/>
      <c r="I682" s="22" t="n"/>
      <c r="J682" s="22" t="n"/>
      <c r="K682" s="23" t="n"/>
      <c r="L682" s="22" t="n"/>
      <c r="M682" s="22" t="n"/>
      <c r="N682" s="21" t="n"/>
      <c r="O682" s="23" t="n"/>
      <c r="P682" s="23" t="n"/>
      <c r="Q682" s="23" t="n"/>
      <c r="R682" s="23" t="n"/>
      <c r="S682" s="22" t="n"/>
      <c r="T682" s="23" t="n"/>
      <c r="U682" s="23" t="n"/>
      <c r="V682" s="24">
        <f>IF(J682&lt;&gt;"",J682,IF(I682&lt;&gt;"",I682,""))</f>
        <v/>
      </c>
      <c r="W682" s="25">
        <f>IF($E682="","",N(O682)+SUMIFS($AF682:$IN682,$AF$4:$IN$4,"SEW_ACT"))</f>
        <v/>
      </c>
      <c r="X682" s="25">
        <f>IF($E682="","",N(P682)+SUMIFS($AF682:$IN682,$AF$4:$IN$4,"WASH_ACT"))</f>
        <v/>
      </c>
      <c r="Y682" s="25">
        <f>IF($E682="","",W682-X682-N(T682)-N(U682))</f>
        <v/>
      </c>
      <c r="Z682" s="25">
        <f>IF($E682="","",IF(N(K682)-X682&lt;=0.02*N(K682),0,N(K682)-X682))</f>
        <v/>
      </c>
      <c r="AA682" s="24">
        <f>IF($E682="","",IF(S682&lt;&gt;"",S682,IF(N(O682)&gt;0,IF(L682&lt;&gt;"",L682,99999),IFERROR(1/(1/_xlfn.MINIFS($AF$3:$IN$3,$AF$4:$IN$4,"SEW_ACT",$AF682:$IN682,"&gt;0")),99999))))</f>
        <v/>
      </c>
      <c r="AB682" s="26">
        <f>IF(OR($E682="",Z682=0,V682=""),"",1+COUNTIFS(Z$8:Z$707,"&gt;0",V$8:V$707,"&lt;"&amp;V682)+COUNTIFS(Z$8:Z$707,"&gt;0",V$8:V$707,V682,AA$8:AA$707,"&lt;"&amp;AA682)+COUNTIFS(Z$8:Z$707,"&gt;0",V$8:V$707,V682,AA$8:AA$707,AA682,E$8:E$707,"&lt;"&amp;$E682))</f>
        <v/>
      </c>
      <c r="AC682" s="24">
        <f>IF(OR($E682="",Z682=0),"",IFERROR(TODAY()+ROUNDUP(Z682/(SUMIFS($AF682:$IN682,$AF$4:$IN$4,"WASH_ACT")/COUNTIFS($AF$4:$IN$4,"WASH_ACT",$AF682:$IN682,"&gt;0")),0),"no output yet"))</f>
        <v/>
      </c>
      <c r="AD682" s="26">
        <f>IF($E682="","",IFERROR(ROUND(MAX(0,SUMIFS($AF682:$IN682,$AF$4:$IN$4,"SEW_PLAN",$AF$3:$IN$3,"&lt;="&amp;TODAY())-SUMIFS($AF682:$IN682,$AF$4:$IN$4,"SEW_ACT",$AF$3:$IN$3,"&lt;="&amp;TODAY())+N(Q682))/(SUMIFS($AF682:$IN682,$AF$4:$IN$4,"SEW_PLAN")/COUNTIFS($AF$4:$IN$4,"SEW_PLAN",$AF682:$IN682,"&gt;0")),1),0))</f>
        <v/>
      </c>
      <c r="AE682" s="26">
        <f>IF($E682="","",IF(AND(Z682&gt;0,OR(AND(M682&lt;&gt;"",TODAY()&gt;M682),AND(V682&lt;&gt;"",V682-TODAY()&lt;=7))),"Yes","No"))</f>
        <v/>
      </c>
      <c r="AH682">
        <f>IF(OR(AF$3="",AF$3&gt;TODAY()),"",IF(AND(AF682="",AG682=""),"",N(AG682)-N(AF682)))</f>
        <v/>
      </c>
      <c r="AK682">
        <f>IF(OR(AF$3="",AF$3&gt;TODAY()),"",IF(AND(AI682="",AJ682=""),"",N(AJ682)-N(AI682)))</f>
        <v/>
      </c>
      <c r="AO682">
        <f>IF(OR(AM$3="",AM$3&gt;TODAY()),"",IF(AND(AM682="",AN682=""),"",N(AN682)-N(AM682)))</f>
        <v/>
      </c>
      <c r="AR682">
        <f>IF(OR(AM$3="",AM$3&gt;TODAY()),"",IF(AND(AP682="",AQ682=""),"",N(AQ682)-N(AP682)))</f>
        <v/>
      </c>
      <c r="AV682">
        <f>IF(OR(AT$3="",AT$3&gt;TODAY()),"",IF(AND(AT682="",AU682=""),"",N(AU682)-N(AT682)))</f>
        <v/>
      </c>
      <c r="AY682">
        <f>IF(OR(AT$3="",AT$3&gt;TODAY()),"",IF(AND(AW682="",AX682=""),"",N(AX682)-N(AW682)))</f>
        <v/>
      </c>
      <c r="BC682">
        <f>IF(OR(BA$3="",BA$3&gt;TODAY()),"",IF(AND(BA682="",BB682=""),"",N(BB682)-N(BA682)))</f>
        <v/>
      </c>
      <c r="BF682">
        <f>IF(OR(BA$3="",BA$3&gt;TODAY()),"",IF(AND(BD682="",BE682=""),"",N(BE682)-N(BD682)))</f>
        <v/>
      </c>
      <c r="BJ682">
        <f>IF(OR(BH$3="",BH$3&gt;TODAY()),"",IF(AND(BH682="",BI682=""),"",N(BI682)-N(BH682)))</f>
        <v/>
      </c>
      <c r="BM682">
        <f>IF(OR(BH$3="",BH$3&gt;TODAY()),"",IF(AND(BK682="",BL682=""),"",N(BL682)-N(BK682)))</f>
        <v/>
      </c>
      <c r="BQ682">
        <f>IF(OR(BO$3="",BO$3&gt;TODAY()),"",IF(AND(BO682="",BP682=""),"",N(BP682)-N(BO682)))</f>
        <v/>
      </c>
      <c r="BT682">
        <f>IF(OR(BO$3="",BO$3&gt;TODAY()),"",IF(AND(BR682="",BS682=""),"",N(BS682)-N(BR682)))</f>
        <v/>
      </c>
      <c r="BX682">
        <f>IF(OR(BV$3="",BV$3&gt;TODAY()),"",IF(AND(BV682="",BW682=""),"",N(BW682)-N(BV682)))</f>
        <v/>
      </c>
      <c r="CA682">
        <f>IF(OR(BV$3="",BV$3&gt;TODAY()),"",IF(AND(BY682="",BZ682=""),"",N(BZ682)-N(BY682)))</f>
        <v/>
      </c>
      <c r="CE682">
        <f>IF(OR(CC$3="",CC$3&gt;TODAY()),"",IF(AND(CC682="",CD682=""),"",N(CD682)-N(CC682)))</f>
        <v/>
      </c>
      <c r="CH682">
        <f>IF(OR(CC$3="",CC$3&gt;TODAY()),"",IF(AND(CF682="",CG682=""),"",N(CG682)-N(CF682)))</f>
        <v/>
      </c>
      <c r="CL682">
        <f>IF(OR(CJ$3="",CJ$3&gt;TODAY()),"",IF(AND(CJ682="",CK682=""),"",N(CK682)-N(CJ682)))</f>
        <v/>
      </c>
      <c r="CO682">
        <f>IF(OR(CJ$3="",CJ$3&gt;TODAY()),"",IF(AND(CM682="",CN682=""),"",N(CN682)-N(CM682)))</f>
        <v/>
      </c>
      <c r="CS682">
        <f>IF(OR(CQ$3="",CQ$3&gt;TODAY()),"",IF(AND(CQ682="",CR682=""),"",N(CR682)-N(CQ682)))</f>
        <v/>
      </c>
      <c r="CV682">
        <f>IF(OR(CQ$3="",CQ$3&gt;TODAY()),"",IF(AND(CT682="",CU682=""),"",N(CU682)-N(CT682)))</f>
        <v/>
      </c>
      <c r="CZ682">
        <f>IF(OR(CX$3="",CX$3&gt;TODAY()),"",IF(AND(CX682="",CY682=""),"",N(CY682)-N(CX682)))</f>
        <v/>
      </c>
      <c r="DC682">
        <f>IF(OR(CX$3="",CX$3&gt;TODAY()),"",IF(AND(DA682="",DB682=""),"",N(DB682)-N(DA682)))</f>
        <v/>
      </c>
      <c r="DG682">
        <f>IF(OR(DE$3="",DE$3&gt;TODAY()),"",IF(AND(DE682="",DF682=""),"",N(DF682)-N(DE682)))</f>
        <v/>
      </c>
      <c r="DJ682">
        <f>IF(OR(DE$3="",DE$3&gt;TODAY()),"",IF(AND(DH682="",DI682=""),"",N(DI682)-N(DH682)))</f>
        <v/>
      </c>
      <c r="DN682">
        <f>IF(OR(DL$3="",DL$3&gt;TODAY()),"",IF(AND(DL682="",DM682=""),"",N(DM682)-N(DL682)))</f>
        <v/>
      </c>
      <c r="DQ682">
        <f>IF(OR(DL$3="",DL$3&gt;TODAY()),"",IF(AND(DO682="",DP682=""),"",N(DP682)-N(DO682)))</f>
        <v/>
      </c>
      <c r="DU682">
        <f>IF(OR(DS$3="",DS$3&gt;TODAY()),"",IF(AND(DS682="",DT682=""),"",N(DT682)-N(DS682)))</f>
        <v/>
      </c>
      <c r="DX682">
        <f>IF(OR(DS$3="",DS$3&gt;TODAY()),"",IF(AND(DV682="",DW682=""),"",N(DW682)-N(DV682)))</f>
        <v/>
      </c>
      <c r="EB682">
        <f>IF(OR(DZ$3="",DZ$3&gt;TODAY()),"",IF(AND(DZ682="",EA682=""),"",N(EA682)-N(DZ682)))</f>
        <v/>
      </c>
      <c r="EE682">
        <f>IF(OR(DZ$3="",DZ$3&gt;TODAY()),"",IF(AND(EC682="",ED682=""),"",N(ED682)-N(EC682)))</f>
        <v/>
      </c>
      <c r="EI682">
        <f>IF(OR(EG$3="",EG$3&gt;TODAY()),"",IF(AND(EG682="",EH682=""),"",N(EH682)-N(EG682)))</f>
        <v/>
      </c>
      <c r="EL682">
        <f>IF(OR(EG$3="",EG$3&gt;TODAY()),"",IF(AND(EJ682="",EK682=""),"",N(EK682)-N(EJ682)))</f>
        <v/>
      </c>
      <c r="EP682">
        <f>IF(OR(EN$3="",EN$3&gt;TODAY()),"",IF(AND(EN682="",EO682=""),"",N(EO682)-N(EN682)))</f>
        <v/>
      </c>
      <c r="ES682">
        <f>IF(OR(EN$3="",EN$3&gt;TODAY()),"",IF(AND(EQ682="",ER682=""),"",N(ER682)-N(EQ682)))</f>
        <v/>
      </c>
      <c r="EW682">
        <f>IF(OR(EU$3="",EU$3&gt;TODAY()),"",IF(AND(EU682="",EV682=""),"",N(EV682)-N(EU682)))</f>
        <v/>
      </c>
      <c r="EZ682">
        <f>IF(OR(EU$3="",EU$3&gt;TODAY()),"",IF(AND(EX682="",EY682=""),"",N(EY682)-N(EX682)))</f>
        <v/>
      </c>
      <c r="FD682">
        <f>IF(OR(FB$3="",FB$3&gt;TODAY()),"",IF(AND(FB682="",FC682=""),"",N(FC682)-N(FB682)))</f>
        <v/>
      </c>
      <c r="FG682">
        <f>IF(OR(FB$3="",FB$3&gt;TODAY()),"",IF(AND(FE682="",FF682=""),"",N(FF682)-N(FE682)))</f>
        <v/>
      </c>
      <c r="FK682">
        <f>IF(OR(FI$3="",FI$3&gt;TODAY()),"",IF(AND(FI682="",FJ682=""),"",N(FJ682)-N(FI682)))</f>
        <v/>
      </c>
      <c r="FN682">
        <f>IF(OR(FI$3="",FI$3&gt;TODAY()),"",IF(AND(FL682="",FM682=""),"",N(FM682)-N(FL682)))</f>
        <v/>
      </c>
      <c r="FR682">
        <f>IF(OR(FP$3="",FP$3&gt;TODAY()),"",IF(AND(FP682="",FQ682=""),"",N(FQ682)-N(FP682)))</f>
        <v/>
      </c>
      <c r="FU682">
        <f>IF(OR(FP$3="",FP$3&gt;TODAY()),"",IF(AND(FS682="",FT682=""),"",N(FT682)-N(FS682)))</f>
        <v/>
      </c>
      <c r="FY682">
        <f>IF(OR(FW$3="",FW$3&gt;TODAY()),"",IF(AND(FW682="",FX682=""),"",N(FX682)-N(FW682)))</f>
        <v/>
      </c>
      <c r="GB682">
        <f>IF(OR(FW$3="",FW$3&gt;TODAY()),"",IF(AND(FZ682="",GA682=""),"",N(GA682)-N(FZ682)))</f>
        <v/>
      </c>
      <c r="GF682">
        <f>IF(OR(GD$3="",GD$3&gt;TODAY()),"",IF(AND(GD682="",GE682=""),"",N(GE682)-N(GD682)))</f>
        <v/>
      </c>
      <c r="GI682">
        <f>IF(OR(GD$3="",GD$3&gt;TODAY()),"",IF(AND(GG682="",GH682=""),"",N(GH682)-N(GG682)))</f>
        <v/>
      </c>
      <c r="GM682">
        <f>IF(OR(GK$3="",GK$3&gt;TODAY()),"",IF(AND(GK682="",GL682=""),"",N(GL682)-N(GK682)))</f>
        <v/>
      </c>
      <c r="GP682">
        <f>IF(OR(GK$3="",GK$3&gt;TODAY()),"",IF(AND(GN682="",GO682=""),"",N(GO682)-N(GN682)))</f>
        <v/>
      </c>
      <c r="GT682">
        <f>IF(OR(GR$3="",GR$3&gt;TODAY()),"",IF(AND(GR682="",GS682=""),"",N(GS682)-N(GR682)))</f>
        <v/>
      </c>
      <c r="GW682">
        <f>IF(OR(GR$3="",GR$3&gt;TODAY()),"",IF(AND(GU682="",GV682=""),"",N(GV682)-N(GU682)))</f>
        <v/>
      </c>
      <c r="HA682">
        <f>IF(OR(GY$3="",GY$3&gt;TODAY()),"",IF(AND(GY682="",GZ682=""),"",N(GZ682)-N(GY682)))</f>
        <v/>
      </c>
      <c r="HD682">
        <f>IF(OR(GY$3="",GY$3&gt;TODAY()),"",IF(AND(HB682="",HC682=""),"",N(HC682)-N(HB682)))</f>
        <v/>
      </c>
      <c r="HH682">
        <f>IF(OR(HF$3="",HF$3&gt;TODAY()),"",IF(AND(HF682="",HG682=""),"",N(HG682)-N(HF682)))</f>
        <v/>
      </c>
      <c r="HK682">
        <f>IF(OR(HF$3="",HF$3&gt;TODAY()),"",IF(AND(HI682="",HJ682=""),"",N(HJ682)-N(HI682)))</f>
        <v/>
      </c>
      <c r="HO682">
        <f>IF(OR(HM$3="",HM$3&gt;TODAY()),"",IF(AND(HM682="",HN682=""),"",N(HN682)-N(HM682)))</f>
        <v/>
      </c>
      <c r="HR682">
        <f>IF(OR(HM$3="",HM$3&gt;TODAY()),"",IF(AND(HP682="",HQ682=""),"",N(HQ682)-N(HP682)))</f>
        <v/>
      </c>
      <c r="HV682">
        <f>IF(OR(HT$3="",HT$3&gt;TODAY()),"",IF(AND(HT682="",HU682=""),"",N(HU682)-N(HT682)))</f>
        <v/>
      </c>
      <c r="HY682">
        <f>IF(OR(HT$3="",HT$3&gt;TODAY()),"",IF(AND(HW682="",HX682=""),"",N(HX682)-N(HW682)))</f>
        <v/>
      </c>
      <c r="IC682">
        <f>IF(OR(IA$3="",IA$3&gt;TODAY()),"",IF(AND(IA682="",IB682=""),"",N(IB682)-N(IA682)))</f>
        <v/>
      </c>
      <c r="IF682">
        <f>IF(OR(IA$3="",IA$3&gt;TODAY()),"",IF(AND(ID682="",IE682=""),"",N(IE682)-N(ID682)))</f>
        <v/>
      </c>
      <c r="IJ682">
        <f>IF(OR(IH$3="",IH$3&gt;TODAY()),"",IF(AND(IH682="",II682=""),"",N(II682)-N(IH682)))</f>
        <v/>
      </c>
      <c r="IM682">
        <f>IF(OR(IH$3="",IH$3&gt;TODAY()),"",IF(AND(IK682="",IL682=""),"",N(IL682)-N(IK682)))</f>
        <v/>
      </c>
    </row>
    <row r="683">
      <c r="A683" s="21" t="n"/>
      <c r="B683" s="21" t="n"/>
      <c r="C683" s="21" t="n"/>
      <c r="D683" s="21" t="n"/>
      <c r="E683" s="21" t="n"/>
      <c r="F683" s="21" t="n"/>
      <c r="G683" s="21" t="n"/>
      <c r="H683" s="21" t="n"/>
      <c r="I683" s="22" t="n"/>
      <c r="J683" s="22" t="n"/>
      <c r="K683" s="23" t="n"/>
      <c r="L683" s="22" t="n"/>
      <c r="M683" s="22" t="n"/>
      <c r="N683" s="21" t="n"/>
      <c r="O683" s="23" t="n"/>
      <c r="P683" s="23" t="n"/>
      <c r="Q683" s="23" t="n"/>
      <c r="R683" s="23" t="n"/>
      <c r="S683" s="22" t="n"/>
      <c r="T683" s="23" t="n"/>
      <c r="U683" s="23" t="n"/>
      <c r="V683" s="24">
        <f>IF(J683&lt;&gt;"",J683,IF(I683&lt;&gt;"",I683,""))</f>
        <v/>
      </c>
      <c r="W683" s="25">
        <f>IF($E683="","",N(O683)+SUMIFS($AF683:$IN683,$AF$4:$IN$4,"SEW_ACT"))</f>
        <v/>
      </c>
      <c r="X683" s="25">
        <f>IF($E683="","",N(P683)+SUMIFS($AF683:$IN683,$AF$4:$IN$4,"WASH_ACT"))</f>
        <v/>
      </c>
      <c r="Y683" s="25">
        <f>IF($E683="","",W683-X683-N(T683)-N(U683))</f>
        <v/>
      </c>
      <c r="Z683" s="25">
        <f>IF($E683="","",IF(N(K683)-X683&lt;=0.02*N(K683),0,N(K683)-X683))</f>
        <v/>
      </c>
      <c r="AA683" s="24">
        <f>IF($E683="","",IF(S683&lt;&gt;"",S683,IF(N(O683)&gt;0,IF(L683&lt;&gt;"",L683,99999),IFERROR(1/(1/_xlfn.MINIFS($AF$3:$IN$3,$AF$4:$IN$4,"SEW_ACT",$AF683:$IN683,"&gt;0")),99999))))</f>
        <v/>
      </c>
      <c r="AB683" s="26">
        <f>IF(OR($E683="",Z683=0,V683=""),"",1+COUNTIFS(Z$8:Z$707,"&gt;0",V$8:V$707,"&lt;"&amp;V683)+COUNTIFS(Z$8:Z$707,"&gt;0",V$8:V$707,V683,AA$8:AA$707,"&lt;"&amp;AA683)+COUNTIFS(Z$8:Z$707,"&gt;0",V$8:V$707,V683,AA$8:AA$707,AA683,E$8:E$707,"&lt;"&amp;$E683))</f>
        <v/>
      </c>
      <c r="AC683" s="24">
        <f>IF(OR($E683="",Z683=0),"",IFERROR(TODAY()+ROUNDUP(Z683/(SUMIFS($AF683:$IN683,$AF$4:$IN$4,"WASH_ACT")/COUNTIFS($AF$4:$IN$4,"WASH_ACT",$AF683:$IN683,"&gt;0")),0),"no output yet"))</f>
        <v/>
      </c>
      <c r="AD683" s="26">
        <f>IF($E683="","",IFERROR(ROUND(MAX(0,SUMIFS($AF683:$IN683,$AF$4:$IN$4,"SEW_PLAN",$AF$3:$IN$3,"&lt;="&amp;TODAY())-SUMIFS($AF683:$IN683,$AF$4:$IN$4,"SEW_ACT",$AF$3:$IN$3,"&lt;="&amp;TODAY())+N(Q683))/(SUMIFS($AF683:$IN683,$AF$4:$IN$4,"SEW_PLAN")/COUNTIFS($AF$4:$IN$4,"SEW_PLAN",$AF683:$IN683,"&gt;0")),1),0))</f>
        <v/>
      </c>
      <c r="AE683" s="26">
        <f>IF($E683="","",IF(AND(Z683&gt;0,OR(AND(M683&lt;&gt;"",TODAY()&gt;M683),AND(V683&lt;&gt;"",V683-TODAY()&lt;=7))),"Yes","No"))</f>
        <v/>
      </c>
      <c r="AH683">
        <f>IF(OR(AF$3="",AF$3&gt;TODAY()),"",IF(AND(AF683="",AG683=""),"",N(AG683)-N(AF683)))</f>
        <v/>
      </c>
      <c r="AK683">
        <f>IF(OR(AF$3="",AF$3&gt;TODAY()),"",IF(AND(AI683="",AJ683=""),"",N(AJ683)-N(AI683)))</f>
        <v/>
      </c>
      <c r="AO683">
        <f>IF(OR(AM$3="",AM$3&gt;TODAY()),"",IF(AND(AM683="",AN683=""),"",N(AN683)-N(AM683)))</f>
        <v/>
      </c>
      <c r="AR683">
        <f>IF(OR(AM$3="",AM$3&gt;TODAY()),"",IF(AND(AP683="",AQ683=""),"",N(AQ683)-N(AP683)))</f>
        <v/>
      </c>
      <c r="AV683">
        <f>IF(OR(AT$3="",AT$3&gt;TODAY()),"",IF(AND(AT683="",AU683=""),"",N(AU683)-N(AT683)))</f>
        <v/>
      </c>
      <c r="AY683">
        <f>IF(OR(AT$3="",AT$3&gt;TODAY()),"",IF(AND(AW683="",AX683=""),"",N(AX683)-N(AW683)))</f>
        <v/>
      </c>
      <c r="BC683">
        <f>IF(OR(BA$3="",BA$3&gt;TODAY()),"",IF(AND(BA683="",BB683=""),"",N(BB683)-N(BA683)))</f>
        <v/>
      </c>
      <c r="BF683">
        <f>IF(OR(BA$3="",BA$3&gt;TODAY()),"",IF(AND(BD683="",BE683=""),"",N(BE683)-N(BD683)))</f>
        <v/>
      </c>
      <c r="BJ683">
        <f>IF(OR(BH$3="",BH$3&gt;TODAY()),"",IF(AND(BH683="",BI683=""),"",N(BI683)-N(BH683)))</f>
        <v/>
      </c>
      <c r="BM683">
        <f>IF(OR(BH$3="",BH$3&gt;TODAY()),"",IF(AND(BK683="",BL683=""),"",N(BL683)-N(BK683)))</f>
        <v/>
      </c>
      <c r="BQ683">
        <f>IF(OR(BO$3="",BO$3&gt;TODAY()),"",IF(AND(BO683="",BP683=""),"",N(BP683)-N(BO683)))</f>
        <v/>
      </c>
      <c r="BT683">
        <f>IF(OR(BO$3="",BO$3&gt;TODAY()),"",IF(AND(BR683="",BS683=""),"",N(BS683)-N(BR683)))</f>
        <v/>
      </c>
      <c r="BX683">
        <f>IF(OR(BV$3="",BV$3&gt;TODAY()),"",IF(AND(BV683="",BW683=""),"",N(BW683)-N(BV683)))</f>
        <v/>
      </c>
      <c r="CA683">
        <f>IF(OR(BV$3="",BV$3&gt;TODAY()),"",IF(AND(BY683="",BZ683=""),"",N(BZ683)-N(BY683)))</f>
        <v/>
      </c>
      <c r="CE683">
        <f>IF(OR(CC$3="",CC$3&gt;TODAY()),"",IF(AND(CC683="",CD683=""),"",N(CD683)-N(CC683)))</f>
        <v/>
      </c>
      <c r="CH683">
        <f>IF(OR(CC$3="",CC$3&gt;TODAY()),"",IF(AND(CF683="",CG683=""),"",N(CG683)-N(CF683)))</f>
        <v/>
      </c>
      <c r="CL683">
        <f>IF(OR(CJ$3="",CJ$3&gt;TODAY()),"",IF(AND(CJ683="",CK683=""),"",N(CK683)-N(CJ683)))</f>
        <v/>
      </c>
      <c r="CO683">
        <f>IF(OR(CJ$3="",CJ$3&gt;TODAY()),"",IF(AND(CM683="",CN683=""),"",N(CN683)-N(CM683)))</f>
        <v/>
      </c>
      <c r="CS683">
        <f>IF(OR(CQ$3="",CQ$3&gt;TODAY()),"",IF(AND(CQ683="",CR683=""),"",N(CR683)-N(CQ683)))</f>
        <v/>
      </c>
      <c r="CV683">
        <f>IF(OR(CQ$3="",CQ$3&gt;TODAY()),"",IF(AND(CT683="",CU683=""),"",N(CU683)-N(CT683)))</f>
        <v/>
      </c>
      <c r="CZ683">
        <f>IF(OR(CX$3="",CX$3&gt;TODAY()),"",IF(AND(CX683="",CY683=""),"",N(CY683)-N(CX683)))</f>
        <v/>
      </c>
      <c r="DC683">
        <f>IF(OR(CX$3="",CX$3&gt;TODAY()),"",IF(AND(DA683="",DB683=""),"",N(DB683)-N(DA683)))</f>
        <v/>
      </c>
      <c r="DG683">
        <f>IF(OR(DE$3="",DE$3&gt;TODAY()),"",IF(AND(DE683="",DF683=""),"",N(DF683)-N(DE683)))</f>
        <v/>
      </c>
      <c r="DJ683">
        <f>IF(OR(DE$3="",DE$3&gt;TODAY()),"",IF(AND(DH683="",DI683=""),"",N(DI683)-N(DH683)))</f>
        <v/>
      </c>
      <c r="DN683">
        <f>IF(OR(DL$3="",DL$3&gt;TODAY()),"",IF(AND(DL683="",DM683=""),"",N(DM683)-N(DL683)))</f>
        <v/>
      </c>
      <c r="DQ683">
        <f>IF(OR(DL$3="",DL$3&gt;TODAY()),"",IF(AND(DO683="",DP683=""),"",N(DP683)-N(DO683)))</f>
        <v/>
      </c>
      <c r="DU683">
        <f>IF(OR(DS$3="",DS$3&gt;TODAY()),"",IF(AND(DS683="",DT683=""),"",N(DT683)-N(DS683)))</f>
        <v/>
      </c>
      <c r="DX683">
        <f>IF(OR(DS$3="",DS$3&gt;TODAY()),"",IF(AND(DV683="",DW683=""),"",N(DW683)-N(DV683)))</f>
        <v/>
      </c>
      <c r="EB683">
        <f>IF(OR(DZ$3="",DZ$3&gt;TODAY()),"",IF(AND(DZ683="",EA683=""),"",N(EA683)-N(DZ683)))</f>
        <v/>
      </c>
      <c r="EE683">
        <f>IF(OR(DZ$3="",DZ$3&gt;TODAY()),"",IF(AND(EC683="",ED683=""),"",N(ED683)-N(EC683)))</f>
        <v/>
      </c>
      <c r="EI683">
        <f>IF(OR(EG$3="",EG$3&gt;TODAY()),"",IF(AND(EG683="",EH683=""),"",N(EH683)-N(EG683)))</f>
        <v/>
      </c>
      <c r="EL683">
        <f>IF(OR(EG$3="",EG$3&gt;TODAY()),"",IF(AND(EJ683="",EK683=""),"",N(EK683)-N(EJ683)))</f>
        <v/>
      </c>
      <c r="EP683">
        <f>IF(OR(EN$3="",EN$3&gt;TODAY()),"",IF(AND(EN683="",EO683=""),"",N(EO683)-N(EN683)))</f>
        <v/>
      </c>
      <c r="ES683">
        <f>IF(OR(EN$3="",EN$3&gt;TODAY()),"",IF(AND(EQ683="",ER683=""),"",N(ER683)-N(EQ683)))</f>
        <v/>
      </c>
      <c r="EW683">
        <f>IF(OR(EU$3="",EU$3&gt;TODAY()),"",IF(AND(EU683="",EV683=""),"",N(EV683)-N(EU683)))</f>
        <v/>
      </c>
      <c r="EZ683">
        <f>IF(OR(EU$3="",EU$3&gt;TODAY()),"",IF(AND(EX683="",EY683=""),"",N(EY683)-N(EX683)))</f>
        <v/>
      </c>
      <c r="FD683">
        <f>IF(OR(FB$3="",FB$3&gt;TODAY()),"",IF(AND(FB683="",FC683=""),"",N(FC683)-N(FB683)))</f>
        <v/>
      </c>
      <c r="FG683">
        <f>IF(OR(FB$3="",FB$3&gt;TODAY()),"",IF(AND(FE683="",FF683=""),"",N(FF683)-N(FE683)))</f>
        <v/>
      </c>
      <c r="FK683">
        <f>IF(OR(FI$3="",FI$3&gt;TODAY()),"",IF(AND(FI683="",FJ683=""),"",N(FJ683)-N(FI683)))</f>
        <v/>
      </c>
      <c r="FN683">
        <f>IF(OR(FI$3="",FI$3&gt;TODAY()),"",IF(AND(FL683="",FM683=""),"",N(FM683)-N(FL683)))</f>
        <v/>
      </c>
      <c r="FR683">
        <f>IF(OR(FP$3="",FP$3&gt;TODAY()),"",IF(AND(FP683="",FQ683=""),"",N(FQ683)-N(FP683)))</f>
        <v/>
      </c>
      <c r="FU683">
        <f>IF(OR(FP$3="",FP$3&gt;TODAY()),"",IF(AND(FS683="",FT683=""),"",N(FT683)-N(FS683)))</f>
        <v/>
      </c>
      <c r="FY683">
        <f>IF(OR(FW$3="",FW$3&gt;TODAY()),"",IF(AND(FW683="",FX683=""),"",N(FX683)-N(FW683)))</f>
        <v/>
      </c>
      <c r="GB683">
        <f>IF(OR(FW$3="",FW$3&gt;TODAY()),"",IF(AND(FZ683="",GA683=""),"",N(GA683)-N(FZ683)))</f>
        <v/>
      </c>
      <c r="GF683">
        <f>IF(OR(GD$3="",GD$3&gt;TODAY()),"",IF(AND(GD683="",GE683=""),"",N(GE683)-N(GD683)))</f>
        <v/>
      </c>
      <c r="GI683">
        <f>IF(OR(GD$3="",GD$3&gt;TODAY()),"",IF(AND(GG683="",GH683=""),"",N(GH683)-N(GG683)))</f>
        <v/>
      </c>
      <c r="GM683">
        <f>IF(OR(GK$3="",GK$3&gt;TODAY()),"",IF(AND(GK683="",GL683=""),"",N(GL683)-N(GK683)))</f>
        <v/>
      </c>
      <c r="GP683">
        <f>IF(OR(GK$3="",GK$3&gt;TODAY()),"",IF(AND(GN683="",GO683=""),"",N(GO683)-N(GN683)))</f>
        <v/>
      </c>
      <c r="GT683">
        <f>IF(OR(GR$3="",GR$3&gt;TODAY()),"",IF(AND(GR683="",GS683=""),"",N(GS683)-N(GR683)))</f>
        <v/>
      </c>
      <c r="GW683">
        <f>IF(OR(GR$3="",GR$3&gt;TODAY()),"",IF(AND(GU683="",GV683=""),"",N(GV683)-N(GU683)))</f>
        <v/>
      </c>
      <c r="HA683">
        <f>IF(OR(GY$3="",GY$3&gt;TODAY()),"",IF(AND(GY683="",GZ683=""),"",N(GZ683)-N(GY683)))</f>
        <v/>
      </c>
      <c r="HD683">
        <f>IF(OR(GY$3="",GY$3&gt;TODAY()),"",IF(AND(HB683="",HC683=""),"",N(HC683)-N(HB683)))</f>
        <v/>
      </c>
      <c r="HH683">
        <f>IF(OR(HF$3="",HF$3&gt;TODAY()),"",IF(AND(HF683="",HG683=""),"",N(HG683)-N(HF683)))</f>
        <v/>
      </c>
      <c r="HK683">
        <f>IF(OR(HF$3="",HF$3&gt;TODAY()),"",IF(AND(HI683="",HJ683=""),"",N(HJ683)-N(HI683)))</f>
        <v/>
      </c>
      <c r="HO683">
        <f>IF(OR(HM$3="",HM$3&gt;TODAY()),"",IF(AND(HM683="",HN683=""),"",N(HN683)-N(HM683)))</f>
        <v/>
      </c>
      <c r="HR683">
        <f>IF(OR(HM$3="",HM$3&gt;TODAY()),"",IF(AND(HP683="",HQ683=""),"",N(HQ683)-N(HP683)))</f>
        <v/>
      </c>
      <c r="HV683">
        <f>IF(OR(HT$3="",HT$3&gt;TODAY()),"",IF(AND(HT683="",HU683=""),"",N(HU683)-N(HT683)))</f>
        <v/>
      </c>
      <c r="HY683">
        <f>IF(OR(HT$3="",HT$3&gt;TODAY()),"",IF(AND(HW683="",HX683=""),"",N(HX683)-N(HW683)))</f>
        <v/>
      </c>
      <c r="IC683">
        <f>IF(OR(IA$3="",IA$3&gt;TODAY()),"",IF(AND(IA683="",IB683=""),"",N(IB683)-N(IA683)))</f>
        <v/>
      </c>
      <c r="IF683">
        <f>IF(OR(IA$3="",IA$3&gt;TODAY()),"",IF(AND(ID683="",IE683=""),"",N(IE683)-N(ID683)))</f>
        <v/>
      </c>
      <c r="IJ683">
        <f>IF(OR(IH$3="",IH$3&gt;TODAY()),"",IF(AND(IH683="",II683=""),"",N(II683)-N(IH683)))</f>
        <v/>
      </c>
      <c r="IM683">
        <f>IF(OR(IH$3="",IH$3&gt;TODAY()),"",IF(AND(IK683="",IL683=""),"",N(IL683)-N(IK683)))</f>
        <v/>
      </c>
    </row>
    <row r="684">
      <c r="A684" s="21" t="n"/>
      <c r="B684" s="21" t="n"/>
      <c r="C684" s="21" t="n"/>
      <c r="D684" s="21" t="n"/>
      <c r="E684" s="21" t="n"/>
      <c r="F684" s="21" t="n"/>
      <c r="G684" s="21" t="n"/>
      <c r="H684" s="21" t="n"/>
      <c r="I684" s="22" t="n"/>
      <c r="J684" s="22" t="n"/>
      <c r="K684" s="23" t="n"/>
      <c r="L684" s="22" t="n"/>
      <c r="M684" s="22" t="n"/>
      <c r="N684" s="21" t="n"/>
      <c r="O684" s="23" t="n"/>
      <c r="P684" s="23" t="n"/>
      <c r="Q684" s="23" t="n"/>
      <c r="R684" s="23" t="n"/>
      <c r="S684" s="22" t="n"/>
      <c r="T684" s="23" t="n"/>
      <c r="U684" s="23" t="n"/>
      <c r="V684" s="24">
        <f>IF(J684&lt;&gt;"",J684,IF(I684&lt;&gt;"",I684,""))</f>
        <v/>
      </c>
      <c r="W684" s="25">
        <f>IF($E684="","",N(O684)+SUMIFS($AF684:$IN684,$AF$4:$IN$4,"SEW_ACT"))</f>
        <v/>
      </c>
      <c r="X684" s="25">
        <f>IF($E684="","",N(P684)+SUMIFS($AF684:$IN684,$AF$4:$IN$4,"WASH_ACT"))</f>
        <v/>
      </c>
      <c r="Y684" s="25">
        <f>IF($E684="","",W684-X684-N(T684)-N(U684))</f>
        <v/>
      </c>
      <c r="Z684" s="25">
        <f>IF($E684="","",IF(N(K684)-X684&lt;=0.02*N(K684),0,N(K684)-X684))</f>
        <v/>
      </c>
      <c r="AA684" s="24">
        <f>IF($E684="","",IF(S684&lt;&gt;"",S684,IF(N(O684)&gt;0,IF(L684&lt;&gt;"",L684,99999),IFERROR(1/(1/_xlfn.MINIFS($AF$3:$IN$3,$AF$4:$IN$4,"SEW_ACT",$AF684:$IN684,"&gt;0")),99999))))</f>
        <v/>
      </c>
      <c r="AB684" s="26">
        <f>IF(OR($E684="",Z684=0,V684=""),"",1+COUNTIFS(Z$8:Z$707,"&gt;0",V$8:V$707,"&lt;"&amp;V684)+COUNTIFS(Z$8:Z$707,"&gt;0",V$8:V$707,V684,AA$8:AA$707,"&lt;"&amp;AA684)+COUNTIFS(Z$8:Z$707,"&gt;0",V$8:V$707,V684,AA$8:AA$707,AA684,E$8:E$707,"&lt;"&amp;$E684))</f>
        <v/>
      </c>
      <c r="AC684" s="24">
        <f>IF(OR($E684="",Z684=0),"",IFERROR(TODAY()+ROUNDUP(Z684/(SUMIFS($AF684:$IN684,$AF$4:$IN$4,"WASH_ACT")/COUNTIFS($AF$4:$IN$4,"WASH_ACT",$AF684:$IN684,"&gt;0")),0),"no output yet"))</f>
        <v/>
      </c>
      <c r="AD684" s="26">
        <f>IF($E684="","",IFERROR(ROUND(MAX(0,SUMIFS($AF684:$IN684,$AF$4:$IN$4,"SEW_PLAN",$AF$3:$IN$3,"&lt;="&amp;TODAY())-SUMIFS($AF684:$IN684,$AF$4:$IN$4,"SEW_ACT",$AF$3:$IN$3,"&lt;="&amp;TODAY())+N(Q684))/(SUMIFS($AF684:$IN684,$AF$4:$IN$4,"SEW_PLAN")/COUNTIFS($AF$4:$IN$4,"SEW_PLAN",$AF684:$IN684,"&gt;0")),1),0))</f>
        <v/>
      </c>
      <c r="AE684" s="26">
        <f>IF($E684="","",IF(AND(Z684&gt;0,OR(AND(M684&lt;&gt;"",TODAY()&gt;M684),AND(V684&lt;&gt;"",V684-TODAY()&lt;=7))),"Yes","No"))</f>
        <v/>
      </c>
      <c r="AH684">
        <f>IF(OR(AF$3="",AF$3&gt;TODAY()),"",IF(AND(AF684="",AG684=""),"",N(AG684)-N(AF684)))</f>
        <v/>
      </c>
      <c r="AK684">
        <f>IF(OR(AF$3="",AF$3&gt;TODAY()),"",IF(AND(AI684="",AJ684=""),"",N(AJ684)-N(AI684)))</f>
        <v/>
      </c>
      <c r="AO684">
        <f>IF(OR(AM$3="",AM$3&gt;TODAY()),"",IF(AND(AM684="",AN684=""),"",N(AN684)-N(AM684)))</f>
        <v/>
      </c>
      <c r="AR684">
        <f>IF(OR(AM$3="",AM$3&gt;TODAY()),"",IF(AND(AP684="",AQ684=""),"",N(AQ684)-N(AP684)))</f>
        <v/>
      </c>
      <c r="AV684">
        <f>IF(OR(AT$3="",AT$3&gt;TODAY()),"",IF(AND(AT684="",AU684=""),"",N(AU684)-N(AT684)))</f>
        <v/>
      </c>
      <c r="AY684">
        <f>IF(OR(AT$3="",AT$3&gt;TODAY()),"",IF(AND(AW684="",AX684=""),"",N(AX684)-N(AW684)))</f>
        <v/>
      </c>
      <c r="BC684">
        <f>IF(OR(BA$3="",BA$3&gt;TODAY()),"",IF(AND(BA684="",BB684=""),"",N(BB684)-N(BA684)))</f>
        <v/>
      </c>
      <c r="BF684">
        <f>IF(OR(BA$3="",BA$3&gt;TODAY()),"",IF(AND(BD684="",BE684=""),"",N(BE684)-N(BD684)))</f>
        <v/>
      </c>
      <c r="BJ684">
        <f>IF(OR(BH$3="",BH$3&gt;TODAY()),"",IF(AND(BH684="",BI684=""),"",N(BI684)-N(BH684)))</f>
        <v/>
      </c>
      <c r="BM684">
        <f>IF(OR(BH$3="",BH$3&gt;TODAY()),"",IF(AND(BK684="",BL684=""),"",N(BL684)-N(BK684)))</f>
        <v/>
      </c>
      <c r="BQ684">
        <f>IF(OR(BO$3="",BO$3&gt;TODAY()),"",IF(AND(BO684="",BP684=""),"",N(BP684)-N(BO684)))</f>
        <v/>
      </c>
      <c r="BT684">
        <f>IF(OR(BO$3="",BO$3&gt;TODAY()),"",IF(AND(BR684="",BS684=""),"",N(BS684)-N(BR684)))</f>
        <v/>
      </c>
      <c r="BX684">
        <f>IF(OR(BV$3="",BV$3&gt;TODAY()),"",IF(AND(BV684="",BW684=""),"",N(BW684)-N(BV684)))</f>
        <v/>
      </c>
      <c r="CA684">
        <f>IF(OR(BV$3="",BV$3&gt;TODAY()),"",IF(AND(BY684="",BZ684=""),"",N(BZ684)-N(BY684)))</f>
        <v/>
      </c>
      <c r="CE684">
        <f>IF(OR(CC$3="",CC$3&gt;TODAY()),"",IF(AND(CC684="",CD684=""),"",N(CD684)-N(CC684)))</f>
        <v/>
      </c>
      <c r="CH684">
        <f>IF(OR(CC$3="",CC$3&gt;TODAY()),"",IF(AND(CF684="",CG684=""),"",N(CG684)-N(CF684)))</f>
        <v/>
      </c>
      <c r="CL684">
        <f>IF(OR(CJ$3="",CJ$3&gt;TODAY()),"",IF(AND(CJ684="",CK684=""),"",N(CK684)-N(CJ684)))</f>
        <v/>
      </c>
      <c r="CO684">
        <f>IF(OR(CJ$3="",CJ$3&gt;TODAY()),"",IF(AND(CM684="",CN684=""),"",N(CN684)-N(CM684)))</f>
        <v/>
      </c>
      <c r="CS684">
        <f>IF(OR(CQ$3="",CQ$3&gt;TODAY()),"",IF(AND(CQ684="",CR684=""),"",N(CR684)-N(CQ684)))</f>
        <v/>
      </c>
      <c r="CV684">
        <f>IF(OR(CQ$3="",CQ$3&gt;TODAY()),"",IF(AND(CT684="",CU684=""),"",N(CU684)-N(CT684)))</f>
        <v/>
      </c>
      <c r="CZ684">
        <f>IF(OR(CX$3="",CX$3&gt;TODAY()),"",IF(AND(CX684="",CY684=""),"",N(CY684)-N(CX684)))</f>
        <v/>
      </c>
      <c r="DC684">
        <f>IF(OR(CX$3="",CX$3&gt;TODAY()),"",IF(AND(DA684="",DB684=""),"",N(DB684)-N(DA684)))</f>
        <v/>
      </c>
      <c r="DG684">
        <f>IF(OR(DE$3="",DE$3&gt;TODAY()),"",IF(AND(DE684="",DF684=""),"",N(DF684)-N(DE684)))</f>
        <v/>
      </c>
      <c r="DJ684">
        <f>IF(OR(DE$3="",DE$3&gt;TODAY()),"",IF(AND(DH684="",DI684=""),"",N(DI684)-N(DH684)))</f>
        <v/>
      </c>
      <c r="DN684">
        <f>IF(OR(DL$3="",DL$3&gt;TODAY()),"",IF(AND(DL684="",DM684=""),"",N(DM684)-N(DL684)))</f>
        <v/>
      </c>
      <c r="DQ684">
        <f>IF(OR(DL$3="",DL$3&gt;TODAY()),"",IF(AND(DO684="",DP684=""),"",N(DP684)-N(DO684)))</f>
        <v/>
      </c>
      <c r="DU684">
        <f>IF(OR(DS$3="",DS$3&gt;TODAY()),"",IF(AND(DS684="",DT684=""),"",N(DT684)-N(DS684)))</f>
        <v/>
      </c>
      <c r="DX684">
        <f>IF(OR(DS$3="",DS$3&gt;TODAY()),"",IF(AND(DV684="",DW684=""),"",N(DW684)-N(DV684)))</f>
        <v/>
      </c>
      <c r="EB684">
        <f>IF(OR(DZ$3="",DZ$3&gt;TODAY()),"",IF(AND(DZ684="",EA684=""),"",N(EA684)-N(DZ684)))</f>
        <v/>
      </c>
      <c r="EE684">
        <f>IF(OR(DZ$3="",DZ$3&gt;TODAY()),"",IF(AND(EC684="",ED684=""),"",N(ED684)-N(EC684)))</f>
        <v/>
      </c>
      <c r="EI684">
        <f>IF(OR(EG$3="",EG$3&gt;TODAY()),"",IF(AND(EG684="",EH684=""),"",N(EH684)-N(EG684)))</f>
        <v/>
      </c>
      <c r="EL684">
        <f>IF(OR(EG$3="",EG$3&gt;TODAY()),"",IF(AND(EJ684="",EK684=""),"",N(EK684)-N(EJ684)))</f>
        <v/>
      </c>
      <c r="EP684">
        <f>IF(OR(EN$3="",EN$3&gt;TODAY()),"",IF(AND(EN684="",EO684=""),"",N(EO684)-N(EN684)))</f>
        <v/>
      </c>
      <c r="ES684">
        <f>IF(OR(EN$3="",EN$3&gt;TODAY()),"",IF(AND(EQ684="",ER684=""),"",N(ER684)-N(EQ684)))</f>
        <v/>
      </c>
      <c r="EW684">
        <f>IF(OR(EU$3="",EU$3&gt;TODAY()),"",IF(AND(EU684="",EV684=""),"",N(EV684)-N(EU684)))</f>
        <v/>
      </c>
      <c r="EZ684">
        <f>IF(OR(EU$3="",EU$3&gt;TODAY()),"",IF(AND(EX684="",EY684=""),"",N(EY684)-N(EX684)))</f>
        <v/>
      </c>
      <c r="FD684">
        <f>IF(OR(FB$3="",FB$3&gt;TODAY()),"",IF(AND(FB684="",FC684=""),"",N(FC684)-N(FB684)))</f>
        <v/>
      </c>
      <c r="FG684">
        <f>IF(OR(FB$3="",FB$3&gt;TODAY()),"",IF(AND(FE684="",FF684=""),"",N(FF684)-N(FE684)))</f>
        <v/>
      </c>
      <c r="FK684">
        <f>IF(OR(FI$3="",FI$3&gt;TODAY()),"",IF(AND(FI684="",FJ684=""),"",N(FJ684)-N(FI684)))</f>
        <v/>
      </c>
      <c r="FN684">
        <f>IF(OR(FI$3="",FI$3&gt;TODAY()),"",IF(AND(FL684="",FM684=""),"",N(FM684)-N(FL684)))</f>
        <v/>
      </c>
      <c r="FR684">
        <f>IF(OR(FP$3="",FP$3&gt;TODAY()),"",IF(AND(FP684="",FQ684=""),"",N(FQ684)-N(FP684)))</f>
        <v/>
      </c>
      <c r="FU684">
        <f>IF(OR(FP$3="",FP$3&gt;TODAY()),"",IF(AND(FS684="",FT684=""),"",N(FT684)-N(FS684)))</f>
        <v/>
      </c>
      <c r="FY684">
        <f>IF(OR(FW$3="",FW$3&gt;TODAY()),"",IF(AND(FW684="",FX684=""),"",N(FX684)-N(FW684)))</f>
        <v/>
      </c>
      <c r="GB684">
        <f>IF(OR(FW$3="",FW$3&gt;TODAY()),"",IF(AND(FZ684="",GA684=""),"",N(GA684)-N(FZ684)))</f>
        <v/>
      </c>
      <c r="GF684">
        <f>IF(OR(GD$3="",GD$3&gt;TODAY()),"",IF(AND(GD684="",GE684=""),"",N(GE684)-N(GD684)))</f>
        <v/>
      </c>
      <c r="GI684">
        <f>IF(OR(GD$3="",GD$3&gt;TODAY()),"",IF(AND(GG684="",GH684=""),"",N(GH684)-N(GG684)))</f>
        <v/>
      </c>
      <c r="GM684">
        <f>IF(OR(GK$3="",GK$3&gt;TODAY()),"",IF(AND(GK684="",GL684=""),"",N(GL684)-N(GK684)))</f>
        <v/>
      </c>
      <c r="GP684">
        <f>IF(OR(GK$3="",GK$3&gt;TODAY()),"",IF(AND(GN684="",GO684=""),"",N(GO684)-N(GN684)))</f>
        <v/>
      </c>
      <c r="GT684">
        <f>IF(OR(GR$3="",GR$3&gt;TODAY()),"",IF(AND(GR684="",GS684=""),"",N(GS684)-N(GR684)))</f>
        <v/>
      </c>
      <c r="GW684">
        <f>IF(OR(GR$3="",GR$3&gt;TODAY()),"",IF(AND(GU684="",GV684=""),"",N(GV684)-N(GU684)))</f>
        <v/>
      </c>
      <c r="HA684">
        <f>IF(OR(GY$3="",GY$3&gt;TODAY()),"",IF(AND(GY684="",GZ684=""),"",N(GZ684)-N(GY684)))</f>
        <v/>
      </c>
      <c r="HD684">
        <f>IF(OR(GY$3="",GY$3&gt;TODAY()),"",IF(AND(HB684="",HC684=""),"",N(HC684)-N(HB684)))</f>
        <v/>
      </c>
      <c r="HH684">
        <f>IF(OR(HF$3="",HF$3&gt;TODAY()),"",IF(AND(HF684="",HG684=""),"",N(HG684)-N(HF684)))</f>
        <v/>
      </c>
      <c r="HK684">
        <f>IF(OR(HF$3="",HF$3&gt;TODAY()),"",IF(AND(HI684="",HJ684=""),"",N(HJ684)-N(HI684)))</f>
        <v/>
      </c>
      <c r="HO684">
        <f>IF(OR(HM$3="",HM$3&gt;TODAY()),"",IF(AND(HM684="",HN684=""),"",N(HN684)-N(HM684)))</f>
        <v/>
      </c>
      <c r="HR684">
        <f>IF(OR(HM$3="",HM$3&gt;TODAY()),"",IF(AND(HP684="",HQ684=""),"",N(HQ684)-N(HP684)))</f>
        <v/>
      </c>
      <c r="HV684">
        <f>IF(OR(HT$3="",HT$3&gt;TODAY()),"",IF(AND(HT684="",HU684=""),"",N(HU684)-N(HT684)))</f>
        <v/>
      </c>
      <c r="HY684">
        <f>IF(OR(HT$3="",HT$3&gt;TODAY()),"",IF(AND(HW684="",HX684=""),"",N(HX684)-N(HW684)))</f>
        <v/>
      </c>
      <c r="IC684">
        <f>IF(OR(IA$3="",IA$3&gt;TODAY()),"",IF(AND(IA684="",IB684=""),"",N(IB684)-N(IA684)))</f>
        <v/>
      </c>
      <c r="IF684">
        <f>IF(OR(IA$3="",IA$3&gt;TODAY()),"",IF(AND(ID684="",IE684=""),"",N(IE684)-N(ID684)))</f>
        <v/>
      </c>
      <c r="IJ684">
        <f>IF(OR(IH$3="",IH$3&gt;TODAY()),"",IF(AND(IH684="",II684=""),"",N(II684)-N(IH684)))</f>
        <v/>
      </c>
      <c r="IM684">
        <f>IF(OR(IH$3="",IH$3&gt;TODAY()),"",IF(AND(IK684="",IL684=""),"",N(IL684)-N(IK684)))</f>
        <v/>
      </c>
    </row>
    <row r="685">
      <c r="A685" s="21" t="n"/>
      <c r="B685" s="21" t="n"/>
      <c r="C685" s="21" t="n"/>
      <c r="D685" s="21" t="n"/>
      <c r="E685" s="21" t="n"/>
      <c r="F685" s="21" t="n"/>
      <c r="G685" s="21" t="n"/>
      <c r="H685" s="21" t="n"/>
      <c r="I685" s="22" t="n"/>
      <c r="J685" s="22" t="n"/>
      <c r="K685" s="23" t="n"/>
      <c r="L685" s="22" t="n"/>
      <c r="M685" s="22" t="n"/>
      <c r="N685" s="21" t="n"/>
      <c r="O685" s="23" t="n"/>
      <c r="P685" s="23" t="n"/>
      <c r="Q685" s="23" t="n"/>
      <c r="R685" s="23" t="n"/>
      <c r="S685" s="22" t="n"/>
      <c r="T685" s="23" t="n"/>
      <c r="U685" s="23" t="n"/>
      <c r="V685" s="24">
        <f>IF(J685&lt;&gt;"",J685,IF(I685&lt;&gt;"",I685,""))</f>
        <v/>
      </c>
      <c r="W685" s="25">
        <f>IF($E685="","",N(O685)+SUMIFS($AF685:$IN685,$AF$4:$IN$4,"SEW_ACT"))</f>
        <v/>
      </c>
      <c r="X685" s="25">
        <f>IF($E685="","",N(P685)+SUMIFS($AF685:$IN685,$AF$4:$IN$4,"WASH_ACT"))</f>
        <v/>
      </c>
      <c r="Y685" s="25">
        <f>IF($E685="","",W685-X685-N(T685)-N(U685))</f>
        <v/>
      </c>
      <c r="Z685" s="25">
        <f>IF($E685="","",IF(N(K685)-X685&lt;=0.02*N(K685),0,N(K685)-X685))</f>
        <v/>
      </c>
      <c r="AA685" s="24">
        <f>IF($E685="","",IF(S685&lt;&gt;"",S685,IF(N(O685)&gt;0,IF(L685&lt;&gt;"",L685,99999),IFERROR(1/(1/_xlfn.MINIFS($AF$3:$IN$3,$AF$4:$IN$4,"SEW_ACT",$AF685:$IN685,"&gt;0")),99999))))</f>
        <v/>
      </c>
      <c r="AB685" s="26">
        <f>IF(OR($E685="",Z685=0,V685=""),"",1+COUNTIFS(Z$8:Z$707,"&gt;0",V$8:V$707,"&lt;"&amp;V685)+COUNTIFS(Z$8:Z$707,"&gt;0",V$8:V$707,V685,AA$8:AA$707,"&lt;"&amp;AA685)+COUNTIFS(Z$8:Z$707,"&gt;0",V$8:V$707,V685,AA$8:AA$707,AA685,E$8:E$707,"&lt;"&amp;$E685))</f>
        <v/>
      </c>
      <c r="AC685" s="24">
        <f>IF(OR($E685="",Z685=0),"",IFERROR(TODAY()+ROUNDUP(Z685/(SUMIFS($AF685:$IN685,$AF$4:$IN$4,"WASH_ACT")/COUNTIFS($AF$4:$IN$4,"WASH_ACT",$AF685:$IN685,"&gt;0")),0),"no output yet"))</f>
        <v/>
      </c>
      <c r="AD685" s="26">
        <f>IF($E685="","",IFERROR(ROUND(MAX(0,SUMIFS($AF685:$IN685,$AF$4:$IN$4,"SEW_PLAN",$AF$3:$IN$3,"&lt;="&amp;TODAY())-SUMIFS($AF685:$IN685,$AF$4:$IN$4,"SEW_ACT",$AF$3:$IN$3,"&lt;="&amp;TODAY())+N(Q685))/(SUMIFS($AF685:$IN685,$AF$4:$IN$4,"SEW_PLAN")/COUNTIFS($AF$4:$IN$4,"SEW_PLAN",$AF685:$IN685,"&gt;0")),1),0))</f>
        <v/>
      </c>
      <c r="AE685" s="26">
        <f>IF($E685="","",IF(AND(Z685&gt;0,OR(AND(M685&lt;&gt;"",TODAY()&gt;M685),AND(V685&lt;&gt;"",V685-TODAY()&lt;=7))),"Yes","No"))</f>
        <v/>
      </c>
      <c r="AH685">
        <f>IF(OR(AF$3="",AF$3&gt;TODAY()),"",IF(AND(AF685="",AG685=""),"",N(AG685)-N(AF685)))</f>
        <v/>
      </c>
      <c r="AK685">
        <f>IF(OR(AF$3="",AF$3&gt;TODAY()),"",IF(AND(AI685="",AJ685=""),"",N(AJ685)-N(AI685)))</f>
        <v/>
      </c>
      <c r="AO685">
        <f>IF(OR(AM$3="",AM$3&gt;TODAY()),"",IF(AND(AM685="",AN685=""),"",N(AN685)-N(AM685)))</f>
        <v/>
      </c>
      <c r="AR685">
        <f>IF(OR(AM$3="",AM$3&gt;TODAY()),"",IF(AND(AP685="",AQ685=""),"",N(AQ685)-N(AP685)))</f>
        <v/>
      </c>
      <c r="AV685">
        <f>IF(OR(AT$3="",AT$3&gt;TODAY()),"",IF(AND(AT685="",AU685=""),"",N(AU685)-N(AT685)))</f>
        <v/>
      </c>
      <c r="AY685">
        <f>IF(OR(AT$3="",AT$3&gt;TODAY()),"",IF(AND(AW685="",AX685=""),"",N(AX685)-N(AW685)))</f>
        <v/>
      </c>
      <c r="BC685">
        <f>IF(OR(BA$3="",BA$3&gt;TODAY()),"",IF(AND(BA685="",BB685=""),"",N(BB685)-N(BA685)))</f>
        <v/>
      </c>
      <c r="BF685">
        <f>IF(OR(BA$3="",BA$3&gt;TODAY()),"",IF(AND(BD685="",BE685=""),"",N(BE685)-N(BD685)))</f>
        <v/>
      </c>
      <c r="BJ685">
        <f>IF(OR(BH$3="",BH$3&gt;TODAY()),"",IF(AND(BH685="",BI685=""),"",N(BI685)-N(BH685)))</f>
        <v/>
      </c>
      <c r="BM685">
        <f>IF(OR(BH$3="",BH$3&gt;TODAY()),"",IF(AND(BK685="",BL685=""),"",N(BL685)-N(BK685)))</f>
        <v/>
      </c>
      <c r="BQ685">
        <f>IF(OR(BO$3="",BO$3&gt;TODAY()),"",IF(AND(BO685="",BP685=""),"",N(BP685)-N(BO685)))</f>
        <v/>
      </c>
      <c r="BT685">
        <f>IF(OR(BO$3="",BO$3&gt;TODAY()),"",IF(AND(BR685="",BS685=""),"",N(BS685)-N(BR685)))</f>
        <v/>
      </c>
      <c r="BX685">
        <f>IF(OR(BV$3="",BV$3&gt;TODAY()),"",IF(AND(BV685="",BW685=""),"",N(BW685)-N(BV685)))</f>
        <v/>
      </c>
      <c r="CA685">
        <f>IF(OR(BV$3="",BV$3&gt;TODAY()),"",IF(AND(BY685="",BZ685=""),"",N(BZ685)-N(BY685)))</f>
        <v/>
      </c>
      <c r="CE685">
        <f>IF(OR(CC$3="",CC$3&gt;TODAY()),"",IF(AND(CC685="",CD685=""),"",N(CD685)-N(CC685)))</f>
        <v/>
      </c>
      <c r="CH685">
        <f>IF(OR(CC$3="",CC$3&gt;TODAY()),"",IF(AND(CF685="",CG685=""),"",N(CG685)-N(CF685)))</f>
        <v/>
      </c>
      <c r="CL685">
        <f>IF(OR(CJ$3="",CJ$3&gt;TODAY()),"",IF(AND(CJ685="",CK685=""),"",N(CK685)-N(CJ685)))</f>
        <v/>
      </c>
      <c r="CO685">
        <f>IF(OR(CJ$3="",CJ$3&gt;TODAY()),"",IF(AND(CM685="",CN685=""),"",N(CN685)-N(CM685)))</f>
        <v/>
      </c>
      <c r="CS685">
        <f>IF(OR(CQ$3="",CQ$3&gt;TODAY()),"",IF(AND(CQ685="",CR685=""),"",N(CR685)-N(CQ685)))</f>
        <v/>
      </c>
      <c r="CV685">
        <f>IF(OR(CQ$3="",CQ$3&gt;TODAY()),"",IF(AND(CT685="",CU685=""),"",N(CU685)-N(CT685)))</f>
        <v/>
      </c>
      <c r="CZ685">
        <f>IF(OR(CX$3="",CX$3&gt;TODAY()),"",IF(AND(CX685="",CY685=""),"",N(CY685)-N(CX685)))</f>
        <v/>
      </c>
      <c r="DC685">
        <f>IF(OR(CX$3="",CX$3&gt;TODAY()),"",IF(AND(DA685="",DB685=""),"",N(DB685)-N(DA685)))</f>
        <v/>
      </c>
      <c r="DG685">
        <f>IF(OR(DE$3="",DE$3&gt;TODAY()),"",IF(AND(DE685="",DF685=""),"",N(DF685)-N(DE685)))</f>
        <v/>
      </c>
      <c r="DJ685">
        <f>IF(OR(DE$3="",DE$3&gt;TODAY()),"",IF(AND(DH685="",DI685=""),"",N(DI685)-N(DH685)))</f>
        <v/>
      </c>
      <c r="DN685">
        <f>IF(OR(DL$3="",DL$3&gt;TODAY()),"",IF(AND(DL685="",DM685=""),"",N(DM685)-N(DL685)))</f>
        <v/>
      </c>
      <c r="DQ685">
        <f>IF(OR(DL$3="",DL$3&gt;TODAY()),"",IF(AND(DO685="",DP685=""),"",N(DP685)-N(DO685)))</f>
        <v/>
      </c>
      <c r="DU685">
        <f>IF(OR(DS$3="",DS$3&gt;TODAY()),"",IF(AND(DS685="",DT685=""),"",N(DT685)-N(DS685)))</f>
        <v/>
      </c>
      <c r="DX685">
        <f>IF(OR(DS$3="",DS$3&gt;TODAY()),"",IF(AND(DV685="",DW685=""),"",N(DW685)-N(DV685)))</f>
        <v/>
      </c>
      <c r="EB685">
        <f>IF(OR(DZ$3="",DZ$3&gt;TODAY()),"",IF(AND(DZ685="",EA685=""),"",N(EA685)-N(DZ685)))</f>
        <v/>
      </c>
      <c r="EE685">
        <f>IF(OR(DZ$3="",DZ$3&gt;TODAY()),"",IF(AND(EC685="",ED685=""),"",N(ED685)-N(EC685)))</f>
        <v/>
      </c>
      <c r="EI685">
        <f>IF(OR(EG$3="",EG$3&gt;TODAY()),"",IF(AND(EG685="",EH685=""),"",N(EH685)-N(EG685)))</f>
        <v/>
      </c>
      <c r="EL685">
        <f>IF(OR(EG$3="",EG$3&gt;TODAY()),"",IF(AND(EJ685="",EK685=""),"",N(EK685)-N(EJ685)))</f>
        <v/>
      </c>
      <c r="EP685">
        <f>IF(OR(EN$3="",EN$3&gt;TODAY()),"",IF(AND(EN685="",EO685=""),"",N(EO685)-N(EN685)))</f>
        <v/>
      </c>
      <c r="ES685">
        <f>IF(OR(EN$3="",EN$3&gt;TODAY()),"",IF(AND(EQ685="",ER685=""),"",N(ER685)-N(EQ685)))</f>
        <v/>
      </c>
      <c r="EW685">
        <f>IF(OR(EU$3="",EU$3&gt;TODAY()),"",IF(AND(EU685="",EV685=""),"",N(EV685)-N(EU685)))</f>
        <v/>
      </c>
      <c r="EZ685">
        <f>IF(OR(EU$3="",EU$3&gt;TODAY()),"",IF(AND(EX685="",EY685=""),"",N(EY685)-N(EX685)))</f>
        <v/>
      </c>
      <c r="FD685">
        <f>IF(OR(FB$3="",FB$3&gt;TODAY()),"",IF(AND(FB685="",FC685=""),"",N(FC685)-N(FB685)))</f>
        <v/>
      </c>
      <c r="FG685">
        <f>IF(OR(FB$3="",FB$3&gt;TODAY()),"",IF(AND(FE685="",FF685=""),"",N(FF685)-N(FE685)))</f>
        <v/>
      </c>
      <c r="FK685">
        <f>IF(OR(FI$3="",FI$3&gt;TODAY()),"",IF(AND(FI685="",FJ685=""),"",N(FJ685)-N(FI685)))</f>
        <v/>
      </c>
      <c r="FN685">
        <f>IF(OR(FI$3="",FI$3&gt;TODAY()),"",IF(AND(FL685="",FM685=""),"",N(FM685)-N(FL685)))</f>
        <v/>
      </c>
      <c r="FR685">
        <f>IF(OR(FP$3="",FP$3&gt;TODAY()),"",IF(AND(FP685="",FQ685=""),"",N(FQ685)-N(FP685)))</f>
        <v/>
      </c>
      <c r="FU685">
        <f>IF(OR(FP$3="",FP$3&gt;TODAY()),"",IF(AND(FS685="",FT685=""),"",N(FT685)-N(FS685)))</f>
        <v/>
      </c>
      <c r="FY685">
        <f>IF(OR(FW$3="",FW$3&gt;TODAY()),"",IF(AND(FW685="",FX685=""),"",N(FX685)-N(FW685)))</f>
        <v/>
      </c>
      <c r="GB685">
        <f>IF(OR(FW$3="",FW$3&gt;TODAY()),"",IF(AND(FZ685="",GA685=""),"",N(GA685)-N(FZ685)))</f>
        <v/>
      </c>
      <c r="GF685">
        <f>IF(OR(GD$3="",GD$3&gt;TODAY()),"",IF(AND(GD685="",GE685=""),"",N(GE685)-N(GD685)))</f>
        <v/>
      </c>
      <c r="GI685">
        <f>IF(OR(GD$3="",GD$3&gt;TODAY()),"",IF(AND(GG685="",GH685=""),"",N(GH685)-N(GG685)))</f>
        <v/>
      </c>
      <c r="GM685">
        <f>IF(OR(GK$3="",GK$3&gt;TODAY()),"",IF(AND(GK685="",GL685=""),"",N(GL685)-N(GK685)))</f>
        <v/>
      </c>
      <c r="GP685">
        <f>IF(OR(GK$3="",GK$3&gt;TODAY()),"",IF(AND(GN685="",GO685=""),"",N(GO685)-N(GN685)))</f>
        <v/>
      </c>
      <c r="GT685">
        <f>IF(OR(GR$3="",GR$3&gt;TODAY()),"",IF(AND(GR685="",GS685=""),"",N(GS685)-N(GR685)))</f>
        <v/>
      </c>
      <c r="GW685">
        <f>IF(OR(GR$3="",GR$3&gt;TODAY()),"",IF(AND(GU685="",GV685=""),"",N(GV685)-N(GU685)))</f>
        <v/>
      </c>
      <c r="HA685">
        <f>IF(OR(GY$3="",GY$3&gt;TODAY()),"",IF(AND(GY685="",GZ685=""),"",N(GZ685)-N(GY685)))</f>
        <v/>
      </c>
      <c r="HD685">
        <f>IF(OR(GY$3="",GY$3&gt;TODAY()),"",IF(AND(HB685="",HC685=""),"",N(HC685)-N(HB685)))</f>
        <v/>
      </c>
      <c r="HH685">
        <f>IF(OR(HF$3="",HF$3&gt;TODAY()),"",IF(AND(HF685="",HG685=""),"",N(HG685)-N(HF685)))</f>
        <v/>
      </c>
      <c r="HK685">
        <f>IF(OR(HF$3="",HF$3&gt;TODAY()),"",IF(AND(HI685="",HJ685=""),"",N(HJ685)-N(HI685)))</f>
        <v/>
      </c>
      <c r="HO685">
        <f>IF(OR(HM$3="",HM$3&gt;TODAY()),"",IF(AND(HM685="",HN685=""),"",N(HN685)-N(HM685)))</f>
        <v/>
      </c>
      <c r="HR685">
        <f>IF(OR(HM$3="",HM$3&gt;TODAY()),"",IF(AND(HP685="",HQ685=""),"",N(HQ685)-N(HP685)))</f>
        <v/>
      </c>
      <c r="HV685">
        <f>IF(OR(HT$3="",HT$3&gt;TODAY()),"",IF(AND(HT685="",HU685=""),"",N(HU685)-N(HT685)))</f>
        <v/>
      </c>
      <c r="HY685">
        <f>IF(OR(HT$3="",HT$3&gt;TODAY()),"",IF(AND(HW685="",HX685=""),"",N(HX685)-N(HW685)))</f>
        <v/>
      </c>
      <c r="IC685">
        <f>IF(OR(IA$3="",IA$3&gt;TODAY()),"",IF(AND(IA685="",IB685=""),"",N(IB685)-N(IA685)))</f>
        <v/>
      </c>
      <c r="IF685">
        <f>IF(OR(IA$3="",IA$3&gt;TODAY()),"",IF(AND(ID685="",IE685=""),"",N(IE685)-N(ID685)))</f>
        <v/>
      </c>
      <c r="IJ685">
        <f>IF(OR(IH$3="",IH$3&gt;TODAY()),"",IF(AND(IH685="",II685=""),"",N(II685)-N(IH685)))</f>
        <v/>
      </c>
      <c r="IM685">
        <f>IF(OR(IH$3="",IH$3&gt;TODAY()),"",IF(AND(IK685="",IL685=""),"",N(IL685)-N(IK685)))</f>
        <v/>
      </c>
    </row>
    <row r="686">
      <c r="A686" s="21" t="n"/>
      <c r="B686" s="21" t="n"/>
      <c r="C686" s="21" t="n"/>
      <c r="D686" s="21" t="n"/>
      <c r="E686" s="21" t="n"/>
      <c r="F686" s="21" t="n"/>
      <c r="G686" s="21" t="n"/>
      <c r="H686" s="21" t="n"/>
      <c r="I686" s="22" t="n"/>
      <c r="J686" s="22" t="n"/>
      <c r="K686" s="23" t="n"/>
      <c r="L686" s="22" t="n"/>
      <c r="M686" s="22" t="n"/>
      <c r="N686" s="21" t="n"/>
      <c r="O686" s="23" t="n"/>
      <c r="P686" s="23" t="n"/>
      <c r="Q686" s="23" t="n"/>
      <c r="R686" s="23" t="n"/>
      <c r="S686" s="22" t="n"/>
      <c r="T686" s="23" t="n"/>
      <c r="U686" s="23" t="n"/>
      <c r="V686" s="24">
        <f>IF(J686&lt;&gt;"",J686,IF(I686&lt;&gt;"",I686,""))</f>
        <v/>
      </c>
      <c r="W686" s="25">
        <f>IF($E686="","",N(O686)+SUMIFS($AF686:$IN686,$AF$4:$IN$4,"SEW_ACT"))</f>
        <v/>
      </c>
      <c r="X686" s="25">
        <f>IF($E686="","",N(P686)+SUMIFS($AF686:$IN686,$AF$4:$IN$4,"WASH_ACT"))</f>
        <v/>
      </c>
      <c r="Y686" s="25">
        <f>IF($E686="","",W686-X686-N(T686)-N(U686))</f>
        <v/>
      </c>
      <c r="Z686" s="25">
        <f>IF($E686="","",IF(N(K686)-X686&lt;=0.02*N(K686),0,N(K686)-X686))</f>
        <v/>
      </c>
      <c r="AA686" s="24">
        <f>IF($E686="","",IF(S686&lt;&gt;"",S686,IF(N(O686)&gt;0,IF(L686&lt;&gt;"",L686,99999),IFERROR(1/(1/_xlfn.MINIFS($AF$3:$IN$3,$AF$4:$IN$4,"SEW_ACT",$AF686:$IN686,"&gt;0")),99999))))</f>
        <v/>
      </c>
      <c r="AB686" s="26">
        <f>IF(OR($E686="",Z686=0,V686=""),"",1+COUNTIFS(Z$8:Z$707,"&gt;0",V$8:V$707,"&lt;"&amp;V686)+COUNTIFS(Z$8:Z$707,"&gt;0",V$8:V$707,V686,AA$8:AA$707,"&lt;"&amp;AA686)+COUNTIFS(Z$8:Z$707,"&gt;0",V$8:V$707,V686,AA$8:AA$707,AA686,E$8:E$707,"&lt;"&amp;$E686))</f>
        <v/>
      </c>
      <c r="AC686" s="24">
        <f>IF(OR($E686="",Z686=0),"",IFERROR(TODAY()+ROUNDUP(Z686/(SUMIFS($AF686:$IN686,$AF$4:$IN$4,"WASH_ACT")/COUNTIFS($AF$4:$IN$4,"WASH_ACT",$AF686:$IN686,"&gt;0")),0),"no output yet"))</f>
        <v/>
      </c>
      <c r="AD686" s="26">
        <f>IF($E686="","",IFERROR(ROUND(MAX(0,SUMIFS($AF686:$IN686,$AF$4:$IN$4,"SEW_PLAN",$AF$3:$IN$3,"&lt;="&amp;TODAY())-SUMIFS($AF686:$IN686,$AF$4:$IN$4,"SEW_ACT",$AF$3:$IN$3,"&lt;="&amp;TODAY())+N(Q686))/(SUMIFS($AF686:$IN686,$AF$4:$IN$4,"SEW_PLAN")/COUNTIFS($AF$4:$IN$4,"SEW_PLAN",$AF686:$IN686,"&gt;0")),1),0))</f>
        <v/>
      </c>
      <c r="AE686" s="26">
        <f>IF($E686="","",IF(AND(Z686&gt;0,OR(AND(M686&lt;&gt;"",TODAY()&gt;M686),AND(V686&lt;&gt;"",V686-TODAY()&lt;=7))),"Yes","No"))</f>
        <v/>
      </c>
      <c r="AH686">
        <f>IF(OR(AF$3="",AF$3&gt;TODAY()),"",IF(AND(AF686="",AG686=""),"",N(AG686)-N(AF686)))</f>
        <v/>
      </c>
      <c r="AK686">
        <f>IF(OR(AF$3="",AF$3&gt;TODAY()),"",IF(AND(AI686="",AJ686=""),"",N(AJ686)-N(AI686)))</f>
        <v/>
      </c>
      <c r="AO686">
        <f>IF(OR(AM$3="",AM$3&gt;TODAY()),"",IF(AND(AM686="",AN686=""),"",N(AN686)-N(AM686)))</f>
        <v/>
      </c>
      <c r="AR686">
        <f>IF(OR(AM$3="",AM$3&gt;TODAY()),"",IF(AND(AP686="",AQ686=""),"",N(AQ686)-N(AP686)))</f>
        <v/>
      </c>
      <c r="AV686">
        <f>IF(OR(AT$3="",AT$3&gt;TODAY()),"",IF(AND(AT686="",AU686=""),"",N(AU686)-N(AT686)))</f>
        <v/>
      </c>
      <c r="AY686">
        <f>IF(OR(AT$3="",AT$3&gt;TODAY()),"",IF(AND(AW686="",AX686=""),"",N(AX686)-N(AW686)))</f>
        <v/>
      </c>
      <c r="BC686">
        <f>IF(OR(BA$3="",BA$3&gt;TODAY()),"",IF(AND(BA686="",BB686=""),"",N(BB686)-N(BA686)))</f>
        <v/>
      </c>
      <c r="BF686">
        <f>IF(OR(BA$3="",BA$3&gt;TODAY()),"",IF(AND(BD686="",BE686=""),"",N(BE686)-N(BD686)))</f>
        <v/>
      </c>
      <c r="BJ686">
        <f>IF(OR(BH$3="",BH$3&gt;TODAY()),"",IF(AND(BH686="",BI686=""),"",N(BI686)-N(BH686)))</f>
        <v/>
      </c>
      <c r="BM686">
        <f>IF(OR(BH$3="",BH$3&gt;TODAY()),"",IF(AND(BK686="",BL686=""),"",N(BL686)-N(BK686)))</f>
        <v/>
      </c>
      <c r="BQ686">
        <f>IF(OR(BO$3="",BO$3&gt;TODAY()),"",IF(AND(BO686="",BP686=""),"",N(BP686)-N(BO686)))</f>
        <v/>
      </c>
      <c r="BT686">
        <f>IF(OR(BO$3="",BO$3&gt;TODAY()),"",IF(AND(BR686="",BS686=""),"",N(BS686)-N(BR686)))</f>
        <v/>
      </c>
      <c r="BX686">
        <f>IF(OR(BV$3="",BV$3&gt;TODAY()),"",IF(AND(BV686="",BW686=""),"",N(BW686)-N(BV686)))</f>
        <v/>
      </c>
      <c r="CA686">
        <f>IF(OR(BV$3="",BV$3&gt;TODAY()),"",IF(AND(BY686="",BZ686=""),"",N(BZ686)-N(BY686)))</f>
        <v/>
      </c>
      <c r="CE686">
        <f>IF(OR(CC$3="",CC$3&gt;TODAY()),"",IF(AND(CC686="",CD686=""),"",N(CD686)-N(CC686)))</f>
        <v/>
      </c>
      <c r="CH686">
        <f>IF(OR(CC$3="",CC$3&gt;TODAY()),"",IF(AND(CF686="",CG686=""),"",N(CG686)-N(CF686)))</f>
        <v/>
      </c>
      <c r="CL686">
        <f>IF(OR(CJ$3="",CJ$3&gt;TODAY()),"",IF(AND(CJ686="",CK686=""),"",N(CK686)-N(CJ686)))</f>
        <v/>
      </c>
      <c r="CO686">
        <f>IF(OR(CJ$3="",CJ$3&gt;TODAY()),"",IF(AND(CM686="",CN686=""),"",N(CN686)-N(CM686)))</f>
        <v/>
      </c>
      <c r="CS686">
        <f>IF(OR(CQ$3="",CQ$3&gt;TODAY()),"",IF(AND(CQ686="",CR686=""),"",N(CR686)-N(CQ686)))</f>
        <v/>
      </c>
      <c r="CV686">
        <f>IF(OR(CQ$3="",CQ$3&gt;TODAY()),"",IF(AND(CT686="",CU686=""),"",N(CU686)-N(CT686)))</f>
        <v/>
      </c>
      <c r="CZ686">
        <f>IF(OR(CX$3="",CX$3&gt;TODAY()),"",IF(AND(CX686="",CY686=""),"",N(CY686)-N(CX686)))</f>
        <v/>
      </c>
      <c r="DC686">
        <f>IF(OR(CX$3="",CX$3&gt;TODAY()),"",IF(AND(DA686="",DB686=""),"",N(DB686)-N(DA686)))</f>
        <v/>
      </c>
      <c r="DG686">
        <f>IF(OR(DE$3="",DE$3&gt;TODAY()),"",IF(AND(DE686="",DF686=""),"",N(DF686)-N(DE686)))</f>
        <v/>
      </c>
      <c r="DJ686">
        <f>IF(OR(DE$3="",DE$3&gt;TODAY()),"",IF(AND(DH686="",DI686=""),"",N(DI686)-N(DH686)))</f>
        <v/>
      </c>
      <c r="DN686">
        <f>IF(OR(DL$3="",DL$3&gt;TODAY()),"",IF(AND(DL686="",DM686=""),"",N(DM686)-N(DL686)))</f>
        <v/>
      </c>
      <c r="DQ686">
        <f>IF(OR(DL$3="",DL$3&gt;TODAY()),"",IF(AND(DO686="",DP686=""),"",N(DP686)-N(DO686)))</f>
        <v/>
      </c>
      <c r="DU686">
        <f>IF(OR(DS$3="",DS$3&gt;TODAY()),"",IF(AND(DS686="",DT686=""),"",N(DT686)-N(DS686)))</f>
        <v/>
      </c>
      <c r="DX686">
        <f>IF(OR(DS$3="",DS$3&gt;TODAY()),"",IF(AND(DV686="",DW686=""),"",N(DW686)-N(DV686)))</f>
        <v/>
      </c>
      <c r="EB686">
        <f>IF(OR(DZ$3="",DZ$3&gt;TODAY()),"",IF(AND(DZ686="",EA686=""),"",N(EA686)-N(DZ686)))</f>
        <v/>
      </c>
      <c r="EE686">
        <f>IF(OR(DZ$3="",DZ$3&gt;TODAY()),"",IF(AND(EC686="",ED686=""),"",N(ED686)-N(EC686)))</f>
        <v/>
      </c>
      <c r="EI686">
        <f>IF(OR(EG$3="",EG$3&gt;TODAY()),"",IF(AND(EG686="",EH686=""),"",N(EH686)-N(EG686)))</f>
        <v/>
      </c>
      <c r="EL686">
        <f>IF(OR(EG$3="",EG$3&gt;TODAY()),"",IF(AND(EJ686="",EK686=""),"",N(EK686)-N(EJ686)))</f>
        <v/>
      </c>
      <c r="EP686">
        <f>IF(OR(EN$3="",EN$3&gt;TODAY()),"",IF(AND(EN686="",EO686=""),"",N(EO686)-N(EN686)))</f>
        <v/>
      </c>
      <c r="ES686">
        <f>IF(OR(EN$3="",EN$3&gt;TODAY()),"",IF(AND(EQ686="",ER686=""),"",N(ER686)-N(EQ686)))</f>
        <v/>
      </c>
      <c r="EW686">
        <f>IF(OR(EU$3="",EU$3&gt;TODAY()),"",IF(AND(EU686="",EV686=""),"",N(EV686)-N(EU686)))</f>
        <v/>
      </c>
      <c r="EZ686">
        <f>IF(OR(EU$3="",EU$3&gt;TODAY()),"",IF(AND(EX686="",EY686=""),"",N(EY686)-N(EX686)))</f>
        <v/>
      </c>
      <c r="FD686">
        <f>IF(OR(FB$3="",FB$3&gt;TODAY()),"",IF(AND(FB686="",FC686=""),"",N(FC686)-N(FB686)))</f>
        <v/>
      </c>
      <c r="FG686">
        <f>IF(OR(FB$3="",FB$3&gt;TODAY()),"",IF(AND(FE686="",FF686=""),"",N(FF686)-N(FE686)))</f>
        <v/>
      </c>
      <c r="FK686">
        <f>IF(OR(FI$3="",FI$3&gt;TODAY()),"",IF(AND(FI686="",FJ686=""),"",N(FJ686)-N(FI686)))</f>
        <v/>
      </c>
      <c r="FN686">
        <f>IF(OR(FI$3="",FI$3&gt;TODAY()),"",IF(AND(FL686="",FM686=""),"",N(FM686)-N(FL686)))</f>
        <v/>
      </c>
      <c r="FR686">
        <f>IF(OR(FP$3="",FP$3&gt;TODAY()),"",IF(AND(FP686="",FQ686=""),"",N(FQ686)-N(FP686)))</f>
        <v/>
      </c>
      <c r="FU686">
        <f>IF(OR(FP$3="",FP$3&gt;TODAY()),"",IF(AND(FS686="",FT686=""),"",N(FT686)-N(FS686)))</f>
        <v/>
      </c>
      <c r="FY686">
        <f>IF(OR(FW$3="",FW$3&gt;TODAY()),"",IF(AND(FW686="",FX686=""),"",N(FX686)-N(FW686)))</f>
        <v/>
      </c>
      <c r="GB686">
        <f>IF(OR(FW$3="",FW$3&gt;TODAY()),"",IF(AND(FZ686="",GA686=""),"",N(GA686)-N(FZ686)))</f>
        <v/>
      </c>
      <c r="GF686">
        <f>IF(OR(GD$3="",GD$3&gt;TODAY()),"",IF(AND(GD686="",GE686=""),"",N(GE686)-N(GD686)))</f>
        <v/>
      </c>
      <c r="GI686">
        <f>IF(OR(GD$3="",GD$3&gt;TODAY()),"",IF(AND(GG686="",GH686=""),"",N(GH686)-N(GG686)))</f>
        <v/>
      </c>
      <c r="GM686">
        <f>IF(OR(GK$3="",GK$3&gt;TODAY()),"",IF(AND(GK686="",GL686=""),"",N(GL686)-N(GK686)))</f>
        <v/>
      </c>
      <c r="GP686">
        <f>IF(OR(GK$3="",GK$3&gt;TODAY()),"",IF(AND(GN686="",GO686=""),"",N(GO686)-N(GN686)))</f>
        <v/>
      </c>
      <c r="GT686">
        <f>IF(OR(GR$3="",GR$3&gt;TODAY()),"",IF(AND(GR686="",GS686=""),"",N(GS686)-N(GR686)))</f>
        <v/>
      </c>
      <c r="GW686">
        <f>IF(OR(GR$3="",GR$3&gt;TODAY()),"",IF(AND(GU686="",GV686=""),"",N(GV686)-N(GU686)))</f>
        <v/>
      </c>
      <c r="HA686">
        <f>IF(OR(GY$3="",GY$3&gt;TODAY()),"",IF(AND(GY686="",GZ686=""),"",N(GZ686)-N(GY686)))</f>
        <v/>
      </c>
      <c r="HD686">
        <f>IF(OR(GY$3="",GY$3&gt;TODAY()),"",IF(AND(HB686="",HC686=""),"",N(HC686)-N(HB686)))</f>
        <v/>
      </c>
      <c r="HH686">
        <f>IF(OR(HF$3="",HF$3&gt;TODAY()),"",IF(AND(HF686="",HG686=""),"",N(HG686)-N(HF686)))</f>
        <v/>
      </c>
      <c r="HK686">
        <f>IF(OR(HF$3="",HF$3&gt;TODAY()),"",IF(AND(HI686="",HJ686=""),"",N(HJ686)-N(HI686)))</f>
        <v/>
      </c>
      <c r="HO686">
        <f>IF(OR(HM$3="",HM$3&gt;TODAY()),"",IF(AND(HM686="",HN686=""),"",N(HN686)-N(HM686)))</f>
        <v/>
      </c>
      <c r="HR686">
        <f>IF(OR(HM$3="",HM$3&gt;TODAY()),"",IF(AND(HP686="",HQ686=""),"",N(HQ686)-N(HP686)))</f>
        <v/>
      </c>
      <c r="HV686">
        <f>IF(OR(HT$3="",HT$3&gt;TODAY()),"",IF(AND(HT686="",HU686=""),"",N(HU686)-N(HT686)))</f>
        <v/>
      </c>
      <c r="HY686">
        <f>IF(OR(HT$3="",HT$3&gt;TODAY()),"",IF(AND(HW686="",HX686=""),"",N(HX686)-N(HW686)))</f>
        <v/>
      </c>
      <c r="IC686">
        <f>IF(OR(IA$3="",IA$3&gt;TODAY()),"",IF(AND(IA686="",IB686=""),"",N(IB686)-N(IA686)))</f>
        <v/>
      </c>
      <c r="IF686">
        <f>IF(OR(IA$3="",IA$3&gt;TODAY()),"",IF(AND(ID686="",IE686=""),"",N(IE686)-N(ID686)))</f>
        <v/>
      </c>
      <c r="IJ686">
        <f>IF(OR(IH$3="",IH$3&gt;TODAY()),"",IF(AND(IH686="",II686=""),"",N(II686)-N(IH686)))</f>
        <v/>
      </c>
      <c r="IM686">
        <f>IF(OR(IH$3="",IH$3&gt;TODAY()),"",IF(AND(IK686="",IL686=""),"",N(IL686)-N(IK686)))</f>
        <v/>
      </c>
    </row>
    <row r="687">
      <c r="A687" s="21" t="n"/>
      <c r="B687" s="21" t="n"/>
      <c r="C687" s="21" t="n"/>
      <c r="D687" s="21" t="n"/>
      <c r="E687" s="21" t="n"/>
      <c r="F687" s="21" t="n"/>
      <c r="G687" s="21" t="n"/>
      <c r="H687" s="21" t="n"/>
      <c r="I687" s="22" t="n"/>
      <c r="J687" s="22" t="n"/>
      <c r="K687" s="23" t="n"/>
      <c r="L687" s="22" t="n"/>
      <c r="M687" s="22" t="n"/>
      <c r="N687" s="21" t="n"/>
      <c r="O687" s="23" t="n"/>
      <c r="P687" s="23" t="n"/>
      <c r="Q687" s="23" t="n"/>
      <c r="R687" s="23" t="n"/>
      <c r="S687" s="22" t="n"/>
      <c r="T687" s="23" t="n"/>
      <c r="U687" s="23" t="n"/>
      <c r="V687" s="24">
        <f>IF(J687&lt;&gt;"",J687,IF(I687&lt;&gt;"",I687,""))</f>
        <v/>
      </c>
      <c r="W687" s="25">
        <f>IF($E687="","",N(O687)+SUMIFS($AF687:$IN687,$AF$4:$IN$4,"SEW_ACT"))</f>
        <v/>
      </c>
      <c r="X687" s="25">
        <f>IF($E687="","",N(P687)+SUMIFS($AF687:$IN687,$AF$4:$IN$4,"WASH_ACT"))</f>
        <v/>
      </c>
      <c r="Y687" s="25">
        <f>IF($E687="","",W687-X687-N(T687)-N(U687))</f>
        <v/>
      </c>
      <c r="Z687" s="25">
        <f>IF($E687="","",IF(N(K687)-X687&lt;=0.02*N(K687),0,N(K687)-X687))</f>
        <v/>
      </c>
      <c r="AA687" s="24">
        <f>IF($E687="","",IF(S687&lt;&gt;"",S687,IF(N(O687)&gt;0,IF(L687&lt;&gt;"",L687,99999),IFERROR(1/(1/_xlfn.MINIFS($AF$3:$IN$3,$AF$4:$IN$4,"SEW_ACT",$AF687:$IN687,"&gt;0")),99999))))</f>
        <v/>
      </c>
      <c r="AB687" s="26">
        <f>IF(OR($E687="",Z687=0,V687=""),"",1+COUNTIFS(Z$8:Z$707,"&gt;0",V$8:V$707,"&lt;"&amp;V687)+COUNTIFS(Z$8:Z$707,"&gt;0",V$8:V$707,V687,AA$8:AA$707,"&lt;"&amp;AA687)+COUNTIFS(Z$8:Z$707,"&gt;0",V$8:V$707,V687,AA$8:AA$707,AA687,E$8:E$707,"&lt;"&amp;$E687))</f>
        <v/>
      </c>
      <c r="AC687" s="24">
        <f>IF(OR($E687="",Z687=0),"",IFERROR(TODAY()+ROUNDUP(Z687/(SUMIFS($AF687:$IN687,$AF$4:$IN$4,"WASH_ACT")/COUNTIFS($AF$4:$IN$4,"WASH_ACT",$AF687:$IN687,"&gt;0")),0),"no output yet"))</f>
        <v/>
      </c>
      <c r="AD687" s="26">
        <f>IF($E687="","",IFERROR(ROUND(MAX(0,SUMIFS($AF687:$IN687,$AF$4:$IN$4,"SEW_PLAN",$AF$3:$IN$3,"&lt;="&amp;TODAY())-SUMIFS($AF687:$IN687,$AF$4:$IN$4,"SEW_ACT",$AF$3:$IN$3,"&lt;="&amp;TODAY())+N(Q687))/(SUMIFS($AF687:$IN687,$AF$4:$IN$4,"SEW_PLAN")/COUNTIFS($AF$4:$IN$4,"SEW_PLAN",$AF687:$IN687,"&gt;0")),1),0))</f>
        <v/>
      </c>
      <c r="AE687" s="26">
        <f>IF($E687="","",IF(AND(Z687&gt;0,OR(AND(M687&lt;&gt;"",TODAY()&gt;M687),AND(V687&lt;&gt;"",V687-TODAY()&lt;=7))),"Yes","No"))</f>
        <v/>
      </c>
      <c r="AH687">
        <f>IF(OR(AF$3="",AF$3&gt;TODAY()),"",IF(AND(AF687="",AG687=""),"",N(AG687)-N(AF687)))</f>
        <v/>
      </c>
      <c r="AK687">
        <f>IF(OR(AF$3="",AF$3&gt;TODAY()),"",IF(AND(AI687="",AJ687=""),"",N(AJ687)-N(AI687)))</f>
        <v/>
      </c>
      <c r="AO687">
        <f>IF(OR(AM$3="",AM$3&gt;TODAY()),"",IF(AND(AM687="",AN687=""),"",N(AN687)-N(AM687)))</f>
        <v/>
      </c>
      <c r="AR687">
        <f>IF(OR(AM$3="",AM$3&gt;TODAY()),"",IF(AND(AP687="",AQ687=""),"",N(AQ687)-N(AP687)))</f>
        <v/>
      </c>
      <c r="AV687">
        <f>IF(OR(AT$3="",AT$3&gt;TODAY()),"",IF(AND(AT687="",AU687=""),"",N(AU687)-N(AT687)))</f>
        <v/>
      </c>
      <c r="AY687">
        <f>IF(OR(AT$3="",AT$3&gt;TODAY()),"",IF(AND(AW687="",AX687=""),"",N(AX687)-N(AW687)))</f>
        <v/>
      </c>
      <c r="BC687">
        <f>IF(OR(BA$3="",BA$3&gt;TODAY()),"",IF(AND(BA687="",BB687=""),"",N(BB687)-N(BA687)))</f>
        <v/>
      </c>
      <c r="BF687">
        <f>IF(OR(BA$3="",BA$3&gt;TODAY()),"",IF(AND(BD687="",BE687=""),"",N(BE687)-N(BD687)))</f>
        <v/>
      </c>
      <c r="BJ687">
        <f>IF(OR(BH$3="",BH$3&gt;TODAY()),"",IF(AND(BH687="",BI687=""),"",N(BI687)-N(BH687)))</f>
        <v/>
      </c>
      <c r="BM687">
        <f>IF(OR(BH$3="",BH$3&gt;TODAY()),"",IF(AND(BK687="",BL687=""),"",N(BL687)-N(BK687)))</f>
        <v/>
      </c>
      <c r="BQ687">
        <f>IF(OR(BO$3="",BO$3&gt;TODAY()),"",IF(AND(BO687="",BP687=""),"",N(BP687)-N(BO687)))</f>
        <v/>
      </c>
      <c r="BT687">
        <f>IF(OR(BO$3="",BO$3&gt;TODAY()),"",IF(AND(BR687="",BS687=""),"",N(BS687)-N(BR687)))</f>
        <v/>
      </c>
      <c r="BX687">
        <f>IF(OR(BV$3="",BV$3&gt;TODAY()),"",IF(AND(BV687="",BW687=""),"",N(BW687)-N(BV687)))</f>
        <v/>
      </c>
      <c r="CA687">
        <f>IF(OR(BV$3="",BV$3&gt;TODAY()),"",IF(AND(BY687="",BZ687=""),"",N(BZ687)-N(BY687)))</f>
        <v/>
      </c>
      <c r="CE687">
        <f>IF(OR(CC$3="",CC$3&gt;TODAY()),"",IF(AND(CC687="",CD687=""),"",N(CD687)-N(CC687)))</f>
        <v/>
      </c>
      <c r="CH687">
        <f>IF(OR(CC$3="",CC$3&gt;TODAY()),"",IF(AND(CF687="",CG687=""),"",N(CG687)-N(CF687)))</f>
        <v/>
      </c>
      <c r="CL687">
        <f>IF(OR(CJ$3="",CJ$3&gt;TODAY()),"",IF(AND(CJ687="",CK687=""),"",N(CK687)-N(CJ687)))</f>
        <v/>
      </c>
      <c r="CO687">
        <f>IF(OR(CJ$3="",CJ$3&gt;TODAY()),"",IF(AND(CM687="",CN687=""),"",N(CN687)-N(CM687)))</f>
        <v/>
      </c>
      <c r="CS687">
        <f>IF(OR(CQ$3="",CQ$3&gt;TODAY()),"",IF(AND(CQ687="",CR687=""),"",N(CR687)-N(CQ687)))</f>
        <v/>
      </c>
      <c r="CV687">
        <f>IF(OR(CQ$3="",CQ$3&gt;TODAY()),"",IF(AND(CT687="",CU687=""),"",N(CU687)-N(CT687)))</f>
        <v/>
      </c>
      <c r="CZ687">
        <f>IF(OR(CX$3="",CX$3&gt;TODAY()),"",IF(AND(CX687="",CY687=""),"",N(CY687)-N(CX687)))</f>
        <v/>
      </c>
      <c r="DC687">
        <f>IF(OR(CX$3="",CX$3&gt;TODAY()),"",IF(AND(DA687="",DB687=""),"",N(DB687)-N(DA687)))</f>
        <v/>
      </c>
      <c r="DG687">
        <f>IF(OR(DE$3="",DE$3&gt;TODAY()),"",IF(AND(DE687="",DF687=""),"",N(DF687)-N(DE687)))</f>
        <v/>
      </c>
      <c r="DJ687">
        <f>IF(OR(DE$3="",DE$3&gt;TODAY()),"",IF(AND(DH687="",DI687=""),"",N(DI687)-N(DH687)))</f>
        <v/>
      </c>
      <c r="DN687">
        <f>IF(OR(DL$3="",DL$3&gt;TODAY()),"",IF(AND(DL687="",DM687=""),"",N(DM687)-N(DL687)))</f>
        <v/>
      </c>
      <c r="DQ687">
        <f>IF(OR(DL$3="",DL$3&gt;TODAY()),"",IF(AND(DO687="",DP687=""),"",N(DP687)-N(DO687)))</f>
        <v/>
      </c>
      <c r="DU687">
        <f>IF(OR(DS$3="",DS$3&gt;TODAY()),"",IF(AND(DS687="",DT687=""),"",N(DT687)-N(DS687)))</f>
        <v/>
      </c>
      <c r="DX687">
        <f>IF(OR(DS$3="",DS$3&gt;TODAY()),"",IF(AND(DV687="",DW687=""),"",N(DW687)-N(DV687)))</f>
        <v/>
      </c>
      <c r="EB687">
        <f>IF(OR(DZ$3="",DZ$3&gt;TODAY()),"",IF(AND(DZ687="",EA687=""),"",N(EA687)-N(DZ687)))</f>
        <v/>
      </c>
      <c r="EE687">
        <f>IF(OR(DZ$3="",DZ$3&gt;TODAY()),"",IF(AND(EC687="",ED687=""),"",N(ED687)-N(EC687)))</f>
        <v/>
      </c>
      <c r="EI687">
        <f>IF(OR(EG$3="",EG$3&gt;TODAY()),"",IF(AND(EG687="",EH687=""),"",N(EH687)-N(EG687)))</f>
        <v/>
      </c>
      <c r="EL687">
        <f>IF(OR(EG$3="",EG$3&gt;TODAY()),"",IF(AND(EJ687="",EK687=""),"",N(EK687)-N(EJ687)))</f>
        <v/>
      </c>
      <c r="EP687">
        <f>IF(OR(EN$3="",EN$3&gt;TODAY()),"",IF(AND(EN687="",EO687=""),"",N(EO687)-N(EN687)))</f>
        <v/>
      </c>
      <c r="ES687">
        <f>IF(OR(EN$3="",EN$3&gt;TODAY()),"",IF(AND(EQ687="",ER687=""),"",N(ER687)-N(EQ687)))</f>
        <v/>
      </c>
      <c r="EW687">
        <f>IF(OR(EU$3="",EU$3&gt;TODAY()),"",IF(AND(EU687="",EV687=""),"",N(EV687)-N(EU687)))</f>
        <v/>
      </c>
      <c r="EZ687">
        <f>IF(OR(EU$3="",EU$3&gt;TODAY()),"",IF(AND(EX687="",EY687=""),"",N(EY687)-N(EX687)))</f>
        <v/>
      </c>
      <c r="FD687">
        <f>IF(OR(FB$3="",FB$3&gt;TODAY()),"",IF(AND(FB687="",FC687=""),"",N(FC687)-N(FB687)))</f>
        <v/>
      </c>
      <c r="FG687">
        <f>IF(OR(FB$3="",FB$3&gt;TODAY()),"",IF(AND(FE687="",FF687=""),"",N(FF687)-N(FE687)))</f>
        <v/>
      </c>
      <c r="FK687">
        <f>IF(OR(FI$3="",FI$3&gt;TODAY()),"",IF(AND(FI687="",FJ687=""),"",N(FJ687)-N(FI687)))</f>
        <v/>
      </c>
      <c r="FN687">
        <f>IF(OR(FI$3="",FI$3&gt;TODAY()),"",IF(AND(FL687="",FM687=""),"",N(FM687)-N(FL687)))</f>
        <v/>
      </c>
      <c r="FR687">
        <f>IF(OR(FP$3="",FP$3&gt;TODAY()),"",IF(AND(FP687="",FQ687=""),"",N(FQ687)-N(FP687)))</f>
        <v/>
      </c>
      <c r="FU687">
        <f>IF(OR(FP$3="",FP$3&gt;TODAY()),"",IF(AND(FS687="",FT687=""),"",N(FT687)-N(FS687)))</f>
        <v/>
      </c>
      <c r="FY687">
        <f>IF(OR(FW$3="",FW$3&gt;TODAY()),"",IF(AND(FW687="",FX687=""),"",N(FX687)-N(FW687)))</f>
        <v/>
      </c>
      <c r="GB687">
        <f>IF(OR(FW$3="",FW$3&gt;TODAY()),"",IF(AND(FZ687="",GA687=""),"",N(GA687)-N(FZ687)))</f>
        <v/>
      </c>
      <c r="GF687">
        <f>IF(OR(GD$3="",GD$3&gt;TODAY()),"",IF(AND(GD687="",GE687=""),"",N(GE687)-N(GD687)))</f>
        <v/>
      </c>
      <c r="GI687">
        <f>IF(OR(GD$3="",GD$3&gt;TODAY()),"",IF(AND(GG687="",GH687=""),"",N(GH687)-N(GG687)))</f>
        <v/>
      </c>
      <c r="GM687">
        <f>IF(OR(GK$3="",GK$3&gt;TODAY()),"",IF(AND(GK687="",GL687=""),"",N(GL687)-N(GK687)))</f>
        <v/>
      </c>
      <c r="GP687">
        <f>IF(OR(GK$3="",GK$3&gt;TODAY()),"",IF(AND(GN687="",GO687=""),"",N(GO687)-N(GN687)))</f>
        <v/>
      </c>
      <c r="GT687">
        <f>IF(OR(GR$3="",GR$3&gt;TODAY()),"",IF(AND(GR687="",GS687=""),"",N(GS687)-N(GR687)))</f>
        <v/>
      </c>
      <c r="GW687">
        <f>IF(OR(GR$3="",GR$3&gt;TODAY()),"",IF(AND(GU687="",GV687=""),"",N(GV687)-N(GU687)))</f>
        <v/>
      </c>
      <c r="HA687">
        <f>IF(OR(GY$3="",GY$3&gt;TODAY()),"",IF(AND(GY687="",GZ687=""),"",N(GZ687)-N(GY687)))</f>
        <v/>
      </c>
      <c r="HD687">
        <f>IF(OR(GY$3="",GY$3&gt;TODAY()),"",IF(AND(HB687="",HC687=""),"",N(HC687)-N(HB687)))</f>
        <v/>
      </c>
      <c r="HH687">
        <f>IF(OR(HF$3="",HF$3&gt;TODAY()),"",IF(AND(HF687="",HG687=""),"",N(HG687)-N(HF687)))</f>
        <v/>
      </c>
      <c r="HK687">
        <f>IF(OR(HF$3="",HF$3&gt;TODAY()),"",IF(AND(HI687="",HJ687=""),"",N(HJ687)-N(HI687)))</f>
        <v/>
      </c>
      <c r="HO687">
        <f>IF(OR(HM$3="",HM$3&gt;TODAY()),"",IF(AND(HM687="",HN687=""),"",N(HN687)-N(HM687)))</f>
        <v/>
      </c>
      <c r="HR687">
        <f>IF(OR(HM$3="",HM$3&gt;TODAY()),"",IF(AND(HP687="",HQ687=""),"",N(HQ687)-N(HP687)))</f>
        <v/>
      </c>
      <c r="HV687">
        <f>IF(OR(HT$3="",HT$3&gt;TODAY()),"",IF(AND(HT687="",HU687=""),"",N(HU687)-N(HT687)))</f>
        <v/>
      </c>
      <c r="HY687">
        <f>IF(OR(HT$3="",HT$3&gt;TODAY()),"",IF(AND(HW687="",HX687=""),"",N(HX687)-N(HW687)))</f>
        <v/>
      </c>
      <c r="IC687">
        <f>IF(OR(IA$3="",IA$3&gt;TODAY()),"",IF(AND(IA687="",IB687=""),"",N(IB687)-N(IA687)))</f>
        <v/>
      </c>
      <c r="IF687">
        <f>IF(OR(IA$3="",IA$3&gt;TODAY()),"",IF(AND(ID687="",IE687=""),"",N(IE687)-N(ID687)))</f>
        <v/>
      </c>
      <c r="IJ687">
        <f>IF(OR(IH$3="",IH$3&gt;TODAY()),"",IF(AND(IH687="",II687=""),"",N(II687)-N(IH687)))</f>
        <v/>
      </c>
      <c r="IM687">
        <f>IF(OR(IH$3="",IH$3&gt;TODAY()),"",IF(AND(IK687="",IL687=""),"",N(IL687)-N(IK687)))</f>
        <v/>
      </c>
    </row>
    <row r="688">
      <c r="A688" s="21" t="n"/>
      <c r="B688" s="21" t="n"/>
      <c r="C688" s="21" t="n"/>
      <c r="D688" s="21" t="n"/>
      <c r="E688" s="21" t="n"/>
      <c r="F688" s="21" t="n"/>
      <c r="G688" s="21" t="n"/>
      <c r="H688" s="21" t="n"/>
      <c r="I688" s="22" t="n"/>
      <c r="J688" s="22" t="n"/>
      <c r="K688" s="23" t="n"/>
      <c r="L688" s="22" t="n"/>
      <c r="M688" s="22" t="n"/>
      <c r="N688" s="21" t="n"/>
      <c r="O688" s="23" t="n"/>
      <c r="P688" s="23" t="n"/>
      <c r="Q688" s="23" t="n"/>
      <c r="R688" s="23" t="n"/>
      <c r="S688" s="22" t="n"/>
      <c r="T688" s="23" t="n"/>
      <c r="U688" s="23" t="n"/>
      <c r="V688" s="24">
        <f>IF(J688&lt;&gt;"",J688,IF(I688&lt;&gt;"",I688,""))</f>
        <v/>
      </c>
      <c r="W688" s="25">
        <f>IF($E688="","",N(O688)+SUMIFS($AF688:$IN688,$AF$4:$IN$4,"SEW_ACT"))</f>
        <v/>
      </c>
      <c r="X688" s="25">
        <f>IF($E688="","",N(P688)+SUMIFS($AF688:$IN688,$AF$4:$IN$4,"WASH_ACT"))</f>
        <v/>
      </c>
      <c r="Y688" s="25">
        <f>IF($E688="","",W688-X688-N(T688)-N(U688))</f>
        <v/>
      </c>
      <c r="Z688" s="25">
        <f>IF($E688="","",IF(N(K688)-X688&lt;=0.02*N(K688),0,N(K688)-X688))</f>
        <v/>
      </c>
      <c r="AA688" s="24">
        <f>IF($E688="","",IF(S688&lt;&gt;"",S688,IF(N(O688)&gt;0,IF(L688&lt;&gt;"",L688,99999),IFERROR(1/(1/_xlfn.MINIFS($AF$3:$IN$3,$AF$4:$IN$4,"SEW_ACT",$AF688:$IN688,"&gt;0")),99999))))</f>
        <v/>
      </c>
      <c r="AB688" s="26">
        <f>IF(OR($E688="",Z688=0,V688=""),"",1+COUNTIFS(Z$8:Z$707,"&gt;0",V$8:V$707,"&lt;"&amp;V688)+COUNTIFS(Z$8:Z$707,"&gt;0",V$8:V$707,V688,AA$8:AA$707,"&lt;"&amp;AA688)+COUNTIFS(Z$8:Z$707,"&gt;0",V$8:V$707,V688,AA$8:AA$707,AA688,E$8:E$707,"&lt;"&amp;$E688))</f>
        <v/>
      </c>
      <c r="AC688" s="24">
        <f>IF(OR($E688="",Z688=0),"",IFERROR(TODAY()+ROUNDUP(Z688/(SUMIFS($AF688:$IN688,$AF$4:$IN$4,"WASH_ACT")/COUNTIFS($AF$4:$IN$4,"WASH_ACT",$AF688:$IN688,"&gt;0")),0),"no output yet"))</f>
        <v/>
      </c>
      <c r="AD688" s="26">
        <f>IF($E688="","",IFERROR(ROUND(MAX(0,SUMIFS($AF688:$IN688,$AF$4:$IN$4,"SEW_PLAN",$AF$3:$IN$3,"&lt;="&amp;TODAY())-SUMIFS($AF688:$IN688,$AF$4:$IN$4,"SEW_ACT",$AF$3:$IN$3,"&lt;="&amp;TODAY())+N(Q688))/(SUMIFS($AF688:$IN688,$AF$4:$IN$4,"SEW_PLAN")/COUNTIFS($AF$4:$IN$4,"SEW_PLAN",$AF688:$IN688,"&gt;0")),1),0))</f>
        <v/>
      </c>
      <c r="AE688" s="26">
        <f>IF($E688="","",IF(AND(Z688&gt;0,OR(AND(M688&lt;&gt;"",TODAY()&gt;M688),AND(V688&lt;&gt;"",V688-TODAY()&lt;=7))),"Yes","No"))</f>
        <v/>
      </c>
      <c r="AH688">
        <f>IF(OR(AF$3="",AF$3&gt;TODAY()),"",IF(AND(AF688="",AG688=""),"",N(AG688)-N(AF688)))</f>
        <v/>
      </c>
      <c r="AK688">
        <f>IF(OR(AF$3="",AF$3&gt;TODAY()),"",IF(AND(AI688="",AJ688=""),"",N(AJ688)-N(AI688)))</f>
        <v/>
      </c>
      <c r="AO688">
        <f>IF(OR(AM$3="",AM$3&gt;TODAY()),"",IF(AND(AM688="",AN688=""),"",N(AN688)-N(AM688)))</f>
        <v/>
      </c>
      <c r="AR688">
        <f>IF(OR(AM$3="",AM$3&gt;TODAY()),"",IF(AND(AP688="",AQ688=""),"",N(AQ688)-N(AP688)))</f>
        <v/>
      </c>
      <c r="AV688">
        <f>IF(OR(AT$3="",AT$3&gt;TODAY()),"",IF(AND(AT688="",AU688=""),"",N(AU688)-N(AT688)))</f>
        <v/>
      </c>
      <c r="AY688">
        <f>IF(OR(AT$3="",AT$3&gt;TODAY()),"",IF(AND(AW688="",AX688=""),"",N(AX688)-N(AW688)))</f>
        <v/>
      </c>
      <c r="BC688">
        <f>IF(OR(BA$3="",BA$3&gt;TODAY()),"",IF(AND(BA688="",BB688=""),"",N(BB688)-N(BA688)))</f>
        <v/>
      </c>
      <c r="BF688">
        <f>IF(OR(BA$3="",BA$3&gt;TODAY()),"",IF(AND(BD688="",BE688=""),"",N(BE688)-N(BD688)))</f>
        <v/>
      </c>
      <c r="BJ688">
        <f>IF(OR(BH$3="",BH$3&gt;TODAY()),"",IF(AND(BH688="",BI688=""),"",N(BI688)-N(BH688)))</f>
        <v/>
      </c>
      <c r="BM688">
        <f>IF(OR(BH$3="",BH$3&gt;TODAY()),"",IF(AND(BK688="",BL688=""),"",N(BL688)-N(BK688)))</f>
        <v/>
      </c>
      <c r="BQ688">
        <f>IF(OR(BO$3="",BO$3&gt;TODAY()),"",IF(AND(BO688="",BP688=""),"",N(BP688)-N(BO688)))</f>
        <v/>
      </c>
      <c r="BT688">
        <f>IF(OR(BO$3="",BO$3&gt;TODAY()),"",IF(AND(BR688="",BS688=""),"",N(BS688)-N(BR688)))</f>
        <v/>
      </c>
      <c r="BX688">
        <f>IF(OR(BV$3="",BV$3&gt;TODAY()),"",IF(AND(BV688="",BW688=""),"",N(BW688)-N(BV688)))</f>
        <v/>
      </c>
      <c r="CA688">
        <f>IF(OR(BV$3="",BV$3&gt;TODAY()),"",IF(AND(BY688="",BZ688=""),"",N(BZ688)-N(BY688)))</f>
        <v/>
      </c>
      <c r="CE688">
        <f>IF(OR(CC$3="",CC$3&gt;TODAY()),"",IF(AND(CC688="",CD688=""),"",N(CD688)-N(CC688)))</f>
        <v/>
      </c>
      <c r="CH688">
        <f>IF(OR(CC$3="",CC$3&gt;TODAY()),"",IF(AND(CF688="",CG688=""),"",N(CG688)-N(CF688)))</f>
        <v/>
      </c>
      <c r="CL688">
        <f>IF(OR(CJ$3="",CJ$3&gt;TODAY()),"",IF(AND(CJ688="",CK688=""),"",N(CK688)-N(CJ688)))</f>
        <v/>
      </c>
      <c r="CO688">
        <f>IF(OR(CJ$3="",CJ$3&gt;TODAY()),"",IF(AND(CM688="",CN688=""),"",N(CN688)-N(CM688)))</f>
        <v/>
      </c>
      <c r="CS688">
        <f>IF(OR(CQ$3="",CQ$3&gt;TODAY()),"",IF(AND(CQ688="",CR688=""),"",N(CR688)-N(CQ688)))</f>
        <v/>
      </c>
      <c r="CV688">
        <f>IF(OR(CQ$3="",CQ$3&gt;TODAY()),"",IF(AND(CT688="",CU688=""),"",N(CU688)-N(CT688)))</f>
        <v/>
      </c>
      <c r="CZ688">
        <f>IF(OR(CX$3="",CX$3&gt;TODAY()),"",IF(AND(CX688="",CY688=""),"",N(CY688)-N(CX688)))</f>
        <v/>
      </c>
      <c r="DC688">
        <f>IF(OR(CX$3="",CX$3&gt;TODAY()),"",IF(AND(DA688="",DB688=""),"",N(DB688)-N(DA688)))</f>
        <v/>
      </c>
      <c r="DG688">
        <f>IF(OR(DE$3="",DE$3&gt;TODAY()),"",IF(AND(DE688="",DF688=""),"",N(DF688)-N(DE688)))</f>
        <v/>
      </c>
      <c r="DJ688">
        <f>IF(OR(DE$3="",DE$3&gt;TODAY()),"",IF(AND(DH688="",DI688=""),"",N(DI688)-N(DH688)))</f>
        <v/>
      </c>
      <c r="DN688">
        <f>IF(OR(DL$3="",DL$3&gt;TODAY()),"",IF(AND(DL688="",DM688=""),"",N(DM688)-N(DL688)))</f>
        <v/>
      </c>
      <c r="DQ688">
        <f>IF(OR(DL$3="",DL$3&gt;TODAY()),"",IF(AND(DO688="",DP688=""),"",N(DP688)-N(DO688)))</f>
        <v/>
      </c>
      <c r="DU688">
        <f>IF(OR(DS$3="",DS$3&gt;TODAY()),"",IF(AND(DS688="",DT688=""),"",N(DT688)-N(DS688)))</f>
        <v/>
      </c>
      <c r="DX688">
        <f>IF(OR(DS$3="",DS$3&gt;TODAY()),"",IF(AND(DV688="",DW688=""),"",N(DW688)-N(DV688)))</f>
        <v/>
      </c>
      <c r="EB688">
        <f>IF(OR(DZ$3="",DZ$3&gt;TODAY()),"",IF(AND(DZ688="",EA688=""),"",N(EA688)-N(DZ688)))</f>
        <v/>
      </c>
      <c r="EE688">
        <f>IF(OR(DZ$3="",DZ$3&gt;TODAY()),"",IF(AND(EC688="",ED688=""),"",N(ED688)-N(EC688)))</f>
        <v/>
      </c>
      <c r="EI688">
        <f>IF(OR(EG$3="",EG$3&gt;TODAY()),"",IF(AND(EG688="",EH688=""),"",N(EH688)-N(EG688)))</f>
        <v/>
      </c>
      <c r="EL688">
        <f>IF(OR(EG$3="",EG$3&gt;TODAY()),"",IF(AND(EJ688="",EK688=""),"",N(EK688)-N(EJ688)))</f>
        <v/>
      </c>
      <c r="EP688">
        <f>IF(OR(EN$3="",EN$3&gt;TODAY()),"",IF(AND(EN688="",EO688=""),"",N(EO688)-N(EN688)))</f>
        <v/>
      </c>
      <c r="ES688">
        <f>IF(OR(EN$3="",EN$3&gt;TODAY()),"",IF(AND(EQ688="",ER688=""),"",N(ER688)-N(EQ688)))</f>
        <v/>
      </c>
      <c r="EW688">
        <f>IF(OR(EU$3="",EU$3&gt;TODAY()),"",IF(AND(EU688="",EV688=""),"",N(EV688)-N(EU688)))</f>
        <v/>
      </c>
      <c r="EZ688">
        <f>IF(OR(EU$3="",EU$3&gt;TODAY()),"",IF(AND(EX688="",EY688=""),"",N(EY688)-N(EX688)))</f>
        <v/>
      </c>
      <c r="FD688">
        <f>IF(OR(FB$3="",FB$3&gt;TODAY()),"",IF(AND(FB688="",FC688=""),"",N(FC688)-N(FB688)))</f>
        <v/>
      </c>
      <c r="FG688">
        <f>IF(OR(FB$3="",FB$3&gt;TODAY()),"",IF(AND(FE688="",FF688=""),"",N(FF688)-N(FE688)))</f>
        <v/>
      </c>
      <c r="FK688">
        <f>IF(OR(FI$3="",FI$3&gt;TODAY()),"",IF(AND(FI688="",FJ688=""),"",N(FJ688)-N(FI688)))</f>
        <v/>
      </c>
      <c r="FN688">
        <f>IF(OR(FI$3="",FI$3&gt;TODAY()),"",IF(AND(FL688="",FM688=""),"",N(FM688)-N(FL688)))</f>
        <v/>
      </c>
      <c r="FR688">
        <f>IF(OR(FP$3="",FP$3&gt;TODAY()),"",IF(AND(FP688="",FQ688=""),"",N(FQ688)-N(FP688)))</f>
        <v/>
      </c>
      <c r="FU688">
        <f>IF(OR(FP$3="",FP$3&gt;TODAY()),"",IF(AND(FS688="",FT688=""),"",N(FT688)-N(FS688)))</f>
        <v/>
      </c>
      <c r="FY688">
        <f>IF(OR(FW$3="",FW$3&gt;TODAY()),"",IF(AND(FW688="",FX688=""),"",N(FX688)-N(FW688)))</f>
        <v/>
      </c>
      <c r="GB688">
        <f>IF(OR(FW$3="",FW$3&gt;TODAY()),"",IF(AND(FZ688="",GA688=""),"",N(GA688)-N(FZ688)))</f>
        <v/>
      </c>
      <c r="GF688">
        <f>IF(OR(GD$3="",GD$3&gt;TODAY()),"",IF(AND(GD688="",GE688=""),"",N(GE688)-N(GD688)))</f>
        <v/>
      </c>
      <c r="GI688">
        <f>IF(OR(GD$3="",GD$3&gt;TODAY()),"",IF(AND(GG688="",GH688=""),"",N(GH688)-N(GG688)))</f>
        <v/>
      </c>
      <c r="GM688">
        <f>IF(OR(GK$3="",GK$3&gt;TODAY()),"",IF(AND(GK688="",GL688=""),"",N(GL688)-N(GK688)))</f>
        <v/>
      </c>
      <c r="GP688">
        <f>IF(OR(GK$3="",GK$3&gt;TODAY()),"",IF(AND(GN688="",GO688=""),"",N(GO688)-N(GN688)))</f>
        <v/>
      </c>
      <c r="GT688">
        <f>IF(OR(GR$3="",GR$3&gt;TODAY()),"",IF(AND(GR688="",GS688=""),"",N(GS688)-N(GR688)))</f>
        <v/>
      </c>
      <c r="GW688">
        <f>IF(OR(GR$3="",GR$3&gt;TODAY()),"",IF(AND(GU688="",GV688=""),"",N(GV688)-N(GU688)))</f>
        <v/>
      </c>
      <c r="HA688">
        <f>IF(OR(GY$3="",GY$3&gt;TODAY()),"",IF(AND(GY688="",GZ688=""),"",N(GZ688)-N(GY688)))</f>
        <v/>
      </c>
      <c r="HD688">
        <f>IF(OR(GY$3="",GY$3&gt;TODAY()),"",IF(AND(HB688="",HC688=""),"",N(HC688)-N(HB688)))</f>
        <v/>
      </c>
      <c r="HH688">
        <f>IF(OR(HF$3="",HF$3&gt;TODAY()),"",IF(AND(HF688="",HG688=""),"",N(HG688)-N(HF688)))</f>
        <v/>
      </c>
      <c r="HK688">
        <f>IF(OR(HF$3="",HF$3&gt;TODAY()),"",IF(AND(HI688="",HJ688=""),"",N(HJ688)-N(HI688)))</f>
        <v/>
      </c>
      <c r="HO688">
        <f>IF(OR(HM$3="",HM$3&gt;TODAY()),"",IF(AND(HM688="",HN688=""),"",N(HN688)-N(HM688)))</f>
        <v/>
      </c>
      <c r="HR688">
        <f>IF(OR(HM$3="",HM$3&gt;TODAY()),"",IF(AND(HP688="",HQ688=""),"",N(HQ688)-N(HP688)))</f>
        <v/>
      </c>
      <c r="HV688">
        <f>IF(OR(HT$3="",HT$3&gt;TODAY()),"",IF(AND(HT688="",HU688=""),"",N(HU688)-N(HT688)))</f>
        <v/>
      </c>
      <c r="HY688">
        <f>IF(OR(HT$3="",HT$3&gt;TODAY()),"",IF(AND(HW688="",HX688=""),"",N(HX688)-N(HW688)))</f>
        <v/>
      </c>
      <c r="IC688">
        <f>IF(OR(IA$3="",IA$3&gt;TODAY()),"",IF(AND(IA688="",IB688=""),"",N(IB688)-N(IA688)))</f>
        <v/>
      </c>
      <c r="IF688">
        <f>IF(OR(IA$3="",IA$3&gt;TODAY()),"",IF(AND(ID688="",IE688=""),"",N(IE688)-N(ID688)))</f>
        <v/>
      </c>
      <c r="IJ688">
        <f>IF(OR(IH$3="",IH$3&gt;TODAY()),"",IF(AND(IH688="",II688=""),"",N(II688)-N(IH688)))</f>
        <v/>
      </c>
      <c r="IM688">
        <f>IF(OR(IH$3="",IH$3&gt;TODAY()),"",IF(AND(IK688="",IL688=""),"",N(IL688)-N(IK688)))</f>
        <v/>
      </c>
    </row>
    <row r="689">
      <c r="A689" s="21" t="n"/>
      <c r="B689" s="21" t="n"/>
      <c r="C689" s="21" t="n"/>
      <c r="D689" s="21" t="n"/>
      <c r="E689" s="21" t="n"/>
      <c r="F689" s="21" t="n"/>
      <c r="G689" s="21" t="n"/>
      <c r="H689" s="21" t="n"/>
      <c r="I689" s="22" t="n"/>
      <c r="J689" s="22" t="n"/>
      <c r="K689" s="23" t="n"/>
      <c r="L689" s="22" t="n"/>
      <c r="M689" s="22" t="n"/>
      <c r="N689" s="21" t="n"/>
      <c r="O689" s="23" t="n"/>
      <c r="P689" s="23" t="n"/>
      <c r="Q689" s="23" t="n"/>
      <c r="R689" s="23" t="n"/>
      <c r="S689" s="22" t="n"/>
      <c r="T689" s="23" t="n"/>
      <c r="U689" s="23" t="n"/>
      <c r="V689" s="24">
        <f>IF(J689&lt;&gt;"",J689,IF(I689&lt;&gt;"",I689,""))</f>
        <v/>
      </c>
      <c r="W689" s="25">
        <f>IF($E689="","",N(O689)+SUMIFS($AF689:$IN689,$AF$4:$IN$4,"SEW_ACT"))</f>
        <v/>
      </c>
      <c r="X689" s="25">
        <f>IF($E689="","",N(P689)+SUMIFS($AF689:$IN689,$AF$4:$IN$4,"WASH_ACT"))</f>
        <v/>
      </c>
      <c r="Y689" s="25">
        <f>IF($E689="","",W689-X689-N(T689)-N(U689))</f>
        <v/>
      </c>
      <c r="Z689" s="25">
        <f>IF($E689="","",IF(N(K689)-X689&lt;=0.02*N(K689),0,N(K689)-X689))</f>
        <v/>
      </c>
      <c r="AA689" s="24">
        <f>IF($E689="","",IF(S689&lt;&gt;"",S689,IF(N(O689)&gt;0,IF(L689&lt;&gt;"",L689,99999),IFERROR(1/(1/_xlfn.MINIFS($AF$3:$IN$3,$AF$4:$IN$4,"SEW_ACT",$AF689:$IN689,"&gt;0")),99999))))</f>
        <v/>
      </c>
      <c r="AB689" s="26">
        <f>IF(OR($E689="",Z689=0,V689=""),"",1+COUNTIFS(Z$8:Z$707,"&gt;0",V$8:V$707,"&lt;"&amp;V689)+COUNTIFS(Z$8:Z$707,"&gt;0",V$8:V$707,V689,AA$8:AA$707,"&lt;"&amp;AA689)+COUNTIFS(Z$8:Z$707,"&gt;0",V$8:V$707,V689,AA$8:AA$707,AA689,E$8:E$707,"&lt;"&amp;$E689))</f>
        <v/>
      </c>
      <c r="AC689" s="24">
        <f>IF(OR($E689="",Z689=0),"",IFERROR(TODAY()+ROUNDUP(Z689/(SUMIFS($AF689:$IN689,$AF$4:$IN$4,"WASH_ACT")/COUNTIFS($AF$4:$IN$4,"WASH_ACT",$AF689:$IN689,"&gt;0")),0),"no output yet"))</f>
        <v/>
      </c>
      <c r="AD689" s="26">
        <f>IF($E689="","",IFERROR(ROUND(MAX(0,SUMIFS($AF689:$IN689,$AF$4:$IN$4,"SEW_PLAN",$AF$3:$IN$3,"&lt;="&amp;TODAY())-SUMIFS($AF689:$IN689,$AF$4:$IN$4,"SEW_ACT",$AF$3:$IN$3,"&lt;="&amp;TODAY())+N(Q689))/(SUMIFS($AF689:$IN689,$AF$4:$IN$4,"SEW_PLAN")/COUNTIFS($AF$4:$IN$4,"SEW_PLAN",$AF689:$IN689,"&gt;0")),1),0))</f>
        <v/>
      </c>
      <c r="AE689" s="26">
        <f>IF($E689="","",IF(AND(Z689&gt;0,OR(AND(M689&lt;&gt;"",TODAY()&gt;M689),AND(V689&lt;&gt;"",V689-TODAY()&lt;=7))),"Yes","No"))</f>
        <v/>
      </c>
      <c r="AH689">
        <f>IF(OR(AF$3="",AF$3&gt;TODAY()),"",IF(AND(AF689="",AG689=""),"",N(AG689)-N(AF689)))</f>
        <v/>
      </c>
      <c r="AK689">
        <f>IF(OR(AF$3="",AF$3&gt;TODAY()),"",IF(AND(AI689="",AJ689=""),"",N(AJ689)-N(AI689)))</f>
        <v/>
      </c>
      <c r="AO689">
        <f>IF(OR(AM$3="",AM$3&gt;TODAY()),"",IF(AND(AM689="",AN689=""),"",N(AN689)-N(AM689)))</f>
        <v/>
      </c>
      <c r="AR689">
        <f>IF(OR(AM$3="",AM$3&gt;TODAY()),"",IF(AND(AP689="",AQ689=""),"",N(AQ689)-N(AP689)))</f>
        <v/>
      </c>
      <c r="AV689">
        <f>IF(OR(AT$3="",AT$3&gt;TODAY()),"",IF(AND(AT689="",AU689=""),"",N(AU689)-N(AT689)))</f>
        <v/>
      </c>
      <c r="AY689">
        <f>IF(OR(AT$3="",AT$3&gt;TODAY()),"",IF(AND(AW689="",AX689=""),"",N(AX689)-N(AW689)))</f>
        <v/>
      </c>
      <c r="BC689">
        <f>IF(OR(BA$3="",BA$3&gt;TODAY()),"",IF(AND(BA689="",BB689=""),"",N(BB689)-N(BA689)))</f>
        <v/>
      </c>
      <c r="BF689">
        <f>IF(OR(BA$3="",BA$3&gt;TODAY()),"",IF(AND(BD689="",BE689=""),"",N(BE689)-N(BD689)))</f>
        <v/>
      </c>
      <c r="BJ689">
        <f>IF(OR(BH$3="",BH$3&gt;TODAY()),"",IF(AND(BH689="",BI689=""),"",N(BI689)-N(BH689)))</f>
        <v/>
      </c>
      <c r="BM689">
        <f>IF(OR(BH$3="",BH$3&gt;TODAY()),"",IF(AND(BK689="",BL689=""),"",N(BL689)-N(BK689)))</f>
        <v/>
      </c>
      <c r="BQ689">
        <f>IF(OR(BO$3="",BO$3&gt;TODAY()),"",IF(AND(BO689="",BP689=""),"",N(BP689)-N(BO689)))</f>
        <v/>
      </c>
      <c r="BT689">
        <f>IF(OR(BO$3="",BO$3&gt;TODAY()),"",IF(AND(BR689="",BS689=""),"",N(BS689)-N(BR689)))</f>
        <v/>
      </c>
      <c r="BX689">
        <f>IF(OR(BV$3="",BV$3&gt;TODAY()),"",IF(AND(BV689="",BW689=""),"",N(BW689)-N(BV689)))</f>
        <v/>
      </c>
      <c r="CA689">
        <f>IF(OR(BV$3="",BV$3&gt;TODAY()),"",IF(AND(BY689="",BZ689=""),"",N(BZ689)-N(BY689)))</f>
        <v/>
      </c>
      <c r="CE689">
        <f>IF(OR(CC$3="",CC$3&gt;TODAY()),"",IF(AND(CC689="",CD689=""),"",N(CD689)-N(CC689)))</f>
        <v/>
      </c>
      <c r="CH689">
        <f>IF(OR(CC$3="",CC$3&gt;TODAY()),"",IF(AND(CF689="",CG689=""),"",N(CG689)-N(CF689)))</f>
        <v/>
      </c>
      <c r="CL689">
        <f>IF(OR(CJ$3="",CJ$3&gt;TODAY()),"",IF(AND(CJ689="",CK689=""),"",N(CK689)-N(CJ689)))</f>
        <v/>
      </c>
      <c r="CO689">
        <f>IF(OR(CJ$3="",CJ$3&gt;TODAY()),"",IF(AND(CM689="",CN689=""),"",N(CN689)-N(CM689)))</f>
        <v/>
      </c>
      <c r="CS689">
        <f>IF(OR(CQ$3="",CQ$3&gt;TODAY()),"",IF(AND(CQ689="",CR689=""),"",N(CR689)-N(CQ689)))</f>
        <v/>
      </c>
      <c r="CV689">
        <f>IF(OR(CQ$3="",CQ$3&gt;TODAY()),"",IF(AND(CT689="",CU689=""),"",N(CU689)-N(CT689)))</f>
        <v/>
      </c>
      <c r="CZ689">
        <f>IF(OR(CX$3="",CX$3&gt;TODAY()),"",IF(AND(CX689="",CY689=""),"",N(CY689)-N(CX689)))</f>
        <v/>
      </c>
      <c r="DC689">
        <f>IF(OR(CX$3="",CX$3&gt;TODAY()),"",IF(AND(DA689="",DB689=""),"",N(DB689)-N(DA689)))</f>
        <v/>
      </c>
      <c r="DG689">
        <f>IF(OR(DE$3="",DE$3&gt;TODAY()),"",IF(AND(DE689="",DF689=""),"",N(DF689)-N(DE689)))</f>
        <v/>
      </c>
      <c r="DJ689">
        <f>IF(OR(DE$3="",DE$3&gt;TODAY()),"",IF(AND(DH689="",DI689=""),"",N(DI689)-N(DH689)))</f>
        <v/>
      </c>
      <c r="DN689">
        <f>IF(OR(DL$3="",DL$3&gt;TODAY()),"",IF(AND(DL689="",DM689=""),"",N(DM689)-N(DL689)))</f>
        <v/>
      </c>
      <c r="DQ689">
        <f>IF(OR(DL$3="",DL$3&gt;TODAY()),"",IF(AND(DO689="",DP689=""),"",N(DP689)-N(DO689)))</f>
        <v/>
      </c>
      <c r="DU689">
        <f>IF(OR(DS$3="",DS$3&gt;TODAY()),"",IF(AND(DS689="",DT689=""),"",N(DT689)-N(DS689)))</f>
        <v/>
      </c>
      <c r="DX689">
        <f>IF(OR(DS$3="",DS$3&gt;TODAY()),"",IF(AND(DV689="",DW689=""),"",N(DW689)-N(DV689)))</f>
        <v/>
      </c>
      <c r="EB689">
        <f>IF(OR(DZ$3="",DZ$3&gt;TODAY()),"",IF(AND(DZ689="",EA689=""),"",N(EA689)-N(DZ689)))</f>
        <v/>
      </c>
      <c r="EE689">
        <f>IF(OR(DZ$3="",DZ$3&gt;TODAY()),"",IF(AND(EC689="",ED689=""),"",N(ED689)-N(EC689)))</f>
        <v/>
      </c>
      <c r="EI689">
        <f>IF(OR(EG$3="",EG$3&gt;TODAY()),"",IF(AND(EG689="",EH689=""),"",N(EH689)-N(EG689)))</f>
        <v/>
      </c>
      <c r="EL689">
        <f>IF(OR(EG$3="",EG$3&gt;TODAY()),"",IF(AND(EJ689="",EK689=""),"",N(EK689)-N(EJ689)))</f>
        <v/>
      </c>
      <c r="EP689">
        <f>IF(OR(EN$3="",EN$3&gt;TODAY()),"",IF(AND(EN689="",EO689=""),"",N(EO689)-N(EN689)))</f>
        <v/>
      </c>
      <c r="ES689">
        <f>IF(OR(EN$3="",EN$3&gt;TODAY()),"",IF(AND(EQ689="",ER689=""),"",N(ER689)-N(EQ689)))</f>
        <v/>
      </c>
      <c r="EW689">
        <f>IF(OR(EU$3="",EU$3&gt;TODAY()),"",IF(AND(EU689="",EV689=""),"",N(EV689)-N(EU689)))</f>
        <v/>
      </c>
      <c r="EZ689">
        <f>IF(OR(EU$3="",EU$3&gt;TODAY()),"",IF(AND(EX689="",EY689=""),"",N(EY689)-N(EX689)))</f>
        <v/>
      </c>
      <c r="FD689">
        <f>IF(OR(FB$3="",FB$3&gt;TODAY()),"",IF(AND(FB689="",FC689=""),"",N(FC689)-N(FB689)))</f>
        <v/>
      </c>
      <c r="FG689">
        <f>IF(OR(FB$3="",FB$3&gt;TODAY()),"",IF(AND(FE689="",FF689=""),"",N(FF689)-N(FE689)))</f>
        <v/>
      </c>
      <c r="FK689">
        <f>IF(OR(FI$3="",FI$3&gt;TODAY()),"",IF(AND(FI689="",FJ689=""),"",N(FJ689)-N(FI689)))</f>
        <v/>
      </c>
      <c r="FN689">
        <f>IF(OR(FI$3="",FI$3&gt;TODAY()),"",IF(AND(FL689="",FM689=""),"",N(FM689)-N(FL689)))</f>
        <v/>
      </c>
      <c r="FR689">
        <f>IF(OR(FP$3="",FP$3&gt;TODAY()),"",IF(AND(FP689="",FQ689=""),"",N(FQ689)-N(FP689)))</f>
        <v/>
      </c>
      <c r="FU689">
        <f>IF(OR(FP$3="",FP$3&gt;TODAY()),"",IF(AND(FS689="",FT689=""),"",N(FT689)-N(FS689)))</f>
        <v/>
      </c>
      <c r="FY689">
        <f>IF(OR(FW$3="",FW$3&gt;TODAY()),"",IF(AND(FW689="",FX689=""),"",N(FX689)-N(FW689)))</f>
        <v/>
      </c>
      <c r="GB689">
        <f>IF(OR(FW$3="",FW$3&gt;TODAY()),"",IF(AND(FZ689="",GA689=""),"",N(GA689)-N(FZ689)))</f>
        <v/>
      </c>
      <c r="GF689">
        <f>IF(OR(GD$3="",GD$3&gt;TODAY()),"",IF(AND(GD689="",GE689=""),"",N(GE689)-N(GD689)))</f>
        <v/>
      </c>
      <c r="GI689">
        <f>IF(OR(GD$3="",GD$3&gt;TODAY()),"",IF(AND(GG689="",GH689=""),"",N(GH689)-N(GG689)))</f>
        <v/>
      </c>
      <c r="GM689">
        <f>IF(OR(GK$3="",GK$3&gt;TODAY()),"",IF(AND(GK689="",GL689=""),"",N(GL689)-N(GK689)))</f>
        <v/>
      </c>
      <c r="GP689">
        <f>IF(OR(GK$3="",GK$3&gt;TODAY()),"",IF(AND(GN689="",GO689=""),"",N(GO689)-N(GN689)))</f>
        <v/>
      </c>
      <c r="GT689">
        <f>IF(OR(GR$3="",GR$3&gt;TODAY()),"",IF(AND(GR689="",GS689=""),"",N(GS689)-N(GR689)))</f>
        <v/>
      </c>
      <c r="GW689">
        <f>IF(OR(GR$3="",GR$3&gt;TODAY()),"",IF(AND(GU689="",GV689=""),"",N(GV689)-N(GU689)))</f>
        <v/>
      </c>
      <c r="HA689">
        <f>IF(OR(GY$3="",GY$3&gt;TODAY()),"",IF(AND(GY689="",GZ689=""),"",N(GZ689)-N(GY689)))</f>
        <v/>
      </c>
      <c r="HD689">
        <f>IF(OR(GY$3="",GY$3&gt;TODAY()),"",IF(AND(HB689="",HC689=""),"",N(HC689)-N(HB689)))</f>
        <v/>
      </c>
      <c r="HH689">
        <f>IF(OR(HF$3="",HF$3&gt;TODAY()),"",IF(AND(HF689="",HG689=""),"",N(HG689)-N(HF689)))</f>
        <v/>
      </c>
      <c r="HK689">
        <f>IF(OR(HF$3="",HF$3&gt;TODAY()),"",IF(AND(HI689="",HJ689=""),"",N(HJ689)-N(HI689)))</f>
        <v/>
      </c>
      <c r="HO689">
        <f>IF(OR(HM$3="",HM$3&gt;TODAY()),"",IF(AND(HM689="",HN689=""),"",N(HN689)-N(HM689)))</f>
        <v/>
      </c>
      <c r="HR689">
        <f>IF(OR(HM$3="",HM$3&gt;TODAY()),"",IF(AND(HP689="",HQ689=""),"",N(HQ689)-N(HP689)))</f>
        <v/>
      </c>
      <c r="HV689">
        <f>IF(OR(HT$3="",HT$3&gt;TODAY()),"",IF(AND(HT689="",HU689=""),"",N(HU689)-N(HT689)))</f>
        <v/>
      </c>
      <c r="HY689">
        <f>IF(OR(HT$3="",HT$3&gt;TODAY()),"",IF(AND(HW689="",HX689=""),"",N(HX689)-N(HW689)))</f>
        <v/>
      </c>
      <c r="IC689">
        <f>IF(OR(IA$3="",IA$3&gt;TODAY()),"",IF(AND(IA689="",IB689=""),"",N(IB689)-N(IA689)))</f>
        <v/>
      </c>
      <c r="IF689">
        <f>IF(OR(IA$3="",IA$3&gt;TODAY()),"",IF(AND(ID689="",IE689=""),"",N(IE689)-N(ID689)))</f>
        <v/>
      </c>
      <c r="IJ689">
        <f>IF(OR(IH$3="",IH$3&gt;TODAY()),"",IF(AND(IH689="",II689=""),"",N(II689)-N(IH689)))</f>
        <v/>
      </c>
      <c r="IM689">
        <f>IF(OR(IH$3="",IH$3&gt;TODAY()),"",IF(AND(IK689="",IL689=""),"",N(IL689)-N(IK689)))</f>
        <v/>
      </c>
    </row>
    <row r="690">
      <c r="A690" s="21" t="n"/>
      <c r="B690" s="21" t="n"/>
      <c r="C690" s="21" t="n"/>
      <c r="D690" s="21" t="n"/>
      <c r="E690" s="21" t="n"/>
      <c r="F690" s="21" t="n"/>
      <c r="G690" s="21" t="n"/>
      <c r="H690" s="21" t="n"/>
      <c r="I690" s="22" t="n"/>
      <c r="J690" s="22" t="n"/>
      <c r="K690" s="23" t="n"/>
      <c r="L690" s="22" t="n"/>
      <c r="M690" s="22" t="n"/>
      <c r="N690" s="21" t="n"/>
      <c r="O690" s="23" t="n"/>
      <c r="P690" s="23" t="n"/>
      <c r="Q690" s="23" t="n"/>
      <c r="R690" s="23" t="n"/>
      <c r="S690" s="22" t="n"/>
      <c r="T690" s="23" t="n"/>
      <c r="U690" s="23" t="n"/>
      <c r="V690" s="24">
        <f>IF(J690&lt;&gt;"",J690,IF(I690&lt;&gt;"",I690,""))</f>
        <v/>
      </c>
      <c r="W690" s="25">
        <f>IF($E690="","",N(O690)+SUMIFS($AF690:$IN690,$AF$4:$IN$4,"SEW_ACT"))</f>
        <v/>
      </c>
      <c r="X690" s="25">
        <f>IF($E690="","",N(P690)+SUMIFS($AF690:$IN690,$AF$4:$IN$4,"WASH_ACT"))</f>
        <v/>
      </c>
      <c r="Y690" s="25">
        <f>IF($E690="","",W690-X690-N(T690)-N(U690))</f>
        <v/>
      </c>
      <c r="Z690" s="25">
        <f>IF($E690="","",IF(N(K690)-X690&lt;=0.02*N(K690),0,N(K690)-X690))</f>
        <v/>
      </c>
      <c r="AA690" s="24">
        <f>IF($E690="","",IF(S690&lt;&gt;"",S690,IF(N(O690)&gt;0,IF(L690&lt;&gt;"",L690,99999),IFERROR(1/(1/_xlfn.MINIFS($AF$3:$IN$3,$AF$4:$IN$4,"SEW_ACT",$AF690:$IN690,"&gt;0")),99999))))</f>
        <v/>
      </c>
      <c r="AB690" s="26">
        <f>IF(OR($E690="",Z690=0,V690=""),"",1+COUNTIFS(Z$8:Z$707,"&gt;0",V$8:V$707,"&lt;"&amp;V690)+COUNTIFS(Z$8:Z$707,"&gt;0",V$8:V$707,V690,AA$8:AA$707,"&lt;"&amp;AA690)+COUNTIFS(Z$8:Z$707,"&gt;0",V$8:V$707,V690,AA$8:AA$707,AA690,E$8:E$707,"&lt;"&amp;$E690))</f>
        <v/>
      </c>
      <c r="AC690" s="24">
        <f>IF(OR($E690="",Z690=0),"",IFERROR(TODAY()+ROUNDUP(Z690/(SUMIFS($AF690:$IN690,$AF$4:$IN$4,"WASH_ACT")/COUNTIFS($AF$4:$IN$4,"WASH_ACT",$AF690:$IN690,"&gt;0")),0),"no output yet"))</f>
        <v/>
      </c>
      <c r="AD690" s="26">
        <f>IF($E690="","",IFERROR(ROUND(MAX(0,SUMIFS($AF690:$IN690,$AF$4:$IN$4,"SEW_PLAN",$AF$3:$IN$3,"&lt;="&amp;TODAY())-SUMIFS($AF690:$IN690,$AF$4:$IN$4,"SEW_ACT",$AF$3:$IN$3,"&lt;="&amp;TODAY())+N(Q690))/(SUMIFS($AF690:$IN690,$AF$4:$IN$4,"SEW_PLAN")/COUNTIFS($AF$4:$IN$4,"SEW_PLAN",$AF690:$IN690,"&gt;0")),1),0))</f>
        <v/>
      </c>
      <c r="AE690" s="26">
        <f>IF($E690="","",IF(AND(Z690&gt;0,OR(AND(M690&lt;&gt;"",TODAY()&gt;M690),AND(V690&lt;&gt;"",V690-TODAY()&lt;=7))),"Yes","No"))</f>
        <v/>
      </c>
      <c r="AH690">
        <f>IF(OR(AF$3="",AF$3&gt;TODAY()),"",IF(AND(AF690="",AG690=""),"",N(AG690)-N(AF690)))</f>
        <v/>
      </c>
      <c r="AK690">
        <f>IF(OR(AF$3="",AF$3&gt;TODAY()),"",IF(AND(AI690="",AJ690=""),"",N(AJ690)-N(AI690)))</f>
        <v/>
      </c>
      <c r="AO690">
        <f>IF(OR(AM$3="",AM$3&gt;TODAY()),"",IF(AND(AM690="",AN690=""),"",N(AN690)-N(AM690)))</f>
        <v/>
      </c>
      <c r="AR690">
        <f>IF(OR(AM$3="",AM$3&gt;TODAY()),"",IF(AND(AP690="",AQ690=""),"",N(AQ690)-N(AP690)))</f>
        <v/>
      </c>
      <c r="AV690">
        <f>IF(OR(AT$3="",AT$3&gt;TODAY()),"",IF(AND(AT690="",AU690=""),"",N(AU690)-N(AT690)))</f>
        <v/>
      </c>
      <c r="AY690">
        <f>IF(OR(AT$3="",AT$3&gt;TODAY()),"",IF(AND(AW690="",AX690=""),"",N(AX690)-N(AW690)))</f>
        <v/>
      </c>
      <c r="BC690">
        <f>IF(OR(BA$3="",BA$3&gt;TODAY()),"",IF(AND(BA690="",BB690=""),"",N(BB690)-N(BA690)))</f>
        <v/>
      </c>
      <c r="BF690">
        <f>IF(OR(BA$3="",BA$3&gt;TODAY()),"",IF(AND(BD690="",BE690=""),"",N(BE690)-N(BD690)))</f>
        <v/>
      </c>
      <c r="BJ690">
        <f>IF(OR(BH$3="",BH$3&gt;TODAY()),"",IF(AND(BH690="",BI690=""),"",N(BI690)-N(BH690)))</f>
        <v/>
      </c>
      <c r="BM690">
        <f>IF(OR(BH$3="",BH$3&gt;TODAY()),"",IF(AND(BK690="",BL690=""),"",N(BL690)-N(BK690)))</f>
        <v/>
      </c>
      <c r="BQ690">
        <f>IF(OR(BO$3="",BO$3&gt;TODAY()),"",IF(AND(BO690="",BP690=""),"",N(BP690)-N(BO690)))</f>
        <v/>
      </c>
      <c r="BT690">
        <f>IF(OR(BO$3="",BO$3&gt;TODAY()),"",IF(AND(BR690="",BS690=""),"",N(BS690)-N(BR690)))</f>
        <v/>
      </c>
      <c r="BX690">
        <f>IF(OR(BV$3="",BV$3&gt;TODAY()),"",IF(AND(BV690="",BW690=""),"",N(BW690)-N(BV690)))</f>
        <v/>
      </c>
      <c r="CA690">
        <f>IF(OR(BV$3="",BV$3&gt;TODAY()),"",IF(AND(BY690="",BZ690=""),"",N(BZ690)-N(BY690)))</f>
        <v/>
      </c>
      <c r="CE690">
        <f>IF(OR(CC$3="",CC$3&gt;TODAY()),"",IF(AND(CC690="",CD690=""),"",N(CD690)-N(CC690)))</f>
        <v/>
      </c>
      <c r="CH690">
        <f>IF(OR(CC$3="",CC$3&gt;TODAY()),"",IF(AND(CF690="",CG690=""),"",N(CG690)-N(CF690)))</f>
        <v/>
      </c>
      <c r="CL690">
        <f>IF(OR(CJ$3="",CJ$3&gt;TODAY()),"",IF(AND(CJ690="",CK690=""),"",N(CK690)-N(CJ690)))</f>
        <v/>
      </c>
      <c r="CO690">
        <f>IF(OR(CJ$3="",CJ$3&gt;TODAY()),"",IF(AND(CM690="",CN690=""),"",N(CN690)-N(CM690)))</f>
        <v/>
      </c>
      <c r="CS690">
        <f>IF(OR(CQ$3="",CQ$3&gt;TODAY()),"",IF(AND(CQ690="",CR690=""),"",N(CR690)-N(CQ690)))</f>
        <v/>
      </c>
      <c r="CV690">
        <f>IF(OR(CQ$3="",CQ$3&gt;TODAY()),"",IF(AND(CT690="",CU690=""),"",N(CU690)-N(CT690)))</f>
        <v/>
      </c>
      <c r="CZ690">
        <f>IF(OR(CX$3="",CX$3&gt;TODAY()),"",IF(AND(CX690="",CY690=""),"",N(CY690)-N(CX690)))</f>
        <v/>
      </c>
      <c r="DC690">
        <f>IF(OR(CX$3="",CX$3&gt;TODAY()),"",IF(AND(DA690="",DB690=""),"",N(DB690)-N(DA690)))</f>
        <v/>
      </c>
      <c r="DG690">
        <f>IF(OR(DE$3="",DE$3&gt;TODAY()),"",IF(AND(DE690="",DF690=""),"",N(DF690)-N(DE690)))</f>
        <v/>
      </c>
      <c r="DJ690">
        <f>IF(OR(DE$3="",DE$3&gt;TODAY()),"",IF(AND(DH690="",DI690=""),"",N(DI690)-N(DH690)))</f>
        <v/>
      </c>
      <c r="DN690">
        <f>IF(OR(DL$3="",DL$3&gt;TODAY()),"",IF(AND(DL690="",DM690=""),"",N(DM690)-N(DL690)))</f>
        <v/>
      </c>
      <c r="DQ690">
        <f>IF(OR(DL$3="",DL$3&gt;TODAY()),"",IF(AND(DO690="",DP690=""),"",N(DP690)-N(DO690)))</f>
        <v/>
      </c>
      <c r="DU690">
        <f>IF(OR(DS$3="",DS$3&gt;TODAY()),"",IF(AND(DS690="",DT690=""),"",N(DT690)-N(DS690)))</f>
        <v/>
      </c>
      <c r="DX690">
        <f>IF(OR(DS$3="",DS$3&gt;TODAY()),"",IF(AND(DV690="",DW690=""),"",N(DW690)-N(DV690)))</f>
        <v/>
      </c>
      <c r="EB690">
        <f>IF(OR(DZ$3="",DZ$3&gt;TODAY()),"",IF(AND(DZ690="",EA690=""),"",N(EA690)-N(DZ690)))</f>
        <v/>
      </c>
      <c r="EE690">
        <f>IF(OR(DZ$3="",DZ$3&gt;TODAY()),"",IF(AND(EC690="",ED690=""),"",N(ED690)-N(EC690)))</f>
        <v/>
      </c>
      <c r="EI690">
        <f>IF(OR(EG$3="",EG$3&gt;TODAY()),"",IF(AND(EG690="",EH690=""),"",N(EH690)-N(EG690)))</f>
        <v/>
      </c>
      <c r="EL690">
        <f>IF(OR(EG$3="",EG$3&gt;TODAY()),"",IF(AND(EJ690="",EK690=""),"",N(EK690)-N(EJ690)))</f>
        <v/>
      </c>
      <c r="EP690">
        <f>IF(OR(EN$3="",EN$3&gt;TODAY()),"",IF(AND(EN690="",EO690=""),"",N(EO690)-N(EN690)))</f>
        <v/>
      </c>
      <c r="ES690">
        <f>IF(OR(EN$3="",EN$3&gt;TODAY()),"",IF(AND(EQ690="",ER690=""),"",N(ER690)-N(EQ690)))</f>
        <v/>
      </c>
      <c r="EW690">
        <f>IF(OR(EU$3="",EU$3&gt;TODAY()),"",IF(AND(EU690="",EV690=""),"",N(EV690)-N(EU690)))</f>
        <v/>
      </c>
      <c r="EZ690">
        <f>IF(OR(EU$3="",EU$3&gt;TODAY()),"",IF(AND(EX690="",EY690=""),"",N(EY690)-N(EX690)))</f>
        <v/>
      </c>
      <c r="FD690">
        <f>IF(OR(FB$3="",FB$3&gt;TODAY()),"",IF(AND(FB690="",FC690=""),"",N(FC690)-N(FB690)))</f>
        <v/>
      </c>
      <c r="FG690">
        <f>IF(OR(FB$3="",FB$3&gt;TODAY()),"",IF(AND(FE690="",FF690=""),"",N(FF690)-N(FE690)))</f>
        <v/>
      </c>
      <c r="FK690">
        <f>IF(OR(FI$3="",FI$3&gt;TODAY()),"",IF(AND(FI690="",FJ690=""),"",N(FJ690)-N(FI690)))</f>
        <v/>
      </c>
      <c r="FN690">
        <f>IF(OR(FI$3="",FI$3&gt;TODAY()),"",IF(AND(FL690="",FM690=""),"",N(FM690)-N(FL690)))</f>
        <v/>
      </c>
      <c r="FR690">
        <f>IF(OR(FP$3="",FP$3&gt;TODAY()),"",IF(AND(FP690="",FQ690=""),"",N(FQ690)-N(FP690)))</f>
        <v/>
      </c>
      <c r="FU690">
        <f>IF(OR(FP$3="",FP$3&gt;TODAY()),"",IF(AND(FS690="",FT690=""),"",N(FT690)-N(FS690)))</f>
        <v/>
      </c>
      <c r="FY690">
        <f>IF(OR(FW$3="",FW$3&gt;TODAY()),"",IF(AND(FW690="",FX690=""),"",N(FX690)-N(FW690)))</f>
        <v/>
      </c>
      <c r="GB690">
        <f>IF(OR(FW$3="",FW$3&gt;TODAY()),"",IF(AND(FZ690="",GA690=""),"",N(GA690)-N(FZ690)))</f>
        <v/>
      </c>
      <c r="GF690">
        <f>IF(OR(GD$3="",GD$3&gt;TODAY()),"",IF(AND(GD690="",GE690=""),"",N(GE690)-N(GD690)))</f>
        <v/>
      </c>
      <c r="GI690">
        <f>IF(OR(GD$3="",GD$3&gt;TODAY()),"",IF(AND(GG690="",GH690=""),"",N(GH690)-N(GG690)))</f>
        <v/>
      </c>
      <c r="GM690">
        <f>IF(OR(GK$3="",GK$3&gt;TODAY()),"",IF(AND(GK690="",GL690=""),"",N(GL690)-N(GK690)))</f>
        <v/>
      </c>
      <c r="GP690">
        <f>IF(OR(GK$3="",GK$3&gt;TODAY()),"",IF(AND(GN690="",GO690=""),"",N(GO690)-N(GN690)))</f>
        <v/>
      </c>
      <c r="GT690">
        <f>IF(OR(GR$3="",GR$3&gt;TODAY()),"",IF(AND(GR690="",GS690=""),"",N(GS690)-N(GR690)))</f>
        <v/>
      </c>
      <c r="GW690">
        <f>IF(OR(GR$3="",GR$3&gt;TODAY()),"",IF(AND(GU690="",GV690=""),"",N(GV690)-N(GU690)))</f>
        <v/>
      </c>
      <c r="HA690">
        <f>IF(OR(GY$3="",GY$3&gt;TODAY()),"",IF(AND(GY690="",GZ690=""),"",N(GZ690)-N(GY690)))</f>
        <v/>
      </c>
      <c r="HD690">
        <f>IF(OR(GY$3="",GY$3&gt;TODAY()),"",IF(AND(HB690="",HC690=""),"",N(HC690)-N(HB690)))</f>
        <v/>
      </c>
      <c r="HH690">
        <f>IF(OR(HF$3="",HF$3&gt;TODAY()),"",IF(AND(HF690="",HG690=""),"",N(HG690)-N(HF690)))</f>
        <v/>
      </c>
      <c r="HK690">
        <f>IF(OR(HF$3="",HF$3&gt;TODAY()),"",IF(AND(HI690="",HJ690=""),"",N(HJ690)-N(HI690)))</f>
        <v/>
      </c>
      <c r="HO690">
        <f>IF(OR(HM$3="",HM$3&gt;TODAY()),"",IF(AND(HM690="",HN690=""),"",N(HN690)-N(HM690)))</f>
        <v/>
      </c>
      <c r="HR690">
        <f>IF(OR(HM$3="",HM$3&gt;TODAY()),"",IF(AND(HP690="",HQ690=""),"",N(HQ690)-N(HP690)))</f>
        <v/>
      </c>
      <c r="HV690">
        <f>IF(OR(HT$3="",HT$3&gt;TODAY()),"",IF(AND(HT690="",HU690=""),"",N(HU690)-N(HT690)))</f>
        <v/>
      </c>
      <c r="HY690">
        <f>IF(OR(HT$3="",HT$3&gt;TODAY()),"",IF(AND(HW690="",HX690=""),"",N(HX690)-N(HW690)))</f>
        <v/>
      </c>
      <c r="IC690">
        <f>IF(OR(IA$3="",IA$3&gt;TODAY()),"",IF(AND(IA690="",IB690=""),"",N(IB690)-N(IA690)))</f>
        <v/>
      </c>
      <c r="IF690">
        <f>IF(OR(IA$3="",IA$3&gt;TODAY()),"",IF(AND(ID690="",IE690=""),"",N(IE690)-N(ID690)))</f>
        <v/>
      </c>
      <c r="IJ690">
        <f>IF(OR(IH$3="",IH$3&gt;TODAY()),"",IF(AND(IH690="",II690=""),"",N(II690)-N(IH690)))</f>
        <v/>
      </c>
      <c r="IM690">
        <f>IF(OR(IH$3="",IH$3&gt;TODAY()),"",IF(AND(IK690="",IL690=""),"",N(IL690)-N(IK690)))</f>
        <v/>
      </c>
    </row>
    <row r="691">
      <c r="A691" s="21" t="n"/>
      <c r="B691" s="21" t="n"/>
      <c r="C691" s="21" t="n"/>
      <c r="D691" s="21" t="n"/>
      <c r="E691" s="21" t="n"/>
      <c r="F691" s="21" t="n"/>
      <c r="G691" s="21" t="n"/>
      <c r="H691" s="21" t="n"/>
      <c r="I691" s="22" t="n"/>
      <c r="J691" s="22" t="n"/>
      <c r="K691" s="23" t="n"/>
      <c r="L691" s="22" t="n"/>
      <c r="M691" s="22" t="n"/>
      <c r="N691" s="21" t="n"/>
      <c r="O691" s="23" t="n"/>
      <c r="P691" s="23" t="n"/>
      <c r="Q691" s="23" t="n"/>
      <c r="R691" s="23" t="n"/>
      <c r="S691" s="22" t="n"/>
      <c r="T691" s="23" t="n"/>
      <c r="U691" s="23" t="n"/>
      <c r="V691" s="24">
        <f>IF(J691&lt;&gt;"",J691,IF(I691&lt;&gt;"",I691,""))</f>
        <v/>
      </c>
      <c r="W691" s="25">
        <f>IF($E691="","",N(O691)+SUMIFS($AF691:$IN691,$AF$4:$IN$4,"SEW_ACT"))</f>
        <v/>
      </c>
      <c r="X691" s="25">
        <f>IF($E691="","",N(P691)+SUMIFS($AF691:$IN691,$AF$4:$IN$4,"WASH_ACT"))</f>
        <v/>
      </c>
      <c r="Y691" s="25">
        <f>IF($E691="","",W691-X691-N(T691)-N(U691))</f>
        <v/>
      </c>
      <c r="Z691" s="25">
        <f>IF($E691="","",IF(N(K691)-X691&lt;=0.02*N(K691),0,N(K691)-X691))</f>
        <v/>
      </c>
      <c r="AA691" s="24">
        <f>IF($E691="","",IF(S691&lt;&gt;"",S691,IF(N(O691)&gt;0,IF(L691&lt;&gt;"",L691,99999),IFERROR(1/(1/_xlfn.MINIFS($AF$3:$IN$3,$AF$4:$IN$4,"SEW_ACT",$AF691:$IN691,"&gt;0")),99999))))</f>
        <v/>
      </c>
      <c r="AB691" s="26">
        <f>IF(OR($E691="",Z691=0,V691=""),"",1+COUNTIFS(Z$8:Z$707,"&gt;0",V$8:V$707,"&lt;"&amp;V691)+COUNTIFS(Z$8:Z$707,"&gt;0",V$8:V$707,V691,AA$8:AA$707,"&lt;"&amp;AA691)+COUNTIFS(Z$8:Z$707,"&gt;0",V$8:V$707,V691,AA$8:AA$707,AA691,E$8:E$707,"&lt;"&amp;$E691))</f>
        <v/>
      </c>
      <c r="AC691" s="24">
        <f>IF(OR($E691="",Z691=0),"",IFERROR(TODAY()+ROUNDUP(Z691/(SUMIFS($AF691:$IN691,$AF$4:$IN$4,"WASH_ACT")/COUNTIFS($AF$4:$IN$4,"WASH_ACT",$AF691:$IN691,"&gt;0")),0),"no output yet"))</f>
        <v/>
      </c>
      <c r="AD691" s="26">
        <f>IF($E691="","",IFERROR(ROUND(MAX(0,SUMIFS($AF691:$IN691,$AF$4:$IN$4,"SEW_PLAN",$AF$3:$IN$3,"&lt;="&amp;TODAY())-SUMIFS($AF691:$IN691,$AF$4:$IN$4,"SEW_ACT",$AF$3:$IN$3,"&lt;="&amp;TODAY())+N(Q691))/(SUMIFS($AF691:$IN691,$AF$4:$IN$4,"SEW_PLAN")/COUNTIFS($AF$4:$IN$4,"SEW_PLAN",$AF691:$IN691,"&gt;0")),1),0))</f>
        <v/>
      </c>
      <c r="AE691" s="26">
        <f>IF($E691="","",IF(AND(Z691&gt;0,OR(AND(M691&lt;&gt;"",TODAY()&gt;M691),AND(V691&lt;&gt;"",V691-TODAY()&lt;=7))),"Yes","No"))</f>
        <v/>
      </c>
      <c r="AH691">
        <f>IF(OR(AF$3="",AF$3&gt;TODAY()),"",IF(AND(AF691="",AG691=""),"",N(AG691)-N(AF691)))</f>
        <v/>
      </c>
      <c r="AK691">
        <f>IF(OR(AF$3="",AF$3&gt;TODAY()),"",IF(AND(AI691="",AJ691=""),"",N(AJ691)-N(AI691)))</f>
        <v/>
      </c>
      <c r="AO691">
        <f>IF(OR(AM$3="",AM$3&gt;TODAY()),"",IF(AND(AM691="",AN691=""),"",N(AN691)-N(AM691)))</f>
        <v/>
      </c>
      <c r="AR691">
        <f>IF(OR(AM$3="",AM$3&gt;TODAY()),"",IF(AND(AP691="",AQ691=""),"",N(AQ691)-N(AP691)))</f>
        <v/>
      </c>
      <c r="AV691">
        <f>IF(OR(AT$3="",AT$3&gt;TODAY()),"",IF(AND(AT691="",AU691=""),"",N(AU691)-N(AT691)))</f>
        <v/>
      </c>
      <c r="AY691">
        <f>IF(OR(AT$3="",AT$3&gt;TODAY()),"",IF(AND(AW691="",AX691=""),"",N(AX691)-N(AW691)))</f>
        <v/>
      </c>
      <c r="BC691">
        <f>IF(OR(BA$3="",BA$3&gt;TODAY()),"",IF(AND(BA691="",BB691=""),"",N(BB691)-N(BA691)))</f>
        <v/>
      </c>
      <c r="BF691">
        <f>IF(OR(BA$3="",BA$3&gt;TODAY()),"",IF(AND(BD691="",BE691=""),"",N(BE691)-N(BD691)))</f>
        <v/>
      </c>
      <c r="BJ691">
        <f>IF(OR(BH$3="",BH$3&gt;TODAY()),"",IF(AND(BH691="",BI691=""),"",N(BI691)-N(BH691)))</f>
        <v/>
      </c>
      <c r="BM691">
        <f>IF(OR(BH$3="",BH$3&gt;TODAY()),"",IF(AND(BK691="",BL691=""),"",N(BL691)-N(BK691)))</f>
        <v/>
      </c>
      <c r="BQ691">
        <f>IF(OR(BO$3="",BO$3&gt;TODAY()),"",IF(AND(BO691="",BP691=""),"",N(BP691)-N(BO691)))</f>
        <v/>
      </c>
      <c r="BT691">
        <f>IF(OR(BO$3="",BO$3&gt;TODAY()),"",IF(AND(BR691="",BS691=""),"",N(BS691)-N(BR691)))</f>
        <v/>
      </c>
      <c r="BX691">
        <f>IF(OR(BV$3="",BV$3&gt;TODAY()),"",IF(AND(BV691="",BW691=""),"",N(BW691)-N(BV691)))</f>
        <v/>
      </c>
      <c r="CA691">
        <f>IF(OR(BV$3="",BV$3&gt;TODAY()),"",IF(AND(BY691="",BZ691=""),"",N(BZ691)-N(BY691)))</f>
        <v/>
      </c>
      <c r="CE691">
        <f>IF(OR(CC$3="",CC$3&gt;TODAY()),"",IF(AND(CC691="",CD691=""),"",N(CD691)-N(CC691)))</f>
        <v/>
      </c>
      <c r="CH691">
        <f>IF(OR(CC$3="",CC$3&gt;TODAY()),"",IF(AND(CF691="",CG691=""),"",N(CG691)-N(CF691)))</f>
        <v/>
      </c>
      <c r="CL691">
        <f>IF(OR(CJ$3="",CJ$3&gt;TODAY()),"",IF(AND(CJ691="",CK691=""),"",N(CK691)-N(CJ691)))</f>
        <v/>
      </c>
      <c r="CO691">
        <f>IF(OR(CJ$3="",CJ$3&gt;TODAY()),"",IF(AND(CM691="",CN691=""),"",N(CN691)-N(CM691)))</f>
        <v/>
      </c>
      <c r="CS691">
        <f>IF(OR(CQ$3="",CQ$3&gt;TODAY()),"",IF(AND(CQ691="",CR691=""),"",N(CR691)-N(CQ691)))</f>
        <v/>
      </c>
      <c r="CV691">
        <f>IF(OR(CQ$3="",CQ$3&gt;TODAY()),"",IF(AND(CT691="",CU691=""),"",N(CU691)-N(CT691)))</f>
        <v/>
      </c>
      <c r="CZ691">
        <f>IF(OR(CX$3="",CX$3&gt;TODAY()),"",IF(AND(CX691="",CY691=""),"",N(CY691)-N(CX691)))</f>
        <v/>
      </c>
      <c r="DC691">
        <f>IF(OR(CX$3="",CX$3&gt;TODAY()),"",IF(AND(DA691="",DB691=""),"",N(DB691)-N(DA691)))</f>
        <v/>
      </c>
      <c r="DG691">
        <f>IF(OR(DE$3="",DE$3&gt;TODAY()),"",IF(AND(DE691="",DF691=""),"",N(DF691)-N(DE691)))</f>
        <v/>
      </c>
      <c r="DJ691">
        <f>IF(OR(DE$3="",DE$3&gt;TODAY()),"",IF(AND(DH691="",DI691=""),"",N(DI691)-N(DH691)))</f>
        <v/>
      </c>
      <c r="DN691">
        <f>IF(OR(DL$3="",DL$3&gt;TODAY()),"",IF(AND(DL691="",DM691=""),"",N(DM691)-N(DL691)))</f>
        <v/>
      </c>
      <c r="DQ691">
        <f>IF(OR(DL$3="",DL$3&gt;TODAY()),"",IF(AND(DO691="",DP691=""),"",N(DP691)-N(DO691)))</f>
        <v/>
      </c>
      <c r="DU691">
        <f>IF(OR(DS$3="",DS$3&gt;TODAY()),"",IF(AND(DS691="",DT691=""),"",N(DT691)-N(DS691)))</f>
        <v/>
      </c>
      <c r="DX691">
        <f>IF(OR(DS$3="",DS$3&gt;TODAY()),"",IF(AND(DV691="",DW691=""),"",N(DW691)-N(DV691)))</f>
        <v/>
      </c>
      <c r="EB691">
        <f>IF(OR(DZ$3="",DZ$3&gt;TODAY()),"",IF(AND(DZ691="",EA691=""),"",N(EA691)-N(DZ691)))</f>
        <v/>
      </c>
      <c r="EE691">
        <f>IF(OR(DZ$3="",DZ$3&gt;TODAY()),"",IF(AND(EC691="",ED691=""),"",N(ED691)-N(EC691)))</f>
        <v/>
      </c>
      <c r="EI691">
        <f>IF(OR(EG$3="",EG$3&gt;TODAY()),"",IF(AND(EG691="",EH691=""),"",N(EH691)-N(EG691)))</f>
        <v/>
      </c>
      <c r="EL691">
        <f>IF(OR(EG$3="",EG$3&gt;TODAY()),"",IF(AND(EJ691="",EK691=""),"",N(EK691)-N(EJ691)))</f>
        <v/>
      </c>
      <c r="EP691">
        <f>IF(OR(EN$3="",EN$3&gt;TODAY()),"",IF(AND(EN691="",EO691=""),"",N(EO691)-N(EN691)))</f>
        <v/>
      </c>
      <c r="ES691">
        <f>IF(OR(EN$3="",EN$3&gt;TODAY()),"",IF(AND(EQ691="",ER691=""),"",N(ER691)-N(EQ691)))</f>
        <v/>
      </c>
      <c r="EW691">
        <f>IF(OR(EU$3="",EU$3&gt;TODAY()),"",IF(AND(EU691="",EV691=""),"",N(EV691)-N(EU691)))</f>
        <v/>
      </c>
      <c r="EZ691">
        <f>IF(OR(EU$3="",EU$3&gt;TODAY()),"",IF(AND(EX691="",EY691=""),"",N(EY691)-N(EX691)))</f>
        <v/>
      </c>
      <c r="FD691">
        <f>IF(OR(FB$3="",FB$3&gt;TODAY()),"",IF(AND(FB691="",FC691=""),"",N(FC691)-N(FB691)))</f>
        <v/>
      </c>
      <c r="FG691">
        <f>IF(OR(FB$3="",FB$3&gt;TODAY()),"",IF(AND(FE691="",FF691=""),"",N(FF691)-N(FE691)))</f>
        <v/>
      </c>
      <c r="FK691">
        <f>IF(OR(FI$3="",FI$3&gt;TODAY()),"",IF(AND(FI691="",FJ691=""),"",N(FJ691)-N(FI691)))</f>
        <v/>
      </c>
      <c r="FN691">
        <f>IF(OR(FI$3="",FI$3&gt;TODAY()),"",IF(AND(FL691="",FM691=""),"",N(FM691)-N(FL691)))</f>
        <v/>
      </c>
      <c r="FR691">
        <f>IF(OR(FP$3="",FP$3&gt;TODAY()),"",IF(AND(FP691="",FQ691=""),"",N(FQ691)-N(FP691)))</f>
        <v/>
      </c>
      <c r="FU691">
        <f>IF(OR(FP$3="",FP$3&gt;TODAY()),"",IF(AND(FS691="",FT691=""),"",N(FT691)-N(FS691)))</f>
        <v/>
      </c>
      <c r="FY691">
        <f>IF(OR(FW$3="",FW$3&gt;TODAY()),"",IF(AND(FW691="",FX691=""),"",N(FX691)-N(FW691)))</f>
        <v/>
      </c>
      <c r="GB691">
        <f>IF(OR(FW$3="",FW$3&gt;TODAY()),"",IF(AND(FZ691="",GA691=""),"",N(GA691)-N(FZ691)))</f>
        <v/>
      </c>
      <c r="GF691">
        <f>IF(OR(GD$3="",GD$3&gt;TODAY()),"",IF(AND(GD691="",GE691=""),"",N(GE691)-N(GD691)))</f>
        <v/>
      </c>
      <c r="GI691">
        <f>IF(OR(GD$3="",GD$3&gt;TODAY()),"",IF(AND(GG691="",GH691=""),"",N(GH691)-N(GG691)))</f>
        <v/>
      </c>
      <c r="GM691">
        <f>IF(OR(GK$3="",GK$3&gt;TODAY()),"",IF(AND(GK691="",GL691=""),"",N(GL691)-N(GK691)))</f>
        <v/>
      </c>
      <c r="GP691">
        <f>IF(OR(GK$3="",GK$3&gt;TODAY()),"",IF(AND(GN691="",GO691=""),"",N(GO691)-N(GN691)))</f>
        <v/>
      </c>
      <c r="GT691">
        <f>IF(OR(GR$3="",GR$3&gt;TODAY()),"",IF(AND(GR691="",GS691=""),"",N(GS691)-N(GR691)))</f>
        <v/>
      </c>
      <c r="GW691">
        <f>IF(OR(GR$3="",GR$3&gt;TODAY()),"",IF(AND(GU691="",GV691=""),"",N(GV691)-N(GU691)))</f>
        <v/>
      </c>
      <c r="HA691">
        <f>IF(OR(GY$3="",GY$3&gt;TODAY()),"",IF(AND(GY691="",GZ691=""),"",N(GZ691)-N(GY691)))</f>
        <v/>
      </c>
      <c r="HD691">
        <f>IF(OR(GY$3="",GY$3&gt;TODAY()),"",IF(AND(HB691="",HC691=""),"",N(HC691)-N(HB691)))</f>
        <v/>
      </c>
      <c r="HH691">
        <f>IF(OR(HF$3="",HF$3&gt;TODAY()),"",IF(AND(HF691="",HG691=""),"",N(HG691)-N(HF691)))</f>
        <v/>
      </c>
      <c r="HK691">
        <f>IF(OR(HF$3="",HF$3&gt;TODAY()),"",IF(AND(HI691="",HJ691=""),"",N(HJ691)-N(HI691)))</f>
        <v/>
      </c>
      <c r="HO691">
        <f>IF(OR(HM$3="",HM$3&gt;TODAY()),"",IF(AND(HM691="",HN691=""),"",N(HN691)-N(HM691)))</f>
        <v/>
      </c>
      <c r="HR691">
        <f>IF(OR(HM$3="",HM$3&gt;TODAY()),"",IF(AND(HP691="",HQ691=""),"",N(HQ691)-N(HP691)))</f>
        <v/>
      </c>
      <c r="HV691">
        <f>IF(OR(HT$3="",HT$3&gt;TODAY()),"",IF(AND(HT691="",HU691=""),"",N(HU691)-N(HT691)))</f>
        <v/>
      </c>
      <c r="HY691">
        <f>IF(OR(HT$3="",HT$3&gt;TODAY()),"",IF(AND(HW691="",HX691=""),"",N(HX691)-N(HW691)))</f>
        <v/>
      </c>
      <c r="IC691">
        <f>IF(OR(IA$3="",IA$3&gt;TODAY()),"",IF(AND(IA691="",IB691=""),"",N(IB691)-N(IA691)))</f>
        <v/>
      </c>
      <c r="IF691">
        <f>IF(OR(IA$3="",IA$3&gt;TODAY()),"",IF(AND(ID691="",IE691=""),"",N(IE691)-N(ID691)))</f>
        <v/>
      </c>
      <c r="IJ691">
        <f>IF(OR(IH$3="",IH$3&gt;TODAY()),"",IF(AND(IH691="",II691=""),"",N(II691)-N(IH691)))</f>
        <v/>
      </c>
      <c r="IM691">
        <f>IF(OR(IH$3="",IH$3&gt;TODAY()),"",IF(AND(IK691="",IL691=""),"",N(IL691)-N(IK691)))</f>
        <v/>
      </c>
    </row>
    <row r="692">
      <c r="A692" s="21" t="n"/>
      <c r="B692" s="21" t="n"/>
      <c r="C692" s="21" t="n"/>
      <c r="D692" s="21" t="n"/>
      <c r="E692" s="21" t="n"/>
      <c r="F692" s="21" t="n"/>
      <c r="G692" s="21" t="n"/>
      <c r="H692" s="21" t="n"/>
      <c r="I692" s="22" t="n"/>
      <c r="J692" s="22" t="n"/>
      <c r="K692" s="23" t="n"/>
      <c r="L692" s="22" t="n"/>
      <c r="M692" s="22" t="n"/>
      <c r="N692" s="21" t="n"/>
      <c r="O692" s="23" t="n"/>
      <c r="P692" s="23" t="n"/>
      <c r="Q692" s="23" t="n"/>
      <c r="R692" s="23" t="n"/>
      <c r="S692" s="22" t="n"/>
      <c r="T692" s="23" t="n"/>
      <c r="U692" s="23" t="n"/>
      <c r="V692" s="24">
        <f>IF(J692&lt;&gt;"",J692,IF(I692&lt;&gt;"",I692,""))</f>
        <v/>
      </c>
      <c r="W692" s="25">
        <f>IF($E692="","",N(O692)+SUMIFS($AF692:$IN692,$AF$4:$IN$4,"SEW_ACT"))</f>
        <v/>
      </c>
      <c r="X692" s="25">
        <f>IF($E692="","",N(P692)+SUMIFS($AF692:$IN692,$AF$4:$IN$4,"WASH_ACT"))</f>
        <v/>
      </c>
      <c r="Y692" s="25">
        <f>IF($E692="","",W692-X692-N(T692)-N(U692))</f>
        <v/>
      </c>
      <c r="Z692" s="25">
        <f>IF($E692="","",IF(N(K692)-X692&lt;=0.02*N(K692),0,N(K692)-X692))</f>
        <v/>
      </c>
      <c r="AA692" s="24">
        <f>IF($E692="","",IF(S692&lt;&gt;"",S692,IF(N(O692)&gt;0,IF(L692&lt;&gt;"",L692,99999),IFERROR(1/(1/_xlfn.MINIFS($AF$3:$IN$3,$AF$4:$IN$4,"SEW_ACT",$AF692:$IN692,"&gt;0")),99999))))</f>
        <v/>
      </c>
      <c r="AB692" s="26">
        <f>IF(OR($E692="",Z692=0,V692=""),"",1+COUNTIFS(Z$8:Z$707,"&gt;0",V$8:V$707,"&lt;"&amp;V692)+COUNTIFS(Z$8:Z$707,"&gt;0",V$8:V$707,V692,AA$8:AA$707,"&lt;"&amp;AA692)+COUNTIFS(Z$8:Z$707,"&gt;0",V$8:V$707,V692,AA$8:AA$707,AA692,E$8:E$707,"&lt;"&amp;$E692))</f>
        <v/>
      </c>
      <c r="AC692" s="24">
        <f>IF(OR($E692="",Z692=0),"",IFERROR(TODAY()+ROUNDUP(Z692/(SUMIFS($AF692:$IN692,$AF$4:$IN$4,"WASH_ACT")/COUNTIFS($AF$4:$IN$4,"WASH_ACT",$AF692:$IN692,"&gt;0")),0),"no output yet"))</f>
        <v/>
      </c>
      <c r="AD692" s="26">
        <f>IF($E692="","",IFERROR(ROUND(MAX(0,SUMIFS($AF692:$IN692,$AF$4:$IN$4,"SEW_PLAN",$AF$3:$IN$3,"&lt;="&amp;TODAY())-SUMIFS($AF692:$IN692,$AF$4:$IN$4,"SEW_ACT",$AF$3:$IN$3,"&lt;="&amp;TODAY())+N(Q692))/(SUMIFS($AF692:$IN692,$AF$4:$IN$4,"SEW_PLAN")/COUNTIFS($AF$4:$IN$4,"SEW_PLAN",$AF692:$IN692,"&gt;0")),1),0))</f>
        <v/>
      </c>
      <c r="AE692" s="26">
        <f>IF($E692="","",IF(AND(Z692&gt;0,OR(AND(M692&lt;&gt;"",TODAY()&gt;M692),AND(V692&lt;&gt;"",V692-TODAY()&lt;=7))),"Yes","No"))</f>
        <v/>
      </c>
      <c r="AH692">
        <f>IF(OR(AF$3="",AF$3&gt;TODAY()),"",IF(AND(AF692="",AG692=""),"",N(AG692)-N(AF692)))</f>
        <v/>
      </c>
      <c r="AK692">
        <f>IF(OR(AF$3="",AF$3&gt;TODAY()),"",IF(AND(AI692="",AJ692=""),"",N(AJ692)-N(AI692)))</f>
        <v/>
      </c>
      <c r="AO692">
        <f>IF(OR(AM$3="",AM$3&gt;TODAY()),"",IF(AND(AM692="",AN692=""),"",N(AN692)-N(AM692)))</f>
        <v/>
      </c>
      <c r="AR692">
        <f>IF(OR(AM$3="",AM$3&gt;TODAY()),"",IF(AND(AP692="",AQ692=""),"",N(AQ692)-N(AP692)))</f>
        <v/>
      </c>
      <c r="AV692">
        <f>IF(OR(AT$3="",AT$3&gt;TODAY()),"",IF(AND(AT692="",AU692=""),"",N(AU692)-N(AT692)))</f>
        <v/>
      </c>
      <c r="AY692">
        <f>IF(OR(AT$3="",AT$3&gt;TODAY()),"",IF(AND(AW692="",AX692=""),"",N(AX692)-N(AW692)))</f>
        <v/>
      </c>
      <c r="BC692">
        <f>IF(OR(BA$3="",BA$3&gt;TODAY()),"",IF(AND(BA692="",BB692=""),"",N(BB692)-N(BA692)))</f>
        <v/>
      </c>
      <c r="BF692">
        <f>IF(OR(BA$3="",BA$3&gt;TODAY()),"",IF(AND(BD692="",BE692=""),"",N(BE692)-N(BD692)))</f>
        <v/>
      </c>
      <c r="BJ692">
        <f>IF(OR(BH$3="",BH$3&gt;TODAY()),"",IF(AND(BH692="",BI692=""),"",N(BI692)-N(BH692)))</f>
        <v/>
      </c>
      <c r="BM692">
        <f>IF(OR(BH$3="",BH$3&gt;TODAY()),"",IF(AND(BK692="",BL692=""),"",N(BL692)-N(BK692)))</f>
        <v/>
      </c>
      <c r="BQ692">
        <f>IF(OR(BO$3="",BO$3&gt;TODAY()),"",IF(AND(BO692="",BP692=""),"",N(BP692)-N(BO692)))</f>
        <v/>
      </c>
      <c r="BT692">
        <f>IF(OR(BO$3="",BO$3&gt;TODAY()),"",IF(AND(BR692="",BS692=""),"",N(BS692)-N(BR692)))</f>
        <v/>
      </c>
      <c r="BX692">
        <f>IF(OR(BV$3="",BV$3&gt;TODAY()),"",IF(AND(BV692="",BW692=""),"",N(BW692)-N(BV692)))</f>
        <v/>
      </c>
      <c r="CA692">
        <f>IF(OR(BV$3="",BV$3&gt;TODAY()),"",IF(AND(BY692="",BZ692=""),"",N(BZ692)-N(BY692)))</f>
        <v/>
      </c>
      <c r="CE692">
        <f>IF(OR(CC$3="",CC$3&gt;TODAY()),"",IF(AND(CC692="",CD692=""),"",N(CD692)-N(CC692)))</f>
        <v/>
      </c>
      <c r="CH692">
        <f>IF(OR(CC$3="",CC$3&gt;TODAY()),"",IF(AND(CF692="",CG692=""),"",N(CG692)-N(CF692)))</f>
        <v/>
      </c>
      <c r="CL692">
        <f>IF(OR(CJ$3="",CJ$3&gt;TODAY()),"",IF(AND(CJ692="",CK692=""),"",N(CK692)-N(CJ692)))</f>
        <v/>
      </c>
      <c r="CO692">
        <f>IF(OR(CJ$3="",CJ$3&gt;TODAY()),"",IF(AND(CM692="",CN692=""),"",N(CN692)-N(CM692)))</f>
        <v/>
      </c>
      <c r="CS692">
        <f>IF(OR(CQ$3="",CQ$3&gt;TODAY()),"",IF(AND(CQ692="",CR692=""),"",N(CR692)-N(CQ692)))</f>
        <v/>
      </c>
      <c r="CV692">
        <f>IF(OR(CQ$3="",CQ$3&gt;TODAY()),"",IF(AND(CT692="",CU692=""),"",N(CU692)-N(CT692)))</f>
        <v/>
      </c>
      <c r="CZ692">
        <f>IF(OR(CX$3="",CX$3&gt;TODAY()),"",IF(AND(CX692="",CY692=""),"",N(CY692)-N(CX692)))</f>
        <v/>
      </c>
      <c r="DC692">
        <f>IF(OR(CX$3="",CX$3&gt;TODAY()),"",IF(AND(DA692="",DB692=""),"",N(DB692)-N(DA692)))</f>
        <v/>
      </c>
      <c r="DG692">
        <f>IF(OR(DE$3="",DE$3&gt;TODAY()),"",IF(AND(DE692="",DF692=""),"",N(DF692)-N(DE692)))</f>
        <v/>
      </c>
      <c r="DJ692">
        <f>IF(OR(DE$3="",DE$3&gt;TODAY()),"",IF(AND(DH692="",DI692=""),"",N(DI692)-N(DH692)))</f>
        <v/>
      </c>
      <c r="DN692">
        <f>IF(OR(DL$3="",DL$3&gt;TODAY()),"",IF(AND(DL692="",DM692=""),"",N(DM692)-N(DL692)))</f>
        <v/>
      </c>
      <c r="DQ692">
        <f>IF(OR(DL$3="",DL$3&gt;TODAY()),"",IF(AND(DO692="",DP692=""),"",N(DP692)-N(DO692)))</f>
        <v/>
      </c>
      <c r="DU692">
        <f>IF(OR(DS$3="",DS$3&gt;TODAY()),"",IF(AND(DS692="",DT692=""),"",N(DT692)-N(DS692)))</f>
        <v/>
      </c>
      <c r="DX692">
        <f>IF(OR(DS$3="",DS$3&gt;TODAY()),"",IF(AND(DV692="",DW692=""),"",N(DW692)-N(DV692)))</f>
        <v/>
      </c>
      <c r="EB692">
        <f>IF(OR(DZ$3="",DZ$3&gt;TODAY()),"",IF(AND(DZ692="",EA692=""),"",N(EA692)-N(DZ692)))</f>
        <v/>
      </c>
      <c r="EE692">
        <f>IF(OR(DZ$3="",DZ$3&gt;TODAY()),"",IF(AND(EC692="",ED692=""),"",N(ED692)-N(EC692)))</f>
        <v/>
      </c>
      <c r="EI692">
        <f>IF(OR(EG$3="",EG$3&gt;TODAY()),"",IF(AND(EG692="",EH692=""),"",N(EH692)-N(EG692)))</f>
        <v/>
      </c>
      <c r="EL692">
        <f>IF(OR(EG$3="",EG$3&gt;TODAY()),"",IF(AND(EJ692="",EK692=""),"",N(EK692)-N(EJ692)))</f>
        <v/>
      </c>
      <c r="EP692">
        <f>IF(OR(EN$3="",EN$3&gt;TODAY()),"",IF(AND(EN692="",EO692=""),"",N(EO692)-N(EN692)))</f>
        <v/>
      </c>
      <c r="ES692">
        <f>IF(OR(EN$3="",EN$3&gt;TODAY()),"",IF(AND(EQ692="",ER692=""),"",N(ER692)-N(EQ692)))</f>
        <v/>
      </c>
      <c r="EW692">
        <f>IF(OR(EU$3="",EU$3&gt;TODAY()),"",IF(AND(EU692="",EV692=""),"",N(EV692)-N(EU692)))</f>
        <v/>
      </c>
      <c r="EZ692">
        <f>IF(OR(EU$3="",EU$3&gt;TODAY()),"",IF(AND(EX692="",EY692=""),"",N(EY692)-N(EX692)))</f>
        <v/>
      </c>
      <c r="FD692">
        <f>IF(OR(FB$3="",FB$3&gt;TODAY()),"",IF(AND(FB692="",FC692=""),"",N(FC692)-N(FB692)))</f>
        <v/>
      </c>
      <c r="FG692">
        <f>IF(OR(FB$3="",FB$3&gt;TODAY()),"",IF(AND(FE692="",FF692=""),"",N(FF692)-N(FE692)))</f>
        <v/>
      </c>
      <c r="FK692">
        <f>IF(OR(FI$3="",FI$3&gt;TODAY()),"",IF(AND(FI692="",FJ692=""),"",N(FJ692)-N(FI692)))</f>
        <v/>
      </c>
      <c r="FN692">
        <f>IF(OR(FI$3="",FI$3&gt;TODAY()),"",IF(AND(FL692="",FM692=""),"",N(FM692)-N(FL692)))</f>
        <v/>
      </c>
      <c r="FR692">
        <f>IF(OR(FP$3="",FP$3&gt;TODAY()),"",IF(AND(FP692="",FQ692=""),"",N(FQ692)-N(FP692)))</f>
        <v/>
      </c>
      <c r="FU692">
        <f>IF(OR(FP$3="",FP$3&gt;TODAY()),"",IF(AND(FS692="",FT692=""),"",N(FT692)-N(FS692)))</f>
        <v/>
      </c>
      <c r="FY692">
        <f>IF(OR(FW$3="",FW$3&gt;TODAY()),"",IF(AND(FW692="",FX692=""),"",N(FX692)-N(FW692)))</f>
        <v/>
      </c>
      <c r="GB692">
        <f>IF(OR(FW$3="",FW$3&gt;TODAY()),"",IF(AND(FZ692="",GA692=""),"",N(GA692)-N(FZ692)))</f>
        <v/>
      </c>
      <c r="GF692">
        <f>IF(OR(GD$3="",GD$3&gt;TODAY()),"",IF(AND(GD692="",GE692=""),"",N(GE692)-N(GD692)))</f>
        <v/>
      </c>
      <c r="GI692">
        <f>IF(OR(GD$3="",GD$3&gt;TODAY()),"",IF(AND(GG692="",GH692=""),"",N(GH692)-N(GG692)))</f>
        <v/>
      </c>
      <c r="GM692">
        <f>IF(OR(GK$3="",GK$3&gt;TODAY()),"",IF(AND(GK692="",GL692=""),"",N(GL692)-N(GK692)))</f>
        <v/>
      </c>
      <c r="GP692">
        <f>IF(OR(GK$3="",GK$3&gt;TODAY()),"",IF(AND(GN692="",GO692=""),"",N(GO692)-N(GN692)))</f>
        <v/>
      </c>
      <c r="GT692">
        <f>IF(OR(GR$3="",GR$3&gt;TODAY()),"",IF(AND(GR692="",GS692=""),"",N(GS692)-N(GR692)))</f>
        <v/>
      </c>
      <c r="GW692">
        <f>IF(OR(GR$3="",GR$3&gt;TODAY()),"",IF(AND(GU692="",GV692=""),"",N(GV692)-N(GU692)))</f>
        <v/>
      </c>
      <c r="HA692">
        <f>IF(OR(GY$3="",GY$3&gt;TODAY()),"",IF(AND(GY692="",GZ692=""),"",N(GZ692)-N(GY692)))</f>
        <v/>
      </c>
      <c r="HD692">
        <f>IF(OR(GY$3="",GY$3&gt;TODAY()),"",IF(AND(HB692="",HC692=""),"",N(HC692)-N(HB692)))</f>
        <v/>
      </c>
      <c r="HH692">
        <f>IF(OR(HF$3="",HF$3&gt;TODAY()),"",IF(AND(HF692="",HG692=""),"",N(HG692)-N(HF692)))</f>
        <v/>
      </c>
      <c r="HK692">
        <f>IF(OR(HF$3="",HF$3&gt;TODAY()),"",IF(AND(HI692="",HJ692=""),"",N(HJ692)-N(HI692)))</f>
        <v/>
      </c>
      <c r="HO692">
        <f>IF(OR(HM$3="",HM$3&gt;TODAY()),"",IF(AND(HM692="",HN692=""),"",N(HN692)-N(HM692)))</f>
        <v/>
      </c>
      <c r="HR692">
        <f>IF(OR(HM$3="",HM$3&gt;TODAY()),"",IF(AND(HP692="",HQ692=""),"",N(HQ692)-N(HP692)))</f>
        <v/>
      </c>
      <c r="HV692">
        <f>IF(OR(HT$3="",HT$3&gt;TODAY()),"",IF(AND(HT692="",HU692=""),"",N(HU692)-N(HT692)))</f>
        <v/>
      </c>
      <c r="HY692">
        <f>IF(OR(HT$3="",HT$3&gt;TODAY()),"",IF(AND(HW692="",HX692=""),"",N(HX692)-N(HW692)))</f>
        <v/>
      </c>
      <c r="IC692">
        <f>IF(OR(IA$3="",IA$3&gt;TODAY()),"",IF(AND(IA692="",IB692=""),"",N(IB692)-N(IA692)))</f>
        <v/>
      </c>
      <c r="IF692">
        <f>IF(OR(IA$3="",IA$3&gt;TODAY()),"",IF(AND(ID692="",IE692=""),"",N(IE692)-N(ID692)))</f>
        <v/>
      </c>
      <c r="IJ692">
        <f>IF(OR(IH$3="",IH$3&gt;TODAY()),"",IF(AND(IH692="",II692=""),"",N(II692)-N(IH692)))</f>
        <v/>
      </c>
      <c r="IM692">
        <f>IF(OR(IH$3="",IH$3&gt;TODAY()),"",IF(AND(IK692="",IL692=""),"",N(IL692)-N(IK692)))</f>
        <v/>
      </c>
    </row>
    <row r="693">
      <c r="A693" s="21" t="n"/>
      <c r="B693" s="21" t="n"/>
      <c r="C693" s="21" t="n"/>
      <c r="D693" s="21" t="n"/>
      <c r="E693" s="21" t="n"/>
      <c r="F693" s="21" t="n"/>
      <c r="G693" s="21" t="n"/>
      <c r="H693" s="21" t="n"/>
      <c r="I693" s="22" t="n"/>
      <c r="J693" s="22" t="n"/>
      <c r="K693" s="23" t="n"/>
      <c r="L693" s="22" t="n"/>
      <c r="M693" s="22" t="n"/>
      <c r="N693" s="21" t="n"/>
      <c r="O693" s="23" t="n"/>
      <c r="P693" s="23" t="n"/>
      <c r="Q693" s="23" t="n"/>
      <c r="R693" s="23" t="n"/>
      <c r="S693" s="22" t="n"/>
      <c r="T693" s="23" t="n"/>
      <c r="U693" s="23" t="n"/>
      <c r="V693" s="24">
        <f>IF(J693&lt;&gt;"",J693,IF(I693&lt;&gt;"",I693,""))</f>
        <v/>
      </c>
      <c r="W693" s="25">
        <f>IF($E693="","",N(O693)+SUMIFS($AF693:$IN693,$AF$4:$IN$4,"SEW_ACT"))</f>
        <v/>
      </c>
      <c r="X693" s="25">
        <f>IF($E693="","",N(P693)+SUMIFS($AF693:$IN693,$AF$4:$IN$4,"WASH_ACT"))</f>
        <v/>
      </c>
      <c r="Y693" s="25">
        <f>IF($E693="","",W693-X693-N(T693)-N(U693))</f>
        <v/>
      </c>
      <c r="Z693" s="25">
        <f>IF($E693="","",IF(N(K693)-X693&lt;=0.02*N(K693),0,N(K693)-X693))</f>
        <v/>
      </c>
      <c r="AA693" s="24">
        <f>IF($E693="","",IF(S693&lt;&gt;"",S693,IF(N(O693)&gt;0,IF(L693&lt;&gt;"",L693,99999),IFERROR(1/(1/_xlfn.MINIFS($AF$3:$IN$3,$AF$4:$IN$4,"SEW_ACT",$AF693:$IN693,"&gt;0")),99999))))</f>
        <v/>
      </c>
      <c r="AB693" s="26">
        <f>IF(OR($E693="",Z693=0,V693=""),"",1+COUNTIFS(Z$8:Z$707,"&gt;0",V$8:V$707,"&lt;"&amp;V693)+COUNTIFS(Z$8:Z$707,"&gt;0",V$8:V$707,V693,AA$8:AA$707,"&lt;"&amp;AA693)+COUNTIFS(Z$8:Z$707,"&gt;0",V$8:V$707,V693,AA$8:AA$707,AA693,E$8:E$707,"&lt;"&amp;$E693))</f>
        <v/>
      </c>
      <c r="AC693" s="24">
        <f>IF(OR($E693="",Z693=0),"",IFERROR(TODAY()+ROUNDUP(Z693/(SUMIFS($AF693:$IN693,$AF$4:$IN$4,"WASH_ACT")/COUNTIFS($AF$4:$IN$4,"WASH_ACT",$AF693:$IN693,"&gt;0")),0),"no output yet"))</f>
        <v/>
      </c>
      <c r="AD693" s="26">
        <f>IF($E693="","",IFERROR(ROUND(MAX(0,SUMIFS($AF693:$IN693,$AF$4:$IN$4,"SEW_PLAN",$AF$3:$IN$3,"&lt;="&amp;TODAY())-SUMIFS($AF693:$IN693,$AF$4:$IN$4,"SEW_ACT",$AF$3:$IN$3,"&lt;="&amp;TODAY())+N(Q693))/(SUMIFS($AF693:$IN693,$AF$4:$IN$4,"SEW_PLAN")/COUNTIFS($AF$4:$IN$4,"SEW_PLAN",$AF693:$IN693,"&gt;0")),1),0))</f>
        <v/>
      </c>
      <c r="AE693" s="26">
        <f>IF($E693="","",IF(AND(Z693&gt;0,OR(AND(M693&lt;&gt;"",TODAY()&gt;M693),AND(V693&lt;&gt;"",V693-TODAY()&lt;=7))),"Yes","No"))</f>
        <v/>
      </c>
      <c r="AH693">
        <f>IF(OR(AF$3="",AF$3&gt;TODAY()),"",IF(AND(AF693="",AG693=""),"",N(AG693)-N(AF693)))</f>
        <v/>
      </c>
      <c r="AK693">
        <f>IF(OR(AF$3="",AF$3&gt;TODAY()),"",IF(AND(AI693="",AJ693=""),"",N(AJ693)-N(AI693)))</f>
        <v/>
      </c>
      <c r="AO693">
        <f>IF(OR(AM$3="",AM$3&gt;TODAY()),"",IF(AND(AM693="",AN693=""),"",N(AN693)-N(AM693)))</f>
        <v/>
      </c>
      <c r="AR693">
        <f>IF(OR(AM$3="",AM$3&gt;TODAY()),"",IF(AND(AP693="",AQ693=""),"",N(AQ693)-N(AP693)))</f>
        <v/>
      </c>
      <c r="AV693">
        <f>IF(OR(AT$3="",AT$3&gt;TODAY()),"",IF(AND(AT693="",AU693=""),"",N(AU693)-N(AT693)))</f>
        <v/>
      </c>
      <c r="AY693">
        <f>IF(OR(AT$3="",AT$3&gt;TODAY()),"",IF(AND(AW693="",AX693=""),"",N(AX693)-N(AW693)))</f>
        <v/>
      </c>
      <c r="BC693">
        <f>IF(OR(BA$3="",BA$3&gt;TODAY()),"",IF(AND(BA693="",BB693=""),"",N(BB693)-N(BA693)))</f>
        <v/>
      </c>
      <c r="BF693">
        <f>IF(OR(BA$3="",BA$3&gt;TODAY()),"",IF(AND(BD693="",BE693=""),"",N(BE693)-N(BD693)))</f>
        <v/>
      </c>
      <c r="BJ693">
        <f>IF(OR(BH$3="",BH$3&gt;TODAY()),"",IF(AND(BH693="",BI693=""),"",N(BI693)-N(BH693)))</f>
        <v/>
      </c>
      <c r="BM693">
        <f>IF(OR(BH$3="",BH$3&gt;TODAY()),"",IF(AND(BK693="",BL693=""),"",N(BL693)-N(BK693)))</f>
        <v/>
      </c>
      <c r="BQ693">
        <f>IF(OR(BO$3="",BO$3&gt;TODAY()),"",IF(AND(BO693="",BP693=""),"",N(BP693)-N(BO693)))</f>
        <v/>
      </c>
      <c r="BT693">
        <f>IF(OR(BO$3="",BO$3&gt;TODAY()),"",IF(AND(BR693="",BS693=""),"",N(BS693)-N(BR693)))</f>
        <v/>
      </c>
      <c r="BX693">
        <f>IF(OR(BV$3="",BV$3&gt;TODAY()),"",IF(AND(BV693="",BW693=""),"",N(BW693)-N(BV693)))</f>
        <v/>
      </c>
      <c r="CA693">
        <f>IF(OR(BV$3="",BV$3&gt;TODAY()),"",IF(AND(BY693="",BZ693=""),"",N(BZ693)-N(BY693)))</f>
        <v/>
      </c>
      <c r="CE693">
        <f>IF(OR(CC$3="",CC$3&gt;TODAY()),"",IF(AND(CC693="",CD693=""),"",N(CD693)-N(CC693)))</f>
        <v/>
      </c>
      <c r="CH693">
        <f>IF(OR(CC$3="",CC$3&gt;TODAY()),"",IF(AND(CF693="",CG693=""),"",N(CG693)-N(CF693)))</f>
        <v/>
      </c>
      <c r="CL693">
        <f>IF(OR(CJ$3="",CJ$3&gt;TODAY()),"",IF(AND(CJ693="",CK693=""),"",N(CK693)-N(CJ693)))</f>
        <v/>
      </c>
      <c r="CO693">
        <f>IF(OR(CJ$3="",CJ$3&gt;TODAY()),"",IF(AND(CM693="",CN693=""),"",N(CN693)-N(CM693)))</f>
        <v/>
      </c>
      <c r="CS693">
        <f>IF(OR(CQ$3="",CQ$3&gt;TODAY()),"",IF(AND(CQ693="",CR693=""),"",N(CR693)-N(CQ693)))</f>
        <v/>
      </c>
      <c r="CV693">
        <f>IF(OR(CQ$3="",CQ$3&gt;TODAY()),"",IF(AND(CT693="",CU693=""),"",N(CU693)-N(CT693)))</f>
        <v/>
      </c>
      <c r="CZ693">
        <f>IF(OR(CX$3="",CX$3&gt;TODAY()),"",IF(AND(CX693="",CY693=""),"",N(CY693)-N(CX693)))</f>
        <v/>
      </c>
      <c r="DC693">
        <f>IF(OR(CX$3="",CX$3&gt;TODAY()),"",IF(AND(DA693="",DB693=""),"",N(DB693)-N(DA693)))</f>
        <v/>
      </c>
      <c r="DG693">
        <f>IF(OR(DE$3="",DE$3&gt;TODAY()),"",IF(AND(DE693="",DF693=""),"",N(DF693)-N(DE693)))</f>
        <v/>
      </c>
      <c r="DJ693">
        <f>IF(OR(DE$3="",DE$3&gt;TODAY()),"",IF(AND(DH693="",DI693=""),"",N(DI693)-N(DH693)))</f>
        <v/>
      </c>
      <c r="DN693">
        <f>IF(OR(DL$3="",DL$3&gt;TODAY()),"",IF(AND(DL693="",DM693=""),"",N(DM693)-N(DL693)))</f>
        <v/>
      </c>
      <c r="DQ693">
        <f>IF(OR(DL$3="",DL$3&gt;TODAY()),"",IF(AND(DO693="",DP693=""),"",N(DP693)-N(DO693)))</f>
        <v/>
      </c>
      <c r="DU693">
        <f>IF(OR(DS$3="",DS$3&gt;TODAY()),"",IF(AND(DS693="",DT693=""),"",N(DT693)-N(DS693)))</f>
        <v/>
      </c>
      <c r="DX693">
        <f>IF(OR(DS$3="",DS$3&gt;TODAY()),"",IF(AND(DV693="",DW693=""),"",N(DW693)-N(DV693)))</f>
        <v/>
      </c>
      <c r="EB693">
        <f>IF(OR(DZ$3="",DZ$3&gt;TODAY()),"",IF(AND(DZ693="",EA693=""),"",N(EA693)-N(DZ693)))</f>
        <v/>
      </c>
      <c r="EE693">
        <f>IF(OR(DZ$3="",DZ$3&gt;TODAY()),"",IF(AND(EC693="",ED693=""),"",N(ED693)-N(EC693)))</f>
        <v/>
      </c>
      <c r="EI693">
        <f>IF(OR(EG$3="",EG$3&gt;TODAY()),"",IF(AND(EG693="",EH693=""),"",N(EH693)-N(EG693)))</f>
        <v/>
      </c>
      <c r="EL693">
        <f>IF(OR(EG$3="",EG$3&gt;TODAY()),"",IF(AND(EJ693="",EK693=""),"",N(EK693)-N(EJ693)))</f>
        <v/>
      </c>
      <c r="EP693">
        <f>IF(OR(EN$3="",EN$3&gt;TODAY()),"",IF(AND(EN693="",EO693=""),"",N(EO693)-N(EN693)))</f>
        <v/>
      </c>
      <c r="ES693">
        <f>IF(OR(EN$3="",EN$3&gt;TODAY()),"",IF(AND(EQ693="",ER693=""),"",N(ER693)-N(EQ693)))</f>
        <v/>
      </c>
      <c r="EW693">
        <f>IF(OR(EU$3="",EU$3&gt;TODAY()),"",IF(AND(EU693="",EV693=""),"",N(EV693)-N(EU693)))</f>
        <v/>
      </c>
      <c r="EZ693">
        <f>IF(OR(EU$3="",EU$3&gt;TODAY()),"",IF(AND(EX693="",EY693=""),"",N(EY693)-N(EX693)))</f>
        <v/>
      </c>
      <c r="FD693">
        <f>IF(OR(FB$3="",FB$3&gt;TODAY()),"",IF(AND(FB693="",FC693=""),"",N(FC693)-N(FB693)))</f>
        <v/>
      </c>
      <c r="FG693">
        <f>IF(OR(FB$3="",FB$3&gt;TODAY()),"",IF(AND(FE693="",FF693=""),"",N(FF693)-N(FE693)))</f>
        <v/>
      </c>
      <c r="FK693">
        <f>IF(OR(FI$3="",FI$3&gt;TODAY()),"",IF(AND(FI693="",FJ693=""),"",N(FJ693)-N(FI693)))</f>
        <v/>
      </c>
      <c r="FN693">
        <f>IF(OR(FI$3="",FI$3&gt;TODAY()),"",IF(AND(FL693="",FM693=""),"",N(FM693)-N(FL693)))</f>
        <v/>
      </c>
      <c r="FR693">
        <f>IF(OR(FP$3="",FP$3&gt;TODAY()),"",IF(AND(FP693="",FQ693=""),"",N(FQ693)-N(FP693)))</f>
        <v/>
      </c>
      <c r="FU693">
        <f>IF(OR(FP$3="",FP$3&gt;TODAY()),"",IF(AND(FS693="",FT693=""),"",N(FT693)-N(FS693)))</f>
        <v/>
      </c>
      <c r="FY693">
        <f>IF(OR(FW$3="",FW$3&gt;TODAY()),"",IF(AND(FW693="",FX693=""),"",N(FX693)-N(FW693)))</f>
        <v/>
      </c>
      <c r="GB693">
        <f>IF(OR(FW$3="",FW$3&gt;TODAY()),"",IF(AND(FZ693="",GA693=""),"",N(GA693)-N(FZ693)))</f>
        <v/>
      </c>
      <c r="GF693">
        <f>IF(OR(GD$3="",GD$3&gt;TODAY()),"",IF(AND(GD693="",GE693=""),"",N(GE693)-N(GD693)))</f>
        <v/>
      </c>
      <c r="GI693">
        <f>IF(OR(GD$3="",GD$3&gt;TODAY()),"",IF(AND(GG693="",GH693=""),"",N(GH693)-N(GG693)))</f>
        <v/>
      </c>
      <c r="GM693">
        <f>IF(OR(GK$3="",GK$3&gt;TODAY()),"",IF(AND(GK693="",GL693=""),"",N(GL693)-N(GK693)))</f>
        <v/>
      </c>
      <c r="GP693">
        <f>IF(OR(GK$3="",GK$3&gt;TODAY()),"",IF(AND(GN693="",GO693=""),"",N(GO693)-N(GN693)))</f>
        <v/>
      </c>
      <c r="GT693">
        <f>IF(OR(GR$3="",GR$3&gt;TODAY()),"",IF(AND(GR693="",GS693=""),"",N(GS693)-N(GR693)))</f>
        <v/>
      </c>
      <c r="GW693">
        <f>IF(OR(GR$3="",GR$3&gt;TODAY()),"",IF(AND(GU693="",GV693=""),"",N(GV693)-N(GU693)))</f>
        <v/>
      </c>
      <c r="HA693">
        <f>IF(OR(GY$3="",GY$3&gt;TODAY()),"",IF(AND(GY693="",GZ693=""),"",N(GZ693)-N(GY693)))</f>
        <v/>
      </c>
      <c r="HD693">
        <f>IF(OR(GY$3="",GY$3&gt;TODAY()),"",IF(AND(HB693="",HC693=""),"",N(HC693)-N(HB693)))</f>
        <v/>
      </c>
      <c r="HH693">
        <f>IF(OR(HF$3="",HF$3&gt;TODAY()),"",IF(AND(HF693="",HG693=""),"",N(HG693)-N(HF693)))</f>
        <v/>
      </c>
      <c r="HK693">
        <f>IF(OR(HF$3="",HF$3&gt;TODAY()),"",IF(AND(HI693="",HJ693=""),"",N(HJ693)-N(HI693)))</f>
        <v/>
      </c>
      <c r="HO693">
        <f>IF(OR(HM$3="",HM$3&gt;TODAY()),"",IF(AND(HM693="",HN693=""),"",N(HN693)-N(HM693)))</f>
        <v/>
      </c>
      <c r="HR693">
        <f>IF(OR(HM$3="",HM$3&gt;TODAY()),"",IF(AND(HP693="",HQ693=""),"",N(HQ693)-N(HP693)))</f>
        <v/>
      </c>
      <c r="HV693">
        <f>IF(OR(HT$3="",HT$3&gt;TODAY()),"",IF(AND(HT693="",HU693=""),"",N(HU693)-N(HT693)))</f>
        <v/>
      </c>
      <c r="HY693">
        <f>IF(OR(HT$3="",HT$3&gt;TODAY()),"",IF(AND(HW693="",HX693=""),"",N(HX693)-N(HW693)))</f>
        <v/>
      </c>
      <c r="IC693">
        <f>IF(OR(IA$3="",IA$3&gt;TODAY()),"",IF(AND(IA693="",IB693=""),"",N(IB693)-N(IA693)))</f>
        <v/>
      </c>
      <c r="IF693">
        <f>IF(OR(IA$3="",IA$3&gt;TODAY()),"",IF(AND(ID693="",IE693=""),"",N(IE693)-N(ID693)))</f>
        <v/>
      </c>
      <c r="IJ693">
        <f>IF(OR(IH$3="",IH$3&gt;TODAY()),"",IF(AND(IH693="",II693=""),"",N(II693)-N(IH693)))</f>
        <v/>
      </c>
      <c r="IM693">
        <f>IF(OR(IH$3="",IH$3&gt;TODAY()),"",IF(AND(IK693="",IL693=""),"",N(IL693)-N(IK693)))</f>
        <v/>
      </c>
    </row>
    <row r="694">
      <c r="A694" s="21" t="n"/>
      <c r="B694" s="21" t="n"/>
      <c r="C694" s="21" t="n"/>
      <c r="D694" s="21" t="n"/>
      <c r="E694" s="21" t="n"/>
      <c r="F694" s="21" t="n"/>
      <c r="G694" s="21" t="n"/>
      <c r="H694" s="21" t="n"/>
      <c r="I694" s="22" t="n"/>
      <c r="J694" s="22" t="n"/>
      <c r="K694" s="23" t="n"/>
      <c r="L694" s="22" t="n"/>
      <c r="M694" s="22" t="n"/>
      <c r="N694" s="21" t="n"/>
      <c r="O694" s="23" t="n"/>
      <c r="P694" s="23" t="n"/>
      <c r="Q694" s="23" t="n"/>
      <c r="R694" s="23" t="n"/>
      <c r="S694" s="22" t="n"/>
      <c r="T694" s="23" t="n"/>
      <c r="U694" s="23" t="n"/>
      <c r="V694" s="24">
        <f>IF(J694&lt;&gt;"",J694,IF(I694&lt;&gt;"",I694,""))</f>
        <v/>
      </c>
      <c r="W694" s="25">
        <f>IF($E694="","",N(O694)+SUMIFS($AF694:$IN694,$AF$4:$IN$4,"SEW_ACT"))</f>
        <v/>
      </c>
      <c r="X694" s="25">
        <f>IF($E694="","",N(P694)+SUMIFS($AF694:$IN694,$AF$4:$IN$4,"WASH_ACT"))</f>
        <v/>
      </c>
      <c r="Y694" s="25">
        <f>IF($E694="","",W694-X694-N(T694)-N(U694))</f>
        <v/>
      </c>
      <c r="Z694" s="25">
        <f>IF($E694="","",IF(N(K694)-X694&lt;=0.02*N(K694),0,N(K694)-X694))</f>
        <v/>
      </c>
      <c r="AA694" s="24">
        <f>IF($E694="","",IF(S694&lt;&gt;"",S694,IF(N(O694)&gt;0,IF(L694&lt;&gt;"",L694,99999),IFERROR(1/(1/_xlfn.MINIFS($AF$3:$IN$3,$AF$4:$IN$4,"SEW_ACT",$AF694:$IN694,"&gt;0")),99999))))</f>
        <v/>
      </c>
      <c r="AB694" s="26">
        <f>IF(OR($E694="",Z694=0,V694=""),"",1+COUNTIFS(Z$8:Z$707,"&gt;0",V$8:V$707,"&lt;"&amp;V694)+COUNTIFS(Z$8:Z$707,"&gt;0",V$8:V$707,V694,AA$8:AA$707,"&lt;"&amp;AA694)+COUNTIFS(Z$8:Z$707,"&gt;0",V$8:V$707,V694,AA$8:AA$707,AA694,E$8:E$707,"&lt;"&amp;$E694))</f>
        <v/>
      </c>
      <c r="AC694" s="24">
        <f>IF(OR($E694="",Z694=0),"",IFERROR(TODAY()+ROUNDUP(Z694/(SUMIFS($AF694:$IN694,$AF$4:$IN$4,"WASH_ACT")/COUNTIFS($AF$4:$IN$4,"WASH_ACT",$AF694:$IN694,"&gt;0")),0),"no output yet"))</f>
        <v/>
      </c>
      <c r="AD694" s="26">
        <f>IF($E694="","",IFERROR(ROUND(MAX(0,SUMIFS($AF694:$IN694,$AF$4:$IN$4,"SEW_PLAN",$AF$3:$IN$3,"&lt;="&amp;TODAY())-SUMIFS($AF694:$IN694,$AF$4:$IN$4,"SEW_ACT",$AF$3:$IN$3,"&lt;="&amp;TODAY())+N(Q694))/(SUMIFS($AF694:$IN694,$AF$4:$IN$4,"SEW_PLAN")/COUNTIFS($AF$4:$IN$4,"SEW_PLAN",$AF694:$IN694,"&gt;0")),1),0))</f>
        <v/>
      </c>
      <c r="AE694" s="26">
        <f>IF($E694="","",IF(AND(Z694&gt;0,OR(AND(M694&lt;&gt;"",TODAY()&gt;M694),AND(V694&lt;&gt;"",V694-TODAY()&lt;=7))),"Yes","No"))</f>
        <v/>
      </c>
      <c r="AH694">
        <f>IF(OR(AF$3="",AF$3&gt;TODAY()),"",IF(AND(AF694="",AG694=""),"",N(AG694)-N(AF694)))</f>
        <v/>
      </c>
      <c r="AK694">
        <f>IF(OR(AF$3="",AF$3&gt;TODAY()),"",IF(AND(AI694="",AJ694=""),"",N(AJ694)-N(AI694)))</f>
        <v/>
      </c>
      <c r="AO694">
        <f>IF(OR(AM$3="",AM$3&gt;TODAY()),"",IF(AND(AM694="",AN694=""),"",N(AN694)-N(AM694)))</f>
        <v/>
      </c>
      <c r="AR694">
        <f>IF(OR(AM$3="",AM$3&gt;TODAY()),"",IF(AND(AP694="",AQ694=""),"",N(AQ694)-N(AP694)))</f>
        <v/>
      </c>
      <c r="AV694">
        <f>IF(OR(AT$3="",AT$3&gt;TODAY()),"",IF(AND(AT694="",AU694=""),"",N(AU694)-N(AT694)))</f>
        <v/>
      </c>
      <c r="AY694">
        <f>IF(OR(AT$3="",AT$3&gt;TODAY()),"",IF(AND(AW694="",AX694=""),"",N(AX694)-N(AW694)))</f>
        <v/>
      </c>
      <c r="BC694">
        <f>IF(OR(BA$3="",BA$3&gt;TODAY()),"",IF(AND(BA694="",BB694=""),"",N(BB694)-N(BA694)))</f>
        <v/>
      </c>
      <c r="BF694">
        <f>IF(OR(BA$3="",BA$3&gt;TODAY()),"",IF(AND(BD694="",BE694=""),"",N(BE694)-N(BD694)))</f>
        <v/>
      </c>
      <c r="BJ694">
        <f>IF(OR(BH$3="",BH$3&gt;TODAY()),"",IF(AND(BH694="",BI694=""),"",N(BI694)-N(BH694)))</f>
        <v/>
      </c>
      <c r="BM694">
        <f>IF(OR(BH$3="",BH$3&gt;TODAY()),"",IF(AND(BK694="",BL694=""),"",N(BL694)-N(BK694)))</f>
        <v/>
      </c>
      <c r="BQ694">
        <f>IF(OR(BO$3="",BO$3&gt;TODAY()),"",IF(AND(BO694="",BP694=""),"",N(BP694)-N(BO694)))</f>
        <v/>
      </c>
      <c r="BT694">
        <f>IF(OR(BO$3="",BO$3&gt;TODAY()),"",IF(AND(BR694="",BS694=""),"",N(BS694)-N(BR694)))</f>
        <v/>
      </c>
      <c r="BX694">
        <f>IF(OR(BV$3="",BV$3&gt;TODAY()),"",IF(AND(BV694="",BW694=""),"",N(BW694)-N(BV694)))</f>
        <v/>
      </c>
      <c r="CA694">
        <f>IF(OR(BV$3="",BV$3&gt;TODAY()),"",IF(AND(BY694="",BZ694=""),"",N(BZ694)-N(BY694)))</f>
        <v/>
      </c>
      <c r="CE694">
        <f>IF(OR(CC$3="",CC$3&gt;TODAY()),"",IF(AND(CC694="",CD694=""),"",N(CD694)-N(CC694)))</f>
        <v/>
      </c>
      <c r="CH694">
        <f>IF(OR(CC$3="",CC$3&gt;TODAY()),"",IF(AND(CF694="",CG694=""),"",N(CG694)-N(CF694)))</f>
        <v/>
      </c>
      <c r="CL694">
        <f>IF(OR(CJ$3="",CJ$3&gt;TODAY()),"",IF(AND(CJ694="",CK694=""),"",N(CK694)-N(CJ694)))</f>
        <v/>
      </c>
      <c r="CO694">
        <f>IF(OR(CJ$3="",CJ$3&gt;TODAY()),"",IF(AND(CM694="",CN694=""),"",N(CN694)-N(CM694)))</f>
        <v/>
      </c>
      <c r="CS694">
        <f>IF(OR(CQ$3="",CQ$3&gt;TODAY()),"",IF(AND(CQ694="",CR694=""),"",N(CR694)-N(CQ694)))</f>
        <v/>
      </c>
      <c r="CV694">
        <f>IF(OR(CQ$3="",CQ$3&gt;TODAY()),"",IF(AND(CT694="",CU694=""),"",N(CU694)-N(CT694)))</f>
        <v/>
      </c>
      <c r="CZ694">
        <f>IF(OR(CX$3="",CX$3&gt;TODAY()),"",IF(AND(CX694="",CY694=""),"",N(CY694)-N(CX694)))</f>
        <v/>
      </c>
      <c r="DC694">
        <f>IF(OR(CX$3="",CX$3&gt;TODAY()),"",IF(AND(DA694="",DB694=""),"",N(DB694)-N(DA694)))</f>
        <v/>
      </c>
      <c r="DG694">
        <f>IF(OR(DE$3="",DE$3&gt;TODAY()),"",IF(AND(DE694="",DF694=""),"",N(DF694)-N(DE694)))</f>
        <v/>
      </c>
      <c r="DJ694">
        <f>IF(OR(DE$3="",DE$3&gt;TODAY()),"",IF(AND(DH694="",DI694=""),"",N(DI694)-N(DH694)))</f>
        <v/>
      </c>
      <c r="DN694">
        <f>IF(OR(DL$3="",DL$3&gt;TODAY()),"",IF(AND(DL694="",DM694=""),"",N(DM694)-N(DL694)))</f>
        <v/>
      </c>
      <c r="DQ694">
        <f>IF(OR(DL$3="",DL$3&gt;TODAY()),"",IF(AND(DO694="",DP694=""),"",N(DP694)-N(DO694)))</f>
        <v/>
      </c>
      <c r="DU694">
        <f>IF(OR(DS$3="",DS$3&gt;TODAY()),"",IF(AND(DS694="",DT694=""),"",N(DT694)-N(DS694)))</f>
        <v/>
      </c>
      <c r="DX694">
        <f>IF(OR(DS$3="",DS$3&gt;TODAY()),"",IF(AND(DV694="",DW694=""),"",N(DW694)-N(DV694)))</f>
        <v/>
      </c>
      <c r="EB694">
        <f>IF(OR(DZ$3="",DZ$3&gt;TODAY()),"",IF(AND(DZ694="",EA694=""),"",N(EA694)-N(DZ694)))</f>
        <v/>
      </c>
      <c r="EE694">
        <f>IF(OR(DZ$3="",DZ$3&gt;TODAY()),"",IF(AND(EC694="",ED694=""),"",N(ED694)-N(EC694)))</f>
        <v/>
      </c>
      <c r="EI694">
        <f>IF(OR(EG$3="",EG$3&gt;TODAY()),"",IF(AND(EG694="",EH694=""),"",N(EH694)-N(EG694)))</f>
        <v/>
      </c>
      <c r="EL694">
        <f>IF(OR(EG$3="",EG$3&gt;TODAY()),"",IF(AND(EJ694="",EK694=""),"",N(EK694)-N(EJ694)))</f>
        <v/>
      </c>
      <c r="EP694">
        <f>IF(OR(EN$3="",EN$3&gt;TODAY()),"",IF(AND(EN694="",EO694=""),"",N(EO694)-N(EN694)))</f>
        <v/>
      </c>
      <c r="ES694">
        <f>IF(OR(EN$3="",EN$3&gt;TODAY()),"",IF(AND(EQ694="",ER694=""),"",N(ER694)-N(EQ694)))</f>
        <v/>
      </c>
      <c r="EW694">
        <f>IF(OR(EU$3="",EU$3&gt;TODAY()),"",IF(AND(EU694="",EV694=""),"",N(EV694)-N(EU694)))</f>
        <v/>
      </c>
      <c r="EZ694">
        <f>IF(OR(EU$3="",EU$3&gt;TODAY()),"",IF(AND(EX694="",EY694=""),"",N(EY694)-N(EX694)))</f>
        <v/>
      </c>
      <c r="FD694">
        <f>IF(OR(FB$3="",FB$3&gt;TODAY()),"",IF(AND(FB694="",FC694=""),"",N(FC694)-N(FB694)))</f>
        <v/>
      </c>
      <c r="FG694">
        <f>IF(OR(FB$3="",FB$3&gt;TODAY()),"",IF(AND(FE694="",FF694=""),"",N(FF694)-N(FE694)))</f>
        <v/>
      </c>
      <c r="FK694">
        <f>IF(OR(FI$3="",FI$3&gt;TODAY()),"",IF(AND(FI694="",FJ694=""),"",N(FJ694)-N(FI694)))</f>
        <v/>
      </c>
      <c r="FN694">
        <f>IF(OR(FI$3="",FI$3&gt;TODAY()),"",IF(AND(FL694="",FM694=""),"",N(FM694)-N(FL694)))</f>
        <v/>
      </c>
      <c r="FR694">
        <f>IF(OR(FP$3="",FP$3&gt;TODAY()),"",IF(AND(FP694="",FQ694=""),"",N(FQ694)-N(FP694)))</f>
        <v/>
      </c>
      <c r="FU694">
        <f>IF(OR(FP$3="",FP$3&gt;TODAY()),"",IF(AND(FS694="",FT694=""),"",N(FT694)-N(FS694)))</f>
        <v/>
      </c>
      <c r="FY694">
        <f>IF(OR(FW$3="",FW$3&gt;TODAY()),"",IF(AND(FW694="",FX694=""),"",N(FX694)-N(FW694)))</f>
        <v/>
      </c>
      <c r="GB694">
        <f>IF(OR(FW$3="",FW$3&gt;TODAY()),"",IF(AND(FZ694="",GA694=""),"",N(GA694)-N(FZ694)))</f>
        <v/>
      </c>
      <c r="GF694">
        <f>IF(OR(GD$3="",GD$3&gt;TODAY()),"",IF(AND(GD694="",GE694=""),"",N(GE694)-N(GD694)))</f>
        <v/>
      </c>
      <c r="GI694">
        <f>IF(OR(GD$3="",GD$3&gt;TODAY()),"",IF(AND(GG694="",GH694=""),"",N(GH694)-N(GG694)))</f>
        <v/>
      </c>
      <c r="GM694">
        <f>IF(OR(GK$3="",GK$3&gt;TODAY()),"",IF(AND(GK694="",GL694=""),"",N(GL694)-N(GK694)))</f>
        <v/>
      </c>
      <c r="GP694">
        <f>IF(OR(GK$3="",GK$3&gt;TODAY()),"",IF(AND(GN694="",GO694=""),"",N(GO694)-N(GN694)))</f>
        <v/>
      </c>
      <c r="GT694">
        <f>IF(OR(GR$3="",GR$3&gt;TODAY()),"",IF(AND(GR694="",GS694=""),"",N(GS694)-N(GR694)))</f>
        <v/>
      </c>
      <c r="GW694">
        <f>IF(OR(GR$3="",GR$3&gt;TODAY()),"",IF(AND(GU694="",GV694=""),"",N(GV694)-N(GU694)))</f>
        <v/>
      </c>
      <c r="HA694">
        <f>IF(OR(GY$3="",GY$3&gt;TODAY()),"",IF(AND(GY694="",GZ694=""),"",N(GZ694)-N(GY694)))</f>
        <v/>
      </c>
      <c r="HD694">
        <f>IF(OR(GY$3="",GY$3&gt;TODAY()),"",IF(AND(HB694="",HC694=""),"",N(HC694)-N(HB694)))</f>
        <v/>
      </c>
      <c r="HH694">
        <f>IF(OR(HF$3="",HF$3&gt;TODAY()),"",IF(AND(HF694="",HG694=""),"",N(HG694)-N(HF694)))</f>
        <v/>
      </c>
      <c r="HK694">
        <f>IF(OR(HF$3="",HF$3&gt;TODAY()),"",IF(AND(HI694="",HJ694=""),"",N(HJ694)-N(HI694)))</f>
        <v/>
      </c>
      <c r="HO694">
        <f>IF(OR(HM$3="",HM$3&gt;TODAY()),"",IF(AND(HM694="",HN694=""),"",N(HN694)-N(HM694)))</f>
        <v/>
      </c>
      <c r="HR694">
        <f>IF(OR(HM$3="",HM$3&gt;TODAY()),"",IF(AND(HP694="",HQ694=""),"",N(HQ694)-N(HP694)))</f>
        <v/>
      </c>
      <c r="HV694">
        <f>IF(OR(HT$3="",HT$3&gt;TODAY()),"",IF(AND(HT694="",HU694=""),"",N(HU694)-N(HT694)))</f>
        <v/>
      </c>
      <c r="HY694">
        <f>IF(OR(HT$3="",HT$3&gt;TODAY()),"",IF(AND(HW694="",HX694=""),"",N(HX694)-N(HW694)))</f>
        <v/>
      </c>
      <c r="IC694">
        <f>IF(OR(IA$3="",IA$3&gt;TODAY()),"",IF(AND(IA694="",IB694=""),"",N(IB694)-N(IA694)))</f>
        <v/>
      </c>
      <c r="IF694">
        <f>IF(OR(IA$3="",IA$3&gt;TODAY()),"",IF(AND(ID694="",IE694=""),"",N(IE694)-N(ID694)))</f>
        <v/>
      </c>
      <c r="IJ694">
        <f>IF(OR(IH$3="",IH$3&gt;TODAY()),"",IF(AND(IH694="",II694=""),"",N(II694)-N(IH694)))</f>
        <v/>
      </c>
      <c r="IM694">
        <f>IF(OR(IH$3="",IH$3&gt;TODAY()),"",IF(AND(IK694="",IL694=""),"",N(IL694)-N(IK694)))</f>
        <v/>
      </c>
    </row>
    <row r="695">
      <c r="A695" s="21" t="n"/>
      <c r="B695" s="21" t="n"/>
      <c r="C695" s="21" t="n"/>
      <c r="D695" s="21" t="n"/>
      <c r="E695" s="21" t="n"/>
      <c r="F695" s="21" t="n"/>
      <c r="G695" s="21" t="n"/>
      <c r="H695" s="21" t="n"/>
      <c r="I695" s="22" t="n"/>
      <c r="J695" s="22" t="n"/>
      <c r="K695" s="23" t="n"/>
      <c r="L695" s="22" t="n"/>
      <c r="M695" s="22" t="n"/>
      <c r="N695" s="21" t="n"/>
      <c r="O695" s="23" t="n"/>
      <c r="P695" s="23" t="n"/>
      <c r="Q695" s="23" t="n"/>
      <c r="R695" s="23" t="n"/>
      <c r="S695" s="22" t="n"/>
      <c r="T695" s="23" t="n"/>
      <c r="U695" s="23" t="n"/>
      <c r="V695" s="24">
        <f>IF(J695&lt;&gt;"",J695,IF(I695&lt;&gt;"",I695,""))</f>
        <v/>
      </c>
      <c r="W695" s="25">
        <f>IF($E695="","",N(O695)+SUMIFS($AF695:$IN695,$AF$4:$IN$4,"SEW_ACT"))</f>
        <v/>
      </c>
      <c r="X695" s="25">
        <f>IF($E695="","",N(P695)+SUMIFS($AF695:$IN695,$AF$4:$IN$4,"WASH_ACT"))</f>
        <v/>
      </c>
      <c r="Y695" s="25">
        <f>IF($E695="","",W695-X695-N(T695)-N(U695))</f>
        <v/>
      </c>
      <c r="Z695" s="25">
        <f>IF($E695="","",IF(N(K695)-X695&lt;=0.02*N(K695),0,N(K695)-X695))</f>
        <v/>
      </c>
      <c r="AA695" s="24">
        <f>IF($E695="","",IF(S695&lt;&gt;"",S695,IF(N(O695)&gt;0,IF(L695&lt;&gt;"",L695,99999),IFERROR(1/(1/_xlfn.MINIFS($AF$3:$IN$3,$AF$4:$IN$4,"SEW_ACT",$AF695:$IN695,"&gt;0")),99999))))</f>
        <v/>
      </c>
      <c r="AB695" s="26">
        <f>IF(OR($E695="",Z695=0,V695=""),"",1+COUNTIFS(Z$8:Z$707,"&gt;0",V$8:V$707,"&lt;"&amp;V695)+COUNTIFS(Z$8:Z$707,"&gt;0",V$8:V$707,V695,AA$8:AA$707,"&lt;"&amp;AA695)+COUNTIFS(Z$8:Z$707,"&gt;0",V$8:V$707,V695,AA$8:AA$707,AA695,E$8:E$707,"&lt;"&amp;$E695))</f>
        <v/>
      </c>
      <c r="AC695" s="24">
        <f>IF(OR($E695="",Z695=0),"",IFERROR(TODAY()+ROUNDUP(Z695/(SUMIFS($AF695:$IN695,$AF$4:$IN$4,"WASH_ACT")/COUNTIFS($AF$4:$IN$4,"WASH_ACT",$AF695:$IN695,"&gt;0")),0),"no output yet"))</f>
        <v/>
      </c>
      <c r="AD695" s="26">
        <f>IF($E695="","",IFERROR(ROUND(MAX(0,SUMIFS($AF695:$IN695,$AF$4:$IN$4,"SEW_PLAN",$AF$3:$IN$3,"&lt;="&amp;TODAY())-SUMIFS($AF695:$IN695,$AF$4:$IN$4,"SEW_ACT",$AF$3:$IN$3,"&lt;="&amp;TODAY())+N(Q695))/(SUMIFS($AF695:$IN695,$AF$4:$IN$4,"SEW_PLAN")/COUNTIFS($AF$4:$IN$4,"SEW_PLAN",$AF695:$IN695,"&gt;0")),1),0))</f>
        <v/>
      </c>
      <c r="AE695" s="26">
        <f>IF($E695="","",IF(AND(Z695&gt;0,OR(AND(M695&lt;&gt;"",TODAY()&gt;M695),AND(V695&lt;&gt;"",V695-TODAY()&lt;=7))),"Yes","No"))</f>
        <v/>
      </c>
      <c r="AH695">
        <f>IF(OR(AF$3="",AF$3&gt;TODAY()),"",IF(AND(AF695="",AG695=""),"",N(AG695)-N(AF695)))</f>
        <v/>
      </c>
      <c r="AK695">
        <f>IF(OR(AF$3="",AF$3&gt;TODAY()),"",IF(AND(AI695="",AJ695=""),"",N(AJ695)-N(AI695)))</f>
        <v/>
      </c>
      <c r="AO695">
        <f>IF(OR(AM$3="",AM$3&gt;TODAY()),"",IF(AND(AM695="",AN695=""),"",N(AN695)-N(AM695)))</f>
        <v/>
      </c>
      <c r="AR695">
        <f>IF(OR(AM$3="",AM$3&gt;TODAY()),"",IF(AND(AP695="",AQ695=""),"",N(AQ695)-N(AP695)))</f>
        <v/>
      </c>
      <c r="AV695">
        <f>IF(OR(AT$3="",AT$3&gt;TODAY()),"",IF(AND(AT695="",AU695=""),"",N(AU695)-N(AT695)))</f>
        <v/>
      </c>
      <c r="AY695">
        <f>IF(OR(AT$3="",AT$3&gt;TODAY()),"",IF(AND(AW695="",AX695=""),"",N(AX695)-N(AW695)))</f>
        <v/>
      </c>
      <c r="BC695">
        <f>IF(OR(BA$3="",BA$3&gt;TODAY()),"",IF(AND(BA695="",BB695=""),"",N(BB695)-N(BA695)))</f>
        <v/>
      </c>
      <c r="BF695">
        <f>IF(OR(BA$3="",BA$3&gt;TODAY()),"",IF(AND(BD695="",BE695=""),"",N(BE695)-N(BD695)))</f>
        <v/>
      </c>
      <c r="BJ695">
        <f>IF(OR(BH$3="",BH$3&gt;TODAY()),"",IF(AND(BH695="",BI695=""),"",N(BI695)-N(BH695)))</f>
        <v/>
      </c>
      <c r="BM695">
        <f>IF(OR(BH$3="",BH$3&gt;TODAY()),"",IF(AND(BK695="",BL695=""),"",N(BL695)-N(BK695)))</f>
        <v/>
      </c>
      <c r="BQ695">
        <f>IF(OR(BO$3="",BO$3&gt;TODAY()),"",IF(AND(BO695="",BP695=""),"",N(BP695)-N(BO695)))</f>
        <v/>
      </c>
      <c r="BT695">
        <f>IF(OR(BO$3="",BO$3&gt;TODAY()),"",IF(AND(BR695="",BS695=""),"",N(BS695)-N(BR695)))</f>
        <v/>
      </c>
      <c r="BX695">
        <f>IF(OR(BV$3="",BV$3&gt;TODAY()),"",IF(AND(BV695="",BW695=""),"",N(BW695)-N(BV695)))</f>
        <v/>
      </c>
      <c r="CA695">
        <f>IF(OR(BV$3="",BV$3&gt;TODAY()),"",IF(AND(BY695="",BZ695=""),"",N(BZ695)-N(BY695)))</f>
        <v/>
      </c>
      <c r="CE695">
        <f>IF(OR(CC$3="",CC$3&gt;TODAY()),"",IF(AND(CC695="",CD695=""),"",N(CD695)-N(CC695)))</f>
        <v/>
      </c>
      <c r="CH695">
        <f>IF(OR(CC$3="",CC$3&gt;TODAY()),"",IF(AND(CF695="",CG695=""),"",N(CG695)-N(CF695)))</f>
        <v/>
      </c>
      <c r="CL695">
        <f>IF(OR(CJ$3="",CJ$3&gt;TODAY()),"",IF(AND(CJ695="",CK695=""),"",N(CK695)-N(CJ695)))</f>
        <v/>
      </c>
      <c r="CO695">
        <f>IF(OR(CJ$3="",CJ$3&gt;TODAY()),"",IF(AND(CM695="",CN695=""),"",N(CN695)-N(CM695)))</f>
        <v/>
      </c>
      <c r="CS695">
        <f>IF(OR(CQ$3="",CQ$3&gt;TODAY()),"",IF(AND(CQ695="",CR695=""),"",N(CR695)-N(CQ695)))</f>
        <v/>
      </c>
      <c r="CV695">
        <f>IF(OR(CQ$3="",CQ$3&gt;TODAY()),"",IF(AND(CT695="",CU695=""),"",N(CU695)-N(CT695)))</f>
        <v/>
      </c>
      <c r="CZ695">
        <f>IF(OR(CX$3="",CX$3&gt;TODAY()),"",IF(AND(CX695="",CY695=""),"",N(CY695)-N(CX695)))</f>
        <v/>
      </c>
      <c r="DC695">
        <f>IF(OR(CX$3="",CX$3&gt;TODAY()),"",IF(AND(DA695="",DB695=""),"",N(DB695)-N(DA695)))</f>
        <v/>
      </c>
      <c r="DG695">
        <f>IF(OR(DE$3="",DE$3&gt;TODAY()),"",IF(AND(DE695="",DF695=""),"",N(DF695)-N(DE695)))</f>
        <v/>
      </c>
      <c r="DJ695">
        <f>IF(OR(DE$3="",DE$3&gt;TODAY()),"",IF(AND(DH695="",DI695=""),"",N(DI695)-N(DH695)))</f>
        <v/>
      </c>
      <c r="DN695">
        <f>IF(OR(DL$3="",DL$3&gt;TODAY()),"",IF(AND(DL695="",DM695=""),"",N(DM695)-N(DL695)))</f>
        <v/>
      </c>
      <c r="DQ695">
        <f>IF(OR(DL$3="",DL$3&gt;TODAY()),"",IF(AND(DO695="",DP695=""),"",N(DP695)-N(DO695)))</f>
        <v/>
      </c>
      <c r="DU695">
        <f>IF(OR(DS$3="",DS$3&gt;TODAY()),"",IF(AND(DS695="",DT695=""),"",N(DT695)-N(DS695)))</f>
        <v/>
      </c>
      <c r="DX695">
        <f>IF(OR(DS$3="",DS$3&gt;TODAY()),"",IF(AND(DV695="",DW695=""),"",N(DW695)-N(DV695)))</f>
        <v/>
      </c>
      <c r="EB695">
        <f>IF(OR(DZ$3="",DZ$3&gt;TODAY()),"",IF(AND(DZ695="",EA695=""),"",N(EA695)-N(DZ695)))</f>
        <v/>
      </c>
      <c r="EE695">
        <f>IF(OR(DZ$3="",DZ$3&gt;TODAY()),"",IF(AND(EC695="",ED695=""),"",N(ED695)-N(EC695)))</f>
        <v/>
      </c>
      <c r="EI695">
        <f>IF(OR(EG$3="",EG$3&gt;TODAY()),"",IF(AND(EG695="",EH695=""),"",N(EH695)-N(EG695)))</f>
        <v/>
      </c>
      <c r="EL695">
        <f>IF(OR(EG$3="",EG$3&gt;TODAY()),"",IF(AND(EJ695="",EK695=""),"",N(EK695)-N(EJ695)))</f>
        <v/>
      </c>
      <c r="EP695">
        <f>IF(OR(EN$3="",EN$3&gt;TODAY()),"",IF(AND(EN695="",EO695=""),"",N(EO695)-N(EN695)))</f>
        <v/>
      </c>
      <c r="ES695">
        <f>IF(OR(EN$3="",EN$3&gt;TODAY()),"",IF(AND(EQ695="",ER695=""),"",N(ER695)-N(EQ695)))</f>
        <v/>
      </c>
      <c r="EW695">
        <f>IF(OR(EU$3="",EU$3&gt;TODAY()),"",IF(AND(EU695="",EV695=""),"",N(EV695)-N(EU695)))</f>
        <v/>
      </c>
      <c r="EZ695">
        <f>IF(OR(EU$3="",EU$3&gt;TODAY()),"",IF(AND(EX695="",EY695=""),"",N(EY695)-N(EX695)))</f>
        <v/>
      </c>
      <c r="FD695">
        <f>IF(OR(FB$3="",FB$3&gt;TODAY()),"",IF(AND(FB695="",FC695=""),"",N(FC695)-N(FB695)))</f>
        <v/>
      </c>
      <c r="FG695">
        <f>IF(OR(FB$3="",FB$3&gt;TODAY()),"",IF(AND(FE695="",FF695=""),"",N(FF695)-N(FE695)))</f>
        <v/>
      </c>
      <c r="FK695">
        <f>IF(OR(FI$3="",FI$3&gt;TODAY()),"",IF(AND(FI695="",FJ695=""),"",N(FJ695)-N(FI695)))</f>
        <v/>
      </c>
      <c r="FN695">
        <f>IF(OR(FI$3="",FI$3&gt;TODAY()),"",IF(AND(FL695="",FM695=""),"",N(FM695)-N(FL695)))</f>
        <v/>
      </c>
      <c r="FR695">
        <f>IF(OR(FP$3="",FP$3&gt;TODAY()),"",IF(AND(FP695="",FQ695=""),"",N(FQ695)-N(FP695)))</f>
        <v/>
      </c>
      <c r="FU695">
        <f>IF(OR(FP$3="",FP$3&gt;TODAY()),"",IF(AND(FS695="",FT695=""),"",N(FT695)-N(FS695)))</f>
        <v/>
      </c>
      <c r="FY695">
        <f>IF(OR(FW$3="",FW$3&gt;TODAY()),"",IF(AND(FW695="",FX695=""),"",N(FX695)-N(FW695)))</f>
        <v/>
      </c>
      <c r="GB695">
        <f>IF(OR(FW$3="",FW$3&gt;TODAY()),"",IF(AND(FZ695="",GA695=""),"",N(GA695)-N(FZ695)))</f>
        <v/>
      </c>
      <c r="GF695">
        <f>IF(OR(GD$3="",GD$3&gt;TODAY()),"",IF(AND(GD695="",GE695=""),"",N(GE695)-N(GD695)))</f>
        <v/>
      </c>
      <c r="GI695">
        <f>IF(OR(GD$3="",GD$3&gt;TODAY()),"",IF(AND(GG695="",GH695=""),"",N(GH695)-N(GG695)))</f>
        <v/>
      </c>
      <c r="GM695">
        <f>IF(OR(GK$3="",GK$3&gt;TODAY()),"",IF(AND(GK695="",GL695=""),"",N(GL695)-N(GK695)))</f>
        <v/>
      </c>
      <c r="GP695">
        <f>IF(OR(GK$3="",GK$3&gt;TODAY()),"",IF(AND(GN695="",GO695=""),"",N(GO695)-N(GN695)))</f>
        <v/>
      </c>
      <c r="GT695">
        <f>IF(OR(GR$3="",GR$3&gt;TODAY()),"",IF(AND(GR695="",GS695=""),"",N(GS695)-N(GR695)))</f>
        <v/>
      </c>
      <c r="GW695">
        <f>IF(OR(GR$3="",GR$3&gt;TODAY()),"",IF(AND(GU695="",GV695=""),"",N(GV695)-N(GU695)))</f>
        <v/>
      </c>
      <c r="HA695">
        <f>IF(OR(GY$3="",GY$3&gt;TODAY()),"",IF(AND(GY695="",GZ695=""),"",N(GZ695)-N(GY695)))</f>
        <v/>
      </c>
      <c r="HD695">
        <f>IF(OR(GY$3="",GY$3&gt;TODAY()),"",IF(AND(HB695="",HC695=""),"",N(HC695)-N(HB695)))</f>
        <v/>
      </c>
      <c r="HH695">
        <f>IF(OR(HF$3="",HF$3&gt;TODAY()),"",IF(AND(HF695="",HG695=""),"",N(HG695)-N(HF695)))</f>
        <v/>
      </c>
      <c r="HK695">
        <f>IF(OR(HF$3="",HF$3&gt;TODAY()),"",IF(AND(HI695="",HJ695=""),"",N(HJ695)-N(HI695)))</f>
        <v/>
      </c>
      <c r="HO695">
        <f>IF(OR(HM$3="",HM$3&gt;TODAY()),"",IF(AND(HM695="",HN695=""),"",N(HN695)-N(HM695)))</f>
        <v/>
      </c>
      <c r="HR695">
        <f>IF(OR(HM$3="",HM$3&gt;TODAY()),"",IF(AND(HP695="",HQ695=""),"",N(HQ695)-N(HP695)))</f>
        <v/>
      </c>
      <c r="HV695">
        <f>IF(OR(HT$3="",HT$3&gt;TODAY()),"",IF(AND(HT695="",HU695=""),"",N(HU695)-N(HT695)))</f>
        <v/>
      </c>
      <c r="HY695">
        <f>IF(OR(HT$3="",HT$3&gt;TODAY()),"",IF(AND(HW695="",HX695=""),"",N(HX695)-N(HW695)))</f>
        <v/>
      </c>
      <c r="IC695">
        <f>IF(OR(IA$3="",IA$3&gt;TODAY()),"",IF(AND(IA695="",IB695=""),"",N(IB695)-N(IA695)))</f>
        <v/>
      </c>
      <c r="IF695">
        <f>IF(OR(IA$3="",IA$3&gt;TODAY()),"",IF(AND(ID695="",IE695=""),"",N(IE695)-N(ID695)))</f>
        <v/>
      </c>
      <c r="IJ695">
        <f>IF(OR(IH$3="",IH$3&gt;TODAY()),"",IF(AND(IH695="",II695=""),"",N(II695)-N(IH695)))</f>
        <v/>
      </c>
      <c r="IM695">
        <f>IF(OR(IH$3="",IH$3&gt;TODAY()),"",IF(AND(IK695="",IL695=""),"",N(IL695)-N(IK695)))</f>
        <v/>
      </c>
    </row>
    <row r="696">
      <c r="A696" s="21" t="n"/>
      <c r="B696" s="21" t="n"/>
      <c r="C696" s="21" t="n"/>
      <c r="D696" s="21" t="n"/>
      <c r="E696" s="21" t="n"/>
      <c r="F696" s="21" t="n"/>
      <c r="G696" s="21" t="n"/>
      <c r="H696" s="21" t="n"/>
      <c r="I696" s="22" t="n"/>
      <c r="J696" s="22" t="n"/>
      <c r="K696" s="23" t="n"/>
      <c r="L696" s="22" t="n"/>
      <c r="M696" s="22" t="n"/>
      <c r="N696" s="21" t="n"/>
      <c r="O696" s="23" t="n"/>
      <c r="P696" s="23" t="n"/>
      <c r="Q696" s="23" t="n"/>
      <c r="R696" s="23" t="n"/>
      <c r="S696" s="22" t="n"/>
      <c r="T696" s="23" t="n"/>
      <c r="U696" s="23" t="n"/>
      <c r="V696" s="24">
        <f>IF(J696&lt;&gt;"",J696,IF(I696&lt;&gt;"",I696,""))</f>
        <v/>
      </c>
      <c r="W696" s="25">
        <f>IF($E696="","",N(O696)+SUMIFS($AF696:$IN696,$AF$4:$IN$4,"SEW_ACT"))</f>
        <v/>
      </c>
      <c r="X696" s="25">
        <f>IF($E696="","",N(P696)+SUMIFS($AF696:$IN696,$AF$4:$IN$4,"WASH_ACT"))</f>
        <v/>
      </c>
      <c r="Y696" s="25">
        <f>IF($E696="","",W696-X696-N(T696)-N(U696))</f>
        <v/>
      </c>
      <c r="Z696" s="25">
        <f>IF($E696="","",IF(N(K696)-X696&lt;=0.02*N(K696),0,N(K696)-X696))</f>
        <v/>
      </c>
      <c r="AA696" s="24">
        <f>IF($E696="","",IF(S696&lt;&gt;"",S696,IF(N(O696)&gt;0,IF(L696&lt;&gt;"",L696,99999),IFERROR(1/(1/_xlfn.MINIFS($AF$3:$IN$3,$AF$4:$IN$4,"SEW_ACT",$AF696:$IN696,"&gt;0")),99999))))</f>
        <v/>
      </c>
      <c r="AB696" s="26">
        <f>IF(OR($E696="",Z696=0,V696=""),"",1+COUNTIFS(Z$8:Z$707,"&gt;0",V$8:V$707,"&lt;"&amp;V696)+COUNTIFS(Z$8:Z$707,"&gt;0",V$8:V$707,V696,AA$8:AA$707,"&lt;"&amp;AA696)+COUNTIFS(Z$8:Z$707,"&gt;0",V$8:V$707,V696,AA$8:AA$707,AA696,E$8:E$707,"&lt;"&amp;$E696))</f>
        <v/>
      </c>
      <c r="AC696" s="24">
        <f>IF(OR($E696="",Z696=0),"",IFERROR(TODAY()+ROUNDUP(Z696/(SUMIFS($AF696:$IN696,$AF$4:$IN$4,"WASH_ACT")/COUNTIFS($AF$4:$IN$4,"WASH_ACT",$AF696:$IN696,"&gt;0")),0),"no output yet"))</f>
        <v/>
      </c>
      <c r="AD696" s="26">
        <f>IF($E696="","",IFERROR(ROUND(MAX(0,SUMIFS($AF696:$IN696,$AF$4:$IN$4,"SEW_PLAN",$AF$3:$IN$3,"&lt;="&amp;TODAY())-SUMIFS($AF696:$IN696,$AF$4:$IN$4,"SEW_ACT",$AF$3:$IN$3,"&lt;="&amp;TODAY())+N(Q696))/(SUMIFS($AF696:$IN696,$AF$4:$IN$4,"SEW_PLAN")/COUNTIFS($AF$4:$IN$4,"SEW_PLAN",$AF696:$IN696,"&gt;0")),1),0))</f>
        <v/>
      </c>
      <c r="AE696" s="26">
        <f>IF($E696="","",IF(AND(Z696&gt;0,OR(AND(M696&lt;&gt;"",TODAY()&gt;M696),AND(V696&lt;&gt;"",V696-TODAY()&lt;=7))),"Yes","No"))</f>
        <v/>
      </c>
      <c r="AH696">
        <f>IF(OR(AF$3="",AF$3&gt;TODAY()),"",IF(AND(AF696="",AG696=""),"",N(AG696)-N(AF696)))</f>
        <v/>
      </c>
      <c r="AK696">
        <f>IF(OR(AF$3="",AF$3&gt;TODAY()),"",IF(AND(AI696="",AJ696=""),"",N(AJ696)-N(AI696)))</f>
        <v/>
      </c>
      <c r="AO696">
        <f>IF(OR(AM$3="",AM$3&gt;TODAY()),"",IF(AND(AM696="",AN696=""),"",N(AN696)-N(AM696)))</f>
        <v/>
      </c>
      <c r="AR696">
        <f>IF(OR(AM$3="",AM$3&gt;TODAY()),"",IF(AND(AP696="",AQ696=""),"",N(AQ696)-N(AP696)))</f>
        <v/>
      </c>
      <c r="AV696">
        <f>IF(OR(AT$3="",AT$3&gt;TODAY()),"",IF(AND(AT696="",AU696=""),"",N(AU696)-N(AT696)))</f>
        <v/>
      </c>
      <c r="AY696">
        <f>IF(OR(AT$3="",AT$3&gt;TODAY()),"",IF(AND(AW696="",AX696=""),"",N(AX696)-N(AW696)))</f>
        <v/>
      </c>
      <c r="BC696">
        <f>IF(OR(BA$3="",BA$3&gt;TODAY()),"",IF(AND(BA696="",BB696=""),"",N(BB696)-N(BA696)))</f>
        <v/>
      </c>
      <c r="BF696">
        <f>IF(OR(BA$3="",BA$3&gt;TODAY()),"",IF(AND(BD696="",BE696=""),"",N(BE696)-N(BD696)))</f>
        <v/>
      </c>
      <c r="BJ696">
        <f>IF(OR(BH$3="",BH$3&gt;TODAY()),"",IF(AND(BH696="",BI696=""),"",N(BI696)-N(BH696)))</f>
        <v/>
      </c>
      <c r="BM696">
        <f>IF(OR(BH$3="",BH$3&gt;TODAY()),"",IF(AND(BK696="",BL696=""),"",N(BL696)-N(BK696)))</f>
        <v/>
      </c>
      <c r="BQ696">
        <f>IF(OR(BO$3="",BO$3&gt;TODAY()),"",IF(AND(BO696="",BP696=""),"",N(BP696)-N(BO696)))</f>
        <v/>
      </c>
      <c r="BT696">
        <f>IF(OR(BO$3="",BO$3&gt;TODAY()),"",IF(AND(BR696="",BS696=""),"",N(BS696)-N(BR696)))</f>
        <v/>
      </c>
      <c r="BX696">
        <f>IF(OR(BV$3="",BV$3&gt;TODAY()),"",IF(AND(BV696="",BW696=""),"",N(BW696)-N(BV696)))</f>
        <v/>
      </c>
      <c r="CA696">
        <f>IF(OR(BV$3="",BV$3&gt;TODAY()),"",IF(AND(BY696="",BZ696=""),"",N(BZ696)-N(BY696)))</f>
        <v/>
      </c>
      <c r="CE696">
        <f>IF(OR(CC$3="",CC$3&gt;TODAY()),"",IF(AND(CC696="",CD696=""),"",N(CD696)-N(CC696)))</f>
        <v/>
      </c>
      <c r="CH696">
        <f>IF(OR(CC$3="",CC$3&gt;TODAY()),"",IF(AND(CF696="",CG696=""),"",N(CG696)-N(CF696)))</f>
        <v/>
      </c>
      <c r="CL696">
        <f>IF(OR(CJ$3="",CJ$3&gt;TODAY()),"",IF(AND(CJ696="",CK696=""),"",N(CK696)-N(CJ696)))</f>
        <v/>
      </c>
      <c r="CO696">
        <f>IF(OR(CJ$3="",CJ$3&gt;TODAY()),"",IF(AND(CM696="",CN696=""),"",N(CN696)-N(CM696)))</f>
        <v/>
      </c>
      <c r="CS696">
        <f>IF(OR(CQ$3="",CQ$3&gt;TODAY()),"",IF(AND(CQ696="",CR696=""),"",N(CR696)-N(CQ696)))</f>
        <v/>
      </c>
      <c r="CV696">
        <f>IF(OR(CQ$3="",CQ$3&gt;TODAY()),"",IF(AND(CT696="",CU696=""),"",N(CU696)-N(CT696)))</f>
        <v/>
      </c>
      <c r="CZ696">
        <f>IF(OR(CX$3="",CX$3&gt;TODAY()),"",IF(AND(CX696="",CY696=""),"",N(CY696)-N(CX696)))</f>
        <v/>
      </c>
      <c r="DC696">
        <f>IF(OR(CX$3="",CX$3&gt;TODAY()),"",IF(AND(DA696="",DB696=""),"",N(DB696)-N(DA696)))</f>
        <v/>
      </c>
      <c r="DG696">
        <f>IF(OR(DE$3="",DE$3&gt;TODAY()),"",IF(AND(DE696="",DF696=""),"",N(DF696)-N(DE696)))</f>
        <v/>
      </c>
      <c r="DJ696">
        <f>IF(OR(DE$3="",DE$3&gt;TODAY()),"",IF(AND(DH696="",DI696=""),"",N(DI696)-N(DH696)))</f>
        <v/>
      </c>
      <c r="DN696">
        <f>IF(OR(DL$3="",DL$3&gt;TODAY()),"",IF(AND(DL696="",DM696=""),"",N(DM696)-N(DL696)))</f>
        <v/>
      </c>
      <c r="DQ696">
        <f>IF(OR(DL$3="",DL$3&gt;TODAY()),"",IF(AND(DO696="",DP696=""),"",N(DP696)-N(DO696)))</f>
        <v/>
      </c>
      <c r="DU696">
        <f>IF(OR(DS$3="",DS$3&gt;TODAY()),"",IF(AND(DS696="",DT696=""),"",N(DT696)-N(DS696)))</f>
        <v/>
      </c>
      <c r="DX696">
        <f>IF(OR(DS$3="",DS$3&gt;TODAY()),"",IF(AND(DV696="",DW696=""),"",N(DW696)-N(DV696)))</f>
        <v/>
      </c>
      <c r="EB696">
        <f>IF(OR(DZ$3="",DZ$3&gt;TODAY()),"",IF(AND(DZ696="",EA696=""),"",N(EA696)-N(DZ696)))</f>
        <v/>
      </c>
      <c r="EE696">
        <f>IF(OR(DZ$3="",DZ$3&gt;TODAY()),"",IF(AND(EC696="",ED696=""),"",N(ED696)-N(EC696)))</f>
        <v/>
      </c>
      <c r="EI696">
        <f>IF(OR(EG$3="",EG$3&gt;TODAY()),"",IF(AND(EG696="",EH696=""),"",N(EH696)-N(EG696)))</f>
        <v/>
      </c>
      <c r="EL696">
        <f>IF(OR(EG$3="",EG$3&gt;TODAY()),"",IF(AND(EJ696="",EK696=""),"",N(EK696)-N(EJ696)))</f>
        <v/>
      </c>
      <c r="EP696">
        <f>IF(OR(EN$3="",EN$3&gt;TODAY()),"",IF(AND(EN696="",EO696=""),"",N(EO696)-N(EN696)))</f>
        <v/>
      </c>
      <c r="ES696">
        <f>IF(OR(EN$3="",EN$3&gt;TODAY()),"",IF(AND(EQ696="",ER696=""),"",N(ER696)-N(EQ696)))</f>
        <v/>
      </c>
      <c r="EW696">
        <f>IF(OR(EU$3="",EU$3&gt;TODAY()),"",IF(AND(EU696="",EV696=""),"",N(EV696)-N(EU696)))</f>
        <v/>
      </c>
      <c r="EZ696">
        <f>IF(OR(EU$3="",EU$3&gt;TODAY()),"",IF(AND(EX696="",EY696=""),"",N(EY696)-N(EX696)))</f>
        <v/>
      </c>
      <c r="FD696">
        <f>IF(OR(FB$3="",FB$3&gt;TODAY()),"",IF(AND(FB696="",FC696=""),"",N(FC696)-N(FB696)))</f>
        <v/>
      </c>
      <c r="FG696">
        <f>IF(OR(FB$3="",FB$3&gt;TODAY()),"",IF(AND(FE696="",FF696=""),"",N(FF696)-N(FE696)))</f>
        <v/>
      </c>
      <c r="FK696">
        <f>IF(OR(FI$3="",FI$3&gt;TODAY()),"",IF(AND(FI696="",FJ696=""),"",N(FJ696)-N(FI696)))</f>
        <v/>
      </c>
      <c r="FN696">
        <f>IF(OR(FI$3="",FI$3&gt;TODAY()),"",IF(AND(FL696="",FM696=""),"",N(FM696)-N(FL696)))</f>
        <v/>
      </c>
      <c r="FR696">
        <f>IF(OR(FP$3="",FP$3&gt;TODAY()),"",IF(AND(FP696="",FQ696=""),"",N(FQ696)-N(FP696)))</f>
        <v/>
      </c>
      <c r="FU696">
        <f>IF(OR(FP$3="",FP$3&gt;TODAY()),"",IF(AND(FS696="",FT696=""),"",N(FT696)-N(FS696)))</f>
        <v/>
      </c>
      <c r="FY696">
        <f>IF(OR(FW$3="",FW$3&gt;TODAY()),"",IF(AND(FW696="",FX696=""),"",N(FX696)-N(FW696)))</f>
        <v/>
      </c>
      <c r="GB696">
        <f>IF(OR(FW$3="",FW$3&gt;TODAY()),"",IF(AND(FZ696="",GA696=""),"",N(GA696)-N(FZ696)))</f>
        <v/>
      </c>
      <c r="GF696">
        <f>IF(OR(GD$3="",GD$3&gt;TODAY()),"",IF(AND(GD696="",GE696=""),"",N(GE696)-N(GD696)))</f>
        <v/>
      </c>
      <c r="GI696">
        <f>IF(OR(GD$3="",GD$3&gt;TODAY()),"",IF(AND(GG696="",GH696=""),"",N(GH696)-N(GG696)))</f>
        <v/>
      </c>
      <c r="GM696">
        <f>IF(OR(GK$3="",GK$3&gt;TODAY()),"",IF(AND(GK696="",GL696=""),"",N(GL696)-N(GK696)))</f>
        <v/>
      </c>
      <c r="GP696">
        <f>IF(OR(GK$3="",GK$3&gt;TODAY()),"",IF(AND(GN696="",GO696=""),"",N(GO696)-N(GN696)))</f>
        <v/>
      </c>
      <c r="GT696">
        <f>IF(OR(GR$3="",GR$3&gt;TODAY()),"",IF(AND(GR696="",GS696=""),"",N(GS696)-N(GR696)))</f>
        <v/>
      </c>
      <c r="GW696">
        <f>IF(OR(GR$3="",GR$3&gt;TODAY()),"",IF(AND(GU696="",GV696=""),"",N(GV696)-N(GU696)))</f>
        <v/>
      </c>
      <c r="HA696">
        <f>IF(OR(GY$3="",GY$3&gt;TODAY()),"",IF(AND(GY696="",GZ696=""),"",N(GZ696)-N(GY696)))</f>
        <v/>
      </c>
      <c r="HD696">
        <f>IF(OR(GY$3="",GY$3&gt;TODAY()),"",IF(AND(HB696="",HC696=""),"",N(HC696)-N(HB696)))</f>
        <v/>
      </c>
      <c r="HH696">
        <f>IF(OR(HF$3="",HF$3&gt;TODAY()),"",IF(AND(HF696="",HG696=""),"",N(HG696)-N(HF696)))</f>
        <v/>
      </c>
      <c r="HK696">
        <f>IF(OR(HF$3="",HF$3&gt;TODAY()),"",IF(AND(HI696="",HJ696=""),"",N(HJ696)-N(HI696)))</f>
        <v/>
      </c>
      <c r="HO696">
        <f>IF(OR(HM$3="",HM$3&gt;TODAY()),"",IF(AND(HM696="",HN696=""),"",N(HN696)-N(HM696)))</f>
        <v/>
      </c>
      <c r="HR696">
        <f>IF(OR(HM$3="",HM$3&gt;TODAY()),"",IF(AND(HP696="",HQ696=""),"",N(HQ696)-N(HP696)))</f>
        <v/>
      </c>
      <c r="HV696">
        <f>IF(OR(HT$3="",HT$3&gt;TODAY()),"",IF(AND(HT696="",HU696=""),"",N(HU696)-N(HT696)))</f>
        <v/>
      </c>
      <c r="HY696">
        <f>IF(OR(HT$3="",HT$3&gt;TODAY()),"",IF(AND(HW696="",HX696=""),"",N(HX696)-N(HW696)))</f>
        <v/>
      </c>
      <c r="IC696">
        <f>IF(OR(IA$3="",IA$3&gt;TODAY()),"",IF(AND(IA696="",IB696=""),"",N(IB696)-N(IA696)))</f>
        <v/>
      </c>
      <c r="IF696">
        <f>IF(OR(IA$3="",IA$3&gt;TODAY()),"",IF(AND(ID696="",IE696=""),"",N(IE696)-N(ID696)))</f>
        <v/>
      </c>
      <c r="IJ696">
        <f>IF(OR(IH$3="",IH$3&gt;TODAY()),"",IF(AND(IH696="",II696=""),"",N(II696)-N(IH696)))</f>
        <v/>
      </c>
      <c r="IM696">
        <f>IF(OR(IH$3="",IH$3&gt;TODAY()),"",IF(AND(IK696="",IL696=""),"",N(IL696)-N(IK696)))</f>
        <v/>
      </c>
    </row>
    <row r="697">
      <c r="A697" s="21" t="n"/>
      <c r="B697" s="21" t="n"/>
      <c r="C697" s="21" t="n"/>
      <c r="D697" s="21" t="n"/>
      <c r="E697" s="21" t="n"/>
      <c r="F697" s="21" t="n"/>
      <c r="G697" s="21" t="n"/>
      <c r="H697" s="21" t="n"/>
      <c r="I697" s="22" t="n"/>
      <c r="J697" s="22" t="n"/>
      <c r="K697" s="23" t="n"/>
      <c r="L697" s="22" t="n"/>
      <c r="M697" s="22" t="n"/>
      <c r="N697" s="21" t="n"/>
      <c r="O697" s="23" t="n"/>
      <c r="P697" s="23" t="n"/>
      <c r="Q697" s="23" t="n"/>
      <c r="R697" s="23" t="n"/>
      <c r="S697" s="22" t="n"/>
      <c r="T697" s="23" t="n"/>
      <c r="U697" s="23" t="n"/>
      <c r="V697" s="24">
        <f>IF(J697&lt;&gt;"",J697,IF(I697&lt;&gt;"",I697,""))</f>
        <v/>
      </c>
      <c r="W697" s="25">
        <f>IF($E697="","",N(O697)+SUMIFS($AF697:$IN697,$AF$4:$IN$4,"SEW_ACT"))</f>
        <v/>
      </c>
      <c r="X697" s="25">
        <f>IF($E697="","",N(P697)+SUMIFS($AF697:$IN697,$AF$4:$IN$4,"WASH_ACT"))</f>
        <v/>
      </c>
      <c r="Y697" s="25">
        <f>IF($E697="","",W697-X697-N(T697)-N(U697))</f>
        <v/>
      </c>
      <c r="Z697" s="25">
        <f>IF($E697="","",IF(N(K697)-X697&lt;=0.02*N(K697),0,N(K697)-X697))</f>
        <v/>
      </c>
      <c r="AA697" s="24">
        <f>IF($E697="","",IF(S697&lt;&gt;"",S697,IF(N(O697)&gt;0,IF(L697&lt;&gt;"",L697,99999),IFERROR(1/(1/_xlfn.MINIFS($AF$3:$IN$3,$AF$4:$IN$4,"SEW_ACT",$AF697:$IN697,"&gt;0")),99999))))</f>
        <v/>
      </c>
      <c r="AB697" s="26">
        <f>IF(OR($E697="",Z697=0,V697=""),"",1+COUNTIFS(Z$8:Z$707,"&gt;0",V$8:V$707,"&lt;"&amp;V697)+COUNTIFS(Z$8:Z$707,"&gt;0",V$8:V$707,V697,AA$8:AA$707,"&lt;"&amp;AA697)+COUNTIFS(Z$8:Z$707,"&gt;0",V$8:V$707,V697,AA$8:AA$707,AA697,E$8:E$707,"&lt;"&amp;$E697))</f>
        <v/>
      </c>
      <c r="AC697" s="24">
        <f>IF(OR($E697="",Z697=0),"",IFERROR(TODAY()+ROUNDUP(Z697/(SUMIFS($AF697:$IN697,$AF$4:$IN$4,"WASH_ACT")/COUNTIFS($AF$4:$IN$4,"WASH_ACT",$AF697:$IN697,"&gt;0")),0),"no output yet"))</f>
        <v/>
      </c>
      <c r="AD697" s="26">
        <f>IF($E697="","",IFERROR(ROUND(MAX(0,SUMIFS($AF697:$IN697,$AF$4:$IN$4,"SEW_PLAN",$AF$3:$IN$3,"&lt;="&amp;TODAY())-SUMIFS($AF697:$IN697,$AF$4:$IN$4,"SEW_ACT",$AF$3:$IN$3,"&lt;="&amp;TODAY())+N(Q697))/(SUMIFS($AF697:$IN697,$AF$4:$IN$4,"SEW_PLAN")/COUNTIFS($AF$4:$IN$4,"SEW_PLAN",$AF697:$IN697,"&gt;0")),1),0))</f>
        <v/>
      </c>
      <c r="AE697" s="26">
        <f>IF($E697="","",IF(AND(Z697&gt;0,OR(AND(M697&lt;&gt;"",TODAY()&gt;M697),AND(V697&lt;&gt;"",V697-TODAY()&lt;=7))),"Yes","No"))</f>
        <v/>
      </c>
      <c r="AH697">
        <f>IF(OR(AF$3="",AF$3&gt;TODAY()),"",IF(AND(AF697="",AG697=""),"",N(AG697)-N(AF697)))</f>
        <v/>
      </c>
      <c r="AK697">
        <f>IF(OR(AF$3="",AF$3&gt;TODAY()),"",IF(AND(AI697="",AJ697=""),"",N(AJ697)-N(AI697)))</f>
        <v/>
      </c>
      <c r="AO697">
        <f>IF(OR(AM$3="",AM$3&gt;TODAY()),"",IF(AND(AM697="",AN697=""),"",N(AN697)-N(AM697)))</f>
        <v/>
      </c>
      <c r="AR697">
        <f>IF(OR(AM$3="",AM$3&gt;TODAY()),"",IF(AND(AP697="",AQ697=""),"",N(AQ697)-N(AP697)))</f>
        <v/>
      </c>
      <c r="AV697">
        <f>IF(OR(AT$3="",AT$3&gt;TODAY()),"",IF(AND(AT697="",AU697=""),"",N(AU697)-N(AT697)))</f>
        <v/>
      </c>
      <c r="AY697">
        <f>IF(OR(AT$3="",AT$3&gt;TODAY()),"",IF(AND(AW697="",AX697=""),"",N(AX697)-N(AW697)))</f>
        <v/>
      </c>
      <c r="BC697">
        <f>IF(OR(BA$3="",BA$3&gt;TODAY()),"",IF(AND(BA697="",BB697=""),"",N(BB697)-N(BA697)))</f>
        <v/>
      </c>
      <c r="BF697">
        <f>IF(OR(BA$3="",BA$3&gt;TODAY()),"",IF(AND(BD697="",BE697=""),"",N(BE697)-N(BD697)))</f>
        <v/>
      </c>
      <c r="BJ697">
        <f>IF(OR(BH$3="",BH$3&gt;TODAY()),"",IF(AND(BH697="",BI697=""),"",N(BI697)-N(BH697)))</f>
        <v/>
      </c>
      <c r="BM697">
        <f>IF(OR(BH$3="",BH$3&gt;TODAY()),"",IF(AND(BK697="",BL697=""),"",N(BL697)-N(BK697)))</f>
        <v/>
      </c>
      <c r="BQ697">
        <f>IF(OR(BO$3="",BO$3&gt;TODAY()),"",IF(AND(BO697="",BP697=""),"",N(BP697)-N(BO697)))</f>
        <v/>
      </c>
      <c r="BT697">
        <f>IF(OR(BO$3="",BO$3&gt;TODAY()),"",IF(AND(BR697="",BS697=""),"",N(BS697)-N(BR697)))</f>
        <v/>
      </c>
      <c r="BX697">
        <f>IF(OR(BV$3="",BV$3&gt;TODAY()),"",IF(AND(BV697="",BW697=""),"",N(BW697)-N(BV697)))</f>
        <v/>
      </c>
      <c r="CA697">
        <f>IF(OR(BV$3="",BV$3&gt;TODAY()),"",IF(AND(BY697="",BZ697=""),"",N(BZ697)-N(BY697)))</f>
        <v/>
      </c>
      <c r="CE697">
        <f>IF(OR(CC$3="",CC$3&gt;TODAY()),"",IF(AND(CC697="",CD697=""),"",N(CD697)-N(CC697)))</f>
        <v/>
      </c>
      <c r="CH697">
        <f>IF(OR(CC$3="",CC$3&gt;TODAY()),"",IF(AND(CF697="",CG697=""),"",N(CG697)-N(CF697)))</f>
        <v/>
      </c>
      <c r="CL697">
        <f>IF(OR(CJ$3="",CJ$3&gt;TODAY()),"",IF(AND(CJ697="",CK697=""),"",N(CK697)-N(CJ697)))</f>
        <v/>
      </c>
      <c r="CO697">
        <f>IF(OR(CJ$3="",CJ$3&gt;TODAY()),"",IF(AND(CM697="",CN697=""),"",N(CN697)-N(CM697)))</f>
        <v/>
      </c>
      <c r="CS697">
        <f>IF(OR(CQ$3="",CQ$3&gt;TODAY()),"",IF(AND(CQ697="",CR697=""),"",N(CR697)-N(CQ697)))</f>
        <v/>
      </c>
      <c r="CV697">
        <f>IF(OR(CQ$3="",CQ$3&gt;TODAY()),"",IF(AND(CT697="",CU697=""),"",N(CU697)-N(CT697)))</f>
        <v/>
      </c>
      <c r="CZ697">
        <f>IF(OR(CX$3="",CX$3&gt;TODAY()),"",IF(AND(CX697="",CY697=""),"",N(CY697)-N(CX697)))</f>
        <v/>
      </c>
      <c r="DC697">
        <f>IF(OR(CX$3="",CX$3&gt;TODAY()),"",IF(AND(DA697="",DB697=""),"",N(DB697)-N(DA697)))</f>
        <v/>
      </c>
      <c r="DG697">
        <f>IF(OR(DE$3="",DE$3&gt;TODAY()),"",IF(AND(DE697="",DF697=""),"",N(DF697)-N(DE697)))</f>
        <v/>
      </c>
      <c r="DJ697">
        <f>IF(OR(DE$3="",DE$3&gt;TODAY()),"",IF(AND(DH697="",DI697=""),"",N(DI697)-N(DH697)))</f>
        <v/>
      </c>
      <c r="DN697">
        <f>IF(OR(DL$3="",DL$3&gt;TODAY()),"",IF(AND(DL697="",DM697=""),"",N(DM697)-N(DL697)))</f>
        <v/>
      </c>
      <c r="DQ697">
        <f>IF(OR(DL$3="",DL$3&gt;TODAY()),"",IF(AND(DO697="",DP697=""),"",N(DP697)-N(DO697)))</f>
        <v/>
      </c>
      <c r="DU697">
        <f>IF(OR(DS$3="",DS$3&gt;TODAY()),"",IF(AND(DS697="",DT697=""),"",N(DT697)-N(DS697)))</f>
        <v/>
      </c>
      <c r="DX697">
        <f>IF(OR(DS$3="",DS$3&gt;TODAY()),"",IF(AND(DV697="",DW697=""),"",N(DW697)-N(DV697)))</f>
        <v/>
      </c>
      <c r="EB697">
        <f>IF(OR(DZ$3="",DZ$3&gt;TODAY()),"",IF(AND(DZ697="",EA697=""),"",N(EA697)-N(DZ697)))</f>
        <v/>
      </c>
      <c r="EE697">
        <f>IF(OR(DZ$3="",DZ$3&gt;TODAY()),"",IF(AND(EC697="",ED697=""),"",N(ED697)-N(EC697)))</f>
        <v/>
      </c>
      <c r="EI697">
        <f>IF(OR(EG$3="",EG$3&gt;TODAY()),"",IF(AND(EG697="",EH697=""),"",N(EH697)-N(EG697)))</f>
        <v/>
      </c>
      <c r="EL697">
        <f>IF(OR(EG$3="",EG$3&gt;TODAY()),"",IF(AND(EJ697="",EK697=""),"",N(EK697)-N(EJ697)))</f>
        <v/>
      </c>
      <c r="EP697">
        <f>IF(OR(EN$3="",EN$3&gt;TODAY()),"",IF(AND(EN697="",EO697=""),"",N(EO697)-N(EN697)))</f>
        <v/>
      </c>
      <c r="ES697">
        <f>IF(OR(EN$3="",EN$3&gt;TODAY()),"",IF(AND(EQ697="",ER697=""),"",N(ER697)-N(EQ697)))</f>
        <v/>
      </c>
      <c r="EW697">
        <f>IF(OR(EU$3="",EU$3&gt;TODAY()),"",IF(AND(EU697="",EV697=""),"",N(EV697)-N(EU697)))</f>
        <v/>
      </c>
      <c r="EZ697">
        <f>IF(OR(EU$3="",EU$3&gt;TODAY()),"",IF(AND(EX697="",EY697=""),"",N(EY697)-N(EX697)))</f>
        <v/>
      </c>
      <c r="FD697">
        <f>IF(OR(FB$3="",FB$3&gt;TODAY()),"",IF(AND(FB697="",FC697=""),"",N(FC697)-N(FB697)))</f>
        <v/>
      </c>
      <c r="FG697">
        <f>IF(OR(FB$3="",FB$3&gt;TODAY()),"",IF(AND(FE697="",FF697=""),"",N(FF697)-N(FE697)))</f>
        <v/>
      </c>
      <c r="FK697">
        <f>IF(OR(FI$3="",FI$3&gt;TODAY()),"",IF(AND(FI697="",FJ697=""),"",N(FJ697)-N(FI697)))</f>
        <v/>
      </c>
      <c r="FN697">
        <f>IF(OR(FI$3="",FI$3&gt;TODAY()),"",IF(AND(FL697="",FM697=""),"",N(FM697)-N(FL697)))</f>
        <v/>
      </c>
      <c r="FR697">
        <f>IF(OR(FP$3="",FP$3&gt;TODAY()),"",IF(AND(FP697="",FQ697=""),"",N(FQ697)-N(FP697)))</f>
        <v/>
      </c>
      <c r="FU697">
        <f>IF(OR(FP$3="",FP$3&gt;TODAY()),"",IF(AND(FS697="",FT697=""),"",N(FT697)-N(FS697)))</f>
        <v/>
      </c>
      <c r="FY697">
        <f>IF(OR(FW$3="",FW$3&gt;TODAY()),"",IF(AND(FW697="",FX697=""),"",N(FX697)-N(FW697)))</f>
        <v/>
      </c>
      <c r="GB697">
        <f>IF(OR(FW$3="",FW$3&gt;TODAY()),"",IF(AND(FZ697="",GA697=""),"",N(GA697)-N(FZ697)))</f>
        <v/>
      </c>
      <c r="GF697">
        <f>IF(OR(GD$3="",GD$3&gt;TODAY()),"",IF(AND(GD697="",GE697=""),"",N(GE697)-N(GD697)))</f>
        <v/>
      </c>
      <c r="GI697">
        <f>IF(OR(GD$3="",GD$3&gt;TODAY()),"",IF(AND(GG697="",GH697=""),"",N(GH697)-N(GG697)))</f>
        <v/>
      </c>
      <c r="GM697">
        <f>IF(OR(GK$3="",GK$3&gt;TODAY()),"",IF(AND(GK697="",GL697=""),"",N(GL697)-N(GK697)))</f>
        <v/>
      </c>
      <c r="GP697">
        <f>IF(OR(GK$3="",GK$3&gt;TODAY()),"",IF(AND(GN697="",GO697=""),"",N(GO697)-N(GN697)))</f>
        <v/>
      </c>
      <c r="GT697">
        <f>IF(OR(GR$3="",GR$3&gt;TODAY()),"",IF(AND(GR697="",GS697=""),"",N(GS697)-N(GR697)))</f>
        <v/>
      </c>
      <c r="GW697">
        <f>IF(OR(GR$3="",GR$3&gt;TODAY()),"",IF(AND(GU697="",GV697=""),"",N(GV697)-N(GU697)))</f>
        <v/>
      </c>
      <c r="HA697">
        <f>IF(OR(GY$3="",GY$3&gt;TODAY()),"",IF(AND(GY697="",GZ697=""),"",N(GZ697)-N(GY697)))</f>
        <v/>
      </c>
      <c r="HD697">
        <f>IF(OR(GY$3="",GY$3&gt;TODAY()),"",IF(AND(HB697="",HC697=""),"",N(HC697)-N(HB697)))</f>
        <v/>
      </c>
      <c r="HH697">
        <f>IF(OR(HF$3="",HF$3&gt;TODAY()),"",IF(AND(HF697="",HG697=""),"",N(HG697)-N(HF697)))</f>
        <v/>
      </c>
      <c r="HK697">
        <f>IF(OR(HF$3="",HF$3&gt;TODAY()),"",IF(AND(HI697="",HJ697=""),"",N(HJ697)-N(HI697)))</f>
        <v/>
      </c>
      <c r="HO697">
        <f>IF(OR(HM$3="",HM$3&gt;TODAY()),"",IF(AND(HM697="",HN697=""),"",N(HN697)-N(HM697)))</f>
        <v/>
      </c>
      <c r="HR697">
        <f>IF(OR(HM$3="",HM$3&gt;TODAY()),"",IF(AND(HP697="",HQ697=""),"",N(HQ697)-N(HP697)))</f>
        <v/>
      </c>
      <c r="HV697">
        <f>IF(OR(HT$3="",HT$3&gt;TODAY()),"",IF(AND(HT697="",HU697=""),"",N(HU697)-N(HT697)))</f>
        <v/>
      </c>
      <c r="HY697">
        <f>IF(OR(HT$3="",HT$3&gt;TODAY()),"",IF(AND(HW697="",HX697=""),"",N(HX697)-N(HW697)))</f>
        <v/>
      </c>
      <c r="IC697">
        <f>IF(OR(IA$3="",IA$3&gt;TODAY()),"",IF(AND(IA697="",IB697=""),"",N(IB697)-N(IA697)))</f>
        <v/>
      </c>
      <c r="IF697">
        <f>IF(OR(IA$3="",IA$3&gt;TODAY()),"",IF(AND(ID697="",IE697=""),"",N(IE697)-N(ID697)))</f>
        <v/>
      </c>
      <c r="IJ697">
        <f>IF(OR(IH$3="",IH$3&gt;TODAY()),"",IF(AND(IH697="",II697=""),"",N(II697)-N(IH697)))</f>
        <v/>
      </c>
      <c r="IM697">
        <f>IF(OR(IH$3="",IH$3&gt;TODAY()),"",IF(AND(IK697="",IL697=""),"",N(IL697)-N(IK697)))</f>
        <v/>
      </c>
    </row>
    <row r="698">
      <c r="A698" s="21" t="n"/>
      <c r="B698" s="21" t="n"/>
      <c r="C698" s="21" t="n"/>
      <c r="D698" s="21" t="n"/>
      <c r="E698" s="21" t="n"/>
      <c r="F698" s="21" t="n"/>
      <c r="G698" s="21" t="n"/>
      <c r="H698" s="21" t="n"/>
      <c r="I698" s="22" t="n"/>
      <c r="J698" s="22" t="n"/>
      <c r="K698" s="23" t="n"/>
      <c r="L698" s="22" t="n"/>
      <c r="M698" s="22" t="n"/>
      <c r="N698" s="21" t="n"/>
      <c r="O698" s="23" t="n"/>
      <c r="P698" s="23" t="n"/>
      <c r="Q698" s="23" t="n"/>
      <c r="R698" s="23" t="n"/>
      <c r="S698" s="22" t="n"/>
      <c r="T698" s="23" t="n"/>
      <c r="U698" s="23" t="n"/>
      <c r="V698" s="24">
        <f>IF(J698&lt;&gt;"",J698,IF(I698&lt;&gt;"",I698,""))</f>
        <v/>
      </c>
      <c r="W698" s="25">
        <f>IF($E698="","",N(O698)+SUMIFS($AF698:$IN698,$AF$4:$IN$4,"SEW_ACT"))</f>
        <v/>
      </c>
      <c r="X698" s="25">
        <f>IF($E698="","",N(P698)+SUMIFS($AF698:$IN698,$AF$4:$IN$4,"WASH_ACT"))</f>
        <v/>
      </c>
      <c r="Y698" s="25">
        <f>IF($E698="","",W698-X698-N(T698)-N(U698))</f>
        <v/>
      </c>
      <c r="Z698" s="25">
        <f>IF($E698="","",IF(N(K698)-X698&lt;=0.02*N(K698),0,N(K698)-X698))</f>
        <v/>
      </c>
      <c r="AA698" s="24">
        <f>IF($E698="","",IF(S698&lt;&gt;"",S698,IF(N(O698)&gt;0,IF(L698&lt;&gt;"",L698,99999),IFERROR(1/(1/_xlfn.MINIFS($AF$3:$IN$3,$AF$4:$IN$4,"SEW_ACT",$AF698:$IN698,"&gt;0")),99999))))</f>
        <v/>
      </c>
      <c r="AB698" s="26">
        <f>IF(OR($E698="",Z698=0,V698=""),"",1+COUNTIFS(Z$8:Z$707,"&gt;0",V$8:V$707,"&lt;"&amp;V698)+COUNTIFS(Z$8:Z$707,"&gt;0",V$8:V$707,V698,AA$8:AA$707,"&lt;"&amp;AA698)+COUNTIFS(Z$8:Z$707,"&gt;0",V$8:V$707,V698,AA$8:AA$707,AA698,E$8:E$707,"&lt;"&amp;$E698))</f>
        <v/>
      </c>
      <c r="AC698" s="24">
        <f>IF(OR($E698="",Z698=0),"",IFERROR(TODAY()+ROUNDUP(Z698/(SUMIFS($AF698:$IN698,$AF$4:$IN$4,"WASH_ACT")/COUNTIFS($AF$4:$IN$4,"WASH_ACT",$AF698:$IN698,"&gt;0")),0),"no output yet"))</f>
        <v/>
      </c>
      <c r="AD698" s="26">
        <f>IF($E698="","",IFERROR(ROUND(MAX(0,SUMIFS($AF698:$IN698,$AF$4:$IN$4,"SEW_PLAN",$AF$3:$IN$3,"&lt;="&amp;TODAY())-SUMIFS($AF698:$IN698,$AF$4:$IN$4,"SEW_ACT",$AF$3:$IN$3,"&lt;="&amp;TODAY())+N(Q698))/(SUMIFS($AF698:$IN698,$AF$4:$IN$4,"SEW_PLAN")/COUNTIFS($AF$4:$IN$4,"SEW_PLAN",$AF698:$IN698,"&gt;0")),1),0))</f>
        <v/>
      </c>
      <c r="AE698" s="26">
        <f>IF($E698="","",IF(AND(Z698&gt;0,OR(AND(M698&lt;&gt;"",TODAY()&gt;M698),AND(V698&lt;&gt;"",V698-TODAY()&lt;=7))),"Yes","No"))</f>
        <v/>
      </c>
      <c r="AH698">
        <f>IF(OR(AF$3="",AF$3&gt;TODAY()),"",IF(AND(AF698="",AG698=""),"",N(AG698)-N(AF698)))</f>
        <v/>
      </c>
      <c r="AK698">
        <f>IF(OR(AF$3="",AF$3&gt;TODAY()),"",IF(AND(AI698="",AJ698=""),"",N(AJ698)-N(AI698)))</f>
        <v/>
      </c>
      <c r="AO698">
        <f>IF(OR(AM$3="",AM$3&gt;TODAY()),"",IF(AND(AM698="",AN698=""),"",N(AN698)-N(AM698)))</f>
        <v/>
      </c>
      <c r="AR698">
        <f>IF(OR(AM$3="",AM$3&gt;TODAY()),"",IF(AND(AP698="",AQ698=""),"",N(AQ698)-N(AP698)))</f>
        <v/>
      </c>
      <c r="AV698">
        <f>IF(OR(AT$3="",AT$3&gt;TODAY()),"",IF(AND(AT698="",AU698=""),"",N(AU698)-N(AT698)))</f>
        <v/>
      </c>
      <c r="AY698">
        <f>IF(OR(AT$3="",AT$3&gt;TODAY()),"",IF(AND(AW698="",AX698=""),"",N(AX698)-N(AW698)))</f>
        <v/>
      </c>
      <c r="BC698">
        <f>IF(OR(BA$3="",BA$3&gt;TODAY()),"",IF(AND(BA698="",BB698=""),"",N(BB698)-N(BA698)))</f>
        <v/>
      </c>
      <c r="BF698">
        <f>IF(OR(BA$3="",BA$3&gt;TODAY()),"",IF(AND(BD698="",BE698=""),"",N(BE698)-N(BD698)))</f>
        <v/>
      </c>
      <c r="BJ698">
        <f>IF(OR(BH$3="",BH$3&gt;TODAY()),"",IF(AND(BH698="",BI698=""),"",N(BI698)-N(BH698)))</f>
        <v/>
      </c>
      <c r="BM698">
        <f>IF(OR(BH$3="",BH$3&gt;TODAY()),"",IF(AND(BK698="",BL698=""),"",N(BL698)-N(BK698)))</f>
        <v/>
      </c>
      <c r="BQ698">
        <f>IF(OR(BO$3="",BO$3&gt;TODAY()),"",IF(AND(BO698="",BP698=""),"",N(BP698)-N(BO698)))</f>
        <v/>
      </c>
      <c r="BT698">
        <f>IF(OR(BO$3="",BO$3&gt;TODAY()),"",IF(AND(BR698="",BS698=""),"",N(BS698)-N(BR698)))</f>
        <v/>
      </c>
      <c r="BX698">
        <f>IF(OR(BV$3="",BV$3&gt;TODAY()),"",IF(AND(BV698="",BW698=""),"",N(BW698)-N(BV698)))</f>
        <v/>
      </c>
      <c r="CA698">
        <f>IF(OR(BV$3="",BV$3&gt;TODAY()),"",IF(AND(BY698="",BZ698=""),"",N(BZ698)-N(BY698)))</f>
        <v/>
      </c>
      <c r="CE698">
        <f>IF(OR(CC$3="",CC$3&gt;TODAY()),"",IF(AND(CC698="",CD698=""),"",N(CD698)-N(CC698)))</f>
        <v/>
      </c>
      <c r="CH698">
        <f>IF(OR(CC$3="",CC$3&gt;TODAY()),"",IF(AND(CF698="",CG698=""),"",N(CG698)-N(CF698)))</f>
        <v/>
      </c>
      <c r="CL698">
        <f>IF(OR(CJ$3="",CJ$3&gt;TODAY()),"",IF(AND(CJ698="",CK698=""),"",N(CK698)-N(CJ698)))</f>
        <v/>
      </c>
      <c r="CO698">
        <f>IF(OR(CJ$3="",CJ$3&gt;TODAY()),"",IF(AND(CM698="",CN698=""),"",N(CN698)-N(CM698)))</f>
        <v/>
      </c>
      <c r="CS698">
        <f>IF(OR(CQ$3="",CQ$3&gt;TODAY()),"",IF(AND(CQ698="",CR698=""),"",N(CR698)-N(CQ698)))</f>
        <v/>
      </c>
      <c r="CV698">
        <f>IF(OR(CQ$3="",CQ$3&gt;TODAY()),"",IF(AND(CT698="",CU698=""),"",N(CU698)-N(CT698)))</f>
        <v/>
      </c>
      <c r="CZ698">
        <f>IF(OR(CX$3="",CX$3&gt;TODAY()),"",IF(AND(CX698="",CY698=""),"",N(CY698)-N(CX698)))</f>
        <v/>
      </c>
      <c r="DC698">
        <f>IF(OR(CX$3="",CX$3&gt;TODAY()),"",IF(AND(DA698="",DB698=""),"",N(DB698)-N(DA698)))</f>
        <v/>
      </c>
      <c r="DG698">
        <f>IF(OR(DE$3="",DE$3&gt;TODAY()),"",IF(AND(DE698="",DF698=""),"",N(DF698)-N(DE698)))</f>
        <v/>
      </c>
      <c r="DJ698">
        <f>IF(OR(DE$3="",DE$3&gt;TODAY()),"",IF(AND(DH698="",DI698=""),"",N(DI698)-N(DH698)))</f>
        <v/>
      </c>
      <c r="DN698">
        <f>IF(OR(DL$3="",DL$3&gt;TODAY()),"",IF(AND(DL698="",DM698=""),"",N(DM698)-N(DL698)))</f>
        <v/>
      </c>
      <c r="DQ698">
        <f>IF(OR(DL$3="",DL$3&gt;TODAY()),"",IF(AND(DO698="",DP698=""),"",N(DP698)-N(DO698)))</f>
        <v/>
      </c>
      <c r="DU698">
        <f>IF(OR(DS$3="",DS$3&gt;TODAY()),"",IF(AND(DS698="",DT698=""),"",N(DT698)-N(DS698)))</f>
        <v/>
      </c>
      <c r="DX698">
        <f>IF(OR(DS$3="",DS$3&gt;TODAY()),"",IF(AND(DV698="",DW698=""),"",N(DW698)-N(DV698)))</f>
        <v/>
      </c>
      <c r="EB698">
        <f>IF(OR(DZ$3="",DZ$3&gt;TODAY()),"",IF(AND(DZ698="",EA698=""),"",N(EA698)-N(DZ698)))</f>
        <v/>
      </c>
      <c r="EE698">
        <f>IF(OR(DZ$3="",DZ$3&gt;TODAY()),"",IF(AND(EC698="",ED698=""),"",N(ED698)-N(EC698)))</f>
        <v/>
      </c>
      <c r="EI698">
        <f>IF(OR(EG$3="",EG$3&gt;TODAY()),"",IF(AND(EG698="",EH698=""),"",N(EH698)-N(EG698)))</f>
        <v/>
      </c>
      <c r="EL698">
        <f>IF(OR(EG$3="",EG$3&gt;TODAY()),"",IF(AND(EJ698="",EK698=""),"",N(EK698)-N(EJ698)))</f>
        <v/>
      </c>
      <c r="EP698">
        <f>IF(OR(EN$3="",EN$3&gt;TODAY()),"",IF(AND(EN698="",EO698=""),"",N(EO698)-N(EN698)))</f>
        <v/>
      </c>
      <c r="ES698">
        <f>IF(OR(EN$3="",EN$3&gt;TODAY()),"",IF(AND(EQ698="",ER698=""),"",N(ER698)-N(EQ698)))</f>
        <v/>
      </c>
      <c r="EW698">
        <f>IF(OR(EU$3="",EU$3&gt;TODAY()),"",IF(AND(EU698="",EV698=""),"",N(EV698)-N(EU698)))</f>
        <v/>
      </c>
      <c r="EZ698">
        <f>IF(OR(EU$3="",EU$3&gt;TODAY()),"",IF(AND(EX698="",EY698=""),"",N(EY698)-N(EX698)))</f>
        <v/>
      </c>
      <c r="FD698">
        <f>IF(OR(FB$3="",FB$3&gt;TODAY()),"",IF(AND(FB698="",FC698=""),"",N(FC698)-N(FB698)))</f>
        <v/>
      </c>
      <c r="FG698">
        <f>IF(OR(FB$3="",FB$3&gt;TODAY()),"",IF(AND(FE698="",FF698=""),"",N(FF698)-N(FE698)))</f>
        <v/>
      </c>
      <c r="FK698">
        <f>IF(OR(FI$3="",FI$3&gt;TODAY()),"",IF(AND(FI698="",FJ698=""),"",N(FJ698)-N(FI698)))</f>
        <v/>
      </c>
      <c r="FN698">
        <f>IF(OR(FI$3="",FI$3&gt;TODAY()),"",IF(AND(FL698="",FM698=""),"",N(FM698)-N(FL698)))</f>
        <v/>
      </c>
      <c r="FR698">
        <f>IF(OR(FP$3="",FP$3&gt;TODAY()),"",IF(AND(FP698="",FQ698=""),"",N(FQ698)-N(FP698)))</f>
        <v/>
      </c>
      <c r="FU698">
        <f>IF(OR(FP$3="",FP$3&gt;TODAY()),"",IF(AND(FS698="",FT698=""),"",N(FT698)-N(FS698)))</f>
        <v/>
      </c>
      <c r="FY698">
        <f>IF(OR(FW$3="",FW$3&gt;TODAY()),"",IF(AND(FW698="",FX698=""),"",N(FX698)-N(FW698)))</f>
        <v/>
      </c>
      <c r="GB698">
        <f>IF(OR(FW$3="",FW$3&gt;TODAY()),"",IF(AND(FZ698="",GA698=""),"",N(GA698)-N(FZ698)))</f>
        <v/>
      </c>
      <c r="GF698">
        <f>IF(OR(GD$3="",GD$3&gt;TODAY()),"",IF(AND(GD698="",GE698=""),"",N(GE698)-N(GD698)))</f>
        <v/>
      </c>
      <c r="GI698">
        <f>IF(OR(GD$3="",GD$3&gt;TODAY()),"",IF(AND(GG698="",GH698=""),"",N(GH698)-N(GG698)))</f>
        <v/>
      </c>
      <c r="GM698">
        <f>IF(OR(GK$3="",GK$3&gt;TODAY()),"",IF(AND(GK698="",GL698=""),"",N(GL698)-N(GK698)))</f>
        <v/>
      </c>
      <c r="GP698">
        <f>IF(OR(GK$3="",GK$3&gt;TODAY()),"",IF(AND(GN698="",GO698=""),"",N(GO698)-N(GN698)))</f>
        <v/>
      </c>
      <c r="GT698">
        <f>IF(OR(GR$3="",GR$3&gt;TODAY()),"",IF(AND(GR698="",GS698=""),"",N(GS698)-N(GR698)))</f>
        <v/>
      </c>
      <c r="GW698">
        <f>IF(OR(GR$3="",GR$3&gt;TODAY()),"",IF(AND(GU698="",GV698=""),"",N(GV698)-N(GU698)))</f>
        <v/>
      </c>
      <c r="HA698">
        <f>IF(OR(GY$3="",GY$3&gt;TODAY()),"",IF(AND(GY698="",GZ698=""),"",N(GZ698)-N(GY698)))</f>
        <v/>
      </c>
      <c r="HD698">
        <f>IF(OR(GY$3="",GY$3&gt;TODAY()),"",IF(AND(HB698="",HC698=""),"",N(HC698)-N(HB698)))</f>
        <v/>
      </c>
      <c r="HH698">
        <f>IF(OR(HF$3="",HF$3&gt;TODAY()),"",IF(AND(HF698="",HG698=""),"",N(HG698)-N(HF698)))</f>
        <v/>
      </c>
      <c r="HK698">
        <f>IF(OR(HF$3="",HF$3&gt;TODAY()),"",IF(AND(HI698="",HJ698=""),"",N(HJ698)-N(HI698)))</f>
        <v/>
      </c>
      <c r="HO698">
        <f>IF(OR(HM$3="",HM$3&gt;TODAY()),"",IF(AND(HM698="",HN698=""),"",N(HN698)-N(HM698)))</f>
        <v/>
      </c>
      <c r="HR698">
        <f>IF(OR(HM$3="",HM$3&gt;TODAY()),"",IF(AND(HP698="",HQ698=""),"",N(HQ698)-N(HP698)))</f>
        <v/>
      </c>
      <c r="HV698">
        <f>IF(OR(HT$3="",HT$3&gt;TODAY()),"",IF(AND(HT698="",HU698=""),"",N(HU698)-N(HT698)))</f>
        <v/>
      </c>
      <c r="HY698">
        <f>IF(OR(HT$3="",HT$3&gt;TODAY()),"",IF(AND(HW698="",HX698=""),"",N(HX698)-N(HW698)))</f>
        <v/>
      </c>
      <c r="IC698">
        <f>IF(OR(IA$3="",IA$3&gt;TODAY()),"",IF(AND(IA698="",IB698=""),"",N(IB698)-N(IA698)))</f>
        <v/>
      </c>
      <c r="IF698">
        <f>IF(OR(IA$3="",IA$3&gt;TODAY()),"",IF(AND(ID698="",IE698=""),"",N(IE698)-N(ID698)))</f>
        <v/>
      </c>
      <c r="IJ698">
        <f>IF(OR(IH$3="",IH$3&gt;TODAY()),"",IF(AND(IH698="",II698=""),"",N(II698)-N(IH698)))</f>
        <v/>
      </c>
      <c r="IM698">
        <f>IF(OR(IH$3="",IH$3&gt;TODAY()),"",IF(AND(IK698="",IL698=""),"",N(IL698)-N(IK698)))</f>
        <v/>
      </c>
    </row>
    <row r="699">
      <c r="A699" s="21" t="n"/>
      <c r="B699" s="21" t="n"/>
      <c r="C699" s="21" t="n"/>
      <c r="D699" s="21" t="n"/>
      <c r="E699" s="21" t="n"/>
      <c r="F699" s="21" t="n"/>
      <c r="G699" s="21" t="n"/>
      <c r="H699" s="21" t="n"/>
      <c r="I699" s="22" t="n"/>
      <c r="J699" s="22" t="n"/>
      <c r="K699" s="23" t="n"/>
      <c r="L699" s="22" t="n"/>
      <c r="M699" s="22" t="n"/>
      <c r="N699" s="21" t="n"/>
      <c r="O699" s="23" t="n"/>
      <c r="P699" s="23" t="n"/>
      <c r="Q699" s="23" t="n"/>
      <c r="R699" s="23" t="n"/>
      <c r="S699" s="22" t="n"/>
      <c r="T699" s="23" t="n"/>
      <c r="U699" s="23" t="n"/>
      <c r="V699" s="24">
        <f>IF(J699&lt;&gt;"",J699,IF(I699&lt;&gt;"",I699,""))</f>
        <v/>
      </c>
      <c r="W699" s="25">
        <f>IF($E699="","",N(O699)+SUMIFS($AF699:$IN699,$AF$4:$IN$4,"SEW_ACT"))</f>
        <v/>
      </c>
      <c r="X699" s="25">
        <f>IF($E699="","",N(P699)+SUMIFS($AF699:$IN699,$AF$4:$IN$4,"WASH_ACT"))</f>
        <v/>
      </c>
      <c r="Y699" s="25">
        <f>IF($E699="","",W699-X699-N(T699)-N(U699))</f>
        <v/>
      </c>
      <c r="Z699" s="25">
        <f>IF($E699="","",IF(N(K699)-X699&lt;=0.02*N(K699),0,N(K699)-X699))</f>
        <v/>
      </c>
      <c r="AA699" s="24">
        <f>IF($E699="","",IF(S699&lt;&gt;"",S699,IF(N(O699)&gt;0,IF(L699&lt;&gt;"",L699,99999),IFERROR(1/(1/_xlfn.MINIFS($AF$3:$IN$3,$AF$4:$IN$4,"SEW_ACT",$AF699:$IN699,"&gt;0")),99999))))</f>
        <v/>
      </c>
      <c r="AB699" s="26">
        <f>IF(OR($E699="",Z699=0,V699=""),"",1+COUNTIFS(Z$8:Z$707,"&gt;0",V$8:V$707,"&lt;"&amp;V699)+COUNTIFS(Z$8:Z$707,"&gt;0",V$8:V$707,V699,AA$8:AA$707,"&lt;"&amp;AA699)+COUNTIFS(Z$8:Z$707,"&gt;0",V$8:V$707,V699,AA$8:AA$707,AA699,E$8:E$707,"&lt;"&amp;$E699))</f>
        <v/>
      </c>
      <c r="AC699" s="24">
        <f>IF(OR($E699="",Z699=0),"",IFERROR(TODAY()+ROUNDUP(Z699/(SUMIFS($AF699:$IN699,$AF$4:$IN$4,"WASH_ACT")/COUNTIFS($AF$4:$IN$4,"WASH_ACT",$AF699:$IN699,"&gt;0")),0),"no output yet"))</f>
        <v/>
      </c>
      <c r="AD699" s="26">
        <f>IF($E699="","",IFERROR(ROUND(MAX(0,SUMIFS($AF699:$IN699,$AF$4:$IN$4,"SEW_PLAN",$AF$3:$IN$3,"&lt;="&amp;TODAY())-SUMIFS($AF699:$IN699,$AF$4:$IN$4,"SEW_ACT",$AF$3:$IN$3,"&lt;="&amp;TODAY())+N(Q699))/(SUMIFS($AF699:$IN699,$AF$4:$IN$4,"SEW_PLAN")/COUNTIFS($AF$4:$IN$4,"SEW_PLAN",$AF699:$IN699,"&gt;0")),1),0))</f>
        <v/>
      </c>
      <c r="AE699" s="26">
        <f>IF($E699="","",IF(AND(Z699&gt;0,OR(AND(M699&lt;&gt;"",TODAY()&gt;M699),AND(V699&lt;&gt;"",V699-TODAY()&lt;=7))),"Yes","No"))</f>
        <v/>
      </c>
      <c r="AH699">
        <f>IF(OR(AF$3="",AF$3&gt;TODAY()),"",IF(AND(AF699="",AG699=""),"",N(AG699)-N(AF699)))</f>
        <v/>
      </c>
      <c r="AK699">
        <f>IF(OR(AF$3="",AF$3&gt;TODAY()),"",IF(AND(AI699="",AJ699=""),"",N(AJ699)-N(AI699)))</f>
        <v/>
      </c>
      <c r="AO699">
        <f>IF(OR(AM$3="",AM$3&gt;TODAY()),"",IF(AND(AM699="",AN699=""),"",N(AN699)-N(AM699)))</f>
        <v/>
      </c>
      <c r="AR699">
        <f>IF(OR(AM$3="",AM$3&gt;TODAY()),"",IF(AND(AP699="",AQ699=""),"",N(AQ699)-N(AP699)))</f>
        <v/>
      </c>
      <c r="AV699">
        <f>IF(OR(AT$3="",AT$3&gt;TODAY()),"",IF(AND(AT699="",AU699=""),"",N(AU699)-N(AT699)))</f>
        <v/>
      </c>
      <c r="AY699">
        <f>IF(OR(AT$3="",AT$3&gt;TODAY()),"",IF(AND(AW699="",AX699=""),"",N(AX699)-N(AW699)))</f>
        <v/>
      </c>
      <c r="BC699">
        <f>IF(OR(BA$3="",BA$3&gt;TODAY()),"",IF(AND(BA699="",BB699=""),"",N(BB699)-N(BA699)))</f>
        <v/>
      </c>
      <c r="BF699">
        <f>IF(OR(BA$3="",BA$3&gt;TODAY()),"",IF(AND(BD699="",BE699=""),"",N(BE699)-N(BD699)))</f>
        <v/>
      </c>
      <c r="BJ699">
        <f>IF(OR(BH$3="",BH$3&gt;TODAY()),"",IF(AND(BH699="",BI699=""),"",N(BI699)-N(BH699)))</f>
        <v/>
      </c>
      <c r="BM699">
        <f>IF(OR(BH$3="",BH$3&gt;TODAY()),"",IF(AND(BK699="",BL699=""),"",N(BL699)-N(BK699)))</f>
        <v/>
      </c>
      <c r="BQ699">
        <f>IF(OR(BO$3="",BO$3&gt;TODAY()),"",IF(AND(BO699="",BP699=""),"",N(BP699)-N(BO699)))</f>
        <v/>
      </c>
      <c r="BT699">
        <f>IF(OR(BO$3="",BO$3&gt;TODAY()),"",IF(AND(BR699="",BS699=""),"",N(BS699)-N(BR699)))</f>
        <v/>
      </c>
      <c r="BX699">
        <f>IF(OR(BV$3="",BV$3&gt;TODAY()),"",IF(AND(BV699="",BW699=""),"",N(BW699)-N(BV699)))</f>
        <v/>
      </c>
      <c r="CA699">
        <f>IF(OR(BV$3="",BV$3&gt;TODAY()),"",IF(AND(BY699="",BZ699=""),"",N(BZ699)-N(BY699)))</f>
        <v/>
      </c>
      <c r="CE699">
        <f>IF(OR(CC$3="",CC$3&gt;TODAY()),"",IF(AND(CC699="",CD699=""),"",N(CD699)-N(CC699)))</f>
        <v/>
      </c>
      <c r="CH699">
        <f>IF(OR(CC$3="",CC$3&gt;TODAY()),"",IF(AND(CF699="",CG699=""),"",N(CG699)-N(CF699)))</f>
        <v/>
      </c>
      <c r="CL699">
        <f>IF(OR(CJ$3="",CJ$3&gt;TODAY()),"",IF(AND(CJ699="",CK699=""),"",N(CK699)-N(CJ699)))</f>
        <v/>
      </c>
      <c r="CO699">
        <f>IF(OR(CJ$3="",CJ$3&gt;TODAY()),"",IF(AND(CM699="",CN699=""),"",N(CN699)-N(CM699)))</f>
        <v/>
      </c>
      <c r="CS699">
        <f>IF(OR(CQ$3="",CQ$3&gt;TODAY()),"",IF(AND(CQ699="",CR699=""),"",N(CR699)-N(CQ699)))</f>
        <v/>
      </c>
      <c r="CV699">
        <f>IF(OR(CQ$3="",CQ$3&gt;TODAY()),"",IF(AND(CT699="",CU699=""),"",N(CU699)-N(CT699)))</f>
        <v/>
      </c>
      <c r="CZ699">
        <f>IF(OR(CX$3="",CX$3&gt;TODAY()),"",IF(AND(CX699="",CY699=""),"",N(CY699)-N(CX699)))</f>
        <v/>
      </c>
      <c r="DC699">
        <f>IF(OR(CX$3="",CX$3&gt;TODAY()),"",IF(AND(DA699="",DB699=""),"",N(DB699)-N(DA699)))</f>
        <v/>
      </c>
      <c r="DG699">
        <f>IF(OR(DE$3="",DE$3&gt;TODAY()),"",IF(AND(DE699="",DF699=""),"",N(DF699)-N(DE699)))</f>
        <v/>
      </c>
      <c r="DJ699">
        <f>IF(OR(DE$3="",DE$3&gt;TODAY()),"",IF(AND(DH699="",DI699=""),"",N(DI699)-N(DH699)))</f>
        <v/>
      </c>
      <c r="DN699">
        <f>IF(OR(DL$3="",DL$3&gt;TODAY()),"",IF(AND(DL699="",DM699=""),"",N(DM699)-N(DL699)))</f>
        <v/>
      </c>
      <c r="DQ699">
        <f>IF(OR(DL$3="",DL$3&gt;TODAY()),"",IF(AND(DO699="",DP699=""),"",N(DP699)-N(DO699)))</f>
        <v/>
      </c>
      <c r="DU699">
        <f>IF(OR(DS$3="",DS$3&gt;TODAY()),"",IF(AND(DS699="",DT699=""),"",N(DT699)-N(DS699)))</f>
        <v/>
      </c>
      <c r="DX699">
        <f>IF(OR(DS$3="",DS$3&gt;TODAY()),"",IF(AND(DV699="",DW699=""),"",N(DW699)-N(DV699)))</f>
        <v/>
      </c>
      <c r="EB699">
        <f>IF(OR(DZ$3="",DZ$3&gt;TODAY()),"",IF(AND(DZ699="",EA699=""),"",N(EA699)-N(DZ699)))</f>
        <v/>
      </c>
      <c r="EE699">
        <f>IF(OR(DZ$3="",DZ$3&gt;TODAY()),"",IF(AND(EC699="",ED699=""),"",N(ED699)-N(EC699)))</f>
        <v/>
      </c>
      <c r="EI699">
        <f>IF(OR(EG$3="",EG$3&gt;TODAY()),"",IF(AND(EG699="",EH699=""),"",N(EH699)-N(EG699)))</f>
        <v/>
      </c>
      <c r="EL699">
        <f>IF(OR(EG$3="",EG$3&gt;TODAY()),"",IF(AND(EJ699="",EK699=""),"",N(EK699)-N(EJ699)))</f>
        <v/>
      </c>
      <c r="EP699">
        <f>IF(OR(EN$3="",EN$3&gt;TODAY()),"",IF(AND(EN699="",EO699=""),"",N(EO699)-N(EN699)))</f>
        <v/>
      </c>
      <c r="ES699">
        <f>IF(OR(EN$3="",EN$3&gt;TODAY()),"",IF(AND(EQ699="",ER699=""),"",N(ER699)-N(EQ699)))</f>
        <v/>
      </c>
      <c r="EW699">
        <f>IF(OR(EU$3="",EU$3&gt;TODAY()),"",IF(AND(EU699="",EV699=""),"",N(EV699)-N(EU699)))</f>
        <v/>
      </c>
      <c r="EZ699">
        <f>IF(OR(EU$3="",EU$3&gt;TODAY()),"",IF(AND(EX699="",EY699=""),"",N(EY699)-N(EX699)))</f>
        <v/>
      </c>
      <c r="FD699">
        <f>IF(OR(FB$3="",FB$3&gt;TODAY()),"",IF(AND(FB699="",FC699=""),"",N(FC699)-N(FB699)))</f>
        <v/>
      </c>
      <c r="FG699">
        <f>IF(OR(FB$3="",FB$3&gt;TODAY()),"",IF(AND(FE699="",FF699=""),"",N(FF699)-N(FE699)))</f>
        <v/>
      </c>
      <c r="FK699">
        <f>IF(OR(FI$3="",FI$3&gt;TODAY()),"",IF(AND(FI699="",FJ699=""),"",N(FJ699)-N(FI699)))</f>
        <v/>
      </c>
      <c r="FN699">
        <f>IF(OR(FI$3="",FI$3&gt;TODAY()),"",IF(AND(FL699="",FM699=""),"",N(FM699)-N(FL699)))</f>
        <v/>
      </c>
      <c r="FR699">
        <f>IF(OR(FP$3="",FP$3&gt;TODAY()),"",IF(AND(FP699="",FQ699=""),"",N(FQ699)-N(FP699)))</f>
        <v/>
      </c>
      <c r="FU699">
        <f>IF(OR(FP$3="",FP$3&gt;TODAY()),"",IF(AND(FS699="",FT699=""),"",N(FT699)-N(FS699)))</f>
        <v/>
      </c>
      <c r="FY699">
        <f>IF(OR(FW$3="",FW$3&gt;TODAY()),"",IF(AND(FW699="",FX699=""),"",N(FX699)-N(FW699)))</f>
        <v/>
      </c>
      <c r="GB699">
        <f>IF(OR(FW$3="",FW$3&gt;TODAY()),"",IF(AND(FZ699="",GA699=""),"",N(GA699)-N(FZ699)))</f>
        <v/>
      </c>
      <c r="GF699">
        <f>IF(OR(GD$3="",GD$3&gt;TODAY()),"",IF(AND(GD699="",GE699=""),"",N(GE699)-N(GD699)))</f>
        <v/>
      </c>
      <c r="GI699">
        <f>IF(OR(GD$3="",GD$3&gt;TODAY()),"",IF(AND(GG699="",GH699=""),"",N(GH699)-N(GG699)))</f>
        <v/>
      </c>
      <c r="GM699">
        <f>IF(OR(GK$3="",GK$3&gt;TODAY()),"",IF(AND(GK699="",GL699=""),"",N(GL699)-N(GK699)))</f>
        <v/>
      </c>
      <c r="GP699">
        <f>IF(OR(GK$3="",GK$3&gt;TODAY()),"",IF(AND(GN699="",GO699=""),"",N(GO699)-N(GN699)))</f>
        <v/>
      </c>
      <c r="GT699">
        <f>IF(OR(GR$3="",GR$3&gt;TODAY()),"",IF(AND(GR699="",GS699=""),"",N(GS699)-N(GR699)))</f>
        <v/>
      </c>
      <c r="GW699">
        <f>IF(OR(GR$3="",GR$3&gt;TODAY()),"",IF(AND(GU699="",GV699=""),"",N(GV699)-N(GU699)))</f>
        <v/>
      </c>
      <c r="HA699">
        <f>IF(OR(GY$3="",GY$3&gt;TODAY()),"",IF(AND(GY699="",GZ699=""),"",N(GZ699)-N(GY699)))</f>
        <v/>
      </c>
      <c r="HD699">
        <f>IF(OR(GY$3="",GY$3&gt;TODAY()),"",IF(AND(HB699="",HC699=""),"",N(HC699)-N(HB699)))</f>
        <v/>
      </c>
      <c r="HH699">
        <f>IF(OR(HF$3="",HF$3&gt;TODAY()),"",IF(AND(HF699="",HG699=""),"",N(HG699)-N(HF699)))</f>
        <v/>
      </c>
      <c r="HK699">
        <f>IF(OR(HF$3="",HF$3&gt;TODAY()),"",IF(AND(HI699="",HJ699=""),"",N(HJ699)-N(HI699)))</f>
        <v/>
      </c>
      <c r="HO699">
        <f>IF(OR(HM$3="",HM$3&gt;TODAY()),"",IF(AND(HM699="",HN699=""),"",N(HN699)-N(HM699)))</f>
        <v/>
      </c>
      <c r="HR699">
        <f>IF(OR(HM$3="",HM$3&gt;TODAY()),"",IF(AND(HP699="",HQ699=""),"",N(HQ699)-N(HP699)))</f>
        <v/>
      </c>
      <c r="HV699">
        <f>IF(OR(HT$3="",HT$3&gt;TODAY()),"",IF(AND(HT699="",HU699=""),"",N(HU699)-N(HT699)))</f>
        <v/>
      </c>
      <c r="HY699">
        <f>IF(OR(HT$3="",HT$3&gt;TODAY()),"",IF(AND(HW699="",HX699=""),"",N(HX699)-N(HW699)))</f>
        <v/>
      </c>
      <c r="IC699">
        <f>IF(OR(IA$3="",IA$3&gt;TODAY()),"",IF(AND(IA699="",IB699=""),"",N(IB699)-N(IA699)))</f>
        <v/>
      </c>
      <c r="IF699">
        <f>IF(OR(IA$3="",IA$3&gt;TODAY()),"",IF(AND(ID699="",IE699=""),"",N(IE699)-N(ID699)))</f>
        <v/>
      </c>
      <c r="IJ699">
        <f>IF(OR(IH$3="",IH$3&gt;TODAY()),"",IF(AND(IH699="",II699=""),"",N(II699)-N(IH699)))</f>
        <v/>
      </c>
      <c r="IM699">
        <f>IF(OR(IH$3="",IH$3&gt;TODAY()),"",IF(AND(IK699="",IL699=""),"",N(IL699)-N(IK699)))</f>
        <v/>
      </c>
    </row>
    <row r="700">
      <c r="A700" s="21" t="n"/>
      <c r="B700" s="21" t="n"/>
      <c r="C700" s="21" t="n"/>
      <c r="D700" s="21" t="n"/>
      <c r="E700" s="21" t="n"/>
      <c r="F700" s="21" t="n"/>
      <c r="G700" s="21" t="n"/>
      <c r="H700" s="21" t="n"/>
      <c r="I700" s="22" t="n"/>
      <c r="J700" s="22" t="n"/>
      <c r="K700" s="23" t="n"/>
      <c r="L700" s="22" t="n"/>
      <c r="M700" s="22" t="n"/>
      <c r="N700" s="21" t="n"/>
      <c r="O700" s="23" t="n"/>
      <c r="P700" s="23" t="n"/>
      <c r="Q700" s="23" t="n"/>
      <c r="R700" s="23" t="n"/>
      <c r="S700" s="22" t="n"/>
      <c r="T700" s="23" t="n"/>
      <c r="U700" s="23" t="n"/>
      <c r="V700" s="24">
        <f>IF(J700&lt;&gt;"",J700,IF(I700&lt;&gt;"",I700,""))</f>
        <v/>
      </c>
      <c r="W700" s="25">
        <f>IF($E700="","",N(O700)+SUMIFS($AF700:$IN700,$AF$4:$IN$4,"SEW_ACT"))</f>
        <v/>
      </c>
      <c r="X700" s="25">
        <f>IF($E700="","",N(P700)+SUMIFS($AF700:$IN700,$AF$4:$IN$4,"WASH_ACT"))</f>
        <v/>
      </c>
      <c r="Y700" s="25">
        <f>IF($E700="","",W700-X700-N(T700)-N(U700))</f>
        <v/>
      </c>
      <c r="Z700" s="25">
        <f>IF($E700="","",IF(N(K700)-X700&lt;=0.02*N(K700),0,N(K700)-X700))</f>
        <v/>
      </c>
      <c r="AA700" s="24">
        <f>IF($E700="","",IF(S700&lt;&gt;"",S700,IF(N(O700)&gt;0,IF(L700&lt;&gt;"",L700,99999),IFERROR(1/(1/_xlfn.MINIFS($AF$3:$IN$3,$AF$4:$IN$4,"SEW_ACT",$AF700:$IN700,"&gt;0")),99999))))</f>
        <v/>
      </c>
      <c r="AB700" s="26">
        <f>IF(OR($E700="",Z700=0,V700=""),"",1+COUNTIFS(Z$8:Z$707,"&gt;0",V$8:V$707,"&lt;"&amp;V700)+COUNTIFS(Z$8:Z$707,"&gt;0",V$8:V$707,V700,AA$8:AA$707,"&lt;"&amp;AA700)+COUNTIFS(Z$8:Z$707,"&gt;0",V$8:V$707,V700,AA$8:AA$707,AA700,E$8:E$707,"&lt;"&amp;$E700))</f>
        <v/>
      </c>
      <c r="AC700" s="24">
        <f>IF(OR($E700="",Z700=0),"",IFERROR(TODAY()+ROUNDUP(Z700/(SUMIFS($AF700:$IN700,$AF$4:$IN$4,"WASH_ACT")/COUNTIFS($AF$4:$IN$4,"WASH_ACT",$AF700:$IN700,"&gt;0")),0),"no output yet"))</f>
        <v/>
      </c>
      <c r="AD700" s="26">
        <f>IF($E700="","",IFERROR(ROUND(MAX(0,SUMIFS($AF700:$IN700,$AF$4:$IN$4,"SEW_PLAN",$AF$3:$IN$3,"&lt;="&amp;TODAY())-SUMIFS($AF700:$IN700,$AF$4:$IN$4,"SEW_ACT",$AF$3:$IN$3,"&lt;="&amp;TODAY())+N(Q700))/(SUMIFS($AF700:$IN700,$AF$4:$IN$4,"SEW_PLAN")/COUNTIFS($AF$4:$IN$4,"SEW_PLAN",$AF700:$IN700,"&gt;0")),1),0))</f>
        <v/>
      </c>
      <c r="AE700" s="26">
        <f>IF($E700="","",IF(AND(Z700&gt;0,OR(AND(M700&lt;&gt;"",TODAY()&gt;M700),AND(V700&lt;&gt;"",V700-TODAY()&lt;=7))),"Yes","No"))</f>
        <v/>
      </c>
      <c r="AH700">
        <f>IF(OR(AF$3="",AF$3&gt;TODAY()),"",IF(AND(AF700="",AG700=""),"",N(AG700)-N(AF700)))</f>
        <v/>
      </c>
      <c r="AK700">
        <f>IF(OR(AF$3="",AF$3&gt;TODAY()),"",IF(AND(AI700="",AJ700=""),"",N(AJ700)-N(AI700)))</f>
        <v/>
      </c>
      <c r="AO700">
        <f>IF(OR(AM$3="",AM$3&gt;TODAY()),"",IF(AND(AM700="",AN700=""),"",N(AN700)-N(AM700)))</f>
        <v/>
      </c>
      <c r="AR700">
        <f>IF(OR(AM$3="",AM$3&gt;TODAY()),"",IF(AND(AP700="",AQ700=""),"",N(AQ700)-N(AP700)))</f>
        <v/>
      </c>
      <c r="AV700">
        <f>IF(OR(AT$3="",AT$3&gt;TODAY()),"",IF(AND(AT700="",AU700=""),"",N(AU700)-N(AT700)))</f>
        <v/>
      </c>
      <c r="AY700">
        <f>IF(OR(AT$3="",AT$3&gt;TODAY()),"",IF(AND(AW700="",AX700=""),"",N(AX700)-N(AW700)))</f>
        <v/>
      </c>
      <c r="BC700">
        <f>IF(OR(BA$3="",BA$3&gt;TODAY()),"",IF(AND(BA700="",BB700=""),"",N(BB700)-N(BA700)))</f>
        <v/>
      </c>
      <c r="BF700">
        <f>IF(OR(BA$3="",BA$3&gt;TODAY()),"",IF(AND(BD700="",BE700=""),"",N(BE700)-N(BD700)))</f>
        <v/>
      </c>
      <c r="BJ700">
        <f>IF(OR(BH$3="",BH$3&gt;TODAY()),"",IF(AND(BH700="",BI700=""),"",N(BI700)-N(BH700)))</f>
        <v/>
      </c>
      <c r="BM700">
        <f>IF(OR(BH$3="",BH$3&gt;TODAY()),"",IF(AND(BK700="",BL700=""),"",N(BL700)-N(BK700)))</f>
        <v/>
      </c>
      <c r="BQ700">
        <f>IF(OR(BO$3="",BO$3&gt;TODAY()),"",IF(AND(BO700="",BP700=""),"",N(BP700)-N(BO700)))</f>
        <v/>
      </c>
      <c r="BT700">
        <f>IF(OR(BO$3="",BO$3&gt;TODAY()),"",IF(AND(BR700="",BS700=""),"",N(BS700)-N(BR700)))</f>
        <v/>
      </c>
      <c r="BX700">
        <f>IF(OR(BV$3="",BV$3&gt;TODAY()),"",IF(AND(BV700="",BW700=""),"",N(BW700)-N(BV700)))</f>
        <v/>
      </c>
      <c r="CA700">
        <f>IF(OR(BV$3="",BV$3&gt;TODAY()),"",IF(AND(BY700="",BZ700=""),"",N(BZ700)-N(BY700)))</f>
        <v/>
      </c>
      <c r="CE700">
        <f>IF(OR(CC$3="",CC$3&gt;TODAY()),"",IF(AND(CC700="",CD700=""),"",N(CD700)-N(CC700)))</f>
        <v/>
      </c>
      <c r="CH700">
        <f>IF(OR(CC$3="",CC$3&gt;TODAY()),"",IF(AND(CF700="",CG700=""),"",N(CG700)-N(CF700)))</f>
        <v/>
      </c>
      <c r="CL700">
        <f>IF(OR(CJ$3="",CJ$3&gt;TODAY()),"",IF(AND(CJ700="",CK700=""),"",N(CK700)-N(CJ700)))</f>
        <v/>
      </c>
      <c r="CO700">
        <f>IF(OR(CJ$3="",CJ$3&gt;TODAY()),"",IF(AND(CM700="",CN700=""),"",N(CN700)-N(CM700)))</f>
        <v/>
      </c>
      <c r="CS700">
        <f>IF(OR(CQ$3="",CQ$3&gt;TODAY()),"",IF(AND(CQ700="",CR700=""),"",N(CR700)-N(CQ700)))</f>
        <v/>
      </c>
      <c r="CV700">
        <f>IF(OR(CQ$3="",CQ$3&gt;TODAY()),"",IF(AND(CT700="",CU700=""),"",N(CU700)-N(CT700)))</f>
        <v/>
      </c>
      <c r="CZ700">
        <f>IF(OR(CX$3="",CX$3&gt;TODAY()),"",IF(AND(CX700="",CY700=""),"",N(CY700)-N(CX700)))</f>
        <v/>
      </c>
      <c r="DC700">
        <f>IF(OR(CX$3="",CX$3&gt;TODAY()),"",IF(AND(DA700="",DB700=""),"",N(DB700)-N(DA700)))</f>
        <v/>
      </c>
      <c r="DG700">
        <f>IF(OR(DE$3="",DE$3&gt;TODAY()),"",IF(AND(DE700="",DF700=""),"",N(DF700)-N(DE700)))</f>
        <v/>
      </c>
      <c r="DJ700">
        <f>IF(OR(DE$3="",DE$3&gt;TODAY()),"",IF(AND(DH700="",DI700=""),"",N(DI700)-N(DH700)))</f>
        <v/>
      </c>
      <c r="DN700">
        <f>IF(OR(DL$3="",DL$3&gt;TODAY()),"",IF(AND(DL700="",DM700=""),"",N(DM700)-N(DL700)))</f>
        <v/>
      </c>
      <c r="DQ700">
        <f>IF(OR(DL$3="",DL$3&gt;TODAY()),"",IF(AND(DO700="",DP700=""),"",N(DP700)-N(DO700)))</f>
        <v/>
      </c>
      <c r="DU700">
        <f>IF(OR(DS$3="",DS$3&gt;TODAY()),"",IF(AND(DS700="",DT700=""),"",N(DT700)-N(DS700)))</f>
        <v/>
      </c>
      <c r="DX700">
        <f>IF(OR(DS$3="",DS$3&gt;TODAY()),"",IF(AND(DV700="",DW700=""),"",N(DW700)-N(DV700)))</f>
        <v/>
      </c>
      <c r="EB700">
        <f>IF(OR(DZ$3="",DZ$3&gt;TODAY()),"",IF(AND(DZ700="",EA700=""),"",N(EA700)-N(DZ700)))</f>
        <v/>
      </c>
      <c r="EE700">
        <f>IF(OR(DZ$3="",DZ$3&gt;TODAY()),"",IF(AND(EC700="",ED700=""),"",N(ED700)-N(EC700)))</f>
        <v/>
      </c>
      <c r="EI700">
        <f>IF(OR(EG$3="",EG$3&gt;TODAY()),"",IF(AND(EG700="",EH700=""),"",N(EH700)-N(EG700)))</f>
        <v/>
      </c>
      <c r="EL700">
        <f>IF(OR(EG$3="",EG$3&gt;TODAY()),"",IF(AND(EJ700="",EK700=""),"",N(EK700)-N(EJ700)))</f>
        <v/>
      </c>
      <c r="EP700">
        <f>IF(OR(EN$3="",EN$3&gt;TODAY()),"",IF(AND(EN700="",EO700=""),"",N(EO700)-N(EN700)))</f>
        <v/>
      </c>
      <c r="ES700">
        <f>IF(OR(EN$3="",EN$3&gt;TODAY()),"",IF(AND(EQ700="",ER700=""),"",N(ER700)-N(EQ700)))</f>
        <v/>
      </c>
      <c r="EW700">
        <f>IF(OR(EU$3="",EU$3&gt;TODAY()),"",IF(AND(EU700="",EV700=""),"",N(EV700)-N(EU700)))</f>
        <v/>
      </c>
      <c r="EZ700">
        <f>IF(OR(EU$3="",EU$3&gt;TODAY()),"",IF(AND(EX700="",EY700=""),"",N(EY700)-N(EX700)))</f>
        <v/>
      </c>
      <c r="FD700">
        <f>IF(OR(FB$3="",FB$3&gt;TODAY()),"",IF(AND(FB700="",FC700=""),"",N(FC700)-N(FB700)))</f>
        <v/>
      </c>
      <c r="FG700">
        <f>IF(OR(FB$3="",FB$3&gt;TODAY()),"",IF(AND(FE700="",FF700=""),"",N(FF700)-N(FE700)))</f>
        <v/>
      </c>
      <c r="FK700">
        <f>IF(OR(FI$3="",FI$3&gt;TODAY()),"",IF(AND(FI700="",FJ700=""),"",N(FJ700)-N(FI700)))</f>
        <v/>
      </c>
      <c r="FN700">
        <f>IF(OR(FI$3="",FI$3&gt;TODAY()),"",IF(AND(FL700="",FM700=""),"",N(FM700)-N(FL700)))</f>
        <v/>
      </c>
      <c r="FR700">
        <f>IF(OR(FP$3="",FP$3&gt;TODAY()),"",IF(AND(FP700="",FQ700=""),"",N(FQ700)-N(FP700)))</f>
        <v/>
      </c>
      <c r="FU700">
        <f>IF(OR(FP$3="",FP$3&gt;TODAY()),"",IF(AND(FS700="",FT700=""),"",N(FT700)-N(FS700)))</f>
        <v/>
      </c>
      <c r="FY700">
        <f>IF(OR(FW$3="",FW$3&gt;TODAY()),"",IF(AND(FW700="",FX700=""),"",N(FX700)-N(FW700)))</f>
        <v/>
      </c>
      <c r="GB700">
        <f>IF(OR(FW$3="",FW$3&gt;TODAY()),"",IF(AND(FZ700="",GA700=""),"",N(GA700)-N(FZ700)))</f>
        <v/>
      </c>
      <c r="GF700">
        <f>IF(OR(GD$3="",GD$3&gt;TODAY()),"",IF(AND(GD700="",GE700=""),"",N(GE700)-N(GD700)))</f>
        <v/>
      </c>
      <c r="GI700">
        <f>IF(OR(GD$3="",GD$3&gt;TODAY()),"",IF(AND(GG700="",GH700=""),"",N(GH700)-N(GG700)))</f>
        <v/>
      </c>
      <c r="GM700">
        <f>IF(OR(GK$3="",GK$3&gt;TODAY()),"",IF(AND(GK700="",GL700=""),"",N(GL700)-N(GK700)))</f>
        <v/>
      </c>
      <c r="GP700">
        <f>IF(OR(GK$3="",GK$3&gt;TODAY()),"",IF(AND(GN700="",GO700=""),"",N(GO700)-N(GN700)))</f>
        <v/>
      </c>
      <c r="GT700">
        <f>IF(OR(GR$3="",GR$3&gt;TODAY()),"",IF(AND(GR700="",GS700=""),"",N(GS700)-N(GR700)))</f>
        <v/>
      </c>
      <c r="GW700">
        <f>IF(OR(GR$3="",GR$3&gt;TODAY()),"",IF(AND(GU700="",GV700=""),"",N(GV700)-N(GU700)))</f>
        <v/>
      </c>
      <c r="HA700">
        <f>IF(OR(GY$3="",GY$3&gt;TODAY()),"",IF(AND(GY700="",GZ700=""),"",N(GZ700)-N(GY700)))</f>
        <v/>
      </c>
      <c r="HD700">
        <f>IF(OR(GY$3="",GY$3&gt;TODAY()),"",IF(AND(HB700="",HC700=""),"",N(HC700)-N(HB700)))</f>
        <v/>
      </c>
      <c r="HH700">
        <f>IF(OR(HF$3="",HF$3&gt;TODAY()),"",IF(AND(HF700="",HG700=""),"",N(HG700)-N(HF700)))</f>
        <v/>
      </c>
      <c r="HK700">
        <f>IF(OR(HF$3="",HF$3&gt;TODAY()),"",IF(AND(HI700="",HJ700=""),"",N(HJ700)-N(HI700)))</f>
        <v/>
      </c>
      <c r="HO700">
        <f>IF(OR(HM$3="",HM$3&gt;TODAY()),"",IF(AND(HM700="",HN700=""),"",N(HN700)-N(HM700)))</f>
        <v/>
      </c>
      <c r="HR700">
        <f>IF(OR(HM$3="",HM$3&gt;TODAY()),"",IF(AND(HP700="",HQ700=""),"",N(HQ700)-N(HP700)))</f>
        <v/>
      </c>
      <c r="HV700">
        <f>IF(OR(HT$3="",HT$3&gt;TODAY()),"",IF(AND(HT700="",HU700=""),"",N(HU700)-N(HT700)))</f>
        <v/>
      </c>
      <c r="HY700">
        <f>IF(OR(HT$3="",HT$3&gt;TODAY()),"",IF(AND(HW700="",HX700=""),"",N(HX700)-N(HW700)))</f>
        <v/>
      </c>
      <c r="IC700">
        <f>IF(OR(IA$3="",IA$3&gt;TODAY()),"",IF(AND(IA700="",IB700=""),"",N(IB700)-N(IA700)))</f>
        <v/>
      </c>
      <c r="IF700">
        <f>IF(OR(IA$3="",IA$3&gt;TODAY()),"",IF(AND(ID700="",IE700=""),"",N(IE700)-N(ID700)))</f>
        <v/>
      </c>
      <c r="IJ700">
        <f>IF(OR(IH$3="",IH$3&gt;TODAY()),"",IF(AND(IH700="",II700=""),"",N(II700)-N(IH700)))</f>
        <v/>
      </c>
      <c r="IM700">
        <f>IF(OR(IH$3="",IH$3&gt;TODAY()),"",IF(AND(IK700="",IL700=""),"",N(IL700)-N(IK700)))</f>
        <v/>
      </c>
    </row>
    <row r="701">
      <c r="A701" s="21" t="n"/>
      <c r="B701" s="21" t="n"/>
      <c r="C701" s="21" t="n"/>
      <c r="D701" s="21" t="n"/>
      <c r="E701" s="21" t="n"/>
      <c r="F701" s="21" t="n"/>
      <c r="G701" s="21" t="n"/>
      <c r="H701" s="21" t="n"/>
      <c r="I701" s="22" t="n"/>
      <c r="J701" s="22" t="n"/>
      <c r="K701" s="23" t="n"/>
      <c r="L701" s="22" t="n"/>
      <c r="M701" s="22" t="n"/>
      <c r="N701" s="21" t="n"/>
      <c r="O701" s="23" t="n"/>
      <c r="P701" s="23" t="n"/>
      <c r="Q701" s="23" t="n"/>
      <c r="R701" s="23" t="n"/>
      <c r="S701" s="22" t="n"/>
      <c r="T701" s="23" t="n"/>
      <c r="U701" s="23" t="n"/>
      <c r="V701" s="24">
        <f>IF(J701&lt;&gt;"",J701,IF(I701&lt;&gt;"",I701,""))</f>
        <v/>
      </c>
      <c r="W701" s="25">
        <f>IF($E701="","",N(O701)+SUMIFS($AF701:$IN701,$AF$4:$IN$4,"SEW_ACT"))</f>
        <v/>
      </c>
      <c r="X701" s="25">
        <f>IF($E701="","",N(P701)+SUMIFS($AF701:$IN701,$AF$4:$IN$4,"WASH_ACT"))</f>
        <v/>
      </c>
      <c r="Y701" s="25">
        <f>IF($E701="","",W701-X701-N(T701)-N(U701))</f>
        <v/>
      </c>
      <c r="Z701" s="25">
        <f>IF($E701="","",IF(N(K701)-X701&lt;=0.02*N(K701),0,N(K701)-X701))</f>
        <v/>
      </c>
      <c r="AA701" s="24">
        <f>IF($E701="","",IF(S701&lt;&gt;"",S701,IF(N(O701)&gt;0,IF(L701&lt;&gt;"",L701,99999),IFERROR(1/(1/_xlfn.MINIFS($AF$3:$IN$3,$AF$4:$IN$4,"SEW_ACT",$AF701:$IN701,"&gt;0")),99999))))</f>
        <v/>
      </c>
      <c r="AB701" s="26">
        <f>IF(OR($E701="",Z701=0,V701=""),"",1+COUNTIFS(Z$8:Z$707,"&gt;0",V$8:V$707,"&lt;"&amp;V701)+COUNTIFS(Z$8:Z$707,"&gt;0",V$8:V$707,V701,AA$8:AA$707,"&lt;"&amp;AA701)+COUNTIFS(Z$8:Z$707,"&gt;0",V$8:V$707,V701,AA$8:AA$707,AA701,E$8:E$707,"&lt;"&amp;$E701))</f>
        <v/>
      </c>
      <c r="AC701" s="24">
        <f>IF(OR($E701="",Z701=0),"",IFERROR(TODAY()+ROUNDUP(Z701/(SUMIFS($AF701:$IN701,$AF$4:$IN$4,"WASH_ACT")/COUNTIFS($AF$4:$IN$4,"WASH_ACT",$AF701:$IN701,"&gt;0")),0),"no output yet"))</f>
        <v/>
      </c>
      <c r="AD701" s="26">
        <f>IF($E701="","",IFERROR(ROUND(MAX(0,SUMIFS($AF701:$IN701,$AF$4:$IN$4,"SEW_PLAN",$AF$3:$IN$3,"&lt;="&amp;TODAY())-SUMIFS($AF701:$IN701,$AF$4:$IN$4,"SEW_ACT",$AF$3:$IN$3,"&lt;="&amp;TODAY())+N(Q701))/(SUMIFS($AF701:$IN701,$AF$4:$IN$4,"SEW_PLAN")/COUNTIFS($AF$4:$IN$4,"SEW_PLAN",$AF701:$IN701,"&gt;0")),1),0))</f>
        <v/>
      </c>
      <c r="AE701" s="26">
        <f>IF($E701="","",IF(AND(Z701&gt;0,OR(AND(M701&lt;&gt;"",TODAY()&gt;M701),AND(V701&lt;&gt;"",V701-TODAY()&lt;=7))),"Yes","No"))</f>
        <v/>
      </c>
      <c r="AH701">
        <f>IF(OR(AF$3="",AF$3&gt;TODAY()),"",IF(AND(AF701="",AG701=""),"",N(AG701)-N(AF701)))</f>
        <v/>
      </c>
      <c r="AK701">
        <f>IF(OR(AF$3="",AF$3&gt;TODAY()),"",IF(AND(AI701="",AJ701=""),"",N(AJ701)-N(AI701)))</f>
        <v/>
      </c>
      <c r="AO701">
        <f>IF(OR(AM$3="",AM$3&gt;TODAY()),"",IF(AND(AM701="",AN701=""),"",N(AN701)-N(AM701)))</f>
        <v/>
      </c>
      <c r="AR701">
        <f>IF(OR(AM$3="",AM$3&gt;TODAY()),"",IF(AND(AP701="",AQ701=""),"",N(AQ701)-N(AP701)))</f>
        <v/>
      </c>
      <c r="AV701">
        <f>IF(OR(AT$3="",AT$3&gt;TODAY()),"",IF(AND(AT701="",AU701=""),"",N(AU701)-N(AT701)))</f>
        <v/>
      </c>
      <c r="AY701">
        <f>IF(OR(AT$3="",AT$3&gt;TODAY()),"",IF(AND(AW701="",AX701=""),"",N(AX701)-N(AW701)))</f>
        <v/>
      </c>
      <c r="BC701">
        <f>IF(OR(BA$3="",BA$3&gt;TODAY()),"",IF(AND(BA701="",BB701=""),"",N(BB701)-N(BA701)))</f>
        <v/>
      </c>
      <c r="BF701">
        <f>IF(OR(BA$3="",BA$3&gt;TODAY()),"",IF(AND(BD701="",BE701=""),"",N(BE701)-N(BD701)))</f>
        <v/>
      </c>
      <c r="BJ701">
        <f>IF(OR(BH$3="",BH$3&gt;TODAY()),"",IF(AND(BH701="",BI701=""),"",N(BI701)-N(BH701)))</f>
        <v/>
      </c>
      <c r="BM701">
        <f>IF(OR(BH$3="",BH$3&gt;TODAY()),"",IF(AND(BK701="",BL701=""),"",N(BL701)-N(BK701)))</f>
        <v/>
      </c>
      <c r="BQ701">
        <f>IF(OR(BO$3="",BO$3&gt;TODAY()),"",IF(AND(BO701="",BP701=""),"",N(BP701)-N(BO701)))</f>
        <v/>
      </c>
      <c r="BT701">
        <f>IF(OR(BO$3="",BO$3&gt;TODAY()),"",IF(AND(BR701="",BS701=""),"",N(BS701)-N(BR701)))</f>
        <v/>
      </c>
      <c r="BX701">
        <f>IF(OR(BV$3="",BV$3&gt;TODAY()),"",IF(AND(BV701="",BW701=""),"",N(BW701)-N(BV701)))</f>
        <v/>
      </c>
      <c r="CA701">
        <f>IF(OR(BV$3="",BV$3&gt;TODAY()),"",IF(AND(BY701="",BZ701=""),"",N(BZ701)-N(BY701)))</f>
        <v/>
      </c>
      <c r="CE701">
        <f>IF(OR(CC$3="",CC$3&gt;TODAY()),"",IF(AND(CC701="",CD701=""),"",N(CD701)-N(CC701)))</f>
        <v/>
      </c>
      <c r="CH701">
        <f>IF(OR(CC$3="",CC$3&gt;TODAY()),"",IF(AND(CF701="",CG701=""),"",N(CG701)-N(CF701)))</f>
        <v/>
      </c>
      <c r="CL701">
        <f>IF(OR(CJ$3="",CJ$3&gt;TODAY()),"",IF(AND(CJ701="",CK701=""),"",N(CK701)-N(CJ701)))</f>
        <v/>
      </c>
      <c r="CO701">
        <f>IF(OR(CJ$3="",CJ$3&gt;TODAY()),"",IF(AND(CM701="",CN701=""),"",N(CN701)-N(CM701)))</f>
        <v/>
      </c>
      <c r="CS701">
        <f>IF(OR(CQ$3="",CQ$3&gt;TODAY()),"",IF(AND(CQ701="",CR701=""),"",N(CR701)-N(CQ701)))</f>
        <v/>
      </c>
      <c r="CV701">
        <f>IF(OR(CQ$3="",CQ$3&gt;TODAY()),"",IF(AND(CT701="",CU701=""),"",N(CU701)-N(CT701)))</f>
        <v/>
      </c>
      <c r="CZ701">
        <f>IF(OR(CX$3="",CX$3&gt;TODAY()),"",IF(AND(CX701="",CY701=""),"",N(CY701)-N(CX701)))</f>
        <v/>
      </c>
      <c r="DC701">
        <f>IF(OR(CX$3="",CX$3&gt;TODAY()),"",IF(AND(DA701="",DB701=""),"",N(DB701)-N(DA701)))</f>
        <v/>
      </c>
      <c r="DG701">
        <f>IF(OR(DE$3="",DE$3&gt;TODAY()),"",IF(AND(DE701="",DF701=""),"",N(DF701)-N(DE701)))</f>
        <v/>
      </c>
      <c r="DJ701">
        <f>IF(OR(DE$3="",DE$3&gt;TODAY()),"",IF(AND(DH701="",DI701=""),"",N(DI701)-N(DH701)))</f>
        <v/>
      </c>
      <c r="DN701">
        <f>IF(OR(DL$3="",DL$3&gt;TODAY()),"",IF(AND(DL701="",DM701=""),"",N(DM701)-N(DL701)))</f>
        <v/>
      </c>
      <c r="DQ701">
        <f>IF(OR(DL$3="",DL$3&gt;TODAY()),"",IF(AND(DO701="",DP701=""),"",N(DP701)-N(DO701)))</f>
        <v/>
      </c>
      <c r="DU701">
        <f>IF(OR(DS$3="",DS$3&gt;TODAY()),"",IF(AND(DS701="",DT701=""),"",N(DT701)-N(DS701)))</f>
        <v/>
      </c>
      <c r="DX701">
        <f>IF(OR(DS$3="",DS$3&gt;TODAY()),"",IF(AND(DV701="",DW701=""),"",N(DW701)-N(DV701)))</f>
        <v/>
      </c>
      <c r="EB701">
        <f>IF(OR(DZ$3="",DZ$3&gt;TODAY()),"",IF(AND(DZ701="",EA701=""),"",N(EA701)-N(DZ701)))</f>
        <v/>
      </c>
      <c r="EE701">
        <f>IF(OR(DZ$3="",DZ$3&gt;TODAY()),"",IF(AND(EC701="",ED701=""),"",N(ED701)-N(EC701)))</f>
        <v/>
      </c>
      <c r="EI701">
        <f>IF(OR(EG$3="",EG$3&gt;TODAY()),"",IF(AND(EG701="",EH701=""),"",N(EH701)-N(EG701)))</f>
        <v/>
      </c>
      <c r="EL701">
        <f>IF(OR(EG$3="",EG$3&gt;TODAY()),"",IF(AND(EJ701="",EK701=""),"",N(EK701)-N(EJ701)))</f>
        <v/>
      </c>
      <c r="EP701">
        <f>IF(OR(EN$3="",EN$3&gt;TODAY()),"",IF(AND(EN701="",EO701=""),"",N(EO701)-N(EN701)))</f>
        <v/>
      </c>
      <c r="ES701">
        <f>IF(OR(EN$3="",EN$3&gt;TODAY()),"",IF(AND(EQ701="",ER701=""),"",N(ER701)-N(EQ701)))</f>
        <v/>
      </c>
      <c r="EW701">
        <f>IF(OR(EU$3="",EU$3&gt;TODAY()),"",IF(AND(EU701="",EV701=""),"",N(EV701)-N(EU701)))</f>
        <v/>
      </c>
      <c r="EZ701">
        <f>IF(OR(EU$3="",EU$3&gt;TODAY()),"",IF(AND(EX701="",EY701=""),"",N(EY701)-N(EX701)))</f>
        <v/>
      </c>
      <c r="FD701">
        <f>IF(OR(FB$3="",FB$3&gt;TODAY()),"",IF(AND(FB701="",FC701=""),"",N(FC701)-N(FB701)))</f>
        <v/>
      </c>
      <c r="FG701">
        <f>IF(OR(FB$3="",FB$3&gt;TODAY()),"",IF(AND(FE701="",FF701=""),"",N(FF701)-N(FE701)))</f>
        <v/>
      </c>
      <c r="FK701">
        <f>IF(OR(FI$3="",FI$3&gt;TODAY()),"",IF(AND(FI701="",FJ701=""),"",N(FJ701)-N(FI701)))</f>
        <v/>
      </c>
      <c r="FN701">
        <f>IF(OR(FI$3="",FI$3&gt;TODAY()),"",IF(AND(FL701="",FM701=""),"",N(FM701)-N(FL701)))</f>
        <v/>
      </c>
      <c r="FR701">
        <f>IF(OR(FP$3="",FP$3&gt;TODAY()),"",IF(AND(FP701="",FQ701=""),"",N(FQ701)-N(FP701)))</f>
        <v/>
      </c>
      <c r="FU701">
        <f>IF(OR(FP$3="",FP$3&gt;TODAY()),"",IF(AND(FS701="",FT701=""),"",N(FT701)-N(FS701)))</f>
        <v/>
      </c>
      <c r="FY701">
        <f>IF(OR(FW$3="",FW$3&gt;TODAY()),"",IF(AND(FW701="",FX701=""),"",N(FX701)-N(FW701)))</f>
        <v/>
      </c>
      <c r="GB701">
        <f>IF(OR(FW$3="",FW$3&gt;TODAY()),"",IF(AND(FZ701="",GA701=""),"",N(GA701)-N(FZ701)))</f>
        <v/>
      </c>
      <c r="GF701">
        <f>IF(OR(GD$3="",GD$3&gt;TODAY()),"",IF(AND(GD701="",GE701=""),"",N(GE701)-N(GD701)))</f>
        <v/>
      </c>
      <c r="GI701">
        <f>IF(OR(GD$3="",GD$3&gt;TODAY()),"",IF(AND(GG701="",GH701=""),"",N(GH701)-N(GG701)))</f>
        <v/>
      </c>
      <c r="GM701">
        <f>IF(OR(GK$3="",GK$3&gt;TODAY()),"",IF(AND(GK701="",GL701=""),"",N(GL701)-N(GK701)))</f>
        <v/>
      </c>
      <c r="GP701">
        <f>IF(OR(GK$3="",GK$3&gt;TODAY()),"",IF(AND(GN701="",GO701=""),"",N(GO701)-N(GN701)))</f>
        <v/>
      </c>
      <c r="GT701">
        <f>IF(OR(GR$3="",GR$3&gt;TODAY()),"",IF(AND(GR701="",GS701=""),"",N(GS701)-N(GR701)))</f>
        <v/>
      </c>
      <c r="GW701">
        <f>IF(OR(GR$3="",GR$3&gt;TODAY()),"",IF(AND(GU701="",GV701=""),"",N(GV701)-N(GU701)))</f>
        <v/>
      </c>
      <c r="HA701">
        <f>IF(OR(GY$3="",GY$3&gt;TODAY()),"",IF(AND(GY701="",GZ701=""),"",N(GZ701)-N(GY701)))</f>
        <v/>
      </c>
      <c r="HD701">
        <f>IF(OR(GY$3="",GY$3&gt;TODAY()),"",IF(AND(HB701="",HC701=""),"",N(HC701)-N(HB701)))</f>
        <v/>
      </c>
      <c r="HH701">
        <f>IF(OR(HF$3="",HF$3&gt;TODAY()),"",IF(AND(HF701="",HG701=""),"",N(HG701)-N(HF701)))</f>
        <v/>
      </c>
      <c r="HK701">
        <f>IF(OR(HF$3="",HF$3&gt;TODAY()),"",IF(AND(HI701="",HJ701=""),"",N(HJ701)-N(HI701)))</f>
        <v/>
      </c>
      <c r="HO701">
        <f>IF(OR(HM$3="",HM$3&gt;TODAY()),"",IF(AND(HM701="",HN701=""),"",N(HN701)-N(HM701)))</f>
        <v/>
      </c>
      <c r="HR701">
        <f>IF(OR(HM$3="",HM$3&gt;TODAY()),"",IF(AND(HP701="",HQ701=""),"",N(HQ701)-N(HP701)))</f>
        <v/>
      </c>
      <c r="HV701">
        <f>IF(OR(HT$3="",HT$3&gt;TODAY()),"",IF(AND(HT701="",HU701=""),"",N(HU701)-N(HT701)))</f>
        <v/>
      </c>
      <c r="HY701">
        <f>IF(OR(HT$3="",HT$3&gt;TODAY()),"",IF(AND(HW701="",HX701=""),"",N(HX701)-N(HW701)))</f>
        <v/>
      </c>
      <c r="IC701">
        <f>IF(OR(IA$3="",IA$3&gt;TODAY()),"",IF(AND(IA701="",IB701=""),"",N(IB701)-N(IA701)))</f>
        <v/>
      </c>
      <c r="IF701">
        <f>IF(OR(IA$3="",IA$3&gt;TODAY()),"",IF(AND(ID701="",IE701=""),"",N(IE701)-N(ID701)))</f>
        <v/>
      </c>
      <c r="IJ701">
        <f>IF(OR(IH$3="",IH$3&gt;TODAY()),"",IF(AND(IH701="",II701=""),"",N(II701)-N(IH701)))</f>
        <v/>
      </c>
      <c r="IM701">
        <f>IF(OR(IH$3="",IH$3&gt;TODAY()),"",IF(AND(IK701="",IL701=""),"",N(IL701)-N(IK701)))</f>
        <v/>
      </c>
    </row>
    <row r="702">
      <c r="A702" s="21" t="n"/>
      <c r="B702" s="21" t="n"/>
      <c r="C702" s="21" t="n"/>
      <c r="D702" s="21" t="n"/>
      <c r="E702" s="21" t="n"/>
      <c r="F702" s="21" t="n"/>
      <c r="G702" s="21" t="n"/>
      <c r="H702" s="21" t="n"/>
      <c r="I702" s="22" t="n"/>
      <c r="J702" s="22" t="n"/>
      <c r="K702" s="23" t="n"/>
      <c r="L702" s="22" t="n"/>
      <c r="M702" s="22" t="n"/>
      <c r="N702" s="21" t="n"/>
      <c r="O702" s="23" t="n"/>
      <c r="P702" s="23" t="n"/>
      <c r="Q702" s="23" t="n"/>
      <c r="R702" s="23" t="n"/>
      <c r="S702" s="22" t="n"/>
      <c r="T702" s="23" t="n"/>
      <c r="U702" s="23" t="n"/>
      <c r="V702" s="24">
        <f>IF(J702&lt;&gt;"",J702,IF(I702&lt;&gt;"",I702,""))</f>
        <v/>
      </c>
      <c r="W702" s="25">
        <f>IF($E702="","",N(O702)+SUMIFS($AF702:$IN702,$AF$4:$IN$4,"SEW_ACT"))</f>
        <v/>
      </c>
      <c r="X702" s="25">
        <f>IF($E702="","",N(P702)+SUMIFS($AF702:$IN702,$AF$4:$IN$4,"WASH_ACT"))</f>
        <v/>
      </c>
      <c r="Y702" s="25">
        <f>IF($E702="","",W702-X702-N(T702)-N(U702))</f>
        <v/>
      </c>
      <c r="Z702" s="25">
        <f>IF($E702="","",IF(N(K702)-X702&lt;=0.02*N(K702),0,N(K702)-X702))</f>
        <v/>
      </c>
      <c r="AA702" s="24">
        <f>IF($E702="","",IF(S702&lt;&gt;"",S702,IF(N(O702)&gt;0,IF(L702&lt;&gt;"",L702,99999),IFERROR(1/(1/_xlfn.MINIFS($AF$3:$IN$3,$AF$4:$IN$4,"SEW_ACT",$AF702:$IN702,"&gt;0")),99999))))</f>
        <v/>
      </c>
      <c r="AB702" s="26">
        <f>IF(OR($E702="",Z702=0,V702=""),"",1+COUNTIFS(Z$8:Z$707,"&gt;0",V$8:V$707,"&lt;"&amp;V702)+COUNTIFS(Z$8:Z$707,"&gt;0",V$8:V$707,V702,AA$8:AA$707,"&lt;"&amp;AA702)+COUNTIFS(Z$8:Z$707,"&gt;0",V$8:V$707,V702,AA$8:AA$707,AA702,E$8:E$707,"&lt;"&amp;$E702))</f>
        <v/>
      </c>
      <c r="AC702" s="24">
        <f>IF(OR($E702="",Z702=0),"",IFERROR(TODAY()+ROUNDUP(Z702/(SUMIFS($AF702:$IN702,$AF$4:$IN$4,"WASH_ACT")/COUNTIFS($AF$4:$IN$4,"WASH_ACT",$AF702:$IN702,"&gt;0")),0),"no output yet"))</f>
        <v/>
      </c>
      <c r="AD702" s="26">
        <f>IF($E702="","",IFERROR(ROUND(MAX(0,SUMIFS($AF702:$IN702,$AF$4:$IN$4,"SEW_PLAN",$AF$3:$IN$3,"&lt;="&amp;TODAY())-SUMIFS($AF702:$IN702,$AF$4:$IN$4,"SEW_ACT",$AF$3:$IN$3,"&lt;="&amp;TODAY())+N(Q702))/(SUMIFS($AF702:$IN702,$AF$4:$IN$4,"SEW_PLAN")/COUNTIFS($AF$4:$IN$4,"SEW_PLAN",$AF702:$IN702,"&gt;0")),1),0))</f>
        <v/>
      </c>
      <c r="AE702" s="26">
        <f>IF($E702="","",IF(AND(Z702&gt;0,OR(AND(M702&lt;&gt;"",TODAY()&gt;M702),AND(V702&lt;&gt;"",V702-TODAY()&lt;=7))),"Yes","No"))</f>
        <v/>
      </c>
      <c r="AH702">
        <f>IF(OR(AF$3="",AF$3&gt;TODAY()),"",IF(AND(AF702="",AG702=""),"",N(AG702)-N(AF702)))</f>
        <v/>
      </c>
      <c r="AK702">
        <f>IF(OR(AF$3="",AF$3&gt;TODAY()),"",IF(AND(AI702="",AJ702=""),"",N(AJ702)-N(AI702)))</f>
        <v/>
      </c>
      <c r="AO702">
        <f>IF(OR(AM$3="",AM$3&gt;TODAY()),"",IF(AND(AM702="",AN702=""),"",N(AN702)-N(AM702)))</f>
        <v/>
      </c>
      <c r="AR702">
        <f>IF(OR(AM$3="",AM$3&gt;TODAY()),"",IF(AND(AP702="",AQ702=""),"",N(AQ702)-N(AP702)))</f>
        <v/>
      </c>
      <c r="AV702">
        <f>IF(OR(AT$3="",AT$3&gt;TODAY()),"",IF(AND(AT702="",AU702=""),"",N(AU702)-N(AT702)))</f>
        <v/>
      </c>
      <c r="AY702">
        <f>IF(OR(AT$3="",AT$3&gt;TODAY()),"",IF(AND(AW702="",AX702=""),"",N(AX702)-N(AW702)))</f>
        <v/>
      </c>
      <c r="BC702">
        <f>IF(OR(BA$3="",BA$3&gt;TODAY()),"",IF(AND(BA702="",BB702=""),"",N(BB702)-N(BA702)))</f>
        <v/>
      </c>
      <c r="BF702">
        <f>IF(OR(BA$3="",BA$3&gt;TODAY()),"",IF(AND(BD702="",BE702=""),"",N(BE702)-N(BD702)))</f>
        <v/>
      </c>
      <c r="BJ702">
        <f>IF(OR(BH$3="",BH$3&gt;TODAY()),"",IF(AND(BH702="",BI702=""),"",N(BI702)-N(BH702)))</f>
        <v/>
      </c>
      <c r="BM702">
        <f>IF(OR(BH$3="",BH$3&gt;TODAY()),"",IF(AND(BK702="",BL702=""),"",N(BL702)-N(BK702)))</f>
        <v/>
      </c>
      <c r="BQ702">
        <f>IF(OR(BO$3="",BO$3&gt;TODAY()),"",IF(AND(BO702="",BP702=""),"",N(BP702)-N(BO702)))</f>
        <v/>
      </c>
      <c r="BT702">
        <f>IF(OR(BO$3="",BO$3&gt;TODAY()),"",IF(AND(BR702="",BS702=""),"",N(BS702)-N(BR702)))</f>
        <v/>
      </c>
      <c r="BX702">
        <f>IF(OR(BV$3="",BV$3&gt;TODAY()),"",IF(AND(BV702="",BW702=""),"",N(BW702)-N(BV702)))</f>
        <v/>
      </c>
      <c r="CA702">
        <f>IF(OR(BV$3="",BV$3&gt;TODAY()),"",IF(AND(BY702="",BZ702=""),"",N(BZ702)-N(BY702)))</f>
        <v/>
      </c>
      <c r="CE702">
        <f>IF(OR(CC$3="",CC$3&gt;TODAY()),"",IF(AND(CC702="",CD702=""),"",N(CD702)-N(CC702)))</f>
        <v/>
      </c>
      <c r="CH702">
        <f>IF(OR(CC$3="",CC$3&gt;TODAY()),"",IF(AND(CF702="",CG702=""),"",N(CG702)-N(CF702)))</f>
        <v/>
      </c>
      <c r="CL702">
        <f>IF(OR(CJ$3="",CJ$3&gt;TODAY()),"",IF(AND(CJ702="",CK702=""),"",N(CK702)-N(CJ702)))</f>
        <v/>
      </c>
      <c r="CO702">
        <f>IF(OR(CJ$3="",CJ$3&gt;TODAY()),"",IF(AND(CM702="",CN702=""),"",N(CN702)-N(CM702)))</f>
        <v/>
      </c>
      <c r="CS702">
        <f>IF(OR(CQ$3="",CQ$3&gt;TODAY()),"",IF(AND(CQ702="",CR702=""),"",N(CR702)-N(CQ702)))</f>
        <v/>
      </c>
      <c r="CV702">
        <f>IF(OR(CQ$3="",CQ$3&gt;TODAY()),"",IF(AND(CT702="",CU702=""),"",N(CU702)-N(CT702)))</f>
        <v/>
      </c>
      <c r="CZ702">
        <f>IF(OR(CX$3="",CX$3&gt;TODAY()),"",IF(AND(CX702="",CY702=""),"",N(CY702)-N(CX702)))</f>
        <v/>
      </c>
      <c r="DC702">
        <f>IF(OR(CX$3="",CX$3&gt;TODAY()),"",IF(AND(DA702="",DB702=""),"",N(DB702)-N(DA702)))</f>
        <v/>
      </c>
      <c r="DG702">
        <f>IF(OR(DE$3="",DE$3&gt;TODAY()),"",IF(AND(DE702="",DF702=""),"",N(DF702)-N(DE702)))</f>
        <v/>
      </c>
      <c r="DJ702">
        <f>IF(OR(DE$3="",DE$3&gt;TODAY()),"",IF(AND(DH702="",DI702=""),"",N(DI702)-N(DH702)))</f>
        <v/>
      </c>
      <c r="DN702">
        <f>IF(OR(DL$3="",DL$3&gt;TODAY()),"",IF(AND(DL702="",DM702=""),"",N(DM702)-N(DL702)))</f>
        <v/>
      </c>
      <c r="DQ702">
        <f>IF(OR(DL$3="",DL$3&gt;TODAY()),"",IF(AND(DO702="",DP702=""),"",N(DP702)-N(DO702)))</f>
        <v/>
      </c>
      <c r="DU702">
        <f>IF(OR(DS$3="",DS$3&gt;TODAY()),"",IF(AND(DS702="",DT702=""),"",N(DT702)-N(DS702)))</f>
        <v/>
      </c>
      <c r="DX702">
        <f>IF(OR(DS$3="",DS$3&gt;TODAY()),"",IF(AND(DV702="",DW702=""),"",N(DW702)-N(DV702)))</f>
        <v/>
      </c>
      <c r="EB702">
        <f>IF(OR(DZ$3="",DZ$3&gt;TODAY()),"",IF(AND(DZ702="",EA702=""),"",N(EA702)-N(DZ702)))</f>
        <v/>
      </c>
      <c r="EE702">
        <f>IF(OR(DZ$3="",DZ$3&gt;TODAY()),"",IF(AND(EC702="",ED702=""),"",N(ED702)-N(EC702)))</f>
        <v/>
      </c>
      <c r="EI702">
        <f>IF(OR(EG$3="",EG$3&gt;TODAY()),"",IF(AND(EG702="",EH702=""),"",N(EH702)-N(EG702)))</f>
        <v/>
      </c>
      <c r="EL702">
        <f>IF(OR(EG$3="",EG$3&gt;TODAY()),"",IF(AND(EJ702="",EK702=""),"",N(EK702)-N(EJ702)))</f>
        <v/>
      </c>
      <c r="EP702">
        <f>IF(OR(EN$3="",EN$3&gt;TODAY()),"",IF(AND(EN702="",EO702=""),"",N(EO702)-N(EN702)))</f>
        <v/>
      </c>
      <c r="ES702">
        <f>IF(OR(EN$3="",EN$3&gt;TODAY()),"",IF(AND(EQ702="",ER702=""),"",N(ER702)-N(EQ702)))</f>
        <v/>
      </c>
      <c r="EW702">
        <f>IF(OR(EU$3="",EU$3&gt;TODAY()),"",IF(AND(EU702="",EV702=""),"",N(EV702)-N(EU702)))</f>
        <v/>
      </c>
      <c r="EZ702">
        <f>IF(OR(EU$3="",EU$3&gt;TODAY()),"",IF(AND(EX702="",EY702=""),"",N(EY702)-N(EX702)))</f>
        <v/>
      </c>
      <c r="FD702">
        <f>IF(OR(FB$3="",FB$3&gt;TODAY()),"",IF(AND(FB702="",FC702=""),"",N(FC702)-N(FB702)))</f>
        <v/>
      </c>
      <c r="FG702">
        <f>IF(OR(FB$3="",FB$3&gt;TODAY()),"",IF(AND(FE702="",FF702=""),"",N(FF702)-N(FE702)))</f>
        <v/>
      </c>
      <c r="FK702">
        <f>IF(OR(FI$3="",FI$3&gt;TODAY()),"",IF(AND(FI702="",FJ702=""),"",N(FJ702)-N(FI702)))</f>
        <v/>
      </c>
      <c r="FN702">
        <f>IF(OR(FI$3="",FI$3&gt;TODAY()),"",IF(AND(FL702="",FM702=""),"",N(FM702)-N(FL702)))</f>
        <v/>
      </c>
      <c r="FR702">
        <f>IF(OR(FP$3="",FP$3&gt;TODAY()),"",IF(AND(FP702="",FQ702=""),"",N(FQ702)-N(FP702)))</f>
        <v/>
      </c>
      <c r="FU702">
        <f>IF(OR(FP$3="",FP$3&gt;TODAY()),"",IF(AND(FS702="",FT702=""),"",N(FT702)-N(FS702)))</f>
        <v/>
      </c>
      <c r="FY702">
        <f>IF(OR(FW$3="",FW$3&gt;TODAY()),"",IF(AND(FW702="",FX702=""),"",N(FX702)-N(FW702)))</f>
        <v/>
      </c>
      <c r="GB702">
        <f>IF(OR(FW$3="",FW$3&gt;TODAY()),"",IF(AND(FZ702="",GA702=""),"",N(GA702)-N(FZ702)))</f>
        <v/>
      </c>
      <c r="GF702">
        <f>IF(OR(GD$3="",GD$3&gt;TODAY()),"",IF(AND(GD702="",GE702=""),"",N(GE702)-N(GD702)))</f>
        <v/>
      </c>
      <c r="GI702">
        <f>IF(OR(GD$3="",GD$3&gt;TODAY()),"",IF(AND(GG702="",GH702=""),"",N(GH702)-N(GG702)))</f>
        <v/>
      </c>
      <c r="GM702">
        <f>IF(OR(GK$3="",GK$3&gt;TODAY()),"",IF(AND(GK702="",GL702=""),"",N(GL702)-N(GK702)))</f>
        <v/>
      </c>
      <c r="GP702">
        <f>IF(OR(GK$3="",GK$3&gt;TODAY()),"",IF(AND(GN702="",GO702=""),"",N(GO702)-N(GN702)))</f>
        <v/>
      </c>
      <c r="GT702">
        <f>IF(OR(GR$3="",GR$3&gt;TODAY()),"",IF(AND(GR702="",GS702=""),"",N(GS702)-N(GR702)))</f>
        <v/>
      </c>
      <c r="GW702">
        <f>IF(OR(GR$3="",GR$3&gt;TODAY()),"",IF(AND(GU702="",GV702=""),"",N(GV702)-N(GU702)))</f>
        <v/>
      </c>
      <c r="HA702">
        <f>IF(OR(GY$3="",GY$3&gt;TODAY()),"",IF(AND(GY702="",GZ702=""),"",N(GZ702)-N(GY702)))</f>
        <v/>
      </c>
      <c r="HD702">
        <f>IF(OR(GY$3="",GY$3&gt;TODAY()),"",IF(AND(HB702="",HC702=""),"",N(HC702)-N(HB702)))</f>
        <v/>
      </c>
      <c r="HH702">
        <f>IF(OR(HF$3="",HF$3&gt;TODAY()),"",IF(AND(HF702="",HG702=""),"",N(HG702)-N(HF702)))</f>
        <v/>
      </c>
      <c r="HK702">
        <f>IF(OR(HF$3="",HF$3&gt;TODAY()),"",IF(AND(HI702="",HJ702=""),"",N(HJ702)-N(HI702)))</f>
        <v/>
      </c>
      <c r="HO702">
        <f>IF(OR(HM$3="",HM$3&gt;TODAY()),"",IF(AND(HM702="",HN702=""),"",N(HN702)-N(HM702)))</f>
        <v/>
      </c>
      <c r="HR702">
        <f>IF(OR(HM$3="",HM$3&gt;TODAY()),"",IF(AND(HP702="",HQ702=""),"",N(HQ702)-N(HP702)))</f>
        <v/>
      </c>
      <c r="HV702">
        <f>IF(OR(HT$3="",HT$3&gt;TODAY()),"",IF(AND(HT702="",HU702=""),"",N(HU702)-N(HT702)))</f>
        <v/>
      </c>
      <c r="HY702">
        <f>IF(OR(HT$3="",HT$3&gt;TODAY()),"",IF(AND(HW702="",HX702=""),"",N(HX702)-N(HW702)))</f>
        <v/>
      </c>
      <c r="IC702">
        <f>IF(OR(IA$3="",IA$3&gt;TODAY()),"",IF(AND(IA702="",IB702=""),"",N(IB702)-N(IA702)))</f>
        <v/>
      </c>
      <c r="IF702">
        <f>IF(OR(IA$3="",IA$3&gt;TODAY()),"",IF(AND(ID702="",IE702=""),"",N(IE702)-N(ID702)))</f>
        <v/>
      </c>
      <c r="IJ702">
        <f>IF(OR(IH$3="",IH$3&gt;TODAY()),"",IF(AND(IH702="",II702=""),"",N(II702)-N(IH702)))</f>
        <v/>
      </c>
      <c r="IM702">
        <f>IF(OR(IH$3="",IH$3&gt;TODAY()),"",IF(AND(IK702="",IL702=""),"",N(IL702)-N(IK702)))</f>
        <v/>
      </c>
    </row>
    <row r="703">
      <c r="A703" s="21" t="n"/>
      <c r="B703" s="21" t="n"/>
      <c r="C703" s="21" t="n"/>
      <c r="D703" s="21" t="n"/>
      <c r="E703" s="21" t="n"/>
      <c r="F703" s="21" t="n"/>
      <c r="G703" s="21" t="n"/>
      <c r="H703" s="21" t="n"/>
      <c r="I703" s="22" t="n"/>
      <c r="J703" s="22" t="n"/>
      <c r="K703" s="23" t="n"/>
      <c r="L703" s="22" t="n"/>
      <c r="M703" s="22" t="n"/>
      <c r="N703" s="21" t="n"/>
      <c r="O703" s="23" t="n"/>
      <c r="P703" s="23" t="n"/>
      <c r="Q703" s="23" t="n"/>
      <c r="R703" s="23" t="n"/>
      <c r="S703" s="22" t="n"/>
      <c r="T703" s="23" t="n"/>
      <c r="U703" s="23" t="n"/>
      <c r="V703" s="24">
        <f>IF(J703&lt;&gt;"",J703,IF(I703&lt;&gt;"",I703,""))</f>
        <v/>
      </c>
      <c r="W703" s="25">
        <f>IF($E703="","",N(O703)+SUMIFS($AF703:$IN703,$AF$4:$IN$4,"SEW_ACT"))</f>
        <v/>
      </c>
      <c r="X703" s="25">
        <f>IF($E703="","",N(P703)+SUMIFS($AF703:$IN703,$AF$4:$IN$4,"WASH_ACT"))</f>
        <v/>
      </c>
      <c r="Y703" s="25">
        <f>IF($E703="","",W703-X703-N(T703)-N(U703))</f>
        <v/>
      </c>
      <c r="Z703" s="25">
        <f>IF($E703="","",IF(N(K703)-X703&lt;=0.02*N(K703),0,N(K703)-X703))</f>
        <v/>
      </c>
      <c r="AA703" s="24">
        <f>IF($E703="","",IF(S703&lt;&gt;"",S703,IF(N(O703)&gt;0,IF(L703&lt;&gt;"",L703,99999),IFERROR(1/(1/_xlfn.MINIFS($AF$3:$IN$3,$AF$4:$IN$4,"SEW_ACT",$AF703:$IN703,"&gt;0")),99999))))</f>
        <v/>
      </c>
      <c r="AB703" s="26">
        <f>IF(OR($E703="",Z703=0,V703=""),"",1+COUNTIFS(Z$8:Z$707,"&gt;0",V$8:V$707,"&lt;"&amp;V703)+COUNTIFS(Z$8:Z$707,"&gt;0",V$8:V$707,V703,AA$8:AA$707,"&lt;"&amp;AA703)+COUNTIFS(Z$8:Z$707,"&gt;0",V$8:V$707,V703,AA$8:AA$707,AA703,E$8:E$707,"&lt;"&amp;$E703))</f>
        <v/>
      </c>
      <c r="AC703" s="24">
        <f>IF(OR($E703="",Z703=0),"",IFERROR(TODAY()+ROUNDUP(Z703/(SUMIFS($AF703:$IN703,$AF$4:$IN$4,"WASH_ACT")/COUNTIFS($AF$4:$IN$4,"WASH_ACT",$AF703:$IN703,"&gt;0")),0),"no output yet"))</f>
        <v/>
      </c>
      <c r="AD703" s="26">
        <f>IF($E703="","",IFERROR(ROUND(MAX(0,SUMIFS($AF703:$IN703,$AF$4:$IN$4,"SEW_PLAN",$AF$3:$IN$3,"&lt;="&amp;TODAY())-SUMIFS($AF703:$IN703,$AF$4:$IN$4,"SEW_ACT",$AF$3:$IN$3,"&lt;="&amp;TODAY())+N(Q703))/(SUMIFS($AF703:$IN703,$AF$4:$IN$4,"SEW_PLAN")/COUNTIFS($AF$4:$IN$4,"SEW_PLAN",$AF703:$IN703,"&gt;0")),1),0))</f>
        <v/>
      </c>
      <c r="AE703" s="26">
        <f>IF($E703="","",IF(AND(Z703&gt;0,OR(AND(M703&lt;&gt;"",TODAY()&gt;M703),AND(V703&lt;&gt;"",V703-TODAY()&lt;=7))),"Yes","No"))</f>
        <v/>
      </c>
      <c r="AH703">
        <f>IF(OR(AF$3="",AF$3&gt;TODAY()),"",IF(AND(AF703="",AG703=""),"",N(AG703)-N(AF703)))</f>
        <v/>
      </c>
      <c r="AK703">
        <f>IF(OR(AF$3="",AF$3&gt;TODAY()),"",IF(AND(AI703="",AJ703=""),"",N(AJ703)-N(AI703)))</f>
        <v/>
      </c>
      <c r="AO703">
        <f>IF(OR(AM$3="",AM$3&gt;TODAY()),"",IF(AND(AM703="",AN703=""),"",N(AN703)-N(AM703)))</f>
        <v/>
      </c>
      <c r="AR703">
        <f>IF(OR(AM$3="",AM$3&gt;TODAY()),"",IF(AND(AP703="",AQ703=""),"",N(AQ703)-N(AP703)))</f>
        <v/>
      </c>
      <c r="AV703">
        <f>IF(OR(AT$3="",AT$3&gt;TODAY()),"",IF(AND(AT703="",AU703=""),"",N(AU703)-N(AT703)))</f>
        <v/>
      </c>
      <c r="AY703">
        <f>IF(OR(AT$3="",AT$3&gt;TODAY()),"",IF(AND(AW703="",AX703=""),"",N(AX703)-N(AW703)))</f>
        <v/>
      </c>
      <c r="BC703">
        <f>IF(OR(BA$3="",BA$3&gt;TODAY()),"",IF(AND(BA703="",BB703=""),"",N(BB703)-N(BA703)))</f>
        <v/>
      </c>
      <c r="BF703">
        <f>IF(OR(BA$3="",BA$3&gt;TODAY()),"",IF(AND(BD703="",BE703=""),"",N(BE703)-N(BD703)))</f>
        <v/>
      </c>
      <c r="BJ703">
        <f>IF(OR(BH$3="",BH$3&gt;TODAY()),"",IF(AND(BH703="",BI703=""),"",N(BI703)-N(BH703)))</f>
        <v/>
      </c>
      <c r="BM703">
        <f>IF(OR(BH$3="",BH$3&gt;TODAY()),"",IF(AND(BK703="",BL703=""),"",N(BL703)-N(BK703)))</f>
        <v/>
      </c>
      <c r="BQ703">
        <f>IF(OR(BO$3="",BO$3&gt;TODAY()),"",IF(AND(BO703="",BP703=""),"",N(BP703)-N(BO703)))</f>
        <v/>
      </c>
      <c r="BT703">
        <f>IF(OR(BO$3="",BO$3&gt;TODAY()),"",IF(AND(BR703="",BS703=""),"",N(BS703)-N(BR703)))</f>
        <v/>
      </c>
      <c r="BX703">
        <f>IF(OR(BV$3="",BV$3&gt;TODAY()),"",IF(AND(BV703="",BW703=""),"",N(BW703)-N(BV703)))</f>
        <v/>
      </c>
      <c r="CA703">
        <f>IF(OR(BV$3="",BV$3&gt;TODAY()),"",IF(AND(BY703="",BZ703=""),"",N(BZ703)-N(BY703)))</f>
        <v/>
      </c>
      <c r="CE703">
        <f>IF(OR(CC$3="",CC$3&gt;TODAY()),"",IF(AND(CC703="",CD703=""),"",N(CD703)-N(CC703)))</f>
        <v/>
      </c>
      <c r="CH703">
        <f>IF(OR(CC$3="",CC$3&gt;TODAY()),"",IF(AND(CF703="",CG703=""),"",N(CG703)-N(CF703)))</f>
        <v/>
      </c>
      <c r="CL703">
        <f>IF(OR(CJ$3="",CJ$3&gt;TODAY()),"",IF(AND(CJ703="",CK703=""),"",N(CK703)-N(CJ703)))</f>
        <v/>
      </c>
      <c r="CO703">
        <f>IF(OR(CJ$3="",CJ$3&gt;TODAY()),"",IF(AND(CM703="",CN703=""),"",N(CN703)-N(CM703)))</f>
        <v/>
      </c>
      <c r="CS703">
        <f>IF(OR(CQ$3="",CQ$3&gt;TODAY()),"",IF(AND(CQ703="",CR703=""),"",N(CR703)-N(CQ703)))</f>
        <v/>
      </c>
      <c r="CV703">
        <f>IF(OR(CQ$3="",CQ$3&gt;TODAY()),"",IF(AND(CT703="",CU703=""),"",N(CU703)-N(CT703)))</f>
        <v/>
      </c>
      <c r="CZ703">
        <f>IF(OR(CX$3="",CX$3&gt;TODAY()),"",IF(AND(CX703="",CY703=""),"",N(CY703)-N(CX703)))</f>
        <v/>
      </c>
      <c r="DC703">
        <f>IF(OR(CX$3="",CX$3&gt;TODAY()),"",IF(AND(DA703="",DB703=""),"",N(DB703)-N(DA703)))</f>
        <v/>
      </c>
      <c r="DG703">
        <f>IF(OR(DE$3="",DE$3&gt;TODAY()),"",IF(AND(DE703="",DF703=""),"",N(DF703)-N(DE703)))</f>
        <v/>
      </c>
      <c r="DJ703">
        <f>IF(OR(DE$3="",DE$3&gt;TODAY()),"",IF(AND(DH703="",DI703=""),"",N(DI703)-N(DH703)))</f>
        <v/>
      </c>
      <c r="DN703">
        <f>IF(OR(DL$3="",DL$3&gt;TODAY()),"",IF(AND(DL703="",DM703=""),"",N(DM703)-N(DL703)))</f>
        <v/>
      </c>
      <c r="DQ703">
        <f>IF(OR(DL$3="",DL$3&gt;TODAY()),"",IF(AND(DO703="",DP703=""),"",N(DP703)-N(DO703)))</f>
        <v/>
      </c>
      <c r="DU703">
        <f>IF(OR(DS$3="",DS$3&gt;TODAY()),"",IF(AND(DS703="",DT703=""),"",N(DT703)-N(DS703)))</f>
        <v/>
      </c>
      <c r="DX703">
        <f>IF(OR(DS$3="",DS$3&gt;TODAY()),"",IF(AND(DV703="",DW703=""),"",N(DW703)-N(DV703)))</f>
        <v/>
      </c>
      <c r="EB703">
        <f>IF(OR(DZ$3="",DZ$3&gt;TODAY()),"",IF(AND(DZ703="",EA703=""),"",N(EA703)-N(DZ703)))</f>
        <v/>
      </c>
      <c r="EE703">
        <f>IF(OR(DZ$3="",DZ$3&gt;TODAY()),"",IF(AND(EC703="",ED703=""),"",N(ED703)-N(EC703)))</f>
        <v/>
      </c>
      <c r="EI703">
        <f>IF(OR(EG$3="",EG$3&gt;TODAY()),"",IF(AND(EG703="",EH703=""),"",N(EH703)-N(EG703)))</f>
        <v/>
      </c>
      <c r="EL703">
        <f>IF(OR(EG$3="",EG$3&gt;TODAY()),"",IF(AND(EJ703="",EK703=""),"",N(EK703)-N(EJ703)))</f>
        <v/>
      </c>
      <c r="EP703">
        <f>IF(OR(EN$3="",EN$3&gt;TODAY()),"",IF(AND(EN703="",EO703=""),"",N(EO703)-N(EN703)))</f>
        <v/>
      </c>
      <c r="ES703">
        <f>IF(OR(EN$3="",EN$3&gt;TODAY()),"",IF(AND(EQ703="",ER703=""),"",N(ER703)-N(EQ703)))</f>
        <v/>
      </c>
      <c r="EW703">
        <f>IF(OR(EU$3="",EU$3&gt;TODAY()),"",IF(AND(EU703="",EV703=""),"",N(EV703)-N(EU703)))</f>
        <v/>
      </c>
      <c r="EZ703">
        <f>IF(OR(EU$3="",EU$3&gt;TODAY()),"",IF(AND(EX703="",EY703=""),"",N(EY703)-N(EX703)))</f>
        <v/>
      </c>
      <c r="FD703">
        <f>IF(OR(FB$3="",FB$3&gt;TODAY()),"",IF(AND(FB703="",FC703=""),"",N(FC703)-N(FB703)))</f>
        <v/>
      </c>
      <c r="FG703">
        <f>IF(OR(FB$3="",FB$3&gt;TODAY()),"",IF(AND(FE703="",FF703=""),"",N(FF703)-N(FE703)))</f>
        <v/>
      </c>
      <c r="FK703">
        <f>IF(OR(FI$3="",FI$3&gt;TODAY()),"",IF(AND(FI703="",FJ703=""),"",N(FJ703)-N(FI703)))</f>
        <v/>
      </c>
      <c r="FN703">
        <f>IF(OR(FI$3="",FI$3&gt;TODAY()),"",IF(AND(FL703="",FM703=""),"",N(FM703)-N(FL703)))</f>
        <v/>
      </c>
      <c r="FR703">
        <f>IF(OR(FP$3="",FP$3&gt;TODAY()),"",IF(AND(FP703="",FQ703=""),"",N(FQ703)-N(FP703)))</f>
        <v/>
      </c>
      <c r="FU703">
        <f>IF(OR(FP$3="",FP$3&gt;TODAY()),"",IF(AND(FS703="",FT703=""),"",N(FT703)-N(FS703)))</f>
        <v/>
      </c>
      <c r="FY703">
        <f>IF(OR(FW$3="",FW$3&gt;TODAY()),"",IF(AND(FW703="",FX703=""),"",N(FX703)-N(FW703)))</f>
        <v/>
      </c>
      <c r="GB703">
        <f>IF(OR(FW$3="",FW$3&gt;TODAY()),"",IF(AND(FZ703="",GA703=""),"",N(GA703)-N(FZ703)))</f>
        <v/>
      </c>
      <c r="GF703">
        <f>IF(OR(GD$3="",GD$3&gt;TODAY()),"",IF(AND(GD703="",GE703=""),"",N(GE703)-N(GD703)))</f>
        <v/>
      </c>
      <c r="GI703">
        <f>IF(OR(GD$3="",GD$3&gt;TODAY()),"",IF(AND(GG703="",GH703=""),"",N(GH703)-N(GG703)))</f>
        <v/>
      </c>
      <c r="GM703">
        <f>IF(OR(GK$3="",GK$3&gt;TODAY()),"",IF(AND(GK703="",GL703=""),"",N(GL703)-N(GK703)))</f>
        <v/>
      </c>
      <c r="GP703">
        <f>IF(OR(GK$3="",GK$3&gt;TODAY()),"",IF(AND(GN703="",GO703=""),"",N(GO703)-N(GN703)))</f>
        <v/>
      </c>
      <c r="GT703">
        <f>IF(OR(GR$3="",GR$3&gt;TODAY()),"",IF(AND(GR703="",GS703=""),"",N(GS703)-N(GR703)))</f>
        <v/>
      </c>
      <c r="GW703">
        <f>IF(OR(GR$3="",GR$3&gt;TODAY()),"",IF(AND(GU703="",GV703=""),"",N(GV703)-N(GU703)))</f>
        <v/>
      </c>
      <c r="HA703">
        <f>IF(OR(GY$3="",GY$3&gt;TODAY()),"",IF(AND(GY703="",GZ703=""),"",N(GZ703)-N(GY703)))</f>
        <v/>
      </c>
      <c r="HD703">
        <f>IF(OR(GY$3="",GY$3&gt;TODAY()),"",IF(AND(HB703="",HC703=""),"",N(HC703)-N(HB703)))</f>
        <v/>
      </c>
      <c r="HH703">
        <f>IF(OR(HF$3="",HF$3&gt;TODAY()),"",IF(AND(HF703="",HG703=""),"",N(HG703)-N(HF703)))</f>
        <v/>
      </c>
      <c r="HK703">
        <f>IF(OR(HF$3="",HF$3&gt;TODAY()),"",IF(AND(HI703="",HJ703=""),"",N(HJ703)-N(HI703)))</f>
        <v/>
      </c>
      <c r="HO703">
        <f>IF(OR(HM$3="",HM$3&gt;TODAY()),"",IF(AND(HM703="",HN703=""),"",N(HN703)-N(HM703)))</f>
        <v/>
      </c>
      <c r="HR703">
        <f>IF(OR(HM$3="",HM$3&gt;TODAY()),"",IF(AND(HP703="",HQ703=""),"",N(HQ703)-N(HP703)))</f>
        <v/>
      </c>
      <c r="HV703">
        <f>IF(OR(HT$3="",HT$3&gt;TODAY()),"",IF(AND(HT703="",HU703=""),"",N(HU703)-N(HT703)))</f>
        <v/>
      </c>
      <c r="HY703">
        <f>IF(OR(HT$3="",HT$3&gt;TODAY()),"",IF(AND(HW703="",HX703=""),"",N(HX703)-N(HW703)))</f>
        <v/>
      </c>
      <c r="IC703">
        <f>IF(OR(IA$3="",IA$3&gt;TODAY()),"",IF(AND(IA703="",IB703=""),"",N(IB703)-N(IA703)))</f>
        <v/>
      </c>
      <c r="IF703">
        <f>IF(OR(IA$3="",IA$3&gt;TODAY()),"",IF(AND(ID703="",IE703=""),"",N(IE703)-N(ID703)))</f>
        <v/>
      </c>
      <c r="IJ703">
        <f>IF(OR(IH$3="",IH$3&gt;TODAY()),"",IF(AND(IH703="",II703=""),"",N(II703)-N(IH703)))</f>
        <v/>
      </c>
      <c r="IM703">
        <f>IF(OR(IH$3="",IH$3&gt;TODAY()),"",IF(AND(IK703="",IL703=""),"",N(IL703)-N(IK703)))</f>
        <v/>
      </c>
    </row>
    <row r="704">
      <c r="A704" s="21" t="n"/>
      <c r="B704" s="21" t="n"/>
      <c r="C704" s="21" t="n"/>
      <c r="D704" s="21" t="n"/>
      <c r="E704" s="21" t="n"/>
      <c r="F704" s="21" t="n"/>
      <c r="G704" s="21" t="n"/>
      <c r="H704" s="21" t="n"/>
      <c r="I704" s="22" t="n"/>
      <c r="J704" s="22" t="n"/>
      <c r="K704" s="23" t="n"/>
      <c r="L704" s="22" t="n"/>
      <c r="M704" s="22" t="n"/>
      <c r="N704" s="21" t="n"/>
      <c r="O704" s="23" t="n"/>
      <c r="P704" s="23" t="n"/>
      <c r="Q704" s="23" t="n"/>
      <c r="R704" s="23" t="n"/>
      <c r="S704" s="22" t="n"/>
      <c r="T704" s="23" t="n"/>
      <c r="U704" s="23" t="n"/>
      <c r="V704" s="24">
        <f>IF(J704&lt;&gt;"",J704,IF(I704&lt;&gt;"",I704,""))</f>
        <v/>
      </c>
      <c r="W704" s="25">
        <f>IF($E704="","",N(O704)+SUMIFS($AF704:$IN704,$AF$4:$IN$4,"SEW_ACT"))</f>
        <v/>
      </c>
      <c r="X704" s="25">
        <f>IF($E704="","",N(P704)+SUMIFS($AF704:$IN704,$AF$4:$IN$4,"WASH_ACT"))</f>
        <v/>
      </c>
      <c r="Y704" s="25">
        <f>IF($E704="","",W704-X704-N(T704)-N(U704))</f>
        <v/>
      </c>
      <c r="Z704" s="25">
        <f>IF($E704="","",IF(N(K704)-X704&lt;=0.02*N(K704),0,N(K704)-X704))</f>
        <v/>
      </c>
      <c r="AA704" s="24">
        <f>IF($E704="","",IF(S704&lt;&gt;"",S704,IF(N(O704)&gt;0,IF(L704&lt;&gt;"",L704,99999),IFERROR(1/(1/_xlfn.MINIFS($AF$3:$IN$3,$AF$4:$IN$4,"SEW_ACT",$AF704:$IN704,"&gt;0")),99999))))</f>
        <v/>
      </c>
      <c r="AB704" s="26">
        <f>IF(OR($E704="",Z704=0,V704=""),"",1+COUNTIFS(Z$8:Z$707,"&gt;0",V$8:V$707,"&lt;"&amp;V704)+COUNTIFS(Z$8:Z$707,"&gt;0",V$8:V$707,V704,AA$8:AA$707,"&lt;"&amp;AA704)+COUNTIFS(Z$8:Z$707,"&gt;0",V$8:V$707,V704,AA$8:AA$707,AA704,E$8:E$707,"&lt;"&amp;$E704))</f>
        <v/>
      </c>
      <c r="AC704" s="24">
        <f>IF(OR($E704="",Z704=0),"",IFERROR(TODAY()+ROUNDUP(Z704/(SUMIFS($AF704:$IN704,$AF$4:$IN$4,"WASH_ACT")/COUNTIFS($AF$4:$IN$4,"WASH_ACT",$AF704:$IN704,"&gt;0")),0),"no output yet"))</f>
        <v/>
      </c>
      <c r="AD704" s="26">
        <f>IF($E704="","",IFERROR(ROUND(MAX(0,SUMIFS($AF704:$IN704,$AF$4:$IN$4,"SEW_PLAN",$AF$3:$IN$3,"&lt;="&amp;TODAY())-SUMIFS($AF704:$IN704,$AF$4:$IN$4,"SEW_ACT",$AF$3:$IN$3,"&lt;="&amp;TODAY())+N(Q704))/(SUMIFS($AF704:$IN704,$AF$4:$IN$4,"SEW_PLAN")/COUNTIFS($AF$4:$IN$4,"SEW_PLAN",$AF704:$IN704,"&gt;0")),1),0))</f>
        <v/>
      </c>
      <c r="AE704" s="26">
        <f>IF($E704="","",IF(AND(Z704&gt;0,OR(AND(M704&lt;&gt;"",TODAY()&gt;M704),AND(V704&lt;&gt;"",V704-TODAY()&lt;=7))),"Yes","No"))</f>
        <v/>
      </c>
      <c r="AH704">
        <f>IF(OR(AF$3="",AF$3&gt;TODAY()),"",IF(AND(AF704="",AG704=""),"",N(AG704)-N(AF704)))</f>
        <v/>
      </c>
      <c r="AK704">
        <f>IF(OR(AF$3="",AF$3&gt;TODAY()),"",IF(AND(AI704="",AJ704=""),"",N(AJ704)-N(AI704)))</f>
        <v/>
      </c>
      <c r="AO704">
        <f>IF(OR(AM$3="",AM$3&gt;TODAY()),"",IF(AND(AM704="",AN704=""),"",N(AN704)-N(AM704)))</f>
        <v/>
      </c>
      <c r="AR704">
        <f>IF(OR(AM$3="",AM$3&gt;TODAY()),"",IF(AND(AP704="",AQ704=""),"",N(AQ704)-N(AP704)))</f>
        <v/>
      </c>
      <c r="AV704">
        <f>IF(OR(AT$3="",AT$3&gt;TODAY()),"",IF(AND(AT704="",AU704=""),"",N(AU704)-N(AT704)))</f>
        <v/>
      </c>
      <c r="AY704">
        <f>IF(OR(AT$3="",AT$3&gt;TODAY()),"",IF(AND(AW704="",AX704=""),"",N(AX704)-N(AW704)))</f>
        <v/>
      </c>
      <c r="BC704">
        <f>IF(OR(BA$3="",BA$3&gt;TODAY()),"",IF(AND(BA704="",BB704=""),"",N(BB704)-N(BA704)))</f>
        <v/>
      </c>
      <c r="BF704">
        <f>IF(OR(BA$3="",BA$3&gt;TODAY()),"",IF(AND(BD704="",BE704=""),"",N(BE704)-N(BD704)))</f>
        <v/>
      </c>
      <c r="BJ704">
        <f>IF(OR(BH$3="",BH$3&gt;TODAY()),"",IF(AND(BH704="",BI704=""),"",N(BI704)-N(BH704)))</f>
        <v/>
      </c>
      <c r="BM704">
        <f>IF(OR(BH$3="",BH$3&gt;TODAY()),"",IF(AND(BK704="",BL704=""),"",N(BL704)-N(BK704)))</f>
        <v/>
      </c>
      <c r="BQ704">
        <f>IF(OR(BO$3="",BO$3&gt;TODAY()),"",IF(AND(BO704="",BP704=""),"",N(BP704)-N(BO704)))</f>
        <v/>
      </c>
      <c r="BT704">
        <f>IF(OR(BO$3="",BO$3&gt;TODAY()),"",IF(AND(BR704="",BS704=""),"",N(BS704)-N(BR704)))</f>
        <v/>
      </c>
      <c r="BX704">
        <f>IF(OR(BV$3="",BV$3&gt;TODAY()),"",IF(AND(BV704="",BW704=""),"",N(BW704)-N(BV704)))</f>
        <v/>
      </c>
      <c r="CA704">
        <f>IF(OR(BV$3="",BV$3&gt;TODAY()),"",IF(AND(BY704="",BZ704=""),"",N(BZ704)-N(BY704)))</f>
        <v/>
      </c>
      <c r="CE704">
        <f>IF(OR(CC$3="",CC$3&gt;TODAY()),"",IF(AND(CC704="",CD704=""),"",N(CD704)-N(CC704)))</f>
        <v/>
      </c>
      <c r="CH704">
        <f>IF(OR(CC$3="",CC$3&gt;TODAY()),"",IF(AND(CF704="",CG704=""),"",N(CG704)-N(CF704)))</f>
        <v/>
      </c>
      <c r="CL704">
        <f>IF(OR(CJ$3="",CJ$3&gt;TODAY()),"",IF(AND(CJ704="",CK704=""),"",N(CK704)-N(CJ704)))</f>
        <v/>
      </c>
      <c r="CO704">
        <f>IF(OR(CJ$3="",CJ$3&gt;TODAY()),"",IF(AND(CM704="",CN704=""),"",N(CN704)-N(CM704)))</f>
        <v/>
      </c>
      <c r="CS704">
        <f>IF(OR(CQ$3="",CQ$3&gt;TODAY()),"",IF(AND(CQ704="",CR704=""),"",N(CR704)-N(CQ704)))</f>
        <v/>
      </c>
      <c r="CV704">
        <f>IF(OR(CQ$3="",CQ$3&gt;TODAY()),"",IF(AND(CT704="",CU704=""),"",N(CU704)-N(CT704)))</f>
        <v/>
      </c>
      <c r="CZ704">
        <f>IF(OR(CX$3="",CX$3&gt;TODAY()),"",IF(AND(CX704="",CY704=""),"",N(CY704)-N(CX704)))</f>
        <v/>
      </c>
      <c r="DC704">
        <f>IF(OR(CX$3="",CX$3&gt;TODAY()),"",IF(AND(DA704="",DB704=""),"",N(DB704)-N(DA704)))</f>
        <v/>
      </c>
      <c r="DG704">
        <f>IF(OR(DE$3="",DE$3&gt;TODAY()),"",IF(AND(DE704="",DF704=""),"",N(DF704)-N(DE704)))</f>
        <v/>
      </c>
      <c r="DJ704">
        <f>IF(OR(DE$3="",DE$3&gt;TODAY()),"",IF(AND(DH704="",DI704=""),"",N(DI704)-N(DH704)))</f>
        <v/>
      </c>
      <c r="DN704">
        <f>IF(OR(DL$3="",DL$3&gt;TODAY()),"",IF(AND(DL704="",DM704=""),"",N(DM704)-N(DL704)))</f>
        <v/>
      </c>
      <c r="DQ704">
        <f>IF(OR(DL$3="",DL$3&gt;TODAY()),"",IF(AND(DO704="",DP704=""),"",N(DP704)-N(DO704)))</f>
        <v/>
      </c>
      <c r="DU704">
        <f>IF(OR(DS$3="",DS$3&gt;TODAY()),"",IF(AND(DS704="",DT704=""),"",N(DT704)-N(DS704)))</f>
        <v/>
      </c>
      <c r="DX704">
        <f>IF(OR(DS$3="",DS$3&gt;TODAY()),"",IF(AND(DV704="",DW704=""),"",N(DW704)-N(DV704)))</f>
        <v/>
      </c>
      <c r="EB704">
        <f>IF(OR(DZ$3="",DZ$3&gt;TODAY()),"",IF(AND(DZ704="",EA704=""),"",N(EA704)-N(DZ704)))</f>
        <v/>
      </c>
      <c r="EE704">
        <f>IF(OR(DZ$3="",DZ$3&gt;TODAY()),"",IF(AND(EC704="",ED704=""),"",N(ED704)-N(EC704)))</f>
        <v/>
      </c>
      <c r="EI704">
        <f>IF(OR(EG$3="",EG$3&gt;TODAY()),"",IF(AND(EG704="",EH704=""),"",N(EH704)-N(EG704)))</f>
        <v/>
      </c>
      <c r="EL704">
        <f>IF(OR(EG$3="",EG$3&gt;TODAY()),"",IF(AND(EJ704="",EK704=""),"",N(EK704)-N(EJ704)))</f>
        <v/>
      </c>
      <c r="EP704">
        <f>IF(OR(EN$3="",EN$3&gt;TODAY()),"",IF(AND(EN704="",EO704=""),"",N(EO704)-N(EN704)))</f>
        <v/>
      </c>
      <c r="ES704">
        <f>IF(OR(EN$3="",EN$3&gt;TODAY()),"",IF(AND(EQ704="",ER704=""),"",N(ER704)-N(EQ704)))</f>
        <v/>
      </c>
      <c r="EW704">
        <f>IF(OR(EU$3="",EU$3&gt;TODAY()),"",IF(AND(EU704="",EV704=""),"",N(EV704)-N(EU704)))</f>
        <v/>
      </c>
      <c r="EZ704">
        <f>IF(OR(EU$3="",EU$3&gt;TODAY()),"",IF(AND(EX704="",EY704=""),"",N(EY704)-N(EX704)))</f>
        <v/>
      </c>
      <c r="FD704">
        <f>IF(OR(FB$3="",FB$3&gt;TODAY()),"",IF(AND(FB704="",FC704=""),"",N(FC704)-N(FB704)))</f>
        <v/>
      </c>
      <c r="FG704">
        <f>IF(OR(FB$3="",FB$3&gt;TODAY()),"",IF(AND(FE704="",FF704=""),"",N(FF704)-N(FE704)))</f>
        <v/>
      </c>
      <c r="FK704">
        <f>IF(OR(FI$3="",FI$3&gt;TODAY()),"",IF(AND(FI704="",FJ704=""),"",N(FJ704)-N(FI704)))</f>
        <v/>
      </c>
      <c r="FN704">
        <f>IF(OR(FI$3="",FI$3&gt;TODAY()),"",IF(AND(FL704="",FM704=""),"",N(FM704)-N(FL704)))</f>
        <v/>
      </c>
      <c r="FR704">
        <f>IF(OR(FP$3="",FP$3&gt;TODAY()),"",IF(AND(FP704="",FQ704=""),"",N(FQ704)-N(FP704)))</f>
        <v/>
      </c>
      <c r="FU704">
        <f>IF(OR(FP$3="",FP$3&gt;TODAY()),"",IF(AND(FS704="",FT704=""),"",N(FT704)-N(FS704)))</f>
        <v/>
      </c>
      <c r="FY704">
        <f>IF(OR(FW$3="",FW$3&gt;TODAY()),"",IF(AND(FW704="",FX704=""),"",N(FX704)-N(FW704)))</f>
        <v/>
      </c>
      <c r="GB704">
        <f>IF(OR(FW$3="",FW$3&gt;TODAY()),"",IF(AND(FZ704="",GA704=""),"",N(GA704)-N(FZ704)))</f>
        <v/>
      </c>
      <c r="GF704">
        <f>IF(OR(GD$3="",GD$3&gt;TODAY()),"",IF(AND(GD704="",GE704=""),"",N(GE704)-N(GD704)))</f>
        <v/>
      </c>
      <c r="GI704">
        <f>IF(OR(GD$3="",GD$3&gt;TODAY()),"",IF(AND(GG704="",GH704=""),"",N(GH704)-N(GG704)))</f>
        <v/>
      </c>
      <c r="GM704">
        <f>IF(OR(GK$3="",GK$3&gt;TODAY()),"",IF(AND(GK704="",GL704=""),"",N(GL704)-N(GK704)))</f>
        <v/>
      </c>
      <c r="GP704">
        <f>IF(OR(GK$3="",GK$3&gt;TODAY()),"",IF(AND(GN704="",GO704=""),"",N(GO704)-N(GN704)))</f>
        <v/>
      </c>
      <c r="GT704">
        <f>IF(OR(GR$3="",GR$3&gt;TODAY()),"",IF(AND(GR704="",GS704=""),"",N(GS704)-N(GR704)))</f>
        <v/>
      </c>
      <c r="GW704">
        <f>IF(OR(GR$3="",GR$3&gt;TODAY()),"",IF(AND(GU704="",GV704=""),"",N(GV704)-N(GU704)))</f>
        <v/>
      </c>
      <c r="HA704">
        <f>IF(OR(GY$3="",GY$3&gt;TODAY()),"",IF(AND(GY704="",GZ704=""),"",N(GZ704)-N(GY704)))</f>
        <v/>
      </c>
      <c r="HD704">
        <f>IF(OR(GY$3="",GY$3&gt;TODAY()),"",IF(AND(HB704="",HC704=""),"",N(HC704)-N(HB704)))</f>
        <v/>
      </c>
      <c r="HH704">
        <f>IF(OR(HF$3="",HF$3&gt;TODAY()),"",IF(AND(HF704="",HG704=""),"",N(HG704)-N(HF704)))</f>
        <v/>
      </c>
      <c r="HK704">
        <f>IF(OR(HF$3="",HF$3&gt;TODAY()),"",IF(AND(HI704="",HJ704=""),"",N(HJ704)-N(HI704)))</f>
        <v/>
      </c>
      <c r="HO704">
        <f>IF(OR(HM$3="",HM$3&gt;TODAY()),"",IF(AND(HM704="",HN704=""),"",N(HN704)-N(HM704)))</f>
        <v/>
      </c>
      <c r="HR704">
        <f>IF(OR(HM$3="",HM$3&gt;TODAY()),"",IF(AND(HP704="",HQ704=""),"",N(HQ704)-N(HP704)))</f>
        <v/>
      </c>
      <c r="HV704">
        <f>IF(OR(HT$3="",HT$3&gt;TODAY()),"",IF(AND(HT704="",HU704=""),"",N(HU704)-N(HT704)))</f>
        <v/>
      </c>
      <c r="HY704">
        <f>IF(OR(HT$3="",HT$3&gt;TODAY()),"",IF(AND(HW704="",HX704=""),"",N(HX704)-N(HW704)))</f>
        <v/>
      </c>
      <c r="IC704">
        <f>IF(OR(IA$3="",IA$3&gt;TODAY()),"",IF(AND(IA704="",IB704=""),"",N(IB704)-N(IA704)))</f>
        <v/>
      </c>
      <c r="IF704">
        <f>IF(OR(IA$3="",IA$3&gt;TODAY()),"",IF(AND(ID704="",IE704=""),"",N(IE704)-N(ID704)))</f>
        <v/>
      </c>
      <c r="IJ704">
        <f>IF(OR(IH$3="",IH$3&gt;TODAY()),"",IF(AND(IH704="",II704=""),"",N(II704)-N(IH704)))</f>
        <v/>
      </c>
      <c r="IM704">
        <f>IF(OR(IH$3="",IH$3&gt;TODAY()),"",IF(AND(IK704="",IL704=""),"",N(IL704)-N(IK704)))</f>
        <v/>
      </c>
    </row>
    <row r="705">
      <c r="A705" s="21" t="n"/>
      <c r="B705" s="21" t="n"/>
      <c r="C705" s="21" t="n"/>
      <c r="D705" s="21" t="n"/>
      <c r="E705" s="21" t="n"/>
      <c r="F705" s="21" t="n"/>
      <c r="G705" s="21" t="n"/>
      <c r="H705" s="21" t="n"/>
      <c r="I705" s="22" t="n"/>
      <c r="J705" s="22" t="n"/>
      <c r="K705" s="23" t="n"/>
      <c r="L705" s="22" t="n"/>
      <c r="M705" s="22" t="n"/>
      <c r="N705" s="21" t="n"/>
      <c r="O705" s="23" t="n"/>
      <c r="P705" s="23" t="n"/>
      <c r="Q705" s="23" t="n"/>
      <c r="R705" s="23" t="n"/>
      <c r="S705" s="22" t="n"/>
      <c r="T705" s="23" t="n"/>
      <c r="U705" s="23" t="n"/>
      <c r="V705" s="24">
        <f>IF(J705&lt;&gt;"",J705,IF(I705&lt;&gt;"",I705,""))</f>
        <v/>
      </c>
      <c r="W705" s="25">
        <f>IF($E705="","",N(O705)+SUMIFS($AF705:$IN705,$AF$4:$IN$4,"SEW_ACT"))</f>
        <v/>
      </c>
      <c r="X705" s="25">
        <f>IF($E705="","",N(P705)+SUMIFS($AF705:$IN705,$AF$4:$IN$4,"WASH_ACT"))</f>
        <v/>
      </c>
      <c r="Y705" s="25">
        <f>IF($E705="","",W705-X705-N(T705)-N(U705))</f>
        <v/>
      </c>
      <c r="Z705" s="25">
        <f>IF($E705="","",IF(N(K705)-X705&lt;=0.02*N(K705),0,N(K705)-X705))</f>
        <v/>
      </c>
      <c r="AA705" s="24">
        <f>IF($E705="","",IF(S705&lt;&gt;"",S705,IF(N(O705)&gt;0,IF(L705&lt;&gt;"",L705,99999),IFERROR(1/(1/_xlfn.MINIFS($AF$3:$IN$3,$AF$4:$IN$4,"SEW_ACT",$AF705:$IN705,"&gt;0")),99999))))</f>
        <v/>
      </c>
      <c r="AB705" s="26">
        <f>IF(OR($E705="",Z705=0,V705=""),"",1+COUNTIFS(Z$8:Z$707,"&gt;0",V$8:V$707,"&lt;"&amp;V705)+COUNTIFS(Z$8:Z$707,"&gt;0",V$8:V$707,V705,AA$8:AA$707,"&lt;"&amp;AA705)+COUNTIFS(Z$8:Z$707,"&gt;0",V$8:V$707,V705,AA$8:AA$707,AA705,E$8:E$707,"&lt;"&amp;$E705))</f>
        <v/>
      </c>
      <c r="AC705" s="24">
        <f>IF(OR($E705="",Z705=0),"",IFERROR(TODAY()+ROUNDUP(Z705/(SUMIFS($AF705:$IN705,$AF$4:$IN$4,"WASH_ACT")/COUNTIFS($AF$4:$IN$4,"WASH_ACT",$AF705:$IN705,"&gt;0")),0),"no output yet"))</f>
        <v/>
      </c>
      <c r="AD705" s="26">
        <f>IF($E705="","",IFERROR(ROUND(MAX(0,SUMIFS($AF705:$IN705,$AF$4:$IN$4,"SEW_PLAN",$AF$3:$IN$3,"&lt;="&amp;TODAY())-SUMIFS($AF705:$IN705,$AF$4:$IN$4,"SEW_ACT",$AF$3:$IN$3,"&lt;="&amp;TODAY())+N(Q705))/(SUMIFS($AF705:$IN705,$AF$4:$IN$4,"SEW_PLAN")/COUNTIFS($AF$4:$IN$4,"SEW_PLAN",$AF705:$IN705,"&gt;0")),1),0))</f>
        <v/>
      </c>
      <c r="AE705" s="26">
        <f>IF($E705="","",IF(AND(Z705&gt;0,OR(AND(M705&lt;&gt;"",TODAY()&gt;M705),AND(V705&lt;&gt;"",V705-TODAY()&lt;=7))),"Yes","No"))</f>
        <v/>
      </c>
      <c r="AH705">
        <f>IF(OR(AF$3="",AF$3&gt;TODAY()),"",IF(AND(AF705="",AG705=""),"",N(AG705)-N(AF705)))</f>
        <v/>
      </c>
      <c r="AK705">
        <f>IF(OR(AF$3="",AF$3&gt;TODAY()),"",IF(AND(AI705="",AJ705=""),"",N(AJ705)-N(AI705)))</f>
        <v/>
      </c>
      <c r="AO705">
        <f>IF(OR(AM$3="",AM$3&gt;TODAY()),"",IF(AND(AM705="",AN705=""),"",N(AN705)-N(AM705)))</f>
        <v/>
      </c>
      <c r="AR705">
        <f>IF(OR(AM$3="",AM$3&gt;TODAY()),"",IF(AND(AP705="",AQ705=""),"",N(AQ705)-N(AP705)))</f>
        <v/>
      </c>
      <c r="AV705">
        <f>IF(OR(AT$3="",AT$3&gt;TODAY()),"",IF(AND(AT705="",AU705=""),"",N(AU705)-N(AT705)))</f>
        <v/>
      </c>
      <c r="AY705">
        <f>IF(OR(AT$3="",AT$3&gt;TODAY()),"",IF(AND(AW705="",AX705=""),"",N(AX705)-N(AW705)))</f>
        <v/>
      </c>
      <c r="BC705">
        <f>IF(OR(BA$3="",BA$3&gt;TODAY()),"",IF(AND(BA705="",BB705=""),"",N(BB705)-N(BA705)))</f>
        <v/>
      </c>
      <c r="BF705">
        <f>IF(OR(BA$3="",BA$3&gt;TODAY()),"",IF(AND(BD705="",BE705=""),"",N(BE705)-N(BD705)))</f>
        <v/>
      </c>
      <c r="BJ705">
        <f>IF(OR(BH$3="",BH$3&gt;TODAY()),"",IF(AND(BH705="",BI705=""),"",N(BI705)-N(BH705)))</f>
        <v/>
      </c>
      <c r="BM705">
        <f>IF(OR(BH$3="",BH$3&gt;TODAY()),"",IF(AND(BK705="",BL705=""),"",N(BL705)-N(BK705)))</f>
        <v/>
      </c>
      <c r="BQ705">
        <f>IF(OR(BO$3="",BO$3&gt;TODAY()),"",IF(AND(BO705="",BP705=""),"",N(BP705)-N(BO705)))</f>
        <v/>
      </c>
      <c r="BT705">
        <f>IF(OR(BO$3="",BO$3&gt;TODAY()),"",IF(AND(BR705="",BS705=""),"",N(BS705)-N(BR705)))</f>
        <v/>
      </c>
      <c r="BX705">
        <f>IF(OR(BV$3="",BV$3&gt;TODAY()),"",IF(AND(BV705="",BW705=""),"",N(BW705)-N(BV705)))</f>
        <v/>
      </c>
      <c r="CA705">
        <f>IF(OR(BV$3="",BV$3&gt;TODAY()),"",IF(AND(BY705="",BZ705=""),"",N(BZ705)-N(BY705)))</f>
        <v/>
      </c>
      <c r="CE705">
        <f>IF(OR(CC$3="",CC$3&gt;TODAY()),"",IF(AND(CC705="",CD705=""),"",N(CD705)-N(CC705)))</f>
        <v/>
      </c>
      <c r="CH705">
        <f>IF(OR(CC$3="",CC$3&gt;TODAY()),"",IF(AND(CF705="",CG705=""),"",N(CG705)-N(CF705)))</f>
        <v/>
      </c>
      <c r="CL705">
        <f>IF(OR(CJ$3="",CJ$3&gt;TODAY()),"",IF(AND(CJ705="",CK705=""),"",N(CK705)-N(CJ705)))</f>
        <v/>
      </c>
      <c r="CO705">
        <f>IF(OR(CJ$3="",CJ$3&gt;TODAY()),"",IF(AND(CM705="",CN705=""),"",N(CN705)-N(CM705)))</f>
        <v/>
      </c>
      <c r="CS705">
        <f>IF(OR(CQ$3="",CQ$3&gt;TODAY()),"",IF(AND(CQ705="",CR705=""),"",N(CR705)-N(CQ705)))</f>
        <v/>
      </c>
      <c r="CV705">
        <f>IF(OR(CQ$3="",CQ$3&gt;TODAY()),"",IF(AND(CT705="",CU705=""),"",N(CU705)-N(CT705)))</f>
        <v/>
      </c>
      <c r="CZ705">
        <f>IF(OR(CX$3="",CX$3&gt;TODAY()),"",IF(AND(CX705="",CY705=""),"",N(CY705)-N(CX705)))</f>
        <v/>
      </c>
      <c r="DC705">
        <f>IF(OR(CX$3="",CX$3&gt;TODAY()),"",IF(AND(DA705="",DB705=""),"",N(DB705)-N(DA705)))</f>
        <v/>
      </c>
      <c r="DG705">
        <f>IF(OR(DE$3="",DE$3&gt;TODAY()),"",IF(AND(DE705="",DF705=""),"",N(DF705)-N(DE705)))</f>
        <v/>
      </c>
      <c r="DJ705">
        <f>IF(OR(DE$3="",DE$3&gt;TODAY()),"",IF(AND(DH705="",DI705=""),"",N(DI705)-N(DH705)))</f>
        <v/>
      </c>
      <c r="DN705">
        <f>IF(OR(DL$3="",DL$3&gt;TODAY()),"",IF(AND(DL705="",DM705=""),"",N(DM705)-N(DL705)))</f>
        <v/>
      </c>
      <c r="DQ705">
        <f>IF(OR(DL$3="",DL$3&gt;TODAY()),"",IF(AND(DO705="",DP705=""),"",N(DP705)-N(DO705)))</f>
        <v/>
      </c>
      <c r="DU705">
        <f>IF(OR(DS$3="",DS$3&gt;TODAY()),"",IF(AND(DS705="",DT705=""),"",N(DT705)-N(DS705)))</f>
        <v/>
      </c>
      <c r="DX705">
        <f>IF(OR(DS$3="",DS$3&gt;TODAY()),"",IF(AND(DV705="",DW705=""),"",N(DW705)-N(DV705)))</f>
        <v/>
      </c>
      <c r="EB705">
        <f>IF(OR(DZ$3="",DZ$3&gt;TODAY()),"",IF(AND(DZ705="",EA705=""),"",N(EA705)-N(DZ705)))</f>
        <v/>
      </c>
      <c r="EE705">
        <f>IF(OR(DZ$3="",DZ$3&gt;TODAY()),"",IF(AND(EC705="",ED705=""),"",N(ED705)-N(EC705)))</f>
        <v/>
      </c>
      <c r="EI705">
        <f>IF(OR(EG$3="",EG$3&gt;TODAY()),"",IF(AND(EG705="",EH705=""),"",N(EH705)-N(EG705)))</f>
        <v/>
      </c>
      <c r="EL705">
        <f>IF(OR(EG$3="",EG$3&gt;TODAY()),"",IF(AND(EJ705="",EK705=""),"",N(EK705)-N(EJ705)))</f>
        <v/>
      </c>
      <c r="EP705">
        <f>IF(OR(EN$3="",EN$3&gt;TODAY()),"",IF(AND(EN705="",EO705=""),"",N(EO705)-N(EN705)))</f>
        <v/>
      </c>
      <c r="ES705">
        <f>IF(OR(EN$3="",EN$3&gt;TODAY()),"",IF(AND(EQ705="",ER705=""),"",N(ER705)-N(EQ705)))</f>
        <v/>
      </c>
      <c r="EW705">
        <f>IF(OR(EU$3="",EU$3&gt;TODAY()),"",IF(AND(EU705="",EV705=""),"",N(EV705)-N(EU705)))</f>
        <v/>
      </c>
      <c r="EZ705">
        <f>IF(OR(EU$3="",EU$3&gt;TODAY()),"",IF(AND(EX705="",EY705=""),"",N(EY705)-N(EX705)))</f>
        <v/>
      </c>
      <c r="FD705">
        <f>IF(OR(FB$3="",FB$3&gt;TODAY()),"",IF(AND(FB705="",FC705=""),"",N(FC705)-N(FB705)))</f>
        <v/>
      </c>
      <c r="FG705">
        <f>IF(OR(FB$3="",FB$3&gt;TODAY()),"",IF(AND(FE705="",FF705=""),"",N(FF705)-N(FE705)))</f>
        <v/>
      </c>
      <c r="FK705">
        <f>IF(OR(FI$3="",FI$3&gt;TODAY()),"",IF(AND(FI705="",FJ705=""),"",N(FJ705)-N(FI705)))</f>
        <v/>
      </c>
      <c r="FN705">
        <f>IF(OR(FI$3="",FI$3&gt;TODAY()),"",IF(AND(FL705="",FM705=""),"",N(FM705)-N(FL705)))</f>
        <v/>
      </c>
      <c r="FR705">
        <f>IF(OR(FP$3="",FP$3&gt;TODAY()),"",IF(AND(FP705="",FQ705=""),"",N(FQ705)-N(FP705)))</f>
        <v/>
      </c>
      <c r="FU705">
        <f>IF(OR(FP$3="",FP$3&gt;TODAY()),"",IF(AND(FS705="",FT705=""),"",N(FT705)-N(FS705)))</f>
        <v/>
      </c>
      <c r="FY705">
        <f>IF(OR(FW$3="",FW$3&gt;TODAY()),"",IF(AND(FW705="",FX705=""),"",N(FX705)-N(FW705)))</f>
        <v/>
      </c>
      <c r="GB705">
        <f>IF(OR(FW$3="",FW$3&gt;TODAY()),"",IF(AND(FZ705="",GA705=""),"",N(GA705)-N(FZ705)))</f>
        <v/>
      </c>
      <c r="GF705">
        <f>IF(OR(GD$3="",GD$3&gt;TODAY()),"",IF(AND(GD705="",GE705=""),"",N(GE705)-N(GD705)))</f>
        <v/>
      </c>
      <c r="GI705">
        <f>IF(OR(GD$3="",GD$3&gt;TODAY()),"",IF(AND(GG705="",GH705=""),"",N(GH705)-N(GG705)))</f>
        <v/>
      </c>
      <c r="GM705">
        <f>IF(OR(GK$3="",GK$3&gt;TODAY()),"",IF(AND(GK705="",GL705=""),"",N(GL705)-N(GK705)))</f>
        <v/>
      </c>
      <c r="GP705">
        <f>IF(OR(GK$3="",GK$3&gt;TODAY()),"",IF(AND(GN705="",GO705=""),"",N(GO705)-N(GN705)))</f>
        <v/>
      </c>
      <c r="GT705">
        <f>IF(OR(GR$3="",GR$3&gt;TODAY()),"",IF(AND(GR705="",GS705=""),"",N(GS705)-N(GR705)))</f>
        <v/>
      </c>
      <c r="GW705">
        <f>IF(OR(GR$3="",GR$3&gt;TODAY()),"",IF(AND(GU705="",GV705=""),"",N(GV705)-N(GU705)))</f>
        <v/>
      </c>
      <c r="HA705">
        <f>IF(OR(GY$3="",GY$3&gt;TODAY()),"",IF(AND(GY705="",GZ705=""),"",N(GZ705)-N(GY705)))</f>
        <v/>
      </c>
      <c r="HD705">
        <f>IF(OR(GY$3="",GY$3&gt;TODAY()),"",IF(AND(HB705="",HC705=""),"",N(HC705)-N(HB705)))</f>
        <v/>
      </c>
      <c r="HH705">
        <f>IF(OR(HF$3="",HF$3&gt;TODAY()),"",IF(AND(HF705="",HG705=""),"",N(HG705)-N(HF705)))</f>
        <v/>
      </c>
      <c r="HK705">
        <f>IF(OR(HF$3="",HF$3&gt;TODAY()),"",IF(AND(HI705="",HJ705=""),"",N(HJ705)-N(HI705)))</f>
        <v/>
      </c>
      <c r="HO705">
        <f>IF(OR(HM$3="",HM$3&gt;TODAY()),"",IF(AND(HM705="",HN705=""),"",N(HN705)-N(HM705)))</f>
        <v/>
      </c>
      <c r="HR705">
        <f>IF(OR(HM$3="",HM$3&gt;TODAY()),"",IF(AND(HP705="",HQ705=""),"",N(HQ705)-N(HP705)))</f>
        <v/>
      </c>
      <c r="HV705">
        <f>IF(OR(HT$3="",HT$3&gt;TODAY()),"",IF(AND(HT705="",HU705=""),"",N(HU705)-N(HT705)))</f>
        <v/>
      </c>
      <c r="HY705">
        <f>IF(OR(HT$3="",HT$3&gt;TODAY()),"",IF(AND(HW705="",HX705=""),"",N(HX705)-N(HW705)))</f>
        <v/>
      </c>
      <c r="IC705">
        <f>IF(OR(IA$3="",IA$3&gt;TODAY()),"",IF(AND(IA705="",IB705=""),"",N(IB705)-N(IA705)))</f>
        <v/>
      </c>
      <c r="IF705">
        <f>IF(OR(IA$3="",IA$3&gt;TODAY()),"",IF(AND(ID705="",IE705=""),"",N(IE705)-N(ID705)))</f>
        <v/>
      </c>
      <c r="IJ705">
        <f>IF(OR(IH$3="",IH$3&gt;TODAY()),"",IF(AND(IH705="",II705=""),"",N(II705)-N(IH705)))</f>
        <v/>
      </c>
      <c r="IM705">
        <f>IF(OR(IH$3="",IH$3&gt;TODAY()),"",IF(AND(IK705="",IL705=""),"",N(IL705)-N(IK705)))</f>
        <v/>
      </c>
    </row>
    <row r="706">
      <c r="A706" s="21" t="n"/>
      <c r="B706" s="21" t="n"/>
      <c r="C706" s="21" t="n"/>
      <c r="D706" s="21" t="n"/>
      <c r="E706" s="21" t="n"/>
      <c r="F706" s="21" t="n"/>
      <c r="G706" s="21" t="n"/>
      <c r="H706" s="21" t="n"/>
      <c r="I706" s="22" t="n"/>
      <c r="J706" s="22" t="n"/>
      <c r="K706" s="23" t="n"/>
      <c r="L706" s="22" t="n"/>
      <c r="M706" s="22" t="n"/>
      <c r="N706" s="21" t="n"/>
      <c r="O706" s="23" t="n"/>
      <c r="P706" s="23" t="n"/>
      <c r="Q706" s="23" t="n"/>
      <c r="R706" s="23" t="n"/>
      <c r="S706" s="22" t="n"/>
      <c r="T706" s="23" t="n"/>
      <c r="U706" s="23" t="n"/>
      <c r="V706" s="24">
        <f>IF(J706&lt;&gt;"",J706,IF(I706&lt;&gt;"",I706,""))</f>
        <v/>
      </c>
      <c r="W706" s="25">
        <f>IF($E706="","",N(O706)+SUMIFS($AF706:$IN706,$AF$4:$IN$4,"SEW_ACT"))</f>
        <v/>
      </c>
      <c r="X706" s="25">
        <f>IF($E706="","",N(P706)+SUMIFS($AF706:$IN706,$AF$4:$IN$4,"WASH_ACT"))</f>
        <v/>
      </c>
      <c r="Y706" s="25">
        <f>IF($E706="","",W706-X706-N(T706)-N(U706))</f>
        <v/>
      </c>
      <c r="Z706" s="25">
        <f>IF($E706="","",IF(N(K706)-X706&lt;=0.02*N(K706),0,N(K706)-X706))</f>
        <v/>
      </c>
      <c r="AA706" s="24">
        <f>IF($E706="","",IF(S706&lt;&gt;"",S706,IF(N(O706)&gt;0,IF(L706&lt;&gt;"",L706,99999),IFERROR(1/(1/_xlfn.MINIFS($AF$3:$IN$3,$AF$4:$IN$4,"SEW_ACT",$AF706:$IN706,"&gt;0")),99999))))</f>
        <v/>
      </c>
      <c r="AB706" s="26">
        <f>IF(OR($E706="",Z706=0,V706=""),"",1+COUNTIFS(Z$8:Z$707,"&gt;0",V$8:V$707,"&lt;"&amp;V706)+COUNTIFS(Z$8:Z$707,"&gt;0",V$8:V$707,V706,AA$8:AA$707,"&lt;"&amp;AA706)+COUNTIFS(Z$8:Z$707,"&gt;0",V$8:V$707,V706,AA$8:AA$707,AA706,E$8:E$707,"&lt;"&amp;$E706))</f>
        <v/>
      </c>
      <c r="AC706" s="24">
        <f>IF(OR($E706="",Z706=0),"",IFERROR(TODAY()+ROUNDUP(Z706/(SUMIFS($AF706:$IN706,$AF$4:$IN$4,"WASH_ACT")/COUNTIFS($AF$4:$IN$4,"WASH_ACT",$AF706:$IN706,"&gt;0")),0),"no output yet"))</f>
        <v/>
      </c>
      <c r="AD706" s="26">
        <f>IF($E706="","",IFERROR(ROUND(MAX(0,SUMIFS($AF706:$IN706,$AF$4:$IN$4,"SEW_PLAN",$AF$3:$IN$3,"&lt;="&amp;TODAY())-SUMIFS($AF706:$IN706,$AF$4:$IN$4,"SEW_ACT",$AF$3:$IN$3,"&lt;="&amp;TODAY())+N(Q706))/(SUMIFS($AF706:$IN706,$AF$4:$IN$4,"SEW_PLAN")/COUNTIFS($AF$4:$IN$4,"SEW_PLAN",$AF706:$IN706,"&gt;0")),1),0))</f>
        <v/>
      </c>
      <c r="AE706" s="26">
        <f>IF($E706="","",IF(AND(Z706&gt;0,OR(AND(M706&lt;&gt;"",TODAY()&gt;M706),AND(V706&lt;&gt;"",V706-TODAY()&lt;=7))),"Yes","No"))</f>
        <v/>
      </c>
      <c r="AH706">
        <f>IF(OR(AF$3="",AF$3&gt;TODAY()),"",IF(AND(AF706="",AG706=""),"",N(AG706)-N(AF706)))</f>
        <v/>
      </c>
      <c r="AK706">
        <f>IF(OR(AF$3="",AF$3&gt;TODAY()),"",IF(AND(AI706="",AJ706=""),"",N(AJ706)-N(AI706)))</f>
        <v/>
      </c>
      <c r="AO706">
        <f>IF(OR(AM$3="",AM$3&gt;TODAY()),"",IF(AND(AM706="",AN706=""),"",N(AN706)-N(AM706)))</f>
        <v/>
      </c>
      <c r="AR706">
        <f>IF(OR(AM$3="",AM$3&gt;TODAY()),"",IF(AND(AP706="",AQ706=""),"",N(AQ706)-N(AP706)))</f>
        <v/>
      </c>
      <c r="AV706">
        <f>IF(OR(AT$3="",AT$3&gt;TODAY()),"",IF(AND(AT706="",AU706=""),"",N(AU706)-N(AT706)))</f>
        <v/>
      </c>
      <c r="AY706">
        <f>IF(OR(AT$3="",AT$3&gt;TODAY()),"",IF(AND(AW706="",AX706=""),"",N(AX706)-N(AW706)))</f>
        <v/>
      </c>
      <c r="BC706">
        <f>IF(OR(BA$3="",BA$3&gt;TODAY()),"",IF(AND(BA706="",BB706=""),"",N(BB706)-N(BA706)))</f>
        <v/>
      </c>
      <c r="BF706">
        <f>IF(OR(BA$3="",BA$3&gt;TODAY()),"",IF(AND(BD706="",BE706=""),"",N(BE706)-N(BD706)))</f>
        <v/>
      </c>
      <c r="BJ706">
        <f>IF(OR(BH$3="",BH$3&gt;TODAY()),"",IF(AND(BH706="",BI706=""),"",N(BI706)-N(BH706)))</f>
        <v/>
      </c>
      <c r="BM706">
        <f>IF(OR(BH$3="",BH$3&gt;TODAY()),"",IF(AND(BK706="",BL706=""),"",N(BL706)-N(BK706)))</f>
        <v/>
      </c>
      <c r="BQ706">
        <f>IF(OR(BO$3="",BO$3&gt;TODAY()),"",IF(AND(BO706="",BP706=""),"",N(BP706)-N(BO706)))</f>
        <v/>
      </c>
      <c r="BT706">
        <f>IF(OR(BO$3="",BO$3&gt;TODAY()),"",IF(AND(BR706="",BS706=""),"",N(BS706)-N(BR706)))</f>
        <v/>
      </c>
      <c r="BX706">
        <f>IF(OR(BV$3="",BV$3&gt;TODAY()),"",IF(AND(BV706="",BW706=""),"",N(BW706)-N(BV706)))</f>
        <v/>
      </c>
      <c r="CA706">
        <f>IF(OR(BV$3="",BV$3&gt;TODAY()),"",IF(AND(BY706="",BZ706=""),"",N(BZ706)-N(BY706)))</f>
        <v/>
      </c>
      <c r="CE706">
        <f>IF(OR(CC$3="",CC$3&gt;TODAY()),"",IF(AND(CC706="",CD706=""),"",N(CD706)-N(CC706)))</f>
        <v/>
      </c>
      <c r="CH706">
        <f>IF(OR(CC$3="",CC$3&gt;TODAY()),"",IF(AND(CF706="",CG706=""),"",N(CG706)-N(CF706)))</f>
        <v/>
      </c>
      <c r="CL706">
        <f>IF(OR(CJ$3="",CJ$3&gt;TODAY()),"",IF(AND(CJ706="",CK706=""),"",N(CK706)-N(CJ706)))</f>
        <v/>
      </c>
      <c r="CO706">
        <f>IF(OR(CJ$3="",CJ$3&gt;TODAY()),"",IF(AND(CM706="",CN706=""),"",N(CN706)-N(CM706)))</f>
        <v/>
      </c>
      <c r="CS706">
        <f>IF(OR(CQ$3="",CQ$3&gt;TODAY()),"",IF(AND(CQ706="",CR706=""),"",N(CR706)-N(CQ706)))</f>
        <v/>
      </c>
      <c r="CV706">
        <f>IF(OR(CQ$3="",CQ$3&gt;TODAY()),"",IF(AND(CT706="",CU706=""),"",N(CU706)-N(CT706)))</f>
        <v/>
      </c>
      <c r="CZ706">
        <f>IF(OR(CX$3="",CX$3&gt;TODAY()),"",IF(AND(CX706="",CY706=""),"",N(CY706)-N(CX706)))</f>
        <v/>
      </c>
      <c r="DC706">
        <f>IF(OR(CX$3="",CX$3&gt;TODAY()),"",IF(AND(DA706="",DB706=""),"",N(DB706)-N(DA706)))</f>
        <v/>
      </c>
      <c r="DG706">
        <f>IF(OR(DE$3="",DE$3&gt;TODAY()),"",IF(AND(DE706="",DF706=""),"",N(DF706)-N(DE706)))</f>
        <v/>
      </c>
      <c r="DJ706">
        <f>IF(OR(DE$3="",DE$3&gt;TODAY()),"",IF(AND(DH706="",DI706=""),"",N(DI706)-N(DH706)))</f>
        <v/>
      </c>
      <c r="DN706">
        <f>IF(OR(DL$3="",DL$3&gt;TODAY()),"",IF(AND(DL706="",DM706=""),"",N(DM706)-N(DL706)))</f>
        <v/>
      </c>
      <c r="DQ706">
        <f>IF(OR(DL$3="",DL$3&gt;TODAY()),"",IF(AND(DO706="",DP706=""),"",N(DP706)-N(DO706)))</f>
        <v/>
      </c>
      <c r="DU706">
        <f>IF(OR(DS$3="",DS$3&gt;TODAY()),"",IF(AND(DS706="",DT706=""),"",N(DT706)-N(DS706)))</f>
        <v/>
      </c>
      <c r="DX706">
        <f>IF(OR(DS$3="",DS$3&gt;TODAY()),"",IF(AND(DV706="",DW706=""),"",N(DW706)-N(DV706)))</f>
        <v/>
      </c>
      <c r="EB706">
        <f>IF(OR(DZ$3="",DZ$3&gt;TODAY()),"",IF(AND(DZ706="",EA706=""),"",N(EA706)-N(DZ706)))</f>
        <v/>
      </c>
      <c r="EE706">
        <f>IF(OR(DZ$3="",DZ$3&gt;TODAY()),"",IF(AND(EC706="",ED706=""),"",N(ED706)-N(EC706)))</f>
        <v/>
      </c>
      <c r="EI706">
        <f>IF(OR(EG$3="",EG$3&gt;TODAY()),"",IF(AND(EG706="",EH706=""),"",N(EH706)-N(EG706)))</f>
        <v/>
      </c>
      <c r="EL706">
        <f>IF(OR(EG$3="",EG$3&gt;TODAY()),"",IF(AND(EJ706="",EK706=""),"",N(EK706)-N(EJ706)))</f>
        <v/>
      </c>
      <c r="EP706">
        <f>IF(OR(EN$3="",EN$3&gt;TODAY()),"",IF(AND(EN706="",EO706=""),"",N(EO706)-N(EN706)))</f>
        <v/>
      </c>
      <c r="ES706">
        <f>IF(OR(EN$3="",EN$3&gt;TODAY()),"",IF(AND(EQ706="",ER706=""),"",N(ER706)-N(EQ706)))</f>
        <v/>
      </c>
      <c r="EW706">
        <f>IF(OR(EU$3="",EU$3&gt;TODAY()),"",IF(AND(EU706="",EV706=""),"",N(EV706)-N(EU706)))</f>
        <v/>
      </c>
      <c r="EZ706">
        <f>IF(OR(EU$3="",EU$3&gt;TODAY()),"",IF(AND(EX706="",EY706=""),"",N(EY706)-N(EX706)))</f>
        <v/>
      </c>
      <c r="FD706">
        <f>IF(OR(FB$3="",FB$3&gt;TODAY()),"",IF(AND(FB706="",FC706=""),"",N(FC706)-N(FB706)))</f>
        <v/>
      </c>
      <c r="FG706">
        <f>IF(OR(FB$3="",FB$3&gt;TODAY()),"",IF(AND(FE706="",FF706=""),"",N(FF706)-N(FE706)))</f>
        <v/>
      </c>
      <c r="FK706">
        <f>IF(OR(FI$3="",FI$3&gt;TODAY()),"",IF(AND(FI706="",FJ706=""),"",N(FJ706)-N(FI706)))</f>
        <v/>
      </c>
      <c r="FN706">
        <f>IF(OR(FI$3="",FI$3&gt;TODAY()),"",IF(AND(FL706="",FM706=""),"",N(FM706)-N(FL706)))</f>
        <v/>
      </c>
      <c r="FR706">
        <f>IF(OR(FP$3="",FP$3&gt;TODAY()),"",IF(AND(FP706="",FQ706=""),"",N(FQ706)-N(FP706)))</f>
        <v/>
      </c>
      <c r="FU706">
        <f>IF(OR(FP$3="",FP$3&gt;TODAY()),"",IF(AND(FS706="",FT706=""),"",N(FT706)-N(FS706)))</f>
        <v/>
      </c>
      <c r="FY706">
        <f>IF(OR(FW$3="",FW$3&gt;TODAY()),"",IF(AND(FW706="",FX706=""),"",N(FX706)-N(FW706)))</f>
        <v/>
      </c>
      <c r="GB706">
        <f>IF(OR(FW$3="",FW$3&gt;TODAY()),"",IF(AND(FZ706="",GA706=""),"",N(GA706)-N(FZ706)))</f>
        <v/>
      </c>
      <c r="GF706">
        <f>IF(OR(GD$3="",GD$3&gt;TODAY()),"",IF(AND(GD706="",GE706=""),"",N(GE706)-N(GD706)))</f>
        <v/>
      </c>
      <c r="GI706">
        <f>IF(OR(GD$3="",GD$3&gt;TODAY()),"",IF(AND(GG706="",GH706=""),"",N(GH706)-N(GG706)))</f>
        <v/>
      </c>
      <c r="GM706">
        <f>IF(OR(GK$3="",GK$3&gt;TODAY()),"",IF(AND(GK706="",GL706=""),"",N(GL706)-N(GK706)))</f>
        <v/>
      </c>
      <c r="GP706">
        <f>IF(OR(GK$3="",GK$3&gt;TODAY()),"",IF(AND(GN706="",GO706=""),"",N(GO706)-N(GN706)))</f>
        <v/>
      </c>
      <c r="GT706">
        <f>IF(OR(GR$3="",GR$3&gt;TODAY()),"",IF(AND(GR706="",GS706=""),"",N(GS706)-N(GR706)))</f>
        <v/>
      </c>
      <c r="GW706">
        <f>IF(OR(GR$3="",GR$3&gt;TODAY()),"",IF(AND(GU706="",GV706=""),"",N(GV706)-N(GU706)))</f>
        <v/>
      </c>
      <c r="HA706">
        <f>IF(OR(GY$3="",GY$3&gt;TODAY()),"",IF(AND(GY706="",GZ706=""),"",N(GZ706)-N(GY706)))</f>
        <v/>
      </c>
      <c r="HD706">
        <f>IF(OR(GY$3="",GY$3&gt;TODAY()),"",IF(AND(HB706="",HC706=""),"",N(HC706)-N(HB706)))</f>
        <v/>
      </c>
      <c r="HH706">
        <f>IF(OR(HF$3="",HF$3&gt;TODAY()),"",IF(AND(HF706="",HG706=""),"",N(HG706)-N(HF706)))</f>
        <v/>
      </c>
      <c r="HK706">
        <f>IF(OR(HF$3="",HF$3&gt;TODAY()),"",IF(AND(HI706="",HJ706=""),"",N(HJ706)-N(HI706)))</f>
        <v/>
      </c>
      <c r="HO706">
        <f>IF(OR(HM$3="",HM$3&gt;TODAY()),"",IF(AND(HM706="",HN706=""),"",N(HN706)-N(HM706)))</f>
        <v/>
      </c>
      <c r="HR706">
        <f>IF(OR(HM$3="",HM$3&gt;TODAY()),"",IF(AND(HP706="",HQ706=""),"",N(HQ706)-N(HP706)))</f>
        <v/>
      </c>
      <c r="HV706">
        <f>IF(OR(HT$3="",HT$3&gt;TODAY()),"",IF(AND(HT706="",HU706=""),"",N(HU706)-N(HT706)))</f>
        <v/>
      </c>
      <c r="HY706">
        <f>IF(OR(HT$3="",HT$3&gt;TODAY()),"",IF(AND(HW706="",HX706=""),"",N(HX706)-N(HW706)))</f>
        <v/>
      </c>
      <c r="IC706">
        <f>IF(OR(IA$3="",IA$3&gt;TODAY()),"",IF(AND(IA706="",IB706=""),"",N(IB706)-N(IA706)))</f>
        <v/>
      </c>
      <c r="IF706">
        <f>IF(OR(IA$3="",IA$3&gt;TODAY()),"",IF(AND(ID706="",IE706=""),"",N(IE706)-N(ID706)))</f>
        <v/>
      </c>
      <c r="IJ706">
        <f>IF(OR(IH$3="",IH$3&gt;TODAY()),"",IF(AND(IH706="",II706=""),"",N(II706)-N(IH706)))</f>
        <v/>
      </c>
      <c r="IM706">
        <f>IF(OR(IH$3="",IH$3&gt;TODAY()),"",IF(AND(IK706="",IL706=""),"",N(IL706)-N(IK706)))</f>
        <v/>
      </c>
    </row>
    <row r="707">
      <c r="A707" s="21" t="n"/>
      <c r="B707" s="21" t="n"/>
      <c r="C707" s="21" t="n"/>
      <c r="D707" s="21" t="n"/>
      <c r="E707" s="21" t="n"/>
      <c r="F707" s="21" t="n"/>
      <c r="G707" s="21" t="n"/>
      <c r="H707" s="21" t="n"/>
      <c r="I707" s="22" t="n"/>
      <c r="J707" s="22" t="n"/>
      <c r="K707" s="23" t="n"/>
      <c r="L707" s="22" t="n"/>
      <c r="M707" s="22" t="n"/>
      <c r="N707" s="21" t="n"/>
      <c r="O707" s="23" t="n"/>
      <c r="P707" s="23" t="n"/>
      <c r="Q707" s="23" t="n"/>
      <c r="R707" s="23" t="n"/>
      <c r="S707" s="22" t="n"/>
      <c r="T707" s="23" t="n"/>
      <c r="U707" s="23" t="n"/>
      <c r="V707" s="24">
        <f>IF(J707&lt;&gt;"",J707,IF(I707&lt;&gt;"",I707,""))</f>
        <v/>
      </c>
      <c r="W707" s="25">
        <f>IF($E707="","",N(O707)+SUMIFS($AF707:$IN707,$AF$4:$IN$4,"SEW_ACT"))</f>
        <v/>
      </c>
      <c r="X707" s="25">
        <f>IF($E707="","",N(P707)+SUMIFS($AF707:$IN707,$AF$4:$IN$4,"WASH_ACT"))</f>
        <v/>
      </c>
      <c r="Y707" s="25">
        <f>IF($E707="","",W707-X707-N(T707)-N(U707))</f>
        <v/>
      </c>
      <c r="Z707" s="25">
        <f>IF($E707="","",IF(N(K707)-X707&lt;=0.02*N(K707),0,N(K707)-X707))</f>
        <v/>
      </c>
      <c r="AA707" s="24">
        <f>IF($E707="","",IF(S707&lt;&gt;"",S707,IF(N(O707)&gt;0,IF(L707&lt;&gt;"",L707,99999),IFERROR(1/(1/_xlfn.MINIFS($AF$3:$IN$3,$AF$4:$IN$4,"SEW_ACT",$AF707:$IN707,"&gt;0")),99999))))</f>
        <v/>
      </c>
      <c r="AB707" s="26">
        <f>IF(OR($E707="",Z707=0,V707=""),"",1+COUNTIFS(Z$8:Z$707,"&gt;0",V$8:V$707,"&lt;"&amp;V707)+COUNTIFS(Z$8:Z$707,"&gt;0",V$8:V$707,V707,AA$8:AA$707,"&lt;"&amp;AA707)+COUNTIFS(Z$8:Z$707,"&gt;0",V$8:V$707,V707,AA$8:AA$707,AA707,E$8:E$707,"&lt;"&amp;$E707))</f>
        <v/>
      </c>
      <c r="AC707" s="24">
        <f>IF(OR($E707="",Z707=0),"",IFERROR(TODAY()+ROUNDUP(Z707/(SUMIFS($AF707:$IN707,$AF$4:$IN$4,"WASH_ACT")/COUNTIFS($AF$4:$IN$4,"WASH_ACT",$AF707:$IN707,"&gt;0")),0),"no output yet"))</f>
        <v/>
      </c>
      <c r="AD707" s="26">
        <f>IF($E707="","",IFERROR(ROUND(MAX(0,SUMIFS($AF707:$IN707,$AF$4:$IN$4,"SEW_PLAN",$AF$3:$IN$3,"&lt;="&amp;TODAY())-SUMIFS($AF707:$IN707,$AF$4:$IN$4,"SEW_ACT",$AF$3:$IN$3,"&lt;="&amp;TODAY())+N(Q707))/(SUMIFS($AF707:$IN707,$AF$4:$IN$4,"SEW_PLAN")/COUNTIFS($AF$4:$IN$4,"SEW_PLAN",$AF707:$IN707,"&gt;0")),1),0))</f>
        <v/>
      </c>
      <c r="AE707" s="26">
        <f>IF($E707="","",IF(AND(Z707&gt;0,OR(AND(M707&lt;&gt;"",TODAY()&gt;M707),AND(V707&lt;&gt;"",V707-TODAY()&lt;=7))),"Yes","No"))</f>
        <v/>
      </c>
      <c r="AH707">
        <f>IF(OR(AF$3="",AF$3&gt;TODAY()),"",IF(AND(AF707="",AG707=""),"",N(AG707)-N(AF707)))</f>
        <v/>
      </c>
      <c r="AK707">
        <f>IF(OR(AF$3="",AF$3&gt;TODAY()),"",IF(AND(AI707="",AJ707=""),"",N(AJ707)-N(AI707)))</f>
        <v/>
      </c>
      <c r="AO707">
        <f>IF(OR(AM$3="",AM$3&gt;TODAY()),"",IF(AND(AM707="",AN707=""),"",N(AN707)-N(AM707)))</f>
        <v/>
      </c>
      <c r="AR707">
        <f>IF(OR(AM$3="",AM$3&gt;TODAY()),"",IF(AND(AP707="",AQ707=""),"",N(AQ707)-N(AP707)))</f>
        <v/>
      </c>
      <c r="AV707">
        <f>IF(OR(AT$3="",AT$3&gt;TODAY()),"",IF(AND(AT707="",AU707=""),"",N(AU707)-N(AT707)))</f>
        <v/>
      </c>
      <c r="AY707">
        <f>IF(OR(AT$3="",AT$3&gt;TODAY()),"",IF(AND(AW707="",AX707=""),"",N(AX707)-N(AW707)))</f>
        <v/>
      </c>
      <c r="BC707">
        <f>IF(OR(BA$3="",BA$3&gt;TODAY()),"",IF(AND(BA707="",BB707=""),"",N(BB707)-N(BA707)))</f>
        <v/>
      </c>
      <c r="BF707">
        <f>IF(OR(BA$3="",BA$3&gt;TODAY()),"",IF(AND(BD707="",BE707=""),"",N(BE707)-N(BD707)))</f>
        <v/>
      </c>
      <c r="BJ707">
        <f>IF(OR(BH$3="",BH$3&gt;TODAY()),"",IF(AND(BH707="",BI707=""),"",N(BI707)-N(BH707)))</f>
        <v/>
      </c>
      <c r="BM707">
        <f>IF(OR(BH$3="",BH$3&gt;TODAY()),"",IF(AND(BK707="",BL707=""),"",N(BL707)-N(BK707)))</f>
        <v/>
      </c>
      <c r="BQ707">
        <f>IF(OR(BO$3="",BO$3&gt;TODAY()),"",IF(AND(BO707="",BP707=""),"",N(BP707)-N(BO707)))</f>
        <v/>
      </c>
      <c r="BT707">
        <f>IF(OR(BO$3="",BO$3&gt;TODAY()),"",IF(AND(BR707="",BS707=""),"",N(BS707)-N(BR707)))</f>
        <v/>
      </c>
      <c r="BX707">
        <f>IF(OR(BV$3="",BV$3&gt;TODAY()),"",IF(AND(BV707="",BW707=""),"",N(BW707)-N(BV707)))</f>
        <v/>
      </c>
      <c r="CA707">
        <f>IF(OR(BV$3="",BV$3&gt;TODAY()),"",IF(AND(BY707="",BZ707=""),"",N(BZ707)-N(BY707)))</f>
        <v/>
      </c>
      <c r="CE707">
        <f>IF(OR(CC$3="",CC$3&gt;TODAY()),"",IF(AND(CC707="",CD707=""),"",N(CD707)-N(CC707)))</f>
        <v/>
      </c>
      <c r="CH707">
        <f>IF(OR(CC$3="",CC$3&gt;TODAY()),"",IF(AND(CF707="",CG707=""),"",N(CG707)-N(CF707)))</f>
        <v/>
      </c>
      <c r="CL707">
        <f>IF(OR(CJ$3="",CJ$3&gt;TODAY()),"",IF(AND(CJ707="",CK707=""),"",N(CK707)-N(CJ707)))</f>
        <v/>
      </c>
      <c r="CO707">
        <f>IF(OR(CJ$3="",CJ$3&gt;TODAY()),"",IF(AND(CM707="",CN707=""),"",N(CN707)-N(CM707)))</f>
        <v/>
      </c>
      <c r="CS707">
        <f>IF(OR(CQ$3="",CQ$3&gt;TODAY()),"",IF(AND(CQ707="",CR707=""),"",N(CR707)-N(CQ707)))</f>
        <v/>
      </c>
      <c r="CV707">
        <f>IF(OR(CQ$3="",CQ$3&gt;TODAY()),"",IF(AND(CT707="",CU707=""),"",N(CU707)-N(CT707)))</f>
        <v/>
      </c>
      <c r="CZ707">
        <f>IF(OR(CX$3="",CX$3&gt;TODAY()),"",IF(AND(CX707="",CY707=""),"",N(CY707)-N(CX707)))</f>
        <v/>
      </c>
      <c r="DC707">
        <f>IF(OR(CX$3="",CX$3&gt;TODAY()),"",IF(AND(DA707="",DB707=""),"",N(DB707)-N(DA707)))</f>
        <v/>
      </c>
      <c r="DG707">
        <f>IF(OR(DE$3="",DE$3&gt;TODAY()),"",IF(AND(DE707="",DF707=""),"",N(DF707)-N(DE707)))</f>
        <v/>
      </c>
      <c r="DJ707">
        <f>IF(OR(DE$3="",DE$3&gt;TODAY()),"",IF(AND(DH707="",DI707=""),"",N(DI707)-N(DH707)))</f>
        <v/>
      </c>
      <c r="DN707">
        <f>IF(OR(DL$3="",DL$3&gt;TODAY()),"",IF(AND(DL707="",DM707=""),"",N(DM707)-N(DL707)))</f>
        <v/>
      </c>
      <c r="DQ707">
        <f>IF(OR(DL$3="",DL$3&gt;TODAY()),"",IF(AND(DO707="",DP707=""),"",N(DP707)-N(DO707)))</f>
        <v/>
      </c>
      <c r="DU707">
        <f>IF(OR(DS$3="",DS$3&gt;TODAY()),"",IF(AND(DS707="",DT707=""),"",N(DT707)-N(DS707)))</f>
        <v/>
      </c>
      <c r="DX707">
        <f>IF(OR(DS$3="",DS$3&gt;TODAY()),"",IF(AND(DV707="",DW707=""),"",N(DW707)-N(DV707)))</f>
        <v/>
      </c>
      <c r="EB707">
        <f>IF(OR(DZ$3="",DZ$3&gt;TODAY()),"",IF(AND(DZ707="",EA707=""),"",N(EA707)-N(DZ707)))</f>
        <v/>
      </c>
      <c r="EE707">
        <f>IF(OR(DZ$3="",DZ$3&gt;TODAY()),"",IF(AND(EC707="",ED707=""),"",N(ED707)-N(EC707)))</f>
        <v/>
      </c>
      <c r="EI707">
        <f>IF(OR(EG$3="",EG$3&gt;TODAY()),"",IF(AND(EG707="",EH707=""),"",N(EH707)-N(EG707)))</f>
        <v/>
      </c>
      <c r="EL707">
        <f>IF(OR(EG$3="",EG$3&gt;TODAY()),"",IF(AND(EJ707="",EK707=""),"",N(EK707)-N(EJ707)))</f>
        <v/>
      </c>
      <c r="EP707">
        <f>IF(OR(EN$3="",EN$3&gt;TODAY()),"",IF(AND(EN707="",EO707=""),"",N(EO707)-N(EN707)))</f>
        <v/>
      </c>
      <c r="ES707">
        <f>IF(OR(EN$3="",EN$3&gt;TODAY()),"",IF(AND(EQ707="",ER707=""),"",N(ER707)-N(EQ707)))</f>
        <v/>
      </c>
      <c r="EW707">
        <f>IF(OR(EU$3="",EU$3&gt;TODAY()),"",IF(AND(EU707="",EV707=""),"",N(EV707)-N(EU707)))</f>
        <v/>
      </c>
      <c r="EZ707">
        <f>IF(OR(EU$3="",EU$3&gt;TODAY()),"",IF(AND(EX707="",EY707=""),"",N(EY707)-N(EX707)))</f>
        <v/>
      </c>
      <c r="FD707">
        <f>IF(OR(FB$3="",FB$3&gt;TODAY()),"",IF(AND(FB707="",FC707=""),"",N(FC707)-N(FB707)))</f>
        <v/>
      </c>
      <c r="FG707">
        <f>IF(OR(FB$3="",FB$3&gt;TODAY()),"",IF(AND(FE707="",FF707=""),"",N(FF707)-N(FE707)))</f>
        <v/>
      </c>
      <c r="FK707">
        <f>IF(OR(FI$3="",FI$3&gt;TODAY()),"",IF(AND(FI707="",FJ707=""),"",N(FJ707)-N(FI707)))</f>
        <v/>
      </c>
      <c r="FN707">
        <f>IF(OR(FI$3="",FI$3&gt;TODAY()),"",IF(AND(FL707="",FM707=""),"",N(FM707)-N(FL707)))</f>
        <v/>
      </c>
      <c r="FR707">
        <f>IF(OR(FP$3="",FP$3&gt;TODAY()),"",IF(AND(FP707="",FQ707=""),"",N(FQ707)-N(FP707)))</f>
        <v/>
      </c>
      <c r="FU707">
        <f>IF(OR(FP$3="",FP$3&gt;TODAY()),"",IF(AND(FS707="",FT707=""),"",N(FT707)-N(FS707)))</f>
        <v/>
      </c>
      <c r="FY707">
        <f>IF(OR(FW$3="",FW$3&gt;TODAY()),"",IF(AND(FW707="",FX707=""),"",N(FX707)-N(FW707)))</f>
        <v/>
      </c>
      <c r="GB707">
        <f>IF(OR(FW$3="",FW$3&gt;TODAY()),"",IF(AND(FZ707="",GA707=""),"",N(GA707)-N(FZ707)))</f>
        <v/>
      </c>
      <c r="GF707">
        <f>IF(OR(GD$3="",GD$3&gt;TODAY()),"",IF(AND(GD707="",GE707=""),"",N(GE707)-N(GD707)))</f>
        <v/>
      </c>
      <c r="GI707">
        <f>IF(OR(GD$3="",GD$3&gt;TODAY()),"",IF(AND(GG707="",GH707=""),"",N(GH707)-N(GG707)))</f>
        <v/>
      </c>
      <c r="GM707">
        <f>IF(OR(GK$3="",GK$3&gt;TODAY()),"",IF(AND(GK707="",GL707=""),"",N(GL707)-N(GK707)))</f>
        <v/>
      </c>
      <c r="GP707">
        <f>IF(OR(GK$3="",GK$3&gt;TODAY()),"",IF(AND(GN707="",GO707=""),"",N(GO707)-N(GN707)))</f>
        <v/>
      </c>
      <c r="GT707">
        <f>IF(OR(GR$3="",GR$3&gt;TODAY()),"",IF(AND(GR707="",GS707=""),"",N(GS707)-N(GR707)))</f>
        <v/>
      </c>
      <c r="GW707">
        <f>IF(OR(GR$3="",GR$3&gt;TODAY()),"",IF(AND(GU707="",GV707=""),"",N(GV707)-N(GU707)))</f>
        <v/>
      </c>
      <c r="HA707">
        <f>IF(OR(GY$3="",GY$3&gt;TODAY()),"",IF(AND(GY707="",GZ707=""),"",N(GZ707)-N(GY707)))</f>
        <v/>
      </c>
      <c r="HD707">
        <f>IF(OR(GY$3="",GY$3&gt;TODAY()),"",IF(AND(HB707="",HC707=""),"",N(HC707)-N(HB707)))</f>
        <v/>
      </c>
      <c r="HH707">
        <f>IF(OR(HF$3="",HF$3&gt;TODAY()),"",IF(AND(HF707="",HG707=""),"",N(HG707)-N(HF707)))</f>
        <v/>
      </c>
      <c r="HK707">
        <f>IF(OR(HF$3="",HF$3&gt;TODAY()),"",IF(AND(HI707="",HJ707=""),"",N(HJ707)-N(HI707)))</f>
        <v/>
      </c>
      <c r="HO707">
        <f>IF(OR(HM$3="",HM$3&gt;TODAY()),"",IF(AND(HM707="",HN707=""),"",N(HN707)-N(HM707)))</f>
        <v/>
      </c>
      <c r="HR707">
        <f>IF(OR(HM$3="",HM$3&gt;TODAY()),"",IF(AND(HP707="",HQ707=""),"",N(HQ707)-N(HP707)))</f>
        <v/>
      </c>
      <c r="HV707">
        <f>IF(OR(HT$3="",HT$3&gt;TODAY()),"",IF(AND(HT707="",HU707=""),"",N(HU707)-N(HT707)))</f>
        <v/>
      </c>
      <c r="HY707">
        <f>IF(OR(HT$3="",HT$3&gt;TODAY()),"",IF(AND(HW707="",HX707=""),"",N(HX707)-N(HW707)))</f>
        <v/>
      </c>
      <c r="IC707">
        <f>IF(OR(IA$3="",IA$3&gt;TODAY()),"",IF(AND(IA707="",IB707=""),"",N(IB707)-N(IA707)))</f>
        <v/>
      </c>
      <c r="IF707">
        <f>IF(OR(IA$3="",IA$3&gt;TODAY()),"",IF(AND(ID707="",IE707=""),"",N(IE707)-N(ID707)))</f>
        <v/>
      </c>
      <c r="IJ707">
        <f>IF(OR(IH$3="",IH$3&gt;TODAY()),"",IF(AND(IH707="",II707=""),"",N(II707)-N(IH707)))</f>
        <v/>
      </c>
      <c r="IM707">
        <f>IF(OR(IH$3="",IH$3&gt;TODAY()),"",IF(AND(IK707="",IL707=""),"",N(IL707)-N(IK707)))</f>
        <v/>
      </c>
    </row>
  </sheetData>
  <mergeCells count="32">
    <mergeCell ref="BA5:BG5"/>
    <mergeCell ref="AF5:AL5"/>
    <mergeCell ref="DE5:DK5"/>
    <mergeCell ref="A1:AS1"/>
    <mergeCell ref="BO5:BU5"/>
    <mergeCell ref="CX5:DD5"/>
    <mergeCell ref="EN5:ET5"/>
    <mergeCell ref="GY5:HE5"/>
    <mergeCell ref="FB5:FH5"/>
    <mergeCell ref="IA5:IG5"/>
    <mergeCell ref="CC5:CI5"/>
    <mergeCell ref="DL5:DR5"/>
    <mergeCell ref="HM5:HS5"/>
    <mergeCell ref="FP5:FV5"/>
    <mergeCell ref="DZ5:EF5"/>
    <mergeCell ref="FI5:FO5"/>
    <mergeCell ref="BV5:CB5"/>
    <mergeCell ref="CJ5:CP5"/>
    <mergeCell ref="DS5:DY5"/>
    <mergeCell ref="HT5:HZ5"/>
    <mergeCell ref="FW5:GC5"/>
    <mergeCell ref="IH5:IN5"/>
    <mergeCell ref="AT5:AZ5"/>
    <mergeCell ref="AM5:AS5"/>
    <mergeCell ref="GK5:GQ5"/>
    <mergeCell ref="BH5:BN5"/>
    <mergeCell ref="EG5:EM5"/>
    <mergeCell ref="GR5:GX5"/>
    <mergeCell ref="CQ5:CW5"/>
    <mergeCell ref="EU5:FA5"/>
    <mergeCell ref="HF5:HL5"/>
    <mergeCell ref="GD5:GJ5"/>
  </mergeCells>
  <conditionalFormatting sqref="AE8:AE707">
    <cfRule type="cellIs" priority="1" operator="equal" dxfId="0">
      <formula>"Yes"</formula>
    </cfRule>
  </conditionalFormatting>
  <conditionalFormatting sqref="A8:G707">
    <cfRule type="expression" priority="2" dxfId="1">
      <formula>AND($AE8="Yes",$M8&lt;&gt;"",TODAY()&gt;$M8)</formula>
    </cfRule>
  </conditionalFormatting>
  <conditionalFormatting sqref="V8:V707">
    <cfRule type="expression" priority="3" dxfId="0">
      <formula>AND($Z8&gt;0,V8&lt;&gt;"",V8&lt;TODAY())</formula>
    </cfRule>
  </conditionalFormatting>
  <conditionalFormatting sqref="AF8:IN707">
    <cfRule type="expression" priority="4" dxfId="2">
      <formula>AND(AF$4="SEW_VAR",ISNUMBER(AF8),AF8&lt;0)</formula>
    </cfRule>
    <cfRule type="expression" priority="5" dxfId="2">
      <formula>AND(AF$4="WASH_VAR",ISNUMBER(AF8),AF8&lt;0)</formula>
    </cfRule>
    <cfRule type="expression" priority="6" dxfId="3">
      <formula>AND(OR(AF$4="SEW_VAR",AF$4="WASH_VAR"),ISNUMBER(AF8),AF8&gt;0)</formula>
    </cfRule>
    <cfRule type="expression" priority="8" dxfId="4">
      <formula>AND(AF$3&lt;&gt;"",WEEKDAY(AF$3)=6)</formula>
    </cfRule>
    <cfRule type="expression" priority="9" dxfId="5">
      <formula>AND(AF$3&lt;&gt;"",AF$3=TODAY())</formula>
    </cfRule>
  </conditionalFormatting>
  <conditionalFormatting sqref="AF3:IN707">
    <cfRule type="expression" priority="7" dxfId="6">
      <formula>AF$3=""</formula>
    </cfRule>
  </conditionalFormatting>
  <dataValidations count="2">
    <dataValidation sqref="K8:K707 O8:O707 P8:P707 Q8:Q707 R8:R707 T8:T707 U8:U707 AF8:AF707 AG8:AG707 AI8:AI707 AJ8:AJ707 AM8:AM707 AN8:AN707 AP8:AP707 AQ8:AQ707 AT8:AT707 AU8:AU707 AW8:AW707 AX8:AX707 BA8:BA707 BB8:BB707 BD8:BD707 BE8:BE707 BH8:BH707 BI8:BI707 BK8:BK707 BL8:BL707 BO8:BO707 BP8:BP707 BR8:BR707 BS8:BS707 BV8:BV707 BW8:BW707 BY8:BY707 BZ8:BZ707 CC8:CC707 CD8:CD707 CF8:CF707 CG8:CG707 CJ8:CJ707 CK8:CK707 CM8:CM707 CN8:CN707 CQ8:CQ707 CR8:CR707 CT8:CT707 CU8:CU707 CX8:CX707 CY8:CY707 DA8:DA707 DB8:DB707 DE8:DE707 DF8:DF707 DH8:DH707 DI8:DI707 DL8:DL707 DM8:DM707 DO8:DO707 DP8:DP707 DS8:DS707 DT8:DT707 DV8:DV707 DW8:DW707 DZ8:DZ707 EA8:EA707 EC8:EC707 ED8:ED707 EG8:EG707 EH8:EH707 EJ8:EJ707 EK8:EK707 EN8:EN707 EO8:EO707 EQ8:EQ707 ER8:ER707 EU8:EU707 EV8:EV707 EX8:EX707 EY8:EY707 FB8:FB707 FC8:FC707 FE8:FE707 FF8:FF707 FI8:FI707 FJ8:FJ707 FL8:FL707 FM8:FM707 FP8:FP707 FQ8:FQ707 FS8:FS707 FT8:FT707 FW8:FW707 FX8:FX707 FZ8:FZ707 GA8:GA707 GD8:GD707 GE8:GE707 GG8:GG707 GH8:GH707 GK8:GK707 GL8:GL707 GN8:GN707 GO8:GO707 GR8:GR707 GS8:GS707 GU8:GU707 GV8:GV707 GY8:GY707 GZ8:GZ707 HB8:HB707 HC8:HC707 HF8:HF707 HG8:HG707 HI8:HI707 HJ8:HJ707 HM8:HM707 HN8:HN707 HP8:HP707 HQ8:HQ707 HT8:HT707 HU8:HU707 HW8:HW707 HX8:HX707 IA8:IA707 IB8:IB707 ID8:ID707 IE8:IE707 IH8:IH707 II8:II707 IK8:IK707 IL8:IL707" showDropDown="0" showInputMessage="0" showErrorMessage="1" allowBlank="1" errorTitle="Check value" error="Enter a number &gt;= 0" type="decimal" operator="greaterThanOrEqual">
      <formula1>0</formula1>
    </dataValidation>
    <dataValidation sqref="I8:I707 J8:J707 L8:L707 M8:M707 S8:S707" showDropDown="0" showInputMessage="0" showErrorMessage="1" allowBlank="1" errorTitle="Date" error="Write dates as yyyy-mm-dd"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6" customWidth="1" min="3" max="3"/>
    <col width="24" customWidth="1" min="4" max="4"/>
    <col width="16" customWidth="1" min="5" max="5"/>
    <col width="16" customWidth="1" min="6" max="6"/>
    <col width="16" customWidth="1" min="7" max="7"/>
    <col width="16" customWidth="1" min="8" max="8"/>
    <col width="16" customWidth="1" min="9" max="9"/>
    <col width="16" customWidth="1" min="10" max="10"/>
  </cols>
  <sheetData>
    <row r="1">
      <c r="A1" s="27" t="inlineStr">
        <is>
          <t>Timestamp</t>
        </is>
      </c>
      <c r="B1" s="27" t="inlineStr">
        <is>
          <t>User</t>
        </is>
      </c>
      <c r="C1" s="27" t="inlineStr">
        <is>
          <t>Wash_Plant</t>
        </is>
      </c>
      <c r="D1" s="27" t="inlineStr">
        <is>
          <t>Style</t>
        </is>
      </c>
      <c r="E1" s="27" t="inlineStr">
        <is>
          <t>PO</t>
        </is>
      </c>
      <c r="F1" s="27" t="inlineStr">
        <is>
          <t>Color</t>
        </is>
      </c>
      <c r="G1" s="27" t="inlineStr">
        <is>
          <t>Field</t>
        </is>
      </c>
      <c r="H1" s="27" t="inlineStr">
        <is>
          <t>Old</t>
        </is>
      </c>
      <c r="I1" s="27" t="inlineStr">
        <is>
          <t>New</t>
        </is>
      </c>
      <c r="J1" s="27" t="inlineStr">
        <is>
          <t>Version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6" customWidth="1" min="3" max="3"/>
    <col width="24" customWidth="1" min="4" max="4"/>
    <col width="16" customWidth="1" min="5" max="5"/>
    <col width="16" customWidth="1" min="6" max="6"/>
    <col width="16" customWidth="1" min="7" max="7"/>
    <col width="16" customWidth="1" min="8" max="8"/>
    <col width="12" customWidth="1" min="9" max="9"/>
    <col width="12" customWidth="1" min="10" max="10"/>
    <col width="16" customWidth="1" min="11" max="11"/>
    <col width="16" customWidth="1" min="12" max="12"/>
  </cols>
  <sheetData>
    <row r="1">
      <c r="A1" s="27" t="inlineStr">
        <is>
          <t>Timestamp</t>
        </is>
      </c>
      <c r="B1" s="27" t="inlineStr">
        <is>
          <t>User</t>
        </is>
      </c>
      <c r="C1" s="27" t="inlineStr">
        <is>
          <t>Wash_Plant</t>
        </is>
      </c>
      <c r="D1" s="27" t="inlineStr">
        <is>
          <t>Style</t>
        </is>
      </c>
      <c r="E1" s="27" t="inlineStr">
        <is>
          <t>PO</t>
        </is>
      </c>
      <c r="F1" s="27" t="inlineStr">
        <is>
          <t>Color</t>
        </is>
      </c>
      <c r="G1" s="27" t="inlineStr">
        <is>
          <t>Field</t>
        </is>
      </c>
      <c r="H1" s="27" t="inlineStr">
        <is>
          <t>Date</t>
        </is>
      </c>
      <c r="I1" s="27" t="inlineStr">
        <is>
          <t>Old</t>
        </is>
      </c>
      <c r="J1" s="27" t="inlineStr">
        <is>
          <t>New</t>
        </is>
      </c>
      <c r="K1" s="27" t="inlineStr">
        <is>
          <t>Type</t>
        </is>
      </c>
      <c r="L1" s="27" t="inlineStr">
        <is>
          <t>Ack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4" customWidth="1" min="3" max="3"/>
    <col width="16" customWidth="1" min="4" max="4"/>
    <col width="16" customWidth="1" min="5" max="5"/>
    <col width="18" customWidth="1" min="6" max="6"/>
    <col width="16" customWidth="1" min="7" max="7"/>
    <col width="16" customWidth="1" min="8" max="8"/>
    <col width="16" customWidth="1" min="9" max="9"/>
  </cols>
  <sheetData>
    <row r="1">
      <c r="A1" s="27" t="inlineStr">
        <is>
          <t>Date</t>
        </is>
      </c>
      <c r="B1" s="27" t="inlineStr">
        <is>
          <t>Wash_Plant</t>
        </is>
      </c>
      <c r="C1" s="27" t="inlineStr">
        <is>
          <t>Style</t>
        </is>
      </c>
      <c r="D1" s="27" t="inlineStr">
        <is>
          <t>PO</t>
        </is>
      </c>
      <c r="E1" s="27" t="inlineStr">
        <is>
          <t>Color</t>
        </is>
      </c>
      <c r="F1" s="27" t="inlineStr">
        <is>
          <t>Stage</t>
        </is>
      </c>
      <c r="G1" s="27" t="inlineStr">
        <is>
          <t>Pcs_In</t>
        </is>
      </c>
      <c r="H1" s="27" t="inlineStr">
        <is>
          <t>Pcs_Out</t>
        </is>
      </c>
      <c r="I1" s="27" t="inlineStr">
        <is>
          <t>Remarks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s>
  <sheetData>
    <row r="1">
      <c r="A1" s="27" t="inlineStr">
        <is>
          <t>Stage</t>
        </is>
      </c>
      <c r="B1" s="27" t="inlineStr">
        <is>
          <t>Seq</t>
        </is>
      </c>
    </row>
    <row r="2">
      <c r="A2" t="inlineStr">
        <is>
          <t>Receive Store</t>
        </is>
      </c>
      <c r="B2" t="n">
        <v>1</v>
      </c>
    </row>
    <row r="3">
      <c r="A3" t="inlineStr">
        <is>
          <t>Wash</t>
        </is>
      </c>
      <c r="B3" t="n">
        <v>2</v>
      </c>
    </row>
    <row r="4">
      <c r="A4" t="inlineStr">
        <is>
          <t>Dry Process</t>
        </is>
      </c>
      <c r="B4" t="n">
        <v>3</v>
      </c>
    </row>
    <row r="5">
      <c r="A5" t="inlineStr">
        <is>
          <t>QC &amp; Packing</t>
        </is>
      </c>
      <c r="B5" t="n">
        <v>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0" customWidth="1" min="3" max="3"/>
  </cols>
  <sheetData>
    <row r="1">
      <c r="A1" s="27" t="inlineStr">
        <is>
          <t>Wash_Plant</t>
        </is>
      </c>
      <c r="B1" s="27" t="inlineStr">
        <is>
          <t>Wet_Capacity_Day</t>
        </is>
      </c>
      <c r="C1" s="27" t="inlineStr">
        <is>
          <t>Dry_Capacity_Day</t>
        </is>
      </c>
      <c r="E1" s="28" t="inlineStr">
        <is>
          <t>Plant capacity in pcs per day (wet = wash, dry = dry process total). Used for the dashboard forecast.</t>
        </is>
      </c>
    </row>
    <row r="2">
      <c r="A2" t="inlineStr">
        <is>
          <t>BWL-2</t>
        </is>
      </c>
      <c r="B2" t="n">
        <v>34263</v>
      </c>
      <c r="C2" t="n">
        <v>22000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2026-10-11T09:23:59Z</dcterms:created>
  <dcterms:modified xmlns:dcterms="http://purl.org/dc/terms/" xmlns:xsi="http://www.w3.org/2001/XMLSchema-instance" xsi:type="dcterms:W3CDTF">2026-10-11T09:24:01Z</dcterms:modified>
</cp:coreProperties>
</file>